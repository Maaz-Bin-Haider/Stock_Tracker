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X:\SwissTechSaqib\Swiss Tech Files 2025\Stock Tracker\"/>
    </mc:Choice>
  </mc:AlternateContent>
  <xr:revisionPtr revIDLastSave="0" documentId="13_ncr:1_{254CD2A8-E5BA-4F5B-B2A3-9272A7A63AF4}" xr6:coauthVersionLast="47" xr6:coauthVersionMax="47" xr10:uidLastSave="{00000000-0000-0000-0000-000000000000}"/>
  <bookViews>
    <workbookView xWindow="-120" yWindow="-120" windowWidth="29040" windowHeight="15720" tabRatio="737" activeTab="2" xr2:uid="{00000000-000D-0000-FFFF-FFFF00000000}"/>
  </bookViews>
  <sheets>
    <sheet name="Usa Purchase" sheetId="15" r:id="rId1"/>
    <sheet name="Purchases" sheetId="2" r:id="rId2"/>
    <sheet name="Stock_Transactions" sheetId="6" r:id="rId3"/>
    <sheet name="Product_Master" sheetId="7" r:id="rId4"/>
    <sheet name="GST" sheetId="5" r:id="rId5"/>
    <sheet name="Pending_Stock" sheetId="3" r:id="rId6"/>
    <sheet name="ShipToDubai" sheetId="4" r:id="rId7"/>
    <sheet name="Monthly Sales" sheetId="9" r:id="rId8"/>
    <sheet name="Pending Things" sheetId="8" r:id="rId9"/>
    <sheet name="Karachi Sale" sheetId="11" r:id="rId10"/>
    <sheet name="Sheet2" sheetId="13" r:id="rId11"/>
    <sheet name="Sheet1" sheetId="12" r:id="rId12"/>
    <sheet name="profit distribution" sheetId="14" r:id="rId13"/>
  </sheets>
  <definedNames>
    <definedName name="_xlnm._FilterDatabase" localSheetId="3" hidden="1">Product_Master!$A$2:$J$334</definedName>
    <definedName name="_xlnm._FilterDatabase" localSheetId="1" hidden="1">Purchases!$B$2306:$J$2370</definedName>
    <definedName name="_xlnm._FilterDatabase" localSheetId="0" hidden="1">'Usa Purchase'!$A$3528:$G$3582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23" i="2" l="1"/>
  <c r="I3623" i="2" s="1"/>
  <c r="F3623" i="2"/>
  <c r="H3622" i="2"/>
  <c r="I3622" i="2" s="1"/>
  <c r="F3622" i="2"/>
  <c r="H3621" i="2"/>
  <c r="I3621" i="2" s="1"/>
  <c r="F3621" i="2"/>
  <c r="H3620" i="2"/>
  <c r="I3620" i="2" s="1"/>
  <c r="F3620" i="2"/>
  <c r="H3619" i="2"/>
  <c r="I3619" i="2" s="1"/>
  <c r="F3619" i="2"/>
  <c r="H3618" i="2"/>
  <c r="I3618" i="2" s="1"/>
  <c r="F3618" i="2"/>
  <c r="H3617" i="2"/>
  <c r="I3617" i="2" s="1"/>
  <c r="F3617" i="2"/>
  <c r="H3616" i="2"/>
  <c r="I3616" i="2" s="1"/>
  <c r="F3616" i="2"/>
  <c r="H3615" i="2"/>
  <c r="I3615" i="2" s="1"/>
  <c r="F3615" i="2"/>
  <c r="H3614" i="2"/>
  <c r="I3614" i="2" s="1"/>
  <c r="F3614" i="2"/>
  <c r="H3613" i="2"/>
  <c r="I3613" i="2" s="1"/>
  <c r="F3613" i="2"/>
  <c r="H3612" i="2"/>
  <c r="I3612" i="2" s="1"/>
  <c r="J3612" i="2" s="1"/>
  <c r="F3612" i="2"/>
  <c r="G2524" i="4"/>
  <c r="G2523" i="4"/>
  <c r="G2514" i="4"/>
  <c r="G2515" i="4"/>
  <c r="G2516" i="4"/>
  <c r="G2517" i="4"/>
  <c r="G2518" i="4"/>
  <c r="G2519" i="4"/>
  <c r="G2520" i="4"/>
  <c r="G2521" i="4"/>
  <c r="G2522" i="4"/>
  <c r="G2513" i="4"/>
  <c r="H3602" i="2"/>
  <c r="I3602" i="2" s="1"/>
  <c r="F3602" i="2"/>
  <c r="H3601" i="2"/>
  <c r="I3601" i="2" s="1"/>
  <c r="F3601" i="2"/>
  <c r="H3600" i="2"/>
  <c r="I3600" i="2" s="1"/>
  <c r="F3600" i="2"/>
  <c r="H3599" i="2"/>
  <c r="I3599" i="2" s="1"/>
  <c r="F3599" i="2"/>
  <c r="H3598" i="2"/>
  <c r="I3598" i="2" s="1"/>
  <c r="F3598" i="2"/>
  <c r="H3597" i="2"/>
  <c r="I3597" i="2" s="1"/>
  <c r="F3597" i="2"/>
  <c r="H3596" i="2"/>
  <c r="I3596" i="2" s="1"/>
  <c r="F3596" i="2"/>
  <c r="H3595" i="2"/>
  <c r="I3595" i="2" s="1"/>
  <c r="F3595" i="2"/>
  <c r="H3594" i="2"/>
  <c r="I3594" i="2" s="1"/>
  <c r="F3594" i="2"/>
  <c r="H3593" i="2"/>
  <c r="I3593" i="2" s="1"/>
  <c r="F3593" i="2"/>
  <c r="H3592" i="2"/>
  <c r="I3592" i="2" s="1"/>
  <c r="J3592" i="2" s="1"/>
  <c r="F3592" i="2"/>
  <c r="H3583" i="2"/>
  <c r="I3583" i="2" s="1"/>
  <c r="F3583" i="2"/>
  <c r="H3582" i="2"/>
  <c r="I3582" i="2" s="1"/>
  <c r="F3582" i="2"/>
  <c r="H3581" i="2"/>
  <c r="I3581" i="2" s="1"/>
  <c r="F3581" i="2"/>
  <c r="H3580" i="2"/>
  <c r="I3580" i="2" s="1"/>
  <c r="F3580" i="2"/>
  <c r="H3579" i="2"/>
  <c r="I3579" i="2" s="1"/>
  <c r="F3579" i="2"/>
  <c r="H3578" i="2"/>
  <c r="I3578" i="2" s="1"/>
  <c r="F3578" i="2"/>
  <c r="H3577" i="2"/>
  <c r="I3577" i="2" s="1"/>
  <c r="F3577" i="2"/>
  <c r="H3576" i="2"/>
  <c r="I3576" i="2" s="1"/>
  <c r="F3576" i="2"/>
  <c r="H3575" i="2"/>
  <c r="I3575" i="2" s="1"/>
  <c r="F3575" i="2"/>
  <c r="H3574" i="2"/>
  <c r="I3574" i="2" s="1"/>
  <c r="F3574" i="2"/>
  <c r="H3573" i="2"/>
  <c r="I3573" i="2" s="1"/>
  <c r="F3573" i="2"/>
  <c r="H3572" i="2"/>
  <c r="I3572" i="2" s="1"/>
  <c r="J3572" i="2" s="1"/>
  <c r="F3572" i="2"/>
  <c r="J3613" i="2" l="1"/>
  <c r="J3614" i="2" s="1"/>
  <c r="J3615" i="2" s="1"/>
  <c r="J3616" i="2" s="1"/>
  <c r="J3617" i="2" s="1"/>
  <c r="J3618" i="2" s="1"/>
  <c r="J3619" i="2" s="1"/>
  <c r="J3620" i="2" s="1"/>
  <c r="J3621" i="2" s="1"/>
  <c r="J3622" i="2" s="1"/>
  <c r="J3623" i="2" s="1"/>
  <c r="J3593" i="2"/>
  <c r="J3594" i="2" s="1"/>
  <c r="J3595" i="2" s="1"/>
  <c r="J3596" i="2" s="1"/>
  <c r="J3597" i="2" s="1"/>
  <c r="J3598" i="2" s="1"/>
  <c r="J3599" i="2" s="1"/>
  <c r="J3600" i="2" s="1"/>
  <c r="J3601" i="2" s="1"/>
  <c r="J3602" i="2" s="1"/>
  <c r="J3573" i="2"/>
  <c r="J3574" i="2" s="1"/>
  <c r="J3575" i="2" s="1"/>
  <c r="J3576" i="2" s="1"/>
  <c r="J3577" i="2" s="1"/>
  <c r="J3578" i="2" s="1"/>
  <c r="J3579" i="2" s="1"/>
  <c r="J3580" i="2" s="1"/>
  <c r="J3581" i="2" s="1"/>
  <c r="J3582" i="2" s="1"/>
  <c r="J3583" i="2" s="1"/>
  <c r="G2505" i="4"/>
  <c r="G2506" i="4"/>
  <c r="G2507" i="4"/>
  <c r="G2508" i="4"/>
  <c r="G2509" i="4"/>
  <c r="G2510" i="4"/>
  <c r="G2511" i="4"/>
  <c r="G2512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3582" i="15" l="1"/>
  <c r="F3582" i="15"/>
  <c r="F359" i="3"/>
  <c r="H3563" i="2"/>
  <c r="I3563" i="2" s="1"/>
  <c r="F3563" i="2"/>
  <c r="H3562" i="2"/>
  <c r="I3562" i="2" s="1"/>
  <c r="F3562" i="2"/>
  <c r="H3561" i="2"/>
  <c r="I3561" i="2" s="1"/>
  <c r="F3561" i="2"/>
  <c r="H3560" i="2"/>
  <c r="I3560" i="2" s="1"/>
  <c r="F3560" i="2"/>
  <c r="H3559" i="2"/>
  <c r="I3559" i="2" s="1"/>
  <c r="F3559" i="2"/>
  <c r="H3558" i="2"/>
  <c r="I3558" i="2" s="1"/>
  <c r="J3558" i="2" s="1"/>
  <c r="F3558" i="2"/>
  <c r="J3559" i="2" l="1"/>
  <c r="J3560" i="2" s="1"/>
  <c r="J3561" i="2" s="1"/>
  <c r="J3562" i="2" s="1"/>
  <c r="J3563" i="2" s="1"/>
  <c r="H3550" i="2"/>
  <c r="I3550" i="2" s="1"/>
  <c r="F3550" i="2"/>
  <c r="H3549" i="2"/>
  <c r="I3549" i="2" s="1"/>
  <c r="F3549" i="2"/>
  <c r="H3548" i="2"/>
  <c r="I3548" i="2" s="1"/>
  <c r="J3548" i="2" s="1"/>
  <c r="F3548" i="2"/>
  <c r="J3549" i="2" l="1"/>
  <c r="J3550" i="2" s="1"/>
  <c r="G2479" i="4" l="1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74" i="4" l="1"/>
  <c r="G2475" i="4"/>
  <c r="G2476" i="4"/>
  <c r="G2477" i="4"/>
  <c r="G2478" i="4"/>
  <c r="G2469" i="4"/>
  <c r="G2470" i="4"/>
  <c r="G2471" i="4"/>
  <c r="G2472" i="4"/>
  <c r="G2473" i="4"/>
  <c r="D1841" i="15"/>
  <c r="G2468" i="4"/>
  <c r="G2467" i="4"/>
  <c r="F1312" i="5" l="1"/>
  <c r="G1312" i="5" s="1"/>
  <c r="F1313" i="5"/>
  <c r="G1313" i="5" s="1"/>
  <c r="F1314" i="5"/>
  <c r="G1314" i="5" s="1"/>
  <c r="F1315" i="5"/>
  <c r="G1315" i="5" s="1"/>
  <c r="F1316" i="5"/>
  <c r="G1316" i="5" s="1"/>
  <c r="F1317" i="5"/>
  <c r="G1317" i="5" s="1"/>
  <c r="F1318" i="5"/>
  <c r="G1318" i="5" s="1"/>
  <c r="F1319" i="5"/>
  <c r="G1319" i="5" s="1"/>
  <c r="F1320" i="5"/>
  <c r="G1320" i="5" s="1"/>
  <c r="F1321" i="5"/>
  <c r="G1321" i="5" s="1"/>
  <c r="F1322" i="5"/>
  <c r="G1322" i="5" s="1"/>
  <c r="F1323" i="5"/>
  <c r="G1323" i="5"/>
  <c r="F1324" i="5"/>
  <c r="G1324" i="5" s="1"/>
  <c r="F1325" i="5"/>
  <c r="G1325" i="5" s="1"/>
  <c r="F1326" i="5"/>
  <c r="G1326" i="5" s="1"/>
  <c r="F1327" i="5"/>
  <c r="G1327" i="5"/>
  <c r="F1328" i="5"/>
  <c r="G1328" i="5" s="1"/>
  <c r="F1329" i="5"/>
  <c r="G1329" i="5" s="1"/>
  <c r="F1330" i="5"/>
  <c r="G1330" i="5" s="1"/>
  <c r="F1331" i="5"/>
  <c r="G1331" i="5"/>
  <c r="F1332" i="5"/>
  <c r="G1332" i="5" s="1"/>
  <c r="F1333" i="5"/>
  <c r="G1333" i="5" s="1"/>
  <c r="F1334" i="5"/>
  <c r="G1334" i="5" s="1"/>
  <c r="F1335" i="5"/>
  <c r="G1335" i="5" s="1"/>
  <c r="F1336" i="5"/>
  <c r="G1336" i="5" s="1"/>
  <c r="F1337" i="5"/>
  <c r="G1337" i="5" s="1"/>
  <c r="F1338" i="5"/>
  <c r="G1338" i="5" s="1"/>
  <c r="F1339" i="5"/>
  <c r="G1339" i="5"/>
  <c r="F1340" i="5"/>
  <c r="G1340" i="5" s="1"/>
  <c r="F1341" i="5"/>
  <c r="G1341" i="5" s="1"/>
  <c r="F1342" i="5"/>
  <c r="G1342" i="5" s="1"/>
  <c r="F1343" i="5"/>
  <c r="G1343" i="5"/>
  <c r="F1344" i="5"/>
  <c r="G1344" i="5" s="1"/>
  <c r="F1345" i="5"/>
  <c r="G1345" i="5" s="1"/>
  <c r="F1346" i="5"/>
  <c r="G1346" i="5" s="1"/>
  <c r="F1347" i="5"/>
  <c r="G1347" i="5"/>
  <c r="F1348" i="5"/>
  <c r="G1348" i="5" s="1"/>
  <c r="F1349" i="5"/>
  <c r="G1349" i="5" s="1"/>
  <c r="F1298" i="5"/>
  <c r="G1298" i="5" s="1"/>
  <c r="F1299" i="5"/>
  <c r="G1299" i="5"/>
  <c r="F1300" i="5"/>
  <c r="G1300" i="5" s="1"/>
  <c r="F1301" i="5"/>
  <c r="G1301" i="5" s="1"/>
  <c r="F1302" i="5"/>
  <c r="G1302" i="5" s="1"/>
  <c r="F1303" i="5"/>
  <c r="G1303" i="5"/>
  <c r="F1304" i="5"/>
  <c r="G1304" i="5" s="1"/>
  <c r="F1305" i="5"/>
  <c r="G1305" i="5"/>
  <c r="F1306" i="5"/>
  <c r="G1306" i="5" s="1"/>
  <c r="F1307" i="5"/>
  <c r="G1307" i="5"/>
  <c r="F1308" i="5"/>
  <c r="G1308" i="5"/>
  <c r="C334" i="7"/>
  <c r="D334" i="7"/>
  <c r="G334" i="7"/>
  <c r="H334" i="7"/>
  <c r="I334" i="7"/>
  <c r="J334" i="7"/>
  <c r="F3530" i="2"/>
  <c r="F3531" i="2"/>
  <c r="F3532" i="2"/>
  <c r="F3533" i="2"/>
  <c r="F3534" i="2"/>
  <c r="F3535" i="2"/>
  <c r="F3536" i="2"/>
  <c r="F3537" i="2"/>
  <c r="F3538" i="2"/>
  <c r="F3539" i="2"/>
  <c r="F3540" i="2"/>
  <c r="H3542" i="2"/>
  <c r="I3542" i="2" s="1"/>
  <c r="F3542" i="2"/>
  <c r="H3541" i="2"/>
  <c r="I3541" i="2" s="1"/>
  <c r="F3541" i="2"/>
  <c r="H3540" i="2"/>
  <c r="I3540" i="2" s="1"/>
  <c r="H3539" i="2"/>
  <c r="I3539" i="2" s="1"/>
  <c r="H3538" i="2"/>
  <c r="I3538" i="2" s="1"/>
  <c r="H3537" i="2"/>
  <c r="I3537" i="2" s="1"/>
  <c r="H3536" i="2"/>
  <c r="I3536" i="2" s="1"/>
  <c r="H3535" i="2"/>
  <c r="I3535" i="2" s="1"/>
  <c r="H3534" i="2"/>
  <c r="I3534" i="2" s="1"/>
  <c r="H3533" i="2"/>
  <c r="I3533" i="2" s="1"/>
  <c r="H3532" i="2"/>
  <c r="I3532" i="2" s="1"/>
  <c r="H3531" i="2"/>
  <c r="I3531" i="2" s="1"/>
  <c r="H3530" i="2"/>
  <c r="I3530" i="2" s="1"/>
  <c r="J3530" i="2" s="1"/>
  <c r="F1283" i="5"/>
  <c r="G1283" i="5" s="1"/>
  <c r="F1284" i="5"/>
  <c r="G1284" i="5" s="1"/>
  <c r="F1285" i="5"/>
  <c r="G1285" i="5" s="1"/>
  <c r="F1286" i="5"/>
  <c r="G1286" i="5" s="1"/>
  <c r="F1287" i="5"/>
  <c r="G1287" i="5" s="1"/>
  <c r="F1288" i="5"/>
  <c r="G1288" i="5" s="1"/>
  <c r="F1289" i="5"/>
  <c r="G1289" i="5"/>
  <c r="F1290" i="5"/>
  <c r="G1290" i="5" s="1"/>
  <c r="F1291" i="5"/>
  <c r="G1291" i="5" s="1"/>
  <c r="F1292" i="5"/>
  <c r="G1292" i="5" s="1"/>
  <c r="F1293" i="5"/>
  <c r="G1293" i="5" s="1"/>
  <c r="F1294" i="5"/>
  <c r="G1294" i="5" s="1"/>
  <c r="F1295" i="5"/>
  <c r="G1295" i="5" s="1"/>
  <c r="F1296" i="5"/>
  <c r="G1296" i="5" s="1"/>
  <c r="F1297" i="5"/>
  <c r="G1297" i="5" s="1"/>
  <c r="F1309" i="5"/>
  <c r="G1309" i="5" s="1"/>
  <c r="H3522" i="2"/>
  <c r="I3522" i="2" s="1"/>
  <c r="F3522" i="2"/>
  <c r="H3521" i="2"/>
  <c r="I3521" i="2" s="1"/>
  <c r="F3521" i="2"/>
  <c r="H3520" i="2"/>
  <c r="I3520" i="2" s="1"/>
  <c r="F3520" i="2"/>
  <c r="H3519" i="2"/>
  <c r="I3519" i="2" s="1"/>
  <c r="F3519" i="2"/>
  <c r="H3518" i="2"/>
  <c r="I3518" i="2" s="1"/>
  <c r="F3518" i="2"/>
  <c r="H3517" i="2"/>
  <c r="I3517" i="2" s="1"/>
  <c r="F3517" i="2"/>
  <c r="H3516" i="2"/>
  <c r="I3516" i="2" s="1"/>
  <c r="F3516" i="2"/>
  <c r="H3515" i="2"/>
  <c r="I3515" i="2" s="1"/>
  <c r="F3515" i="2"/>
  <c r="H3514" i="2"/>
  <c r="I3514" i="2" s="1"/>
  <c r="F3514" i="2"/>
  <c r="H3513" i="2"/>
  <c r="I3513" i="2" s="1"/>
  <c r="F3513" i="2"/>
  <c r="H3512" i="2"/>
  <c r="I3512" i="2" s="1"/>
  <c r="F3512" i="2"/>
  <c r="H3511" i="2"/>
  <c r="I3511" i="2" s="1"/>
  <c r="F3511" i="2"/>
  <c r="H3510" i="2"/>
  <c r="I3510" i="2" s="1"/>
  <c r="F3510" i="2"/>
  <c r="H3509" i="2"/>
  <c r="I3509" i="2" s="1"/>
  <c r="F3509" i="2"/>
  <c r="H3508" i="2"/>
  <c r="I3508" i="2" s="1"/>
  <c r="F3508" i="2"/>
  <c r="H3507" i="2"/>
  <c r="I3507" i="2" s="1"/>
  <c r="F3507" i="2"/>
  <c r="H3506" i="2"/>
  <c r="I3506" i="2" s="1"/>
  <c r="F3506" i="2"/>
  <c r="H3505" i="2"/>
  <c r="I3505" i="2" s="1"/>
  <c r="F3505" i="2"/>
  <c r="H3504" i="2"/>
  <c r="I3504" i="2" s="1"/>
  <c r="F3504" i="2"/>
  <c r="H3503" i="2"/>
  <c r="I3503" i="2" s="1"/>
  <c r="J3503" i="2" s="1"/>
  <c r="F3503" i="2"/>
  <c r="H3493" i="2"/>
  <c r="I3493" i="2" s="1"/>
  <c r="F3493" i="2"/>
  <c r="H3492" i="2"/>
  <c r="I3492" i="2" s="1"/>
  <c r="F3492" i="2"/>
  <c r="H3491" i="2"/>
  <c r="I3491" i="2" s="1"/>
  <c r="F3491" i="2"/>
  <c r="H3490" i="2"/>
  <c r="I3490" i="2" s="1"/>
  <c r="F3490" i="2"/>
  <c r="H3489" i="2"/>
  <c r="I3489" i="2" s="1"/>
  <c r="F3489" i="2"/>
  <c r="H3488" i="2"/>
  <c r="I3488" i="2" s="1"/>
  <c r="F3488" i="2"/>
  <c r="H3487" i="2"/>
  <c r="I3487" i="2" s="1"/>
  <c r="F3487" i="2"/>
  <c r="H3486" i="2"/>
  <c r="I3486" i="2" s="1"/>
  <c r="F3486" i="2"/>
  <c r="H3485" i="2"/>
  <c r="I3485" i="2" s="1"/>
  <c r="J3485" i="2" s="1"/>
  <c r="F3485" i="2"/>
  <c r="E334" i="7" l="1"/>
  <c r="F334" i="7" s="1"/>
  <c r="J3486" i="2"/>
  <c r="J3487" i="2" s="1"/>
  <c r="J3488" i="2" s="1"/>
  <c r="J3489" i="2" s="1"/>
  <c r="J3490" i="2" s="1"/>
  <c r="J3491" i="2" s="1"/>
  <c r="J3492" i="2" s="1"/>
  <c r="J3493" i="2" s="1"/>
  <c r="J3531" i="2"/>
  <c r="J3532" i="2" s="1"/>
  <c r="J3533" i="2" s="1"/>
  <c r="J3534" i="2" s="1"/>
  <c r="J3535" i="2" s="1"/>
  <c r="J3536" i="2" s="1"/>
  <c r="J3537" i="2" s="1"/>
  <c r="J3538" i="2" s="1"/>
  <c r="J3539" i="2" s="1"/>
  <c r="J3540" i="2" s="1"/>
  <c r="J3541" i="2" s="1"/>
  <c r="J3542" i="2" s="1"/>
  <c r="J3504" i="2"/>
  <c r="J3505" i="2" s="1"/>
  <c r="J3506" i="2" s="1"/>
  <c r="J3507" i="2" s="1"/>
  <c r="J3508" i="2" s="1"/>
  <c r="J3509" i="2" s="1"/>
  <c r="J3510" i="2" s="1"/>
  <c r="J3511" i="2" s="1"/>
  <c r="J3512" i="2" s="1"/>
  <c r="J3513" i="2" s="1"/>
  <c r="J3514" i="2" s="1"/>
  <c r="J3515" i="2" s="1"/>
  <c r="J3516" i="2" s="1"/>
  <c r="J3517" i="2" s="1"/>
  <c r="J3518" i="2" s="1"/>
  <c r="J3519" i="2" s="1"/>
  <c r="J3520" i="2" s="1"/>
  <c r="J3521" i="2" s="1"/>
  <c r="J3522" i="2" s="1"/>
  <c r="G2464" i="4" l="1"/>
  <c r="G2465" i="4"/>
  <c r="G2466" i="4"/>
  <c r="G2463" i="4"/>
  <c r="G2462" i="4"/>
  <c r="G2461" i="4"/>
  <c r="G2460" i="4"/>
  <c r="G2459" i="4"/>
  <c r="H3476" i="2"/>
  <c r="I3476" i="2" s="1"/>
  <c r="F3476" i="2"/>
  <c r="H3475" i="2"/>
  <c r="I3475" i="2" s="1"/>
  <c r="F3475" i="2"/>
  <c r="H3474" i="2"/>
  <c r="I3474" i="2" s="1"/>
  <c r="J3474" i="2" s="1"/>
  <c r="F3474" i="2"/>
  <c r="H3465" i="2"/>
  <c r="I3465" i="2" s="1"/>
  <c r="F3465" i="2"/>
  <c r="H3464" i="2"/>
  <c r="I3464" i="2" s="1"/>
  <c r="J3464" i="2" s="1"/>
  <c r="F3464" i="2"/>
  <c r="J3475" i="2" l="1"/>
  <c r="J3476" i="2" s="1"/>
  <c r="J3465" i="2"/>
  <c r="F358" i="3" l="1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L77" i="3"/>
  <c r="L76" i="3"/>
  <c r="L75" i="3"/>
  <c r="L74" i="3"/>
  <c r="L73" i="3"/>
  <c r="F1259" i="5"/>
  <c r="G1259" i="5" s="1"/>
  <c r="F1260" i="5"/>
  <c r="G1260" i="5" s="1"/>
  <c r="F1261" i="5"/>
  <c r="G1261" i="5" s="1"/>
  <c r="F1262" i="5"/>
  <c r="G1262" i="5" s="1"/>
  <c r="F1263" i="5"/>
  <c r="G1263" i="5" s="1"/>
  <c r="F1264" i="5"/>
  <c r="G1264" i="5" s="1"/>
  <c r="F1265" i="5"/>
  <c r="G1265" i="5" s="1"/>
  <c r="F1266" i="5"/>
  <c r="G1266" i="5" s="1"/>
  <c r="F1267" i="5"/>
  <c r="G1267" i="5" s="1"/>
  <c r="F1268" i="5"/>
  <c r="G1268" i="5" s="1"/>
  <c r="F1269" i="5"/>
  <c r="G1269" i="5" s="1"/>
  <c r="F1270" i="5"/>
  <c r="G1270" i="5" s="1"/>
  <c r="F1271" i="5"/>
  <c r="G1271" i="5" s="1"/>
  <c r="F1272" i="5"/>
  <c r="G1272" i="5" s="1"/>
  <c r="F1273" i="5"/>
  <c r="G1273" i="5" s="1"/>
  <c r="F1274" i="5"/>
  <c r="G1274" i="5" s="1"/>
  <c r="F1275" i="5"/>
  <c r="G1275" i="5" s="1"/>
  <c r="F1276" i="5"/>
  <c r="G1276" i="5" s="1"/>
  <c r="F1277" i="5"/>
  <c r="G1277" i="5" s="1"/>
  <c r="F1278" i="5"/>
  <c r="G1278" i="5" s="1"/>
  <c r="F1279" i="5"/>
  <c r="G1279" i="5" s="1"/>
  <c r="F1280" i="5"/>
  <c r="G1280" i="5" s="1"/>
  <c r="F1281" i="5"/>
  <c r="G1281" i="5" s="1"/>
  <c r="H3455" i="2"/>
  <c r="I3455" i="2" s="1"/>
  <c r="F3455" i="2"/>
  <c r="H3454" i="2"/>
  <c r="I3454" i="2" s="1"/>
  <c r="F3454" i="2"/>
  <c r="H3453" i="2"/>
  <c r="I3453" i="2" s="1"/>
  <c r="F3453" i="2"/>
  <c r="H3452" i="2"/>
  <c r="I3452" i="2" s="1"/>
  <c r="F3452" i="2"/>
  <c r="H3434" i="2"/>
  <c r="I3434" i="2" s="1"/>
  <c r="F3434" i="2"/>
  <c r="H3433" i="2"/>
  <c r="I3433" i="2" s="1"/>
  <c r="F3433" i="2"/>
  <c r="H3432" i="2"/>
  <c r="I3432" i="2" s="1"/>
  <c r="F3432" i="2"/>
  <c r="H3431" i="2"/>
  <c r="I3431" i="2" s="1"/>
  <c r="F3431" i="2"/>
  <c r="H3430" i="2"/>
  <c r="I3430" i="2" s="1"/>
  <c r="F3430" i="2"/>
  <c r="H3429" i="2"/>
  <c r="I3429" i="2" s="1"/>
  <c r="F3429" i="2"/>
  <c r="F1237" i="5"/>
  <c r="G1237" i="5" s="1"/>
  <c r="F1238" i="5"/>
  <c r="G1238" i="5" s="1"/>
  <c r="F1239" i="5"/>
  <c r="G1239" i="5" s="1"/>
  <c r="F1240" i="5"/>
  <c r="G1240" i="5"/>
  <c r="F1241" i="5"/>
  <c r="G1241" i="5" s="1"/>
  <c r="F1242" i="5"/>
  <c r="G1242" i="5" s="1"/>
  <c r="F1243" i="5"/>
  <c r="G1243" i="5" s="1"/>
  <c r="F1244" i="5"/>
  <c r="G1244" i="5" s="1"/>
  <c r="F1245" i="5"/>
  <c r="G1245" i="5" s="1"/>
  <c r="F1246" i="5"/>
  <c r="G1246" i="5" s="1"/>
  <c r="F1247" i="5"/>
  <c r="G1247" i="5" s="1"/>
  <c r="F1248" i="5"/>
  <c r="G1248" i="5" s="1"/>
  <c r="F1249" i="5"/>
  <c r="G1249" i="5"/>
  <c r="F1250" i="5"/>
  <c r="G1250" i="5"/>
  <c r="F1251" i="5"/>
  <c r="G1251" i="5" s="1"/>
  <c r="F1252" i="5"/>
  <c r="G1252" i="5" s="1"/>
  <c r="F1253" i="5"/>
  <c r="G1253" i="5" s="1"/>
  <c r="F1254" i="5"/>
  <c r="G1254" i="5" s="1"/>
  <c r="F1255" i="5"/>
  <c r="G1255" i="5" s="1"/>
  <c r="F1256" i="5"/>
  <c r="G1256" i="5" s="1"/>
  <c r="F1257" i="5"/>
  <c r="G1257" i="5" s="1"/>
  <c r="F1258" i="5"/>
  <c r="G1258" i="5" s="1"/>
  <c r="F1282" i="5"/>
  <c r="G1282" i="5" s="1"/>
  <c r="H3412" i="2"/>
  <c r="I3412" i="2" s="1"/>
  <c r="F3412" i="2"/>
  <c r="H3411" i="2"/>
  <c r="I3411" i="2" s="1"/>
  <c r="F3411" i="2"/>
  <c r="H3451" i="2"/>
  <c r="I3451" i="2" s="1"/>
  <c r="F3451" i="2"/>
  <c r="H3450" i="2"/>
  <c r="I3450" i="2" s="1"/>
  <c r="F3450" i="2"/>
  <c r="H3449" i="2"/>
  <c r="I3449" i="2" s="1"/>
  <c r="F3449" i="2"/>
  <c r="H3448" i="2"/>
  <c r="I3448" i="2" s="1"/>
  <c r="F3448" i="2"/>
  <c r="H3447" i="2"/>
  <c r="I3447" i="2" s="1"/>
  <c r="F3447" i="2"/>
  <c r="H3446" i="2"/>
  <c r="I3446" i="2" s="1"/>
  <c r="F3446" i="2"/>
  <c r="H3445" i="2"/>
  <c r="I3445" i="2" s="1"/>
  <c r="F3445" i="2"/>
  <c r="H3444" i="2"/>
  <c r="I3444" i="2" s="1"/>
  <c r="F3444" i="2"/>
  <c r="H3443" i="2"/>
  <c r="I3443" i="2" s="1"/>
  <c r="J3443" i="2" s="1"/>
  <c r="F3443" i="2"/>
  <c r="H3428" i="2"/>
  <c r="I3428" i="2" s="1"/>
  <c r="F3428" i="2"/>
  <c r="H3427" i="2"/>
  <c r="I3427" i="2" s="1"/>
  <c r="F3427" i="2"/>
  <c r="H3426" i="2"/>
  <c r="I3426" i="2" s="1"/>
  <c r="F3426" i="2"/>
  <c r="H3425" i="2"/>
  <c r="I3425" i="2" s="1"/>
  <c r="F3425" i="2"/>
  <c r="H3424" i="2"/>
  <c r="I3424" i="2" s="1"/>
  <c r="F3424" i="2"/>
  <c r="H3423" i="2"/>
  <c r="I3423" i="2" s="1"/>
  <c r="F3423" i="2"/>
  <c r="H3422" i="2"/>
  <c r="I3422" i="2" s="1"/>
  <c r="F3422" i="2"/>
  <c r="H3421" i="2"/>
  <c r="I3421" i="2" s="1"/>
  <c r="F3421" i="2"/>
  <c r="H3420" i="2"/>
  <c r="I3420" i="2" s="1"/>
  <c r="J3420" i="2" s="1"/>
  <c r="F3420" i="2"/>
  <c r="H3410" i="2"/>
  <c r="I3410" i="2" s="1"/>
  <c r="F3410" i="2"/>
  <c r="H3409" i="2"/>
  <c r="I3409" i="2" s="1"/>
  <c r="F3409" i="2"/>
  <c r="H3408" i="2"/>
  <c r="I3408" i="2" s="1"/>
  <c r="F3408" i="2"/>
  <c r="H3407" i="2"/>
  <c r="I3407" i="2" s="1"/>
  <c r="F3407" i="2"/>
  <c r="H3406" i="2"/>
  <c r="I3406" i="2" s="1"/>
  <c r="F3406" i="2"/>
  <c r="H3405" i="2"/>
  <c r="I3405" i="2" s="1"/>
  <c r="F3405" i="2"/>
  <c r="H3404" i="2"/>
  <c r="I3404" i="2" s="1"/>
  <c r="F3404" i="2"/>
  <c r="H3403" i="2"/>
  <c r="I3403" i="2" s="1"/>
  <c r="F3403" i="2"/>
  <c r="H3402" i="2"/>
  <c r="I3402" i="2" s="1"/>
  <c r="J3402" i="2" s="1"/>
  <c r="F3402" i="2"/>
  <c r="H3394" i="2"/>
  <c r="I3394" i="2" s="1"/>
  <c r="F3394" i="2"/>
  <c r="H3393" i="2"/>
  <c r="I3393" i="2" s="1"/>
  <c r="F3393" i="2"/>
  <c r="H3392" i="2"/>
  <c r="I3392" i="2" s="1"/>
  <c r="F3392" i="2"/>
  <c r="H3391" i="2"/>
  <c r="I3391" i="2" s="1"/>
  <c r="F3391" i="2"/>
  <c r="H3390" i="2"/>
  <c r="I3390" i="2" s="1"/>
  <c r="F3390" i="2"/>
  <c r="H3389" i="2"/>
  <c r="I3389" i="2" s="1"/>
  <c r="F3389" i="2"/>
  <c r="H3388" i="2"/>
  <c r="I3388" i="2" s="1"/>
  <c r="F3388" i="2"/>
  <c r="H3387" i="2"/>
  <c r="I3387" i="2" s="1"/>
  <c r="F3387" i="2"/>
  <c r="H3386" i="2"/>
  <c r="I3386" i="2" s="1"/>
  <c r="F3386" i="2"/>
  <c r="H3385" i="2"/>
  <c r="I3385" i="2" s="1"/>
  <c r="J3385" i="2" s="1"/>
  <c r="F3385" i="2"/>
  <c r="J3444" i="2" l="1"/>
  <c r="J3445" i="2" s="1"/>
  <c r="J3446" i="2" s="1"/>
  <c r="J3447" i="2" s="1"/>
  <c r="J3448" i="2" s="1"/>
  <c r="J3449" i="2" s="1"/>
  <c r="J3450" i="2" s="1"/>
  <c r="J3451" i="2" s="1"/>
  <c r="J3452" i="2" s="1"/>
  <c r="J3453" i="2" s="1"/>
  <c r="J3454" i="2" s="1"/>
  <c r="J3455" i="2" s="1"/>
  <c r="J3421" i="2"/>
  <c r="J3422" i="2" s="1"/>
  <c r="J3423" i="2" s="1"/>
  <c r="J3424" i="2" s="1"/>
  <c r="J3425" i="2" s="1"/>
  <c r="J3426" i="2" s="1"/>
  <c r="J3427" i="2" s="1"/>
  <c r="J3428" i="2" s="1"/>
  <c r="J3429" i="2" s="1"/>
  <c r="J3430" i="2" s="1"/>
  <c r="J3431" i="2" s="1"/>
  <c r="J3432" i="2" s="1"/>
  <c r="J3433" i="2" s="1"/>
  <c r="J3434" i="2" s="1"/>
  <c r="J3403" i="2"/>
  <c r="J3404" i="2" s="1"/>
  <c r="J3405" i="2" s="1"/>
  <c r="J3406" i="2" s="1"/>
  <c r="J3407" i="2" s="1"/>
  <c r="J3408" i="2" s="1"/>
  <c r="J3409" i="2" s="1"/>
  <c r="J3410" i="2" s="1"/>
  <c r="J3411" i="2" s="1"/>
  <c r="J3412" i="2" s="1"/>
  <c r="J3386" i="2"/>
  <c r="J3387" i="2" s="1"/>
  <c r="J3388" i="2" s="1"/>
  <c r="J3389" i="2" s="1"/>
  <c r="J3390" i="2" s="1"/>
  <c r="J3391" i="2" s="1"/>
  <c r="J3392" i="2" s="1"/>
  <c r="J3393" i="2" s="1"/>
  <c r="J3394" i="2" s="1"/>
  <c r="E3426" i="15" l="1"/>
  <c r="G2450" i="4" l="1"/>
  <c r="G2451" i="4"/>
  <c r="G2452" i="4"/>
  <c r="G2453" i="4"/>
  <c r="G2454" i="4"/>
  <c r="G2455" i="4"/>
  <c r="G2456" i="4"/>
  <c r="G2457" i="4"/>
  <c r="G2458" i="4"/>
  <c r="C333" i="7"/>
  <c r="D333" i="7"/>
  <c r="G333" i="7"/>
  <c r="H333" i="7"/>
  <c r="I333" i="7"/>
  <c r="J333" i="7"/>
  <c r="G2449" i="4"/>
  <c r="E333" i="7" l="1"/>
  <c r="F333" i="7" s="1"/>
  <c r="F337" i="3"/>
  <c r="F336" i="3"/>
  <c r="F335" i="3"/>
  <c r="H3377" i="2"/>
  <c r="I3377" i="2" s="1"/>
  <c r="F3377" i="2"/>
  <c r="H3376" i="2"/>
  <c r="I3376" i="2" s="1"/>
  <c r="F3376" i="2"/>
  <c r="H3375" i="2"/>
  <c r="I3375" i="2" s="1"/>
  <c r="F3375" i="2"/>
  <c r="H3374" i="2"/>
  <c r="I3374" i="2" s="1"/>
  <c r="F3374" i="2"/>
  <c r="H3373" i="2"/>
  <c r="I3373" i="2" s="1"/>
  <c r="F3373" i="2"/>
  <c r="H3372" i="2"/>
  <c r="I3372" i="2" s="1"/>
  <c r="F3372" i="2"/>
  <c r="H3371" i="2"/>
  <c r="I3371" i="2" s="1"/>
  <c r="F3371" i="2"/>
  <c r="H3370" i="2"/>
  <c r="I3370" i="2" s="1"/>
  <c r="F3370" i="2"/>
  <c r="H3369" i="2"/>
  <c r="I3369" i="2" s="1"/>
  <c r="J3369" i="2" s="1"/>
  <c r="F3369" i="2"/>
  <c r="F1223" i="5"/>
  <c r="G1223" i="5" s="1"/>
  <c r="F1224" i="5"/>
  <c r="G1224" i="5" s="1"/>
  <c r="F1225" i="5"/>
  <c r="G1225" i="5" s="1"/>
  <c r="H3362" i="2"/>
  <c r="I3362" i="2" s="1"/>
  <c r="F3362" i="2"/>
  <c r="H3361" i="2"/>
  <c r="I3361" i="2" s="1"/>
  <c r="F3361" i="2"/>
  <c r="H3360" i="2"/>
  <c r="I3360" i="2" s="1"/>
  <c r="F3360" i="2"/>
  <c r="H3359" i="2"/>
  <c r="I3359" i="2" s="1"/>
  <c r="F3359" i="2"/>
  <c r="H3358" i="2"/>
  <c r="I3358" i="2" s="1"/>
  <c r="F3358" i="2"/>
  <c r="H3357" i="2"/>
  <c r="I3357" i="2" s="1"/>
  <c r="J3357" i="2" s="1"/>
  <c r="F3357" i="2"/>
  <c r="F1226" i="5"/>
  <c r="G1226" i="5" s="1"/>
  <c r="F1227" i="5"/>
  <c r="G1227" i="5" s="1"/>
  <c r="F1228" i="5"/>
  <c r="G1228" i="5" s="1"/>
  <c r="F1229" i="5"/>
  <c r="G1229" i="5" s="1"/>
  <c r="F1230" i="5"/>
  <c r="G1230" i="5" s="1"/>
  <c r="F1231" i="5"/>
  <c r="G1231" i="5" s="1"/>
  <c r="F1232" i="5"/>
  <c r="G1232" i="5" s="1"/>
  <c r="F1233" i="5"/>
  <c r="G1233" i="5" s="1"/>
  <c r="F1234" i="5"/>
  <c r="G1234" i="5" s="1"/>
  <c r="F1235" i="5"/>
  <c r="G1235" i="5" s="1"/>
  <c r="F1236" i="5"/>
  <c r="G1236" i="5" s="1"/>
  <c r="F1310" i="5"/>
  <c r="G1310" i="5" s="1"/>
  <c r="F1311" i="5"/>
  <c r="G1311" i="5" s="1"/>
  <c r="H3348" i="2"/>
  <c r="I3348" i="2" s="1"/>
  <c r="F3348" i="2"/>
  <c r="H3347" i="2"/>
  <c r="I3347" i="2" s="1"/>
  <c r="F3347" i="2"/>
  <c r="H3346" i="2"/>
  <c r="I3346" i="2" s="1"/>
  <c r="F3346" i="2"/>
  <c r="H3345" i="2"/>
  <c r="I3345" i="2" s="1"/>
  <c r="F3345" i="2"/>
  <c r="H3344" i="2"/>
  <c r="I3344" i="2" s="1"/>
  <c r="F3344" i="2"/>
  <c r="H3343" i="2"/>
  <c r="I3343" i="2" s="1"/>
  <c r="F3343" i="2"/>
  <c r="H3342" i="2"/>
  <c r="I3342" i="2" s="1"/>
  <c r="F3342" i="2"/>
  <c r="H3341" i="2"/>
  <c r="I3341" i="2" s="1"/>
  <c r="F3341" i="2"/>
  <c r="H3340" i="2"/>
  <c r="I3340" i="2" s="1"/>
  <c r="F3340" i="2"/>
  <c r="H3339" i="2"/>
  <c r="I3339" i="2" s="1"/>
  <c r="F3339" i="2"/>
  <c r="H3338" i="2"/>
  <c r="I3338" i="2" s="1"/>
  <c r="F3338" i="2"/>
  <c r="H3337" i="2"/>
  <c r="I3337" i="2" s="1"/>
  <c r="F3337" i="2"/>
  <c r="H3336" i="2"/>
  <c r="I3336" i="2" s="1"/>
  <c r="F3336" i="2"/>
  <c r="H3335" i="2"/>
  <c r="I3335" i="2" s="1"/>
  <c r="F3335" i="2"/>
  <c r="H3334" i="2"/>
  <c r="I3334" i="2" s="1"/>
  <c r="F3334" i="2"/>
  <c r="H3333" i="2"/>
  <c r="I3333" i="2" s="1"/>
  <c r="F3333" i="2"/>
  <c r="H3332" i="2"/>
  <c r="I3332" i="2" s="1"/>
  <c r="F3332" i="2"/>
  <c r="H3331" i="2"/>
  <c r="I3331" i="2" s="1"/>
  <c r="F3331" i="2"/>
  <c r="H3330" i="2"/>
  <c r="I3330" i="2" s="1"/>
  <c r="F3330" i="2"/>
  <c r="H3329" i="2"/>
  <c r="I3329" i="2" s="1"/>
  <c r="F3329" i="2"/>
  <c r="H3328" i="2"/>
  <c r="I3328" i="2" s="1"/>
  <c r="J3328" i="2" s="1"/>
  <c r="F3328" i="2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C331" i="7"/>
  <c r="D331" i="7"/>
  <c r="G331" i="7"/>
  <c r="H331" i="7"/>
  <c r="I331" i="7"/>
  <c r="J331" i="7"/>
  <c r="C332" i="7"/>
  <c r="D332" i="7"/>
  <c r="G332" i="7"/>
  <c r="H332" i="7"/>
  <c r="I332" i="7"/>
  <c r="J332" i="7"/>
  <c r="N1309" i="8"/>
  <c r="G2436" i="4"/>
  <c r="F334" i="3"/>
  <c r="F333" i="3"/>
  <c r="F332" i="3"/>
  <c r="F331" i="3"/>
  <c r="F330" i="3"/>
  <c r="F329" i="3"/>
  <c r="F328" i="3"/>
  <c r="F327" i="3"/>
  <c r="F322" i="3"/>
  <c r="F323" i="3"/>
  <c r="F324" i="3"/>
  <c r="F325" i="3"/>
  <c r="F326" i="3"/>
  <c r="L72" i="3"/>
  <c r="L71" i="3"/>
  <c r="L70" i="3"/>
  <c r="L69" i="3"/>
  <c r="L68" i="3"/>
  <c r="F1175" i="5"/>
  <c r="G1175" i="5" s="1"/>
  <c r="F1176" i="5"/>
  <c r="G1176" i="5" s="1"/>
  <c r="F1177" i="5"/>
  <c r="G1177" i="5" s="1"/>
  <c r="F1178" i="5"/>
  <c r="G1178" i="5" s="1"/>
  <c r="F1179" i="5"/>
  <c r="G1179" i="5" s="1"/>
  <c r="F1180" i="5"/>
  <c r="G1180" i="5" s="1"/>
  <c r="F1181" i="5"/>
  <c r="G1181" i="5" s="1"/>
  <c r="F1182" i="5"/>
  <c r="G1182" i="5" s="1"/>
  <c r="F1183" i="5"/>
  <c r="G1183" i="5" s="1"/>
  <c r="F1184" i="5"/>
  <c r="G1184" i="5" s="1"/>
  <c r="F1185" i="5"/>
  <c r="G1185" i="5" s="1"/>
  <c r="F1186" i="5"/>
  <c r="G1186" i="5" s="1"/>
  <c r="F1187" i="5"/>
  <c r="G1187" i="5" s="1"/>
  <c r="F1188" i="5"/>
  <c r="G1188" i="5" s="1"/>
  <c r="F1189" i="5"/>
  <c r="G1189" i="5" s="1"/>
  <c r="F1190" i="5"/>
  <c r="G1190" i="5" s="1"/>
  <c r="F1191" i="5"/>
  <c r="G1191" i="5" s="1"/>
  <c r="F1192" i="5"/>
  <c r="G1192" i="5" s="1"/>
  <c r="F1193" i="5"/>
  <c r="G1193" i="5" s="1"/>
  <c r="F1194" i="5"/>
  <c r="G1194" i="5" s="1"/>
  <c r="F1195" i="5"/>
  <c r="G1195" i="5" s="1"/>
  <c r="F1196" i="5"/>
  <c r="G1196" i="5" s="1"/>
  <c r="F1197" i="5"/>
  <c r="G1197" i="5" s="1"/>
  <c r="F1198" i="5"/>
  <c r="G1198" i="5" s="1"/>
  <c r="F1199" i="5"/>
  <c r="G1199" i="5" s="1"/>
  <c r="F1200" i="5"/>
  <c r="G1200" i="5" s="1"/>
  <c r="F1201" i="5"/>
  <c r="G1201" i="5" s="1"/>
  <c r="F1202" i="5"/>
  <c r="G1202" i="5" s="1"/>
  <c r="F1203" i="5"/>
  <c r="G1203" i="5"/>
  <c r="F1204" i="5"/>
  <c r="G1204" i="5" s="1"/>
  <c r="F1205" i="5"/>
  <c r="G1205" i="5" s="1"/>
  <c r="F1206" i="5"/>
  <c r="G1206" i="5" s="1"/>
  <c r="F1207" i="5"/>
  <c r="G1207" i="5" s="1"/>
  <c r="F1208" i="5"/>
  <c r="G1208" i="5" s="1"/>
  <c r="F1209" i="5"/>
  <c r="G1209" i="5" s="1"/>
  <c r="F1210" i="5"/>
  <c r="G1210" i="5" s="1"/>
  <c r="F1211" i="5"/>
  <c r="G1211" i="5" s="1"/>
  <c r="F1212" i="5"/>
  <c r="G1212" i="5" s="1"/>
  <c r="F1213" i="5"/>
  <c r="G1213" i="5" s="1"/>
  <c r="F1214" i="5"/>
  <c r="G1214" i="5" s="1"/>
  <c r="F1215" i="5"/>
  <c r="G1215" i="5" s="1"/>
  <c r="F1216" i="5"/>
  <c r="G1216" i="5" s="1"/>
  <c r="F1217" i="5"/>
  <c r="G1217" i="5" s="1"/>
  <c r="F1218" i="5"/>
  <c r="G1218" i="5" s="1"/>
  <c r="F1219" i="5"/>
  <c r="G1219" i="5" s="1"/>
  <c r="F1220" i="5"/>
  <c r="G1220" i="5" s="1"/>
  <c r="F1221" i="5"/>
  <c r="G1221" i="5" s="1"/>
  <c r="F1222" i="5"/>
  <c r="G122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N198" i="5" s="1"/>
  <c r="M199" i="5"/>
  <c r="N199" i="5" s="1"/>
  <c r="M200" i="5"/>
  <c r="N200" i="5" s="1"/>
  <c r="M201" i="5"/>
  <c r="N201" i="5" s="1"/>
  <c r="M202" i="5"/>
  <c r="N202" i="5" s="1"/>
  <c r="M203" i="5"/>
  <c r="N203" i="5" s="1"/>
  <c r="M204" i="5"/>
  <c r="N204" i="5" s="1"/>
  <c r="M205" i="5"/>
  <c r="N205" i="5" s="1"/>
  <c r="M206" i="5"/>
  <c r="N206" i="5" s="1"/>
  <c r="M207" i="5"/>
  <c r="N207" i="5" s="1"/>
  <c r="M208" i="5"/>
  <c r="N208" i="5" s="1"/>
  <c r="M209" i="5"/>
  <c r="N209" i="5" s="1"/>
  <c r="M210" i="5"/>
  <c r="N210" i="5" s="1"/>
  <c r="M211" i="5"/>
  <c r="N211" i="5" s="1"/>
  <c r="M212" i="5"/>
  <c r="N212" i="5" s="1"/>
  <c r="M213" i="5"/>
  <c r="N213" i="5" s="1"/>
  <c r="M214" i="5"/>
  <c r="N214" i="5" s="1"/>
  <c r="M215" i="5"/>
  <c r="N215" i="5" s="1"/>
  <c r="M216" i="5"/>
  <c r="N216" i="5" s="1"/>
  <c r="H3318" i="2"/>
  <c r="I3318" i="2" s="1"/>
  <c r="F3318" i="2"/>
  <c r="H3317" i="2"/>
  <c r="I3317" i="2" s="1"/>
  <c r="F3317" i="2"/>
  <c r="H3316" i="2"/>
  <c r="I3316" i="2" s="1"/>
  <c r="F3316" i="2"/>
  <c r="H3315" i="2"/>
  <c r="I3315" i="2" s="1"/>
  <c r="F3315" i="2"/>
  <c r="H3314" i="2"/>
  <c r="I3314" i="2" s="1"/>
  <c r="F3314" i="2"/>
  <c r="H3313" i="2"/>
  <c r="I3313" i="2" s="1"/>
  <c r="F3313" i="2"/>
  <c r="H3312" i="2"/>
  <c r="I3312" i="2" s="1"/>
  <c r="F3312" i="2"/>
  <c r="H3311" i="2"/>
  <c r="I3311" i="2" s="1"/>
  <c r="F3311" i="2"/>
  <c r="H3319" i="2"/>
  <c r="I3319" i="2" s="1"/>
  <c r="F3319" i="2"/>
  <c r="H3310" i="2"/>
  <c r="I3310" i="2" s="1"/>
  <c r="F3310" i="2"/>
  <c r="H3309" i="2"/>
  <c r="I3309" i="2" s="1"/>
  <c r="F3309" i="2"/>
  <c r="H3308" i="2"/>
  <c r="I3308" i="2" s="1"/>
  <c r="F3308" i="2"/>
  <c r="H3307" i="2"/>
  <c r="I3307" i="2" s="1"/>
  <c r="F3307" i="2"/>
  <c r="H3306" i="2"/>
  <c r="I3306" i="2" s="1"/>
  <c r="F3306" i="2"/>
  <c r="H3305" i="2"/>
  <c r="I3305" i="2" s="1"/>
  <c r="F3305" i="2"/>
  <c r="H3304" i="2"/>
  <c r="I3304" i="2" s="1"/>
  <c r="F3304" i="2"/>
  <c r="H3303" i="2"/>
  <c r="I3303" i="2" s="1"/>
  <c r="F3303" i="2"/>
  <c r="H3302" i="2"/>
  <c r="I3302" i="2" s="1"/>
  <c r="F3302" i="2"/>
  <c r="H3301" i="2"/>
  <c r="I3301" i="2" s="1"/>
  <c r="J3301" i="2" s="1"/>
  <c r="F3301" i="2"/>
  <c r="H3291" i="2"/>
  <c r="I3291" i="2" s="1"/>
  <c r="F3291" i="2"/>
  <c r="H3290" i="2"/>
  <c r="I3290" i="2" s="1"/>
  <c r="F3290" i="2"/>
  <c r="H3289" i="2"/>
  <c r="I3289" i="2" s="1"/>
  <c r="F3289" i="2"/>
  <c r="H3288" i="2"/>
  <c r="I3288" i="2" s="1"/>
  <c r="F3288" i="2"/>
  <c r="H3287" i="2"/>
  <c r="I3287" i="2" s="1"/>
  <c r="F3287" i="2"/>
  <c r="H3286" i="2"/>
  <c r="I3286" i="2" s="1"/>
  <c r="F3286" i="2"/>
  <c r="H3285" i="2"/>
  <c r="I3285" i="2" s="1"/>
  <c r="F3285" i="2"/>
  <c r="H3284" i="2"/>
  <c r="I3284" i="2" s="1"/>
  <c r="F3284" i="2"/>
  <c r="H3283" i="2"/>
  <c r="I3283" i="2" s="1"/>
  <c r="F3283" i="2"/>
  <c r="H3282" i="2"/>
  <c r="I3282" i="2" s="1"/>
  <c r="F3282" i="2"/>
  <c r="H3281" i="2"/>
  <c r="I3281" i="2" s="1"/>
  <c r="F3281" i="2"/>
  <c r="H3280" i="2"/>
  <c r="I3280" i="2" s="1"/>
  <c r="F3280" i="2"/>
  <c r="H3279" i="2"/>
  <c r="I3279" i="2" s="1"/>
  <c r="F3279" i="2"/>
  <c r="H3278" i="2"/>
  <c r="I3278" i="2" s="1"/>
  <c r="F3278" i="2"/>
  <c r="H3277" i="2"/>
  <c r="I3277" i="2" s="1"/>
  <c r="J3277" i="2" s="1"/>
  <c r="F3277" i="2"/>
  <c r="J3370" i="2" l="1"/>
  <c r="J3371" i="2" s="1"/>
  <c r="J3372" i="2" s="1"/>
  <c r="J3373" i="2" s="1"/>
  <c r="J3374" i="2" s="1"/>
  <c r="J3375" i="2" s="1"/>
  <c r="J3376" i="2" s="1"/>
  <c r="J3377" i="2" s="1"/>
  <c r="J3358" i="2"/>
  <c r="J3359" i="2" s="1"/>
  <c r="J3360" i="2" s="1"/>
  <c r="J3361" i="2" s="1"/>
  <c r="J3362" i="2" s="1"/>
  <c r="J3329" i="2"/>
  <c r="J3330" i="2" s="1"/>
  <c r="J3331" i="2" s="1"/>
  <c r="J3332" i="2" s="1"/>
  <c r="J3333" i="2" s="1"/>
  <c r="J3334" i="2" s="1"/>
  <c r="J3335" i="2" s="1"/>
  <c r="J3336" i="2" s="1"/>
  <c r="J3337" i="2" s="1"/>
  <c r="J3338" i="2" s="1"/>
  <c r="J3339" i="2" s="1"/>
  <c r="J3340" i="2" s="1"/>
  <c r="J3341" i="2" s="1"/>
  <c r="J3342" i="2" s="1"/>
  <c r="J3343" i="2" s="1"/>
  <c r="J3344" i="2" s="1"/>
  <c r="J3345" i="2" s="1"/>
  <c r="J3346" i="2" s="1"/>
  <c r="J3347" i="2" s="1"/>
  <c r="J3348" i="2" s="1"/>
  <c r="E331" i="7"/>
  <c r="F331" i="7" s="1"/>
  <c r="E332" i="7"/>
  <c r="F332" i="7" s="1"/>
  <c r="J3278" i="2"/>
  <c r="J3279" i="2" s="1"/>
  <c r="J3280" i="2" s="1"/>
  <c r="J3281" i="2" s="1"/>
  <c r="J3282" i="2" s="1"/>
  <c r="J3283" i="2" s="1"/>
  <c r="J3284" i="2" s="1"/>
  <c r="J3285" i="2" s="1"/>
  <c r="J3286" i="2" s="1"/>
  <c r="J3287" i="2" s="1"/>
  <c r="J3288" i="2" s="1"/>
  <c r="J3289" i="2" s="1"/>
  <c r="J3290" i="2" s="1"/>
  <c r="J3291" i="2" s="1"/>
  <c r="J3302" i="2"/>
  <c r="J3303" i="2" s="1"/>
  <c r="J3304" i="2" s="1"/>
  <c r="J3305" i="2" s="1"/>
  <c r="J3306" i="2" s="1"/>
  <c r="J3307" i="2" s="1"/>
  <c r="J3308" i="2" s="1"/>
  <c r="J3309" i="2" s="1"/>
  <c r="J3310" i="2" s="1"/>
  <c r="J3311" i="2" s="1"/>
  <c r="J3312" i="2" s="1"/>
  <c r="J3313" i="2" s="1"/>
  <c r="J3314" i="2" s="1"/>
  <c r="J3315" i="2" s="1"/>
  <c r="J3316" i="2" s="1"/>
  <c r="J3317" i="2" s="1"/>
  <c r="J3318" i="2" s="1"/>
  <c r="J3319" i="2" s="1"/>
  <c r="H3267" i="2"/>
  <c r="I3267" i="2" s="1"/>
  <c r="F3267" i="2"/>
  <c r="H3266" i="2"/>
  <c r="I3266" i="2" s="1"/>
  <c r="F3266" i="2"/>
  <c r="H3265" i="2"/>
  <c r="I3265" i="2" s="1"/>
  <c r="F3265" i="2"/>
  <c r="H3264" i="2"/>
  <c r="I3264" i="2" s="1"/>
  <c r="F3264" i="2"/>
  <c r="H3263" i="2"/>
  <c r="I3263" i="2" s="1"/>
  <c r="F3263" i="2"/>
  <c r="H3262" i="2"/>
  <c r="I3262" i="2" s="1"/>
  <c r="F3262" i="2"/>
  <c r="H3261" i="2"/>
  <c r="I3261" i="2" s="1"/>
  <c r="F3261" i="2"/>
  <c r="H3260" i="2"/>
  <c r="I3260" i="2" s="1"/>
  <c r="F3260" i="2"/>
  <c r="H3259" i="2"/>
  <c r="I3259" i="2" s="1"/>
  <c r="J3259" i="2" s="1"/>
  <c r="F3259" i="2"/>
  <c r="J3260" i="2" l="1"/>
  <c r="J3261" i="2" s="1"/>
  <c r="J3262" i="2" s="1"/>
  <c r="J3263" i="2" s="1"/>
  <c r="J3264" i="2" s="1"/>
  <c r="J3265" i="2" s="1"/>
  <c r="J3266" i="2" s="1"/>
  <c r="J3267" i="2" s="1"/>
  <c r="G2433" i="4" l="1"/>
  <c r="G2434" i="4"/>
  <c r="G2435" i="4"/>
  <c r="G2432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C330" i="7"/>
  <c r="D330" i="7"/>
  <c r="G330" i="7"/>
  <c r="H330" i="7"/>
  <c r="I330" i="7"/>
  <c r="J330" i="7"/>
  <c r="E330" i="7" l="1"/>
  <c r="F330" i="7" s="1"/>
  <c r="G2416" i="4"/>
  <c r="G2415" i="4"/>
  <c r="G2414" i="4"/>
  <c r="D3238" i="15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C327" i="7"/>
  <c r="D327" i="7"/>
  <c r="G327" i="7"/>
  <c r="H327" i="7"/>
  <c r="I327" i="7"/>
  <c r="J327" i="7"/>
  <c r="C328" i="7"/>
  <c r="D328" i="7"/>
  <c r="G328" i="7"/>
  <c r="H328" i="7"/>
  <c r="I328" i="7"/>
  <c r="J328" i="7"/>
  <c r="C329" i="7"/>
  <c r="D329" i="7"/>
  <c r="G329" i="7"/>
  <c r="H329" i="7"/>
  <c r="I329" i="7"/>
  <c r="J329" i="7"/>
  <c r="G2395" i="4"/>
  <c r="G2394" i="4"/>
  <c r="G2393" i="4"/>
  <c r="E328" i="7" l="1"/>
  <c r="F328" i="7" s="1"/>
  <c r="E329" i="7"/>
  <c r="F329" i="7" s="1"/>
  <c r="E327" i="7"/>
  <c r="F327" i="7" s="1"/>
  <c r="G2382" i="4"/>
  <c r="G2383" i="4"/>
  <c r="G2384" i="4"/>
  <c r="G2385" i="4"/>
  <c r="G2386" i="4"/>
  <c r="G2387" i="4"/>
  <c r="G2388" i="4"/>
  <c r="G2389" i="4"/>
  <c r="G2390" i="4"/>
  <c r="G2391" i="4"/>
  <c r="G2392" i="4"/>
  <c r="C326" i="7"/>
  <c r="D326" i="7"/>
  <c r="G326" i="7"/>
  <c r="H326" i="7"/>
  <c r="I326" i="7"/>
  <c r="J326" i="7"/>
  <c r="E326" i="7" l="1"/>
  <c r="F326" i="7" s="1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01" i="3"/>
  <c r="F300" i="3"/>
  <c r="F299" i="3"/>
  <c r="F298" i="3"/>
  <c r="F297" i="3"/>
  <c r="F296" i="3"/>
  <c r="F295" i="3"/>
  <c r="F294" i="3"/>
  <c r="F293" i="3"/>
  <c r="F1143" i="5"/>
  <c r="G1143" i="5" s="1"/>
  <c r="F1144" i="5"/>
  <c r="G1144" i="5" s="1"/>
  <c r="F1145" i="5"/>
  <c r="G1145" i="5" s="1"/>
  <c r="F1146" i="5"/>
  <c r="G1146" i="5" s="1"/>
  <c r="F1147" i="5"/>
  <c r="G1147" i="5" s="1"/>
  <c r="F1148" i="5"/>
  <c r="G1148" i="5" s="1"/>
  <c r="F1149" i="5"/>
  <c r="G1149" i="5" s="1"/>
  <c r="F1150" i="5"/>
  <c r="G1150" i="5" s="1"/>
  <c r="F1151" i="5"/>
  <c r="G1151" i="5" s="1"/>
  <c r="F1152" i="5"/>
  <c r="G1152" i="5" s="1"/>
  <c r="F1153" i="5"/>
  <c r="G1153" i="5" s="1"/>
  <c r="F1154" i="5"/>
  <c r="G1154" i="5" s="1"/>
  <c r="F1155" i="5"/>
  <c r="G1155" i="5" s="1"/>
  <c r="F1156" i="5"/>
  <c r="G1156" i="5" s="1"/>
  <c r="F1157" i="5"/>
  <c r="G1157" i="5"/>
  <c r="F1158" i="5"/>
  <c r="G1158" i="5" s="1"/>
  <c r="F1159" i="5"/>
  <c r="G1159" i="5" s="1"/>
  <c r="F1160" i="5"/>
  <c r="G1160" i="5" s="1"/>
  <c r="F1161" i="5"/>
  <c r="G1161" i="5" s="1"/>
  <c r="F1162" i="5"/>
  <c r="G1162" i="5" s="1"/>
  <c r="F1163" i="5"/>
  <c r="G1163" i="5" s="1"/>
  <c r="F1164" i="5"/>
  <c r="G1164" i="5" s="1"/>
  <c r="F1165" i="5"/>
  <c r="G1165" i="5" s="1"/>
  <c r="F1166" i="5"/>
  <c r="G1166" i="5" s="1"/>
  <c r="F1167" i="5"/>
  <c r="G1167" i="5" s="1"/>
  <c r="F1168" i="5"/>
  <c r="G1168" i="5" s="1"/>
  <c r="F1169" i="5"/>
  <c r="G1169" i="5" s="1"/>
  <c r="F1170" i="5"/>
  <c r="G1170" i="5" s="1"/>
  <c r="F1171" i="5"/>
  <c r="G1171" i="5" s="1"/>
  <c r="F1172" i="5"/>
  <c r="G1172" i="5" s="1"/>
  <c r="F1173" i="5"/>
  <c r="G1173" i="5" s="1"/>
  <c r="F1174" i="5"/>
  <c r="G1174" i="5" s="1"/>
  <c r="L60" i="3"/>
  <c r="L61" i="3"/>
  <c r="L62" i="3"/>
  <c r="L63" i="3"/>
  <c r="L64" i="3"/>
  <c r="L65" i="3"/>
  <c r="L66" i="3"/>
  <c r="L67" i="3"/>
  <c r="C324" i="7"/>
  <c r="D324" i="7"/>
  <c r="G324" i="7"/>
  <c r="H324" i="7"/>
  <c r="I324" i="7"/>
  <c r="J324" i="7"/>
  <c r="C325" i="7"/>
  <c r="D325" i="7"/>
  <c r="G325" i="7"/>
  <c r="H325" i="7"/>
  <c r="I325" i="7"/>
  <c r="J325" i="7"/>
  <c r="I3249" i="2"/>
  <c r="J3249" i="2" s="1"/>
  <c r="I3248" i="2"/>
  <c r="J3248" i="2" s="1"/>
  <c r="H3239" i="2"/>
  <c r="I3239" i="2" s="1"/>
  <c r="F3239" i="2"/>
  <c r="H3238" i="2"/>
  <c r="I3238" i="2" s="1"/>
  <c r="F3238" i="2"/>
  <c r="H3237" i="2"/>
  <c r="I3237" i="2" s="1"/>
  <c r="F3237" i="2"/>
  <c r="H3236" i="2"/>
  <c r="I3236" i="2" s="1"/>
  <c r="F3236" i="2"/>
  <c r="H3235" i="2"/>
  <c r="I3235" i="2" s="1"/>
  <c r="F3235" i="2"/>
  <c r="H3234" i="2"/>
  <c r="I3234" i="2" s="1"/>
  <c r="F3234" i="2"/>
  <c r="H3233" i="2"/>
  <c r="I3233" i="2" s="1"/>
  <c r="F3233" i="2"/>
  <c r="H3232" i="2"/>
  <c r="I3232" i="2" s="1"/>
  <c r="F3232" i="2"/>
  <c r="H3231" i="2"/>
  <c r="I3231" i="2" s="1"/>
  <c r="F3231" i="2"/>
  <c r="H3230" i="2"/>
  <c r="I3230" i="2" s="1"/>
  <c r="F3230" i="2"/>
  <c r="H3229" i="2"/>
  <c r="I3229" i="2" s="1"/>
  <c r="F3229" i="2"/>
  <c r="H3228" i="2"/>
  <c r="I3228" i="2" s="1"/>
  <c r="F3228" i="2"/>
  <c r="H3227" i="2"/>
  <c r="I3227" i="2" s="1"/>
  <c r="F3227" i="2"/>
  <c r="H3226" i="2"/>
  <c r="I3226" i="2" s="1"/>
  <c r="F3226" i="2"/>
  <c r="H3225" i="2"/>
  <c r="I3225" i="2" s="1"/>
  <c r="F3225" i="2"/>
  <c r="H3224" i="2"/>
  <c r="I3224" i="2" s="1"/>
  <c r="F3224" i="2"/>
  <c r="H3223" i="2"/>
  <c r="I3223" i="2" s="1"/>
  <c r="F3223" i="2"/>
  <c r="H3222" i="2"/>
  <c r="I3222" i="2" s="1"/>
  <c r="F3222" i="2"/>
  <c r="H3221" i="2"/>
  <c r="I3221" i="2" s="1"/>
  <c r="F3221" i="2"/>
  <c r="H3220" i="2"/>
  <c r="I3220" i="2" s="1"/>
  <c r="F3220" i="2"/>
  <c r="H3219" i="2"/>
  <c r="I3219" i="2" s="1"/>
  <c r="F3219" i="2"/>
  <c r="H3218" i="2"/>
  <c r="I3218" i="2" s="1"/>
  <c r="F3218" i="2"/>
  <c r="H3217" i="2"/>
  <c r="I3217" i="2" s="1"/>
  <c r="F3217" i="2"/>
  <c r="H3216" i="2"/>
  <c r="I3216" i="2" s="1"/>
  <c r="F3216" i="2"/>
  <c r="H3215" i="2"/>
  <c r="I3215" i="2" s="1"/>
  <c r="J3215" i="2" s="1"/>
  <c r="F3215" i="2"/>
  <c r="H3207" i="2"/>
  <c r="I3207" i="2" s="1"/>
  <c r="F3207" i="2"/>
  <c r="H3206" i="2"/>
  <c r="I3206" i="2" s="1"/>
  <c r="F3206" i="2"/>
  <c r="H3205" i="2"/>
  <c r="I3205" i="2" s="1"/>
  <c r="F3205" i="2"/>
  <c r="H3204" i="2"/>
  <c r="I3204" i="2" s="1"/>
  <c r="F3204" i="2"/>
  <c r="H3203" i="2"/>
  <c r="I3203" i="2" s="1"/>
  <c r="F3203" i="2"/>
  <c r="H3202" i="2"/>
  <c r="I3202" i="2" s="1"/>
  <c r="F3202" i="2"/>
  <c r="H3201" i="2"/>
  <c r="I3201" i="2" s="1"/>
  <c r="F3201" i="2"/>
  <c r="H3200" i="2"/>
  <c r="I3200" i="2" s="1"/>
  <c r="F3200" i="2"/>
  <c r="H3199" i="2"/>
  <c r="I3199" i="2" s="1"/>
  <c r="F3199" i="2"/>
  <c r="H3198" i="2"/>
  <c r="I3198" i="2" s="1"/>
  <c r="F3198" i="2"/>
  <c r="H3197" i="2"/>
  <c r="I3197" i="2" s="1"/>
  <c r="F3197" i="2"/>
  <c r="H3196" i="2"/>
  <c r="I3196" i="2" s="1"/>
  <c r="F3196" i="2"/>
  <c r="H3195" i="2"/>
  <c r="I3195" i="2" s="1"/>
  <c r="F3195" i="2"/>
  <c r="H3194" i="2"/>
  <c r="I3194" i="2" s="1"/>
  <c r="J3194" i="2" s="1"/>
  <c r="F3194" i="2"/>
  <c r="G2381" i="4"/>
  <c r="H3185" i="2"/>
  <c r="I3185" i="2" s="1"/>
  <c r="F3185" i="2"/>
  <c r="H3184" i="2"/>
  <c r="I3184" i="2" s="1"/>
  <c r="F3184" i="2"/>
  <c r="H3183" i="2"/>
  <c r="I3183" i="2" s="1"/>
  <c r="F3183" i="2"/>
  <c r="H3182" i="2"/>
  <c r="I3182" i="2" s="1"/>
  <c r="F3182" i="2"/>
  <c r="H3181" i="2"/>
  <c r="I3181" i="2" s="1"/>
  <c r="F3181" i="2"/>
  <c r="H3180" i="2"/>
  <c r="I3180" i="2" s="1"/>
  <c r="F3180" i="2"/>
  <c r="H3179" i="2"/>
  <c r="I3179" i="2" s="1"/>
  <c r="F3179" i="2"/>
  <c r="H3178" i="2"/>
  <c r="I3178" i="2" s="1"/>
  <c r="F3178" i="2"/>
  <c r="H3177" i="2"/>
  <c r="I3177" i="2" s="1"/>
  <c r="F3177" i="2"/>
  <c r="H3176" i="2"/>
  <c r="I3176" i="2" s="1"/>
  <c r="F3176" i="2"/>
  <c r="H3175" i="2"/>
  <c r="I3175" i="2" s="1"/>
  <c r="F3175" i="2"/>
  <c r="H3174" i="2"/>
  <c r="I3174" i="2" s="1"/>
  <c r="J3174" i="2" s="1"/>
  <c r="F3174" i="2"/>
  <c r="E325" i="7" l="1"/>
  <c r="F325" i="7" s="1"/>
  <c r="E324" i="7"/>
  <c r="F324" i="7" s="1"/>
  <c r="J3195" i="2"/>
  <c r="J3196" i="2" s="1"/>
  <c r="J3197" i="2" s="1"/>
  <c r="J3198" i="2" s="1"/>
  <c r="J3199" i="2" s="1"/>
  <c r="J3200" i="2" s="1"/>
  <c r="J3201" i="2" s="1"/>
  <c r="J3202" i="2" s="1"/>
  <c r="J3203" i="2" s="1"/>
  <c r="J3204" i="2" s="1"/>
  <c r="J3205" i="2" s="1"/>
  <c r="J3206" i="2" s="1"/>
  <c r="J3207" i="2" s="1"/>
  <c r="K3249" i="2"/>
  <c r="M3249" i="2"/>
  <c r="N3249" i="2" s="1"/>
  <c r="K3248" i="2"/>
  <c r="M3248" i="2"/>
  <c r="N3248" i="2" s="1"/>
  <c r="O3248" i="2" s="1"/>
  <c r="J3216" i="2"/>
  <c r="J3217" i="2" s="1"/>
  <c r="J3218" i="2" s="1"/>
  <c r="J3219" i="2" s="1"/>
  <c r="J3220" i="2" s="1"/>
  <c r="J3221" i="2" s="1"/>
  <c r="J3222" i="2" s="1"/>
  <c r="J3223" i="2" s="1"/>
  <c r="J3224" i="2" s="1"/>
  <c r="J3225" i="2" s="1"/>
  <c r="J3226" i="2" s="1"/>
  <c r="J3227" i="2" s="1"/>
  <c r="J3228" i="2" s="1"/>
  <c r="J3229" i="2" s="1"/>
  <c r="J3230" i="2" s="1"/>
  <c r="J3231" i="2" s="1"/>
  <c r="J3232" i="2" s="1"/>
  <c r="J3233" i="2" s="1"/>
  <c r="J3234" i="2" s="1"/>
  <c r="J3235" i="2" s="1"/>
  <c r="J3236" i="2" s="1"/>
  <c r="J3237" i="2" s="1"/>
  <c r="J3238" i="2" s="1"/>
  <c r="J3239" i="2" s="1"/>
  <c r="J3175" i="2"/>
  <c r="J3176" i="2" s="1"/>
  <c r="J3177" i="2" s="1"/>
  <c r="J3178" i="2" s="1"/>
  <c r="J3179" i="2" s="1"/>
  <c r="J3180" i="2" s="1"/>
  <c r="J3181" i="2" s="1"/>
  <c r="J3182" i="2" s="1"/>
  <c r="J3183" i="2" s="1"/>
  <c r="J3184" i="2" s="1"/>
  <c r="J3185" i="2" s="1"/>
  <c r="O3249" i="2" l="1"/>
  <c r="G2380" i="4" l="1"/>
  <c r="G2379" i="4"/>
  <c r="G2378" i="4"/>
  <c r="G2377" i="4"/>
  <c r="G2376" i="4"/>
  <c r="G2375" i="4"/>
  <c r="P946" i="8"/>
  <c r="G2374" i="4"/>
  <c r="G2373" i="4"/>
  <c r="G2369" i="4"/>
  <c r="G2370" i="4"/>
  <c r="G2371" i="4"/>
  <c r="G2372" i="4"/>
  <c r="G2368" i="4"/>
  <c r="G2367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50" i="4"/>
  <c r="G2351" i="4"/>
  <c r="G2352" i="4"/>
  <c r="G2353" i="4"/>
  <c r="G2354" i="4"/>
  <c r="G2349" i="4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47" i="8"/>
  <c r="P1282" i="8" l="1"/>
  <c r="G2344" i="4"/>
  <c r="G2345" i="4"/>
  <c r="G2346" i="4"/>
  <c r="G2347" i="4"/>
  <c r="G2348" i="4"/>
  <c r="C323" i="7"/>
  <c r="D323" i="7"/>
  <c r="G323" i="7"/>
  <c r="H323" i="7"/>
  <c r="I323" i="7"/>
  <c r="J323" i="7"/>
  <c r="G2334" i="4"/>
  <c r="G2335" i="4"/>
  <c r="G2336" i="4"/>
  <c r="G2337" i="4"/>
  <c r="G2338" i="4"/>
  <c r="G2339" i="4"/>
  <c r="G2340" i="4"/>
  <c r="G2341" i="4"/>
  <c r="G2342" i="4"/>
  <c r="G2343" i="4"/>
  <c r="E323" i="7" l="1"/>
  <c r="F323" i="7" s="1"/>
  <c r="C3041" i="15"/>
  <c r="E3035" i="15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C322" i="7"/>
  <c r="D322" i="7"/>
  <c r="G322" i="7"/>
  <c r="H322" i="7"/>
  <c r="I322" i="7"/>
  <c r="J322" i="7"/>
  <c r="F284" i="3"/>
  <c r="F285" i="3"/>
  <c r="F286" i="3"/>
  <c r="F287" i="3"/>
  <c r="F288" i="3"/>
  <c r="F289" i="3"/>
  <c r="F290" i="3"/>
  <c r="F291" i="3"/>
  <c r="F292" i="3"/>
  <c r="H3165" i="2"/>
  <c r="I3165" i="2" s="1"/>
  <c r="F3165" i="2"/>
  <c r="H3164" i="2"/>
  <c r="I3164" i="2" s="1"/>
  <c r="F3164" i="2"/>
  <c r="H3163" i="2"/>
  <c r="I3163" i="2" s="1"/>
  <c r="F3163" i="2"/>
  <c r="H3162" i="2"/>
  <c r="I3162" i="2" s="1"/>
  <c r="F3162" i="2"/>
  <c r="H3161" i="2"/>
  <c r="I3161" i="2" s="1"/>
  <c r="F3161" i="2"/>
  <c r="H3160" i="2"/>
  <c r="I3160" i="2" s="1"/>
  <c r="F3160" i="2"/>
  <c r="H3159" i="2"/>
  <c r="I3159" i="2" s="1"/>
  <c r="F3159" i="2"/>
  <c r="H3158" i="2"/>
  <c r="I3158" i="2" s="1"/>
  <c r="F3158" i="2"/>
  <c r="H3157" i="2"/>
  <c r="I3157" i="2" s="1"/>
  <c r="F3157" i="2"/>
  <c r="H3156" i="2"/>
  <c r="I3156" i="2" s="1"/>
  <c r="F3156" i="2"/>
  <c r="H3155" i="2"/>
  <c r="I3155" i="2" s="1"/>
  <c r="F3155" i="2"/>
  <c r="H3154" i="2"/>
  <c r="I3154" i="2" s="1"/>
  <c r="F3154" i="2"/>
  <c r="H3153" i="2"/>
  <c r="I3153" i="2" s="1"/>
  <c r="F3153" i="2"/>
  <c r="H3152" i="2"/>
  <c r="I3152" i="2" s="1"/>
  <c r="F3152" i="2"/>
  <c r="H3151" i="2"/>
  <c r="I3151" i="2" s="1"/>
  <c r="J3151" i="2" s="1"/>
  <c r="F3151" i="2"/>
  <c r="J3152" i="2" l="1"/>
  <c r="J3153" i="2" s="1"/>
  <c r="J3154" i="2" s="1"/>
  <c r="J3155" i="2" s="1"/>
  <c r="J3156" i="2" s="1"/>
  <c r="J3157" i="2" s="1"/>
  <c r="J3158" i="2" s="1"/>
  <c r="J3159" i="2" s="1"/>
  <c r="J3160" i="2" s="1"/>
  <c r="J3161" i="2" s="1"/>
  <c r="J3162" i="2" s="1"/>
  <c r="J3163" i="2" s="1"/>
  <c r="J3164" i="2" s="1"/>
  <c r="J3165" i="2" s="1"/>
  <c r="E322" i="7"/>
  <c r="F322" i="7" s="1"/>
  <c r="F283" i="3"/>
  <c r="F282" i="3"/>
  <c r="F281" i="3"/>
  <c r="F280" i="3"/>
  <c r="C321" i="7"/>
  <c r="D321" i="7"/>
  <c r="G321" i="7"/>
  <c r="H321" i="7"/>
  <c r="I321" i="7"/>
  <c r="J321" i="7"/>
  <c r="F1125" i="5"/>
  <c r="G1125" i="5" s="1"/>
  <c r="F1126" i="5"/>
  <c r="G1126" i="5" s="1"/>
  <c r="F1127" i="5"/>
  <c r="G1127" i="5" s="1"/>
  <c r="F1128" i="5"/>
  <c r="G1128" i="5" s="1"/>
  <c r="F1129" i="5"/>
  <c r="G1129" i="5" s="1"/>
  <c r="F1130" i="5"/>
  <c r="G1130" i="5" s="1"/>
  <c r="F1131" i="5"/>
  <c r="G1131" i="5" s="1"/>
  <c r="F1132" i="5"/>
  <c r="G1132" i="5" s="1"/>
  <c r="F1133" i="5"/>
  <c r="G1133" i="5" s="1"/>
  <c r="F1134" i="5"/>
  <c r="G1134" i="5" s="1"/>
  <c r="F1135" i="5"/>
  <c r="G1135" i="5" s="1"/>
  <c r="F1136" i="5"/>
  <c r="G1136" i="5" s="1"/>
  <c r="F1137" i="5"/>
  <c r="G1137" i="5" s="1"/>
  <c r="F1138" i="5"/>
  <c r="G1138" i="5" s="1"/>
  <c r="F1139" i="5"/>
  <c r="G1139" i="5" s="1"/>
  <c r="F1140" i="5"/>
  <c r="G1140" i="5" s="1"/>
  <c r="F1141" i="5"/>
  <c r="G1141" i="5" s="1"/>
  <c r="F1142" i="5"/>
  <c r="G1142" i="5" s="1"/>
  <c r="F1123" i="5"/>
  <c r="F1122" i="5"/>
  <c r="F1121" i="5"/>
  <c r="F1120" i="5"/>
  <c r="H3142" i="2"/>
  <c r="I3142" i="2" s="1"/>
  <c r="F3142" i="2"/>
  <c r="H3141" i="2"/>
  <c r="I3141" i="2" s="1"/>
  <c r="F3141" i="2"/>
  <c r="H3140" i="2"/>
  <c r="I3140" i="2" s="1"/>
  <c r="F3140" i="2"/>
  <c r="H3139" i="2"/>
  <c r="I3139" i="2" s="1"/>
  <c r="F3139" i="2"/>
  <c r="H3138" i="2"/>
  <c r="I3138" i="2" s="1"/>
  <c r="J3138" i="2" s="1"/>
  <c r="F3138" i="2"/>
  <c r="M182" i="5"/>
  <c r="N182" i="5" s="1"/>
  <c r="M183" i="5"/>
  <c r="N183" i="5" s="1"/>
  <c r="M184" i="5"/>
  <c r="N184" i="5" s="1"/>
  <c r="M185" i="5"/>
  <c r="N185" i="5" s="1"/>
  <c r="M186" i="5"/>
  <c r="N186" i="5" s="1"/>
  <c r="M187" i="5"/>
  <c r="N187" i="5" s="1"/>
  <c r="M188" i="5"/>
  <c r="N188" i="5" s="1"/>
  <c r="M189" i="5"/>
  <c r="N189" i="5" s="1"/>
  <c r="M190" i="5"/>
  <c r="N190" i="5" s="1"/>
  <c r="M191" i="5"/>
  <c r="N191" i="5" s="1"/>
  <c r="M192" i="5"/>
  <c r="N192" i="5" s="1"/>
  <c r="M244" i="5"/>
  <c r="N244" i="5" s="1"/>
  <c r="M245" i="5"/>
  <c r="N245" i="5" s="1"/>
  <c r="E321" i="7" l="1"/>
  <c r="F321" i="7" s="1"/>
  <c r="J3139" i="2"/>
  <c r="J3140" i="2" s="1"/>
  <c r="J3141" i="2" s="1"/>
  <c r="J3142" i="2" s="1"/>
  <c r="H3129" i="2" l="1"/>
  <c r="I3129" i="2" s="1"/>
  <c r="F3129" i="2"/>
  <c r="H3128" i="2"/>
  <c r="I3128" i="2" s="1"/>
  <c r="F3128" i="2"/>
  <c r="H3127" i="2"/>
  <c r="I3127" i="2" s="1"/>
  <c r="F3127" i="2"/>
  <c r="H3126" i="2"/>
  <c r="I3126" i="2" s="1"/>
  <c r="F3126" i="2"/>
  <c r="H3125" i="2"/>
  <c r="I3125" i="2" s="1"/>
  <c r="J3125" i="2" s="1"/>
  <c r="F3125" i="2"/>
  <c r="J3126" i="2" l="1"/>
  <c r="J3127" i="2" s="1"/>
  <c r="J3128" i="2" s="1"/>
  <c r="J3129" i="2" s="1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C318" i="7"/>
  <c r="D318" i="7"/>
  <c r="G318" i="7"/>
  <c r="H318" i="7"/>
  <c r="I318" i="7"/>
  <c r="J318" i="7"/>
  <c r="C319" i="7"/>
  <c r="D319" i="7"/>
  <c r="G319" i="7"/>
  <c r="H319" i="7"/>
  <c r="I319" i="7"/>
  <c r="J319" i="7"/>
  <c r="C320" i="7"/>
  <c r="D320" i="7"/>
  <c r="G320" i="7"/>
  <c r="H320" i="7"/>
  <c r="I320" i="7"/>
  <c r="J320" i="7"/>
  <c r="C317" i="7"/>
  <c r="D317" i="7"/>
  <c r="G317" i="7"/>
  <c r="H317" i="7"/>
  <c r="I317" i="7"/>
  <c r="J317" i="7"/>
  <c r="E2913" i="15"/>
  <c r="F2912" i="15"/>
  <c r="F2911" i="15"/>
  <c r="F2910" i="15"/>
  <c r="F2909" i="15"/>
  <c r="F2908" i="15"/>
  <c r="F2907" i="15"/>
  <c r="F2906" i="15"/>
  <c r="F2905" i="15"/>
  <c r="F2904" i="15"/>
  <c r="F2903" i="15"/>
  <c r="F2902" i="15"/>
  <c r="F2901" i="15"/>
  <c r="F2900" i="15"/>
  <c r="F2899" i="15"/>
  <c r="F2898" i="15"/>
  <c r="F2897" i="15"/>
  <c r="F2896" i="15"/>
  <c r="F2895" i="15"/>
  <c r="F2894" i="15"/>
  <c r="F2893" i="15"/>
  <c r="F2892" i="15"/>
  <c r="F2891" i="15"/>
  <c r="F2890" i="15"/>
  <c r="F2889" i="15"/>
  <c r="F2888" i="15"/>
  <c r="F2887" i="15"/>
  <c r="F2886" i="15"/>
  <c r="F2885" i="15"/>
  <c r="F2884" i="15"/>
  <c r="F2883" i="15"/>
  <c r="F2882" i="15"/>
  <c r="F2881" i="15"/>
  <c r="F2880" i="15"/>
  <c r="F2879" i="15"/>
  <c r="F2878" i="15"/>
  <c r="F2877" i="15"/>
  <c r="F2876" i="15"/>
  <c r="F2875" i="15"/>
  <c r="F2874" i="15"/>
  <c r="F2873" i="15"/>
  <c r="F2872" i="15"/>
  <c r="F2871" i="15"/>
  <c r="F2870" i="15"/>
  <c r="F2869" i="15"/>
  <c r="F2868" i="15"/>
  <c r="F2867" i="15"/>
  <c r="F2866" i="15"/>
  <c r="F2865" i="15"/>
  <c r="F2864" i="15"/>
  <c r="F2863" i="15"/>
  <c r="F2862" i="15"/>
  <c r="F2861" i="15"/>
  <c r="F2860" i="15"/>
  <c r="F2859" i="15"/>
  <c r="F2858" i="15"/>
  <c r="F2857" i="15"/>
  <c r="F2856" i="15"/>
  <c r="F2855" i="15"/>
  <c r="F2854" i="15"/>
  <c r="F2853" i="15"/>
  <c r="F2852" i="15"/>
  <c r="F2851" i="15"/>
  <c r="F2850" i="15"/>
  <c r="F2849" i="15"/>
  <c r="F2848" i="15"/>
  <c r="F2847" i="15"/>
  <c r="F2846" i="15"/>
  <c r="F2845" i="15"/>
  <c r="F2844" i="15"/>
  <c r="F2843" i="15"/>
  <c r="F2842" i="15"/>
  <c r="F2841" i="15"/>
  <c r="F2840" i="15"/>
  <c r="F2839" i="15"/>
  <c r="F2838" i="15"/>
  <c r="F2837" i="15"/>
  <c r="F2836" i="15"/>
  <c r="F2835" i="15"/>
  <c r="F2834" i="15"/>
  <c r="F2833" i="15"/>
  <c r="F2832" i="15"/>
  <c r="F2831" i="15"/>
  <c r="F2830" i="15"/>
  <c r="F2829" i="15"/>
  <c r="F2828" i="15"/>
  <c r="F2827" i="15"/>
  <c r="F2826" i="15"/>
  <c r="F2825" i="15"/>
  <c r="F2824" i="15"/>
  <c r="F2823" i="15"/>
  <c r="F2822" i="15"/>
  <c r="F2821" i="15"/>
  <c r="F2820" i="15"/>
  <c r="F2819" i="15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C315" i="7"/>
  <c r="D315" i="7"/>
  <c r="G315" i="7"/>
  <c r="H315" i="7"/>
  <c r="I315" i="7"/>
  <c r="J315" i="7"/>
  <c r="C316" i="7"/>
  <c r="D316" i="7"/>
  <c r="G316" i="7"/>
  <c r="H316" i="7"/>
  <c r="I316" i="7"/>
  <c r="J316" i="7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C314" i="7"/>
  <c r="D314" i="7"/>
  <c r="G314" i="7"/>
  <c r="H314" i="7"/>
  <c r="I314" i="7"/>
  <c r="J314" i="7"/>
  <c r="E2639" i="15"/>
  <c r="M1230" i="8"/>
  <c r="L1219" i="8"/>
  <c r="K1219" i="8"/>
  <c r="F279" i="3"/>
  <c r="F278" i="3"/>
  <c r="F269" i="3"/>
  <c r="F270" i="3"/>
  <c r="F271" i="3"/>
  <c r="F272" i="3"/>
  <c r="F273" i="3"/>
  <c r="F274" i="3"/>
  <c r="F275" i="3"/>
  <c r="F276" i="3"/>
  <c r="F277" i="3"/>
  <c r="F268" i="3"/>
  <c r="L1222" i="8" l="1"/>
  <c r="L1230" i="8" s="1"/>
  <c r="M1233" i="8" s="1"/>
  <c r="E320" i="7"/>
  <c r="F320" i="7" s="1"/>
  <c r="E319" i="7"/>
  <c r="F319" i="7" s="1"/>
  <c r="E318" i="7"/>
  <c r="F318" i="7" s="1"/>
  <c r="E317" i="7"/>
  <c r="F317" i="7" s="1"/>
  <c r="F2913" i="15"/>
  <c r="E315" i="7"/>
  <c r="F315" i="7" s="1"/>
  <c r="E316" i="7"/>
  <c r="F316" i="7" s="1"/>
  <c r="E314" i="7"/>
  <c r="F314" i="7" s="1"/>
  <c r="H3114" i="2"/>
  <c r="I3114" i="2" s="1"/>
  <c r="H3115" i="2"/>
  <c r="I3115" i="2" s="1"/>
  <c r="H3116" i="2"/>
  <c r="I3116" i="2" s="1"/>
  <c r="F3114" i="2"/>
  <c r="F3115" i="2"/>
  <c r="F3116" i="2"/>
  <c r="H3113" i="2"/>
  <c r="I3113" i="2" s="1"/>
  <c r="F3113" i="2"/>
  <c r="H3112" i="2"/>
  <c r="I3112" i="2" s="1"/>
  <c r="F3112" i="2"/>
  <c r="H3111" i="2"/>
  <c r="I3111" i="2" s="1"/>
  <c r="F3111" i="2"/>
  <c r="H3110" i="2"/>
  <c r="I3110" i="2" s="1"/>
  <c r="F3110" i="2"/>
  <c r="H3109" i="2"/>
  <c r="I3109" i="2" s="1"/>
  <c r="F3109" i="2"/>
  <c r="H3108" i="2"/>
  <c r="I3108" i="2" s="1"/>
  <c r="F3108" i="2"/>
  <c r="H3107" i="2"/>
  <c r="I3107" i="2" s="1"/>
  <c r="F3107" i="2"/>
  <c r="H3106" i="2"/>
  <c r="I3106" i="2" s="1"/>
  <c r="F3106" i="2"/>
  <c r="H3105" i="2"/>
  <c r="I3105" i="2" s="1"/>
  <c r="F3105" i="2"/>
  <c r="H3104" i="2"/>
  <c r="I3104" i="2" s="1"/>
  <c r="F3104" i="2"/>
  <c r="H3103" i="2"/>
  <c r="I3103" i="2" s="1"/>
  <c r="F3103" i="2"/>
  <c r="H3102" i="2"/>
  <c r="I3102" i="2" s="1"/>
  <c r="F3102" i="2"/>
  <c r="H3101" i="2"/>
  <c r="I3101" i="2" s="1"/>
  <c r="F3101" i="2"/>
  <c r="H3100" i="2"/>
  <c r="I3100" i="2" s="1"/>
  <c r="F3100" i="2"/>
  <c r="H3099" i="2"/>
  <c r="I3099" i="2" s="1"/>
  <c r="F3099" i="2"/>
  <c r="H3098" i="2"/>
  <c r="I3098" i="2" s="1"/>
  <c r="F3098" i="2"/>
  <c r="H3097" i="2"/>
  <c r="I3097" i="2" s="1"/>
  <c r="F3097" i="2"/>
  <c r="H3096" i="2"/>
  <c r="I3096" i="2" s="1"/>
  <c r="F3096" i="2"/>
  <c r="H3095" i="2"/>
  <c r="I3095" i="2" s="1"/>
  <c r="F3095" i="2"/>
  <c r="H3094" i="2"/>
  <c r="I3094" i="2" s="1"/>
  <c r="F3094" i="2"/>
  <c r="H3093" i="2"/>
  <c r="I3093" i="2" s="1"/>
  <c r="F3093" i="2"/>
  <c r="H3092" i="2"/>
  <c r="I3092" i="2" s="1"/>
  <c r="F3092" i="2"/>
  <c r="H3091" i="2"/>
  <c r="I3091" i="2" s="1"/>
  <c r="J3091" i="2" s="1"/>
  <c r="F3091" i="2"/>
  <c r="F1085" i="5"/>
  <c r="G1085" i="5" s="1"/>
  <c r="F1086" i="5"/>
  <c r="G1086" i="5" s="1"/>
  <c r="F1087" i="5"/>
  <c r="G1087" i="5" s="1"/>
  <c r="F1088" i="5"/>
  <c r="G1088" i="5" s="1"/>
  <c r="F1089" i="5"/>
  <c r="G1089" i="5" s="1"/>
  <c r="F1090" i="5"/>
  <c r="G1090" i="5" s="1"/>
  <c r="F1091" i="5"/>
  <c r="G1091" i="5" s="1"/>
  <c r="F1092" i="5"/>
  <c r="G1092" i="5" s="1"/>
  <c r="F1093" i="5"/>
  <c r="G1093" i="5" s="1"/>
  <c r="F1094" i="5"/>
  <c r="G1094" i="5" s="1"/>
  <c r="F1095" i="5"/>
  <c r="G1095" i="5" s="1"/>
  <c r="F1096" i="5"/>
  <c r="G1096" i="5" s="1"/>
  <c r="F1097" i="5"/>
  <c r="G1097" i="5" s="1"/>
  <c r="F1098" i="5"/>
  <c r="G1098" i="5" s="1"/>
  <c r="F1099" i="5"/>
  <c r="G1099" i="5" s="1"/>
  <c r="F1100" i="5"/>
  <c r="G1100" i="5" s="1"/>
  <c r="F1101" i="5"/>
  <c r="G1101" i="5" s="1"/>
  <c r="F1102" i="5"/>
  <c r="G1102" i="5" s="1"/>
  <c r="F1103" i="5"/>
  <c r="G1103" i="5" s="1"/>
  <c r="F1104" i="5"/>
  <c r="G1104" i="5" s="1"/>
  <c r="F1105" i="5"/>
  <c r="G1105" i="5" s="1"/>
  <c r="F1106" i="5"/>
  <c r="G1106" i="5" s="1"/>
  <c r="F1107" i="5"/>
  <c r="G1107" i="5" s="1"/>
  <c r="F1108" i="5"/>
  <c r="G1108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G1114" i="5" s="1"/>
  <c r="F1115" i="5"/>
  <c r="G1115" i="5" s="1"/>
  <c r="F1116" i="5"/>
  <c r="G1116" i="5" s="1"/>
  <c r="F1117" i="5"/>
  <c r="G1117" i="5" s="1"/>
  <c r="F1118" i="5"/>
  <c r="G1118" i="5" s="1"/>
  <c r="F1119" i="5"/>
  <c r="G1119" i="5" s="1"/>
  <c r="G1120" i="5"/>
  <c r="G1121" i="5"/>
  <c r="G1122" i="5"/>
  <c r="G1123" i="5"/>
  <c r="F1124" i="5"/>
  <c r="G1124" i="5" s="1"/>
  <c r="I3081" i="2"/>
  <c r="J3081" i="2" s="1"/>
  <c r="K3081" i="2" s="1"/>
  <c r="I3080" i="2"/>
  <c r="J3080" i="2" s="1"/>
  <c r="I3079" i="2"/>
  <c r="J3079" i="2" s="1"/>
  <c r="I3078" i="2"/>
  <c r="J3078" i="2" s="1"/>
  <c r="I3077" i="2"/>
  <c r="J3077" i="2" s="1"/>
  <c r="I3076" i="2"/>
  <c r="J3076" i="2" s="1"/>
  <c r="I3075" i="2"/>
  <c r="J3075" i="2" s="1"/>
  <c r="I3074" i="2"/>
  <c r="J3074" i="2" s="1"/>
  <c r="I3073" i="2"/>
  <c r="J3073" i="2" s="1"/>
  <c r="I3072" i="2"/>
  <c r="J3072" i="2" s="1"/>
  <c r="K3072" i="2" s="1"/>
  <c r="I3071" i="2"/>
  <c r="J3071" i="2" s="1"/>
  <c r="M3071" i="2" s="1"/>
  <c r="N3071" i="2" s="1"/>
  <c r="I3070" i="2"/>
  <c r="J3070" i="2" s="1"/>
  <c r="I3069" i="2"/>
  <c r="J3069" i="2" s="1"/>
  <c r="I3068" i="2"/>
  <c r="J3068" i="2" s="1"/>
  <c r="I3067" i="2"/>
  <c r="J3067" i="2" s="1"/>
  <c r="M3067" i="2" s="1"/>
  <c r="N3067" i="2" s="1"/>
  <c r="I3066" i="2"/>
  <c r="J3066" i="2" s="1"/>
  <c r="I3065" i="2"/>
  <c r="J3065" i="2" s="1"/>
  <c r="I3064" i="2"/>
  <c r="J3064" i="2" s="1"/>
  <c r="I3063" i="2"/>
  <c r="J3063" i="2" s="1"/>
  <c r="M3063" i="2" s="1"/>
  <c r="N3063" i="2" s="1"/>
  <c r="O3063" i="2" s="1"/>
  <c r="M174" i="5"/>
  <c r="N174" i="5" s="1"/>
  <c r="M173" i="5"/>
  <c r="N173" i="5" s="1"/>
  <c r="M172" i="5"/>
  <c r="N172" i="5" s="1"/>
  <c r="M171" i="5"/>
  <c r="N171" i="5" s="1"/>
  <c r="M170" i="5"/>
  <c r="M169" i="5"/>
  <c r="M175" i="5"/>
  <c r="N175" i="5" s="1"/>
  <c r="M176" i="5"/>
  <c r="N176" i="5" s="1"/>
  <c r="M177" i="5"/>
  <c r="N177" i="5" s="1"/>
  <c r="M178" i="5"/>
  <c r="N178" i="5" s="1"/>
  <c r="M179" i="5"/>
  <c r="N179" i="5" s="1"/>
  <c r="M180" i="5"/>
  <c r="N180" i="5" s="1"/>
  <c r="M181" i="5"/>
  <c r="N181" i="5" s="1"/>
  <c r="H3054" i="2"/>
  <c r="I3054" i="2" s="1"/>
  <c r="F3054" i="2"/>
  <c r="H3053" i="2"/>
  <c r="I3053" i="2" s="1"/>
  <c r="F3053" i="2"/>
  <c r="H3052" i="2"/>
  <c r="I3052" i="2" s="1"/>
  <c r="F3052" i="2"/>
  <c r="H3051" i="2"/>
  <c r="I3051" i="2" s="1"/>
  <c r="F3051" i="2"/>
  <c r="H3050" i="2"/>
  <c r="I3050" i="2" s="1"/>
  <c r="F3050" i="2"/>
  <c r="H3049" i="2"/>
  <c r="I3049" i="2" s="1"/>
  <c r="F3049" i="2"/>
  <c r="H3048" i="2"/>
  <c r="I3048" i="2" s="1"/>
  <c r="F3048" i="2"/>
  <c r="H3047" i="2"/>
  <c r="I3047" i="2" s="1"/>
  <c r="F3047" i="2"/>
  <c r="H3046" i="2"/>
  <c r="I3046" i="2" s="1"/>
  <c r="J3046" i="2" s="1"/>
  <c r="F3046" i="2"/>
  <c r="J3092" i="2" l="1"/>
  <c r="J3093" i="2" s="1"/>
  <c r="J3094" i="2" s="1"/>
  <c r="J3095" i="2" s="1"/>
  <c r="J3096" i="2" s="1"/>
  <c r="J3097" i="2" s="1"/>
  <c r="J3098" i="2" s="1"/>
  <c r="J3099" i="2" s="1"/>
  <c r="J3100" i="2" s="1"/>
  <c r="J3101" i="2" s="1"/>
  <c r="J3102" i="2" s="1"/>
  <c r="J3103" i="2" s="1"/>
  <c r="J3104" i="2" s="1"/>
  <c r="J3105" i="2" s="1"/>
  <c r="J3106" i="2" s="1"/>
  <c r="J3107" i="2" s="1"/>
  <c r="J3108" i="2" s="1"/>
  <c r="J3109" i="2" s="1"/>
  <c r="J3110" i="2" s="1"/>
  <c r="J3111" i="2" s="1"/>
  <c r="J3112" i="2" s="1"/>
  <c r="J3113" i="2" s="1"/>
  <c r="J3114" i="2" s="1"/>
  <c r="J3115" i="2" s="1"/>
  <c r="J3116" i="2" s="1"/>
  <c r="K3064" i="2"/>
  <c r="M3064" i="2"/>
  <c r="N3064" i="2" s="1"/>
  <c r="O3064" i="2" s="1"/>
  <c r="K3068" i="2"/>
  <c r="M3068" i="2"/>
  <c r="N3068" i="2" s="1"/>
  <c r="M3072" i="2"/>
  <c r="N3072" i="2" s="1"/>
  <c r="M3080" i="2"/>
  <c r="N3080" i="2" s="1"/>
  <c r="K3080" i="2"/>
  <c r="M3081" i="2"/>
  <c r="N3081" i="2" s="1"/>
  <c r="M3079" i="2"/>
  <c r="N3079" i="2" s="1"/>
  <c r="K3079" i="2"/>
  <c r="M3073" i="2"/>
  <c r="N3073" i="2" s="1"/>
  <c r="K3073" i="2"/>
  <c r="M3074" i="2"/>
  <c r="N3074" i="2" s="1"/>
  <c r="K3074" i="2"/>
  <c r="M3075" i="2"/>
  <c r="N3075" i="2" s="1"/>
  <c r="K3075" i="2"/>
  <c r="M3076" i="2"/>
  <c r="N3076" i="2" s="1"/>
  <c r="K3076" i="2"/>
  <c r="K3077" i="2"/>
  <c r="M3077" i="2"/>
  <c r="N3077" i="2" s="1"/>
  <c r="M3078" i="2"/>
  <c r="N3078" i="2" s="1"/>
  <c r="K3078" i="2"/>
  <c r="M3069" i="2"/>
  <c r="N3069" i="2" s="1"/>
  <c r="K3069" i="2"/>
  <c r="M3065" i="2"/>
  <c r="N3065" i="2" s="1"/>
  <c r="K3065" i="2"/>
  <c r="M3070" i="2"/>
  <c r="N3070" i="2" s="1"/>
  <c r="K3070" i="2"/>
  <c r="M3066" i="2"/>
  <c r="N3066" i="2" s="1"/>
  <c r="K3066" i="2"/>
  <c r="K3063" i="2"/>
  <c r="K3067" i="2"/>
  <c r="K3071" i="2"/>
  <c r="J3047" i="2"/>
  <c r="J3048" i="2" s="1"/>
  <c r="J3049" i="2" s="1"/>
  <c r="J3050" i="2" s="1"/>
  <c r="J3051" i="2" s="1"/>
  <c r="J3052" i="2" s="1"/>
  <c r="J3053" i="2" s="1"/>
  <c r="J3054" i="2" s="1"/>
  <c r="O3065" i="2" l="1"/>
  <c r="O3066" i="2" s="1"/>
  <c r="O3067" i="2" s="1"/>
  <c r="O3068" i="2" s="1"/>
  <c r="O3069" i="2" s="1"/>
  <c r="O3070" i="2" s="1"/>
  <c r="O3071" i="2" s="1"/>
  <c r="O3072" i="2" s="1"/>
  <c r="O3073" i="2" s="1"/>
  <c r="O3074" i="2" s="1"/>
  <c r="O3075" i="2" s="1"/>
  <c r="O3076" i="2" s="1"/>
  <c r="O3077" i="2" s="1"/>
  <c r="O3078" i="2" s="1"/>
  <c r="O3079" i="2" s="1"/>
  <c r="O3080" i="2" s="1"/>
  <c r="O3081" i="2" s="1"/>
  <c r="G2228" i="4" l="1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C313" i="7"/>
  <c r="D313" i="7"/>
  <c r="G313" i="7"/>
  <c r="H313" i="7"/>
  <c r="I313" i="7"/>
  <c r="J313" i="7"/>
  <c r="C312" i="7"/>
  <c r="D312" i="7"/>
  <c r="G312" i="7"/>
  <c r="H312" i="7"/>
  <c r="I312" i="7"/>
  <c r="J312" i="7"/>
  <c r="M1198" i="8"/>
  <c r="M1199" i="8"/>
  <c r="M1200" i="8"/>
  <c r="M1197" i="8"/>
  <c r="G2227" i="4"/>
  <c r="E313" i="7" l="1"/>
  <c r="F313" i="7" s="1"/>
  <c r="E312" i="7"/>
  <c r="F312" i="7" s="1"/>
  <c r="G2182" i="4"/>
  <c r="G2183" i="4"/>
  <c r="G2184" i="4"/>
  <c r="G2185" i="4"/>
  <c r="G2186" i="4"/>
  <c r="G2187" i="4"/>
  <c r="G2188" i="4"/>
  <c r="G2189" i="4"/>
  <c r="J121" i="7" s="1"/>
  <c r="G2190" i="4"/>
  <c r="G2191" i="4"/>
  <c r="G2192" i="4"/>
  <c r="G2193" i="4"/>
  <c r="G2194" i="4"/>
  <c r="G2195" i="4"/>
  <c r="G2196" i="4"/>
  <c r="G2197" i="4"/>
  <c r="J48" i="7" s="1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J172" i="7" s="1"/>
  <c r="G2214" i="4"/>
  <c r="G2215" i="4"/>
  <c r="G2216" i="4"/>
  <c r="G2217" i="4"/>
  <c r="G2218" i="4"/>
  <c r="G2219" i="4"/>
  <c r="G2220" i="4"/>
  <c r="G2221" i="4"/>
  <c r="J311" i="7" s="1"/>
  <c r="G2222" i="4"/>
  <c r="G2223" i="4"/>
  <c r="G2224" i="4"/>
  <c r="G2225" i="4"/>
  <c r="G2226" i="4"/>
  <c r="B17" i="14"/>
  <c r="C10" i="14"/>
  <c r="C8" i="14"/>
  <c r="C7" i="14"/>
  <c r="C6" i="14"/>
  <c r="C4" i="14"/>
  <c r="D57" i="12"/>
  <c r="D42" i="12"/>
  <c r="G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G2" i="13"/>
  <c r="F2" i="13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Q1191" i="8"/>
  <c r="O1191" i="8"/>
  <c r="M1191" i="8"/>
  <c r="Q1190" i="8"/>
  <c r="O1190" i="8"/>
  <c r="M1190" i="8"/>
  <c r="Q1189" i="8"/>
  <c r="O1189" i="8"/>
  <c r="M1189" i="8"/>
  <c r="Q1188" i="8"/>
  <c r="O1188" i="8"/>
  <c r="M1188" i="8"/>
  <c r="Q1187" i="8"/>
  <c r="O1187" i="8"/>
  <c r="M1187" i="8"/>
  <c r="Q1186" i="8"/>
  <c r="O1186" i="8"/>
  <c r="M1186" i="8"/>
  <c r="Q1185" i="8"/>
  <c r="O1185" i="8"/>
  <c r="M1185" i="8"/>
  <c r="Q1184" i="8"/>
  <c r="O1184" i="8"/>
  <c r="M1184" i="8"/>
  <c r="Q1183" i="8"/>
  <c r="O1183" i="8"/>
  <c r="M1183" i="8"/>
  <c r="Q1182" i="8"/>
  <c r="O1182" i="8"/>
  <c r="M1182" i="8"/>
  <c r="Q1181" i="8"/>
  <c r="O1181" i="8"/>
  <c r="M1181" i="8"/>
  <c r="J1003" i="8"/>
  <c r="R994" i="8"/>
  <c r="Q994" i="8"/>
  <c r="R993" i="8"/>
  <c r="Q993" i="8"/>
  <c r="R992" i="8"/>
  <c r="Q992" i="8"/>
  <c r="O962" i="8"/>
  <c r="O963" i="8" s="1"/>
  <c r="O964" i="8" s="1"/>
  <c r="O965" i="8" s="1"/>
  <c r="O966" i="8" s="1"/>
  <c r="O967" i="8" s="1"/>
  <c r="O968" i="8" s="1"/>
  <c r="O969" i="8" s="1"/>
  <c r="O970" i="8" s="1"/>
  <c r="O971" i="8" s="1"/>
  <c r="O972" i="8" s="1"/>
  <c r="O973" i="8" s="1"/>
  <c r="O974" i="8" s="1"/>
  <c r="O975" i="8" s="1"/>
  <c r="O976" i="8" s="1"/>
  <c r="O977" i="8" s="1"/>
  <c r="O978" i="8" s="1"/>
  <c r="O979" i="8" s="1"/>
  <c r="O980" i="8" s="1"/>
  <c r="O981" i="8" s="1"/>
  <c r="O982" i="8" s="1"/>
  <c r="O983" i="8" s="1"/>
  <c r="O984" i="8" s="1"/>
  <c r="O985" i="8" s="1"/>
  <c r="O986" i="8" s="1"/>
  <c r="L734" i="8"/>
  <c r="S654" i="8"/>
  <c r="S653" i="8"/>
  <c r="S652" i="8"/>
  <c r="G629" i="8"/>
  <c r="G416" i="8" a="1"/>
  <c r="G416" i="8" s="1"/>
  <c r="L339" i="8"/>
  <c r="L338" i="8"/>
  <c r="L337" i="8"/>
  <c r="L336" i="8"/>
  <c r="L335" i="8"/>
  <c r="L334" i="8"/>
  <c r="L333" i="8"/>
  <c r="L332" i="8"/>
  <c r="L331" i="8"/>
  <c r="L330" i="8"/>
  <c r="J268" i="8"/>
  <c r="G81" i="8"/>
  <c r="L56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120" i="9"/>
  <c r="J118" i="9"/>
  <c r="I118" i="9"/>
  <c r="H118" i="9"/>
  <c r="G118" i="9"/>
  <c r="J117" i="9"/>
  <c r="I117" i="9"/>
  <c r="H117" i="9"/>
  <c r="G117" i="9"/>
  <c r="J116" i="9"/>
  <c r="I116" i="9"/>
  <c r="H116" i="9"/>
  <c r="G116" i="9"/>
  <c r="J115" i="9"/>
  <c r="I115" i="9"/>
  <c r="H115" i="9"/>
  <c r="G115" i="9"/>
  <c r="J114" i="9"/>
  <c r="I114" i="9"/>
  <c r="H114" i="9"/>
  <c r="G114" i="9"/>
  <c r="J113" i="9"/>
  <c r="I113" i="9"/>
  <c r="H113" i="9"/>
  <c r="G113" i="9"/>
  <c r="J112" i="9"/>
  <c r="I112" i="9"/>
  <c r="H112" i="9"/>
  <c r="G112" i="9"/>
  <c r="J111" i="9"/>
  <c r="I111" i="9"/>
  <c r="H111" i="9"/>
  <c r="G111" i="9"/>
  <c r="J110" i="9"/>
  <c r="I110" i="9"/>
  <c r="H110" i="9"/>
  <c r="G110" i="9"/>
  <c r="J109" i="9"/>
  <c r="I109" i="9"/>
  <c r="H109" i="9"/>
  <c r="G109" i="9"/>
  <c r="J108" i="9"/>
  <c r="I108" i="9"/>
  <c r="H108" i="9"/>
  <c r="G108" i="9"/>
  <c r="J107" i="9"/>
  <c r="I107" i="9"/>
  <c r="H107" i="9"/>
  <c r="G107" i="9"/>
  <c r="J106" i="9"/>
  <c r="I106" i="9"/>
  <c r="H106" i="9"/>
  <c r="G106" i="9"/>
  <c r="J105" i="9"/>
  <c r="I105" i="9"/>
  <c r="H105" i="9"/>
  <c r="G105" i="9"/>
  <c r="J104" i="9"/>
  <c r="I104" i="9"/>
  <c r="H104" i="9"/>
  <c r="G104" i="9"/>
  <c r="J103" i="9"/>
  <c r="I103" i="9"/>
  <c r="H103" i="9"/>
  <c r="G103" i="9"/>
  <c r="J102" i="9"/>
  <c r="I102" i="9"/>
  <c r="H102" i="9"/>
  <c r="G102" i="9"/>
  <c r="J86" i="9"/>
  <c r="J84" i="9"/>
  <c r="I84" i="9"/>
  <c r="H84" i="9"/>
  <c r="G84" i="9"/>
  <c r="J83" i="9"/>
  <c r="I83" i="9"/>
  <c r="H83" i="9"/>
  <c r="G83" i="9"/>
  <c r="J82" i="9"/>
  <c r="I82" i="9"/>
  <c r="H82" i="9"/>
  <c r="G82" i="9"/>
  <c r="J81" i="9"/>
  <c r="I81" i="9"/>
  <c r="H81" i="9"/>
  <c r="G81" i="9"/>
  <c r="J80" i="9"/>
  <c r="I80" i="9"/>
  <c r="H80" i="9"/>
  <c r="G80" i="9"/>
  <c r="J79" i="9"/>
  <c r="I79" i="9"/>
  <c r="H79" i="9"/>
  <c r="G79" i="9"/>
  <c r="J78" i="9"/>
  <c r="I78" i="9"/>
  <c r="H78" i="9"/>
  <c r="G78" i="9"/>
  <c r="J77" i="9"/>
  <c r="I77" i="9"/>
  <c r="H77" i="9"/>
  <c r="G77" i="9"/>
  <c r="J76" i="9"/>
  <c r="I76" i="9"/>
  <c r="H76" i="9"/>
  <c r="G76" i="9"/>
  <c r="J75" i="9"/>
  <c r="I75" i="9"/>
  <c r="H75" i="9"/>
  <c r="G75" i="9"/>
  <c r="J74" i="9"/>
  <c r="I74" i="9"/>
  <c r="H74" i="9"/>
  <c r="G74" i="9"/>
  <c r="J73" i="9"/>
  <c r="I73" i="9"/>
  <c r="H73" i="9"/>
  <c r="G73" i="9"/>
  <c r="J72" i="9"/>
  <c r="I72" i="9"/>
  <c r="H72" i="9"/>
  <c r="G72" i="9"/>
  <c r="J71" i="9"/>
  <c r="I71" i="9"/>
  <c r="H71" i="9"/>
  <c r="G71" i="9"/>
  <c r="J70" i="9"/>
  <c r="I70" i="9"/>
  <c r="H70" i="9"/>
  <c r="G70" i="9"/>
  <c r="J69" i="9"/>
  <c r="I69" i="9"/>
  <c r="H69" i="9"/>
  <c r="G69" i="9"/>
  <c r="J68" i="9"/>
  <c r="I68" i="9"/>
  <c r="H68" i="9"/>
  <c r="G68" i="9"/>
  <c r="J67" i="9"/>
  <c r="I67" i="9"/>
  <c r="H67" i="9"/>
  <c r="G67" i="9"/>
  <c r="J66" i="9"/>
  <c r="I66" i="9"/>
  <c r="H66" i="9"/>
  <c r="G66" i="9"/>
  <c r="J65" i="9"/>
  <c r="I65" i="9"/>
  <c r="H65" i="9"/>
  <c r="G65" i="9"/>
  <c r="J64" i="9"/>
  <c r="I64" i="9"/>
  <c r="H64" i="9"/>
  <c r="G64" i="9"/>
  <c r="J63" i="9"/>
  <c r="I63" i="9"/>
  <c r="H63" i="9"/>
  <c r="G63" i="9"/>
  <c r="J62" i="9"/>
  <c r="I62" i="9"/>
  <c r="H62" i="9"/>
  <c r="G62" i="9"/>
  <c r="J61" i="9"/>
  <c r="I61" i="9"/>
  <c r="H61" i="9"/>
  <c r="G61" i="9"/>
  <c r="J60" i="9"/>
  <c r="I60" i="9"/>
  <c r="H60" i="9"/>
  <c r="G60" i="9"/>
  <c r="J59" i="9"/>
  <c r="I59" i="9"/>
  <c r="H59" i="9"/>
  <c r="G59" i="9"/>
  <c r="J58" i="9"/>
  <c r="I58" i="9"/>
  <c r="H58" i="9"/>
  <c r="G58" i="9"/>
  <c r="J57" i="9"/>
  <c r="I57" i="9"/>
  <c r="H57" i="9"/>
  <c r="G57" i="9"/>
  <c r="J56" i="9"/>
  <c r="I56" i="9"/>
  <c r="H56" i="9"/>
  <c r="G56" i="9"/>
  <c r="J55" i="9"/>
  <c r="I55" i="9"/>
  <c r="H55" i="9"/>
  <c r="G55" i="9"/>
  <c r="J54" i="9"/>
  <c r="I54" i="9"/>
  <c r="H54" i="9"/>
  <c r="G54" i="9"/>
  <c r="J53" i="9"/>
  <c r="I53" i="9"/>
  <c r="H53" i="9"/>
  <c r="G53" i="9"/>
  <c r="J52" i="9"/>
  <c r="I52" i="9"/>
  <c r="H52" i="9"/>
  <c r="G52" i="9"/>
  <c r="J51" i="9"/>
  <c r="I51" i="9"/>
  <c r="H51" i="9"/>
  <c r="G51" i="9"/>
  <c r="J50" i="9"/>
  <c r="I50" i="9"/>
  <c r="H50" i="9"/>
  <c r="G50" i="9"/>
  <c r="J49" i="9"/>
  <c r="I49" i="9"/>
  <c r="H49" i="9"/>
  <c r="G49" i="9"/>
  <c r="J48" i="9"/>
  <c r="I48" i="9"/>
  <c r="H48" i="9"/>
  <c r="G48" i="9"/>
  <c r="J47" i="9"/>
  <c r="I47" i="9"/>
  <c r="H47" i="9"/>
  <c r="G47" i="9"/>
  <c r="J46" i="9"/>
  <c r="I46" i="9"/>
  <c r="H46" i="9"/>
  <c r="G46" i="9"/>
  <c r="J45" i="9"/>
  <c r="I45" i="9"/>
  <c r="H45" i="9"/>
  <c r="G45" i="9"/>
  <c r="J44" i="9"/>
  <c r="I44" i="9"/>
  <c r="H44" i="9"/>
  <c r="G44" i="9"/>
  <c r="J43" i="9"/>
  <c r="I43" i="9"/>
  <c r="H43" i="9"/>
  <c r="G43" i="9"/>
  <c r="J42" i="9"/>
  <c r="I42" i="9"/>
  <c r="H42" i="9"/>
  <c r="G42" i="9"/>
  <c r="J41" i="9"/>
  <c r="I41" i="9"/>
  <c r="H41" i="9"/>
  <c r="G41" i="9"/>
  <c r="J40" i="9"/>
  <c r="I40" i="9"/>
  <c r="H40" i="9"/>
  <c r="G40" i="9"/>
  <c r="J39" i="9"/>
  <c r="I39" i="9"/>
  <c r="H39" i="9"/>
  <c r="G39" i="9"/>
  <c r="J38" i="9"/>
  <c r="I38" i="9"/>
  <c r="H38" i="9"/>
  <c r="G38" i="9"/>
  <c r="J37" i="9"/>
  <c r="I37" i="9"/>
  <c r="H37" i="9"/>
  <c r="G37" i="9"/>
  <c r="J36" i="9"/>
  <c r="I36" i="9"/>
  <c r="H36" i="9"/>
  <c r="G36" i="9"/>
  <c r="J35" i="9"/>
  <c r="I35" i="9"/>
  <c r="H35" i="9"/>
  <c r="G35" i="9"/>
  <c r="J34" i="9"/>
  <c r="I34" i="9"/>
  <c r="H34" i="9"/>
  <c r="G34" i="9"/>
  <c r="J33" i="9"/>
  <c r="I33" i="9"/>
  <c r="H33" i="9"/>
  <c r="G33" i="9"/>
  <c r="J32" i="9"/>
  <c r="I32" i="9"/>
  <c r="H32" i="9"/>
  <c r="G32" i="9"/>
  <c r="J31" i="9"/>
  <c r="I31" i="9"/>
  <c r="H31" i="9"/>
  <c r="G31" i="9"/>
  <c r="J30" i="9"/>
  <c r="I30" i="9"/>
  <c r="H30" i="9"/>
  <c r="G30" i="9"/>
  <c r="J29" i="9"/>
  <c r="I29" i="9"/>
  <c r="H29" i="9"/>
  <c r="G29" i="9"/>
  <c r="J28" i="9"/>
  <c r="I28" i="9"/>
  <c r="H28" i="9"/>
  <c r="G28" i="9"/>
  <c r="J27" i="9"/>
  <c r="I27" i="9"/>
  <c r="H27" i="9"/>
  <c r="G27" i="9"/>
  <c r="J26" i="9"/>
  <c r="I26" i="9"/>
  <c r="H26" i="9"/>
  <c r="G26" i="9"/>
  <c r="J25" i="9"/>
  <c r="I25" i="9"/>
  <c r="H25" i="9"/>
  <c r="G25" i="9"/>
  <c r="J24" i="9"/>
  <c r="I24" i="9"/>
  <c r="H24" i="9"/>
  <c r="G24" i="9"/>
  <c r="J23" i="9"/>
  <c r="I23" i="9"/>
  <c r="H23" i="9"/>
  <c r="G23" i="9"/>
  <c r="J22" i="9"/>
  <c r="I22" i="9"/>
  <c r="H22" i="9"/>
  <c r="G22" i="9"/>
  <c r="J20" i="9"/>
  <c r="J19" i="9"/>
  <c r="I19" i="9"/>
  <c r="H19" i="9"/>
  <c r="G19" i="9"/>
  <c r="J18" i="9"/>
  <c r="I18" i="9"/>
  <c r="H18" i="9"/>
  <c r="G18" i="9"/>
  <c r="J17" i="9"/>
  <c r="I17" i="9"/>
  <c r="H17" i="9"/>
  <c r="G17" i="9"/>
  <c r="J16" i="9"/>
  <c r="I16" i="9"/>
  <c r="H16" i="9"/>
  <c r="G16" i="9"/>
  <c r="J15" i="9"/>
  <c r="I15" i="9"/>
  <c r="H15" i="9"/>
  <c r="G15" i="9"/>
  <c r="J14" i="9"/>
  <c r="I14" i="9"/>
  <c r="H14" i="9"/>
  <c r="G14" i="9"/>
  <c r="J13" i="9"/>
  <c r="I13" i="9"/>
  <c r="H13" i="9"/>
  <c r="G13" i="9"/>
  <c r="J12" i="9"/>
  <c r="I12" i="9"/>
  <c r="H12" i="9"/>
  <c r="G12" i="9"/>
  <c r="J11" i="9"/>
  <c r="I11" i="9"/>
  <c r="H11" i="9"/>
  <c r="G11" i="9"/>
  <c r="J10" i="9"/>
  <c r="I10" i="9"/>
  <c r="H10" i="9"/>
  <c r="G10" i="9"/>
  <c r="J9" i="9"/>
  <c r="I9" i="9"/>
  <c r="H9" i="9"/>
  <c r="G9" i="9"/>
  <c r="J8" i="9"/>
  <c r="I8" i="9"/>
  <c r="H8" i="9"/>
  <c r="G8" i="9"/>
  <c r="J7" i="9"/>
  <c r="I7" i="9"/>
  <c r="H7" i="9"/>
  <c r="G7" i="9"/>
  <c r="J6" i="9"/>
  <c r="I6" i="9"/>
  <c r="H6" i="9"/>
  <c r="G6" i="9"/>
  <c r="J5" i="9"/>
  <c r="I5" i="9"/>
  <c r="H5" i="9"/>
  <c r="G5" i="9"/>
  <c r="J4" i="9"/>
  <c r="I4" i="9"/>
  <c r="H4" i="9"/>
  <c r="G4" i="9"/>
  <c r="J3" i="9"/>
  <c r="I3" i="9"/>
  <c r="H3" i="9"/>
  <c r="G3" i="9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L59" i="3"/>
  <c r="F59" i="3"/>
  <c r="L58" i="3"/>
  <c r="F58" i="3"/>
  <c r="L57" i="3"/>
  <c r="F57" i="3"/>
  <c r="L56" i="3"/>
  <c r="F56" i="3"/>
  <c r="L55" i="3"/>
  <c r="F55" i="3"/>
  <c r="L54" i="3"/>
  <c r="F54" i="3"/>
  <c r="L53" i="3"/>
  <c r="F53" i="3"/>
  <c r="L52" i="3"/>
  <c r="F52" i="3"/>
  <c r="L51" i="3"/>
  <c r="F51" i="3"/>
  <c r="L50" i="3"/>
  <c r="F50" i="3"/>
  <c r="L49" i="3"/>
  <c r="F49" i="3"/>
  <c r="L48" i="3"/>
  <c r="F48" i="3"/>
  <c r="L47" i="3"/>
  <c r="F47" i="3"/>
  <c r="L46" i="3"/>
  <c r="F46" i="3"/>
  <c r="L45" i="3"/>
  <c r="F45" i="3"/>
  <c r="L44" i="3"/>
  <c r="F44" i="3"/>
  <c r="L43" i="3"/>
  <c r="F43" i="3"/>
  <c r="L42" i="3"/>
  <c r="F42" i="3"/>
  <c r="L41" i="3"/>
  <c r="F41" i="3"/>
  <c r="L40" i="3"/>
  <c r="F40" i="3"/>
  <c r="L39" i="3"/>
  <c r="F39" i="3"/>
  <c r="L38" i="3"/>
  <c r="F38" i="3"/>
  <c r="L37" i="3"/>
  <c r="F37" i="3"/>
  <c r="L36" i="3"/>
  <c r="F36" i="3"/>
  <c r="L35" i="3"/>
  <c r="F35" i="3"/>
  <c r="L34" i="3"/>
  <c r="F34" i="3"/>
  <c r="L33" i="3"/>
  <c r="F33" i="3"/>
  <c r="L32" i="3"/>
  <c r="F32" i="3"/>
  <c r="L31" i="3"/>
  <c r="F31" i="3"/>
  <c r="L30" i="3"/>
  <c r="F30" i="3"/>
  <c r="L29" i="3"/>
  <c r="F29" i="3"/>
  <c r="L28" i="3"/>
  <c r="F28" i="3"/>
  <c r="L27" i="3"/>
  <c r="F27" i="3"/>
  <c r="L26" i="3"/>
  <c r="F26" i="3"/>
  <c r="L25" i="3"/>
  <c r="F25" i="3"/>
  <c r="L24" i="3"/>
  <c r="F24" i="3"/>
  <c r="L23" i="3"/>
  <c r="F23" i="3"/>
  <c r="L22" i="3"/>
  <c r="F22" i="3"/>
  <c r="L21" i="3"/>
  <c r="F21" i="3"/>
  <c r="L20" i="3"/>
  <c r="F20" i="3"/>
  <c r="L19" i="3"/>
  <c r="F19" i="3"/>
  <c r="L18" i="3"/>
  <c r="F18" i="3"/>
  <c r="L17" i="3"/>
  <c r="F17" i="3"/>
  <c r="L16" i="3"/>
  <c r="F16" i="3"/>
  <c r="L15" i="3"/>
  <c r="F15" i="3"/>
  <c r="L14" i="3"/>
  <c r="F14" i="3"/>
  <c r="L13" i="3"/>
  <c r="F13" i="3"/>
  <c r="L12" i="3"/>
  <c r="F12" i="3"/>
  <c r="L11" i="3"/>
  <c r="F11" i="3"/>
  <c r="L10" i="3"/>
  <c r="F10" i="3"/>
  <c r="L9" i="3"/>
  <c r="F9" i="3"/>
  <c r="L8" i="3"/>
  <c r="F8" i="3"/>
  <c r="L7" i="3"/>
  <c r="F7" i="3"/>
  <c r="L6" i="3"/>
  <c r="F6" i="3"/>
  <c r="L5" i="3"/>
  <c r="F5" i="3"/>
  <c r="L4" i="3"/>
  <c r="F4" i="3"/>
  <c r="F1084" i="5"/>
  <c r="G1084" i="5" s="1"/>
  <c r="F1083" i="5"/>
  <c r="G1083" i="5" s="1"/>
  <c r="F1082" i="5"/>
  <c r="G1082" i="5" s="1"/>
  <c r="F1081" i="5"/>
  <c r="G1081" i="5" s="1"/>
  <c r="F1080" i="5"/>
  <c r="G1080" i="5" s="1"/>
  <c r="F1079" i="5"/>
  <c r="G1079" i="5" s="1"/>
  <c r="F1078" i="5"/>
  <c r="G1078" i="5" s="1"/>
  <c r="F1077" i="5"/>
  <c r="G1077" i="5" s="1"/>
  <c r="F1076" i="5"/>
  <c r="G1076" i="5" s="1"/>
  <c r="F1075" i="5"/>
  <c r="G1075" i="5" s="1"/>
  <c r="F1074" i="5"/>
  <c r="G1074" i="5" s="1"/>
  <c r="F1073" i="5"/>
  <c r="G1073" i="5" s="1"/>
  <c r="F1072" i="5"/>
  <c r="G1072" i="5" s="1"/>
  <c r="F1071" i="5"/>
  <c r="G1071" i="5" s="1"/>
  <c r="F1070" i="5"/>
  <c r="G1070" i="5" s="1"/>
  <c r="F1069" i="5"/>
  <c r="G1069" i="5" s="1"/>
  <c r="F1068" i="5"/>
  <c r="G1068" i="5" s="1"/>
  <c r="F1067" i="5"/>
  <c r="G1067" i="5" s="1"/>
  <c r="F1066" i="5"/>
  <c r="G1066" i="5" s="1"/>
  <c r="F1065" i="5"/>
  <c r="G1065" i="5" s="1"/>
  <c r="F1064" i="5"/>
  <c r="G1064" i="5" s="1"/>
  <c r="F1063" i="5"/>
  <c r="G1063" i="5" s="1"/>
  <c r="F1062" i="5"/>
  <c r="G1062" i="5" s="1"/>
  <c r="F1061" i="5"/>
  <c r="G1061" i="5" s="1"/>
  <c r="F1060" i="5"/>
  <c r="G1060" i="5" s="1"/>
  <c r="F1059" i="5"/>
  <c r="G1059" i="5" s="1"/>
  <c r="F1058" i="5"/>
  <c r="G1058" i="5" s="1"/>
  <c r="F1057" i="5"/>
  <c r="G1057" i="5" s="1"/>
  <c r="F1056" i="5"/>
  <c r="G1056" i="5" s="1"/>
  <c r="F1055" i="5"/>
  <c r="G1055" i="5" s="1"/>
  <c r="F1054" i="5"/>
  <c r="G1054" i="5" s="1"/>
  <c r="F1053" i="5"/>
  <c r="G1053" i="5" s="1"/>
  <c r="F1052" i="5"/>
  <c r="G1052" i="5" s="1"/>
  <c r="F1051" i="5"/>
  <c r="G1051" i="5" s="1"/>
  <c r="F1050" i="5"/>
  <c r="G1050" i="5" s="1"/>
  <c r="F1049" i="5"/>
  <c r="G1049" i="5" s="1"/>
  <c r="F1048" i="5"/>
  <c r="G1048" i="5" s="1"/>
  <c r="F1047" i="5"/>
  <c r="G1047" i="5" s="1"/>
  <c r="F1046" i="5"/>
  <c r="G1046" i="5" s="1"/>
  <c r="F1045" i="5"/>
  <c r="G1045" i="5" s="1"/>
  <c r="F1044" i="5"/>
  <c r="G1044" i="5" s="1"/>
  <c r="F1043" i="5"/>
  <c r="G1043" i="5" s="1"/>
  <c r="F1042" i="5"/>
  <c r="G1042" i="5" s="1"/>
  <c r="F1041" i="5"/>
  <c r="G1041" i="5" s="1"/>
  <c r="F1040" i="5"/>
  <c r="G1040" i="5" s="1"/>
  <c r="F1039" i="5"/>
  <c r="G1039" i="5" s="1"/>
  <c r="F1038" i="5"/>
  <c r="G1038" i="5" s="1"/>
  <c r="F1037" i="5"/>
  <c r="G1037" i="5" s="1"/>
  <c r="F1036" i="5"/>
  <c r="G1036" i="5" s="1"/>
  <c r="F1035" i="5"/>
  <c r="G1035" i="5" s="1"/>
  <c r="F1034" i="5"/>
  <c r="G1034" i="5" s="1"/>
  <c r="F1033" i="5"/>
  <c r="G1033" i="5" s="1"/>
  <c r="F1032" i="5"/>
  <c r="G1032" i="5" s="1"/>
  <c r="F1031" i="5"/>
  <c r="G1031" i="5" s="1"/>
  <c r="F1030" i="5"/>
  <c r="G1030" i="5" s="1"/>
  <c r="F1029" i="5"/>
  <c r="G1029" i="5" s="1"/>
  <c r="F1028" i="5"/>
  <c r="G1028" i="5" s="1"/>
  <c r="F1027" i="5"/>
  <c r="G1027" i="5" s="1"/>
  <c r="F1026" i="5"/>
  <c r="G1026" i="5" s="1"/>
  <c r="F1025" i="5"/>
  <c r="G1025" i="5" s="1"/>
  <c r="F1024" i="5"/>
  <c r="G1024" i="5" s="1"/>
  <c r="F1023" i="5"/>
  <c r="G1023" i="5" s="1"/>
  <c r="F1022" i="5"/>
  <c r="G1022" i="5" s="1"/>
  <c r="F1021" i="5"/>
  <c r="G1021" i="5" s="1"/>
  <c r="F1020" i="5"/>
  <c r="G1020" i="5" s="1"/>
  <c r="F1019" i="5"/>
  <c r="G1019" i="5" s="1"/>
  <c r="F1018" i="5"/>
  <c r="G1018" i="5" s="1"/>
  <c r="F1017" i="5"/>
  <c r="G1017" i="5" s="1"/>
  <c r="F1016" i="5"/>
  <c r="G1016" i="5" s="1"/>
  <c r="F1015" i="5"/>
  <c r="G1015" i="5" s="1"/>
  <c r="F1014" i="5"/>
  <c r="G1014" i="5" s="1"/>
  <c r="F1013" i="5"/>
  <c r="G1013" i="5" s="1"/>
  <c r="F1012" i="5"/>
  <c r="G1012" i="5" s="1"/>
  <c r="F1011" i="5"/>
  <c r="G1011" i="5" s="1"/>
  <c r="F1010" i="5"/>
  <c r="G1010" i="5" s="1"/>
  <c r="F1009" i="5"/>
  <c r="G1009" i="5" s="1"/>
  <c r="F1008" i="5"/>
  <c r="G1008" i="5" s="1"/>
  <c r="F1007" i="5"/>
  <c r="G1007" i="5" s="1"/>
  <c r="F1006" i="5"/>
  <c r="G1006" i="5" s="1"/>
  <c r="F1005" i="5"/>
  <c r="G1005" i="5" s="1"/>
  <c r="F1004" i="5"/>
  <c r="G1004" i="5" s="1"/>
  <c r="F1003" i="5"/>
  <c r="G1003" i="5" s="1"/>
  <c r="F1002" i="5"/>
  <c r="G1002" i="5" s="1"/>
  <c r="F1001" i="5"/>
  <c r="G1001" i="5" s="1"/>
  <c r="F1000" i="5"/>
  <c r="G1000" i="5" s="1"/>
  <c r="F999" i="5"/>
  <c r="G999" i="5" s="1"/>
  <c r="F998" i="5"/>
  <c r="G998" i="5" s="1"/>
  <c r="F997" i="5"/>
  <c r="G997" i="5" s="1"/>
  <c r="F996" i="5"/>
  <c r="G996" i="5" s="1"/>
  <c r="F995" i="5"/>
  <c r="G995" i="5" s="1"/>
  <c r="F994" i="5"/>
  <c r="G994" i="5" s="1"/>
  <c r="F993" i="5"/>
  <c r="G993" i="5" s="1"/>
  <c r="F992" i="5"/>
  <c r="G992" i="5" s="1"/>
  <c r="F991" i="5"/>
  <c r="G991" i="5" s="1"/>
  <c r="F990" i="5"/>
  <c r="G990" i="5" s="1"/>
  <c r="F989" i="5"/>
  <c r="G989" i="5" s="1"/>
  <c r="F988" i="5"/>
  <c r="G988" i="5" s="1"/>
  <c r="F987" i="5"/>
  <c r="G987" i="5" s="1"/>
  <c r="F986" i="5"/>
  <c r="G986" i="5" s="1"/>
  <c r="F985" i="5"/>
  <c r="G985" i="5" s="1"/>
  <c r="F984" i="5"/>
  <c r="G984" i="5" s="1"/>
  <c r="F983" i="5"/>
  <c r="G983" i="5" s="1"/>
  <c r="F982" i="5"/>
  <c r="G982" i="5" s="1"/>
  <c r="F981" i="5"/>
  <c r="G981" i="5" s="1"/>
  <c r="F980" i="5"/>
  <c r="G980" i="5" s="1"/>
  <c r="F979" i="5"/>
  <c r="G979" i="5" s="1"/>
  <c r="F978" i="5"/>
  <c r="G978" i="5" s="1"/>
  <c r="F977" i="5"/>
  <c r="G977" i="5" s="1"/>
  <c r="F976" i="5"/>
  <c r="G976" i="5" s="1"/>
  <c r="F975" i="5"/>
  <c r="G975" i="5" s="1"/>
  <c r="F974" i="5"/>
  <c r="G974" i="5" s="1"/>
  <c r="F973" i="5"/>
  <c r="G973" i="5" s="1"/>
  <c r="F972" i="5"/>
  <c r="G972" i="5" s="1"/>
  <c r="F971" i="5"/>
  <c r="G971" i="5" s="1"/>
  <c r="F970" i="5"/>
  <c r="G970" i="5" s="1"/>
  <c r="F969" i="5"/>
  <c r="G969" i="5" s="1"/>
  <c r="F968" i="5"/>
  <c r="G968" i="5" s="1"/>
  <c r="F967" i="5"/>
  <c r="G967" i="5" s="1"/>
  <c r="F966" i="5"/>
  <c r="G966" i="5" s="1"/>
  <c r="F965" i="5"/>
  <c r="G965" i="5" s="1"/>
  <c r="F964" i="5"/>
  <c r="G964" i="5" s="1"/>
  <c r="F963" i="5"/>
  <c r="G963" i="5" s="1"/>
  <c r="F962" i="5"/>
  <c r="G962" i="5" s="1"/>
  <c r="F961" i="5"/>
  <c r="G961" i="5" s="1"/>
  <c r="F960" i="5"/>
  <c r="G960" i="5" s="1"/>
  <c r="F959" i="5"/>
  <c r="G959" i="5" s="1"/>
  <c r="F958" i="5"/>
  <c r="G958" i="5" s="1"/>
  <c r="F957" i="5"/>
  <c r="G957" i="5" s="1"/>
  <c r="F956" i="5"/>
  <c r="G956" i="5" s="1"/>
  <c r="F955" i="5"/>
  <c r="G955" i="5" s="1"/>
  <c r="F954" i="5"/>
  <c r="G954" i="5" s="1"/>
  <c r="F953" i="5"/>
  <c r="G953" i="5" s="1"/>
  <c r="F952" i="5"/>
  <c r="G952" i="5" s="1"/>
  <c r="F951" i="5"/>
  <c r="G951" i="5" s="1"/>
  <c r="F950" i="5"/>
  <c r="G950" i="5" s="1"/>
  <c r="F949" i="5"/>
  <c r="G949" i="5" s="1"/>
  <c r="F948" i="5"/>
  <c r="G948" i="5" s="1"/>
  <c r="F947" i="5"/>
  <c r="G947" i="5" s="1"/>
  <c r="F946" i="5"/>
  <c r="G946" i="5" s="1"/>
  <c r="F945" i="5"/>
  <c r="G945" i="5" s="1"/>
  <c r="F944" i="5"/>
  <c r="G944" i="5" s="1"/>
  <c r="F943" i="5"/>
  <c r="G943" i="5" s="1"/>
  <c r="F942" i="5"/>
  <c r="G942" i="5" s="1"/>
  <c r="F941" i="5"/>
  <c r="G941" i="5" s="1"/>
  <c r="F940" i="5"/>
  <c r="G940" i="5" s="1"/>
  <c r="F939" i="5"/>
  <c r="G939" i="5" s="1"/>
  <c r="F938" i="5"/>
  <c r="G938" i="5" s="1"/>
  <c r="F937" i="5"/>
  <c r="G937" i="5" s="1"/>
  <c r="F936" i="5"/>
  <c r="G936" i="5" s="1"/>
  <c r="F935" i="5"/>
  <c r="G935" i="5" s="1"/>
  <c r="F934" i="5"/>
  <c r="G934" i="5" s="1"/>
  <c r="F933" i="5"/>
  <c r="G933" i="5" s="1"/>
  <c r="F932" i="5"/>
  <c r="G932" i="5" s="1"/>
  <c r="F931" i="5"/>
  <c r="G931" i="5" s="1"/>
  <c r="F930" i="5"/>
  <c r="G930" i="5" s="1"/>
  <c r="F929" i="5"/>
  <c r="G929" i="5" s="1"/>
  <c r="F928" i="5"/>
  <c r="G928" i="5" s="1"/>
  <c r="F927" i="5"/>
  <c r="G927" i="5" s="1"/>
  <c r="F926" i="5"/>
  <c r="G926" i="5" s="1"/>
  <c r="F925" i="5"/>
  <c r="G925" i="5" s="1"/>
  <c r="F924" i="5"/>
  <c r="G924" i="5" s="1"/>
  <c r="F923" i="5"/>
  <c r="G923" i="5" s="1"/>
  <c r="F922" i="5"/>
  <c r="G922" i="5" s="1"/>
  <c r="F921" i="5"/>
  <c r="G921" i="5" s="1"/>
  <c r="F920" i="5"/>
  <c r="G920" i="5" s="1"/>
  <c r="F919" i="5"/>
  <c r="G919" i="5" s="1"/>
  <c r="F918" i="5"/>
  <c r="G918" i="5" s="1"/>
  <c r="F917" i="5"/>
  <c r="G917" i="5" s="1"/>
  <c r="F916" i="5"/>
  <c r="G916" i="5" s="1"/>
  <c r="F915" i="5"/>
  <c r="G915" i="5" s="1"/>
  <c r="F914" i="5"/>
  <c r="G914" i="5" s="1"/>
  <c r="F913" i="5"/>
  <c r="G913" i="5" s="1"/>
  <c r="F912" i="5"/>
  <c r="G912" i="5" s="1"/>
  <c r="F911" i="5"/>
  <c r="G911" i="5" s="1"/>
  <c r="F910" i="5"/>
  <c r="G910" i="5" s="1"/>
  <c r="F909" i="5"/>
  <c r="G909" i="5" s="1"/>
  <c r="F908" i="5"/>
  <c r="G908" i="5" s="1"/>
  <c r="F907" i="5"/>
  <c r="G907" i="5" s="1"/>
  <c r="F906" i="5"/>
  <c r="G906" i="5" s="1"/>
  <c r="F905" i="5"/>
  <c r="G905" i="5" s="1"/>
  <c r="F904" i="5"/>
  <c r="G904" i="5" s="1"/>
  <c r="F903" i="5"/>
  <c r="G903" i="5" s="1"/>
  <c r="F902" i="5"/>
  <c r="G902" i="5" s="1"/>
  <c r="F901" i="5"/>
  <c r="G901" i="5" s="1"/>
  <c r="F900" i="5"/>
  <c r="G900" i="5" s="1"/>
  <c r="F899" i="5"/>
  <c r="G899" i="5" s="1"/>
  <c r="F898" i="5"/>
  <c r="G898" i="5" s="1"/>
  <c r="F897" i="5"/>
  <c r="G897" i="5" s="1"/>
  <c r="F896" i="5"/>
  <c r="G896" i="5" s="1"/>
  <c r="F895" i="5"/>
  <c r="G895" i="5" s="1"/>
  <c r="F894" i="5"/>
  <c r="G894" i="5" s="1"/>
  <c r="F893" i="5"/>
  <c r="G893" i="5" s="1"/>
  <c r="F892" i="5"/>
  <c r="G892" i="5" s="1"/>
  <c r="F891" i="5"/>
  <c r="G891" i="5" s="1"/>
  <c r="F890" i="5"/>
  <c r="G890" i="5" s="1"/>
  <c r="F889" i="5"/>
  <c r="G889" i="5" s="1"/>
  <c r="F888" i="5"/>
  <c r="G888" i="5" s="1"/>
  <c r="F887" i="5"/>
  <c r="G887" i="5" s="1"/>
  <c r="F886" i="5"/>
  <c r="G886" i="5" s="1"/>
  <c r="F885" i="5"/>
  <c r="G885" i="5" s="1"/>
  <c r="F884" i="5"/>
  <c r="G884" i="5" s="1"/>
  <c r="F883" i="5"/>
  <c r="G883" i="5" s="1"/>
  <c r="F882" i="5"/>
  <c r="G882" i="5" s="1"/>
  <c r="F881" i="5"/>
  <c r="G881" i="5" s="1"/>
  <c r="F880" i="5"/>
  <c r="G880" i="5" s="1"/>
  <c r="F879" i="5"/>
  <c r="G879" i="5" s="1"/>
  <c r="F878" i="5"/>
  <c r="G878" i="5" s="1"/>
  <c r="F877" i="5"/>
  <c r="G877" i="5" s="1"/>
  <c r="F876" i="5"/>
  <c r="G876" i="5" s="1"/>
  <c r="F875" i="5"/>
  <c r="G875" i="5" s="1"/>
  <c r="F874" i="5"/>
  <c r="G874" i="5" s="1"/>
  <c r="F873" i="5"/>
  <c r="G873" i="5" s="1"/>
  <c r="F872" i="5"/>
  <c r="G872" i="5" s="1"/>
  <c r="F871" i="5"/>
  <c r="G871" i="5" s="1"/>
  <c r="F870" i="5"/>
  <c r="G870" i="5" s="1"/>
  <c r="F869" i="5"/>
  <c r="G869" i="5" s="1"/>
  <c r="F868" i="5"/>
  <c r="G868" i="5" s="1"/>
  <c r="F867" i="5"/>
  <c r="G867" i="5" s="1"/>
  <c r="F866" i="5"/>
  <c r="G866" i="5" s="1"/>
  <c r="F865" i="5"/>
  <c r="G865" i="5" s="1"/>
  <c r="F864" i="5"/>
  <c r="G864" i="5" s="1"/>
  <c r="F863" i="5"/>
  <c r="G863" i="5" s="1"/>
  <c r="F862" i="5"/>
  <c r="G862" i="5" s="1"/>
  <c r="F861" i="5"/>
  <c r="G861" i="5" s="1"/>
  <c r="F860" i="5"/>
  <c r="G860" i="5" s="1"/>
  <c r="F859" i="5"/>
  <c r="G859" i="5" s="1"/>
  <c r="F858" i="5"/>
  <c r="G858" i="5" s="1"/>
  <c r="F857" i="5"/>
  <c r="G857" i="5" s="1"/>
  <c r="F856" i="5"/>
  <c r="G856" i="5" s="1"/>
  <c r="F855" i="5"/>
  <c r="G855" i="5" s="1"/>
  <c r="F854" i="5"/>
  <c r="G854" i="5" s="1"/>
  <c r="F853" i="5"/>
  <c r="G853" i="5" s="1"/>
  <c r="F852" i="5"/>
  <c r="G852" i="5" s="1"/>
  <c r="F851" i="5"/>
  <c r="G851" i="5" s="1"/>
  <c r="F850" i="5"/>
  <c r="G850" i="5" s="1"/>
  <c r="F849" i="5"/>
  <c r="G849" i="5" s="1"/>
  <c r="F848" i="5"/>
  <c r="G848" i="5" s="1"/>
  <c r="F847" i="5"/>
  <c r="G847" i="5" s="1"/>
  <c r="F846" i="5"/>
  <c r="G846" i="5" s="1"/>
  <c r="F845" i="5"/>
  <c r="G845" i="5" s="1"/>
  <c r="F844" i="5"/>
  <c r="G844" i="5" s="1"/>
  <c r="F843" i="5"/>
  <c r="G843" i="5" s="1"/>
  <c r="F842" i="5"/>
  <c r="G842" i="5" s="1"/>
  <c r="F841" i="5"/>
  <c r="G841" i="5" s="1"/>
  <c r="F840" i="5"/>
  <c r="G840" i="5" s="1"/>
  <c r="F839" i="5"/>
  <c r="G839" i="5" s="1"/>
  <c r="F838" i="5"/>
  <c r="G838" i="5" s="1"/>
  <c r="F837" i="5"/>
  <c r="G837" i="5" s="1"/>
  <c r="F836" i="5"/>
  <c r="G836" i="5" s="1"/>
  <c r="F835" i="5"/>
  <c r="G835" i="5" s="1"/>
  <c r="F834" i="5"/>
  <c r="G834" i="5" s="1"/>
  <c r="F833" i="5"/>
  <c r="G833" i="5" s="1"/>
  <c r="F832" i="5"/>
  <c r="G832" i="5" s="1"/>
  <c r="F831" i="5"/>
  <c r="G831" i="5" s="1"/>
  <c r="F830" i="5"/>
  <c r="G830" i="5" s="1"/>
  <c r="F829" i="5"/>
  <c r="G829" i="5" s="1"/>
  <c r="F828" i="5"/>
  <c r="G828" i="5" s="1"/>
  <c r="F827" i="5"/>
  <c r="G827" i="5" s="1"/>
  <c r="F826" i="5"/>
  <c r="G826" i="5" s="1"/>
  <c r="F825" i="5"/>
  <c r="G825" i="5" s="1"/>
  <c r="F824" i="5"/>
  <c r="G824" i="5" s="1"/>
  <c r="F823" i="5"/>
  <c r="G823" i="5" s="1"/>
  <c r="F822" i="5"/>
  <c r="G822" i="5" s="1"/>
  <c r="F821" i="5"/>
  <c r="G821" i="5" s="1"/>
  <c r="F820" i="5"/>
  <c r="G820" i="5" s="1"/>
  <c r="F819" i="5"/>
  <c r="G819" i="5" s="1"/>
  <c r="F818" i="5"/>
  <c r="G818" i="5" s="1"/>
  <c r="F817" i="5"/>
  <c r="G817" i="5" s="1"/>
  <c r="F816" i="5"/>
  <c r="G816" i="5" s="1"/>
  <c r="F815" i="5"/>
  <c r="G815" i="5" s="1"/>
  <c r="F814" i="5"/>
  <c r="G814" i="5" s="1"/>
  <c r="F813" i="5"/>
  <c r="G813" i="5" s="1"/>
  <c r="F812" i="5"/>
  <c r="G812" i="5" s="1"/>
  <c r="F811" i="5"/>
  <c r="G811" i="5" s="1"/>
  <c r="F810" i="5"/>
  <c r="G810" i="5" s="1"/>
  <c r="F809" i="5"/>
  <c r="G809" i="5" s="1"/>
  <c r="F808" i="5"/>
  <c r="G808" i="5" s="1"/>
  <c r="F807" i="5"/>
  <c r="G807" i="5" s="1"/>
  <c r="F806" i="5"/>
  <c r="G806" i="5" s="1"/>
  <c r="F805" i="5"/>
  <c r="G805" i="5" s="1"/>
  <c r="F804" i="5"/>
  <c r="G804" i="5" s="1"/>
  <c r="F803" i="5"/>
  <c r="G803" i="5" s="1"/>
  <c r="F802" i="5"/>
  <c r="G802" i="5" s="1"/>
  <c r="F801" i="5"/>
  <c r="G801" i="5" s="1"/>
  <c r="F800" i="5"/>
  <c r="G800" i="5" s="1"/>
  <c r="F799" i="5"/>
  <c r="G799" i="5" s="1"/>
  <c r="F798" i="5"/>
  <c r="G798" i="5" s="1"/>
  <c r="F797" i="5"/>
  <c r="G797" i="5" s="1"/>
  <c r="F796" i="5"/>
  <c r="G796" i="5" s="1"/>
  <c r="F795" i="5"/>
  <c r="G795" i="5" s="1"/>
  <c r="F794" i="5"/>
  <c r="G794" i="5" s="1"/>
  <c r="F793" i="5"/>
  <c r="G793" i="5" s="1"/>
  <c r="F792" i="5"/>
  <c r="G792" i="5" s="1"/>
  <c r="F791" i="5"/>
  <c r="G791" i="5" s="1"/>
  <c r="F790" i="5"/>
  <c r="G790" i="5" s="1"/>
  <c r="F789" i="5"/>
  <c r="G789" i="5" s="1"/>
  <c r="F788" i="5"/>
  <c r="G788" i="5" s="1"/>
  <c r="F787" i="5"/>
  <c r="G787" i="5" s="1"/>
  <c r="F786" i="5"/>
  <c r="G786" i="5" s="1"/>
  <c r="F785" i="5"/>
  <c r="G785" i="5" s="1"/>
  <c r="F784" i="5"/>
  <c r="G784" i="5" s="1"/>
  <c r="F783" i="5"/>
  <c r="G783" i="5" s="1"/>
  <c r="F782" i="5"/>
  <c r="G782" i="5" s="1"/>
  <c r="F781" i="5"/>
  <c r="G781" i="5" s="1"/>
  <c r="F780" i="5"/>
  <c r="G780" i="5" s="1"/>
  <c r="F779" i="5"/>
  <c r="G779" i="5" s="1"/>
  <c r="F778" i="5"/>
  <c r="G778" i="5" s="1"/>
  <c r="F777" i="5"/>
  <c r="G777" i="5" s="1"/>
  <c r="F776" i="5"/>
  <c r="G776" i="5" s="1"/>
  <c r="F775" i="5"/>
  <c r="G775" i="5" s="1"/>
  <c r="F774" i="5"/>
  <c r="G774" i="5" s="1"/>
  <c r="F773" i="5"/>
  <c r="G773" i="5" s="1"/>
  <c r="F772" i="5"/>
  <c r="G772" i="5" s="1"/>
  <c r="F771" i="5"/>
  <c r="G771" i="5" s="1"/>
  <c r="F770" i="5"/>
  <c r="G770" i="5" s="1"/>
  <c r="F769" i="5"/>
  <c r="G769" i="5" s="1"/>
  <c r="F768" i="5"/>
  <c r="G768" i="5" s="1"/>
  <c r="F767" i="5"/>
  <c r="G767" i="5" s="1"/>
  <c r="F766" i="5"/>
  <c r="G766" i="5" s="1"/>
  <c r="F765" i="5"/>
  <c r="G765" i="5" s="1"/>
  <c r="F764" i="5"/>
  <c r="G764" i="5" s="1"/>
  <c r="F763" i="5"/>
  <c r="G763" i="5" s="1"/>
  <c r="F762" i="5"/>
  <c r="G762" i="5" s="1"/>
  <c r="F761" i="5"/>
  <c r="G761" i="5" s="1"/>
  <c r="F760" i="5"/>
  <c r="G760" i="5" s="1"/>
  <c r="F759" i="5"/>
  <c r="G759" i="5" s="1"/>
  <c r="F758" i="5"/>
  <c r="G758" i="5" s="1"/>
  <c r="F757" i="5"/>
  <c r="G757" i="5" s="1"/>
  <c r="F756" i="5"/>
  <c r="G756" i="5" s="1"/>
  <c r="F755" i="5"/>
  <c r="G755" i="5" s="1"/>
  <c r="F754" i="5"/>
  <c r="G754" i="5" s="1"/>
  <c r="F753" i="5"/>
  <c r="G753" i="5" s="1"/>
  <c r="F752" i="5"/>
  <c r="G752" i="5" s="1"/>
  <c r="F751" i="5"/>
  <c r="G751" i="5" s="1"/>
  <c r="F750" i="5"/>
  <c r="G750" i="5" s="1"/>
  <c r="F749" i="5"/>
  <c r="G749" i="5" s="1"/>
  <c r="F748" i="5"/>
  <c r="G748" i="5" s="1"/>
  <c r="F747" i="5"/>
  <c r="G747" i="5" s="1"/>
  <c r="F746" i="5"/>
  <c r="G746" i="5" s="1"/>
  <c r="F745" i="5"/>
  <c r="G745" i="5" s="1"/>
  <c r="F744" i="5"/>
  <c r="G744" i="5" s="1"/>
  <c r="F743" i="5"/>
  <c r="G743" i="5" s="1"/>
  <c r="F742" i="5"/>
  <c r="G742" i="5" s="1"/>
  <c r="F741" i="5"/>
  <c r="G741" i="5" s="1"/>
  <c r="F740" i="5"/>
  <c r="G740" i="5" s="1"/>
  <c r="F739" i="5"/>
  <c r="G739" i="5" s="1"/>
  <c r="F738" i="5"/>
  <c r="G738" i="5" s="1"/>
  <c r="F737" i="5"/>
  <c r="G737" i="5" s="1"/>
  <c r="F736" i="5"/>
  <c r="G736" i="5" s="1"/>
  <c r="F735" i="5"/>
  <c r="G735" i="5" s="1"/>
  <c r="F734" i="5"/>
  <c r="G734" i="5" s="1"/>
  <c r="F733" i="5"/>
  <c r="G733" i="5" s="1"/>
  <c r="F732" i="5"/>
  <c r="G732" i="5" s="1"/>
  <c r="F731" i="5"/>
  <c r="G731" i="5" s="1"/>
  <c r="F730" i="5"/>
  <c r="G730" i="5" s="1"/>
  <c r="F729" i="5"/>
  <c r="G729" i="5" s="1"/>
  <c r="F728" i="5"/>
  <c r="G728" i="5" s="1"/>
  <c r="F727" i="5"/>
  <c r="G727" i="5" s="1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 s="1"/>
  <c r="F719" i="5"/>
  <c r="G719" i="5" s="1"/>
  <c r="F718" i="5"/>
  <c r="G718" i="5" s="1"/>
  <c r="F717" i="5"/>
  <c r="G717" i="5" s="1"/>
  <c r="F716" i="5"/>
  <c r="G716" i="5" s="1"/>
  <c r="F715" i="5"/>
  <c r="G715" i="5" s="1"/>
  <c r="F714" i="5"/>
  <c r="G714" i="5" s="1"/>
  <c r="F713" i="5"/>
  <c r="G713" i="5" s="1"/>
  <c r="F712" i="5"/>
  <c r="G712" i="5" s="1"/>
  <c r="F711" i="5"/>
  <c r="G711" i="5" s="1"/>
  <c r="F710" i="5"/>
  <c r="G710" i="5" s="1"/>
  <c r="F709" i="5"/>
  <c r="G709" i="5" s="1"/>
  <c r="F708" i="5"/>
  <c r="G708" i="5" s="1"/>
  <c r="F707" i="5"/>
  <c r="G707" i="5" s="1"/>
  <c r="F706" i="5"/>
  <c r="G706" i="5" s="1"/>
  <c r="F705" i="5"/>
  <c r="G705" i="5" s="1"/>
  <c r="F704" i="5"/>
  <c r="G704" i="5" s="1"/>
  <c r="F703" i="5"/>
  <c r="G703" i="5" s="1"/>
  <c r="F702" i="5"/>
  <c r="G702" i="5" s="1"/>
  <c r="F701" i="5"/>
  <c r="G701" i="5" s="1"/>
  <c r="F700" i="5"/>
  <c r="G700" i="5" s="1"/>
  <c r="F699" i="5"/>
  <c r="G699" i="5" s="1"/>
  <c r="F698" i="5"/>
  <c r="G698" i="5" s="1"/>
  <c r="F697" i="5"/>
  <c r="G697" i="5" s="1"/>
  <c r="F696" i="5"/>
  <c r="G696" i="5" s="1"/>
  <c r="F695" i="5"/>
  <c r="G695" i="5" s="1"/>
  <c r="F694" i="5"/>
  <c r="G694" i="5" s="1"/>
  <c r="F693" i="5"/>
  <c r="G693" i="5" s="1"/>
  <c r="F692" i="5"/>
  <c r="G692" i="5" s="1"/>
  <c r="F691" i="5"/>
  <c r="G691" i="5" s="1"/>
  <c r="F690" i="5"/>
  <c r="G690" i="5" s="1"/>
  <c r="F689" i="5"/>
  <c r="G689" i="5" s="1"/>
  <c r="F688" i="5"/>
  <c r="G688" i="5" s="1"/>
  <c r="F687" i="5"/>
  <c r="G687" i="5" s="1"/>
  <c r="F686" i="5"/>
  <c r="G686" i="5" s="1"/>
  <c r="F685" i="5"/>
  <c r="G685" i="5" s="1"/>
  <c r="F684" i="5"/>
  <c r="G684" i="5" s="1"/>
  <c r="F683" i="5"/>
  <c r="G683" i="5" s="1"/>
  <c r="F682" i="5"/>
  <c r="G682" i="5" s="1"/>
  <c r="F681" i="5"/>
  <c r="G681" i="5" s="1"/>
  <c r="F680" i="5"/>
  <c r="G680" i="5" s="1"/>
  <c r="F679" i="5"/>
  <c r="G679" i="5" s="1"/>
  <c r="F678" i="5"/>
  <c r="G678" i="5" s="1"/>
  <c r="F677" i="5"/>
  <c r="G677" i="5" s="1"/>
  <c r="F676" i="5"/>
  <c r="G676" i="5" s="1"/>
  <c r="F675" i="5"/>
  <c r="G675" i="5" s="1"/>
  <c r="F674" i="5"/>
  <c r="G674" i="5" s="1"/>
  <c r="F673" i="5"/>
  <c r="G673" i="5" s="1"/>
  <c r="F672" i="5"/>
  <c r="G672" i="5" s="1"/>
  <c r="F671" i="5"/>
  <c r="G671" i="5" s="1"/>
  <c r="F670" i="5"/>
  <c r="G670" i="5" s="1"/>
  <c r="F669" i="5"/>
  <c r="G669" i="5" s="1"/>
  <c r="F668" i="5"/>
  <c r="G668" i="5" s="1"/>
  <c r="F667" i="5"/>
  <c r="G667" i="5" s="1"/>
  <c r="F666" i="5"/>
  <c r="G666" i="5" s="1"/>
  <c r="F665" i="5"/>
  <c r="G665" i="5" s="1"/>
  <c r="F664" i="5"/>
  <c r="G664" i="5" s="1"/>
  <c r="F663" i="5"/>
  <c r="G663" i="5" s="1"/>
  <c r="F662" i="5"/>
  <c r="G662" i="5" s="1"/>
  <c r="F661" i="5"/>
  <c r="G661" i="5" s="1"/>
  <c r="F660" i="5"/>
  <c r="G660" i="5" s="1"/>
  <c r="F659" i="5"/>
  <c r="G659" i="5" s="1"/>
  <c r="F658" i="5"/>
  <c r="G658" i="5" s="1"/>
  <c r="F657" i="5"/>
  <c r="G657" i="5" s="1"/>
  <c r="F656" i="5"/>
  <c r="G656" i="5" s="1"/>
  <c r="F655" i="5"/>
  <c r="G655" i="5" s="1"/>
  <c r="F654" i="5"/>
  <c r="G654" i="5" s="1"/>
  <c r="F653" i="5"/>
  <c r="G653" i="5" s="1"/>
  <c r="F652" i="5"/>
  <c r="G652" i="5" s="1"/>
  <c r="F651" i="5"/>
  <c r="G651" i="5" s="1"/>
  <c r="F650" i="5"/>
  <c r="G650" i="5" s="1"/>
  <c r="F649" i="5"/>
  <c r="G649" i="5" s="1"/>
  <c r="F648" i="5"/>
  <c r="G648" i="5" s="1"/>
  <c r="F647" i="5"/>
  <c r="G647" i="5" s="1"/>
  <c r="F646" i="5"/>
  <c r="G646" i="5" s="1"/>
  <c r="F645" i="5"/>
  <c r="G645" i="5" s="1"/>
  <c r="F644" i="5"/>
  <c r="G644" i="5" s="1"/>
  <c r="F643" i="5"/>
  <c r="G643" i="5" s="1"/>
  <c r="F642" i="5"/>
  <c r="G642" i="5" s="1"/>
  <c r="F641" i="5"/>
  <c r="G641" i="5" s="1"/>
  <c r="F640" i="5"/>
  <c r="G640" i="5" s="1"/>
  <c r="F639" i="5"/>
  <c r="G639" i="5" s="1"/>
  <c r="F638" i="5"/>
  <c r="G638" i="5" s="1"/>
  <c r="F637" i="5"/>
  <c r="G637" i="5" s="1"/>
  <c r="F636" i="5"/>
  <c r="G636" i="5" s="1"/>
  <c r="F635" i="5"/>
  <c r="G635" i="5" s="1"/>
  <c r="F634" i="5"/>
  <c r="G634" i="5" s="1"/>
  <c r="F633" i="5"/>
  <c r="G633" i="5" s="1"/>
  <c r="F632" i="5"/>
  <c r="G632" i="5" s="1"/>
  <c r="F631" i="5"/>
  <c r="G631" i="5" s="1"/>
  <c r="F630" i="5"/>
  <c r="G630" i="5" s="1"/>
  <c r="F629" i="5"/>
  <c r="G629" i="5" s="1"/>
  <c r="F628" i="5"/>
  <c r="G628" i="5" s="1"/>
  <c r="F627" i="5"/>
  <c r="G627" i="5" s="1"/>
  <c r="F626" i="5"/>
  <c r="G626" i="5" s="1"/>
  <c r="F625" i="5"/>
  <c r="G625" i="5" s="1"/>
  <c r="F624" i="5"/>
  <c r="G624" i="5" s="1"/>
  <c r="F623" i="5"/>
  <c r="G623" i="5" s="1"/>
  <c r="F622" i="5"/>
  <c r="G622" i="5" s="1"/>
  <c r="F621" i="5"/>
  <c r="G621" i="5" s="1"/>
  <c r="F620" i="5"/>
  <c r="G620" i="5" s="1"/>
  <c r="F619" i="5"/>
  <c r="G619" i="5" s="1"/>
  <c r="F618" i="5"/>
  <c r="G618" i="5" s="1"/>
  <c r="F617" i="5"/>
  <c r="G617" i="5" s="1"/>
  <c r="F616" i="5"/>
  <c r="G616" i="5" s="1"/>
  <c r="F615" i="5"/>
  <c r="G615" i="5" s="1"/>
  <c r="F614" i="5"/>
  <c r="G614" i="5" s="1"/>
  <c r="F613" i="5"/>
  <c r="G613" i="5" s="1"/>
  <c r="F612" i="5"/>
  <c r="G612" i="5" s="1"/>
  <c r="F611" i="5"/>
  <c r="G611" i="5" s="1"/>
  <c r="F610" i="5"/>
  <c r="G610" i="5" s="1"/>
  <c r="F609" i="5"/>
  <c r="G609" i="5" s="1"/>
  <c r="F608" i="5"/>
  <c r="G608" i="5" s="1"/>
  <c r="F607" i="5"/>
  <c r="G607" i="5" s="1"/>
  <c r="F606" i="5"/>
  <c r="G606" i="5" s="1"/>
  <c r="F605" i="5"/>
  <c r="G605" i="5" s="1"/>
  <c r="F604" i="5"/>
  <c r="G604" i="5" s="1"/>
  <c r="F603" i="5"/>
  <c r="G603" i="5" s="1"/>
  <c r="F602" i="5"/>
  <c r="G602" i="5" s="1"/>
  <c r="F601" i="5"/>
  <c r="G601" i="5" s="1"/>
  <c r="F600" i="5"/>
  <c r="G600" i="5" s="1"/>
  <c r="F599" i="5"/>
  <c r="G599" i="5" s="1"/>
  <c r="F598" i="5"/>
  <c r="G598" i="5" s="1"/>
  <c r="F597" i="5"/>
  <c r="G597" i="5" s="1"/>
  <c r="F596" i="5"/>
  <c r="G596" i="5" s="1"/>
  <c r="F595" i="5"/>
  <c r="G595" i="5" s="1"/>
  <c r="F594" i="5"/>
  <c r="G594" i="5" s="1"/>
  <c r="F593" i="5"/>
  <c r="G593" i="5" s="1"/>
  <c r="F592" i="5"/>
  <c r="G592" i="5" s="1"/>
  <c r="F591" i="5"/>
  <c r="G591" i="5" s="1"/>
  <c r="F590" i="5"/>
  <c r="G590" i="5" s="1"/>
  <c r="F589" i="5"/>
  <c r="G589" i="5" s="1"/>
  <c r="F588" i="5"/>
  <c r="G588" i="5" s="1"/>
  <c r="F587" i="5"/>
  <c r="G587" i="5" s="1"/>
  <c r="F586" i="5"/>
  <c r="G586" i="5" s="1"/>
  <c r="F585" i="5"/>
  <c r="G585" i="5" s="1"/>
  <c r="F584" i="5"/>
  <c r="G584" i="5" s="1"/>
  <c r="F583" i="5"/>
  <c r="G583" i="5" s="1"/>
  <c r="F582" i="5"/>
  <c r="G582" i="5" s="1"/>
  <c r="F581" i="5"/>
  <c r="G581" i="5" s="1"/>
  <c r="F580" i="5"/>
  <c r="G580" i="5" s="1"/>
  <c r="F579" i="5"/>
  <c r="G579" i="5" s="1"/>
  <c r="F578" i="5"/>
  <c r="G578" i="5" s="1"/>
  <c r="F577" i="5"/>
  <c r="G577" i="5" s="1"/>
  <c r="F576" i="5"/>
  <c r="G576" i="5" s="1"/>
  <c r="F575" i="5"/>
  <c r="G575" i="5" s="1"/>
  <c r="F574" i="5"/>
  <c r="G574" i="5" s="1"/>
  <c r="F573" i="5"/>
  <c r="G573" i="5" s="1"/>
  <c r="F572" i="5"/>
  <c r="G572" i="5" s="1"/>
  <c r="F571" i="5"/>
  <c r="G571" i="5" s="1"/>
  <c r="F570" i="5"/>
  <c r="G570" i="5" s="1"/>
  <c r="F569" i="5"/>
  <c r="G569" i="5" s="1"/>
  <c r="F568" i="5"/>
  <c r="G568" i="5" s="1"/>
  <c r="F567" i="5"/>
  <c r="G567" i="5" s="1"/>
  <c r="F566" i="5"/>
  <c r="G566" i="5" s="1"/>
  <c r="F565" i="5"/>
  <c r="G565" i="5" s="1"/>
  <c r="F564" i="5"/>
  <c r="G564" i="5" s="1"/>
  <c r="F563" i="5"/>
  <c r="G563" i="5" s="1"/>
  <c r="F562" i="5"/>
  <c r="G562" i="5" s="1"/>
  <c r="F561" i="5"/>
  <c r="G561" i="5" s="1"/>
  <c r="F560" i="5"/>
  <c r="G560" i="5" s="1"/>
  <c r="F559" i="5"/>
  <c r="G559" i="5" s="1"/>
  <c r="F558" i="5"/>
  <c r="G558" i="5" s="1"/>
  <c r="F557" i="5"/>
  <c r="G557" i="5" s="1"/>
  <c r="F556" i="5"/>
  <c r="G556" i="5" s="1"/>
  <c r="F555" i="5"/>
  <c r="G555" i="5" s="1"/>
  <c r="F554" i="5"/>
  <c r="G554" i="5" s="1"/>
  <c r="F553" i="5"/>
  <c r="G553" i="5" s="1"/>
  <c r="F552" i="5"/>
  <c r="G552" i="5" s="1"/>
  <c r="F551" i="5"/>
  <c r="G551" i="5" s="1"/>
  <c r="F550" i="5"/>
  <c r="G550" i="5" s="1"/>
  <c r="F549" i="5"/>
  <c r="G549" i="5" s="1"/>
  <c r="F548" i="5"/>
  <c r="G548" i="5" s="1"/>
  <c r="F547" i="5"/>
  <c r="G547" i="5" s="1"/>
  <c r="F546" i="5"/>
  <c r="G546" i="5" s="1"/>
  <c r="F545" i="5"/>
  <c r="G545" i="5" s="1"/>
  <c r="F544" i="5"/>
  <c r="G544" i="5" s="1"/>
  <c r="F543" i="5"/>
  <c r="G543" i="5" s="1"/>
  <c r="F542" i="5"/>
  <c r="G542" i="5" s="1"/>
  <c r="F541" i="5"/>
  <c r="G541" i="5" s="1"/>
  <c r="F540" i="5"/>
  <c r="G540" i="5" s="1"/>
  <c r="F539" i="5"/>
  <c r="G539" i="5" s="1"/>
  <c r="F538" i="5"/>
  <c r="G538" i="5" s="1"/>
  <c r="F537" i="5"/>
  <c r="G537" i="5" s="1"/>
  <c r="F536" i="5"/>
  <c r="G536" i="5" s="1"/>
  <c r="F535" i="5"/>
  <c r="G535" i="5" s="1"/>
  <c r="F534" i="5"/>
  <c r="G534" i="5" s="1"/>
  <c r="F533" i="5"/>
  <c r="G533" i="5" s="1"/>
  <c r="F532" i="5"/>
  <c r="G532" i="5" s="1"/>
  <c r="F531" i="5"/>
  <c r="G531" i="5" s="1"/>
  <c r="F530" i="5"/>
  <c r="G530" i="5" s="1"/>
  <c r="F529" i="5"/>
  <c r="G529" i="5" s="1"/>
  <c r="F528" i="5"/>
  <c r="G528" i="5" s="1"/>
  <c r="F527" i="5"/>
  <c r="G527" i="5" s="1"/>
  <c r="F526" i="5"/>
  <c r="G526" i="5" s="1"/>
  <c r="F525" i="5"/>
  <c r="G525" i="5" s="1"/>
  <c r="F524" i="5"/>
  <c r="G524" i="5" s="1"/>
  <c r="F523" i="5"/>
  <c r="G523" i="5" s="1"/>
  <c r="F522" i="5"/>
  <c r="G522" i="5" s="1"/>
  <c r="F521" i="5"/>
  <c r="G521" i="5" s="1"/>
  <c r="F520" i="5"/>
  <c r="G520" i="5" s="1"/>
  <c r="F519" i="5"/>
  <c r="G519" i="5" s="1"/>
  <c r="F518" i="5"/>
  <c r="G518" i="5" s="1"/>
  <c r="F517" i="5"/>
  <c r="G517" i="5" s="1"/>
  <c r="F516" i="5"/>
  <c r="G516" i="5" s="1"/>
  <c r="F515" i="5"/>
  <c r="G515" i="5" s="1"/>
  <c r="F514" i="5"/>
  <c r="G514" i="5" s="1"/>
  <c r="F513" i="5"/>
  <c r="G513" i="5" s="1"/>
  <c r="F512" i="5"/>
  <c r="G512" i="5" s="1"/>
  <c r="F511" i="5"/>
  <c r="G511" i="5" s="1"/>
  <c r="F510" i="5"/>
  <c r="G510" i="5" s="1"/>
  <c r="F509" i="5"/>
  <c r="G509" i="5" s="1"/>
  <c r="F508" i="5"/>
  <c r="G508" i="5" s="1"/>
  <c r="F507" i="5"/>
  <c r="G507" i="5" s="1"/>
  <c r="F506" i="5"/>
  <c r="G506" i="5" s="1"/>
  <c r="F505" i="5"/>
  <c r="G505" i="5" s="1"/>
  <c r="F504" i="5"/>
  <c r="G504" i="5" s="1"/>
  <c r="F503" i="5"/>
  <c r="G503" i="5" s="1"/>
  <c r="G502" i="5"/>
  <c r="F501" i="5"/>
  <c r="G501" i="5" s="1"/>
  <c r="F500" i="5"/>
  <c r="G500" i="5" s="1"/>
  <c r="F499" i="5"/>
  <c r="G499" i="5" s="1"/>
  <c r="F498" i="5"/>
  <c r="G498" i="5" s="1"/>
  <c r="F497" i="5"/>
  <c r="G497" i="5" s="1"/>
  <c r="F496" i="5"/>
  <c r="G496" i="5" s="1"/>
  <c r="F495" i="5"/>
  <c r="G495" i="5" s="1"/>
  <c r="F494" i="5"/>
  <c r="G494" i="5" s="1"/>
  <c r="F493" i="5"/>
  <c r="G493" i="5" s="1"/>
  <c r="F492" i="5"/>
  <c r="G492" i="5" s="1"/>
  <c r="F491" i="5"/>
  <c r="G491" i="5" s="1"/>
  <c r="F490" i="5"/>
  <c r="G490" i="5" s="1"/>
  <c r="F489" i="5"/>
  <c r="G489" i="5" s="1"/>
  <c r="F488" i="5"/>
  <c r="G488" i="5" s="1"/>
  <c r="F487" i="5"/>
  <c r="G487" i="5" s="1"/>
  <c r="F486" i="5"/>
  <c r="G486" i="5" s="1"/>
  <c r="F485" i="5"/>
  <c r="G485" i="5" s="1"/>
  <c r="F484" i="5"/>
  <c r="G484" i="5" s="1"/>
  <c r="F483" i="5"/>
  <c r="G483" i="5" s="1"/>
  <c r="F482" i="5"/>
  <c r="G482" i="5" s="1"/>
  <c r="F481" i="5"/>
  <c r="G481" i="5" s="1"/>
  <c r="F480" i="5"/>
  <c r="G480" i="5" s="1"/>
  <c r="F479" i="5"/>
  <c r="G479" i="5" s="1"/>
  <c r="F478" i="5"/>
  <c r="G478" i="5" s="1"/>
  <c r="F477" i="5"/>
  <c r="G477" i="5" s="1"/>
  <c r="F476" i="5"/>
  <c r="G476" i="5" s="1"/>
  <c r="F475" i="5"/>
  <c r="G475" i="5" s="1"/>
  <c r="F474" i="5"/>
  <c r="G474" i="5" s="1"/>
  <c r="F473" i="5"/>
  <c r="G473" i="5" s="1"/>
  <c r="F472" i="5"/>
  <c r="G472" i="5" s="1"/>
  <c r="F471" i="5"/>
  <c r="G471" i="5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G465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7" i="5"/>
  <c r="G457" i="5" s="1"/>
  <c r="F456" i="5"/>
  <c r="G456" i="5" s="1"/>
  <c r="F455" i="5"/>
  <c r="G455" i="5" s="1"/>
  <c r="F454" i="5"/>
  <c r="G454" i="5" s="1"/>
  <c r="F453" i="5"/>
  <c r="G453" i="5" s="1"/>
  <c r="F452" i="5"/>
  <c r="G452" i="5" s="1"/>
  <c r="F451" i="5"/>
  <c r="G451" i="5" s="1"/>
  <c r="F450" i="5"/>
  <c r="G450" i="5" s="1"/>
  <c r="F449" i="5"/>
  <c r="G449" i="5" s="1"/>
  <c r="F448" i="5"/>
  <c r="G448" i="5" s="1"/>
  <c r="F447" i="5"/>
  <c r="G447" i="5" s="1"/>
  <c r="F446" i="5"/>
  <c r="G446" i="5" s="1"/>
  <c r="F445" i="5"/>
  <c r="G445" i="5" s="1"/>
  <c r="F444" i="5"/>
  <c r="G444" i="5" s="1"/>
  <c r="F443" i="5"/>
  <c r="G443" i="5" s="1"/>
  <c r="F442" i="5"/>
  <c r="G442" i="5" s="1"/>
  <c r="F441" i="5"/>
  <c r="G441" i="5" s="1"/>
  <c r="F440" i="5"/>
  <c r="G440" i="5" s="1"/>
  <c r="F439" i="5"/>
  <c r="G439" i="5" s="1"/>
  <c r="F438" i="5"/>
  <c r="G438" i="5" s="1"/>
  <c r="F437" i="5"/>
  <c r="G437" i="5" s="1"/>
  <c r="F436" i="5"/>
  <c r="G436" i="5" s="1"/>
  <c r="F435" i="5"/>
  <c r="G435" i="5" s="1"/>
  <c r="F434" i="5"/>
  <c r="G434" i="5" s="1"/>
  <c r="F433" i="5"/>
  <c r="G433" i="5" s="1"/>
  <c r="F432" i="5"/>
  <c r="G432" i="5" s="1"/>
  <c r="F431" i="5"/>
  <c r="G431" i="5" s="1"/>
  <c r="F430" i="5"/>
  <c r="G430" i="5" s="1"/>
  <c r="F429" i="5"/>
  <c r="G429" i="5" s="1"/>
  <c r="F428" i="5"/>
  <c r="G428" i="5" s="1"/>
  <c r="F427" i="5"/>
  <c r="G427" i="5" s="1"/>
  <c r="F426" i="5"/>
  <c r="G426" i="5" s="1"/>
  <c r="F425" i="5"/>
  <c r="G425" i="5" s="1"/>
  <c r="F424" i="5"/>
  <c r="G424" i="5" s="1"/>
  <c r="F423" i="5"/>
  <c r="G423" i="5" s="1"/>
  <c r="F422" i="5"/>
  <c r="G422" i="5" s="1"/>
  <c r="F421" i="5"/>
  <c r="G421" i="5" s="1"/>
  <c r="F420" i="5"/>
  <c r="G420" i="5" s="1"/>
  <c r="F419" i="5"/>
  <c r="G419" i="5" s="1"/>
  <c r="F418" i="5"/>
  <c r="G418" i="5" s="1"/>
  <c r="F417" i="5"/>
  <c r="G417" i="5" s="1"/>
  <c r="F416" i="5"/>
  <c r="G416" i="5" s="1"/>
  <c r="F415" i="5"/>
  <c r="G415" i="5" s="1"/>
  <c r="F414" i="5"/>
  <c r="G414" i="5" s="1"/>
  <c r="F413" i="5"/>
  <c r="G413" i="5" s="1"/>
  <c r="F412" i="5"/>
  <c r="G412" i="5" s="1"/>
  <c r="F411" i="5"/>
  <c r="G411" i="5" s="1"/>
  <c r="F410" i="5"/>
  <c r="G410" i="5" s="1"/>
  <c r="F409" i="5"/>
  <c r="G409" i="5" s="1"/>
  <c r="F408" i="5"/>
  <c r="G408" i="5" s="1"/>
  <c r="F407" i="5"/>
  <c r="G407" i="5" s="1"/>
  <c r="F406" i="5"/>
  <c r="G406" i="5" s="1"/>
  <c r="F405" i="5"/>
  <c r="G405" i="5" s="1"/>
  <c r="F404" i="5"/>
  <c r="G404" i="5" s="1"/>
  <c r="F403" i="5"/>
  <c r="G403" i="5" s="1"/>
  <c r="F402" i="5"/>
  <c r="G402" i="5" s="1"/>
  <c r="F401" i="5"/>
  <c r="G401" i="5" s="1"/>
  <c r="F400" i="5"/>
  <c r="G400" i="5" s="1"/>
  <c r="F399" i="5"/>
  <c r="G399" i="5" s="1"/>
  <c r="F398" i="5"/>
  <c r="G398" i="5" s="1"/>
  <c r="F397" i="5"/>
  <c r="G397" i="5" s="1"/>
  <c r="F396" i="5"/>
  <c r="G396" i="5" s="1"/>
  <c r="F395" i="5"/>
  <c r="G395" i="5" s="1"/>
  <c r="F394" i="5"/>
  <c r="G394" i="5" s="1"/>
  <c r="F393" i="5"/>
  <c r="G393" i="5" s="1"/>
  <c r="F392" i="5"/>
  <c r="G392" i="5" s="1"/>
  <c r="F391" i="5"/>
  <c r="G391" i="5" s="1"/>
  <c r="F390" i="5"/>
  <c r="G390" i="5" s="1"/>
  <c r="F389" i="5"/>
  <c r="G389" i="5" s="1"/>
  <c r="F388" i="5"/>
  <c r="G388" i="5" s="1"/>
  <c r="F387" i="5"/>
  <c r="G387" i="5" s="1"/>
  <c r="F386" i="5"/>
  <c r="G386" i="5" s="1"/>
  <c r="F385" i="5"/>
  <c r="G385" i="5" s="1"/>
  <c r="F384" i="5"/>
  <c r="G384" i="5" s="1"/>
  <c r="F383" i="5"/>
  <c r="G383" i="5" s="1"/>
  <c r="F382" i="5"/>
  <c r="G382" i="5" s="1"/>
  <c r="F381" i="5"/>
  <c r="G381" i="5" s="1"/>
  <c r="F380" i="5"/>
  <c r="G380" i="5" s="1"/>
  <c r="F379" i="5"/>
  <c r="G379" i="5" s="1"/>
  <c r="F378" i="5"/>
  <c r="G378" i="5" s="1"/>
  <c r="F377" i="5"/>
  <c r="G377" i="5" s="1"/>
  <c r="F376" i="5"/>
  <c r="G376" i="5" s="1"/>
  <c r="F375" i="5"/>
  <c r="G375" i="5" s="1"/>
  <c r="F374" i="5"/>
  <c r="G374" i="5" s="1"/>
  <c r="F373" i="5"/>
  <c r="G373" i="5" s="1"/>
  <c r="F372" i="5"/>
  <c r="G372" i="5" s="1"/>
  <c r="F371" i="5"/>
  <c r="G371" i="5" s="1"/>
  <c r="F370" i="5"/>
  <c r="G370" i="5" s="1"/>
  <c r="F369" i="5"/>
  <c r="G369" i="5" s="1"/>
  <c r="F368" i="5"/>
  <c r="G368" i="5" s="1"/>
  <c r="F367" i="5"/>
  <c r="G367" i="5" s="1"/>
  <c r="F366" i="5"/>
  <c r="G366" i="5" s="1"/>
  <c r="F365" i="5"/>
  <c r="G365" i="5" s="1"/>
  <c r="F364" i="5"/>
  <c r="G364" i="5" s="1"/>
  <c r="F363" i="5"/>
  <c r="G363" i="5" s="1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349" i="5"/>
  <c r="G349" i="5" s="1"/>
  <c r="F348" i="5"/>
  <c r="G348" i="5" s="1"/>
  <c r="F347" i="5"/>
  <c r="G347" i="5" s="1"/>
  <c r="F346" i="5"/>
  <c r="G346" i="5" s="1"/>
  <c r="F345" i="5"/>
  <c r="G345" i="5" s="1"/>
  <c r="F344" i="5"/>
  <c r="G344" i="5" s="1"/>
  <c r="F343" i="5"/>
  <c r="G343" i="5" s="1"/>
  <c r="F342" i="5"/>
  <c r="G342" i="5" s="1"/>
  <c r="F341" i="5"/>
  <c r="G341" i="5" s="1"/>
  <c r="F340" i="5"/>
  <c r="G340" i="5" s="1"/>
  <c r="F339" i="5"/>
  <c r="G339" i="5" s="1"/>
  <c r="F338" i="5"/>
  <c r="G338" i="5" s="1"/>
  <c r="F337" i="5"/>
  <c r="G337" i="5" s="1"/>
  <c r="F336" i="5"/>
  <c r="G336" i="5" s="1"/>
  <c r="F335" i="5"/>
  <c r="G335" i="5" s="1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7" i="5"/>
  <c r="G327" i="5" s="1"/>
  <c r="F326" i="5"/>
  <c r="G326" i="5" s="1"/>
  <c r="F325" i="5"/>
  <c r="G325" i="5" s="1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F317" i="5"/>
  <c r="G317" i="5" s="1"/>
  <c r="F316" i="5"/>
  <c r="G316" i="5" s="1"/>
  <c r="F315" i="5"/>
  <c r="G315" i="5" s="1"/>
  <c r="F314" i="5"/>
  <c r="G314" i="5" s="1"/>
  <c r="F313" i="5"/>
  <c r="G313" i="5" s="1"/>
  <c r="F312" i="5"/>
  <c r="G312" i="5" s="1"/>
  <c r="F311" i="5"/>
  <c r="G311" i="5" s="1"/>
  <c r="F310" i="5"/>
  <c r="G310" i="5" s="1"/>
  <c r="F309" i="5"/>
  <c r="G309" i="5" s="1"/>
  <c r="F308" i="5"/>
  <c r="G308" i="5" s="1"/>
  <c r="F307" i="5"/>
  <c r="G307" i="5" s="1"/>
  <c r="F306" i="5"/>
  <c r="G306" i="5" s="1"/>
  <c r="F305" i="5"/>
  <c r="G305" i="5" s="1"/>
  <c r="F304" i="5"/>
  <c r="G304" i="5" s="1"/>
  <c r="F303" i="5"/>
  <c r="G303" i="5" s="1"/>
  <c r="F302" i="5"/>
  <c r="G302" i="5" s="1"/>
  <c r="F301" i="5"/>
  <c r="G301" i="5" s="1"/>
  <c r="F300" i="5"/>
  <c r="G300" i="5" s="1"/>
  <c r="F299" i="5"/>
  <c r="G299" i="5" s="1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F263" i="5"/>
  <c r="G263" i="5" s="1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F255" i="5"/>
  <c r="G255" i="5" s="1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M289" i="5"/>
  <c r="N289" i="5" s="1"/>
  <c r="F248" i="5"/>
  <c r="G248" i="5" s="1"/>
  <c r="N288" i="5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F237" i="5"/>
  <c r="G237" i="5" s="1"/>
  <c r="F236" i="5"/>
  <c r="G236" i="5" s="1"/>
  <c r="N276" i="5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M269" i="5"/>
  <c r="N269" i="5" s="1"/>
  <c r="F228" i="5"/>
  <c r="G228" i="5" s="1"/>
  <c r="M268" i="5"/>
  <c r="N268" i="5" s="1"/>
  <c r="F227" i="5"/>
  <c r="G227" i="5" s="1"/>
  <c r="M267" i="5"/>
  <c r="N267" i="5" s="1"/>
  <c r="F226" i="5"/>
  <c r="G226" i="5" s="1"/>
  <c r="M266" i="5"/>
  <c r="N266" i="5" s="1"/>
  <c r="F225" i="5"/>
  <c r="G225" i="5" s="1"/>
  <c r="M265" i="5"/>
  <c r="N265" i="5" s="1"/>
  <c r="F224" i="5"/>
  <c r="G224" i="5" s="1"/>
  <c r="M264" i="5"/>
  <c r="N264" i="5" s="1"/>
  <c r="F223" i="5"/>
  <c r="G223" i="5" s="1"/>
  <c r="M263" i="5"/>
  <c r="N263" i="5" s="1"/>
  <c r="F222" i="5"/>
  <c r="G222" i="5" s="1"/>
  <c r="M262" i="5"/>
  <c r="N262" i="5" s="1"/>
  <c r="F221" i="5"/>
  <c r="G221" i="5" s="1"/>
  <c r="M261" i="5"/>
  <c r="N261" i="5" s="1"/>
  <c r="F220" i="5"/>
  <c r="G220" i="5" s="1"/>
  <c r="M260" i="5"/>
  <c r="N260" i="5" s="1"/>
  <c r="F219" i="5"/>
  <c r="G219" i="5" s="1"/>
  <c r="M259" i="5"/>
  <c r="N259" i="5" s="1"/>
  <c r="F218" i="5"/>
  <c r="G218" i="5" s="1"/>
  <c r="M258" i="5"/>
  <c r="N258" i="5" s="1"/>
  <c r="F217" i="5"/>
  <c r="G217" i="5" s="1"/>
  <c r="M257" i="5"/>
  <c r="N257" i="5" s="1"/>
  <c r="F216" i="5"/>
  <c r="G216" i="5" s="1"/>
  <c r="M256" i="5"/>
  <c r="N256" i="5" s="1"/>
  <c r="F215" i="5"/>
  <c r="G215" i="5" s="1"/>
  <c r="M255" i="5"/>
  <c r="N255" i="5" s="1"/>
  <c r="F214" i="5"/>
  <c r="G214" i="5" s="1"/>
  <c r="M254" i="5"/>
  <c r="N254" i="5" s="1"/>
  <c r="F213" i="5"/>
  <c r="G213" i="5" s="1"/>
  <c r="M253" i="5"/>
  <c r="N253" i="5" s="1"/>
  <c r="F212" i="5"/>
  <c r="G212" i="5" s="1"/>
  <c r="M252" i="5"/>
  <c r="N252" i="5" s="1"/>
  <c r="F211" i="5"/>
  <c r="G211" i="5" s="1"/>
  <c r="M251" i="5"/>
  <c r="N251" i="5" s="1"/>
  <c r="F210" i="5"/>
  <c r="G210" i="5" s="1"/>
  <c r="M250" i="5"/>
  <c r="N250" i="5" s="1"/>
  <c r="F209" i="5"/>
  <c r="G209" i="5" s="1"/>
  <c r="M249" i="5"/>
  <c r="N249" i="5" s="1"/>
  <c r="F208" i="5"/>
  <c r="G208" i="5" s="1"/>
  <c r="M248" i="5"/>
  <c r="N248" i="5" s="1"/>
  <c r="F207" i="5"/>
  <c r="G207" i="5" s="1"/>
  <c r="M247" i="5"/>
  <c r="N247" i="5" s="1"/>
  <c r="F206" i="5"/>
  <c r="G206" i="5" s="1"/>
  <c r="M246" i="5"/>
  <c r="N24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F197" i="5"/>
  <c r="G197" i="5" s="1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N170" i="5"/>
  <c r="F170" i="5"/>
  <c r="G170" i="5" s="1"/>
  <c r="N169" i="5"/>
  <c r="F169" i="5"/>
  <c r="G169" i="5" s="1"/>
  <c r="M168" i="5"/>
  <c r="N168" i="5" s="1"/>
  <c r="F168" i="5"/>
  <c r="G168" i="5" s="1"/>
  <c r="M167" i="5"/>
  <c r="N167" i="5" s="1"/>
  <c r="F167" i="5"/>
  <c r="G167" i="5" s="1"/>
  <c r="M166" i="5"/>
  <c r="N166" i="5" s="1"/>
  <c r="F166" i="5"/>
  <c r="G166" i="5" s="1"/>
  <c r="M165" i="5"/>
  <c r="N165" i="5" s="1"/>
  <c r="F165" i="5"/>
  <c r="G165" i="5" s="1"/>
  <c r="M164" i="5"/>
  <c r="N164" i="5" s="1"/>
  <c r="F164" i="5"/>
  <c r="G164" i="5" s="1"/>
  <c r="M163" i="5"/>
  <c r="N163" i="5" s="1"/>
  <c r="F163" i="5"/>
  <c r="G163" i="5" s="1"/>
  <c r="M162" i="5"/>
  <c r="N162" i="5" s="1"/>
  <c r="F162" i="5"/>
  <c r="G162" i="5" s="1"/>
  <c r="M161" i="5"/>
  <c r="N161" i="5" s="1"/>
  <c r="F161" i="5"/>
  <c r="G161" i="5" s="1"/>
  <c r="M160" i="5"/>
  <c r="N160" i="5" s="1"/>
  <c r="F160" i="5"/>
  <c r="G160" i="5" s="1"/>
  <c r="M159" i="5"/>
  <c r="N159" i="5" s="1"/>
  <c r="F159" i="5"/>
  <c r="G159" i="5" s="1"/>
  <c r="M158" i="5"/>
  <c r="N158" i="5" s="1"/>
  <c r="F158" i="5"/>
  <c r="G158" i="5" s="1"/>
  <c r="M157" i="5"/>
  <c r="N157" i="5" s="1"/>
  <c r="F157" i="5"/>
  <c r="G157" i="5" s="1"/>
  <c r="M156" i="5"/>
  <c r="N156" i="5" s="1"/>
  <c r="F156" i="5"/>
  <c r="G156" i="5" s="1"/>
  <c r="M155" i="5"/>
  <c r="N155" i="5" s="1"/>
  <c r="F155" i="5"/>
  <c r="G155" i="5" s="1"/>
  <c r="M154" i="5"/>
  <c r="N154" i="5" s="1"/>
  <c r="F154" i="5"/>
  <c r="G154" i="5" s="1"/>
  <c r="M153" i="5"/>
  <c r="N153" i="5" s="1"/>
  <c r="F153" i="5"/>
  <c r="G153" i="5" s="1"/>
  <c r="M152" i="5"/>
  <c r="N152" i="5" s="1"/>
  <c r="F152" i="5"/>
  <c r="G152" i="5" s="1"/>
  <c r="M151" i="5"/>
  <c r="N151" i="5" s="1"/>
  <c r="F151" i="5"/>
  <c r="G151" i="5" s="1"/>
  <c r="M150" i="5"/>
  <c r="N150" i="5" s="1"/>
  <c r="F150" i="5"/>
  <c r="G150" i="5" s="1"/>
  <c r="M149" i="5"/>
  <c r="N149" i="5" s="1"/>
  <c r="F149" i="5"/>
  <c r="G149" i="5" s="1"/>
  <c r="M148" i="5"/>
  <c r="N148" i="5" s="1"/>
  <c r="F148" i="5"/>
  <c r="G148" i="5" s="1"/>
  <c r="M147" i="5"/>
  <c r="N147" i="5" s="1"/>
  <c r="F147" i="5"/>
  <c r="G147" i="5" s="1"/>
  <c r="M146" i="5"/>
  <c r="N146" i="5" s="1"/>
  <c r="F146" i="5"/>
  <c r="G146" i="5" s="1"/>
  <c r="M145" i="5"/>
  <c r="N145" i="5" s="1"/>
  <c r="F145" i="5"/>
  <c r="G145" i="5" s="1"/>
  <c r="M144" i="5"/>
  <c r="N144" i="5" s="1"/>
  <c r="F144" i="5"/>
  <c r="G144" i="5" s="1"/>
  <c r="M143" i="5"/>
  <c r="N143" i="5" s="1"/>
  <c r="F143" i="5"/>
  <c r="G143" i="5" s="1"/>
  <c r="M142" i="5"/>
  <c r="N142" i="5" s="1"/>
  <c r="F142" i="5"/>
  <c r="G142" i="5" s="1"/>
  <c r="M141" i="5"/>
  <c r="N141" i="5" s="1"/>
  <c r="F141" i="5"/>
  <c r="G141" i="5" s="1"/>
  <c r="M140" i="5"/>
  <c r="N140" i="5" s="1"/>
  <c r="F140" i="5"/>
  <c r="G140" i="5" s="1"/>
  <c r="M139" i="5"/>
  <c r="N139" i="5" s="1"/>
  <c r="F139" i="5"/>
  <c r="G139" i="5" s="1"/>
  <c r="M138" i="5"/>
  <c r="N138" i="5" s="1"/>
  <c r="F138" i="5"/>
  <c r="G138" i="5" s="1"/>
  <c r="M137" i="5"/>
  <c r="N137" i="5" s="1"/>
  <c r="F137" i="5"/>
  <c r="G137" i="5" s="1"/>
  <c r="M136" i="5"/>
  <c r="N136" i="5" s="1"/>
  <c r="F136" i="5"/>
  <c r="G136" i="5" s="1"/>
  <c r="M135" i="5"/>
  <c r="N135" i="5" s="1"/>
  <c r="F135" i="5"/>
  <c r="G135" i="5" s="1"/>
  <c r="M134" i="5"/>
  <c r="N134" i="5" s="1"/>
  <c r="F134" i="5"/>
  <c r="G134" i="5" s="1"/>
  <c r="M133" i="5"/>
  <c r="N133" i="5" s="1"/>
  <c r="F133" i="5"/>
  <c r="G133" i="5" s="1"/>
  <c r="M132" i="5"/>
  <c r="N132" i="5" s="1"/>
  <c r="F132" i="5"/>
  <c r="G132" i="5" s="1"/>
  <c r="M131" i="5"/>
  <c r="N131" i="5" s="1"/>
  <c r="F131" i="5"/>
  <c r="G131" i="5" s="1"/>
  <c r="M130" i="5"/>
  <c r="N130" i="5" s="1"/>
  <c r="F130" i="5"/>
  <c r="G130" i="5" s="1"/>
  <c r="M129" i="5"/>
  <c r="N129" i="5" s="1"/>
  <c r="F129" i="5"/>
  <c r="G129" i="5" s="1"/>
  <c r="M128" i="5"/>
  <c r="N128" i="5" s="1"/>
  <c r="F128" i="5"/>
  <c r="G128" i="5" s="1"/>
  <c r="M127" i="5"/>
  <c r="N127" i="5" s="1"/>
  <c r="F127" i="5"/>
  <c r="G127" i="5" s="1"/>
  <c r="M126" i="5"/>
  <c r="N126" i="5" s="1"/>
  <c r="F126" i="5"/>
  <c r="G126" i="5" s="1"/>
  <c r="M125" i="5"/>
  <c r="N125" i="5" s="1"/>
  <c r="F125" i="5"/>
  <c r="G125" i="5" s="1"/>
  <c r="M124" i="5"/>
  <c r="N124" i="5" s="1"/>
  <c r="F124" i="5"/>
  <c r="G124" i="5" s="1"/>
  <c r="M123" i="5"/>
  <c r="N123" i="5" s="1"/>
  <c r="F123" i="5"/>
  <c r="G123" i="5" s="1"/>
  <c r="M122" i="5"/>
  <c r="N122" i="5" s="1"/>
  <c r="F122" i="5"/>
  <c r="G122" i="5" s="1"/>
  <c r="M121" i="5"/>
  <c r="N121" i="5" s="1"/>
  <c r="F121" i="5"/>
  <c r="G121" i="5" s="1"/>
  <c r="M120" i="5"/>
  <c r="N120" i="5" s="1"/>
  <c r="F120" i="5"/>
  <c r="G120" i="5" s="1"/>
  <c r="M119" i="5"/>
  <c r="N119" i="5" s="1"/>
  <c r="F119" i="5"/>
  <c r="G119" i="5" s="1"/>
  <c r="M118" i="5"/>
  <c r="N118" i="5" s="1"/>
  <c r="F118" i="5"/>
  <c r="G118" i="5" s="1"/>
  <c r="M117" i="5"/>
  <c r="N117" i="5" s="1"/>
  <c r="F117" i="5"/>
  <c r="G117" i="5" s="1"/>
  <c r="M116" i="5"/>
  <c r="N116" i="5" s="1"/>
  <c r="F116" i="5"/>
  <c r="G116" i="5" s="1"/>
  <c r="M115" i="5"/>
  <c r="N115" i="5" s="1"/>
  <c r="F115" i="5"/>
  <c r="G115" i="5" s="1"/>
  <c r="M114" i="5"/>
  <c r="N114" i="5" s="1"/>
  <c r="F114" i="5"/>
  <c r="G114" i="5" s="1"/>
  <c r="M113" i="5"/>
  <c r="N113" i="5" s="1"/>
  <c r="F113" i="5"/>
  <c r="G113" i="5" s="1"/>
  <c r="M112" i="5"/>
  <c r="N112" i="5" s="1"/>
  <c r="F112" i="5"/>
  <c r="G112" i="5" s="1"/>
  <c r="M111" i="5"/>
  <c r="N111" i="5" s="1"/>
  <c r="F111" i="5"/>
  <c r="G111" i="5" s="1"/>
  <c r="M110" i="5"/>
  <c r="N110" i="5" s="1"/>
  <c r="F110" i="5"/>
  <c r="G110" i="5" s="1"/>
  <c r="M109" i="5"/>
  <c r="N109" i="5" s="1"/>
  <c r="F109" i="5"/>
  <c r="G109" i="5" s="1"/>
  <c r="M108" i="5"/>
  <c r="N108" i="5" s="1"/>
  <c r="F108" i="5"/>
  <c r="G108" i="5" s="1"/>
  <c r="M107" i="5"/>
  <c r="N107" i="5" s="1"/>
  <c r="F107" i="5"/>
  <c r="G107" i="5" s="1"/>
  <c r="M106" i="5"/>
  <c r="N106" i="5" s="1"/>
  <c r="F106" i="5"/>
  <c r="G106" i="5" s="1"/>
  <c r="M105" i="5"/>
  <c r="N105" i="5" s="1"/>
  <c r="F105" i="5"/>
  <c r="G105" i="5" s="1"/>
  <c r="M104" i="5"/>
  <c r="N104" i="5" s="1"/>
  <c r="F104" i="5"/>
  <c r="G104" i="5" s="1"/>
  <c r="M103" i="5"/>
  <c r="N103" i="5" s="1"/>
  <c r="F103" i="5"/>
  <c r="G103" i="5" s="1"/>
  <c r="M102" i="5"/>
  <c r="N102" i="5" s="1"/>
  <c r="F102" i="5"/>
  <c r="G102" i="5" s="1"/>
  <c r="M101" i="5"/>
  <c r="N101" i="5" s="1"/>
  <c r="F101" i="5"/>
  <c r="G101" i="5" s="1"/>
  <c r="M100" i="5"/>
  <c r="N100" i="5" s="1"/>
  <c r="F100" i="5"/>
  <c r="G100" i="5" s="1"/>
  <c r="M99" i="5"/>
  <c r="N99" i="5" s="1"/>
  <c r="F99" i="5"/>
  <c r="G99" i="5" s="1"/>
  <c r="M98" i="5"/>
  <c r="N98" i="5" s="1"/>
  <c r="F98" i="5"/>
  <c r="G98" i="5" s="1"/>
  <c r="M97" i="5"/>
  <c r="N97" i="5" s="1"/>
  <c r="F97" i="5"/>
  <c r="G97" i="5" s="1"/>
  <c r="M96" i="5"/>
  <c r="N96" i="5" s="1"/>
  <c r="F96" i="5"/>
  <c r="G96" i="5" s="1"/>
  <c r="M95" i="5"/>
  <c r="N95" i="5" s="1"/>
  <c r="F95" i="5"/>
  <c r="G95" i="5" s="1"/>
  <c r="M94" i="5"/>
  <c r="N94" i="5" s="1"/>
  <c r="F94" i="5"/>
  <c r="G94" i="5" s="1"/>
  <c r="M93" i="5"/>
  <c r="N93" i="5" s="1"/>
  <c r="F93" i="5"/>
  <c r="G93" i="5" s="1"/>
  <c r="M92" i="5"/>
  <c r="N92" i="5" s="1"/>
  <c r="F92" i="5"/>
  <c r="G92" i="5" s="1"/>
  <c r="M91" i="5"/>
  <c r="N91" i="5" s="1"/>
  <c r="F91" i="5"/>
  <c r="G91" i="5" s="1"/>
  <c r="M90" i="5"/>
  <c r="N90" i="5" s="1"/>
  <c r="F90" i="5"/>
  <c r="G90" i="5" s="1"/>
  <c r="M89" i="5"/>
  <c r="N89" i="5" s="1"/>
  <c r="F89" i="5"/>
  <c r="G89" i="5" s="1"/>
  <c r="M88" i="5"/>
  <c r="N88" i="5" s="1"/>
  <c r="F88" i="5"/>
  <c r="G88" i="5" s="1"/>
  <c r="M87" i="5"/>
  <c r="N87" i="5" s="1"/>
  <c r="F87" i="5"/>
  <c r="G87" i="5" s="1"/>
  <c r="M86" i="5"/>
  <c r="N86" i="5" s="1"/>
  <c r="F86" i="5"/>
  <c r="G86" i="5" s="1"/>
  <c r="M85" i="5"/>
  <c r="N85" i="5" s="1"/>
  <c r="F85" i="5"/>
  <c r="G85" i="5" s="1"/>
  <c r="M84" i="5"/>
  <c r="N84" i="5" s="1"/>
  <c r="F84" i="5"/>
  <c r="G84" i="5" s="1"/>
  <c r="M83" i="5"/>
  <c r="N83" i="5" s="1"/>
  <c r="F83" i="5"/>
  <c r="G83" i="5" s="1"/>
  <c r="M82" i="5"/>
  <c r="N82" i="5" s="1"/>
  <c r="F82" i="5"/>
  <c r="G82" i="5" s="1"/>
  <c r="M81" i="5"/>
  <c r="N81" i="5" s="1"/>
  <c r="F81" i="5"/>
  <c r="G81" i="5" s="1"/>
  <c r="M80" i="5"/>
  <c r="N80" i="5" s="1"/>
  <c r="F80" i="5"/>
  <c r="G80" i="5" s="1"/>
  <c r="M79" i="5"/>
  <c r="N79" i="5" s="1"/>
  <c r="F79" i="5"/>
  <c r="G79" i="5" s="1"/>
  <c r="M78" i="5"/>
  <c r="N78" i="5" s="1"/>
  <c r="F78" i="5"/>
  <c r="G78" i="5" s="1"/>
  <c r="M77" i="5"/>
  <c r="N77" i="5" s="1"/>
  <c r="F77" i="5"/>
  <c r="G77" i="5" s="1"/>
  <c r="M76" i="5"/>
  <c r="N76" i="5" s="1"/>
  <c r="F76" i="5"/>
  <c r="G76" i="5" s="1"/>
  <c r="M75" i="5"/>
  <c r="N75" i="5" s="1"/>
  <c r="F75" i="5"/>
  <c r="G75" i="5" s="1"/>
  <c r="M74" i="5"/>
  <c r="N74" i="5" s="1"/>
  <c r="F74" i="5"/>
  <c r="G74" i="5" s="1"/>
  <c r="M73" i="5"/>
  <c r="N73" i="5" s="1"/>
  <c r="F73" i="5"/>
  <c r="G73" i="5" s="1"/>
  <c r="M72" i="5"/>
  <c r="N72" i="5" s="1"/>
  <c r="F72" i="5"/>
  <c r="G72" i="5" s="1"/>
  <c r="M71" i="5"/>
  <c r="N71" i="5" s="1"/>
  <c r="F71" i="5"/>
  <c r="G71" i="5" s="1"/>
  <c r="M70" i="5"/>
  <c r="N70" i="5" s="1"/>
  <c r="F70" i="5"/>
  <c r="G70" i="5" s="1"/>
  <c r="M69" i="5"/>
  <c r="N69" i="5" s="1"/>
  <c r="F69" i="5"/>
  <c r="G69" i="5" s="1"/>
  <c r="M68" i="5"/>
  <c r="N68" i="5" s="1"/>
  <c r="F68" i="5"/>
  <c r="G68" i="5" s="1"/>
  <c r="M67" i="5"/>
  <c r="N67" i="5" s="1"/>
  <c r="F67" i="5"/>
  <c r="G67" i="5" s="1"/>
  <c r="M66" i="5"/>
  <c r="N66" i="5" s="1"/>
  <c r="F66" i="5"/>
  <c r="G66" i="5" s="1"/>
  <c r="M65" i="5"/>
  <c r="N65" i="5" s="1"/>
  <c r="F65" i="5"/>
  <c r="G65" i="5" s="1"/>
  <c r="M64" i="5"/>
  <c r="N64" i="5" s="1"/>
  <c r="F64" i="5"/>
  <c r="G64" i="5" s="1"/>
  <c r="M63" i="5"/>
  <c r="N63" i="5" s="1"/>
  <c r="F63" i="5"/>
  <c r="G63" i="5" s="1"/>
  <c r="M62" i="5"/>
  <c r="N62" i="5" s="1"/>
  <c r="F62" i="5"/>
  <c r="G62" i="5" s="1"/>
  <c r="M61" i="5"/>
  <c r="N61" i="5" s="1"/>
  <c r="F61" i="5"/>
  <c r="G61" i="5" s="1"/>
  <c r="M60" i="5"/>
  <c r="N60" i="5" s="1"/>
  <c r="F60" i="5"/>
  <c r="G60" i="5" s="1"/>
  <c r="M59" i="5"/>
  <c r="N59" i="5" s="1"/>
  <c r="F59" i="5"/>
  <c r="G59" i="5" s="1"/>
  <c r="M58" i="5"/>
  <c r="N58" i="5" s="1"/>
  <c r="F58" i="5"/>
  <c r="G58" i="5" s="1"/>
  <c r="M57" i="5"/>
  <c r="N57" i="5" s="1"/>
  <c r="F57" i="5"/>
  <c r="G57" i="5" s="1"/>
  <c r="M56" i="5"/>
  <c r="N56" i="5" s="1"/>
  <c r="F56" i="5"/>
  <c r="G56" i="5" s="1"/>
  <c r="M55" i="5"/>
  <c r="N55" i="5" s="1"/>
  <c r="F55" i="5"/>
  <c r="G55" i="5" s="1"/>
  <c r="M54" i="5"/>
  <c r="F54" i="5"/>
  <c r="G54" i="5" s="1"/>
  <c r="M53" i="5"/>
  <c r="N53" i="5" s="1"/>
  <c r="F53" i="5"/>
  <c r="G53" i="5" s="1"/>
  <c r="M52" i="5"/>
  <c r="N52" i="5" s="1"/>
  <c r="F52" i="5"/>
  <c r="G52" i="5" s="1"/>
  <c r="M51" i="5"/>
  <c r="N51" i="5" s="1"/>
  <c r="F51" i="5"/>
  <c r="G51" i="5" s="1"/>
  <c r="M50" i="5"/>
  <c r="N50" i="5" s="1"/>
  <c r="F50" i="5"/>
  <c r="G50" i="5" s="1"/>
  <c r="M49" i="5"/>
  <c r="N49" i="5" s="1"/>
  <c r="F49" i="5"/>
  <c r="G49" i="5" s="1"/>
  <c r="M48" i="5"/>
  <c r="N48" i="5" s="1"/>
  <c r="F48" i="5"/>
  <c r="G48" i="5" s="1"/>
  <c r="M47" i="5"/>
  <c r="N47" i="5" s="1"/>
  <c r="F47" i="5"/>
  <c r="G47" i="5" s="1"/>
  <c r="M46" i="5"/>
  <c r="N46" i="5" s="1"/>
  <c r="F46" i="5"/>
  <c r="G46" i="5" s="1"/>
  <c r="M45" i="5"/>
  <c r="N45" i="5" s="1"/>
  <c r="F45" i="5"/>
  <c r="G45" i="5" s="1"/>
  <c r="M44" i="5"/>
  <c r="N44" i="5" s="1"/>
  <c r="F44" i="5"/>
  <c r="G44" i="5" s="1"/>
  <c r="M43" i="5"/>
  <c r="N43" i="5" s="1"/>
  <c r="F43" i="5"/>
  <c r="G43" i="5" s="1"/>
  <c r="M42" i="5"/>
  <c r="N42" i="5" s="1"/>
  <c r="F42" i="5"/>
  <c r="G42" i="5" s="1"/>
  <c r="M41" i="5"/>
  <c r="N41" i="5" s="1"/>
  <c r="F41" i="5"/>
  <c r="G41" i="5" s="1"/>
  <c r="M40" i="5"/>
  <c r="N40" i="5" s="1"/>
  <c r="F40" i="5"/>
  <c r="G40" i="5" s="1"/>
  <c r="M39" i="5"/>
  <c r="N39" i="5" s="1"/>
  <c r="F39" i="5"/>
  <c r="G39" i="5" s="1"/>
  <c r="M38" i="5"/>
  <c r="N38" i="5" s="1"/>
  <c r="F38" i="5"/>
  <c r="G38" i="5" s="1"/>
  <c r="M37" i="5"/>
  <c r="N37" i="5" s="1"/>
  <c r="F37" i="5"/>
  <c r="G37" i="5" s="1"/>
  <c r="M36" i="5"/>
  <c r="N36" i="5" s="1"/>
  <c r="F36" i="5"/>
  <c r="G36" i="5" s="1"/>
  <c r="M35" i="5"/>
  <c r="N35" i="5" s="1"/>
  <c r="F35" i="5"/>
  <c r="G35" i="5" s="1"/>
  <c r="M34" i="5"/>
  <c r="N34" i="5" s="1"/>
  <c r="F34" i="5"/>
  <c r="G34" i="5" s="1"/>
  <c r="M33" i="5"/>
  <c r="N33" i="5" s="1"/>
  <c r="F33" i="5"/>
  <c r="G33" i="5" s="1"/>
  <c r="M32" i="5"/>
  <c r="N32" i="5" s="1"/>
  <c r="F32" i="5"/>
  <c r="G32" i="5" s="1"/>
  <c r="M31" i="5"/>
  <c r="N31" i="5" s="1"/>
  <c r="F31" i="5"/>
  <c r="G31" i="5" s="1"/>
  <c r="M30" i="5"/>
  <c r="N30" i="5" s="1"/>
  <c r="F30" i="5"/>
  <c r="G30" i="5" s="1"/>
  <c r="M29" i="5"/>
  <c r="N29" i="5" s="1"/>
  <c r="F29" i="5"/>
  <c r="G29" i="5" s="1"/>
  <c r="M28" i="5"/>
  <c r="N28" i="5" s="1"/>
  <c r="F28" i="5"/>
  <c r="G28" i="5" s="1"/>
  <c r="M27" i="5"/>
  <c r="N27" i="5" s="1"/>
  <c r="F27" i="5"/>
  <c r="G27" i="5" s="1"/>
  <c r="M26" i="5"/>
  <c r="N26" i="5" s="1"/>
  <c r="F26" i="5"/>
  <c r="M25" i="5"/>
  <c r="N25" i="5" s="1"/>
  <c r="F25" i="5"/>
  <c r="G25" i="5" s="1"/>
  <c r="M24" i="5"/>
  <c r="N24" i="5" s="1"/>
  <c r="F24" i="5"/>
  <c r="G24" i="5" s="1"/>
  <c r="M23" i="5"/>
  <c r="N23" i="5" s="1"/>
  <c r="F23" i="5"/>
  <c r="G23" i="5" s="1"/>
  <c r="M22" i="5"/>
  <c r="N22" i="5" s="1"/>
  <c r="F22" i="5"/>
  <c r="G22" i="5" s="1"/>
  <c r="M21" i="5"/>
  <c r="N21" i="5" s="1"/>
  <c r="F21" i="5"/>
  <c r="G21" i="5" s="1"/>
  <c r="M20" i="5"/>
  <c r="N20" i="5" s="1"/>
  <c r="F20" i="5"/>
  <c r="G20" i="5" s="1"/>
  <c r="M19" i="5"/>
  <c r="N19" i="5" s="1"/>
  <c r="F19" i="5"/>
  <c r="G19" i="5" s="1"/>
  <c r="M18" i="5"/>
  <c r="N18" i="5" s="1"/>
  <c r="F18" i="5"/>
  <c r="G18" i="5" s="1"/>
  <c r="M17" i="5"/>
  <c r="N17" i="5" s="1"/>
  <c r="F17" i="5"/>
  <c r="G17" i="5" s="1"/>
  <c r="M16" i="5"/>
  <c r="N16" i="5" s="1"/>
  <c r="F16" i="5"/>
  <c r="G16" i="5" s="1"/>
  <c r="M15" i="5"/>
  <c r="N15" i="5" s="1"/>
  <c r="F15" i="5"/>
  <c r="G15" i="5" s="1"/>
  <c r="M14" i="5"/>
  <c r="N14" i="5" s="1"/>
  <c r="F14" i="5"/>
  <c r="G14" i="5" s="1"/>
  <c r="M13" i="5"/>
  <c r="N13" i="5" s="1"/>
  <c r="F13" i="5"/>
  <c r="G13" i="5" s="1"/>
  <c r="M12" i="5"/>
  <c r="N12" i="5" s="1"/>
  <c r="F12" i="5"/>
  <c r="G12" i="5" s="1"/>
  <c r="M11" i="5"/>
  <c r="N11" i="5" s="1"/>
  <c r="F11" i="5"/>
  <c r="G11" i="5" s="1"/>
  <c r="M10" i="5"/>
  <c r="N10" i="5" s="1"/>
  <c r="F10" i="5"/>
  <c r="G10" i="5" s="1"/>
  <c r="M9" i="5"/>
  <c r="N9" i="5" s="1"/>
  <c r="F9" i="5"/>
  <c r="G9" i="5" s="1"/>
  <c r="M8" i="5"/>
  <c r="N8" i="5" s="1"/>
  <c r="F8" i="5"/>
  <c r="G8" i="5" s="1"/>
  <c r="M7" i="5"/>
  <c r="N7" i="5" s="1"/>
  <c r="F7" i="5"/>
  <c r="G7" i="5" s="1"/>
  <c r="M6" i="5"/>
  <c r="N6" i="5" s="1"/>
  <c r="F6" i="5"/>
  <c r="G6" i="5" s="1"/>
  <c r="I311" i="7"/>
  <c r="H311" i="7"/>
  <c r="G311" i="7"/>
  <c r="D311" i="7"/>
  <c r="C311" i="7"/>
  <c r="J310" i="7"/>
  <c r="I310" i="7"/>
  <c r="H310" i="7"/>
  <c r="G310" i="7"/>
  <c r="D310" i="7"/>
  <c r="C310" i="7"/>
  <c r="J309" i="7"/>
  <c r="I309" i="7"/>
  <c r="H309" i="7"/>
  <c r="G309" i="7"/>
  <c r="D309" i="7"/>
  <c r="C309" i="7"/>
  <c r="J308" i="7"/>
  <c r="I308" i="7"/>
  <c r="H308" i="7"/>
  <c r="G308" i="7"/>
  <c r="D308" i="7"/>
  <c r="C308" i="7"/>
  <c r="J307" i="7"/>
  <c r="I307" i="7"/>
  <c r="H307" i="7"/>
  <c r="G307" i="7"/>
  <c r="D307" i="7"/>
  <c r="C307" i="7"/>
  <c r="J306" i="7"/>
  <c r="I306" i="7"/>
  <c r="H306" i="7"/>
  <c r="G306" i="7"/>
  <c r="D306" i="7"/>
  <c r="C306" i="7"/>
  <c r="J305" i="7"/>
  <c r="I305" i="7"/>
  <c r="H305" i="7"/>
  <c r="G305" i="7"/>
  <c r="D305" i="7"/>
  <c r="C305" i="7"/>
  <c r="J304" i="7"/>
  <c r="I304" i="7"/>
  <c r="H304" i="7"/>
  <c r="G304" i="7"/>
  <c r="D304" i="7"/>
  <c r="C304" i="7"/>
  <c r="J303" i="7"/>
  <c r="I303" i="7"/>
  <c r="H303" i="7"/>
  <c r="G303" i="7"/>
  <c r="D303" i="7"/>
  <c r="C303" i="7"/>
  <c r="J302" i="7"/>
  <c r="I302" i="7"/>
  <c r="H302" i="7"/>
  <c r="G302" i="7"/>
  <c r="D302" i="7"/>
  <c r="C302" i="7"/>
  <c r="J301" i="7"/>
  <c r="I301" i="7"/>
  <c r="H301" i="7"/>
  <c r="G301" i="7"/>
  <c r="D301" i="7"/>
  <c r="C301" i="7"/>
  <c r="J300" i="7"/>
  <c r="I300" i="7"/>
  <c r="H300" i="7"/>
  <c r="G300" i="7"/>
  <c r="D300" i="7"/>
  <c r="C300" i="7"/>
  <c r="J299" i="7"/>
  <c r="I299" i="7"/>
  <c r="H299" i="7"/>
  <c r="G299" i="7"/>
  <c r="D299" i="7"/>
  <c r="C299" i="7"/>
  <c r="J298" i="7"/>
  <c r="I298" i="7"/>
  <c r="H298" i="7"/>
  <c r="G298" i="7"/>
  <c r="D298" i="7"/>
  <c r="C298" i="7"/>
  <c r="J297" i="7"/>
  <c r="I297" i="7"/>
  <c r="H297" i="7"/>
  <c r="G297" i="7"/>
  <c r="D297" i="7"/>
  <c r="C297" i="7"/>
  <c r="J296" i="7"/>
  <c r="I296" i="7"/>
  <c r="H296" i="7"/>
  <c r="G296" i="7"/>
  <c r="D296" i="7"/>
  <c r="C296" i="7"/>
  <c r="J295" i="7"/>
  <c r="I295" i="7"/>
  <c r="H295" i="7"/>
  <c r="G295" i="7"/>
  <c r="D295" i="7"/>
  <c r="C295" i="7"/>
  <c r="J294" i="7"/>
  <c r="I294" i="7"/>
  <c r="H294" i="7"/>
  <c r="G294" i="7"/>
  <c r="D294" i="7"/>
  <c r="C294" i="7"/>
  <c r="J293" i="7"/>
  <c r="I293" i="7"/>
  <c r="H293" i="7"/>
  <c r="G293" i="7"/>
  <c r="D293" i="7"/>
  <c r="C293" i="7"/>
  <c r="J292" i="7"/>
  <c r="I292" i="7"/>
  <c r="H292" i="7"/>
  <c r="G292" i="7"/>
  <c r="D292" i="7"/>
  <c r="C292" i="7"/>
  <c r="J291" i="7"/>
  <c r="I291" i="7"/>
  <c r="H291" i="7"/>
  <c r="G291" i="7"/>
  <c r="D291" i="7"/>
  <c r="C291" i="7"/>
  <c r="J290" i="7"/>
  <c r="I290" i="7"/>
  <c r="H290" i="7"/>
  <c r="G290" i="7"/>
  <c r="D290" i="7"/>
  <c r="C290" i="7"/>
  <c r="J289" i="7"/>
  <c r="I289" i="7"/>
  <c r="H289" i="7"/>
  <c r="G289" i="7"/>
  <c r="D289" i="7"/>
  <c r="C289" i="7"/>
  <c r="J288" i="7"/>
  <c r="I288" i="7"/>
  <c r="H288" i="7"/>
  <c r="G288" i="7"/>
  <c r="D288" i="7"/>
  <c r="C288" i="7"/>
  <c r="J287" i="7"/>
  <c r="I287" i="7"/>
  <c r="H287" i="7"/>
  <c r="G287" i="7"/>
  <c r="D287" i="7"/>
  <c r="C287" i="7"/>
  <c r="J286" i="7"/>
  <c r="I286" i="7"/>
  <c r="H286" i="7"/>
  <c r="G286" i="7"/>
  <c r="D286" i="7"/>
  <c r="C286" i="7"/>
  <c r="J285" i="7"/>
  <c r="I285" i="7"/>
  <c r="H285" i="7"/>
  <c r="G285" i="7"/>
  <c r="D285" i="7"/>
  <c r="C285" i="7"/>
  <c r="J284" i="7"/>
  <c r="I284" i="7"/>
  <c r="H284" i="7"/>
  <c r="G284" i="7"/>
  <c r="D284" i="7"/>
  <c r="C284" i="7"/>
  <c r="J283" i="7"/>
  <c r="I283" i="7"/>
  <c r="H283" i="7"/>
  <c r="G283" i="7"/>
  <c r="D283" i="7"/>
  <c r="C283" i="7"/>
  <c r="J282" i="7"/>
  <c r="I282" i="7"/>
  <c r="H282" i="7"/>
  <c r="G282" i="7"/>
  <c r="D282" i="7"/>
  <c r="C282" i="7"/>
  <c r="J281" i="7"/>
  <c r="I281" i="7"/>
  <c r="H281" i="7"/>
  <c r="G281" i="7"/>
  <c r="D281" i="7"/>
  <c r="C281" i="7"/>
  <c r="J280" i="7"/>
  <c r="I280" i="7"/>
  <c r="H280" i="7"/>
  <c r="G280" i="7"/>
  <c r="D280" i="7"/>
  <c r="C280" i="7"/>
  <c r="J279" i="7"/>
  <c r="I279" i="7"/>
  <c r="H279" i="7"/>
  <c r="G279" i="7"/>
  <c r="D279" i="7"/>
  <c r="C279" i="7"/>
  <c r="J278" i="7"/>
  <c r="I278" i="7"/>
  <c r="H278" i="7"/>
  <c r="G278" i="7"/>
  <c r="D278" i="7"/>
  <c r="C278" i="7"/>
  <c r="J277" i="7"/>
  <c r="I277" i="7"/>
  <c r="H277" i="7"/>
  <c r="G277" i="7"/>
  <c r="D277" i="7"/>
  <c r="C277" i="7"/>
  <c r="J276" i="7"/>
  <c r="I276" i="7"/>
  <c r="H276" i="7"/>
  <c r="G276" i="7"/>
  <c r="D276" i="7"/>
  <c r="C276" i="7"/>
  <c r="J275" i="7"/>
  <c r="I275" i="7"/>
  <c r="H275" i="7"/>
  <c r="G275" i="7"/>
  <c r="D275" i="7"/>
  <c r="C275" i="7"/>
  <c r="J274" i="7"/>
  <c r="I274" i="7"/>
  <c r="H274" i="7"/>
  <c r="G274" i="7"/>
  <c r="D274" i="7"/>
  <c r="C274" i="7"/>
  <c r="J273" i="7"/>
  <c r="I273" i="7"/>
  <c r="H273" i="7"/>
  <c r="G273" i="7"/>
  <c r="D273" i="7"/>
  <c r="C273" i="7"/>
  <c r="J272" i="7"/>
  <c r="I272" i="7"/>
  <c r="H272" i="7"/>
  <c r="G272" i="7"/>
  <c r="D272" i="7"/>
  <c r="C272" i="7"/>
  <c r="J271" i="7"/>
  <c r="I271" i="7"/>
  <c r="H271" i="7"/>
  <c r="G271" i="7"/>
  <c r="D271" i="7"/>
  <c r="C271" i="7"/>
  <c r="J270" i="7"/>
  <c r="I270" i="7"/>
  <c r="H270" i="7"/>
  <c r="G270" i="7"/>
  <c r="D270" i="7"/>
  <c r="C270" i="7"/>
  <c r="J269" i="7"/>
  <c r="I269" i="7"/>
  <c r="H269" i="7"/>
  <c r="G269" i="7"/>
  <c r="D269" i="7"/>
  <c r="C269" i="7"/>
  <c r="J268" i="7"/>
  <c r="I268" i="7"/>
  <c r="H268" i="7"/>
  <c r="G268" i="7"/>
  <c r="D268" i="7"/>
  <c r="C268" i="7"/>
  <c r="J267" i="7"/>
  <c r="I267" i="7"/>
  <c r="H267" i="7"/>
  <c r="G267" i="7"/>
  <c r="D267" i="7"/>
  <c r="C267" i="7"/>
  <c r="J266" i="7"/>
  <c r="I266" i="7"/>
  <c r="H266" i="7"/>
  <c r="G266" i="7"/>
  <c r="D266" i="7"/>
  <c r="C266" i="7"/>
  <c r="J265" i="7"/>
  <c r="I265" i="7"/>
  <c r="H265" i="7"/>
  <c r="G265" i="7"/>
  <c r="D265" i="7"/>
  <c r="C265" i="7"/>
  <c r="J264" i="7"/>
  <c r="I264" i="7"/>
  <c r="H264" i="7"/>
  <c r="G264" i="7"/>
  <c r="D264" i="7"/>
  <c r="C264" i="7"/>
  <c r="J263" i="7"/>
  <c r="I263" i="7"/>
  <c r="H263" i="7"/>
  <c r="G263" i="7"/>
  <c r="D263" i="7"/>
  <c r="C263" i="7"/>
  <c r="J262" i="7"/>
  <c r="I262" i="7"/>
  <c r="H262" i="7"/>
  <c r="G262" i="7"/>
  <c r="D262" i="7"/>
  <c r="C262" i="7"/>
  <c r="J261" i="7"/>
  <c r="I261" i="7"/>
  <c r="H261" i="7"/>
  <c r="G261" i="7"/>
  <c r="D261" i="7"/>
  <c r="C261" i="7"/>
  <c r="J260" i="7"/>
  <c r="I260" i="7"/>
  <c r="H260" i="7"/>
  <c r="G260" i="7"/>
  <c r="D260" i="7"/>
  <c r="C260" i="7"/>
  <c r="J259" i="7"/>
  <c r="I259" i="7"/>
  <c r="H259" i="7"/>
  <c r="G259" i="7"/>
  <c r="D259" i="7"/>
  <c r="C259" i="7"/>
  <c r="J258" i="7"/>
  <c r="I258" i="7"/>
  <c r="H258" i="7"/>
  <c r="G258" i="7"/>
  <c r="D258" i="7"/>
  <c r="C258" i="7"/>
  <c r="J257" i="7"/>
  <c r="I257" i="7"/>
  <c r="H257" i="7"/>
  <c r="G257" i="7"/>
  <c r="D257" i="7"/>
  <c r="C257" i="7"/>
  <c r="J256" i="7"/>
  <c r="I256" i="7"/>
  <c r="H256" i="7"/>
  <c r="G256" i="7"/>
  <c r="D256" i="7"/>
  <c r="C256" i="7"/>
  <c r="J255" i="7"/>
  <c r="I255" i="7"/>
  <c r="H255" i="7"/>
  <c r="G255" i="7"/>
  <c r="D255" i="7"/>
  <c r="C255" i="7"/>
  <c r="J254" i="7"/>
  <c r="I254" i="7"/>
  <c r="H254" i="7"/>
  <c r="G254" i="7"/>
  <c r="D254" i="7"/>
  <c r="C254" i="7"/>
  <c r="J253" i="7"/>
  <c r="I253" i="7"/>
  <c r="H253" i="7"/>
  <c r="G253" i="7"/>
  <c r="D253" i="7"/>
  <c r="C253" i="7"/>
  <c r="J252" i="7"/>
  <c r="I252" i="7"/>
  <c r="H252" i="7"/>
  <c r="G252" i="7"/>
  <c r="D252" i="7"/>
  <c r="C252" i="7"/>
  <c r="J251" i="7"/>
  <c r="I251" i="7"/>
  <c r="H251" i="7"/>
  <c r="G251" i="7"/>
  <c r="D251" i="7"/>
  <c r="C251" i="7"/>
  <c r="J250" i="7"/>
  <c r="I250" i="7"/>
  <c r="H250" i="7"/>
  <c r="G250" i="7"/>
  <c r="D250" i="7"/>
  <c r="C250" i="7"/>
  <c r="J249" i="7"/>
  <c r="I249" i="7"/>
  <c r="H249" i="7"/>
  <c r="G249" i="7"/>
  <c r="D249" i="7"/>
  <c r="C249" i="7"/>
  <c r="J77" i="7"/>
  <c r="I77" i="7"/>
  <c r="H77" i="7"/>
  <c r="G77" i="7"/>
  <c r="D77" i="7"/>
  <c r="C77" i="7"/>
  <c r="J36" i="7"/>
  <c r="I36" i="7"/>
  <c r="H36" i="7"/>
  <c r="G36" i="7"/>
  <c r="D36" i="7"/>
  <c r="C36" i="7"/>
  <c r="J246" i="7"/>
  <c r="I246" i="7"/>
  <c r="H246" i="7"/>
  <c r="G246" i="7"/>
  <c r="D246" i="7"/>
  <c r="C246" i="7"/>
  <c r="J245" i="7"/>
  <c r="I245" i="7"/>
  <c r="H245" i="7"/>
  <c r="G245" i="7"/>
  <c r="D245" i="7"/>
  <c r="C245" i="7"/>
  <c r="J244" i="7"/>
  <c r="I244" i="7"/>
  <c r="H244" i="7"/>
  <c r="G244" i="7"/>
  <c r="D244" i="7"/>
  <c r="C244" i="7"/>
  <c r="J243" i="7"/>
  <c r="I243" i="7"/>
  <c r="H243" i="7"/>
  <c r="G243" i="7"/>
  <c r="D243" i="7"/>
  <c r="C243" i="7"/>
  <c r="J242" i="7"/>
  <c r="I242" i="7"/>
  <c r="H242" i="7"/>
  <c r="G242" i="7"/>
  <c r="D242" i="7"/>
  <c r="C242" i="7"/>
  <c r="J241" i="7"/>
  <c r="I241" i="7"/>
  <c r="H241" i="7"/>
  <c r="G241" i="7"/>
  <c r="D241" i="7"/>
  <c r="C241" i="7"/>
  <c r="J240" i="7"/>
  <c r="I240" i="7"/>
  <c r="H240" i="7"/>
  <c r="G240" i="7"/>
  <c r="D240" i="7"/>
  <c r="C240" i="7"/>
  <c r="J239" i="7"/>
  <c r="I239" i="7"/>
  <c r="H239" i="7"/>
  <c r="G239" i="7"/>
  <c r="D239" i="7"/>
  <c r="C239" i="7"/>
  <c r="J238" i="7"/>
  <c r="I238" i="7"/>
  <c r="H238" i="7"/>
  <c r="G238" i="7"/>
  <c r="D238" i="7"/>
  <c r="C238" i="7"/>
  <c r="J237" i="7"/>
  <c r="I237" i="7"/>
  <c r="H237" i="7"/>
  <c r="G237" i="7"/>
  <c r="D237" i="7"/>
  <c r="C237" i="7"/>
  <c r="J236" i="7"/>
  <c r="I236" i="7"/>
  <c r="H236" i="7"/>
  <c r="G236" i="7"/>
  <c r="D236" i="7"/>
  <c r="C236" i="7"/>
  <c r="J235" i="7"/>
  <c r="I235" i="7"/>
  <c r="H235" i="7"/>
  <c r="G235" i="7"/>
  <c r="D235" i="7"/>
  <c r="C235" i="7"/>
  <c r="J234" i="7"/>
  <c r="I234" i="7"/>
  <c r="H234" i="7"/>
  <c r="G234" i="7"/>
  <c r="D234" i="7"/>
  <c r="C234" i="7"/>
  <c r="J233" i="7"/>
  <c r="I233" i="7"/>
  <c r="H233" i="7"/>
  <c r="G233" i="7"/>
  <c r="D233" i="7"/>
  <c r="C233" i="7"/>
  <c r="J232" i="7"/>
  <c r="I232" i="7"/>
  <c r="H232" i="7"/>
  <c r="G232" i="7"/>
  <c r="D232" i="7"/>
  <c r="C232" i="7"/>
  <c r="J231" i="7"/>
  <c r="I231" i="7"/>
  <c r="H231" i="7"/>
  <c r="G231" i="7"/>
  <c r="D231" i="7"/>
  <c r="C231" i="7"/>
  <c r="J230" i="7"/>
  <c r="I230" i="7"/>
  <c r="H230" i="7"/>
  <c r="G230" i="7"/>
  <c r="D230" i="7"/>
  <c r="C230" i="7"/>
  <c r="J229" i="7"/>
  <c r="I229" i="7"/>
  <c r="H229" i="7"/>
  <c r="G229" i="7"/>
  <c r="D229" i="7"/>
  <c r="C229" i="7"/>
  <c r="J228" i="7"/>
  <c r="I228" i="7"/>
  <c r="H228" i="7"/>
  <c r="G228" i="7"/>
  <c r="D228" i="7"/>
  <c r="C228" i="7"/>
  <c r="J227" i="7"/>
  <c r="I227" i="7"/>
  <c r="H227" i="7"/>
  <c r="G227" i="7"/>
  <c r="D227" i="7"/>
  <c r="C227" i="7"/>
  <c r="J226" i="7"/>
  <c r="I226" i="7"/>
  <c r="H226" i="7"/>
  <c r="G226" i="7"/>
  <c r="D226" i="7"/>
  <c r="C226" i="7"/>
  <c r="J225" i="7"/>
  <c r="I225" i="7"/>
  <c r="H225" i="7"/>
  <c r="G225" i="7"/>
  <c r="D225" i="7"/>
  <c r="C225" i="7"/>
  <c r="J224" i="7"/>
  <c r="I224" i="7"/>
  <c r="H224" i="7"/>
  <c r="G224" i="7"/>
  <c r="D224" i="7"/>
  <c r="C224" i="7"/>
  <c r="J223" i="7"/>
  <c r="I223" i="7"/>
  <c r="H223" i="7"/>
  <c r="G223" i="7"/>
  <c r="D223" i="7"/>
  <c r="C223" i="7"/>
  <c r="J222" i="7"/>
  <c r="I222" i="7"/>
  <c r="H222" i="7"/>
  <c r="G222" i="7"/>
  <c r="D222" i="7"/>
  <c r="C222" i="7"/>
  <c r="J221" i="7"/>
  <c r="I221" i="7"/>
  <c r="H221" i="7"/>
  <c r="G221" i="7"/>
  <c r="D221" i="7"/>
  <c r="C221" i="7"/>
  <c r="J220" i="7"/>
  <c r="I220" i="7"/>
  <c r="H220" i="7"/>
  <c r="G220" i="7"/>
  <c r="D220" i="7"/>
  <c r="C220" i="7"/>
  <c r="J219" i="7"/>
  <c r="I219" i="7"/>
  <c r="H219" i="7"/>
  <c r="G219" i="7"/>
  <c r="D219" i="7"/>
  <c r="C219" i="7"/>
  <c r="J218" i="7"/>
  <c r="I218" i="7"/>
  <c r="H218" i="7"/>
  <c r="G218" i="7"/>
  <c r="D218" i="7"/>
  <c r="C218" i="7"/>
  <c r="J217" i="7"/>
  <c r="I217" i="7"/>
  <c r="H217" i="7"/>
  <c r="G217" i="7"/>
  <c r="D217" i="7"/>
  <c r="C217" i="7"/>
  <c r="J216" i="7"/>
  <c r="I216" i="7"/>
  <c r="H216" i="7"/>
  <c r="G216" i="7"/>
  <c r="D216" i="7"/>
  <c r="C216" i="7"/>
  <c r="J215" i="7"/>
  <c r="I215" i="7"/>
  <c r="H215" i="7"/>
  <c r="G215" i="7"/>
  <c r="D215" i="7"/>
  <c r="C215" i="7"/>
  <c r="J214" i="7"/>
  <c r="I214" i="7"/>
  <c r="H214" i="7"/>
  <c r="G214" i="7"/>
  <c r="D214" i="7"/>
  <c r="C214" i="7"/>
  <c r="J213" i="7"/>
  <c r="I213" i="7"/>
  <c r="H213" i="7"/>
  <c r="G213" i="7"/>
  <c r="D213" i="7"/>
  <c r="C213" i="7"/>
  <c r="J212" i="7"/>
  <c r="I212" i="7"/>
  <c r="H212" i="7"/>
  <c r="G212" i="7"/>
  <c r="D212" i="7"/>
  <c r="C212" i="7"/>
  <c r="J211" i="7"/>
  <c r="I211" i="7"/>
  <c r="H211" i="7"/>
  <c r="G211" i="7"/>
  <c r="D211" i="7"/>
  <c r="C211" i="7"/>
  <c r="J210" i="7"/>
  <c r="I210" i="7"/>
  <c r="H210" i="7"/>
  <c r="G210" i="7"/>
  <c r="D210" i="7"/>
  <c r="C210" i="7"/>
  <c r="J209" i="7"/>
  <c r="I209" i="7"/>
  <c r="H209" i="7"/>
  <c r="G209" i="7"/>
  <c r="D209" i="7"/>
  <c r="C209" i="7"/>
  <c r="J208" i="7"/>
  <c r="I208" i="7"/>
  <c r="H208" i="7"/>
  <c r="G208" i="7"/>
  <c r="D208" i="7"/>
  <c r="C208" i="7"/>
  <c r="J207" i="7"/>
  <c r="I207" i="7"/>
  <c r="H207" i="7"/>
  <c r="G207" i="7"/>
  <c r="D207" i="7"/>
  <c r="C207" i="7"/>
  <c r="J206" i="7"/>
  <c r="I206" i="7"/>
  <c r="H206" i="7"/>
  <c r="G206" i="7"/>
  <c r="D206" i="7"/>
  <c r="C206" i="7"/>
  <c r="J205" i="7"/>
  <c r="I205" i="7"/>
  <c r="H205" i="7"/>
  <c r="G205" i="7"/>
  <c r="D205" i="7"/>
  <c r="C205" i="7"/>
  <c r="J204" i="7"/>
  <c r="I204" i="7"/>
  <c r="H204" i="7"/>
  <c r="G204" i="7"/>
  <c r="D204" i="7"/>
  <c r="C204" i="7"/>
  <c r="J203" i="7"/>
  <c r="I203" i="7"/>
  <c r="H203" i="7"/>
  <c r="G203" i="7"/>
  <c r="D203" i="7"/>
  <c r="C203" i="7"/>
  <c r="J202" i="7"/>
  <c r="I202" i="7"/>
  <c r="H202" i="7"/>
  <c r="G202" i="7"/>
  <c r="D202" i="7"/>
  <c r="C202" i="7"/>
  <c r="J201" i="7"/>
  <c r="I201" i="7"/>
  <c r="H201" i="7"/>
  <c r="G201" i="7"/>
  <c r="D201" i="7"/>
  <c r="C201" i="7"/>
  <c r="J200" i="7"/>
  <c r="I200" i="7"/>
  <c r="H200" i="7"/>
  <c r="G200" i="7"/>
  <c r="D200" i="7"/>
  <c r="C200" i="7"/>
  <c r="J199" i="7"/>
  <c r="I199" i="7"/>
  <c r="H199" i="7"/>
  <c r="G199" i="7"/>
  <c r="D199" i="7"/>
  <c r="C199" i="7"/>
  <c r="J198" i="7"/>
  <c r="I198" i="7"/>
  <c r="H198" i="7"/>
  <c r="G198" i="7"/>
  <c r="D198" i="7"/>
  <c r="C198" i="7"/>
  <c r="J197" i="7"/>
  <c r="I197" i="7"/>
  <c r="H197" i="7"/>
  <c r="G197" i="7"/>
  <c r="D197" i="7"/>
  <c r="C197" i="7"/>
  <c r="J196" i="7"/>
  <c r="I196" i="7"/>
  <c r="H196" i="7"/>
  <c r="G196" i="7"/>
  <c r="D196" i="7"/>
  <c r="C196" i="7"/>
  <c r="J195" i="7"/>
  <c r="I195" i="7"/>
  <c r="H195" i="7"/>
  <c r="G195" i="7"/>
  <c r="D195" i="7"/>
  <c r="C195" i="7"/>
  <c r="J194" i="7"/>
  <c r="I194" i="7"/>
  <c r="H194" i="7"/>
  <c r="G194" i="7"/>
  <c r="D194" i="7"/>
  <c r="C194" i="7"/>
  <c r="J193" i="7"/>
  <c r="I193" i="7"/>
  <c r="H193" i="7"/>
  <c r="G193" i="7"/>
  <c r="D193" i="7"/>
  <c r="C193" i="7"/>
  <c r="J192" i="7"/>
  <c r="I192" i="7"/>
  <c r="H192" i="7"/>
  <c r="G192" i="7"/>
  <c r="D192" i="7"/>
  <c r="C192" i="7"/>
  <c r="J191" i="7"/>
  <c r="I191" i="7"/>
  <c r="H191" i="7"/>
  <c r="G191" i="7"/>
  <c r="D191" i="7"/>
  <c r="C191" i="7"/>
  <c r="J190" i="7"/>
  <c r="I190" i="7"/>
  <c r="H190" i="7"/>
  <c r="G190" i="7"/>
  <c r="D190" i="7"/>
  <c r="C190" i="7"/>
  <c r="J189" i="7"/>
  <c r="I189" i="7"/>
  <c r="H189" i="7"/>
  <c r="G189" i="7"/>
  <c r="D189" i="7"/>
  <c r="C189" i="7"/>
  <c r="J188" i="7"/>
  <c r="I188" i="7"/>
  <c r="H188" i="7"/>
  <c r="G188" i="7"/>
  <c r="D188" i="7"/>
  <c r="C188" i="7"/>
  <c r="J187" i="7"/>
  <c r="I187" i="7"/>
  <c r="H187" i="7"/>
  <c r="G187" i="7"/>
  <c r="D187" i="7"/>
  <c r="C187" i="7"/>
  <c r="J186" i="7"/>
  <c r="I186" i="7"/>
  <c r="H186" i="7"/>
  <c r="G186" i="7"/>
  <c r="D186" i="7"/>
  <c r="C186" i="7"/>
  <c r="J185" i="7"/>
  <c r="I185" i="7"/>
  <c r="H185" i="7"/>
  <c r="G185" i="7"/>
  <c r="D185" i="7"/>
  <c r="C185" i="7"/>
  <c r="J184" i="7"/>
  <c r="I184" i="7"/>
  <c r="H184" i="7"/>
  <c r="G184" i="7"/>
  <c r="D184" i="7"/>
  <c r="C184" i="7"/>
  <c r="J183" i="7"/>
  <c r="I183" i="7"/>
  <c r="H183" i="7"/>
  <c r="G183" i="7"/>
  <c r="D183" i="7"/>
  <c r="C183" i="7"/>
  <c r="J182" i="7"/>
  <c r="H182" i="7"/>
  <c r="G182" i="7"/>
  <c r="J181" i="7"/>
  <c r="I181" i="7"/>
  <c r="H181" i="7"/>
  <c r="G181" i="7"/>
  <c r="D181" i="7"/>
  <c r="C181" i="7"/>
  <c r="J180" i="7"/>
  <c r="I180" i="7"/>
  <c r="H180" i="7"/>
  <c r="G180" i="7"/>
  <c r="D180" i="7"/>
  <c r="C180" i="7"/>
  <c r="J179" i="7"/>
  <c r="I179" i="7"/>
  <c r="H179" i="7"/>
  <c r="G179" i="7"/>
  <c r="D179" i="7"/>
  <c r="C179" i="7"/>
  <c r="J178" i="7"/>
  <c r="I178" i="7"/>
  <c r="H178" i="7"/>
  <c r="G178" i="7"/>
  <c r="D178" i="7"/>
  <c r="C178" i="7"/>
  <c r="J177" i="7"/>
  <c r="I177" i="7"/>
  <c r="H177" i="7"/>
  <c r="G177" i="7"/>
  <c r="D177" i="7"/>
  <c r="C177" i="7"/>
  <c r="J176" i="7"/>
  <c r="I176" i="7"/>
  <c r="H176" i="7"/>
  <c r="G176" i="7"/>
  <c r="D176" i="7"/>
  <c r="C176" i="7"/>
  <c r="J175" i="7"/>
  <c r="I175" i="7"/>
  <c r="H175" i="7"/>
  <c r="G175" i="7"/>
  <c r="D175" i="7"/>
  <c r="C175" i="7"/>
  <c r="J174" i="7"/>
  <c r="I174" i="7"/>
  <c r="H174" i="7"/>
  <c r="G174" i="7"/>
  <c r="D174" i="7"/>
  <c r="C174" i="7"/>
  <c r="J173" i="7"/>
  <c r="I173" i="7"/>
  <c r="H173" i="7"/>
  <c r="G173" i="7"/>
  <c r="D173" i="7"/>
  <c r="C173" i="7"/>
  <c r="I172" i="7"/>
  <c r="H172" i="7"/>
  <c r="G172" i="7"/>
  <c r="D172" i="7"/>
  <c r="C172" i="7"/>
  <c r="J171" i="7"/>
  <c r="I171" i="7"/>
  <c r="H171" i="7"/>
  <c r="G171" i="7"/>
  <c r="D171" i="7"/>
  <c r="C171" i="7"/>
  <c r="J170" i="7"/>
  <c r="I170" i="7"/>
  <c r="H170" i="7"/>
  <c r="G170" i="7"/>
  <c r="D170" i="7"/>
  <c r="C170" i="7"/>
  <c r="J169" i="7"/>
  <c r="I169" i="7"/>
  <c r="H169" i="7"/>
  <c r="G169" i="7"/>
  <c r="D169" i="7"/>
  <c r="C169" i="7"/>
  <c r="J168" i="7"/>
  <c r="I168" i="7"/>
  <c r="H168" i="7"/>
  <c r="G168" i="7"/>
  <c r="D168" i="7"/>
  <c r="C168" i="7"/>
  <c r="J167" i="7"/>
  <c r="I167" i="7"/>
  <c r="H167" i="7"/>
  <c r="G167" i="7"/>
  <c r="D167" i="7"/>
  <c r="C167" i="7"/>
  <c r="J166" i="7"/>
  <c r="I166" i="7"/>
  <c r="H166" i="7"/>
  <c r="G166" i="7"/>
  <c r="D166" i="7"/>
  <c r="C166" i="7"/>
  <c r="J165" i="7"/>
  <c r="I165" i="7"/>
  <c r="H165" i="7"/>
  <c r="G165" i="7"/>
  <c r="D165" i="7"/>
  <c r="C165" i="7"/>
  <c r="J164" i="7"/>
  <c r="I164" i="7"/>
  <c r="H164" i="7"/>
  <c r="G164" i="7"/>
  <c r="D164" i="7"/>
  <c r="C164" i="7"/>
  <c r="J163" i="7"/>
  <c r="I163" i="7"/>
  <c r="H163" i="7"/>
  <c r="G163" i="7"/>
  <c r="D163" i="7"/>
  <c r="C163" i="7"/>
  <c r="J162" i="7"/>
  <c r="I162" i="7"/>
  <c r="H162" i="7"/>
  <c r="G162" i="7"/>
  <c r="D162" i="7"/>
  <c r="C162" i="7"/>
  <c r="J161" i="7"/>
  <c r="I161" i="7"/>
  <c r="H161" i="7"/>
  <c r="G161" i="7"/>
  <c r="D161" i="7"/>
  <c r="C161" i="7"/>
  <c r="J160" i="7"/>
  <c r="I160" i="7"/>
  <c r="H160" i="7"/>
  <c r="G160" i="7"/>
  <c r="D160" i="7"/>
  <c r="C160" i="7"/>
  <c r="J159" i="7"/>
  <c r="I159" i="7"/>
  <c r="H159" i="7"/>
  <c r="G159" i="7"/>
  <c r="D159" i="7"/>
  <c r="C159" i="7"/>
  <c r="J158" i="7"/>
  <c r="I158" i="7"/>
  <c r="H158" i="7"/>
  <c r="G158" i="7"/>
  <c r="D158" i="7"/>
  <c r="C158" i="7"/>
  <c r="J157" i="7"/>
  <c r="I157" i="7"/>
  <c r="H157" i="7"/>
  <c r="G157" i="7"/>
  <c r="D157" i="7"/>
  <c r="C157" i="7"/>
  <c r="J156" i="7"/>
  <c r="I156" i="7"/>
  <c r="H156" i="7"/>
  <c r="G156" i="7"/>
  <c r="D156" i="7"/>
  <c r="C156" i="7"/>
  <c r="J155" i="7"/>
  <c r="I155" i="7"/>
  <c r="H155" i="7"/>
  <c r="G155" i="7"/>
  <c r="D155" i="7"/>
  <c r="C155" i="7"/>
  <c r="J154" i="7"/>
  <c r="I154" i="7"/>
  <c r="H154" i="7"/>
  <c r="G154" i="7"/>
  <c r="D154" i="7"/>
  <c r="C154" i="7"/>
  <c r="J153" i="7"/>
  <c r="I153" i="7"/>
  <c r="H153" i="7"/>
  <c r="G153" i="7"/>
  <c r="D153" i="7"/>
  <c r="C153" i="7"/>
  <c r="J152" i="7"/>
  <c r="I152" i="7"/>
  <c r="H152" i="7"/>
  <c r="G152" i="7"/>
  <c r="D152" i="7"/>
  <c r="C152" i="7"/>
  <c r="J151" i="7"/>
  <c r="I151" i="7"/>
  <c r="H151" i="7"/>
  <c r="G151" i="7"/>
  <c r="D151" i="7"/>
  <c r="C151" i="7"/>
  <c r="J150" i="7"/>
  <c r="I150" i="7"/>
  <c r="H150" i="7"/>
  <c r="G150" i="7"/>
  <c r="D150" i="7"/>
  <c r="C150" i="7"/>
  <c r="J149" i="7"/>
  <c r="I149" i="7"/>
  <c r="H149" i="7"/>
  <c r="G149" i="7"/>
  <c r="D149" i="7"/>
  <c r="C149" i="7"/>
  <c r="J148" i="7"/>
  <c r="I148" i="7"/>
  <c r="H148" i="7"/>
  <c r="G148" i="7"/>
  <c r="D148" i="7"/>
  <c r="C148" i="7"/>
  <c r="J147" i="7"/>
  <c r="I147" i="7"/>
  <c r="H147" i="7"/>
  <c r="G147" i="7"/>
  <c r="D147" i="7"/>
  <c r="C147" i="7"/>
  <c r="J146" i="7"/>
  <c r="I146" i="7"/>
  <c r="H146" i="7"/>
  <c r="G146" i="7"/>
  <c r="D146" i="7"/>
  <c r="C146" i="7"/>
  <c r="J145" i="7"/>
  <c r="I145" i="7"/>
  <c r="H145" i="7"/>
  <c r="G145" i="7"/>
  <c r="D145" i="7"/>
  <c r="C145" i="7"/>
  <c r="J144" i="7"/>
  <c r="I144" i="7"/>
  <c r="H144" i="7"/>
  <c r="G144" i="7"/>
  <c r="D144" i="7"/>
  <c r="C144" i="7"/>
  <c r="J143" i="7"/>
  <c r="I143" i="7"/>
  <c r="H143" i="7"/>
  <c r="G143" i="7"/>
  <c r="D143" i="7"/>
  <c r="C143" i="7"/>
  <c r="J142" i="7"/>
  <c r="I142" i="7"/>
  <c r="H142" i="7"/>
  <c r="G142" i="7"/>
  <c r="D142" i="7"/>
  <c r="C142" i="7"/>
  <c r="J141" i="7"/>
  <c r="I141" i="7"/>
  <c r="H141" i="7"/>
  <c r="G141" i="7"/>
  <c r="D141" i="7"/>
  <c r="C141" i="7"/>
  <c r="J140" i="7"/>
  <c r="I140" i="7"/>
  <c r="H140" i="7"/>
  <c r="G140" i="7"/>
  <c r="D140" i="7"/>
  <c r="C140" i="7"/>
  <c r="J139" i="7"/>
  <c r="I139" i="7"/>
  <c r="H139" i="7"/>
  <c r="G139" i="7"/>
  <c r="D139" i="7"/>
  <c r="C139" i="7"/>
  <c r="J138" i="7"/>
  <c r="I138" i="7"/>
  <c r="H138" i="7"/>
  <c r="G138" i="7"/>
  <c r="D138" i="7"/>
  <c r="C138" i="7"/>
  <c r="J137" i="7"/>
  <c r="I137" i="7"/>
  <c r="H137" i="7"/>
  <c r="G137" i="7"/>
  <c r="D137" i="7"/>
  <c r="C137" i="7"/>
  <c r="J136" i="7"/>
  <c r="I136" i="7"/>
  <c r="H136" i="7"/>
  <c r="G136" i="7"/>
  <c r="D136" i="7"/>
  <c r="C136" i="7"/>
  <c r="J135" i="7"/>
  <c r="I135" i="7"/>
  <c r="H135" i="7"/>
  <c r="G135" i="7"/>
  <c r="D135" i="7"/>
  <c r="C135" i="7"/>
  <c r="J134" i="7"/>
  <c r="I134" i="7"/>
  <c r="H134" i="7"/>
  <c r="G134" i="7"/>
  <c r="D134" i="7"/>
  <c r="C134" i="7"/>
  <c r="J133" i="7"/>
  <c r="I133" i="7"/>
  <c r="H133" i="7"/>
  <c r="G133" i="7"/>
  <c r="D133" i="7"/>
  <c r="C133" i="7"/>
  <c r="J132" i="7"/>
  <c r="I132" i="7"/>
  <c r="H132" i="7"/>
  <c r="G132" i="7"/>
  <c r="D132" i="7"/>
  <c r="C132" i="7"/>
  <c r="J131" i="7"/>
  <c r="I131" i="7"/>
  <c r="H131" i="7"/>
  <c r="G131" i="7"/>
  <c r="D131" i="7"/>
  <c r="C131" i="7"/>
  <c r="J130" i="7"/>
  <c r="I130" i="7"/>
  <c r="H130" i="7"/>
  <c r="G130" i="7"/>
  <c r="D130" i="7"/>
  <c r="C130" i="7"/>
  <c r="J129" i="7"/>
  <c r="I129" i="7"/>
  <c r="H129" i="7"/>
  <c r="G129" i="7"/>
  <c r="D129" i="7"/>
  <c r="C129" i="7"/>
  <c r="J128" i="7"/>
  <c r="I128" i="7"/>
  <c r="H128" i="7"/>
  <c r="G128" i="7"/>
  <c r="D128" i="7"/>
  <c r="C128" i="7"/>
  <c r="J127" i="7"/>
  <c r="I127" i="7"/>
  <c r="H127" i="7"/>
  <c r="G127" i="7"/>
  <c r="D127" i="7"/>
  <c r="C127" i="7"/>
  <c r="J126" i="7"/>
  <c r="I126" i="7"/>
  <c r="H126" i="7"/>
  <c r="G126" i="7"/>
  <c r="D126" i="7"/>
  <c r="C126" i="7"/>
  <c r="J125" i="7"/>
  <c r="I125" i="7"/>
  <c r="H125" i="7"/>
  <c r="G125" i="7"/>
  <c r="D125" i="7"/>
  <c r="C125" i="7"/>
  <c r="J124" i="7"/>
  <c r="I124" i="7"/>
  <c r="H124" i="7"/>
  <c r="G124" i="7"/>
  <c r="D124" i="7"/>
  <c r="C124" i="7"/>
  <c r="J123" i="7"/>
  <c r="I123" i="7"/>
  <c r="H123" i="7"/>
  <c r="G123" i="7"/>
  <c r="D123" i="7"/>
  <c r="C123" i="7"/>
  <c r="J122" i="7"/>
  <c r="I122" i="7"/>
  <c r="H122" i="7"/>
  <c r="G122" i="7"/>
  <c r="D122" i="7"/>
  <c r="C122" i="7"/>
  <c r="I121" i="7"/>
  <c r="H121" i="7"/>
  <c r="G121" i="7"/>
  <c r="D121" i="7"/>
  <c r="C121" i="7"/>
  <c r="J120" i="7"/>
  <c r="I120" i="7"/>
  <c r="H120" i="7"/>
  <c r="G120" i="7"/>
  <c r="D120" i="7"/>
  <c r="C120" i="7"/>
  <c r="J119" i="7"/>
  <c r="I119" i="7"/>
  <c r="H119" i="7"/>
  <c r="G119" i="7"/>
  <c r="D119" i="7"/>
  <c r="C119" i="7"/>
  <c r="J118" i="7"/>
  <c r="I118" i="7"/>
  <c r="H118" i="7"/>
  <c r="G118" i="7"/>
  <c r="D118" i="7"/>
  <c r="C118" i="7"/>
  <c r="J117" i="7"/>
  <c r="I117" i="7"/>
  <c r="H117" i="7"/>
  <c r="G117" i="7"/>
  <c r="D117" i="7"/>
  <c r="C117" i="7"/>
  <c r="J116" i="7"/>
  <c r="I116" i="7"/>
  <c r="H116" i="7"/>
  <c r="G116" i="7"/>
  <c r="D116" i="7"/>
  <c r="C116" i="7"/>
  <c r="J115" i="7"/>
  <c r="I115" i="7"/>
  <c r="H115" i="7"/>
  <c r="G115" i="7"/>
  <c r="D115" i="7"/>
  <c r="C115" i="7"/>
  <c r="J114" i="7"/>
  <c r="I114" i="7"/>
  <c r="H114" i="7"/>
  <c r="G114" i="7"/>
  <c r="D114" i="7"/>
  <c r="C114" i="7"/>
  <c r="J113" i="7"/>
  <c r="I113" i="7"/>
  <c r="H113" i="7"/>
  <c r="G113" i="7"/>
  <c r="D113" i="7"/>
  <c r="C113" i="7"/>
  <c r="J112" i="7"/>
  <c r="I112" i="7"/>
  <c r="H112" i="7"/>
  <c r="G112" i="7"/>
  <c r="D112" i="7"/>
  <c r="C112" i="7"/>
  <c r="J111" i="7"/>
  <c r="I111" i="7"/>
  <c r="H111" i="7"/>
  <c r="G111" i="7"/>
  <c r="D111" i="7"/>
  <c r="C111" i="7"/>
  <c r="J110" i="7"/>
  <c r="I110" i="7"/>
  <c r="H110" i="7"/>
  <c r="G110" i="7"/>
  <c r="D110" i="7"/>
  <c r="C110" i="7"/>
  <c r="J109" i="7"/>
  <c r="I109" i="7"/>
  <c r="H109" i="7"/>
  <c r="G109" i="7"/>
  <c r="D109" i="7"/>
  <c r="C109" i="7"/>
  <c r="J108" i="7"/>
  <c r="I108" i="7"/>
  <c r="H108" i="7"/>
  <c r="G108" i="7"/>
  <c r="D108" i="7"/>
  <c r="C108" i="7"/>
  <c r="J107" i="7"/>
  <c r="I107" i="7"/>
  <c r="H107" i="7"/>
  <c r="G107" i="7"/>
  <c r="D107" i="7"/>
  <c r="C107" i="7"/>
  <c r="J106" i="7"/>
  <c r="I106" i="7"/>
  <c r="H106" i="7"/>
  <c r="G106" i="7"/>
  <c r="D106" i="7"/>
  <c r="C106" i="7"/>
  <c r="J105" i="7"/>
  <c r="I105" i="7"/>
  <c r="H105" i="7"/>
  <c r="G105" i="7"/>
  <c r="D105" i="7"/>
  <c r="C105" i="7"/>
  <c r="J104" i="7"/>
  <c r="I104" i="7"/>
  <c r="H104" i="7"/>
  <c r="G104" i="7"/>
  <c r="D104" i="7"/>
  <c r="C104" i="7"/>
  <c r="J103" i="7"/>
  <c r="I103" i="7"/>
  <c r="H103" i="7"/>
  <c r="G103" i="7"/>
  <c r="D103" i="7"/>
  <c r="C103" i="7"/>
  <c r="J102" i="7"/>
  <c r="I102" i="7"/>
  <c r="H102" i="7"/>
  <c r="G102" i="7"/>
  <c r="D102" i="7"/>
  <c r="C102" i="7"/>
  <c r="J101" i="7"/>
  <c r="I101" i="7"/>
  <c r="H101" i="7"/>
  <c r="G101" i="7"/>
  <c r="D101" i="7"/>
  <c r="C101" i="7"/>
  <c r="J100" i="7"/>
  <c r="I100" i="7"/>
  <c r="H100" i="7"/>
  <c r="G100" i="7"/>
  <c r="D100" i="7"/>
  <c r="C100" i="7"/>
  <c r="J99" i="7"/>
  <c r="I99" i="7"/>
  <c r="H99" i="7"/>
  <c r="G99" i="7"/>
  <c r="D99" i="7"/>
  <c r="C99" i="7"/>
  <c r="J98" i="7"/>
  <c r="I98" i="7"/>
  <c r="H98" i="7"/>
  <c r="G98" i="7"/>
  <c r="D98" i="7"/>
  <c r="C98" i="7"/>
  <c r="J97" i="7"/>
  <c r="I97" i="7"/>
  <c r="H97" i="7"/>
  <c r="G97" i="7"/>
  <c r="D97" i="7"/>
  <c r="C97" i="7"/>
  <c r="J96" i="7"/>
  <c r="I96" i="7"/>
  <c r="H96" i="7"/>
  <c r="G96" i="7"/>
  <c r="D96" i="7"/>
  <c r="C96" i="7"/>
  <c r="J95" i="7"/>
  <c r="I95" i="7"/>
  <c r="H95" i="7"/>
  <c r="G95" i="7"/>
  <c r="D95" i="7"/>
  <c r="C95" i="7"/>
  <c r="J94" i="7"/>
  <c r="I94" i="7"/>
  <c r="H94" i="7"/>
  <c r="G94" i="7"/>
  <c r="D94" i="7"/>
  <c r="C94" i="7"/>
  <c r="J93" i="7"/>
  <c r="I93" i="7"/>
  <c r="H93" i="7"/>
  <c r="G93" i="7"/>
  <c r="D93" i="7"/>
  <c r="C93" i="7"/>
  <c r="J92" i="7"/>
  <c r="I92" i="7"/>
  <c r="H92" i="7"/>
  <c r="G92" i="7"/>
  <c r="D92" i="7"/>
  <c r="C92" i="7"/>
  <c r="J91" i="7"/>
  <c r="I91" i="7"/>
  <c r="H91" i="7"/>
  <c r="G91" i="7"/>
  <c r="D91" i="7"/>
  <c r="C91" i="7"/>
  <c r="J90" i="7"/>
  <c r="I90" i="7"/>
  <c r="H90" i="7"/>
  <c r="G90" i="7"/>
  <c r="D90" i="7"/>
  <c r="C90" i="7"/>
  <c r="J89" i="7"/>
  <c r="I89" i="7"/>
  <c r="H89" i="7"/>
  <c r="G89" i="7"/>
  <c r="D89" i="7"/>
  <c r="C89" i="7"/>
  <c r="J88" i="7"/>
  <c r="I88" i="7"/>
  <c r="H88" i="7"/>
  <c r="G88" i="7"/>
  <c r="D88" i="7"/>
  <c r="C88" i="7"/>
  <c r="J87" i="7"/>
  <c r="I87" i="7"/>
  <c r="H87" i="7"/>
  <c r="G87" i="7"/>
  <c r="D87" i="7"/>
  <c r="C87" i="7"/>
  <c r="J86" i="7"/>
  <c r="I86" i="7"/>
  <c r="H86" i="7"/>
  <c r="G86" i="7"/>
  <c r="D86" i="7"/>
  <c r="C86" i="7"/>
  <c r="J85" i="7"/>
  <c r="I85" i="7"/>
  <c r="G85" i="7"/>
  <c r="D85" i="7"/>
  <c r="C85" i="7"/>
  <c r="J84" i="7"/>
  <c r="I84" i="7"/>
  <c r="H84" i="7"/>
  <c r="G84" i="7"/>
  <c r="D84" i="7"/>
  <c r="C84" i="7"/>
  <c r="J83" i="7"/>
  <c r="I83" i="7"/>
  <c r="H83" i="7"/>
  <c r="G83" i="7"/>
  <c r="D83" i="7"/>
  <c r="C83" i="7"/>
  <c r="J82" i="7"/>
  <c r="I82" i="7"/>
  <c r="H82" i="7"/>
  <c r="G82" i="7"/>
  <c r="D82" i="7"/>
  <c r="C82" i="7"/>
  <c r="J81" i="7"/>
  <c r="I81" i="7"/>
  <c r="H81" i="7"/>
  <c r="G81" i="7"/>
  <c r="D81" i="7"/>
  <c r="C81" i="7"/>
  <c r="J80" i="7"/>
  <c r="I80" i="7"/>
  <c r="H80" i="7"/>
  <c r="G80" i="7"/>
  <c r="D80" i="7"/>
  <c r="C80" i="7"/>
  <c r="J79" i="7"/>
  <c r="I79" i="7"/>
  <c r="H79" i="7"/>
  <c r="G79" i="7"/>
  <c r="D79" i="7"/>
  <c r="C79" i="7"/>
  <c r="J78" i="7"/>
  <c r="I78" i="7"/>
  <c r="H78" i="7"/>
  <c r="G78" i="7"/>
  <c r="D78" i="7"/>
  <c r="C78" i="7"/>
  <c r="J247" i="7"/>
  <c r="I247" i="7"/>
  <c r="H247" i="7"/>
  <c r="G247" i="7"/>
  <c r="D247" i="7"/>
  <c r="C247" i="7"/>
  <c r="J76" i="7"/>
  <c r="I76" i="7"/>
  <c r="H76" i="7"/>
  <c r="G76" i="7"/>
  <c r="D76" i="7"/>
  <c r="C76" i="7"/>
  <c r="J75" i="7"/>
  <c r="I75" i="7"/>
  <c r="H75" i="7"/>
  <c r="G75" i="7"/>
  <c r="D75" i="7"/>
  <c r="C75" i="7"/>
  <c r="J74" i="7"/>
  <c r="I74" i="7"/>
  <c r="H74" i="7"/>
  <c r="G74" i="7"/>
  <c r="D74" i="7"/>
  <c r="C74" i="7"/>
  <c r="J73" i="7"/>
  <c r="I73" i="7"/>
  <c r="H73" i="7"/>
  <c r="G73" i="7"/>
  <c r="D73" i="7"/>
  <c r="C73" i="7"/>
  <c r="J72" i="7"/>
  <c r="I72" i="7"/>
  <c r="H72" i="7"/>
  <c r="G72" i="7"/>
  <c r="D72" i="7"/>
  <c r="C72" i="7"/>
  <c r="J71" i="7"/>
  <c r="I71" i="7"/>
  <c r="H71" i="7"/>
  <c r="G71" i="7"/>
  <c r="D71" i="7"/>
  <c r="C71" i="7"/>
  <c r="J70" i="7"/>
  <c r="I70" i="7"/>
  <c r="H70" i="7"/>
  <c r="G70" i="7"/>
  <c r="D70" i="7"/>
  <c r="C70" i="7"/>
  <c r="J69" i="7"/>
  <c r="I69" i="7"/>
  <c r="H69" i="7"/>
  <c r="G69" i="7"/>
  <c r="D69" i="7"/>
  <c r="C69" i="7"/>
  <c r="J68" i="7"/>
  <c r="I68" i="7"/>
  <c r="H68" i="7"/>
  <c r="G68" i="7"/>
  <c r="D68" i="7"/>
  <c r="C68" i="7"/>
  <c r="J67" i="7"/>
  <c r="I67" i="7"/>
  <c r="H67" i="7"/>
  <c r="G67" i="7"/>
  <c r="D67" i="7"/>
  <c r="C67" i="7"/>
  <c r="J66" i="7"/>
  <c r="I66" i="7"/>
  <c r="H66" i="7"/>
  <c r="G66" i="7"/>
  <c r="D66" i="7"/>
  <c r="C66" i="7"/>
  <c r="J65" i="7"/>
  <c r="I65" i="7"/>
  <c r="H65" i="7"/>
  <c r="G65" i="7"/>
  <c r="D65" i="7"/>
  <c r="C65" i="7"/>
  <c r="J64" i="7"/>
  <c r="I64" i="7"/>
  <c r="H64" i="7"/>
  <c r="G64" i="7"/>
  <c r="D64" i="7"/>
  <c r="C64" i="7"/>
  <c r="J63" i="7"/>
  <c r="I63" i="7"/>
  <c r="H63" i="7"/>
  <c r="G63" i="7"/>
  <c r="D63" i="7"/>
  <c r="C63" i="7"/>
  <c r="J62" i="7"/>
  <c r="I62" i="7"/>
  <c r="H62" i="7"/>
  <c r="G62" i="7"/>
  <c r="D62" i="7"/>
  <c r="C62" i="7"/>
  <c r="J61" i="7"/>
  <c r="I61" i="7"/>
  <c r="H61" i="7"/>
  <c r="G61" i="7"/>
  <c r="D61" i="7"/>
  <c r="C61" i="7"/>
  <c r="J60" i="7"/>
  <c r="I60" i="7"/>
  <c r="H60" i="7"/>
  <c r="G60" i="7"/>
  <c r="D60" i="7"/>
  <c r="C60" i="7"/>
  <c r="J59" i="7"/>
  <c r="I59" i="7"/>
  <c r="H59" i="7"/>
  <c r="G59" i="7"/>
  <c r="D59" i="7"/>
  <c r="C59" i="7"/>
  <c r="J58" i="7"/>
  <c r="I58" i="7"/>
  <c r="H58" i="7"/>
  <c r="G58" i="7"/>
  <c r="D58" i="7"/>
  <c r="C58" i="7"/>
  <c r="J57" i="7"/>
  <c r="I57" i="7"/>
  <c r="H57" i="7"/>
  <c r="G57" i="7"/>
  <c r="D57" i="7"/>
  <c r="C57" i="7"/>
  <c r="J56" i="7"/>
  <c r="I56" i="7"/>
  <c r="H56" i="7"/>
  <c r="G56" i="7"/>
  <c r="D56" i="7"/>
  <c r="C56" i="7"/>
  <c r="J55" i="7"/>
  <c r="I55" i="7"/>
  <c r="H55" i="7"/>
  <c r="G55" i="7"/>
  <c r="D55" i="7"/>
  <c r="C55" i="7"/>
  <c r="J54" i="7"/>
  <c r="I54" i="7"/>
  <c r="H54" i="7"/>
  <c r="G54" i="7"/>
  <c r="D54" i="7"/>
  <c r="C54" i="7"/>
  <c r="J53" i="7"/>
  <c r="I53" i="7"/>
  <c r="H53" i="7"/>
  <c r="G53" i="7"/>
  <c r="D53" i="7"/>
  <c r="C53" i="7"/>
  <c r="J52" i="7"/>
  <c r="I52" i="7"/>
  <c r="H52" i="7"/>
  <c r="G52" i="7"/>
  <c r="D52" i="7"/>
  <c r="C52" i="7"/>
  <c r="J51" i="7"/>
  <c r="I51" i="7"/>
  <c r="H51" i="7"/>
  <c r="G51" i="7"/>
  <c r="D51" i="7"/>
  <c r="C51" i="7"/>
  <c r="J50" i="7"/>
  <c r="I50" i="7"/>
  <c r="H50" i="7"/>
  <c r="G50" i="7"/>
  <c r="D50" i="7"/>
  <c r="C50" i="7"/>
  <c r="J49" i="7"/>
  <c r="I49" i="7"/>
  <c r="H49" i="7"/>
  <c r="G49" i="7"/>
  <c r="D49" i="7"/>
  <c r="C49" i="7"/>
  <c r="I48" i="7"/>
  <c r="H48" i="7"/>
  <c r="G48" i="7"/>
  <c r="D48" i="7"/>
  <c r="C48" i="7"/>
  <c r="J47" i="7"/>
  <c r="I47" i="7"/>
  <c r="H47" i="7"/>
  <c r="G47" i="7"/>
  <c r="D47" i="7"/>
  <c r="C47" i="7"/>
  <c r="J46" i="7"/>
  <c r="I46" i="7"/>
  <c r="H46" i="7"/>
  <c r="G46" i="7"/>
  <c r="D46" i="7"/>
  <c r="C46" i="7"/>
  <c r="J45" i="7"/>
  <c r="I45" i="7"/>
  <c r="H45" i="7"/>
  <c r="G45" i="7"/>
  <c r="D45" i="7"/>
  <c r="C45" i="7"/>
  <c r="J44" i="7"/>
  <c r="I44" i="7"/>
  <c r="H44" i="7"/>
  <c r="G44" i="7"/>
  <c r="D44" i="7"/>
  <c r="C44" i="7"/>
  <c r="J43" i="7"/>
  <c r="I43" i="7"/>
  <c r="H43" i="7"/>
  <c r="G43" i="7"/>
  <c r="D43" i="7"/>
  <c r="C43" i="7"/>
  <c r="J42" i="7"/>
  <c r="I42" i="7"/>
  <c r="H42" i="7"/>
  <c r="G42" i="7"/>
  <c r="D42" i="7"/>
  <c r="C42" i="7"/>
  <c r="J41" i="7"/>
  <c r="I41" i="7"/>
  <c r="H41" i="7"/>
  <c r="G41" i="7"/>
  <c r="D41" i="7"/>
  <c r="C41" i="7"/>
  <c r="J40" i="7"/>
  <c r="I40" i="7"/>
  <c r="H40" i="7"/>
  <c r="G40" i="7"/>
  <c r="D40" i="7"/>
  <c r="C40" i="7"/>
  <c r="J39" i="7"/>
  <c r="I39" i="7"/>
  <c r="H39" i="7"/>
  <c r="G39" i="7"/>
  <c r="D39" i="7"/>
  <c r="C39" i="7"/>
  <c r="J38" i="7"/>
  <c r="I38" i="7"/>
  <c r="H38" i="7"/>
  <c r="G38" i="7"/>
  <c r="D38" i="7"/>
  <c r="C38" i="7"/>
  <c r="J37" i="7"/>
  <c r="I37" i="7"/>
  <c r="H37" i="7"/>
  <c r="G37" i="7"/>
  <c r="D37" i="7"/>
  <c r="C37" i="7"/>
  <c r="J248" i="7"/>
  <c r="I248" i="7"/>
  <c r="H248" i="7"/>
  <c r="G248" i="7"/>
  <c r="D248" i="7"/>
  <c r="C248" i="7"/>
  <c r="J35" i="7"/>
  <c r="I35" i="7"/>
  <c r="H35" i="7"/>
  <c r="G35" i="7"/>
  <c r="D35" i="7"/>
  <c r="C35" i="7"/>
  <c r="J34" i="7"/>
  <c r="I34" i="7"/>
  <c r="H34" i="7"/>
  <c r="G34" i="7"/>
  <c r="D34" i="7"/>
  <c r="C34" i="7"/>
  <c r="J33" i="7"/>
  <c r="I33" i="7"/>
  <c r="H33" i="7"/>
  <c r="G33" i="7"/>
  <c r="D33" i="7"/>
  <c r="C33" i="7"/>
  <c r="J32" i="7"/>
  <c r="I32" i="7"/>
  <c r="H32" i="7"/>
  <c r="G32" i="7"/>
  <c r="D32" i="7"/>
  <c r="C32" i="7"/>
  <c r="J31" i="7"/>
  <c r="I31" i="7"/>
  <c r="H31" i="7"/>
  <c r="G31" i="7"/>
  <c r="D31" i="7"/>
  <c r="C31" i="7"/>
  <c r="J30" i="7"/>
  <c r="I30" i="7"/>
  <c r="H30" i="7"/>
  <c r="G30" i="7"/>
  <c r="D30" i="7"/>
  <c r="C30" i="7"/>
  <c r="J29" i="7"/>
  <c r="I29" i="7"/>
  <c r="H29" i="7"/>
  <c r="G29" i="7"/>
  <c r="D29" i="7"/>
  <c r="C29" i="7"/>
  <c r="J28" i="7"/>
  <c r="I28" i="7"/>
  <c r="H28" i="7"/>
  <c r="G28" i="7"/>
  <c r="D28" i="7"/>
  <c r="C28" i="7"/>
  <c r="J27" i="7"/>
  <c r="I27" i="7"/>
  <c r="H27" i="7"/>
  <c r="G27" i="7"/>
  <c r="D27" i="7"/>
  <c r="C27" i="7"/>
  <c r="J26" i="7"/>
  <c r="I26" i="7"/>
  <c r="H26" i="7"/>
  <c r="G26" i="7"/>
  <c r="D26" i="7"/>
  <c r="C26" i="7"/>
  <c r="J25" i="7"/>
  <c r="I25" i="7"/>
  <c r="H25" i="7"/>
  <c r="G25" i="7"/>
  <c r="D25" i="7"/>
  <c r="C25" i="7"/>
  <c r="J24" i="7"/>
  <c r="I24" i="7"/>
  <c r="H24" i="7"/>
  <c r="G24" i="7"/>
  <c r="D24" i="7"/>
  <c r="C24" i="7"/>
  <c r="J23" i="7"/>
  <c r="I23" i="7"/>
  <c r="H23" i="7"/>
  <c r="G23" i="7"/>
  <c r="D23" i="7"/>
  <c r="C23" i="7"/>
  <c r="J22" i="7"/>
  <c r="I22" i="7"/>
  <c r="H22" i="7"/>
  <c r="G22" i="7"/>
  <c r="D22" i="7"/>
  <c r="C22" i="7"/>
  <c r="J21" i="7"/>
  <c r="I21" i="7"/>
  <c r="H21" i="7"/>
  <c r="G21" i="7"/>
  <c r="D21" i="7"/>
  <c r="C21" i="7"/>
  <c r="J20" i="7"/>
  <c r="I20" i="7"/>
  <c r="H20" i="7"/>
  <c r="G20" i="7"/>
  <c r="D20" i="7"/>
  <c r="C20" i="7"/>
  <c r="J19" i="7"/>
  <c r="I19" i="7"/>
  <c r="H19" i="7"/>
  <c r="G19" i="7"/>
  <c r="D19" i="7"/>
  <c r="C19" i="7"/>
  <c r="J18" i="7"/>
  <c r="I18" i="7"/>
  <c r="H18" i="7"/>
  <c r="G18" i="7"/>
  <c r="D18" i="7"/>
  <c r="C18" i="7"/>
  <c r="J17" i="7"/>
  <c r="I17" i="7"/>
  <c r="H17" i="7"/>
  <c r="G17" i="7"/>
  <c r="D17" i="7"/>
  <c r="C17" i="7"/>
  <c r="J16" i="7"/>
  <c r="I16" i="7"/>
  <c r="H16" i="7"/>
  <c r="G16" i="7"/>
  <c r="D16" i="7"/>
  <c r="C16" i="7"/>
  <c r="J15" i="7"/>
  <c r="I15" i="7"/>
  <c r="H15" i="7"/>
  <c r="G15" i="7"/>
  <c r="D15" i="7"/>
  <c r="C15" i="7"/>
  <c r="J14" i="7"/>
  <c r="I14" i="7"/>
  <c r="H14" i="7"/>
  <c r="G14" i="7"/>
  <c r="D14" i="7"/>
  <c r="C14" i="7"/>
  <c r="J13" i="7"/>
  <c r="I13" i="7"/>
  <c r="H13" i="7"/>
  <c r="G13" i="7"/>
  <c r="D13" i="7"/>
  <c r="C13" i="7"/>
  <c r="J12" i="7"/>
  <c r="I12" i="7"/>
  <c r="H12" i="7"/>
  <c r="G12" i="7"/>
  <c r="D12" i="7"/>
  <c r="C12" i="7"/>
  <c r="J11" i="7"/>
  <c r="I11" i="7"/>
  <c r="H11" i="7"/>
  <c r="G11" i="7"/>
  <c r="D11" i="7"/>
  <c r="C11" i="7"/>
  <c r="J10" i="7"/>
  <c r="I10" i="7"/>
  <c r="H10" i="7"/>
  <c r="G10" i="7"/>
  <c r="D10" i="7"/>
  <c r="C10" i="7"/>
  <c r="J9" i="7"/>
  <c r="I9" i="7"/>
  <c r="H9" i="7"/>
  <c r="G9" i="7"/>
  <c r="D9" i="7"/>
  <c r="C9" i="7"/>
  <c r="J8" i="7"/>
  <c r="I8" i="7"/>
  <c r="H8" i="7"/>
  <c r="G8" i="7"/>
  <c r="D8" i="7"/>
  <c r="C8" i="7"/>
  <c r="J7" i="7"/>
  <c r="I7" i="7"/>
  <c r="H7" i="7"/>
  <c r="G7" i="7"/>
  <c r="D7" i="7"/>
  <c r="C7" i="7"/>
  <c r="J6" i="7"/>
  <c r="I6" i="7"/>
  <c r="H6" i="7"/>
  <c r="G6" i="7"/>
  <c r="D6" i="7"/>
  <c r="C6" i="7"/>
  <c r="J5" i="7"/>
  <c r="I5" i="7"/>
  <c r="H5" i="7"/>
  <c r="G5" i="7"/>
  <c r="D5" i="7"/>
  <c r="C5" i="7"/>
  <c r="J4" i="7"/>
  <c r="I4" i="7"/>
  <c r="H4" i="7"/>
  <c r="G4" i="7"/>
  <c r="D4" i="7"/>
  <c r="C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J3" i="7"/>
  <c r="I3" i="7"/>
  <c r="H3" i="7"/>
  <c r="G3" i="7"/>
  <c r="D3" i="7"/>
  <c r="C3" i="7"/>
  <c r="D6086" i="6"/>
  <c r="D182" i="7" s="1"/>
  <c r="I3037" i="2"/>
  <c r="J3037" i="2" s="1"/>
  <c r="I3036" i="2"/>
  <c r="J3036" i="2" s="1"/>
  <c r="I3035" i="2"/>
  <c r="J3035" i="2" s="1"/>
  <c r="M3035" i="2" s="1"/>
  <c r="N3035" i="2" s="1"/>
  <c r="I3034" i="2"/>
  <c r="J3034" i="2" s="1"/>
  <c r="M3034" i="2" s="1"/>
  <c r="N3034" i="2" s="1"/>
  <c r="I3033" i="2"/>
  <c r="J3033" i="2" s="1"/>
  <c r="I3032" i="2"/>
  <c r="J3032" i="2" s="1"/>
  <c r="N3031" i="2"/>
  <c r="O3031" i="2" s="1"/>
  <c r="I3031" i="2"/>
  <c r="J3031" i="2" s="1"/>
  <c r="K3031" i="2" s="1"/>
  <c r="H3021" i="2"/>
  <c r="I3021" i="2" s="1"/>
  <c r="F3021" i="2"/>
  <c r="H3020" i="2"/>
  <c r="I3020" i="2" s="1"/>
  <c r="F3020" i="2"/>
  <c r="H3019" i="2"/>
  <c r="I3019" i="2" s="1"/>
  <c r="F3019" i="2"/>
  <c r="H3018" i="2"/>
  <c r="I3018" i="2" s="1"/>
  <c r="F3018" i="2"/>
  <c r="H3017" i="2"/>
  <c r="I3017" i="2" s="1"/>
  <c r="F3017" i="2"/>
  <c r="H3016" i="2"/>
  <c r="I3016" i="2" s="1"/>
  <c r="F3016" i="2"/>
  <c r="H3015" i="2"/>
  <c r="I3015" i="2" s="1"/>
  <c r="F3015" i="2"/>
  <c r="H3014" i="2"/>
  <c r="I3014" i="2" s="1"/>
  <c r="F3014" i="2"/>
  <c r="H3013" i="2"/>
  <c r="I3013" i="2" s="1"/>
  <c r="F3013" i="2"/>
  <c r="H3012" i="2"/>
  <c r="I3012" i="2" s="1"/>
  <c r="J3012" i="2" s="1"/>
  <c r="F3012" i="2"/>
  <c r="H3003" i="2"/>
  <c r="I3003" i="2" s="1"/>
  <c r="F3003" i="2"/>
  <c r="H3002" i="2"/>
  <c r="I3002" i="2" s="1"/>
  <c r="F3002" i="2"/>
  <c r="H3001" i="2"/>
  <c r="I3001" i="2" s="1"/>
  <c r="F3001" i="2"/>
  <c r="H3000" i="2"/>
  <c r="I3000" i="2" s="1"/>
  <c r="F3000" i="2"/>
  <c r="H2999" i="2"/>
  <c r="I2999" i="2" s="1"/>
  <c r="F2999" i="2"/>
  <c r="H2998" i="2"/>
  <c r="I2998" i="2" s="1"/>
  <c r="F2998" i="2"/>
  <c r="H2997" i="2"/>
  <c r="I2997" i="2" s="1"/>
  <c r="F2997" i="2"/>
  <c r="H2996" i="2"/>
  <c r="I2996" i="2" s="1"/>
  <c r="F2996" i="2"/>
  <c r="H2995" i="2"/>
  <c r="I2995" i="2" s="1"/>
  <c r="F2995" i="2"/>
  <c r="H2994" i="2"/>
  <c r="I2994" i="2" s="1"/>
  <c r="F2994" i="2"/>
  <c r="H2993" i="2"/>
  <c r="I2993" i="2" s="1"/>
  <c r="F2993" i="2"/>
  <c r="H2992" i="2"/>
  <c r="I2992" i="2" s="1"/>
  <c r="J2992" i="2" s="1"/>
  <c r="F2992" i="2"/>
  <c r="H2984" i="2"/>
  <c r="I2984" i="2" s="1"/>
  <c r="F2984" i="2"/>
  <c r="H2983" i="2"/>
  <c r="I2983" i="2" s="1"/>
  <c r="J2983" i="2" s="1"/>
  <c r="F2983" i="2"/>
  <c r="H2976" i="2"/>
  <c r="I2976" i="2" s="1"/>
  <c r="F2976" i="2"/>
  <c r="H2975" i="2"/>
  <c r="I2975" i="2" s="1"/>
  <c r="F2975" i="2"/>
  <c r="H2974" i="2"/>
  <c r="I2974" i="2" s="1"/>
  <c r="F2974" i="2"/>
  <c r="H2973" i="2"/>
  <c r="I2973" i="2" s="1"/>
  <c r="F2973" i="2"/>
  <c r="H2972" i="2"/>
  <c r="I2972" i="2" s="1"/>
  <c r="F2972" i="2"/>
  <c r="H2971" i="2"/>
  <c r="I2971" i="2" s="1"/>
  <c r="J2971" i="2" s="1"/>
  <c r="F2971" i="2"/>
  <c r="H2962" i="2"/>
  <c r="I2962" i="2" s="1"/>
  <c r="F2962" i="2"/>
  <c r="H2961" i="2"/>
  <c r="I2961" i="2" s="1"/>
  <c r="J2961" i="2" s="1"/>
  <c r="F2961" i="2"/>
  <c r="I2954" i="2"/>
  <c r="J2954" i="2" s="1"/>
  <c r="M2954" i="2" s="1"/>
  <c r="N2954" i="2" s="1"/>
  <c r="I2953" i="2"/>
  <c r="J2953" i="2" s="1"/>
  <c r="H2947" i="2"/>
  <c r="I2947" i="2" s="1"/>
  <c r="F2947" i="2"/>
  <c r="H2946" i="2"/>
  <c r="I2946" i="2" s="1"/>
  <c r="F2946" i="2"/>
  <c r="H2945" i="2"/>
  <c r="I2945" i="2" s="1"/>
  <c r="J2945" i="2" s="1"/>
  <c r="F2945" i="2"/>
  <c r="H2937" i="2"/>
  <c r="I2937" i="2" s="1"/>
  <c r="F2937" i="2"/>
  <c r="H2936" i="2"/>
  <c r="I2936" i="2" s="1"/>
  <c r="F2936" i="2"/>
  <c r="H2935" i="2"/>
  <c r="I2935" i="2" s="1"/>
  <c r="F2935" i="2"/>
  <c r="H2934" i="2"/>
  <c r="I2934" i="2" s="1"/>
  <c r="F2934" i="2"/>
  <c r="H2933" i="2"/>
  <c r="I2933" i="2" s="1"/>
  <c r="F2933" i="2"/>
  <c r="H2932" i="2"/>
  <c r="I2932" i="2" s="1"/>
  <c r="F2932" i="2"/>
  <c r="H2931" i="2"/>
  <c r="I2931" i="2" s="1"/>
  <c r="F2931" i="2"/>
  <c r="H2930" i="2"/>
  <c r="I2930" i="2" s="1"/>
  <c r="F2930" i="2"/>
  <c r="H2929" i="2"/>
  <c r="I2929" i="2" s="1"/>
  <c r="F2929" i="2"/>
  <c r="H2928" i="2"/>
  <c r="I2928" i="2" s="1"/>
  <c r="F2928" i="2"/>
  <c r="H2927" i="2"/>
  <c r="I2927" i="2" s="1"/>
  <c r="F2927" i="2"/>
  <c r="H2926" i="2"/>
  <c r="I2926" i="2" s="1"/>
  <c r="F2926" i="2"/>
  <c r="H2925" i="2"/>
  <c r="I2925" i="2" s="1"/>
  <c r="F2925" i="2"/>
  <c r="H2924" i="2"/>
  <c r="I2924" i="2" s="1"/>
  <c r="F2924" i="2"/>
  <c r="H2923" i="2"/>
  <c r="I2923" i="2" s="1"/>
  <c r="F2923" i="2"/>
  <c r="H2922" i="2"/>
  <c r="I2922" i="2" s="1"/>
  <c r="F2922" i="2"/>
  <c r="H2921" i="2"/>
  <c r="I2921" i="2" s="1"/>
  <c r="F2921" i="2"/>
  <c r="H2920" i="2"/>
  <c r="I2920" i="2" s="1"/>
  <c r="F2920" i="2"/>
  <c r="H2919" i="2"/>
  <c r="I2919" i="2" s="1"/>
  <c r="F2919" i="2"/>
  <c r="H2918" i="2"/>
  <c r="I2918" i="2" s="1"/>
  <c r="F2918" i="2"/>
  <c r="H2917" i="2"/>
  <c r="I2917" i="2" s="1"/>
  <c r="F2917" i="2"/>
  <c r="H2916" i="2"/>
  <c r="I2916" i="2" s="1"/>
  <c r="J2916" i="2" s="1"/>
  <c r="F2916" i="2"/>
  <c r="I2907" i="2"/>
  <c r="J2907" i="2" s="1"/>
  <c r="I2906" i="2"/>
  <c r="J2906" i="2" s="1"/>
  <c r="H2899" i="2"/>
  <c r="I2899" i="2" s="1"/>
  <c r="F2899" i="2"/>
  <c r="H2898" i="2"/>
  <c r="I2898" i="2" s="1"/>
  <c r="F2898" i="2"/>
  <c r="H2897" i="2"/>
  <c r="I2897" i="2" s="1"/>
  <c r="H2896" i="2"/>
  <c r="I2896" i="2" s="1"/>
  <c r="F2896" i="2"/>
  <c r="H2895" i="2"/>
  <c r="I2895" i="2" s="1"/>
  <c r="F2895" i="2"/>
  <c r="H2894" i="2"/>
  <c r="I2894" i="2" s="1"/>
  <c r="F2894" i="2"/>
  <c r="H2893" i="2"/>
  <c r="I2893" i="2" s="1"/>
  <c r="F2893" i="2"/>
  <c r="H2892" i="2"/>
  <c r="I2892" i="2" s="1"/>
  <c r="F2892" i="2"/>
  <c r="H2891" i="2"/>
  <c r="I2891" i="2" s="1"/>
  <c r="F2891" i="2"/>
  <c r="H2890" i="2"/>
  <c r="I2890" i="2" s="1"/>
  <c r="F2890" i="2"/>
  <c r="H2889" i="2"/>
  <c r="I2889" i="2" s="1"/>
  <c r="F2889" i="2"/>
  <c r="H2888" i="2"/>
  <c r="I2888" i="2" s="1"/>
  <c r="F2888" i="2"/>
  <c r="H2887" i="2"/>
  <c r="I2887" i="2" s="1"/>
  <c r="F2887" i="2"/>
  <c r="H2886" i="2"/>
  <c r="I2886" i="2" s="1"/>
  <c r="J2886" i="2" s="1"/>
  <c r="F2886" i="2"/>
  <c r="H2879" i="2"/>
  <c r="I2879" i="2" s="1"/>
  <c r="F2879" i="2"/>
  <c r="H2878" i="2"/>
  <c r="I2878" i="2" s="1"/>
  <c r="F2878" i="2"/>
  <c r="H2877" i="2"/>
  <c r="I2877" i="2" s="1"/>
  <c r="J2877" i="2" s="1"/>
  <c r="F2877" i="2"/>
  <c r="H2871" i="2"/>
  <c r="I2871" i="2" s="1"/>
  <c r="F2871" i="2"/>
  <c r="H2870" i="2"/>
  <c r="I2870" i="2" s="1"/>
  <c r="F2870" i="2"/>
  <c r="H2869" i="2"/>
  <c r="I2869" i="2" s="1"/>
  <c r="F2869" i="2"/>
  <c r="H2868" i="2"/>
  <c r="I2868" i="2" s="1"/>
  <c r="F2868" i="2"/>
  <c r="H2867" i="2"/>
  <c r="I2867" i="2" s="1"/>
  <c r="F2867" i="2"/>
  <c r="H2866" i="2"/>
  <c r="I2866" i="2" s="1"/>
  <c r="F2866" i="2"/>
  <c r="H2865" i="2"/>
  <c r="I2865" i="2" s="1"/>
  <c r="F2865" i="2"/>
  <c r="H2864" i="2"/>
  <c r="I2864" i="2" s="1"/>
  <c r="F2864" i="2"/>
  <c r="H2863" i="2"/>
  <c r="I2863" i="2" s="1"/>
  <c r="F2863" i="2"/>
  <c r="H2862" i="2"/>
  <c r="I2862" i="2" s="1"/>
  <c r="F2862" i="2"/>
  <c r="H2861" i="2"/>
  <c r="I2861" i="2" s="1"/>
  <c r="F2861" i="2"/>
  <c r="H2860" i="2"/>
  <c r="I2860" i="2" s="1"/>
  <c r="F2860" i="2"/>
  <c r="H2859" i="2"/>
  <c r="I2859" i="2" s="1"/>
  <c r="F2859" i="2"/>
  <c r="H2858" i="2"/>
  <c r="I2858" i="2" s="1"/>
  <c r="F2858" i="2"/>
  <c r="H2857" i="2"/>
  <c r="I2857" i="2" s="1"/>
  <c r="F2857" i="2"/>
  <c r="H2856" i="2"/>
  <c r="I2856" i="2" s="1"/>
  <c r="F2856" i="2"/>
  <c r="H2855" i="2"/>
  <c r="I2855" i="2" s="1"/>
  <c r="F2855" i="2"/>
  <c r="H2854" i="2"/>
  <c r="I2854" i="2" s="1"/>
  <c r="F2854" i="2"/>
  <c r="H2853" i="2"/>
  <c r="I2853" i="2" s="1"/>
  <c r="F2853" i="2"/>
  <c r="H2852" i="2"/>
  <c r="I2852" i="2" s="1"/>
  <c r="F2852" i="2"/>
  <c r="H2851" i="2"/>
  <c r="I2851" i="2" s="1"/>
  <c r="F2851" i="2"/>
  <c r="H2850" i="2"/>
  <c r="I2850" i="2" s="1"/>
  <c r="J2850" i="2" s="1"/>
  <c r="F2850" i="2"/>
  <c r="I2842" i="2"/>
  <c r="J2842" i="2" s="1"/>
  <c r="I2841" i="2"/>
  <c r="J2841" i="2" s="1"/>
  <c r="M2841" i="2" s="1"/>
  <c r="N2841" i="2" s="1"/>
  <c r="I2840" i="2"/>
  <c r="J2840" i="2" s="1"/>
  <c r="M2840" i="2" s="1"/>
  <c r="N2840" i="2" s="1"/>
  <c r="I2839" i="2"/>
  <c r="J2839" i="2" s="1"/>
  <c r="I2838" i="2"/>
  <c r="J2838" i="2" s="1"/>
  <c r="I2837" i="2"/>
  <c r="J2837" i="2" s="1"/>
  <c r="M2837" i="2" s="1"/>
  <c r="N2837" i="2" s="1"/>
  <c r="I2836" i="2"/>
  <c r="J2836" i="2" s="1"/>
  <c r="I2835" i="2"/>
  <c r="J2835" i="2" s="1"/>
  <c r="M2835" i="2" s="1"/>
  <c r="N2835" i="2" s="1"/>
  <c r="I2834" i="2"/>
  <c r="J2834" i="2" s="1"/>
  <c r="I2833" i="2"/>
  <c r="J2833" i="2" s="1"/>
  <c r="M2833" i="2" s="1"/>
  <c r="N2833" i="2" s="1"/>
  <c r="I2832" i="2"/>
  <c r="J2832" i="2" s="1"/>
  <c r="I2831" i="2"/>
  <c r="J2831" i="2" s="1"/>
  <c r="K2831" i="2" s="1"/>
  <c r="I2830" i="2"/>
  <c r="J2830" i="2" s="1"/>
  <c r="I2829" i="2"/>
  <c r="J2829" i="2" s="1"/>
  <c r="I2828" i="2"/>
  <c r="J2828" i="2" s="1"/>
  <c r="I2827" i="2"/>
  <c r="J2827" i="2" s="1"/>
  <c r="M2827" i="2" s="1"/>
  <c r="N2827" i="2" s="1"/>
  <c r="I2826" i="2"/>
  <c r="J2826" i="2" s="1"/>
  <c r="I2825" i="2"/>
  <c r="J2825" i="2" s="1"/>
  <c r="H2818" i="2"/>
  <c r="I2818" i="2" s="1"/>
  <c r="F2818" i="2"/>
  <c r="H2817" i="2"/>
  <c r="I2817" i="2" s="1"/>
  <c r="F2817" i="2"/>
  <c r="H2816" i="2"/>
  <c r="I2816" i="2" s="1"/>
  <c r="F2816" i="2"/>
  <c r="H2815" i="2"/>
  <c r="I2815" i="2" s="1"/>
  <c r="F2815" i="2"/>
  <c r="H2814" i="2"/>
  <c r="I2814" i="2" s="1"/>
  <c r="J2814" i="2" s="1"/>
  <c r="F2814" i="2"/>
  <c r="H2808" i="2"/>
  <c r="I2808" i="2" s="1"/>
  <c r="F2808" i="2"/>
  <c r="H2807" i="2"/>
  <c r="I2807" i="2" s="1"/>
  <c r="F2807" i="2"/>
  <c r="H2806" i="2"/>
  <c r="I2806" i="2" s="1"/>
  <c r="F2806" i="2"/>
  <c r="H2805" i="2"/>
  <c r="I2805" i="2" s="1"/>
  <c r="F2805" i="2"/>
  <c r="H2804" i="2"/>
  <c r="I2804" i="2" s="1"/>
  <c r="F2804" i="2"/>
  <c r="H2803" i="2"/>
  <c r="I2803" i="2" s="1"/>
  <c r="F2803" i="2"/>
  <c r="H2802" i="2"/>
  <c r="I2802" i="2" s="1"/>
  <c r="F2802" i="2"/>
  <c r="H2801" i="2"/>
  <c r="I2801" i="2" s="1"/>
  <c r="F2801" i="2"/>
  <c r="H2800" i="2"/>
  <c r="I2800" i="2" s="1"/>
  <c r="F2800" i="2"/>
  <c r="H2799" i="2"/>
  <c r="I2799" i="2" s="1"/>
  <c r="F2799" i="2"/>
  <c r="H2798" i="2"/>
  <c r="I2798" i="2" s="1"/>
  <c r="F2798" i="2"/>
  <c r="H2797" i="2"/>
  <c r="I2797" i="2" s="1"/>
  <c r="F2797" i="2"/>
  <c r="H2796" i="2"/>
  <c r="I2796" i="2" s="1"/>
  <c r="F2796" i="2"/>
  <c r="H2795" i="2"/>
  <c r="I2795" i="2" s="1"/>
  <c r="F2795" i="2"/>
  <c r="H2794" i="2"/>
  <c r="I2794" i="2" s="1"/>
  <c r="F2794" i="2"/>
  <c r="H2793" i="2"/>
  <c r="I2793" i="2" s="1"/>
  <c r="J2793" i="2" s="1"/>
  <c r="F2793" i="2"/>
  <c r="H2786" i="2"/>
  <c r="I2786" i="2" s="1"/>
  <c r="F2786" i="2"/>
  <c r="H2785" i="2"/>
  <c r="I2785" i="2" s="1"/>
  <c r="F2785" i="2"/>
  <c r="H2784" i="2"/>
  <c r="I2784" i="2" s="1"/>
  <c r="F2784" i="2"/>
  <c r="H2783" i="2"/>
  <c r="I2783" i="2" s="1"/>
  <c r="J2783" i="2" s="1"/>
  <c r="F2783" i="2"/>
  <c r="H2776" i="2"/>
  <c r="I2776" i="2" s="1"/>
  <c r="F2776" i="2"/>
  <c r="H2775" i="2"/>
  <c r="I2775" i="2" s="1"/>
  <c r="F2775" i="2"/>
  <c r="H2774" i="2"/>
  <c r="I2774" i="2" s="1"/>
  <c r="F2774" i="2"/>
  <c r="H2773" i="2"/>
  <c r="I2773" i="2" s="1"/>
  <c r="F2773" i="2"/>
  <c r="H2772" i="2"/>
  <c r="I2772" i="2" s="1"/>
  <c r="F2772" i="2"/>
  <c r="H2771" i="2"/>
  <c r="I2771" i="2" s="1"/>
  <c r="F2771" i="2"/>
  <c r="H2770" i="2"/>
  <c r="I2770" i="2" s="1"/>
  <c r="F2770" i="2"/>
  <c r="H2769" i="2"/>
  <c r="I2769" i="2" s="1"/>
  <c r="F2769" i="2"/>
  <c r="H2768" i="2"/>
  <c r="I2768" i="2" s="1"/>
  <c r="J2768" i="2" s="1"/>
  <c r="F2768" i="2"/>
  <c r="H2761" i="2"/>
  <c r="I2761" i="2" s="1"/>
  <c r="F2761" i="2"/>
  <c r="H2760" i="2"/>
  <c r="I2760" i="2" s="1"/>
  <c r="F2760" i="2"/>
  <c r="H2759" i="2"/>
  <c r="I2759" i="2" s="1"/>
  <c r="F2759" i="2"/>
  <c r="H2758" i="2"/>
  <c r="I2758" i="2" s="1"/>
  <c r="F2758" i="2"/>
  <c r="H2757" i="2"/>
  <c r="I2757" i="2" s="1"/>
  <c r="F2757" i="2"/>
  <c r="H2756" i="2"/>
  <c r="I2756" i="2" s="1"/>
  <c r="F2756" i="2"/>
  <c r="H2755" i="2"/>
  <c r="I2755" i="2" s="1"/>
  <c r="F2755" i="2"/>
  <c r="H2754" i="2"/>
  <c r="I2754" i="2" s="1"/>
  <c r="F2754" i="2"/>
  <c r="H2753" i="2"/>
  <c r="I2753" i="2" s="1"/>
  <c r="F2753" i="2"/>
  <c r="H2752" i="2"/>
  <c r="I2752" i="2" s="1"/>
  <c r="F2752" i="2"/>
  <c r="H2751" i="2"/>
  <c r="I2751" i="2" s="1"/>
  <c r="J2751" i="2" s="1"/>
  <c r="F2751" i="2"/>
  <c r="H2745" i="2"/>
  <c r="I2745" i="2" s="1"/>
  <c r="F2745" i="2"/>
  <c r="H2744" i="2"/>
  <c r="I2744" i="2" s="1"/>
  <c r="F2744" i="2"/>
  <c r="H2743" i="2"/>
  <c r="I2743" i="2" s="1"/>
  <c r="F2743" i="2"/>
  <c r="H2742" i="2"/>
  <c r="I2742" i="2" s="1"/>
  <c r="F2742" i="2"/>
  <c r="H2741" i="2"/>
  <c r="I2741" i="2" s="1"/>
  <c r="F2741" i="2"/>
  <c r="H2740" i="2"/>
  <c r="I2740" i="2" s="1"/>
  <c r="F2740" i="2"/>
  <c r="H2739" i="2"/>
  <c r="I2739" i="2" s="1"/>
  <c r="F2739" i="2"/>
  <c r="H2738" i="2"/>
  <c r="I2738" i="2" s="1"/>
  <c r="F2738" i="2"/>
  <c r="H2737" i="2"/>
  <c r="I2737" i="2" s="1"/>
  <c r="F2737" i="2"/>
  <c r="H2736" i="2"/>
  <c r="I2736" i="2" s="1"/>
  <c r="J2736" i="2" s="1"/>
  <c r="F2736" i="2"/>
  <c r="I2730" i="2"/>
  <c r="J2730" i="2" s="1"/>
  <c r="I2729" i="2"/>
  <c r="J2729" i="2" s="1"/>
  <c r="M2729" i="2" s="1"/>
  <c r="N2729" i="2" s="1"/>
  <c r="I2728" i="2"/>
  <c r="J2728" i="2" s="1"/>
  <c r="K2728" i="2" s="1"/>
  <c r="H2721" i="2"/>
  <c r="I2721" i="2" s="1"/>
  <c r="F2721" i="2"/>
  <c r="H2720" i="2"/>
  <c r="I2720" i="2" s="1"/>
  <c r="F2720" i="2"/>
  <c r="H2719" i="2"/>
  <c r="I2719" i="2" s="1"/>
  <c r="J2719" i="2" s="1"/>
  <c r="F2719" i="2"/>
  <c r="I2713" i="2"/>
  <c r="J2713" i="2" s="1"/>
  <c r="M2713" i="2" s="1"/>
  <c r="N2713" i="2" s="1"/>
  <c r="I2712" i="2"/>
  <c r="J2712" i="2" s="1"/>
  <c r="K2712" i="2" s="1"/>
  <c r="I2711" i="2"/>
  <c r="J2711" i="2" s="1"/>
  <c r="I2710" i="2"/>
  <c r="J2710" i="2" s="1"/>
  <c r="I2709" i="2"/>
  <c r="J2709" i="2" s="1"/>
  <c r="I2708" i="2"/>
  <c r="J2708" i="2" s="1"/>
  <c r="K2708" i="2" s="1"/>
  <c r="I2707" i="2"/>
  <c r="J2707" i="2" s="1"/>
  <c r="I2706" i="2"/>
  <c r="J2706" i="2" s="1"/>
  <c r="I2705" i="2"/>
  <c r="J2705" i="2" s="1"/>
  <c r="I2704" i="2"/>
  <c r="J2704" i="2" s="1"/>
  <c r="I2703" i="2"/>
  <c r="J2703" i="2" s="1"/>
  <c r="I2702" i="2"/>
  <c r="J2702" i="2" s="1"/>
  <c r="I2695" i="2"/>
  <c r="J2695" i="2" s="1"/>
  <c r="I2694" i="2"/>
  <c r="J2694" i="2" s="1"/>
  <c r="K2694" i="2" s="1"/>
  <c r="I2693" i="2"/>
  <c r="J2693" i="2" s="1"/>
  <c r="M2693" i="2" s="1"/>
  <c r="N2693" i="2" s="1"/>
  <c r="I2692" i="2"/>
  <c r="J2692" i="2" s="1"/>
  <c r="I2691" i="2"/>
  <c r="J2691" i="2" s="1"/>
  <c r="I2690" i="2"/>
  <c r="J2690" i="2" s="1"/>
  <c r="I2689" i="2"/>
  <c r="J2689" i="2" s="1"/>
  <c r="M2689" i="2" s="1"/>
  <c r="N2689" i="2" s="1"/>
  <c r="O2689" i="2" s="1"/>
  <c r="H2682" i="2"/>
  <c r="I2682" i="2" s="1"/>
  <c r="F2682" i="2"/>
  <c r="H2681" i="2"/>
  <c r="I2681" i="2" s="1"/>
  <c r="F2681" i="2"/>
  <c r="H2680" i="2"/>
  <c r="I2680" i="2" s="1"/>
  <c r="F2680" i="2"/>
  <c r="H2679" i="2"/>
  <c r="I2679" i="2" s="1"/>
  <c r="F2679" i="2"/>
  <c r="H2678" i="2"/>
  <c r="I2678" i="2" s="1"/>
  <c r="F2678" i="2"/>
  <c r="H2677" i="2"/>
  <c r="I2677" i="2" s="1"/>
  <c r="F2677" i="2"/>
  <c r="H2676" i="2"/>
  <c r="I2676" i="2" s="1"/>
  <c r="F2676" i="2"/>
  <c r="H2675" i="2"/>
  <c r="I2675" i="2" s="1"/>
  <c r="F2675" i="2"/>
  <c r="H2674" i="2"/>
  <c r="I2674" i="2" s="1"/>
  <c r="F2674" i="2"/>
  <c r="H2673" i="2"/>
  <c r="I2673" i="2" s="1"/>
  <c r="F2673" i="2"/>
  <c r="H2672" i="2"/>
  <c r="I2672" i="2" s="1"/>
  <c r="F2672" i="2"/>
  <c r="H2671" i="2"/>
  <c r="I2671" i="2" s="1"/>
  <c r="F2671" i="2"/>
  <c r="H2670" i="2"/>
  <c r="I2670" i="2" s="1"/>
  <c r="F2670" i="2"/>
  <c r="H2669" i="2"/>
  <c r="I2669" i="2" s="1"/>
  <c r="F2669" i="2"/>
  <c r="H2668" i="2"/>
  <c r="I2668" i="2" s="1"/>
  <c r="F2668" i="2"/>
  <c r="H2667" i="2"/>
  <c r="I2667" i="2" s="1"/>
  <c r="F2667" i="2"/>
  <c r="H2666" i="2"/>
  <c r="I2666" i="2" s="1"/>
  <c r="F2666" i="2"/>
  <c r="H2665" i="2"/>
  <c r="I2665" i="2" s="1"/>
  <c r="F2665" i="2"/>
  <c r="H2664" i="2"/>
  <c r="I2664" i="2" s="1"/>
  <c r="F2664" i="2"/>
  <c r="H2663" i="2"/>
  <c r="I2663" i="2" s="1"/>
  <c r="F2663" i="2"/>
  <c r="H2662" i="2"/>
  <c r="I2662" i="2" s="1"/>
  <c r="F2662" i="2"/>
  <c r="H2661" i="2"/>
  <c r="I2661" i="2" s="1"/>
  <c r="F2661" i="2"/>
  <c r="H2660" i="2"/>
  <c r="I2660" i="2" s="1"/>
  <c r="F2660" i="2"/>
  <c r="H2659" i="2"/>
  <c r="I2659" i="2" s="1"/>
  <c r="F2659" i="2"/>
  <c r="H2658" i="2"/>
  <c r="I2658" i="2" s="1"/>
  <c r="F2658" i="2"/>
  <c r="H2657" i="2"/>
  <c r="I2657" i="2" s="1"/>
  <c r="F2657" i="2"/>
  <c r="H2656" i="2"/>
  <c r="I2656" i="2" s="1"/>
  <c r="F2656" i="2"/>
  <c r="H2655" i="2"/>
  <c r="I2655" i="2" s="1"/>
  <c r="F2655" i="2"/>
  <c r="H2654" i="2"/>
  <c r="I2654" i="2" s="1"/>
  <c r="F2654" i="2"/>
  <c r="H2653" i="2"/>
  <c r="I2653" i="2" s="1"/>
  <c r="F2653" i="2"/>
  <c r="H2652" i="2"/>
  <c r="I2652" i="2" s="1"/>
  <c r="F2652" i="2"/>
  <c r="H2651" i="2"/>
  <c r="I2651" i="2" s="1"/>
  <c r="F2651" i="2"/>
  <c r="H2650" i="2"/>
  <c r="I2650" i="2" s="1"/>
  <c r="J2650" i="2" s="1"/>
  <c r="F2650" i="2"/>
  <c r="H2644" i="2"/>
  <c r="I2644" i="2" s="1"/>
  <c r="F2644" i="2"/>
  <c r="H2643" i="2"/>
  <c r="I2643" i="2" s="1"/>
  <c r="J2643" i="2" s="1"/>
  <c r="F2643" i="2"/>
  <c r="H2637" i="2"/>
  <c r="I2637" i="2" s="1"/>
  <c r="F2637" i="2"/>
  <c r="H2636" i="2"/>
  <c r="I2636" i="2" s="1"/>
  <c r="F2636" i="2"/>
  <c r="H2635" i="2"/>
  <c r="I2635" i="2" s="1"/>
  <c r="F2635" i="2"/>
  <c r="H2634" i="2"/>
  <c r="I2634" i="2" s="1"/>
  <c r="F2634" i="2"/>
  <c r="H2633" i="2"/>
  <c r="I2633" i="2" s="1"/>
  <c r="F2633" i="2"/>
  <c r="H2632" i="2"/>
  <c r="I2632" i="2" s="1"/>
  <c r="F2632" i="2"/>
  <c r="H2631" i="2"/>
  <c r="I2631" i="2" s="1"/>
  <c r="F2631" i="2"/>
  <c r="H2630" i="2"/>
  <c r="I2630" i="2" s="1"/>
  <c r="F2630" i="2"/>
  <c r="H2629" i="2"/>
  <c r="I2629" i="2" s="1"/>
  <c r="J2629" i="2" s="1"/>
  <c r="F2629" i="2"/>
  <c r="H2621" i="2"/>
  <c r="I2621" i="2" s="1"/>
  <c r="F2621" i="2"/>
  <c r="H2620" i="2"/>
  <c r="I2620" i="2" s="1"/>
  <c r="F2620" i="2"/>
  <c r="H2619" i="2"/>
  <c r="I2619" i="2" s="1"/>
  <c r="F2619" i="2"/>
  <c r="H2618" i="2"/>
  <c r="I2618" i="2" s="1"/>
  <c r="F2618" i="2"/>
  <c r="H2617" i="2"/>
  <c r="I2617" i="2" s="1"/>
  <c r="F2617" i="2"/>
  <c r="H2616" i="2"/>
  <c r="I2616" i="2" s="1"/>
  <c r="F2616" i="2"/>
  <c r="H2615" i="2"/>
  <c r="I2615" i="2" s="1"/>
  <c r="F2615" i="2"/>
  <c r="H2614" i="2"/>
  <c r="I2614" i="2" s="1"/>
  <c r="F2614" i="2"/>
  <c r="H2613" i="2"/>
  <c r="I2613" i="2" s="1"/>
  <c r="F2613" i="2"/>
  <c r="H2612" i="2"/>
  <c r="I2612" i="2" s="1"/>
  <c r="F2612" i="2"/>
  <c r="H2611" i="2"/>
  <c r="I2611" i="2" s="1"/>
  <c r="F2611" i="2"/>
  <c r="H2610" i="2"/>
  <c r="I2610" i="2" s="1"/>
  <c r="F2610" i="2"/>
  <c r="H2609" i="2"/>
  <c r="I2609" i="2" s="1"/>
  <c r="F2609" i="2"/>
  <c r="H2608" i="2"/>
  <c r="I2608" i="2" s="1"/>
  <c r="F2608" i="2"/>
  <c r="H2607" i="2"/>
  <c r="I2607" i="2" s="1"/>
  <c r="F2607" i="2"/>
  <c r="H2606" i="2"/>
  <c r="I2606" i="2" s="1"/>
  <c r="F2606" i="2"/>
  <c r="H2605" i="2"/>
  <c r="I2605" i="2" s="1"/>
  <c r="F2605" i="2"/>
  <c r="H2604" i="2"/>
  <c r="I2604" i="2" s="1"/>
  <c r="F2604" i="2"/>
  <c r="H2603" i="2"/>
  <c r="I2603" i="2" s="1"/>
  <c r="F2603" i="2"/>
  <c r="H2602" i="2"/>
  <c r="I2602" i="2" s="1"/>
  <c r="F2602" i="2"/>
  <c r="H2601" i="2"/>
  <c r="I2601" i="2" s="1"/>
  <c r="F2601" i="2"/>
  <c r="H2600" i="2"/>
  <c r="I2600" i="2" s="1"/>
  <c r="F2600" i="2"/>
  <c r="H2599" i="2"/>
  <c r="I2599" i="2" s="1"/>
  <c r="F2599" i="2"/>
  <c r="H2598" i="2"/>
  <c r="I2598" i="2" s="1"/>
  <c r="F2598" i="2"/>
  <c r="H2597" i="2"/>
  <c r="I2597" i="2" s="1"/>
  <c r="F2597" i="2"/>
  <c r="H2596" i="2"/>
  <c r="I2596" i="2" s="1"/>
  <c r="F2596" i="2"/>
  <c r="H2595" i="2"/>
  <c r="I2595" i="2" s="1"/>
  <c r="F2595" i="2"/>
  <c r="H2594" i="2"/>
  <c r="I2594" i="2" s="1"/>
  <c r="F2594" i="2"/>
  <c r="H2593" i="2"/>
  <c r="I2593" i="2" s="1"/>
  <c r="F2593" i="2"/>
  <c r="H2592" i="2"/>
  <c r="I2592" i="2" s="1"/>
  <c r="F2592" i="2"/>
  <c r="H2591" i="2"/>
  <c r="I2591" i="2" s="1"/>
  <c r="F2591" i="2"/>
  <c r="H2590" i="2"/>
  <c r="I2590" i="2" s="1"/>
  <c r="F2590" i="2"/>
  <c r="H2589" i="2"/>
  <c r="I2589" i="2" s="1"/>
  <c r="F2589" i="2"/>
  <c r="H2588" i="2"/>
  <c r="I2588" i="2" s="1"/>
  <c r="F2588" i="2"/>
  <c r="H2587" i="2"/>
  <c r="I2587" i="2" s="1"/>
  <c r="F2587" i="2"/>
  <c r="H2586" i="2"/>
  <c r="I2586" i="2" s="1"/>
  <c r="F2586" i="2"/>
  <c r="H2585" i="2"/>
  <c r="I2585" i="2" s="1"/>
  <c r="F2585" i="2"/>
  <c r="H2584" i="2"/>
  <c r="I2584" i="2" s="1"/>
  <c r="F2584" i="2"/>
  <c r="H2583" i="2"/>
  <c r="I2583" i="2" s="1"/>
  <c r="F2583" i="2"/>
  <c r="H2582" i="2"/>
  <c r="I2582" i="2" s="1"/>
  <c r="F2582" i="2"/>
  <c r="H2581" i="2"/>
  <c r="I2581" i="2" s="1"/>
  <c r="F2581" i="2"/>
  <c r="H2580" i="2"/>
  <c r="I2580" i="2" s="1"/>
  <c r="F2580" i="2"/>
  <c r="H2579" i="2"/>
  <c r="I2579" i="2" s="1"/>
  <c r="F2579" i="2"/>
  <c r="H2578" i="2"/>
  <c r="I2578" i="2" s="1"/>
  <c r="F2578" i="2"/>
  <c r="H2577" i="2"/>
  <c r="I2577" i="2" s="1"/>
  <c r="F2577" i="2"/>
  <c r="H2576" i="2"/>
  <c r="I2576" i="2" s="1"/>
  <c r="F2576" i="2"/>
  <c r="H2575" i="2"/>
  <c r="I2575" i="2" s="1"/>
  <c r="F2575" i="2"/>
  <c r="H2574" i="2"/>
  <c r="I2574" i="2" s="1"/>
  <c r="F2574" i="2"/>
  <c r="H2573" i="2"/>
  <c r="I2573" i="2" s="1"/>
  <c r="F2573" i="2"/>
  <c r="H2572" i="2"/>
  <c r="I2572" i="2" s="1"/>
  <c r="F2572" i="2"/>
  <c r="H2571" i="2"/>
  <c r="I2571" i="2" s="1"/>
  <c r="F2571" i="2"/>
  <c r="H2570" i="2"/>
  <c r="I2570" i="2" s="1"/>
  <c r="F2570" i="2"/>
  <c r="H2569" i="2"/>
  <c r="I2569" i="2" s="1"/>
  <c r="F2569" i="2"/>
  <c r="H2568" i="2"/>
  <c r="I2568" i="2" s="1"/>
  <c r="F2568" i="2"/>
  <c r="H2567" i="2"/>
  <c r="I2567" i="2" s="1"/>
  <c r="F2567" i="2"/>
  <c r="H2566" i="2"/>
  <c r="I2566" i="2" s="1"/>
  <c r="J2566" i="2" s="1"/>
  <c r="F2566" i="2"/>
  <c r="H2560" i="2"/>
  <c r="I2560" i="2" s="1"/>
  <c r="F2560" i="2"/>
  <c r="H2559" i="2"/>
  <c r="I2559" i="2" s="1"/>
  <c r="F2559" i="2"/>
  <c r="H2558" i="2"/>
  <c r="I2558" i="2" s="1"/>
  <c r="J2558" i="2" s="1"/>
  <c r="F2558" i="2"/>
  <c r="H2552" i="2"/>
  <c r="I2552" i="2" s="1"/>
  <c r="F2552" i="2"/>
  <c r="H2551" i="2"/>
  <c r="I2551" i="2" s="1"/>
  <c r="F2551" i="2"/>
  <c r="H2550" i="2"/>
  <c r="I2550" i="2" s="1"/>
  <c r="F2550" i="2"/>
  <c r="H2549" i="2"/>
  <c r="I2549" i="2" s="1"/>
  <c r="F2549" i="2"/>
  <c r="H2548" i="2"/>
  <c r="I2548" i="2" s="1"/>
  <c r="F2548" i="2"/>
  <c r="H2547" i="2"/>
  <c r="I2547" i="2" s="1"/>
  <c r="F2547" i="2"/>
  <c r="H2546" i="2"/>
  <c r="I2546" i="2" s="1"/>
  <c r="F2546" i="2"/>
  <c r="H2545" i="2"/>
  <c r="I2545" i="2" s="1"/>
  <c r="F2545" i="2"/>
  <c r="H2544" i="2"/>
  <c r="I2544" i="2" s="1"/>
  <c r="F2544" i="2"/>
  <c r="H2543" i="2"/>
  <c r="I2543" i="2" s="1"/>
  <c r="F2543" i="2"/>
  <c r="H2542" i="2"/>
  <c r="I2542" i="2" s="1"/>
  <c r="F2542" i="2"/>
  <c r="H2541" i="2"/>
  <c r="I2541" i="2" s="1"/>
  <c r="F2541" i="2"/>
  <c r="H2540" i="2"/>
  <c r="I2540" i="2" s="1"/>
  <c r="F2540" i="2"/>
  <c r="H2539" i="2"/>
  <c r="I2539" i="2" s="1"/>
  <c r="F2539" i="2"/>
  <c r="H2538" i="2"/>
  <c r="I2538" i="2" s="1"/>
  <c r="F2538" i="2"/>
  <c r="H2537" i="2"/>
  <c r="I2537" i="2" s="1"/>
  <c r="J2537" i="2" s="1"/>
  <c r="F2537" i="2"/>
  <c r="H2530" i="2"/>
  <c r="I2530" i="2" s="1"/>
  <c r="F2530" i="2"/>
  <c r="H2529" i="2"/>
  <c r="I2529" i="2" s="1"/>
  <c r="F2529" i="2"/>
  <c r="H2528" i="2"/>
  <c r="I2528" i="2" s="1"/>
  <c r="F2528" i="2"/>
  <c r="H2527" i="2"/>
  <c r="I2527" i="2" s="1"/>
  <c r="F2527" i="2"/>
  <c r="H2526" i="2"/>
  <c r="I2526" i="2" s="1"/>
  <c r="F2526" i="2"/>
  <c r="H2525" i="2"/>
  <c r="I2525" i="2" s="1"/>
  <c r="F2525" i="2"/>
  <c r="H2524" i="2"/>
  <c r="I2524" i="2" s="1"/>
  <c r="F2524" i="2"/>
  <c r="H2523" i="2"/>
  <c r="I2523" i="2" s="1"/>
  <c r="F2523" i="2"/>
  <c r="H2522" i="2"/>
  <c r="I2522" i="2" s="1"/>
  <c r="F2522" i="2"/>
  <c r="H2521" i="2"/>
  <c r="I2521" i="2" s="1"/>
  <c r="F2521" i="2"/>
  <c r="H2520" i="2"/>
  <c r="I2520" i="2" s="1"/>
  <c r="F2520" i="2"/>
  <c r="H2519" i="2"/>
  <c r="I2519" i="2" s="1"/>
  <c r="F2519" i="2"/>
  <c r="H2518" i="2"/>
  <c r="I2518" i="2" s="1"/>
  <c r="F2518" i="2"/>
  <c r="H2517" i="2"/>
  <c r="I2517" i="2" s="1"/>
  <c r="F2517" i="2"/>
  <c r="H2516" i="2"/>
  <c r="I2516" i="2" s="1"/>
  <c r="F2516" i="2"/>
  <c r="H2515" i="2"/>
  <c r="I2515" i="2" s="1"/>
  <c r="F2515" i="2"/>
  <c r="H2514" i="2"/>
  <c r="I2514" i="2" s="1"/>
  <c r="F2514" i="2"/>
  <c r="H2513" i="2"/>
  <c r="I2513" i="2" s="1"/>
  <c r="F2513" i="2"/>
  <c r="H2512" i="2"/>
  <c r="I2512" i="2" s="1"/>
  <c r="F2512" i="2"/>
  <c r="H2511" i="2"/>
  <c r="I2511" i="2" s="1"/>
  <c r="F2511" i="2"/>
  <c r="H2510" i="2"/>
  <c r="I2510" i="2" s="1"/>
  <c r="F2510" i="2"/>
  <c r="H2509" i="2"/>
  <c r="I2509" i="2" s="1"/>
  <c r="F2509" i="2"/>
  <c r="H2508" i="2"/>
  <c r="I2508" i="2" s="1"/>
  <c r="J2508" i="2" s="1"/>
  <c r="F2508" i="2"/>
  <c r="H2501" i="2"/>
  <c r="I2501" i="2" s="1"/>
  <c r="F2501" i="2"/>
  <c r="H2500" i="2"/>
  <c r="I2500" i="2" s="1"/>
  <c r="F2500" i="2"/>
  <c r="H2499" i="2"/>
  <c r="I2499" i="2" s="1"/>
  <c r="F2499" i="2"/>
  <c r="H2498" i="2"/>
  <c r="I2498" i="2" s="1"/>
  <c r="F2498" i="2"/>
  <c r="H2497" i="2"/>
  <c r="I2497" i="2" s="1"/>
  <c r="F2497" i="2"/>
  <c r="H2496" i="2"/>
  <c r="I2496" i="2" s="1"/>
  <c r="F2496" i="2"/>
  <c r="H2495" i="2"/>
  <c r="I2495" i="2" s="1"/>
  <c r="F2495" i="2"/>
  <c r="H2494" i="2"/>
  <c r="I2494" i="2" s="1"/>
  <c r="F2494" i="2"/>
  <c r="H2493" i="2"/>
  <c r="I2493" i="2" s="1"/>
  <c r="F2493" i="2"/>
  <c r="H2492" i="2"/>
  <c r="I2492" i="2" s="1"/>
  <c r="F2492" i="2"/>
  <c r="H2491" i="2"/>
  <c r="I2491" i="2" s="1"/>
  <c r="F2491" i="2"/>
  <c r="H2490" i="2"/>
  <c r="I2490" i="2" s="1"/>
  <c r="F2490" i="2"/>
  <c r="H2489" i="2"/>
  <c r="I2489" i="2" s="1"/>
  <c r="F2489" i="2"/>
  <c r="H2488" i="2"/>
  <c r="I2488" i="2" s="1"/>
  <c r="F2488" i="2"/>
  <c r="H2487" i="2"/>
  <c r="I2487" i="2" s="1"/>
  <c r="F2487" i="2"/>
  <c r="H2486" i="2"/>
  <c r="I2486" i="2" s="1"/>
  <c r="F2486" i="2"/>
  <c r="H2485" i="2"/>
  <c r="I2485" i="2" s="1"/>
  <c r="F2485" i="2"/>
  <c r="H2484" i="2"/>
  <c r="I2484" i="2" s="1"/>
  <c r="F2484" i="2"/>
  <c r="H2483" i="2"/>
  <c r="I2483" i="2" s="1"/>
  <c r="F2483" i="2"/>
  <c r="H2482" i="2"/>
  <c r="I2482" i="2" s="1"/>
  <c r="F2482" i="2"/>
  <c r="H2481" i="2"/>
  <c r="I2481" i="2" s="1"/>
  <c r="F2481" i="2"/>
  <c r="H2480" i="2"/>
  <c r="I2480" i="2" s="1"/>
  <c r="F2480" i="2"/>
  <c r="H2479" i="2"/>
  <c r="I2479" i="2" s="1"/>
  <c r="F2479" i="2"/>
  <c r="H2478" i="2"/>
  <c r="I2478" i="2" s="1"/>
  <c r="F2478" i="2"/>
  <c r="H2477" i="2"/>
  <c r="I2477" i="2" s="1"/>
  <c r="J2477" i="2" s="1"/>
  <c r="F2477" i="2"/>
  <c r="H2470" i="2"/>
  <c r="I2470" i="2" s="1"/>
  <c r="F2470" i="2"/>
  <c r="H2469" i="2"/>
  <c r="I2469" i="2" s="1"/>
  <c r="F2469" i="2"/>
  <c r="H2468" i="2"/>
  <c r="I2468" i="2" s="1"/>
  <c r="F2468" i="2"/>
  <c r="H2467" i="2"/>
  <c r="I2467" i="2" s="1"/>
  <c r="F2467" i="2"/>
  <c r="H2466" i="2"/>
  <c r="I2466" i="2" s="1"/>
  <c r="F2466" i="2"/>
  <c r="H2465" i="2"/>
  <c r="I2465" i="2" s="1"/>
  <c r="F2465" i="2"/>
  <c r="H2464" i="2"/>
  <c r="I2464" i="2" s="1"/>
  <c r="F2464" i="2"/>
  <c r="H2463" i="2"/>
  <c r="I2463" i="2" s="1"/>
  <c r="F2463" i="2"/>
  <c r="H2462" i="2"/>
  <c r="I2462" i="2" s="1"/>
  <c r="F2462" i="2"/>
  <c r="H2461" i="2"/>
  <c r="I2461" i="2" s="1"/>
  <c r="F2461" i="2"/>
  <c r="H2460" i="2"/>
  <c r="I2460" i="2" s="1"/>
  <c r="F2460" i="2"/>
  <c r="H2459" i="2"/>
  <c r="I2459" i="2" s="1"/>
  <c r="F2459" i="2"/>
  <c r="H2458" i="2"/>
  <c r="I2458" i="2" s="1"/>
  <c r="F2458" i="2"/>
  <c r="H2457" i="2"/>
  <c r="I2457" i="2" s="1"/>
  <c r="F2457" i="2"/>
  <c r="H2456" i="2"/>
  <c r="I2456" i="2" s="1"/>
  <c r="F2456" i="2"/>
  <c r="H2455" i="2"/>
  <c r="I2455" i="2" s="1"/>
  <c r="F2455" i="2"/>
  <c r="H2454" i="2"/>
  <c r="I2454" i="2" s="1"/>
  <c r="F2454" i="2"/>
  <c r="H2453" i="2"/>
  <c r="I2453" i="2" s="1"/>
  <c r="F2453" i="2"/>
  <c r="H2452" i="2"/>
  <c r="I2452" i="2" s="1"/>
  <c r="F2452" i="2"/>
  <c r="H2451" i="2"/>
  <c r="I2451" i="2" s="1"/>
  <c r="F2451" i="2"/>
  <c r="H2450" i="2"/>
  <c r="I2450" i="2" s="1"/>
  <c r="F2450" i="2"/>
  <c r="H2449" i="2"/>
  <c r="I2449" i="2" s="1"/>
  <c r="F2449" i="2"/>
  <c r="H2448" i="2"/>
  <c r="I2448" i="2" s="1"/>
  <c r="F2448" i="2"/>
  <c r="H2447" i="2"/>
  <c r="I2447" i="2" s="1"/>
  <c r="F2447" i="2"/>
  <c r="H2446" i="2"/>
  <c r="I2446" i="2" s="1"/>
  <c r="F2446" i="2"/>
  <c r="H2445" i="2"/>
  <c r="I2445" i="2" s="1"/>
  <c r="F2445" i="2"/>
  <c r="H2444" i="2"/>
  <c r="I2444" i="2" s="1"/>
  <c r="F2444" i="2"/>
  <c r="H2443" i="2"/>
  <c r="I2443" i="2" s="1"/>
  <c r="F2443" i="2"/>
  <c r="H2442" i="2"/>
  <c r="I2442" i="2" s="1"/>
  <c r="F2442" i="2"/>
  <c r="H2441" i="2"/>
  <c r="I2441" i="2" s="1"/>
  <c r="F2441" i="2"/>
  <c r="H2440" i="2"/>
  <c r="I2440" i="2" s="1"/>
  <c r="F2440" i="2"/>
  <c r="H2439" i="2"/>
  <c r="I2439" i="2" s="1"/>
  <c r="F2439" i="2"/>
  <c r="H2438" i="2"/>
  <c r="I2438" i="2" s="1"/>
  <c r="F2438" i="2"/>
  <c r="H2437" i="2"/>
  <c r="I2437" i="2" s="1"/>
  <c r="J2437" i="2" s="1"/>
  <c r="F2437" i="2"/>
  <c r="H2431" i="2"/>
  <c r="I2431" i="2" s="1"/>
  <c r="F2431" i="2"/>
  <c r="H2430" i="2"/>
  <c r="I2430" i="2" s="1"/>
  <c r="F2430" i="2"/>
  <c r="H2429" i="2"/>
  <c r="I2429" i="2" s="1"/>
  <c r="F2429" i="2"/>
  <c r="H2428" i="2"/>
  <c r="I2428" i="2" s="1"/>
  <c r="F2428" i="2"/>
  <c r="H2427" i="2"/>
  <c r="I2427" i="2" s="1"/>
  <c r="F2427" i="2"/>
  <c r="H2426" i="2"/>
  <c r="I2426" i="2" s="1"/>
  <c r="J2426" i="2" s="1"/>
  <c r="F2426" i="2"/>
  <c r="H2420" i="2"/>
  <c r="I2420" i="2" s="1"/>
  <c r="F2420" i="2"/>
  <c r="H2419" i="2"/>
  <c r="I2419" i="2" s="1"/>
  <c r="J2419" i="2" s="1"/>
  <c r="F2419" i="2"/>
  <c r="I2413" i="2"/>
  <c r="J2413" i="2" s="1"/>
  <c r="I2412" i="2"/>
  <c r="J2412" i="2" s="1"/>
  <c r="M2412" i="2" s="1"/>
  <c r="N2412" i="2" s="1"/>
  <c r="O2412" i="2" s="1"/>
  <c r="H2405" i="2"/>
  <c r="I2405" i="2" s="1"/>
  <c r="F2405" i="2"/>
  <c r="H2404" i="2"/>
  <c r="I2404" i="2" s="1"/>
  <c r="F2404" i="2"/>
  <c r="H2403" i="2"/>
  <c r="I2403" i="2" s="1"/>
  <c r="F2403" i="2"/>
  <c r="H2402" i="2"/>
  <c r="I2402" i="2" s="1"/>
  <c r="F2402" i="2"/>
  <c r="H2401" i="2"/>
  <c r="I2401" i="2" s="1"/>
  <c r="F2401" i="2"/>
  <c r="H2400" i="2"/>
  <c r="I2400" i="2" s="1"/>
  <c r="F2400" i="2"/>
  <c r="H2399" i="2"/>
  <c r="I2399" i="2" s="1"/>
  <c r="F2399" i="2"/>
  <c r="H2398" i="2"/>
  <c r="I2398" i="2" s="1"/>
  <c r="F2398" i="2"/>
  <c r="H2397" i="2"/>
  <c r="I2397" i="2" s="1"/>
  <c r="F2397" i="2"/>
  <c r="H2396" i="2"/>
  <c r="I2396" i="2" s="1"/>
  <c r="F2396" i="2"/>
  <c r="H2395" i="2"/>
  <c r="I2395" i="2" s="1"/>
  <c r="F2395" i="2"/>
  <c r="H2394" i="2"/>
  <c r="I2394" i="2" s="1"/>
  <c r="F2394" i="2"/>
  <c r="H2393" i="2"/>
  <c r="I2393" i="2" s="1"/>
  <c r="F2393" i="2"/>
  <c r="H2392" i="2"/>
  <c r="I2392" i="2" s="1"/>
  <c r="F2392" i="2"/>
  <c r="H2391" i="2"/>
  <c r="I2391" i="2" s="1"/>
  <c r="F2391" i="2"/>
  <c r="H2390" i="2"/>
  <c r="I2390" i="2" s="1"/>
  <c r="F2390" i="2"/>
  <c r="H2389" i="2"/>
  <c r="I2389" i="2" s="1"/>
  <c r="F2389" i="2"/>
  <c r="H2388" i="2"/>
  <c r="I2388" i="2" s="1"/>
  <c r="F2388" i="2"/>
  <c r="H2387" i="2"/>
  <c r="I2387" i="2" s="1"/>
  <c r="J2387" i="2" s="1"/>
  <c r="F2387" i="2"/>
  <c r="H2380" i="2"/>
  <c r="I2380" i="2" s="1"/>
  <c r="F2380" i="2"/>
  <c r="H2379" i="2"/>
  <c r="I2379" i="2" s="1"/>
  <c r="F2379" i="2"/>
  <c r="H2378" i="2"/>
  <c r="I2378" i="2" s="1"/>
  <c r="F2378" i="2"/>
  <c r="H2377" i="2"/>
  <c r="I2377" i="2" s="1"/>
  <c r="F2377" i="2"/>
  <c r="H2376" i="2"/>
  <c r="I2376" i="2" s="1"/>
  <c r="J2376" i="2" s="1"/>
  <c r="F2376" i="2"/>
  <c r="H2370" i="2"/>
  <c r="I2370" i="2" s="1"/>
  <c r="F2370" i="2"/>
  <c r="H2369" i="2"/>
  <c r="I2369" i="2" s="1"/>
  <c r="F2369" i="2"/>
  <c r="H2368" i="2"/>
  <c r="I2368" i="2" s="1"/>
  <c r="F2368" i="2"/>
  <c r="H2367" i="2"/>
  <c r="I2367" i="2" s="1"/>
  <c r="F2367" i="2"/>
  <c r="H2366" i="2"/>
  <c r="I2366" i="2" s="1"/>
  <c r="F2366" i="2"/>
  <c r="H2365" i="2"/>
  <c r="I2365" i="2" s="1"/>
  <c r="F2365" i="2"/>
  <c r="H2364" i="2"/>
  <c r="I2364" i="2" s="1"/>
  <c r="F2364" i="2"/>
  <c r="H2363" i="2"/>
  <c r="I2363" i="2" s="1"/>
  <c r="F2363" i="2"/>
  <c r="H2362" i="2"/>
  <c r="I2362" i="2" s="1"/>
  <c r="F2362" i="2"/>
  <c r="H2361" i="2"/>
  <c r="I2361" i="2" s="1"/>
  <c r="F2361" i="2"/>
  <c r="H2360" i="2"/>
  <c r="I2360" i="2" s="1"/>
  <c r="F2360" i="2"/>
  <c r="H2359" i="2"/>
  <c r="I2359" i="2" s="1"/>
  <c r="F2359" i="2"/>
  <c r="H2358" i="2"/>
  <c r="I2358" i="2" s="1"/>
  <c r="F2358" i="2"/>
  <c r="H2357" i="2"/>
  <c r="I2357" i="2" s="1"/>
  <c r="F2357" i="2"/>
  <c r="H2356" i="2"/>
  <c r="I2356" i="2" s="1"/>
  <c r="F2356" i="2"/>
  <c r="H2355" i="2"/>
  <c r="I2355" i="2" s="1"/>
  <c r="F2355" i="2"/>
  <c r="H2354" i="2"/>
  <c r="I2354" i="2" s="1"/>
  <c r="F2354" i="2"/>
  <c r="H2353" i="2"/>
  <c r="I2353" i="2" s="1"/>
  <c r="F2353" i="2"/>
  <c r="H2352" i="2"/>
  <c r="I2352" i="2" s="1"/>
  <c r="F2352" i="2"/>
  <c r="H2351" i="2"/>
  <c r="I2351" i="2" s="1"/>
  <c r="F2351" i="2"/>
  <c r="H2350" i="2"/>
  <c r="I2350" i="2" s="1"/>
  <c r="F2350" i="2"/>
  <c r="H2349" i="2"/>
  <c r="I2349" i="2" s="1"/>
  <c r="F2349" i="2"/>
  <c r="H2348" i="2"/>
  <c r="I2348" i="2" s="1"/>
  <c r="F2348" i="2"/>
  <c r="H2347" i="2"/>
  <c r="I2347" i="2" s="1"/>
  <c r="F2347" i="2"/>
  <c r="H2346" i="2"/>
  <c r="I2346" i="2" s="1"/>
  <c r="F2346" i="2"/>
  <c r="H2345" i="2"/>
  <c r="I2345" i="2" s="1"/>
  <c r="F2345" i="2"/>
  <c r="H2344" i="2"/>
  <c r="I2344" i="2" s="1"/>
  <c r="F2344" i="2"/>
  <c r="H2343" i="2"/>
  <c r="I2343" i="2" s="1"/>
  <c r="F2343" i="2"/>
  <c r="H2342" i="2"/>
  <c r="I2342" i="2" s="1"/>
  <c r="F2342" i="2"/>
  <c r="H2341" i="2"/>
  <c r="I2341" i="2" s="1"/>
  <c r="F2341" i="2"/>
  <c r="H2340" i="2"/>
  <c r="I2340" i="2" s="1"/>
  <c r="F2340" i="2"/>
  <c r="H2339" i="2"/>
  <c r="I2339" i="2" s="1"/>
  <c r="F2339" i="2"/>
  <c r="H2338" i="2"/>
  <c r="I2338" i="2" s="1"/>
  <c r="F2338" i="2"/>
  <c r="H2337" i="2"/>
  <c r="I2337" i="2" s="1"/>
  <c r="F2337" i="2"/>
  <c r="H2336" i="2"/>
  <c r="I2336" i="2" s="1"/>
  <c r="F2336" i="2"/>
  <c r="H2335" i="2"/>
  <c r="I2335" i="2" s="1"/>
  <c r="F2335" i="2"/>
  <c r="H2334" i="2"/>
  <c r="I2334" i="2" s="1"/>
  <c r="F2334" i="2"/>
  <c r="H2333" i="2"/>
  <c r="I2333" i="2" s="1"/>
  <c r="F2333" i="2"/>
  <c r="H2332" i="2"/>
  <c r="I2332" i="2" s="1"/>
  <c r="F2332" i="2"/>
  <c r="H2331" i="2"/>
  <c r="I2331" i="2" s="1"/>
  <c r="F2331" i="2"/>
  <c r="H2330" i="2"/>
  <c r="I2330" i="2" s="1"/>
  <c r="H2329" i="2"/>
  <c r="I2329" i="2" s="1"/>
  <c r="F2329" i="2"/>
  <c r="H2328" i="2"/>
  <c r="I2328" i="2" s="1"/>
  <c r="F2328" i="2"/>
  <c r="H2327" i="2"/>
  <c r="I2327" i="2" s="1"/>
  <c r="F2327" i="2"/>
  <c r="H2326" i="2"/>
  <c r="I2326" i="2" s="1"/>
  <c r="F2326" i="2"/>
  <c r="H2325" i="2"/>
  <c r="I2325" i="2" s="1"/>
  <c r="F2325" i="2"/>
  <c r="H2324" i="2"/>
  <c r="I2324" i="2" s="1"/>
  <c r="F2324" i="2"/>
  <c r="H2323" i="2"/>
  <c r="I2323" i="2" s="1"/>
  <c r="F2323" i="2"/>
  <c r="H2322" i="2"/>
  <c r="I2322" i="2" s="1"/>
  <c r="F2322" i="2"/>
  <c r="H2321" i="2"/>
  <c r="I2321" i="2" s="1"/>
  <c r="F2321" i="2"/>
  <c r="H2320" i="2"/>
  <c r="I2320" i="2" s="1"/>
  <c r="F2320" i="2"/>
  <c r="H2319" i="2"/>
  <c r="I2319" i="2" s="1"/>
  <c r="F2319" i="2"/>
  <c r="H2318" i="2"/>
  <c r="I2318" i="2" s="1"/>
  <c r="F2318" i="2"/>
  <c r="H2317" i="2"/>
  <c r="I2317" i="2" s="1"/>
  <c r="F2317" i="2"/>
  <c r="H2316" i="2"/>
  <c r="I2316" i="2" s="1"/>
  <c r="F2316" i="2"/>
  <c r="H2315" i="2"/>
  <c r="I2315" i="2" s="1"/>
  <c r="F2315" i="2"/>
  <c r="H2314" i="2"/>
  <c r="I2314" i="2" s="1"/>
  <c r="F2314" i="2"/>
  <c r="H2313" i="2"/>
  <c r="I2313" i="2" s="1"/>
  <c r="F2313" i="2"/>
  <c r="H2312" i="2"/>
  <c r="I2312" i="2" s="1"/>
  <c r="F2312" i="2"/>
  <c r="H2311" i="2"/>
  <c r="I2311" i="2" s="1"/>
  <c r="F2311" i="2"/>
  <c r="H2310" i="2"/>
  <c r="I2310" i="2" s="1"/>
  <c r="F2310" i="2"/>
  <c r="H2309" i="2"/>
  <c r="I2309" i="2" s="1"/>
  <c r="F2309" i="2"/>
  <c r="H2308" i="2"/>
  <c r="I2308" i="2" s="1"/>
  <c r="F2308" i="2"/>
  <c r="H2307" i="2"/>
  <c r="I2307" i="2" s="1"/>
  <c r="J2307" i="2" s="1"/>
  <c r="F2307" i="2"/>
  <c r="H2301" i="2"/>
  <c r="I2301" i="2" s="1"/>
  <c r="F2301" i="2"/>
  <c r="H2300" i="2"/>
  <c r="I2300" i="2" s="1"/>
  <c r="F2300" i="2"/>
  <c r="H2299" i="2"/>
  <c r="I2299" i="2" s="1"/>
  <c r="F2299" i="2"/>
  <c r="H2298" i="2"/>
  <c r="I2298" i="2" s="1"/>
  <c r="F2298" i="2"/>
  <c r="H2297" i="2"/>
  <c r="I2297" i="2" s="1"/>
  <c r="J2297" i="2" s="1"/>
  <c r="F2297" i="2"/>
  <c r="H2291" i="2"/>
  <c r="I2291" i="2" s="1"/>
  <c r="F2291" i="2"/>
  <c r="H2290" i="2"/>
  <c r="I2290" i="2" s="1"/>
  <c r="F2290" i="2"/>
  <c r="H2289" i="2"/>
  <c r="I2289" i="2" s="1"/>
  <c r="F2289" i="2"/>
  <c r="H2288" i="2"/>
  <c r="I2288" i="2" s="1"/>
  <c r="F2288" i="2"/>
  <c r="H2287" i="2"/>
  <c r="I2287" i="2" s="1"/>
  <c r="F2287" i="2"/>
  <c r="H2286" i="2"/>
  <c r="I2286" i="2" s="1"/>
  <c r="F2286" i="2"/>
  <c r="H2285" i="2"/>
  <c r="I2285" i="2" s="1"/>
  <c r="F2285" i="2"/>
  <c r="H2284" i="2"/>
  <c r="I2284" i="2" s="1"/>
  <c r="F2284" i="2"/>
  <c r="H2283" i="2"/>
  <c r="I2283" i="2" s="1"/>
  <c r="F2283" i="2"/>
  <c r="H2282" i="2"/>
  <c r="I2282" i="2" s="1"/>
  <c r="F2282" i="2"/>
  <c r="H2281" i="2"/>
  <c r="I2281" i="2" s="1"/>
  <c r="F2281" i="2"/>
  <c r="H2280" i="2"/>
  <c r="I2280" i="2" s="1"/>
  <c r="F2280" i="2"/>
  <c r="H2279" i="2"/>
  <c r="I2279" i="2" s="1"/>
  <c r="F2279" i="2"/>
  <c r="H2278" i="2"/>
  <c r="I2278" i="2" s="1"/>
  <c r="F2278" i="2"/>
  <c r="H2277" i="2"/>
  <c r="I2277" i="2" s="1"/>
  <c r="F2277" i="2"/>
  <c r="H2276" i="2"/>
  <c r="I2276" i="2" s="1"/>
  <c r="F2276" i="2"/>
  <c r="H2275" i="2"/>
  <c r="I2275" i="2" s="1"/>
  <c r="F2275" i="2"/>
  <c r="H2274" i="2"/>
  <c r="I2274" i="2" s="1"/>
  <c r="J2274" i="2" s="1"/>
  <c r="F2274" i="2"/>
  <c r="H2268" i="2"/>
  <c r="I2268" i="2" s="1"/>
  <c r="F2268" i="2"/>
  <c r="H2267" i="2"/>
  <c r="I2267" i="2" s="1"/>
  <c r="F2267" i="2"/>
  <c r="H2266" i="2"/>
  <c r="I2266" i="2" s="1"/>
  <c r="F2266" i="2"/>
  <c r="H2265" i="2"/>
  <c r="I2265" i="2" s="1"/>
  <c r="F2265" i="2"/>
  <c r="H2264" i="2"/>
  <c r="I2264" i="2" s="1"/>
  <c r="F2264" i="2"/>
  <c r="H2263" i="2"/>
  <c r="I2263" i="2" s="1"/>
  <c r="F2263" i="2"/>
  <c r="H2262" i="2"/>
  <c r="I2262" i="2" s="1"/>
  <c r="F2262" i="2"/>
  <c r="H2261" i="2"/>
  <c r="I2261" i="2" s="1"/>
  <c r="F2261" i="2"/>
  <c r="H2260" i="2"/>
  <c r="I2260" i="2" s="1"/>
  <c r="F2260" i="2"/>
  <c r="H2259" i="2"/>
  <c r="I2259" i="2" s="1"/>
  <c r="F2259" i="2"/>
  <c r="H2258" i="2"/>
  <c r="I2258" i="2" s="1"/>
  <c r="F2258" i="2"/>
  <c r="H2257" i="2"/>
  <c r="I2257" i="2" s="1"/>
  <c r="F2257" i="2"/>
  <c r="H2256" i="2"/>
  <c r="I2256" i="2" s="1"/>
  <c r="F2256" i="2"/>
  <c r="H2255" i="2"/>
  <c r="I2255" i="2" s="1"/>
  <c r="F2255" i="2"/>
  <c r="H2254" i="2"/>
  <c r="I2254" i="2" s="1"/>
  <c r="F2254" i="2"/>
  <c r="H2253" i="2"/>
  <c r="I2253" i="2" s="1"/>
  <c r="F2253" i="2"/>
  <c r="H2252" i="2"/>
  <c r="I2252" i="2" s="1"/>
  <c r="F2252" i="2"/>
  <c r="H2251" i="2"/>
  <c r="I2251" i="2" s="1"/>
  <c r="F2251" i="2"/>
  <c r="H2250" i="2"/>
  <c r="I2250" i="2" s="1"/>
  <c r="J2250" i="2" s="1"/>
  <c r="F2250" i="2"/>
  <c r="H2244" i="2"/>
  <c r="I2244" i="2" s="1"/>
  <c r="F2244" i="2"/>
  <c r="H2243" i="2"/>
  <c r="I2243" i="2" s="1"/>
  <c r="F2243" i="2"/>
  <c r="H2242" i="2"/>
  <c r="I2242" i="2" s="1"/>
  <c r="F2242" i="2"/>
  <c r="H2241" i="2"/>
  <c r="I2241" i="2" s="1"/>
  <c r="F2241" i="2"/>
  <c r="H2240" i="2"/>
  <c r="I2240" i="2" s="1"/>
  <c r="F2240" i="2"/>
  <c r="H2239" i="2"/>
  <c r="I2239" i="2" s="1"/>
  <c r="F2239" i="2"/>
  <c r="H2238" i="2"/>
  <c r="I2238" i="2" s="1"/>
  <c r="F2238" i="2"/>
  <c r="H2237" i="2"/>
  <c r="I2237" i="2" s="1"/>
  <c r="F2237" i="2"/>
  <c r="H2236" i="2"/>
  <c r="I2236" i="2" s="1"/>
  <c r="F2236" i="2"/>
  <c r="H2235" i="2"/>
  <c r="I2235" i="2" s="1"/>
  <c r="F2235" i="2"/>
  <c r="H2234" i="2"/>
  <c r="I2234" i="2" s="1"/>
  <c r="F2234" i="2"/>
  <c r="H2233" i="2"/>
  <c r="I2233" i="2" s="1"/>
  <c r="F2233" i="2"/>
  <c r="H2232" i="2"/>
  <c r="I2232" i="2" s="1"/>
  <c r="F2232" i="2"/>
  <c r="H2231" i="2"/>
  <c r="I2231" i="2" s="1"/>
  <c r="F2231" i="2"/>
  <c r="H2230" i="2"/>
  <c r="I2230" i="2" s="1"/>
  <c r="J2230" i="2" s="1"/>
  <c r="F2230" i="2"/>
  <c r="H2224" i="2"/>
  <c r="I2224" i="2" s="1"/>
  <c r="F2224" i="2"/>
  <c r="H2223" i="2"/>
  <c r="I2223" i="2" s="1"/>
  <c r="F2223" i="2"/>
  <c r="H2222" i="2"/>
  <c r="I2222" i="2" s="1"/>
  <c r="F2222" i="2"/>
  <c r="H2221" i="2"/>
  <c r="I2221" i="2" s="1"/>
  <c r="F2221" i="2"/>
  <c r="H2220" i="2"/>
  <c r="I2220" i="2" s="1"/>
  <c r="F2220" i="2"/>
  <c r="H2219" i="2"/>
  <c r="I2219" i="2" s="1"/>
  <c r="F2219" i="2"/>
  <c r="H2218" i="2"/>
  <c r="I2218" i="2" s="1"/>
  <c r="F2218" i="2"/>
  <c r="H2217" i="2"/>
  <c r="I2217" i="2" s="1"/>
  <c r="F2217" i="2"/>
  <c r="H2216" i="2"/>
  <c r="I2216" i="2" s="1"/>
  <c r="F2216" i="2"/>
  <c r="H2215" i="2"/>
  <c r="I2215" i="2" s="1"/>
  <c r="F2215" i="2"/>
  <c r="H2214" i="2"/>
  <c r="I2214" i="2" s="1"/>
  <c r="F2214" i="2"/>
  <c r="H2213" i="2"/>
  <c r="I2213" i="2" s="1"/>
  <c r="F2213" i="2"/>
  <c r="H2212" i="2"/>
  <c r="I2212" i="2" s="1"/>
  <c r="F2212" i="2"/>
  <c r="H2211" i="2"/>
  <c r="I2211" i="2" s="1"/>
  <c r="F2211" i="2"/>
  <c r="H2210" i="2"/>
  <c r="I2210" i="2" s="1"/>
  <c r="F2210" i="2"/>
  <c r="H2209" i="2"/>
  <c r="I2209" i="2" s="1"/>
  <c r="F2209" i="2"/>
  <c r="H2208" i="2"/>
  <c r="I2208" i="2" s="1"/>
  <c r="F2208" i="2"/>
  <c r="H2207" i="2"/>
  <c r="I2207" i="2" s="1"/>
  <c r="F2207" i="2"/>
  <c r="H2206" i="2"/>
  <c r="I2206" i="2" s="1"/>
  <c r="F2206" i="2"/>
  <c r="H2205" i="2"/>
  <c r="I2205" i="2" s="1"/>
  <c r="F2205" i="2"/>
  <c r="H2204" i="2"/>
  <c r="I2204" i="2" s="1"/>
  <c r="F2204" i="2"/>
  <c r="H2203" i="2"/>
  <c r="I2203" i="2" s="1"/>
  <c r="F2203" i="2"/>
  <c r="H2202" i="2"/>
  <c r="I2202" i="2" s="1"/>
  <c r="F2202" i="2"/>
  <c r="H2201" i="2"/>
  <c r="I2201" i="2" s="1"/>
  <c r="F2201" i="2"/>
  <c r="H2200" i="2"/>
  <c r="I2200" i="2" s="1"/>
  <c r="F2200" i="2"/>
  <c r="H2199" i="2"/>
  <c r="I2199" i="2" s="1"/>
  <c r="F2199" i="2"/>
  <c r="H2198" i="2"/>
  <c r="I2198" i="2" s="1"/>
  <c r="F2198" i="2"/>
  <c r="H2197" i="2"/>
  <c r="I2197" i="2" s="1"/>
  <c r="J2197" i="2" s="1"/>
  <c r="F2197" i="2"/>
  <c r="H2190" i="2"/>
  <c r="I2190" i="2" s="1"/>
  <c r="F2190" i="2"/>
  <c r="H2189" i="2"/>
  <c r="I2189" i="2" s="1"/>
  <c r="F2189" i="2"/>
  <c r="H2188" i="2"/>
  <c r="I2188" i="2" s="1"/>
  <c r="F2188" i="2"/>
  <c r="H2187" i="2"/>
  <c r="I2187" i="2" s="1"/>
  <c r="F2187" i="2"/>
  <c r="H2186" i="2"/>
  <c r="I2186" i="2" s="1"/>
  <c r="F2186" i="2"/>
  <c r="H2185" i="2"/>
  <c r="I2185" i="2" s="1"/>
  <c r="F2185" i="2"/>
  <c r="H2184" i="2"/>
  <c r="I2184" i="2" s="1"/>
  <c r="F2184" i="2"/>
  <c r="H2183" i="2"/>
  <c r="I2183" i="2" s="1"/>
  <c r="F2183" i="2"/>
  <c r="H2182" i="2"/>
  <c r="I2182" i="2" s="1"/>
  <c r="F2182" i="2"/>
  <c r="H2181" i="2"/>
  <c r="I2181" i="2" s="1"/>
  <c r="F2181" i="2"/>
  <c r="H2180" i="2"/>
  <c r="I2180" i="2" s="1"/>
  <c r="F2180" i="2"/>
  <c r="H2179" i="2"/>
  <c r="I2179" i="2" s="1"/>
  <c r="F2179" i="2"/>
  <c r="H2178" i="2"/>
  <c r="I2178" i="2" s="1"/>
  <c r="F2178" i="2"/>
  <c r="H2177" i="2"/>
  <c r="I2177" i="2" s="1"/>
  <c r="F2177" i="2"/>
  <c r="H2176" i="2"/>
  <c r="I2176" i="2" s="1"/>
  <c r="F2176" i="2"/>
  <c r="H2175" i="2"/>
  <c r="I2175" i="2" s="1"/>
  <c r="F2175" i="2"/>
  <c r="H2174" i="2"/>
  <c r="I2174" i="2" s="1"/>
  <c r="F2174" i="2"/>
  <c r="H2173" i="2"/>
  <c r="I2173" i="2" s="1"/>
  <c r="F2173" i="2"/>
  <c r="H2172" i="2"/>
  <c r="I2172" i="2" s="1"/>
  <c r="F2172" i="2"/>
  <c r="H2171" i="2"/>
  <c r="I2171" i="2" s="1"/>
  <c r="F2171" i="2"/>
  <c r="H2170" i="2"/>
  <c r="I2170" i="2" s="1"/>
  <c r="F2170" i="2"/>
  <c r="H2169" i="2"/>
  <c r="I2169" i="2" s="1"/>
  <c r="F2169" i="2"/>
  <c r="H2168" i="2"/>
  <c r="I2168" i="2" s="1"/>
  <c r="F2168" i="2"/>
  <c r="H2167" i="2"/>
  <c r="I2167" i="2" s="1"/>
  <c r="F2167" i="2"/>
  <c r="H2166" i="2"/>
  <c r="I2166" i="2" s="1"/>
  <c r="F2166" i="2"/>
  <c r="H2165" i="2"/>
  <c r="I2165" i="2" s="1"/>
  <c r="F2165" i="2"/>
  <c r="H2164" i="2"/>
  <c r="I2164" i="2" s="1"/>
  <c r="F2164" i="2"/>
  <c r="H2163" i="2"/>
  <c r="I2163" i="2" s="1"/>
  <c r="F2163" i="2"/>
  <c r="H2162" i="2"/>
  <c r="I2162" i="2" s="1"/>
  <c r="F2162" i="2"/>
  <c r="H2161" i="2"/>
  <c r="I2161" i="2" s="1"/>
  <c r="F2161" i="2"/>
  <c r="H2160" i="2"/>
  <c r="I2160" i="2" s="1"/>
  <c r="F2160" i="2"/>
  <c r="H2159" i="2"/>
  <c r="I2159" i="2" s="1"/>
  <c r="F2159" i="2"/>
  <c r="H2158" i="2"/>
  <c r="I2158" i="2" s="1"/>
  <c r="F2158" i="2"/>
  <c r="H2157" i="2"/>
  <c r="I2157" i="2" s="1"/>
  <c r="J2157" i="2" s="1"/>
  <c r="F2157" i="2"/>
  <c r="H2150" i="2"/>
  <c r="I2150" i="2" s="1"/>
  <c r="F2150" i="2"/>
  <c r="H2149" i="2"/>
  <c r="I2149" i="2" s="1"/>
  <c r="F2149" i="2"/>
  <c r="H2148" i="2"/>
  <c r="I2148" i="2" s="1"/>
  <c r="F2148" i="2"/>
  <c r="H2147" i="2"/>
  <c r="I2147" i="2" s="1"/>
  <c r="F2147" i="2"/>
  <c r="H2146" i="2"/>
  <c r="I2146" i="2" s="1"/>
  <c r="F2146" i="2"/>
  <c r="H2145" i="2"/>
  <c r="I2145" i="2" s="1"/>
  <c r="J2145" i="2" s="1"/>
  <c r="F2145" i="2"/>
  <c r="H2139" i="2"/>
  <c r="I2139" i="2" s="1"/>
  <c r="F2139" i="2"/>
  <c r="H2138" i="2"/>
  <c r="I2138" i="2" s="1"/>
  <c r="F2138" i="2"/>
  <c r="H2137" i="2"/>
  <c r="I2137" i="2" s="1"/>
  <c r="F2137" i="2"/>
  <c r="H2136" i="2"/>
  <c r="I2136" i="2" s="1"/>
  <c r="F2136" i="2"/>
  <c r="H2135" i="2"/>
  <c r="I2135" i="2" s="1"/>
  <c r="F2135" i="2"/>
  <c r="H2134" i="2"/>
  <c r="I2134" i="2" s="1"/>
  <c r="F2134" i="2"/>
  <c r="H2133" i="2"/>
  <c r="I2133" i="2" s="1"/>
  <c r="F2133" i="2"/>
  <c r="H2132" i="2"/>
  <c r="I2132" i="2" s="1"/>
  <c r="F2132" i="2"/>
  <c r="H2131" i="2"/>
  <c r="I2131" i="2" s="1"/>
  <c r="F2131" i="2"/>
  <c r="H2130" i="2"/>
  <c r="I2130" i="2" s="1"/>
  <c r="F2130" i="2"/>
  <c r="H2129" i="2"/>
  <c r="I2129" i="2" s="1"/>
  <c r="F2129" i="2"/>
  <c r="H2128" i="2"/>
  <c r="I2128" i="2" s="1"/>
  <c r="F2128" i="2"/>
  <c r="H2127" i="2"/>
  <c r="I2127" i="2" s="1"/>
  <c r="F2127" i="2"/>
  <c r="H2126" i="2"/>
  <c r="I2126" i="2" s="1"/>
  <c r="F2126" i="2"/>
  <c r="H2125" i="2"/>
  <c r="I2125" i="2" s="1"/>
  <c r="F2125" i="2"/>
  <c r="H2124" i="2"/>
  <c r="I2124" i="2" s="1"/>
  <c r="F2124" i="2"/>
  <c r="H2123" i="2"/>
  <c r="I2123" i="2" s="1"/>
  <c r="J2123" i="2" s="1"/>
  <c r="F2123" i="2"/>
  <c r="H2117" i="2"/>
  <c r="I2117" i="2" s="1"/>
  <c r="F2117" i="2"/>
  <c r="H2116" i="2"/>
  <c r="I2116" i="2" s="1"/>
  <c r="F2116" i="2"/>
  <c r="H2115" i="2"/>
  <c r="I2115" i="2" s="1"/>
  <c r="F2115" i="2"/>
  <c r="H2114" i="2"/>
  <c r="I2114" i="2" s="1"/>
  <c r="F2114" i="2"/>
  <c r="H2113" i="2"/>
  <c r="I2113" i="2" s="1"/>
  <c r="F2113" i="2"/>
  <c r="H2112" i="2"/>
  <c r="I2112" i="2" s="1"/>
  <c r="F2112" i="2"/>
  <c r="H2111" i="2"/>
  <c r="I2111" i="2" s="1"/>
  <c r="F2111" i="2"/>
  <c r="H2110" i="2"/>
  <c r="I2110" i="2" s="1"/>
  <c r="F2110" i="2"/>
  <c r="H2109" i="2"/>
  <c r="I2109" i="2" s="1"/>
  <c r="F2109" i="2"/>
  <c r="H2108" i="2"/>
  <c r="I2108" i="2" s="1"/>
  <c r="F2108" i="2"/>
  <c r="H2107" i="2"/>
  <c r="I2107" i="2" s="1"/>
  <c r="F2107" i="2"/>
  <c r="H2106" i="2"/>
  <c r="I2106" i="2" s="1"/>
  <c r="J2106" i="2" s="1"/>
  <c r="F2106" i="2"/>
  <c r="H2100" i="2"/>
  <c r="I2100" i="2" s="1"/>
  <c r="F2100" i="2"/>
  <c r="H2099" i="2"/>
  <c r="I2099" i="2" s="1"/>
  <c r="F2099" i="2"/>
  <c r="H2098" i="2"/>
  <c r="I2098" i="2" s="1"/>
  <c r="F2098" i="2"/>
  <c r="H2097" i="2"/>
  <c r="I2097" i="2" s="1"/>
  <c r="F2097" i="2"/>
  <c r="H2096" i="2"/>
  <c r="I2096" i="2" s="1"/>
  <c r="F2096" i="2"/>
  <c r="H2095" i="2"/>
  <c r="I2095" i="2" s="1"/>
  <c r="F2095" i="2"/>
  <c r="H2094" i="2"/>
  <c r="I2094" i="2" s="1"/>
  <c r="F2094" i="2"/>
  <c r="H2093" i="2"/>
  <c r="I2093" i="2" s="1"/>
  <c r="F2093" i="2"/>
  <c r="H2092" i="2"/>
  <c r="I2092" i="2" s="1"/>
  <c r="F2092" i="2"/>
  <c r="H2091" i="2"/>
  <c r="I2091" i="2" s="1"/>
  <c r="F2091" i="2"/>
  <c r="H2090" i="2"/>
  <c r="I2090" i="2" s="1"/>
  <c r="F2090" i="2"/>
  <c r="H2089" i="2"/>
  <c r="I2089" i="2" s="1"/>
  <c r="F2089" i="2"/>
  <c r="H2088" i="2"/>
  <c r="I2088" i="2" s="1"/>
  <c r="J2088" i="2" s="1"/>
  <c r="F2088" i="2"/>
  <c r="H2081" i="2"/>
  <c r="I2081" i="2" s="1"/>
  <c r="F2081" i="2"/>
  <c r="H2080" i="2"/>
  <c r="I2080" i="2" s="1"/>
  <c r="F2080" i="2"/>
  <c r="H2079" i="2"/>
  <c r="I2079" i="2" s="1"/>
  <c r="F2079" i="2"/>
  <c r="H2078" i="2"/>
  <c r="I2078" i="2" s="1"/>
  <c r="F2078" i="2"/>
  <c r="H2077" i="2"/>
  <c r="I2077" i="2" s="1"/>
  <c r="F2077" i="2"/>
  <c r="H2076" i="2"/>
  <c r="I2076" i="2" s="1"/>
  <c r="F2076" i="2"/>
  <c r="H2075" i="2"/>
  <c r="I2075" i="2" s="1"/>
  <c r="F2075" i="2"/>
  <c r="H2074" i="2"/>
  <c r="I2074" i="2" s="1"/>
  <c r="F2074" i="2"/>
  <c r="H2073" i="2"/>
  <c r="I2073" i="2" s="1"/>
  <c r="F2073" i="2"/>
  <c r="H2072" i="2"/>
  <c r="I2072" i="2" s="1"/>
  <c r="F2072" i="2"/>
  <c r="H2071" i="2"/>
  <c r="I2071" i="2" s="1"/>
  <c r="F2071" i="2"/>
  <c r="H2070" i="2"/>
  <c r="I2070" i="2" s="1"/>
  <c r="F2070" i="2"/>
  <c r="H2069" i="2"/>
  <c r="I2069" i="2" s="1"/>
  <c r="F2069" i="2"/>
  <c r="H2068" i="2"/>
  <c r="I2068" i="2" s="1"/>
  <c r="F2068" i="2"/>
  <c r="H2067" i="2"/>
  <c r="I2067" i="2" s="1"/>
  <c r="F2067" i="2"/>
  <c r="H2066" i="2"/>
  <c r="I2066" i="2" s="1"/>
  <c r="F2066" i="2"/>
  <c r="H2065" i="2"/>
  <c r="I2065" i="2" s="1"/>
  <c r="F2065" i="2"/>
  <c r="H2064" i="2"/>
  <c r="I2064" i="2" s="1"/>
  <c r="F2064" i="2"/>
  <c r="H2063" i="2"/>
  <c r="I2063" i="2" s="1"/>
  <c r="F2063" i="2"/>
  <c r="H2062" i="2"/>
  <c r="I2062" i="2" s="1"/>
  <c r="F2062" i="2"/>
  <c r="H2061" i="2"/>
  <c r="I2061" i="2" s="1"/>
  <c r="F2061" i="2"/>
  <c r="H2060" i="2"/>
  <c r="I2060" i="2" s="1"/>
  <c r="F2060" i="2"/>
  <c r="H2059" i="2"/>
  <c r="I2059" i="2" s="1"/>
  <c r="F2059" i="2"/>
  <c r="H2058" i="2"/>
  <c r="I2058" i="2" s="1"/>
  <c r="F2058" i="2"/>
  <c r="H2057" i="2"/>
  <c r="I2057" i="2" s="1"/>
  <c r="F2057" i="2"/>
  <c r="H2056" i="2"/>
  <c r="I2056" i="2" s="1"/>
  <c r="F2056" i="2"/>
  <c r="H2055" i="2"/>
  <c r="I2055" i="2" s="1"/>
  <c r="J2055" i="2" s="1"/>
  <c r="F2055" i="2"/>
  <c r="H2048" i="2"/>
  <c r="I2048" i="2" s="1"/>
  <c r="F2048" i="2"/>
  <c r="H2047" i="2"/>
  <c r="I2047" i="2" s="1"/>
  <c r="F2047" i="2"/>
  <c r="H2046" i="2"/>
  <c r="I2046" i="2" s="1"/>
  <c r="F2046" i="2"/>
  <c r="H2045" i="2"/>
  <c r="I2045" i="2" s="1"/>
  <c r="F2045" i="2"/>
  <c r="H2044" i="2"/>
  <c r="I2044" i="2" s="1"/>
  <c r="F2044" i="2"/>
  <c r="H2043" i="2"/>
  <c r="I2043" i="2" s="1"/>
  <c r="F2043" i="2"/>
  <c r="H2042" i="2"/>
  <c r="I2042" i="2" s="1"/>
  <c r="F2042" i="2"/>
  <c r="H2041" i="2"/>
  <c r="I2041" i="2" s="1"/>
  <c r="F2041" i="2"/>
  <c r="H2040" i="2"/>
  <c r="I2040" i="2" s="1"/>
  <c r="F2040" i="2"/>
  <c r="H2039" i="2"/>
  <c r="I2039" i="2" s="1"/>
  <c r="F2039" i="2"/>
  <c r="H2038" i="2"/>
  <c r="I2038" i="2" s="1"/>
  <c r="F2038" i="2"/>
  <c r="H2037" i="2"/>
  <c r="I2037" i="2" s="1"/>
  <c r="F2037" i="2"/>
  <c r="H2036" i="2"/>
  <c r="I2036" i="2" s="1"/>
  <c r="F2036" i="2"/>
  <c r="H2035" i="2"/>
  <c r="I2035" i="2" s="1"/>
  <c r="F2035" i="2"/>
  <c r="H2034" i="2"/>
  <c r="I2034" i="2" s="1"/>
  <c r="F2034" i="2"/>
  <c r="H2033" i="2"/>
  <c r="I2033" i="2" s="1"/>
  <c r="F2033" i="2"/>
  <c r="H2032" i="2"/>
  <c r="I2032" i="2" s="1"/>
  <c r="F2032" i="2"/>
  <c r="H2031" i="2"/>
  <c r="I2031" i="2" s="1"/>
  <c r="F2031" i="2"/>
  <c r="H2030" i="2"/>
  <c r="I2030" i="2" s="1"/>
  <c r="F2030" i="2"/>
  <c r="H2029" i="2"/>
  <c r="I2029" i="2" s="1"/>
  <c r="J2029" i="2" s="1"/>
  <c r="F2029" i="2"/>
  <c r="H2023" i="2"/>
  <c r="I2023" i="2" s="1"/>
  <c r="F2023" i="2"/>
  <c r="H2022" i="2"/>
  <c r="I2022" i="2" s="1"/>
  <c r="F2022" i="2"/>
  <c r="H2021" i="2"/>
  <c r="I2021" i="2" s="1"/>
  <c r="F2021" i="2"/>
  <c r="H2020" i="2"/>
  <c r="I2020" i="2" s="1"/>
  <c r="F2020" i="2"/>
  <c r="H2019" i="2"/>
  <c r="I2019" i="2" s="1"/>
  <c r="F2019" i="2"/>
  <c r="H2018" i="2"/>
  <c r="I2018" i="2" s="1"/>
  <c r="J2018" i="2" s="1"/>
  <c r="F2018" i="2"/>
  <c r="H2012" i="2"/>
  <c r="I2012" i="2" s="1"/>
  <c r="F2012" i="2"/>
  <c r="F2011" i="2"/>
  <c r="H2011" i="2" s="1"/>
  <c r="I2011" i="2" s="1"/>
  <c r="H2010" i="2"/>
  <c r="I2010" i="2" s="1"/>
  <c r="F2010" i="2"/>
  <c r="H2009" i="2"/>
  <c r="I2009" i="2" s="1"/>
  <c r="F2009" i="2"/>
  <c r="H2008" i="2"/>
  <c r="I2008" i="2" s="1"/>
  <c r="F2008" i="2"/>
  <c r="H2007" i="2"/>
  <c r="I2007" i="2" s="1"/>
  <c r="F2007" i="2"/>
  <c r="H2006" i="2"/>
  <c r="I2006" i="2" s="1"/>
  <c r="F2006" i="2"/>
  <c r="H2005" i="2"/>
  <c r="I2005" i="2" s="1"/>
  <c r="F2005" i="2"/>
  <c r="H2004" i="2"/>
  <c r="I2004" i="2" s="1"/>
  <c r="F2004" i="2"/>
  <c r="H2003" i="2"/>
  <c r="I2003" i="2" s="1"/>
  <c r="F2003" i="2"/>
  <c r="H2002" i="2"/>
  <c r="I2002" i="2" s="1"/>
  <c r="F2002" i="2"/>
  <c r="H2001" i="2"/>
  <c r="I2001" i="2" s="1"/>
  <c r="F2001" i="2"/>
  <c r="H2000" i="2"/>
  <c r="I2000" i="2" s="1"/>
  <c r="F2000" i="2"/>
  <c r="H1999" i="2"/>
  <c r="I1999" i="2" s="1"/>
  <c r="F1999" i="2"/>
  <c r="H1998" i="2"/>
  <c r="I1998" i="2" s="1"/>
  <c r="F1998" i="2"/>
  <c r="H1997" i="2"/>
  <c r="I1997" i="2" s="1"/>
  <c r="F1997" i="2"/>
  <c r="H1996" i="2"/>
  <c r="I1996" i="2" s="1"/>
  <c r="F1996" i="2"/>
  <c r="H1995" i="2"/>
  <c r="I1995" i="2" s="1"/>
  <c r="F1995" i="2"/>
  <c r="H1994" i="2"/>
  <c r="I1994" i="2" s="1"/>
  <c r="F1994" i="2"/>
  <c r="H1993" i="2"/>
  <c r="I1993" i="2" s="1"/>
  <c r="F1993" i="2"/>
  <c r="H1992" i="2"/>
  <c r="I1992" i="2" s="1"/>
  <c r="J1992" i="2" s="1"/>
  <c r="F1992" i="2"/>
  <c r="H1985" i="2"/>
  <c r="I1985" i="2" s="1"/>
  <c r="F1985" i="2"/>
  <c r="H1984" i="2"/>
  <c r="I1984" i="2" s="1"/>
  <c r="F1984" i="2"/>
  <c r="H1983" i="2"/>
  <c r="I1983" i="2" s="1"/>
  <c r="F1983" i="2"/>
  <c r="H1982" i="2"/>
  <c r="I1982" i="2" s="1"/>
  <c r="F1982" i="2"/>
  <c r="H1981" i="2"/>
  <c r="I1981" i="2" s="1"/>
  <c r="F1981" i="2"/>
  <c r="H1980" i="2"/>
  <c r="I1980" i="2" s="1"/>
  <c r="F1980" i="2"/>
  <c r="H1979" i="2"/>
  <c r="I1979" i="2" s="1"/>
  <c r="F1979" i="2"/>
  <c r="H1978" i="2"/>
  <c r="I1978" i="2" s="1"/>
  <c r="F1978" i="2"/>
  <c r="H1977" i="2"/>
  <c r="I1977" i="2" s="1"/>
  <c r="F1977" i="2"/>
  <c r="H1976" i="2"/>
  <c r="I1976" i="2" s="1"/>
  <c r="F1976" i="2"/>
  <c r="H1975" i="2"/>
  <c r="I1975" i="2" s="1"/>
  <c r="F1975" i="2"/>
  <c r="H1974" i="2"/>
  <c r="I1974" i="2" s="1"/>
  <c r="J1974" i="2" s="1"/>
  <c r="F1974" i="2"/>
  <c r="H1968" i="2"/>
  <c r="I1968" i="2" s="1"/>
  <c r="F1968" i="2"/>
  <c r="H1967" i="2"/>
  <c r="I1967" i="2" s="1"/>
  <c r="F1967" i="2"/>
  <c r="H1966" i="2"/>
  <c r="I1966" i="2" s="1"/>
  <c r="F1966" i="2"/>
  <c r="H1965" i="2"/>
  <c r="I1965" i="2" s="1"/>
  <c r="F1965" i="2"/>
  <c r="H1964" i="2"/>
  <c r="I1964" i="2" s="1"/>
  <c r="F1964" i="2"/>
  <c r="H1963" i="2"/>
  <c r="I1963" i="2" s="1"/>
  <c r="F1963" i="2"/>
  <c r="H1962" i="2"/>
  <c r="I1962" i="2" s="1"/>
  <c r="F1962" i="2"/>
  <c r="H1961" i="2"/>
  <c r="I1961" i="2" s="1"/>
  <c r="F1961" i="2"/>
  <c r="H1960" i="2"/>
  <c r="I1960" i="2" s="1"/>
  <c r="F1960" i="2"/>
  <c r="H1959" i="2"/>
  <c r="I1959" i="2" s="1"/>
  <c r="F1959" i="2"/>
  <c r="H1958" i="2"/>
  <c r="I1958" i="2" s="1"/>
  <c r="F1958" i="2"/>
  <c r="H1957" i="2"/>
  <c r="I1957" i="2" s="1"/>
  <c r="F1957" i="2"/>
  <c r="H1956" i="2"/>
  <c r="I1956" i="2" s="1"/>
  <c r="F1956" i="2"/>
  <c r="H1955" i="2"/>
  <c r="I1955" i="2" s="1"/>
  <c r="F1955" i="2"/>
  <c r="H1954" i="2"/>
  <c r="I1954" i="2" s="1"/>
  <c r="F1954" i="2"/>
  <c r="H1953" i="2"/>
  <c r="I1953" i="2" s="1"/>
  <c r="J1953" i="2" s="1"/>
  <c r="F1953" i="2"/>
  <c r="H1947" i="2"/>
  <c r="I1947" i="2" s="1"/>
  <c r="F1947" i="2"/>
  <c r="H1946" i="2"/>
  <c r="I1946" i="2" s="1"/>
  <c r="F1946" i="2"/>
  <c r="H1945" i="2"/>
  <c r="I1945" i="2" s="1"/>
  <c r="F1945" i="2"/>
  <c r="H1944" i="2"/>
  <c r="I1944" i="2" s="1"/>
  <c r="F1944" i="2"/>
  <c r="H1943" i="2"/>
  <c r="I1943" i="2" s="1"/>
  <c r="F1943" i="2"/>
  <c r="H1942" i="2"/>
  <c r="I1942" i="2" s="1"/>
  <c r="F1942" i="2"/>
  <c r="H1941" i="2"/>
  <c r="I1941" i="2" s="1"/>
  <c r="F1941" i="2"/>
  <c r="H1940" i="2"/>
  <c r="I1940" i="2" s="1"/>
  <c r="F1940" i="2"/>
  <c r="H1939" i="2"/>
  <c r="I1939" i="2" s="1"/>
  <c r="F1939" i="2"/>
  <c r="H1938" i="2"/>
  <c r="I1938" i="2" s="1"/>
  <c r="F1938" i="2"/>
  <c r="H1937" i="2"/>
  <c r="I1937" i="2" s="1"/>
  <c r="F1937" i="2"/>
  <c r="H1936" i="2"/>
  <c r="I1936" i="2" s="1"/>
  <c r="F1936" i="2"/>
  <c r="H1935" i="2"/>
  <c r="I1935" i="2" s="1"/>
  <c r="J1935" i="2" s="1"/>
  <c r="F1935" i="2"/>
  <c r="H1929" i="2"/>
  <c r="I1929" i="2" s="1"/>
  <c r="F1929" i="2"/>
  <c r="H1928" i="2"/>
  <c r="I1928" i="2" s="1"/>
  <c r="F1928" i="2"/>
  <c r="H1927" i="2"/>
  <c r="I1927" i="2" s="1"/>
  <c r="F1927" i="2"/>
  <c r="H1926" i="2"/>
  <c r="I1926" i="2" s="1"/>
  <c r="F1926" i="2"/>
  <c r="H1925" i="2"/>
  <c r="I1925" i="2" s="1"/>
  <c r="F1925" i="2"/>
  <c r="H1924" i="2"/>
  <c r="I1924" i="2" s="1"/>
  <c r="F1924" i="2"/>
  <c r="H1923" i="2"/>
  <c r="I1923" i="2" s="1"/>
  <c r="F1923" i="2"/>
  <c r="H1922" i="2"/>
  <c r="I1922" i="2" s="1"/>
  <c r="F1922" i="2"/>
  <c r="H1921" i="2"/>
  <c r="I1921" i="2" s="1"/>
  <c r="F1921" i="2"/>
  <c r="H1920" i="2"/>
  <c r="I1920" i="2" s="1"/>
  <c r="F1920" i="2"/>
  <c r="H1919" i="2"/>
  <c r="I1919" i="2" s="1"/>
  <c r="F1919" i="2"/>
  <c r="H1918" i="2"/>
  <c r="I1918" i="2" s="1"/>
  <c r="F1918" i="2"/>
  <c r="H1917" i="2"/>
  <c r="I1917" i="2" s="1"/>
  <c r="F1917" i="2"/>
  <c r="H1916" i="2"/>
  <c r="I1916" i="2" s="1"/>
  <c r="J1916" i="2" s="1"/>
  <c r="F1916" i="2"/>
  <c r="I1910" i="2"/>
  <c r="J1910" i="2" s="1"/>
  <c r="M1910" i="2" s="1"/>
  <c r="N1910" i="2" s="1"/>
  <c r="I1909" i="2"/>
  <c r="J1909" i="2" s="1"/>
  <c r="H1903" i="2"/>
  <c r="I1903" i="2" s="1"/>
  <c r="F1903" i="2"/>
  <c r="H1902" i="2"/>
  <c r="I1902" i="2" s="1"/>
  <c r="F1902" i="2"/>
  <c r="H1901" i="2"/>
  <c r="I1901" i="2" s="1"/>
  <c r="F1901" i="2"/>
  <c r="H1900" i="2"/>
  <c r="I1900" i="2" s="1"/>
  <c r="F1900" i="2"/>
  <c r="H1899" i="2"/>
  <c r="I1899" i="2" s="1"/>
  <c r="F1899" i="2"/>
  <c r="H1898" i="2"/>
  <c r="I1898" i="2" s="1"/>
  <c r="F1898" i="2"/>
  <c r="H1897" i="2"/>
  <c r="I1897" i="2" s="1"/>
  <c r="F1897" i="2"/>
  <c r="I1896" i="2"/>
  <c r="I1895" i="2"/>
  <c r="H1894" i="2"/>
  <c r="I1894" i="2" s="1"/>
  <c r="F1894" i="2"/>
  <c r="H1893" i="2"/>
  <c r="I1893" i="2" s="1"/>
  <c r="F1893" i="2"/>
  <c r="H1892" i="2"/>
  <c r="I1892" i="2" s="1"/>
  <c r="F1892" i="2"/>
  <c r="H1891" i="2"/>
  <c r="I1891" i="2" s="1"/>
  <c r="J1891" i="2" s="1"/>
  <c r="F1891" i="2"/>
  <c r="H1886" i="2"/>
  <c r="I1886" i="2" s="1"/>
  <c r="F1886" i="2"/>
  <c r="H1885" i="2"/>
  <c r="I1885" i="2" s="1"/>
  <c r="F1885" i="2"/>
  <c r="H1884" i="2"/>
  <c r="I1884" i="2" s="1"/>
  <c r="F1884" i="2"/>
  <c r="H1883" i="2"/>
  <c r="I1883" i="2" s="1"/>
  <c r="F1883" i="2"/>
  <c r="H1882" i="2"/>
  <c r="I1882" i="2" s="1"/>
  <c r="F1882" i="2"/>
  <c r="H1881" i="2"/>
  <c r="I1881" i="2" s="1"/>
  <c r="F1881" i="2"/>
  <c r="H1880" i="2"/>
  <c r="I1880" i="2" s="1"/>
  <c r="F1880" i="2"/>
  <c r="H1879" i="2"/>
  <c r="I1879" i="2" s="1"/>
  <c r="F1879" i="2"/>
  <c r="H1878" i="2"/>
  <c r="I1878" i="2" s="1"/>
  <c r="F1878" i="2"/>
  <c r="H1877" i="2"/>
  <c r="I1877" i="2" s="1"/>
  <c r="F1877" i="2"/>
  <c r="H1876" i="2"/>
  <c r="I1876" i="2" s="1"/>
  <c r="F1876" i="2"/>
  <c r="H1875" i="2"/>
  <c r="I1875" i="2" s="1"/>
  <c r="J1875" i="2" s="1"/>
  <c r="F1875" i="2"/>
  <c r="H1869" i="2"/>
  <c r="I1869" i="2" s="1"/>
  <c r="F1869" i="2"/>
  <c r="H1868" i="2"/>
  <c r="I1868" i="2" s="1"/>
  <c r="F1868" i="2"/>
  <c r="H1867" i="2"/>
  <c r="I1867" i="2" s="1"/>
  <c r="F1867" i="2"/>
  <c r="H1866" i="2"/>
  <c r="I1866" i="2" s="1"/>
  <c r="F1866" i="2"/>
  <c r="H1865" i="2"/>
  <c r="I1865" i="2" s="1"/>
  <c r="F1865" i="2"/>
  <c r="H1864" i="2"/>
  <c r="I1864" i="2" s="1"/>
  <c r="F1864" i="2"/>
  <c r="H1863" i="2"/>
  <c r="I1863" i="2" s="1"/>
  <c r="F1863" i="2"/>
  <c r="H1862" i="2"/>
  <c r="I1862" i="2" s="1"/>
  <c r="F1862" i="2"/>
  <c r="H1861" i="2"/>
  <c r="I1861" i="2" s="1"/>
  <c r="F1861" i="2"/>
  <c r="H1860" i="2"/>
  <c r="I1860" i="2" s="1"/>
  <c r="F1860" i="2"/>
  <c r="H1859" i="2"/>
  <c r="I1859" i="2" s="1"/>
  <c r="F1859" i="2"/>
  <c r="H1858" i="2"/>
  <c r="I1858" i="2" s="1"/>
  <c r="F1858" i="2"/>
  <c r="H1857" i="2"/>
  <c r="I1857" i="2" s="1"/>
  <c r="F1857" i="2"/>
  <c r="H1856" i="2"/>
  <c r="I1856" i="2" s="1"/>
  <c r="F1856" i="2"/>
  <c r="H1855" i="2"/>
  <c r="I1855" i="2" s="1"/>
  <c r="F1855" i="2"/>
  <c r="H1854" i="2"/>
  <c r="I1854" i="2" s="1"/>
  <c r="F1854" i="2"/>
  <c r="H1853" i="2"/>
  <c r="I1853" i="2" s="1"/>
  <c r="F1853" i="2"/>
  <c r="H1852" i="2"/>
  <c r="I1852" i="2" s="1"/>
  <c r="F1852" i="2"/>
  <c r="H1851" i="2"/>
  <c r="I1851" i="2" s="1"/>
  <c r="F1851" i="2"/>
  <c r="H1850" i="2"/>
  <c r="I1850" i="2" s="1"/>
  <c r="F1850" i="2"/>
  <c r="H1849" i="2"/>
  <c r="I1849" i="2" s="1"/>
  <c r="F1849" i="2"/>
  <c r="H1848" i="2"/>
  <c r="I1848" i="2" s="1"/>
  <c r="F1848" i="2"/>
  <c r="H1847" i="2"/>
  <c r="I1847" i="2" s="1"/>
  <c r="F1847" i="2"/>
  <c r="H1846" i="2"/>
  <c r="I1846" i="2" s="1"/>
  <c r="F1846" i="2"/>
  <c r="H1845" i="2"/>
  <c r="I1845" i="2" s="1"/>
  <c r="J1845" i="2" s="1"/>
  <c r="F1845" i="2"/>
  <c r="H1839" i="2"/>
  <c r="I1839" i="2" s="1"/>
  <c r="F1839" i="2"/>
  <c r="H1838" i="2"/>
  <c r="I1838" i="2" s="1"/>
  <c r="F1838" i="2"/>
  <c r="H1837" i="2"/>
  <c r="I1837" i="2" s="1"/>
  <c r="F1837" i="2"/>
  <c r="H1836" i="2"/>
  <c r="I1836" i="2" s="1"/>
  <c r="F1836" i="2"/>
  <c r="H1835" i="2"/>
  <c r="I1835" i="2" s="1"/>
  <c r="F1835" i="2"/>
  <c r="H1834" i="2"/>
  <c r="I1834" i="2" s="1"/>
  <c r="F1834" i="2"/>
  <c r="H1833" i="2"/>
  <c r="I1833" i="2" s="1"/>
  <c r="F1833" i="2"/>
  <c r="H1832" i="2"/>
  <c r="I1832" i="2" s="1"/>
  <c r="F1832" i="2"/>
  <c r="H1831" i="2"/>
  <c r="I1831" i="2" s="1"/>
  <c r="F1831" i="2"/>
  <c r="H1830" i="2"/>
  <c r="I1830" i="2" s="1"/>
  <c r="F1830" i="2"/>
  <c r="H1829" i="2"/>
  <c r="I1829" i="2" s="1"/>
  <c r="J1829" i="2" s="1"/>
  <c r="F1829" i="2"/>
  <c r="I1823" i="2"/>
  <c r="J1823" i="2" s="1"/>
  <c r="I1822" i="2"/>
  <c r="J1822" i="2" s="1"/>
  <c r="I1821" i="2"/>
  <c r="J1821" i="2" s="1"/>
  <c r="I1820" i="2"/>
  <c r="J1820" i="2" s="1"/>
  <c r="H1814" i="2"/>
  <c r="I1814" i="2" s="1"/>
  <c r="F1814" i="2"/>
  <c r="H1813" i="2"/>
  <c r="I1813" i="2" s="1"/>
  <c r="F1813" i="2"/>
  <c r="H1812" i="2"/>
  <c r="I1812" i="2" s="1"/>
  <c r="F1812" i="2"/>
  <c r="H1811" i="2"/>
  <c r="I1811" i="2" s="1"/>
  <c r="F1811" i="2"/>
  <c r="H1810" i="2"/>
  <c r="I1810" i="2" s="1"/>
  <c r="F1810" i="2"/>
  <c r="H1809" i="2"/>
  <c r="I1809" i="2" s="1"/>
  <c r="J1809" i="2" s="1"/>
  <c r="F1809" i="2"/>
  <c r="H1803" i="2"/>
  <c r="I1803" i="2" s="1"/>
  <c r="F1803" i="2"/>
  <c r="H1802" i="2"/>
  <c r="I1802" i="2" s="1"/>
  <c r="F1802" i="2"/>
  <c r="H1801" i="2"/>
  <c r="I1801" i="2" s="1"/>
  <c r="F1801" i="2"/>
  <c r="H1800" i="2"/>
  <c r="I1800" i="2" s="1"/>
  <c r="F1800" i="2"/>
  <c r="H1799" i="2"/>
  <c r="I1799" i="2" s="1"/>
  <c r="F1799" i="2"/>
  <c r="H1798" i="2"/>
  <c r="I1798" i="2" s="1"/>
  <c r="F1798" i="2"/>
  <c r="H1797" i="2"/>
  <c r="I1797" i="2" s="1"/>
  <c r="F1797" i="2"/>
  <c r="H1796" i="2"/>
  <c r="I1796" i="2" s="1"/>
  <c r="F1796" i="2"/>
  <c r="H1795" i="2"/>
  <c r="I1795" i="2" s="1"/>
  <c r="F1795" i="2"/>
  <c r="H1794" i="2"/>
  <c r="I1794" i="2" s="1"/>
  <c r="F1794" i="2"/>
  <c r="H1793" i="2"/>
  <c r="I1793" i="2" s="1"/>
  <c r="F1793" i="2"/>
  <c r="H1792" i="2"/>
  <c r="I1792" i="2" s="1"/>
  <c r="F1792" i="2"/>
  <c r="H1791" i="2"/>
  <c r="I1791" i="2" s="1"/>
  <c r="F1791" i="2"/>
  <c r="H1790" i="2"/>
  <c r="I1790" i="2" s="1"/>
  <c r="F1790" i="2"/>
  <c r="H1789" i="2"/>
  <c r="I1789" i="2" s="1"/>
  <c r="F1789" i="2"/>
  <c r="H1788" i="2"/>
  <c r="I1788" i="2" s="1"/>
  <c r="J1788" i="2" s="1"/>
  <c r="F1788" i="2"/>
  <c r="H1782" i="2"/>
  <c r="I1782" i="2" s="1"/>
  <c r="F1782" i="2"/>
  <c r="H1781" i="2"/>
  <c r="I1781" i="2" s="1"/>
  <c r="F1781" i="2"/>
  <c r="H1780" i="2"/>
  <c r="I1780" i="2" s="1"/>
  <c r="F1780" i="2"/>
  <c r="H1779" i="2"/>
  <c r="I1779" i="2" s="1"/>
  <c r="F1779" i="2"/>
  <c r="H1778" i="2"/>
  <c r="I1778" i="2" s="1"/>
  <c r="F1778" i="2"/>
  <c r="H1777" i="2"/>
  <c r="I1777" i="2" s="1"/>
  <c r="F1777" i="2"/>
  <c r="H1776" i="2"/>
  <c r="I1776" i="2" s="1"/>
  <c r="F1776" i="2"/>
  <c r="H1775" i="2"/>
  <c r="I1775" i="2" s="1"/>
  <c r="F1775" i="2"/>
  <c r="H1774" i="2"/>
  <c r="I1774" i="2" s="1"/>
  <c r="F1774" i="2"/>
  <c r="H1773" i="2"/>
  <c r="I1773" i="2" s="1"/>
  <c r="F1773" i="2"/>
  <c r="H1772" i="2"/>
  <c r="I1772" i="2" s="1"/>
  <c r="F1772" i="2"/>
  <c r="H1771" i="2"/>
  <c r="I1771" i="2" s="1"/>
  <c r="F1771" i="2"/>
  <c r="H1770" i="2"/>
  <c r="I1770" i="2" s="1"/>
  <c r="F1770" i="2"/>
  <c r="H1769" i="2"/>
  <c r="I1769" i="2" s="1"/>
  <c r="F1769" i="2"/>
  <c r="H1768" i="2"/>
  <c r="I1768" i="2" s="1"/>
  <c r="F1768" i="2"/>
  <c r="H1767" i="2"/>
  <c r="I1767" i="2" s="1"/>
  <c r="F1767" i="2"/>
  <c r="H1766" i="2"/>
  <c r="I1766" i="2" s="1"/>
  <c r="F1766" i="2"/>
  <c r="H1765" i="2"/>
  <c r="I1765" i="2" s="1"/>
  <c r="F1765" i="2"/>
  <c r="H1764" i="2"/>
  <c r="I1764" i="2" s="1"/>
  <c r="F1764" i="2"/>
  <c r="H1763" i="2"/>
  <c r="I1763" i="2" s="1"/>
  <c r="F1763" i="2"/>
  <c r="H1762" i="2"/>
  <c r="I1762" i="2" s="1"/>
  <c r="F1762" i="2"/>
  <c r="H1761" i="2"/>
  <c r="I1761" i="2" s="1"/>
  <c r="F1761" i="2"/>
  <c r="H1760" i="2"/>
  <c r="I1760" i="2" s="1"/>
  <c r="F1760" i="2"/>
  <c r="H1759" i="2"/>
  <c r="I1759" i="2" s="1"/>
  <c r="F1759" i="2"/>
  <c r="H1758" i="2"/>
  <c r="I1758" i="2" s="1"/>
  <c r="F1758" i="2"/>
  <c r="H1757" i="2"/>
  <c r="I1757" i="2" s="1"/>
  <c r="J1757" i="2" s="1"/>
  <c r="F1757" i="2"/>
  <c r="H1751" i="2"/>
  <c r="I1751" i="2" s="1"/>
  <c r="F1751" i="2"/>
  <c r="H1750" i="2"/>
  <c r="I1750" i="2" s="1"/>
  <c r="F1750" i="2"/>
  <c r="H1749" i="2"/>
  <c r="I1749" i="2" s="1"/>
  <c r="F1749" i="2"/>
  <c r="H1748" i="2"/>
  <c r="I1748" i="2" s="1"/>
  <c r="F1748" i="2"/>
  <c r="H1747" i="2"/>
  <c r="I1747" i="2" s="1"/>
  <c r="J1747" i="2" s="1"/>
  <c r="F1747" i="2"/>
  <c r="H1741" i="2"/>
  <c r="I1741" i="2" s="1"/>
  <c r="F1741" i="2"/>
  <c r="H1740" i="2"/>
  <c r="I1740" i="2" s="1"/>
  <c r="F1740" i="2"/>
  <c r="H1739" i="2"/>
  <c r="I1739" i="2" s="1"/>
  <c r="F1739" i="2"/>
  <c r="H1738" i="2"/>
  <c r="I1738" i="2" s="1"/>
  <c r="F1738" i="2"/>
  <c r="H1737" i="2"/>
  <c r="I1737" i="2" s="1"/>
  <c r="J1737" i="2" s="1"/>
  <c r="F1737" i="2"/>
  <c r="H1731" i="2"/>
  <c r="I1731" i="2" s="1"/>
  <c r="F1731" i="2"/>
  <c r="H1730" i="2"/>
  <c r="I1730" i="2" s="1"/>
  <c r="F1730" i="2"/>
  <c r="H1729" i="2"/>
  <c r="I1729" i="2" s="1"/>
  <c r="F1729" i="2"/>
  <c r="H1728" i="2"/>
  <c r="I1728" i="2" s="1"/>
  <c r="F1728" i="2"/>
  <c r="H1727" i="2"/>
  <c r="I1727" i="2" s="1"/>
  <c r="F1727" i="2"/>
  <c r="H1726" i="2"/>
  <c r="I1726" i="2" s="1"/>
  <c r="F1726" i="2"/>
  <c r="H1725" i="2"/>
  <c r="I1725" i="2" s="1"/>
  <c r="F1725" i="2"/>
  <c r="H1724" i="2"/>
  <c r="I1724" i="2" s="1"/>
  <c r="F1724" i="2"/>
  <c r="H1723" i="2"/>
  <c r="I1723" i="2" s="1"/>
  <c r="F1723" i="2"/>
  <c r="H1722" i="2"/>
  <c r="I1722" i="2" s="1"/>
  <c r="F1722" i="2"/>
  <c r="H1721" i="2"/>
  <c r="I1721" i="2" s="1"/>
  <c r="F1721" i="2"/>
  <c r="H1720" i="2"/>
  <c r="I1720" i="2" s="1"/>
  <c r="F1720" i="2"/>
  <c r="H1719" i="2"/>
  <c r="I1719" i="2" s="1"/>
  <c r="F1719" i="2"/>
  <c r="H1718" i="2"/>
  <c r="I1718" i="2" s="1"/>
  <c r="F1718" i="2"/>
  <c r="H1717" i="2"/>
  <c r="I1717" i="2" s="1"/>
  <c r="F1717" i="2"/>
  <c r="H1716" i="2"/>
  <c r="I1716" i="2" s="1"/>
  <c r="F1716" i="2"/>
  <c r="H1715" i="2"/>
  <c r="I1715" i="2" s="1"/>
  <c r="F1715" i="2"/>
  <c r="H1714" i="2"/>
  <c r="I1714" i="2" s="1"/>
  <c r="F1714" i="2"/>
  <c r="H1713" i="2"/>
  <c r="I1713" i="2" s="1"/>
  <c r="F1713" i="2"/>
  <c r="H1712" i="2"/>
  <c r="I1712" i="2" s="1"/>
  <c r="F1712" i="2"/>
  <c r="H1711" i="2"/>
  <c r="I1711" i="2" s="1"/>
  <c r="F1711" i="2"/>
  <c r="H1710" i="2"/>
  <c r="I1710" i="2" s="1"/>
  <c r="F1710" i="2"/>
  <c r="H1709" i="2"/>
  <c r="I1709" i="2" s="1"/>
  <c r="F1709" i="2"/>
  <c r="H1708" i="2"/>
  <c r="I1708" i="2" s="1"/>
  <c r="F1708" i="2"/>
  <c r="H1707" i="2"/>
  <c r="I1707" i="2" s="1"/>
  <c r="F1707" i="2"/>
  <c r="H1706" i="2"/>
  <c r="I1706" i="2" s="1"/>
  <c r="F1706" i="2"/>
  <c r="H1705" i="2"/>
  <c r="I1705" i="2" s="1"/>
  <c r="F1705" i="2"/>
  <c r="H1704" i="2"/>
  <c r="I1704" i="2" s="1"/>
  <c r="F1704" i="2"/>
  <c r="H1703" i="2"/>
  <c r="I1703" i="2" s="1"/>
  <c r="F1703" i="2"/>
  <c r="H1702" i="2"/>
  <c r="I1702" i="2" s="1"/>
  <c r="F1702" i="2"/>
  <c r="H1701" i="2"/>
  <c r="I1701" i="2" s="1"/>
  <c r="F1701" i="2"/>
  <c r="H1700" i="2"/>
  <c r="I1700" i="2" s="1"/>
  <c r="F1700" i="2"/>
  <c r="H1699" i="2"/>
  <c r="I1699" i="2" s="1"/>
  <c r="F1699" i="2"/>
  <c r="H1698" i="2"/>
  <c r="I1698" i="2" s="1"/>
  <c r="F1698" i="2"/>
  <c r="H1697" i="2"/>
  <c r="I1697" i="2" s="1"/>
  <c r="J1697" i="2" s="1"/>
  <c r="F1697" i="2"/>
  <c r="H1691" i="2"/>
  <c r="I1691" i="2" s="1"/>
  <c r="F1691" i="2"/>
  <c r="H1690" i="2"/>
  <c r="I1690" i="2" s="1"/>
  <c r="F1690" i="2"/>
  <c r="H1689" i="2"/>
  <c r="I1689" i="2" s="1"/>
  <c r="J1689" i="2" s="1"/>
  <c r="F1689" i="2"/>
  <c r="H1684" i="2"/>
  <c r="I1684" i="2" s="1"/>
  <c r="F1684" i="2"/>
  <c r="H1683" i="2"/>
  <c r="I1683" i="2" s="1"/>
  <c r="F1683" i="2"/>
  <c r="H1682" i="2"/>
  <c r="I1682" i="2" s="1"/>
  <c r="J1682" i="2" s="1"/>
  <c r="F1682" i="2"/>
  <c r="H1676" i="2"/>
  <c r="I1676" i="2" s="1"/>
  <c r="F1676" i="2"/>
  <c r="H1675" i="2"/>
  <c r="I1675" i="2" s="1"/>
  <c r="F1675" i="2"/>
  <c r="H1674" i="2"/>
  <c r="I1674" i="2" s="1"/>
  <c r="F1674" i="2"/>
  <c r="H1673" i="2"/>
  <c r="I1673" i="2" s="1"/>
  <c r="F1673" i="2"/>
  <c r="H1672" i="2"/>
  <c r="I1672" i="2" s="1"/>
  <c r="F1672" i="2"/>
  <c r="H1671" i="2"/>
  <c r="I1671" i="2" s="1"/>
  <c r="F1671" i="2"/>
  <c r="H1670" i="2"/>
  <c r="I1670" i="2" s="1"/>
  <c r="F1670" i="2"/>
  <c r="H1669" i="2"/>
  <c r="I1669" i="2" s="1"/>
  <c r="F1669" i="2"/>
  <c r="H1668" i="2"/>
  <c r="I1668" i="2" s="1"/>
  <c r="F1668" i="2"/>
  <c r="H1667" i="2"/>
  <c r="I1667" i="2" s="1"/>
  <c r="F1667" i="2"/>
  <c r="H1666" i="2"/>
  <c r="I1666" i="2" s="1"/>
  <c r="F1666" i="2"/>
  <c r="H1665" i="2"/>
  <c r="I1665" i="2" s="1"/>
  <c r="F1665" i="2"/>
  <c r="H1664" i="2"/>
  <c r="I1664" i="2" s="1"/>
  <c r="J1664" i="2" s="1"/>
  <c r="F1664" i="2"/>
  <c r="H1657" i="2"/>
  <c r="I1657" i="2" s="1"/>
  <c r="F1657" i="2"/>
  <c r="H1656" i="2"/>
  <c r="I1656" i="2" s="1"/>
  <c r="F1656" i="2"/>
  <c r="H1655" i="2"/>
  <c r="I1655" i="2" s="1"/>
  <c r="F1655" i="2"/>
  <c r="H1654" i="2"/>
  <c r="I1654" i="2" s="1"/>
  <c r="F1654" i="2"/>
  <c r="H1653" i="2"/>
  <c r="I1653" i="2" s="1"/>
  <c r="F1653" i="2"/>
  <c r="H1652" i="2"/>
  <c r="I1652" i="2" s="1"/>
  <c r="F1652" i="2"/>
  <c r="H1651" i="2"/>
  <c r="I1651" i="2" s="1"/>
  <c r="F1651" i="2"/>
  <c r="H1650" i="2"/>
  <c r="I1650" i="2" s="1"/>
  <c r="F1650" i="2"/>
  <c r="H1649" i="2"/>
  <c r="I1649" i="2" s="1"/>
  <c r="F1649" i="2"/>
  <c r="H1648" i="2"/>
  <c r="I1648" i="2" s="1"/>
  <c r="F1648" i="2"/>
  <c r="H1647" i="2"/>
  <c r="I1647" i="2" s="1"/>
  <c r="F1647" i="2"/>
  <c r="H1646" i="2"/>
  <c r="I1646" i="2" s="1"/>
  <c r="F1646" i="2"/>
  <c r="H1645" i="2"/>
  <c r="I1645" i="2" s="1"/>
  <c r="F1645" i="2"/>
  <c r="H1644" i="2"/>
  <c r="I1644" i="2" s="1"/>
  <c r="F1644" i="2"/>
  <c r="H1643" i="2"/>
  <c r="I1643" i="2" s="1"/>
  <c r="F1643" i="2"/>
  <c r="H1642" i="2"/>
  <c r="I1642" i="2" s="1"/>
  <c r="F1642" i="2"/>
  <c r="H1641" i="2"/>
  <c r="I1641" i="2" s="1"/>
  <c r="F1641" i="2"/>
  <c r="H1640" i="2"/>
  <c r="I1640" i="2" s="1"/>
  <c r="F1640" i="2"/>
  <c r="H1639" i="2"/>
  <c r="I1639" i="2" s="1"/>
  <c r="F1639" i="2"/>
  <c r="H1638" i="2"/>
  <c r="I1638" i="2" s="1"/>
  <c r="J1638" i="2" s="1"/>
  <c r="F1638" i="2"/>
  <c r="H1632" i="2"/>
  <c r="I1632" i="2" s="1"/>
  <c r="F1632" i="2"/>
  <c r="H1631" i="2"/>
  <c r="I1631" i="2" s="1"/>
  <c r="F1631" i="2"/>
  <c r="H1630" i="2"/>
  <c r="I1630" i="2" s="1"/>
  <c r="F1630" i="2"/>
  <c r="H1629" i="2"/>
  <c r="I1629" i="2" s="1"/>
  <c r="J1629" i="2" s="1"/>
  <c r="F1629" i="2"/>
  <c r="H1623" i="2"/>
  <c r="I1623" i="2" s="1"/>
  <c r="F1623" i="2"/>
  <c r="H1622" i="2"/>
  <c r="I1622" i="2" s="1"/>
  <c r="F1622" i="2"/>
  <c r="H1621" i="2"/>
  <c r="I1621" i="2" s="1"/>
  <c r="F1621" i="2"/>
  <c r="H1620" i="2"/>
  <c r="I1620" i="2" s="1"/>
  <c r="F1620" i="2"/>
  <c r="H1619" i="2"/>
  <c r="I1619" i="2" s="1"/>
  <c r="F1619" i="2"/>
  <c r="H1618" i="2"/>
  <c r="I1618" i="2" s="1"/>
  <c r="F1618" i="2"/>
  <c r="H1617" i="2"/>
  <c r="I1617" i="2" s="1"/>
  <c r="F1617" i="2"/>
  <c r="H1616" i="2"/>
  <c r="I1616" i="2" s="1"/>
  <c r="F1616" i="2"/>
  <c r="H1615" i="2"/>
  <c r="I1615" i="2" s="1"/>
  <c r="F1615" i="2"/>
  <c r="H1614" i="2"/>
  <c r="I1614" i="2" s="1"/>
  <c r="F1614" i="2"/>
  <c r="H1613" i="2"/>
  <c r="I1613" i="2" s="1"/>
  <c r="F1613" i="2"/>
  <c r="H1612" i="2"/>
  <c r="I1612" i="2" s="1"/>
  <c r="F1612" i="2"/>
  <c r="H1611" i="2"/>
  <c r="I1611" i="2" s="1"/>
  <c r="F1611" i="2"/>
  <c r="H1610" i="2"/>
  <c r="I1610" i="2" s="1"/>
  <c r="F1610" i="2"/>
  <c r="H1609" i="2"/>
  <c r="I1609" i="2" s="1"/>
  <c r="F1609" i="2"/>
  <c r="H1608" i="2"/>
  <c r="I1608" i="2" s="1"/>
  <c r="F1608" i="2"/>
  <c r="H1607" i="2"/>
  <c r="I1607" i="2" s="1"/>
  <c r="F1607" i="2"/>
  <c r="H1606" i="2"/>
  <c r="I1606" i="2" s="1"/>
  <c r="F1606" i="2"/>
  <c r="H1605" i="2"/>
  <c r="I1605" i="2" s="1"/>
  <c r="F1605" i="2"/>
  <c r="H1604" i="2"/>
  <c r="I1604" i="2" s="1"/>
  <c r="F1604" i="2"/>
  <c r="H1603" i="2"/>
  <c r="I1603" i="2" s="1"/>
  <c r="F1603" i="2"/>
  <c r="H1602" i="2"/>
  <c r="I1602" i="2" s="1"/>
  <c r="F1602" i="2"/>
  <c r="H1601" i="2"/>
  <c r="I1601" i="2" s="1"/>
  <c r="F1601" i="2"/>
  <c r="H1600" i="2"/>
  <c r="I1600" i="2" s="1"/>
  <c r="F1600" i="2"/>
  <c r="H1599" i="2"/>
  <c r="I1599" i="2" s="1"/>
  <c r="F1599" i="2"/>
  <c r="H1598" i="2"/>
  <c r="I1598" i="2" s="1"/>
  <c r="F1598" i="2"/>
  <c r="H1597" i="2"/>
  <c r="I1597" i="2" s="1"/>
  <c r="F1597" i="2"/>
  <c r="H1596" i="2"/>
  <c r="I1596" i="2" s="1"/>
  <c r="F1596" i="2"/>
  <c r="H1595" i="2"/>
  <c r="I1595" i="2" s="1"/>
  <c r="F1595" i="2"/>
  <c r="H1594" i="2"/>
  <c r="I1594" i="2" s="1"/>
  <c r="F1594" i="2"/>
  <c r="H1593" i="2"/>
  <c r="I1593" i="2" s="1"/>
  <c r="F1593" i="2"/>
  <c r="H1592" i="2"/>
  <c r="I1592" i="2" s="1"/>
  <c r="F1592" i="2"/>
  <c r="H1591" i="2"/>
  <c r="I1591" i="2" s="1"/>
  <c r="F1591" i="2"/>
  <c r="H1590" i="2"/>
  <c r="I1590" i="2" s="1"/>
  <c r="F1590" i="2"/>
  <c r="H1589" i="2"/>
  <c r="I1589" i="2" s="1"/>
  <c r="F1589" i="2"/>
  <c r="H1588" i="2"/>
  <c r="I1588" i="2" s="1"/>
  <c r="F1588" i="2"/>
  <c r="H1587" i="2"/>
  <c r="I1587" i="2" s="1"/>
  <c r="F1587" i="2"/>
  <c r="H1586" i="2"/>
  <c r="I1586" i="2" s="1"/>
  <c r="F1586" i="2"/>
  <c r="H1585" i="2"/>
  <c r="I1585" i="2" s="1"/>
  <c r="F1585" i="2"/>
  <c r="H1584" i="2"/>
  <c r="I1584" i="2" s="1"/>
  <c r="F1584" i="2"/>
  <c r="H1583" i="2"/>
  <c r="I1583" i="2" s="1"/>
  <c r="J1583" i="2" s="1"/>
  <c r="F1583" i="2"/>
  <c r="H1577" i="2"/>
  <c r="I1577" i="2" s="1"/>
  <c r="F1577" i="2"/>
  <c r="H1576" i="2"/>
  <c r="I1576" i="2" s="1"/>
  <c r="F1576" i="2"/>
  <c r="H1575" i="2"/>
  <c r="I1575" i="2" s="1"/>
  <c r="F1575" i="2"/>
  <c r="H1574" i="2"/>
  <c r="I1574" i="2" s="1"/>
  <c r="F1574" i="2"/>
  <c r="H1573" i="2"/>
  <c r="I1573" i="2" s="1"/>
  <c r="F1573" i="2"/>
  <c r="H1572" i="2"/>
  <c r="I1572" i="2" s="1"/>
  <c r="F1572" i="2"/>
  <c r="H1571" i="2"/>
  <c r="I1571" i="2" s="1"/>
  <c r="F1571" i="2"/>
  <c r="H1570" i="2"/>
  <c r="I1570" i="2" s="1"/>
  <c r="F1570" i="2"/>
  <c r="H1569" i="2"/>
  <c r="I1569" i="2" s="1"/>
  <c r="F1569" i="2"/>
  <c r="H1568" i="2"/>
  <c r="I1568" i="2" s="1"/>
  <c r="F1568" i="2"/>
  <c r="H1567" i="2"/>
  <c r="I1567" i="2" s="1"/>
  <c r="F1567" i="2"/>
  <c r="H1566" i="2"/>
  <c r="I1566" i="2" s="1"/>
  <c r="F1566" i="2"/>
  <c r="H1565" i="2"/>
  <c r="I1565" i="2" s="1"/>
  <c r="F1565" i="2"/>
  <c r="H1564" i="2"/>
  <c r="I1564" i="2" s="1"/>
  <c r="F1564" i="2"/>
  <c r="H1563" i="2"/>
  <c r="I1563" i="2" s="1"/>
  <c r="F1563" i="2"/>
  <c r="H1562" i="2"/>
  <c r="I1562" i="2" s="1"/>
  <c r="F1562" i="2"/>
  <c r="H1561" i="2"/>
  <c r="I1561" i="2" s="1"/>
  <c r="F1561" i="2"/>
  <c r="H1560" i="2"/>
  <c r="I1560" i="2" s="1"/>
  <c r="F1560" i="2"/>
  <c r="H1559" i="2"/>
  <c r="I1559" i="2" s="1"/>
  <c r="F1559" i="2"/>
  <c r="H1558" i="2"/>
  <c r="I1558" i="2" s="1"/>
  <c r="F1558" i="2"/>
  <c r="H1557" i="2"/>
  <c r="I1557" i="2" s="1"/>
  <c r="F1557" i="2"/>
  <c r="H1556" i="2"/>
  <c r="I1556" i="2" s="1"/>
  <c r="J1556" i="2" s="1"/>
  <c r="F1556" i="2"/>
  <c r="H1550" i="2"/>
  <c r="I1550" i="2" s="1"/>
  <c r="F1550" i="2"/>
  <c r="H1549" i="2"/>
  <c r="I1549" i="2" s="1"/>
  <c r="F1549" i="2"/>
  <c r="H1548" i="2"/>
  <c r="I1548" i="2" s="1"/>
  <c r="F1548" i="2"/>
  <c r="H1547" i="2"/>
  <c r="I1547" i="2" s="1"/>
  <c r="F1547" i="2"/>
  <c r="H1546" i="2"/>
  <c r="I1546" i="2" s="1"/>
  <c r="F1546" i="2"/>
  <c r="H1545" i="2"/>
  <c r="I1545" i="2" s="1"/>
  <c r="F1545" i="2"/>
  <c r="H1544" i="2"/>
  <c r="I1544" i="2" s="1"/>
  <c r="F1544" i="2"/>
  <c r="H1543" i="2"/>
  <c r="I1543" i="2" s="1"/>
  <c r="F1543" i="2"/>
  <c r="H1542" i="2"/>
  <c r="I1542" i="2" s="1"/>
  <c r="F1542" i="2"/>
  <c r="H1541" i="2"/>
  <c r="I1541" i="2" s="1"/>
  <c r="F1541" i="2"/>
  <c r="H1540" i="2"/>
  <c r="I1540" i="2" s="1"/>
  <c r="F1540" i="2"/>
  <c r="H1539" i="2"/>
  <c r="I1539" i="2" s="1"/>
  <c r="F1539" i="2"/>
  <c r="H1538" i="2"/>
  <c r="I1538" i="2" s="1"/>
  <c r="F1538" i="2"/>
  <c r="H1537" i="2"/>
  <c r="I1537" i="2" s="1"/>
  <c r="F1537" i="2"/>
  <c r="H1536" i="2"/>
  <c r="I1536" i="2" s="1"/>
  <c r="F1536" i="2"/>
  <c r="H1535" i="2"/>
  <c r="I1535" i="2" s="1"/>
  <c r="F1535" i="2"/>
  <c r="H1534" i="2"/>
  <c r="I1534" i="2" s="1"/>
  <c r="F1534" i="2"/>
  <c r="H1533" i="2"/>
  <c r="I1533" i="2" s="1"/>
  <c r="F1533" i="2"/>
  <c r="H1532" i="2"/>
  <c r="I1532" i="2" s="1"/>
  <c r="F1532" i="2"/>
  <c r="H1531" i="2"/>
  <c r="I1531" i="2" s="1"/>
  <c r="F1531" i="2"/>
  <c r="H1530" i="2"/>
  <c r="I1530" i="2" s="1"/>
  <c r="F1530" i="2"/>
  <c r="H1529" i="2"/>
  <c r="I1529" i="2" s="1"/>
  <c r="F1529" i="2"/>
  <c r="H1528" i="2"/>
  <c r="I1528" i="2" s="1"/>
  <c r="F1528" i="2"/>
  <c r="H1527" i="2"/>
  <c r="I1527" i="2" s="1"/>
  <c r="F1527" i="2"/>
  <c r="H1526" i="2"/>
  <c r="I1526" i="2" s="1"/>
  <c r="F1526" i="2"/>
  <c r="H1525" i="2"/>
  <c r="I1525" i="2" s="1"/>
  <c r="F1525" i="2"/>
  <c r="H1524" i="2"/>
  <c r="I1524" i="2" s="1"/>
  <c r="F1524" i="2"/>
  <c r="H1523" i="2"/>
  <c r="I1523" i="2" s="1"/>
  <c r="F1523" i="2"/>
  <c r="H1522" i="2"/>
  <c r="I1522" i="2" s="1"/>
  <c r="F1522" i="2"/>
  <c r="H1521" i="2"/>
  <c r="I1521" i="2" s="1"/>
  <c r="F1521" i="2"/>
  <c r="H1520" i="2"/>
  <c r="I1520" i="2" s="1"/>
  <c r="F1520" i="2"/>
  <c r="H1519" i="2"/>
  <c r="I1519" i="2" s="1"/>
  <c r="J1519" i="2" s="1"/>
  <c r="F1519" i="2"/>
  <c r="H1513" i="2"/>
  <c r="I1513" i="2" s="1"/>
  <c r="F1513" i="2"/>
  <c r="H1512" i="2"/>
  <c r="I1512" i="2" s="1"/>
  <c r="F1512" i="2"/>
  <c r="H1511" i="2"/>
  <c r="I1511" i="2" s="1"/>
  <c r="F1511" i="2"/>
  <c r="H1510" i="2"/>
  <c r="I1510" i="2" s="1"/>
  <c r="F1510" i="2"/>
  <c r="H1509" i="2"/>
  <c r="I1509" i="2" s="1"/>
  <c r="F1509" i="2"/>
  <c r="H1508" i="2"/>
  <c r="I1508" i="2" s="1"/>
  <c r="F1508" i="2"/>
  <c r="H1507" i="2"/>
  <c r="I1507" i="2" s="1"/>
  <c r="F1507" i="2"/>
  <c r="H1506" i="2"/>
  <c r="I1506" i="2" s="1"/>
  <c r="F1506" i="2"/>
  <c r="H1505" i="2"/>
  <c r="I1505" i="2" s="1"/>
  <c r="F1505" i="2"/>
  <c r="H1504" i="2"/>
  <c r="I1504" i="2" s="1"/>
  <c r="F1504" i="2"/>
  <c r="H1503" i="2"/>
  <c r="I1503" i="2" s="1"/>
  <c r="F1503" i="2"/>
  <c r="H1502" i="2"/>
  <c r="I1502" i="2" s="1"/>
  <c r="F1502" i="2"/>
  <c r="H1501" i="2"/>
  <c r="I1501" i="2" s="1"/>
  <c r="F1501" i="2"/>
  <c r="H1500" i="2"/>
  <c r="I1500" i="2" s="1"/>
  <c r="F1500" i="2"/>
  <c r="H1499" i="2"/>
  <c r="I1499" i="2" s="1"/>
  <c r="F1499" i="2"/>
  <c r="H1498" i="2"/>
  <c r="I1498" i="2" s="1"/>
  <c r="F1498" i="2"/>
  <c r="H1497" i="2"/>
  <c r="I1497" i="2" s="1"/>
  <c r="F1497" i="2"/>
  <c r="H1496" i="2"/>
  <c r="I1496" i="2" s="1"/>
  <c r="F1496" i="2"/>
  <c r="H1495" i="2"/>
  <c r="I1495" i="2" s="1"/>
  <c r="F1495" i="2"/>
  <c r="H1494" i="2"/>
  <c r="I1494" i="2" s="1"/>
  <c r="F1494" i="2"/>
  <c r="H1493" i="2"/>
  <c r="I1493" i="2" s="1"/>
  <c r="F1493" i="2"/>
  <c r="H1492" i="2"/>
  <c r="I1492" i="2" s="1"/>
  <c r="F1492" i="2"/>
  <c r="H1491" i="2"/>
  <c r="I1491" i="2" s="1"/>
  <c r="F1491" i="2"/>
  <c r="H1490" i="2"/>
  <c r="I1490" i="2" s="1"/>
  <c r="F1490" i="2"/>
  <c r="H1489" i="2"/>
  <c r="I1489" i="2" s="1"/>
  <c r="F1489" i="2"/>
  <c r="H1488" i="2"/>
  <c r="I1488" i="2" s="1"/>
  <c r="F1488" i="2"/>
  <c r="H1487" i="2"/>
  <c r="I1487" i="2" s="1"/>
  <c r="J1487" i="2" s="1"/>
  <c r="F1487" i="2"/>
  <c r="H1480" i="2"/>
  <c r="I1480" i="2" s="1"/>
  <c r="F1480" i="2"/>
  <c r="H1479" i="2"/>
  <c r="I1479" i="2" s="1"/>
  <c r="F1479" i="2"/>
  <c r="H1478" i="2"/>
  <c r="I1478" i="2" s="1"/>
  <c r="F1478" i="2"/>
  <c r="H1477" i="2"/>
  <c r="I1477" i="2" s="1"/>
  <c r="F1477" i="2"/>
  <c r="H1476" i="2"/>
  <c r="I1476" i="2" s="1"/>
  <c r="F1476" i="2"/>
  <c r="H1475" i="2"/>
  <c r="I1475" i="2" s="1"/>
  <c r="F1475" i="2"/>
  <c r="H1474" i="2"/>
  <c r="I1474" i="2" s="1"/>
  <c r="F1474" i="2"/>
  <c r="H1473" i="2"/>
  <c r="I1473" i="2" s="1"/>
  <c r="F1473" i="2"/>
  <c r="H1472" i="2"/>
  <c r="I1472" i="2" s="1"/>
  <c r="F1472" i="2"/>
  <c r="H1471" i="2"/>
  <c r="I1471" i="2" s="1"/>
  <c r="F1471" i="2"/>
  <c r="H1470" i="2"/>
  <c r="I1470" i="2" s="1"/>
  <c r="F1470" i="2"/>
  <c r="H1469" i="2"/>
  <c r="I1469" i="2" s="1"/>
  <c r="F1469" i="2"/>
  <c r="H1468" i="2"/>
  <c r="I1468" i="2" s="1"/>
  <c r="F1468" i="2"/>
  <c r="H1467" i="2"/>
  <c r="I1467" i="2" s="1"/>
  <c r="F1467" i="2"/>
  <c r="H1466" i="2"/>
  <c r="I1466" i="2" s="1"/>
  <c r="F1466" i="2"/>
  <c r="H1465" i="2"/>
  <c r="I1465" i="2" s="1"/>
  <c r="F1465" i="2"/>
  <c r="H1464" i="2"/>
  <c r="I1464" i="2" s="1"/>
  <c r="F1464" i="2"/>
  <c r="H1463" i="2"/>
  <c r="I1463" i="2" s="1"/>
  <c r="F1463" i="2"/>
  <c r="H1462" i="2"/>
  <c r="I1462" i="2" s="1"/>
  <c r="F1462" i="2"/>
  <c r="H1461" i="2"/>
  <c r="I1461" i="2" s="1"/>
  <c r="F1461" i="2"/>
  <c r="H1460" i="2"/>
  <c r="I1460" i="2" s="1"/>
  <c r="F1460" i="2"/>
  <c r="H1459" i="2"/>
  <c r="I1459" i="2" s="1"/>
  <c r="F1459" i="2"/>
  <c r="H1458" i="2"/>
  <c r="I1458" i="2" s="1"/>
  <c r="F1458" i="2"/>
  <c r="H1457" i="2"/>
  <c r="I1457" i="2" s="1"/>
  <c r="F1457" i="2"/>
  <c r="H1456" i="2"/>
  <c r="I1456" i="2" s="1"/>
  <c r="J1456" i="2" s="1"/>
  <c r="F1456" i="2"/>
  <c r="H1449" i="2"/>
  <c r="I1449" i="2" s="1"/>
  <c r="F1449" i="2"/>
  <c r="H1448" i="2"/>
  <c r="I1448" i="2" s="1"/>
  <c r="F1448" i="2"/>
  <c r="H1447" i="2"/>
  <c r="I1447" i="2" s="1"/>
  <c r="F1447" i="2"/>
  <c r="H1446" i="2"/>
  <c r="I1446" i="2" s="1"/>
  <c r="F1446" i="2"/>
  <c r="H1445" i="2"/>
  <c r="I1445" i="2" s="1"/>
  <c r="F1445" i="2"/>
  <c r="H1444" i="2"/>
  <c r="I1444" i="2" s="1"/>
  <c r="F1444" i="2"/>
  <c r="H1443" i="2"/>
  <c r="I1443" i="2" s="1"/>
  <c r="F1443" i="2"/>
  <c r="H1442" i="2"/>
  <c r="I1442" i="2" s="1"/>
  <c r="F1442" i="2"/>
  <c r="H1441" i="2"/>
  <c r="I1441" i="2" s="1"/>
  <c r="J1441" i="2" s="1"/>
  <c r="F1441" i="2"/>
  <c r="H1435" i="2"/>
  <c r="I1435" i="2" s="1"/>
  <c r="F1435" i="2"/>
  <c r="H1434" i="2"/>
  <c r="I1434" i="2" s="1"/>
  <c r="F1434" i="2"/>
  <c r="H1433" i="2"/>
  <c r="I1433" i="2" s="1"/>
  <c r="F1433" i="2"/>
  <c r="H1432" i="2"/>
  <c r="I1432" i="2" s="1"/>
  <c r="F1432" i="2"/>
  <c r="H1431" i="2"/>
  <c r="I1431" i="2" s="1"/>
  <c r="F1431" i="2"/>
  <c r="H1430" i="2"/>
  <c r="I1430" i="2" s="1"/>
  <c r="F1430" i="2"/>
  <c r="H1429" i="2"/>
  <c r="I1429" i="2" s="1"/>
  <c r="F1429" i="2"/>
  <c r="H1428" i="2"/>
  <c r="I1428" i="2" s="1"/>
  <c r="F1428" i="2"/>
  <c r="H1427" i="2"/>
  <c r="I1427" i="2" s="1"/>
  <c r="F1427" i="2"/>
  <c r="H1426" i="2"/>
  <c r="I1426" i="2" s="1"/>
  <c r="F1426" i="2"/>
  <c r="H1425" i="2"/>
  <c r="I1425" i="2" s="1"/>
  <c r="J1425" i="2" s="1"/>
  <c r="F1425" i="2"/>
  <c r="H1419" i="2"/>
  <c r="I1419" i="2" s="1"/>
  <c r="F1419" i="2"/>
  <c r="H1418" i="2"/>
  <c r="I1418" i="2" s="1"/>
  <c r="F1418" i="2"/>
  <c r="H1417" i="2"/>
  <c r="I1417" i="2" s="1"/>
  <c r="F1417" i="2"/>
  <c r="H1416" i="2"/>
  <c r="I1416" i="2" s="1"/>
  <c r="F1416" i="2"/>
  <c r="H1415" i="2"/>
  <c r="I1415" i="2" s="1"/>
  <c r="F1415" i="2"/>
  <c r="H1414" i="2"/>
  <c r="I1414" i="2" s="1"/>
  <c r="F1414" i="2"/>
  <c r="H1413" i="2"/>
  <c r="I1413" i="2" s="1"/>
  <c r="F1413" i="2"/>
  <c r="H1412" i="2"/>
  <c r="I1412" i="2" s="1"/>
  <c r="F1412" i="2"/>
  <c r="H1411" i="2"/>
  <c r="I1411" i="2" s="1"/>
  <c r="F1411" i="2"/>
  <c r="H1410" i="2"/>
  <c r="I1410" i="2" s="1"/>
  <c r="F1410" i="2"/>
  <c r="H1409" i="2"/>
  <c r="I1409" i="2" s="1"/>
  <c r="F1409" i="2"/>
  <c r="H1408" i="2"/>
  <c r="I1408" i="2" s="1"/>
  <c r="F1408" i="2"/>
  <c r="H1407" i="2"/>
  <c r="I1407" i="2" s="1"/>
  <c r="F1407" i="2"/>
  <c r="H1406" i="2"/>
  <c r="I1406" i="2" s="1"/>
  <c r="F1406" i="2"/>
  <c r="H1405" i="2"/>
  <c r="I1405" i="2" s="1"/>
  <c r="F1405" i="2"/>
  <c r="H1404" i="2"/>
  <c r="I1404" i="2" s="1"/>
  <c r="F1404" i="2"/>
  <c r="H1403" i="2"/>
  <c r="I1403" i="2" s="1"/>
  <c r="F1403" i="2"/>
  <c r="H1402" i="2"/>
  <c r="I1402" i="2" s="1"/>
  <c r="F1402" i="2"/>
  <c r="H1401" i="2"/>
  <c r="I1401" i="2" s="1"/>
  <c r="F1401" i="2"/>
  <c r="H1400" i="2"/>
  <c r="I1400" i="2" s="1"/>
  <c r="F1400" i="2"/>
  <c r="H1399" i="2"/>
  <c r="I1399" i="2" s="1"/>
  <c r="J1399" i="2" s="1"/>
  <c r="F1399" i="2"/>
  <c r="H1393" i="2"/>
  <c r="I1393" i="2" s="1"/>
  <c r="F1393" i="2"/>
  <c r="H1392" i="2"/>
  <c r="I1392" i="2" s="1"/>
  <c r="F1392" i="2"/>
  <c r="H1391" i="2"/>
  <c r="I1391" i="2" s="1"/>
  <c r="F1391" i="2"/>
  <c r="H1390" i="2"/>
  <c r="I1390" i="2" s="1"/>
  <c r="F1390" i="2"/>
  <c r="H1389" i="2"/>
  <c r="I1389" i="2" s="1"/>
  <c r="F1389" i="2"/>
  <c r="H1388" i="2"/>
  <c r="I1388" i="2" s="1"/>
  <c r="J1388" i="2" s="1"/>
  <c r="F1388" i="2"/>
  <c r="H1383" i="2"/>
  <c r="I1383" i="2" s="1"/>
  <c r="F1383" i="2"/>
  <c r="H1382" i="2"/>
  <c r="I1382" i="2" s="1"/>
  <c r="J1382" i="2" s="1"/>
  <c r="F1382" i="2"/>
  <c r="H1376" i="2"/>
  <c r="I1376" i="2" s="1"/>
  <c r="F1376" i="2"/>
  <c r="H1375" i="2"/>
  <c r="I1375" i="2" s="1"/>
  <c r="F1375" i="2"/>
  <c r="H1374" i="2"/>
  <c r="I1374" i="2" s="1"/>
  <c r="F1374" i="2"/>
  <c r="H1373" i="2"/>
  <c r="I1373" i="2" s="1"/>
  <c r="F1373" i="2"/>
  <c r="H1372" i="2"/>
  <c r="I1372" i="2" s="1"/>
  <c r="F1372" i="2"/>
  <c r="H1371" i="2"/>
  <c r="I1371" i="2" s="1"/>
  <c r="F1371" i="2"/>
  <c r="H1370" i="2"/>
  <c r="I1370" i="2" s="1"/>
  <c r="F1370" i="2"/>
  <c r="H1369" i="2"/>
  <c r="I1369" i="2" s="1"/>
  <c r="J1369" i="2" s="1"/>
  <c r="F1369" i="2"/>
  <c r="H1363" i="2"/>
  <c r="I1363" i="2" s="1"/>
  <c r="F1363" i="2"/>
  <c r="H1362" i="2"/>
  <c r="I1362" i="2" s="1"/>
  <c r="F1362" i="2"/>
  <c r="H1361" i="2"/>
  <c r="I1361" i="2" s="1"/>
  <c r="J1361" i="2" s="1"/>
  <c r="F1361" i="2"/>
  <c r="H1355" i="2"/>
  <c r="I1355" i="2" s="1"/>
  <c r="F1355" i="2"/>
  <c r="H1354" i="2"/>
  <c r="I1354" i="2" s="1"/>
  <c r="F1354" i="2"/>
  <c r="H1353" i="2"/>
  <c r="I1353" i="2" s="1"/>
  <c r="J1353" i="2" s="1"/>
  <c r="F1353" i="2"/>
  <c r="H1348" i="2"/>
  <c r="I1348" i="2" s="1"/>
  <c r="F1348" i="2"/>
  <c r="H1347" i="2"/>
  <c r="I1347" i="2" s="1"/>
  <c r="F1347" i="2"/>
  <c r="H1346" i="2"/>
  <c r="I1346" i="2" s="1"/>
  <c r="F1346" i="2"/>
  <c r="H1345" i="2"/>
  <c r="I1345" i="2" s="1"/>
  <c r="F1345" i="2"/>
  <c r="H1344" i="2"/>
  <c r="I1344" i="2" s="1"/>
  <c r="F1344" i="2"/>
  <c r="H1343" i="2"/>
  <c r="I1343" i="2" s="1"/>
  <c r="J1343" i="2" s="1"/>
  <c r="F1343" i="2"/>
  <c r="H1337" i="2"/>
  <c r="I1337" i="2" s="1"/>
  <c r="F1337" i="2"/>
  <c r="H1336" i="2"/>
  <c r="I1336" i="2" s="1"/>
  <c r="F1336" i="2"/>
  <c r="H1335" i="2"/>
  <c r="I1335" i="2" s="1"/>
  <c r="F1335" i="2"/>
  <c r="H1334" i="2"/>
  <c r="I1334" i="2" s="1"/>
  <c r="F1334" i="2"/>
  <c r="H1333" i="2"/>
  <c r="I1333" i="2" s="1"/>
  <c r="J1333" i="2" s="1"/>
  <c r="F1333" i="2"/>
  <c r="H1328" i="2"/>
  <c r="I1328" i="2" s="1"/>
  <c r="F1328" i="2"/>
  <c r="H1327" i="2"/>
  <c r="I1327" i="2" s="1"/>
  <c r="F1327" i="2"/>
  <c r="H1326" i="2"/>
  <c r="I1326" i="2" s="1"/>
  <c r="F1326" i="2"/>
  <c r="H1325" i="2"/>
  <c r="I1325" i="2" s="1"/>
  <c r="F1325" i="2"/>
  <c r="H1324" i="2"/>
  <c r="I1324" i="2" s="1"/>
  <c r="J1324" i="2" s="1"/>
  <c r="F1324" i="2"/>
  <c r="H1319" i="2"/>
  <c r="I1319" i="2" s="1"/>
  <c r="F1319" i="2"/>
  <c r="H1318" i="2"/>
  <c r="I1318" i="2" s="1"/>
  <c r="F1318" i="2"/>
  <c r="H1317" i="2"/>
  <c r="I1317" i="2" s="1"/>
  <c r="F1317" i="2"/>
  <c r="H1316" i="2"/>
  <c r="I1316" i="2" s="1"/>
  <c r="F1316" i="2"/>
  <c r="H1315" i="2"/>
  <c r="I1315" i="2" s="1"/>
  <c r="F1315" i="2"/>
  <c r="H1314" i="2"/>
  <c r="I1314" i="2" s="1"/>
  <c r="F1314" i="2"/>
  <c r="H1313" i="2"/>
  <c r="I1313" i="2" s="1"/>
  <c r="F1313" i="2"/>
  <c r="H1312" i="2"/>
  <c r="I1312" i="2" s="1"/>
  <c r="F1312" i="2"/>
  <c r="H1311" i="2"/>
  <c r="I1311" i="2" s="1"/>
  <c r="F1311" i="2"/>
  <c r="H1310" i="2"/>
  <c r="I1310" i="2" s="1"/>
  <c r="F1310" i="2"/>
  <c r="H1309" i="2"/>
  <c r="I1309" i="2" s="1"/>
  <c r="F1309" i="2"/>
  <c r="H1308" i="2"/>
  <c r="I1308" i="2" s="1"/>
  <c r="F1308" i="2"/>
  <c r="H1307" i="2"/>
  <c r="I1307" i="2" s="1"/>
  <c r="J1307" i="2" s="1"/>
  <c r="F1307" i="2"/>
  <c r="I1301" i="2"/>
  <c r="J1301" i="2" s="1"/>
  <c r="K1301" i="2" s="1"/>
  <c r="I1300" i="2"/>
  <c r="J1300" i="2" s="1"/>
  <c r="K1300" i="2" s="1"/>
  <c r="I1299" i="2"/>
  <c r="J1299" i="2" s="1"/>
  <c r="I1298" i="2"/>
  <c r="J1298" i="2" s="1"/>
  <c r="I1297" i="2"/>
  <c r="J1297" i="2" s="1"/>
  <c r="K1297" i="2" s="1"/>
  <c r="H1291" i="2"/>
  <c r="I1291" i="2" s="1"/>
  <c r="F1291" i="2"/>
  <c r="H1290" i="2"/>
  <c r="I1290" i="2" s="1"/>
  <c r="F1290" i="2"/>
  <c r="H1289" i="2"/>
  <c r="I1289" i="2" s="1"/>
  <c r="F1289" i="2"/>
  <c r="H1288" i="2"/>
  <c r="I1288" i="2" s="1"/>
  <c r="F1288" i="2"/>
  <c r="H1287" i="2"/>
  <c r="I1287" i="2" s="1"/>
  <c r="F1287" i="2"/>
  <c r="H1286" i="2"/>
  <c r="I1286" i="2" s="1"/>
  <c r="F1286" i="2"/>
  <c r="H1285" i="2"/>
  <c r="I1285" i="2" s="1"/>
  <c r="F1285" i="2"/>
  <c r="H1284" i="2"/>
  <c r="I1284" i="2" s="1"/>
  <c r="F1284" i="2"/>
  <c r="H1283" i="2"/>
  <c r="I1283" i="2" s="1"/>
  <c r="F1283" i="2"/>
  <c r="H1282" i="2"/>
  <c r="I1282" i="2" s="1"/>
  <c r="F1282" i="2"/>
  <c r="H1281" i="2"/>
  <c r="I1281" i="2" s="1"/>
  <c r="F1281" i="2"/>
  <c r="H1280" i="2"/>
  <c r="I1280" i="2" s="1"/>
  <c r="J1280" i="2" s="1"/>
  <c r="F1280" i="2"/>
  <c r="H1274" i="2"/>
  <c r="I1274" i="2" s="1"/>
  <c r="F1274" i="2"/>
  <c r="H1273" i="2"/>
  <c r="I1273" i="2" s="1"/>
  <c r="F1273" i="2"/>
  <c r="H1272" i="2"/>
  <c r="I1272" i="2" s="1"/>
  <c r="F1272" i="2"/>
  <c r="H1271" i="2"/>
  <c r="I1271" i="2" s="1"/>
  <c r="F1271" i="2"/>
  <c r="H1270" i="2"/>
  <c r="I1270" i="2" s="1"/>
  <c r="J1270" i="2" s="1"/>
  <c r="F1270" i="2"/>
  <c r="H1264" i="2"/>
  <c r="I1264" i="2" s="1"/>
  <c r="F1264" i="2"/>
  <c r="H1263" i="2"/>
  <c r="I1263" i="2" s="1"/>
  <c r="F1263" i="2"/>
  <c r="H1262" i="2"/>
  <c r="I1262" i="2" s="1"/>
  <c r="F1262" i="2"/>
  <c r="H1261" i="2"/>
  <c r="I1261" i="2" s="1"/>
  <c r="F1261" i="2"/>
  <c r="H1260" i="2"/>
  <c r="I1260" i="2" s="1"/>
  <c r="F1260" i="2"/>
  <c r="H1259" i="2"/>
  <c r="I1259" i="2" s="1"/>
  <c r="F1259" i="2"/>
  <c r="H1258" i="2"/>
  <c r="I1258" i="2" s="1"/>
  <c r="F1258" i="2"/>
  <c r="H1257" i="2"/>
  <c r="I1257" i="2" s="1"/>
  <c r="F1257" i="2"/>
  <c r="H1256" i="2"/>
  <c r="I1256" i="2" s="1"/>
  <c r="F1256" i="2"/>
  <c r="H1255" i="2"/>
  <c r="I1255" i="2" s="1"/>
  <c r="F1255" i="2"/>
  <c r="H1254" i="2"/>
  <c r="I1254" i="2" s="1"/>
  <c r="F1254" i="2"/>
  <c r="H1253" i="2"/>
  <c r="I1253" i="2" s="1"/>
  <c r="F1253" i="2"/>
  <c r="H1252" i="2"/>
  <c r="I1252" i="2" s="1"/>
  <c r="F1252" i="2"/>
  <c r="H1251" i="2"/>
  <c r="I1251" i="2" s="1"/>
  <c r="F1251" i="2"/>
  <c r="H1250" i="2"/>
  <c r="I1250" i="2" s="1"/>
  <c r="F1250" i="2"/>
  <c r="H1249" i="2"/>
  <c r="I1249" i="2" s="1"/>
  <c r="F1249" i="2"/>
  <c r="H1248" i="2"/>
  <c r="I1248" i="2" s="1"/>
  <c r="F1248" i="2"/>
  <c r="H1247" i="2"/>
  <c r="I1247" i="2" s="1"/>
  <c r="J1247" i="2" s="1"/>
  <c r="F1247" i="2"/>
  <c r="H1241" i="2"/>
  <c r="I1241" i="2" s="1"/>
  <c r="F1241" i="2"/>
  <c r="H1240" i="2"/>
  <c r="I1240" i="2" s="1"/>
  <c r="F1240" i="2"/>
  <c r="H1239" i="2"/>
  <c r="I1239" i="2" s="1"/>
  <c r="F1239" i="2"/>
  <c r="H1238" i="2"/>
  <c r="I1238" i="2" s="1"/>
  <c r="F1238" i="2"/>
  <c r="H1237" i="2"/>
  <c r="I1237" i="2" s="1"/>
  <c r="F1237" i="2"/>
  <c r="H1236" i="2"/>
  <c r="I1236" i="2" s="1"/>
  <c r="F1236" i="2"/>
  <c r="H1235" i="2"/>
  <c r="I1235" i="2" s="1"/>
  <c r="F1235" i="2"/>
  <c r="H1234" i="2"/>
  <c r="I1234" i="2" s="1"/>
  <c r="F1234" i="2"/>
  <c r="H1233" i="2"/>
  <c r="I1233" i="2" s="1"/>
  <c r="J1233" i="2" s="1"/>
  <c r="F1233" i="2"/>
  <c r="H1228" i="2"/>
  <c r="I1228" i="2" s="1"/>
  <c r="F1228" i="2"/>
  <c r="H1227" i="2"/>
  <c r="I1227" i="2" s="1"/>
  <c r="F1227" i="2"/>
  <c r="H1226" i="2"/>
  <c r="I1226" i="2" s="1"/>
  <c r="F1226" i="2"/>
  <c r="H1225" i="2"/>
  <c r="I1225" i="2" s="1"/>
  <c r="F1225" i="2"/>
  <c r="H1224" i="2"/>
  <c r="I1224" i="2" s="1"/>
  <c r="F1224" i="2"/>
  <c r="H1223" i="2"/>
  <c r="I1223" i="2" s="1"/>
  <c r="F1223" i="2"/>
  <c r="H1222" i="2"/>
  <c r="I1222" i="2" s="1"/>
  <c r="F1222" i="2"/>
  <c r="H1221" i="2"/>
  <c r="I1221" i="2" s="1"/>
  <c r="F1221" i="2"/>
  <c r="H1220" i="2"/>
  <c r="I1220" i="2" s="1"/>
  <c r="F1220" i="2"/>
  <c r="H1219" i="2"/>
  <c r="I1219" i="2" s="1"/>
  <c r="F1219" i="2"/>
  <c r="H1218" i="2"/>
  <c r="I1218" i="2" s="1"/>
  <c r="F1218" i="2"/>
  <c r="H1217" i="2"/>
  <c r="I1217" i="2" s="1"/>
  <c r="F1217" i="2"/>
  <c r="H1216" i="2"/>
  <c r="I1216" i="2" s="1"/>
  <c r="J1216" i="2" s="1"/>
  <c r="F1216" i="2"/>
  <c r="H1210" i="2"/>
  <c r="I1210" i="2" s="1"/>
  <c r="F1210" i="2"/>
  <c r="H1209" i="2"/>
  <c r="I1209" i="2" s="1"/>
  <c r="F1209" i="2"/>
  <c r="H1208" i="2"/>
  <c r="I1208" i="2" s="1"/>
  <c r="F1208" i="2"/>
  <c r="H1207" i="2"/>
  <c r="I1207" i="2" s="1"/>
  <c r="F1207" i="2"/>
  <c r="H1206" i="2"/>
  <c r="I1206" i="2" s="1"/>
  <c r="F1206" i="2"/>
  <c r="H1205" i="2"/>
  <c r="I1205" i="2" s="1"/>
  <c r="F1205" i="2"/>
  <c r="H1204" i="2"/>
  <c r="I1204" i="2" s="1"/>
  <c r="F1204" i="2"/>
  <c r="H1203" i="2"/>
  <c r="I1203" i="2" s="1"/>
  <c r="F1203" i="2"/>
  <c r="H1202" i="2"/>
  <c r="I1202" i="2" s="1"/>
  <c r="J1202" i="2" s="1"/>
  <c r="F1202" i="2"/>
  <c r="H1196" i="2"/>
  <c r="I1196" i="2" s="1"/>
  <c r="F1196" i="2"/>
  <c r="H1195" i="2"/>
  <c r="I1195" i="2" s="1"/>
  <c r="F1195" i="2"/>
  <c r="H1194" i="2"/>
  <c r="I1194" i="2" s="1"/>
  <c r="F1194" i="2"/>
  <c r="H1193" i="2"/>
  <c r="I1193" i="2" s="1"/>
  <c r="F1193" i="2"/>
  <c r="H1192" i="2"/>
  <c r="I1192" i="2" s="1"/>
  <c r="F1192" i="2"/>
  <c r="H1191" i="2"/>
  <c r="I1191" i="2" s="1"/>
  <c r="F1191" i="2"/>
  <c r="H1190" i="2"/>
  <c r="I1190" i="2" s="1"/>
  <c r="F1190" i="2"/>
  <c r="H1189" i="2"/>
  <c r="I1189" i="2" s="1"/>
  <c r="F1189" i="2"/>
  <c r="H1188" i="2"/>
  <c r="I1188" i="2" s="1"/>
  <c r="J1188" i="2" s="1"/>
  <c r="F1188" i="2"/>
  <c r="H1182" i="2"/>
  <c r="I1182" i="2" s="1"/>
  <c r="F1182" i="2"/>
  <c r="H1181" i="2"/>
  <c r="I1181" i="2" s="1"/>
  <c r="F1181" i="2"/>
  <c r="H1180" i="2"/>
  <c r="I1180" i="2" s="1"/>
  <c r="F1180" i="2"/>
  <c r="H1179" i="2"/>
  <c r="I1179" i="2" s="1"/>
  <c r="F1179" i="2"/>
  <c r="H1178" i="2"/>
  <c r="I1178" i="2" s="1"/>
  <c r="F1178" i="2"/>
  <c r="H1177" i="2"/>
  <c r="I1177" i="2" s="1"/>
  <c r="F1177" i="2"/>
  <c r="H1176" i="2"/>
  <c r="I1176" i="2" s="1"/>
  <c r="F1176" i="2"/>
  <c r="H1175" i="2"/>
  <c r="I1175" i="2" s="1"/>
  <c r="F1175" i="2"/>
  <c r="H1174" i="2"/>
  <c r="I1174" i="2" s="1"/>
  <c r="F1174" i="2"/>
  <c r="H1173" i="2"/>
  <c r="I1173" i="2" s="1"/>
  <c r="F1173" i="2"/>
  <c r="H1172" i="2"/>
  <c r="I1172" i="2" s="1"/>
  <c r="F1172" i="2"/>
  <c r="H1171" i="2"/>
  <c r="I1171" i="2" s="1"/>
  <c r="F1171" i="2"/>
  <c r="H1170" i="2"/>
  <c r="I1170" i="2" s="1"/>
  <c r="F1170" i="2"/>
  <c r="H1169" i="2"/>
  <c r="I1169" i="2" s="1"/>
  <c r="F1169" i="2"/>
  <c r="H1168" i="2"/>
  <c r="I1168" i="2" s="1"/>
  <c r="F1168" i="2"/>
  <c r="H1167" i="2"/>
  <c r="I1167" i="2" s="1"/>
  <c r="F1167" i="2"/>
  <c r="H1166" i="2"/>
  <c r="I1166" i="2" s="1"/>
  <c r="F1166" i="2"/>
  <c r="H1165" i="2"/>
  <c r="I1165" i="2" s="1"/>
  <c r="F1165" i="2"/>
  <c r="H1164" i="2"/>
  <c r="I1164" i="2" s="1"/>
  <c r="F1164" i="2"/>
  <c r="H1163" i="2"/>
  <c r="I1163" i="2" s="1"/>
  <c r="F1163" i="2"/>
  <c r="H1162" i="2"/>
  <c r="I1162" i="2" s="1"/>
  <c r="F1162" i="2"/>
  <c r="H1161" i="2"/>
  <c r="I1161" i="2" s="1"/>
  <c r="F1161" i="2"/>
  <c r="H1160" i="2"/>
  <c r="I1160" i="2" s="1"/>
  <c r="J1160" i="2" s="1"/>
  <c r="F1160" i="2"/>
  <c r="H1154" i="2"/>
  <c r="I1154" i="2" s="1"/>
  <c r="F1154" i="2"/>
  <c r="H1153" i="2"/>
  <c r="I1153" i="2" s="1"/>
  <c r="F1153" i="2"/>
  <c r="H1152" i="2"/>
  <c r="I1152" i="2" s="1"/>
  <c r="F1152" i="2"/>
  <c r="H1151" i="2"/>
  <c r="I1151" i="2" s="1"/>
  <c r="F1151" i="2"/>
  <c r="H1150" i="2"/>
  <c r="I1150" i="2" s="1"/>
  <c r="F1150" i="2"/>
  <c r="H1149" i="2"/>
  <c r="I1149" i="2" s="1"/>
  <c r="F1149" i="2"/>
  <c r="H1148" i="2"/>
  <c r="I1148" i="2" s="1"/>
  <c r="F1148" i="2"/>
  <c r="H1147" i="2"/>
  <c r="I1147" i="2" s="1"/>
  <c r="F1147" i="2"/>
  <c r="H1146" i="2"/>
  <c r="I1146" i="2" s="1"/>
  <c r="F1146" i="2"/>
  <c r="H1145" i="2"/>
  <c r="I1145" i="2" s="1"/>
  <c r="F1145" i="2"/>
  <c r="H1144" i="2"/>
  <c r="I1144" i="2" s="1"/>
  <c r="F1144" i="2"/>
  <c r="H1143" i="2"/>
  <c r="I1143" i="2" s="1"/>
  <c r="F1143" i="2"/>
  <c r="H1142" i="2"/>
  <c r="I1142" i="2" s="1"/>
  <c r="F1142" i="2"/>
  <c r="H1141" i="2"/>
  <c r="I1141" i="2" s="1"/>
  <c r="J1141" i="2" s="1"/>
  <c r="F1141" i="2"/>
  <c r="H1136" i="2"/>
  <c r="I1136" i="2" s="1"/>
  <c r="F1136" i="2"/>
  <c r="H1135" i="2"/>
  <c r="I1135" i="2" s="1"/>
  <c r="F1135" i="2"/>
  <c r="H1134" i="2"/>
  <c r="I1134" i="2" s="1"/>
  <c r="F1134" i="2"/>
  <c r="H1133" i="2"/>
  <c r="I1133" i="2" s="1"/>
  <c r="F1133" i="2"/>
  <c r="H1132" i="2"/>
  <c r="I1132" i="2" s="1"/>
  <c r="F1132" i="2"/>
  <c r="H1131" i="2"/>
  <c r="I1131" i="2" s="1"/>
  <c r="F1131" i="2"/>
  <c r="H1130" i="2"/>
  <c r="I1130" i="2" s="1"/>
  <c r="F1130" i="2"/>
  <c r="H1129" i="2"/>
  <c r="I1129" i="2" s="1"/>
  <c r="F1129" i="2"/>
  <c r="H1128" i="2"/>
  <c r="I1128" i="2" s="1"/>
  <c r="F1128" i="2"/>
  <c r="H1127" i="2"/>
  <c r="I1127" i="2" s="1"/>
  <c r="F1127" i="2"/>
  <c r="H1126" i="2"/>
  <c r="I1126" i="2" s="1"/>
  <c r="F1126" i="2"/>
  <c r="H1125" i="2"/>
  <c r="I1125" i="2" s="1"/>
  <c r="F1125" i="2"/>
  <c r="H1124" i="2"/>
  <c r="I1124" i="2" s="1"/>
  <c r="F1124" i="2"/>
  <c r="H1123" i="2"/>
  <c r="I1123" i="2" s="1"/>
  <c r="F1123" i="2"/>
  <c r="H1122" i="2"/>
  <c r="I1122" i="2" s="1"/>
  <c r="F1122" i="2"/>
  <c r="H1121" i="2"/>
  <c r="I1121" i="2" s="1"/>
  <c r="F1121" i="2"/>
  <c r="H1120" i="2"/>
  <c r="I1120" i="2" s="1"/>
  <c r="F1120" i="2"/>
  <c r="H1119" i="2"/>
  <c r="I1119" i="2" s="1"/>
  <c r="F1119" i="2"/>
  <c r="H1118" i="2"/>
  <c r="I1118" i="2" s="1"/>
  <c r="F1118" i="2"/>
  <c r="H1117" i="2"/>
  <c r="I1117" i="2" s="1"/>
  <c r="J1117" i="2" s="1"/>
  <c r="F1117" i="2"/>
  <c r="H1112" i="2"/>
  <c r="I1112" i="2" s="1"/>
  <c r="F1112" i="2"/>
  <c r="H1111" i="2"/>
  <c r="I1111" i="2" s="1"/>
  <c r="F1111" i="2"/>
  <c r="H1110" i="2"/>
  <c r="I1110" i="2" s="1"/>
  <c r="F1110" i="2"/>
  <c r="H1109" i="2"/>
  <c r="I1109" i="2" s="1"/>
  <c r="F1109" i="2"/>
  <c r="H1108" i="2"/>
  <c r="I1108" i="2" s="1"/>
  <c r="F1108" i="2"/>
  <c r="H1107" i="2"/>
  <c r="I1107" i="2" s="1"/>
  <c r="F1107" i="2"/>
  <c r="H1106" i="2"/>
  <c r="I1106" i="2" s="1"/>
  <c r="F1106" i="2"/>
  <c r="H1105" i="2"/>
  <c r="I1105" i="2" s="1"/>
  <c r="F1105" i="2"/>
  <c r="H1104" i="2"/>
  <c r="I1104" i="2" s="1"/>
  <c r="F1104" i="2"/>
  <c r="H1103" i="2"/>
  <c r="I1103" i="2" s="1"/>
  <c r="F1103" i="2"/>
  <c r="H1102" i="2"/>
  <c r="I1102" i="2" s="1"/>
  <c r="F1102" i="2"/>
  <c r="H1101" i="2"/>
  <c r="I1101" i="2" s="1"/>
  <c r="F1101" i="2"/>
  <c r="H1100" i="2"/>
  <c r="I1100" i="2" s="1"/>
  <c r="F1100" i="2"/>
  <c r="H1099" i="2"/>
  <c r="I1099" i="2" s="1"/>
  <c r="F1099" i="2"/>
  <c r="H1098" i="2"/>
  <c r="I1098" i="2" s="1"/>
  <c r="F1098" i="2"/>
  <c r="H1097" i="2"/>
  <c r="I1097" i="2" s="1"/>
  <c r="J1097" i="2" s="1"/>
  <c r="F1097" i="2"/>
  <c r="H1092" i="2"/>
  <c r="I1092" i="2" s="1"/>
  <c r="F1092" i="2"/>
  <c r="H1091" i="2"/>
  <c r="I1091" i="2" s="1"/>
  <c r="F1091" i="2"/>
  <c r="H1090" i="2"/>
  <c r="I1090" i="2" s="1"/>
  <c r="F1090" i="2"/>
  <c r="H1089" i="2"/>
  <c r="I1089" i="2" s="1"/>
  <c r="F1089" i="2"/>
  <c r="H1088" i="2"/>
  <c r="I1088" i="2" s="1"/>
  <c r="F1088" i="2"/>
  <c r="H1087" i="2"/>
  <c r="I1087" i="2" s="1"/>
  <c r="F1087" i="2"/>
  <c r="H1086" i="2"/>
  <c r="I1086" i="2" s="1"/>
  <c r="F1086" i="2"/>
  <c r="H1085" i="2"/>
  <c r="I1085" i="2" s="1"/>
  <c r="F1085" i="2"/>
  <c r="H1084" i="2"/>
  <c r="I1084" i="2" s="1"/>
  <c r="J1084" i="2" s="1"/>
  <c r="F1084" i="2"/>
  <c r="H1078" i="2"/>
  <c r="I1078" i="2" s="1"/>
  <c r="F1078" i="2"/>
  <c r="H1077" i="2"/>
  <c r="I1077" i="2" s="1"/>
  <c r="F1077" i="2"/>
  <c r="H1076" i="2"/>
  <c r="I1076" i="2" s="1"/>
  <c r="F1076" i="2"/>
  <c r="H1075" i="2"/>
  <c r="I1075" i="2" s="1"/>
  <c r="F1075" i="2"/>
  <c r="H1074" i="2"/>
  <c r="I1074" i="2" s="1"/>
  <c r="F1074" i="2"/>
  <c r="H1073" i="2"/>
  <c r="I1073" i="2" s="1"/>
  <c r="F1073" i="2"/>
  <c r="H1072" i="2"/>
  <c r="I1072" i="2" s="1"/>
  <c r="F1072" i="2"/>
  <c r="H1071" i="2"/>
  <c r="I1071" i="2" s="1"/>
  <c r="J1071" i="2" s="1"/>
  <c r="F1071" i="2"/>
  <c r="H1066" i="2"/>
  <c r="I1066" i="2" s="1"/>
  <c r="F1066" i="2"/>
  <c r="H1065" i="2"/>
  <c r="I1065" i="2" s="1"/>
  <c r="F1065" i="2"/>
  <c r="H1064" i="2"/>
  <c r="I1064" i="2" s="1"/>
  <c r="F1064" i="2"/>
  <c r="H1063" i="2"/>
  <c r="I1063" i="2" s="1"/>
  <c r="F1063" i="2"/>
  <c r="H1062" i="2"/>
  <c r="I1062" i="2" s="1"/>
  <c r="F1062" i="2"/>
  <c r="H1061" i="2"/>
  <c r="I1061" i="2" s="1"/>
  <c r="F1061" i="2"/>
  <c r="H1060" i="2"/>
  <c r="I1060" i="2" s="1"/>
  <c r="F1060" i="2"/>
  <c r="H1059" i="2"/>
  <c r="I1059" i="2" s="1"/>
  <c r="F1059" i="2"/>
  <c r="H1058" i="2"/>
  <c r="I1058" i="2" s="1"/>
  <c r="J1058" i="2" s="1"/>
  <c r="F1058" i="2"/>
  <c r="H1053" i="2"/>
  <c r="I1053" i="2" s="1"/>
  <c r="F1053" i="2"/>
  <c r="H1052" i="2"/>
  <c r="I1052" i="2" s="1"/>
  <c r="F1052" i="2"/>
  <c r="H1051" i="2"/>
  <c r="I1051" i="2" s="1"/>
  <c r="F1051" i="2"/>
  <c r="H1050" i="2"/>
  <c r="I1050" i="2" s="1"/>
  <c r="F1050" i="2"/>
  <c r="H1049" i="2"/>
  <c r="I1049" i="2" s="1"/>
  <c r="F1049" i="2"/>
  <c r="H1048" i="2"/>
  <c r="I1048" i="2" s="1"/>
  <c r="F1048" i="2"/>
  <c r="H1047" i="2"/>
  <c r="I1047" i="2" s="1"/>
  <c r="F1047" i="2"/>
  <c r="H1046" i="2"/>
  <c r="I1046" i="2" s="1"/>
  <c r="F1046" i="2"/>
  <c r="H1045" i="2"/>
  <c r="I1045" i="2" s="1"/>
  <c r="F1045" i="2"/>
  <c r="H1044" i="2"/>
  <c r="I1044" i="2" s="1"/>
  <c r="F1044" i="2"/>
  <c r="H1043" i="2"/>
  <c r="I1043" i="2" s="1"/>
  <c r="F1043" i="2"/>
  <c r="H1042" i="2"/>
  <c r="I1042" i="2" s="1"/>
  <c r="F1042" i="2"/>
  <c r="H1041" i="2"/>
  <c r="I1041" i="2" s="1"/>
  <c r="J1041" i="2" s="1"/>
  <c r="F1041" i="2"/>
  <c r="H1040" i="2"/>
  <c r="I1040" i="2" s="1"/>
  <c r="F1040" i="2"/>
  <c r="H1036" i="2"/>
  <c r="F1036" i="2"/>
  <c r="I1036" i="2" s="1"/>
  <c r="H1035" i="2"/>
  <c r="F1035" i="2"/>
  <c r="I1035" i="2" s="1"/>
  <c r="H1034" i="2"/>
  <c r="F1034" i="2"/>
  <c r="I1034" i="2" s="1"/>
  <c r="H1033" i="2"/>
  <c r="F1033" i="2"/>
  <c r="I1033" i="2" s="1"/>
  <c r="H1032" i="2"/>
  <c r="F1032" i="2"/>
  <c r="I1032" i="2" s="1"/>
  <c r="H1031" i="2"/>
  <c r="F1031" i="2"/>
  <c r="I1031" i="2" s="1"/>
  <c r="H1030" i="2"/>
  <c r="F1030" i="2"/>
  <c r="I1030" i="2" s="1"/>
  <c r="H1029" i="2"/>
  <c r="F1029" i="2"/>
  <c r="I1029" i="2" s="1"/>
  <c r="H1028" i="2"/>
  <c r="F1028" i="2"/>
  <c r="I1028" i="2" s="1"/>
  <c r="J1028" i="2" s="1"/>
  <c r="H1024" i="2"/>
  <c r="I1024" i="2" s="1"/>
  <c r="F1024" i="2"/>
  <c r="H1023" i="2"/>
  <c r="I1023" i="2" s="1"/>
  <c r="F1023" i="2"/>
  <c r="H1022" i="2"/>
  <c r="I1022" i="2" s="1"/>
  <c r="F1022" i="2"/>
  <c r="H1021" i="2"/>
  <c r="I1021" i="2" s="1"/>
  <c r="F1021" i="2"/>
  <c r="H1020" i="2"/>
  <c r="I1020" i="2" s="1"/>
  <c r="F1020" i="2"/>
  <c r="H1019" i="2"/>
  <c r="I1019" i="2" s="1"/>
  <c r="F1019" i="2"/>
  <c r="H1018" i="2"/>
  <c r="I1018" i="2" s="1"/>
  <c r="F1018" i="2"/>
  <c r="H1017" i="2"/>
  <c r="I1017" i="2" s="1"/>
  <c r="F1017" i="2"/>
  <c r="H1016" i="2"/>
  <c r="I1016" i="2" s="1"/>
  <c r="J1016" i="2" s="1"/>
  <c r="F1016" i="2"/>
  <c r="H1011" i="2"/>
  <c r="I1011" i="2" s="1"/>
  <c r="F1011" i="2"/>
  <c r="H1010" i="2"/>
  <c r="I1010" i="2" s="1"/>
  <c r="F1010" i="2"/>
  <c r="H1009" i="2"/>
  <c r="I1009" i="2" s="1"/>
  <c r="F1009" i="2"/>
  <c r="H1008" i="2"/>
  <c r="I1008" i="2" s="1"/>
  <c r="F1008" i="2"/>
  <c r="H1007" i="2"/>
  <c r="I1007" i="2" s="1"/>
  <c r="F1007" i="2"/>
  <c r="H1006" i="2"/>
  <c r="I1006" i="2" s="1"/>
  <c r="F1006" i="2"/>
  <c r="H1005" i="2"/>
  <c r="I1005" i="2" s="1"/>
  <c r="F1005" i="2"/>
  <c r="H1004" i="2"/>
  <c r="I1004" i="2" s="1"/>
  <c r="F1004" i="2"/>
  <c r="H1003" i="2"/>
  <c r="I1003" i="2" s="1"/>
  <c r="J1003" i="2" s="1"/>
  <c r="F1003" i="2"/>
  <c r="H998" i="2"/>
  <c r="I998" i="2" s="1"/>
  <c r="F998" i="2"/>
  <c r="H997" i="2"/>
  <c r="I997" i="2" s="1"/>
  <c r="F997" i="2"/>
  <c r="H996" i="2"/>
  <c r="I996" i="2" s="1"/>
  <c r="F996" i="2"/>
  <c r="H995" i="2"/>
  <c r="I995" i="2" s="1"/>
  <c r="F995" i="2"/>
  <c r="H994" i="2"/>
  <c r="I994" i="2" s="1"/>
  <c r="F994" i="2"/>
  <c r="H993" i="2"/>
  <c r="I993" i="2" s="1"/>
  <c r="F993" i="2"/>
  <c r="H992" i="2"/>
  <c r="I992" i="2" s="1"/>
  <c r="F992" i="2"/>
  <c r="H991" i="2"/>
  <c r="I991" i="2" s="1"/>
  <c r="F991" i="2"/>
  <c r="H990" i="2"/>
  <c r="I990" i="2" s="1"/>
  <c r="J990" i="2" s="1"/>
  <c r="F990" i="2"/>
  <c r="H985" i="2"/>
  <c r="I985" i="2" s="1"/>
  <c r="F985" i="2"/>
  <c r="H984" i="2"/>
  <c r="I984" i="2" s="1"/>
  <c r="F984" i="2"/>
  <c r="H983" i="2"/>
  <c r="I983" i="2" s="1"/>
  <c r="F983" i="2"/>
  <c r="H982" i="2"/>
  <c r="I982" i="2" s="1"/>
  <c r="F982" i="2"/>
  <c r="H981" i="2"/>
  <c r="I981" i="2" s="1"/>
  <c r="F981" i="2"/>
  <c r="H980" i="2"/>
  <c r="I980" i="2" s="1"/>
  <c r="F980" i="2"/>
  <c r="H979" i="2"/>
  <c r="I979" i="2" s="1"/>
  <c r="F979" i="2"/>
  <c r="H978" i="2"/>
  <c r="I978" i="2" s="1"/>
  <c r="F978" i="2"/>
  <c r="H977" i="2"/>
  <c r="I977" i="2" s="1"/>
  <c r="J977" i="2" s="1"/>
  <c r="F977" i="2"/>
  <c r="H972" i="2"/>
  <c r="I972" i="2" s="1"/>
  <c r="F972" i="2"/>
  <c r="H971" i="2"/>
  <c r="I971" i="2" s="1"/>
  <c r="F971" i="2"/>
  <c r="H970" i="2"/>
  <c r="I970" i="2" s="1"/>
  <c r="F970" i="2"/>
  <c r="H969" i="2"/>
  <c r="I969" i="2" s="1"/>
  <c r="F969" i="2"/>
  <c r="H968" i="2"/>
  <c r="I968" i="2" s="1"/>
  <c r="F968" i="2"/>
  <c r="H967" i="2"/>
  <c r="I967" i="2" s="1"/>
  <c r="F967" i="2"/>
  <c r="H966" i="2"/>
  <c r="I966" i="2" s="1"/>
  <c r="F966" i="2"/>
  <c r="H965" i="2"/>
  <c r="I965" i="2" s="1"/>
  <c r="F965" i="2"/>
  <c r="H964" i="2"/>
  <c r="I964" i="2" s="1"/>
  <c r="F964" i="2"/>
  <c r="H963" i="2"/>
  <c r="I963" i="2" s="1"/>
  <c r="J963" i="2" s="1"/>
  <c r="F963" i="2"/>
  <c r="H958" i="2"/>
  <c r="I958" i="2" s="1"/>
  <c r="F958" i="2"/>
  <c r="H957" i="2"/>
  <c r="I957" i="2" s="1"/>
  <c r="F957" i="2"/>
  <c r="H956" i="2"/>
  <c r="I956" i="2" s="1"/>
  <c r="F956" i="2"/>
  <c r="H955" i="2"/>
  <c r="I955" i="2" s="1"/>
  <c r="F955" i="2"/>
  <c r="H954" i="2"/>
  <c r="I954" i="2" s="1"/>
  <c r="J954" i="2" s="1"/>
  <c r="F954" i="2"/>
  <c r="H949" i="2"/>
  <c r="I949" i="2" s="1"/>
  <c r="F949" i="2"/>
  <c r="H948" i="2"/>
  <c r="I948" i="2" s="1"/>
  <c r="F948" i="2"/>
  <c r="H947" i="2"/>
  <c r="I947" i="2" s="1"/>
  <c r="F947" i="2"/>
  <c r="H946" i="2"/>
  <c r="I946" i="2" s="1"/>
  <c r="F946" i="2"/>
  <c r="H945" i="2"/>
  <c r="I945" i="2" s="1"/>
  <c r="J945" i="2" s="1"/>
  <c r="F945" i="2"/>
  <c r="H940" i="2"/>
  <c r="I940" i="2" s="1"/>
  <c r="F940" i="2"/>
  <c r="H939" i="2"/>
  <c r="I939" i="2" s="1"/>
  <c r="F939" i="2"/>
  <c r="H938" i="2"/>
  <c r="I938" i="2" s="1"/>
  <c r="F938" i="2"/>
  <c r="H937" i="2"/>
  <c r="I937" i="2" s="1"/>
  <c r="F937" i="2"/>
  <c r="H936" i="2"/>
  <c r="I936" i="2" s="1"/>
  <c r="J936" i="2" s="1"/>
  <c r="F936" i="2"/>
  <c r="H930" i="2"/>
  <c r="I930" i="2" s="1"/>
  <c r="F930" i="2"/>
  <c r="H929" i="2"/>
  <c r="I929" i="2" s="1"/>
  <c r="F929" i="2"/>
  <c r="H928" i="2"/>
  <c r="I928" i="2" s="1"/>
  <c r="F928" i="2"/>
  <c r="H927" i="2"/>
  <c r="I927" i="2" s="1"/>
  <c r="F927" i="2"/>
  <c r="H926" i="2"/>
  <c r="I926" i="2" s="1"/>
  <c r="F926" i="2"/>
  <c r="H925" i="2"/>
  <c r="I925" i="2" s="1"/>
  <c r="F925" i="2"/>
  <c r="H924" i="2"/>
  <c r="I924" i="2" s="1"/>
  <c r="F924" i="2"/>
  <c r="H923" i="2"/>
  <c r="I923" i="2" s="1"/>
  <c r="F923" i="2"/>
  <c r="H922" i="2"/>
  <c r="I922" i="2" s="1"/>
  <c r="F922" i="2"/>
  <c r="H921" i="2"/>
  <c r="I921" i="2" s="1"/>
  <c r="F921" i="2"/>
  <c r="H920" i="2"/>
  <c r="I920" i="2" s="1"/>
  <c r="F920" i="2"/>
  <c r="H919" i="2"/>
  <c r="I919" i="2" s="1"/>
  <c r="F919" i="2"/>
  <c r="H918" i="2"/>
  <c r="I918" i="2" s="1"/>
  <c r="F918" i="2"/>
  <c r="H917" i="2"/>
  <c r="I917" i="2" s="1"/>
  <c r="F917" i="2"/>
  <c r="H916" i="2"/>
  <c r="I916" i="2" s="1"/>
  <c r="F916" i="2"/>
  <c r="H915" i="2"/>
  <c r="I915" i="2" s="1"/>
  <c r="F915" i="2"/>
  <c r="H914" i="2"/>
  <c r="I914" i="2" s="1"/>
  <c r="F914" i="2"/>
  <c r="H913" i="2"/>
  <c r="I913" i="2" s="1"/>
  <c r="F913" i="2"/>
  <c r="H912" i="2"/>
  <c r="I912" i="2" s="1"/>
  <c r="F912" i="2"/>
  <c r="H911" i="2"/>
  <c r="I911" i="2" s="1"/>
  <c r="F911" i="2"/>
  <c r="H910" i="2"/>
  <c r="I910" i="2" s="1"/>
  <c r="F910" i="2"/>
  <c r="H909" i="2"/>
  <c r="I909" i="2" s="1"/>
  <c r="F909" i="2"/>
  <c r="H908" i="2"/>
  <c r="I908" i="2" s="1"/>
  <c r="F908" i="2"/>
  <c r="H907" i="2"/>
  <c r="I907" i="2" s="1"/>
  <c r="F907" i="2"/>
  <c r="H906" i="2"/>
  <c r="I906" i="2" s="1"/>
  <c r="F906" i="2"/>
  <c r="H905" i="2"/>
  <c r="I905" i="2" s="1"/>
  <c r="F905" i="2"/>
  <c r="H904" i="2"/>
  <c r="I904" i="2" s="1"/>
  <c r="F904" i="2"/>
  <c r="H903" i="2"/>
  <c r="I903" i="2" s="1"/>
  <c r="F903" i="2"/>
  <c r="H902" i="2"/>
  <c r="I902" i="2" s="1"/>
  <c r="F902" i="2"/>
  <c r="H901" i="2"/>
  <c r="I901" i="2" s="1"/>
  <c r="F901" i="2"/>
  <c r="H900" i="2"/>
  <c r="I900" i="2" s="1"/>
  <c r="F900" i="2"/>
  <c r="H899" i="2"/>
  <c r="I899" i="2" s="1"/>
  <c r="J899" i="2" s="1"/>
  <c r="F899" i="2"/>
  <c r="H894" i="2"/>
  <c r="I894" i="2" s="1"/>
  <c r="F894" i="2"/>
  <c r="H893" i="2"/>
  <c r="I893" i="2" s="1"/>
  <c r="J893" i="2" s="1"/>
  <c r="F893" i="2"/>
  <c r="H887" i="2"/>
  <c r="I887" i="2" s="1"/>
  <c r="F887" i="2"/>
  <c r="H886" i="2"/>
  <c r="I886" i="2" s="1"/>
  <c r="J886" i="2" s="1"/>
  <c r="F886" i="2"/>
  <c r="H880" i="2"/>
  <c r="I880" i="2" s="1"/>
  <c r="F880" i="2"/>
  <c r="H879" i="2"/>
  <c r="I879" i="2" s="1"/>
  <c r="F879" i="2"/>
  <c r="H878" i="2"/>
  <c r="I878" i="2" s="1"/>
  <c r="F878" i="2"/>
  <c r="H877" i="2"/>
  <c r="I877" i="2" s="1"/>
  <c r="F877" i="2"/>
  <c r="H876" i="2"/>
  <c r="I876" i="2" s="1"/>
  <c r="J876" i="2" s="1"/>
  <c r="F876" i="2"/>
  <c r="H871" i="2"/>
  <c r="I871" i="2" s="1"/>
  <c r="F871" i="2"/>
  <c r="H870" i="2"/>
  <c r="I870" i="2" s="1"/>
  <c r="F870" i="2"/>
  <c r="H869" i="2"/>
  <c r="I869" i="2" s="1"/>
  <c r="F869" i="2"/>
  <c r="H868" i="2"/>
  <c r="I868" i="2" s="1"/>
  <c r="F868" i="2"/>
  <c r="H867" i="2"/>
  <c r="I867" i="2" s="1"/>
  <c r="F867" i="2"/>
  <c r="H866" i="2"/>
  <c r="I866" i="2" s="1"/>
  <c r="J866" i="2" s="1"/>
  <c r="F866" i="2"/>
  <c r="H862" i="2"/>
  <c r="I862" i="2" s="1"/>
  <c r="F862" i="2"/>
  <c r="H861" i="2"/>
  <c r="I861" i="2" s="1"/>
  <c r="F861" i="2"/>
  <c r="H860" i="2"/>
  <c r="I860" i="2" s="1"/>
  <c r="F860" i="2"/>
  <c r="H859" i="2"/>
  <c r="I859" i="2" s="1"/>
  <c r="F859" i="2"/>
  <c r="H858" i="2"/>
  <c r="I858" i="2" s="1"/>
  <c r="F858" i="2"/>
  <c r="H857" i="2"/>
  <c r="I857" i="2" s="1"/>
  <c r="F857" i="2"/>
  <c r="H856" i="2"/>
  <c r="I856" i="2" s="1"/>
  <c r="F856" i="2"/>
  <c r="H855" i="2"/>
  <c r="I855" i="2" s="1"/>
  <c r="F855" i="2"/>
  <c r="H854" i="2"/>
  <c r="I854" i="2" s="1"/>
  <c r="J854" i="2" s="1"/>
  <c r="F854" i="2"/>
  <c r="H850" i="2"/>
  <c r="I850" i="2" s="1"/>
  <c r="F850" i="2"/>
  <c r="H849" i="2"/>
  <c r="I849" i="2" s="1"/>
  <c r="F849" i="2"/>
  <c r="H848" i="2"/>
  <c r="I848" i="2" s="1"/>
  <c r="F848" i="2"/>
  <c r="H847" i="2"/>
  <c r="I847" i="2" s="1"/>
  <c r="F847" i="2"/>
  <c r="H846" i="2"/>
  <c r="I846" i="2" s="1"/>
  <c r="F846" i="2"/>
  <c r="H845" i="2"/>
  <c r="I845" i="2" s="1"/>
  <c r="F845" i="2"/>
  <c r="H844" i="2"/>
  <c r="I844" i="2" s="1"/>
  <c r="F844" i="2"/>
  <c r="H843" i="2"/>
  <c r="I843" i="2" s="1"/>
  <c r="F843" i="2"/>
  <c r="H842" i="2"/>
  <c r="I842" i="2" s="1"/>
  <c r="F842" i="2"/>
  <c r="H841" i="2"/>
  <c r="I841" i="2" s="1"/>
  <c r="F841" i="2"/>
  <c r="H840" i="2"/>
  <c r="I840" i="2" s="1"/>
  <c r="J840" i="2" s="1"/>
  <c r="F840" i="2"/>
  <c r="H835" i="2"/>
  <c r="I835" i="2" s="1"/>
  <c r="F835" i="2"/>
  <c r="H834" i="2"/>
  <c r="I834" i="2" s="1"/>
  <c r="J834" i="2" s="1"/>
  <c r="F834" i="2"/>
  <c r="H829" i="2"/>
  <c r="I829" i="2" s="1"/>
  <c r="F829" i="2"/>
  <c r="H828" i="2"/>
  <c r="I828" i="2" s="1"/>
  <c r="J828" i="2" s="1"/>
  <c r="F828" i="2"/>
  <c r="H824" i="2"/>
  <c r="I824" i="2" s="1"/>
  <c r="F824" i="2"/>
  <c r="H823" i="2"/>
  <c r="I823" i="2" s="1"/>
  <c r="F823" i="2"/>
  <c r="H822" i="2"/>
  <c r="I822" i="2" s="1"/>
  <c r="J822" i="2" s="1"/>
  <c r="F822" i="2"/>
  <c r="H809" i="2"/>
  <c r="I809" i="2" s="1"/>
  <c r="F809" i="2"/>
  <c r="H808" i="2"/>
  <c r="I808" i="2" s="1"/>
  <c r="J808" i="2" s="1"/>
  <c r="F808" i="2"/>
  <c r="H795" i="2"/>
  <c r="I795" i="2" s="1"/>
  <c r="F795" i="2"/>
  <c r="H794" i="2"/>
  <c r="I794" i="2" s="1"/>
  <c r="J794" i="2" s="1"/>
  <c r="F794" i="2"/>
  <c r="H789" i="2"/>
  <c r="I789" i="2" s="1"/>
  <c r="F789" i="2"/>
  <c r="H788" i="2"/>
  <c r="I788" i="2" s="1"/>
  <c r="F788" i="2"/>
  <c r="H787" i="2"/>
  <c r="I787" i="2" s="1"/>
  <c r="F787" i="2"/>
  <c r="H786" i="2"/>
  <c r="I786" i="2" s="1"/>
  <c r="F786" i="2"/>
  <c r="H785" i="2"/>
  <c r="I785" i="2" s="1"/>
  <c r="F785" i="2"/>
  <c r="H784" i="2"/>
  <c r="I784" i="2" s="1"/>
  <c r="F784" i="2"/>
  <c r="H783" i="2"/>
  <c r="I783" i="2" s="1"/>
  <c r="F783" i="2"/>
  <c r="H782" i="2"/>
  <c r="I782" i="2" s="1"/>
  <c r="F782" i="2"/>
  <c r="H781" i="2"/>
  <c r="I781" i="2" s="1"/>
  <c r="J781" i="2" s="1"/>
  <c r="F781" i="2"/>
  <c r="H775" i="2"/>
  <c r="I775" i="2" s="1"/>
  <c r="F775" i="2"/>
  <c r="H774" i="2"/>
  <c r="I774" i="2" s="1"/>
  <c r="F774" i="2"/>
  <c r="H773" i="2"/>
  <c r="I773" i="2" s="1"/>
  <c r="F773" i="2"/>
  <c r="H772" i="2"/>
  <c r="I772" i="2" s="1"/>
  <c r="F772" i="2"/>
  <c r="H771" i="2"/>
  <c r="I771" i="2" s="1"/>
  <c r="F771" i="2"/>
  <c r="H770" i="2"/>
  <c r="I770" i="2" s="1"/>
  <c r="F770" i="2"/>
  <c r="H769" i="2"/>
  <c r="I769" i="2" s="1"/>
  <c r="F769" i="2"/>
  <c r="H768" i="2"/>
  <c r="I768" i="2" s="1"/>
  <c r="F768" i="2"/>
  <c r="H767" i="2"/>
  <c r="I767" i="2" s="1"/>
  <c r="J767" i="2" s="1"/>
  <c r="F767" i="2"/>
  <c r="H762" i="2"/>
  <c r="I762" i="2" s="1"/>
  <c r="F762" i="2"/>
  <c r="H761" i="2"/>
  <c r="I761" i="2" s="1"/>
  <c r="F761" i="2"/>
  <c r="H760" i="2"/>
  <c r="I760" i="2" s="1"/>
  <c r="F760" i="2"/>
  <c r="H759" i="2"/>
  <c r="I759" i="2" s="1"/>
  <c r="F759" i="2"/>
  <c r="H758" i="2"/>
  <c r="I758" i="2" s="1"/>
  <c r="F758" i="2"/>
  <c r="H757" i="2"/>
  <c r="I757" i="2" s="1"/>
  <c r="F757" i="2"/>
  <c r="H756" i="2"/>
  <c r="I756" i="2" s="1"/>
  <c r="F756" i="2"/>
  <c r="H755" i="2"/>
  <c r="I755" i="2" s="1"/>
  <c r="F755" i="2"/>
  <c r="H754" i="2"/>
  <c r="I754" i="2" s="1"/>
  <c r="F754" i="2"/>
  <c r="H753" i="2"/>
  <c r="I753" i="2" s="1"/>
  <c r="F753" i="2"/>
  <c r="H752" i="2"/>
  <c r="I752" i="2" s="1"/>
  <c r="F752" i="2"/>
  <c r="H751" i="2"/>
  <c r="I751" i="2" s="1"/>
  <c r="F751" i="2"/>
  <c r="H750" i="2"/>
  <c r="I750" i="2" s="1"/>
  <c r="F750" i="2"/>
  <c r="H749" i="2"/>
  <c r="I749" i="2" s="1"/>
  <c r="F749" i="2"/>
  <c r="H748" i="2"/>
  <c r="I748" i="2" s="1"/>
  <c r="F748" i="2"/>
  <c r="H747" i="2"/>
  <c r="I747" i="2" s="1"/>
  <c r="F747" i="2"/>
  <c r="H746" i="2"/>
  <c r="I746" i="2" s="1"/>
  <c r="F746" i="2"/>
  <c r="H745" i="2"/>
  <c r="I745" i="2" s="1"/>
  <c r="F745" i="2"/>
  <c r="H744" i="2"/>
  <c r="I744" i="2" s="1"/>
  <c r="F744" i="2"/>
  <c r="H743" i="2"/>
  <c r="I743" i="2" s="1"/>
  <c r="F743" i="2"/>
  <c r="H742" i="2"/>
  <c r="I742" i="2" s="1"/>
  <c r="F742" i="2"/>
  <c r="H741" i="2"/>
  <c r="I741" i="2" s="1"/>
  <c r="F741" i="2"/>
  <c r="H740" i="2"/>
  <c r="I740" i="2" s="1"/>
  <c r="F740" i="2"/>
  <c r="H739" i="2"/>
  <c r="I739" i="2" s="1"/>
  <c r="F739" i="2"/>
  <c r="H738" i="2"/>
  <c r="I738" i="2" s="1"/>
  <c r="F738" i="2"/>
  <c r="H737" i="2"/>
  <c r="I737" i="2" s="1"/>
  <c r="F737" i="2"/>
  <c r="H736" i="2"/>
  <c r="I736" i="2" s="1"/>
  <c r="F736" i="2"/>
  <c r="H735" i="2"/>
  <c r="I735" i="2" s="1"/>
  <c r="F735" i="2"/>
  <c r="H734" i="2"/>
  <c r="I734" i="2" s="1"/>
  <c r="F734" i="2"/>
  <c r="H733" i="2"/>
  <c r="I733" i="2" s="1"/>
  <c r="F733" i="2"/>
  <c r="H732" i="2"/>
  <c r="I732" i="2" s="1"/>
  <c r="F732" i="2"/>
  <c r="H731" i="2"/>
  <c r="I731" i="2" s="1"/>
  <c r="F731" i="2"/>
  <c r="H730" i="2"/>
  <c r="I730" i="2" s="1"/>
  <c r="F730" i="2"/>
  <c r="H729" i="2"/>
  <c r="I729" i="2" s="1"/>
  <c r="J729" i="2" s="1"/>
  <c r="F729" i="2"/>
  <c r="H723" i="2"/>
  <c r="I723" i="2" s="1"/>
  <c r="F723" i="2"/>
  <c r="H722" i="2"/>
  <c r="I722" i="2" s="1"/>
  <c r="F722" i="2"/>
  <c r="H721" i="2"/>
  <c r="I721" i="2" s="1"/>
  <c r="F721" i="2"/>
  <c r="H720" i="2"/>
  <c r="I720" i="2" s="1"/>
  <c r="F720" i="2"/>
  <c r="H719" i="2"/>
  <c r="I719" i="2" s="1"/>
  <c r="F719" i="2"/>
  <c r="H718" i="2"/>
  <c r="I718" i="2" s="1"/>
  <c r="F718" i="2"/>
  <c r="H717" i="2"/>
  <c r="I717" i="2" s="1"/>
  <c r="F717" i="2"/>
  <c r="H716" i="2"/>
  <c r="I716" i="2" s="1"/>
  <c r="F716" i="2"/>
  <c r="H715" i="2"/>
  <c r="I715" i="2" s="1"/>
  <c r="J715" i="2" s="1"/>
  <c r="F715" i="2"/>
  <c r="H710" i="2"/>
  <c r="I710" i="2" s="1"/>
  <c r="F710" i="2"/>
  <c r="H709" i="2"/>
  <c r="I709" i="2" s="1"/>
  <c r="F709" i="2"/>
  <c r="H708" i="2"/>
  <c r="I708" i="2" s="1"/>
  <c r="F708" i="2"/>
  <c r="H707" i="2"/>
  <c r="I707" i="2" s="1"/>
  <c r="F707" i="2"/>
  <c r="H706" i="2"/>
  <c r="I706" i="2" s="1"/>
  <c r="F706" i="2"/>
  <c r="H705" i="2"/>
  <c r="I705" i="2" s="1"/>
  <c r="F705" i="2"/>
  <c r="H704" i="2"/>
  <c r="I704" i="2" s="1"/>
  <c r="F704" i="2"/>
  <c r="H703" i="2"/>
  <c r="I703" i="2" s="1"/>
  <c r="F703" i="2"/>
  <c r="H702" i="2"/>
  <c r="I702" i="2" s="1"/>
  <c r="F702" i="2"/>
  <c r="H701" i="2"/>
  <c r="I701" i="2" s="1"/>
  <c r="F701" i="2"/>
  <c r="H700" i="2"/>
  <c r="I700" i="2" s="1"/>
  <c r="F700" i="2"/>
  <c r="H699" i="2"/>
  <c r="I699" i="2" s="1"/>
  <c r="F699" i="2"/>
  <c r="H698" i="2"/>
  <c r="I698" i="2" s="1"/>
  <c r="J698" i="2" s="1"/>
  <c r="F698" i="2"/>
  <c r="H693" i="2"/>
  <c r="I693" i="2" s="1"/>
  <c r="F693" i="2"/>
  <c r="H692" i="2"/>
  <c r="I692" i="2" s="1"/>
  <c r="F692" i="2"/>
  <c r="H691" i="2"/>
  <c r="I691" i="2" s="1"/>
  <c r="F691" i="2"/>
  <c r="H690" i="2"/>
  <c r="I690" i="2" s="1"/>
  <c r="F690" i="2"/>
  <c r="H689" i="2"/>
  <c r="I689" i="2" s="1"/>
  <c r="J689" i="2" s="1"/>
  <c r="F689" i="2"/>
  <c r="H684" i="2"/>
  <c r="I684" i="2" s="1"/>
  <c r="F684" i="2"/>
  <c r="H683" i="2"/>
  <c r="I683" i="2" s="1"/>
  <c r="J683" i="2" s="1"/>
  <c r="F683" i="2"/>
  <c r="H679" i="2"/>
  <c r="I679" i="2" s="1"/>
  <c r="F679" i="2"/>
  <c r="H678" i="2"/>
  <c r="I678" i="2" s="1"/>
  <c r="F678" i="2"/>
  <c r="H677" i="2"/>
  <c r="I677" i="2" s="1"/>
  <c r="F677" i="2"/>
  <c r="H676" i="2"/>
  <c r="I676" i="2" s="1"/>
  <c r="J676" i="2" s="1"/>
  <c r="F676" i="2"/>
  <c r="H671" i="2"/>
  <c r="I671" i="2" s="1"/>
  <c r="F671" i="2"/>
  <c r="H670" i="2"/>
  <c r="I670" i="2" s="1"/>
  <c r="F670" i="2"/>
  <c r="H669" i="2"/>
  <c r="I669" i="2" s="1"/>
  <c r="F669" i="2"/>
  <c r="H668" i="2"/>
  <c r="I668" i="2" s="1"/>
  <c r="F668" i="2"/>
  <c r="H667" i="2"/>
  <c r="I667" i="2" s="1"/>
  <c r="F667" i="2"/>
  <c r="H666" i="2"/>
  <c r="I666" i="2" s="1"/>
  <c r="F666" i="2"/>
  <c r="H665" i="2"/>
  <c r="I665" i="2" s="1"/>
  <c r="F665" i="2"/>
  <c r="H664" i="2"/>
  <c r="I664" i="2" s="1"/>
  <c r="F664" i="2"/>
  <c r="H663" i="2"/>
  <c r="I663" i="2" s="1"/>
  <c r="J663" i="2" s="1"/>
  <c r="F663" i="2"/>
  <c r="H656" i="2"/>
  <c r="I656" i="2" s="1"/>
  <c r="F656" i="2"/>
  <c r="H655" i="2"/>
  <c r="I655" i="2" s="1"/>
  <c r="F655" i="2"/>
  <c r="H654" i="2"/>
  <c r="I654" i="2" s="1"/>
  <c r="F654" i="2"/>
  <c r="H653" i="2"/>
  <c r="I653" i="2" s="1"/>
  <c r="F653" i="2"/>
  <c r="H652" i="2"/>
  <c r="I652" i="2" s="1"/>
  <c r="F652" i="2"/>
  <c r="H651" i="2"/>
  <c r="I651" i="2" s="1"/>
  <c r="F651" i="2"/>
  <c r="H650" i="2"/>
  <c r="I650" i="2" s="1"/>
  <c r="F650" i="2"/>
  <c r="H649" i="2"/>
  <c r="I649" i="2" s="1"/>
  <c r="F649" i="2"/>
  <c r="H648" i="2"/>
  <c r="I648" i="2" s="1"/>
  <c r="F648" i="2"/>
  <c r="H647" i="2"/>
  <c r="I647" i="2" s="1"/>
  <c r="F647" i="2"/>
  <c r="H646" i="2"/>
  <c r="I646" i="2" s="1"/>
  <c r="F646" i="2"/>
  <c r="H645" i="2"/>
  <c r="I645" i="2" s="1"/>
  <c r="F645" i="2"/>
  <c r="H644" i="2"/>
  <c r="I644" i="2" s="1"/>
  <c r="F644" i="2"/>
  <c r="H643" i="2"/>
  <c r="I643" i="2" s="1"/>
  <c r="F643" i="2"/>
  <c r="H642" i="2"/>
  <c r="I642" i="2" s="1"/>
  <c r="F642" i="2"/>
  <c r="H641" i="2"/>
  <c r="I641" i="2" s="1"/>
  <c r="F641" i="2"/>
  <c r="H640" i="2"/>
  <c r="I640" i="2" s="1"/>
  <c r="F640" i="2"/>
  <c r="H639" i="2"/>
  <c r="I639" i="2" s="1"/>
  <c r="F639" i="2"/>
  <c r="H638" i="2"/>
  <c r="I638" i="2" s="1"/>
  <c r="F638" i="2"/>
  <c r="H637" i="2"/>
  <c r="I637" i="2" s="1"/>
  <c r="F637" i="2"/>
  <c r="H636" i="2"/>
  <c r="I636" i="2" s="1"/>
  <c r="J636" i="2" s="1"/>
  <c r="F636" i="2"/>
  <c r="H631" i="2"/>
  <c r="I631" i="2" s="1"/>
  <c r="F631" i="2"/>
  <c r="H630" i="2"/>
  <c r="I630" i="2" s="1"/>
  <c r="F630" i="2"/>
  <c r="H629" i="2"/>
  <c r="I629" i="2" s="1"/>
  <c r="F629" i="2"/>
  <c r="H628" i="2"/>
  <c r="I628" i="2" s="1"/>
  <c r="F628" i="2"/>
  <c r="H627" i="2"/>
  <c r="I627" i="2" s="1"/>
  <c r="F627" i="2"/>
  <c r="H626" i="2"/>
  <c r="I626" i="2" s="1"/>
  <c r="F626" i="2"/>
  <c r="H625" i="2"/>
  <c r="I625" i="2" s="1"/>
  <c r="F625" i="2"/>
  <c r="H624" i="2"/>
  <c r="I624" i="2" s="1"/>
  <c r="F624" i="2"/>
  <c r="H623" i="2"/>
  <c r="I623" i="2" s="1"/>
  <c r="F623" i="2"/>
  <c r="H622" i="2"/>
  <c r="I622" i="2" s="1"/>
  <c r="F622" i="2"/>
  <c r="H621" i="2"/>
  <c r="I621" i="2" s="1"/>
  <c r="F621" i="2"/>
  <c r="H620" i="2"/>
  <c r="I620" i="2" s="1"/>
  <c r="F620" i="2"/>
  <c r="H619" i="2"/>
  <c r="I619" i="2" s="1"/>
  <c r="J619" i="2" s="1"/>
  <c r="F619" i="2"/>
  <c r="H613" i="2"/>
  <c r="I613" i="2" s="1"/>
  <c r="F613" i="2"/>
  <c r="H612" i="2"/>
  <c r="I612" i="2" s="1"/>
  <c r="F612" i="2"/>
  <c r="H611" i="2"/>
  <c r="I611" i="2" s="1"/>
  <c r="F611" i="2"/>
  <c r="H610" i="2"/>
  <c r="I610" i="2" s="1"/>
  <c r="F610" i="2"/>
  <c r="H609" i="2"/>
  <c r="I609" i="2" s="1"/>
  <c r="F609" i="2"/>
  <c r="H608" i="2"/>
  <c r="I608" i="2" s="1"/>
  <c r="F608" i="2"/>
  <c r="H607" i="2"/>
  <c r="I607" i="2" s="1"/>
  <c r="F607" i="2"/>
  <c r="H606" i="2"/>
  <c r="I606" i="2" s="1"/>
  <c r="F606" i="2"/>
  <c r="H605" i="2"/>
  <c r="I605" i="2" s="1"/>
  <c r="F605" i="2"/>
  <c r="H604" i="2"/>
  <c r="I604" i="2" s="1"/>
  <c r="F604" i="2"/>
  <c r="H603" i="2"/>
  <c r="I603" i="2" s="1"/>
  <c r="F603" i="2"/>
  <c r="H602" i="2"/>
  <c r="I602" i="2" s="1"/>
  <c r="F602" i="2"/>
  <c r="H601" i="2"/>
  <c r="I601" i="2" s="1"/>
  <c r="F601" i="2"/>
  <c r="H600" i="2"/>
  <c r="I600" i="2" s="1"/>
  <c r="F600" i="2"/>
  <c r="H599" i="2"/>
  <c r="I599" i="2" s="1"/>
  <c r="F599" i="2"/>
  <c r="H598" i="2"/>
  <c r="I598" i="2" s="1"/>
  <c r="J598" i="2" s="1"/>
  <c r="F598" i="2"/>
  <c r="H592" i="2"/>
  <c r="I592" i="2" s="1"/>
  <c r="F592" i="2"/>
  <c r="H591" i="2"/>
  <c r="I591" i="2" s="1"/>
  <c r="F591" i="2"/>
  <c r="H590" i="2"/>
  <c r="I590" i="2" s="1"/>
  <c r="F590" i="2"/>
  <c r="H589" i="2"/>
  <c r="I589" i="2" s="1"/>
  <c r="F589" i="2"/>
  <c r="H588" i="2"/>
  <c r="I588" i="2" s="1"/>
  <c r="F588" i="2"/>
  <c r="H587" i="2"/>
  <c r="I587" i="2" s="1"/>
  <c r="F587" i="2"/>
  <c r="H586" i="2"/>
  <c r="I586" i="2" s="1"/>
  <c r="F586" i="2"/>
  <c r="H585" i="2"/>
  <c r="I585" i="2" s="1"/>
  <c r="F585" i="2"/>
  <c r="H584" i="2"/>
  <c r="I584" i="2" s="1"/>
  <c r="F584" i="2"/>
  <c r="H583" i="2"/>
  <c r="I583" i="2" s="1"/>
  <c r="F583" i="2"/>
  <c r="H582" i="2"/>
  <c r="I582" i="2" s="1"/>
  <c r="F582" i="2"/>
  <c r="H581" i="2"/>
  <c r="I581" i="2" s="1"/>
  <c r="F581" i="2"/>
  <c r="H580" i="2"/>
  <c r="I580" i="2" s="1"/>
  <c r="F580" i="2"/>
  <c r="H579" i="2"/>
  <c r="I579" i="2" s="1"/>
  <c r="F579" i="2"/>
  <c r="H578" i="2"/>
  <c r="I578" i="2" s="1"/>
  <c r="F578" i="2"/>
  <c r="H577" i="2"/>
  <c r="I577" i="2" s="1"/>
  <c r="F577" i="2"/>
  <c r="H576" i="2"/>
  <c r="I576" i="2" s="1"/>
  <c r="F576" i="2"/>
  <c r="H575" i="2"/>
  <c r="I575" i="2" s="1"/>
  <c r="F575" i="2"/>
  <c r="H574" i="2"/>
  <c r="I574" i="2" s="1"/>
  <c r="F574" i="2"/>
  <c r="H573" i="2"/>
  <c r="I573" i="2" s="1"/>
  <c r="F573" i="2"/>
  <c r="H572" i="2"/>
  <c r="I572" i="2" s="1"/>
  <c r="F572" i="2"/>
  <c r="H571" i="2"/>
  <c r="I571" i="2" s="1"/>
  <c r="J571" i="2" s="1"/>
  <c r="F571" i="2"/>
  <c r="I565" i="2"/>
  <c r="J565" i="2" s="1"/>
  <c r="I564" i="2"/>
  <c r="J564" i="2" s="1"/>
  <c r="I563" i="2"/>
  <c r="J563" i="2" s="1"/>
  <c r="I562" i="2"/>
  <c r="J562" i="2" s="1"/>
  <c r="K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M554" i="2" s="1"/>
  <c r="N554" i="2" s="1"/>
  <c r="I553" i="2"/>
  <c r="J553" i="2" s="1"/>
  <c r="I552" i="2"/>
  <c r="J552" i="2" s="1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M546" i="2" s="1"/>
  <c r="N546" i="2" s="1"/>
  <c r="I545" i="2"/>
  <c r="J545" i="2" s="1"/>
  <c r="I544" i="2"/>
  <c r="J544" i="2" s="1"/>
  <c r="I543" i="2"/>
  <c r="J543" i="2" s="1"/>
  <c r="I542" i="2"/>
  <c r="J542" i="2" s="1"/>
  <c r="M542" i="2" s="1"/>
  <c r="N542" i="2" s="1"/>
  <c r="I541" i="2"/>
  <c r="J541" i="2" s="1"/>
  <c r="I540" i="2"/>
  <c r="J540" i="2" s="1"/>
  <c r="I539" i="2"/>
  <c r="J539" i="2" s="1"/>
  <c r="K539" i="2" s="1"/>
  <c r="I538" i="2"/>
  <c r="J538" i="2" s="1"/>
  <c r="M538" i="2" s="1"/>
  <c r="N538" i="2" s="1"/>
  <c r="I537" i="2"/>
  <c r="J537" i="2" s="1"/>
  <c r="I536" i="2"/>
  <c r="J536" i="2" s="1"/>
  <c r="I535" i="2"/>
  <c r="J535" i="2" s="1"/>
  <c r="I534" i="2"/>
  <c r="J534" i="2" s="1"/>
  <c r="K534" i="2" s="1"/>
  <c r="I533" i="2"/>
  <c r="J533" i="2" s="1"/>
  <c r="I532" i="2"/>
  <c r="J532" i="2" s="1"/>
  <c r="I531" i="2"/>
  <c r="J531" i="2" s="1"/>
  <c r="I525" i="2"/>
  <c r="J525" i="2" s="1"/>
  <c r="I524" i="2"/>
  <c r="J524" i="2" s="1"/>
  <c r="I523" i="2"/>
  <c r="J523" i="2" s="1"/>
  <c r="I522" i="2"/>
  <c r="J522" i="2" s="1"/>
  <c r="I521" i="2"/>
  <c r="J521" i="2" s="1"/>
  <c r="M521" i="2" s="1"/>
  <c r="N521" i="2" s="1"/>
  <c r="I520" i="2"/>
  <c r="J520" i="2" s="1"/>
  <c r="I519" i="2"/>
  <c r="J519" i="2" s="1"/>
  <c r="I518" i="2"/>
  <c r="J518" i="2" s="1"/>
  <c r="K518" i="2" s="1"/>
  <c r="I517" i="2"/>
  <c r="J517" i="2" s="1"/>
  <c r="M517" i="2" s="1"/>
  <c r="N517" i="2" s="1"/>
  <c r="I516" i="2"/>
  <c r="J516" i="2" s="1"/>
  <c r="I515" i="2"/>
  <c r="J515" i="2" s="1"/>
  <c r="I514" i="2"/>
  <c r="J514" i="2" s="1"/>
  <c r="K514" i="2" s="1"/>
  <c r="I513" i="2"/>
  <c r="J513" i="2" s="1"/>
  <c r="M513" i="2" s="1"/>
  <c r="N513" i="2" s="1"/>
  <c r="I512" i="2"/>
  <c r="J512" i="2" s="1"/>
  <c r="I511" i="2"/>
  <c r="J511" i="2" s="1"/>
  <c r="R510" i="2"/>
  <c r="S510" i="2" s="1"/>
  <c r="I510" i="2"/>
  <c r="J510" i="2" s="1"/>
  <c r="R509" i="2"/>
  <c r="S509" i="2" s="1"/>
  <c r="I509" i="2"/>
  <c r="J509" i="2" s="1"/>
  <c r="I508" i="2"/>
  <c r="J508" i="2" s="1"/>
  <c r="I507" i="2"/>
  <c r="J507" i="2" s="1"/>
  <c r="K507" i="2" s="1"/>
  <c r="I506" i="2"/>
  <c r="J506" i="2" s="1"/>
  <c r="I505" i="2"/>
  <c r="J505" i="2" s="1"/>
  <c r="I504" i="2"/>
  <c r="J504" i="2" s="1"/>
  <c r="I503" i="2"/>
  <c r="J503" i="2" s="1"/>
  <c r="M503" i="2" s="1"/>
  <c r="N503" i="2" s="1"/>
  <c r="I502" i="2"/>
  <c r="J502" i="2" s="1"/>
  <c r="I501" i="2"/>
  <c r="J501" i="2" s="1"/>
  <c r="I500" i="2"/>
  <c r="J500" i="2" s="1"/>
  <c r="I499" i="2"/>
  <c r="J499" i="2" s="1"/>
  <c r="M499" i="2" s="1"/>
  <c r="N499" i="2" s="1"/>
  <c r="I498" i="2"/>
  <c r="J498" i="2" s="1"/>
  <c r="I497" i="2"/>
  <c r="J497" i="2" s="1"/>
  <c r="I496" i="2"/>
  <c r="J496" i="2" s="1"/>
  <c r="H489" i="2"/>
  <c r="I489" i="2" s="1"/>
  <c r="F489" i="2"/>
  <c r="H488" i="2"/>
  <c r="I488" i="2" s="1"/>
  <c r="F488" i="2"/>
  <c r="H487" i="2"/>
  <c r="I487" i="2" s="1"/>
  <c r="F487" i="2"/>
  <c r="H486" i="2"/>
  <c r="I486" i="2" s="1"/>
  <c r="F486" i="2"/>
  <c r="H485" i="2"/>
  <c r="I485" i="2" s="1"/>
  <c r="F485" i="2"/>
  <c r="H484" i="2"/>
  <c r="I484" i="2" s="1"/>
  <c r="F484" i="2"/>
  <c r="H483" i="2"/>
  <c r="I483" i="2" s="1"/>
  <c r="F483" i="2"/>
  <c r="H482" i="2"/>
  <c r="I482" i="2" s="1"/>
  <c r="F482" i="2"/>
  <c r="H481" i="2"/>
  <c r="I481" i="2" s="1"/>
  <c r="J481" i="2" s="1"/>
  <c r="F481" i="2"/>
  <c r="H475" i="2"/>
  <c r="I475" i="2" s="1"/>
  <c r="F475" i="2"/>
  <c r="H474" i="2"/>
  <c r="I474" i="2" s="1"/>
  <c r="J474" i="2" s="1"/>
  <c r="F474" i="2"/>
  <c r="H470" i="2"/>
  <c r="I470" i="2" s="1"/>
  <c r="F470" i="2"/>
  <c r="H469" i="2"/>
  <c r="I469" i="2" s="1"/>
  <c r="F469" i="2"/>
  <c r="H468" i="2"/>
  <c r="I468" i="2" s="1"/>
  <c r="F468" i="2"/>
  <c r="H467" i="2"/>
  <c r="I467" i="2" s="1"/>
  <c r="J467" i="2" s="1"/>
  <c r="F467" i="2"/>
  <c r="H462" i="2"/>
  <c r="I462" i="2" s="1"/>
  <c r="F462" i="2"/>
  <c r="H461" i="2"/>
  <c r="I461" i="2" s="1"/>
  <c r="F461" i="2"/>
  <c r="H460" i="2"/>
  <c r="I460" i="2" s="1"/>
  <c r="F460" i="2"/>
  <c r="H459" i="2"/>
  <c r="I459" i="2" s="1"/>
  <c r="F459" i="2"/>
  <c r="H458" i="2"/>
  <c r="I458" i="2" s="1"/>
  <c r="J458" i="2" s="1"/>
  <c r="F458" i="2"/>
  <c r="H453" i="2"/>
  <c r="I453" i="2" s="1"/>
  <c r="F453" i="2"/>
  <c r="H452" i="2"/>
  <c r="I452" i="2" s="1"/>
  <c r="F452" i="2"/>
  <c r="H451" i="2"/>
  <c r="I451" i="2" s="1"/>
  <c r="F451" i="2"/>
  <c r="H450" i="2"/>
  <c r="I450" i="2" s="1"/>
  <c r="F450" i="2"/>
  <c r="H449" i="2"/>
  <c r="I449" i="2" s="1"/>
  <c r="F449" i="2"/>
  <c r="H448" i="2"/>
  <c r="I448" i="2" s="1"/>
  <c r="F448" i="2"/>
  <c r="H447" i="2"/>
  <c r="I447" i="2" s="1"/>
  <c r="F447" i="2"/>
  <c r="H446" i="2"/>
  <c r="I446" i="2" s="1"/>
  <c r="F446" i="2"/>
  <c r="H445" i="2"/>
  <c r="I445" i="2" s="1"/>
  <c r="J445" i="2" s="1"/>
  <c r="F445" i="2"/>
  <c r="H440" i="2"/>
  <c r="I440" i="2" s="1"/>
  <c r="F440" i="2"/>
  <c r="H439" i="2"/>
  <c r="I439" i="2" s="1"/>
  <c r="F439" i="2"/>
  <c r="H438" i="2"/>
  <c r="I438" i="2" s="1"/>
  <c r="F438" i="2"/>
  <c r="H437" i="2"/>
  <c r="I437" i="2" s="1"/>
  <c r="J437" i="2" s="1"/>
  <c r="F437" i="2"/>
  <c r="H432" i="2"/>
  <c r="I432" i="2" s="1"/>
  <c r="F432" i="2"/>
  <c r="H431" i="2"/>
  <c r="I431" i="2" s="1"/>
  <c r="F431" i="2"/>
  <c r="H430" i="2"/>
  <c r="I430" i="2" s="1"/>
  <c r="F430" i="2"/>
  <c r="H429" i="2"/>
  <c r="I429" i="2" s="1"/>
  <c r="J429" i="2" s="1"/>
  <c r="F429" i="2"/>
  <c r="H424" i="2"/>
  <c r="I424" i="2" s="1"/>
  <c r="F424" i="2"/>
  <c r="H423" i="2"/>
  <c r="I423" i="2" s="1"/>
  <c r="F423" i="2"/>
  <c r="H422" i="2"/>
  <c r="I422" i="2" s="1"/>
  <c r="F422" i="2"/>
  <c r="H421" i="2"/>
  <c r="I421" i="2" s="1"/>
  <c r="F421" i="2"/>
  <c r="H420" i="2"/>
  <c r="I420" i="2" s="1"/>
  <c r="J420" i="2" s="1"/>
  <c r="F420" i="2"/>
  <c r="H415" i="2"/>
  <c r="I415" i="2" s="1"/>
  <c r="F415" i="2"/>
  <c r="H414" i="2"/>
  <c r="I414" i="2" s="1"/>
  <c r="F414" i="2"/>
  <c r="H413" i="2"/>
  <c r="I413" i="2" s="1"/>
  <c r="J413" i="2" s="1"/>
  <c r="F413" i="2"/>
  <c r="H408" i="2"/>
  <c r="I408" i="2" s="1"/>
  <c r="F408" i="2"/>
  <c r="H407" i="2"/>
  <c r="I407" i="2" s="1"/>
  <c r="F407" i="2"/>
  <c r="H406" i="2"/>
  <c r="I406" i="2" s="1"/>
  <c r="F406" i="2"/>
  <c r="H405" i="2"/>
  <c r="I405" i="2" s="1"/>
  <c r="F405" i="2"/>
  <c r="H404" i="2"/>
  <c r="I404" i="2" s="1"/>
  <c r="F404" i="2"/>
  <c r="H403" i="2"/>
  <c r="I403" i="2" s="1"/>
  <c r="F403" i="2"/>
  <c r="H402" i="2"/>
  <c r="I402" i="2" s="1"/>
  <c r="F402" i="2"/>
  <c r="H401" i="2"/>
  <c r="I401" i="2" s="1"/>
  <c r="F401" i="2"/>
  <c r="H400" i="2"/>
  <c r="I400" i="2" s="1"/>
  <c r="F400" i="2"/>
  <c r="H399" i="2"/>
  <c r="I399" i="2" s="1"/>
  <c r="F399" i="2"/>
  <c r="H398" i="2"/>
  <c r="I398" i="2" s="1"/>
  <c r="F398" i="2"/>
  <c r="H397" i="2"/>
  <c r="I397" i="2" s="1"/>
  <c r="F397" i="2"/>
  <c r="H396" i="2"/>
  <c r="I396" i="2" s="1"/>
  <c r="F396" i="2"/>
  <c r="H395" i="2"/>
  <c r="I395" i="2" s="1"/>
  <c r="F395" i="2"/>
  <c r="H394" i="2"/>
  <c r="I394" i="2" s="1"/>
  <c r="F394" i="2"/>
  <c r="H393" i="2"/>
  <c r="I393" i="2" s="1"/>
  <c r="F393" i="2"/>
  <c r="H392" i="2"/>
  <c r="I392" i="2" s="1"/>
  <c r="F392" i="2"/>
  <c r="H391" i="2"/>
  <c r="I391" i="2" s="1"/>
  <c r="F391" i="2"/>
  <c r="H390" i="2"/>
  <c r="I390" i="2" s="1"/>
  <c r="F390" i="2"/>
  <c r="H389" i="2"/>
  <c r="I389" i="2" s="1"/>
  <c r="F389" i="2"/>
  <c r="H388" i="2"/>
  <c r="I388" i="2" s="1"/>
  <c r="J388" i="2" s="1"/>
  <c r="F388" i="2"/>
  <c r="H383" i="2"/>
  <c r="I383" i="2" s="1"/>
  <c r="F383" i="2"/>
  <c r="H382" i="2"/>
  <c r="I382" i="2" s="1"/>
  <c r="J382" i="2" s="1"/>
  <c r="F382" i="2"/>
  <c r="H376" i="2"/>
  <c r="I376" i="2" s="1"/>
  <c r="F376" i="2"/>
  <c r="H375" i="2"/>
  <c r="I375" i="2" s="1"/>
  <c r="F375" i="2"/>
  <c r="H374" i="2"/>
  <c r="I374" i="2" s="1"/>
  <c r="F374" i="2"/>
  <c r="H373" i="2"/>
  <c r="I373" i="2" s="1"/>
  <c r="F373" i="2"/>
  <c r="H372" i="2"/>
  <c r="I372" i="2" s="1"/>
  <c r="F372" i="2"/>
  <c r="H371" i="2"/>
  <c r="I371" i="2" s="1"/>
  <c r="J371" i="2" s="1"/>
  <c r="F371" i="2"/>
  <c r="H366" i="2"/>
  <c r="I366" i="2" s="1"/>
  <c r="F366" i="2"/>
  <c r="H365" i="2"/>
  <c r="I365" i="2" s="1"/>
  <c r="F365" i="2"/>
  <c r="H364" i="2"/>
  <c r="I364" i="2" s="1"/>
  <c r="F364" i="2"/>
  <c r="H363" i="2"/>
  <c r="I363" i="2" s="1"/>
  <c r="J363" i="2" s="1"/>
  <c r="F363" i="2"/>
  <c r="H358" i="2"/>
  <c r="I358" i="2" s="1"/>
  <c r="F358" i="2"/>
  <c r="H357" i="2"/>
  <c r="I357" i="2" s="1"/>
  <c r="F357" i="2"/>
  <c r="H356" i="2"/>
  <c r="I356" i="2" s="1"/>
  <c r="F356" i="2"/>
  <c r="H355" i="2"/>
  <c r="I355" i="2" s="1"/>
  <c r="F355" i="2"/>
  <c r="H354" i="2"/>
  <c r="I354" i="2" s="1"/>
  <c r="F354" i="2"/>
  <c r="H353" i="2"/>
  <c r="I353" i="2" s="1"/>
  <c r="F353" i="2"/>
  <c r="H352" i="2"/>
  <c r="I352" i="2" s="1"/>
  <c r="F352" i="2"/>
  <c r="H351" i="2"/>
  <c r="I351" i="2" s="1"/>
  <c r="F351" i="2"/>
  <c r="H350" i="2"/>
  <c r="I350" i="2" s="1"/>
  <c r="F350" i="2"/>
  <c r="H349" i="2"/>
  <c r="I349" i="2" s="1"/>
  <c r="F349" i="2"/>
  <c r="H348" i="2"/>
  <c r="I348" i="2" s="1"/>
  <c r="F348" i="2"/>
  <c r="H347" i="2"/>
  <c r="I347" i="2" s="1"/>
  <c r="F347" i="2"/>
  <c r="H346" i="2"/>
  <c r="I346" i="2" s="1"/>
  <c r="F346" i="2"/>
  <c r="H345" i="2"/>
  <c r="I345" i="2" s="1"/>
  <c r="F345" i="2"/>
  <c r="H344" i="2"/>
  <c r="I344" i="2" s="1"/>
  <c r="J344" i="2" s="1"/>
  <c r="F344" i="2"/>
  <c r="H339" i="2"/>
  <c r="I339" i="2" s="1"/>
  <c r="F339" i="2"/>
  <c r="H338" i="2"/>
  <c r="I338" i="2" s="1"/>
  <c r="F338" i="2"/>
  <c r="H337" i="2"/>
  <c r="I337" i="2" s="1"/>
  <c r="F337" i="2"/>
  <c r="H336" i="2"/>
  <c r="I336" i="2" s="1"/>
  <c r="F336" i="2"/>
  <c r="H335" i="2"/>
  <c r="I335" i="2" s="1"/>
  <c r="F335" i="2"/>
  <c r="H334" i="2"/>
  <c r="I334" i="2" s="1"/>
  <c r="F334" i="2"/>
  <c r="H333" i="2"/>
  <c r="I333" i="2" s="1"/>
  <c r="F333" i="2"/>
  <c r="H332" i="2"/>
  <c r="I332" i="2" s="1"/>
  <c r="F332" i="2"/>
  <c r="H331" i="2"/>
  <c r="I331" i="2" s="1"/>
  <c r="J331" i="2" s="1"/>
  <c r="F331" i="2"/>
  <c r="H326" i="2"/>
  <c r="I326" i="2" s="1"/>
  <c r="F326" i="2"/>
  <c r="H325" i="2"/>
  <c r="I325" i="2" s="1"/>
  <c r="F325" i="2"/>
  <c r="H324" i="2"/>
  <c r="I324" i="2" s="1"/>
  <c r="F324" i="2"/>
  <c r="H323" i="2"/>
  <c r="I323" i="2" s="1"/>
  <c r="F323" i="2"/>
  <c r="H322" i="2"/>
  <c r="I322" i="2" s="1"/>
  <c r="J322" i="2" s="1"/>
  <c r="F322" i="2"/>
  <c r="H316" i="2"/>
  <c r="I316" i="2" s="1"/>
  <c r="F316" i="2"/>
  <c r="H315" i="2"/>
  <c r="I315" i="2" s="1"/>
  <c r="F315" i="2"/>
  <c r="H314" i="2"/>
  <c r="I314" i="2" s="1"/>
  <c r="F314" i="2"/>
  <c r="H313" i="2"/>
  <c r="I313" i="2" s="1"/>
  <c r="F313" i="2"/>
  <c r="H312" i="2"/>
  <c r="I312" i="2" s="1"/>
  <c r="F312" i="2"/>
  <c r="H311" i="2"/>
  <c r="I311" i="2" s="1"/>
  <c r="F311" i="2"/>
  <c r="H310" i="2"/>
  <c r="I310" i="2" s="1"/>
  <c r="F310" i="2"/>
  <c r="H309" i="2"/>
  <c r="I309" i="2" s="1"/>
  <c r="F309" i="2"/>
  <c r="H308" i="2"/>
  <c r="I308" i="2" s="1"/>
  <c r="J308" i="2" s="1"/>
  <c r="F308" i="2"/>
  <c r="H303" i="2"/>
  <c r="I303" i="2" s="1"/>
  <c r="F303" i="2"/>
  <c r="H302" i="2"/>
  <c r="I302" i="2" s="1"/>
  <c r="F302" i="2"/>
  <c r="H301" i="2"/>
  <c r="I301" i="2" s="1"/>
  <c r="F301" i="2"/>
  <c r="H300" i="2"/>
  <c r="I300" i="2" s="1"/>
  <c r="F300" i="2"/>
  <c r="H299" i="2"/>
  <c r="I299" i="2" s="1"/>
  <c r="F299" i="2"/>
  <c r="H298" i="2"/>
  <c r="I298" i="2" s="1"/>
  <c r="F298" i="2"/>
  <c r="H297" i="2"/>
  <c r="I297" i="2" s="1"/>
  <c r="F297" i="2"/>
  <c r="H296" i="2"/>
  <c r="I296" i="2" s="1"/>
  <c r="F296" i="2"/>
  <c r="H295" i="2"/>
  <c r="I295" i="2" s="1"/>
  <c r="J295" i="2" s="1"/>
  <c r="F295" i="2"/>
  <c r="H289" i="2"/>
  <c r="I289" i="2" s="1"/>
  <c r="F289" i="2"/>
  <c r="H288" i="2"/>
  <c r="I288" i="2" s="1"/>
  <c r="F288" i="2"/>
  <c r="H287" i="2"/>
  <c r="I287" i="2" s="1"/>
  <c r="F287" i="2"/>
  <c r="H286" i="2"/>
  <c r="I286" i="2" s="1"/>
  <c r="J286" i="2" s="1"/>
  <c r="F286" i="2"/>
  <c r="H282" i="2"/>
  <c r="I282" i="2" s="1"/>
  <c r="F282" i="2"/>
  <c r="H281" i="2"/>
  <c r="I281" i="2" s="1"/>
  <c r="F281" i="2"/>
  <c r="H280" i="2"/>
  <c r="I280" i="2" s="1"/>
  <c r="F280" i="2"/>
  <c r="H279" i="2"/>
  <c r="I279" i="2" s="1"/>
  <c r="F279" i="2"/>
  <c r="H278" i="2"/>
  <c r="I278" i="2" s="1"/>
  <c r="F278" i="2"/>
  <c r="H277" i="2"/>
  <c r="I277" i="2" s="1"/>
  <c r="F277" i="2"/>
  <c r="H276" i="2"/>
  <c r="I276" i="2" s="1"/>
  <c r="F276" i="2"/>
  <c r="H275" i="2"/>
  <c r="I275" i="2" s="1"/>
  <c r="F275" i="2"/>
  <c r="H274" i="2"/>
  <c r="I274" i="2" s="1"/>
  <c r="J274" i="2" s="1"/>
  <c r="F274" i="2"/>
  <c r="H269" i="2"/>
  <c r="I269" i="2" s="1"/>
  <c r="F269" i="2"/>
  <c r="H268" i="2"/>
  <c r="I268" i="2" s="1"/>
  <c r="F268" i="2"/>
  <c r="H267" i="2"/>
  <c r="I267" i="2" s="1"/>
  <c r="J267" i="2" s="1"/>
  <c r="F267" i="2"/>
  <c r="H262" i="2"/>
  <c r="I262" i="2" s="1"/>
  <c r="F262" i="2"/>
  <c r="H261" i="2"/>
  <c r="I261" i="2" s="1"/>
  <c r="F261" i="2"/>
  <c r="H260" i="2"/>
  <c r="I260" i="2" s="1"/>
  <c r="F260" i="2"/>
  <c r="H259" i="2"/>
  <c r="I259" i="2" s="1"/>
  <c r="F259" i="2"/>
  <c r="H258" i="2"/>
  <c r="I258" i="2" s="1"/>
  <c r="F258" i="2"/>
  <c r="H257" i="2"/>
  <c r="I257" i="2" s="1"/>
  <c r="F257" i="2"/>
  <c r="H256" i="2"/>
  <c r="I256" i="2" s="1"/>
  <c r="F256" i="2"/>
  <c r="H255" i="2"/>
  <c r="I255" i="2" s="1"/>
  <c r="F255" i="2"/>
  <c r="H254" i="2"/>
  <c r="I254" i="2" s="1"/>
  <c r="J254" i="2" s="1"/>
  <c r="F254" i="2"/>
  <c r="H249" i="2"/>
  <c r="I249" i="2" s="1"/>
  <c r="F249" i="2"/>
  <c r="H248" i="2"/>
  <c r="I248" i="2" s="1"/>
  <c r="F248" i="2"/>
  <c r="H247" i="2"/>
  <c r="I247" i="2" s="1"/>
  <c r="F247" i="2"/>
  <c r="H246" i="2"/>
  <c r="I246" i="2" s="1"/>
  <c r="F246" i="2"/>
  <c r="H245" i="2"/>
  <c r="I245" i="2" s="1"/>
  <c r="F245" i="2"/>
  <c r="H244" i="2"/>
  <c r="I244" i="2" s="1"/>
  <c r="F244" i="2"/>
  <c r="H243" i="2"/>
  <c r="I243" i="2" s="1"/>
  <c r="F243" i="2"/>
  <c r="H242" i="2"/>
  <c r="I242" i="2" s="1"/>
  <c r="F242" i="2"/>
  <c r="H241" i="2"/>
  <c r="I241" i="2" s="1"/>
  <c r="J241" i="2" s="1"/>
  <c r="F241" i="2"/>
  <c r="H231" i="2"/>
  <c r="I231" i="2" s="1"/>
  <c r="F231" i="2"/>
  <c r="H230" i="2"/>
  <c r="I230" i="2" s="1"/>
  <c r="F230" i="2"/>
  <c r="H229" i="2"/>
  <c r="I229" i="2" s="1"/>
  <c r="F229" i="2"/>
  <c r="H228" i="2"/>
  <c r="I228" i="2" s="1"/>
  <c r="F228" i="2"/>
  <c r="H227" i="2"/>
  <c r="I227" i="2" s="1"/>
  <c r="F227" i="2"/>
  <c r="H226" i="2"/>
  <c r="I226" i="2" s="1"/>
  <c r="F226" i="2"/>
  <c r="H225" i="2"/>
  <c r="I225" i="2" s="1"/>
  <c r="F225" i="2"/>
  <c r="H224" i="2"/>
  <c r="I224" i="2" s="1"/>
  <c r="F224" i="2"/>
  <c r="H223" i="2"/>
  <c r="I223" i="2" s="1"/>
  <c r="F223" i="2"/>
  <c r="H222" i="2"/>
  <c r="I222" i="2" s="1"/>
  <c r="F222" i="2"/>
  <c r="H221" i="2"/>
  <c r="I221" i="2" s="1"/>
  <c r="F221" i="2"/>
  <c r="H220" i="2"/>
  <c r="I220" i="2" s="1"/>
  <c r="F220" i="2"/>
  <c r="H219" i="2"/>
  <c r="I219" i="2" s="1"/>
  <c r="F219" i="2"/>
  <c r="H218" i="2"/>
  <c r="I218" i="2" s="1"/>
  <c r="F218" i="2"/>
  <c r="H217" i="2"/>
  <c r="I217" i="2" s="1"/>
  <c r="F217" i="2"/>
  <c r="H216" i="2"/>
  <c r="I216" i="2" s="1"/>
  <c r="F216" i="2"/>
  <c r="H215" i="2"/>
  <c r="I215" i="2" s="1"/>
  <c r="F215" i="2"/>
  <c r="H214" i="2"/>
  <c r="I214" i="2" s="1"/>
  <c r="F214" i="2"/>
  <c r="H213" i="2"/>
  <c r="I213" i="2" s="1"/>
  <c r="F213" i="2"/>
  <c r="H212" i="2"/>
  <c r="I212" i="2" s="1"/>
  <c r="F212" i="2"/>
  <c r="H211" i="2"/>
  <c r="I211" i="2" s="1"/>
  <c r="F211" i="2"/>
  <c r="H210" i="2"/>
  <c r="I210" i="2" s="1"/>
  <c r="F210" i="2"/>
  <c r="H209" i="2"/>
  <c r="I209" i="2" s="1"/>
  <c r="F209" i="2"/>
  <c r="H208" i="2"/>
  <c r="I208" i="2" s="1"/>
  <c r="F208" i="2"/>
  <c r="H207" i="2"/>
  <c r="I207" i="2" s="1"/>
  <c r="F207" i="2"/>
  <c r="H206" i="2"/>
  <c r="I206" i="2" s="1"/>
  <c r="F206" i="2"/>
  <c r="H205" i="2"/>
  <c r="I205" i="2" s="1"/>
  <c r="F205" i="2"/>
  <c r="H204" i="2"/>
  <c r="I204" i="2" s="1"/>
  <c r="F204" i="2"/>
  <c r="H203" i="2"/>
  <c r="I203" i="2" s="1"/>
  <c r="F203" i="2"/>
  <c r="H202" i="2"/>
  <c r="I202" i="2" s="1"/>
  <c r="F202" i="2"/>
  <c r="H201" i="2"/>
  <c r="I201" i="2" s="1"/>
  <c r="F201" i="2"/>
  <c r="H200" i="2"/>
  <c r="I200" i="2" s="1"/>
  <c r="F200" i="2"/>
  <c r="H199" i="2"/>
  <c r="I199" i="2" s="1"/>
  <c r="F199" i="2"/>
  <c r="H198" i="2"/>
  <c r="I198" i="2" s="1"/>
  <c r="F198" i="2"/>
  <c r="H197" i="2"/>
  <c r="I197" i="2" s="1"/>
  <c r="F197" i="2"/>
  <c r="H196" i="2"/>
  <c r="I196" i="2" s="1"/>
  <c r="F196" i="2"/>
  <c r="H195" i="2"/>
  <c r="I195" i="2" s="1"/>
  <c r="F195" i="2"/>
  <c r="H194" i="2"/>
  <c r="I194" i="2" s="1"/>
  <c r="F194" i="2"/>
  <c r="H193" i="2"/>
  <c r="I193" i="2" s="1"/>
  <c r="F193" i="2"/>
  <c r="H192" i="2"/>
  <c r="I192" i="2" s="1"/>
  <c r="F192" i="2"/>
  <c r="H191" i="2"/>
  <c r="I191" i="2" s="1"/>
  <c r="F191" i="2"/>
  <c r="H190" i="2"/>
  <c r="I190" i="2" s="1"/>
  <c r="F190" i="2"/>
  <c r="H189" i="2"/>
  <c r="I189" i="2" s="1"/>
  <c r="F189" i="2"/>
  <c r="H188" i="2"/>
  <c r="I188" i="2" s="1"/>
  <c r="F188" i="2"/>
  <c r="H187" i="2"/>
  <c r="I187" i="2" s="1"/>
  <c r="F187" i="2"/>
  <c r="H186" i="2"/>
  <c r="I186" i="2" s="1"/>
  <c r="J186" i="2" s="1"/>
  <c r="F186" i="2"/>
  <c r="H179" i="2"/>
  <c r="I179" i="2" s="1"/>
  <c r="F179" i="2"/>
  <c r="H178" i="2"/>
  <c r="I178" i="2" s="1"/>
  <c r="F178" i="2"/>
  <c r="H177" i="2"/>
  <c r="I177" i="2" s="1"/>
  <c r="F177" i="2"/>
  <c r="H176" i="2"/>
  <c r="I176" i="2" s="1"/>
  <c r="F176" i="2"/>
  <c r="H175" i="2"/>
  <c r="I175" i="2" s="1"/>
  <c r="F175" i="2"/>
  <c r="H174" i="2"/>
  <c r="I174" i="2" s="1"/>
  <c r="F174" i="2"/>
  <c r="H173" i="2"/>
  <c r="I173" i="2" s="1"/>
  <c r="F173" i="2"/>
  <c r="H172" i="2"/>
  <c r="I172" i="2" s="1"/>
  <c r="F172" i="2"/>
  <c r="H171" i="2"/>
  <c r="I171" i="2" s="1"/>
  <c r="F171" i="2"/>
  <c r="H170" i="2"/>
  <c r="I170" i="2" s="1"/>
  <c r="F170" i="2"/>
  <c r="H169" i="2"/>
  <c r="I169" i="2" s="1"/>
  <c r="F169" i="2"/>
  <c r="H168" i="2"/>
  <c r="I168" i="2" s="1"/>
  <c r="F168" i="2"/>
  <c r="H167" i="2"/>
  <c r="I167" i="2" s="1"/>
  <c r="J167" i="2" s="1"/>
  <c r="F167" i="2"/>
  <c r="H161" i="2"/>
  <c r="I161" i="2" s="1"/>
  <c r="F161" i="2"/>
  <c r="E160" i="2"/>
  <c r="F160" i="2" s="1"/>
  <c r="E159" i="2"/>
  <c r="F159" i="2" s="1"/>
  <c r="H154" i="2"/>
  <c r="I154" i="2" s="1"/>
  <c r="F154" i="2"/>
  <c r="H153" i="2"/>
  <c r="I153" i="2" s="1"/>
  <c r="F153" i="2"/>
  <c r="H152" i="2"/>
  <c r="I152" i="2" s="1"/>
  <c r="F152" i="2"/>
  <c r="H151" i="2"/>
  <c r="I151" i="2" s="1"/>
  <c r="F151" i="2"/>
  <c r="H150" i="2"/>
  <c r="I150" i="2" s="1"/>
  <c r="F150" i="2"/>
  <c r="H149" i="2"/>
  <c r="I149" i="2" s="1"/>
  <c r="F149" i="2"/>
  <c r="H148" i="2"/>
  <c r="I148" i="2" s="1"/>
  <c r="F148" i="2"/>
  <c r="H147" i="2"/>
  <c r="I147" i="2" s="1"/>
  <c r="F147" i="2"/>
  <c r="H146" i="2"/>
  <c r="I146" i="2" s="1"/>
  <c r="J146" i="2" s="1"/>
  <c r="F146" i="2"/>
  <c r="H140" i="2"/>
  <c r="I140" i="2" s="1"/>
  <c r="F140" i="2"/>
  <c r="H139" i="2"/>
  <c r="I139" i="2" s="1"/>
  <c r="F139" i="2"/>
  <c r="H138" i="2"/>
  <c r="I138" i="2" s="1"/>
  <c r="F138" i="2"/>
  <c r="H137" i="2"/>
  <c r="I137" i="2" s="1"/>
  <c r="F137" i="2"/>
  <c r="H136" i="2"/>
  <c r="I136" i="2" s="1"/>
  <c r="F136" i="2"/>
  <c r="H135" i="2"/>
  <c r="I135" i="2" s="1"/>
  <c r="F135" i="2"/>
  <c r="H134" i="2"/>
  <c r="I134" i="2" s="1"/>
  <c r="F134" i="2"/>
  <c r="H133" i="2"/>
  <c r="I133" i="2" s="1"/>
  <c r="F133" i="2"/>
  <c r="H132" i="2"/>
  <c r="I132" i="2" s="1"/>
  <c r="F132" i="2"/>
  <c r="H131" i="2"/>
  <c r="I131" i="2" s="1"/>
  <c r="F131" i="2"/>
  <c r="H130" i="2"/>
  <c r="I130" i="2" s="1"/>
  <c r="F130" i="2"/>
  <c r="H129" i="2"/>
  <c r="I129" i="2" s="1"/>
  <c r="F129" i="2"/>
  <c r="H128" i="2"/>
  <c r="I128" i="2" s="1"/>
  <c r="J128" i="2" s="1"/>
  <c r="F128" i="2"/>
  <c r="H122" i="2"/>
  <c r="I122" i="2" s="1"/>
  <c r="F122" i="2"/>
  <c r="H121" i="2"/>
  <c r="I121" i="2" s="1"/>
  <c r="F121" i="2"/>
  <c r="H120" i="2"/>
  <c r="I120" i="2" s="1"/>
  <c r="F120" i="2"/>
  <c r="H119" i="2"/>
  <c r="I119" i="2" s="1"/>
  <c r="F119" i="2"/>
  <c r="H118" i="2"/>
  <c r="I118" i="2" s="1"/>
  <c r="F118" i="2"/>
  <c r="H117" i="2"/>
  <c r="I117" i="2" s="1"/>
  <c r="F117" i="2"/>
  <c r="H116" i="2"/>
  <c r="I116" i="2" s="1"/>
  <c r="J116" i="2" s="1"/>
  <c r="F116" i="2"/>
  <c r="H110" i="2"/>
  <c r="I110" i="2" s="1"/>
  <c r="F110" i="2"/>
  <c r="H109" i="2"/>
  <c r="I109" i="2" s="1"/>
  <c r="F109" i="2"/>
  <c r="H108" i="2"/>
  <c r="I108" i="2" s="1"/>
  <c r="F108" i="2"/>
  <c r="H107" i="2"/>
  <c r="I107" i="2" s="1"/>
  <c r="F107" i="2"/>
  <c r="H106" i="2"/>
  <c r="I106" i="2" s="1"/>
  <c r="F106" i="2"/>
  <c r="H105" i="2"/>
  <c r="I105" i="2" s="1"/>
  <c r="F105" i="2"/>
  <c r="H104" i="2"/>
  <c r="I104" i="2" s="1"/>
  <c r="F104" i="2"/>
  <c r="H103" i="2"/>
  <c r="I103" i="2" s="1"/>
  <c r="F103" i="2"/>
  <c r="H102" i="2"/>
  <c r="I102" i="2" s="1"/>
  <c r="F102" i="2"/>
  <c r="H101" i="2"/>
  <c r="I101" i="2" s="1"/>
  <c r="F101" i="2"/>
  <c r="H100" i="2"/>
  <c r="I100" i="2" s="1"/>
  <c r="F100" i="2"/>
  <c r="H99" i="2"/>
  <c r="I99" i="2" s="1"/>
  <c r="F99" i="2"/>
  <c r="H98" i="2"/>
  <c r="I98" i="2" s="1"/>
  <c r="F98" i="2"/>
  <c r="H97" i="2"/>
  <c r="I97" i="2" s="1"/>
  <c r="F97" i="2"/>
  <c r="H96" i="2"/>
  <c r="I96" i="2" s="1"/>
  <c r="F96" i="2"/>
  <c r="H95" i="2"/>
  <c r="I95" i="2" s="1"/>
  <c r="F95" i="2"/>
  <c r="H94" i="2"/>
  <c r="I94" i="2" s="1"/>
  <c r="J94" i="2" s="1"/>
  <c r="F94" i="2"/>
  <c r="H81" i="2"/>
  <c r="I81" i="2" s="1"/>
  <c r="F81" i="2"/>
  <c r="H80" i="2"/>
  <c r="I80" i="2" s="1"/>
  <c r="F80" i="2"/>
  <c r="H79" i="2"/>
  <c r="I79" i="2" s="1"/>
  <c r="F79" i="2"/>
  <c r="H78" i="2"/>
  <c r="I78" i="2" s="1"/>
  <c r="F78" i="2"/>
  <c r="H77" i="2"/>
  <c r="I77" i="2" s="1"/>
  <c r="F77" i="2"/>
  <c r="H76" i="2"/>
  <c r="I76" i="2" s="1"/>
  <c r="F76" i="2"/>
  <c r="H75" i="2"/>
  <c r="I75" i="2" s="1"/>
  <c r="F75" i="2"/>
  <c r="H74" i="2"/>
  <c r="I74" i="2" s="1"/>
  <c r="F74" i="2"/>
  <c r="H73" i="2"/>
  <c r="I73" i="2" s="1"/>
  <c r="F73" i="2"/>
  <c r="H72" i="2"/>
  <c r="I72" i="2" s="1"/>
  <c r="J72" i="2" s="1"/>
  <c r="F72" i="2"/>
  <c r="H65" i="2"/>
  <c r="I65" i="2" s="1"/>
  <c r="F65" i="2"/>
  <c r="H64" i="2"/>
  <c r="I64" i="2" s="1"/>
  <c r="F64" i="2"/>
  <c r="H63" i="2"/>
  <c r="I63" i="2" s="1"/>
  <c r="F63" i="2"/>
  <c r="H62" i="2"/>
  <c r="I62" i="2" s="1"/>
  <c r="F62" i="2"/>
  <c r="H61" i="2"/>
  <c r="I61" i="2" s="1"/>
  <c r="F61" i="2"/>
  <c r="H60" i="2"/>
  <c r="I60" i="2" s="1"/>
  <c r="F60" i="2"/>
  <c r="H59" i="2"/>
  <c r="I59" i="2" s="1"/>
  <c r="F59" i="2"/>
  <c r="H58" i="2"/>
  <c r="I58" i="2" s="1"/>
  <c r="F58" i="2"/>
  <c r="H57" i="2"/>
  <c r="I57" i="2" s="1"/>
  <c r="J57" i="2" s="1"/>
  <c r="F57" i="2"/>
  <c r="H52" i="2"/>
  <c r="I52" i="2" s="1"/>
  <c r="F52" i="2"/>
  <c r="H51" i="2"/>
  <c r="I51" i="2" s="1"/>
  <c r="F51" i="2"/>
  <c r="H50" i="2"/>
  <c r="I50" i="2" s="1"/>
  <c r="F50" i="2"/>
  <c r="H49" i="2"/>
  <c r="I49" i="2" s="1"/>
  <c r="F49" i="2"/>
  <c r="H48" i="2"/>
  <c r="I48" i="2" s="1"/>
  <c r="F48" i="2"/>
  <c r="H47" i="2"/>
  <c r="I47" i="2" s="1"/>
  <c r="F47" i="2"/>
  <c r="H46" i="2"/>
  <c r="I46" i="2" s="1"/>
  <c r="F46" i="2"/>
  <c r="H45" i="2"/>
  <c r="I45" i="2" s="1"/>
  <c r="F45" i="2"/>
  <c r="H44" i="2"/>
  <c r="I44" i="2" s="1"/>
  <c r="J44" i="2" s="1"/>
  <c r="F44" i="2"/>
  <c r="U43" i="2"/>
  <c r="V43" i="2" s="1"/>
  <c r="U42" i="2"/>
  <c r="V42" i="2" s="1"/>
  <c r="U41" i="2"/>
  <c r="V41" i="2" s="1"/>
  <c r="U40" i="2"/>
  <c r="V40" i="2" s="1"/>
  <c r="U39" i="2"/>
  <c r="V39" i="2" s="1"/>
  <c r="H39" i="2"/>
  <c r="I39" i="2" s="1"/>
  <c r="F39" i="2"/>
  <c r="U38" i="2"/>
  <c r="V38" i="2" s="1"/>
  <c r="H38" i="2"/>
  <c r="I38" i="2" s="1"/>
  <c r="F38" i="2"/>
  <c r="U37" i="2"/>
  <c r="V37" i="2" s="1"/>
  <c r="H37" i="2"/>
  <c r="I37" i="2" s="1"/>
  <c r="F37" i="2"/>
  <c r="U36" i="2"/>
  <c r="V36" i="2" s="1"/>
  <c r="H36" i="2"/>
  <c r="I36" i="2" s="1"/>
  <c r="F36" i="2"/>
  <c r="U35" i="2"/>
  <c r="V35" i="2" s="1"/>
  <c r="H35" i="2"/>
  <c r="I35" i="2" s="1"/>
  <c r="F35" i="2"/>
  <c r="U34" i="2"/>
  <c r="V34" i="2" s="1"/>
  <c r="H34" i="2"/>
  <c r="I34" i="2" s="1"/>
  <c r="F34" i="2"/>
  <c r="H33" i="2"/>
  <c r="I33" i="2" s="1"/>
  <c r="F33" i="2"/>
  <c r="H32" i="2"/>
  <c r="I32" i="2" s="1"/>
  <c r="F32" i="2"/>
  <c r="H31" i="2"/>
  <c r="I31" i="2" s="1"/>
  <c r="J31" i="2" s="1"/>
  <c r="F31" i="2"/>
  <c r="T28" i="2"/>
  <c r="U28" i="2" s="1"/>
  <c r="R28" i="2"/>
  <c r="T27" i="2"/>
  <c r="U27" i="2" s="1"/>
  <c r="R27" i="2"/>
  <c r="T26" i="2"/>
  <c r="U26" i="2" s="1"/>
  <c r="R26" i="2"/>
  <c r="H26" i="2"/>
  <c r="I26" i="2" s="1"/>
  <c r="F26" i="2"/>
  <c r="T25" i="2"/>
  <c r="U25" i="2" s="1"/>
  <c r="R25" i="2"/>
  <c r="H25" i="2"/>
  <c r="I25" i="2" s="1"/>
  <c r="F25" i="2"/>
  <c r="T24" i="2"/>
  <c r="U24" i="2" s="1"/>
  <c r="R24" i="2"/>
  <c r="H24" i="2"/>
  <c r="I24" i="2" s="1"/>
  <c r="F24" i="2"/>
  <c r="T23" i="2"/>
  <c r="U23" i="2" s="1"/>
  <c r="R23" i="2"/>
  <c r="H23" i="2"/>
  <c r="I23" i="2" s="1"/>
  <c r="F23" i="2"/>
  <c r="T22" i="2"/>
  <c r="U22" i="2" s="1"/>
  <c r="R22" i="2"/>
  <c r="H22" i="2"/>
  <c r="I22" i="2" s="1"/>
  <c r="F22" i="2"/>
  <c r="T21" i="2"/>
  <c r="U21" i="2" s="1"/>
  <c r="R21" i="2"/>
  <c r="H21" i="2"/>
  <c r="I21" i="2" s="1"/>
  <c r="F21" i="2"/>
  <c r="T20" i="2"/>
  <c r="U20" i="2" s="1"/>
  <c r="V20" i="2" s="1"/>
  <c r="R20" i="2"/>
  <c r="H20" i="2"/>
  <c r="I20" i="2" s="1"/>
  <c r="F20" i="2"/>
  <c r="H19" i="2"/>
  <c r="I19" i="2" s="1"/>
  <c r="F19" i="2"/>
  <c r="L18" i="2"/>
  <c r="H18" i="2"/>
  <c r="I18" i="2" s="1"/>
  <c r="J18" i="2" s="1"/>
  <c r="F18" i="2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J5" i="2" s="1"/>
  <c r="F5" i="2"/>
  <c r="F2551" i="15"/>
  <c r="F2550" i="15"/>
  <c r="F2549" i="15"/>
  <c r="F2548" i="15"/>
  <c r="F2547" i="15"/>
  <c r="F2546" i="15"/>
  <c r="F2545" i="15"/>
  <c r="F2544" i="15"/>
  <c r="F2543" i="15"/>
  <c r="F2542" i="15"/>
  <c r="F2541" i="15"/>
  <c r="F2540" i="15"/>
  <c r="F2539" i="15"/>
  <c r="F2538" i="15"/>
  <c r="F2537" i="15"/>
  <c r="F2536" i="15"/>
  <c r="F2535" i="15"/>
  <c r="F2534" i="15"/>
  <c r="F2533" i="15"/>
  <c r="F2532" i="15"/>
  <c r="F2531" i="15"/>
  <c r="F2530" i="15"/>
  <c r="F2529" i="15"/>
  <c r="F2528" i="15"/>
  <c r="F2527" i="15"/>
  <c r="F2526" i="15"/>
  <c r="F2525" i="15"/>
  <c r="F2524" i="15"/>
  <c r="F2523" i="15"/>
  <c r="F2522" i="15"/>
  <c r="F2521" i="15"/>
  <c r="F2520" i="15"/>
  <c r="F2519" i="15"/>
  <c r="F2518" i="15"/>
  <c r="F2517" i="15"/>
  <c r="F2516" i="15"/>
  <c r="F2515" i="15"/>
  <c r="F2514" i="15"/>
  <c r="F2513" i="15"/>
  <c r="F2512" i="15"/>
  <c r="F2511" i="15"/>
  <c r="F2510" i="15"/>
  <c r="F2509" i="15"/>
  <c r="F2508" i="15"/>
  <c r="F2507" i="15"/>
  <c r="F2506" i="15"/>
  <c r="F2505" i="15"/>
  <c r="F2504" i="15"/>
  <c r="F2503" i="15"/>
  <c r="F2502" i="15"/>
  <c r="F2501" i="15"/>
  <c r="F2500" i="15"/>
  <c r="F2499" i="15"/>
  <c r="F2498" i="15"/>
  <c r="F2497" i="15"/>
  <c r="F2496" i="15"/>
  <c r="F2495" i="15"/>
  <c r="F2494" i="15"/>
  <c r="F2493" i="15"/>
  <c r="F2492" i="15"/>
  <c r="F2491" i="15"/>
  <c r="F2490" i="15"/>
  <c r="F2489" i="15"/>
  <c r="F2488" i="15"/>
  <c r="F2487" i="15"/>
  <c r="F2486" i="15"/>
  <c r="F2485" i="15"/>
  <c r="F2484" i="15"/>
  <c r="F2483" i="15"/>
  <c r="F2482" i="15"/>
  <c r="F2481" i="15"/>
  <c r="F2480" i="15"/>
  <c r="F2479" i="15"/>
  <c r="F2478" i="15"/>
  <c r="F2477" i="15"/>
  <c r="F2476" i="15"/>
  <c r="F2475" i="15"/>
  <c r="F2474" i="15"/>
  <c r="F2473" i="15"/>
  <c r="F2472" i="15"/>
  <c r="F2471" i="15"/>
  <c r="F2470" i="15"/>
  <c r="F2469" i="15"/>
  <c r="F2468" i="15"/>
  <c r="F2467" i="15"/>
  <c r="F2466" i="15"/>
  <c r="F2465" i="15"/>
  <c r="F2464" i="15"/>
  <c r="F2463" i="15"/>
  <c r="F2462" i="15"/>
  <c r="F2461" i="15"/>
  <c r="F2460" i="15"/>
  <c r="F2459" i="15"/>
  <c r="F2458" i="15"/>
  <c r="F2457" i="15"/>
  <c r="F2456" i="15"/>
  <c r="F2455" i="15"/>
  <c r="F2454" i="15"/>
  <c r="F2453" i="15"/>
  <c r="F2452" i="15"/>
  <c r="F2451" i="15"/>
  <c r="F2450" i="15"/>
  <c r="F2449" i="15"/>
  <c r="F2448" i="15"/>
  <c r="F2447" i="15"/>
  <c r="F2446" i="15"/>
  <c r="F2445" i="15"/>
  <c r="F2444" i="15"/>
  <c r="F2443" i="15"/>
  <c r="F2442" i="15"/>
  <c r="F2441" i="15"/>
  <c r="F2440" i="15"/>
  <c r="D2429" i="15"/>
  <c r="E2370" i="15"/>
  <c r="F2369" i="15"/>
  <c r="F2368" i="15"/>
  <c r="F2367" i="15"/>
  <c r="F2366" i="15"/>
  <c r="F2365" i="15"/>
  <c r="F2364" i="15"/>
  <c r="F2363" i="15"/>
  <c r="F2362" i="15"/>
  <c r="F2361" i="15"/>
  <c r="F2360" i="15"/>
  <c r="F2359" i="15"/>
  <c r="F2358" i="15"/>
  <c r="F2357" i="15"/>
  <c r="F2356" i="15"/>
  <c r="F2355" i="15"/>
  <c r="F2354" i="15"/>
  <c r="F2353" i="15"/>
  <c r="F2352" i="15"/>
  <c r="F2351" i="15"/>
  <c r="F2350" i="15"/>
  <c r="F2349" i="15"/>
  <c r="F2348" i="15"/>
  <c r="F2347" i="15"/>
  <c r="F2346" i="15"/>
  <c r="F2345" i="15"/>
  <c r="F2344" i="15"/>
  <c r="F2343" i="15"/>
  <c r="F2342" i="15"/>
  <c r="F2341" i="15"/>
  <c r="F2340" i="15"/>
  <c r="F2339" i="15"/>
  <c r="F2338" i="15"/>
  <c r="F2337" i="15"/>
  <c r="F2336" i="15"/>
  <c r="F2335" i="15"/>
  <c r="F2334" i="15"/>
  <c r="F2333" i="15"/>
  <c r="F2332" i="15"/>
  <c r="F2331" i="15"/>
  <c r="F2330" i="15"/>
  <c r="G2329" i="15"/>
  <c r="F2329" i="15"/>
  <c r="F2328" i="15"/>
  <c r="F2327" i="15"/>
  <c r="F2326" i="15"/>
  <c r="F2325" i="15"/>
  <c r="F2324" i="15"/>
  <c r="F2323" i="15"/>
  <c r="F2322" i="15"/>
  <c r="F2321" i="15"/>
  <c r="F2320" i="15"/>
  <c r="F2319" i="15"/>
  <c r="F2318" i="15"/>
  <c r="F2317" i="15"/>
  <c r="F2316" i="15"/>
  <c r="F2315" i="15"/>
  <c r="F2314" i="15"/>
  <c r="F2313" i="15"/>
  <c r="D2302" i="15"/>
  <c r="E2301" i="15"/>
  <c r="E2300" i="15"/>
  <c r="E2299" i="15"/>
  <c r="E2298" i="15"/>
  <c r="E2297" i="15"/>
  <c r="E2296" i="15"/>
  <c r="E2295" i="15"/>
  <c r="E2294" i="15"/>
  <c r="E2293" i="15"/>
  <c r="E2292" i="15"/>
  <c r="E2291" i="15"/>
  <c r="E2290" i="15"/>
  <c r="E2289" i="15"/>
  <c r="E2288" i="15"/>
  <c r="E2287" i="15"/>
  <c r="E2286" i="15"/>
  <c r="E2285" i="15"/>
  <c r="E2284" i="15"/>
  <c r="E2283" i="15"/>
  <c r="E2282" i="15"/>
  <c r="E2281" i="15"/>
  <c r="E2280" i="15"/>
  <c r="E2279" i="15"/>
  <c r="E2278" i="15"/>
  <c r="E2277" i="15"/>
  <c r="E2276" i="15"/>
  <c r="E2275" i="15"/>
  <c r="E2274" i="15"/>
  <c r="E2273" i="15"/>
  <c r="E2272" i="15"/>
  <c r="E2271" i="15"/>
  <c r="E2270" i="15"/>
  <c r="E2269" i="15"/>
  <c r="E2268" i="15"/>
  <c r="E2267" i="15"/>
  <c r="E2266" i="15"/>
  <c r="E2265" i="15"/>
  <c r="E2264" i="15"/>
  <c r="E2263" i="15"/>
  <c r="E2262" i="15"/>
  <c r="E2261" i="15"/>
  <c r="E2260" i="15"/>
  <c r="E2259" i="15"/>
  <c r="E2258" i="15"/>
  <c r="E2257" i="15"/>
  <c r="E2256" i="15"/>
  <c r="E2255" i="15"/>
  <c r="E2254" i="15"/>
  <c r="E2253" i="15"/>
  <c r="E2252" i="15"/>
  <c r="E2251" i="15"/>
  <c r="E2250" i="15"/>
  <c r="E2249" i="15"/>
  <c r="E2248" i="15"/>
  <c r="E2247" i="15"/>
  <c r="E2246" i="15"/>
  <c r="E2245" i="15"/>
  <c r="E2244" i="15"/>
  <c r="E2243" i="15"/>
  <c r="E2242" i="15"/>
  <c r="E2241" i="15"/>
  <c r="E2240" i="15"/>
  <c r="E2239" i="15"/>
  <c r="E2238" i="15"/>
  <c r="E2237" i="15"/>
  <c r="E2236" i="15"/>
  <c r="E2235" i="15"/>
  <c r="E2234" i="15"/>
  <c r="E2233" i="15"/>
  <c r="E2232" i="15"/>
  <c r="E2231" i="15"/>
  <c r="E2230" i="15"/>
  <c r="E2229" i="15"/>
  <c r="E2228" i="15"/>
  <c r="E2227" i="15"/>
  <c r="E2226" i="15"/>
  <c r="E2225" i="15"/>
  <c r="E2224" i="15"/>
  <c r="E2223" i="15"/>
  <c r="E2222" i="15"/>
  <c r="E2221" i="15"/>
  <c r="E2220" i="15"/>
  <c r="E2219" i="15"/>
  <c r="E2218" i="15"/>
  <c r="E2217" i="15"/>
  <c r="E2216" i="15"/>
  <c r="E2215" i="15"/>
  <c r="E2214" i="15"/>
  <c r="E2213" i="15"/>
  <c r="E2212" i="15"/>
  <c r="E2211" i="15"/>
  <c r="E2210" i="15"/>
  <c r="E2209" i="15"/>
  <c r="E2208" i="15"/>
  <c r="E2207" i="15"/>
  <c r="E2206" i="15"/>
  <c r="E2205" i="15"/>
  <c r="E2204" i="15"/>
  <c r="E2203" i="15"/>
  <c r="E2202" i="15"/>
  <c r="E2201" i="15"/>
  <c r="E2200" i="15"/>
  <c r="E2199" i="15"/>
  <c r="E2198" i="15"/>
  <c r="E2197" i="15"/>
  <c r="E2196" i="15"/>
  <c r="E2195" i="15"/>
  <c r="E2194" i="15"/>
  <c r="E2193" i="15"/>
  <c r="E2192" i="15"/>
  <c r="E2191" i="15"/>
  <c r="E2190" i="15"/>
  <c r="E2189" i="15"/>
  <c r="E2188" i="15"/>
  <c r="E2187" i="15"/>
  <c r="E2186" i="15"/>
  <c r="E2185" i="15"/>
  <c r="E2184" i="15"/>
  <c r="E2183" i="15"/>
  <c r="E2182" i="15"/>
  <c r="E2181" i="15"/>
  <c r="E2180" i="15"/>
  <c r="E2179" i="15"/>
  <c r="E2178" i="15"/>
  <c r="E2177" i="15"/>
  <c r="E2176" i="15"/>
  <c r="E2175" i="15"/>
  <c r="E2174" i="15"/>
  <c r="E2173" i="15"/>
  <c r="E1952" i="15"/>
  <c r="F1951" i="15"/>
  <c r="F1950" i="15"/>
  <c r="F1949" i="15"/>
  <c r="F1948" i="15"/>
  <c r="F1947" i="15"/>
  <c r="F1946" i="15"/>
  <c r="F1945" i="15"/>
  <c r="F1944" i="15"/>
  <c r="F1943" i="15"/>
  <c r="F1942" i="15"/>
  <c r="F1941" i="15"/>
  <c r="F1940" i="15"/>
  <c r="F1939" i="15"/>
  <c r="F1938" i="15"/>
  <c r="F1937" i="15"/>
  <c r="F1936" i="15"/>
  <c r="F1935" i="15"/>
  <c r="F1934" i="15"/>
  <c r="F1933" i="15"/>
  <c r="F1932" i="15"/>
  <c r="F1931" i="15"/>
  <c r="F1930" i="15"/>
  <c r="F1929" i="15"/>
  <c r="F1928" i="15"/>
  <c r="F1927" i="15"/>
  <c r="F1926" i="15"/>
  <c r="F1925" i="15"/>
  <c r="F1924" i="15"/>
  <c r="F1923" i="15"/>
  <c r="F1922" i="15"/>
  <c r="F1921" i="15"/>
  <c r="F1920" i="15"/>
  <c r="F1919" i="15"/>
  <c r="F1918" i="15"/>
  <c r="F1917" i="15"/>
  <c r="F1916" i="15"/>
  <c r="F1915" i="15"/>
  <c r="F1914" i="15"/>
  <c r="F1913" i="15"/>
  <c r="F1912" i="15"/>
  <c r="F1911" i="15"/>
  <c r="F1910" i="15"/>
  <c r="F1909" i="15"/>
  <c r="F1908" i="15"/>
  <c r="F1907" i="15"/>
  <c r="F1906" i="15"/>
  <c r="F1905" i="15"/>
  <c r="F1904" i="15"/>
  <c r="F1903" i="15"/>
  <c r="F1902" i="15"/>
  <c r="F1901" i="15"/>
  <c r="F1900" i="15"/>
  <c r="F1899" i="15"/>
  <c r="F1898" i="15"/>
  <c r="F1897" i="15"/>
  <c r="F1896" i="15"/>
  <c r="F1895" i="15"/>
  <c r="F1894" i="15"/>
  <c r="F1893" i="15"/>
  <c r="F1892" i="15"/>
  <c r="F1891" i="15"/>
  <c r="F1890" i="15"/>
  <c r="F1889" i="15"/>
  <c r="F1888" i="15"/>
  <c r="F1887" i="15"/>
  <c r="F1886" i="15"/>
  <c r="F1885" i="15"/>
  <c r="F1884" i="15"/>
  <c r="F1883" i="15"/>
  <c r="F1882" i="15"/>
  <c r="F1881" i="15"/>
  <c r="F1880" i="15"/>
  <c r="F1879" i="15"/>
  <c r="F1878" i="15"/>
  <c r="F1877" i="15"/>
  <c r="F1876" i="15"/>
  <c r="F1875" i="15"/>
  <c r="F1874" i="15"/>
  <c r="F1873" i="15"/>
  <c r="F1872" i="15"/>
  <c r="F1871" i="15"/>
  <c r="F1870" i="15"/>
  <c r="F1869" i="15"/>
  <c r="F1868" i="15"/>
  <c r="F1867" i="15"/>
  <c r="F1866" i="15"/>
  <c r="F1865" i="15"/>
  <c r="F1864" i="15"/>
  <c r="F1863" i="15"/>
  <c r="F1862" i="15"/>
  <c r="F1861" i="15"/>
  <c r="F1860" i="15"/>
  <c r="F1859" i="15"/>
  <c r="F1858" i="15"/>
  <c r="F1857" i="15"/>
  <c r="F1856" i="15"/>
  <c r="F1855" i="15"/>
  <c r="F1854" i="15"/>
  <c r="F1853" i="15"/>
  <c r="F1852" i="15"/>
  <c r="F1851" i="15"/>
  <c r="F1850" i="15"/>
  <c r="F1849" i="15"/>
  <c r="E1840" i="15"/>
  <c r="E1839" i="15"/>
  <c r="E1838" i="15"/>
  <c r="E1837" i="15"/>
  <c r="E1836" i="15"/>
  <c r="E1835" i="15"/>
  <c r="E1834" i="15"/>
  <c r="E1833" i="15"/>
  <c r="E1832" i="15"/>
  <c r="E1831" i="15"/>
  <c r="E1830" i="15"/>
  <c r="E1829" i="15"/>
  <c r="E1828" i="15"/>
  <c r="E1827" i="15"/>
  <c r="E1826" i="15"/>
  <c r="E1825" i="15"/>
  <c r="E1824" i="15"/>
  <c r="E1823" i="15"/>
  <c r="E1822" i="15"/>
  <c r="E1821" i="15"/>
  <c r="E1820" i="15"/>
  <c r="E1819" i="15"/>
  <c r="E1818" i="15"/>
  <c r="E1817" i="15"/>
  <c r="E1816" i="15"/>
  <c r="E1815" i="15"/>
  <c r="E1814" i="15"/>
  <c r="E1813" i="15"/>
  <c r="E1812" i="15"/>
  <c r="E1811" i="15"/>
  <c r="E1810" i="15"/>
  <c r="E1809" i="15"/>
  <c r="E1808" i="15"/>
  <c r="E1807" i="15"/>
  <c r="E1806" i="15"/>
  <c r="E1805" i="15"/>
  <c r="E1804" i="15"/>
  <c r="E1803" i="15"/>
  <c r="E1802" i="15"/>
  <c r="E1801" i="15"/>
  <c r="E1800" i="15"/>
  <c r="E1798" i="15"/>
  <c r="E1797" i="15"/>
  <c r="E1796" i="15"/>
  <c r="E1795" i="15"/>
  <c r="E1794" i="15"/>
  <c r="E1793" i="15"/>
  <c r="E1792" i="15"/>
  <c r="E1791" i="15"/>
  <c r="E1790" i="15"/>
  <c r="E1789" i="15"/>
  <c r="E1788" i="15"/>
  <c r="E1787" i="15"/>
  <c r="E1786" i="15"/>
  <c r="E1785" i="15"/>
  <c r="E1784" i="15"/>
  <c r="E1783" i="15"/>
  <c r="E1782" i="15"/>
  <c r="E1781" i="15"/>
  <c r="E1780" i="15"/>
  <c r="E1779" i="15"/>
  <c r="E1778" i="15"/>
  <c r="E1777" i="15"/>
  <c r="E1776" i="15"/>
  <c r="E1775" i="15"/>
  <c r="E1774" i="15"/>
  <c r="E1773" i="15"/>
  <c r="E1772" i="15"/>
  <c r="E1771" i="15"/>
  <c r="E1770" i="15"/>
  <c r="E1769" i="15"/>
  <c r="E1768" i="15"/>
  <c r="E1767" i="15"/>
  <c r="E1766" i="15"/>
  <c r="G1757" i="15"/>
  <c r="F1633" i="15"/>
  <c r="G1633" i="15" s="1"/>
  <c r="G1632" i="15"/>
  <c r="G1631" i="15"/>
  <c r="G1630" i="15"/>
  <c r="G1629" i="15"/>
  <c r="G1628" i="15"/>
  <c r="G1627" i="15"/>
  <c r="G1626" i="15"/>
  <c r="G1625" i="15"/>
  <c r="G1624" i="15"/>
  <c r="G1623" i="15"/>
  <c r="G1622" i="15"/>
  <c r="G1621" i="15"/>
  <c r="G1620" i="15"/>
  <c r="G1619" i="15"/>
  <c r="G1618" i="15"/>
  <c r="G1617" i="15"/>
  <c r="G1616" i="15"/>
  <c r="G1615" i="15"/>
  <c r="G1614" i="15"/>
  <c r="G1613" i="15"/>
  <c r="G1612" i="15"/>
  <c r="G1611" i="15"/>
  <c r="G1610" i="15"/>
  <c r="G1609" i="15"/>
  <c r="G1608" i="15"/>
  <c r="G1607" i="15"/>
  <c r="G1606" i="15"/>
  <c r="G1605" i="15"/>
  <c r="G1604" i="15"/>
  <c r="G1603" i="15"/>
  <c r="G1602" i="15"/>
  <c r="G1601" i="15"/>
  <c r="G1600" i="15"/>
  <c r="G1599" i="15"/>
  <c r="G1598" i="15"/>
  <c r="G1597" i="15"/>
  <c r="G1596" i="15"/>
  <c r="G1595" i="15"/>
  <c r="G1594" i="15"/>
  <c r="G1593" i="15"/>
  <c r="G1592" i="15"/>
  <c r="G1591" i="15"/>
  <c r="G1590" i="15"/>
  <c r="G1589" i="15"/>
  <c r="G1588" i="15"/>
  <c r="G1587" i="15"/>
  <c r="G1586" i="15"/>
  <c r="G1585" i="15"/>
  <c r="G1584" i="15"/>
  <c r="G1583" i="15"/>
  <c r="G1582" i="15"/>
  <c r="G1581" i="15"/>
  <c r="G1580" i="15"/>
  <c r="G1579" i="15"/>
  <c r="G1578" i="15"/>
  <c r="G1577" i="15"/>
  <c r="G1576" i="15"/>
  <c r="G1575" i="15"/>
  <c r="G1574" i="15"/>
  <c r="G1573" i="15"/>
  <c r="G1572" i="15"/>
  <c r="G1571" i="15"/>
  <c r="G1570" i="15"/>
  <c r="G1569" i="15"/>
  <c r="G1568" i="15"/>
  <c r="G1567" i="15"/>
  <c r="G1566" i="15"/>
  <c r="G1565" i="15"/>
  <c r="G1564" i="15"/>
  <c r="G1563" i="15"/>
  <c r="G1562" i="15"/>
  <c r="G1561" i="15"/>
  <c r="G1560" i="15"/>
  <c r="G1559" i="15"/>
  <c r="G1558" i="15"/>
  <c r="G1557" i="15"/>
  <c r="G1556" i="15"/>
  <c r="G1555" i="15"/>
  <c r="G1554" i="15"/>
  <c r="G1553" i="15"/>
  <c r="G1552" i="15"/>
  <c r="G1551" i="15"/>
  <c r="G1550" i="15"/>
  <c r="G1549" i="15"/>
  <c r="G1548" i="15"/>
  <c r="G1547" i="15"/>
  <c r="G1546" i="15"/>
  <c r="G1545" i="15"/>
  <c r="G1544" i="15"/>
  <c r="G1543" i="15"/>
  <c r="G1542" i="15"/>
  <c r="G1541" i="15"/>
  <c r="G1540" i="15"/>
  <c r="G1539" i="15"/>
  <c r="G1538" i="15"/>
  <c r="G1537" i="15"/>
  <c r="G1536" i="15"/>
  <c r="G1535" i="15"/>
  <c r="G1534" i="15"/>
  <c r="G1533" i="15"/>
  <c r="G1532" i="15"/>
  <c r="G1531" i="15"/>
  <c r="G1530" i="15"/>
  <c r="G1529" i="15"/>
  <c r="G1528" i="15"/>
  <c r="G1527" i="15"/>
  <c r="G1526" i="15"/>
  <c r="G1525" i="15"/>
  <c r="G1524" i="15"/>
  <c r="G1523" i="15"/>
  <c r="G1522" i="15"/>
  <c r="G1521" i="15"/>
  <c r="G1520" i="15"/>
  <c r="G1519" i="15"/>
  <c r="G1518" i="15"/>
  <c r="G1517" i="15"/>
  <c r="G1516" i="15"/>
  <c r="G1515" i="15"/>
  <c r="G1514" i="15"/>
  <c r="G1513" i="15"/>
  <c r="G1512" i="15"/>
  <c r="G1511" i="15"/>
  <c r="G1510" i="15"/>
  <c r="G1509" i="15"/>
  <c r="G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F1330" i="15"/>
  <c r="G1329" i="15"/>
  <c r="G1328" i="15"/>
  <c r="G1327" i="15"/>
  <c r="G1326" i="15"/>
  <c r="G1325" i="15"/>
  <c r="G1324" i="15"/>
  <c r="G1323" i="15"/>
  <c r="G1322" i="15"/>
  <c r="G1321" i="15"/>
  <c r="G1320" i="15"/>
  <c r="G1319" i="15"/>
  <c r="G1318" i="15"/>
  <c r="G1317" i="15"/>
  <c r="G1316" i="15"/>
  <c r="G1315" i="15"/>
  <c r="G1314" i="15"/>
  <c r="G1313" i="15"/>
  <c r="G1312" i="15"/>
  <c r="G1311" i="15"/>
  <c r="G1310" i="15"/>
  <c r="G1309" i="15"/>
  <c r="G1308" i="15"/>
  <c r="G1307" i="15"/>
  <c r="G1306" i="15"/>
  <c r="G1305" i="15"/>
  <c r="G1304" i="15"/>
  <c r="G1303" i="15"/>
  <c r="G1302" i="15"/>
  <c r="G1301" i="15"/>
  <c r="G1300" i="15"/>
  <c r="G1299" i="15"/>
  <c r="G1298" i="15"/>
  <c r="G1297" i="15"/>
  <c r="G1296" i="15"/>
  <c r="G1295" i="15"/>
  <c r="G1294" i="15"/>
  <c r="G1293" i="15"/>
  <c r="G1292" i="15"/>
  <c r="G1291" i="15"/>
  <c r="G1290" i="15"/>
  <c r="G1289" i="15"/>
  <c r="G1288" i="15"/>
  <c r="G1287" i="15"/>
  <c r="G1286" i="15"/>
  <c r="G1285" i="15"/>
  <c r="G1284" i="15"/>
  <c r="G1283" i="15"/>
  <c r="G1282" i="15"/>
  <c r="G1281" i="15"/>
  <c r="G1280" i="15"/>
  <c r="G1279" i="15"/>
  <c r="G1278" i="15"/>
  <c r="G1277" i="15"/>
  <c r="G1276" i="15"/>
  <c r="G1275" i="15"/>
  <c r="G1274" i="15"/>
  <c r="G1273" i="15"/>
  <c r="G1272" i="15"/>
  <c r="G1271" i="15"/>
  <c r="G1270" i="15"/>
  <c r="G1269" i="15"/>
  <c r="G1268" i="15"/>
  <c r="G1267" i="15"/>
  <c r="G1266" i="15"/>
  <c r="G1265" i="15"/>
  <c r="G1264" i="15"/>
  <c r="G1263" i="15"/>
  <c r="G1262" i="15"/>
  <c r="G1261" i="15"/>
  <c r="G1260" i="15"/>
  <c r="G1259" i="15"/>
  <c r="G1258" i="15"/>
  <c r="G1257" i="15"/>
  <c r="G1256" i="15"/>
  <c r="G1255" i="15"/>
  <c r="G1254" i="15"/>
  <c r="G1253" i="15"/>
  <c r="G1252" i="15"/>
  <c r="G1251" i="15"/>
  <c r="G1250" i="15"/>
  <c r="G1249" i="15"/>
  <c r="G1248" i="15"/>
  <c r="G1247" i="15"/>
  <c r="G1246" i="15"/>
  <c r="G1245" i="15"/>
  <c r="G1244" i="15"/>
  <c r="G1243" i="15"/>
  <c r="G1242" i="15"/>
  <c r="G1241" i="15"/>
  <c r="G1240" i="15"/>
  <c r="G1239" i="15"/>
  <c r="G1238" i="15"/>
  <c r="G1237" i="15"/>
  <c r="G1236" i="15"/>
  <c r="G1235" i="15"/>
  <c r="G1234" i="15"/>
  <c r="G1233" i="15"/>
  <c r="G1232" i="15"/>
  <c r="G1231" i="15"/>
  <c r="G1230" i="15"/>
  <c r="G1229" i="15"/>
  <c r="G1228" i="15"/>
  <c r="G1227" i="15"/>
  <c r="G1226" i="15"/>
  <c r="G1225" i="15"/>
  <c r="G1224" i="15"/>
  <c r="G1223" i="15"/>
  <c r="G1222" i="15"/>
  <c r="G1221" i="15"/>
  <c r="G1220" i="15"/>
  <c r="G12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I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E1841" i="15" l="1"/>
  <c r="Q1193" i="8"/>
  <c r="J1630" i="2"/>
  <c r="J1631" i="2" s="1"/>
  <c r="J1632" i="2" s="1"/>
  <c r="J1639" i="2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65" i="2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90" i="2"/>
  <c r="J1691" i="2" s="1"/>
  <c r="J2377" i="2"/>
  <c r="J2378" i="2" s="1"/>
  <c r="J2379" i="2" s="1"/>
  <c r="J2380" i="2" s="1"/>
  <c r="H85" i="7"/>
  <c r="O1193" i="8"/>
  <c r="J52" i="8"/>
  <c r="L342" i="8"/>
  <c r="M1193" i="8"/>
  <c r="Q996" i="8"/>
  <c r="R996" i="8"/>
  <c r="I182" i="7"/>
  <c r="C182" i="7"/>
  <c r="E182" i="7" s="1"/>
  <c r="F2370" i="15"/>
  <c r="F2372" i="15" s="1"/>
  <c r="J2030" i="2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56" i="2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946" i="2"/>
  <c r="J2947" i="2" s="1"/>
  <c r="J2962" i="2"/>
  <c r="J1830" i="2"/>
  <c r="J1831" i="2" s="1"/>
  <c r="J1832" i="2" s="1"/>
  <c r="J1833" i="2" s="1"/>
  <c r="J1834" i="2" s="1"/>
  <c r="J1835" i="2" s="1"/>
  <c r="J1836" i="2" s="1"/>
  <c r="J1837" i="2" s="1"/>
  <c r="J1838" i="2" s="1"/>
  <c r="J1839" i="2" s="1"/>
  <c r="J1876" i="2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92" i="2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2630" i="2"/>
  <c r="J2631" i="2" s="1"/>
  <c r="J2632" i="2" s="1"/>
  <c r="J2633" i="2" s="1"/>
  <c r="J2634" i="2" s="1"/>
  <c r="J2635" i="2" s="1"/>
  <c r="J2636" i="2" s="1"/>
  <c r="J2637" i="2" s="1"/>
  <c r="J2784" i="2"/>
  <c r="J2785" i="2" s="1"/>
  <c r="J2786" i="2" s="1"/>
  <c r="J2794" i="2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J2815" i="2"/>
  <c r="J2816" i="2" s="1"/>
  <c r="J2817" i="2" s="1"/>
  <c r="J2818" i="2" s="1"/>
  <c r="J2878" i="2"/>
  <c r="J2879" i="2" s="1"/>
  <c r="J2984" i="2"/>
  <c r="J1029" i="2"/>
  <c r="J1030" i="2" s="1"/>
  <c r="J1031" i="2" s="1"/>
  <c r="J1032" i="2" s="1"/>
  <c r="J1033" i="2" s="1"/>
  <c r="J1034" i="2" s="1"/>
  <c r="J1035" i="2" s="1"/>
  <c r="J1036" i="2" s="1"/>
  <c r="V21" i="2"/>
  <c r="V22" i="2" s="1"/>
  <c r="V23" i="2" s="1"/>
  <c r="V24" i="2" s="1"/>
  <c r="V25" i="2" s="1"/>
  <c r="V26" i="2" s="1"/>
  <c r="V27" i="2" s="1"/>
  <c r="V28" i="2" s="1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281" i="2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383" i="2"/>
  <c r="J795" i="2"/>
  <c r="J1426" i="2"/>
  <c r="J1427" i="2" s="1"/>
  <c r="J1428" i="2" s="1"/>
  <c r="J1429" i="2" s="1"/>
  <c r="J1430" i="2" s="1"/>
  <c r="J1431" i="2" s="1"/>
  <c r="J1432" i="2" s="1"/>
  <c r="J1433" i="2" s="1"/>
  <c r="J1434" i="2" s="1"/>
  <c r="J1435" i="2" s="1"/>
  <c r="M2694" i="2"/>
  <c r="N2694" i="2" s="1"/>
  <c r="J1098" i="2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271" i="2"/>
  <c r="J1272" i="2" s="1"/>
  <c r="J1273" i="2" s="1"/>
  <c r="J1274" i="2" s="1"/>
  <c r="J1334" i="2"/>
  <c r="J1335" i="2" s="1"/>
  <c r="J1336" i="2" s="1"/>
  <c r="J1337" i="2" s="1"/>
  <c r="J2993" i="2"/>
  <c r="J2994" i="2" s="1"/>
  <c r="J2995" i="2" s="1"/>
  <c r="J2996" i="2" s="1"/>
  <c r="J2997" i="2" s="1"/>
  <c r="J2998" i="2" s="1"/>
  <c r="J2999" i="2" s="1"/>
  <c r="J3000" i="2" s="1"/>
  <c r="J3001" i="2" s="1"/>
  <c r="J3002" i="2" s="1"/>
  <c r="J3003" i="2" s="1"/>
  <c r="J2752" i="2"/>
  <c r="J2753" i="2" s="1"/>
  <c r="J2754" i="2" s="1"/>
  <c r="J2755" i="2" s="1"/>
  <c r="J2756" i="2" s="1"/>
  <c r="J2757" i="2" s="1"/>
  <c r="J2758" i="2" s="1"/>
  <c r="J2759" i="2" s="1"/>
  <c r="J2760" i="2" s="1"/>
  <c r="J2761" i="2" s="1"/>
  <c r="J468" i="2"/>
  <c r="J469" i="2" s="1"/>
  <c r="J470" i="2" s="1"/>
  <c r="J475" i="2"/>
  <c r="J2107" i="2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G1330" i="15"/>
  <c r="H1375" i="15"/>
  <c r="F2552" i="15"/>
  <c r="F1952" i="15"/>
  <c r="J268" i="15"/>
  <c r="E2302" i="15"/>
  <c r="E4" i="7"/>
  <c r="F4" i="7" s="1"/>
  <c r="E8" i="7"/>
  <c r="F8" i="7" s="1"/>
  <c r="E12" i="7"/>
  <c r="F12" i="7" s="1"/>
  <c r="E20" i="7"/>
  <c r="F20" i="7" s="1"/>
  <c r="J1400" i="2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H159" i="2"/>
  <c r="I159" i="2" s="1"/>
  <c r="J159" i="2" s="1"/>
  <c r="J268" i="2"/>
  <c r="J269" i="2" s="1"/>
  <c r="J287" i="2"/>
  <c r="J288" i="2" s="1"/>
  <c r="J289" i="2" s="1"/>
  <c r="J296" i="2"/>
  <c r="J297" i="2" s="1"/>
  <c r="J298" i="2" s="1"/>
  <c r="J299" i="2" s="1"/>
  <c r="J300" i="2" s="1"/>
  <c r="J301" i="2" s="1"/>
  <c r="J302" i="2" s="1"/>
  <c r="J303" i="2" s="1"/>
  <c r="J345" i="2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414" i="2"/>
  <c r="J415" i="2" s="1"/>
  <c r="J430" i="2"/>
  <c r="J431" i="2" s="1"/>
  <c r="J432" i="2" s="1"/>
  <c r="J438" i="2"/>
  <c r="J439" i="2" s="1"/>
  <c r="J440" i="2" s="1"/>
  <c r="J446" i="2"/>
  <c r="J447" i="2" s="1"/>
  <c r="J448" i="2" s="1"/>
  <c r="J449" i="2" s="1"/>
  <c r="J450" i="2" s="1"/>
  <c r="J451" i="2" s="1"/>
  <c r="J452" i="2" s="1"/>
  <c r="J453" i="2" s="1"/>
  <c r="J699" i="2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877" i="2"/>
  <c r="J878" i="2" s="1"/>
  <c r="J879" i="2" s="1"/>
  <c r="J880" i="2" s="1"/>
  <c r="J1118" i="2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2158" i="2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K547" i="2"/>
  <c r="M547" i="2"/>
  <c r="N547" i="2" s="1"/>
  <c r="K558" i="2"/>
  <c r="M558" i="2"/>
  <c r="N558" i="2" s="1"/>
  <c r="K543" i="2"/>
  <c r="M543" i="2"/>
  <c r="N543" i="2" s="1"/>
  <c r="K2827" i="2"/>
  <c r="J19" i="2"/>
  <c r="J20" i="2" s="1"/>
  <c r="J21" i="2" s="1"/>
  <c r="J22" i="2" s="1"/>
  <c r="J23" i="2" s="1"/>
  <c r="J24" i="2" s="1"/>
  <c r="J25" i="2" s="1"/>
  <c r="J26" i="2" s="1"/>
  <c r="J309" i="2"/>
  <c r="J310" i="2" s="1"/>
  <c r="J311" i="2" s="1"/>
  <c r="J312" i="2" s="1"/>
  <c r="J313" i="2" s="1"/>
  <c r="J314" i="2" s="1"/>
  <c r="J315" i="2" s="1"/>
  <c r="J316" i="2" s="1"/>
  <c r="J946" i="2"/>
  <c r="J947" i="2" s="1"/>
  <c r="J948" i="2" s="1"/>
  <c r="J949" i="2" s="1"/>
  <c r="J1085" i="2"/>
  <c r="J1086" i="2" s="1"/>
  <c r="J1087" i="2" s="1"/>
  <c r="J1088" i="2" s="1"/>
  <c r="J1089" i="2" s="1"/>
  <c r="J1090" i="2" s="1"/>
  <c r="J1091" i="2" s="1"/>
  <c r="J1092" i="2" s="1"/>
  <c r="J599" i="2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730" i="2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1325" i="2"/>
  <c r="J1326" i="2" s="1"/>
  <c r="J1327" i="2" s="1"/>
  <c r="J1328" i="2" s="1"/>
  <c r="J1354" i="2"/>
  <c r="J1355" i="2" s="1"/>
  <c r="J1389" i="2"/>
  <c r="J1390" i="2" s="1"/>
  <c r="J1391" i="2" s="1"/>
  <c r="J1392" i="2" s="1"/>
  <c r="J1393" i="2" s="1"/>
  <c r="J1488" i="2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758" i="2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954" i="2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2769" i="2"/>
  <c r="J2770" i="2" s="1"/>
  <c r="J2771" i="2" s="1"/>
  <c r="J2772" i="2" s="1"/>
  <c r="J2773" i="2" s="1"/>
  <c r="J2774" i="2" s="1"/>
  <c r="J2775" i="2" s="1"/>
  <c r="J2776" i="2" s="1"/>
  <c r="J323" i="2"/>
  <c r="J324" i="2" s="1"/>
  <c r="J325" i="2" s="1"/>
  <c r="J326" i="2" s="1"/>
  <c r="J2720" i="2"/>
  <c r="J2721" i="2" s="1"/>
  <c r="J664" i="2"/>
  <c r="J665" i="2" s="1"/>
  <c r="J666" i="2" s="1"/>
  <c r="J667" i="2" s="1"/>
  <c r="J668" i="2" s="1"/>
  <c r="J669" i="2" s="1"/>
  <c r="J670" i="2" s="1"/>
  <c r="J671" i="2" s="1"/>
  <c r="J1975" i="2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K2689" i="2"/>
  <c r="J275" i="2"/>
  <c r="J276" i="2" s="1"/>
  <c r="J277" i="2" s="1"/>
  <c r="J278" i="2" s="1"/>
  <c r="J279" i="2" s="1"/>
  <c r="J280" i="2" s="1"/>
  <c r="J281" i="2" s="1"/>
  <c r="J282" i="2" s="1"/>
  <c r="J364" i="2"/>
  <c r="J365" i="2" s="1"/>
  <c r="J366" i="2" s="1"/>
  <c r="J372" i="2"/>
  <c r="J373" i="2" s="1"/>
  <c r="J374" i="2" s="1"/>
  <c r="J375" i="2" s="1"/>
  <c r="J376" i="2" s="1"/>
  <c r="J389" i="2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2308" i="2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509" i="2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M2831" i="2"/>
  <c r="N2831" i="2" s="1"/>
  <c r="J829" i="2"/>
  <c r="J1072" i="2"/>
  <c r="J1073" i="2" s="1"/>
  <c r="J1074" i="2" s="1"/>
  <c r="J1075" i="2" s="1"/>
  <c r="J1076" i="2" s="1"/>
  <c r="J1077" i="2" s="1"/>
  <c r="J1078" i="2" s="1"/>
  <c r="J1142" i="2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344" i="2"/>
  <c r="J1345" i="2" s="1"/>
  <c r="J1346" i="2" s="1"/>
  <c r="J1347" i="2" s="1"/>
  <c r="J1348" i="2" s="1"/>
  <c r="J1370" i="2"/>
  <c r="J1371" i="2" s="1"/>
  <c r="J1372" i="2" s="1"/>
  <c r="J1373" i="2" s="1"/>
  <c r="J1374" i="2" s="1"/>
  <c r="J1375" i="2" s="1"/>
  <c r="J1376" i="2" s="1"/>
  <c r="J1442" i="2"/>
  <c r="J1443" i="2" s="1"/>
  <c r="J1444" i="2" s="1"/>
  <c r="J1445" i="2" s="1"/>
  <c r="J1446" i="2" s="1"/>
  <c r="J1447" i="2" s="1"/>
  <c r="J1448" i="2" s="1"/>
  <c r="J1449" i="2" s="1"/>
  <c r="J1584" i="2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810" i="2"/>
  <c r="J1811" i="2" s="1"/>
  <c r="J1812" i="2" s="1"/>
  <c r="J1813" i="2" s="1"/>
  <c r="J1814" i="2" s="1"/>
  <c r="J1846" i="2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K525" i="2"/>
  <c r="M525" i="2"/>
  <c r="N525" i="2" s="1"/>
  <c r="K496" i="2"/>
  <c r="M496" i="2"/>
  <c r="N496" i="2" s="1"/>
  <c r="O496" i="2" s="1"/>
  <c r="K531" i="2"/>
  <c r="M531" i="2"/>
  <c r="N531" i="2" s="1"/>
  <c r="O531" i="2" s="1"/>
  <c r="K559" i="2"/>
  <c r="M559" i="2"/>
  <c r="N559" i="2" s="1"/>
  <c r="K504" i="2"/>
  <c r="M504" i="2"/>
  <c r="N504" i="2" s="1"/>
  <c r="K555" i="2"/>
  <c r="M555" i="2"/>
  <c r="N555" i="2" s="1"/>
  <c r="K535" i="2"/>
  <c r="M535" i="2"/>
  <c r="N535" i="2" s="1"/>
  <c r="M550" i="2"/>
  <c r="N550" i="2" s="1"/>
  <c r="K550" i="2"/>
  <c r="K522" i="2"/>
  <c r="M522" i="2"/>
  <c r="N522" i="2" s="1"/>
  <c r="K551" i="2"/>
  <c r="M551" i="2"/>
  <c r="N551" i="2" s="1"/>
  <c r="K500" i="2"/>
  <c r="M500" i="2"/>
  <c r="N500" i="2" s="1"/>
  <c r="K508" i="2"/>
  <c r="M508" i="2"/>
  <c r="N508" i="2" s="1"/>
  <c r="K563" i="2"/>
  <c r="M563" i="2"/>
  <c r="N563" i="2" s="1"/>
  <c r="J620" i="2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95" i="2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7" i="2"/>
  <c r="J118" i="2" s="1"/>
  <c r="J119" i="2" s="1"/>
  <c r="J120" i="2" s="1"/>
  <c r="J121" i="2" s="1"/>
  <c r="J122" i="2" s="1"/>
  <c r="K513" i="2"/>
  <c r="M539" i="2"/>
  <c r="N539" i="2" s="1"/>
  <c r="M562" i="2"/>
  <c r="N562" i="2" s="1"/>
  <c r="J572" i="2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1004" i="2"/>
  <c r="J1005" i="2" s="1"/>
  <c r="J1006" i="2" s="1"/>
  <c r="J1007" i="2" s="1"/>
  <c r="J1008" i="2" s="1"/>
  <c r="J1009" i="2" s="1"/>
  <c r="J1010" i="2" s="1"/>
  <c r="J1011" i="2" s="1"/>
  <c r="J2298" i="2"/>
  <c r="J2299" i="2" s="1"/>
  <c r="J2300" i="2" s="1"/>
  <c r="J2301" i="2" s="1"/>
  <c r="M2707" i="2"/>
  <c r="N2707" i="2" s="1"/>
  <c r="K2707" i="2"/>
  <c r="J677" i="2"/>
  <c r="J678" i="2" s="1"/>
  <c r="J679" i="2" s="1"/>
  <c r="J823" i="2"/>
  <c r="J824" i="2" s="1"/>
  <c r="J1042" i="2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459" i="2"/>
  <c r="J460" i="2" s="1"/>
  <c r="J461" i="2" s="1"/>
  <c r="J462" i="2" s="1"/>
  <c r="J482" i="2"/>
  <c r="J483" i="2" s="1"/>
  <c r="J484" i="2" s="1"/>
  <c r="J485" i="2" s="1"/>
  <c r="J486" i="2" s="1"/>
  <c r="J487" i="2" s="1"/>
  <c r="J488" i="2" s="1"/>
  <c r="J489" i="2" s="1"/>
  <c r="K499" i="2"/>
  <c r="K521" i="2"/>
  <c r="J690" i="2"/>
  <c r="J691" i="2" s="1"/>
  <c r="J692" i="2" s="1"/>
  <c r="J693" i="2" s="1"/>
  <c r="J1248" i="2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K1822" i="2"/>
  <c r="M1822" i="2"/>
  <c r="N1822" i="2" s="1"/>
  <c r="J147" i="2"/>
  <c r="J148" i="2" s="1"/>
  <c r="J149" i="2" s="1"/>
  <c r="J150" i="2" s="1"/>
  <c r="J151" i="2" s="1"/>
  <c r="J152" i="2" s="1"/>
  <c r="J153" i="2" s="1"/>
  <c r="J154" i="2" s="1"/>
  <c r="J716" i="2"/>
  <c r="J717" i="2" s="1"/>
  <c r="J718" i="2" s="1"/>
  <c r="J719" i="2" s="1"/>
  <c r="J720" i="2" s="1"/>
  <c r="J721" i="2" s="1"/>
  <c r="J722" i="2" s="1"/>
  <c r="J723" i="2" s="1"/>
  <c r="J58" i="2"/>
  <c r="J59" i="2" s="1"/>
  <c r="J60" i="2" s="1"/>
  <c r="J61" i="2" s="1"/>
  <c r="J62" i="2" s="1"/>
  <c r="J63" i="2" s="1"/>
  <c r="J64" i="2" s="1"/>
  <c r="J65" i="2" s="1"/>
  <c r="M514" i="2"/>
  <c r="N514" i="2" s="1"/>
  <c r="M518" i="2"/>
  <c r="N518" i="2" s="1"/>
  <c r="K538" i="2"/>
  <c r="J684" i="2"/>
  <c r="J809" i="2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42" i="2"/>
  <c r="J243" i="2" s="1"/>
  <c r="J244" i="2" s="1"/>
  <c r="J245" i="2" s="1"/>
  <c r="J246" i="2" s="1"/>
  <c r="J247" i="2" s="1"/>
  <c r="J248" i="2" s="1"/>
  <c r="J249" i="2" s="1"/>
  <c r="J421" i="2"/>
  <c r="J422" i="2" s="1"/>
  <c r="J423" i="2" s="1"/>
  <c r="J424" i="2" s="1"/>
  <c r="J1017" i="2"/>
  <c r="J1018" i="2" s="1"/>
  <c r="J1019" i="2" s="1"/>
  <c r="J1020" i="2" s="1"/>
  <c r="J1021" i="2" s="1"/>
  <c r="J1022" i="2" s="1"/>
  <c r="J1023" i="2" s="1"/>
  <c r="J1024" i="2" s="1"/>
  <c r="J1217" i="2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K1910" i="2"/>
  <c r="J2089" i="2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275" i="2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K2954" i="2"/>
  <c r="J73" i="2"/>
  <c r="J74" i="2" s="1"/>
  <c r="J75" i="2" s="1"/>
  <c r="J76" i="2" s="1"/>
  <c r="J77" i="2" s="1"/>
  <c r="J78" i="2" s="1"/>
  <c r="J79" i="2" s="1"/>
  <c r="J80" i="2" s="1"/>
  <c r="J81" i="2" s="1"/>
  <c r="J637" i="2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M1821" i="2"/>
  <c r="N1821" i="2" s="1"/>
  <c r="K1821" i="2"/>
  <c r="J782" i="2"/>
  <c r="J783" i="2" s="1"/>
  <c r="J784" i="2" s="1"/>
  <c r="J785" i="2" s="1"/>
  <c r="J786" i="2" s="1"/>
  <c r="J787" i="2" s="1"/>
  <c r="J788" i="2" s="1"/>
  <c r="J789" i="2" s="1"/>
  <c r="J841" i="2"/>
  <c r="J842" i="2" s="1"/>
  <c r="J843" i="2" s="1"/>
  <c r="J844" i="2" s="1"/>
  <c r="J845" i="2" s="1"/>
  <c r="J846" i="2" s="1"/>
  <c r="J847" i="2" s="1"/>
  <c r="J848" i="2" s="1"/>
  <c r="J849" i="2" s="1"/>
  <c r="J850" i="2" s="1"/>
  <c r="J1189" i="2"/>
  <c r="J1190" i="2" s="1"/>
  <c r="J1191" i="2" s="1"/>
  <c r="J1192" i="2" s="1"/>
  <c r="J1193" i="2" s="1"/>
  <c r="J1194" i="2" s="1"/>
  <c r="J1195" i="2" s="1"/>
  <c r="J1196" i="2" s="1"/>
  <c r="J2198" i="2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388" i="2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38" i="2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1993" i="2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K2412" i="2"/>
  <c r="M2712" i="2"/>
  <c r="N2712" i="2" s="1"/>
  <c r="J835" i="2"/>
  <c r="J1457" i="2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2146" i="2"/>
  <c r="J2147" i="2" s="1"/>
  <c r="J2148" i="2" s="1"/>
  <c r="J2149" i="2" s="1"/>
  <c r="J2150" i="2" s="1"/>
  <c r="K3034" i="2"/>
  <c r="J964" i="2"/>
  <c r="J965" i="2" s="1"/>
  <c r="J966" i="2" s="1"/>
  <c r="J967" i="2" s="1"/>
  <c r="J968" i="2" s="1"/>
  <c r="J969" i="2" s="1"/>
  <c r="J970" i="2" s="1"/>
  <c r="J971" i="2" s="1"/>
  <c r="J972" i="2" s="1"/>
  <c r="J1308" i="2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M2708" i="2"/>
  <c r="N2708" i="2" s="1"/>
  <c r="J855" i="2"/>
  <c r="J856" i="2" s="1"/>
  <c r="J857" i="2" s="1"/>
  <c r="J858" i="2" s="1"/>
  <c r="J859" i="2" s="1"/>
  <c r="J860" i="2" s="1"/>
  <c r="J861" i="2" s="1"/>
  <c r="J862" i="2" s="1"/>
  <c r="J978" i="2"/>
  <c r="J979" i="2" s="1"/>
  <c r="J980" i="2" s="1"/>
  <c r="J981" i="2" s="1"/>
  <c r="J982" i="2" s="1"/>
  <c r="J983" i="2" s="1"/>
  <c r="J984" i="2" s="1"/>
  <c r="J985" i="2" s="1"/>
  <c r="J2887" i="2"/>
  <c r="J2888" i="2" s="1"/>
  <c r="J2889" i="2" s="1"/>
  <c r="J2890" i="2" s="1"/>
  <c r="J2891" i="2" s="1"/>
  <c r="J2892" i="2" s="1"/>
  <c r="J2893" i="2" s="1"/>
  <c r="J2894" i="2" s="1"/>
  <c r="J2895" i="2" s="1"/>
  <c r="J2896" i="2" s="1"/>
  <c r="J2897" i="2" s="1"/>
  <c r="J2898" i="2" s="1"/>
  <c r="J2899" i="2" s="1"/>
  <c r="J1362" i="2"/>
  <c r="J1363" i="2" s="1"/>
  <c r="J1698" i="2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48" i="2"/>
  <c r="J1749" i="2" s="1"/>
  <c r="J1750" i="2" s="1"/>
  <c r="J1751" i="2" s="1"/>
  <c r="K2693" i="2"/>
  <c r="K2835" i="2"/>
  <c r="J768" i="2"/>
  <c r="J769" i="2" s="1"/>
  <c r="J770" i="2" s="1"/>
  <c r="J771" i="2" s="1"/>
  <c r="J772" i="2" s="1"/>
  <c r="J773" i="2" s="1"/>
  <c r="J774" i="2" s="1"/>
  <c r="J775" i="2" s="1"/>
  <c r="J867" i="2"/>
  <c r="J868" i="2" s="1"/>
  <c r="J869" i="2" s="1"/>
  <c r="J870" i="2" s="1"/>
  <c r="J871" i="2" s="1"/>
  <c r="N292" i="5"/>
  <c r="W35" i="2"/>
  <c r="Y35" i="2"/>
  <c r="Z35" i="2" s="1"/>
  <c r="Y37" i="2"/>
  <c r="Z37" i="2" s="1"/>
  <c r="W37" i="2"/>
  <c r="Y41" i="2"/>
  <c r="Z41" i="2" s="1"/>
  <c r="W41" i="2"/>
  <c r="M537" i="2"/>
  <c r="N537" i="2" s="1"/>
  <c r="K537" i="2"/>
  <c r="W42" i="2"/>
  <c r="Y42" i="2"/>
  <c r="Z42" i="2" s="1"/>
  <c r="M541" i="2"/>
  <c r="N541" i="2" s="1"/>
  <c r="K541" i="2"/>
  <c r="M549" i="2"/>
  <c r="N549" i="2" s="1"/>
  <c r="K549" i="2"/>
  <c r="M557" i="2"/>
  <c r="N557" i="2" s="1"/>
  <c r="K557" i="2"/>
  <c r="Y43" i="2"/>
  <c r="Z43" i="2" s="1"/>
  <c r="W43" i="2"/>
  <c r="Y38" i="2"/>
  <c r="Z38" i="2" s="1"/>
  <c r="W38" i="2"/>
  <c r="W36" i="2"/>
  <c r="Y36" i="2"/>
  <c r="Z36" i="2" s="1"/>
  <c r="M512" i="2"/>
  <c r="N512" i="2" s="1"/>
  <c r="K512" i="2"/>
  <c r="M561" i="2"/>
  <c r="N561" i="2" s="1"/>
  <c r="K561" i="2"/>
  <c r="J6" i="2"/>
  <c r="J7" i="2" s="1"/>
  <c r="J8" i="2" s="1"/>
  <c r="J9" i="2" s="1"/>
  <c r="J10" i="2" s="1"/>
  <c r="J11" i="2" s="1"/>
  <c r="J12" i="2" s="1"/>
  <c r="J13" i="2" s="1"/>
  <c r="J32" i="2"/>
  <c r="J33" i="2" s="1"/>
  <c r="J34" i="2" s="1"/>
  <c r="J35" i="2" s="1"/>
  <c r="J36" i="2" s="1"/>
  <c r="J37" i="2" s="1"/>
  <c r="J38" i="2" s="1"/>
  <c r="J39" i="2" s="1"/>
  <c r="Y34" i="2"/>
  <c r="Z34" i="2" s="1"/>
  <c r="AA34" i="2" s="1"/>
  <c r="W34" i="2"/>
  <c r="J45" i="2"/>
  <c r="J46" i="2" s="1"/>
  <c r="J47" i="2" s="1"/>
  <c r="J48" i="2" s="1"/>
  <c r="J49" i="2" s="1"/>
  <c r="J50" i="2" s="1"/>
  <c r="J51" i="2" s="1"/>
  <c r="J52" i="2" s="1"/>
  <c r="Y39" i="2"/>
  <c r="Z39" i="2" s="1"/>
  <c r="W39" i="2"/>
  <c r="M498" i="2"/>
  <c r="N498" i="2" s="1"/>
  <c r="K498" i="2"/>
  <c r="M520" i="2"/>
  <c r="N520" i="2" s="1"/>
  <c r="K520" i="2"/>
  <c r="Y40" i="2"/>
  <c r="Z40" i="2" s="1"/>
  <c r="W40" i="2"/>
  <c r="M502" i="2"/>
  <c r="N502" i="2" s="1"/>
  <c r="K502" i="2"/>
  <c r="M524" i="2"/>
  <c r="N524" i="2" s="1"/>
  <c r="K524" i="2"/>
  <c r="M516" i="2"/>
  <c r="N516" i="2" s="1"/>
  <c r="K516" i="2"/>
  <c r="M553" i="2"/>
  <c r="N553" i="2" s="1"/>
  <c r="K553" i="2"/>
  <c r="H160" i="2"/>
  <c r="I160" i="2" s="1"/>
  <c r="M505" i="2"/>
  <c r="N505" i="2" s="1"/>
  <c r="K505" i="2"/>
  <c r="K517" i="2"/>
  <c r="M534" i="2"/>
  <c r="N534" i="2" s="1"/>
  <c r="M544" i="2"/>
  <c r="N544" i="2" s="1"/>
  <c r="K544" i="2"/>
  <c r="K554" i="2"/>
  <c r="M1298" i="2"/>
  <c r="N1298" i="2" s="1"/>
  <c r="K1298" i="2"/>
  <c r="M511" i="2"/>
  <c r="N511" i="2" s="1"/>
  <c r="K511" i="2"/>
  <c r="M507" i="2"/>
  <c r="N507" i="2" s="1"/>
  <c r="M1301" i="2"/>
  <c r="N1301" i="2" s="1"/>
  <c r="K503" i="2"/>
  <c r="M510" i="2"/>
  <c r="N510" i="2" s="1"/>
  <c r="K510" i="2"/>
  <c r="M532" i="2"/>
  <c r="N532" i="2" s="1"/>
  <c r="K532" i="2"/>
  <c r="K542" i="2"/>
  <c r="M564" i="2"/>
  <c r="N564" i="2" s="1"/>
  <c r="K564" i="2"/>
  <c r="J894" i="2"/>
  <c r="M509" i="2"/>
  <c r="N509" i="2" s="1"/>
  <c r="K509" i="2"/>
  <c r="M548" i="2"/>
  <c r="N548" i="2" s="1"/>
  <c r="K548" i="2"/>
  <c r="M497" i="2"/>
  <c r="N497" i="2" s="1"/>
  <c r="K497" i="2"/>
  <c r="M536" i="2"/>
  <c r="N536" i="2" s="1"/>
  <c r="K536" i="2"/>
  <c r="K546" i="2"/>
  <c r="M556" i="2"/>
  <c r="N556" i="2" s="1"/>
  <c r="K556" i="2"/>
  <c r="M515" i="2"/>
  <c r="N515" i="2" s="1"/>
  <c r="K515" i="2"/>
  <c r="M552" i="2"/>
  <c r="N552" i="2" s="1"/>
  <c r="K552" i="2"/>
  <c r="M501" i="2"/>
  <c r="N501" i="2" s="1"/>
  <c r="K501" i="2"/>
  <c r="M506" i="2"/>
  <c r="N506" i="2" s="1"/>
  <c r="K506" i="2"/>
  <c r="M540" i="2"/>
  <c r="N540" i="2" s="1"/>
  <c r="K540" i="2"/>
  <c r="M545" i="2"/>
  <c r="N545" i="2" s="1"/>
  <c r="K545" i="2"/>
  <c r="J887" i="2"/>
  <c r="M519" i="2"/>
  <c r="N519" i="2" s="1"/>
  <c r="K519" i="2"/>
  <c r="J255" i="2"/>
  <c r="J256" i="2" s="1"/>
  <c r="J257" i="2" s="1"/>
  <c r="J258" i="2" s="1"/>
  <c r="J259" i="2" s="1"/>
  <c r="J260" i="2" s="1"/>
  <c r="J261" i="2" s="1"/>
  <c r="J262" i="2" s="1"/>
  <c r="J332" i="2"/>
  <c r="J333" i="2" s="1"/>
  <c r="J334" i="2" s="1"/>
  <c r="J335" i="2" s="1"/>
  <c r="J336" i="2" s="1"/>
  <c r="J337" i="2" s="1"/>
  <c r="J338" i="2" s="1"/>
  <c r="J339" i="2" s="1"/>
  <c r="M523" i="2"/>
  <c r="N523" i="2" s="1"/>
  <c r="K523" i="2"/>
  <c r="M533" i="2"/>
  <c r="N533" i="2" s="1"/>
  <c r="K533" i="2"/>
  <c r="M560" i="2"/>
  <c r="N560" i="2" s="1"/>
  <c r="K560" i="2"/>
  <c r="M565" i="2"/>
  <c r="N565" i="2" s="1"/>
  <c r="K565" i="2"/>
  <c r="J1161" i="2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203" i="2"/>
  <c r="J1204" i="2" s="1"/>
  <c r="J1205" i="2" s="1"/>
  <c r="J1206" i="2" s="1"/>
  <c r="J1207" i="2" s="1"/>
  <c r="J1208" i="2" s="1"/>
  <c r="J1209" i="2" s="1"/>
  <c r="J1210" i="2" s="1"/>
  <c r="J1383" i="2"/>
  <c r="J955" i="2"/>
  <c r="J956" i="2" s="1"/>
  <c r="J957" i="2" s="1"/>
  <c r="J958" i="2" s="1"/>
  <c r="J991" i="2"/>
  <c r="J992" i="2" s="1"/>
  <c r="J993" i="2" s="1"/>
  <c r="J994" i="2" s="1"/>
  <c r="J995" i="2" s="1"/>
  <c r="J996" i="2" s="1"/>
  <c r="J997" i="2" s="1"/>
  <c r="J998" i="2" s="1"/>
  <c r="M1299" i="2"/>
  <c r="N1299" i="2" s="1"/>
  <c r="K1299" i="2"/>
  <c r="J1234" i="2"/>
  <c r="J1235" i="2" s="1"/>
  <c r="J1236" i="2" s="1"/>
  <c r="J1237" i="2" s="1"/>
  <c r="J1238" i="2" s="1"/>
  <c r="J1239" i="2" s="1"/>
  <c r="J1240" i="2" s="1"/>
  <c r="J1241" i="2" s="1"/>
  <c r="M1820" i="2"/>
  <c r="N1820" i="2" s="1"/>
  <c r="O1820" i="2" s="1"/>
  <c r="K1820" i="2"/>
  <c r="J900" i="2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7" i="2"/>
  <c r="J938" i="2" s="1"/>
  <c r="J939" i="2" s="1"/>
  <c r="J940" i="2" s="1"/>
  <c r="J1683" i="2"/>
  <c r="J1684" i="2" s="1"/>
  <c r="J1059" i="2"/>
  <c r="J1060" i="2" s="1"/>
  <c r="J1061" i="2" s="1"/>
  <c r="J1062" i="2" s="1"/>
  <c r="J1063" i="2" s="1"/>
  <c r="J1064" i="2" s="1"/>
  <c r="J1065" i="2" s="1"/>
  <c r="J1066" i="2" s="1"/>
  <c r="M1297" i="2"/>
  <c r="N1297" i="2" s="1"/>
  <c r="O1297" i="2" s="1"/>
  <c r="M1300" i="2"/>
  <c r="N1300" i="2" s="1"/>
  <c r="J1789" i="2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M1823" i="2"/>
  <c r="N1823" i="2" s="1"/>
  <c r="K1823" i="2"/>
  <c r="J1738" i="2"/>
  <c r="J1739" i="2" s="1"/>
  <c r="J1740" i="2" s="1"/>
  <c r="J1741" i="2" s="1"/>
  <c r="J1520" i="2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7" i="2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936" i="2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M2413" i="2"/>
  <c r="N2413" i="2" s="1"/>
  <c r="O2413" i="2" s="1"/>
  <c r="K2413" i="2"/>
  <c r="J2019" i="2"/>
  <c r="J2020" i="2" s="1"/>
  <c r="J2021" i="2" s="1"/>
  <c r="J2022" i="2" s="1"/>
  <c r="J2023" i="2" s="1"/>
  <c r="J1917" i="2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M1909" i="2"/>
  <c r="N1909" i="2" s="1"/>
  <c r="O1909" i="2" s="1"/>
  <c r="O1910" i="2" s="1"/>
  <c r="K1909" i="2"/>
  <c r="J2231" i="2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51" i="2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M2825" i="2"/>
  <c r="N2825" i="2" s="1"/>
  <c r="O2825" i="2" s="1"/>
  <c r="K2825" i="2"/>
  <c r="M2711" i="2"/>
  <c r="N2711" i="2" s="1"/>
  <c r="K2711" i="2"/>
  <c r="J2124" i="2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K2690" i="2"/>
  <c r="M2690" i="2"/>
  <c r="N2690" i="2" s="1"/>
  <c r="O2690" i="2" s="1"/>
  <c r="J2427" i="2"/>
  <c r="J2428" i="2" s="1"/>
  <c r="J2429" i="2" s="1"/>
  <c r="J2430" i="2" s="1"/>
  <c r="J2431" i="2" s="1"/>
  <c r="J2420" i="2"/>
  <c r="M2703" i="2"/>
  <c r="N2703" i="2" s="1"/>
  <c r="K2703" i="2"/>
  <c r="J2478" i="2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38" i="2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9" i="2"/>
  <c r="J2560" i="2" s="1"/>
  <c r="J2567" i="2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K2704" i="2"/>
  <c r="M2704" i="2"/>
  <c r="N2704" i="2" s="1"/>
  <c r="M2834" i="2"/>
  <c r="N2834" i="2" s="1"/>
  <c r="K2834" i="2"/>
  <c r="M2838" i="2"/>
  <c r="N2838" i="2" s="1"/>
  <c r="K2838" i="2"/>
  <c r="M2710" i="2"/>
  <c r="N2710" i="2" s="1"/>
  <c r="K2710" i="2"/>
  <c r="J2737" i="2"/>
  <c r="J2738" i="2" s="1"/>
  <c r="J2739" i="2" s="1"/>
  <c r="J2740" i="2" s="1"/>
  <c r="J2741" i="2" s="1"/>
  <c r="J2742" i="2" s="1"/>
  <c r="J2743" i="2" s="1"/>
  <c r="J2744" i="2" s="1"/>
  <c r="J2745" i="2" s="1"/>
  <c r="M2830" i="2"/>
  <c r="N2830" i="2" s="1"/>
  <c r="K2830" i="2"/>
  <c r="M2839" i="2"/>
  <c r="N2839" i="2" s="1"/>
  <c r="K2839" i="2"/>
  <c r="M2691" i="2"/>
  <c r="N2691" i="2" s="1"/>
  <c r="K2691" i="2"/>
  <c r="M2730" i="2"/>
  <c r="N2730" i="2" s="1"/>
  <c r="K2730" i="2"/>
  <c r="J2651" i="2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M2695" i="2"/>
  <c r="N2695" i="2" s="1"/>
  <c r="K2695" i="2"/>
  <c r="M2832" i="2"/>
  <c r="N2832" i="2" s="1"/>
  <c r="K2832" i="2"/>
  <c r="M3032" i="2"/>
  <c r="N3032" i="2" s="1"/>
  <c r="O3032" i="2" s="1"/>
  <c r="K3032" i="2"/>
  <c r="M2692" i="2"/>
  <c r="N2692" i="2" s="1"/>
  <c r="K2692" i="2"/>
  <c r="M2705" i="2"/>
  <c r="N2705" i="2" s="1"/>
  <c r="K2705" i="2"/>
  <c r="M3037" i="2"/>
  <c r="N3037" i="2" s="1"/>
  <c r="K3037" i="2"/>
  <c r="M2702" i="2"/>
  <c r="N2702" i="2" s="1"/>
  <c r="O2702" i="2" s="1"/>
  <c r="K2702" i="2"/>
  <c r="M2709" i="2"/>
  <c r="N2709" i="2" s="1"/>
  <c r="K2709" i="2"/>
  <c r="M2728" i="2"/>
  <c r="N2728" i="2" s="1"/>
  <c r="O2728" i="2" s="1"/>
  <c r="O2729" i="2" s="1"/>
  <c r="J2644" i="2"/>
  <c r="M2706" i="2"/>
  <c r="N2706" i="2" s="1"/>
  <c r="K2706" i="2"/>
  <c r="M2907" i="2"/>
  <c r="N2907" i="2" s="1"/>
  <c r="K2907" i="2"/>
  <c r="M2829" i="2"/>
  <c r="N2829" i="2" s="1"/>
  <c r="K2829" i="2"/>
  <c r="M2836" i="2"/>
  <c r="N2836" i="2" s="1"/>
  <c r="K2836" i="2"/>
  <c r="M2953" i="2"/>
  <c r="N2953" i="2" s="1"/>
  <c r="O2953" i="2" s="1"/>
  <c r="O2954" i="2" s="1"/>
  <c r="K2953" i="2"/>
  <c r="M2826" i="2"/>
  <c r="N2826" i="2" s="1"/>
  <c r="K2826" i="2"/>
  <c r="M2842" i="2"/>
  <c r="N2842" i="2" s="1"/>
  <c r="K2842" i="2"/>
  <c r="M3033" i="2"/>
  <c r="N3033" i="2" s="1"/>
  <c r="K3033" i="2"/>
  <c r="M3036" i="2"/>
  <c r="N3036" i="2" s="1"/>
  <c r="K3036" i="2"/>
  <c r="K2713" i="2"/>
  <c r="K2729" i="2"/>
  <c r="J2917" i="2"/>
  <c r="J2918" i="2" s="1"/>
  <c r="J2919" i="2" s="1"/>
  <c r="J2920" i="2" s="1"/>
  <c r="J2921" i="2" s="1"/>
  <c r="J2922" i="2" s="1"/>
  <c r="J2923" i="2" s="1"/>
  <c r="J2924" i="2" s="1"/>
  <c r="J2925" i="2" s="1"/>
  <c r="J2926" i="2" s="1"/>
  <c r="J2927" i="2" s="1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J2972" i="2"/>
  <c r="J2973" i="2" s="1"/>
  <c r="J2974" i="2" s="1"/>
  <c r="J2975" i="2" s="1"/>
  <c r="J2976" i="2" s="1"/>
  <c r="M2828" i="2"/>
  <c r="N2828" i="2" s="1"/>
  <c r="K2828" i="2"/>
  <c r="J2851" i="2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M2906" i="2"/>
  <c r="N2906" i="2" s="1"/>
  <c r="O2906" i="2" s="1"/>
  <c r="K2906" i="2"/>
  <c r="J3013" i="2"/>
  <c r="J3014" i="2" s="1"/>
  <c r="J3015" i="2" s="1"/>
  <c r="J3016" i="2" s="1"/>
  <c r="J3017" i="2" s="1"/>
  <c r="J3018" i="2" s="1"/>
  <c r="J3019" i="2" s="1"/>
  <c r="J3020" i="2" s="1"/>
  <c r="J3021" i="2" s="1"/>
  <c r="K2833" i="2"/>
  <c r="K2837" i="2"/>
  <c r="K2841" i="2"/>
  <c r="K2840" i="2"/>
  <c r="K3035" i="2"/>
  <c r="N217" i="5"/>
  <c r="G1350" i="5"/>
  <c r="E28" i="7"/>
  <c r="F28" i="7" s="1"/>
  <c r="E50" i="7"/>
  <c r="F50" i="7" s="1"/>
  <c r="E310" i="7"/>
  <c r="F310" i="7" s="1"/>
  <c r="E13" i="7"/>
  <c r="F13" i="7" s="1"/>
  <c r="E309" i="7"/>
  <c r="F309" i="7" s="1"/>
  <c r="E145" i="7"/>
  <c r="F145" i="7" s="1"/>
  <c r="E161" i="7"/>
  <c r="F161" i="7" s="1"/>
  <c r="E184" i="7"/>
  <c r="F184" i="7" s="1"/>
  <c r="E192" i="7"/>
  <c r="F192" i="7" s="1"/>
  <c r="E216" i="7"/>
  <c r="F216" i="7" s="1"/>
  <c r="E224" i="7"/>
  <c r="F224" i="7" s="1"/>
  <c r="E77" i="7"/>
  <c r="F77" i="7" s="1"/>
  <c r="E256" i="7"/>
  <c r="F256" i="7" s="1"/>
  <c r="E264" i="7"/>
  <c r="F264" i="7" s="1"/>
  <c r="E272" i="7"/>
  <c r="F272" i="7" s="1"/>
  <c r="E280" i="7"/>
  <c r="F280" i="7" s="1"/>
  <c r="E296" i="7"/>
  <c r="F296" i="7" s="1"/>
  <c r="E57" i="7"/>
  <c r="F57" i="7" s="1"/>
  <c r="E65" i="7"/>
  <c r="F65" i="7" s="1"/>
  <c r="E73" i="7"/>
  <c r="F73" i="7" s="1"/>
  <c r="E81" i="7"/>
  <c r="F81" i="7" s="1"/>
  <c r="E89" i="7"/>
  <c r="F89" i="7" s="1"/>
  <c r="E97" i="7"/>
  <c r="F97" i="7" s="1"/>
  <c r="E183" i="7"/>
  <c r="F183" i="7" s="1"/>
  <c r="E214" i="7"/>
  <c r="F214" i="7" s="1"/>
  <c r="E134" i="7"/>
  <c r="F134" i="7" s="1"/>
  <c r="E308" i="7"/>
  <c r="F308" i="7" s="1"/>
  <c r="E53" i="7"/>
  <c r="F53" i="7" s="1"/>
  <c r="E40" i="7"/>
  <c r="F40" i="7" s="1"/>
  <c r="E22" i="7"/>
  <c r="F22" i="7" s="1"/>
  <c r="E135" i="7"/>
  <c r="F135" i="7" s="1"/>
  <c r="E119" i="7"/>
  <c r="F119" i="7" s="1"/>
  <c r="E205" i="7"/>
  <c r="F205" i="7" s="1"/>
  <c r="E213" i="7"/>
  <c r="F213" i="7" s="1"/>
  <c r="E221" i="7"/>
  <c r="F221" i="7" s="1"/>
  <c r="E229" i="7"/>
  <c r="F229" i="7" s="1"/>
  <c r="E253" i="7"/>
  <c r="F253" i="7" s="1"/>
  <c r="E261" i="7"/>
  <c r="F261" i="7" s="1"/>
  <c r="E269" i="7"/>
  <c r="F269" i="7" s="1"/>
  <c r="E277" i="7"/>
  <c r="F277" i="7" s="1"/>
  <c r="E285" i="7"/>
  <c r="F285" i="7" s="1"/>
  <c r="E293" i="7"/>
  <c r="F293" i="7" s="1"/>
  <c r="E301" i="7"/>
  <c r="F301" i="7" s="1"/>
  <c r="E191" i="7"/>
  <c r="F191" i="7" s="1"/>
  <c r="E223" i="7"/>
  <c r="F223" i="7" s="1"/>
  <c r="E231" i="7"/>
  <c r="F231" i="7" s="1"/>
  <c r="E44" i="7"/>
  <c r="F44" i="7" s="1"/>
  <c r="E60" i="7"/>
  <c r="F60" i="7" s="1"/>
  <c r="E68" i="7"/>
  <c r="F68" i="7" s="1"/>
  <c r="E76" i="7"/>
  <c r="F76" i="7" s="1"/>
  <c r="E84" i="7"/>
  <c r="F84" i="7" s="1"/>
  <c r="E92" i="7"/>
  <c r="F92" i="7" s="1"/>
  <c r="E100" i="7"/>
  <c r="F100" i="7" s="1"/>
  <c r="E108" i="7"/>
  <c r="F108" i="7" s="1"/>
  <c r="E116" i="7"/>
  <c r="F116" i="7" s="1"/>
  <c r="E124" i="7"/>
  <c r="F124" i="7" s="1"/>
  <c r="E132" i="7"/>
  <c r="F132" i="7" s="1"/>
  <c r="E156" i="7"/>
  <c r="F156" i="7" s="1"/>
  <c r="E164" i="7"/>
  <c r="F164" i="7" s="1"/>
  <c r="E276" i="7"/>
  <c r="F276" i="7" s="1"/>
  <c r="E3" i="7"/>
  <c r="F3" i="7" s="1"/>
  <c r="E27" i="7"/>
  <c r="F27" i="7" s="1"/>
  <c r="E266" i="7"/>
  <c r="F266" i="7" s="1"/>
  <c r="E282" i="7"/>
  <c r="F282" i="7" s="1"/>
  <c r="E9" i="7"/>
  <c r="F9" i="7" s="1"/>
  <c r="E10" i="7"/>
  <c r="F10" i="7" s="1"/>
  <c r="E42" i="7"/>
  <c r="F42" i="7" s="1"/>
  <c r="E7" i="7"/>
  <c r="F7" i="7" s="1"/>
  <c r="E15" i="7"/>
  <c r="F15" i="7" s="1"/>
  <c r="E39" i="7"/>
  <c r="F39" i="7" s="1"/>
  <c r="E167" i="7"/>
  <c r="F167" i="7" s="1"/>
  <c r="E61" i="7"/>
  <c r="F61" i="7" s="1"/>
  <c r="E125" i="7"/>
  <c r="F125" i="7" s="1"/>
  <c r="E133" i="7"/>
  <c r="F133" i="7" s="1"/>
  <c r="E141" i="7"/>
  <c r="F141" i="7" s="1"/>
  <c r="E149" i="7"/>
  <c r="F149" i="7" s="1"/>
  <c r="E173" i="7"/>
  <c r="F173" i="7" s="1"/>
  <c r="E181" i="7"/>
  <c r="F181" i="7" s="1"/>
  <c r="E188" i="7"/>
  <c r="F188" i="7" s="1"/>
  <c r="E196" i="7"/>
  <c r="F196" i="7" s="1"/>
  <c r="E204" i="7"/>
  <c r="F204" i="7" s="1"/>
  <c r="E212" i="7"/>
  <c r="F212" i="7" s="1"/>
  <c r="E236" i="7"/>
  <c r="F236" i="7" s="1"/>
  <c r="E244" i="7"/>
  <c r="F244" i="7" s="1"/>
  <c r="E252" i="7"/>
  <c r="F252" i="7" s="1"/>
  <c r="E260" i="7"/>
  <c r="F260" i="7" s="1"/>
  <c r="E268" i="7"/>
  <c r="F268" i="7" s="1"/>
  <c r="E284" i="7"/>
  <c r="F284" i="7" s="1"/>
  <c r="E299" i="7"/>
  <c r="F299" i="7" s="1"/>
  <c r="E48" i="7"/>
  <c r="F48" i="7" s="1"/>
  <c r="E120" i="7"/>
  <c r="F120" i="7" s="1"/>
  <c r="E128" i="7"/>
  <c r="F128" i="7" s="1"/>
  <c r="E136" i="7"/>
  <c r="F136" i="7" s="1"/>
  <c r="E144" i="7"/>
  <c r="F144" i="7" s="1"/>
  <c r="E168" i="7"/>
  <c r="F168" i="7" s="1"/>
  <c r="E176" i="7"/>
  <c r="F176" i="7" s="1"/>
  <c r="E193" i="7"/>
  <c r="F193" i="7" s="1"/>
  <c r="E209" i="7"/>
  <c r="F209" i="7" s="1"/>
  <c r="E241" i="7"/>
  <c r="F241" i="7" s="1"/>
  <c r="E54" i="7"/>
  <c r="F54" i="7" s="1"/>
  <c r="E143" i="7"/>
  <c r="F143" i="7" s="1"/>
  <c r="E151" i="7"/>
  <c r="F151" i="7" s="1"/>
  <c r="E199" i="7"/>
  <c r="F199" i="7" s="1"/>
  <c r="E215" i="7"/>
  <c r="F215" i="7" s="1"/>
  <c r="E36" i="7"/>
  <c r="F36" i="7" s="1"/>
  <c r="E263" i="7"/>
  <c r="F263" i="7" s="1"/>
  <c r="E279" i="7"/>
  <c r="F279" i="7" s="1"/>
  <c r="E295" i="7"/>
  <c r="F295" i="7" s="1"/>
  <c r="E5" i="7"/>
  <c r="F5" i="7" s="1"/>
  <c r="E18" i="7"/>
  <c r="F18" i="7" s="1"/>
  <c r="E26" i="7"/>
  <c r="F26" i="7" s="1"/>
  <c r="E34" i="7"/>
  <c r="F34" i="7" s="1"/>
  <c r="E17" i="7"/>
  <c r="F17" i="7" s="1"/>
  <c r="E25" i="7"/>
  <c r="F25" i="7" s="1"/>
  <c r="E33" i="7"/>
  <c r="F33" i="7" s="1"/>
  <c r="E51" i="7"/>
  <c r="F51" i="7" s="1"/>
  <c r="E52" i="7"/>
  <c r="F52" i="7" s="1"/>
  <c r="E150" i="7"/>
  <c r="F150" i="7" s="1"/>
  <c r="E159" i="7"/>
  <c r="F159" i="7" s="1"/>
  <c r="E140" i="7"/>
  <c r="F140" i="7" s="1"/>
  <c r="E148" i="7"/>
  <c r="F148" i="7" s="1"/>
  <c r="E157" i="7"/>
  <c r="F157" i="7" s="1"/>
  <c r="E165" i="7"/>
  <c r="F165" i="7" s="1"/>
  <c r="E166" i="7"/>
  <c r="F166" i="7" s="1"/>
  <c r="E175" i="7"/>
  <c r="F175" i="7" s="1"/>
  <c r="E200" i="7"/>
  <c r="F200" i="7" s="1"/>
  <c r="E208" i="7"/>
  <c r="F208" i="7" s="1"/>
  <c r="E225" i="7"/>
  <c r="F225" i="7" s="1"/>
  <c r="E275" i="7"/>
  <c r="F275" i="7" s="1"/>
  <c r="E291" i="7"/>
  <c r="F291" i="7" s="1"/>
  <c r="E6" i="7"/>
  <c r="F6" i="7" s="1"/>
  <c r="E23" i="7"/>
  <c r="F23" i="7" s="1"/>
  <c r="E30" i="7"/>
  <c r="F30" i="7" s="1"/>
  <c r="E56" i="7"/>
  <c r="F56" i="7" s="1"/>
  <c r="E64" i="7"/>
  <c r="F64" i="7" s="1"/>
  <c r="E72" i="7"/>
  <c r="F72" i="7" s="1"/>
  <c r="E80" i="7"/>
  <c r="F80" i="7" s="1"/>
  <c r="E88" i="7"/>
  <c r="F88" i="7" s="1"/>
  <c r="E96" i="7"/>
  <c r="F96" i="7" s="1"/>
  <c r="E104" i="7"/>
  <c r="F104" i="7" s="1"/>
  <c r="E112" i="7"/>
  <c r="F112" i="7" s="1"/>
  <c r="E172" i="7"/>
  <c r="F172" i="7" s="1"/>
  <c r="E180" i="7"/>
  <c r="F180" i="7" s="1"/>
  <c r="E189" i="7"/>
  <c r="F189" i="7" s="1"/>
  <c r="E197" i="7"/>
  <c r="F197" i="7" s="1"/>
  <c r="E198" i="7"/>
  <c r="F198" i="7" s="1"/>
  <c r="E207" i="7"/>
  <c r="F207" i="7" s="1"/>
  <c r="E232" i="7"/>
  <c r="F232" i="7" s="1"/>
  <c r="E240" i="7"/>
  <c r="F240" i="7" s="1"/>
  <c r="E257" i="7"/>
  <c r="F257" i="7" s="1"/>
  <c r="E273" i="7"/>
  <c r="F273" i="7" s="1"/>
  <c r="E289" i="7"/>
  <c r="F289" i="7" s="1"/>
  <c r="E298" i="7"/>
  <c r="F298" i="7" s="1"/>
  <c r="E46" i="7"/>
  <c r="F46" i="7" s="1"/>
  <c r="E288" i="7"/>
  <c r="F288" i="7" s="1"/>
  <c r="E306" i="7"/>
  <c r="F306" i="7" s="1"/>
  <c r="E37" i="7"/>
  <c r="F37" i="7" s="1"/>
  <c r="E55" i="7"/>
  <c r="F55" i="7" s="1"/>
  <c r="E63" i="7"/>
  <c r="F63" i="7" s="1"/>
  <c r="E71" i="7"/>
  <c r="F71" i="7" s="1"/>
  <c r="E79" i="7"/>
  <c r="F79" i="7" s="1"/>
  <c r="E87" i="7"/>
  <c r="F87" i="7" s="1"/>
  <c r="E95" i="7"/>
  <c r="F95" i="7" s="1"/>
  <c r="E103" i="7"/>
  <c r="F103" i="7" s="1"/>
  <c r="E111" i="7"/>
  <c r="F111" i="7" s="1"/>
  <c r="E230" i="7"/>
  <c r="F230" i="7" s="1"/>
  <c r="E239" i="7"/>
  <c r="F239" i="7" s="1"/>
  <c r="E297" i="7"/>
  <c r="F297" i="7" s="1"/>
  <c r="E304" i="7"/>
  <c r="F304" i="7" s="1"/>
  <c r="E248" i="7"/>
  <c r="F248" i="7" s="1"/>
  <c r="E69" i="7"/>
  <c r="F69" i="7" s="1"/>
  <c r="E247" i="7"/>
  <c r="F247" i="7" s="1"/>
  <c r="E85" i="7"/>
  <c r="E93" i="7"/>
  <c r="F93" i="7" s="1"/>
  <c r="E101" i="7"/>
  <c r="F101" i="7" s="1"/>
  <c r="E109" i="7"/>
  <c r="F109" i="7" s="1"/>
  <c r="E117" i="7"/>
  <c r="F117" i="7" s="1"/>
  <c r="E118" i="7"/>
  <c r="F118" i="7" s="1"/>
  <c r="E127" i="7"/>
  <c r="F127" i="7" s="1"/>
  <c r="E152" i="7"/>
  <c r="F152" i="7" s="1"/>
  <c r="E160" i="7"/>
  <c r="F160" i="7" s="1"/>
  <c r="E177" i="7"/>
  <c r="F177" i="7" s="1"/>
  <c r="E220" i="7"/>
  <c r="F220" i="7" s="1"/>
  <c r="E228" i="7"/>
  <c r="F228" i="7" s="1"/>
  <c r="E237" i="7"/>
  <c r="F237" i="7" s="1"/>
  <c r="E245" i="7"/>
  <c r="F245" i="7" s="1"/>
  <c r="E246" i="7"/>
  <c r="F246" i="7" s="1"/>
  <c r="E255" i="7"/>
  <c r="F255" i="7" s="1"/>
  <c r="E271" i="7"/>
  <c r="F271" i="7" s="1"/>
  <c r="E287" i="7"/>
  <c r="F287" i="7" s="1"/>
  <c r="E303" i="7"/>
  <c r="F303" i="7" s="1"/>
  <c r="E38" i="7"/>
  <c r="F38" i="7" s="1"/>
  <c r="E49" i="7"/>
  <c r="F49" i="7" s="1"/>
  <c r="E67" i="7"/>
  <c r="F67" i="7" s="1"/>
  <c r="E83" i="7"/>
  <c r="F83" i="7" s="1"/>
  <c r="E99" i="7"/>
  <c r="F99" i="7" s="1"/>
  <c r="E115" i="7"/>
  <c r="F115" i="7" s="1"/>
  <c r="E131" i="7"/>
  <c r="F131" i="7" s="1"/>
  <c r="E147" i="7"/>
  <c r="F147" i="7" s="1"/>
  <c r="E163" i="7"/>
  <c r="F163" i="7" s="1"/>
  <c r="E179" i="7"/>
  <c r="F179" i="7" s="1"/>
  <c r="E195" i="7"/>
  <c r="F195" i="7" s="1"/>
  <c r="E211" i="7"/>
  <c r="F211" i="7" s="1"/>
  <c r="E227" i="7"/>
  <c r="F227" i="7" s="1"/>
  <c r="E243" i="7"/>
  <c r="F243" i="7" s="1"/>
  <c r="E259" i="7"/>
  <c r="F259" i="7" s="1"/>
  <c r="E70" i="7"/>
  <c r="F70" i="7" s="1"/>
  <c r="E86" i="7"/>
  <c r="F86" i="7" s="1"/>
  <c r="E102" i="7"/>
  <c r="F102" i="7" s="1"/>
  <c r="E14" i="7"/>
  <c r="F14" i="7" s="1"/>
  <c r="E29" i="7"/>
  <c r="F29" i="7" s="1"/>
  <c r="E11" i="7"/>
  <c r="F11" i="7" s="1"/>
  <c r="E47" i="7"/>
  <c r="F47" i="7" s="1"/>
  <c r="E66" i="7"/>
  <c r="F66" i="7" s="1"/>
  <c r="E82" i="7"/>
  <c r="F82" i="7" s="1"/>
  <c r="E98" i="7"/>
  <c r="F98" i="7" s="1"/>
  <c r="E114" i="7"/>
  <c r="F114" i="7" s="1"/>
  <c r="E130" i="7"/>
  <c r="F130" i="7" s="1"/>
  <c r="E146" i="7"/>
  <c r="F146" i="7" s="1"/>
  <c r="E162" i="7"/>
  <c r="F162" i="7" s="1"/>
  <c r="E178" i="7"/>
  <c r="F178" i="7" s="1"/>
  <c r="E194" i="7"/>
  <c r="F194" i="7" s="1"/>
  <c r="E210" i="7"/>
  <c r="F210" i="7" s="1"/>
  <c r="E226" i="7"/>
  <c r="F226" i="7" s="1"/>
  <c r="E242" i="7"/>
  <c r="F242" i="7" s="1"/>
  <c r="E258" i="7"/>
  <c r="F258" i="7" s="1"/>
  <c r="E274" i="7"/>
  <c r="F274" i="7" s="1"/>
  <c r="E290" i="7"/>
  <c r="F290" i="7" s="1"/>
  <c r="E300" i="7"/>
  <c r="F300" i="7" s="1"/>
  <c r="E113" i="7"/>
  <c r="F113" i="7" s="1"/>
  <c r="E129" i="7"/>
  <c r="F129" i="7" s="1"/>
  <c r="E21" i="7"/>
  <c r="F21" i="7" s="1"/>
  <c r="E94" i="7"/>
  <c r="F94" i="7" s="1"/>
  <c r="E110" i="7"/>
  <c r="F110" i="7" s="1"/>
  <c r="E126" i="7"/>
  <c r="F126" i="7" s="1"/>
  <c r="E142" i="7"/>
  <c r="F142" i="7" s="1"/>
  <c r="E158" i="7"/>
  <c r="F158" i="7" s="1"/>
  <c r="E174" i="7"/>
  <c r="F174" i="7" s="1"/>
  <c r="E190" i="7"/>
  <c r="F190" i="7" s="1"/>
  <c r="E206" i="7"/>
  <c r="F206" i="7" s="1"/>
  <c r="E222" i="7"/>
  <c r="F222" i="7" s="1"/>
  <c r="E238" i="7"/>
  <c r="F238" i="7" s="1"/>
  <c r="E254" i="7"/>
  <c r="F254" i="7" s="1"/>
  <c r="E270" i="7"/>
  <c r="F270" i="7" s="1"/>
  <c r="E286" i="7"/>
  <c r="F286" i="7" s="1"/>
  <c r="E62" i="7"/>
  <c r="F62" i="7" s="1"/>
  <c r="E78" i="7"/>
  <c r="F78" i="7" s="1"/>
  <c r="E45" i="7"/>
  <c r="F45" i="7" s="1"/>
  <c r="E59" i="7"/>
  <c r="F59" i="7" s="1"/>
  <c r="E75" i="7"/>
  <c r="F75" i="7" s="1"/>
  <c r="E91" i="7"/>
  <c r="F91" i="7" s="1"/>
  <c r="E107" i="7"/>
  <c r="F107" i="7" s="1"/>
  <c r="E123" i="7"/>
  <c r="F123" i="7" s="1"/>
  <c r="E139" i="7"/>
  <c r="F139" i="7" s="1"/>
  <c r="E155" i="7"/>
  <c r="F155" i="7" s="1"/>
  <c r="E171" i="7"/>
  <c r="F171" i="7" s="1"/>
  <c r="E187" i="7"/>
  <c r="F187" i="7" s="1"/>
  <c r="E203" i="7"/>
  <c r="F203" i="7" s="1"/>
  <c r="E219" i="7"/>
  <c r="F219" i="7" s="1"/>
  <c r="E235" i="7"/>
  <c r="F235" i="7" s="1"/>
  <c r="E251" i="7"/>
  <c r="F251" i="7" s="1"/>
  <c r="E267" i="7"/>
  <c r="F267" i="7" s="1"/>
  <c r="E283" i="7"/>
  <c r="F283" i="7" s="1"/>
  <c r="E307" i="7"/>
  <c r="F307" i="7" s="1"/>
  <c r="E16" i="7"/>
  <c r="F16" i="7" s="1"/>
  <c r="E31" i="7"/>
  <c r="F31" i="7" s="1"/>
  <c r="E41" i="7"/>
  <c r="F41" i="7" s="1"/>
  <c r="E58" i="7"/>
  <c r="F58" i="7" s="1"/>
  <c r="E74" i="7"/>
  <c r="F74" i="7" s="1"/>
  <c r="E90" i="7"/>
  <c r="F90" i="7" s="1"/>
  <c r="E106" i="7"/>
  <c r="F106" i="7" s="1"/>
  <c r="E122" i="7"/>
  <c r="F122" i="7" s="1"/>
  <c r="E138" i="7"/>
  <c r="F138" i="7" s="1"/>
  <c r="E154" i="7"/>
  <c r="F154" i="7" s="1"/>
  <c r="E170" i="7"/>
  <c r="F170" i="7" s="1"/>
  <c r="E186" i="7"/>
  <c r="F186" i="7" s="1"/>
  <c r="E202" i="7"/>
  <c r="F202" i="7" s="1"/>
  <c r="E218" i="7"/>
  <c r="F218" i="7" s="1"/>
  <c r="E234" i="7"/>
  <c r="F234" i="7" s="1"/>
  <c r="E250" i="7"/>
  <c r="F250" i="7" s="1"/>
  <c r="E105" i="7"/>
  <c r="F105" i="7" s="1"/>
  <c r="E121" i="7"/>
  <c r="F121" i="7" s="1"/>
  <c r="E137" i="7"/>
  <c r="F137" i="7" s="1"/>
  <c r="E153" i="7"/>
  <c r="F153" i="7" s="1"/>
  <c r="E169" i="7"/>
  <c r="F169" i="7" s="1"/>
  <c r="E185" i="7"/>
  <c r="F185" i="7" s="1"/>
  <c r="E201" i="7"/>
  <c r="F201" i="7" s="1"/>
  <c r="E217" i="7"/>
  <c r="F217" i="7" s="1"/>
  <c r="E233" i="7"/>
  <c r="F233" i="7" s="1"/>
  <c r="E249" i="7"/>
  <c r="F249" i="7" s="1"/>
  <c r="E265" i="7"/>
  <c r="F265" i="7" s="1"/>
  <c r="E281" i="7"/>
  <c r="F281" i="7" s="1"/>
  <c r="E305" i="7"/>
  <c r="F305" i="7" s="1"/>
  <c r="E262" i="7"/>
  <c r="F262" i="7" s="1"/>
  <c r="E278" i="7"/>
  <c r="F278" i="7" s="1"/>
  <c r="E292" i="7"/>
  <c r="F292" i="7" s="1"/>
  <c r="E294" i="7"/>
  <c r="F294" i="7" s="1"/>
  <c r="E302" i="7"/>
  <c r="F302" i="7" s="1"/>
  <c r="E311" i="7"/>
  <c r="F311" i="7" s="1"/>
  <c r="E24" i="7"/>
  <c r="F24" i="7" s="1"/>
  <c r="E35" i="7"/>
  <c r="F35" i="7" s="1"/>
  <c r="E43" i="7"/>
  <c r="F43" i="7" s="1"/>
  <c r="E32" i="7"/>
  <c r="F32" i="7" s="1"/>
  <c r="E19" i="7"/>
  <c r="F19" i="7" s="1"/>
  <c r="Q998" i="8" l="1"/>
  <c r="F85" i="7"/>
  <c r="F182" i="7"/>
  <c r="O3033" i="2"/>
  <c r="O3034" i="2" s="1"/>
  <c r="O3035" i="2" s="1"/>
  <c r="O3036" i="2" s="1"/>
  <c r="O3037" i="2" s="1"/>
  <c r="O532" i="2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J160" i="2"/>
  <c r="J161" i="2" s="1"/>
  <c r="O497" i="2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1821" i="2"/>
  <c r="O1822" i="2" s="1"/>
  <c r="O1823" i="2" s="1"/>
  <c r="AA35" i="2"/>
  <c r="AA36" i="2" s="1"/>
  <c r="AA37" i="2" s="1"/>
  <c r="AA38" i="2" s="1"/>
  <c r="AA39" i="2" s="1"/>
  <c r="AA40" i="2" s="1"/>
  <c r="AA41" i="2" s="1"/>
  <c r="AA42" i="2" s="1"/>
  <c r="AA43" i="2" s="1"/>
  <c r="O1298" i="2"/>
  <c r="O1299" i="2" s="1"/>
  <c r="O1300" i="2" s="1"/>
  <c r="O1301" i="2" s="1"/>
  <c r="O2907" i="2"/>
  <c r="O2691" i="2"/>
  <c r="O2692" i="2" s="1"/>
  <c r="O2693" i="2" s="1"/>
  <c r="O2694" i="2" s="1"/>
  <c r="O2695" i="2" s="1"/>
  <c r="O2826" i="2"/>
  <c r="O2827" i="2" s="1"/>
  <c r="O2828" i="2" s="1"/>
  <c r="O2829" i="2" s="1"/>
  <c r="O2830" i="2" s="1"/>
  <c r="O2831" i="2" s="1"/>
  <c r="O2832" i="2" s="1"/>
  <c r="O2833" i="2" s="1"/>
  <c r="O2834" i="2" s="1"/>
  <c r="O2835" i="2" s="1"/>
  <c r="O2836" i="2" s="1"/>
  <c r="O2837" i="2" s="1"/>
  <c r="O2838" i="2" s="1"/>
  <c r="O2839" i="2" s="1"/>
  <c r="O2840" i="2" s="1"/>
  <c r="O2841" i="2" s="1"/>
  <c r="O2842" i="2" s="1"/>
  <c r="O2703" i="2"/>
  <c r="O2704" i="2" s="1"/>
  <c r="O2705" i="2" s="1"/>
  <c r="O2706" i="2" s="1"/>
  <c r="O2707" i="2" s="1"/>
  <c r="O2708" i="2" s="1"/>
  <c r="O2709" i="2" s="1"/>
  <c r="O2710" i="2" s="1"/>
  <c r="O2711" i="2" s="1"/>
  <c r="O2712" i="2" s="1"/>
  <c r="O2713" i="2" s="1"/>
  <c r="O2730" i="2"/>
  <c r="A36" i="7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1" i="9"/>
  <c r="A1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<sst xmlns="http://schemas.openxmlformats.org/spreadsheetml/2006/main" count="42467" uniqueCount="5355">
  <si>
    <t xml:space="preserve">Australia </t>
  </si>
  <si>
    <t>Date</t>
  </si>
  <si>
    <t>Product Name</t>
  </si>
  <si>
    <t>Qty</t>
  </si>
  <si>
    <t>Per/Unit  (AUD)</t>
  </si>
  <si>
    <t>C. Rate</t>
  </si>
  <si>
    <t>Per/Unit (AED)</t>
  </si>
  <si>
    <t>Total Price (AED)</t>
  </si>
  <si>
    <t>I MAC WB CARD</t>
  </si>
  <si>
    <t>MACBOOK M4 with Airpods 4 WB Card</t>
  </si>
  <si>
    <t>MACBOOK M4 with Airpods 4 ABR Card</t>
  </si>
  <si>
    <t>MACBOOK M4 with Airpods 4 WB Card(Apple Hornsby Pending Collection)</t>
  </si>
  <si>
    <t>"Instax wide 400 WB Card
(Harvey Norman Castle Hills Pending collection)"</t>
  </si>
  <si>
    <t>Innstax mini Evo 1 unit $248 HN CH</t>
  </si>
  <si>
    <t>Instax Li Play 1 Unit $203 HN CH</t>
  </si>
  <si>
    <t>Instax mini 40 1 unit $143 HN CH</t>
  </si>
  <si>
    <t>Instax mini 99 Bundle 1 unit $250 JBHIFI CH</t>
  </si>
  <si>
    <t>Stock in Dubai</t>
  </si>
  <si>
    <t xml:space="preserve"> (Currently Present)</t>
  </si>
  <si>
    <t>In Shipping</t>
  </si>
  <si>
    <t>Australia</t>
  </si>
  <si>
    <t>Newzeland</t>
  </si>
  <si>
    <t>Purchase Date</t>
  </si>
  <si>
    <t>Qty (Total)</t>
  </si>
  <si>
    <t>Qty Received</t>
  </si>
  <si>
    <t>Qty Pending</t>
  </si>
  <si>
    <t>GST</t>
  </si>
  <si>
    <r>
      <rPr>
        <b/>
        <sz val="11"/>
        <color rgb="FF000000"/>
        <rFont val="Aptos Narrow"/>
        <family val="2"/>
        <scheme val="minor"/>
      </rPr>
      <t>from</t>
    </r>
    <r>
      <rPr>
        <sz val="11"/>
        <color rgb="FF000000"/>
        <rFont val="Aptos Narrow"/>
        <family val="2"/>
        <scheme val="minor"/>
      </rPr>
      <t xml:space="preserve"> month </t>
    </r>
    <r>
      <rPr>
        <b/>
        <sz val="11"/>
        <color rgb="FF000000"/>
        <rFont val="Aptos Narrow"/>
        <family val="2"/>
        <scheme val="minor"/>
      </rPr>
      <t>to</t>
    </r>
    <r>
      <rPr>
        <sz val="11"/>
        <color rgb="FF000000"/>
        <rFont val="Aptos Narrow"/>
        <family val="2"/>
        <scheme val="minor"/>
      </rPr>
      <t xml:space="preserve"> month</t>
    </r>
  </si>
  <si>
    <t xml:space="preserve">Australia  </t>
  </si>
  <si>
    <t>Total (AUD)</t>
  </si>
  <si>
    <t>Shipping To Dubai</t>
  </si>
  <si>
    <t>Shipping Date</t>
  </si>
  <si>
    <t>Qty Shipped</t>
  </si>
  <si>
    <t>Status</t>
  </si>
  <si>
    <t>Starlink v4 19Units  @580  WB</t>
  </si>
  <si>
    <t>NewZeland</t>
  </si>
  <si>
    <t xml:space="preserve"> Price (AUD)</t>
  </si>
  <si>
    <t>Starlink Mini 500 Units  $630  WB</t>
  </si>
  <si>
    <t>JBL Charge 5  150Units $148  WB</t>
  </si>
  <si>
    <t>JBL Charge 5  50Units  $145   WB</t>
  </si>
  <si>
    <t>Google Chrome Cast  250Units  $149  WB</t>
  </si>
  <si>
    <t xml:space="preserve">Paid </t>
  </si>
  <si>
    <t>Instax Wide 400 5units   $188  WB</t>
  </si>
  <si>
    <t>JBL Charge5 125Units $133.30 WB</t>
  </si>
  <si>
    <t>Starlink V4  200Units $549  WB</t>
  </si>
  <si>
    <t>JBL Charge.5 6Units $145  WB</t>
  </si>
  <si>
    <t>PS5  15Units  $695  ARB</t>
  </si>
  <si>
    <t>Transaction Type</t>
  </si>
  <si>
    <t>Quantity</t>
  </si>
  <si>
    <t>Purchase</t>
  </si>
  <si>
    <t>Qty Remaining</t>
  </si>
  <si>
    <t>=SUMIF(Pending_Stock!I:I, A3, Pending_Stock!L:L)'</t>
  </si>
  <si>
    <t>"=SUMIF(Pending_Stock!C:C, A2, Pending_Stock!F:F)"</t>
  </si>
  <si>
    <t>Formula for fetching Pending products quantity name wise from Australia table</t>
  </si>
  <si>
    <t>Formula for fetching Pending products quantity name wise from Newzeland table</t>
  </si>
  <si>
    <t>"=SUMIF(ShipToDubai!C:C, A3, ShipToDubai!G:G)"</t>
  </si>
  <si>
    <t>Currently in shipping</t>
  </si>
  <si>
    <t>Pending in Newzelnd</t>
  </si>
  <si>
    <t>"=SUMIF(Pending_Stock!I:I, A3, Pending_Stock!L:L)"</t>
  </si>
  <si>
    <t>Pending in Australia</t>
  </si>
  <si>
    <t>"=SUMIF(Pending_Stock!C:C, A3, Pending_Stock!F:F)"</t>
  </si>
  <si>
    <t>Delivered to Dubai</t>
  </si>
  <si>
    <t>"=SUMIF(ShipToDubai!C:C, A3, ShipToDubai!F:F)"</t>
  </si>
  <si>
    <t>Delivered to Dubai minus Sold in Dubai</t>
  </si>
  <si>
    <t>"=SUMIF(ShipToDubai!C:C, A3, ShipToDubai!F:F) - (SUMIFS(Stock_Transactions!D:D, Stock_Transactions!B:B, A3, Stock_Transactions!D:D, "&lt;0") * -1)"</t>
  </si>
  <si>
    <t>Total purchase quantity of a particular Product</t>
  </si>
  <si>
    <t>"=SUMIFS(Stock_Transactions!D:D, Stock_Transactions!B:B, A3, Stock_Transactions!D:D, "&gt;0")"</t>
  </si>
  <si>
    <t>Total Sale quantity of a particular Product</t>
  </si>
  <si>
    <t>"=SUMIFS(Stock_Transactions!D:D, Stock_Transactions!B:B, A3, Stock_Transactions!D:D, "&lt;0") * -1"</t>
  </si>
  <si>
    <t>Total Quantity of a product(total purchase - total sale)</t>
  </si>
  <si>
    <t>Product Name)</t>
  </si>
  <si>
    <t>Total Purchased</t>
  </si>
  <si>
    <t>Total Sold</t>
  </si>
  <si>
    <t>Total in Stock</t>
  </si>
  <si>
    <t xml:space="preserve">Pending </t>
  </si>
  <si>
    <t>Opening</t>
  </si>
  <si>
    <t>STARLINK V4</t>
  </si>
  <si>
    <t>20/02/2025</t>
  </si>
  <si>
    <t>STARLINK MINI</t>
  </si>
  <si>
    <t>STRALINK INSTAX CAMERA</t>
  </si>
  <si>
    <t>JBL CHARGE 5</t>
  </si>
  <si>
    <t>ESSENTIAL FLIP</t>
  </si>
  <si>
    <t>CHROME CAST</t>
  </si>
  <si>
    <t>DONE</t>
  </si>
  <si>
    <t>PS5</t>
  </si>
  <si>
    <t>APPLE I MAC</t>
  </si>
  <si>
    <t>MACBOOK M4</t>
  </si>
  <si>
    <t>AIRPODS</t>
  </si>
  <si>
    <t>BREVILLE COFFEE MACHINE</t>
  </si>
  <si>
    <t>DELONGI COFFEE MACHINE</t>
  </si>
  <si>
    <t>DYSON</t>
  </si>
  <si>
    <t>MACBOOK M3</t>
  </si>
  <si>
    <t>STARLINK HIGH.P KIT</t>
  </si>
  <si>
    <t xml:space="preserve">APPLE WATCH ULTRA </t>
  </si>
  <si>
    <t>PRINTER</t>
  </si>
  <si>
    <t>DJI MAVIC PRO 3 DRONE</t>
  </si>
  <si>
    <t>HOLD STOCK AMGT</t>
  </si>
  <si>
    <t>COFFEE MACHINE</t>
  </si>
  <si>
    <t>IMAC 1 unit $1919 WB Card</t>
  </si>
  <si>
    <t>IMAC 1 unit $1934 WB Card</t>
  </si>
  <si>
    <t>Macbook M4 with Airpods 4 NC 7 Units $2349 WB Card</t>
  </si>
  <si>
    <t>Macbook M4 with Airpods 4 NC 1 Unit $2349 ARB Card</t>
  </si>
  <si>
    <t>Macbook M4 with Airpods 4 NC 1 Unit $ 2349 (apple Hornsby Pending collection) WB Card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</si>
  <si>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</si>
  <si>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Total AUS GST</t>
  </si>
  <si>
    <t xml:space="preserve">Per/Unit  </t>
  </si>
  <si>
    <t xml:space="preserve">Total </t>
  </si>
  <si>
    <t>Total NZ GST</t>
  </si>
  <si>
    <t>Mac Book 4  Waheed NAB CR Card</t>
  </si>
  <si>
    <t>Mac Book 4  Anwar Ali</t>
  </si>
  <si>
    <t>Mac Book 4  Noaman Mughal</t>
  </si>
  <si>
    <t>Mac Book 4  Atiya Hayat</t>
  </si>
  <si>
    <t>Mac Book 4  Saleem Hayat</t>
  </si>
  <si>
    <t>Mac Book 4 Noureen Mughal</t>
  </si>
  <si>
    <t>Mac Book 4 Abdul Shahid</t>
  </si>
  <si>
    <t>Mac Book 4  Talha Noaman</t>
  </si>
  <si>
    <t>Mac Book 4  Noureen Mughal</t>
  </si>
  <si>
    <t>Mac Book 4  Abdul Shahid</t>
  </si>
  <si>
    <t>IMac4  Waheed NAB CR Card</t>
  </si>
  <si>
    <t>Sale</t>
  </si>
  <si>
    <t xml:space="preserve"> INSTAX WIDE 400</t>
  </si>
  <si>
    <t>INSTAX MINI EVO</t>
  </si>
  <si>
    <t>INSTAX Li PLAY</t>
  </si>
  <si>
    <t>INSTAX MINI 40</t>
  </si>
  <si>
    <t>INSTAX MINI 99</t>
  </si>
  <si>
    <t>entry</t>
  </si>
  <si>
    <t>500 stock</t>
  </si>
  <si>
    <t>Mac Book 4  Waheed GC</t>
  </si>
  <si>
    <t>Mac Book 4  AMGT Cards</t>
  </si>
  <si>
    <t>Mac Book 4  Waheed Card</t>
  </si>
  <si>
    <t>Purchase (for Imacs)</t>
  </si>
  <si>
    <t>Meta Quest 3 512</t>
  </si>
  <si>
    <t>Per/Unit  (USD)</t>
  </si>
  <si>
    <t xml:space="preserve"> Price (USD)</t>
  </si>
  <si>
    <t>iPhone16 Pro Max 256</t>
  </si>
  <si>
    <t>iPad Pro 11 256 Cellular Unlock</t>
  </si>
  <si>
    <t>Airpods 4</t>
  </si>
  <si>
    <t>iPad Pro 11 256 Wifi Only</t>
  </si>
  <si>
    <t>iPad Air 13 128 Wifi Only</t>
  </si>
  <si>
    <t>iPad Air 13 256 Wifi Only</t>
  </si>
  <si>
    <t>USA(Owais Houston)</t>
  </si>
  <si>
    <t>Purchase (Owais Houston) in Dubai</t>
  </si>
  <si>
    <t>Purchased in Dubai</t>
  </si>
  <si>
    <t>Received</t>
  </si>
  <si>
    <t>Pending in Dubai</t>
  </si>
  <si>
    <t xml:space="preserve"> Price (NZD)</t>
  </si>
  <si>
    <t>Per/Unit  (NZD)</t>
  </si>
  <si>
    <r>
      <t xml:space="preserve">Starlink V4 </t>
    </r>
    <r>
      <rPr>
        <b/>
        <sz val="11"/>
        <color theme="1"/>
        <rFont val="Aptos Narrow"/>
        <family val="2"/>
        <scheme val="minor"/>
      </rPr>
      <t>($80,000 Paid)</t>
    </r>
  </si>
  <si>
    <r>
      <t>Google streamer (</t>
    </r>
    <r>
      <rPr>
        <b/>
        <sz val="11"/>
        <color theme="5" tint="-0.249977111117893"/>
        <rFont val="Aptos Narrow"/>
        <family val="2"/>
        <scheme val="minor"/>
      </rPr>
      <t>In System Google Chrome Cast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($37,500 Paid)</t>
    </r>
  </si>
  <si>
    <t>Delivery Charges</t>
  </si>
  <si>
    <t>Newzeland PURCAHSE</t>
  </si>
  <si>
    <t>S.No</t>
  </si>
  <si>
    <t>USA(Cell Wear)</t>
  </si>
  <si>
    <t>Meta Quest 3 (512)</t>
  </si>
  <si>
    <t>Ps5 Controller Dual sense</t>
  </si>
  <si>
    <t>Beats Fit Pro</t>
  </si>
  <si>
    <t xml:space="preserve">iPhone16 Pro dt 256 open box </t>
  </si>
  <si>
    <t>iPhone 16 Pro bt 256 open box</t>
  </si>
  <si>
    <t>iPhone 16 Pro bt 128 open box</t>
  </si>
  <si>
    <t>Beats Studio Buds</t>
  </si>
  <si>
    <t>iPhone 15 Pro 256 GB white Locked</t>
  </si>
  <si>
    <t>iPhone 16 128 GB pink Locked</t>
  </si>
  <si>
    <t>iPhone 16 Pro Max bt 256</t>
  </si>
  <si>
    <t>iPhone 14 Pro Max 128 GB black</t>
  </si>
  <si>
    <t>Samsung Galaxy S25 Plus 256 GB</t>
  </si>
  <si>
    <t>Meta Quest 3 512(pending in Dubai = Received on 12/03/2025)</t>
  </si>
  <si>
    <t>iPhone16 Pro 256</t>
  </si>
  <si>
    <t>iPhone16 Pro 128</t>
  </si>
  <si>
    <t>iPhone 15 Pro 256</t>
  </si>
  <si>
    <t>iPhone 16 128</t>
  </si>
  <si>
    <t>iPhone 14 Pro Max 128</t>
  </si>
  <si>
    <t>Samsung Galaxy S25 Plus 256</t>
  </si>
  <si>
    <t>Cell Wear Usa Purchase</t>
  </si>
  <si>
    <r>
      <t xml:space="preserve">iPhone16 Pro Max 256 (Active) </t>
    </r>
    <r>
      <rPr>
        <b/>
        <sz val="11"/>
        <color theme="1"/>
        <rFont val="Aptos Narrow"/>
        <family val="2"/>
        <scheme val="minor"/>
      </rPr>
      <t>(edited 13/03/2025)</t>
    </r>
  </si>
  <si>
    <t xml:space="preserve">Sale </t>
  </si>
  <si>
    <t>Shehzad Mughal</t>
  </si>
  <si>
    <t>cell wear payment</t>
  </si>
  <si>
    <t>AR to waheed bhai Payment 13 march 25</t>
  </si>
  <si>
    <t>AR personal zakat maintenance</t>
  </si>
  <si>
    <t>AR 20,000 PKR for karachi Expense</t>
  </si>
  <si>
    <t>done</t>
  </si>
  <si>
    <t>Mac Book Pro 14 inc (Abdul Mujid Canada )</t>
  </si>
  <si>
    <t>Mac Book Pro 14 inc (Warda canada)</t>
  </si>
  <si>
    <t>Mac Book Air 13 inc (Waheed )</t>
  </si>
  <si>
    <t>Mac Book Air 13 inc (Abdul Rehman )</t>
  </si>
  <si>
    <t>3.67 AED</t>
  </si>
  <si>
    <t>Macbook Air M4 13 inch</t>
  </si>
  <si>
    <t>Purchse</t>
  </si>
  <si>
    <t>PS5 JBHIFI Parramatta collected $679</t>
  </si>
  <si>
    <t>2 PS5 JBHIFI Merrylands $679</t>
  </si>
  <si>
    <t>All Above are with airpods</t>
  </si>
  <si>
    <t>PS5 JBHIFI (Roselands Pending collection)</t>
  </si>
  <si>
    <t>PS5  jbhifi Bankstown collected</t>
  </si>
  <si>
    <t>5 PS5 $679 JBHIFI Maq Park</t>
  </si>
  <si>
    <t>3 Instax Mini 99 Bundle $235 pending collection</t>
  </si>
  <si>
    <t>1 Instax Wide 400 $190</t>
  </si>
  <si>
    <t>3 PS5 $679 JBHIFI NR</t>
  </si>
  <si>
    <t>2 Instax mini 99 $229 JBHIFI NR</t>
  </si>
  <si>
    <t>17 Starlink mini $575 AUD</t>
  </si>
  <si>
    <t>Purchase(pending coll.)</t>
  </si>
  <si>
    <t>INSTAX MINI CAMERA</t>
  </si>
  <si>
    <t>INSTAX MINI 99 BUNDEL</t>
  </si>
  <si>
    <t>Power Play</t>
  </si>
  <si>
    <t>Instax Mini Bundle (not purchased but shipped)</t>
  </si>
  <si>
    <t>Instax Mini (confirm Model pls) (not purchased but shipped)</t>
  </si>
  <si>
    <t>Instax wide 400 (not purchased but shipped)</t>
  </si>
  <si>
    <t>Instax Mini 99 Bundle JBHIFI Roselands Pending collection</t>
  </si>
  <si>
    <t>Instax Mini 99 Bundle</t>
  </si>
  <si>
    <t>PS5 $679 JBHIFI Parramatta</t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</si>
  <si>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GC)</t>
    </r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</si>
  <si>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)</t>
    </r>
  </si>
  <si>
    <r>
      <t xml:space="preserve">Mac Book Pro 14 inc </t>
    </r>
    <r>
      <rPr>
        <b/>
        <sz val="11"/>
        <color theme="1" tint="0.14999847407452621"/>
        <rFont val="Aptos Narrow"/>
        <family val="2"/>
        <scheme val="minor"/>
      </rPr>
      <t>(removing Duplicate entry)</t>
    </r>
  </si>
  <si>
    <t>Gst</t>
  </si>
  <si>
    <t>Ontell</t>
  </si>
  <si>
    <t>Make Standard Rules Document for Purchasing</t>
  </si>
  <si>
    <t>Make Database for Maintaining all products last purchase</t>
  </si>
  <si>
    <t>ps5 JBHIFI Homebush $679</t>
  </si>
  <si>
    <t xml:space="preserve">PS5 JBHIFI Roselands </t>
  </si>
  <si>
    <t xml:space="preserve"> Intax mini 99 bundle $229 JBHIFI Roselands</t>
  </si>
  <si>
    <t>Ps5 JBHIFI Bankstown $679</t>
  </si>
  <si>
    <t>PS5 EB GAMES $679</t>
  </si>
  <si>
    <t>1 PS5 $679 EB GAMES</t>
  </si>
  <si>
    <t>1 AirPods eBay $163</t>
  </si>
  <si>
    <t>v4</t>
  </si>
  <si>
    <t>mini</t>
  </si>
  <si>
    <t>ITEM</t>
  </si>
  <si>
    <t>QTY</t>
  </si>
  <si>
    <t>PRICE w/o GST</t>
  </si>
  <si>
    <t>Total Price w/o GST</t>
  </si>
  <si>
    <t>ps5</t>
  </si>
  <si>
    <t>airpods</t>
  </si>
  <si>
    <t>imac</t>
  </si>
  <si>
    <t>Macbook 3</t>
  </si>
  <si>
    <t>Macbook 4</t>
  </si>
  <si>
    <t>jbl charge 5</t>
  </si>
  <si>
    <t>Essential Flip</t>
  </si>
  <si>
    <t>Chrome Cast</t>
  </si>
  <si>
    <t>mini 99 bundel</t>
  </si>
  <si>
    <t>printer</t>
  </si>
  <si>
    <t>controller dual sense</t>
  </si>
  <si>
    <t>HP kit</t>
  </si>
  <si>
    <t>studio buds</t>
  </si>
  <si>
    <t>Coffee machine</t>
  </si>
  <si>
    <t>dyson</t>
  </si>
  <si>
    <t>pro 11 256 wifi</t>
  </si>
  <si>
    <t>14 pro max</t>
  </si>
  <si>
    <t>15 pro 256</t>
  </si>
  <si>
    <t>16 128 gb</t>
  </si>
  <si>
    <t>16 pro 128 gb</t>
  </si>
  <si>
    <t>16 pro 256</t>
  </si>
  <si>
    <t>16 pro max 256</t>
  </si>
  <si>
    <t>s25</t>
  </si>
  <si>
    <t xml:space="preserve">mini 99 </t>
  </si>
  <si>
    <t>mini 400</t>
  </si>
  <si>
    <t>Sale Return</t>
  </si>
  <si>
    <t>insatax Camera</t>
  </si>
  <si>
    <r>
      <rPr>
        <b/>
        <sz val="11"/>
        <color theme="1"/>
        <rFont val="Aptos Narrow"/>
        <family val="2"/>
        <scheme val="minor"/>
      </rPr>
      <t>Stock value</t>
    </r>
    <r>
      <rPr>
        <sz val="11"/>
        <color theme="1"/>
        <rFont val="Aptos Narrow"/>
        <family val="2"/>
        <scheme val="minor"/>
      </rPr>
      <t xml:space="preserve"> 22-March-2025</t>
    </r>
  </si>
  <si>
    <r>
      <t xml:space="preserve">5 PS5 $699 JBHIFI commercial pending collection </t>
    </r>
    <r>
      <rPr>
        <b/>
        <sz val="11"/>
        <color theme="5" tint="-0.249977111117893"/>
        <rFont val="Aptos Narrow"/>
        <family val="2"/>
        <scheme val="minor"/>
      </rPr>
      <t>(Order Canceled)</t>
    </r>
  </si>
  <si>
    <t>Order Canceled</t>
  </si>
  <si>
    <t>1 MacBook Air 24/512 GB $2149 sky blue JBHIFI castle hills</t>
  </si>
  <si>
    <t xml:space="preserve">2 MacBook Air 24/512 GB $2090 sky blue Office works Northmead pending collection </t>
  </si>
  <si>
    <t>1 Instax mini Evo $275 office works Northmead</t>
  </si>
  <si>
    <t xml:space="preserve"> MacBook Air 24/512 GB $2042 sky blue Office works castle hills pending collection </t>
  </si>
  <si>
    <t xml:space="preserve">2 MacBook Air 24/512 GB $2090 sky blue Office works Auburn pending collection </t>
  </si>
  <si>
    <t xml:space="preserve">2 MacBook Air 24/512 GB $2090 sky blue Office works westRyde  pending collection </t>
  </si>
  <si>
    <t>2 PS5 $695 Costco without Coupon</t>
  </si>
  <si>
    <t>Macbook Air 24/512 GB</t>
  </si>
  <si>
    <t>Pending</t>
  </si>
  <si>
    <t xml:space="preserve">1 MacBook Air 24/512 GB $2090 sky blue Office works West Ryde pending collection </t>
  </si>
  <si>
    <t>1 MacBook Air 24/512 GB $2090  Midnight Office works West Ryde pending collection</t>
  </si>
  <si>
    <t xml:space="preserve">2 MacBook Air 24/512 GB $2090 sky blue Office works North Ryde  pending collection </t>
  </si>
  <si>
    <t xml:space="preserve">2 MacBook Air 24/512 GB $2090 sky blue Office works Five Dock pending collection </t>
  </si>
  <si>
    <t>2 PS5 slim  Astra Bot $669 EB Games</t>
  </si>
  <si>
    <t>Sale Ret (Shehzad)</t>
  </si>
  <si>
    <t>APPLE AIR TAG 1 PACK</t>
  </si>
  <si>
    <t>Purchase in Dubai</t>
  </si>
  <si>
    <t>Directly Purchased in Dubai</t>
  </si>
  <si>
    <t>Sale Ret (Power play)</t>
  </si>
  <si>
    <t>PS5 Astro BOT JBHIFI Castle Hills</t>
  </si>
  <si>
    <t>Mac Book Air M4 24/512Midnight</t>
  </si>
  <si>
    <t>Mac Book Air M4 24/512Midnight JBHIFI Castle Hills</t>
  </si>
  <si>
    <t xml:space="preserve">Iphone 16 Pro max 256 GB Desert </t>
  </si>
  <si>
    <t>Mac Book Air M4 24/512 Sky Blue  Office Works Northmead Pending</t>
  </si>
  <si>
    <t>Mac Book Air M4 24/512 Sky Blue Office Works  Castle Hills Pending</t>
  </si>
  <si>
    <t>Mac Book Air M4 24/512Midnight Office Works  Castle Hills Pending</t>
  </si>
  <si>
    <t>Mac Book Air M4 24/512Midnight Office Works Blacktown Pending</t>
  </si>
  <si>
    <t>Mac Book Air M4 24/512 Sky Blue Office Works Blacktown Pending</t>
  </si>
  <si>
    <t>Mac Book Pro 16/512 Silver Office Works Wentworthville Pending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</si>
  <si>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</si>
  <si>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</si>
  <si>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</si>
  <si>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</si>
  <si>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</si>
  <si>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</si>
  <si>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</si>
  <si>
    <t>Mini Evo Good Guys Auburn Pending Collection Blacktown</t>
  </si>
  <si>
    <t>Mini 12 Purple Good Guys Auburn Pending Collection Blacktown</t>
  </si>
  <si>
    <t>Mini 12 Blue Good Guys Auburn Pending Collection Blacktown</t>
  </si>
  <si>
    <t>20 pcs</t>
  </si>
  <si>
    <t>133$</t>
  </si>
  <si>
    <t>Purchase from owais usa</t>
  </si>
  <si>
    <t>Bus Pending Purchasing</t>
  </si>
  <si>
    <t>Macbook Pro 16/512</t>
  </si>
  <si>
    <t>INSTAX MINI 12</t>
  </si>
  <si>
    <t>NINJA BLAST BLENDER</t>
  </si>
  <si>
    <t>ok</t>
  </si>
  <si>
    <t>pend</t>
  </si>
  <si>
    <t>pen</t>
  </si>
  <si>
    <t>Mini Evo Good Guys Auburn Pending Collection Bankstown</t>
  </si>
  <si>
    <t>Mini 12 Purple Good Guys Auburn Pending Collection Bankstown</t>
  </si>
  <si>
    <t xml:space="preserve">Mac Book Air M4 24/512 Sky Blue  Office Works Auburn Pending </t>
  </si>
  <si>
    <t>Mini 12 Blue Good Guys Auburn Pending Collection Bankstown</t>
  </si>
  <si>
    <t>Ps5 Astro Bot EB games Online Pending Collection Bankstown</t>
  </si>
  <si>
    <t xml:space="preserve">Mac Book Pro M4 14" 16/512 Silver Office Works Five Dock Auburn Pending </t>
  </si>
  <si>
    <t>return 16 pro max fform stock</t>
  </si>
  <si>
    <t>remove jbl charge 5 from stock</t>
  </si>
  <si>
    <t>sell instax camera to Waheed Bhai</t>
  </si>
  <si>
    <t>Purchase Ret</t>
  </si>
  <si>
    <t>Done</t>
  </si>
  <si>
    <t>10 PS5 Purchased in NZ $759</t>
  </si>
  <si>
    <t>130 purchase cancel</t>
  </si>
  <si>
    <t>sell to waheed bhai</t>
  </si>
  <si>
    <t>Macbook Air 13 M4 24/512 Sky Blue Office Works Nothmead Collected</t>
  </si>
  <si>
    <t>Macbook Pro 14" 16/1TB Space Black Office Works Auburn Pending</t>
  </si>
  <si>
    <t>Macbook Air 13 M4 24/512 Sky Blue Office Works Castle Hills Pending</t>
  </si>
  <si>
    <t>Macbook Air 13 M4 24/512 Space Black Office Works Castle Hills Pending</t>
  </si>
  <si>
    <t>Macbook Pro 14" 16/1TB Space Black Office Works Nothmead Pending</t>
  </si>
  <si>
    <t>Instax Mini 99 Bundle JB HIFI Hornsby Collected</t>
  </si>
  <si>
    <t>Ps5 Astro Bot JB HIFI Hornsby Castle Hills Pending</t>
  </si>
  <si>
    <t>Meta Quest 3 512 GB JB HIFI Hornsby Castle Hills Pending</t>
  </si>
  <si>
    <t>Macbook Air 13 M4 24/512 Sky Blue  JB HIFI Hornsby Collected</t>
  </si>
  <si>
    <t>Macbook Air 13 M4 24/512 Sky Blue  Office Works Auburn Pending</t>
  </si>
  <si>
    <t>Macbook Air 13 M4 24/512 Space Black  Office Works Auburn Pending</t>
  </si>
  <si>
    <t>Norton Antivirus Collected</t>
  </si>
  <si>
    <t>Macbook Pro 16/1TB</t>
  </si>
  <si>
    <t>Macbook Air 13 M4 24/512 Sky Blue Office Works Hornsby Pending</t>
  </si>
  <si>
    <t>Macbook Air 13 M4 24/512 Space Black Office Works Hornsby Pending</t>
  </si>
  <si>
    <t>NORTON ANTIVIRUS</t>
  </si>
  <si>
    <t>Mac Book Air M4 24/512 Sky Blue Office Works Northmead</t>
  </si>
  <si>
    <t>Mac Book Pro M4 14" 16/ 1TB Space Black Office Works Blacktown</t>
  </si>
  <si>
    <t>Mac Book Pro M4 14" 16/ 1TB Space Black Office Works Wentworthville</t>
  </si>
  <si>
    <t>Mini Evo Good Guys Blacktown Pending</t>
  </si>
  <si>
    <t>Mini 12  Mix Colour Good Guys Blacktown Pending</t>
  </si>
  <si>
    <t>Meta Quest 3 512 JBHIFI Castle Hills</t>
  </si>
  <si>
    <t>PS5 EB Games Online Pending Collection</t>
  </si>
  <si>
    <t xml:space="preserve"> Instax Mini 12 Good Guys </t>
  </si>
  <si>
    <t>Mac Book Pro M4 14" 16/512 Silver Good Guys Pending Collection Bankstown</t>
  </si>
  <si>
    <t>Mac Book Air 13" M4 24/512 Space Black Office Works Punchbowl</t>
  </si>
  <si>
    <t>Purchase Newzeland</t>
  </si>
  <si>
    <t>Per Unit Sale</t>
  </si>
  <si>
    <t>Per unit Purchase</t>
  </si>
  <si>
    <t>Total Sale</t>
  </si>
  <si>
    <t>Total Purhcase</t>
  </si>
  <si>
    <t>Per Unit Profit</t>
  </si>
  <si>
    <t>Total Profit</t>
  </si>
  <si>
    <t>MACBOOK PRO 14 INC</t>
  </si>
  <si>
    <t>Profit</t>
  </si>
  <si>
    <t>Net Income</t>
  </si>
  <si>
    <t>Products Sold in Loss for the Month of March-2025</t>
  </si>
  <si>
    <t>Macbook Air 13 M4 24/512 Sky Blue  Office Works Noth Ryde Pending Canceled</t>
  </si>
  <si>
    <t>Macbook Air 13 M4 24/512 Sky Blue  Office Works West Ryde Pending Nothmead Canceled</t>
  </si>
  <si>
    <t>Mac Book Air 13" M4 24/512 Sky Blue</t>
  </si>
  <si>
    <t>PS5 Hard drive</t>
  </si>
  <si>
    <t>Mac Book Air 15" M4 24/512 Sky Blue</t>
  </si>
  <si>
    <t>Mac Book Air 13" M4 24/512 Sky Blue Office Works Castle Hills Pending Collection  Zunera</t>
  </si>
  <si>
    <t>Mac Book Air 13" M4 24/512 Space Black Office Works Hornsby Pending Collection Blacktown Zunera</t>
  </si>
  <si>
    <t>Macbook Air 15 24/512 GB</t>
  </si>
  <si>
    <t>PS5 Hard Drive</t>
  </si>
  <si>
    <t>CD PS5 DRAGON AGE</t>
  </si>
  <si>
    <t>NO ENTRY</t>
  </si>
  <si>
    <t>Total Loss</t>
  </si>
  <si>
    <t>2 PS5 slim  Astra Bot $669 EB Games Received</t>
  </si>
  <si>
    <t>Australia Calceled Purchase</t>
  </si>
  <si>
    <t>Canceled Purchase</t>
  </si>
  <si>
    <r>
      <t xml:space="preserve">Mac Book Air 13" M4 24/512 Sky Blue Office Works Punchbowl Pending Collection </t>
    </r>
    <r>
      <rPr>
        <b/>
        <sz val="11"/>
        <color theme="1"/>
        <rFont val="Aptos Narrow"/>
        <family val="2"/>
        <scheme val="minor"/>
      </rPr>
      <t xml:space="preserve"> Canceled</t>
    </r>
  </si>
  <si>
    <t>RAYBAN GLASSES</t>
  </si>
  <si>
    <t>USA (Owais Houston)</t>
  </si>
  <si>
    <t>Sony buds wf-1000XM5</t>
  </si>
  <si>
    <t xml:space="preserve">2tb ps5 ssd </t>
  </si>
  <si>
    <t xml:space="preserve">AirPods pro </t>
  </si>
  <si>
    <t>AirPods 4ANC</t>
  </si>
  <si>
    <t xml:space="preserve">Play station portal </t>
  </si>
  <si>
    <t>SONY BUDS</t>
  </si>
  <si>
    <t>PLAY STATION PORTAL</t>
  </si>
  <si>
    <t>PS5 SSD 2TB</t>
  </si>
  <si>
    <t>APPLE AIRPODS PRO</t>
  </si>
  <si>
    <t>Purchased from USA</t>
  </si>
  <si>
    <t>To be correct</t>
  </si>
  <si>
    <t>Purchase Owais Houston</t>
  </si>
  <si>
    <t>Sale Ret from Shehzad</t>
  </si>
  <si>
    <t>PS5 Astrobot with CD game Big W Merrylands</t>
  </si>
  <si>
    <t>Mac Book Air 15" M3 24/512 Starlight Costco Online</t>
  </si>
  <si>
    <t>Mac Book Air 15" M3 24/512 Silver Costco Online</t>
  </si>
  <si>
    <t>Mac Book Air 15" M3 24/512 Midnight Costco Online</t>
  </si>
  <si>
    <t>Mac Book Air 15" M4 24/512 Sky Blue Costco Online</t>
  </si>
  <si>
    <t>Meta Quest 3S 128 JBHIFI Bankstown</t>
  </si>
  <si>
    <t>PS5 Astrobot with CD game JBHIFI Bankstown</t>
  </si>
  <si>
    <t>PS5 Astrobot with CD game Big W Bansktown</t>
  </si>
  <si>
    <t>PS5 Astrobot with CD game Big W Winston Hills</t>
  </si>
  <si>
    <t>Mac Book Air 15" 24/512 Sky Blue Costco Online</t>
  </si>
  <si>
    <t>Mac Book Air 15" 24/512 Midnight Costco Online</t>
  </si>
  <si>
    <t>Dyson = 2 units</t>
  </si>
  <si>
    <t>Starlink H.P kit = 16 units</t>
  </si>
  <si>
    <t>Printer = 1 unit</t>
  </si>
  <si>
    <t>Beats Studio Buds = 1 unit</t>
  </si>
  <si>
    <t>Australia (05-April-2025)</t>
  </si>
  <si>
    <t>6 Macbook Air 24/512 Office Works (extra Piece purchasing)</t>
  </si>
  <si>
    <t>on 12-april-25</t>
  </si>
  <si>
    <t>Macbook Air 15 M3 24/512 GB</t>
  </si>
  <si>
    <t>with cds</t>
  </si>
  <si>
    <t>Meta Quest 3s 128</t>
  </si>
  <si>
    <t>AirPods 4</t>
  </si>
  <si>
    <t>Last shipment Charges</t>
  </si>
  <si>
    <t>TODO</t>
  </si>
  <si>
    <t xml:space="preserve">12 and 13 april AUS purchasing </t>
  </si>
  <si>
    <t>16 pro 256 gb</t>
  </si>
  <si>
    <t>100,000 in AR A/c</t>
  </si>
  <si>
    <t>95,000 in AR A/C</t>
  </si>
  <si>
    <t xml:space="preserve">  sale bilal G49 </t>
  </si>
  <si>
    <t>Sale Zurain Johar</t>
  </si>
  <si>
    <t>from Zurain to abdul rehman</t>
  </si>
  <si>
    <t>from Abubaker to Abdul Rehman</t>
  </si>
  <si>
    <t>16 pro Max 256</t>
  </si>
  <si>
    <t>Sale Waqas Mt</t>
  </si>
  <si>
    <t>from Waqas to Abdul Rehman</t>
  </si>
  <si>
    <t>April 12,2025</t>
  </si>
  <si>
    <t>April 08,2025</t>
  </si>
  <si>
    <t>April 10,2025</t>
  </si>
  <si>
    <t>April 05,2025</t>
  </si>
  <si>
    <t>April 04,2025</t>
  </si>
  <si>
    <t>March 30,2025</t>
  </si>
  <si>
    <t>March 26,2025</t>
  </si>
  <si>
    <t>March 25,2025</t>
  </si>
  <si>
    <t>March 22,2025</t>
  </si>
  <si>
    <t>March 20,2025</t>
  </si>
  <si>
    <t>March 18,2025</t>
  </si>
  <si>
    <t>ANC</t>
  </si>
  <si>
    <t>without Anc</t>
  </si>
  <si>
    <t>d</t>
  </si>
  <si>
    <t>Karachi Sale</t>
  </si>
  <si>
    <t>Meta Quest 3s 256</t>
  </si>
  <si>
    <t>Purchase from Blue Zone</t>
  </si>
  <si>
    <t>Purchase from Shehzad</t>
  </si>
  <si>
    <t>Macbook Air M4 13" 24/512 Midnight</t>
  </si>
  <si>
    <t>Store</t>
  </si>
  <si>
    <t>Per/Unit (AUD)</t>
  </si>
  <si>
    <t>Discount</t>
  </si>
  <si>
    <t>Per/Unit After Dis.</t>
  </si>
  <si>
    <t>Total AUD</t>
  </si>
  <si>
    <t>C.Rate</t>
  </si>
  <si>
    <t>Per/unit AED</t>
  </si>
  <si>
    <t>Discount %</t>
  </si>
  <si>
    <t xml:space="preserve">Ps5 Controller Dual sense </t>
  </si>
  <si>
    <t>Harvey Norman Morre Park</t>
  </si>
  <si>
    <t>Macbook Air M4 13" 24/512 Sky Blue</t>
  </si>
  <si>
    <t>Pending Collection</t>
  </si>
  <si>
    <t>PS5 Astrobot Bundle No CD</t>
  </si>
  <si>
    <t>Play Station Portal Black</t>
  </si>
  <si>
    <t xml:space="preserve"> equivalent to Macbook Air M4 13" 24/512 Midnight</t>
  </si>
  <si>
    <t>no CD</t>
  </si>
  <si>
    <t>Macbook Air M4 13" 24/512 Silver</t>
  </si>
  <si>
    <t>Harvey Norman Broadway</t>
  </si>
  <si>
    <t>Macbook Air M4 15" 24/512 Midnight</t>
  </si>
  <si>
    <t>Macbook Air M4 15" 24/512 Sky Blue</t>
  </si>
  <si>
    <t>Harvey Norman Castle Hills</t>
  </si>
  <si>
    <t>Collected</t>
  </si>
  <si>
    <t>Instax Mini 40</t>
  </si>
  <si>
    <t>Dragon Age Game CD</t>
  </si>
  <si>
    <t>Harvey Norman North Ryde</t>
  </si>
  <si>
    <t>Costco Online</t>
  </si>
  <si>
    <t>Pending Delivery</t>
  </si>
  <si>
    <t>Macbook Air M4 15" 24/512 Silver</t>
  </si>
  <si>
    <t>PS5 Astrobot with CD game</t>
  </si>
  <si>
    <t xml:space="preserve">Big W Online </t>
  </si>
  <si>
    <t>DJI Osmo Pocket 3</t>
  </si>
  <si>
    <t>Good Guys Blacktown</t>
  </si>
  <si>
    <t>with Cd</t>
  </si>
  <si>
    <t>DJI OSMO POCKET 3</t>
  </si>
  <si>
    <t>Instax mini EVO</t>
  </si>
  <si>
    <t>Good Guys Bankstown</t>
  </si>
  <si>
    <t>Instax Mini 12</t>
  </si>
  <si>
    <t>Instax Film 20 Pack</t>
  </si>
  <si>
    <t>INSTAX FLIM 20 PACK</t>
  </si>
  <si>
    <t>NEW</t>
  </si>
  <si>
    <t>Harvey Norman Alexandria</t>
  </si>
  <si>
    <t>Macbook Air M3 13" 24/512 Midnight</t>
  </si>
  <si>
    <t>Harvey Norman Blacktown</t>
  </si>
  <si>
    <t>Macbook Air 13 M3 24/512 GB</t>
  </si>
  <si>
    <t>Talley Raaz Ledger</t>
  </si>
  <si>
    <t>Carry charges to AR</t>
  </si>
  <si>
    <t>JBHIFI Castle Hills</t>
  </si>
  <si>
    <t>Good Guys Castle Hills</t>
  </si>
  <si>
    <t>DJI Mavic Pro RC (10% Gift Card + $200 Gift Card)</t>
  </si>
  <si>
    <t>DJI Mavic Pro RC Combo (10% Gift Card + $200 Gift Card)</t>
  </si>
  <si>
    <t xml:space="preserve">Instax Li Play Mix </t>
  </si>
  <si>
    <t>Instax Li Play Pink</t>
  </si>
  <si>
    <t>new</t>
  </si>
  <si>
    <t>DJI MAVIC PRO RC</t>
  </si>
  <si>
    <t>DJI MAVIC PRO RC COMBO</t>
  </si>
  <si>
    <t>s</t>
  </si>
  <si>
    <t>megatop payment</t>
  </si>
  <si>
    <t xml:space="preserve">hajj payment through Raaz to waheed bhai </t>
  </si>
  <si>
    <t>Waiting for confirmation</t>
  </si>
  <si>
    <t>28,385 AUD through Raaz to Waheed Bhai</t>
  </si>
  <si>
    <t>issue solved</t>
  </si>
  <si>
    <t>Add Magatop last 3 invoice</t>
  </si>
  <si>
    <t>16-april entries and send report</t>
  </si>
  <si>
    <t>Chrome Cast = 5 units</t>
  </si>
  <si>
    <t>1PS5 Astro Bot EB Games Online North Ryde Order Canceled</t>
  </si>
  <si>
    <t>1 piece extra sent</t>
  </si>
  <si>
    <t>Purchase BZS trading</t>
  </si>
  <si>
    <t>Purchase from BZS Trading</t>
  </si>
  <si>
    <t>IPHONE 16 128</t>
  </si>
  <si>
    <t>IPHONE 13 128</t>
  </si>
  <si>
    <t>Purchase IN Dubai</t>
  </si>
  <si>
    <t>Star Link V4 =  1 units</t>
  </si>
  <si>
    <t>PS5 with CD Big W Online Rockdale cd Pending</t>
  </si>
  <si>
    <t>Macbook Air M4 15" 24/512 Starlinght Costco Online Pending Delivery</t>
  </si>
  <si>
    <t>Macbook Air M4 15" 24/512 Silver Costco Online Pending Delivery</t>
  </si>
  <si>
    <t>Macbook Air M4 13" 24/512 Sky Blue Costco Online Pending Delivery</t>
  </si>
  <si>
    <t>Meta RW4010 Transitins glasses Sunglass Hut Bankstown</t>
  </si>
  <si>
    <t>20 PK film paper Good Guys Auburn</t>
  </si>
  <si>
    <t>Osmo Action 5 pro Adventure Good Guys Auburn Pending Collection</t>
  </si>
  <si>
    <t>Osmo Pocket 3 Good Guys Auburn Pending Collection</t>
  </si>
  <si>
    <t>Osmo Mobile 7 P Good Guys Auburn Pending Collection</t>
  </si>
  <si>
    <t>RW4006  EYE CONCEPTS MerryLands</t>
  </si>
  <si>
    <t>RW4008 EYE CONCEPTS MerryLands</t>
  </si>
  <si>
    <t>RW4010 Transitions OPSM Parramatta</t>
  </si>
  <si>
    <t>RW4008 Transitions OPSM Parramatta</t>
  </si>
  <si>
    <t>RW 4008 Transitions Sunglass Hut Parramatta</t>
  </si>
  <si>
    <t>RW4006 Sunglass Hut Parramatta</t>
  </si>
  <si>
    <t>RW4010 Transitions Sunglass Hut Parramatta</t>
  </si>
  <si>
    <t>RW4006 Transitions Sunglass Hut Parramatta</t>
  </si>
  <si>
    <t>DJI OSMO Action 5 pro</t>
  </si>
  <si>
    <t>DJI OSMO Mobile 7 P</t>
  </si>
  <si>
    <t xml:space="preserve">   </t>
  </si>
  <si>
    <t>complementry entry 19-april</t>
  </si>
  <si>
    <t xml:space="preserve">Purchase from BZ </t>
  </si>
  <si>
    <t>Purchase cash in Dubai</t>
  </si>
  <si>
    <t>Purchase  best link</t>
  </si>
  <si>
    <t xml:space="preserve">Purchase BZone </t>
  </si>
  <si>
    <t>Meta RaybanTransitions Mix  Myer Sydney</t>
  </si>
  <si>
    <t>RW4006 Matte Dusty Blue  Myer Online Pending Delivery</t>
  </si>
  <si>
    <t>Osmo 7P  Good Guys Castle Hills</t>
  </si>
  <si>
    <t>DJI Mavic Pro3 RC Harvey Norman Castle Hills ($1200 Gift Card )</t>
  </si>
  <si>
    <t>Instax Film 20 Pack Harvey Norman Castle Hills</t>
  </si>
  <si>
    <t>Meta RaybanTransitions Mix  Sunglass Hut Castle Towers</t>
  </si>
  <si>
    <t>RW4006 Matte Dusty Blue 53 David Jones Castle hills</t>
  </si>
  <si>
    <t>Meta RaybanTransitions Mix  Myer Castle Hills</t>
  </si>
  <si>
    <t>Meta RaybanTransitions Mix  OPSM Castle Hills</t>
  </si>
  <si>
    <t>Macbook Air M4 13" 24/512 Sky Blue Costco Online</t>
  </si>
  <si>
    <t>Macbook Air M4 13" 24/512 MidnightCostco Online</t>
  </si>
  <si>
    <t>Airpods 4 ANC Office Works West Ryde</t>
  </si>
  <si>
    <t>Instac Mini12  Camera House Drummy One</t>
  </si>
  <si>
    <t>DJI Mavic Pro 3 RC Harvey Norman North Ryde</t>
  </si>
  <si>
    <t>DJI Mavic Pro 3 RC COMBO Harvey Norman North Ryde</t>
  </si>
  <si>
    <t>Macbook Air M4 15" 24/512 Sky Blue JB HIFI Top Macquare park</t>
  </si>
  <si>
    <t>Macbook Air M4 13" 24/512 Sky Blue JB HIFI Top Macquare park</t>
  </si>
  <si>
    <t>Airpods 4 ANC Office Works Aubrum</t>
  </si>
  <si>
    <t>Instac Mini12   Office Works Aubrum</t>
  </si>
  <si>
    <t>DJI Mavic Pro 3 RC Harvey Norman North Ryde $200 Gift Card</t>
  </si>
  <si>
    <t>DJI Mavic Pro 3 RC COMBO Harvey Norman North Ryde  $200 Gift Card</t>
  </si>
  <si>
    <t>Macbook M3 = 2 units (OLD)</t>
  </si>
  <si>
    <t>DJI Mavic 3 Pro RC Harvey Norman Morre Park</t>
  </si>
  <si>
    <t>DJI Mavic 3 Pro RC Combo Harvey Norman Morre Park</t>
  </si>
  <si>
    <t>Meta Ryban Transitions Harvey Norman Morre Park</t>
  </si>
  <si>
    <t>Instax film wide 10pk Harvey Norman Morre Park</t>
  </si>
  <si>
    <t>Instax film wide 20pk Harvey Norman Morre Park</t>
  </si>
  <si>
    <t>Instax film Square 10 PK Harvey Norman Morre Park</t>
  </si>
  <si>
    <t>Instax film Square 10 PK Black  Harvey Norman Morre Park</t>
  </si>
  <si>
    <t>Instax film Square 10 PK Monochorome Harvey Norman Morre Park</t>
  </si>
  <si>
    <t>Instax film Square 10 PK star Illuminate Harvey Norman Morre Park</t>
  </si>
  <si>
    <t>Instax film Square 10 PK star sunset Harvey Norman Morre Park</t>
  </si>
  <si>
    <t>Instax film Square 10 PK star Rainbow Harvey Norman Morre Park</t>
  </si>
  <si>
    <t>Intax mini link 3 Harvey Norman Morre Park</t>
  </si>
  <si>
    <t>instax Liplay Harvey Norman Morre Park</t>
  </si>
  <si>
    <t>Osmo Mobile 7 P Harvey Norman Morre Park</t>
  </si>
  <si>
    <t>Instax mini EVO  Harvey Norman Morre Park</t>
  </si>
  <si>
    <t>Meta Ryban Transitions  Harvey Norman Alexandria</t>
  </si>
  <si>
    <t>DJI Mavic 3 Pro RC Combo Harvey Norman Alexandria</t>
  </si>
  <si>
    <t>Macbook Air M4 13" 24/512 Sky Blue JBHIFI Moore Park</t>
  </si>
  <si>
    <t xml:space="preserve">INSTAX MINI LINK 3 </t>
  </si>
  <si>
    <t>INSTAX FLIM 10 PACK</t>
  </si>
  <si>
    <t>Meta Ryban Transitions Harvey Norman Broadway</t>
  </si>
  <si>
    <t>DJI Mavic 3 Pro RC Combo Harvey Norman Blacktown</t>
  </si>
  <si>
    <t>DJI Mavic 3 Pro RC  Harvey Norman Blacktown</t>
  </si>
  <si>
    <t>DJI Mavic 3 Pro RC Combo Harvey Norman Liverpool</t>
  </si>
  <si>
    <t>DJI Mavic 3 Pro RC  Harvey Norman Liverpool</t>
  </si>
  <si>
    <t>Meta Ryban Transitions Harvey Norman Liverpool</t>
  </si>
  <si>
    <t>11 piece macbook air 24/512 not purchases but shipped</t>
  </si>
  <si>
    <t>1 piece Extra macbook air 24/512 shipped but not purchased</t>
  </si>
  <si>
    <t>PS5 quantity Changed</t>
  </si>
  <si>
    <t>1 piece Ipad 11 pro 256 wifi short problem</t>
  </si>
  <si>
    <t>for balancing the problem</t>
  </si>
  <si>
    <t>1 piece added later</t>
  </si>
  <si>
    <t>Mac Book Air 13" M4 24/512 Sky Blue Costco Online</t>
  </si>
  <si>
    <t>Macbook Air M3 13" 24/512 Midnight (Exchange with 13 inch M4)</t>
  </si>
  <si>
    <t xml:space="preserve"> 5 solved 4 need to be purchased</t>
  </si>
  <si>
    <t>2 piece problem remeining</t>
  </si>
  <si>
    <t xml:space="preserve"> solved</t>
  </si>
  <si>
    <t>Australia GST received  @ 2.33</t>
  </si>
  <si>
    <t>Meta quest 3-512 Batman</t>
  </si>
  <si>
    <t>Received on 30-April</t>
  </si>
  <si>
    <t xml:space="preserve">MacBook Air 13 M4 24/512 GB </t>
  </si>
  <si>
    <t>17-april shipment extra piece shipped but not purcahses at that time</t>
  </si>
  <si>
    <t>Told by waheed bhai to purchase 4 units on April 29, 2025</t>
  </si>
  <si>
    <t>OLD remaining Units Told by Waheed Bhai 2 extra for balancing 2 extra unsolved entries</t>
  </si>
  <si>
    <t>Meta Rayban Transitions  Sunglass Hutt BanksTown</t>
  </si>
  <si>
    <t>Ipad 11 pro Wifi 256 =  1 unit (Missing)</t>
  </si>
  <si>
    <t>MacBook Air 15 M3 24/512 = 13 units</t>
  </si>
  <si>
    <t>PlayStation Portal = 3 units</t>
  </si>
  <si>
    <t>Complementary with PS5</t>
  </si>
  <si>
    <t>Game CDs = 78 Units</t>
  </si>
  <si>
    <t>NINJA BLAST BLENDER = 2 units</t>
  </si>
  <si>
    <t>INSTAX FLIM 20 PACK = 26 units</t>
  </si>
  <si>
    <t>RW4006 Matte Dusty Blue 50 - Sunglass Hutt Castle Hills</t>
  </si>
  <si>
    <t>Transitions Graphite Green - Sunglass Hutt Castle Hills</t>
  </si>
  <si>
    <t>RW4006 Matte Dusty Blue 50 - OPSM Castle Hills</t>
  </si>
  <si>
    <t>Wayfarer Shiny Black Clear 4006 - JBHIFI Castle hills</t>
  </si>
  <si>
    <t>IPHONE CABLE</t>
  </si>
  <si>
    <t>Purchased from Shehzad</t>
  </si>
  <si>
    <t>INSTAX FLIM 10 PACK = 37 units  in duabai 25 (12 short)</t>
  </si>
  <si>
    <t>MacBook Air 13 inch 24/512 = 35 units</t>
  </si>
  <si>
    <t>Macbook Air 15 M4 24/512 GB = 13 units</t>
  </si>
  <si>
    <t>Rayban Glasses = 39 units</t>
  </si>
  <si>
    <t>IPHONE 13 128 gb : 5 units (Purchased for karachi Office)</t>
  </si>
  <si>
    <t>IPHONE CABLE: 108 units</t>
  </si>
  <si>
    <t>Cancel</t>
  </si>
  <si>
    <t>returned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</si>
  <si>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</si>
  <si>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</si>
  <si>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</si>
  <si>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</si>
  <si>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</si>
  <si>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GOOGLE TV STREAMER</t>
  </si>
  <si>
    <t>Purchase in NZ</t>
  </si>
  <si>
    <t>Received on 13-May</t>
  </si>
  <si>
    <t>Purchase from BZ</t>
  </si>
  <si>
    <t>Canon Camera Noel Leeming</t>
  </si>
  <si>
    <t>Osmo Pocket 3 Noel Leeming</t>
  </si>
  <si>
    <t>Osmo Pocket 3 Creator Combo Noel Leeming</t>
  </si>
  <si>
    <t>CANON CAMERA</t>
  </si>
  <si>
    <t>DJI OSMO POCKET 3 COMBO</t>
  </si>
  <si>
    <t>RW4006 Matte Dusty Blue 53 David Jones Castle hills  (1 piece refund)</t>
  </si>
  <si>
    <r>
      <t>Macbook Air M4 13" 24/512 Sky Blue JB HIFI Top Ryde  (</t>
    </r>
    <r>
      <rPr>
        <b/>
        <sz val="11"/>
        <color theme="1"/>
        <rFont val="Aptos Narrow"/>
        <family val="2"/>
        <scheme val="minor"/>
      </rPr>
      <t>Refund)</t>
    </r>
  </si>
  <si>
    <t>Macbook Air M4 15" 24/512 Sky Blue JB HIFI Top Ryde Refund)</t>
  </si>
  <si>
    <t>Transitions Graphite Green Myer Parramatta</t>
  </si>
  <si>
    <t>Transitions Graphite Green JBHIFI Broadway</t>
  </si>
  <si>
    <t>Transitions mix Sunglass Hutt Parramatta</t>
  </si>
  <si>
    <t>Transitions Graphite Green Myer Macquarie Park</t>
  </si>
  <si>
    <t>Canon GX70 Digi Direct</t>
  </si>
  <si>
    <t>Canon SX740  Harvey norman Moore Park</t>
  </si>
  <si>
    <t>DJI Mavic 4 Pro RC Combo  Harvey norman Moore Park</t>
  </si>
  <si>
    <t>DJI Mavic 3 Pro RC Combo  Harvey norman Moore Park</t>
  </si>
  <si>
    <t>DJI Mavic 3 Pro RC  Harvey norman Moore Park</t>
  </si>
  <si>
    <t>Instax mini 12   Office Works Castle Hills</t>
  </si>
  <si>
    <t>10 pending</t>
  </si>
  <si>
    <t>DJI Mic 2  JBHIFI Merrylands</t>
  </si>
  <si>
    <t>DJI Mic 2   JBHIFI Castle hills</t>
  </si>
  <si>
    <t>DJI Mic 2  JBHIFI Castle hills</t>
  </si>
  <si>
    <t>Meta Transitions Wayfarer Sunglass Hutt Castle Hills</t>
  </si>
  <si>
    <t>Rayban Wayfarer   Sunglass Hutt Castle Hills</t>
  </si>
  <si>
    <t>DJI MIC 2</t>
  </si>
  <si>
    <t>Canon SX740  JB HIFI Parramatta</t>
  </si>
  <si>
    <t>DJI MIC 2   JB HIFI Parramatta</t>
  </si>
  <si>
    <t>DJI MIC 2  JB HIFI Macquarie Park</t>
  </si>
  <si>
    <t>DJI MIC 2 MobilieCiti</t>
  </si>
  <si>
    <t>Osmo Pocket 3 Combo  MobilieCiti</t>
  </si>
  <si>
    <t>Osmo Pocket 3 Combo  DJI Macquarie</t>
  </si>
  <si>
    <t>DJI MIC 2    DJI Macquarie</t>
  </si>
  <si>
    <t>CANON GX70</t>
  </si>
  <si>
    <t>CANON SX740</t>
  </si>
  <si>
    <t>DJI MAVIC 4 PRO COMBO</t>
  </si>
  <si>
    <t>RAYBAN WAYFARER</t>
  </si>
  <si>
    <t>Received on 22-May</t>
  </si>
  <si>
    <t>VR</t>
  </si>
  <si>
    <t>return</t>
  </si>
  <si>
    <t>2 return</t>
  </si>
  <si>
    <t>Sale Karachi</t>
  </si>
  <si>
    <t>IPHONE 16 PRO MAX 256 GB</t>
  </si>
  <si>
    <t>META QUEST 3 512 GB</t>
  </si>
  <si>
    <t xml:space="preserve">BEATS PRO 2 </t>
  </si>
  <si>
    <t>Purchased Owais Houston</t>
  </si>
  <si>
    <t>1 extra for adjustment</t>
  </si>
  <si>
    <t>1 extra for adj</t>
  </si>
  <si>
    <t>Purchased Shehzad Aslam</t>
  </si>
  <si>
    <t>Faisal Bhai Friend</t>
  </si>
  <si>
    <t>Purchase Shehzad Aslam</t>
  </si>
  <si>
    <t>gaming</t>
  </si>
  <si>
    <t>CS ,Fifa, takken, Chess</t>
  </si>
  <si>
    <t>brand ambassadors from each university</t>
  </si>
  <si>
    <t>ashar</t>
  </si>
  <si>
    <t xml:space="preserve">Hackaton </t>
  </si>
  <si>
    <t xml:space="preserve">speed coding </t>
  </si>
  <si>
    <t>top 5 will give HR interview</t>
  </si>
  <si>
    <t>Cyber Security</t>
  </si>
  <si>
    <t>hack the box</t>
  </si>
  <si>
    <t xml:space="preserve">Try Hack ME </t>
  </si>
  <si>
    <t>Quiz</t>
  </si>
  <si>
    <t>2nd competetion</t>
  </si>
  <si>
    <t>Final yar project representation</t>
  </si>
  <si>
    <t>ideas pitching competition</t>
  </si>
  <si>
    <t xml:space="preserve">kagggle </t>
  </si>
  <si>
    <t xml:space="preserve">single round </t>
  </si>
  <si>
    <t xml:space="preserve">judgment </t>
  </si>
  <si>
    <t>AI</t>
  </si>
  <si>
    <t xml:space="preserve">photography </t>
  </si>
  <si>
    <t>videography</t>
  </si>
  <si>
    <t xml:space="preserve">google form with points kis ko kia aata hay </t>
  </si>
  <si>
    <t xml:space="preserve">Dib Card entries </t>
  </si>
  <si>
    <t>Rehmey mamu entries for last 3 days</t>
  </si>
  <si>
    <t xml:space="preserve">owais houston  ledger </t>
  </si>
  <si>
    <t>waheed bhai entries</t>
  </si>
  <si>
    <t>Maaz</t>
  </si>
  <si>
    <t>Ashar</t>
  </si>
  <si>
    <t>Mock interviews with HRs  (Saim)</t>
  </si>
  <si>
    <t>Workshop for Linkedin Optimization  (Saim)</t>
  </si>
  <si>
    <t>Abdul rehman</t>
  </si>
  <si>
    <t>Bug Bounty (Khuzaima)</t>
  </si>
  <si>
    <t>Khuzaima</t>
  </si>
  <si>
    <t>wrong entry</t>
  </si>
  <si>
    <t>no Sale</t>
  </si>
  <si>
    <t xml:space="preserve">Starlink V4 200 * $492 </t>
  </si>
  <si>
    <t>Mini EVO 100 * $329</t>
  </si>
  <si>
    <t>Canon 740 qty 10* $745</t>
  </si>
  <si>
    <t>DJI Mic 2 Dual Microphone Combo</t>
  </si>
  <si>
    <t>Received on June-03</t>
  </si>
  <si>
    <t>Meta quest 3s 128 GB</t>
  </si>
  <si>
    <t>Google Streamer 250 * $149</t>
  </si>
  <si>
    <t>Received on June-11</t>
  </si>
  <si>
    <t>Purchased Hajvery</t>
  </si>
  <si>
    <t>Purchased K Phone</t>
  </si>
  <si>
    <t>Pakistan</t>
  </si>
  <si>
    <t>p</t>
  </si>
  <si>
    <t>Cash Purchase Dubai</t>
  </si>
  <si>
    <t>NZ return</t>
  </si>
  <si>
    <t>refund to WB</t>
  </si>
  <si>
    <t>TOTAL</t>
  </si>
  <si>
    <t xml:space="preserve">Starlink V4  * $492 </t>
  </si>
  <si>
    <t>Details</t>
  </si>
  <si>
    <t>Amount</t>
  </si>
  <si>
    <t>Chemist WareHouse AUD 246.86</t>
  </si>
  <si>
    <t>Smart Care AUS 5.0 AUD</t>
  </si>
  <si>
    <t>Bunnings Group LTD 549 AUD</t>
  </si>
  <si>
    <t>Bunnings -9453(NZD 4.00)</t>
  </si>
  <si>
    <t>Waheed Bhai</t>
  </si>
  <si>
    <t>Dubai Electricity AE</t>
  </si>
  <si>
    <t>DU Apple Pay, AE</t>
  </si>
  <si>
    <t>Expense</t>
  </si>
  <si>
    <t>Office Works 0234(AUD 2089.99)</t>
  </si>
  <si>
    <t>The Good Guys AUD 2203</t>
  </si>
  <si>
    <t>AGODA.COM SOFITEL SH, GB</t>
  </si>
  <si>
    <t>TST* FILLI CAFÉ 2 USD 3.24</t>
  </si>
  <si>
    <t>ASHRAS KITCHEN USD 7.02</t>
  </si>
  <si>
    <t>ASHRAS KITCHEN USD 22.19</t>
  </si>
  <si>
    <t>COMFPRT INNS USD 134.79</t>
  </si>
  <si>
    <t>DU-MBA -DU</t>
  </si>
  <si>
    <t>UBER</t>
  </si>
  <si>
    <t>CAFÉ</t>
  </si>
  <si>
    <t>FLIX USD 46.97</t>
  </si>
  <si>
    <t>TIGER MART USD 7.56</t>
  </si>
  <si>
    <t>AGODA.COM COMFORT IN USD 249.39</t>
  </si>
  <si>
    <t>FLIX USD 50.97</t>
  </si>
  <si>
    <t>SHELL OIL</t>
  </si>
  <si>
    <t>EMIRATES AI USD 602.4</t>
  </si>
  <si>
    <t>FILLI CAFÉ</t>
  </si>
  <si>
    <t>WM SUPERCENTER USD 15.71</t>
  </si>
  <si>
    <t>STUDENT BIRWANI</t>
  </si>
  <si>
    <t>EMIRATES AI USD 200.00</t>
  </si>
  <si>
    <t>POS PURCHASE JB HIFI HILL ST AUCKLAND</t>
  </si>
  <si>
    <t>POS PURCHASE HARVEY NORMAN NORTH RYDE</t>
  </si>
  <si>
    <t>INHOUSE CHEQUE DEBIT</t>
  </si>
  <si>
    <t>CREDIT CARD DIB</t>
  </si>
  <si>
    <t>DIB</t>
  </si>
  <si>
    <t>Purchase Wajhat</t>
  </si>
  <si>
    <t>Purchase Turbo</t>
  </si>
  <si>
    <t xml:space="preserve"> Purchase Zeeshan</t>
  </si>
  <si>
    <t>Sale Ret from Zeeshan</t>
  </si>
  <si>
    <t>Canon SX740 Photo Warehouse online  Pending Delivery</t>
  </si>
  <si>
    <t>Osmo Pocket 3 Combo Harvey Norman Moorepark</t>
  </si>
  <si>
    <t>Osmo Pocket 3  Harvey Norman Moorepark</t>
  </si>
  <si>
    <t>Canon SX740 Harvey Norman Moorepark</t>
  </si>
  <si>
    <t>DJI Mic 2 Harvey Norman Moorepark</t>
  </si>
  <si>
    <t>Mavic 4 Pro Harvey Norman Moorepark</t>
  </si>
  <si>
    <t>Mavic 4 Pro combo Harvey Norman Moorepark</t>
  </si>
  <si>
    <t>Mavic 3 Pro Harvey Norman Moorepark</t>
  </si>
  <si>
    <t>Mavic 3 Pro combo Harvey Norman Moorepark</t>
  </si>
  <si>
    <t>Mavic 4 Pro combo Harvey Norman Broadway</t>
  </si>
  <si>
    <t>Mavic 4 Pro Harvey Norman Broadway</t>
  </si>
  <si>
    <t xml:space="preserve">DJI MAVIC 4 PRO </t>
  </si>
  <si>
    <t>PS5 Console COSTCO</t>
  </si>
  <si>
    <t>PS5 Controller COSTCO</t>
  </si>
  <si>
    <t>PS5 Console EB Games Merrylands Pending Collection</t>
  </si>
  <si>
    <t>PS5 Console JBHIFI Parramatta</t>
  </si>
  <si>
    <t>PS5 Console EB Games Parramatta</t>
  </si>
  <si>
    <t>Canon SX740 Digi Direct Parramatta</t>
  </si>
  <si>
    <t>GM II Lense Digi Direct Parramatta Pending Collection</t>
  </si>
  <si>
    <t>SONY GM II Lense</t>
  </si>
  <si>
    <t>DJI Mic 2 Mobile Citi</t>
  </si>
  <si>
    <t>PS5 Console EB Games Bankstown</t>
  </si>
  <si>
    <t>PS5 Console JBHIFI Bankstown Pending Collection Merrylands</t>
  </si>
  <si>
    <t>shipping</t>
  </si>
  <si>
    <t>647,000 PKR @80 from Ahsan to Raaz Pending</t>
  </si>
  <si>
    <t>For blancing two extra pieces to be corrected</t>
  </si>
  <si>
    <t>Meta Quest 3 512 GB</t>
  </si>
  <si>
    <t xml:space="preserve">Meta Quest 3 256 GB </t>
  </si>
  <si>
    <t>PS5 Pro</t>
  </si>
  <si>
    <t>PS5 Disc</t>
  </si>
  <si>
    <t>PS5 Digital</t>
  </si>
  <si>
    <t>Zeeshan Dubai Tower</t>
  </si>
  <si>
    <t>Canon SX740 Harvey Norman Tawoomba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</si>
  <si>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</si>
  <si>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</si>
  <si>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</si>
  <si>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</si>
  <si>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</si>
  <si>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</si>
  <si>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</si>
  <si>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</si>
  <si>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</si>
  <si>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</si>
  <si>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</si>
  <si>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</si>
  <si>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</si>
  <si>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</si>
  <si>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</si>
  <si>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</si>
  <si>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</si>
  <si>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</si>
  <si>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</si>
  <si>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</si>
  <si>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</si>
  <si>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</si>
  <si>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</si>
  <si>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NZ Visit Expense Noel Leeming </t>
  </si>
  <si>
    <t xml:space="preserve">starlink V4 Noel Leeming </t>
  </si>
  <si>
    <t xml:space="preserve">Instax Wide 400 Noel Leeming </t>
  </si>
  <si>
    <t>Delivery Noel Leeming delivery charges</t>
  </si>
  <si>
    <t>CANON G7X Mark II</t>
  </si>
  <si>
    <t>CANON G7X Mark III</t>
  </si>
  <si>
    <t>35 mm Lense</t>
  </si>
  <si>
    <t xml:space="preserve">Canon SX740 Photo Warehouse online </t>
  </si>
  <si>
    <t>received on 11-july-2025</t>
  </si>
  <si>
    <t xml:space="preserve">San Disk 64 GB SD card </t>
  </si>
  <si>
    <t>Skyline V2 Pouch</t>
  </si>
  <si>
    <t>Gift Account</t>
  </si>
  <si>
    <t xml:space="preserve">meta quest 3s 128 </t>
  </si>
  <si>
    <t xml:space="preserve">ps5 pro </t>
  </si>
  <si>
    <t>ps5 disc</t>
  </si>
  <si>
    <t xml:space="preserve"> 2 problem</t>
  </si>
  <si>
    <t>for Software matching (OLD missed Entry)</t>
  </si>
  <si>
    <t xml:space="preserve">Purchase Karachi PKR </t>
  </si>
  <si>
    <t>received on 15-july-2025</t>
  </si>
  <si>
    <t>loss</t>
  </si>
  <si>
    <t>meta quest 3s 512</t>
  </si>
  <si>
    <t>USA (Owais Houston)[882858587862]</t>
  </si>
  <si>
    <t>Meta Quest 3s 512</t>
  </si>
  <si>
    <t>DJI Mic 2 Dual Microphone Combo (refund)</t>
  </si>
  <si>
    <t>meta quest 3 512</t>
  </si>
  <si>
    <t>Canon SX740 Digi Direct Parramatta 3 collected 1 pending</t>
  </si>
  <si>
    <t>OLD Purchase</t>
  </si>
  <si>
    <t>purchase July 29</t>
  </si>
  <si>
    <t>Refunded 15/07/2025</t>
  </si>
  <si>
    <t>PS5 Console Noel Leeming</t>
  </si>
  <si>
    <t>PS5 Controller Noel Leeming</t>
  </si>
  <si>
    <t>CANON IXUS 285</t>
  </si>
  <si>
    <t>Mavic 3 Pro RC Harvey Norman Moorepark</t>
  </si>
  <si>
    <t>DJI mini 4K Fly more Combo Harvey Norman Moorepark</t>
  </si>
  <si>
    <t>DJI MINI 4 PRO RC Harvey Norman Moorepark</t>
  </si>
  <si>
    <t>CANON IXUS 285 Harvey Norman Moorepark</t>
  </si>
  <si>
    <t>CANON SX740 Harvey Norman Moorepark</t>
  </si>
  <si>
    <t>CANON SX740 Harvey Norman OSBORNE PARK</t>
  </si>
  <si>
    <t>MARK II  Harvey Norman OSBORNE PARK</t>
  </si>
  <si>
    <t>CANON SX740 Harvey Norman McGrath Hills</t>
  </si>
  <si>
    <t>DJI mini 4K Fly more Combo  Harvey Norman McGrath Hills</t>
  </si>
  <si>
    <t>PS5 Console Bundle Digital  EB Games Merrylands</t>
  </si>
  <si>
    <t>PS5 Console Bundle Disc  EB Games Parramatta</t>
  </si>
  <si>
    <t>PS5 Controller Wireless  JBHIFI Merrylands</t>
  </si>
  <si>
    <t>PS5 Console Bundle Disc JBHIFI Merrylands</t>
  </si>
  <si>
    <t>PS5 Console Bundle Disc JBHIFI Parramatta</t>
  </si>
  <si>
    <t>PS5 Console Bundle Digital JBHIFI Parramatta</t>
  </si>
  <si>
    <t>DJI MINI 4k FLY MORE COMBO</t>
  </si>
  <si>
    <t xml:space="preserve">DJI MINI 4 PRO </t>
  </si>
  <si>
    <t>received on 29 July-2025</t>
  </si>
  <si>
    <t>PS5 Bundle Digital Big W Macquarie Centre</t>
  </si>
  <si>
    <t>PS5 Bundle Digital EB Games Macquarie park</t>
  </si>
  <si>
    <t>PS5 Bundle Digital EB Games Rhodes</t>
  </si>
  <si>
    <t>PS5 Bundle Digital JBHIFI Top Ryde</t>
  </si>
  <si>
    <t>PS5 Bundle Digital Big W Top Ryde</t>
  </si>
  <si>
    <t>PS5 Bundle Digital JBHIFI Top Macquarie Park</t>
  </si>
  <si>
    <t>PS5 Bundle Digital EB Games Merrylands Pending Collection</t>
  </si>
  <si>
    <t>PS5 Bundle Digital EB Games Roselands  Pending Collection</t>
  </si>
  <si>
    <t>PS5 Bundle Digital Big W Top Ryde Online  Pending Collection</t>
  </si>
  <si>
    <t>PURCHASE MOONSTRIKE</t>
  </si>
  <si>
    <t>Lenses Canon Progear Pending Collection</t>
  </si>
  <si>
    <t>Mark III Rubber Monkey online Pending Delivery Abdul NL</t>
  </si>
  <si>
    <t>SX740 Noel Leeming  $4000 Deposit Paid</t>
  </si>
  <si>
    <t>G7X MARK III Black Progear Pending Collection</t>
  </si>
  <si>
    <t>G7X MARK III Silver Progear Pending Collection</t>
  </si>
  <si>
    <t>29/072025</t>
  </si>
  <si>
    <t>G7X MARK III Silver Auckland Camera centre</t>
  </si>
  <si>
    <t>CANON LENSE</t>
  </si>
  <si>
    <t>StarLink Mini</t>
  </si>
  <si>
    <t>NewZeland (OLD PURCHASING)</t>
  </si>
  <si>
    <t>StarLink Mini (OLD Purchsing)</t>
  </si>
  <si>
    <t>entry on 01,august</t>
  </si>
  <si>
    <t>OLD PURCHSING</t>
  </si>
  <si>
    <t>RECEIVE ON 1-08-2025</t>
  </si>
  <si>
    <t>RECEIVE ON 1-08-2026</t>
  </si>
  <si>
    <t>RECEIVE ON 1-08-2027</t>
  </si>
  <si>
    <t>RECEIVE ON 1-08-2028</t>
  </si>
  <si>
    <t>RECEIVE ON 1-08-2029</t>
  </si>
  <si>
    <t>RECEIVE ON 1-08-2030</t>
  </si>
  <si>
    <t>RECEIVE ON 1-08-2031</t>
  </si>
  <si>
    <t>RECEIVE ON 1-08-2032</t>
  </si>
  <si>
    <t>RECEIVE ON 1-08-2033</t>
  </si>
  <si>
    <t>RECEIVE ON 1-08-2034</t>
  </si>
  <si>
    <t>RECEIVE ON 1-08-2035</t>
  </si>
  <si>
    <t>RECEIVE ON 1-08-2036</t>
  </si>
  <si>
    <t>Ipad Pro 13" W+C Black 256gb</t>
  </si>
  <si>
    <t>Apple Watch Ultra 2 49mm</t>
  </si>
  <si>
    <t>Purchase Muadassir</t>
  </si>
  <si>
    <t>Invoice 08</t>
  </si>
  <si>
    <t>Ipad Pro 13" W+C Black 512gb</t>
  </si>
  <si>
    <t>Invoice 09</t>
  </si>
  <si>
    <t>Ipad Air M3 128gb</t>
  </si>
  <si>
    <t>Ipad Pro 13" W+C  2TB</t>
  </si>
  <si>
    <t>Iphone 16 Pro 1TB</t>
  </si>
  <si>
    <t>Iphone 16 PM 512 GB</t>
  </si>
  <si>
    <t>iPhone 16 256</t>
  </si>
  <si>
    <t xml:space="preserve">Iwatch Series 10 42mm </t>
  </si>
  <si>
    <t xml:space="preserve">Iwatch Series 10 46mm </t>
  </si>
  <si>
    <t>Samsung Galaxy S25 Ultra 256</t>
  </si>
  <si>
    <t>Invoice 10</t>
  </si>
  <si>
    <t>Samsung Galaxy S25 plus 256</t>
  </si>
  <si>
    <t>Samsung Galaxy S25 Ultra 512</t>
  </si>
  <si>
    <t>Iphone 16 PM 1TB</t>
  </si>
  <si>
    <t>pro max 256 DT</t>
  </si>
  <si>
    <t>pro max 256 BT</t>
  </si>
  <si>
    <t>pro max 256 NT</t>
  </si>
  <si>
    <t>16 plus 128 pink</t>
  </si>
  <si>
    <t>16 plus 128 white</t>
  </si>
  <si>
    <t>16 pro BT 128</t>
  </si>
  <si>
    <t>16 pro BT 256</t>
  </si>
  <si>
    <t>pro max 512 BT</t>
  </si>
  <si>
    <t>pro max 1tb DT</t>
  </si>
  <si>
    <t>pro max 512 DT</t>
  </si>
  <si>
    <t>16 pro NT 128</t>
  </si>
  <si>
    <t>16 pro WT 256</t>
  </si>
  <si>
    <t>16 128 TL</t>
  </si>
  <si>
    <t>16 128 UMR</t>
  </si>
  <si>
    <t>16 256 UMR</t>
  </si>
  <si>
    <t xml:space="preserve"> </t>
  </si>
  <si>
    <t>S25 ultra 256</t>
  </si>
  <si>
    <t>Watch ultra 2 49mm</t>
  </si>
  <si>
    <t>moin invoice in excel</t>
  </si>
  <si>
    <t>invoice 12 purchase</t>
  </si>
  <si>
    <t>Invoice 11</t>
  </si>
  <si>
    <t>Invoice 12</t>
  </si>
  <si>
    <t>Iphone 16 Plus 128gb</t>
  </si>
  <si>
    <t xml:space="preserve">Nintendo Mario </t>
  </si>
  <si>
    <t>Jbl vibe flex 2</t>
  </si>
  <si>
    <t>Jbl Vibe Flex 2</t>
  </si>
  <si>
    <t>XBOX SERIES X 1TB Black (Disc)</t>
  </si>
  <si>
    <t>Nintendo switch 2 (Mario)</t>
  </si>
  <si>
    <t>iPad 13 pro w+c 256</t>
  </si>
  <si>
    <t>IPad Air 11 M3 128 wifi </t>
  </si>
  <si>
    <t>AirPods Max</t>
  </si>
  <si>
    <t>3 iPad 13 pro w+c 256</t>
  </si>
  <si>
    <t xml:space="preserve">1 watch ultra 2 </t>
  </si>
  <si>
    <t>Shazad bhai</t>
  </si>
  <si>
    <t>Ipad pro 11,W+C 1TB</t>
  </si>
  <si>
    <t>iPhone 16 plus 512gb</t>
  </si>
  <si>
    <t>iPhone16 Pro 512</t>
  </si>
  <si>
    <t>Invoice 13</t>
  </si>
  <si>
    <t>Xbox X Series 1TB</t>
  </si>
  <si>
    <t>Ipad Air 11'' M3 128gb</t>
  </si>
  <si>
    <t>Airpods Max</t>
  </si>
  <si>
    <t>iPhone16 Pro 128gb</t>
  </si>
  <si>
    <t>iPhone16 Pro 256gb</t>
  </si>
  <si>
    <t>Invoice 8,9,10</t>
  </si>
  <si>
    <t>invoice 13</t>
  </si>
  <si>
    <t>iphone 16 pro max sold mubashir 232000</t>
  </si>
  <si>
    <t>iphone 16 pro max purchase ibs</t>
  </si>
  <si>
    <t xml:space="preserve">iphone 16 pro max purchase </t>
  </si>
  <si>
    <t>iphone 16 pro max sold Mobail Marchant 137 232000</t>
  </si>
  <si>
    <t>iphone 16 pro max sold waqas mt 232000</t>
  </si>
  <si>
    <t>iphone 16 pro max sold sumair pasta 215000</t>
  </si>
  <si>
    <t>iphone 16 pro max sold faizan ground 216000</t>
  </si>
  <si>
    <t>iphone 16 pro max sold faizan ground 226000</t>
  </si>
  <si>
    <t>iphone 16 pro max sold faizan thatta 224500</t>
  </si>
  <si>
    <t>iphone 16 pro max sold rana malir 235000</t>
  </si>
  <si>
    <t>iphone 16 pro max sold a,rehman customer 235000</t>
  </si>
  <si>
    <t>iphone 16 pro max sold owais customer 235000</t>
  </si>
  <si>
    <t>iphone 16 pro max sold hamza bawani 235000</t>
  </si>
  <si>
    <t>iphone 16 pro max sold sagar 459 214000</t>
  </si>
  <si>
    <t>iphone 16 pro max sold faizan ground 235000</t>
  </si>
  <si>
    <t>iphone 16 pro max sold bilal sumair pasta 225000</t>
  </si>
  <si>
    <t>iphone 16 pro max sold bilal sumair pasta 214000</t>
  </si>
  <si>
    <t>PS5 Console Bundle Digital</t>
  </si>
  <si>
    <t>PS5 Console Bundle Digital JBHIFI City Westfield</t>
  </si>
  <si>
    <t>PS5 Console Bundle Disc Big W Town Hall</t>
  </si>
  <si>
    <t>PS5 Console Bundle Digital EB Games City</t>
  </si>
  <si>
    <t>PS5 Console Bundle Digital EB Games Parramatta</t>
  </si>
  <si>
    <t>Instax mini 12 pack mini paper Good Guys</t>
  </si>
  <si>
    <t>Instax mini paper 60 pack Good Guys</t>
  </si>
  <si>
    <t>Instax 20 pack mini paper Good Guys</t>
  </si>
  <si>
    <t>SX740 JBHIFI City Westfield Pending Delivery</t>
  </si>
  <si>
    <t>Instax mini 12 Good Guys</t>
  </si>
  <si>
    <t>SX740 progear Deposit/ Pending Stock</t>
  </si>
  <si>
    <t>SX740 photogear Deposit/ Pending Stock</t>
  </si>
  <si>
    <t>PS5 Bundle Digital Big W Top Ryde Online  Pending Collection (2 Refund)</t>
  </si>
  <si>
    <t>Big W Top Ryde Online</t>
  </si>
  <si>
    <t>Refund</t>
  </si>
  <si>
    <t>REFUND</t>
  </si>
  <si>
    <t>Instax Mini EVO Office Works Auburn</t>
  </si>
  <si>
    <t>Starlink V4 Office Works Castle Hills</t>
  </si>
  <si>
    <t>Starlink V4 Bunnings Simithfield</t>
  </si>
  <si>
    <t>Starlink V4 Bunnings Lidcomb</t>
  </si>
  <si>
    <t>Starlink V4 JBHIFI Macquarie</t>
  </si>
  <si>
    <t>Starlink V4 Bunnings Sunshine Pending Delivery</t>
  </si>
  <si>
    <t>NZ Trip Expense</t>
  </si>
  <si>
    <t>G7x Mark III Black Auckland Camera</t>
  </si>
  <si>
    <t>G7x Mark III Black Photo Warehouse Online</t>
  </si>
  <si>
    <t>G7x Mark III Black Progear Online</t>
  </si>
  <si>
    <t>Starlink V4 Bunnings Manukau</t>
  </si>
  <si>
    <t>Starlink V4 Bunnings Westgate</t>
  </si>
  <si>
    <t>Starlink V4 Bunnings Mount Roskills</t>
  </si>
  <si>
    <t>Starlink V4 Bunnings New Lynn</t>
  </si>
  <si>
    <t>Starlink V4 Bunnings Glenfield</t>
  </si>
  <si>
    <t>Starlink V4 Bunnings Mt Wellington</t>
  </si>
  <si>
    <t>Starlink V4 Bunnings Botany</t>
  </si>
  <si>
    <t>Starlink V4 Bunnings North Shore</t>
  </si>
  <si>
    <t>Starlink V4 Harvey Norman Mount Roskills</t>
  </si>
  <si>
    <t>Instax mini EVO Black Noel Leeming Pending Delivery</t>
  </si>
  <si>
    <t>PURCHASE HAZARTO</t>
  </si>
  <si>
    <t>Purchased Hazarto</t>
  </si>
  <si>
    <t>4 extre</t>
  </si>
  <si>
    <t>30ok</t>
  </si>
  <si>
    <t xml:space="preserve">Return from Hazarto </t>
  </si>
  <si>
    <t>old purchase mudassir AR</t>
  </si>
  <si>
    <t>return from Hazrato old</t>
  </si>
  <si>
    <t xml:space="preserve">5- skyline v2 pouch </t>
  </si>
  <si>
    <t xml:space="preserve">78-cds dragonage </t>
  </si>
  <si>
    <t>65-wide 400</t>
  </si>
  <si>
    <t xml:space="preserve">13-Starlink high performance </t>
  </si>
  <si>
    <t xml:space="preserve">1-V4 active </t>
  </si>
  <si>
    <t>8-M3 Air 15 24-512</t>
  </si>
  <si>
    <t>2-M3 air 13 24-512</t>
  </si>
  <si>
    <t>9-M4 air 13 24-512</t>
  </si>
  <si>
    <t>2-Dyson</t>
  </si>
  <si>
    <t>31-Dji mini 4K</t>
  </si>
  <si>
    <t>28-dji mini 4k</t>
  </si>
  <si>
    <t xml:space="preserve">5-canon 740 hs </t>
  </si>
  <si>
    <t xml:space="preserve">3-dji Mavic 4 pro standard </t>
  </si>
  <si>
    <t>1-Sony lense FE-70-200mm</t>
  </si>
  <si>
    <t>4-ps5 slim Australia</t>
  </si>
  <si>
    <t xml:space="preserve">1-printer workforce </t>
  </si>
  <si>
    <t xml:space="preserve">2-ninja blender </t>
  </si>
  <si>
    <t>6- Nintendo switch 2</t>
  </si>
  <si>
    <t xml:space="preserve">6-Canon lense RF35 mm F1.8 macro </t>
  </si>
  <si>
    <t xml:space="preserve">1-airpod max </t>
  </si>
  <si>
    <t xml:space="preserve">3-2 tb 13 Pro m4 </t>
  </si>
  <si>
    <t xml:space="preserve">3-256 13 Pro m4 </t>
  </si>
  <si>
    <t xml:space="preserve">1-1 Tb Pro m4 11 </t>
  </si>
  <si>
    <t>1-128 pro m4 11</t>
  </si>
  <si>
    <t xml:space="preserve">1- series 10 46 mm jet black </t>
  </si>
  <si>
    <t>4-ultra 2 49mm NT</t>
  </si>
  <si>
    <t>8- ultra 2 49 mm BT</t>
  </si>
  <si>
    <t xml:space="preserve">1 - S25 ultra 256 </t>
  </si>
  <si>
    <t xml:space="preserve">1-S25 plus 256 </t>
  </si>
  <si>
    <t xml:space="preserve">1-Samsung At&amp;T GS25U </t>
  </si>
  <si>
    <t>1-16 plus 512 teal JV</t>
  </si>
  <si>
    <t>1-watch ultra 2 kit 49mm NT</t>
  </si>
  <si>
    <t xml:space="preserve">16 pm  256 Jv box </t>
  </si>
  <si>
    <t>August 01,2025</t>
  </si>
  <si>
    <t xml:space="preserve"> Purchase Old Mudassir </t>
  </si>
  <si>
    <t>1 extra</t>
  </si>
  <si>
    <t>1  less</t>
  </si>
  <si>
    <t>2 extra</t>
  </si>
  <si>
    <t>Starlink V4 Bunnings Seven Hills</t>
  </si>
  <si>
    <t>Starlink V4 Bunnings Carlingford</t>
  </si>
  <si>
    <t>Starlink V4 Bunnings Gladesville</t>
  </si>
  <si>
    <t>Starlink V4 Bunnings Smithfield</t>
  </si>
  <si>
    <t>Starlink V4 Bunnings Northmead</t>
  </si>
  <si>
    <t>Starlink V4 Bunnings Blacktown</t>
  </si>
  <si>
    <t>Starlink V4 Bunnings Minchinbury</t>
  </si>
  <si>
    <t>Starlink V4 Bunnings Castlehills</t>
  </si>
  <si>
    <t>Starlink V4 Bunnings Dural</t>
  </si>
  <si>
    <t>Starlink V4 Bunnings Thornleigh</t>
  </si>
  <si>
    <t>Starlink V4 Bunnings Pymbal</t>
  </si>
  <si>
    <t>Starlink V4 Bunnings Clyde Noth Melbourne Pending Delivery</t>
  </si>
  <si>
    <t>Starlink V4 Bunnings Port Melbourne Pending Delivery</t>
  </si>
  <si>
    <t>Starlink V4 Bunnings Vermont South Melbourne Pending Delivery</t>
  </si>
  <si>
    <t>Galaxy Tab S10+ 256gb</t>
  </si>
  <si>
    <t>Ipad A16 128gb</t>
  </si>
  <si>
    <t>Apple Watch SE Gen 2</t>
  </si>
  <si>
    <t>Samsung  Z Fold 7 256gb</t>
  </si>
  <si>
    <t xml:space="preserve"> invoice 14</t>
  </si>
  <si>
    <t>Invoice 15</t>
  </si>
  <si>
    <t>Invoice 14</t>
  </si>
  <si>
    <t>RECEIVE ON 15-08-2025</t>
  </si>
  <si>
    <t>invoice 8</t>
  </si>
  <si>
    <t>watch ultra 2</t>
  </si>
  <si>
    <t>invoice 9</t>
  </si>
  <si>
    <t>Galaxy S10+ Tab 256gb Gray</t>
  </si>
  <si>
    <t>invoice 10</t>
  </si>
  <si>
    <t>IPHONE 16 PLUS PNK 128GB (Not For Sale)</t>
  </si>
  <si>
    <t>non active</t>
  </si>
  <si>
    <t>invoice 12</t>
  </si>
  <si>
    <t xml:space="preserve">iphone 16 pro max 256 </t>
  </si>
  <si>
    <t>iphone 16 pro 128</t>
  </si>
  <si>
    <t>Ipad A16 128gb W+C Pink</t>
  </si>
  <si>
    <t>Non Active</t>
  </si>
  <si>
    <t>Ipad A16 128gb W+C blue</t>
  </si>
  <si>
    <t>Iphone 16 PM DT 256gb</t>
  </si>
  <si>
    <t>Non-Active</t>
  </si>
  <si>
    <t>16 pro max 512GB BT</t>
  </si>
  <si>
    <t>Iphone 16 Pro DT 256gb</t>
  </si>
  <si>
    <t>Iphone 16 Pro NT 256gb</t>
  </si>
  <si>
    <t>Iwatch Ultra 2</t>
  </si>
  <si>
    <t>Active</t>
  </si>
  <si>
    <t>Mudassir</t>
  </si>
  <si>
    <t>Swiss Tech</t>
  </si>
  <si>
    <t>Rate Difference</t>
  </si>
  <si>
    <t>PKR Cash</t>
  </si>
  <si>
    <t>PKR from AB MZN</t>
  </si>
  <si>
    <t>PKR from Haseeb M Merchant</t>
  </si>
  <si>
    <t>PKR from Shahnawaz 432</t>
  </si>
  <si>
    <t>PKR from Sumair Pasta</t>
  </si>
  <si>
    <t>RECEIVE ON 20-08-2025</t>
  </si>
  <si>
    <t>PURCHASE B SMART ASAD</t>
  </si>
  <si>
    <t>order cancelled</t>
  </si>
  <si>
    <t>order cancel</t>
  </si>
  <si>
    <t>Starlink V4 Bunnings Vermont South Melbourne Pending Delivery order cancel</t>
  </si>
  <si>
    <t>16/08/20225</t>
  </si>
  <si>
    <t>DJI Mavic 4 Pro Combo Harvey Norman Broadway</t>
  </si>
  <si>
    <t>CANON IXUS285 Harvey Norman Moorepark</t>
  </si>
  <si>
    <t>PS5 BUNDLE DIGITAL Harvey Norman Moorepark</t>
  </si>
  <si>
    <t>DJI MNI 4K FLY More Combo Harvey Norman Moorepark</t>
  </si>
  <si>
    <t>PS5 BUNDLE Disc Harvey Norman Moorepark</t>
  </si>
  <si>
    <t>Starlink V4 Harvey Norman Broadway Pending Dlivery</t>
  </si>
  <si>
    <t>DJI OSMO POCKET 3 Harvey Norman Moorepark collected 16/8/25</t>
  </si>
  <si>
    <t>Mavic 3 Pro RC Harvey Norman Moorepark collected 16/8/25</t>
  </si>
  <si>
    <t>DJI MINI 4 PRO RC Harvey Norman Moorepark collected 16/8/25</t>
  </si>
  <si>
    <t>meta quest 3s 128gb</t>
  </si>
  <si>
    <t xml:space="preserve">meta quest 3 elite strap with battery </t>
  </si>
  <si>
    <t xml:space="preserve"> MacBook M4 Pro Chip 16”24-512</t>
  </si>
  <si>
    <t>MacBook M4 14” 16-512</t>
  </si>
  <si>
    <t>MacBook M4 Pro 14” 24-512</t>
  </si>
  <si>
    <t>Ipad Pro 13" W+C Black 1TB</t>
  </si>
  <si>
    <t>iphone 14 128gb</t>
  </si>
  <si>
    <t>Ipad Air M3 13'' 128gb</t>
  </si>
  <si>
    <t>Canon SX740 JBHIFI Parramatta</t>
  </si>
  <si>
    <t>Starlink V4 Bunnings Packenham Melbourne</t>
  </si>
  <si>
    <t>Starlink V4 Bunnings Perth (Waleed)</t>
  </si>
  <si>
    <t>Starlink V4 Bunnings Sunshine Melbourne Pending Collection</t>
  </si>
  <si>
    <t>RECEIVE ON 26-08-2025</t>
  </si>
  <si>
    <t>Starlink V4 Bunnings Seven Hills Pending Delivery</t>
  </si>
  <si>
    <t>Canon SX740 Pro Gear Pending Collection</t>
  </si>
  <si>
    <t>Canon SX740 Progear Online Pending delivery</t>
  </si>
  <si>
    <t>Canon SX740 Photo Warehouse Online Pending delivery</t>
  </si>
  <si>
    <t>Canon SX740 Rubber Monkey Pending delivery</t>
  </si>
  <si>
    <t>Instax mini EVO Black Noel Leeming Pending delivery</t>
  </si>
  <si>
    <t>Instax mini EVO Brown Noel Leeming Pending delivery</t>
  </si>
  <si>
    <t>Double entry</t>
  </si>
  <si>
    <t>Canon SX740 Photo Warehouse Online Pending (delivered)</t>
  </si>
  <si>
    <t>Canon SX740 Progear Online Pending (delivered)</t>
  </si>
  <si>
    <t>Invoice 17</t>
  </si>
  <si>
    <t>Invoice 16</t>
  </si>
  <si>
    <t>RECEIVE ON 27-08-2025</t>
  </si>
  <si>
    <t>Starlink V4 Bunnings Clyde Noth Melbourne Pending (delivered)</t>
  </si>
  <si>
    <t>Starlink V4 Bunnings Port Melbourne Pending  (Delivered)</t>
  </si>
  <si>
    <t>Onn Single Use Camera</t>
  </si>
  <si>
    <t xml:space="preserve">16 pm dt 1tb </t>
  </si>
  <si>
    <t>issue</t>
  </si>
  <si>
    <t>iPhone 16-E 256gb</t>
  </si>
  <si>
    <t>Invoice 18</t>
  </si>
  <si>
    <t>Invoice 17 remaining piece</t>
  </si>
  <si>
    <t>Invoice 17 rp</t>
  </si>
  <si>
    <t>PURCHASE SKYFITRONICS</t>
  </si>
  <si>
    <t>Return</t>
  </si>
  <si>
    <t>Meta Quest Pro 256gb</t>
  </si>
  <si>
    <t>Meta Quest 3S 256gb</t>
  </si>
  <si>
    <t>Meta Quest 3S 512gb</t>
  </si>
  <si>
    <t>PlayStation Portal</t>
  </si>
  <si>
    <t>Macbbook Pro M3 14'' 18-512</t>
  </si>
  <si>
    <t>Starlink V4 Bunnings Multiple Stores</t>
  </si>
  <si>
    <t>Mavic 4 Pro RC DJI Macquarie Park Pending Collection</t>
  </si>
  <si>
    <t>DJI mini 4K Harvey Norman Moorepark $5000 Deposit Paid/ Pending Collection</t>
  </si>
  <si>
    <t>11-aug-25 sold shehzad</t>
  </si>
  <si>
    <t>return from adil 5-aug-25</t>
  </si>
  <si>
    <t>882190243917 (386$ @3.678)</t>
  </si>
  <si>
    <t>882247971323 (525$ @3.678)</t>
  </si>
  <si>
    <t>882279322688 (507$ @3.678)</t>
  </si>
  <si>
    <t>Clearing Charges 3 x 650</t>
  </si>
  <si>
    <t xml:space="preserve">882482082082780 (39$ @3.678) usa to usa </t>
  </si>
  <si>
    <t>882482082780 (500$ @3.678)</t>
  </si>
  <si>
    <t>882523663746 (500$ @3.678)</t>
  </si>
  <si>
    <t>882514974053 (350$ @3.678)</t>
  </si>
  <si>
    <t>Fadex Label Payment</t>
  </si>
  <si>
    <t>Fadex Label Payment (Till 17-aug-2025)</t>
  </si>
  <si>
    <t>Ipad A16 256gb</t>
  </si>
  <si>
    <t>Instax mini EVO Black Noel Leeming</t>
  </si>
  <si>
    <t xml:space="preserve">Starlink V4 Noel Leeming </t>
  </si>
  <si>
    <t>Ninja Slushi Good Guys Online</t>
  </si>
  <si>
    <t>Ninja Delux Creami Good Guys Online</t>
  </si>
  <si>
    <t>DJI Mini 4 Pro  DJI RC 2 DJI Macquarie Park</t>
  </si>
  <si>
    <t>DJI Mini 4 Pro Fly More Combo 35 MIN DJI Macquarie Park</t>
  </si>
  <si>
    <t>DJI Mini 4 Pro Fly More Combo 45 MIN DJI Macquarie Park</t>
  </si>
  <si>
    <t>DJI Mavic 4 Pro Fly More Combo DJI Macquarie Park</t>
  </si>
  <si>
    <t>DJI Mini 4 Pro  DJI RC 2 Harvey Norman Moorepark</t>
  </si>
  <si>
    <t>Canon IXUS 285 Harvey Norman Moorepark</t>
  </si>
  <si>
    <t>Ninja Blender</t>
  </si>
  <si>
    <t>CANON SX740 Camera Warehouse Drummoyne Ref: 22/07/2025</t>
  </si>
  <si>
    <t>Osmo Pocket 3 Harvey Norman Moorepark</t>
  </si>
  <si>
    <t>DJI Mavic 4 Pro RC Harvey Norman Moorepark</t>
  </si>
  <si>
    <t>DJI mini 4K Fly more combo Harvey Norman Moorepark</t>
  </si>
  <si>
    <t>DJI Mavic 4 Pro Fly More Combo Harvey Norman Moorepark</t>
  </si>
  <si>
    <t>PURCHASE FROM WALLET</t>
  </si>
  <si>
    <t>Iphone 16 Plus 256gb</t>
  </si>
  <si>
    <t>Ninja Slushi</t>
  </si>
  <si>
    <t>Ninja Delux Creami</t>
  </si>
  <si>
    <t>Dji Mini 4 Pro FMC 35 MIN</t>
  </si>
  <si>
    <t>Dji Mini 4 Pro FMC 45 MIN</t>
  </si>
  <si>
    <t>1sold 1 hold with shehzad</t>
  </si>
  <si>
    <t>double purchase</t>
  </si>
  <si>
    <t>harvey norman 10% gift card</t>
  </si>
  <si>
    <t>USA (Saad Houston)</t>
  </si>
  <si>
    <t>Ipad 11 Gen 128gb wifi</t>
  </si>
  <si>
    <t>Ipad 11 Gen 128gb W+C</t>
  </si>
  <si>
    <t>Purchase Saad Houston</t>
  </si>
  <si>
    <t>iphone 13 pro max</t>
  </si>
  <si>
    <t>Purchase AR Self (USA)</t>
  </si>
  <si>
    <t>USA (AR Self)</t>
  </si>
  <si>
    <t>Purchase A.Rehman HT</t>
  </si>
  <si>
    <t>hold</t>
  </si>
  <si>
    <t>USA (Ravi New York)</t>
  </si>
  <si>
    <t>Purchase Ravi New York</t>
  </si>
  <si>
    <t>invoice 21</t>
  </si>
  <si>
    <t>invoice 19</t>
  </si>
  <si>
    <t>invoice 20</t>
  </si>
  <si>
    <t>js tech</t>
  </si>
  <si>
    <t>ultra deals</t>
  </si>
  <si>
    <t>hmb advance booking</t>
  </si>
  <si>
    <t xml:space="preserve">Abdul Majid Bhai </t>
  </si>
  <si>
    <t>Iphone 17 pro max 256gb</t>
  </si>
  <si>
    <t>Purchase Abdul Majid</t>
  </si>
  <si>
    <t>phone 4u</t>
  </si>
  <si>
    <t>Iphone 17 pro max 512gb</t>
  </si>
  <si>
    <t>USA (Abdul Rehman Houston) SAAD</t>
  </si>
  <si>
    <t>QTY IN NEWZEALAND</t>
  </si>
  <si>
    <t>QTY IN AUSTRALIA</t>
  </si>
  <si>
    <t>PRODUCT NAME</t>
  </si>
  <si>
    <t>QTY IN USA</t>
  </si>
  <si>
    <t>hmb advance sale</t>
  </si>
  <si>
    <t>Purchase Blue Zone</t>
  </si>
  <si>
    <t>Invoice 22</t>
  </si>
  <si>
    <t>Invoice 23</t>
  </si>
  <si>
    <t>Ipad A16 WIFI Only</t>
  </si>
  <si>
    <t>Invoice 24</t>
  </si>
  <si>
    <t>DJI mini 5 pro fly more combo 52 min DJI Macquarie Park</t>
  </si>
  <si>
    <t>Osmo Pocket 3 DJI Macquarie Park</t>
  </si>
  <si>
    <t>Osmo Pocket 3 creator combo DJI Macquarie Park</t>
  </si>
  <si>
    <t>DJI Mini 4 Pro RC2 DJI Macquarie Park</t>
  </si>
  <si>
    <t>DJI Mini 4 Pro Fly More Combo RC2 34min DJI Macquarie Park</t>
  </si>
  <si>
    <t xml:space="preserve">Iphone 17 pro max Blue 256 Apple Online </t>
  </si>
  <si>
    <t>Iphone 17 pro max Orange 256 Apple Online Sydney</t>
  </si>
  <si>
    <t>Iphone 17 pro  Orange 256 Apple Hornsby</t>
  </si>
  <si>
    <t>DJI Mavic 4 Pro Fly More Combo 512 DJI Macquarie Park 4 Collected 1 pending</t>
  </si>
  <si>
    <t>Dji Mini 5 Pro FMC 52 MIN</t>
  </si>
  <si>
    <t>Iphone 17 pro 256gb</t>
  </si>
  <si>
    <t>Deposit only</t>
  </si>
  <si>
    <t>Mark III Silver</t>
  </si>
  <si>
    <t>Mark III Black</t>
  </si>
  <si>
    <t>SX740</t>
  </si>
  <si>
    <t>1 return to mudassir</t>
  </si>
  <si>
    <t>Invoice 25</t>
  </si>
  <si>
    <t>RECEIVE ON 01-10-2025</t>
  </si>
  <si>
    <t>RECEIVE ON 28-08-2025</t>
  </si>
  <si>
    <t>RECEIVE ON 06-09-2025</t>
  </si>
  <si>
    <t>RECEIVE ON 16-09-2025</t>
  </si>
  <si>
    <t>RECEIVE ON 18-09-2025</t>
  </si>
  <si>
    <t>RECEIVE ON 20-09-2025</t>
  </si>
  <si>
    <t>RECEIVE ON 27-09-2025</t>
  </si>
  <si>
    <t>Iphone 14 128gb</t>
  </si>
  <si>
    <t>Iphone 17 Pro 256gb</t>
  </si>
  <si>
    <t>Iphone 17 Pro Max 256gb</t>
  </si>
  <si>
    <t>Iphone 17 Pro Max 512gb</t>
  </si>
  <si>
    <t>Iphone 17 Pro Max 1TB</t>
  </si>
  <si>
    <t>Iphone 17 Pro Max 2TB</t>
  </si>
  <si>
    <t>Apple Watch Ultra 3 49mm</t>
  </si>
  <si>
    <t>Meta Quest 3 512gb</t>
  </si>
  <si>
    <t>Nintendo Switch 2 Mario</t>
  </si>
  <si>
    <t>Airpod Pro 2</t>
  </si>
  <si>
    <t>Ipad Pro 13'' M4 256gb (W+C)</t>
  </si>
  <si>
    <t>Macbook Air 13'' M4 16-256</t>
  </si>
  <si>
    <t>Macbook Pro 14'' M4 16-1TB</t>
  </si>
  <si>
    <t xml:space="preserve"> MacBook M4 Pro Chip 16”48-512</t>
  </si>
  <si>
    <t>Macbook Pro16'' M4 Max 48-1TB</t>
  </si>
  <si>
    <t>Macbook Pro 16'' M1 Pro 16-512</t>
  </si>
  <si>
    <t>Iphone 17 Pro 512gb</t>
  </si>
  <si>
    <t>MacBook M4 Pro Chip 16”48-512</t>
  </si>
  <si>
    <t>Iphone 12 64gb</t>
  </si>
  <si>
    <t>icloud return</t>
  </si>
  <si>
    <t>Icloud</t>
  </si>
  <si>
    <t>For Office Use</t>
  </si>
  <si>
    <t>Insta 360 XA</t>
  </si>
  <si>
    <t>Iphone 15 128gb</t>
  </si>
  <si>
    <t>Iphone 16 128gb</t>
  </si>
  <si>
    <t>Iphone 16-E 128gb</t>
  </si>
  <si>
    <t>Airpods Pro 2 Gen</t>
  </si>
  <si>
    <t>Airpods 4 ANC</t>
  </si>
  <si>
    <t>Ipad Pro 13'' M4 256gb wifi</t>
  </si>
  <si>
    <t>Starlink V3 Kit</t>
  </si>
  <si>
    <t>Ps5 Disc Not Received in Dubai</t>
  </si>
  <si>
    <t>Ps5 Pro Not Received in Dubai</t>
  </si>
  <si>
    <t>Starlink V3 Kit Not Received in Dubai</t>
  </si>
  <si>
    <t>iPhone 15 128gb</t>
  </si>
  <si>
    <t>iPhone 16-E 128gb</t>
  </si>
  <si>
    <t>Old Purchasing</t>
  </si>
  <si>
    <t>kit blk</t>
  </si>
  <si>
    <t>No Purchase Record</t>
  </si>
  <si>
    <t>3 piece  No Purchase Record</t>
  </si>
  <si>
    <t>Purchase Skyfitronics</t>
  </si>
  <si>
    <t>WIRE SWISS TECH</t>
  </si>
  <si>
    <t>Iphone 17 256gb</t>
  </si>
  <si>
    <t>Iphone Air 17 256gb</t>
  </si>
  <si>
    <t>ipad pro 13'' 256gb W+C</t>
  </si>
  <si>
    <t>iphone 16-E 128gb</t>
  </si>
  <si>
    <t>samsung fold 7 256gb</t>
  </si>
  <si>
    <t>new rates</t>
  </si>
  <si>
    <t>previous rates</t>
  </si>
  <si>
    <t>model</t>
  </si>
  <si>
    <t>Apple Watch Series 11 46mm</t>
  </si>
  <si>
    <t>Invoice 28</t>
  </si>
  <si>
    <t>1 return</t>
  </si>
  <si>
    <t>iphone 15 128gb</t>
  </si>
  <si>
    <t>iphone 16 128gb</t>
  </si>
  <si>
    <t>iphone 17 pro max 512gb</t>
  </si>
  <si>
    <t>refund</t>
  </si>
  <si>
    <t>purchase return</t>
  </si>
  <si>
    <t>Double Entry</t>
  </si>
  <si>
    <t>macbook</t>
  </si>
  <si>
    <t>Expense report</t>
  </si>
  <si>
    <t>office exp</t>
  </si>
  <si>
    <t>electricity</t>
  </si>
  <si>
    <t>internet</t>
  </si>
  <si>
    <t>shipping &amp; clearence</t>
  </si>
  <si>
    <t>hammali</t>
  </si>
  <si>
    <t>truck</t>
  </si>
  <si>
    <t>packing</t>
  </si>
  <si>
    <t>At the end of Month</t>
  </si>
  <si>
    <t xml:space="preserve">turbo charges complete detail on 25 </t>
  </si>
  <si>
    <t>reminder for megatop &amp; ct freight charges</t>
  </si>
  <si>
    <t>reminder tipu bhai for usa labels</t>
  </si>
  <si>
    <t xml:space="preserve">profit report daily </t>
  </si>
  <si>
    <t>cash and party blance</t>
  </si>
  <si>
    <t>ladgers weekly</t>
  </si>
  <si>
    <t>pending items confirmation weekly</t>
  </si>
  <si>
    <t>stock report daily</t>
  </si>
  <si>
    <t>physically received inv report (with serial numbers)</t>
  </si>
  <si>
    <t>sale purchase and finance seprate group</t>
  </si>
  <si>
    <t>activation lock status checking for each inv</t>
  </si>
  <si>
    <t>Reminders</t>
  </si>
  <si>
    <t>Karachi office task</t>
  </si>
  <si>
    <t xml:space="preserve">daily cash match </t>
  </si>
  <si>
    <t>daily stock matching</t>
  </si>
  <si>
    <t>40 percent</t>
  </si>
  <si>
    <t>60 percent</t>
  </si>
  <si>
    <t>profit 1</t>
  </si>
  <si>
    <t>profit 2</t>
  </si>
  <si>
    <t>5 % of Net</t>
  </si>
  <si>
    <t>remaining Amount</t>
  </si>
  <si>
    <t>33.33 percent of profit 2</t>
  </si>
  <si>
    <t>proper sale return detail</t>
  </si>
  <si>
    <t>sale base inventory details</t>
  </si>
  <si>
    <t>Dubai office tasks</t>
  </si>
  <si>
    <t>Ask for complete party after each inv</t>
  </si>
  <si>
    <t>Investor</t>
  </si>
  <si>
    <t>Investment (AED)</t>
  </si>
  <si>
    <t>Ratio (Investment ÷ Total)</t>
  </si>
  <si>
    <t>Profit Share (AED)</t>
  </si>
  <si>
    <t>Formula for finding Investment Profit</t>
  </si>
  <si>
    <t>investment amount / total investment = percentage for profit</t>
  </si>
  <si>
    <t>waheed bhai</t>
  </si>
  <si>
    <t>Ipad Air 13'' M3 256gb</t>
  </si>
  <si>
    <t>Apple Watch Series 11 42mm</t>
  </si>
  <si>
    <t>Invoice 29</t>
  </si>
  <si>
    <t>Meta Quest Pro 256</t>
  </si>
  <si>
    <t>Meta Quest 3S 128</t>
  </si>
  <si>
    <t>Meta Quest 3S 256</t>
  </si>
  <si>
    <t>Nintendo Switch 2</t>
  </si>
  <si>
    <t>AR16</t>
  </si>
  <si>
    <t>1 refund</t>
  </si>
  <si>
    <t>Purchase return double purchase</t>
  </si>
  <si>
    <t>1 replacement</t>
  </si>
  <si>
    <t>Ipad Air 11'' M3 256gb</t>
  </si>
  <si>
    <t>Invoice 30</t>
  </si>
  <si>
    <t>Iphone 17 pro max 512gb unlock</t>
  </si>
  <si>
    <t>Iphone 17 Pro 1TB</t>
  </si>
  <si>
    <t>Iphone 17 pro 256gb unlock</t>
  </si>
  <si>
    <t>Iphone Air 17 1TB Unlock</t>
  </si>
  <si>
    <t>Iphone 16 PM 512 GB Unlock</t>
  </si>
  <si>
    <t>Macbook M4 Max Chip 16'' 36-1TB</t>
  </si>
  <si>
    <t>Airpods Pro 3</t>
  </si>
  <si>
    <t>Apple TV 4K</t>
  </si>
  <si>
    <t>Iphone 17 pro 1TB</t>
  </si>
  <si>
    <t>Iphone Air 17 1TB</t>
  </si>
  <si>
    <t>Airpods Pro 3 Gen</t>
  </si>
  <si>
    <t>Instax Camera Lip-Lay</t>
  </si>
  <si>
    <t>Purchase From Hazarto</t>
  </si>
  <si>
    <t>17pro 1tb lock blue</t>
  </si>
  <si>
    <t>17pm 512 lock blue</t>
  </si>
  <si>
    <t xml:space="preserve">17pro 512 lock orange </t>
  </si>
  <si>
    <t xml:space="preserve">17pm 1tb lock silver </t>
  </si>
  <si>
    <t xml:space="preserve">17pro 256 lock orange </t>
  </si>
  <si>
    <t xml:space="preserve">17 256 lock blue </t>
  </si>
  <si>
    <t xml:space="preserve">17 256 lock black </t>
  </si>
  <si>
    <t xml:space="preserve">16pm 256 lock black no cable </t>
  </si>
  <si>
    <t xml:space="preserve">16pm 256 lock natural no cable </t>
  </si>
  <si>
    <t xml:space="preserve">16pm 256 lock blk </t>
  </si>
  <si>
    <t xml:space="preserve">17air 256 lock blue </t>
  </si>
  <si>
    <t xml:space="preserve">17air lock gold and black </t>
  </si>
  <si>
    <t xml:space="preserve">16 128 lock blk &amp; blue </t>
  </si>
  <si>
    <t>16pro 128 lock  1 blk &amp; 2 des</t>
  </si>
  <si>
    <t xml:space="preserve">16pm 256 lock des </t>
  </si>
  <si>
    <t xml:space="preserve">17pro 512 lock silver </t>
  </si>
  <si>
    <t xml:space="preserve">15 128 lock blk </t>
  </si>
  <si>
    <t xml:space="preserve">17pm  256 lock orange </t>
  </si>
  <si>
    <t xml:space="preserve">16e 128 lock blk </t>
  </si>
  <si>
    <t xml:space="preserve">Iphone 17 pro max 256gb </t>
  </si>
  <si>
    <t>iphone 16 pro max 256gb</t>
  </si>
  <si>
    <t>Iphone 16 pro max 512gb</t>
  </si>
  <si>
    <t>Iphone 15 pro max 256gb</t>
  </si>
  <si>
    <t>iPhone 17 Pro Max Cosmic Orange 256</t>
  </si>
  <si>
    <t>iPhone 17 Pro Max Cosmic Orange 256 unlock</t>
  </si>
  <si>
    <t>iPhone 17 Pro Max Cosmic Orange 1 TB</t>
  </si>
  <si>
    <t>iPhone 17 Pro Max Deep Blue 256</t>
  </si>
  <si>
    <t>iPhone 17 Pro Max Deep Blue 512</t>
  </si>
  <si>
    <t>iPhone 17 Pro Max Deep Blue 1 TB Unlock</t>
  </si>
  <si>
    <t>iPhone 17 Pro Max Silver 256</t>
  </si>
  <si>
    <t>iPhone 17 Pro Cosmic Orange 256</t>
  </si>
  <si>
    <t>iPhone 17 Pro Cosmic Orange 256 Unlock</t>
  </si>
  <si>
    <t>iPhone 17 Pro Cosmic Orange 512</t>
  </si>
  <si>
    <t>iPhone 17 Pro Deep Blue 256</t>
  </si>
  <si>
    <t>iPhone 17 Pro Silver 512</t>
  </si>
  <si>
    <t>iPhone 17 Pro Silver 512 unlock</t>
  </si>
  <si>
    <t>iPhone 17 Pro Silver 1 TB</t>
  </si>
  <si>
    <t>iPhone Air Sky Blue 256</t>
  </si>
  <si>
    <t>iPhone Air Space Black 256</t>
  </si>
  <si>
    <t>iPhone 17 Lavender 256</t>
  </si>
  <si>
    <t>iPhone 17 Mist Blue 256</t>
  </si>
  <si>
    <t>iPhone 16 Pro Max Desert Ti 256</t>
  </si>
  <si>
    <t>iPhone 16 Pro Desert Ti 256</t>
  </si>
  <si>
    <t>iPhone 16 Pro Black Ti 256</t>
  </si>
  <si>
    <t>iPhone 16e White 128</t>
  </si>
  <si>
    <t>iPhone 15 Pro Max Natural Ti 512</t>
  </si>
  <si>
    <t>iPhone 15 Black 128 unlock</t>
  </si>
  <si>
    <t>iPhone 14 Midnight 128</t>
  </si>
  <si>
    <t>ipad Pro 13 inch M4 Space Black 256 (Wifi + Cellular)</t>
  </si>
  <si>
    <t>iPad Pro 11 inch M4 Space Black 256 (Wifi + Cellular)</t>
  </si>
  <si>
    <t>iPad Air 13 inch M3 Blue 128 (Wifi)</t>
  </si>
  <si>
    <t>iPad Air 13 inch M3 Space Gray 128 (Wifi)</t>
  </si>
  <si>
    <t>iPad A16 Silver 128 (Wifi)</t>
  </si>
  <si>
    <t>iPad A16 Pink 128 (Wifi)</t>
  </si>
  <si>
    <t>Apple Watch Ultra 3 49mm Black Ti</t>
  </si>
  <si>
    <t>Apple Watch Series 11 46mm Jet Black</t>
  </si>
  <si>
    <t>AirPods Pro 3</t>
  </si>
  <si>
    <t>AirPods 4</t>
  </si>
  <si>
    <t>AirPods 4 ANC</t>
  </si>
  <si>
    <t>MX303LL/A</t>
  </si>
  <si>
    <t>Nintendo Switch 2 Mario Kart</t>
  </si>
  <si>
    <t xml:space="preserve">Nintendo Switch 2 </t>
  </si>
  <si>
    <t xml:space="preserve">Apple Watch Ultra 3 49mm </t>
  </si>
  <si>
    <t>iPad A16 Blue 128 (Wifi + Cellular)</t>
  </si>
  <si>
    <t>iPhone 16 Pro Max Black Ti 256</t>
  </si>
  <si>
    <t>Iphone 15 pro max 512gb</t>
  </si>
  <si>
    <t>Macbook Air M2 13'' 16-256</t>
  </si>
  <si>
    <t>Rayban Glasses Transition Amethyst</t>
  </si>
  <si>
    <t>Rayban Glasses Transition Sapphire</t>
  </si>
  <si>
    <t>Rayban Glasses Transition Graphite Green</t>
  </si>
  <si>
    <t>AR11</t>
  </si>
  <si>
    <t>AR12</t>
  </si>
  <si>
    <t>AR13</t>
  </si>
  <si>
    <t>AR14</t>
  </si>
  <si>
    <t>AR15</t>
  </si>
  <si>
    <t>AR17</t>
  </si>
  <si>
    <t>AR18</t>
  </si>
  <si>
    <t>Ar16</t>
  </si>
  <si>
    <t>Apple Watch SE 3 44mm</t>
  </si>
  <si>
    <t>Apple Watch SE 3 40mm</t>
  </si>
  <si>
    <t>Sale Return from Rabi</t>
  </si>
  <si>
    <t>Invoice 31</t>
  </si>
  <si>
    <t>RECEIVE ON 18-10-2025</t>
  </si>
  <si>
    <t>Starlink V4 Bunnings East Packenham</t>
  </si>
  <si>
    <t>SX740 Digi Direcr Parramatta</t>
  </si>
  <si>
    <t>G7X mark III Silver  Camera Warehouse Drummyone</t>
  </si>
  <si>
    <t>17 pro max 1TB Orange Charlestown</t>
  </si>
  <si>
    <t>17 Pro max 256 Orange Charlestown</t>
  </si>
  <si>
    <t>17 Pro max 512 Orange Charlestown</t>
  </si>
  <si>
    <t>17 pro max 1TB Orange Bondi</t>
  </si>
  <si>
    <t>17 pro max 1TB Orange Castletower</t>
  </si>
  <si>
    <t>17 pro max 1TB Orange JBHIFI in store</t>
  </si>
  <si>
    <t>Shipping charges Paid</t>
  </si>
  <si>
    <t xml:space="preserve">Megatop </t>
  </si>
  <si>
    <t>Paid</t>
  </si>
  <si>
    <t>Starlink V4 delivery charges</t>
  </si>
  <si>
    <t>Sale Return from cellular link</t>
  </si>
  <si>
    <t>Sale Return from Usman</t>
  </si>
  <si>
    <t>RECEIVE ON 23-10-2025</t>
  </si>
  <si>
    <t>Apple Watch Series 10 46mm</t>
  </si>
  <si>
    <t>Stock in Australia</t>
  </si>
  <si>
    <t>Pending in Newzealand</t>
  </si>
  <si>
    <t>Pending in Aus</t>
  </si>
  <si>
    <t>Model Name</t>
  </si>
  <si>
    <t>USA (Ravi NY)</t>
  </si>
  <si>
    <t>Purchase Ravi Newyork</t>
  </si>
  <si>
    <t>AR10</t>
  </si>
  <si>
    <t>RECEIVE ON 25-10-2025</t>
  </si>
  <si>
    <t>Samsung S24 Ultra 256gb</t>
  </si>
  <si>
    <t>Samsung Z Flip 6 256gb</t>
  </si>
  <si>
    <t>Galaxy Buds Fe</t>
  </si>
  <si>
    <t>17 pro max 1TB Orange Castle Hills</t>
  </si>
  <si>
    <t>G7X Mark III Photo Warehouse Pending Delivery</t>
  </si>
  <si>
    <t>G7X Mark III  Progear Pending Delivery</t>
  </si>
  <si>
    <t>Sale Return From Asad B Smart</t>
  </si>
  <si>
    <t>Sale Return From Ontell</t>
  </si>
  <si>
    <t>Go Pro Hero 13</t>
  </si>
  <si>
    <t>Sale Return From Rabi</t>
  </si>
  <si>
    <t>Dubai Purchase</t>
  </si>
  <si>
    <t>Sale Return from Dji Hub</t>
  </si>
  <si>
    <t>Galaxy Tab S10 FE</t>
  </si>
  <si>
    <t>Galaxy Watch Ultra</t>
  </si>
  <si>
    <t>invoice 32</t>
  </si>
  <si>
    <t>Sale Return from Cellular Link</t>
  </si>
  <si>
    <t>Samsung Z Fold 7 512gb</t>
  </si>
  <si>
    <t>Samsung Z Flip 7 256gb</t>
  </si>
  <si>
    <t>Samsung S25 Edge 256gb</t>
  </si>
  <si>
    <t>Samsung S25 FE 128gb</t>
  </si>
  <si>
    <t>Samsung Z Flip 5 512gb</t>
  </si>
  <si>
    <t>Invoice 33</t>
  </si>
  <si>
    <t>Invoice 32</t>
  </si>
  <si>
    <t>Purchase Return Muadassir</t>
  </si>
  <si>
    <t>Sale Return from Asad B Smart</t>
  </si>
  <si>
    <t>Ipad Pro 11 Cellular Unlock 512gb</t>
  </si>
  <si>
    <t>iphone 17 256gb</t>
  </si>
  <si>
    <t>iphone 15 pro 512gb</t>
  </si>
  <si>
    <t>iphone 15 pro max 256gb</t>
  </si>
  <si>
    <t>iphone 16 pro 256gb</t>
  </si>
  <si>
    <t>iphone 16 pro max 512gb</t>
  </si>
  <si>
    <t>iphone 16 pro max 1tb</t>
  </si>
  <si>
    <t>iphone 17 pro 256gb blue &amp; silver</t>
  </si>
  <si>
    <t>iphone 17 pro 256gb</t>
  </si>
  <si>
    <t>iphone 17 pro 512gb blue</t>
  </si>
  <si>
    <t>iphone 17 pro max 256gb silver</t>
  </si>
  <si>
    <t>iphone 17 pro max 512gb silver</t>
  </si>
  <si>
    <t>iphone 17 pro max 1tb blue</t>
  </si>
  <si>
    <t>Ipad Air M3 11'' 128gb</t>
  </si>
  <si>
    <t>Meta Quest 3s 128gb</t>
  </si>
  <si>
    <t>Meta Quest 3s 256gb</t>
  </si>
  <si>
    <t>Moto G 128gb</t>
  </si>
  <si>
    <t>Ipad pro 13 M5 256gb W+C</t>
  </si>
  <si>
    <t>Airpods pro 3</t>
  </si>
  <si>
    <t xml:space="preserve">Nintendo Switch </t>
  </si>
  <si>
    <t>Meta Quest 3 Elite Strap W/O Battery</t>
  </si>
  <si>
    <t>Ps5 Slim Disc</t>
  </si>
  <si>
    <t>Iphone 15 Pro 512gb</t>
  </si>
  <si>
    <t>Ipad Pro 13'' M5 256gb W+C</t>
  </si>
  <si>
    <t>Nintendo Switch Regular</t>
  </si>
  <si>
    <t>AR19</t>
  </si>
  <si>
    <t>JBL Charge 6 Black Good Guys Castle Hill</t>
  </si>
  <si>
    <t>JBL Charge 6 Blue Good Guys Castle Hill</t>
  </si>
  <si>
    <t>DJI mini 5 Pro FMC 52 Min  DJI Macquarie Park</t>
  </si>
  <si>
    <t>Osmo Pocket 3 Creator combos Active  DJI Macquarie Park</t>
  </si>
  <si>
    <t>JBL Charge 6</t>
  </si>
  <si>
    <t>G7X Mark III Silver  Progear</t>
  </si>
  <si>
    <t>SX740  Progear</t>
  </si>
  <si>
    <t>G7X Mark III Silver  Photogear</t>
  </si>
  <si>
    <t>G7X Mark III Black  Photogear</t>
  </si>
  <si>
    <t>IPAD PRO 13 M4 256 W+C</t>
  </si>
  <si>
    <t>MACBOOK M4 MAX CHIP 16'' 36-1TB</t>
  </si>
  <si>
    <t>IPAD AIR 11" M3 128GB</t>
  </si>
  <si>
    <t>MACBOOK AIR M2 13''16-256</t>
  </si>
  <si>
    <t>I WATCH SE GEN 2 40MM</t>
  </si>
  <si>
    <t>MACBOOK M4 PRO 14'' 24-512</t>
  </si>
  <si>
    <t>APPLE WATCH ULTRA 2 49MM</t>
  </si>
  <si>
    <t>APPLE SERIES 10 46MM 4G</t>
  </si>
  <si>
    <t>IPAD AIR 13 M3 256GB</t>
  </si>
  <si>
    <t>IPAD A16 128 W+C</t>
  </si>
  <si>
    <t>APPLE SERIES 10 42MM 4G</t>
  </si>
  <si>
    <t>Invoice 35</t>
  </si>
  <si>
    <t>Sale Shehzad Mughal</t>
  </si>
  <si>
    <t>Sale Akash NX 307</t>
  </si>
  <si>
    <t>Sale Ontell</t>
  </si>
  <si>
    <t>Sale Hamza One Tech</t>
  </si>
  <si>
    <t>Sale Return Ontell</t>
  </si>
  <si>
    <t>Sale Mussawar Quetta</t>
  </si>
  <si>
    <t>Sale Metro</t>
  </si>
  <si>
    <t>Sale Fahad Starcity</t>
  </si>
  <si>
    <t>Sale Humair Karachi</t>
  </si>
  <si>
    <t>Sale Return Shehzad Mughal</t>
  </si>
  <si>
    <t>Invoice 34</t>
  </si>
  <si>
    <t>Sale HMB</t>
  </si>
  <si>
    <t>Sale Eazybuy Electronics</t>
  </si>
  <si>
    <t>Sale Asad B Smart</t>
  </si>
  <si>
    <t>Sale Adil BK Matrix</t>
  </si>
  <si>
    <t>Iphone 17 pro max 512gb unlock CO</t>
  </si>
  <si>
    <t>Extra Received Items</t>
  </si>
  <si>
    <t>Missing Items</t>
  </si>
  <si>
    <t>AR9</t>
  </si>
  <si>
    <t>AR7&amp;8</t>
  </si>
  <si>
    <t>Invoice No.</t>
  </si>
  <si>
    <t>Sale Century</t>
  </si>
  <si>
    <t>Sale PowerPlay</t>
  </si>
  <si>
    <t>Sale Digi Hub</t>
  </si>
  <si>
    <t>SYD SHIP 06-11-2025</t>
  </si>
  <si>
    <t>DJI MIC 3</t>
  </si>
  <si>
    <t>Sale Return Asad B Smart</t>
  </si>
  <si>
    <t>Sale Haris Gujranwala</t>
  </si>
  <si>
    <t>iphone 17 Pro  Max 256gb kit CO</t>
  </si>
  <si>
    <t>iphone 17 Pro  Max 256gb CO</t>
  </si>
  <si>
    <t>iphone 17 Pro  Max 512gb CO</t>
  </si>
  <si>
    <t>iphone 17 pro 256gb CO</t>
  </si>
  <si>
    <t>iphone 17 pro 512gb CO</t>
  </si>
  <si>
    <t>iphone 17 pro 256gb kit DB</t>
  </si>
  <si>
    <t>iphone 16 pro max 256gb DT FU</t>
  </si>
  <si>
    <t xml:space="preserve">iphone 17 pro 256gb silver </t>
  </si>
  <si>
    <t>iphone 17 pro 1TB CO FU</t>
  </si>
  <si>
    <t xml:space="preserve">iphone 16 pro max 256gb DT </t>
  </si>
  <si>
    <t>iphone 16 pro max 256gb NT</t>
  </si>
  <si>
    <t>iphone 16 pro max 512gb BT</t>
  </si>
  <si>
    <t>iphone 16 pro 256gb DT kit</t>
  </si>
  <si>
    <t>iphone 16 pro 256gb NT</t>
  </si>
  <si>
    <t>iphone 15 plus 128gb blue &amp; blk</t>
  </si>
  <si>
    <t>Samsung S25 ultra 256gb</t>
  </si>
  <si>
    <t>Ipad pro 13 M5 512gb W+C</t>
  </si>
  <si>
    <t>Ipad pro 11 M5 256gb W+C</t>
  </si>
  <si>
    <t>ipad Pro 13 inch M4 Space Black 2TB (Wifi + Cellular)</t>
  </si>
  <si>
    <t>AR20</t>
  </si>
  <si>
    <t>Ipad Pro 13'' M5 512gb W+C</t>
  </si>
  <si>
    <t>Ipad Pro 11'' M5 256gb W+C</t>
  </si>
  <si>
    <t>Iphone 15 plus 128gb</t>
  </si>
  <si>
    <t>Mic 3 Combo DJI Macquarie Park</t>
  </si>
  <si>
    <t>JBL Charge 6 Black Good Guys Blacktown</t>
  </si>
  <si>
    <t>JBL Charge 6 Black  Good Guys Auburn</t>
  </si>
  <si>
    <t>JBL Charge 6 Blue  Good Guys Auburn</t>
  </si>
  <si>
    <t>Mini 4 Pro  Harvey Norman Moorepark</t>
  </si>
  <si>
    <t>Mavic 4 FMC  Harvey Norman Broadway</t>
  </si>
  <si>
    <t>Starlink Standard Kit Bunnings Northmead</t>
  </si>
  <si>
    <t>Starlink Standard Kit Bunnings Seven Hills</t>
  </si>
  <si>
    <t>Starlink Standard Kit Bunnings Carlingford</t>
  </si>
  <si>
    <t>Starlink Standard Kit Bunnings Rydalmere</t>
  </si>
  <si>
    <t>Starlink Standard Kit Bunnings Gladesville</t>
  </si>
  <si>
    <t>Mic 3 Combo  DJI Macquarie Park  Pending Delivery</t>
  </si>
  <si>
    <t>Sale Hamza</t>
  </si>
  <si>
    <t>Sale Powerplay</t>
  </si>
  <si>
    <t>return Shehzad mughal 13-oct</t>
  </si>
  <si>
    <t>Sale Zohaib</t>
  </si>
  <si>
    <t>Sale Cash</t>
  </si>
  <si>
    <t>Sale Umair B Smart</t>
  </si>
  <si>
    <t>Sale Phone 4 U</t>
  </si>
  <si>
    <t>Sale Return Zohaib</t>
  </si>
  <si>
    <t>Sale CTN</t>
  </si>
  <si>
    <t>Sale Raaziq</t>
  </si>
  <si>
    <t>Total (Investment )</t>
  </si>
  <si>
    <t>Sale Muzammil</t>
  </si>
  <si>
    <t>G7X Mark III Black</t>
  </si>
  <si>
    <t>G7X Mark III Silver</t>
  </si>
  <si>
    <t xml:space="preserve">Purchase </t>
  </si>
  <si>
    <t>Google pixel pro 128 Harvey Norman Castle Hills</t>
  </si>
  <si>
    <t>Google pixel pro 128 Harvey Norman Fyshwick</t>
  </si>
  <si>
    <t>Google pixel pro 256 Harvey Norman Fyshwick</t>
  </si>
  <si>
    <t>Google Pixel 10 pro 128gb</t>
  </si>
  <si>
    <t>Google Pixel 10 pro 256gb</t>
  </si>
  <si>
    <t>Gift Card Purchase</t>
  </si>
  <si>
    <t>Starlink Standard Kit Bunnings Thornleigh</t>
  </si>
  <si>
    <t>Google pixel pro 256 Officeworks Castle Hills</t>
  </si>
  <si>
    <t>Starlink Standard Kit Officeworks Castle Hills</t>
  </si>
  <si>
    <t>Google pixel pro 256 Office Works Northmead</t>
  </si>
  <si>
    <t>Google pixel pro 256 Officeworks Wentworthville</t>
  </si>
  <si>
    <t>Google pixel pro 256 Officeworks Wetherhill park</t>
  </si>
  <si>
    <t>Starlink Standard Kit Bunnings Smithfield</t>
  </si>
  <si>
    <t>DJI mic 3 Combo DJI Macquarie Park</t>
  </si>
  <si>
    <t>Sale Wajahat</t>
  </si>
  <si>
    <t>Sale Moin Hussain Trading</t>
  </si>
  <si>
    <t>Sale Rabi</t>
  </si>
  <si>
    <t xml:space="preserve">Sale Haryana Mobile </t>
  </si>
  <si>
    <t>Sale Eazy Buy Electronics</t>
  </si>
  <si>
    <t>Ipad Pro 13'' M5 1TB W+C</t>
  </si>
  <si>
    <t>Hold</t>
  </si>
  <si>
    <t>Sale Shahid Gargash</t>
  </si>
  <si>
    <t>Invoice 36</t>
  </si>
  <si>
    <t>Invoice 37</t>
  </si>
  <si>
    <t>Iphone 16 plus 128gb</t>
  </si>
  <si>
    <t>Invoice 38</t>
  </si>
  <si>
    <t>Sale Return Easy Buy</t>
  </si>
  <si>
    <t>iphone 17 pro max 256gb CO</t>
  </si>
  <si>
    <t>iphone 17 pro max 2TB CO</t>
  </si>
  <si>
    <t>iphone 17 pro max 2TB DB</t>
  </si>
  <si>
    <t>iphone 17 pro 256gb DB</t>
  </si>
  <si>
    <t>iphone 17 pro 512gb DB</t>
  </si>
  <si>
    <t>iphone 17 pro 256gb silver</t>
  </si>
  <si>
    <t>Macbook MDE04LL/A</t>
  </si>
  <si>
    <t>Extra items recceived in AR-21</t>
  </si>
  <si>
    <t>Sale Nexus</t>
  </si>
  <si>
    <t>Sale World Mart</t>
  </si>
  <si>
    <t>iphone 16 plus 128gb</t>
  </si>
  <si>
    <t>iphone 16 pro 128gb</t>
  </si>
  <si>
    <t>iphone 16 pro 512gb</t>
  </si>
  <si>
    <t>iphone 17 pro 512gb</t>
  </si>
  <si>
    <t>iphone 17 pro max 256gb</t>
  </si>
  <si>
    <t>iphone 17 pro max 256gb unlock</t>
  </si>
  <si>
    <t>Apple Magic Keyboard</t>
  </si>
  <si>
    <t>Macbook Air M2 13'' 8-256</t>
  </si>
  <si>
    <t>Meta Quest pro 256gb</t>
  </si>
  <si>
    <t>Macbook pro M5 14'' 16-512</t>
  </si>
  <si>
    <t>Magic Keyboard</t>
  </si>
  <si>
    <t>Invoice AR-21</t>
  </si>
  <si>
    <t>AR21</t>
  </si>
  <si>
    <t>AR-21 Extra items</t>
  </si>
  <si>
    <t>AR-21 extra items</t>
  </si>
  <si>
    <t>NZ Ship 13-11-2025</t>
  </si>
  <si>
    <t>Sale Fahad Star City</t>
  </si>
  <si>
    <t>Sale suleman</t>
  </si>
  <si>
    <t>Sale Shahid</t>
  </si>
  <si>
    <t>Sale Start Game</t>
  </si>
  <si>
    <t>Sale Return Start Game</t>
  </si>
  <si>
    <t>Sale Arktech</t>
  </si>
  <si>
    <t xml:space="preserve">Sale Suleman </t>
  </si>
  <si>
    <t>Sale Akash NX</t>
  </si>
  <si>
    <t>Sale Hmb</t>
  </si>
  <si>
    <t>AR-21</t>
  </si>
  <si>
    <t>Sale Shehzad MughaL</t>
  </si>
  <si>
    <t>Sale Return World Mart</t>
  </si>
  <si>
    <t>Sale Waheed Bhai</t>
  </si>
  <si>
    <t>Sale Skyfitronics</t>
  </si>
  <si>
    <t>Purchase Millennium Mobile</t>
  </si>
  <si>
    <t>Cash Sale</t>
  </si>
  <si>
    <t>Sale Adeel Karachi</t>
  </si>
  <si>
    <t>Cash Purchase</t>
  </si>
  <si>
    <t>ipad pro m4 13 inch 256gb</t>
  </si>
  <si>
    <t>imei</t>
  </si>
  <si>
    <t>shehzad</t>
  </si>
  <si>
    <t>sale</t>
  </si>
  <si>
    <t>purchase</t>
  </si>
  <si>
    <t>mudassir</t>
  </si>
  <si>
    <t>Sale CH Sami</t>
  </si>
  <si>
    <t>DJI Mic 3 Combo  DJI Macquarie Park</t>
  </si>
  <si>
    <t>DJI Mavic 4 standard  DJI Macquarie Park</t>
  </si>
  <si>
    <t>DJI Mavic 4 FMC RC2  DJI Macquarie Park</t>
  </si>
  <si>
    <t>Company registration renew  Fee ASIC</t>
  </si>
  <si>
    <t>Shipping Charges Megatop</t>
  </si>
  <si>
    <t>JBL Charge 5 Black JBHIFI Roselands</t>
  </si>
  <si>
    <t>Google Pixel 8 pro 128</t>
  </si>
  <si>
    <t>Harvey Norman Fyshwick</t>
  </si>
  <si>
    <t>Meta Quest 3s 256  JBHIFI Bankstown Pending Delivery</t>
  </si>
  <si>
    <t>Meta Quest 3s 256  JBHIFI Roselands Pending Delivery</t>
  </si>
  <si>
    <t>Meta Quest 3s 256 JBHIFI Roselands Pending Delivery</t>
  </si>
  <si>
    <t>Adjust Against</t>
  </si>
  <si>
    <t>Sale dji hub</t>
  </si>
  <si>
    <t>JBL Charge 6 Black JBHIFI Roselands</t>
  </si>
  <si>
    <t>Ninja Blender JBHIFI Roselands</t>
  </si>
  <si>
    <t>Osmo Pocket 3 Creator Combo JBHIFI Roselands</t>
  </si>
  <si>
    <t>Osmo Pocket Standard JBHIFI Roselands</t>
  </si>
  <si>
    <t>Osmo Pocket 3  Creator Combo Active DJI Macquarie Park</t>
  </si>
  <si>
    <t>DJI mini 5 Pro FMC 52 Min DJI Macquarie Park</t>
  </si>
  <si>
    <t>Osmo Pocket Standard JBHIFI Bankstown</t>
  </si>
  <si>
    <t>Osmo Pocket 3  Creator Combo  JBHIFI Bankstown</t>
  </si>
  <si>
    <t>JBL Charge 6 JBHIFI Bankstown</t>
  </si>
  <si>
    <t>Ninetendo Switch 2 Bundle Eb Games Pending Delivery</t>
  </si>
  <si>
    <t>JBL Charge 6 Good Guys Auburn Pending Delivery</t>
  </si>
  <si>
    <t>JBL Charge 6 Good Guys Wetherhill Park</t>
  </si>
  <si>
    <t>JBL Charge 6 Good Guys Casula</t>
  </si>
  <si>
    <t>Ninetendo Switch 2 Bundle Eb Games Parramatta</t>
  </si>
  <si>
    <t>Iphone17 pro max 256 Silver JBHIFI Parramatta</t>
  </si>
  <si>
    <t>Iphone17 pro max 256 Orange JBHIFI Parramatta</t>
  </si>
  <si>
    <t>DJI Osmo Pocket 3 standrad JBHIFI Parramatta</t>
  </si>
  <si>
    <t>DJI Mic Mini JBHIFI Parramatta</t>
  </si>
  <si>
    <t>JBLCharge 6 JBHIFI Parramatta</t>
  </si>
  <si>
    <t>Starlink Standard Kit Bunnings(Mix old P)</t>
  </si>
  <si>
    <t>Iphone17 pro max 256 Orange JBHIFI Merrylands</t>
  </si>
  <si>
    <t>Dji Mic Mini</t>
  </si>
  <si>
    <t>Sale Fahad 206</t>
  </si>
  <si>
    <t>Sale Ahad</t>
  </si>
  <si>
    <t>SYD SHIP 20-11-2025</t>
  </si>
  <si>
    <t>Sale Rakesh</t>
  </si>
  <si>
    <t>Sale Dji Hub</t>
  </si>
  <si>
    <t>Sale Humair Khi</t>
  </si>
  <si>
    <t>Iphone17 pro max 256 Silver JBHIFI Hurstville</t>
  </si>
  <si>
    <t>Iphone17 pro max 256 Orange JBHIFI Hurstville</t>
  </si>
  <si>
    <t>Starlink Standard Kit Bunnings Lidcomb</t>
  </si>
  <si>
    <t>PS5 Disk Bundle  Ebgames Parramatta</t>
  </si>
  <si>
    <t xml:space="preserve">PS5 Digital Good Guys </t>
  </si>
  <si>
    <t xml:space="preserve">PS5 Disc Good Guys </t>
  </si>
  <si>
    <t xml:space="preserve">PS5Disc  Good Guys </t>
  </si>
  <si>
    <t xml:space="preserve">PS5Digital Good Guys </t>
  </si>
  <si>
    <t>PS5 Digital Good Guys  Pending Collection Auburn</t>
  </si>
  <si>
    <t>PS5 Disc Good Guys  Pending Collection Auburn</t>
  </si>
  <si>
    <t>PS5 Disk Bundle NBA Ebgames Online Pending Collection Broadwa</t>
  </si>
  <si>
    <t>PS5 Disk Bundle NBA Ebgames Online Pending Delivery</t>
  </si>
  <si>
    <t>Invoice 40</t>
  </si>
  <si>
    <t>Sale Izaz</t>
  </si>
  <si>
    <t>Sale Digital Game</t>
  </si>
  <si>
    <t>Sale GVT Electronics</t>
  </si>
  <si>
    <t>Sale Kumar</t>
  </si>
  <si>
    <t>Sale Abdullah Karachi</t>
  </si>
  <si>
    <t>Sale SSP Sadat Khi</t>
  </si>
  <si>
    <t>Sale Faheem Karachi</t>
  </si>
  <si>
    <t>Sale Blue Zone</t>
  </si>
  <si>
    <t xml:space="preserve">Sale Gvt </t>
  </si>
  <si>
    <t>Sale EazyBuy Electronics</t>
  </si>
  <si>
    <t>Sale Ahsan Cba</t>
  </si>
  <si>
    <t>SYD SHIP 22-11-2025</t>
  </si>
  <si>
    <t>Sale NY Advance</t>
  </si>
  <si>
    <t xml:space="preserve">Sale Metro </t>
  </si>
  <si>
    <t>Starlink Standard Kit Bunnings Leppington</t>
  </si>
  <si>
    <t>Starlink Standard Kit Bunnings Minchinbury</t>
  </si>
  <si>
    <t>Starlink Standard Kit Bunnings Blacktown</t>
  </si>
  <si>
    <t>Starlink Standard Kit Bunnings Hoxton park</t>
  </si>
  <si>
    <t>Starlink Standard Kit Bunnings North Penrith</t>
  </si>
  <si>
    <t>Starlink Standard Kit Bunnings Penrith</t>
  </si>
  <si>
    <t>Starlink Standard Kit Bunnings Bankstown</t>
  </si>
  <si>
    <t>Canon SX740 Digi Direct Parramatta Old Deposit</t>
  </si>
  <si>
    <t>Van Hire 11+ Petrol Anis Rental</t>
  </si>
  <si>
    <t>Sale Najmat hayat</t>
  </si>
  <si>
    <t>Sale Kabir Bar Dubai</t>
  </si>
  <si>
    <t>Sale Abdul Raziq</t>
  </si>
  <si>
    <t>Sale Maqsood Bhai</t>
  </si>
  <si>
    <t>Sale Raam</t>
  </si>
  <si>
    <t>Sale Anas Starcity</t>
  </si>
  <si>
    <t>Purchase Zeeshan Dysomac</t>
  </si>
  <si>
    <t>Sale Base Stock Update</t>
  </si>
  <si>
    <t>Sold Kits Purchase Invoice Detail</t>
  </si>
  <si>
    <t>Mudassir &amp; Owais Detail Ledger After Each Invoice</t>
  </si>
  <si>
    <t>Sale Jitu Cash</t>
  </si>
  <si>
    <t>Sale Khaira Jani</t>
  </si>
  <si>
    <t>Sale BX International</t>
  </si>
  <si>
    <t>Sale Usman</t>
  </si>
  <si>
    <t>iphone 16 pro max 256gb hold</t>
  </si>
  <si>
    <r>
      <t xml:space="preserve">iphone 17 pro 256gb DB </t>
    </r>
    <r>
      <rPr>
        <b/>
        <sz val="11"/>
        <color rgb="FFFF0000"/>
        <rFont val="Aptos Narrow"/>
        <family val="2"/>
        <scheme val="minor"/>
      </rPr>
      <t>(1 piece icloud 9969)</t>
    </r>
  </si>
  <si>
    <t>iphone Air 17 256gb ( 1 icloud hold)</t>
  </si>
  <si>
    <t>Purchase Najmat Hayat</t>
  </si>
  <si>
    <t>Sale Turan Electronics</t>
  </si>
  <si>
    <t>Invoice 39</t>
  </si>
  <si>
    <t>Purchase Mudassir Hold</t>
  </si>
  <si>
    <t>invoice 41</t>
  </si>
  <si>
    <t>Sale Jawad</t>
  </si>
  <si>
    <t>Sale Rahul 309</t>
  </si>
  <si>
    <t>Sale AR Staff Self</t>
  </si>
  <si>
    <t>Sale Zaidi</t>
  </si>
  <si>
    <t>SYD SHIP 28-11-2025</t>
  </si>
  <si>
    <t>Delivery Expense Bunnings Packenham</t>
  </si>
  <si>
    <t>Starlink Standard Kit Bunnings Packenham</t>
  </si>
  <si>
    <t>PS5 Digital Ebgames Macuarie Park</t>
  </si>
  <si>
    <t>PS5 Digital JBHIFI Macquarie Park</t>
  </si>
  <si>
    <t>Starlink Standard Kit JBHIFI Macquarie Park</t>
  </si>
  <si>
    <t>Mic 3 Combo JBHIFI Top Ryde</t>
  </si>
  <si>
    <t>PS5 Digital JBHIFI Top Ryde</t>
  </si>
  <si>
    <t>Mic Mini JBHIFI Top Ryde</t>
  </si>
  <si>
    <t>Starlink Standard Kit JBHIFI Top Ryde</t>
  </si>
  <si>
    <t>Starlink Standard Kit Office Works Guildford</t>
  </si>
  <si>
    <t>Starlink Standard Kit Bunnings Villawood</t>
  </si>
  <si>
    <t>Starlink Standard Kit Harvey Norman Fyshwick Pending Delivery</t>
  </si>
  <si>
    <t>Starlink Standard Kit Office Works Guildford Pending Collection Auburn</t>
  </si>
  <si>
    <t>Ray Ban Meta Wayfarer Gen 1 JBHIFI Top Ryde Pending Collection Parramatta</t>
  </si>
  <si>
    <t>Mic 3 Combo JBHIFI Parramatta Pending Collection Parramatta</t>
  </si>
  <si>
    <t>Mic 3 Combo JBHIFI Parramatta Pending Collection Merrylands</t>
  </si>
  <si>
    <t>JBL Chare 6 JBHIFI Parramatta Pending Collection TBC</t>
  </si>
  <si>
    <t>Mic 3 Combo JBHIFI Parramatta Pending Collection Macarthur Square</t>
  </si>
  <si>
    <t>Mark III Black Rubber Monkey Pending Delivery</t>
  </si>
  <si>
    <t>Mark IIISilver Rubber Monkey Pending Delivery</t>
  </si>
  <si>
    <t>Mark III Black Progear Online Pending Delivery</t>
  </si>
  <si>
    <t>Mark IIISilver Progear  Pending Delivery</t>
  </si>
  <si>
    <t>Mark III Black Progear  Pending Delivery</t>
  </si>
  <si>
    <t>Sale GVT</t>
  </si>
  <si>
    <t>Sale Jitu</t>
  </si>
  <si>
    <t>Sale Return NX Mobile</t>
  </si>
  <si>
    <t>Sale Maaz Electronics</t>
  </si>
  <si>
    <t>Sale Hazarto</t>
  </si>
  <si>
    <t>Sale karachi</t>
  </si>
  <si>
    <t>Starlink Standard Kit Bunnings Campbelltown</t>
  </si>
  <si>
    <t>Starlink Standard Kit Bunnings Gregory Hills</t>
  </si>
  <si>
    <t>Starlink Standard Kit JBHIFI Macarthure Square</t>
  </si>
  <si>
    <t>PS5 Digital JBHIFI Macarthure Square</t>
  </si>
  <si>
    <t>JBL Charge 6 JBHIFI Macarthure Square</t>
  </si>
  <si>
    <t>Meta Wayfarer Gen 1 Glasses JBHIFI Macarthure Square</t>
  </si>
  <si>
    <t>DJI Mic 3 Combo JBHIFI Macarthure Square</t>
  </si>
  <si>
    <t>Starlink Standard Kit Office Works Gledswood</t>
  </si>
  <si>
    <t>Starlink Standard Kit Office Works Casula</t>
  </si>
  <si>
    <t>Starlink Standard Kit JBHIFI Parramatta</t>
  </si>
  <si>
    <t>PS5 Digital JBHIFI Parramatta</t>
  </si>
  <si>
    <t>JBL Charge 6 JBHIFI Parramatta</t>
  </si>
  <si>
    <t>Ray Ban Meta Wayfarer Gen 1 JBHIFI Parramatta</t>
  </si>
  <si>
    <t>Starlink Standard Kit Perth Waleed</t>
  </si>
  <si>
    <t>Collection Commision Waleed</t>
  </si>
  <si>
    <t>Starlink Standard Kit Office Works Gledswood Pending Collection Wetherill Park</t>
  </si>
  <si>
    <t>Starlink Standard Kit Office Works Casula Pending Collection Wetherill Park</t>
  </si>
  <si>
    <t>DJI Mic 3 Combo JBHIFI Parramatta Pending Collection Macquarie Park</t>
  </si>
  <si>
    <t>Sale Return Rabi</t>
  </si>
  <si>
    <t>Sandisk Portable G-Drive 6TB</t>
  </si>
  <si>
    <t>WD-Black P10 G-Drive 4TB</t>
  </si>
  <si>
    <t>WD-Black P10 G-Drive 5TB</t>
  </si>
  <si>
    <t>Rad 700i Radar &amp; Detector</t>
  </si>
  <si>
    <t>Sale Return Wajahat</t>
  </si>
  <si>
    <t xml:space="preserve">Purchase Return Mudassir </t>
  </si>
  <si>
    <t>Sale Digital Future Solution</t>
  </si>
  <si>
    <t>Ipad pro 11'' M4 256gb wifi</t>
  </si>
  <si>
    <t>Ipad pro 11'' M4 512gb wifi</t>
  </si>
  <si>
    <t>Purchase Digital Dream</t>
  </si>
  <si>
    <t>Item</t>
  </si>
  <si>
    <t>Qty Not Purchased but sold</t>
  </si>
  <si>
    <t>Usa (Owais Houston)</t>
  </si>
  <si>
    <t>iwatch SE Gen 2</t>
  </si>
  <si>
    <t>ipad A16 128gb wifi</t>
  </si>
  <si>
    <t>Apple watch ultra 2 49mm</t>
  </si>
  <si>
    <t>ipad Air 13 M3 128gb wifi</t>
  </si>
  <si>
    <t>Macbook  MC6T4LL/A</t>
  </si>
  <si>
    <t>iphone 17 pro 1tb blue</t>
  </si>
  <si>
    <t>ipad Pro 13" M4 5G 256gb</t>
  </si>
  <si>
    <t>iphone 17 pro max 2tb CO &amp; 2 blue</t>
  </si>
  <si>
    <t>Pencil USB-C</t>
  </si>
  <si>
    <t>Nintendo Swistch 2</t>
  </si>
  <si>
    <t>ipad Air 11 M3 256gb</t>
  </si>
  <si>
    <t>Ps5 Pro</t>
  </si>
  <si>
    <t>Macbook MW123LL/A</t>
  </si>
  <si>
    <t>ipad Pro 11" M4 WiFi 256gb</t>
  </si>
  <si>
    <t>ipad Pro 11" M4 WiFi 512gb</t>
  </si>
  <si>
    <t>iphone 17 pro max 256gb blue</t>
  </si>
  <si>
    <t>iphone 16 pro max 256gb blk unlock</t>
  </si>
  <si>
    <t>iphone 16 pro 512gb blk unlock</t>
  </si>
  <si>
    <t>ipad Pro 11" M5 5G 256gb</t>
  </si>
  <si>
    <t>ipad pro 13 M4 256gb wifi</t>
  </si>
  <si>
    <t>iphone 17 pro max 256gb silver unlock</t>
  </si>
  <si>
    <t>iphone 17 pro 1tb CO</t>
  </si>
  <si>
    <t>AR NY 2</t>
  </si>
  <si>
    <t>Apple Pencil USB-C</t>
  </si>
  <si>
    <t>Starlink Standard Kit BCF Wetherill Park</t>
  </si>
  <si>
    <t>Starlink Standard Kit Office Works Wetherill park</t>
  </si>
  <si>
    <t>PS5 Slim Digital JBHIFI Parramatta</t>
  </si>
  <si>
    <t>DJI Mic 3 JBHIFI Parramatta</t>
  </si>
  <si>
    <t>PS5 Slim Disc NBA Good Guys Auburn</t>
  </si>
  <si>
    <t>PS5 Slim Digital 1TB Good Guys Auburn</t>
  </si>
  <si>
    <t>Starlink Standard Kit Bunnings Perth</t>
  </si>
  <si>
    <t>Starlink Standard Kit Office Works Auburn</t>
  </si>
  <si>
    <t>Starlink Standard Kit BCF Auburn</t>
  </si>
  <si>
    <t>DJI Mic Mini JBHIFI Parramatta Adil</t>
  </si>
  <si>
    <t>Starlink Standard Kit JBHIFI Parramatta Adil</t>
  </si>
  <si>
    <t>JBL Charge 6 JBHIFI Parramatta Adil</t>
  </si>
  <si>
    <t>PS5 Digital JBHIFI Parramatta Adil</t>
  </si>
  <si>
    <t>Starlink Standard Kit JBHIFI Homebush Adil</t>
  </si>
  <si>
    <t>PS5 JBHIFI Homebush Adil</t>
  </si>
  <si>
    <t>Starlink Standard Kit BCF Adil</t>
  </si>
  <si>
    <t>Starlink Standard Kit Bunnings Castle Hills</t>
  </si>
  <si>
    <t>PS5 DISC EB Games Roselands</t>
  </si>
  <si>
    <t>DJI Mic Mini JBHIFI Roselands</t>
  </si>
  <si>
    <t>PS5 Disc JBHIFI Roselands</t>
  </si>
  <si>
    <t>Wireless Controller JBHIFI Roselands</t>
  </si>
  <si>
    <t>Astrobot Games JBHIFI Roselands</t>
  </si>
  <si>
    <t>Starlink Standard Kit JBHIFI Roselands</t>
  </si>
  <si>
    <t>JBL Charge 6 JBHIFI Roselands</t>
  </si>
  <si>
    <t>DJI Mic 3 JBHIFI Roselands</t>
  </si>
  <si>
    <t>Mic 3 JBHIFI Roselands</t>
  </si>
  <si>
    <t>PS5 Digital JBHIFI Roselands</t>
  </si>
  <si>
    <t>PS5 Digital JBHIFI Hurstville</t>
  </si>
  <si>
    <t>PS5 Digital Eb Games Hurstville</t>
  </si>
  <si>
    <t>Starlink Standard Kit Officeworks Hurstville</t>
  </si>
  <si>
    <t>Astro Bot Game</t>
  </si>
  <si>
    <t>By Waheed Bhai</t>
  </si>
  <si>
    <t>SYD SHIP 05-12-2025</t>
  </si>
  <si>
    <t>Sale Power play</t>
  </si>
  <si>
    <t>G7X Mark III Black Auckland Camera</t>
  </si>
  <si>
    <t>G7X Mark III Black Photogear</t>
  </si>
  <si>
    <t>SX740 Photogear</t>
  </si>
  <si>
    <t>G7X Mark III Silver Photogear</t>
  </si>
  <si>
    <t>PlayStation Portal 12 april</t>
  </si>
  <si>
    <t>Sale Hamza One Touch</t>
  </si>
  <si>
    <t>Sale Central System</t>
  </si>
  <si>
    <t>Sale Return Rabi on 25-11-2025</t>
  </si>
  <si>
    <t>Faisal Bhai</t>
  </si>
  <si>
    <t>Abdul Rehman Bhai</t>
  </si>
  <si>
    <t>Sale AMC Computer Trading</t>
  </si>
  <si>
    <t xml:space="preserve">Waheed Bhai </t>
  </si>
  <si>
    <t>20% + investment profit</t>
  </si>
  <si>
    <t xml:space="preserve">Sale Turab </t>
  </si>
  <si>
    <t>MEL SHIP 06-12-2025</t>
  </si>
  <si>
    <t>Sale Reurn Asad B Smart</t>
  </si>
  <si>
    <t>Apple Watch SE 44mm</t>
  </si>
  <si>
    <t>Apple Watch SE 40mm kit</t>
  </si>
  <si>
    <t>iPad Pro M4 11" (W) 256gb</t>
  </si>
  <si>
    <t>iPad Pro M4 13" (W+C) 512gb</t>
  </si>
  <si>
    <t>iPad Pro M5 11" (W) 256gb</t>
  </si>
  <si>
    <t>iPad Pro M5 11" (W) 512gb</t>
  </si>
  <si>
    <t>iPad Pro M5 11" (W+C) 256gb</t>
  </si>
  <si>
    <t>iPad Pro M5 13" (W) 256gb</t>
  </si>
  <si>
    <t>iPad Pro M5 13" (W+C) 256gb</t>
  </si>
  <si>
    <t>iPad Pro M5 13" (W+C) 512gb</t>
  </si>
  <si>
    <t>iPhone 14 128gb</t>
  </si>
  <si>
    <t>iPhone 13 Pro Max 128gb kit</t>
  </si>
  <si>
    <t>iPhone 14 Pro Max 128gb kit</t>
  </si>
  <si>
    <t>iPhone 15 Pro 128gb FU kit</t>
  </si>
  <si>
    <t>iPhone 15 Pro Max 256gb FU kit</t>
  </si>
  <si>
    <t>iPhone 15 Pro Max 256gb kit</t>
  </si>
  <si>
    <t>iPhone 16 Pro Max 256gb kit</t>
  </si>
  <si>
    <t>iphone 17 pro 256gb blue FU</t>
  </si>
  <si>
    <t xml:space="preserve">iphone 17 pro 256gb blue </t>
  </si>
  <si>
    <t xml:space="preserve">iphone 17 pro 512gb 2blue 1silver </t>
  </si>
  <si>
    <t>iPhone 17 Pro Max 256gb 19CO 2silver</t>
  </si>
  <si>
    <t>iPhone 17 Pro Max 256gb</t>
  </si>
  <si>
    <t>iPhone 17 Pro Max 256gb kit</t>
  </si>
  <si>
    <t>iPhone 17 Pro Max 1TB</t>
  </si>
  <si>
    <t>iPhone 17 Pro Max 2TB</t>
  </si>
  <si>
    <t>AR23</t>
  </si>
  <si>
    <t>iphone 17 pro 256gb blue   353990820541881 not received</t>
  </si>
  <si>
    <t>iphone 15 pro 128gb</t>
  </si>
  <si>
    <t>Sale Mashud</t>
  </si>
  <si>
    <t>AirPods Pro 2 with Magsafe</t>
  </si>
  <si>
    <t>Galaxy S25 Ultra 256gb</t>
  </si>
  <si>
    <t>iPad Pro M4 11" (W+C) 256gb</t>
  </si>
  <si>
    <t>iPad Pro M5 13" (W) 512gb</t>
  </si>
  <si>
    <t>iPhone 15 128gb FU</t>
  </si>
  <si>
    <t>iPhone 16 Pro Max 256gb</t>
  </si>
  <si>
    <t>iPhone 17 Pro 1TB</t>
  </si>
  <si>
    <t>iPhone 17 Pro 256gb</t>
  </si>
  <si>
    <t>iPhone 17 Pro 512gb</t>
  </si>
  <si>
    <t>iPhone 17 Pro Max 512gb</t>
  </si>
  <si>
    <t>MacBook MDE04LL/A</t>
  </si>
  <si>
    <t>MacBook MW123LL/A</t>
  </si>
  <si>
    <t>MacBook MW1L3LL/A</t>
  </si>
  <si>
    <t>Meta Quest 3 4k 512gb</t>
  </si>
  <si>
    <t>Sale Imran Flip</t>
  </si>
  <si>
    <t>Purchase Return Mudassir</t>
  </si>
  <si>
    <t>Macbook Air 15'' M4 16-256</t>
  </si>
  <si>
    <t>AR22</t>
  </si>
  <si>
    <t>Van Hire + Petrol Anis Rental</t>
  </si>
  <si>
    <t>Van Hire + Petrol Anis Rental   Expense</t>
  </si>
  <si>
    <t xml:space="preserve">Mic 3 JBHIFI Macquarie </t>
  </si>
  <si>
    <t>Starlink Standard Kit JBHIFI Macquarie</t>
  </si>
  <si>
    <t>Starlink Standard Kit Office Works West Ryde</t>
  </si>
  <si>
    <t>Starlink Standard Kit Office Works North Ryde</t>
  </si>
  <si>
    <t>Starlink Standard Kit JBHIFI Homebush</t>
  </si>
  <si>
    <t>Starlink Standard Kit JBHIFI Bankstown</t>
  </si>
  <si>
    <t>DJI Mic 3 JBHIFI Bankstown</t>
  </si>
  <si>
    <t>Starlink Standard Kit JBHIFI Bankstown Pending Collection Liverpool</t>
  </si>
  <si>
    <t>Ps5 Digital JBHIFI Bankstown Pending Collection Merrylands</t>
  </si>
  <si>
    <t>Mic 3 JBHIFI Top Ryde</t>
  </si>
  <si>
    <t>PS5 Disc JBHIFI Top Ryde</t>
  </si>
  <si>
    <t>Starlink Standard Kit Office Works Northmead</t>
  </si>
  <si>
    <t>Starlink Standard Kit Officeworks Wentworthville</t>
  </si>
  <si>
    <t>Starlink Standard Kit Officeworks Auburn</t>
  </si>
  <si>
    <t>Starlink Standard Kit Harvey Norman Broadway</t>
  </si>
  <si>
    <t>Starlink Standard Kit  Officeworks Belrose</t>
  </si>
  <si>
    <t>Starlink Standard Kit Officeworks North Ryde</t>
  </si>
  <si>
    <t>Starlink Standard Kit Officeworks Northmead</t>
  </si>
  <si>
    <t>DJI mini 5 pro combo plus DJI Northmead</t>
  </si>
  <si>
    <t>Starlink Standard Kit Bunnings Belrose</t>
  </si>
  <si>
    <t>Starlink Standard Kit JBHIFI Belrose</t>
  </si>
  <si>
    <t>Starlink Standard Kit Multiple Stores Adil</t>
  </si>
  <si>
    <t>Collection Commision Adil Bhai  Paid</t>
  </si>
  <si>
    <t>Iphone 17 pro max 256 JBHIFI Bankstown</t>
  </si>
  <si>
    <t>Delivery Charges Bunnings Hawthorn</t>
  </si>
  <si>
    <t>Starlink Standard Kit Officeworks West Ryde</t>
  </si>
  <si>
    <t>Starlink Standard Kit Bunnings Packenham Pending Delivery Melbourne</t>
  </si>
  <si>
    <t>Starlink Standard Kit BCF Pending Delivery Kennards</t>
  </si>
  <si>
    <t>Starlink Standard Kit Officeworks Northmead Pending Delivery Home</t>
  </si>
  <si>
    <t>Starlink Standard Kit Bunnings Seven Hills $1000 Deposit Only 120 units</t>
  </si>
  <si>
    <t>Starlink Standard Kit Bunnings Hawthorn Pending Delivery Melbourne</t>
  </si>
  <si>
    <t>Starlink Standard Kit JBHIFI Bankstown Pending Collection Top Ryde</t>
  </si>
  <si>
    <t>Starlink Standard Kit JBHIFI Roselands Pending Collection Macquarie Park</t>
  </si>
  <si>
    <t>Starlink Standard Kit Harvey Norman Fyshwick Pending Delivery refund 5</t>
  </si>
  <si>
    <t>Mini Film 20PK Noel Leeming Pending Delivery</t>
  </si>
  <si>
    <t>Mini Evo Noel Leeming Pending Delivery</t>
  </si>
  <si>
    <t>Delivery  Noel Leeming Pending Delivery</t>
  </si>
  <si>
    <t>SYD SHIP 10-12-2025</t>
  </si>
  <si>
    <t>Sale Bilal Karachi</t>
  </si>
  <si>
    <t>Sale Teleworld</t>
  </si>
  <si>
    <t>Sale Shapoor</t>
  </si>
  <si>
    <t>Sale Fahad Karachi</t>
  </si>
  <si>
    <t>Sale Shahid Karachi</t>
  </si>
  <si>
    <t>Sale Shakir Karachi</t>
  </si>
  <si>
    <t>Sale Easy Buy Electronics</t>
  </si>
  <si>
    <t>SH72MDY7H2W</t>
  </si>
  <si>
    <t>SDWD2Y5JT4X</t>
  </si>
  <si>
    <t>Selling</t>
  </si>
  <si>
    <t>Shehzad Mughal price to be decided</t>
  </si>
  <si>
    <t>Serial</t>
  </si>
  <si>
    <t>Model</t>
  </si>
  <si>
    <t>Purchasing</t>
  </si>
  <si>
    <t>Difference</t>
  </si>
  <si>
    <t>Inv</t>
  </si>
  <si>
    <t>Sale Ultra Deals</t>
  </si>
  <si>
    <t>Sale Bilal Deira</t>
  </si>
  <si>
    <t>Sale NX Mobiles</t>
  </si>
  <si>
    <t>Purchase Mudassir</t>
  </si>
  <si>
    <t>invoice 42</t>
  </si>
  <si>
    <t>Sale Return From Bilal Deira</t>
  </si>
  <si>
    <t>Sr.#</t>
  </si>
  <si>
    <t>Description</t>
  </si>
  <si>
    <t>AR Qoutation</t>
  </si>
  <si>
    <t xml:space="preserve">Final </t>
  </si>
  <si>
    <t>List Price</t>
  </si>
  <si>
    <t>Macbook Air M3 15'' 16/256</t>
  </si>
  <si>
    <t>Macbook Air M4 13'' 16/256</t>
  </si>
  <si>
    <t>Macbook Air M4 13'' 16/512</t>
  </si>
  <si>
    <t>Macbook Pro M4 14'' 16/1tb</t>
  </si>
  <si>
    <t>Macbook Pro M5 512</t>
  </si>
  <si>
    <t>ipad A16 11'' 128gb</t>
  </si>
  <si>
    <t>ipad Pro 13'' 1TB</t>
  </si>
  <si>
    <t>Iwatch 11 42</t>
  </si>
  <si>
    <t>Iwatch SE 3</t>
  </si>
  <si>
    <t>Sale Usman 06/12/2025</t>
  </si>
  <si>
    <t>Ps5 Pulse Explore Buds</t>
  </si>
  <si>
    <t>Sale Sajjad Karachi</t>
  </si>
  <si>
    <t>Sale Fahad Lahore</t>
  </si>
  <si>
    <t>AR NY 1</t>
  </si>
  <si>
    <t>Cyber Power PC</t>
  </si>
  <si>
    <t>Asus ROG Strix Laptop</t>
  </si>
  <si>
    <t>Ps5 Controller</t>
  </si>
  <si>
    <t>Macbook pro 14'' M5 16-512 (4blk,2 silver)</t>
  </si>
  <si>
    <t>Ps5 Digital</t>
  </si>
  <si>
    <t>Ps5 Disc</t>
  </si>
  <si>
    <t>Xbox X Series 1tb</t>
  </si>
  <si>
    <t>iphone 17 pro max 256gb CO kit</t>
  </si>
  <si>
    <t>iphone 17 pro max 256gb blue kit</t>
  </si>
  <si>
    <t>iphone 17 pro 256g CO</t>
  </si>
  <si>
    <t>iphone 17 pro 256g CO kit unlock</t>
  </si>
  <si>
    <t>iphone 17 pro max 2TB CO kit unlock</t>
  </si>
  <si>
    <t>iphone 17 pro 256gb silver,blue kit</t>
  </si>
  <si>
    <t>iphone Air 17 1TB unlock</t>
  </si>
  <si>
    <t>iphone 15 pro max 256gb kit</t>
  </si>
  <si>
    <t xml:space="preserve">iphone 16 128gb </t>
  </si>
  <si>
    <t>iphone 14 pro max 128gb kit unlock</t>
  </si>
  <si>
    <t>ipad A16 128gb W+C</t>
  </si>
  <si>
    <t>ipad A16 256gb wifi</t>
  </si>
  <si>
    <t>ipad pro 13'' M5 256gb W+C</t>
  </si>
  <si>
    <t>ipad pro 13'' M5 512gb W+C</t>
  </si>
  <si>
    <t>ipad pro M5 13'' 512gb W</t>
  </si>
  <si>
    <t>ipad pro 11'' M5 256gb W+C</t>
  </si>
  <si>
    <t>ipad pro M4 11'' 256gb W</t>
  </si>
  <si>
    <t>AR24</t>
  </si>
  <si>
    <t>ipad Air 11'' M3 256gb wifi</t>
  </si>
  <si>
    <t>ipad Air 11'' M3 128gb wifi</t>
  </si>
  <si>
    <t>ipad Air 13'' M3 128gb wifi</t>
  </si>
  <si>
    <t>ipad Air 13'' M3 512gb wifi</t>
  </si>
  <si>
    <t>Moto edge 256gb</t>
  </si>
  <si>
    <t>Rayban Glasses</t>
  </si>
  <si>
    <t>Airpods Max USB-C</t>
  </si>
  <si>
    <t>Nintendo Switch 2 MK</t>
  </si>
  <si>
    <t>Garmin Vivo Active 5 watch</t>
  </si>
  <si>
    <t>Bose Noise Cancelling Earbuds</t>
  </si>
  <si>
    <t>Gopro Hero 13</t>
  </si>
  <si>
    <t>Pixel Buds 2A</t>
  </si>
  <si>
    <t>ipad mini A17 pro 128gb wifi</t>
  </si>
  <si>
    <t>Macbook Air 13'' M1 8-512</t>
  </si>
  <si>
    <t>Macbook Air 13'' M4 24-512</t>
  </si>
  <si>
    <t>Macbook Air 13'' M4 16-512</t>
  </si>
  <si>
    <t>Macbook Pro 14'' M5 16-1tb</t>
  </si>
  <si>
    <t>Macbook Pro 14'' M4 pro 24-512</t>
  </si>
  <si>
    <t>Macbook Pro 16'' M4 Max 36-1tb</t>
  </si>
  <si>
    <t>Ps5 CDs</t>
  </si>
  <si>
    <t>Asus Rog Strix Laptop</t>
  </si>
  <si>
    <t>Go Pro Floaty Hero</t>
  </si>
  <si>
    <t>Blink Outdoor 4</t>
  </si>
  <si>
    <t>Presto Electric Kettle</t>
  </si>
  <si>
    <t>Pokemon Card</t>
  </si>
  <si>
    <t>AR24 Extra</t>
  </si>
  <si>
    <t xml:space="preserve">AR24 </t>
  </si>
  <si>
    <t>Acer A7 Laptop</t>
  </si>
  <si>
    <t>Mic 3 JBHIFI Parramatta</t>
  </si>
  <si>
    <t>Mic Mini JBHIFI Parramatta</t>
  </si>
  <si>
    <t>DJI mini 5 pro combo plus JBHIFI Bankstown</t>
  </si>
  <si>
    <t>DJI mini 5 pro combo plus DJI Macquarie</t>
  </si>
  <si>
    <t>DJI Mavic 4 RC2 Standard DJI Macquarie</t>
  </si>
  <si>
    <t>Starlink Standard Kit JBHIFI Parramatta Pending Collection Mt Druitt</t>
  </si>
  <si>
    <t>SX740 JBHIFI Parramatta Pending Stock arrival</t>
  </si>
  <si>
    <t>G7X Mark III Black JBHIFI Parramatta Pending Stock arrival</t>
  </si>
  <si>
    <t>Starlink Standard Kit Bunnings Packenham Pending Deliverey</t>
  </si>
  <si>
    <t>Starlink Standard Kit Bunnings East Pakenham Pending Deliverey</t>
  </si>
  <si>
    <t>Delivery Charges Bunnings East Pakenham Pending Deliverey</t>
  </si>
  <si>
    <t>JBL Charge 6 Good Guys Auburn Pending Deliverey</t>
  </si>
  <si>
    <t>Acer A7 Laptop Harvey Norman Fyshwick Pending Deliverey</t>
  </si>
  <si>
    <t xml:space="preserve">DJI mavic 4 pro fly mor combo DJI Macquarie </t>
  </si>
  <si>
    <t>Pending Deliverey</t>
  </si>
  <si>
    <t xml:space="preserve"> Norman Fyshwick</t>
  </si>
  <si>
    <t>SX740 Auckland Camera Pending Delivery</t>
  </si>
  <si>
    <t>Purchase 10% Gift Card</t>
  </si>
  <si>
    <t>Sale Zane Wave</t>
  </si>
  <si>
    <t>Sale US Tech Sherin</t>
  </si>
  <si>
    <t>Sale Makdoom Karachi</t>
  </si>
  <si>
    <t>RECEIVE ON 17-12-2025</t>
  </si>
  <si>
    <t>MEL SHIP 17-12-2025</t>
  </si>
  <si>
    <t>NZ Ship 17-12-2025</t>
  </si>
  <si>
    <t>Macbook Pro M5 14'' 16-512</t>
  </si>
  <si>
    <t>Purchase Mudassir against PKR</t>
  </si>
  <si>
    <t>iPhone 16 Pro 128gb white kit</t>
  </si>
  <si>
    <t>MacBook Pro M1</t>
  </si>
  <si>
    <t>Apple Watch SE 2 44mm kit</t>
  </si>
  <si>
    <t>Nintendo Switch XKW50103180253</t>
  </si>
  <si>
    <t>iPhone 16 Pro 512gb blk</t>
  </si>
  <si>
    <t>iPhone 16 Plus 128gb pink</t>
  </si>
  <si>
    <t>Extra Stock O HT</t>
  </si>
  <si>
    <t>Sale Abdul Ghani Sudani</t>
  </si>
  <si>
    <t>Sale CVT Sarfaraz</t>
  </si>
  <si>
    <t>Sale Sajjad Fariya</t>
  </si>
  <si>
    <t>Sale Muzammil Emporium Pindi</t>
  </si>
  <si>
    <t>Sale Rizwan Pindi</t>
  </si>
  <si>
    <t>SYD-SHIP 18-12-2025</t>
  </si>
  <si>
    <t>Sale Power Play</t>
  </si>
  <si>
    <t>Starlink Standard Kit Bunnings  Bankstown</t>
  </si>
  <si>
    <t>Mark III JBHIFI Parramatta</t>
  </si>
  <si>
    <t>Sx740 JBHIFI Parramatta</t>
  </si>
  <si>
    <t>Iphone 17 pro max 256 JBHIFI</t>
  </si>
  <si>
    <t>Starlink Commission Adil Bhai</t>
  </si>
  <si>
    <t>Starlink Standard Kit Bunnings Maribyrnong</t>
  </si>
  <si>
    <t>Starlink Standard Kit Bunnings Epping</t>
  </si>
  <si>
    <t>Starlink Standard Kit Bunnings Sunshine</t>
  </si>
  <si>
    <t>PS5 Slims Digital Bundle Big W Merrylands</t>
  </si>
  <si>
    <t>PS5 Slims Digital Bundle Big W Winston hills</t>
  </si>
  <si>
    <t>PS5 Slims Digital Bundle Big W Blacktown</t>
  </si>
  <si>
    <t>PS5 Slims Digital  Eb games Parramatta</t>
  </si>
  <si>
    <t>PS5 Slims Digital  Eb games Merrylands</t>
  </si>
  <si>
    <t>PS5 Slims Digital  Ebgames Parramatta</t>
  </si>
  <si>
    <t>PS5 Slims Disc Bundle Big W Merrylands</t>
  </si>
  <si>
    <t>PS5 Slims Disc Bundle Big W Winston hills</t>
  </si>
  <si>
    <t>PS5 Slims Disc Bundle Big W Blacktown</t>
  </si>
  <si>
    <t>PS5 Slim Digital Bundle JBHIFI Merrylands</t>
  </si>
  <si>
    <t>Mic 3 DJI Macquarie</t>
  </si>
  <si>
    <t>Pocket 3 Creator combo DJI Macquarie</t>
  </si>
  <si>
    <t>Mavic 4 pro fly more combo 42 min DJI Macquarie</t>
  </si>
  <si>
    <t>Mavic 4 pro Standard DJI Macquarie</t>
  </si>
  <si>
    <t>Delivery Charges Bunnings Epping</t>
  </si>
  <si>
    <t>Sale Hamza Ontech</t>
  </si>
  <si>
    <t>Sale Abdul Rafay</t>
  </si>
  <si>
    <t xml:space="preserve">Sale Return Ontell </t>
  </si>
  <si>
    <t>Invoice 43</t>
  </si>
  <si>
    <t>Purchase GW 503 Raza Saffari</t>
  </si>
  <si>
    <t>Purchase Asad Khareedo</t>
  </si>
  <si>
    <t>Sale Return Humair Khi</t>
  </si>
  <si>
    <t>Sale Zeeshan Sabka</t>
  </si>
  <si>
    <t>AR22,23 Extra</t>
  </si>
  <si>
    <t>Sale Amir Center</t>
  </si>
  <si>
    <t>PS5 Slim Digital Bundle Big W Blacktown</t>
  </si>
  <si>
    <t>Canon IXUS285 Big W Winston hills</t>
  </si>
  <si>
    <t>PS5 Slim Digital Bundle Big W Winston hills</t>
  </si>
  <si>
    <t>PS5 Slim Digital Bundle Big W Top Ryde</t>
  </si>
  <si>
    <t>PS5 Slim Digital Bundle Big W Macquarie</t>
  </si>
  <si>
    <t>Canon IXUS285 Big W Wetherill Park</t>
  </si>
  <si>
    <t>PS5 Slim Digital Bundle Big W Wetherill Park</t>
  </si>
  <si>
    <t>Canon IXUS285 Big W Merrylands</t>
  </si>
  <si>
    <t>PS5 Slim Digital Bundle Big W Merrylands</t>
  </si>
  <si>
    <t>Canon IXUS285 Big W Top Ryde</t>
  </si>
  <si>
    <t>JBL Charge 6 Big W Top Ryde</t>
  </si>
  <si>
    <t>Canon IXUS285 Big W Macquarie</t>
  </si>
  <si>
    <t>PS5 Slims Disc Bundle Big W Macquarie</t>
  </si>
  <si>
    <t>PS5 VR2 Big W Macquarie</t>
  </si>
  <si>
    <t>PS5 Slim Digital Bundle JBHIFI Macquarie</t>
  </si>
  <si>
    <t>Starlink Standard Kit Multiple Stores Adil Bhai</t>
  </si>
  <si>
    <t>PS5 Slims Disc Bundle Multiple Stores Adil Bhai</t>
  </si>
  <si>
    <t>PS5 Slim Digital Bundle Multiple Stores Adil Bhai</t>
  </si>
  <si>
    <t>PS5 Slims Disc Bundle Big W Top Ryde Pending Collection</t>
  </si>
  <si>
    <t>PS5 Slim Digital Bundle Big W Top Ryde Pending Collection</t>
  </si>
  <si>
    <t>PS5 Slim Digital Bundle Big W Macquarie Pending Collection</t>
  </si>
  <si>
    <t>PS5 Slims Disc Bundle Big W Wetherill Park</t>
  </si>
  <si>
    <t>PS5 Slim Digital Bundle Big W Bankstown</t>
  </si>
  <si>
    <t>PS5 Slim Digital Bundle Big W Bonnyrigg</t>
  </si>
  <si>
    <t>PS5 Slim Digital Bundle Big W Liverpool</t>
  </si>
  <si>
    <t>PS5 Slims Disc Bundle Big W Bonnyrigg</t>
  </si>
  <si>
    <t>PS5 VR2 Big W Bonnyrigg</t>
  </si>
  <si>
    <t>PS5 Slim Digital Bundle JBHIFI Wetherill Park</t>
  </si>
  <si>
    <t>PS5 Slims Disc Bundle Big W Liverpool</t>
  </si>
  <si>
    <t>PS5 Slim Digital Bundle JBHIFI Liverpool</t>
  </si>
  <si>
    <t>PS5 Slim Digital Bundle Big W Winston hills Pending Collection</t>
  </si>
  <si>
    <t>PS5 Slim Digital Bundle Big W Blacktown Pending Confirmation</t>
  </si>
  <si>
    <t>PS5 Slim Digital Bundle Big W Bankstown Pending Collection</t>
  </si>
  <si>
    <t>PS5 Slim Digital Bundle Big W Wetherill Park Pending Confirmation</t>
  </si>
  <si>
    <t>Ps5 VR 2</t>
  </si>
  <si>
    <t>PS5 Slim Digital Bundle Big W Campsie</t>
  </si>
  <si>
    <t>PS5 Slim Digital Bundle  Big W Bonnyrigg</t>
  </si>
  <si>
    <t>PS5 Slims Disc Bundle Big W North Ryde</t>
  </si>
  <si>
    <t>Melbourne Trip Expense Ticket+Car+Delivery+Hotel+Food</t>
  </si>
  <si>
    <t>Sydney Van Hire</t>
  </si>
  <si>
    <t>G7XMark III black Noel Leeming Pending Delivery</t>
  </si>
  <si>
    <t>Moto G Stylus</t>
  </si>
  <si>
    <t>Google Pixel Fold 512gb obsidian</t>
  </si>
  <si>
    <t>Google Pixel Fold 256gb obsidian</t>
  </si>
  <si>
    <t>Google Pixel Watch 4 41mm</t>
  </si>
  <si>
    <t>Bose Quiet ComfortUltra Headphones</t>
  </si>
  <si>
    <t>085954T53164697AE</t>
  </si>
  <si>
    <t>Imei</t>
  </si>
  <si>
    <t>Not Received in Dubai AR25 items</t>
  </si>
  <si>
    <t>Ps Portal</t>
  </si>
  <si>
    <t>Macbook Pro M5 14'' 16-1tb</t>
  </si>
  <si>
    <t>Macbook M4 pro Chip 16'' 24-512</t>
  </si>
  <si>
    <t>iphone 17 pro max 256gb CO,blue Unlock</t>
  </si>
  <si>
    <t>iphone 17 pro max 256gb CO,silver Unlock</t>
  </si>
  <si>
    <t>Beats Pill Speaker</t>
  </si>
  <si>
    <t>Beats Power Pro Buds</t>
  </si>
  <si>
    <t>iphone 17 512gb unlock</t>
  </si>
  <si>
    <t>iphone 17 pro 512gb blue,co unlock</t>
  </si>
  <si>
    <t>iphone 17 pro 512gb silver unlock</t>
  </si>
  <si>
    <t>iphone 16 pro 128gb DT unlock</t>
  </si>
  <si>
    <t>iphone 17 pro max 256gb CO Unlock kit</t>
  </si>
  <si>
    <t>iphone 16 pro max 256gb kit</t>
  </si>
  <si>
    <t>iphone 16 pro 128gb kit</t>
  </si>
  <si>
    <t>iphone 14 pro max 128gb kit</t>
  </si>
  <si>
    <t xml:space="preserve">Xbox X Series </t>
  </si>
  <si>
    <t>ipad pro 13 M5 256gb W+C</t>
  </si>
  <si>
    <t>ipad pro 11 M5 256gb W+C</t>
  </si>
  <si>
    <t xml:space="preserve">ipad Air 11''M3 128gb wifi </t>
  </si>
  <si>
    <t>Bose Soundlink Micro Speaker</t>
  </si>
  <si>
    <t>Macbook Pro 16'' M4 max 48-1tb</t>
  </si>
  <si>
    <t>Macbook pro 14'' M5 16-512</t>
  </si>
  <si>
    <t>Macbook pro 14'' M5 24-1tb</t>
  </si>
  <si>
    <t>Macbook pro 14'' M4 16-512</t>
  </si>
  <si>
    <t>Samsung S25 plus 512gb</t>
  </si>
  <si>
    <t>Samsung S23 Ultra 256gb</t>
  </si>
  <si>
    <t>Lenovo think vision monitor</t>
  </si>
  <si>
    <t>Google Pixel Fold 256gb</t>
  </si>
  <si>
    <t>Google Pixel Fold 512gb</t>
  </si>
  <si>
    <t>Bose Quiet Comfort Headphones</t>
  </si>
  <si>
    <t>extra AR25</t>
  </si>
  <si>
    <t xml:space="preserve">iphone 17 512gb </t>
  </si>
  <si>
    <t>AR25</t>
  </si>
  <si>
    <t>Extra in AR25</t>
  </si>
  <si>
    <t>Apple Watch ultra 2 49mm</t>
  </si>
  <si>
    <t xml:space="preserve">ipad A16 128gb </t>
  </si>
  <si>
    <t>Macbook M4 pro 14'' 24-512</t>
  </si>
  <si>
    <t>Macbook M4 Max 16''36-1tb</t>
  </si>
  <si>
    <t>Ipad Air M3 256gb</t>
  </si>
  <si>
    <t>Macbook Air 13'' M2 16-256</t>
  </si>
  <si>
    <t>Ipad pro 13 M4 256gb w+c</t>
  </si>
  <si>
    <t>Ipad pro 13 M4 256gb wifi</t>
  </si>
  <si>
    <t>ipad pro 13 M4 2tb w+c</t>
  </si>
  <si>
    <t>Apple Watch ultra 2 49mm BBC</t>
  </si>
  <si>
    <t>Sale Bilal Khi</t>
  </si>
  <si>
    <t>Sale Metro 11-12-2025</t>
  </si>
  <si>
    <t>ipad A16 128gb w+c</t>
  </si>
  <si>
    <t>Sale Shaid Amma Tower</t>
  </si>
  <si>
    <t>Sale Ahsan Ali</t>
  </si>
  <si>
    <t>Sale Red Al Madina</t>
  </si>
  <si>
    <t>MC7W4LL/A rate adjust by AR Bhai 25/12/2025</t>
  </si>
  <si>
    <t>Sale Zeeshan Deira Tower</t>
  </si>
  <si>
    <t>Starlink Standard Kit V4 Bunnings Seven Hills</t>
  </si>
  <si>
    <t>Starlink Standard Kit V4 Bunnings Greenacre</t>
  </si>
  <si>
    <t>PS5 Slim Disc Bundle Multiple Stores Adil Bhai</t>
  </si>
  <si>
    <t>PS5 Slim Disc Multiple Stores Adil Bhai</t>
  </si>
  <si>
    <t>PS5 Fortnite FC Bundle EB Games parramatta Pending Delivery</t>
  </si>
  <si>
    <t>Starlink Standard Kit V4 Bunnings Pakenham Melbourne Pending Delivery</t>
  </si>
  <si>
    <t>Purchase 23/12/2025</t>
  </si>
  <si>
    <t>MEL SHIP 26-12-2025</t>
  </si>
  <si>
    <t>Sale NY</t>
  </si>
  <si>
    <r>
      <t>Starlink Standard Kit Harvey Norman Fyshwick Pending Delivery</t>
    </r>
    <r>
      <rPr>
        <sz val="11"/>
        <color rgb="FFFF0000"/>
        <rFont val="Aptos Narrow"/>
        <family val="2"/>
        <scheme val="minor"/>
      </rPr>
      <t xml:space="preserve"> 1 refund</t>
    </r>
  </si>
  <si>
    <r>
      <t>PS5 Slim Digital Bundle Big W Wetherill Park Pending Confirmation</t>
    </r>
    <r>
      <rPr>
        <sz val="11"/>
        <color rgb="FFFF0000"/>
        <rFont val="Aptos Narrow"/>
        <family val="2"/>
        <scheme val="minor"/>
      </rPr>
      <t xml:space="preserve"> 1 refunded</t>
    </r>
  </si>
  <si>
    <t>Starlink Standard Kit V4 Bunnings Rydalmere</t>
  </si>
  <si>
    <t>Starlink Standard Kit V4 Bunnings Lidcomb</t>
  </si>
  <si>
    <t>Starlink Standard Kit V4 Harvey Norman North Ryde</t>
  </si>
  <si>
    <t>Starlink Standard Kit V4 Bunnings Frenshesforest</t>
  </si>
  <si>
    <t>Braun 9 in 1</t>
  </si>
  <si>
    <t>JBL Flip 7</t>
  </si>
  <si>
    <t>PS5 Disc Bundle</t>
  </si>
  <si>
    <t>DJI Mavic 4 pro 512 DJI Macquarie</t>
  </si>
  <si>
    <t>DJI mavic 4 pro fly more combo DJI Macquarie</t>
  </si>
  <si>
    <t>Starlink Standard Kit V4 Bunnings Gregory Hills</t>
  </si>
  <si>
    <t>Wafarer Gen2 Transition JBHIFI Parramatta</t>
  </si>
  <si>
    <t>Braun 9 in 1  JBHIFI Parramatta</t>
  </si>
  <si>
    <t>Osmo Pocket 3 creator combo JBHIFI Parramatta</t>
  </si>
  <si>
    <t>JBL Flip 7 JBHIFI Parramatta</t>
  </si>
  <si>
    <t>Iphone 17 pro max 512 Silver JBHIFI Parramatta</t>
  </si>
  <si>
    <t>Samsung Ultra 512 JBHIFI Parramatta</t>
  </si>
  <si>
    <t>Iphone 17 pro max 256 Silver JBHIFI Parramatta</t>
  </si>
  <si>
    <t>Braun IPL 5137 Hair Remover JBHIFI Parramatta</t>
  </si>
  <si>
    <t>PS5 Disc Bundle JBHIFI Parramatta</t>
  </si>
  <si>
    <t>PS5 Disc Bundle JBHIFI Bankstown</t>
  </si>
  <si>
    <t>Mic 3 JBHIFI Bankstown</t>
  </si>
  <si>
    <t>Braun Silk Epil</t>
  </si>
  <si>
    <t>Braun Shaver Series 6</t>
  </si>
  <si>
    <t>Braun Silk Epil JBHIFI Bankstown</t>
  </si>
  <si>
    <t>Braun Shaver Series 6 JBHIFI Bankstown</t>
  </si>
  <si>
    <t>PS5 Digital Bundle Perth Collection Multiple Stores Waleed Perth</t>
  </si>
  <si>
    <t>PS5 Disc Bundle Perth Collection Multiple Stores Waleed Perth</t>
  </si>
  <si>
    <t>Starlink Standard Kit V4 Perth Collection Multiple Stores Waleed Perth</t>
  </si>
  <si>
    <t>Iphone 17 pro max 256</t>
  </si>
  <si>
    <t>Iphone 17 pro max Silver 512</t>
  </si>
  <si>
    <t>JBHIFI Bankstown</t>
  </si>
  <si>
    <t>Collected Burwood 27-12</t>
  </si>
  <si>
    <t>JBHIFI Hurstville</t>
  </si>
  <si>
    <t>Braun IPL 5137</t>
  </si>
  <si>
    <t>10% gift card</t>
  </si>
  <si>
    <t>Sale Return Red Al Madina</t>
  </si>
  <si>
    <t>Samsung S25 128gb</t>
  </si>
  <si>
    <t>Purchase Hold Stock</t>
  </si>
  <si>
    <t>Sale Adeel China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</si>
  <si>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</si>
  <si>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</si>
  <si>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</si>
  <si>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</si>
  <si>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</si>
  <si>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Iphone 17 pro max 512 Silver</t>
  </si>
  <si>
    <t>JBHIFI Parramatta</t>
  </si>
  <si>
    <t>JBHIFI Roselands</t>
  </si>
  <si>
    <t>Pending Collection Castle Tower</t>
  </si>
  <si>
    <t>Braun SES9-041 3D SILK epil 9</t>
  </si>
  <si>
    <t>Sale Hanzalah</t>
  </si>
  <si>
    <t>Sale Ahsan Ali Shaikh</t>
  </si>
  <si>
    <t>Sale Fiji Electronics</t>
  </si>
  <si>
    <t>Sale Return from Powerplay</t>
  </si>
  <si>
    <t>Sale Abuzar Dubai</t>
  </si>
  <si>
    <t>Sale Humair</t>
  </si>
  <si>
    <t>MEL SHIP 29-12-2025</t>
  </si>
  <si>
    <t>Syd Ship 31-12-2025</t>
  </si>
  <si>
    <t>Starlink Standard Kit V4</t>
  </si>
  <si>
    <t>Starlink Standard Kit V4 Bunnings Northmead</t>
  </si>
  <si>
    <t>PS5 Digital Bundle Big W Blacktown</t>
  </si>
  <si>
    <t>Harvey Norman Perth</t>
  </si>
  <si>
    <t>Waleed Perth</t>
  </si>
  <si>
    <t xml:space="preserve"> Collection Commision Adil Bhai</t>
  </si>
  <si>
    <t>Party Name</t>
  </si>
  <si>
    <t>887544756260 Owais HT</t>
  </si>
  <si>
    <t>SNo.</t>
  </si>
  <si>
    <t>Item Name</t>
  </si>
  <si>
    <t>Color</t>
  </si>
  <si>
    <t>Storage</t>
  </si>
  <si>
    <t>IMEI/Serial</t>
  </si>
  <si>
    <t>Comments</t>
  </si>
  <si>
    <t>Price USD</t>
  </si>
  <si>
    <t>Price AED</t>
  </si>
  <si>
    <t>iPhone 17 Pro Max</t>
  </si>
  <si>
    <t>Cosmic Orange</t>
  </si>
  <si>
    <t>256 GB</t>
  </si>
  <si>
    <t>Silver</t>
  </si>
  <si>
    <t>512 GB</t>
  </si>
  <si>
    <t>iPhone 16 Pro Max</t>
  </si>
  <si>
    <t>Desert Ti</t>
  </si>
  <si>
    <t>iPhone 16 Pro Max (FU Kit)</t>
  </si>
  <si>
    <t>White Ti</t>
  </si>
  <si>
    <t>1 TB</t>
  </si>
  <si>
    <t>Active Factory Unlock</t>
  </si>
  <si>
    <t>iPhone 16 Pro (FU Kit)</t>
  </si>
  <si>
    <t>Black Ti</t>
  </si>
  <si>
    <t>iPhone 16 (FU Kit)</t>
  </si>
  <si>
    <t>Ultramarine</t>
  </si>
  <si>
    <t>Teal</t>
  </si>
  <si>
    <t>128 GB</t>
  </si>
  <si>
    <t>iPhone 16</t>
  </si>
  <si>
    <t>White</t>
  </si>
  <si>
    <t>iPhone 16e</t>
  </si>
  <si>
    <t>Black</t>
  </si>
  <si>
    <t>T-Mobile</t>
  </si>
  <si>
    <t>iPhone 15</t>
  </si>
  <si>
    <t>Blue</t>
  </si>
  <si>
    <t>iPhone 14 Pro Max (FU Kit)</t>
  </si>
  <si>
    <t>Deep Purple</t>
  </si>
  <si>
    <t>iPhone 13 (FU Kit)</t>
  </si>
  <si>
    <t>Product Red</t>
  </si>
  <si>
    <t>iPhone 11 Pro Max (FU Kit)</t>
  </si>
  <si>
    <t>Space Gray</t>
  </si>
  <si>
    <t>iPhone SE</t>
  </si>
  <si>
    <t>Midnight</t>
  </si>
  <si>
    <t>iPad Pro M5 11" (W+C)</t>
  </si>
  <si>
    <t>Space Black</t>
  </si>
  <si>
    <t>Locked</t>
  </si>
  <si>
    <t>iPad Pro M4 13" (W+C)</t>
  </si>
  <si>
    <t>iPad Air M3 13" (W)</t>
  </si>
  <si>
    <t>SJ56LKQX91F</t>
  </si>
  <si>
    <t>SLJ2DW1GJPG</t>
  </si>
  <si>
    <t>iPad A16 (W+C)</t>
  </si>
  <si>
    <t>iPad Mini A17 Pro (W+C)</t>
  </si>
  <si>
    <t>iPad Mini A17 Pro (W)</t>
  </si>
  <si>
    <t>Purple</t>
  </si>
  <si>
    <t>SM04W37XK2M</t>
  </si>
  <si>
    <t>MacBook Pro M5 14" MDE14LL/A</t>
  </si>
  <si>
    <t>16 GB, 1 TB</t>
  </si>
  <si>
    <t>SMT79VX36C5</t>
  </si>
  <si>
    <t>SMJF72R0W6K</t>
  </si>
  <si>
    <t>MacBook Pro M5 14" MDE64LL/A</t>
  </si>
  <si>
    <t>24 GB, 1 TB</t>
  </si>
  <si>
    <t>SF3W6VGQT49</t>
  </si>
  <si>
    <t>MacBook Pro M4 Pro 14" MX2H3LL/A</t>
  </si>
  <si>
    <t>24 GB, 512 GB</t>
  </si>
  <si>
    <t>SDF9R6G97J0</t>
  </si>
  <si>
    <t>Apple Watch Ultra 3</t>
  </si>
  <si>
    <t>Black Ti, M/L</t>
  </si>
  <si>
    <t>49mm</t>
  </si>
  <si>
    <t>Apple Watch SE 3</t>
  </si>
  <si>
    <t>40mm</t>
  </si>
  <si>
    <t>Starlight</t>
  </si>
  <si>
    <t>44mm</t>
  </si>
  <si>
    <t>SH6W4PFQWCW</t>
  </si>
  <si>
    <t>SD2WYWYFPLV</t>
  </si>
  <si>
    <t>SDX9XWFKW42</t>
  </si>
  <si>
    <t>SL9W0J24GDM</t>
  </si>
  <si>
    <t>SM7RR6FRW7N</t>
  </si>
  <si>
    <t>AirPods 4 (ANC)</t>
  </si>
  <si>
    <t>SMT43DHJRGH</t>
  </si>
  <si>
    <t>SK946HW04X3</t>
  </si>
  <si>
    <t>SGD4TR707KJ</t>
  </si>
  <si>
    <t>Galaxy Z Flip 7</t>
  </si>
  <si>
    <t>Blue Shadow</t>
  </si>
  <si>
    <t>Jetblack</t>
  </si>
  <si>
    <t>Coralred</t>
  </si>
  <si>
    <t>Meta Headliner Gen 2</t>
  </si>
  <si>
    <t>Graphite Green</t>
  </si>
  <si>
    <t>4V0ZH17H7X01K1</t>
  </si>
  <si>
    <t>Meta Wayfarer Gen 2</t>
  </si>
  <si>
    <t>Polar Graphite</t>
  </si>
  <si>
    <t>4V37W23H8Y03BB</t>
  </si>
  <si>
    <t>Meta Wayfarer</t>
  </si>
  <si>
    <t>Clear</t>
  </si>
  <si>
    <t>2Q0ZT00H9108MM</t>
  </si>
  <si>
    <t>Meta Skyler Gen 2</t>
  </si>
  <si>
    <t>Amethyst</t>
  </si>
  <si>
    <t>4V0ZS17H8H02KD</t>
  </si>
  <si>
    <t>4V0ZS12H8M0121</t>
  </si>
  <si>
    <t>Meta Skyler</t>
  </si>
  <si>
    <t>Cerulean Blue</t>
  </si>
  <si>
    <t>2Q0ZY01H6R0088</t>
  </si>
  <si>
    <t>AR-26</t>
  </si>
  <si>
    <t>iphone 14 Pro Max 256</t>
  </si>
  <si>
    <t>iphone 11 Pro Max 256gb</t>
  </si>
  <si>
    <t>iphone SE 128gb</t>
  </si>
  <si>
    <t>ipad mini A17 pro (W+C) 128gb</t>
  </si>
  <si>
    <t>ipad mini A17 pro (W) 256gb</t>
  </si>
  <si>
    <t>AR26</t>
  </si>
  <si>
    <t>Purchase Hold</t>
  </si>
  <si>
    <t>12-29-2025</t>
  </si>
  <si>
    <t>887280868921 M</t>
  </si>
  <si>
    <t>Deep Blue</t>
  </si>
  <si>
    <t>iPhone 17 Pro</t>
  </si>
  <si>
    <t>iPhone 17 Air</t>
  </si>
  <si>
    <t>Sky Blue</t>
  </si>
  <si>
    <t>Damaged Box</t>
  </si>
  <si>
    <t>Cloud White</t>
  </si>
  <si>
    <t>iPhone 17</t>
  </si>
  <si>
    <t>Lavender</t>
  </si>
  <si>
    <t>MacBook Pro M4 Pro 16" MX2X3LL/A</t>
  </si>
  <si>
    <t>SHM4CWCLPK0</t>
  </si>
  <si>
    <t>SCN9GQDX3F9</t>
  </si>
  <si>
    <t>SD3KT644PHW</t>
  </si>
  <si>
    <t>Black Ti, Alp</t>
  </si>
  <si>
    <t>Natural Ti, Ocean</t>
  </si>
  <si>
    <t>Galaxy S25 Ultra</t>
  </si>
  <si>
    <t>Ti Black</t>
  </si>
  <si>
    <t>Ti Gray</t>
  </si>
  <si>
    <t>Invoice 44</t>
  </si>
  <si>
    <t>Price</t>
  </si>
  <si>
    <t>Entry Done</t>
  </si>
  <si>
    <t>887516310429 M</t>
  </si>
  <si>
    <t>iPad Pro M5 13" (W+C)</t>
  </si>
  <si>
    <t>Active(Without Cable)</t>
  </si>
  <si>
    <t>Active(Without Protector)</t>
  </si>
  <si>
    <t>Black Ti, Ocean</t>
  </si>
  <si>
    <t>Open Box withot dial protector</t>
  </si>
  <si>
    <t>Starp box damage</t>
  </si>
  <si>
    <t>887569550855 M</t>
  </si>
  <si>
    <t>Annie</t>
  </si>
  <si>
    <t>AR</t>
  </si>
  <si>
    <t>WAHID</t>
  </si>
  <si>
    <t>Galaxy Tab S10 FE (5G)</t>
  </si>
  <si>
    <t>Gray</t>
  </si>
  <si>
    <t>Not For Sale</t>
  </si>
  <si>
    <t>Manan</t>
  </si>
  <si>
    <t>Kit(Used charger) strap damage</t>
  </si>
  <si>
    <t>Motorolla &amp; Samsung Kits (Old Phones)</t>
  </si>
  <si>
    <t>Quantity 4</t>
  </si>
  <si>
    <t>Invoice 45</t>
  </si>
  <si>
    <t>Invoice 45 A</t>
  </si>
  <si>
    <t>iinvoice 45 A</t>
  </si>
  <si>
    <t>Invoice 45 B</t>
  </si>
  <si>
    <t>Sale SMT Suran</t>
  </si>
  <si>
    <t>Sale BBC</t>
  </si>
  <si>
    <t>Sale All Digital</t>
  </si>
  <si>
    <t>Sale Makhdoom Hamza</t>
  </si>
  <si>
    <t>Sale Al Oha</t>
  </si>
  <si>
    <t>MacBook Pro M5 14" MDE04LL/A</t>
  </si>
  <si>
    <t>16 GB, 512 GB</t>
  </si>
  <si>
    <t>SLT21H7HQ07</t>
  </si>
  <si>
    <t>Shehzad</t>
  </si>
  <si>
    <t>MacBook Pro M4 14" MW2V3LL/A</t>
  </si>
  <si>
    <t>SK4J0CJP9GD</t>
  </si>
  <si>
    <t>SD6M94W14PR</t>
  </si>
  <si>
    <t>Ahsan Ali Sheikh</t>
  </si>
  <si>
    <t>MacBook Air M4 13" MC6U4LL/A</t>
  </si>
  <si>
    <t>SMH6XKV42GN</t>
  </si>
  <si>
    <t>Zeeshan Dysomac</t>
  </si>
  <si>
    <t>MacBook Air M4 13" MW123LL/A</t>
  </si>
  <si>
    <t>16 GB, 256 GB</t>
  </si>
  <si>
    <t>SK327X51Q91</t>
  </si>
  <si>
    <t>MacBook Air M3 15" MRYU3LL/A</t>
  </si>
  <si>
    <t>8 GB, 256 GB</t>
  </si>
  <si>
    <t>SCLJDXQM0M5</t>
  </si>
  <si>
    <t>SLW5X9YYFV4</t>
  </si>
  <si>
    <t>SDHWJP7GCTQ</t>
  </si>
  <si>
    <t>SJQ1034P73F</t>
  </si>
  <si>
    <t>SK9HQP762LY</t>
  </si>
  <si>
    <t>SG03VC4XHGQ</t>
  </si>
  <si>
    <t>Sale Zeeshan Dysomac</t>
  </si>
  <si>
    <r>
      <t xml:space="preserve">1290232 ÷ 21,96,890 = </t>
    </r>
    <r>
      <rPr>
        <b/>
        <sz val="11"/>
        <color theme="1"/>
        <rFont val="Aptos Narrow"/>
        <family val="2"/>
        <scheme val="minor"/>
      </rPr>
      <t>0.5872</t>
    </r>
  </si>
  <si>
    <r>
      <t xml:space="preserve">784896 ÷ 21,96,890 = </t>
    </r>
    <r>
      <rPr>
        <b/>
        <sz val="11"/>
        <color theme="1"/>
        <rFont val="Aptos Narrow"/>
        <family val="2"/>
        <scheme val="minor"/>
      </rPr>
      <t>0.3572</t>
    </r>
  </si>
  <si>
    <r>
      <t xml:space="preserve">121762 ÷ 21,96,890 = </t>
    </r>
    <r>
      <rPr>
        <b/>
        <sz val="11"/>
        <color theme="1"/>
        <rFont val="Aptos Narrow"/>
        <family val="2"/>
        <scheme val="minor"/>
      </rPr>
      <t>0.0554</t>
    </r>
  </si>
  <si>
    <r>
      <t>83,648.93  × 0.0554 =</t>
    </r>
    <r>
      <rPr>
        <b/>
        <sz val="11"/>
        <color theme="1"/>
        <rFont val="Aptos Narrow"/>
        <family val="2"/>
        <scheme val="minor"/>
      </rPr>
      <t xml:space="preserve"> 4,634.15</t>
    </r>
  </si>
  <si>
    <r>
      <t xml:space="preserve">83,648.93  × 0.3572 = </t>
    </r>
    <r>
      <rPr>
        <b/>
        <sz val="11"/>
        <color theme="1"/>
        <rFont val="Aptos Narrow"/>
        <family val="2"/>
        <scheme val="minor"/>
      </rPr>
      <t>29,879.39</t>
    </r>
  </si>
  <si>
    <r>
      <t xml:space="preserve">83,648.93 × 0.5872 = </t>
    </r>
    <r>
      <rPr>
        <b/>
        <sz val="11"/>
        <color theme="1"/>
        <rFont val="Aptos Narrow"/>
        <family val="2"/>
        <scheme val="minor"/>
      </rPr>
      <t>49,118.65</t>
    </r>
  </si>
  <si>
    <t>Sale Farhan Alhamd</t>
  </si>
  <si>
    <t>Sale Sabeer Sam Amal</t>
  </si>
  <si>
    <t>Sale Rad Al Madina</t>
  </si>
  <si>
    <t>Sale Return Umair B Smart</t>
  </si>
  <si>
    <t>Sale shapoor</t>
  </si>
  <si>
    <t>Digi Hub</t>
  </si>
  <si>
    <t>Sale Ahsan Ali Sheikh</t>
  </si>
  <si>
    <t>Sale Ariya Mobile</t>
  </si>
  <si>
    <t>Sale Zaidi Gujranwala</t>
  </si>
  <si>
    <t>Sale Price</t>
  </si>
  <si>
    <t>Purchase Price</t>
  </si>
  <si>
    <t>GB</t>
  </si>
  <si>
    <t>Colour</t>
  </si>
  <si>
    <t>S:No</t>
  </si>
  <si>
    <t xml:space="preserve">Sold To </t>
  </si>
  <si>
    <t>887674735110 Owais HT</t>
  </si>
  <si>
    <t>Entry Done by Maaz</t>
  </si>
  <si>
    <t>Replaced Device Out of Warranty</t>
  </si>
  <si>
    <t>Dual Sense Edge Wireless Controller</t>
  </si>
  <si>
    <t>Midnight Black</t>
  </si>
  <si>
    <t>Dual Sense Wireless Controller</t>
  </si>
  <si>
    <t>Gray Camouflage</t>
  </si>
  <si>
    <t>AR-27</t>
  </si>
  <si>
    <t>Ps5 Dual Sense Edge Controller</t>
  </si>
  <si>
    <t>AR27</t>
  </si>
  <si>
    <t>Macbook Air M3 15'' 8-256</t>
  </si>
  <si>
    <t>sale base</t>
  </si>
  <si>
    <t>12-27-2025</t>
  </si>
  <si>
    <t>887230848958 M</t>
  </si>
  <si>
    <t>Factory Unlock</t>
  </si>
  <si>
    <t>iPad Pro M5 13" (W)</t>
  </si>
  <si>
    <t>SKFHLW39006</t>
  </si>
  <si>
    <t>iPad A16 (W)</t>
  </si>
  <si>
    <t>SDXFHWMK411</t>
  </si>
  <si>
    <t>MacBook Pro M4 Max 16" MX2W3LL/A</t>
  </si>
  <si>
    <t>48 GB, 1 TB</t>
  </si>
  <si>
    <t>SHC2VHHWML4</t>
  </si>
  <si>
    <t>Apple Watch Series 11</t>
  </si>
  <si>
    <t>Rose Gold</t>
  </si>
  <si>
    <t>42mm</t>
  </si>
  <si>
    <t>SJL4N7MXTK2</t>
  </si>
  <si>
    <t>SC4P200X42J</t>
  </si>
  <si>
    <t>Mudassir Macbook Invoice</t>
  </si>
  <si>
    <t>AED Price</t>
  </si>
  <si>
    <t>ipad Pro M5 13'' (W) 1TB</t>
  </si>
  <si>
    <t>Sale Faraz GVT</t>
  </si>
  <si>
    <t>PKR Amount in (onn point it services)</t>
  </si>
  <si>
    <t>AED</t>
  </si>
  <si>
    <t>Iphone 17 pro max 256 Silver Officeworks Castle Hills</t>
  </si>
  <si>
    <t>Iphone 17 pro max 256 Silver Office Works Northmead</t>
  </si>
  <si>
    <t>Starlink Standard kit Adil Bhai</t>
  </si>
  <si>
    <t>PS5 Disc Bundle Adil Bhai</t>
  </si>
  <si>
    <t>PS5 Digital Bundle Adil Bhai</t>
  </si>
  <si>
    <t>Commission Paid Adil Bhai Collection Commission</t>
  </si>
  <si>
    <t>Swiss Tech Business Name Renew Fees Expense</t>
  </si>
  <si>
    <t>PS5 Disc Bundle Adil Bhai Harvey Norman Alex Pending Delivery Adil Bha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</si>
  <si>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</si>
  <si>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</si>
  <si>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</si>
  <si>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</si>
  <si>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</si>
  <si>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</si>
  <si>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</si>
  <si>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{to mudassir (onn point)</t>
  </si>
  <si>
    <t>{from waqar ca to mudassir</t>
  </si>
  <si>
    <t>{to mudassir (onn point) }</t>
  </si>
  <si>
    <t>{from Haseeb to mudassir }</t>
  </si>
  <si>
    <t>{from anus 224 to mudassir }</t>
  </si>
  <si>
    <t>{from faizan to mudassir }</t>
  </si>
  <si>
    <t>1-14-2026</t>
  </si>
  <si>
    <t>887839042620 Owais HT</t>
  </si>
  <si>
    <t>IMEI/ Serial</t>
  </si>
  <si>
    <t>Active, Factory Unlock</t>
  </si>
  <si>
    <t>Mist Blue</t>
  </si>
  <si>
    <t>SFX9RCXGJ32</t>
  </si>
  <si>
    <t>SFNVN41YFM6</t>
  </si>
  <si>
    <t>SC74KD030F2</t>
  </si>
  <si>
    <t>SLJJ2LCQ36Y</t>
  </si>
  <si>
    <t>iPad Air M3 11" (W)</t>
  </si>
  <si>
    <t>SK29QKJJJWP</t>
  </si>
  <si>
    <t>.</t>
  </si>
  <si>
    <t>SFF97Y7172H</t>
  </si>
  <si>
    <t>SHFW30C4DQ0</t>
  </si>
  <si>
    <t>MacBook Air M4 15" MW1K3LL/A</t>
  </si>
  <si>
    <t>SM5J2KJ4X0Q</t>
  </si>
  <si>
    <t>46mm</t>
  </si>
  <si>
    <t>SFPXDW0F6CT</t>
  </si>
  <si>
    <t>SDDV9XGJ76Y</t>
  </si>
  <si>
    <t>SMC6WD6M2FP</t>
  </si>
  <si>
    <t>SG170QWTJJ6</t>
  </si>
  <si>
    <t>SKT7QLY2H9N</t>
  </si>
  <si>
    <t>SM37D7CT6GQ</t>
  </si>
  <si>
    <t>Meta Quest 3 4k</t>
  </si>
  <si>
    <t>2G97BMMHB601P5</t>
  </si>
  <si>
    <t>2G97BMMHB601NY</t>
  </si>
  <si>
    <t>2G97BMMHB600R2</t>
  </si>
  <si>
    <t>2G97BMMHB6010Y</t>
  </si>
  <si>
    <t>Meta Vanguard</t>
  </si>
  <si>
    <t>Prizm 24K</t>
  </si>
  <si>
    <t>3Z37V01H9Z02GQ</t>
  </si>
  <si>
    <t>Prizm Road</t>
  </si>
  <si>
    <t>3Z37V03HBM007D</t>
  </si>
  <si>
    <t>4V37W32HBM006R</t>
  </si>
  <si>
    <t>4V0ZW26H9901XZ</t>
  </si>
  <si>
    <t>Steam Deck</t>
  </si>
  <si>
    <t>FW1A31902D02</t>
  </si>
  <si>
    <t>Steam Deck OLED</t>
  </si>
  <si>
    <t>AFVZZ53401A7C</t>
  </si>
  <si>
    <t>AFYZZ542048F7</t>
  </si>
  <si>
    <t>AFYZZ53701D2A</t>
  </si>
  <si>
    <t>Valve Power Adapter</t>
  </si>
  <si>
    <t>N/A</t>
  </si>
  <si>
    <t>USD</t>
  </si>
  <si>
    <t>AR 2 2026</t>
  </si>
  <si>
    <t>extra</t>
  </si>
  <si>
    <t>extra Active</t>
  </si>
  <si>
    <t>AR 2</t>
  </si>
  <si>
    <t>Macbook Air M4 15'' 16-512</t>
  </si>
  <si>
    <t>extra in AR 2</t>
  </si>
  <si>
    <t>Sale Qamar Sudani</t>
  </si>
  <si>
    <t>Sale Farhan Turkish</t>
  </si>
  <si>
    <t>Sale Muzammil Pindi</t>
  </si>
  <si>
    <t>Sale Raad Al Madina</t>
  </si>
  <si>
    <t>Sale Base</t>
  </si>
  <si>
    <t>{ received ahsan cba (Rabi) }</t>
  </si>
  <si>
    <t>{ received from ahsan cba }</t>
  </si>
  <si>
    <t>{ cash received }</t>
  </si>
  <si>
    <t>{ paid to ahsan cba (bank account deposit) }</t>
  </si>
  <si>
    <t>{ paid to ahsan cba(bank deposit) }</t>
  </si>
  <si>
    <t>{ paid to ahsan cba (bank deposit) }</t>
  </si>
  <si>
    <t>{ paid to ahsan cba (bank deposit ) }</t>
  </si>
  <si>
    <t>{ paid to ahsan cba(fareed) }</t>
  </si>
  <si>
    <t>{ 1 lac received ahsan cba }</t>
  </si>
  <si>
    <t>{ cash deposit ahsan cba (bank) }</t>
  </si>
  <si>
    <t>{ paid to ahsan cba bank deposit }</t>
  </si>
  <si>
    <t>{ paid ahsan cba bank deposit }</t>
  </si>
  <si>
    <t>{ paid bank deposit ahsan cba }</t>
  </si>
  <si>
    <t>{ paid to ahsan cba cash deposit bank }</t>
  </si>
  <si>
    <t>Credit</t>
  </si>
  <si>
    <t>Debit</t>
  </si>
  <si>
    <t>Balance</t>
  </si>
  <si>
    <t>Apple Air Pods 4 ANC</t>
  </si>
  <si>
    <t>Collected JB Hurstville</t>
  </si>
  <si>
    <t>DJI Mini 4K combo</t>
  </si>
  <si>
    <t>DJI Mic 3 combo</t>
  </si>
  <si>
    <t>Waheed</t>
  </si>
  <si>
    <t>ship</t>
  </si>
  <si>
    <t>Sale Adeel Khi</t>
  </si>
  <si>
    <t>Purchase HMB</t>
  </si>
  <si>
    <t>Sale Saeed</t>
  </si>
  <si>
    <t>Sale Raad Al Madinah</t>
  </si>
  <si>
    <t>1-13-2026</t>
  </si>
  <si>
    <t>887515954108 M</t>
  </si>
  <si>
    <t>IMEI</t>
  </si>
  <si>
    <t>Ti Silverblue</t>
  </si>
  <si>
    <t>Invoice 46</t>
  </si>
  <si>
    <t>Entry Done 17-01-2026</t>
  </si>
  <si>
    <t>Shipping Carges CT Frieight Melbourne</t>
  </si>
  <si>
    <t>DJI Mic 3 combo JBHIFI Bankstown</t>
  </si>
  <si>
    <t>DJI Mini 4K combo JBHIFI Bankstown</t>
  </si>
  <si>
    <t>Apple Air Pods 4 ANC JBHIFI Bankstown</t>
  </si>
  <si>
    <t>Mac Book Pro M5 24/1TB JBHIFI Bankstown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</si>
  <si>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</si>
  <si>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</si>
  <si>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</si>
  <si>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G7X Mark III  Noel Leeming Abdul K</t>
  </si>
  <si>
    <t>Shipping Charges CT Frieght NZ Shipping Expense</t>
  </si>
  <si>
    <t>1-15-2026</t>
  </si>
  <si>
    <t>887637924960 M</t>
  </si>
  <si>
    <t>purchased by Asad Links</t>
  </si>
  <si>
    <t>Light Gold</t>
  </si>
  <si>
    <t>SCD4J23W046</t>
  </si>
  <si>
    <t>Mannan</t>
  </si>
  <si>
    <t>Galaxy Z Fold 7</t>
  </si>
  <si>
    <t>Jet Black</t>
  </si>
  <si>
    <t>1 black pack box</t>
  </si>
  <si>
    <t>Purchase Asad Links</t>
  </si>
  <si>
    <t>invoice 47</t>
  </si>
  <si>
    <t>Invoice 47</t>
  </si>
  <si>
    <t>Entry Done 19-01-2026</t>
  </si>
  <si>
    <t>1-19-2026</t>
  </si>
  <si>
    <t>887975676979 Owais HT</t>
  </si>
  <si>
    <t>2TB</t>
  </si>
  <si>
    <t>SLT2MV51QW9</t>
  </si>
  <si>
    <t>SLW0X16LT0H</t>
  </si>
  <si>
    <t>SC99QQYR2VX</t>
  </si>
  <si>
    <t>SJQCD417L6T</t>
  </si>
  <si>
    <t>SD9N903G00V</t>
  </si>
  <si>
    <t>SD61JXRWF9J</t>
  </si>
  <si>
    <t>SCRH444H617</t>
  </si>
  <si>
    <t>AR 4 2026</t>
  </si>
  <si>
    <t>Asad B Smart</t>
  </si>
  <si>
    <t>Perth Ship 21-01-2026</t>
  </si>
  <si>
    <t>AR 4</t>
  </si>
  <si>
    <t>extra with AR 4</t>
  </si>
  <si>
    <t>Sale Humair khi 10-12-2025</t>
  </si>
  <si>
    <t>IPHONE AIR 17 256GB</t>
  </si>
  <si>
    <t>PHONE 16 PRO MAX 256GB</t>
  </si>
  <si>
    <t>Owais AR-19</t>
  </si>
  <si>
    <t>APPLE WATCH SERIES 11 46MM</t>
  </si>
  <si>
    <t>Mudassir Invoice 39</t>
  </si>
  <si>
    <t>GO PRO FLOATY HERO</t>
  </si>
  <si>
    <t>BLINK OUTDOOR 4</t>
  </si>
  <si>
    <t>PRESTO ELECTRIC KETTLE</t>
  </si>
  <si>
    <t>POKEMON CARD</t>
  </si>
  <si>
    <t>NINTENDO SWITCH REGULAR</t>
  </si>
  <si>
    <t>IPHONE 16 PLUS 128GB JV</t>
  </si>
  <si>
    <t>IPHONE 16 PRO 128 GB</t>
  </si>
  <si>
    <t>MACBOOK PRO M1</t>
  </si>
  <si>
    <t>IPHONE 16 PRO 512</t>
  </si>
  <si>
    <t>Owais HT</t>
  </si>
  <si>
    <t xml:space="preserve">Extra item </t>
  </si>
  <si>
    <t>SAMSUNG S25 PLUS 512GB</t>
  </si>
  <si>
    <t>LENOVO THINK VISION MONITOR</t>
  </si>
  <si>
    <t>SAMSUNG S23 ULTRA 256GB</t>
  </si>
  <si>
    <t>Owais AR-25</t>
  </si>
  <si>
    <t>Owais AR-24</t>
  </si>
  <si>
    <t>SAMSUNG S25 128GB</t>
  </si>
  <si>
    <t xml:space="preserve">Old Stock </t>
  </si>
  <si>
    <t>SAMSUNG Z FLIP 7 256GB</t>
  </si>
  <si>
    <t>Owais AR-26</t>
  </si>
  <si>
    <t>IPAD PRO 13" M4 W+C 1TB</t>
  </si>
  <si>
    <t>VALVE POWER ADAPTER</t>
  </si>
  <si>
    <t>Owais AR-2 2026</t>
  </si>
  <si>
    <t>IPHONE 17 PRO 256GB</t>
  </si>
  <si>
    <t>Icloud Hold</t>
  </si>
  <si>
    <t>Used phone 95% battery Hold</t>
  </si>
  <si>
    <t>IPAD PRO 11'' M5 256GB W+C</t>
  </si>
  <si>
    <t>Owais AR-4 2026</t>
  </si>
  <si>
    <t>APPLE WATCH ULTRA 3 49MM</t>
  </si>
  <si>
    <t>in stock</t>
  </si>
  <si>
    <t>Shehzad Hold</t>
  </si>
  <si>
    <t>Sold 2860</t>
  </si>
  <si>
    <t>Sold 3400</t>
  </si>
  <si>
    <t>Sold 900</t>
  </si>
  <si>
    <t>Sold 1200</t>
  </si>
  <si>
    <t>Sold 2215</t>
  </si>
  <si>
    <t xml:space="preserve">Active Kit and Changed Box	</t>
  </si>
  <si>
    <t>MDM</t>
  </si>
  <si>
    <t>VanHire + Petrol Anis Car Rental Expense</t>
  </si>
  <si>
    <t>Iphone Air 256 Gold &amp; White Officeworks Auburn</t>
  </si>
  <si>
    <t>Iphone Air 256 Sky Blue Officeworks Old Guildford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</si>
  <si>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</si>
  <si>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</si>
  <si>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</si>
  <si>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</si>
  <si>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</si>
  <si>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</si>
  <si>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Iphone Air  256 JBHIFI Merrylands</t>
  </si>
  <si>
    <t>Iphone Air  256 JHIFI Bankstown</t>
  </si>
  <si>
    <t>Starlink Standard kit Bunnings Greenacre</t>
  </si>
  <si>
    <t>Starlink Standard kit Bunnings East Packenham Pending Delivery 27-01 Melbourne</t>
  </si>
  <si>
    <t>Sale Golden Vision</t>
  </si>
  <si>
    <t>Sale Mr Saad</t>
  </si>
  <si>
    <t>Syd Ship 23-01-2026</t>
  </si>
  <si>
    <t>1-22-2026</t>
  </si>
  <si>
    <t>888075134661 Owais HT</t>
  </si>
  <si>
    <t>Active T-Mobile</t>
  </si>
  <si>
    <t>Black Ti, Trail</t>
  </si>
  <si>
    <t>2G97BMMH5S00B2</t>
  </si>
  <si>
    <t>2G97BMMH5N01BP</t>
  </si>
  <si>
    <t>2G97BMMHB5044H</t>
  </si>
  <si>
    <t>2G97BMMHB601NS</t>
  </si>
  <si>
    <t>Prizm Black</t>
  </si>
  <si>
    <t>3Z37V02HB000CW</t>
  </si>
  <si>
    <t>Sapphire</t>
  </si>
  <si>
    <t>4V0ZL22HB2002P</t>
  </si>
  <si>
    <t>4V0ZL22HBB00Y8</t>
  </si>
  <si>
    <t>4V0ZL22HBB00V0</t>
  </si>
  <si>
    <t>4V0ZL22HBB01W6</t>
  </si>
  <si>
    <t>4V37W32H9H02HR</t>
  </si>
  <si>
    <t>4V0ZW26H9J01ZY</t>
  </si>
  <si>
    <t>4V0ZW26H9K01BR</t>
  </si>
  <si>
    <t>4V37W26H8M0057</t>
  </si>
  <si>
    <t>Grey</t>
  </si>
  <si>
    <t>4V0ZW25HB605T5</t>
  </si>
  <si>
    <t>4V37W25HBT05W5</t>
  </si>
  <si>
    <t>4V37W25HBT059B</t>
  </si>
  <si>
    <t>4V0ZS16H9601JK</t>
  </si>
  <si>
    <t>4V0ZS16H9901K2</t>
  </si>
  <si>
    <t>4V0ZS16H9202SJ</t>
  </si>
  <si>
    <t>4V0ZS17H8J02DM</t>
  </si>
  <si>
    <t>4V0ZS17H8J05TJ</t>
  </si>
  <si>
    <t>4V0ZS17H8K02KF</t>
  </si>
  <si>
    <t>4V0ZS17H8J04HC</t>
  </si>
  <si>
    <t>4V0ZS17H8401ZZ</t>
  </si>
  <si>
    <t>Meta Headliner</t>
  </si>
  <si>
    <t>4V0ZH17H7Q00RS</t>
  </si>
  <si>
    <t>Usd</t>
  </si>
  <si>
    <t>AR 5 2026</t>
  </si>
  <si>
    <t>Entry Done 24-01-2026</t>
  </si>
  <si>
    <t>AR 5</t>
  </si>
  <si>
    <t>1-21-2026</t>
  </si>
  <si>
    <t>Shahzad Mughal</t>
  </si>
  <si>
    <t>Payment Type</t>
  </si>
  <si>
    <t>Ledger By Shehzad</t>
  </si>
  <si>
    <t>Last Selling</t>
  </si>
  <si>
    <t>Sale Jbn</t>
  </si>
  <si>
    <t>Sale return Shehzad Mughal</t>
  </si>
  <si>
    <t>Starlink Standard kit</t>
  </si>
  <si>
    <t>Starlink Standard kit Bunnings Gladesville</t>
  </si>
  <si>
    <t>Starlink Standard kit Bunnings Castle Hill</t>
  </si>
  <si>
    <t>Starlink Standard kit Bunnings Lidcomb Awiating Stock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</si>
  <si>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</si>
  <si>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</si>
  <si>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</si>
  <si>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</si>
  <si>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</si>
  <si>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</si>
  <si>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</si>
  <si>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</si>
  <si>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</si>
  <si>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</si>
  <si>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</si>
  <si>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</si>
  <si>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</si>
  <si>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</si>
  <si>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</si>
  <si>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</si>
  <si>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</si>
  <si>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</si>
  <si>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1-26-2026</t>
  </si>
  <si>
    <t>887877646921 M</t>
  </si>
  <si>
    <t>Black Ti, Milanese</t>
  </si>
  <si>
    <t>Invoice 48</t>
  </si>
  <si>
    <t>Entry Done 28-01-2026</t>
  </si>
  <si>
    <t>invoice 48</t>
  </si>
  <si>
    <t>Sale Asad Links</t>
  </si>
  <si>
    <t>Sale Zubair Ispec</t>
  </si>
  <si>
    <t>Starlink Standard kit Bunnings Epping Melbourne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</si>
  <si>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</si>
  <si>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</si>
  <si>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</si>
  <si>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</si>
  <si>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</si>
  <si>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</si>
  <si>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</si>
  <si>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</si>
  <si>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</si>
  <si>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Broadmedows Melbourne</t>
  </si>
  <si>
    <t>Starlink Standard kit Bunnings CT Frieight Melbourne</t>
  </si>
  <si>
    <t>Javed Bhai Investment Profit Year 2025 Javed Bhai</t>
  </si>
  <si>
    <t>Melbourne Trip Expense Melbourne Expense</t>
  </si>
  <si>
    <t>Starlink Standard kit Bunnings Sunshine Melbourne Pending Delivery 03-02</t>
  </si>
  <si>
    <t>Starlink Standard kit Bunnings Footscray Melbourne Pending Delivery 03-02</t>
  </si>
  <si>
    <t>Mini EVO Noel Leeming Delivered CT Freight</t>
  </si>
  <si>
    <t>Starlink Mini  Abdul Khan</t>
  </si>
  <si>
    <t>Sale Aloha</t>
  </si>
  <si>
    <t>Sale Return Haseeb Merchant</t>
  </si>
  <si>
    <t>888184232989 M</t>
  </si>
  <si>
    <t>iPad Air M3 13" (W+C)</t>
  </si>
  <si>
    <t>Invoice 49</t>
  </si>
  <si>
    <t>Naeem</t>
  </si>
  <si>
    <t>invoice 49</t>
  </si>
  <si>
    <t>Sale Maaz Tag</t>
  </si>
  <si>
    <t>kit</t>
  </si>
  <si>
    <t xml:space="preserve">Date </t>
  </si>
  <si>
    <t>Serial/imei</t>
  </si>
  <si>
    <t>Profit/Loss</t>
  </si>
  <si>
    <t>Percentage</t>
  </si>
  <si>
    <t>Vendor</t>
  </si>
  <si>
    <t>Running Profit/Loss</t>
  </si>
  <si>
    <t>888289759560 Owais HT</t>
  </si>
  <si>
    <t>Kit</t>
  </si>
  <si>
    <t>Natural Ti</t>
  </si>
  <si>
    <t>iPhone 16 Pro</t>
  </si>
  <si>
    <t>iPad Pro M1 13" (W)</t>
  </si>
  <si>
    <t>SQG9JJ2CJQK</t>
  </si>
  <si>
    <t>Apple iPad Magic Keyboard 13"</t>
  </si>
  <si>
    <t>SM70QML77NL</t>
  </si>
  <si>
    <t>Cobalt Blue</t>
  </si>
  <si>
    <t>Volcanic Red</t>
  </si>
  <si>
    <t>Invoice AR 6 2026</t>
  </si>
  <si>
    <t>Sale Xpert Pro Salman</t>
  </si>
  <si>
    <t>Sale DCS</t>
  </si>
  <si>
    <t>AKL Ship 05-02-2026</t>
  </si>
  <si>
    <t>Mel Ship 06-02-2026</t>
  </si>
  <si>
    <t>Purchase Mission Technology</t>
  </si>
  <si>
    <t>Purchase Faraz GVT</t>
  </si>
  <si>
    <t>Sale Usman Bur Dubai</t>
  </si>
  <si>
    <t>Sale New Gadgets</t>
  </si>
  <si>
    <t xml:space="preserve">PKR Amount </t>
  </si>
  <si>
    <t>{ 150k @79 from faizan to mudassir }</t>
  </si>
  <si>
    <t>{ 128k @79 from faizan to mudassir }</t>
  </si>
  <si>
    <t>{ 205k @79 from faizan to mudassir }</t>
  </si>
  <si>
    <t>{ 185k @79 from faizan to mudassir }</t>
  </si>
  <si>
    <t>{ 1 million pkr @79.50 from AR to mudassir }</t>
  </si>
  <si>
    <t>{ 250k @79 from faizan to mudassir }</t>
  </si>
  <si>
    <t>{ 1 million pkr @79.5 to mudassir by AR }</t>
  </si>
  <si>
    <t>From Faizan GR</t>
  </si>
  <si>
    <t>From Zeeshan</t>
  </si>
  <si>
    <t>From Ibrahim</t>
  </si>
  <si>
    <t>Total Amount</t>
  </si>
  <si>
    <t>Sale Qudratullah</t>
  </si>
  <si>
    <t>Starlink Standard Kit Bunnings Hoxtonpark</t>
  </si>
  <si>
    <t>Starlink Mini Bunnings Gregory Hills</t>
  </si>
  <si>
    <t>Starlink Mini Bunnings Hoxtonpark</t>
  </si>
  <si>
    <t>Starlink Mini Bunnings Bonnyrigg</t>
  </si>
  <si>
    <t>Starlink V2 Bunnings Bonnyrigg</t>
  </si>
  <si>
    <t>Iphone 17 pro max Harvey Norman Fyshwick Pending Delivery</t>
  </si>
  <si>
    <t>Mavic 4 pro Standard DJI Macquarie Park Pending Collection</t>
  </si>
  <si>
    <t>Sale DCS International</t>
  </si>
  <si>
    <t>Sale Zubair Ispecs</t>
  </si>
  <si>
    <t>Sale Usman Rabbit</t>
  </si>
  <si>
    <t>Sale JBN</t>
  </si>
  <si>
    <t>Sale Najeebullah</t>
  </si>
  <si>
    <r>
      <t xml:space="preserve">Active </t>
    </r>
    <r>
      <rPr>
        <sz val="10"/>
        <color theme="7" tint="0.39997558519241921"/>
        <rFont val="Arial"/>
        <family val="2"/>
      </rPr>
      <t>unlock</t>
    </r>
  </si>
  <si>
    <t>Kit extra</t>
  </si>
  <si>
    <t>Entry Done 12-02-2026</t>
  </si>
  <si>
    <t>iPad Pro M1 13" (W) 128gb</t>
  </si>
  <si>
    <t>AR 6</t>
  </si>
  <si>
    <t>888034557424 M</t>
  </si>
  <si>
    <t>SN</t>
  </si>
  <si>
    <t>Active, Damaged Box</t>
  </si>
  <si>
    <t>Fully Damaged Bo</t>
  </si>
  <si>
    <t>Active, No Protector</t>
  </si>
  <si>
    <t>Active, Minor Scratches</t>
  </si>
  <si>
    <t>2 TB</t>
  </si>
  <si>
    <t>Active, Fully Damaged Box</t>
  </si>
  <si>
    <t>Invoice 50</t>
  </si>
  <si>
    <t>not for sale</t>
  </si>
  <si>
    <t>Entry Done 13-02-2026</t>
  </si>
  <si>
    <t>Ipad Pro 13'' M5 2TB W+C</t>
  </si>
  <si>
    <t>Sale Muzammil pindi</t>
  </si>
  <si>
    <t>Mel Ship 13-02-2026</t>
  </si>
  <si>
    <r>
      <rPr>
        <b/>
        <sz val="14"/>
        <rFont val="Arial"/>
        <family val="2"/>
      </rPr>
      <t>Date
Party Name</t>
    </r>
  </si>
  <si>
    <r>
      <rPr>
        <sz val="14"/>
        <rFont val="Arial MT"/>
        <family val="2"/>
      </rPr>
      <t>2-9-2026
888556489804 Owais HT</t>
    </r>
  </si>
  <si>
    <t>Issue</t>
  </si>
  <si>
    <r>
      <rPr>
        <sz val="14"/>
        <rFont val="Arial MT"/>
        <family val="2"/>
      </rPr>
      <t>iPhone 17 Pro Max</t>
    </r>
  </si>
  <si>
    <r>
      <rPr>
        <sz val="14"/>
        <rFont val="Arial MT"/>
        <family val="2"/>
      </rPr>
      <t>Cosmic Orange</t>
    </r>
  </si>
  <si>
    <r>
      <rPr>
        <sz val="14"/>
        <rFont val="Arial MT"/>
        <family val="2"/>
      </rPr>
      <t>256 GB</t>
    </r>
  </si>
  <si>
    <r>
      <rPr>
        <sz val="14"/>
        <rFont val="Arial MT"/>
        <family val="2"/>
      </rPr>
      <t>Active</t>
    </r>
  </si>
  <si>
    <r>
      <rPr>
        <sz val="14"/>
        <rFont val="Arial MT"/>
        <family val="2"/>
      </rPr>
      <t>T-Mobile</t>
    </r>
  </si>
  <si>
    <r>
      <rPr>
        <sz val="14"/>
        <rFont val="Arial MT"/>
        <family val="2"/>
      </rPr>
      <t>Active T-Mobile</t>
    </r>
  </si>
  <si>
    <r>
      <rPr>
        <sz val="14"/>
        <rFont val="Arial MT"/>
        <family val="2"/>
      </rPr>
      <t>Replaced Device Unlock</t>
    </r>
  </si>
  <si>
    <t>Box
Active</t>
  </si>
  <si>
    <t>Blue
Non Active</t>
  </si>
  <si>
    <r>
      <rPr>
        <sz val="14"/>
        <rFont val="Arial MT"/>
        <family val="2"/>
      </rPr>
      <t>Unlock</t>
    </r>
  </si>
  <si>
    <r>
      <rPr>
        <sz val="14"/>
        <rFont val="Arial MT"/>
        <family val="2"/>
      </rPr>
      <t>Active Kit</t>
    </r>
  </si>
  <si>
    <r>
      <rPr>
        <sz val="14"/>
        <rFont val="Arial MT"/>
        <family val="2"/>
      </rPr>
      <t>Deep Blue</t>
    </r>
  </si>
  <si>
    <r>
      <rPr>
        <sz val="14"/>
        <rFont val="Arial MT"/>
        <family val="2"/>
      </rPr>
      <t>Silver</t>
    </r>
  </si>
  <si>
    <r>
      <rPr>
        <sz val="14"/>
        <rFont val="Arial MT"/>
        <family val="2"/>
      </rPr>
      <t>2 TB</t>
    </r>
  </si>
  <si>
    <r>
      <rPr>
        <sz val="14"/>
        <rFont val="Arial MT"/>
        <family val="2"/>
      </rPr>
      <t>iPhone 17 Pro</t>
    </r>
  </si>
  <si>
    <r>
      <rPr>
        <sz val="14"/>
        <rFont val="Arial MT"/>
        <family val="2"/>
      </rPr>
      <t>512 GB</t>
    </r>
  </si>
  <si>
    <r>
      <rPr>
        <sz val="14"/>
        <rFont val="Arial MT"/>
        <family val="2"/>
      </rPr>
      <t>Sky Blue</t>
    </r>
  </si>
  <si>
    <t>Iphone 17 Air</t>
  </si>
  <si>
    <r>
      <rPr>
        <sz val="14"/>
        <rFont val="Arial MT"/>
        <family val="2"/>
      </rPr>
      <t>Cloud White</t>
    </r>
  </si>
  <si>
    <r>
      <rPr>
        <sz val="14"/>
        <rFont val="Arial MT"/>
        <family val="2"/>
      </rPr>
      <t>1 TB</t>
    </r>
  </si>
  <si>
    <r>
      <rPr>
        <sz val="14"/>
        <rFont val="Arial MT"/>
        <family val="2"/>
      </rPr>
      <t>iPad Pro M5 13" (W+C)</t>
    </r>
  </si>
  <si>
    <r>
      <rPr>
        <sz val="14"/>
        <rFont val="Arial MT"/>
        <family val="2"/>
      </rPr>
      <t>Space Black</t>
    </r>
  </si>
  <si>
    <t>Unlock
Non Active</t>
  </si>
  <si>
    <r>
      <rPr>
        <sz val="14"/>
        <rFont val="Arial MT"/>
        <family val="2"/>
      </rPr>
      <t>iPad Pro M5 13" (W)</t>
    </r>
  </si>
  <si>
    <r>
      <rPr>
        <sz val="14"/>
        <rFont val="Arial MT"/>
        <family val="2"/>
      </rPr>
      <t>SD6C9VM3V6C</t>
    </r>
  </si>
  <si>
    <r>
      <rPr>
        <sz val="14"/>
        <rFont val="Arial MT"/>
        <family val="2"/>
      </rPr>
      <t>MacBook Air M4 15" MC7C4LL/A</t>
    </r>
  </si>
  <si>
    <r>
      <rPr>
        <sz val="14"/>
        <rFont val="Arial MT"/>
        <family val="2"/>
      </rPr>
      <t>16 GB, 512 GB</t>
    </r>
  </si>
  <si>
    <r>
      <rPr>
        <sz val="14"/>
        <rFont val="Arial MT"/>
        <family val="2"/>
      </rPr>
      <t>SFJ9KJ60JWV</t>
    </r>
  </si>
  <si>
    <r>
      <rPr>
        <sz val="14"/>
        <rFont val="Arial MT"/>
        <family val="2"/>
      </rPr>
      <t>MacBook Air M4 15" MC6L4LL/A</t>
    </r>
  </si>
  <si>
    <r>
      <rPr>
        <sz val="14"/>
        <rFont val="Arial MT"/>
        <family val="2"/>
      </rPr>
      <t>Midnight</t>
    </r>
  </si>
  <si>
    <r>
      <rPr>
        <sz val="14"/>
        <rFont val="Arial MT"/>
        <family val="2"/>
      </rPr>
      <t>24 GB, 512 GB</t>
    </r>
  </si>
  <si>
    <r>
      <rPr>
        <sz val="14"/>
        <rFont val="Arial MT"/>
        <family val="2"/>
      </rPr>
      <t>SKQQRQLQFP1</t>
    </r>
  </si>
  <si>
    <r>
      <rPr>
        <sz val="14"/>
        <rFont val="Arial MT"/>
        <family val="2"/>
      </rPr>
      <t>SCGWRWYNXT3</t>
    </r>
  </si>
  <si>
    <r>
      <rPr>
        <sz val="14"/>
        <rFont val="Arial MT"/>
        <family val="2"/>
      </rPr>
      <t>MacBook Air M4 13" MW133LL/A</t>
    </r>
  </si>
  <si>
    <r>
      <rPr>
        <sz val="14"/>
        <rFont val="Arial MT"/>
        <family val="2"/>
      </rPr>
      <t>SKR7HMW2RH2</t>
    </r>
  </si>
  <si>
    <r>
      <rPr>
        <sz val="14"/>
        <rFont val="Arial MT"/>
        <family val="2"/>
      </rPr>
      <t>Apple Watch Ultra 3</t>
    </r>
  </si>
  <si>
    <r>
      <rPr>
        <sz val="14"/>
        <rFont val="Arial MT"/>
        <family val="2"/>
      </rPr>
      <t>Black Ti, Trail</t>
    </r>
  </si>
  <si>
    <r>
      <rPr>
        <sz val="14"/>
        <rFont val="Arial MT"/>
        <family val="2"/>
      </rPr>
      <t>49mm</t>
    </r>
  </si>
  <si>
    <r>
      <rPr>
        <sz val="14"/>
        <rFont val="Arial MT"/>
        <family val="2"/>
      </rPr>
      <t>Natural Ti, Ocean</t>
    </r>
  </si>
  <si>
    <r>
      <rPr>
        <sz val="14"/>
        <rFont val="Arial MT"/>
        <family val="2"/>
      </rPr>
      <t>Apple Watch Series 11</t>
    </r>
  </si>
  <si>
    <r>
      <rPr>
        <sz val="14"/>
        <rFont val="Arial MT"/>
        <family val="2"/>
      </rPr>
      <t>Jetblack</t>
    </r>
  </si>
  <si>
    <r>
      <rPr>
        <sz val="14"/>
        <rFont val="Arial MT"/>
        <family val="2"/>
      </rPr>
      <t>46mm</t>
    </r>
  </si>
  <si>
    <r>
      <rPr>
        <sz val="14"/>
        <rFont val="Arial MT"/>
        <family val="2"/>
      </rPr>
      <t>SH4R3KHCXCW</t>
    </r>
  </si>
  <si>
    <r>
      <rPr>
        <sz val="14"/>
        <rFont val="Arial MT"/>
        <family val="2"/>
      </rPr>
      <t>Rose Gold</t>
    </r>
  </si>
  <si>
    <r>
      <rPr>
        <sz val="14"/>
        <rFont val="Arial MT"/>
        <family val="2"/>
      </rPr>
      <t>42mm</t>
    </r>
  </si>
  <si>
    <r>
      <rPr>
        <sz val="14"/>
        <rFont val="Arial MT"/>
        <family val="2"/>
      </rPr>
      <t>SL454CH9954</t>
    </r>
  </si>
  <si>
    <t>IMEI/SN Change</t>
  </si>
  <si>
    <r>
      <rPr>
        <sz val="14"/>
        <rFont val="Arial MT"/>
        <family val="2"/>
      </rPr>
      <t>SMY6VPPG1Q6</t>
    </r>
  </si>
  <si>
    <r>
      <rPr>
        <sz val="14"/>
        <rFont val="Arial MT"/>
        <family val="2"/>
      </rPr>
      <t>AirPods Pro 3</t>
    </r>
  </si>
  <si>
    <r>
      <rPr>
        <sz val="14"/>
        <rFont val="Arial MT"/>
        <family val="2"/>
      </rPr>
      <t>SF763RW6RL9</t>
    </r>
  </si>
  <si>
    <r>
      <rPr>
        <sz val="14"/>
        <rFont val="Arial MT"/>
        <family val="2"/>
      </rPr>
      <t>SDG23G2HK3D</t>
    </r>
  </si>
  <si>
    <r>
      <rPr>
        <sz val="14"/>
        <rFont val="Arial MT"/>
        <family val="2"/>
      </rPr>
      <t>SCK9KQ96JMF</t>
    </r>
  </si>
  <si>
    <r>
      <rPr>
        <sz val="14"/>
        <rFont val="Arial MT"/>
        <family val="2"/>
      </rPr>
      <t>SH7M49W234P</t>
    </r>
  </si>
  <si>
    <r>
      <rPr>
        <sz val="14"/>
        <rFont val="Arial MT"/>
        <family val="2"/>
      </rPr>
      <t>AirPods 4</t>
    </r>
  </si>
  <si>
    <r>
      <rPr>
        <sz val="14"/>
        <rFont val="Arial MT"/>
        <family val="2"/>
      </rPr>
      <t>SLRF744V4H6</t>
    </r>
  </si>
  <si>
    <r>
      <rPr>
        <sz val="14"/>
        <rFont val="Arial MT"/>
        <family val="2"/>
      </rPr>
      <t>SD25915JQKP</t>
    </r>
  </si>
  <si>
    <r>
      <rPr>
        <sz val="14"/>
        <rFont val="Arial MT"/>
        <family val="2"/>
      </rPr>
      <t>SHVWDW0NQC7</t>
    </r>
  </si>
  <si>
    <r>
      <rPr>
        <sz val="14"/>
        <rFont val="Arial MT"/>
        <family val="2"/>
      </rPr>
      <t>AirPods 4 ANC</t>
    </r>
  </si>
  <si>
    <r>
      <rPr>
        <sz val="14"/>
        <rFont val="Arial MT"/>
        <family val="2"/>
      </rPr>
      <t>SMMWL7LXD2H</t>
    </r>
  </si>
  <si>
    <t>AR 7 2026 Entry Done 14-02-2026</t>
  </si>
  <si>
    <t>Macbook Air M4 15'' 24-512</t>
  </si>
  <si>
    <t>AR7</t>
  </si>
  <si>
    <t>Sale Js Tech</t>
  </si>
  <si>
    <t>Sale Farhan Khi</t>
  </si>
  <si>
    <t xml:space="preserve">Sale Karachi </t>
  </si>
  <si>
    <t>2-14-2026</t>
  </si>
  <si>
    <t>888035857738 M</t>
  </si>
  <si>
    <t>Fully Damaged Box, Damaged Piece</t>
  </si>
  <si>
    <t>Natural Ti, Alp</t>
  </si>
  <si>
    <t>Ti SIlverblue</t>
  </si>
  <si>
    <t xml:space="preserve">Invoice 51 </t>
  </si>
  <si>
    <t>Entry Done 16-02-2026</t>
  </si>
  <si>
    <t>Invoice 51</t>
  </si>
  <si>
    <t>Sale Base Asad Links</t>
  </si>
  <si>
    <t>Sale Ali Raza 404</t>
  </si>
  <si>
    <t>Sale Monopoly</t>
  </si>
  <si>
    <t>Syd Ship 17-02-2026</t>
  </si>
  <si>
    <t>Sale Jamshi</t>
  </si>
  <si>
    <t>Sale Waseem 303</t>
  </si>
  <si>
    <r>
      <rPr>
        <b/>
        <sz val="10"/>
        <rFont val="Arial"/>
        <family val="2"/>
      </rPr>
      <t xml:space="preserve">Date
</t>
    </r>
    <r>
      <rPr>
        <b/>
        <sz val="10"/>
        <rFont val="Arial"/>
        <family val="2"/>
      </rPr>
      <t>Party Name</t>
    </r>
  </si>
  <si>
    <r>
      <rPr>
        <sz val="10"/>
        <rFont val="Arial MT"/>
        <family val="2"/>
      </rPr>
      <t xml:space="preserve">2-16-2026
</t>
    </r>
    <r>
      <rPr>
        <sz val="10"/>
        <rFont val="Arial MT"/>
        <family val="2"/>
      </rPr>
      <t>888774090455 Owais HT</t>
    </r>
  </si>
  <si>
    <t>AED Prices</t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</si>
  <si>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</si>
  <si>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</si>
  <si>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</si>
  <si>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Active Unlock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</si>
  <si>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</si>
  <si>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</si>
  <si>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</si>
  <si>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</si>
  <si>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</si>
  <si>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T-Mobile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</si>
  <si>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</si>
  <si>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</si>
  <si>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</si>
  <si>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</si>
  <si>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t>unlock</t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</si>
  <si>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</si>
  <si>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Black</t>
    </r>
  </si>
  <si>
    <t>17 pro max</t>
  </si>
  <si>
    <r>
      <rPr>
        <sz val="10"/>
        <rFont val="Arial MT"/>
        <family val="2"/>
      </rPr>
      <t>iPhone 16 Pro Max (Kit)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</si>
  <si>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</si>
  <si>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T-Mobile, 90%, 364 Cycles</t>
    </r>
  </si>
  <si>
    <r>
      <rPr>
        <sz val="10"/>
        <rFont val="Arial MT"/>
        <family val="2"/>
      </rPr>
      <t>98%, 233 Cycles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</si>
  <si>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</si>
  <si>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96%, 317 Cycles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</si>
  <si>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</si>
  <si>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100%, 161 Cycles, Damaged Screen</t>
    </r>
  </si>
  <si>
    <r>
      <rPr>
        <sz val="10"/>
        <rFont val="Arial MT"/>
        <family val="2"/>
      </rPr>
      <t>100%, 129 Cycles, Damaged Screen</t>
    </r>
  </si>
  <si>
    <r>
      <rPr>
        <sz val="10"/>
        <rFont val="Arial MT"/>
        <family val="2"/>
      </rPr>
      <t>iPhone 15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</si>
  <si>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</si>
  <si>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Active T-Mobile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</si>
  <si>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</si>
  <si>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</si>
  <si>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</si>
  <si>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iPad Pro M5 11" (W+C)</t>
    </r>
  </si>
  <si>
    <t>Pro 13" M5 5G</t>
  </si>
  <si>
    <r>
      <rPr>
        <sz val="10"/>
        <rFont val="Arial MT"/>
        <family val="2"/>
      </rPr>
      <t>iPad Pro M4 11" (W)</t>
    </r>
  </si>
  <si>
    <r>
      <rPr>
        <sz val="10"/>
        <rFont val="Arial MT"/>
        <family val="2"/>
      </rPr>
      <t>SH2RRXPMHH2</t>
    </r>
  </si>
  <si>
    <r>
      <rPr>
        <sz val="10"/>
        <rFont val="Arial MT"/>
        <family val="2"/>
      </rPr>
      <t>iPad Air M3 13" (W)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</si>
  <si>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</si>
  <si>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SF4WYGR9J27</t>
    </r>
  </si>
  <si>
    <r>
      <rPr>
        <sz val="10"/>
        <rFont val="Arial MT"/>
        <family val="2"/>
      </rPr>
      <t>Blue</t>
    </r>
  </si>
  <si>
    <r>
      <rPr>
        <sz val="10"/>
        <rFont val="Arial MT"/>
        <family val="2"/>
      </rPr>
      <t>SM1VX4W3QM9</t>
    </r>
  </si>
  <si>
    <r>
      <rPr>
        <sz val="10"/>
        <rFont val="Arial MT"/>
        <family val="2"/>
      </rPr>
      <t>iPad Air M3 11" (W)</t>
    </r>
  </si>
  <si>
    <r>
      <rPr>
        <sz val="10"/>
        <rFont val="Arial MT"/>
        <family val="2"/>
      </rPr>
      <t>SJK9F4W14RN</t>
    </r>
  </si>
  <si>
    <r>
      <rPr>
        <sz val="10"/>
        <rFont val="Arial MT"/>
        <family val="2"/>
      </rPr>
      <t>SF61XX7J1K6</t>
    </r>
  </si>
  <si>
    <r>
      <rPr>
        <sz val="10"/>
        <rFont val="Arial MT"/>
        <family val="2"/>
      </rPr>
      <t>iPad A16 (W+C)</t>
    </r>
  </si>
  <si>
    <r>
      <rPr>
        <sz val="10"/>
        <rFont val="Arial MT"/>
        <family val="2"/>
      </rPr>
      <t>Active</t>
    </r>
    <r>
      <rPr>
        <sz val="10"/>
        <rFont val="Arial MT"/>
      </rPr>
      <t xml:space="preserve"> 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</si>
  <si>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</si>
  <si>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</si>
  <si>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</si>
  <si>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SDY2QGJ4FGX</t>
    </r>
  </si>
  <si>
    <r>
      <rPr>
        <sz val="10"/>
        <rFont val="Arial MT"/>
        <family val="2"/>
      </rPr>
      <t>MacBook Air M4 13" MW133LL/A</t>
    </r>
  </si>
  <si>
    <r>
      <rPr>
        <sz val="10"/>
        <rFont val="Arial MT"/>
        <family val="2"/>
      </rPr>
      <t>16 GB, 512 GB</t>
    </r>
  </si>
  <si>
    <r>
      <rPr>
        <sz val="10"/>
        <rFont val="Arial MT"/>
        <family val="2"/>
      </rPr>
      <t>SJ0NWKLWDJP</t>
    </r>
  </si>
  <si>
    <r>
      <rPr>
        <sz val="10"/>
        <rFont val="Arial MT"/>
        <family val="2"/>
      </rPr>
      <t>Apple Watch Series 11</t>
    </r>
  </si>
  <si>
    <r>
      <rPr>
        <sz val="10"/>
        <rFont val="Arial MT"/>
        <family val="2"/>
      </rPr>
      <t>Jet Black</t>
    </r>
  </si>
  <si>
    <r>
      <rPr>
        <sz val="10"/>
        <rFont val="Arial MT"/>
        <family val="2"/>
      </rPr>
      <t>46mm</t>
    </r>
  </si>
  <si>
    <r>
      <rPr>
        <sz val="10"/>
        <rFont val="Arial MT"/>
        <family val="2"/>
      </rPr>
      <t>SDC42H20PV7</t>
    </r>
  </si>
  <si>
    <r>
      <rPr>
        <sz val="10"/>
        <rFont val="Arial MT"/>
        <family val="2"/>
      </rPr>
      <t>SLY527PR6NL</t>
    </r>
  </si>
  <si>
    <r>
      <rPr>
        <sz val="10"/>
        <rFont val="Arial MT"/>
        <family val="2"/>
      </rPr>
      <t>Apple Watch Series 10</t>
    </r>
  </si>
  <si>
    <r>
      <rPr>
        <sz val="10"/>
        <rFont val="Arial MT"/>
        <family val="2"/>
      </rPr>
      <t>SGF7LYCDWK0</t>
    </r>
  </si>
  <si>
    <r>
      <rPr>
        <sz val="10"/>
        <rFont val="Arial MT"/>
        <family val="2"/>
      </rPr>
      <t>SGF9PFWFQH4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</si>
  <si>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</si>
  <si>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</si>
  <si>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</si>
  <si>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SL4Q75063HT</t>
    </r>
  </si>
  <si>
    <r>
      <rPr>
        <sz val="10"/>
        <rFont val="Arial MT"/>
        <family val="2"/>
      </rPr>
      <t>SGQL3KM9VPW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</si>
  <si>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</si>
  <si>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</si>
  <si>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SM340WL9WWV</t>
    </r>
  </si>
  <si>
    <r>
      <rPr>
        <sz val="10"/>
        <rFont val="Arial MT"/>
        <family val="2"/>
      </rPr>
      <t>SJN33XWG43V</t>
    </r>
  </si>
  <si>
    <r>
      <rPr>
        <sz val="10"/>
        <rFont val="Arial MT"/>
        <family val="2"/>
      </rPr>
      <t>SFHWVH6N9PP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</si>
  <si>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</si>
  <si>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SFVPF2WK17T</t>
    </r>
  </si>
  <si>
    <r>
      <rPr>
        <sz val="10"/>
        <rFont val="Arial MT"/>
        <family val="2"/>
      </rPr>
      <t>SHH9MYNR6LN</t>
    </r>
  </si>
  <si>
    <r>
      <rPr>
        <sz val="10"/>
        <rFont val="Arial MT"/>
        <family val="2"/>
      </rPr>
      <t>SLH3C7P541R</t>
    </r>
  </si>
  <si>
    <r>
      <rPr>
        <sz val="10"/>
        <rFont val="Arial MT"/>
        <family val="2"/>
      </rPr>
      <t>SHD41FW72PM</t>
    </r>
  </si>
  <si>
    <r>
      <rPr>
        <sz val="10"/>
        <rFont val="Arial MT"/>
        <family val="2"/>
      </rPr>
      <t>Dual Sense Edge Wireless Controller</t>
    </r>
  </si>
  <si>
    <r>
      <rPr>
        <sz val="10"/>
        <rFont val="Arial MT"/>
        <family val="2"/>
      </rPr>
      <t>White</t>
    </r>
  </si>
  <si>
    <t>dualsensewirelesscontroller00049</t>
  </si>
  <si>
    <t>dualsensewirelesscontroller00050</t>
  </si>
  <si>
    <t>dualsensewirelesscontroller00051</t>
  </si>
  <si>
    <r>
      <rPr>
        <sz val="10"/>
        <rFont val="Arial MT"/>
        <family val="2"/>
      </rPr>
      <t>Dual Sense Wireless Controller</t>
    </r>
  </si>
  <si>
    <t>dualsensewirelesscontroller00044</t>
  </si>
  <si>
    <r>
      <rPr>
        <sz val="10"/>
        <rFont val="Arial MT"/>
        <family val="2"/>
      </rPr>
      <t>Midnight Black</t>
    </r>
  </si>
  <si>
    <t>dualsensewirelesscontroller00045</t>
  </si>
  <si>
    <t>dualsensewirelesscontroller00046</t>
  </si>
  <si>
    <t>dualsensewirelesscontroller00047</t>
  </si>
  <si>
    <t>dualsensewirelesscontroller00048</t>
  </si>
  <si>
    <r>
      <rPr>
        <sz val="10"/>
        <rFont val="Arial MT"/>
        <family val="2"/>
      </rPr>
      <t>Meta Wayfarer</t>
    </r>
  </si>
  <si>
    <r>
      <rPr>
        <sz val="10"/>
        <rFont val="Arial MT"/>
        <family val="2"/>
      </rPr>
      <t>Matte Black, Polar Graphite</t>
    </r>
  </si>
  <si>
    <r>
      <rPr>
        <sz val="10"/>
        <rFont val="Arial MT"/>
        <family val="2"/>
      </rPr>
      <t>2Q9GS02H7V02WQ</t>
    </r>
  </si>
  <si>
    <r>
      <rPr>
        <sz val="10"/>
        <rFont val="Arial MT"/>
        <family val="2"/>
      </rPr>
      <t>Matte Black, Graphite Green</t>
    </r>
  </si>
  <si>
    <r>
      <rPr>
        <sz val="10"/>
        <rFont val="Arial MT"/>
        <family val="2"/>
      </rPr>
      <t>2Q9GS11H9J03FZ</t>
    </r>
  </si>
  <si>
    <t>AR 9 2026</t>
  </si>
  <si>
    <t>AR 1</t>
  </si>
  <si>
    <t>No Difference</t>
  </si>
  <si>
    <t>ip 17 pro 256gb (21269) 3 valve power  adapter Extra</t>
  </si>
  <si>
    <t>Ipad pro 11 M5 (25135) 2 Ultra 3 49mm (04982) (11615) Extra</t>
  </si>
  <si>
    <t>ip 17 pro max 1tb Extra</t>
  </si>
  <si>
    <t>AR 7</t>
  </si>
  <si>
    <t>AR 9</t>
  </si>
  <si>
    <t>ip Air 256gb (46032) ip 17 pro max (46228) Missing</t>
  </si>
  <si>
    <t>2-19-2026</t>
  </si>
  <si>
    <t>888477945105 M</t>
  </si>
  <si>
    <t>Active, Fully Damaged Box, Scratch</t>
  </si>
  <si>
    <t>Pink</t>
  </si>
  <si>
    <t>Active Kit, Damaged Box</t>
  </si>
  <si>
    <t>PowerBeats Fit</t>
  </si>
  <si>
    <t>Jet black</t>
  </si>
  <si>
    <t>SCWP7NPC292</t>
  </si>
  <si>
    <t>No Box, used</t>
  </si>
  <si>
    <t>waqas</t>
  </si>
  <si>
    <t>naeem</t>
  </si>
  <si>
    <t>rehman</t>
  </si>
  <si>
    <t>Invoice 52</t>
  </si>
  <si>
    <t xml:space="preserve">Entry Done </t>
  </si>
  <si>
    <t>{ 203k @79 from sumair to mudassir }</t>
  </si>
  <si>
    <t>{ 329k @79 from mubashir to mudassir }</t>
  </si>
  <si>
    <t>{ 200k @79 from yousuf to mudassir }</t>
  </si>
  <si>
    <t>{ 112k @79 from yousuf to mudassir }</t>
  </si>
  <si>
    <t>{ 100k @79 from sumair to mudassir }</t>
  </si>
  <si>
    <t>{ 11k @79 from zeeshan to mudassir }</t>
  </si>
  <si>
    <t>{ 100k @79 from waqas to mudassir }</t>
  </si>
  <si>
    <t>{ 100k @79 from waqas to Mudassir }</t>
  </si>
  <si>
    <t>{ 335k @79 from sumair to mudassir }</t>
  </si>
  <si>
    <t>{ 100k @79 from faizan to muddasir }</t>
  </si>
  <si>
    <t>{ 299k @79 from sumair to mudassir }</t>
  </si>
  <si>
    <t>{ 97k @79 from faizan to mudassir }</t>
  </si>
  <si>
    <t>Prices from easy buy</t>
  </si>
  <si>
    <t>IPad Pro 13 M5 256 W+C  ACT Blk</t>
  </si>
  <si>
    <t xml:space="preserve">IPad Pro 13 M5 256 W+C  </t>
  </si>
  <si>
    <t xml:space="preserve">IPad Pro 13 M5 256 Wifi </t>
  </si>
  <si>
    <t>Ipad Pro 13 M5 2TB W+C</t>
  </si>
  <si>
    <t>Ipad pro 13 M4 2TB W+C ACT</t>
  </si>
  <si>
    <t>IPad Pro 13 M4 256 Wifi ACT</t>
  </si>
  <si>
    <t>Ipad pro 11 M4 256 Wifi</t>
  </si>
  <si>
    <t>IPad Pro 12.9 5th Gen 128 Wifi ACT</t>
  </si>
  <si>
    <t>IPad Pro 11 M5 256 W+C</t>
  </si>
  <si>
    <t>Ipad Air M3 11 128</t>
  </si>
  <si>
    <t>IPad Air M3 13 128 Wifi</t>
  </si>
  <si>
    <t>IPad Air M3 13 128 Wifi ACT</t>
  </si>
  <si>
    <t>IPad A16 128 W+C Blue</t>
  </si>
  <si>
    <t>IPad A16 128 W+C Blue ACT</t>
  </si>
  <si>
    <t>Prices from Raad Al Madina</t>
  </si>
  <si>
    <t>Sale Waseem 404</t>
  </si>
  <si>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</si>
  <si>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t>2-20-2026
888794117170 M</t>
  </si>
  <si>
    <r>
      <rPr>
        <sz val="8.5"/>
        <rFont val="Arial MT"/>
        <family val="2"/>
      </rPr>
      <t>iPhone 17 Pro Max</t>
    </r>
  </si>
  <si>
    <r>
      <rPr>
        <sz val="8.5"/>
        <rFont val="Arial MT"/>
        <family val="2"/>
      </rPr>
      <t>Cosmic Orange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</si>
  <si>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</si>
  <si>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Deep Blue</t>
    </r>
  </si>
  <si>
    <r>
      <rPr>
        <sz val="8.5"/>
        <rFont val="Arial MT"/>
        <family val="2"/>
      </rPr>
      <t>Silver</t>
    </r>
  </si>
  <si>
    <t>ANNIE</t>
  </si>
  <si>
    <r>
      <rPr>
        <sz val="8.5"/>
        <rFont val="Arial MT"/>
        <family val="2"/>
      </rPr>
      <t>iPhone 17 Pro</t>
    </r>
  </si>
  <si>
    <r>
      <rPr>
        <sz val="8.5"/>
        <rFont val="Arial MT"/>
        <family val="2"/>
      </rPr>
      <t>iPad Pro M5 13" (W+C)</t>
    </r>
  </si>
  <si>
    <r>
      <rPr>
        <sz val="8.5"/>
        <rFont val="Arial MT"/>
        <family val="2"/>
      </rPr>
      <t>Space Black</t>
    </r>
  </si>
  <si>
    <r>
      <rPr>
        <sz val="8.5"/>
        <rFont val="Arial MT"/>
        <family val="2"/>
      </rPr>
      <t>iPad Air M3 13" (W+C)</t>
    </r>
  </si>
  <si>
    <r>
      <rPr>
        <sz val="8.5"/>
        <rFont val="Arial MT"/>
        <family val="2"/>
      </rPr>
      <t>Purple</t>
    </r>
  </si>
  <si>
    <r>
      <rPr>
        <sz val="8.5"/>
        <rFont val="Arial MT"/>
        <family val="2"/>
      </rPr>
      <t>128 GB</t>
    </r>
  </si>
  <si>
    <r>
      <rPr>
        <sz val="8.5"/>
        <rFont val="Arial MT"/>
        <family val="2"/>
      </rPr>
      <t>Apple Watch Ultra 3</t>
    </r>
  </si>
  <si>
    <r>
      <rPr>
        <sz val="8.5"/>
        <rFont val="Arial MT"/>
        <family val="2"/>
      </rPr>
      <t>Black Ti, Ocean</t>
    </r>
  </si>
  <si>
    <r>
      <rPr>
        <sz val="8.5"/>
        <rFont val="Arial MT"/>
        <family val="2"/>
      </rPr>
      <t>49mm</t>
    </r>
  </si>
  <si>
    <r>
      <rPr>
        <sz val="8.5"/>
        <rFont val="Arial MT"/>
        <family val="2"/>
      </rPr>
      <t>Black Ti, Alp</t>
    </r>
  </si>
  <si>
    <r>
      <rPr>
        <sz val="8.5"/>
        <rFont val="Arial MT"/>
        <family val="2"/>
      </rPr>
      <t>Black Ti, Trail</t>
    </r>
  </si>
  <si>
    <r>
      <rPr>
        <sz val="8.5"/>
        <rFont val="Arial MT"/>
        <family val="2"/>
      </rPr>
      <t>Apple Watch Series 11</t>
    </r>
  </si>
  <si>
    <r>
      <rPr>
        <sz val="8.5"/>
        <rFont val="Arial MT"/>
        <family val="2"/>
      </rPr>
      <t>Rose Gold</t>
    </r>
  </si>
  <si>
    <r>
      <rPr>
        <sz val="8.5"/>
        <rFont val="Arial MT"/>
        <family val="2"/>
      </rPr>
      <t>46mm</t>
    </r>
  </si>
  <si>
    <r>
      <rPr>
        <sz val="8.5"/>
        <rFont val="Arial MT"/>
        <family val="2"/>
      </rPr>
      <t>Galaxy S25 Ultra</t>
    </r>
  </si>
  <si>
    <r>
      <rPr>
        <sz val="8.5"/>
        <rFont val="Arial MT"/>
        <family val="2"/>
      </rPr>
      <t>Ti Black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</si>
  <si>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</si>
  <si>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Ti Silverblue</t>
    </r>
  </si>
  <si>
    <r>
      <rPr>
        <sz val="8.5"/>
        <rFont val="Arial MT"/>
        <family val="2"/>
      </rPr>
      <t>Ti Gray</t>
    </r>
  </si>
  <si>
    <r>
      <rPr>
        <sz val="8.5"/>
        <rFont val="Arial MT"/>
        <family val="2"/>
      </rPr>
      <t>Galaxy Watch Ultra</t>
    </r>
  </si>
  <si>
    <r>
      <rPr>
        <sz val="8.5"/>
        <rFont val="Arial MT"/>
        <family val="2"/>
      </rPr>
      <t>Ti Blue</t>
    </r>
  </si>
  <si>
    <r>
      <rPr>
        <sz val="8.5"/>
        <rFont val="Arial MT"/>
        <family val="2"/>
      </rPr>
      <t>47mm</t>
    </r>
  </si>
  <si>
    <t>RETURN</t>
  </si>
  <si>
    <t>Invoice 53</t>
  </si>
  <si>
    <t>Invoice 53 Entry Done 25-02-2026</t>
  </si>
  <si>
    <t>Purchase Return to Mudassir</t>
  </si>
  <si>
    <t>2-24-2026
888879701928 Owais HT</t>
  </si>
  <si>
    <r>
      <rPr>
        <sz val="8.5"/>
        <rFont val="Arial MT"/>
        <family val="2"/>
      </rPr>
      <t>iPad Air M3 13" (W)</t>
    </r>
  </si>
  <si>
    <r>
      <rPr>
        <sz val="8.5"/>
        <rFont val="Arial MT"/>
        <family val="2"/>
      </rPr>
      <t>Space Gray</t>
    </r>
  </si>
  <si>
    <r>
      <rPr>
        <sz val="8.5"/>
        <rFont val="Arial MT"/>
        <family val="2"/>
      </rPr>
      <t>SHRYXKGX6TF</t>
    </r>
  </si>
  <si>
    <r>
      <rPr>
        <sz val="8.5"/>
        <rFont val="Arial MT"/>
        <family val="2"/>
      </rPr>
      <t>MacBook Pro M4 Pro 14" MX2H3LL/A</t>
    </r>
  </si>
  <si>
    <r>
      <rPr>
        <sz val="8.5"/>
        <rFont val="Arial MT"/>
        <family val="2"/>
      </rPr>
      <t>24 GB, 512 GB</t>
    </r>
  </si>
  <si>
    <r>
      <rPr>
        <sz val="8.5"/>
        <rFont val="Arial MT"/>
        <family val="2"/>
      </rPr>
      <t>SCQRXR9RK41</t>
    </r>
  </si>
  <si>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</si>
  <si>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</si>
  <si>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</si>
  <si>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S01K25701VJ910343863</t>
    </r>
  </si>
  <si>
    <r>
      <rPr>
        <sz val="8.5"/>
        <rFont val="Arial MT"/>
        <family val="2"/>
      </rPr>
      <t>S01K25601VJ910271340</t>
    </r>
  </si>
  <si>
    <r>
      <rPr>
        <sz val="8.5"/>
        <rFont val="Arial MT"/>
        <family val="2"/>
      </rPr>
      <t>S01K25701VJ910324431</t>
    </r>
  </si>
  <si>
    <r>
      <rPr>
        <sz val="8.5"/>
        <rFont val="Arial MT"/>
        <family val="2"/>
      </rPr>
      <t>S01K25601VJ910271328</t>
    </r>
  </si>
  <si>
    <r>
      <rPr>
        <sz val="8.5"/>
        <rFont val="Arial MT"/>
        <family val="2"/>
      </rPr>
      <t>S01K25701VJ910344042</t>
    </r>
  </si>
  <si>
    <r>
      <rPr>
        <sz val="8.5"/>
        <rFont val="Arial MT"/>
        <family val="2"/>
      </rPr>
      <t>S01K25601VJ910271159</t>
    </r>
  </si>
  <si>
    <r>
      <rPr>
        <sz val="8.5"/>
        <rFont val="Arial MT"/>
        <family val="2"/>
      </rPr>
      <t>S01K25601VJ910271706</t>
    </r>
  </si>
  <si>
    <r>
      <rPr>
        <sz val="8.5"/>
        <rFont val="Arial MT"/>
        <family val="2"/>
      </rPr>
      <t>S01K25601VJ910299106</t>
    </r>
  </si>
  <si>
    <r>
      <rPr>
        <sz val="8.5"/>
        <rFont val="Arial MT"/>
        <family val="2"/>
      </rPr>
      <t>S01K25601VJ910271355</t>
    </r>
  </si>
  <si>
    <r>
      <rPr>
        <sz val="8.5"/>
        <rFont val="Arial MT"/>
        <family val="2"/>
      </rPr>
      <t>S01K15401M8110400997</t>
    </r>
  </si>
  <si>
    <r>
      <rPr>
        <sz val="8.5"/>
        <rFont val="Arial MT"/>
        <family val="2"/>
      </rPr>
      <t>S01K25601VJ910271342</t>
    </r>
  </si>
  <si>
    <r>
      <rPr>
        <sz val="8.5"/>
        <rFont val="Arial MT"/>
        <family val="2"/>
      </rPr>
      <t>S01K25701VJ910339400</t>
    </r>
  </si>
  <si>
    <r>
      <rPr>
        <sz val="8.5"/>
        <rFont val="Arial MT"/>
        <family val="2"/>
      </rPr>
      <t>S01F14A01GH910776793</t>
    </r>
  </si>
  <si>
    <r>
      <rPr>
        <sz val="8.5"/>
        <rFont val="Arial MT"/>
        <family val="2"/>
      </rPr>
      <t>S01K25701VJ910344686</t>
    </r>
  </si>
  <si>
    <r>
      <rPr>
        <sz val="8.5"/>
        <rFont val="Arial MT"/>
        <family val="2"/>
      </rPr>
      <t>S01K25701VJ910343489</t>
    </r>
  </si>
  <si>
    <r>
      <rPr>
        <sz val="8.5"/>
        <rFont val="Arial MT"/>
        <family val="2"/>
      </rPr>
      <t>S01K25801VJ910368559</t>
    </r>
  </si>
  <si>
    <r>
      <rPr>
        <sz val="8.5"/>
        <rFont val="Arial MT"/>
        <family val="2"/>
      </rPr>
      <t>S01K15301M8110377146</t>
    </r>
  </si>
  <si>
    <r>
      <rPr>
        <sz val="8.5"/>
        <rFont val="Arial MT"/>
        <family val="2"/>
      </rPr>
      <t>S01K25601VJ910298768</t>
    </r>
  </si>
  <si>
    <r>
      <rPr>
        <sz val="8.5"/>
        <rFont val="Arial MT"/>
        <family val="2"/>
      </rPr>
      <t>S01K25601VJ910271151</t>
    </r>
  </si>
  <si>
    <r>
      <rPr>
        <sz val="8.5"/>
        <rFont val="Arial MT"/>
        <family val="2"/>
      </rPr>
      <t>S01K25701VJ910343504</t>
    </r>
  </si>
  <si>
    <r>
      <rPr>
        <sz val="8.5"/>
        <rFont val="Arial MT"/>
        <family val="2"/>
      </rPr>
      <t>S01K25701VJ910339622</t>
    </r>
  </si>
  <si>
    <r>
      <rPr>
        <sz val="8.5"/>
        <rFont val="Arial MT"/>
        <family val="2"/>
      </rPr>
      <t>S01K25701VJ910318641</t>
    </r>
  </si>
  <si>
    <r>
      <rPr>
        <sz val="8.5"/>
        <rFont val="Arial MT"/>
        <family val="2"/>
      </rPr>
      <t>S01K25601VJ910260945</t>
    </r>
  </si>
  <si>
    <r>
      <rPr>
        <sz val="8.5"/>
        <rFont val="Arial MT"/>
        <family val="2"/>
      </rPr>
      <t>S01K25601VJ910265689</t>
    </r>
  </si>
  <si>
    <r>
      <rPr>
        <sz val="8.5"/>
        <rFont val="Arial MT"/>
        <family val="2"/>
      </rPr>
      <t>S01K25801VJ910368517</t>
    </r>
  </si>
  <si>
    <r>
      <rPr>
        <sz val="8.5"/>
        <rFont val="Arial MT"/>
        <family val="2"/>
      </rPr>
      <t>S01K25701VJ910339375</t>
    </r>
  </si>
  <si>
    <r>
      <rPr>
        <sz val="8.5"/>
        <rFont val="Arial MT"/>
        <family val="2"/>
      </rPr>
      <t>S01K15301M8110377117</t>
    </r>
  </si>
  <si>
    <r>
      <rPr>
        <sz val="8.5"/>
        <rFont val="Arial MT"/>
        <family val="2"/>
      </rPr>
      <t>S01K25701VJ910344041</t>
    </r>
  </si>
  <si>
    <r>
      <rPr>
        <sz val="8.5"/>
        <rFont val="Arial MT"/>
        <family val="2"/>
      </rPr>
      <t>S01K25801VJ910368511</t>
    </r>
  </si>
  <si>
    <r>
      <rPr>
        <sz val="8.5"/>
        <rFont val="Arial MT"/>
        <family val="2"/>
      </rPr>
      <t>S01K15301M8110379331</t>
    </r>
  </si>
  <si>
    <r>
      <rPr>
        <sz val="8.5"/>
        <rFont val="Arial MT"/>
        <family val="2"/>
      </rPr>
      <t>S01K25701VJ910318677</t>
    </r>
  </si>
  <si>
    <r>
      <rPr>
        <sz val="8.5"/>
        <rFont val="Arial MT"/>
        <family val="2"/>
      </rPr>
      <t>S01K25701VJ910318679</t>
    </r>
  </si>
  <si>
    <r>
      <rPr>
        <sz val="8.5"/>
        <rFont val="Arial MT"/>
        <family val="2"/>
      </rPr>
      <t>S01K25701VJ910324414</t>
    </r>
  </si>
  <si>
    <r>
      <rPr>
        <sz val="8.5"/>
        <rFont val="Arial MT"/>
        <family val="2"/>
      </rPr>
      <t>S01K25701VJ910314797</t>
    </r>
  </si>
  <si>
    <r>
      <rPr>
        <sz val="8.5"/>
        <rFont val="Arial MT"/>
        <family val="2"/>
      </rPr>
      <t>S01K25701VJ910338770</t>
    </r>
  </si>
  <si>
    <r>
      <rPr>
        <sz val="8.5"/>
        <rFont val="Arial MT"/>
        <family val="2"/>
      </rPr>
      <t>S01K25601VJ910271141</t>
    </r>
  </si>
  <si>
    <r>
      <rPr>
        <sz val="8.5"/>
        <rFont val="Arial MT"/>
        <family val="2"/>
      </rPr>
      <t>S01K25701VJ910344036</t>
    </r>
  </si>
  <si>
    <r>
      <rPr>
        <sz val="8.5"/>
        <rFont val="Arial MT"/>
        <family val="2"/>
      </rPr>
      <t>S01K25701VJ910343459</t>
    </r>
  </si>
  <si>
    <r>
      <rPr>
        <sz val="8.5"/>
        <rFont val="Arial MT"/>
        <family val="2"/>
      </rPr>
      <t>S01K25601VJ910271373</t>
    </r>
  </si>
  <si>
    <r>
      <rPr>
        <sz val="8.5"/>
        <rFont val="Arial MT"/>
        <family val="2"/>
      </rPr>
      <t>S01K25701VJ910327736</t>
    </r>
  </si>
  <si>
    <r>
      <rPr>
        <sz val="8.5"/>
        <rFont val="Arial MT"/>
        <family val="2"/>
      </rPr>
      <t>S01K25601VJ910298992</t>
    </r>
  </si>
  <si>
    <r>
      <rPr>
        <sz val="8.5"/>
        <rFont val="Arial MT"/>
        <family val="2"/>
      </rPr>
      <t>S01K25701VJ910344011</t>
    </r>
  </si>
  <si>
    <r>
      <rPr>
        <sz val="8.5"/>
        <rFont val="Arial MT"/>
        <family val="2"/>
      </rPr>
      <t>S01K25701VJ910338785</t>
    </r>
  </si>
  <si>
    <r>
      <rPr>
        <sz val="8.5"/>
        <rFont val="Arial MT"/>
        <family val="2"/>
      </rPr>
      <t>S01K15301M8110376642</t>
    </r>
  </si>
  <si>
    <r>
      <rPr>
        <sz val="8.5"/>
        <rFont val="Arial MT"/>
        <family val="2"/>
      </rPr>
      <t>S01K25801VJ910362533</t>
    </r>
  </si>
  <si>
    <r>
      <rPr>
        <sz val="8.5"/>
        <rFont val="Arial MT"/>
        <family val="2"/>
      </rPr>
      <t>S01K15301M8110377208</t>
    </r>
  </si>
  <si>
    <r>
      <rPr>
        <sz val="8.5"/>
        <rFont val="Arial MT"/>
        <family val="2"/>
      </rPr>
      <t>S01K25701VJ910321641</t>
    </r>
  </si>
  <si>
    <t>S01K25601VJ910260933</t>
  </si>
  <si>
    <r>
      <rPr>
        <sz val="8.5"/>
        <rFont val="Arial MT"/>
        <family val="2"/>
      </rPr>
      <t>S01K25601VJ910298733</t>
    </r>
  </si>
  <si>
    <r>
      <rPr>
        <sz val="8.5"/>
        <rFont val="Arial MT"/>
        <family val="2"/>
      </rPr>
      <t>S01K25601VJ910298899</t>
    </r>
  </si>
  <si>
    <r>
      <rPr>
        <sz val="8.5"/>
        <rFont val="Arial MT"/>
        <family val="2"/>
      </rPr>
      <t>S01K15401M8110424471</t>
    </r>
  </si>
  <si>
    <r>
      <rPr>
        <sz val="8.5"/>
        <rFont val="Arial MT"/>
        <family val="2"/>
      </rPr>
      <t>S01K25701VJ910338783</t>
    </r>
  </si>
  <si>
    <r>
      <rPr>
        <sz val="8.5"/>
        <rFont val="Arial MT"/>
        <family val="2"/>
      </rPr>
      <t>S01K25701VJ910343445</t>
    </r>
  </si>
  <si>
    <r>
      <rPr>
        <sz val="8.5"/>
        <rFont val="Arial MT"/>
        <family val="2"/>
      </rPr>
      <t>S01K25601VJ910298762</t>
    </r>
  </si>
  <si>
    <r>
      <rPr>
        <sz val="8.5"/>
        <rFont val="Arial MT"/>
        <family val="2"/>
      </rPr>
      <t>S01K15401M8110383615</t>
    </r>
  </si>
  <si>
    <r>
      <rPr>
        <sz val="8.5"/>
        <rFont val="Arial MT"/>
        <family val="2"/>
      </rPr>
      <t>S01K25A01VJ910475054</t>
    </r>
  </si>
  <si>
    <r>
      <rPr>
        <sz val="8.5"/>
        <rFont val="Arial MT"/>
        <family val="2"/>
      </rPr>
      <t>S01K25601VJ910271333</t>
    </r>
  </si>
  <si>
    <r>
      <rPr>
        <sz val="8.5"/>
        <rFont val="Arial MT"/>
        <family val="2"/>
      </rPr>
      <t>S01K25A01VJ910473603</t>
    </r>
  </si>
  <si>
    <r>
      <rPr>
        <sz val="8.5"/>
        <rFont val="Arial MT"/>
        <family val="2"/>
      </rPr>
      <t>S01K25701VJ910318671</t>
    </r>
  </si>
  <si>
    <r>
      <rPr>
        <sz val="8.5"/>
        <rFont val="Arial MT"/>
        <family val="2"/>
      </rPr>
      <t>S01K25701VJ910318672</t>
    </r>
  </si>
  <si>
    <r>
      <rPr>
        <sz val="8.5"/>
        <rFont val="Arial MT"/>
        <family val="2"/>
      </rPr>
      <t>S01K25701VJ910338990</t>
    </r>
  </si>
  <si>
    <r>
      <rPr>
        <sz val="8.5"/>
        <rFont val="Arial MT"/>
        <family val="2"/>
      </rPr>
      <t>S01K25701VJ910339634</t>
    </r>
  </si>
  <si>
    <r>
      <rPr>
        <sz val="8.5"/>
        <rFont val="Arial MT"/>
        <family val="2"/>
      </rPr>
      <t>S01K25701VJ910318662</t>
    </r>
  </si>
  <si>
    <r>
      <rPr>
        <sz val="8.5"/>
        <rFont val="Arial MT"/>
        <family val="2"/>
      </rPr>
      <t>S01K15301M8110379364</t>
    </r>
  </si>
  <si>
    <r>
      <rPr>
        <sz val="8.5"/>
        <rFont val="Arial MT"/>
        <family val="2"/>
      </rPr>
      <t>S01F15101GH911002663</t>
    </r>
  </si>
  <si>
    <r>
      <rPr>
        <sz val="8.5"/>
        <rFont val="Arial MT"/>
        <family val="2"/>
      </rPr>
      <t>S01K25701VJ910343889</t>
    </r>
  </si>
  <si>
    <r>
      <rPr>
        <sz val="8.5"/>
        <rFont val="Arial MT"/>
        <family val="2"/>
      </rPr>
      <t>S01K25701VJ910338759</t>
    </r>
  </si>
  <si>
    <r>
      <rPr>
        <sz val="8.5"/>
        <rFont val="Arial MT"/>
        <family val="2"/>
      </rPr>
      <t>S01K15301M8110379340</t>
    </r>
  </si>
  <si>
    <r>
      <rPr>
        <sz val="8.5"/>
        <rFont val="Arial MT"/>
        <family val="2"/>
      </rPr>
      <t>S01K15301M8110344277</t>
    </r>
  </si>
  <si>
    <r>
      <rPr>
        <sz val="8.5"/>
        <rFont val="Arial MT"/>
        <family val="2"/>
      </rPr>
      <t>S01F14801GH910643791</t>
    </r>
  </si>
  <si>
    <r>
      <rPr>
        <sz val="8.5"/>
        <rFont val="Arial MT"/>
        <family val="2"/>
      </rPr>
      <t>S01K15301M8110379389</t>
    </r>
  </si>
  <si>
    <r>
      <rPr>
        <sz val="8.5"/>
        <rFont val="Arial MT"/>
        <family val="2"/>
      </rPr>
      <t>S01K25601VJ910271354</t>
    </r>
  </si>
  <si>
    <r>
      <rPr>
        <sz val="8.5"/>
        <rFont val="Arial MT"/>
        <family val="2"/>
      </rPr>
      <t>S01K25701VJ910343880</t>
    </r>
  </si>
  <si>
    <r>
      <rPr>
        <sz val="8.5"/>
        <rFont val="Arial MT"/>
        <family val="2"/>
      </rPr>
      <t>S01K25601VJ910271324</t>
    </r>
  </si>
  <si>
    <r>
      <rPr>
        <sz val="8.5"/>
        <rFont val="Arial MT"/>
        <family val="2"/>
      </rPr>
      <t>S01K15301M8110375119</t>
    </r>
  </si>
  <si>
    <r>
      <rPr>
        <sz val="8.5"/>
        <rFont val="Arial MT"/>
        <family val="2"/>
      </rPr>
      <t>S01K25701VJ910330702</t>
    </r>
  </si>
  <si>
    <r>
      <rPr>
        <sz val="8.5"/>
        <rFont val="Arial MT"/>
        <family val="2"/>
      </rPr>
      <t>S01F14C01GH910979595</t>
    </r>
  </si>
  <si>
    <r>
      <rPr>
        <sz val="8.5"/>
        <rFont val="Arial MT"/>
        <family val="2"/>
      </rPr>
      <t>S01K25701VJ910338989</t>
    </r>
  </si>
  <si>
    <r>
      <rPr>
        <sz val="8.5"/>
        <rFont val="Arial MT"/>
        <family val="2"/>
      </rPr>
      <t>S01F14901GH910663484</t>
    </r>
  </si>
  <si>
    <r>
      <rPr>
        <sz val="8.5"/>
        <rFont val="Arial MT"/>
        <family val="2"/>
      </rPr>
      <t>S01K15301M8110374901</t>
    </r>
  </si>
  <si>
    <r>
      <rPr>
        <sz val="8.5"/>
        <rFont val="Arial MT"/>
        <family val="2"/>
      </rPr>
      <t>S01K25701VJ910321652</t>
    </r>
  </si>
  <si>
    <r>
      <rPr>
        <sz val="8.5"/>
        <rFont val="Arial MT"/>
        <family val="2"/>
      </rPr>
      <t>S01K25601VJ910256332</t>
    </r>
  </si>
  <si>
    <r>
      <rPr>
        <sz val="8.5"/>
        <rFont val="Arial MT"/>
        <family val="2"/>
      </rPr>
      <t>S01K15301M8110379197</t>
    </r>
  </si>
  <si>
    <r>
      <rPr>
        <sz val="8.5"/>
        <rFont val="Arial MT"/>
        <family val="2"/>
      </rPr>
      <t>S01K25601VJ910271325</t>
    </r>
  </si>
  <si>
    <r>
      <rPr>
        <sz val="8.5"/>
        <rFont val="Arial MT"/>
        <family val="2"/>
      </rPr>
      <t>S01K25601VJ910271165</t>
    </r>
  </si>
  <si>
    <r>
      <rPr>
        <sz val="8.5"/>
        <rFont val="Arial MT"/>
        <family val="2"/>
      </rPr>
      <t>S01K25701VJ910338784</t>
    </r>
  </si>
  <si>
    <r>
      <rPr>
        <sz val="8.5"/>
        <rFont val="Arial MT"/>
        <family val="2"/>
      </rPr>
      <t>S01K25601VJ910271148</t>
    </r>
  </si>
  <si>
    <r>
      <rPr>
        <sz val="8.5"/>
        <rFont val="Arial MT"/>
        <family val="2"/>
      </rPr>
      <t>S01K25701VJ910321139</t>
    </r>
  </si>
  <si>
    <r>
      <rPr>
        <sz val="8.5"/>
        <rFont val="Arial MT"/>
        <family val="2"/>
      </rPr>
      <t>S01K25601VJ910252432</t>
    </r>
  </si>
  <si>
    <r>
      <rPr>
        <sz val="8.5"/>
        <rFont val="Arial MT"/>
        <family val="2"/>
      </rPr>
      <t>S01K25701VJ910318678</t>
    </r>
  </si>
  <si>
    <r>
      <rPr>
        <sz val="8.5"/>
        <rFont val="Arial MT"/>
        <family val="2"/>
      </rPr>
      <t>S01K25701VJ910343473</t>
    </r>
  </si>
  <si>
    <r>
      <rPr>
        <sz val="8.5"/>
        <rFont val="Arial MT"/>
        <family val="2"/>
      </rPr>
      <t>S01K25701VJ910344012</t>
    </r>
  </si>
  <si>
    <r>
      <rPr>
        <sz val="8.5"/>
        <rFont val="Arial MT"/>
        <family val="2"/>
      </rPr>
      <t>S01K25601VJ910265694</t>
    </r>
  </si>
  <si>
    <r>
      <rPr>
        <sz val="8.5"/>
        <rFont val="Arial MT"/>
        <family val="2"/>
      </rPr>
      <t>S01K15501M8110457838</t>
    </r>
  </si>
  <si>
    <r>
      <rPr>
        <sz val="8.5"/>
        <rFont val="Arial MT"/>
        <family val="2"/>
      </rPr>
      <t>S01K25601VJ910265675</t>
    </r>
  </si>
  <si>
    <r>
      <rPr>
        <sz val="8.5"/>
        <rFont val="Arial MT"/>
        <family val="2"/>
      </rPr>
      <t>S01K25701VJ910338009</t>
    </r>
  </si>
  <si>
    <r>
      <rPr>
        <sz val="8.5"/>
        <rFont val="Arial MT"/>
        <family val="2"/>
      </rPr>
      <t>Meta Quest 3 4k</t>
    </r>
  </si>
  <si>
    <r>
      <rPr>
        <sz val="8.5"/>
        <rFont val="Arial MT"/>
        <family val="2"/>
      </rPr>
      <t>2G97BMMH5F0211</t>
    </r>
  </si>
  <si>
    <r>
      <rPr>
        <sz val="8.5"/>
        <rFont val="Arial MT"/>
        <family val="2"/>
      </rPr>
      <t>2G97BMMH6L02HS</t>
    </r>
  </si>
  <si>
    <r>
      <rPr>
        <sz val="8.5"/>
        <rFont val="Arial MT"/>
        <family val="2"/>
      </rPr>
      <t>2G97BMMH6103CB</t>
    </r>
  </si>
  <si>
    <r>
      <rPr>
        <sz val="8.5"/>
        <rFont val="Arial MT"/>
        <family val="2"/>
      </rPr>
      <t>2G97BMMH5N00VY</t>
    </r>
  </si>
  <si>
    <r>
      <rPr>
        <sz val="8.5"/>
        <rFont val="Arial MT"/>
        <family val="2"/>
      </rPr>
      <t>2G97BMMH9H02Q8</t>
    </r>
  </si>
  <si>
    <r>
      <rPr>
        <sz val="8.5"/>
        <rFont val="Arial MT"/>
        <family val="2"/>
      </rPr>
      <t>2G97BMMHB601MB</t>
    </r>
  </si>
  <si>
    <r>
      <rPr>
        <sz val="8.5"/>
        <rFont val="Arial MT"/>
        <family val="2"/>
      </rPr>
      <t>2G97BMMH5D00BK</t>
    </r>
  </si>
  <si>
    <r>
      <rPr>
        <sz val="8.5"/>
        <rFont val="Arial MT"/>
        <family val="2"/>
      </rPr>
      <t>2G97BMMH5J0440</t>
    </r>
  </si>
  <si>
    <r>
      <rPr>
        <sz val="8.5"/>
        <rFont val="Arial MT"/>
        <family val="2"/>
      </rPr>
      <t>2G97BMMH9Q04VP</t>
    </r>
  </si>
  <si>
    <r>
      <rPr>
        <sz val="8.5"/>
        <rFont val="Arial MT"/>
        <family val="2"/>
      </rPr>
      <t>2G97BMMH6L02GB</t>
    </r>
  </si>
  <si>
    <r>
      <rPr>
        <sz val="8.5"/>
        <rFont val="Arial MT"/>
        <family val="2"/>
      </rPr>
      <t>2G97BMMH4Y0347</t>
    </r>
  </si>
  <si>
    <r>
      <rPr>
        <sz val="8.5"/>
        <rFont val="Arial MT"/>
        <family val="2"/>
      </rPr>
      <t>2G97BMMHB601YJ</t>
    </r>
  </si>
  <si>
    <r>
      <rPr>
        <sz val="8.5"/>
        <rFont val="Arial MT"/>
        <family val="2"/>
      </rPr>
      <t>Meta Quest 3 4k Batman</t>
    </r>
  </si>
  <si>
    <r>
      <rPr>
        <sz val="8.5"/>
        <rFont val="Arial MT"/>
        <family val="2"/>
      </rPr>
      <t>2G0YBMTGCQ05LV</t>
    </r>
  </si>
  <si>
    <t>AR 10 2026</t>
  </si>
  <si>
    <t>AR 10</t>
  </si>
  <si>
    <t>Extra with AR10</t>
  </si>
  <si>
    <t>owais  pending stock</t>
  </si>
  <si>
    <t>mudassir pending</t>
  </si>
  <si>
    <t>muassir label</t>
  </si>
  <si>
    <t>owais ledger</t>
  </si>
  <si>
    <t>2-23-2026</t>
  </si>
  <si>
    <t>888923920344 Owais HT</t>
  </si>
  <si>
    <t>Active Unlock</t>
  </si>
  <si>
    <t>SDFRX76FXWF</t>
  </si>
  <si>
    <t>SC74XW29FHW</t>
  </si>
  <si>
    <t>SDPHFCQN7CC</t>
  </si>
  <si>
    <t>SM2PQM26CRW</t>
  </si>
  <si>
    <t>MacBook Pro M4 Pro 16" MX2Y3LL/A</t>
  </si>
  <si>
    <t>48 GB, 512 GB</t>
  </si>
  <si>
    <t>SKX7D6QF039</t>
  </si>
  <si>
    <t>SC2NQP3VGX5</t>
  </si>
  <si>
    <t>MacBook Pro M4 Pro 14" MX2E3LL/A</t>
  </si>
  <si>
    <t>SG0F6NXGK0F</t>
  </si>
  <si>
    <t>MacBook Air M4 15" MW1M3LL/A</t>
  </si>
  <si>
    <t>SDH3C5K2MMW</t>
  </si>
  <si>
    <t>SF922HPX2GV</t>
  </si>
  <si>
    <t>SL6JFHCJWDP</t>
  </si>
  <si>
    <t>SM69QWJLC4J</t>
  </si>
  <si>
    <t>SD9YYQKY4TH</t>
  </si>
  <si>
    <t>SDK96Y1H263</t>
  </si>
  <si>
    <t>SM2JQX2FX49</t>
  </si>
  <si>
    <t>512gb in AR11</t>
  </si>
  <si>
    <t>USD  Price</t>
  </si>
  <si>
    <t>AR 11 2026</t>
  </si>
  <si>
    <t>AR 11</t>
  </si>
  <si>
    <t>cancel 19-2-2026</t>
  </si>
  <si>
    <t>CT Freight Melbourne</t>
  </si>
  <si>
    <t>Canon Mark III Black Noel Leeming Pending Delivery</t>
  </si>
  <si>
    <t>Starlink Mini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</si>
  <si>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</si>
  <si>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</si>
  <si>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</si>
  <si>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</si>
  <si>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</si>
  <si>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</si>
  <si>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</si>
  <si>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</si>
  <si>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</si>
  <si>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</si>
  <si>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</si>
  <si>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Iphone 17 pro max 256 Silver JHIFI Roselands</t>
  </si>
  <si>
    <t>Starlink Standard Kit JHIFI Roselands</t>
  </si>
  <si>
    <t>Starlink Standard Kit Bunnings Morayfiled Queensland</t>
  </si>
  <si>
    <t>Iphone Air 256 Blue Harvey Norman Fyshwick</t>
  </si>
  <si>
    <t>Kodak Camera</t>
  </si>
  <si>
    <t>Sale Laksh Kumar</t>
  </si>
  <si>
    <t>Sale Sagar Kumar</t>
  </si>
  <si>
    <t>Sale Umair Sheikh</t>
  </si>
  <si>
    <t>Sale Faizan Sulaiman</t>
  </si>
  <si>
    <r>
      <rPr>
        <b/>
        <sz val="6"/>
        <rFont val="Arial"/>
        <family val="2"/>
      </rPr>
      <t xml:space="preserve">Date
</t>
    </r>
    <r>
      <rPr>
        <b/>
        <sz val="6"/>
        <rFont val="Arial"/>
        <family val="2"/>
      </rPr>
      <t>Party Name</t>
    </r>
  </si>
  <si>
    <r>
      <rPr>
        <sz val="11"/>
        <rFont val="Arial MT"/>
        <family val="2"/>
      </rPr>
      <t>2-25-2026
889002110930 Owais HT</t>
    </r>
  </si>
  <si>
    <t>USD Price</t>
  </si>
  <si>
    <t>UNLOCK</t>
  </si>
  <si>
    <r>
      <rPr>
        <sz val="10"/>
        <rFont val="Arial MT"/>
        <family val="2"/>
      </rPr>
      <t>Cloud White</t>
    </r>
  </si>
  <si>
    <r>
      <rPr>
        <sz val="10"/>
        <rFont val="Arial MT"/>
        <family val="2"/>
      </rPr>
      <t>Lavender</t>
    </r>
  </si>
  <si>
    <r>
      <rPr>
        <sz val="10"/>
        <rFont val="Arial MT"/>
        <family val="2"/>
      </rPr>
      <t>iPhone 16 Pro Max</t>
    </r>
  </si>
  <si>
    <r>
      <rPr>
        <sz val="10"/>
        <rFont val="Arial MT"/>
        <family val="2"/>
      </rPr>
      <t>Black Ti</t>
    </r>
  </si>
  <si>
    <r>
      <rPr>
        <sz val="10"/>
        <rFont val="Arial MT"/>
        <family val="2"/>
      </rPr>
      <t>iPhone 16 Pro Max (FU Kit)</t>
    </r>
  </si>
  <si>
    <r>
      <t xml:space="preserve">SL6CYWW9MDV
</t>
    </r>
    <r>
      <rPr>
        <sz val="10"/>
        <rFont val="Arial MT"/>
        <family val="2"/>
      </rPr>
      <t>IMEI Change</t>
    </r>
  </si>
  <si>
    <t>T-M</t>
  </si>
  <si>
    <r>
      <rPr>
        <sz val="10"/>
        <rFont val="Arial MT"/>
        <family val="2"/>
      </rPr>
      <t>iPad Pro M5 13" (W)</t>
    </r>
  </si>
  <si>
    <r>
      <rPr>
        <sz val="10"/>
        <rFont val="Arial MT"/>
        <family val="2"/>
      </rPr>
      <t>Blacklist, Destroyed Box</t>
    </r>
  </si>
  <si>
    <r>
      <rPr>
        <sz val="10"/>
        <rFont val="Arial MT"/>
        <family val="2"/>
      </rPr>
      <t>Active, Fully Damaged Box</t>
    </r>
  </si>
  <si>
    <t>256GB</t>
  </si>
  <si>
    <r>
      <rPr>
        <sz val="10"/>
        <rFont val="Arial MT"/>
        <family val="2"/>
      </rPr>
      <t>iPad Air M3 13" (W+C)</t>
    </r>
  </si>
  <si>
    <r>
      <rPr>
        <sz val="10"/>
        <rFont val="Arial MT"/>
        <family val="2"/>
      </rPr>
      <t>SL4V6TLJ7VW</t>
    </r>
  </si>
  <si>
    <r>
      <rPr>
        <sz val="10"/>
        <rFont val="Arial MT"/>
        <family val="2"/>
      </rPr>
      <t>MacBook Pro M5 14" MDE34LL/A</t>
    </r>
  </si>
  <si>
    <r>
      <rPr>
        <sz val="10"/>
        <rFont val="Arial MT"/>
        <family val="2"/>
      </rPr>
      <t>24 GB, 1 TB</t>
    </r>
  </si>
  <si>
    <r>
      <rPr>
        <sz val="10"/>
        <rFont val="Arial MT"/>
        <family val="2"/>
      </rPr>
      <t>SH6YQYG26TH</t>
    </r>
  </si>
  <si>
    <t>MacBook Air M4 MW1G3LL/A</t>
  </si>
  <si>
    <r>
      <rPr>
        <sz val="10"/>
        <rFont val="Arial MT"/>
        <family val="2"/>
      </rPr>
      <t>16 GB, 256 GB</t>
    </r>
  </si>
  <si>
    <r>
      <rPr>
        <sz val="10"/>
        <rFont val="Arial MT"/>
        <family val="2"/>
      </rPr>
      <t>SHM43TPX49F</t>
    </r>
  </si>
  <si>
    <t xml:space="preserve">Active T-M </t>
  </si>
  <si>
    <r>
      <rPr>
        <sz val="10"/>
        <rFont val="Arial MT"/>
        <family val="2"/>
      </rPr>
      <t>SGKMG3PYHJT</t>
    </r>
  </si>
  <si>
    <r>
      <rPr>
        <sz val="10"/>
        <rFont val="Arial MT"/>
        <family val="2"/>
      </rPr>
      <t>SJ5WKTXVRQ3</t>
    </r>
  </si>
  <si>
    <r>
      <rPr>
        <sz val="10"/>
        <rFont val="Arial MT"/>
        <family val="2"/>
      </rPr>
      <t>SMXDPQ7W0C6</t>
    </r>
  </si>
  <si>
    <r>
      <rPr>
        <sz val="10"/>
        <rFont val="Arial MT"/>
        <family val="2"/>
      </rPr>
      <t>SGKC60K9330</t>
    </r>
  </si>
  <si>
    <r>
      <rPr>
        <sz val="10"/>
        <rFont val="Arial MT"/>
        <family val="2"/>
      </rPr>
      <t>SJ2L6L564XT</t>
    </r>
  </si>
  <si>
    <r>
      <rPr>
        <sz val="10"/>
        <rFont val="Arial MT"/>
        <family val="2"/>
      </rPr>
      <t>SLYGQL6FW2V</t>
    </r>
  </si>
  <si>
    <r>
      <rPr>
        <sz val="10"/>
        <rFont val="Arial MT"/>
        <family val="2"/>
      </rPr>
      <t>SLL2DQQW00F</t>
    </r>
  </si>
  <si>
    <r>
      <rPr>
        <sz val="10"/>
        <rFont val="Arial MT"/>
        <family val="2"/>
      </rPr>
      <t>SJQCN6DF49Q</t>
    </r>
  </si>
  <si>
    <r>
      <rPr>
        <sz val="10"/>
        <rFont val="Arial MT"/>
        <family val="2"/>
      </rPr>
      <t>SJR3G9136NF</t>
    </r>
  </si>
  <si>
    <r>
      <rPr>
        <sz val="10"/>
        <rFont val="Arial MT"/>
        <family val="2"/>
      </rPr>
      <t>SK0PV9M7474</t>
    </r>
  </si>
  <si>
    <r>
      <rPr>
        <sz val="10"/>
        <rFont val="Arial MT"/>
        <family val="2"/>
      </rPr>
      <t>SGHF7JVCQ50</t>
    </r>
  </si>
  <si>
    <r>
      <rPr>
        <sz val="10"/>
        <rFont val="Arial MT"/>
        <family val="2"/>
      </rPr>
      <t>SJRQ914KM7T</t>
    </r>
  </si>
  <si>
    <r>
      <rPr>
        <sz val="10"/>
        <rFont val="Arial MT"/>
        <family val="2"/>
      </rPr>
      <t>SC39D9MK224</t>
    </r>
  </si>
  <si>
    <r>
      <t>SKJQXT67M7T</t>
    </r>
    <r>
      <rPr>
        <sz val="10"/>
        <rFont val="Arial MT"/>
      </rPr>
      <t xml:space="preserve">
</t>
    </r>
    <r>
      <rPr>
        <sz val="10"/>
        <rFont val="Arial MT"/>
        <family val="2"/>
      </rPr>
      <t>IMEI Change</t>
    </r>
  </si>
  <si>
    <r>
      <rPr>
        <sz val="10"/>
        <rFont val="Arial MT"/>
        <family val="2"/>
      </rPr>
      <t>SCXTWPHF2CV</t>
    </r>
  </si>
  <si>
    <r>
      <rPr>
        <sz val="10"/>
        <rFont val="Arial MT"/>
        <family val="2"/>
      </rPr>
      <t>SLXNC66QXX4</t>
    </r>
  </si>
  <si>
    <r>
      <rPr>
        <sz val="10"/>
        <rFont val="Arial MT"/>
        <family val="2"/>
      </rPr>
      <t>SFQ4L2CX7F5</t>
    </r>
  </si>
  <si>
    <r>
      <rPr>
        <sz val="10"/>
        <rFont val="Arial MT"/>
        <family val="2"/>
      </rPr>
      <t>SMJ46J6MYVQ</t>
    </r>
  </si>
  <si>
    <r>
      <rPr>
        <sz val="10"/>
        <rFont val="Arial MT"/>
        <family val="2"/>
      </rPr>
      <t>AirPods 4</t>
    </r>
  </si>
  <si>
    <r>
      <rPr>
        <sz val="10"/>
        <rFont val="Arial MT"/>
        <family val="2"/>
      </rPr>
      <t>SF6FH0W9YC3</t>
    </r>
  </si>
  <si>
    <r>
      <rPr>
        <sz val="10"/>
        <rFont val="Arial MT"/>
        <family val="2"/>
      </rPr>
      <t>AirPods 4 ANC</t>
    </r>
  </si>
  <si>
    <r>
      <rPr>
        <sz val="10"/>
        <rFont val="Arial MT"/>
        <family val="2"/>
      </rPr>
      <t>SGQXNHP41GJ</t>
    </r>
  </si>
  <si>
    <r>
      <rPr>
        <sz val="10"/>
        <rFont val="Arial MT"/>
        <family val="2"/>
      </rPr>
      <t>SHVXM9L7WXD</t>
    </r>
  </si>
  <si>
    <r>
      <rPr>
        <sz val="10"/>
        <rFont val="Arial MT"/>
        <family val="2"/>
      </rPr>
      <t>SKF24J3L34K</t>
    </r>
  </si>
  <si>
    <r>
      <rPr>
        <sz val="10"/>
        <rFont val="Arial MT"/>
        <family val="2"/>
      </rPr>
      <t>SFR2MTF47V1</t>
    </r>
  </si>
  <si>
    <r>
      <rPr>
        <sz val="10"/>
        <rFont val="Arial MT"/>
        <family val="2"/>
      </rPr>
      <t>SM3X9MM2Q33</t>
    </r>
  </si>
  <si>
    <r>
      <rPr>
        <sz val="10"/>
        <rFont val="Arial MT"/>
        <family val="2"/>
      </rPr>
      <t>SK25CVJ0022</t>
    </r>
  </si>
  <si>
    <r>
      <rPr>
        <sz val="10"/>
        <rFont val="Arial MT"/>
        <family val="2"/>
      </rPr>
      <t>SHC2WPLX97K</t>
    </r>
  </si>
  <si>
    <r>
      <rPr>
        <sz val="10"/>
        <rFont val="Arial MT"/>
        <family val="2"/>
      </rPr>
      <t>Meta Quest 3 4k</t>
    </r>
  </si>
  <si>
    <r>
      <rPr>
        <sz val="10"/>
        <rFont val="Arial MT"/>
        <family val="2"/>
      </rPr>
      <t>2G97BMMH9G00L4</t>
    </r>
  </si>
  <si>
    <r>
      <rPr>
        <sz val="10"/>
        <rFont val="Arial MT"/>
        <family val="2"/>
      </rPr>
      <t>2G97BMMHB601XD</t>
    </r>
  </si>
  <si>
    <r>
      <rPr>
        <sz val="10"/>
        <rFont val="Arial MT"/>
        <family val="2"/>
      </rPr>
      <t>Meta Quest 3/3S Active Strap</t>
    </r>
  </si>
  <si>
    <r>
      <rPr>
        <sz val="10"/>
        <rFont val="Arial MT"/>
        <family val="2"/>
      </rPr>
      <t>Meta Wayfarer Gen 2</t>
    </r>
  </si>
  <si>
    <r>
      <rPr>
        <sz val="10"/>
        <rFont val="Arial MT"/>
        <family val="2"/>
      </rPr>
      <t>4V0ZW23H7303H1</t>
    </r>
  </si>
  <si>
    <r>
      <rPr>
        <sz val="10"/>
        <rFont val="Arial MT"/>
        <family val="2"/>
      </rPr>
      <t>Shiny Black, G15 Green</t>
    </r>
  </si>
  <si>
    <r>
      <rPr>
        <sz val="10"/>
        <rFont val="Arial MT"/>
        <family val="2"/>
      </rPr>
      <t>2Q9GS01H850597</t>
    </r>
  </si>
  <si>
    <t>2Q9GS11H9W01YZ
IMEI Change</t>
  </si>
  <si>
    <t>AR 12 2026</t>
  </si>
  <si>
    <t>2-19-2026
888637279919 Owais HT</t>
  </si>
  <si>
    <r>
      <rPr>
        <sz val="8.5"/>
        <rFont val="Arial MT"/>
        <family val="2"/>
      </rPr>
      <t>iPad A16 (W+C)</t>
    </r>
  </si>
  <si>
    <r>
      <rPr>
        <sz val="8.5"/>
        <rFont val="Arial MT"/>
        <family val="2"/>
      </rPr>
      <t>iPad A16 (W)</t>
    </r>
  </si>
  <si>
    <r>
      <rPr>
        <sz val="8.5"/>
        <rFont val="Arial MT"/>
        <family val="2"/>
      </rPr>
      <t>Blue</t>
    </r>
  </si>
  <si>
    <r>
      <rPr>
        <sz val="8.5"/>
        <rFont val="Arial MT"/>
        <family val="2"/>
      </rPr>
      <t>SJM6YL0WG9F</t>
    </r>
  </si>
  <si>
    <r>
      <rPr>
        <sz val="8.5"/>
        <rFont val="Arial MT"/>
        <family val="2"/>
      </rPr>
      <t>SF6XJVT6F64</t>
    </r>
  </si>
  <si>
    <r>
      <rPr>
        <sz val="8.5"/>
        <rFont val="Arial MT"/>
        <family val="2"/>
      </rPr>
      <t>iMac M4 24" All in One</t>
    </r>
  </si>
  <si>
    <r>
      <rPr>
        <sz val="8.5"/>
        <rFont val="Arial MT"/>
        <family val="2"/>
      </rPr>
      <t>16 GB, 256 GB</t>
    </r>
  </si>
  <si>
    <r>
      <rPr>
        <sz val="8.5"/>
        <rFont val="Arial MT"/>
        <family val="2"/>
      </rPr>
      <t>SMPHYYH41N4</t>
    </r>
  </si>
  <si>
    <r>
      <rPr>
        <sz val="8.5"/>
        <rFont val="Arial MT"/>
        <family val="2"/>
      </rPr>
      <t>Jet black</t>
    </r>
  </si>
  <si>
    <r>
      <rPr>
        <sz val="8.5"/>
        <rFont val="Arial MT"/>
        <family val="2"/>
      </rPr>
      <t>42mm</t>
    </r>
  </si>
  <si>
    <r>
      <rPr>
        <sz val="8.5"/>
        <rFont val="Arial MT"/>
        <family val="2"/>
      </rPr>
      <t>SD90054CGWR</t>
    </r>
  </si>
  <si>
    <r>
      <rPr>
        <sz val="8.5"/>
        <rFont val="Arial MT"/>
        <family val="2"/>
      </rPr>
      <t>SJ3XLMW4RHJ</t>
    </r>
  </si>
  <si>
    <r>
      <rPr>
        <sz val="8.5"/>
        <rFont val="Arial MT"/>
        <family val="2"/>
      </rPr>
      <t>Apple Watch SE 3</t>
    </r>
  </si>
  <si>
    <r>
      <rPr>
        <sz val="8.5"/>
        <rFont val="Arial MT"/>
        <family val="2"/>
      </rPr>
      <t>Starlight</t>
    </r>
  </si>
  <si>
    <r>
      <rPr>
        <sz val="8.5"/>
        <rFont val="Arial MT"/>
        <family val="2"/>
      </rPr>
      <t>44mm</t>
    </r>
  </si>
  <si>
    <r>
      <rPr>
        <sz val="8.5"/>
        <rFont val="Arial MT"/>
        <family val="2"/>
      </rPr>
      <t>40mm</t>
    </r>
  </si>
  <si>
    <r>
      <rPr>
        <sz val="8.5"/>
        <rFont val="Arial MT"/>
        <family val="2"/>
      </rPr>
      <t>SHL9FDHQ7V1</t>
    </r>
  </si>
  <si>
    <r>
      <rPr>
        <sz val="8.5"/>
        <rFont val="Arial MT"/>
        <family val="2"/>
      </rPr>
      <t>AirPods Pro 3</t>
    </r>
  </si>
  <si>
    <r>
      <rPr>
        <sz val="8.5"/>
        <rFont val="Arial MT"/>
        <family val="2"/>
      </rPr>
      <t>SDKDWDXNV5W</t>
    </r>
  </si>
  <si>
    <r>
      <rPr>
        <sz val="8.5"/>
        <rFont val="Arial MT"/>
        <family val="2"/>
      </rPr>
      <t>SLNQWT2T4YG</t>
    </r>
  </si>
  <si>
    <r>
      <rPr>
        <sz val="8.5"/>
        <rFont val="Arial MT"/>
        <family val="2"/>
      </rPr>
      <t>SMC4WKW9CYR</t>
    </r>
  </si>
  <si>
    <t>SDG23G2HK3D
IMEI Change</t>
  </si>
  <si>
    <r>
      <rPr>
        <sz val="8.5"/>
        <rFont val="Arial MT"/>
        <family val="2"/>
      </rPr>
      <t>SF07JKQGHRX</t>
    </r>
  </si>
  <si>
    <r>
      <rPr>
        <sz val="8.5"/>
        <rFont val="Arial MT"/>
        <family val="2"/>
      </rPr>
      <t>SMH9T4V24RX</t>
    </r>
  </si>
  <si>
    <t>SH7M49W234P
IMEI Change</t>
  </si>
  <si>
    <r>
      <rPr>
        <sz val="8.5"/>
        <rFont val="Arial MT"/>
        <family val="2"/>
      </rPr>
      <t>AirPods 4</t>
    </r>
  </si>
  <si>
    <r>
      <rPr>
        <sz val="8.5"/>
        <rFont val="Arial MT"/>
        <family val="2"/>
      </rPr>
      <t>SLHVKGXGGV1</t>
    </r>
  </si>
  <si>
    <r>
      <rPr>
        <sz val="8.5"/>
        <rFont val="Arial MT"/>
        <family val="2"/>
      </rPr>
      <t>SM0DJVXHXH5</t>
    </r>
  </si>
  <si>
    <t>SHVWDW0NQC7
IMEI Change</t>
  </si>
  <si>
    <r>
      <rPr>
        <sz val="8.5"/>
        <rFont val="Arial MT"/>
        <family val="2"/>
      </rPr>
      <t>AirPods Max</t>
    </r>
  </si>
  <si>
    <r>
      <rPr>
        <sz val="8.5"/>
        <rFont val="Arial MT"/>
        <family val="2"/>
      </rPr>
      <t>Midgnight</t>
    </r>
  </si>
  <si>
    <r>
      <rPr>
        <sz val="8.5"/>
        <rFont val="Arial MT"/>
        <family val="2"/>
      </rPr>
      <t>SF7GWR52XXV</t>
    </r>
  </si>
  <si>
    <r>
      <rPr>
        <sz val="8.5"/>
        <rFont val="Arial MT"/>
        <family val="2"/>
      </rPr>
      <t>SKW2TFVCTPF</t>
    </r>
  </si>
  <si>
    <r>
      <rPr>
        <sz val="8.5"/>
        <rFont val="Arial MT"/>
        <family val="2"/>
      </rPr>
      <t>SFH657P16FF</t>
    </r>
  </si>
  <si>
    <r>
      <rPr>
        <sz val="8.5"/>
        <rFont val="Arial MT"/>
        <family val="2"/>
      </rPr>
      <t>SJJ39W71WXL</t>
    </r>
  </si>
  <si>
    <r>
      <rPr>
        <sz val="8.5"/>
        <rFont val="Arial MT"/>
        <family val="2"/>
      </rPr>
      <t>SFX94F22022</t>
    </r>
  </si>
  <si>
    <r>
      <rPr>
        <sz val="8.5"/>
        <rFont val="Arial MT"/>
        <family val="2"/>
      </rPr>
      <t>SFK2LYK2VTG</t>
    </r>
  </si>
  <si>
    <r>
      <rPr>
        <sz val="8.5"/>
        <rFont val="Arial MT"/>
        <family val="2"/>
      </rPr>
      <t>AirPods Max with Case</t>
    </r>
  </si>
  <si>
    <r>
      <rPr>
        <sz val="8.5"/>
        <rFont val="Arial MT"/>
        <family val="2"/>
      </rPr>
      <t>Sky Blue</t>
    </r>
  </si>
  <si>
    <r>
      <rPr>
        <sz val="8.5"/>
        <rFont val="Arial MT"/>
        <family val="2"/>
      </rPr>
      <t>SH0YLM37J01TV</t>
    </r>
  </si>
  <si>
    <r>
      <rPr>
        <sz val="8.5"/>
        <rFont val="Arial MT"/>
        <family val="2"/>
      </rPr>
      <t>HomePod</t>
    </r>
  </si>
  <si>
    <r>
      <rPr>
        <sz val="8.5"/>
        <rFont val="Arial MT"/>
        <family val="2"/>
      </rPr>
      <t>Midnight</t>
    </r>
  </si>
  <si>
    <r>
      <rPr>
        <sz val="8.5"/>
        <rFont val="Arial MT"/>
        <family val="2"/>
      </rPr>
      <t>SKL7NTV5JX4</t>
    </r>
  </si>
  <si>
    <t>KL7NTV5JX4
IMEI Change</t>
  </si>
  <si>
    <r>
      <rPr>
        <sz val="8.5"/>
        <rFont val="Arial MT"/>
        <family val="2"/>
      </rPr>
      <t>S01K25801VJ910369954</t>
    </r>
  </si>
  <si>
    <r>
      <rPr>
        <sz val="8.5"/>
        <rFont val="Arial MT"/>
        <family val="2"/>
      </rPr>
      <t>S01K15301M8110376657</t>
    </r>
  </si>
  <si>
    <r>
      <rPr>
        <sz val="8.5"/>
        <rFont val="Arial MT"/>
        <family val="2"/>
      </rPr>
      <t>S01K15301M8110375050</t>
    </r>
  </si>
  <si>
    <r>
      <rPr>
        <sz val="8.5"/>
        <rFont val="Arial MT"/>
        <family val="2"/>
      </rPr>
      <t>S01K25701VJ910323124</t>
    </r>
  </si>
  <si>
    <r>
      <rPr>
        <sz val="8.5"/>
        <rFont val="Arial MT"/>
        <family val="2"/>
      </rPr>
      <t>S01K25601VJ910298734</t>
    </r>
  </si>
  <si>
    <r>
      <rPr>
        <sz val="8.5"/>
        <rFont val="Arial MT"/>
        <family val="2"/>
      </rPr>
      <t>S01K25701VJ910337971</t>
    </r>
  </si>
  <si>
    <r>
      <rPr>
        <sz val="8.5"/>
        <rFont val="Arial MT"/>
        <family val="2"/>
      </rPr>
      <t>S01K25701VJ910361291</t>
    </r>
  </si>
  <si>
    <r>
      <rPr>
        <sz val="8.5"/>
        <rFont val="Arial MT"/>
        <family val="2"/>
      </rPr>
      <t>S01K14C01M8110300239</t>
    </r>
  </si>
  <si>
    <r>
      <rPr>
        <sz val="8.5"/>
        <rFont val="Arial MT"/>
        <family val="2"/>
      </rPr>
      <t>S01K15301M8110377076</t>
    </r>
  </si>
  <si>
    <r>
      <rPr>
        <sz val="8.5"/>
        <rFont val="Arial MT"/>
        <family val="2"/>
      </rPr>
      <t>S01K25601VJ910256849</t>
    </r>
  </si>
  <si>
    <r>
      <rPr>
        <sz val="8.5"/>
        <rFont val="Arial MT"/>
        <family val="2"/>
      </rPr>
      <t>S01K25801VJ910362401</t>
    </r>
  </si>
  <si>
    <r>
      <rPr>
        <sz val="8.5"/>
        <rFont val="Arial MT"/>
        <family val="2"/>
      </rPr>
      <t>S01K25701VJ910339628</t>
    </r>
  </si>
  <si>
    <r>
      <rPr>
        <sz val="8.5"/>
        <rFont val="Arial MT"/>
        <family val="2"/>
      </rPr>
      <t>S01K25801VJ910368616</t>
    </r>
  </si>
  <si>
    <r>
      <rPr>
        <sz val="8.5"/>
        <rFont val="Arial MT"/>
        <family val="2"/>
      </rPr>
      <t>S01K25701VJ910337980</t>
    </r>
  </si>
  <si>
    <r>
      <rPr>
        <sz val="8.5"/>
        <rFont val="Arial MT"/>
        <family val="2"/>
      </rPr>
      <t>S01K15201M8110331481</t>
    </r>
  </si>
  <si>
    <r>
      <rPr>
        <sz val="8.5"/>
        <rFont val="Arial MT"/>
        <family val="2"/>
      </rPr>
      <t>S01K25701VJ910324429</t>
    </r>
  </si>
  <si>
    <r>
      <rPr>
        <sz val="8.5"/>
        <rFont val="Arial MT"/>
        <family val="2"/>
      </rPr>
      <t>S01K25701VJ910343448</t>
    </r>
  </si>
  <si>
    <r>
      <rPr>
        <sz val="8.5"/>
        <rFont val="Arial MT"/>
        <family val="2"/>
      </rPr>
      <t>S01K15401M8110385205</t>
    </r>
  </si>
  <si>
    <r>
      <rPr>
        <sz val="8.5"/>
        <rFont val="Arial MT"/>
        <family val="2"/>
      </rPr>
      <t>S01K15401M8110415281</t>
    </r>
  </si>
  <si>
    <r>
      <rPr>
        <sz val="8.5"/>
        <rFont val="Arial MT"/>
        <family val="2"/>
      </rPr>
      <t>S01K25701VJ910338761</t>
    </r>
  </si>
  <si>
    <r>
      <rPr>
        <sz val="8.5"/>
        <rFont val="Arial MT"/>
        <family val="2"/>
      </rPr>
      <t>S01K15301M8110361596</t>
    </r>
  </si>
  <si>
    <r>
      <rPr>
        <sz val="8.5"/>
        <rFont val="Arial MT"/>
        <family val="2"/>
      </rPr>
      <t>S01K15301M8110375188</t>
    </r>
  </si>
  <si>
    <r>
      <rPr>
        <sz val="8.5"/>
        <rFont val="Arial MT"/>
        <family val="2"/>
      </rPr>
      <t>S01K25601VJ910298756</t>
    </r>
  </si>
  <si>
    <r>
      <rPr>
        <sz val="8.5"/>
        <rFont val="Arial MT"/>
        <family val="2"/>
      </rPr>
      <t>S01K15501M8110427635</t>
    </r>
  </si>
  <si>
    <r>
      <rPr>
        <sz val="8.5"/>
        <rFont val="Arial MT"/>
        <family val="2"/>
      </rPr>
      <t>S01K14C01M8110301175</t>
    </r>
  </si>
  <si>
    <r>
      <rPr>
        <sz val="8.5"/>
        <rFont val="Arial MT"/>
        <family val="2"/>
      </rPr>
      <t>S01K25701VJ910344029</t>
    </r>
  </si>
  <si>
    <r>
      <rPr>
        <sz val="8.5"/>
        <rFont val="Arial MT"/>
        <family val="2"/>
      </rPr>
      <t>S01F14B01GH910888000</t>
    </r>
  </si>
  <si>
    <r>
      <rPr>
        <sz val="8.5"/>
        <rFont val="Arial MT"/>
        <family val="2"/>
      </rPr>
      <t>S01K25601VJ910302147</t>
    </r>
  </si>
  <si>
    <r>
      <rPr>
        <sz val="8.5"/>
        <rFont val="Arial MT"/>
        <family val="2"/>
      </rPr>
      <t>S01K15501M8110456256</t>
    </r>
  </si>
  <si>
    <r>
      <rPr>
        <sz val="8.5"/>
        <rFont val="Arial MT"/>
        <family val="2"/>
      </rPr>
      <t>S01F14A01GH910776398</t>
    </r>
  </si>
  <si>
    <r>
      <rPr>
        <sz val="8.5"/>
        <rFont val="Arial MT"/>
        <family val="2"/>
      </rPr>
      <t>Ps5 Slim Digital</t>
    </r>
  </si>
  <si>
    <r>
      <rPr>
        <sz val="8.5"/>
        <rFont val="Arial MT"/>
        <family val="2"/>
      </rPr>
      <t>825 GB</t>
    </r>
  </si>
  <si>
    <r>
      <rPr>
        <sz val="8.5"/>
        <rFont val="Arial MT"/>
        <family val="2"/>
      </rPr>
      <t>S01V55901UNL11544723</t>
    </r>
  </si>
  <si>
    <t>S01V55701UNL10760183
IMEI Change</t>
  </si>
  <si>
    <r>
      <rPr>
        <sz val="8.5"/>
        <rFont val="Arial MT"/>
        <family val="2"/>
      </rPr>
      <t>Ps5 Slim Disc</t>
    </r>
  </si>
  <si>
    <r>
      <rPr>
        <sz val="8.5"/>
        <rFont val="Arial MT"/>
        <family val="2"/>
      </rPr>
      <t>1 TB</t>
    </r>
  </si>
  <si>
    <r>
      <rPr>
        <sz val="8.5"/>
        <rFont val="Arial MT"/>
        <family val="2"/>
      </rPr>
      <t>S01E44B01VKK14540869</t>
    </r>
  </si>
  <si>
    <t>S01V55801Z1L10923196
IMEI Change</t>
  </si>
  <si>
    <r>
      <rPr>
        <sz val="8.5"/>
        <rFont val="Arial MT"/>
        <family val="2"/>
      </rPr>
      <t>S01K5590179810346251</t>
    </r>
  </si>
  <si>
    <t>S01M45101K1W10784760
IMEI Change</t>
  </si>
  <si>
    <r>
      <rPr>
        <sz val="8.5"/>
        <rFont val="Arial MT"/>
        <family val="2"/>
      </rPr>
      <t>S01F44A017RD12407038</t>
    </r>
  </si>
  <si>
    <t>S01V55601Z1L10342474
IMEI Change</t>
  </si>
  <si>
    <r>
      <rPr>
        <sz val="8.5"/>
        <rFont val="Arial MT"/>
        <family val="2"/>
      </rPr>
      <t>Dual Sense Edge Wireless Controller</t>
    </r>
  </si>
  <si>
    <r>
      <rPr>
        <sz val="8.5"/>
        <rFont val="Arial MT"/>
        <family val="2"/>
      </rPr>
      <t>Midnight Black</t>
    </r>
  </si>
  <si>
    <r>
      <rPr>
        <sz val="8.5"/>
        <rFont val="Arial MT"/>
        <family val="2"/>
      </rPr>
      <t>Dual Sense Wireless Controller</t>
    </r>
  </si>
  <si>
    <r>
      <rPr>
        <sz val="8.5"/>
        <rFont val="Arial MT"/>
        <family val="2"/>
      </rPr>
      <t>Galactic Purple</t>
    </r>
  </si>
  <si>
    <r>
      <rPr>
        <sz val="8.5"/>
        <rFont val="Arial MT"/>
        <family val="2"/>
      </rPr>
      <t>Grey Camouflage</t>
    </r>
  </si>
  <si>
    <t>Extra</t>
  </si>
  <si>
    <r>
      <rPr>
        <sz val="8.5"/>
        <rFont val="Arial MT"/>
        <family val="2"/>
      </rPr>
      <t>Starlight Blue</t>
    </r>
  </si>
  <si>
    <r>
      <rPr>
        <sz val="8.5"/>
        <rFont val="Arial MT"/>
        <family val="2"/>
      </rPr>
      <t>Chroma Teal</t>
    </r>
  </si>
  <si>
    <r>
      <rPr>
        <sz val="8.5"/>
        <rFont val="Arial MT"/>
        <family val="2"/>
      </rPr>
      <t>Chroma Pearl</t>
    </r>
  </si>
  <si>
    <r>
      <rPr>
        <sz val="8.5"/>
        <rFont val="Arial MT"/>
        <family val="2"/>
      </rPr>
      <t>Meta Quest 4k</t>
    </r>
  </si>
  <si>
    <r>
      <rPr>
        <sz val="8.5"/>
        <rFont val="Arial MT"/>
        <family val="2"/>
      </rPr>
      <t>2G97BMMH4M04V9</t>
    </r>
  </si>
  <si>
    <r>
      <rPr>
        <sz val="8.5"/>
        <rFont val="Arial MT"/>
        <family val="2"/>
      </rPr>
      <t>2G97BMMH5B013P</t>
    </r>
  </si>
  <si>
    <r>
      <rPr>
        <sz val="8.5"/>
        <rFont val="Arial MT"/>
        <family val="2"/>
      </rPr>
      <t>2G97BMMH5L0353</t>
    </r>
  </si>
  <si>
    <r>
      <rPr>
        <sz val="8.5"/>
        <rFont val="Arial MT"/>
        <family val="2"/>
      </rPr>
      <t>2G97BMMH9X04CK</t>
    </r>
  </si>
  <si>
    <r>
      <rPr>
        <sz val="8.5"/>
        <rFont val="Arial MT"/>
        <family val="2"/>
      </rPr>
      <t>2G97BMMH9G01YN</t>
    </r>
  </si>
  <si>
    <r>
      <rPr>
        <sz val="8.5"/>
        <rFont val="Arial MT"/>
        <family val="2"/>
      </rPr>
      <t>2G97BMMH9G02DK</t>
    </r>
  </si>
  <si>
    <r>
      <rPr>
        <sz val="8.5"/>
        <rFont val="Arial MT"/>
        <family val="2"/>
      </rPr>
      <t>2G97BMMH5K025C</t>
    </r>
  </si>
  <si>
    <r>
      <rPr>
        <sz val="8.5"/>
        <rFont val="Arial MT"/>
        <family val="2"/>
      </rPr>
      <t>2G97BMMH5L0324</t>
    </r>
  </si>
  <si>
    <r>
      <rPr>
        <sz val="8.5"/>
        <rFont val="Arial MT"/>
        <family val="2"/>
      </rPr>
      <t>2G97BMMH3K02NQ</t>
    </r>
  </si>
  <si>
    <r>
      <rPr>
        <sz val="8.5"/>
        <rFont val="Arial MT"/>
        <family val="2"/>
      </rPr>
      <t>2G97BMMH6203B2</t>
    </r>
  </si>
  <si>
    <r>
      <rPr>
        <sz val="8.5"/>
        <rFont val="Arial MT"/>
        <family val="2"/>
      </rPr>
      <t>Meta Vanguard</t>
    </r>
  </si>
  <si>
    <r>
      <rPr>
        <sz val="8.5"/>
        <rFont val="Arial MT"/>
        <family val="2"/>
      </rPr>
      <t>White, Prizm Black</t>
    </r>
  </si>
  <si>
    <r>
      <rPr>
        <sz val="8.5"/>
        <rFont val="Arial MT"/>
        <family val="2"/>
      </rPr>
      <t>3Z37V02HB0006H</t>
    </r>
  </si>
  <si>
    <r>
      <rPr>
        <sz val="8.5"/>
        <rFont val="Arial MT"/>
        <family val="2"/>
      </rPr>
      <t>3Z37V02H9N01Q2</t>
    </r>
  </si>
  <si>
    <r>
      <rPr>
        <sz val="8.5"/>
        <rFont val="Arial MT"/>
        <family val="2"/>
      </rPr>
      <t>3Z37V02H9900MZ</t>
    </r>
  </si>
  <si>
    <r>
      <rPr>
        <sz val="8.5"/>
        <rFont val="Arial MT"/>
        <family val="2"/>
      </rPr>
      <t>Meta Headliner Gen 2</t>
    </r>
  </si>
  <si>
    <r>
      <rPr>
        <sz val="8.5"/>
        <rFont val="Arial MT"/>
        <family val="2"/>
      </rPr>
      <t>Shiny Black, Sapphire</t>
    </r>
  </si>
  <si>
    <r>
      <rPr>
        <sz val="8.5"/>
        <rFont val="Arial MT"/>
        <family val="2"/>
      </rPr>
      <t>4V0ZL22HBB010Y</t>
    </r>
  </si>
  <si>
    <r>
      <rPr>
        <sz val="8.5"/>
        <rFont val="Arial MT"/>
        <family val="2"/>
      </rPr>
      <t>Meta Wayfarer Gen 2</t>
    </r>
  </si>
  <si>
    <r>
      <rPr>
        <sz val="8.5"/>
        <rFont val="Arial MT"/>
        <family val="2"/>
      </rPr>
      <t>Shiny Black, Graphite Green</t>
    </r>
  </si>
  <si>
    <r>
      <rPr>
        <sz val="8.5"/>
        <rFont val="Arial MT"/>
        <family val="2"/>
      </rPr>
      <t>4V0ZW26H9K043R</t>
    </r>
  </si>
  <si>
    <r>
      <rPr>
        <sz val="8.5"/>
        <rFont val="Arial MT"/>
        <family val="2"/>
      </rPr>
      <t>4V37W26HBM009T</t>
    </r>
  </si>
  <si>
    <r>
      <rPr>
        <sz val="8.5"/>
        <rFont val="Arial MT"/>
        <family val="2"/>
      </rPr>
      <t>4V37W32H9J01FD</t>
    </r>
  </si>
  <si>
    <r>
      <rPr>
        <sz val="8.5"/>
        <rFont val="Arial MT"/>
        <family val="2"/>
      </rPr>
      <t>4V0ZW26H9K061X</t>
    </r>
  </si>
  <si>
    <r>
      <rPr>
        <sz val="8.5"/>
        <rFont val="Arial MT"/>
        <family val="2"/>
      </rPr>
      <t>Matte Black, Grey</t>
    </r>
  </si>
  <si>
    <r>
      <rPr>
        <sz val="8.5"/>
        <rFont val="Arial MT"/>
        <family val="2"/>
      </rPr>
      <t>4V37W31J0G030M</t>
    </r>
  </si>
  <si>
    <r>
      <rPr>
        <sz val="8.5"/>
        <rFont val="Arial MT"/>
        <family val="2"/>
      </rPr>
      <t>Meta Skyler Gen 2</t>
    </r>
  </si>
  <si>
    <r>
      <rPr>
        <sz val="8.5"/>
        <rFont val="Arial MT"/>
        <family val="2"/>
      </rPr>
      <t>Mystic Violet, Amethyst</t>
    </r>
  </si>
  <si>
    <r>
      <rPr>
        <sz val="8.5"/>
        <rFont val="Arial MT"/>
        <family val="2"/>
      </rPr>
      <t>4V37S15HC2003Z</t>
    </r>
  </si>
  <si>
    <r>
      <rPr>
        <sz val="8.5"/>
        <rFont val="Arial MT"/>
        <family val="2"/>
      </rPr>
      <t>4V37S15HCQ00PY</t>
    </r>
  </si>
  <si>
    <r>
      <rPr>
        <sz val="8.5"/>
        <rFont val="Arial MT"/>
        <family val="2"/>
      </rPr>
      <t>Shiny Black, Amethyst</t>
    </r>
  </si>
  <si>
    <r>
      <rPr>
        <sz val="8.5"/>
        <rFont val="Arial MT"/>
        <family val="2"/>
      </rPr>
      <t>4V0ZS16H9B00XW</t>
    </r>
  </si>
  <si>
    <r>
      <rPr>
        <sz val="8.5"/>
        <rFont val="Arial MT"/>
        <family val="2"/>
      </rPr>
      <t>4V0ZS16H99017P</t>
    </r>
  </si>
  <si>
    <r>
      <rPr>
        <sz val="8.5"/>
        <rFont val="Arial MT"/>
        <family val="2"/>
      </rPr>
      <t>Chalky Grey, Sapphire</t>
    </r>
  </si>
  <si>
    <r>
      <rPr>
        <sz val="8.5"/>
        <rFont val="Arial MT"/>
        <family val="2"/>
      </rPr>
      <t>4V0ZS17H8J0C6D</t>
    </r>
  </si>
  <si>
    <r>
      <rPr>
        <sz val="8.5"/>
        <rFont val="Arial MT"/>
        <family val="2"/>
      </rPr>
      <t>4V37S17H8X00L6</t>
    </r>
  </si>
  <si>
    <r>
      <rPr>
        <sz val="8.5"/>
        <rFont val="Arial MT"/>
        <family val="2"/>
      </rPr>
      <t>HP 15-fc0509ds</t>
    </r>
  </si>
  <si>
    <r>
      <rPr>
        <sz val="8.5"/>
        <rFont val="Arial MT"/>
        <family val="2"/>
      </rPr>
      <t>1H85401DT8</t>
    </r>
  </si>
  <si>
    <r>
      <rPr>
        <sz val="8.5"/>
        <rFont val="Arial MT"/>
        <family val="2"/>
      </rPr>
      <t>1H85401CSQ</t>
    </r>
  </si>
  <si>
    <r>
      <rPr>
        <sz val="8.5"/>
        <rFont val="Arial MT"/>
        <family val="2"/>
      </rPr>
      <t>HP Chromebook Plus x360</t>
    </r>
  </si>
  <si>
    <r>
      <rPr>
        <sz val="8.5"/>
        <rFont val="Arial MT"/>
        <family val="2"/>
      </rPr>
      <t>VNY5240GR8</t>
    </r>
  </si>
  <si>
    <r>
      <rPr>
        <sz val="8.5"/>
        <rFont val="Arial MT"/>
        <family val="2"/>
      </rPr>
      <t>Lenovo Idea Pad 1</t>
    </r>
  </si>
  <si>
    <r>
      <rPr>
        <sz val="8.5"/>
        <rFont val="Arial MT"/>
        <family val="2"/>
      </rPr>
      <t>Cloud Grey</t>
    </r>
  </si>
  <si>
    <r>
      <rPr>
        <sz val="8.5"/>
        <rFont val="Arial MT"/>
        <family val="2"/>
      </rPr>
      <t>SPF5TPHHT</t>
    </r>
  </si>
  <si>
    <r>
      <rPr>
        <sz val="8.5"/>
        <rFont val="Arial MT"/>
        <family val="2"/>
      </rPr>
      <t>Starlink V4</t>
    </r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</si>
  <si>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</si>
  <si>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</si>
  <si>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</si>
  <si>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</si>
  <si>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</si>
  <si>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</si>
  <si>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</si>
  <si>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</si>
  <si>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</si>
  <si>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</si>
  <si>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</si>
  <si>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</si>
  <si>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</si>
  <si>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</si>
  <si>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</si>
  <si>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</si>
  <si>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</si>
  <si>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</si>
  <si>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</si>
  <si>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</si>
  <si>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</si>
  <si>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</si>
  <si>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</si>
  <si>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strlinkv41274</t>
  </si>
  <si>
    <t>strlinkv41275</t>
  </si>
  <si>
    <t xml:space="preserve">AR 7 Pallet </t>
  </si>
  <si>
    <t>Home Pod</t>
  </si>
  <si>
    <t>AR 7 Pallet</t>
  </si>
  <si>
    <t>HP 15-fc0509ds</t>
  </si>
  <si>
    <t>HP Chromebook Plus x360</t>
  </si>
  <si>
    <t>Lenovo Idea Pad 1</t>
  </si>
  <si>
    <t>Extra AR 7 Pallet</t>
  </si>
  <si>
    <t>Sale Return From Asad Links</t>
  </si>
  <si>
    <t>2-28-2026
888962842891 M</t>
  </si>
  <si>
    <r>
      <rPr>
        <sz val="10"/>
        <rFont val="Arial MT"/>
        <family val="2"/>
      </rPr>
      <t>Box Damaged</t>
    </r>
  </si>
  <si>
    <r>
      <rPr>
        <sz val="10"/>
        <rFont val="Arial MT"/>
        <family val="2"/>
      </rPr>
      <t>Purple</t>
    </r>
  </si>
  <si>
    <r>
      <rPr>
        <sz val="10"/>
        <rFont val="Arial MT"/>
        <family val="2"/>
      </rPr>
      <t>Open Seal</t>
    </r>
  </si>
  <si>
    <r>
      <rPr>
        <sz val="10"/>
        <rFont val="Arial MT"/>
        <family val="2"/>
      </rPr>
      <t>iPad Air M3 11" (W+C)</t>
    </r>
  </si>
  <si>
    <r>
      <rPr>
        <sz val="10"/>
        <rFont val="Arial MT"/>
        <family val="2"/>
      </rPr>
      <t>Apple Watch Ultra 3</t>
    </r>
  </si>
  <si>
    <r>
      <rPr>
        <sz val="10"/>
        <rFont val="Arial MT"/>
        <family val="2"/>
      </rPr>
      <t>Black Ti, Ocean</t>
    </r>
  </si>
  <si>
    <r>
      <rPr>
        <sz val="10"/>
        <rFont val="Arial MT"/>
        <family val="2"/>
      </rPr>
      <t>49mm</t>
    </r>
  </si>
  <si>
    <r>
      <rPr>
        <sz val="10"/>
        <rFont val="Arial MT"/>
        <family val="2"/>
      </rPr>
      <t>Active, Missing Band</t>
    </r>
  </si>
  <si>
    <r>
      <rPr>
        <sz val="10"/>
        <rFont val="Arial MT"/>
        <family val="2"/>
      </rPr>
      <t>Natural Ti, Ocean</t>
    </r>
  </si>
  <si>
    <r>
      <rPr>
        <sz val="10"/>
        <rFont val="Arial MT"/>
        <family val="2"/>
      </rPr>
      <t>Galaxy S25 Ultra</t>
    </r>
  </si>
  <si>
    <r>
      <rPr>
        <sz val="10"/>
        <rFont val="Arial MT"/>
        <family val="2"/>
      </rPr>
      <t>Ti Black</t>
    </r>
  </si>
  <si>
    <r>
      <rPr>
        <sz val="10"/>
        <rFont val="Arial MT"/>
        <family val="2"/>
      </rPr>
      <t>Ti Silverblue</t>
    </r>
  </si>
  <si>
    <t>TOTAL AMOUNT</t>
  </si>
  <si>
    <t>Sale Metro Deluxe</t>
  </si>
  <si>
    <t>Sale Atta Bhai Karachi</t>
  </si>
  <si>
    <t>Sale Return From Raad Al Madina</t>
  </si>
  <si>
    <t>Sale Faisal Bhai</t>
  </si>
  <si>
    <t>Sale Return From Shehzad Mughal</t>
  </si>
  <si>
    <t>Sale Hasnain</t>
  </si>
  <si>
    <t>mini evo</t>
  </si>
  <si>
    <t>presto electric kattle</t>
  </si>
  <si>
    <t>abdul rehman</t>
  </si>
  <si>
    <t>Sale AR Staff</t>
  </si>
  <si>
    <t>Purchase Return to Owais HT</t>
  </si>
  <si>
    <t xml:space="preserve">Sale Kabeer </t>
  </si>
  <si>
    <t>Syd Carry By Waheeed Bhai</t>
  </si>
  <si>
    <r>
      <rPr>
        <b/>
        <sz val="11"/>
        <rFont val="Arial"/>
        <family val="2"/>
      </rPr>
      <t>Date
Party Name</t>
    </r>
  </si>
  <si>
    <t>USD Prices</t>
  </si>
  <si>
    <r>
      <rPr>
        <sz val="11"/>
        <rFont val="Arial MT"/>
        <family val="2"/>
      </rPr>
      <t>iPhone 17 Pro Max</t>
    </r>
  </si>
  <si>
    <r>
      <rPr>
        <sz val="11"/>
        <rFont val="Arial MT"/>
        <family val="2"/>
      </rPr>
      <t>Cosmic Orange</t>
    </r>
  </si>
  <si>
    <r>
      <rPr>
        <sz val="11"/>
        <rFont val="Arial MT"/>
        <family val="2"/>
      </rPr>
      <t>256 GB</t>
    </r>
  </si>
  <si>
    <r>
      <rPr>
        <sz val="11"/>
        <rFont val="Arial MT"/>
        <family val="2"/>
      </rPr>
      <t>Unlock</t>
    </r>
  </si>
  <si>
    <r>
      <rPr>
        <b/>
        <sz val="11"/>
        <rFont val="Abadi"/>
        <family val="2"/>
      </rPr>
      <t>ACTIVE</t>
    </r>
  </si>
  <si>
    <r>
      <rPr>
        <sz val="11"/>
        <rFont val="Arial MT"/>
        <family val="2"/>
      </rPr>
      <t>Active Unlock</t>
    </r>
  </si>
  <si>
    <r>
      <rPr>
        <sz val="11"/>
        <rFont val="Arial MT"/>
        <family val="2"/>
      </rPr>
      <t>512 GB</t>
    </r>
  </si>
  <si>
    <r>
      <rPr>
        <sz val="11"/>
        <rFont val="Arial MT"/>
        <family val="2"/>
      </rPr>
      <t>1 TB</t>
    </r>
  </si>
  <si>
    <r>
      <rPr>
        <sz val="11"/>
        <rFont val="Arial MT"/>
        <family val="2"/>
      </rPr>
      <t>T-Mobile</t>
    </r>
  </si>
  <si>
    <r>
      <rPr>
        <sz val="11"/>
        <rFont val="Arial MT"/>
        <family val="2"/>
      </rPr>
      <t>Deep Blue</t>
    </r>
  </si>
  <si>
    <r>
      <rPr>
        <sz val="11"/>
        <rFont val="Arial MT"/>
        <family val="2"/>
      </rPr>
      <t>Active</t>
    </r>
  </si>
  <si>
    <r>
      <rPr>
        <sz val="11"/>
        <rFont val="Arial MT"/>
        <family val="2"/>
      </rPr>
      <t>Silver</t>
    </r>
  </si>
  <si>
    <t>359814712999359 IMEI Change</t>
  </si>
  <si>
    <r>
      <rPr>
        <sz val="11"/>
        <rFont val="Arial MT"/>
        <family val="2"/>
      </rPr>
      <t>iPhone 17 Pro</t>
    </r>
  </si>
  <si>
    <r>
      <rPr>
        <sz val="11"/>
        <rFont val="Arial MT"/>
        <family val="2"/>
      </rPr>
      <t>iPhone 17</t>
    </r>
  </si>
  <si>
    <r>
      <rPr>
        <sz val="11"/>
        <rFont val="Arial MT"/>
        <family val="2"/>
      </rPr>
      <t>Lavender</t>
    </r>
  </si>
  <si>
    <r>
      <rPr>
        <sz val="11"/>
        <rFont val="Arial MT"/>
        <family val="2"/>
      </rPr>
      <t>Sage</t>
    </r>
  </si>
  <si>
    <r>
      <rPr>
        <sz val="11"/>
        <rFont val="Arial MT"/>
        <family val="2"/>
      </rPr>
      <t>Mist Blue</t>
    </r>
  </si>
  <si>
    <r>
      <rPr>
        <sz val="11"/>
        <rFont val="Arial MT"/>
        <family val="2"/>
      </rPr>
      <t>Black</t>
    </r>
  </si>
  <si>
    <r>
      <rPr>
        <sz val="11"/>
        <rFont val="Arial MT"/>
        <family val="2"/>
      </rPr>
      <t>iPhone 16 Plus</t>
    </r>
  </si>
  <si>
    <r>
      <rPr>
        <sz val="11"/>
        <rFont val="Arial MT"/>
        <family val="2"/>
      </rPr>
      <t>128 GB</t>
    </r>
  </si>
  <si>
    <r>
      <rPr>
        <sz val="11"/>
        <rFont val="Arial MT"/>
        <family val="2"/>
      </rPr>
      <t>iPhone 16</t>
    </r>
  </si>
  <si>
    <r>
      <rPr>
        <sz val="11"/>
        <rFont val="Arial MT"/>
        <family val="2"/>
      </rPr>
      <t>Pink</t>
    </r>
  </si>
  <si>
    <r>
      <rPr>
        <sz val="11"/>
        <rFont val="Arial MT"/>
        <family val="2"/>
      </rPr>
      <t>iPhone 16e</t>
    </r>
  </si>
  <si>
    <r>
      <rPr>
        <sz val="11"/>
        <rFont val="Arial MT"/>
        <family val="2"/>
      </rPr>
      <t>iPhone 15 Pro Max</t>
    </r>
  </si>
  <si>
    <r>
      <rPr>
        <sz val="11"/>
        <rFont val="Arial MT"/>
        <family val="2"/>
      </rPr>
      <t>Blue Ti</t>
    </r>
  </si>
  <si>
    <r>
      <rPr>
        <sz val="11"/>
        <rFont val="Arial MT"/>
        <family val="2"/>
      </rPr>
      <t>White Ti</t>
    </r>
  </si>
  <si>
    <r>
      <rPr>
        <sz val="11"/>
        <rFont val="Arial MT"/>
        <family val="2"/>
      </rPr>
      <t>Active T-Mobile</t>
    </r>
  </si>
  <si>
    <r>
      <rPr>
        <sz val="11"/>
        <rFont val="Arial MT"/>
        <family val="2"/>
      </rPr>
      <t>iPhone 15</t>
    </r>
  </si>
  <si>
    <r>
      <rPr>
        <sz val="11"/>
        <rFont val="Arial MT"/>
        <family val="2"/>
      </rPr>
      <t>iPad Air M3 11" (W+C)</t>
    </r>
  </si>
  <si>
    <r>
      <rPr>
        <sz val="11"/>
        <rFont val="Arial MT"/>
        <family val="2"/>
      </rPr>
      <t>Space Gray</t>
    </r>
  </si>
  <si>
    <r>
      <rPr>
        <b/>
        <sz val="11"/>
        <rFont val="Abadi"/>
        <family val="2"/>
      </rPr>
      <t>UNLOCK</t>
    </r>
  </si>
  <si>
    <r>
      <rPr>
        <sz val="11"/>
        <rFont val="Arial MT"/>
        <family val="2"/>
      </rPr>
      <t>MacBook Pro M4 Pro 16" MX2X3LL/A</t>
    </r>
  </si>
  <si>
    <r>
      <rPr>
        <sz val="11"/>
        <rFont val="Arial MT"/>
        <family val="2"/>
      </rPr>
      <t>Space Black</t>
    </r>
  </si>
  <si>
    <r>
      <rPr>
        <sz val="11"/>
        <rFont val="Arial MT"/>
        <family val="2"/>
      </rPr>
      <t>24 GB, 512 GB</t>
    </r>
  </si>
  <si>
    <t>SDG7N4X9Y2K</t>
  </si>
  <si>
    <r>
      <rPr>
        <sz val="11"/>
        <rFont val="Arial MT"/>
        <family val="2"/>
      </rPr>
      <t>Apple Watch Series 11</t>
    </r>
  </si>
  <si>
    <r>
      <rPr>
        <sz val="11"/>
        <rFont val="Arial MT"/>
        <family val="2"/>
      </rPr>
      <t>42mm</t>
    </r>
  </si>
  <si>
    <r>
      <rPr>
        <sz val="11"/>
        <rFont val="Arial MT"/>
        <family val="2"/>
      </rPr>
      <t>Rose Gold</t>
    </r>
  </si>
  <si>
    <r>
      <rPr>
        <sz val="11"/>
        <rFont val="Arial MT"/>
        <family val="2"/>
      </rPr>
      <t>46mm</t>
    </r>
  </si>
  <si>
    <r>
      <rPr>
        <sz val="11"/>
        <rFont val="Arial MT"/>
        <family val="2"/>
      </rPr>
      <t>SFK4XL2K1Q2</t>
    </r>
  </si>
  <si>
    <r>
      <rPr>
        <sz val="11"/>
        <rFont val="Arial MT"/>
        <family val="2"/>
      </rPr>
      <t>SGCX42WGP07</t>
    </r>
  </si>
  <si>
    <r>
      <rPr>
        <sz val="11"/>
        <rFont val="Arial MT"/>
        <family val="2"/>
      </rPr>
      <t>Apple Watch SE 3</t>
    </r>
  </si>
  <si>
    <r>
      <rPr>
        <sz val="11"/>
        <rFont val="Arial MT"/>
        <family val="2"/>
      </rPr>
      <t>Midnight</t>
    </r>
  </si>
  <si>
    <r>
      <rPr>
        <sz val="11"/>
        <rFont val="Arial MT"/>
        <family val="2"/>
      </rPr>
      <t>40mm</t>
    </r>
  </si>
  <si>
    <r>
      <rPr>
        <b/>
        <sz val="11"/>
        <rFont val="Abadi"/>
        <family val="2"/>
      </rPr>
      <t>T-M</t>
    </r>
  </si>
  <si>
    <r>
      <rPr>
        <sz val="11"/>
        <rFont val="Arial MT"/>
        <family val="2"/>
      </rPr>
      <t>AirPods Pro 3</t>
    </r>
  </si>
  <si>
    <r>
      <rPr>
        <sz val="11"/>
        <rFont val="Arial MT"/>
        <family val="2"/>
      </rPr>
      <t>SK4XNH997DQ</t>
    </r>
  </si>
  <si>
    <r>
      <rPr>
        <sz val="11"/>
        <rFont val="Arial MT"/>
        <family val="2"/>
      </rPr>
      <t>SCDV2PYNH9K</t>
    </r>
  </si>
  <si>
    <r>
      <rPr>
        <sz val="11"/>
        <rFont val="Arial MT"/>
        <family val="2"/>
      </rPr>
      <t>SHG26VVYYVV</t>
    </r>
  </si>
  <si>
    <r>
      <rPr>
        <sz val="11"/>
        <rFont val="Arial MT"/>
        <family val="2"/>
      </rPr>
      <t>SJ72XH2Y6YJ</t>
    </r>
  </si>
  <si>
    <r>
      <rPr>
        <sz val="11"/>
        <rFont val="Arial MT"/>
        <family val="2"/>
      </rPr>
      <t>SHN7V57950D</t>
    </r>
  </si>
  <si>
    <r>
      <rPr>
        <sz val="11"/>
        <rFont val="Arial MT"/>
        <family val="2"/>
      </rPr>
      <t>SJ4QDKC6M4Y</t>
    </r>
  </si>
  <si>
    <r>
      <rPr>
        <sz val="11"/>
        <rFont val="Arial MT"/>
        <family val="2"/>
      </rPr>
      <t>Meta Quest 3 4k</t>
    </r>
  </si>
  <si>
    <r>
      <rPr>
        <sz val="11"/>
        <rFont val="Arial MT"/>
        <family val="2"/>
      </rPr>
      <t>2G97BMMH9G00QM</t>
    </r>
  </si>
  <si>
    <r>
      <rPr>
        <sz val="11"/>
        <rFont val="Arial MT"/>
        <family val="2"/>
      </rPr>
      <t>2-28-2026
Owais HT</t>
    </r>
    <r>
      <rPr>
        <sz val="11"/>
        <color rgb="FF000000"/>
        <rFont val="Times New Roman"/>
        <family val="1"/>
      </rPr>
      <t xml:space="preserve"> 889079317130</t>
    </r>
  </si>
  <si>
    <t>AR 13 2026</t>
  </si>
  <si>
    <t>Invoice 54</t>
  </si>
  <si>
    <t>invoice 54</t>
  </si>
  <si>
    <t>Starlink Standard Kit V4 Noel Leeming</t>
  </si>
  <si>
    <t>Sale Ali Sezar</t>
  </si>
  <si>
    <t>Sale Kabeer bur Dubai</t>
  </si>
  <si>
    <t>Purchase Fahad Lahore</t>
  </si>
  <si>
    <t>Missing item in australia</t>
  </si>
  <si>
    <t xml:space="preserve">Sale in Loss A/C </t>
  </si>
  <si>
    <t>return 28-02-2026</t>
  </si>
  <si>
    <t>Meta Rayban transitions JBHIFI Macquarie Park</t>
  </si>
  <si>
    <t>Starlink Standard Kit Bunnings East Pakenham</t>
  </si>
  <si>
    <t xml:space="preserve">Purhase </t>
  </si>
  <si>
    <t>Starlink Standard Kit Bunnings East Pakenham Pending Delivery Melbourne</t>
  </si>
  <si>
    <t>Starlink Standard Kit</t>
  </si>
  <si>
    <t>Starlink Standard Kit Active</t>
  </si>
  <si>
    <t>Purhase 21-Nov-2025</t>
  </si>
  <si>
    <t>Purchase Raad al Madina 30-01-2026</t>
  </si>
  <si>
    <t>Sale Rasheed Al Aleem 204</t>
  </si>
  <si>
    <t>Purcahse from Raza 503</t>
  </si>
  <si>
    <t>iphone 15 plus 256gb not received</t>
  </si>
  <si>
    <t>Sale Return from Asad links</t>
  </si>
  <si>
    <t>Purchase Return from waheed bhai</t>
  </si>
  <si>
    <t>Mel Ship 25-03-2026</t>
  </si>
  <si>
    <t>Mel Ship 27-03-2026</t>
  </si>
  <si>
    <t>Stalink Standard Kit  Bunnings Morayfield QLD pending Delivery.</t>
  </si>
  <si>
    <t>Sale Return From Easy Buy</t>
  </si>
  <si>
    <t>Purchase Laksh Kumar</t>
  </si>
  <si>
    <t>Sale Return Faraz GVT</t>
  </si>
  <si>
    <t>1160 unlock prices to changes</t>
  </si>
  <si>
    <t>Unlock Prices To be Changed 1160</t>
  </si>
  <si>
    <t>Sale faizan Ground</t>
  </si>
  <si>
    <t>Sale Zeeshan Fariya</t>
  </si>
  <si>
    <t>Sale Tariq G49</t>
  </si>
  <si>
    <t>Sale Waqas Mobile Tone</t>
  </si>
  <si>
    <t>Sale Faizan Ground</t>
  </si>
  <si>
    <t>Sale 408 Shop</t>
  </si>
  <si>
    <t>Syd Ship 09-04-2026</t>
  </si>
  <si>
    <t>Sale Farhan Al Hamd</t>
  </si>
  <si>
    <t>Sale Abdul Razak World Pro</t>
  </si>
  <si>
    <t>Sale Return Asad Links</t>
  </si>
  <si>
    <t>Sale Sudani Awa</t>
  </si>
  <si>
    <t>Sale Sezar</t>
  </si>
  <si>
    <t>Sale Saleem</t>
  </si>
  <si>
    <t xml:space="preserve">Sale Js Tech </t>
  </si>
  <si>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</si>
  <si>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</si>
  <si>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t>AirPods Max Starlight</t>
  </si>
  <si>
    <r>
      <rPr>
        <sz val="9.5"/>
        <rFont val="Microsoft Sans Serif"/>
        <family val="2"/>
      </rPr>
      <t>SLCYH34KH90</t>
    </r>
  </si>
  <si>
    <r>
      <rPr>
        <sz val="9.5"/>
        <rFont val="Microsoft Sans Serif"/>
        <family val="2"/>
      </rPr>
      <t>Ps5 Pro</t>
    </r>
  </si>
  <si>
    <r>
      <rPr>
        <sz val="9.5"/>
        <rFont val="Microsoft Sans Serif"/>
        <family val="2"/>
      </rPr>
      <t>S01F14A01GH910814953</t>
    </r>
  </si>
  <si>
    <r>
      <rPr>
        <sz val="9.5"/>
        <rFont val="Microsoft Sans Serif"/>
        <family val="2"/>
      </rPr>
      <t>S01K25701VJ910344064</t>
    </r>
  </si>
  <si>
    <r>
      <rPr>
        <sz val="9.5"/>
        <rFont val="Microsoft Sans Serif"/>
        <family val="2"/>
      </rPr>
      <t>S01K25701VJ910362006</t>
    </r>
  </si>
  <si>
    <r>
      <rPr>
        <sz val="9.5"/>
        <rFont val="Microsoft Sans Serif"/>
        <family val="2"/>
      </rPr>
      <t>S01K25901VJ910463962</t>
    </r>
  </si>
  <si>
    <r>
      <rPr>
        <sz val="9.5"/>
        <rFont val="Microsoft Sans Serif"/>
        <family val="2"/>
      </rPr>
      <t>S01K25801VJ910374308</t>
    </r>
  </si>
  <si>
    <r>
      <rPr>
        <sz val="9.5"/>
        <rFont val="Microsoft Sans Serif"/>
        <family val="2"/>
      </rPr>
      <t>S01F14C01GH910960732</t>
    </r>
  </si>
  <si>
    <r>
      <rPr>
        <sz val="9.5"/>
        <rFont val="Microsoft Sans Serif"/>
        <family val="2"/>
      </rPr>
      <t>Ps5 Slim Disc</t>
    </r>
  </si>
  <si>
    <r>
      <rPr>
        <sz val="9.5"/>
        <rFont val="Microsoft Sans Serif"/>
        <family val="2"/>
      </rPr>
      <t>S01V55601Z1L10439954</t>
    </r>
  </si>
  <si>
    <r>
      <rPr>
        <sz val="9.5"/>
        <rFont val="Microsoft Sans Serif"/>
        <family val="2"/>
      </rPr>
      <t>S01V55901Z1L11498027</t>
    </r>
  </si>
  <si>
    <r>
      <rPr>
        <sz val="9.5"/>
        <rFont val="Microsoft Sans Serif"/>
        <family val="2"/>
      </rPr>
      <t>S01V55901Z1L11488224</t>
    </r>
  </si>
  <si>
    <r>
      <rPr>
        <sz val="9.5"/>
        <rFont val="Microsoft Sans Serif"/>
        <family val="2"/>
      </rPr>
      <t>S01V55601Z1L10510866</t>
    </r>
  </si>
  <si>
    <r>
      <rPr>
        <sz val="9.5"/>
        <rFont val="Microsoft Sans Serif"/>
        <family val="2"/>
      </rPr>
      <t>S01M55901VAR10392743</t>
    </r>
  </si>
  <si>
    <r>
      <rPr>
        <sz val="9.5"/>
        <rFont val="Microsoft Sans Serif"/>
        <family val="2"/>
      </rPr>
      <t>S01V55901Z1L11292410</t>
    </r>
  </si>
  <si>
    <r>
      <rPr>
        <sz val="9.5"/>
        <rFont val="Microsoft Sans Serif"/>
        <family val="2"/>
      </rPr>
      <t>S01M55901VAR10393069</t>
    </r>
  </si>
  <si>
    <r>
      <rPr>
        <sz val="9.5"/>
        <rFont val="Microsoft Sans Serif"/>
        <family val="2"/>
      </rPr>
      <t>S01V55901Z1L11498026</t>
    </r>
  </si>
  <si>
    <r>
      <rPr>
        <sz val="9.5"/>
        <rFont val="Microsoft Sans Serif"/>
        <family val="2"/>
      </rPr>
      <t>S01V55901Z1L11490425</t>
    </r>
  </si>
  <si>
    <r>
      <rPr>
        <sz val="9.5"/>
        <rFont val="Microsoft Sans Serif"/>
        <family val="2"/>
      </rPr>
      <t>S01M55801VAR10361184</t>
    </r>
  </si>
  <si>
    <r>
      <rPr>
        <sz val="9.5"/>
        <rFont val="Microsoft Sans Serif"/>
        <family val="2"/>
      </rPr>
      <t>S01V55901Z1L11240133</t>
    </r>
  </si>
  <si>
    <r>
      <rPr>
        <sz val="9.5"/>
        <rFont val="Microsoft Sans Serif"/>
        <family val="2"/>
      </rPr>
      <t>S01V55901Z1L11491610</t>
    </r>
  </si>
  <si>
    <r>
      <rPr>
        <sz val="9.5"/>
        <rFont val="Microsoft Sans Serif"/>
        <family val="2"/>
      </rPr>
      <t>S01V55901Z1L11240144</t>
    </r>
  </si>
  <si>
    <r>
      <rPr>
        <sz val="9.5"/>
        <rFont val="Microsoft Sans Serif"/>
        <family val="2"/>
      </rPr>
      <t>Ps Portal</t>
    </r>
  </si>
  <si>
    <t>playstationportal00003</t>
  </si>
  <si>
    <t>playstationportal00004</t>
  </si>
  <si>
    <t>PS5 DUAL SENSE CONTROLLER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</si>
  <si>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</si>
  <si>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</si>
  <si>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</si>
  <si>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</si>
  <si>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</si>
  <si>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</si>
  <si>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Sony Noise Cancelling Wireless Headphone</t>
  </si>
  <si>
    <r>
      <rPr>
        <sz val="9.5"/>
        <rFont val="Microsoft Sans Serif"/>
        <family val="2"/>
      </rPr>
      <t>S017712124A</t>
    </r>
  </si>
  <si>
    <r>
      <rPr>
        <sz val="9.5"/>
        <rFont val="Microsoft Sans Serif"/>
        <family val="2"/>
      </rPr>
      <t>Meta Ǫuest 3S Batman 128 GB</t>
    </r>
  </si>
  <si>
    <r>
      <rPr>
        <sz val="9.5"/>
        <rFont val="Microsoft Sans Serif"/>
        <family val="2"/>
      </rPr>
      <t>3497BM1HC104YB</t>
    </r>
  </si>
  <si>
    <r>
      <rPr>
        <sz val="9.5"/>
        <rFont val="Microsoft Sans Serif"/>
        <family val="2"/>
      </rPr>
      <t>3497BM1HC104Z4</t>
    </r>
  </si>
  <si>
    <r>
      <rPr>
        <sz val="9.5"/>
        <rFont val="Microsoft Sans Serif"/>
        <family val="2"/>
      </rPr>
      <t>3497BM1HC104Z6</t>
    </r>
  </si>
  <si>
    <r>
      <rPr>
        <sz val="9.5"/>
        <rFont val="Microsoft Sans Serif"/>
        <family val="2"/>
      </rPr>
      <t>3497BM1HC104YJ</t>
    </r>
  </si>
  <si>
    <t>Meta Ǫuest 3S Batman 128 GB</t>
  </si>
  <si>
    <r>
      <rPr>
        <sz val="9.5"/>
        <rFont val="Microsoft Sans Serif"/>
        <family val="2"/>
      </rPr>
      <t>3497BM1HC104YY</t>
    </r>
  </si>
  <si>
    <r>
      <rPr>
        <sz val="9.5"/>
        <rFont val="Microsoft Sans Serif"/>
        <family val="2"/>
      </rPr>
      <t>3497BM1HC104YR</t>
    </r>
  </si>
  <si>
    <r>
      <rPr>
        <sz val="9.5"/>
        <rFont val="Microsoft Sans Serif"/>
        <family val="2"/>
      </rPr>
      <t>3497BM1HC104SH</t>
    </r>
  </si>
  <si>
    <r>
      <rPr>
        <sz val="9.5"/>
        <rFont val="Microsoft Sans Serif"/>
        <family val="2"/>
      </rPr>
      <t>3497BM1HC104LC</t>
    </r>
  </si>
  <si>
    <r>
      <rPr>
        <sz val="9.5"/>
        <rFont val="Microsoft Sans Serif"/>
        <family val="2"/>
      </rPr>
      <t>3497BM1HC104Y9</t>
    </r>
  </si>
  <si>
    <r>
      <rPr>
        <sz val="9.5"/>
        <rFont val="Microsoft Sans Serif"/>
        <family val="2"/>
      </rPr>
      <t>3497BM1HC104X8</t>
    </r>
  </si>
  <si>
    <r>
      <rPr>
        <sz val="9.5"/>
        <rFont val="Microsoft Sans Serif"/>
        <family val="2"/>
      </rPr>
      <t>3497BM1HC104XC</t>
    </r>
  </si>
  <si>
    <r>
      <rPr>
        <sz val="9.5"/>
        <rFont val="Microsoft Sans Serif"/>
        <family val="2"/>
      </rPr>
      <t>3497BM1HC104T3</t>
    </r>
  </si>
  <si>
    <r>
      <rPr>
        <sz val="9.5"/>
        <rFont val="Microsoft Sans Serif"/>
        <family val="2"/>
      </rPr>
      <t>3497BM1HC104YH</t>
    </r>
  </si>
  <si>
    <r>
      <rPr>
        <sz val="9.5"/>
        <rFont val="Microsoft Sans Serif"/>
        <family val="2"/>
      </rPr>
      <t>3497BM1HC104Y4</t>
    </r>
  </si>
  <si>
    <r>
      <rPr>
        <sz val="9.5"/>
        <rFont val="Microsoft Sans Serif"/>
        <family val="2"/>
      </rPr>
      <t>3497BM1HC104LY</t>
    </r>
  </si>
  <si>
    <t>3497BM1HC104QP</t>
  </si>
  <si>
    <r>
      <rPr>
        <sz val="9.5"/>
        <rFont val="Microsoft Sans Serif"/>
        <family val="2"/>
      </rPr>
      <t>3497BM1HC104XT</t>
    </r>
  </si>
  <si>
    <r>
      <rPr>
        <sz val="9.5"/>
        <rFont val="Microsoft Sans Serif"/>
        <family val="2"/>
      </rPr>
      <t>3497BM1HC104WN</t>
    </r>
  </si>
  <si>
    <r>
      <rPr>
        <sz val="9.5"/>
        <rFont val="Microsoft Sans Serif"/>
        <family val="2"/>
      </rPr>
      <t>3497BM1HC104P4</t>
    </r>
  </si>
  <si>
    <r>
      <rPr>
        <sz val="9.5"/>
        <rFont val="Microsoft Sans Serif"/>
        <family val="2"/>
      </rPr>
      <t>3497BM1HC104YS</t>
    </r>
  </si>
  <si>
    <r>
      <rPr>
        <sz val="9.5"/>
        <rFont val="Microsoft Sans Serif"/>
        <family val="2"/>
      </rPr>
      <t>3497BM1HC104X5</t>
    </r>
  </si>
  <si>
    <r>
      <rPr>
        <sz val="9.5"/>
        <rFont val="Microsoft Sans Serif"/>
        <family val="2"/>
      </rPr>
      <t>3497BM1HC104W8</t>
    </r>
  </si>
  <si>
    <r>
      <rPr>
        <sz val="9.5"/>
        <rFont val="Microsoft Sans Serif"/>
        <family val="2"/>
      </rPr>
      <t>3497BM1HC104N9</t>
    </r>
  </si>
  <si>
    <r>
      <rPr>
        <sz val="9.5"/>
        <rFont val="Microsoft Sans Serif"/>
        <family val="2"/>
      </rPr>
      <t>3497BM1HC104DW</t>
    </r>
  </si>
  <si>
    <r>
      <rPr>
        <sz val="9.5"/>
        <rFont val="Microsoft Sans Serif"/>
        <family val="2"/>
      </rPr>
      <t>3497BM1HC104WF</t>
    </r>
  </si>
  <si>
    <r>
      <rPr>
        <sz val="9.5"/>
        <rFont val="Microsoft Sans Serif"/>
        <family val="2"/>
      </rPr>
      <t>3497BM1HC104YD</t>
    </r>
  </si>
  <si>
    <r>
      <rPr>
        <sz val="9.5"/>
        <rFont val="Microsoft Sans Serif"/>
        <family val="2"/>
      </rPr>
      <t>3497BM1HC104L2</t>
    </r>
  </si>
  <si>
    <r>
      <rPr>
        <sz val="9.5"/>
        <rFont val="Microsoft Sans Serif"/>
        <family val="2"/>
      </rPr>
      <t>3497BM1HC104RW</t>
    </r>
  </si>
  <si>
    <r>
      <rPr>
        <sz val="9.5"/>
        <rFont val="Microsoft Sans Serif"/>
        <family val="2"/>
      </rPr>
      <t>3497BM1HC104FC</t>
    </r>
  </si>
  <si>
    <r>
      <rPr>
        <sz val="9.5"/>
        <rFont val="Microsoft Sans Serif"/>
        <family val="2"/>
      </rPr>
      <t>3497BM1HC104XP</t>
    </r>
  </si>
  <si>
    <r>
      <rPr>
        <sz val="9.5"/>
        <rFont val="Microsoft Sans Serif"/>
        <family val="2"/>
      </rPr>
      <t>3497BM1HC104NX</t>
    </r>
  </si>
  <si>
    <r>
      <rPr>
        <sz val="9.5"/>
        <rFont val="Microsoft Sans Serif"/>
        <family val="2"/>
      </rPr>
      <t>3497BM1HC104P1</t>
    </r>
  </si>
  <si>
    <r>
      <rPr>
        <sz val="9.5"/>
        <rFont val="Microsoft Sans Serif"/>
        <family val="2"/>
      </rPr>
      <t>3497BM1HC104X9</t>
    </r>
  </si>
  <si>
    <r>
      <rPr>
        <sz val="9.5"/>
        <rFont val="Microsoft Sans Serif"/>
        <family val="2"/>
      </rPr>
      <t>3497BM1HC104YK</t>
    </r>
  </si>
  <si>
    <r>
      <rPr>
        <sz val="9.5"/>
        <rFont val="Microsoft Sans Serif"/>
        <family val="2"/>
      </rPr>
      <t>3497BM1HC104KK</t>
    </r>
  </si>
  <si>
    <t>3497BM1HC104QR</t>
  </si>
  <si>
    <r>
      <rPr>
        <sz val="9.5"/>
        <rFont val="Microsoft Sans Serif"/>
        <family val="2"/>
      </rPr>
      <t>3497BM1HC104XW</t>
    </r>
  </si>
  <si>
    <t>Meta Wayfarer Gen 2 Matte Black, Clear</t>
  </si>
  <si>
    <r>
      <rPr>
        <sz val="9.5"/>
        <rFont val="Microsoft Sans Serif"/>
        <family val="2"/>
      </rPr>
      <t>4V0ZW04HC30BNG</t>
    </r>
  </si>
  <si>
    <r>
      <rPr>
        <sz val="9.5"/>
        <rFont val="Microsoft Sans Serif"/>
        <family val="2"/>
      </rPr>
      <t>VN0GTRY5WSV005BB2051</t>
    </r>
  </si>
  <si>
    <t>Sonos Era 100 Speaker Black</t>
  </si>
  <si>
    <r>
      <rPr>
        <sz val="9.5"/>
        <rFont val="Microsoft Sans Serif"/>
        <family val="2"/>
      </rPr>
      <t>E10G1US1BLK</t>
    </r>
  </si>
  <si>
    <r>
      <rPr>
        <sz val="9.5"/>
        <rFont val="Microsoft Sans Serif"/>
        <family val="2"/>
      </rPr>
      <t>NoteBook with Wireless Mouse</t>
    </r>
  </si>
  <si>
    <r>
      <rPr>
        <sz val="9.5"/>
        <rFont val="Microsoft Sans Serif"/>
        <family val="2"/>
      </rPr>
      <t>NTB001</t>
    </r>
  </si>
  <si>
    <r>
      <rPr>
        <sz val="9.5"/>
        <rFont val="Microsoft Sans Serif"/>
        <family val="2"/>
      </rPr>
      <t>NTB002</t>
    </r>
  </si>
  <si>
    <r>
      <rPr>
        <sz val="9.5"/>
        <rFont val="Microsoft Sans Serif"/>
        <family val="2"/>
      </rPr>
      <t>NTB003</t>
    </r>
  </si>
  <si>
    <t>Starlink V4</t>
  </si>
  <si>
    <t>strlinkv41637</t>
  </si>
  <si>
    <t>strlinkv41638</t>
  </si>
  <si>
    <t>strlinkv41639</t>
  </si>
  <si>
    <t>870029785624 Owais HT</t>
  </si>
  <si>
    <t>Dell 16 Plus Ice Blue 16 GB, 1 TB</t>
  </si>
  <si>
    <t>NoteBook with Wireless Mouse</t>
  </si>
  <si>
    <t>Sr No</t>
  </si>
  <si>
    <t>ipad Air 11 M4 Wifi 128gb starlight</t>
  </si>
  <si>
    <t>SFMVV2JLJH7</t>
  </si>
  <si>
    <t>pad A16 Wifi 128gb blue</t>
  </si>
  <si>
    <t>SMC49XYQC2J</t>
  </si>
  <si>
    <t>ipad A16 Wifi 128gb Pink</t>
  </si>
  <si>
    <t>SGQT965TJQ4</t>
  </si>
  <si>
    <t>SKJ3640XKR4</t>
  </si>
  <si>
    <t>ipad A16 W+C 128gb Pink</t>
  </si>
  <si>
    <t>ipad A16 W+C 128gb Yellow</t>
  </si>
  <si>
    <t>ipad A16 W+C 128gb Blue</t>
  </si>
  <si>
    <t>Macbook Air M4 15inch 16/256</t>
  </si>
  <si>
    <t>SJWHJG42QRT</t>
  </si>
  <si>
    <t>SJ39MXYXWTY</t>
  </si>
  <si>
    <t>SD47WNYGPDY</t>
  </si>
  <si>
    <t>SKL07QN9160</t>
  </si>
  <si>
    <t>Macbook Air M4 15inch 24/512</t>
  </si>
  <si>
    <t>SG1FV3VWL2W</t>
  </si>
  <si>
    <t>Macbook Air M4 15inch 16/512</t>
  </si>
  <si>
    <t>SGR7PTW594R</t>
  </si>
  <si>
    <t>Picture Require Z1H0000B1</t>
  </si>
  <si>
    <t>SGHXTWKQ004</t>
  </si>
  <si>
    <t>Macbook Pro 14inch M5 16/512</t>
  </si>
  <si>
    <t>SHJWX61F9JN</t>
  </si>
  <si>
    <t>SKHGJM6JRR6</t>
  </si>
  <si>
    <t>SJ6P4RQG524</t>
  </si>
  <si>
    <t>Macbook Air M4 13inch 16/256</t>
  </si>
  <si>
    <t>SK7CQKF67JR</t>
  </si>
  <si>
    <t>Open Seal,Active</t>
  </si>
  <si>
    <t>Meta Quest 3s 128gb Bundle</t>
  </si>
  <si>
    <t>3497BM1HC104FB</t>
  </si>
  <si>
    <t>3497BM1HC104NZ</t>
  </si>
  <si>
    <t>3497BM1HC104P0</t>
  </si>
  <si>
    <t>SLVWG2CL2HF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</si>
  <si>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</si>
  <si>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</si>
  <si>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</si>
  <si>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</si>
  <si>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</si>
  <si>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</si>
  <si>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</si>
  <si>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</si>
  <si>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</si>
  <si>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</si>
  <si>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</si>
  <si>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</si>
  <si>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</si>
  <si>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</si>
  <si>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</si>
  <si>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</si>
  <si>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</si>
  <si>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</si>
  <si>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SL6274RK07V</t>
  </si>
  <si>
    <t>SD57N40RRYT</t>
  </si>
  <si>
    <t>SHGC76R9YPG</t>
  </si>
  <si>
    <t>SL799PX002J</t>
  </si>
  <si>
    <t>SGY7774LQ4R</t>
  </si>
  <si>
    <t>SMDV21YF5V2</t>
  </si>
  <si>
    <t>SK33YRX2NW3</t>
  </si>
  <si>
    <t>SJK297FHXCT</t>
  </si>
  <si>
    <t>SCW4LHH2PWK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</si>
  <si>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</si>
  <si>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</si>
  <si>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</si>
  <si>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</si>
  <si>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</si>
  <si>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</si>
  <si>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</si>
  <si>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</si>
  <si>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</si>
  <si>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</si>
  <si>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</si>
  <si>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</si>
  <si>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</si>
  <si>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</si>
  <si>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SCFYQ7TH6H7</t>
  </si>
  <si>
    <t>SGYXVJ6FWFY</t>
  </si>
  <si>
    <t>SJFR2DCW5P6</t>
  </si>
  <si>
    <t>SFNP6DHG2RG</t>
  </si>
  <si>
    <t>SG5J4D6L7CF</t>
  </si>
  <si>
    <t>SL7Y4W3V6VT</t>
  </si>
  <si>
    <t>SFNV5XWP235</t>
  </si>
  <si>
    <t>Apple Watch Ultra 3 49mm Ocean Band</t>
  </si>
  <si>
    <t>Apple Watch Ultra 3 49mm blk,Alp</t>
  </si>
  <si>
    <t>Series 11 42mm space grey M/L GPS</t>
  </si>
  <si>
    <t>SK3Y49J4MNP</t>
  </si>
  <si>
    <t>Series 11 46mm space grey M/L GPS</t>
  </si>
  <si>
    <t>SH0KWJ9G354</t>
  </si>
  <si>
    <t>Series 11 42mm space grey S/M CEL</t>
  </si>
  <si>
    <t>Series 11 42mm rose gold S/M GPS</t>
  </si>
  <si>
    <t>SG3P7X0195G</t>
  </si>
  <si>
    <t>Series 11 42mm rode gold S/M GPS</t>
  </si>
  <si>
    <t>SK3VWH23DXR</t>
  </si>
  <si>
    <t>SE 3 44mm midnight M/L GPS</t>
  </si>
  <si>
    <t>SHD4V96WL0J</t>
  </si>
  <si>
    <t>SDNJ14HR2XJ</t>
  </si>
  <si>
    <t>SJV476XR62J</t>
  </si>
  <si>
    <t>SJRFN22CYWV</t>
  </si>
  <si>
    <t>SL3X7PWQ43D</t>
  </si>
  <si>
    <t>SE 3 44mm starlight M/L GPS</t>
  </si>
  <si>
    <t>SJ4P007NG34</t>
  </si>
  <si>
    <t>SE 3 42mm midnight S/M GPS</t>
  </si>
  <si>
    <t>SMNP9XT41PV</t>
  </si>
  <si>
    <t>SD714K1FJK7</t>
  </si>
  <si>
    <t>SJ7VX4PXD6Q</t>
  </si>
  <si>
    <t>SD59M467RY2</t>
  </si>
  <si>
    <t>SE 3 42mm starlight S/M GPS</t>
  </si>
  <si>
    <t>SKW7G23C547</t>
  </si>
  <si>
    <t>SF45DW4W66C</t>
  </si>
  <si>
    <t>SMM7JMXFJYQ</t>
  </si>
  <si>
    <t>SG6JD6Y6YD4</t>
  </si>
  <si>
    <t>SJ9C3VL7HV2</t>
  </si>
  <si>
    <t>SE GEN 2 40mm midnight S/M GPS</t>
  </si>
  <si>
    <t>SMKX9W26H1H</t>
  </si>
  <si>
    <t>SK77655HQFX</t>
  </si>
  <si>
    <t>SLCP4VV2NJR</t>
  </si>
  <si>
    <t>SM744LFQM3W</t>
  </si>
  <si>
    <t>SHXFYX326D0</t>
  </si>
  <si>
    <t>3-30-2026</t>
  </si>
  <si>
    <t>17626007660 Owais HT</t>
  </si>
  <si>
    <t>MACBOOK AIR M4 15 24 GB, 1 TB</t>
  </si>
  <si>
    <t>IPAD AIR M4 11 (W) 128 GB</t>
  </si>
  <si>
    <t>Commients</t>
  </si>
  <si>
    <t>iPhone 17 Pro Max Cosmic Orange 256 GB</t>
  </si>
  <si>
    <t>Unlock</t>
  </si>
  <si>
    <t>iPhone 17 Pro Max Deep Blue 256 GB</t>
  </si>
  <si>
    <t>iPhone 17 Pro Max Silver 256 GB</t>
  </si>
  <si>
    <t>iPhone 17 Pro Max Silver 512 GB</t>
  </si>
  <si>
    <t>iPhone 17 Pro Cosmic Orange 256 GB</t>
  </si>
  <si>
    <t>iPhone 17 Pro Cosmic Orange 512 GB</t>
  </si>
  <si>
    <t>iPhone 17 Pro Deep Blue 256 GB</t>
  </si>
  <si>
    <t>iPhone 17 Pro Deep Blue 512 GB</t>
  </si>
  <si>
    <t>iPhone 17 Pro Silver 256 GB</t>
  </si>
  <si>
    <t>iPhone 17 Air Space Black 256 GB</t>
  </si>
  <si>
    <t>iPhone 17 Lavender 256 GB</t>
  </si>
  <si>
    <t>iPhone 17 Black 256 GB</t>
  </si>
  <si>
    <t>iPhone 16 Black 128 GB</t>
  </si>
  <si>
    <t>iPhone 14 Pro Max Silver 512 GB</t>
  </si>
  <si>
    <t>iPhone 14 Pro Space Black 128 GB</t>
  </si>
  <si>
    <t>iPhone 14 Pro Space Black 256 GB</t>
  </si>
  <si>
    <t>iPhone 17 Pro Max Deep Blue 256 GB (Kit)</t>
  </si>
  <si>
    <t>iPhone 16 Pro Max Desert Ti 256 GB (Kit)</t>
  </si>
  <si>
    <t>Active, Body Damage</t>
  </si>
  <si>
    <t>Active, Damage</t>
  </si>
  <si>
    <t>iPhone 16 Pro Max Natural Ti 256 GB (Kit)</t>
  </si>
  <si>
    <t>Active, Spot on Screen</t>
  </si>
  <si>
    <t>iPhone 16 Pro Max Black Ti 256 GB (Kit)</t>
  </si>
  <si>
    <t>Active T-Mobile, Back broken</t>
  </si>
  <si>
    <t>iPhone 16 Pro Max White Ti 256 GB (Kit)</t>
  </si>
  <si>
    <t>Active T-Mobile, Damage</t>
  </si>
  <si>
    <t>iPhone 15 Pro Max Black Ti 256 GB (Kit)</t>
  </si>
  <si>
    <t>iphone 14 Pro Max 512</t>
  </si>
  <si>
    <t>Iphone 14 pro 128gb</t>
  </si>
  <si>
    <t>Iphone 14 pro 256gb</t>
  </si>
  <si>
    <t>Prices</t>
  </si>
  <si>
    <t>Samsung  S25 Ultra 256 GB</t>
  </si>
  <si>
    <t>17 Pro Deep Blue 256</t>
  </si>
  <si>
    <t>17 Pro Silver 256 GB</t>
  </si>
  <si>
    <t>17 Pro Max Deep Blue 256 GB</t>
  </si>
  <si>
    <t>Ipad Air 13 M3 128 GB</t>
  </si>
  <si>
    <t>Ipad Pro M5 13 256 W+C</t>
  </si>
  <si>
    <t>invocie 55</t>
  </si>
  <si>
    <t>Ultra Watch 3</t>
  </si>
  <si>
    <t>Sale Al Mahafil</t>
  </si>
  <si>
    <t>Syd Ship 04-04-2026</t>
  </si>
  <si>
    <r>
      <rPr>
        <sz val="9.5"/>
        <rFont val="Arial MT"/>
        <family val="2"/>
      </rPr>
      <t>870417701938 Owais HT</t>
    </r>
  </si>
  <si>
    <r>
      <rPr>
        <sz val="9.5"/>
        <rFont val="Arial MT"/>
        <family val="2"/>
      </rPr>
      <t>iPhone 17 Pro Max Cosmic Orange 256 GB</t>
    </r>
  </si>
  <si>
    <r>
      <rPr>
        <sz val="9.5"/>
        <rFont val="Arial MT"/>
        <family val="2"/>
      </rPr>
      <t>Active</t>
    </r>
  </si>
  <si>
    <r>
      <rPr>
        <sz val="9.5"/>
        <rFont val="Arial MT"/>
        <family val="2"/>
      </rPr>
      <t>Unlock</t>
    </r>
  </si>
  <si>
    <r>
      <rPr>
        <sz val="9.5"/>
        <rFont val="Arial MT"/>
        <family val="2"/>
      </rPr>
      <t>iPhone 17 Pro Max Deep Blue 256 GB</t>
    </r>
  </si>
  <si>
    <r>
      <rPr>
        <sz val="9.5"/>
        <rFont val="Arial MT"/>
        <family val="2"/>
      </rPr>
      <t>iPhone 17 Pro Deep Blue 256 GB</t>
    </r>
  </si>
  <si>
    <r>
      <rPr>
        <sz val="9.5"/>
        <rFont val="Arial MT"/>
        <family val="2"/>
      </rPr>
      <t>T-Mobile</t>
    </r>
  </si>
  <si>
    <r>
      <rPr>
        <sz val="9.5"/>
        <rFont val="Arial MT"/>
        <family val="2"/>
      </rPr>
      <t>iPhone 17 Pro Silver 256 GB</t>
    </r>
  </si>
  <si>
    <r>
      <rPr>
        <sz val="9.5"/>
        <rFont val="Arial MT"/>
        <family val="2"/>
      </rPr>
      <t>iPad Pro M5 13" (W+C) Space Black 256 GB</t>
    </r>
  </si>
  <si>
    <r>
      <rPr>
        <sz val="9.5"/>
        <rFont val="Arial MT"/>
        <family val="2"/>
      </rPr>
      <t>iWatch Ultra 3 Black Ti, Ocean 49mm</t>
    </r>
  </si>
  <si>
    <r>
      <rPr>
        <sz val="9.5"/>
        <rFont val="Arial MT"/>
        <family val="2"/>
      </rPr>
      <t>iWatch Ultra 3 Black Ti, Alp 49mm</t>
    </r>
  </si>
  <si>
    <r>
      <rPr>
        <sz val="9.5"/>
        <rFont val="Arial MT"/>
        <family val="2"/>
      </rPr>
      <t>Galaxy S26 Ultra Cobalt Violet 256 GB</t>
    </r>
  </si>
  <si>
    <r>
      <rPr>
        <sz val="9.5"/>
        <rFont val="Arial MT"/>
        <family val="2"/>
      </rPr>
      <t>Galaxy S26 Ultra Black 256 GB</t>
    </r>
  </si>
  <si>
    <t>Usa To Usa</t>
  </si>
  <si>
    <t>iPad Air M4 13" (W+C) Space Gray 128 GB</t>
  </si>
  <si>
    <t>iPad Air M4 13" (W+C) 128gb</t>
  </si>
  <si>
    <t>Samsung S26 Ultra 256gb</t>
  </si>
  <si>
    <t>usa to usa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</si>
  <si>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</si>
  <si>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</si>
  <si>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</si>
  <si>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</si>
  <si>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</si>
  <si>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</si>
  <si>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Shipping Charges Expense</t>
  </si>
  <si>
    <t>Purchase Newzealand</t>
  </si>
  <si>
    <t>Sale Qudaratullah</t>
  </si>
  <si>
    <t>Sale BK Matrix</t>
  </si>
  <si>
    <t>Sale Waqas MT</t>
  </si>
  <si>
    <t>Purchase Ashraf 480</t>
  </si>
  <si>
    <t>Starlink V4 Abdul Khan</t>
  </si>
  <si>
    <t>Minelab 1000</t>
  </si>
  <si>
    <t>Starlink Standard Kit Bunnings  Pakenham</t>
  </si>
  <si>
    <t>Minelab 1000 BCF</t>
  </si>
  <si>
    <t>Minelab 1000 Annaconda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</si>
  <si>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</si>
  <si>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</si>
  <si>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</si>
  <si>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</si>
  <si>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</si>
  <si>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Minelab 1000 BCF ONLINE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</si>
  <si>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</si>
  <si>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</si>
  <si>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</si>
  <si>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</si>
  <si>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Annaconda Online Pending Delivery</t>
  </si>
  <si>
    <t>Purhase Australia</t>
  </si>
  <si>
    <r>
      <rPr>
        <sz val="9.5"/>
        <rFont val="Arial MT"/>
        <family val="2"/>
      </rPr>
      <t>176-26078253 Owais HT</t>
    </r>
  </si>
  <si>
    <t>Issue Commients</t>
  </si>
  <si>
    <r>
      <rPr>
        <sz val="9.5"/>
        <rFont val="Microsoft Sans Serif"/>
        <family val="2"/>
      </rPr>
      <t>Ps5 Slim Digital 825 GB</t>
    </r>
  </si>
  <si>
    <r>
      <rPr>
        <sz val="9.5"/>
        <rFont val="Microsoft Sans Serif"/>
        <family val="2"/>
      </rPr>
      <t>S01M55901RU310372360</t>
    </r>
  </si>
  <si>
    <r>
      <rPr>
        <sz val="9.5"/>
        <rFont val="Microsoft Sans Serif"/>
        <family val="2"/>
      </rPr>
      <t>S01M55901RU310375020</t>
    </r>
  </si>
  <si>
    <r>
      <rPr>
        <sz val="11"/>
        <color rgb="FF37751C"/>
        <rFont val="Microsoft Sans Serif"/>
        <family val="2"/>
      </rPr>
      <t>S01V55901UNL11544723</t>
    </r>
    <r>
      <rPr>
        <sz val="10"/>
        <color rgb="FF000000"/>
        <rFont val="Microsoft Sans Serif"/>
        <family val="2"/>
      </rPr>
      <t xml:space="preserve"> IMEI Change In invoice</t>
    </r>
  </si>
  <si>
    <r>
      <rPr>
        <sz val="9.5"/>
        <rFont val="Microsoft Sans Serif"/>
        <family val="2"/>
      </rPr>
      <t>Ps5 Slim Digital 1 TB</t>
    </r>
  </si>
  <si>
    <r>
      <rPr>
        <sz val="9.5"/>
        <rFont val="Microsoft Sans Serif"/>
        <family val="2"/>
      </rPr>
      <t>S01V45401FJW10319384</t>
    </r>
  </si>
  <si>
    <r>
      <rPr>
        <sz val="11"/>
        <color rgb="FF37751C"/>
        <rFont val="Microsoft Sans Serif"/>
        <family val="2"/>
      </rPr>
      <t>S01V55901UNL11465636</t>
    </r>
    <r>
      <rPr>
        <sz val="10"/>
        <color rgb="FF000000"/>
        <rFont val="Microsoft Sans Serif"/>
        <family val="2"/>
      </rPr>
      <t xml:space="preserve"> IMEI Change In invoice 825 GB He</t>
    </r>
  </si>
  <si>
    <t>S01U456010DH10271881</t>
  </si>
  <si>
    <r>
      <rPr>
        <sz val="11"/>
        <color rgb="FF37751C"/>
        <rFont val="Microsoft Sans Serif"/>
        <family val="2"/>
      </rPr>
      <t>S01V55901UNL11549135</t>
    </r>
    <r>
      <rPr>
        <sz val="10"/>
        <color rgb="FF000000"/>
        <rFont val="Microsoft Sans Serif"/>
        <family val="2"/>
      </rPr>
      <t xml:space="preserve"> IMEI Change In invoice  825 GB He</t>
    </r>
  </si>
  <si>
    <r>
      <rPr>
        <sz val="9.5"/>
        <rFont val="Microsoft Sans Serif"/>
        <family val="2"/>
      </rPr>
      <t>Dual Sense Edge Wireless Controller White</t>
    </r>
  </si>
  <si>
    <t>dualsenseedgewirelesscontroller0013</t>
  </si>
  <si>
    <r>
      <rPr>
        <sz val="9.5"/>
        <rFont val="Microsoft Sans Serif"/>
        <family val="2"/>
      </rPr>
      <t>XBOX Series X</t>
    </r>
  </si>
  <si>
    <t>XBOX Series S</t>
  </si>
  <si>
    <r>
      <rPr>
        <sz val="9.5"/>
        <rFont val="Microsoft Sans Serif"/>
        <family val="2"/>
      </rPr>
      <t>BK33PCR25353PC</t>
    </r>
  </si>
  <si>
    <t>New</t>
  </si>
  <si>
    <r>
      <rPr>
        <sz val="9.5"/>
        <rFont val="Microsoft Sans Serif"/>
        <family val="2"/>
      </rPr>
      <t>XBOX Series S</t>
    </r>
  </si>
  <si>
    <r>
      <rPr>
        <sz val="9.5"/>
        <rFont val="Microsoft Sans Serif"/>
        <family val="2"/>
      </rPr>
      <t>BK33M6625483PC</t>
    </r>
  </si>
  <si>
    <r>
      <rPr>
        <sz val="9.5"/>
        <rFont val="Microsoft Sans Serif"/>
        <family val="2"/>
      </rPr>
      <t>BK33MC425483PC</t>
    </r>
  </si>
  <si>
    <r>
      <rPr>
        <sz val="9.5"/>
        <rFont val="Microsoft Sans Serif"/>
        <family val="2"/>
      </rPr>
      <t>Meta Ǫuest 3 4k 512 GB</t>
    </r>
  </si>
  <si>
    <r>
      <rPr>
        <sz val="9.5"/>
        <rFont val="Microsoft Sans Serif"/>
        <family val="2"/>
      </rPr>
      <t>2G97BMMH5F04LM</t>
    </r>
  </si>
  <si>
    <r>
      <rPr>
        <sz val="9.5"/>
        <rFont val="Microsoft Sans Serif"/>
        <family val="2"/>
      </rPr>
      <t>Nintendo Switch 2</t>
    </r>
  </si>
  <si>
    <r>
      <rPr>
        <sz val="9.5"/>
        <rFont val="Microsoft Sans Serif"/>
        <family val="2"/>
      </rPr>
      <t>HAW50732516645</t>
    </r>
  </si>
  <si>
    <r>
      <rPr>
        <sz val="9.5"/>
        <rFont val="Microsoft Sans Serif"/>
        <family val="2"/>
      </rPr>
      <t>HAW50135494649</t>
    </r>
  </si>
  <si>
    <r>
      <rPr>
        <sz val="9.5"/>
        <rFont val="Microsoft Sans Serif"/>
        <family val="2"/>
      </rPr>
      <t>HAW50460146022</t>
    </r>
  </si>
  <si>
    <r>
      <rPr>
        <sz val="9.5"/>
        <rFont val="Microsoft Sans Serif"/>
        <family val="2"/>
      </rPr>
      <t>HAW50001281090</t>
    </r>
  </si>
  <si>
    <r>
      <rPr>
        <sz val="9.5"/>
        <rFont val="Microsoft Sans Serif"/>
        <family val="2"/>
      </rPr>
      <t>HAW50262601521</t>
    </r>
  </si>
  <si>
    <r>
      <rPr>
        <sz val="9.5"/>
        <rFont val="Microsoft Sans Serif"/>
        <family val="2"/>
      </rPr>
      <t>HAW50586791250</t>
    </r>
  </si>
  <si>
    <r>
      <rPr>
        <sz val="9.5"/>
        <rFont val="Microsoft Sans Serif"/>
        <family val="2"/>
      </rPr>
      <t>HAW50467891659</t>
    </r>
  </si>
  <si>
    <r>
      <rPr>
        <sz val="9.5"/>
        <rFont val="Microsoft Sans Serif"/>
        <family val="2"/>
      </rPr>
      <t>HAW50046488652</t>
    </r>
  </si>
  <si>
    <r>
      <rPr>
        <sz val="9.5"/>
        <rFont val="Microsoft Sans Serif"/>
        <family val="2"/>
      </rPr>
      <t>HAW50815208474</t>
    </r>
  </si>
  <si>
    <r>
      <rPr>
        <sz val="9.5"/>
        <rFont val="Microsoft Sans Serif"/>
        <family val="2"/>
      </rPr>
      <t>HAW50891387315</t>
    </r>
  </si>
  <si>
    <r>
      <rPr>
        <sz val="9.5"/>
        <rFont val="Microsoft Sans Serif"/>
        <family val="2"/>
      </rPr>
      <t>HAW50893239667</t>
    </r>
  </si>
  <si>
    <r>
      <rPr>
        <sz val="9.5"/>
        <rFont val="Microsoft Sans Serif"/>
        <family val="2"/>
      </rPr>
      <t>HAW50196040625</t>
    </r>
  </si>
  <si>
    <r>
      <rPr>
        <sz val="9.5"/>
        <rFont val="Microsoft Sans Serif"/>
        <family val="2"/>
      </rPr>
      <t>HAW50823228440</t>
    </r>
  </si>
  <si>
    <r>
      <rPr>
        <sz val="9.5"/>
        <rFont val="Microsoft Sans Serif"/>
        <family val="2"/>
      </rPr>
      <t>HAW50056125516</t>
    </r>
  </si>
  <si>
    <r>
      <rPr>
        <sz val="9.5"/>
        <rFont val="Microsoft Sans Serif"/>
        <family val="2"/>
      </rPr>
      <t>HAW50959487841</t>
    </r>
  </si>
  <si>
    <r>
      <rPr>
        <sz val="9.5"/>
        <rFont val="Microsoft Sans Serif"/>
        <family val="2"/>
      </rPr>
      <t>HAW50363396968</t>
    </r>
  </si>
  <si>
    <r>
      <rPr>
        <sz val="9.5"/>
        <rFont val="Microsoft Sans Serif"/>
        <family val="2"/>
      </rPr>
      <t>HAW50034872982</t>
    </r>
  </si>
  <si>
    <r>
      <rPr>
        <sz val="9.5"/>
        <rFont val="Microsoft Sans Serif"/>
        <family val="2"/>
      </rPr>
      <t>HAW50789102846</t>
    </r>
  </si>
  <si>
    <r>
      <rPr>
        <sz val="9.5"/>
        <rFont val="Microsoft Sans Serif"/>
        <family val="2"/>
      </rPr>
      <t>HAW50120818443</t>
    </r>
  </si>
  <si>
    <r>
      <rPr>
        <sz val="9.5"/>
        <rFont val="Microsoft Sans Serif"/>
        <family val="2"/>
      </rPr>
      <t>HAW50628907328</t>
    </r>
  </si>
  <si>
    <r>
      <rPr>
        <sz val="9.5"/>
        <rFont val="Microsoft Sans Serif"/>
        <family val="2"/>
      </rPr>
      <t>HAW50827905651</t>
    </r>
  </si>
  <si>
    <t>HAW50167792935 IMEI Change In invoice</t>
  </si>
  <si>
    <r>
      <rPr>
        <sz val="9.5"/>
        <rFont val="Microsoft Sans Serif"/>
        <family val="2"/>
      </rPr>
      <t>HAW50668405648</t>
    </r>
  </si>
  <si>
    <t>HAW50186030223 IMEI Change In invoice</t>
  </si>
  <si>
    <r>
      <rPr>
        <sz val="9.5"/>
        <rFont val="Microsoft Sans Serif"/>
        <family val="2"/>
      </rPr>
      <t>HAW50890165211</t>
    </r>
  </si>
  <si>
    <t>HAW50961954836 IMEI Change In invoice</t>
  </si>
  <si>
    <r>
      <rPr>
        <sz val="9.5"/>
        <rFont val="Microsoft Sans Serif"/>
        <family val="2"/>
      </rPr>
      <t>HAW50357926362</t>
    </r>
  </si>
  <si>
    <t>HAW50588183701 IMEI Change In invoice</t>
  </si>
  <si>
    <r>
      <rPr>
        <sz val="9.5"/>
        <rFont val="Microsoft Sans Serif"/>
        <family val="2"/>
      </rPr>
      <t>HAW50618442204</t>
    </r>
  </si>
  <si>
    <t>HAW50065159311 IMEI Change In invoice</t>
  </si>
  <si>
    <r>
      <rPr>
        <sz val="9.5"/>
        <rFont val="Microsoft Sans Serif"/>
        <family val="2"/>
      </rPr>
      <t>HAW50370504790</t>
    </r>
  </si>
  <si>
    <r>
      <rPr>
        <sz val="9.5"/>
        <rFont val="Microsoft Sans Serif"/>
        <family val="2"/>
      </rPr>
      <t>HAW50466452998</t>
    </r>
  </si>
  <si>
    <r>
      <rPr>
        <sz val="9.5"/>
        <rFont val="Microsoft Sans Serif"/>
        <family val="2"/>
      </rPr>
      <t>HAW50760520782</t>
    </r>
  </si>
  <si>
    <r>
      <rPr>
        <sz val="9.5"/>
        <rFont val="Microsoft Sans Serif"/>
        <family val="2"/>
      </rPr>
      <t>HAW50944515078</t>
    </r>
  </si>
  <si>
    <r>
      <rPr>
        <sz val="9.5"/>
        <rFont val="Microsoft Sans Serif"/>
        <family val="2"/>
      </rPr>
      <t>HAW50929438286</t>
    </r>
  </si>
  <si>
    <r>
      <rPr>
        <sz val="9.5"/>
        <rFont val="Microsoft Sans Serif"/>
        <family val="2"/>
      </rPr>
      <t>HAW50787515037</t>
    </r>
  </si>
  <si>
    <r>
      <rPr>
        <sz val="9.5"/>
        <rFont val="Microsoft Sans Serif"/>
        <family val="2"/>
      </rPr>
      <t>HAW50351122210</t>
    </r>
  </si>
  <si>
    <r>
      <rPr>
        <sz val="9.5"/>
        <rFont val="Microsoft Sans Serif"/>
        <family val="2"/>
      </rPr>
      <t>HAW50871665501</t>
    </r>
  </si>
  <si>
    <r>
      <rPr>
        <sz val="9.5"/>
        <rFont val="Microsoft Sans Serif"/>
        <family val="2"/>
      </rPr>
      <t>HAW50822882926</t>
    </r>
  </si>
  <si>
    <r>
      <rPr>
        <sz val="9.5"/>
        <rFont val="Microsoft Sans Serif"/>
        <family val="2"/>
      </rPr>
      <t>HAW50145022337</t>
    </r>
  </si>
  <si>
    <r>
      <rPr>
        <sz val="9.5"/>
        <rFont val="Microsoft Sans Serif"/>
        <family val="2"/>
      </rPr>
      <t>HAW50884659245</t>
    </r>
  </si>
  <si>
    <r>
      <rPr>
        <sz val="9.5"/>
        <rFont val="Microsoft Sans Serif"/>
        <family val="2"/>
      </rPr>
      <t>HAW50545800030</t>
    </r>
  </si>
  <si>
    <r>
      <rPr>
        <sz val="9.5"/>
        <rFont val="Microsoft Sans Serif"/>
        <family val="2"/>
      </rPr>
      <t>HAW50229565385</t>
    </r>
  </si>
  <si>
    <r>
      <rPr>
        <sz val="9.5"/>
        <rFont val="Microsoft Sans Serif"/>
        <family val="2"/>
      </rPr>
      <t>HAW50965392153</t>
    </r>
  </si>
  <si>
    <r>
      <rPr>
        <sz val="9.5"/>
        <rFont val="Microsoft Sans Serif"/>
        <family val="2"/>
      </rPr>
      <t>HAW50929805316</t>
    </r>
  </si>
  <si>
    <r>
      <rPr>
        <sz val="9.5"/>
        <rFont val="Microsoft Sans Serif"/>
        <family val="2"/>
      </rPr>
      <t>HAW50393566447</t>
    </r>
  </si>
  <si>
    <r>
      <rPr>
        <sz val="9.5"/>
        <rFont val="Microsoft Sans Serif"/>
        <family val="2"/>
      </rPr>
      <t>HAW50664340523</t>
    </r>
  </si>
  <si>
    <r>
      <rPr>
        <sz val="9.5"/>
        <rFont val="Microsoft Sans Serif"/>
        <family val="2"/>
      </rPr>
      <t>HAW50080614833</t>
    </r>
  </si>
  <si>
    <r>
      <rPr>
        <sz val="9.5"/>
        <rFont val="Microsoft Sans Serif"/>
        <family val="2"/>
      </rPr>
      <t>HAW50016334521</t>
    </r>
  </si>
  <si>
    <r>
      <rPr>
        <sz val="9.5"/>
        <rFont val="Microsoft Sans Serif"/>
        <family val="2"/>
      </rPr>
      <t>HAW50878403830</t>
    </r>
  </si>
  <si>
    <r>
      <rPr>
        <sz val="9.5"/>
        <rFont val="Microsoft Sans Serif"/>
        <family val="2"/>
      </rPr>
      <t>HAW50485505484</t>
    </r>
  </si>
  <si>
    <t>IMEI Change In invoice</t>
  </si>
  <si>
    <r>
      <rPr>
        <sz val="9.5"/>
        <rFont val="Microsoft Sans Serif"/>
        <family val="2"/>
      </rPr>
      <t>HAW50104457712</t>
    </r>
  </si>
  <si>
    <r>
      <rPr>
        <sz val="9.5"/>
        <rFont val="Microsoft Sans Serif"/>
        <family val="2"/>
      </rPr>
      <t>HAW50767617591</t>
    </r>
  </si>
  <si>
    <r>
      <rPr>
        <sz val="9.5"/>
        <rFont val="Microsoft Sans Serif"/>
        <family val="2"/>
      </rPr>
      <t>HAW50007780603</t>
    </r>
  </si>
  <si>
    <r>
      <rPr>
        <sz val="9.5"/>
        <rFont val="Microsoft Sans Serif"/>
        <family val="2"/>
      </rPr>
      <t>HAW50624387476</t>
    </r>
  </si>
  <si>
    <r>
      <rPr>
        <sz val="9.5"/>
        <rFont val="Microsoft Sans Serif"/>
        <family val="2"/>
      </rPr>
      <t>HAW50948103790</t>
    </r>
  </si>
  <si>
    <r>
      <rPr>
        <sz val="9.5"/>
        <rFont val="Microsoft Sans Serif"/>
        <family val="2"/>
      </rPr>
      <t>HAW50082491524</t>
    </r>
  </si>
  <si>
    <r>
      <rPr>
        <sz val="9.5"/>
        <rFont val="Microsoft Sans Serif"/>
        <family val="2"/>
      </rPr>
      <t>HAW50336832578</t>
    </r>
  </si>
  <si>
    <r>
      <rPr>
        <sz val="9.5"/>
        <rFont val="Microsoft Sans Serif"/>
        <family val="2"/>
      </rPr>
      <t>HAW50457696837</t>
    </r>
  </si>
  <si>
    <r>
      <rPr>
        <sz val="9.5"/>
        <rFont val="Microsoft Sans Serif"/>
        <family val="2"/>
      </rPr>
      <t>HAW50246251414</t>
    </r>
  </si>
  <si>
    <r>
      <rPr>
        <sz val="9.5"/>
        <rFont val="Microsoft Sans Serif"/>
        <family val="2"/>
      </rPr>
      <t>HAW50107401798</t>
    </r>
  </si>
  <si>
    <r>
      <rPr>
        <sz val="9.5"/>
        <rFont val="Microsoft Sans Serif"/>
        <family val="2"/>
      </rPr>
      <t>HAW50736825811</t>
    </r>
  </si>
  <si>
    <r>
      <rPr>
        <sz val="9.5"/>
        <rFont val="Microsoft Sans Serif"/>
        <family val="2"/>
      </rPr>
      <t>HAW50327697889</t>
    </r>
  </si>
  <si>
    <r>
      <rPr>
        <sz val="9.5"/>
        <rFont val="Microsoft Sans Serif"/>
        <family val="2"/>
      </rPr>
      <t>HAW50425031011</t>
    </r>
  </si>
  <si>
    <r>
      <rPr>
        <sz val="9.5"/>
        <rFont val="Microsoft Sans Serif"/>
        <family val="2"/>
      </rPr>
      <t>HAW50557776170</t>
    </r>
  </si>
  <si>
    <r>
      <rPr>
        <sz val="9.5"/>
        <rFont val="Microsoft Sans Serif"/>
        <family val="2"/>
      </rPr>
      <t>HAW50304939735</t>
    </r>
  </si>
  <si>
    <r>
      <rPr>
        <sz val="9.5"/>
        <rFont val="Microsoft Sans Serif"/>
        <family val="2"/>
      </rPr>
      <t>HAW50780164577</t>
    </r>
  </si>
  <si>
    <r>
      <rPr>
        <sz val="9.5"/>
        <rFont val="Microsoft Sans Serif"/>
        <family val="2"/>
      </rPr>
      <t>HAW50891050608</t>
    </r>
  </si>
  <si>
    <r>
      <rPr>
        <sz val="9.5"/>
        <rFont val="Microsoft Sans Serif"/>
        <family val="2"/>
      </rPr>
      <t>HAW50475858422</t>
    </r>
  </si>
  <si>
    <r>
      <rPr>
        <sz val="9.5"/>
        <rFont val="Microsoft Sans Serif"/>
        <family val="2"/>
      </rPr>
      <t>HAW50416095497</t>
    </r>
  </si>
  <si>
    <r>
      <rPr>
        <sz val="9.5"/>
        <rFont val="Microsoft Sans Serif"/>
        <family val="2"/>
      </rPr>
      <t>HAW50167361452</t>
    </r>
  </si>
  <si>
    <r>
      <rPr>
        <sz val="9.5"/>
        <rFont val="Microsoft Sans Serif"/>
        <family val="2"/>
      </rPr>
      <t>HAW50075012507</t>
    </r>
  </si>
  <si>
    <r>
      <rPr>
        <sz val="9.5"/>
        <rFont val="Microsoft Sans Serif"/>
        <family val="2"/>
      </rPr>
      <t>HAW50766597948</t>
    </r>
  </si>
  <si>
    <r>
      <rPr>
        <sz val="9.5"/>
        <rFont val="Microsoft Sans Serif"/>
        <family val="2"/>
      </rPr>
      <t>HAW50176631416</t>
    </r>
  </si>
  <si>
    <r>
      <rPr>
        <sz val="9.5"/>
        <rFont val="Microsoft Sans Serif"/>
        <family val="2"/>
      </rPr>
      <t>HAW50223995270</t>
    </r>
  </si>
  <si>
    <r>
      <rPr>
        <sz val="9.5"/>
        <rFont val="Microsoft Sans Serif"/>
        <family val="2"/>
      </rPr>
      <t>HAW50421652463</t>
    </r>
  </si>
  <si>
    <r>
      <rPr>
        <sz val="9.5"/>
        <rFont val="Microsoft Sans Serif"/>
        <family val="2"/>
      </rPr>
      <t>HAW50527177907</t>
    </r>
  </si>
  <si>
    <r>
      <rPr>
        <sz val="9.5"/>
        <rFont val="Microsoft Sans Serif"/>
        <family val="2"/>
      </rPr>
      <t>HAW50005724562</t>
    </r>
  </si>
  <si>
    <r>
      <rPr>
        <sz val="9.5"/>
        <rFont val="Microsoft Sans Serif"/>
        <family val="2"/>
      </rPr>
      <t>HAW50124125516</t>
    </r>
  </si>
  <si>
    <r>
      <rPr>
        <sz val="9.5"/>
        <rFont val="Microsoft Sans Serif"/>
        <family val="2"/>
      </rPr>
      <t>HAW50813844698</t>
    </r>
  </si>
  <si>
    <r>
      <rPr>
        <sz val="9.5"/>
        <rFont val="Microsoft Sans Serif"/>
        <family val="2"/>
      </rPr>
      <t>HAW50570221381</t>
    </r>
  </si>
  <si>
    <r>
      <rPr>
        <sz val="9.5"/>
        <rFont val="Microsoft Sans Serif"/>
        <family val="2"/>
      </rPr>
      <t>HAW50452033200</t>
    </r>
  </si>
  <si>
    <r>
      <rPr>
        <sz val="9.5"/>
        <rFont val="Microsoft Sans Serif"/>
        <family val="2"/>
      </rPr>
      <t>HAW50106223872</t>
    </r>
  </si>
  <si>
    <r>
      <rPr>
        <sz val="9.5"/>
        <rFont val="Microsoft Sans Serif"/>
        <family val="2"/>
      </rPr>
      <t>HAW50386273635</t>
    </r>
  </si>
  <si>
    <r>
      <rPr>
        <sz val="9.5"/>
        <rFont val="Microsoft Sans Serif"/>
        <family val="2"/>
      </rPr>
      <t>HAW50141802315</t>
    </r>
  </si>
  <si>
    <r>
      <rPr>
        <sz val="9.5"/>
        <rFont val="Microsoft Sans Serif"/>
        <family val="2"/>
      </rPr>
      <t>HAW50275703328</t>
    </r>
  </si>
  <si>
    <r>
      <rPr>
        <sz val="9.5"/>
        <rFont val="Microsoft Sans Serif"/>
        <family val="2"/>
      </rPr>
      <t>HAW50315916039</t>
    </r>
  </si>
  <si>
    <r>
      <rPr>
        <sz val="9.5"/>
        <rFont val="Microsoft Sans Serif"/>
        <family val="2"/>
      </rPr>
      <t>HAW50754117882</t>
    </r>
  </si>
  <si>
    <r>
      <rPr>
        <sz val="9.5"/>
        <rFont val="Microsoft Sans Serif"/>
        <family val="2"/>
      </rPr>
      <t>HAW50455738782</t>
    </r>
  </si>
  <si>
    <r>
      <rPr>
        <sz val="9.5"/>
        <rFont val="Microsoft Sans Serif"/>
        <family val="2"/>
      </rPr>
      <t>HAW50253285174</t>
    </r>
  </si>
  <si>
    <r>
      <rPr>
        <sz val="9.5"/>
        <rFont val="Microsoft Sans Serif"/>
        <family val="2"/>
      </rPr>
      <t>HAW50009771012</t>
    </r>
  </si>
  <si>
    <r>
      <rPr>
        <sz val="9.5"/>
        <rFont val="Microsoft Sans Serif"/>
        <family val="2"/>
      </rPr>
      <t>HAW50174442175</t>
    </r>
  </si>
  <si>
    <r>
      <rPr>
        <sz val="9.5"/>
        <rFont val="Microsoft Sans Serif"/>
        <family val="2"/>
      </rPr>
      <t>HAW50718872666</t>
    </r>
  </si>
  <si>
    <r>
      <rPr>
        <sz val="9.5"/>
        <rFont val="Microsoft Sans Serif"/>
        <family val="2"/>
      </rPr>
      <t>HAW50904292643</t>
    </r>
  </si>
  <si>
    <r>
      <rPr>
        <sz val="9.5"/>
        <rFont val="Microsoft Sans Serif"/>
        <family val="2"/>
      </rPr>
      <t>HAW50150510270</t>
    </r>
  </si>
  <si>
    <r>
      <rPr>
        <sz val="9.5"/>
        <rFont val="Microsoft Sans Serif"/>
        <family val="2"/>
      </rPr>
      <t>HAW50938957501</t>
    </r>
  </si>
  <si>
    <r>
      <rPr>
        <sz val="9.5"/>
        <rFont val="Microsoft Sans Serif"/>
        <family val="2"/>
      </rPr>
      <t>HAW50320131816</t>
    </r>
  </si>
  <si>
    <r>
      <rPr>
        <sz val="9.5"/>
        <rFont val="Microsoft Sans Serif"/>
        <family val="2"/>
      </rPr>
      <t>HAW50850473202</t>
    </r>
  </si>
  <si>
    <r>
      <rPr>
        <sz val="9.5"/>
        <rFont val="Microsoft Sans Serif"/>
        <family val="2"/>
      </rPr>
      <t>HAW50243034751</t>
    </r>
  </si>
  <si>
    <r>
      <rPr>
        <sz val="9.5"/>
        <rFont val="Microsoft Sans Serif"/>
        <family val="2"/>
      </rPr>
      <t>HAW50733417088</t>
    </r>
  </si>
  <si>
    <r>
      <rPr>
        <sz val="9.5"/>
        <rFont val="Microsoft Sans Serif"/>
        <family val="2"/>
      </rPr>
      <t>HAW50287653185</t>
    </r>
  </si>
  <si>
    <r>
      <rPr>
        <sz val="9.5"/>
        <rFont val="Microsoft Sans Serif"/>
        <family val="2"/>
      </rPr>
      <t>HAW50790479609</t>
    </r>
  </si>
  <si>
    <r>
      <rPr>
        <sz val="9.5"/>
        <rFont val="Microsoft Sans Serif"/>
        <family val="2"/>
      </rPr>
      <t>HAW50760136242</t>
    </r>
  </si>
  <si>
    <r>
      <rPr>
        <sz val="9.5"/>
        <rFont val="Microsoft Sans Serif"/>
        <family val="2"/>
      </rPr>
      <t>HAW50944038690</t>
    </r>
  </si>
  <si>
    <r>
      <rPr>
        <sz val="9.5"/>
        <rFont val="Microsoft Sans Serif"/>
        <family val="2"/>
      </rPr>
      <t>HAW50906842594</t>
    </r>
  </si>
  <si>
    <r>
      <rPr>
        <sz val="9.5"/>
        <rFont val="Microsoft Sans Serif"/>
        <family val="2"/>
      </rPr>
      <t>HAW50874569776</t>
    </r>
  </si>
  <si>
    <r>
      <rPr>
        <sz val="9.5"/>
        <rFont val="Microsoft Sans Serif"/>
        <family val="2"/>
      </rPr>
      <t>HAW50559053019</t>
    </r>
  </si>
  <si>
    <r>
      <rPr>
        <sz val="9.5"/>
        <rFont val="Microsoft Sans Serif"/>
        <family val="2"/>
      </rPr>
      <t>HAW50358495041</t>
    </r>
  </si>
  <si>
    <r>
      <rPr>
        <sz val="9.5"/>
        <rFont val="Microsoft Sans Serif"/>
        <family val="2"/>
      </rPr>
      <t>HAW50172034693</t>
    </r>
  </si>
  <si>
    <r>
      <rPr>
        <sz val="9.5"/>
        <rFont val="Microsoft Sans Serif"/>
        <family val="2"/>
      </rPr>
      <t>HAW50020671513</t>
    </r>
  </si>
  <si>
    <r>
      <rPr>
        <sz val="9.5"/>
        <rFont val="Microsoft Sans Serif"/>
        <family val="2"/>
      </rPr>
      <t>HAW50256084095</t>
    </r>
  </si>
  <si>
    <r>
      <rPr>
        <sz val="9.5"/>
        <rFont val="Microsoft Sans Serif"/>
        <family val="2"/>
      </rPr>
      <t>HAW50233627680</t>
    </r>
  </si>
  <si>
    <r>
      <rPr>
        <sz val="9.5"/>
        <rFont val="Microsoft Sans Serif"/>
        <family val="2"/>
      </rPr>
      <t>HAW50467161172</t>
    </r>
  </si>
  <si>
    <r>
      <rPr>
        <sz val="9.5"/>
        <rFont val="Microsoft Sans Serif"/>
        <family val="2"/>
      </rPr>
      <t>HAW50890095631</t>
    </r>
  </si>
  <si>
    <r>
      <rPr>
        <sz val="9.5"/>
        <rFont val="Microsoft Sans Serif"/>
        <family val="2"/>
      </rPr>
      <t>HAW50866339257</t>
    </r>
  </si>
  <si>
    <r>
      <rPr>
        <sz val="9.5"/>
        <rFont val="Microsoft Sans Serif"/>
        <family val="2"/>
      </rPr>
      <t>HAW50569047794</t>
    </r>
  </si>
  <si>
    <r>
      <rPr>
        <sz val="9.5"/>
        <rFont val="Microsoft Sans Serif"/>
        <family val="2"/>
      </rPr>
      <t>HAW50808082098</t>
    </r>
  </si>
  <si>
    <r>
      <rPr>
        <sz val="9.5"/>
        <rFont val="Microsoft Sans Serif"/>
        <family val="2"/>
      </rPr>
      <t>HAW50683493224</t>
    </r>
  </si>
  <si>
    <r>
      <rPr>
        <sz val="9.5"/>
        <rFont val="Microsoft Sans Serif"/>
        <family val="2"/>
      </rPr>
      <t>HAW50762587028</t>
    </r>
  </si>
  <si>
    <r>
      <rPr>
        <sz val="9.5"/>
        <rFont val="Microsoft Sans Serif"/>
        <family val="2"/>
      </rPr>
      <t>Fluke Insulation Multimeter 1577</t>
    </r>
  </si>
  <si>
    <t>AR - 18 Pallet 2026</t>
  </si>
  <si>
    <t>Xbox Series S</t>
  </si>
  <si>
    <t>Fluke Insulation Multimeter 1577</t>
  </si>
  <si>
    <t>AR-18 Pallet</t>
  </si>
  <si>
    <t>Refund in Aus</t>
  </si>
  <si>
    <t>Sale Zoomor</t>
  </si>
  <si>
    <t>Starlink Standard Kit refund in november</t>
  </si>
  <si>
    <t>Mel Ship 21-04-2026</t>
  </si>
  <si>
    <r>
      <rPr>
        <sz val="11"/>
        <rFont val="Arial MT"/>
        <family val="2"/>
      </rPr>
      <t>Date</t>
    </r>
  </si>
  <si>
    <r>
      <rPr>
        <sz val="11"/>
        <rFont val="Arial MT"/>
        <family val="2"/>
      </rPr>
      <t>Party Name</t>
    </r>
  </si>
  <si>
    <t>Purchasing 910</t>
  </si>
  <si>
    <t>System Active</t>
  </si>
  <si>
    <t>iPad Pro M5 13" (W+C) Space Black 512 GB</t>
  </si>
  <si>
    <t>iPad Air M4 13" (W+C) Starlight 128 GB</t>
  </si>
  <si>
    <t>MacBook Air M5 15" MDVN4 Midnight 24 GB, 1 TB</t>
  </si>
  <si>
    <t>SL42F5W4K1W</t>
  </si>
  <si>
    <t>iWatch Series 11 Jetblack 42mm</t>
  </si>
  <si>
    <t>SLXMǪKRX7ǪY</t>
  </si>
  <si>
    <t>SC6407PXǪMG</t>
  </si>
  <si>
    <t>iWatch Series 11 Rose Gold 42mm</t>
  </si>
  <si>
    <t>SC233N9L7P1</t>
  </si>
  <si>
    <t>SDR749F2D22</t>
  </si>
  <si>
    <t>SCR64Ǫ07XG4</t>
  </si>
  <si>
    <t>SF37NJXPF7G</t>
  </si>
  <si>
    <t>SMW62X0GJJ9</t>
  </si>
  <si>
    <t>SCGYJXY7LL7</t>
  </si>
  <si>
    <t>SL4ǪNN6375T</t>
  </si>
  <si>
    <t>SHW4WY7L309</t>
  </si>
  <si>
    <t>SC4RNVDJX9K</t>
  </si>
  <si>
    <t>SCPFVPǪH091</t>
  </si>
  <si>
    <t>SM4C2Ǫ9GGKX</t>
  </si>
  <si>
    <t>SDW4G332132</t>
  </si>
  <si>
    <t>Meta Ǫuest 3 4k 512 GB</t>
  </si>
  <si>
    <t>2G97BMMH9H022V</t>
  </si>
  <si>
    <t>2G97BMMHB600GG</t>
  </si>
  <si>
    <t>Rate Change</t>
  </si>
  <si>
    <t>Macbook Air M5 15'' 24/1TB</t>
  </si>
  <si>
    <t>Sale Ultradeals</t>
  </si>
  <si>
    <t>easubuy</t>
  </si>
  <si>
    <t>pad pro 11 M5 256 silver w+c</t>
  </si>
  <si>
    <t xml:space="preserve">IPad pro 13 M5 512 1-Space black w+c </t>
  </si>
  <si>
    <t>IPad Pro 13 M5 256 w+c</t>
  </si>
  <si>
    <t>IPad Air M3 13 128 w+c</t>
  </si>
  <si>
    <t>Ipad air 13 M4 128 w+c</t>
  </si>
  <si>
    <t>Ipad A16 128gb wifi</t>
  </si>
  <si>
    <t>Ipad A16 128gb w+c</t>
  </si>
  <si>
    <t>Ipad A16 256gb w+c</t>
  </si>
  <si>
    <t>Ipad Air 11 M3 128gb w+c</t>
  </si>
  <si>
    <t>Ipad air 11 M3 256gb w+c</t>
  </si>
  <si>
    <t>Ipad Air 11 M4 256 wifi</t>
  </si>
  <si>
    <t>Total</t>
  </si>
  <si>
    <t xml:space="preserve">Model </t>
  </si>
  <si>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</si>
  <si>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</si>
  <si>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</si>
  <si>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</si>
  <si>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iPhone 17 Pro Silver 256 GB</t>
    </r>
  </si>
  <si>
    <t>iPad Pro M5 13" (W+C) Space Black 256 GB</t>
  </si>
  <si>
    <r>
      <rPr>
        <sz val="10"/>
        <rFont val="Arial MT"/>
        <family val="2"/>
      </rPr>
      <t>iPad Pro M5 13" (W+C) Space Black 256 GB</t>
    </r>
  </si>
  <si>
    <t>iPad Pro M5 11" (W+C) Space Black 256 GB</t>
  </si>
  <si>
    <t>iPad Air M4 13" (W+C) Purple 128 GB</t>
  </si>
  <si>
    <t>iWatch Ultra 3 Black Ti, Ocean 49mm</t>
  </si>
  <si>
    <r>
      <rPr>
        <sz val="10"/>
        <rFont val="Arial MT"/>
        <family val="2"/>
      </rPr>
      <t>iWatch Ultra 3 Black Ti, Ocean 49mm</t>
    </r>
  </si>
  <si>
    <t>iWatch Ultra 3 Black Ti, Alp 49mm</t>
  </si>
  <si>
    <t>iWatch SE 3 Starlight 40mm</t>
  </si>
  <si>
    <r>
      <rPr>
        <sz val="10"/>
        <rFont val="Arial MT"/>
        <family val="2"/>
      </rPr>
      <t>Galaxy S26 Ultra Black 256 GB</t>
    </r>
  </si>
  <si>
    <t>Galaxy S26 Ultra Black 256 GB</t>
  </si>
  <si>
    <t>Galaxy S25 Ultra Ti Black 256 GB</t>
  </si>
  <si>
    <r>
      <rPr>
        <sz val="10"/>
        <rFont val="Arial MT"/>
        <family val="2"/>
      </rPr>
      <t>Galaxy S25 Ultra Ti Black 256 GB</t>
    </r>
  </si>
  <si>
    <t>Usa to Usa</t>
  </si>
  <si>
    <t>Raad Al Madina</t>
  </si>
  <si>
    <t>870611708631 M</t>
  </si>
  <si>
    <r>
      <rPr>
        <sz val="10"/>
        <rFont val="Arial MT"/>
        <family val="2"/>
      </rPr>
      <t>Date</t>
    </r>
  </si>
  <si>
    <t>870611708620 Owais HT</t>
  </si>
  <si>
    <t>Commintes</t>
  </si>
  <si>
    <t>iPhone 17 Pro Max Cosmic Orange 512 GB</t>
  </si>
  <si>
    <t>iPhone 17 Pro Max Silver 256 GB (Kit)</t>
  </si>
  <si>
    <t>iPhone 17 Sage 256 GB</t>
  </si>
  <si>
    <t>iPhone 17 Mist Blue 256 GB</t>
  </si>
  <si>
    <t>iPhone 16 Plus Ultramarine 128 GB (Kit)</t>
  </si>
  <si>
    <t>iPhone 16 Plus Black 128 GB</t>
  </si>
  <si>
    <t>iPhone 15 Pro Max Natural Ti 256 GB (Kit)</t>
  </si>
  <si>
    <t>Active, Screen Damaged and Scratches</t>
  </si>
  <si>
    <t>iPhone 14 Pro Max Deep Purple 1 TB (Kit)</t>
  </si>
  <si>
    <t>iPhone 13 Midnight 128 GB</t>
  </si>
  <si>
    <t>iPad Pro M5 13" (W+C) Silver 256 GB</t>
  </si>
  <si>
    <t>iPad Pro M5 11" (W+C) Silver 256 GB</t>
  </si>
  <si>
    <t>iPad Air M4 11" (W) Blue 256 GB</t>
  </si>
  <si>
    <t>SMVXHCGJX5J</t>
  </si>
  <si>
    <t>iPad Air M3 11" (W+C) Space Gray 128 GB</t>
  </si>
  <si>
    <t>iPad Air M3 11" (W+C) Space Gray 256 GB</t>
  </si>
  <si>
    <t>iPad A16 (W+C) Blue 128 GB</t>
  </si>
  <si>
    <t>iPad A16 (W+C) Blue 256 GB</t>
  </si>
  <si>
    <t>iPad A16 (W) Blue 128 GB</t>
  </si>
  <si>
    <t>SJ42MKQN6X1</t>
  </si>
  <si>
    <t>Macbook Pro M5 16'' MGEA4 Space Black 24 GB, 1 TB</t>
  </si>
  <si>
    <t>SM090X09DD2</t>
  </si>
  <si>
    <t>Macbook Pro M5 16'' MGED4 Space Black 32 GB, 2 TB</t>
  </si>
  <si>
    <t>SK5VYD6HQY6</t>
  </si>
  <si>
    <t>MacBook Pro M5 14" MDE04 Space Black 16 GB, 512 GB</t>
  </si>
  <si>
    <t>SLK6MG3JTXR</t>
  </si>
  <si>
    <t>MacBook Pro M5 14" MDE34 Space Black 24 GB, 1 TB</t>
  </si>
  <si>
    <t>SF02XNGH1FH</t>
  </si>
  <si>
    <t>Macbook Air M5 13'' MDHE4 Midnight 16 GB, 512 GB</t>
  </si>
  <si>
    <t>SJQPWJDXGPG</t>
  </si>
  <si>
    <t>MacBook Neo A18 Pro 13" MHFE4 Citrus 8 GB, 512 GB</t>
  </si>
  <si>
    <t>SGR4RL2Q519</t>
  </si>
  <si>
    <t>SC5P72Q4XVK</t>
  </si>
  <si>
    <t>iWatch Ultra 3 Black Ti, Trail 49mm</t>
  </si>
  <si>
    <t>iWatch Ultra 3 Black Ti, Milanese 49mm</t>
  </si>
  <si>
    <t>iWatch Series 11 Jetblack 46mm</t>
  </si>
  <si>
    <t>SJNW6HH3X47</t>
  </si>
  <si>
    <t>iWatch Series 11 Rose Gold 46mm</t>
  </si>
  <si>
    <t>SM40454DJYL</t>
  </si>
  <si>
    <t>SDJ2HK665QP</t>
  </si>
  <si>
    <t>SGFQNDH7NCC</t>
  </si>
  <si>
    <t>SCH4X41Q4VQ</t>
  </si>
  <si>
    <t>iWatch Series 9 Midnight 45mm</t>
  </si>
  <si>
    <t>iWatch SE 3 Midnight 44mm</t>
  </si>
  <si>
    <t>iWatch SE 3 Starlight 44mm</t>
  </si>
  <si>
    <t>SLXH4J3CG2D</t>
  </si>
  <si>
    <t>SJF9GT2CKXV</t>
  </si>
  <si>
    <t>SCDHJ94JY4N</t>
  </si>
  <si>
    <t>SG714DW94HN</t>
  </si>
  <si>
    <t>SH623N9G6LD</t>
  </si>
  <si>
    <t>iWatch SE 2 Midnight 40mm</t>
  </si>
  <si>
    <t>SHTFWJR3K25</t>
  </si>
  <si>
    <t>SJYL930J0MM</t>
  </si>
  <si>
    <t>SFGW9717V2P</t>
  </si>
  <si>
    <t>SF7NMV46FY6</t>
  </si>
  <si>
    <t>SM2QXF631JJ</t>
  </si>
  <si>
    <t>SKL73DGVXHD</t>
  </si>
  <si>
    <t>SLPGLW9T6GM</t>
  </si>
  <si>
    <t>SF4QL2GFV2V</t>
  </si>
  <si>
    <t>SJM4JJ70MNF</t>
  </si>
  <si>
    <t>SMXRGQL29HM</t>
  </si>
  <si>
    <t>SM5FVRCJYJ3</t>
  </si>
  <si>
    <t>SD2VQND42G9</t>
  </si>
  <si>
    <t>SG52HJXQ002</t>
  </si>
  <si>
    <t>SFCF77MQQLT</t>
  </si>
  <si>
    <t>SJ009HD202W</t>
  </si>
  <si>
    <t>SH77G2PN4RN</t>
  </si>
  <si>
    <t>SJX7MTCX45V</t>
  </si>
  <si>
    <t>SFJQC45JTW1</t>
  </si>
  <si>
    <t>SGYHC337P6C</t>
  </si>
  <si>
    <t>SLP4JYYQM59</t>
  </si>
  <si>
    <t>SLC91DHJFQ5</t>
  </si>
  <si>
    <t>SK2YN64GX1J</t>
  </si>
  <si>
    <t>SMPNXQWDXVR</t>
  </si>
  <si>
    <t>SG560HF37KP</t>
  </si>
  <si>
    <t>SDWRQNWNM9J</t>
  </si>
  <si>
    <t>SC2W42NJ45Y</t>
  </si>
  <si>
    <t>SHT4PNQLQYG</t>
  </si>
  <si>
    <t>SG776JRX4HP</t>
  </si>
  <si>
    <t>SLDH7T41W7R</t>
  </si>
  <si>
    <t>Prices update karni he</t>
  </si>
  <si>
    <t>SDTYG4HCJ7J</t>
  </si>
  <si>
    <t>Airpod 4 ANC</t>
  </si>
  <si>
    <t>SH7NWN2KHGV</t>
  </si>
  <si>
    <t>SKFFQ2V6CM0</t>
  </si>
  <si>
    <t>SGVW7YF7MHQ</t>
  </si>
  <si>
    <t>SJ99639XX47</t>
  </si>
  <si>
    <t>SLK7PY9PDPF</t>
  </si>
  <si>
    <t>SFT9XW0X7R3</t>
  </si>
  <si>
    <t>AirPods Max with Case Purple</t>
  </si>
  <si>
    <t>SJPX6WC97QD</t>
  </si>
  <si>
    <t>Google Pixel Watch 4 Matte Black 32 GB 45mm</t>
  </si>
  <si>
    <t>Google Pixel Watch 4 Blue Satin Moonstone 32 GB 45mm</t>
  </si>
  <si>
    <t>Meta Wayfarer Gen 2 Shiny Black, G15 Green</t>
  </si>
  <si>
    <t>4V37W22H8T03JX</t>
  </si>
  <si>
    <t>Meta Wayfarer Gen 2 Matte Black, Grey</t>
  </si>
  <si>
    <t>4V37W25HB101WQ</t>
  </si>
  <si>
    <t>Meta Wayfarer Matte Black, Graphite Green</t>
  </si>
  <si>
    <t>2Q9GS11H9Q079Z</t>
  </si>
  <si>
    <t>AR-17 2026</t>
  </si>
  <si>
    <t>MACBOOK PRO M5 16'' 24 GB, 1 TB</t>
  </si>
  <si>
    <t>MACBOOK PRO M5 16'' 32 GB, 2 TB</t>
  </si>
  <si>
    <t>MACBOOK AIR M5 13'' 16 GB, 512 GB</t>
  </si>
  <si>
    <t>MACBOOK NEO A18 PRO 13" 8 GB, 512 GB</t>
  </si>
  <si>
    <t>GOOGLE PIXEL WATCH 4 32 GB 45MM</t>
  </si>
  <si>
    <t xml:space="preserve">iPhone 14 Pro Max 1 TB </t>
  </si>
  <si>
    <t>iPad Air M4 11" (W) 256 GB</t>
  </si>
  <si>
    <t>Apple Series 9 45mm</t>
  </si>
  <si>
    <t>Sale Return from shehzad mughal</t>
  </si>
  <si>
    <t>iPad Air M4 13" (W) 128gb</t>
  </si>
  <si>
    <t>ipad pro 11 M5 256 w+c</t>
  </si>
  <si>
    <t>Samsung S26 Ultra 512gb</t>
  </si>
  <si>
    <t>Sale Abul Bari Sarena</t>
  </si>
  <si>
    <t>SJ7M2GPGKJQ</t>
  </si>
  <si>
    <t>Sale Abuzar</t>
  </si>
  <si>
    <t>Sale Abdul Razzak</t>
  </si>
  <si>
    <t>870355907377 M</t>
  </si>
  <si>
    <t>Waqas</t>
  </si>
  <si>
    <r>
      <rPr>
        <sz val="10"/>
        <rFont val="Arial MT"/>
        <family val="2"/>
      </rPr>
      <t>iPhone 17 Black 256 GB</t>
    </r>
  </si>
  <si>
    <t>Galaxy S26 Ultra Cobalt Violet 256 GB</t>
  </si>
  <si>
    <r>
      <rPr>
        <sz val="10"/>
        <rFont val="Arial MT"/>
        <family val="2"/>
      </rPr>
      <t>Galaxy S26 Ultra Cobalt Violet 256 GB</t>
    </r>
  </si>
  <si>
    <r>
      <rPr>
        <sz val="10"/>
        <rFont val="Arial MT"/>
        <family val="2"/>
      </rPr>
      <t>3 in 1 Charger</t>
    </r>
  </si>
  <si>
    <t>Detail Req</t>
  </si>
  <si>
    <r>
      <rPr>
        <sz val="9.5"/>
        <rFont val="Microsoft Sans Serif"/>
        <family val="2"/>
      </rPr>
      <t>iPad Pro M5 13" (W+C) Space Black 256 GB</t>
    </r>
  </si>
  <si>
    <r>
      <rPr>
        <sz val="9.5"/>
        <rFont val="Microsoft Sans Serif"/>
        <family val="2"/>
      </rPr>
      <t>iPad Pro M5 11" (W+C) Space Black 256 GB</t>
    </r>
  </si>
  <si>
    <r>
      <rPr>
        <sz val="9.5"/>
        <rFont val="Microsoft Sans Serif"/>
        <family val="2"/>
      </rPr>
      <t>iPad Air M4 13" (W+C) Space Gray 128 GB</t>
    </r>
  </si>
  <si>
    <t>iPad Air M4 13" (W) Space Gray 128 GB</t>
  </si>
  <si>
    <r>
      <rPr>
        <sz val="10"/>
        <rFont val="Arial MT"/>
        <family val="2"/>
      </rPr>
      <t>iPhone 17 Pro Max Cosmic Orange 512 GB</t>
    </r>
  </si>
  <si>
    <t>Bilal</t>
  </si>
  <si>
    <t>iPhone 17 Pro Max Deep Blue 512 GB</t>
  </si>
  <si>
    <r>
      <rPr>
        <sz val="10"/>
        <rFont val="Arial MT"/>
        <family val="2"/>
      </rPr>
      <t>iPhone 17 Pro Max Deep Blue 512 GB</t>
    </r>
  </si>
  <si>
    <r>
      <rPr>
        <sz val="10"/>
        <rFont val="Arial MT"/>
        <family val="2"/>
      </rPr>
      <t>iPhone 17 Pro Max Silver 512 GB</t>
    </r>
  </si>
  <si>
    <r>
      <rPr>
        <sz val="10"/>
        <rFont val="Arial MT"/>
        <family val="2"/>
      </rPr>
      <t>iPhone 17 Lavender 256 GB</t>
    </r>
  </si>
  <si>
    <r>
      <rPr>
        <sz val="10"/>
        <rFont val="Arial MT"/>
        <family val="2"/>
      </rPr>
      <t>iPhone 17 White 512 GB</t>
    </r>
  </si>
  <si>
    <r>
      <rPr>
        <sz val="10"/>
        <rFont val="Arial MT"/>
        <family val="2"/>
      </rPr>
      <t>iWatch Ultra 3 Black Ti, Trail 49mm</t>
    </r>
  </si>
  <si>
    <r>
      <rPr>
        <sz val="10"/>
        <rFont val="Arial MT"/>
        <family val="2"/>
      </rPr>
      <t>iWatch Ultra 3 Natural Ti, Ocean 49mm</t>
    </r>
  </si>
  <si>
    <r>
      <rPr>
        <sz val="10"/>
        <rFont val="Arial MT"/>
        <family val="2"/>
      </rPr>
      <t>Galaxy S26 Ultra Black 512 GB</t>
    </r>
  </si>
  <si>
    <t>Galaxy S26 Ultra Sky Blue 256 GB</t>
  </si>
  <si>
    <r>
      <rPr>
        <sz val="10"/>
        <rFont val="Arial MT"/>
        <family val="2"/>
      </rPr>
      <t>Pelican Phone Stand</t>
    </r>
  </si>
  <si>
    <t>IPAD AIR M4 13" (W) 128 GB</t>
  </si>
  <si>
    <t>Invoice 56</t>
  </si>
  <si>
    <t>Sale Cellular Link</t>
  </si>
  <si>
    <t>Sale Waseem</t>
  </si>
  <si>
    <t>invoice 56</t>
  </si>
  <si>
    <t>Minelab GPZ 8000</t>
  </si>
  <si>
    <t>SX740 Noel Leeming Noel Leeming</t>
  </si>
  <si>
    <t>G7X Mark III Black Abdul Khan Abdul Khan</t>
  </si>
  <si>
    <t>G7X Mark III Black Noel Leeming Noel Leeming</t>
  </si>
  <si>
    <t>Minelab 1000 Jacobs Digital Abdul Rehman Card</t>
  </si>
  <si>
    <t>Minelab GPZ 8000 Jacobs Digital Abdul Rehman Card</t>
  </si>
  <si>
    <t>Purchase NewZealand</t>
  </si>
  <si>
    <t>Iphone pro max 256 Silver</t>
  </si>
  <si>
    <t>Iphone pro max 256 Orange</t>
  </si>
  <si>
    <t>DJI mini 5 pro RC2</t>
  </si>
  <si>
    <t>Meta Gen2 Transitions</t>
  </si>
  <si>
    <t>DJI Mavic 4 Pro RC2 512 GB</t>
  </si>
  <si>
    <t>Iphone 17 pro max Silver</t>
  </si>
  <si>
    <t>DJI Mavic 4 Pro FMC</t>
  </si>
  <si>
    <t>Collected Homebush</t>
  </si>
  <si>
    <t>Collected Parramatta</t>
  </si>
  <si>
    <t>Purchase Australia 10% Gift Card</t>
  </si>
  <si>
    <t>Minelab 1000 Annaconda Online</t>
  </si>
  <si>
    <t>Minelab 1000 BCF ONLINE</t>
  </si>
  <si>
    <t>Shipping Charges CT Freight Melbourne</t>
  </si>
  <si>
    <t>Storage Hire Storage King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</si>
  <si>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</si>
  <si>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</si>
  <si>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</si>
  <si>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</si>
  <si>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GPZ8000 Deposit $500 Gold Ballarat</t>
  </si>
  <si>
    <t>Starlink Standard Kit Storage King Bunnings</t>
  </si>
  <si>
    <t>Minelab 1000 Anaconda Online</t>
  </si>
  <si>
    <t>Starlink Standard Kit Bunings Bankstown</t>
  </si>
  <si>
    <t>SX740 JBHIFI Parramatta</t>
  </si>
  <si>
    <t>G7X Mark III JBHIFI Parramatta</t>
  </si>
  <si>
    <t>Starlink Standard Kit Jbhifi Homebush</t>
  </si>
  <si>
    <t>Purchase Australia</t>
  </si>
  <si>
    <t>rw</t>
  </si>
  <si>
    <t>cash in hand</t>
  </si>
  <si>
    <t>Purchase Return Owais Houston</t>
  </si>
  <si>
    <t>Sale Euronext 408</t>
  </si>
  <si>
    <t>Sale Sadiq 457</t>
  </si>
  <si>
    <t>870413720240 Owais HT</t>
  </si>
  <si>
    <t>Invoice Comments</t>
  </si>
  <si>
    <t>Invoice me Kit he</t>
  </si>
  <si>
    <t>iPhone 17 Air Sky Blue 256 GB</t>
  </si>
  <si>
    <t>Invoice me Lock he Non Active he</t>
  </si>
  <si>
    <t>iPhone 17 White 256 GB</t>
  </si>
  <si>
    <t>Invoice me active he</t>
  </si>
  <si>
    <t>iPhone 17e Black 256 GB</t>
  </si>
  <si>
    <t>iPhone 15 Pro Max Natural Ti 256 GB</t>
  </si>
  <si>
    <t>iPad Pro M5 13" (W) Space Black 256 GB</t>
  </si>
  <si>
    <t>Invoice me Silver he</t>
  </si>
  <si>
    <t>iPad Air M4 13" (W+C) Blue 128 GB</t>
  </si>
  <si>
    <t>Invoice me IMEI Change he C76PWF4PHP</t>
  </si>
  <si>
    <t>Invoice me IMEI Change he FQRVQXMGYH</t>
  </si>
  <si>
    <t>iPad A16 (W+C) Silver 256 GB</t>
  </si>
  <si>
    <t>SDH22XWF23T</t>
  </si>
  <si>
    <t>SJ6H3DQ3QLY</t>
  </si>
  <si>
    <t>4V0ZW25J0L05XN</t>
  </si>
  <si>
    <t>4V0ZW25J0H051X</t>
  </si>
  <si>
    <t>4V37W25J1600VH</t>
  </si>
  <si>
    <t>4V37W25J0X00SD</t>
  </si>
  <si>
    <t>4V37W25HC200SS</t>
  </si>
  <si>
    <t>Owais Total Invoice Amount</t>
  </si>
  <si>
    <t>Discount Amout</t>
  </si>
  <si>
    <t>IPHONE 17-E 256GB</t>
  </si>
  <si>
    <t>870756933073 Owais HT</t>
  </si>
  <si>
    <t>Invoice me Non Actice he</t>
  </si>
  <si>
    <t>Invoice me Silver aya he</t>
  </si>
  <si>
    <t>iPhone 17 Pro Deep Blue 1 TB</t>
  </si>
  <si>
    <t>iPhone 15 Black 128 GB</t>
  </si>
  <si>
    <t>iPad Pro M5 13" (W) Space Black 1 TB</t>
  </si>
  <si>
    <t>SH4MHGXYC2C</t>
  </si>
  <si>
    <t>Lock</t>
  </si>
  <si>
    <t>Invoice me Unlock he</t>
  </si>
  <si>
    <t>MacBook Pro M5 14" MJ3D4 Space Black 32 GB, 1 TB</t>
  </si>
  <si>
    <t>SGW639YNXHR</t>
  </si>
  <si>
    <t>Invoice me Non Active he</t>
  </si>
  <si>
    <t>MacBook Air M5 15" MDVH4 Midnight 16 GB, 512 GB</t>
  </si>
  <si>
    <t>SJVDF66L9KG</t>
  </si>
  <si>
    <t>SM9PH20PJCD</t>
  </si>
  <si>
    <t>SDW6MXLVFTX</t>
  </si>
  <si>
    <t>iWatch Series 11 Space Gray 46mm</t>
  </si>
  <si>
    <t>SC932J3C0YQ</t>
  </si>
  <si>
    <t>SMX6RPQQ4CJ</t>
  </si>
  <si>
    <t>SKPWMNFJW27</t>
  </si>
  <si>
    <t>SDDQ29R3XTV</t>
  </si>
  <si>
    <t>SJ7CYTGVCQ6</t>
  </si>
  <si>
    <t>MACBOOK AIR M5 15" 16 GB, 512 GB</t>
  </si>
  <si>
    <t>MACBOOK PRO M5 14" 32GB, 1TB</t>
  </si>
  <si>
    <t>Sale Abdul Razzak World</t>
  </si>
  <si>
    <t>Sale Suleman Khan</t>
  </si>
  <si>
    <t>Sale Shahzad Karachi</t>
  </si>
  <si>
    <t>Sale Rahul</t>
  </si>
  <si>
    <t>Sale Tariq Karachi</t>
  </si>
  <si>
    <t>Sale Zeeshan</t>
  </si>
  <si>
    <r>
      <rPr>
        <sz val="9.5"/>
        <color theme="1"/>
        <rFont val="Microsoft Sans Serif"/>
        <family val="2"/>
      </rPr>
      <t>iPhone 17 Pro Max Cosmic Orange 256 GB</t>
    </r>
  </si>
  <si>
    <r>
      <rPr>
        <sz val="9.5"/>
        <color theme="1"/>
        <rFont val="Microsoft Sans Serif"/>
        <family val="2"/>
      </rPr>
      <t>Active</t>
    </r>
  </si>
  <si>
    <r>
      <rPr>
        <sz val="9.5"/>
        <color theme="1"/>
        <rFont val="Microsoft Sans Serif"/>
        <family val="2"/>
      </rPr>
      <t>iPhone 17 Pro Max Deep Blue 256 GB</t>
    </r>
  </si>
  <si>
    <r>
      <rPr>
        <sz val="9.5"/>
        <color theme="1"/>
        <rFont val="Microsoft Sans Serif"/>
        <family val="2"/>
      </rPr>
      <t>iPhone 17 Pro Max Silver 256 GB</t>
    </r>
  </si>
  <si>
    <r>
      <rPr>
        <sz val="9.5"/>
        <color theme="1"/>
        <rFont val="Microsoft Sans Serif"/>
        <family val="2"/>
      </rPr>
      <t>Unlock</t>
    </r>
  </si>
  <si>
    <r>
      <rPr>
        <sz val="9.5"/>
        <color theme="1"/>
        <rFont val="Microsoft Sans Serif"/>
        <family val="2"/>
      </rPr>
      <t>Active Unlock</t>
    </r>
  </si>
  <si>
    <r>
      <rPr>
        <sz val="9.5"/>
        <color theme="1"/>
        <rFont val="Microsoft Sans Serif"/>
        <family val="2"/>
      </rPr>
      <t>iPhone 17 Pro Cosmic Orange 256 GB</t>
    </r>
  </si>
  <si>
    <r>
      <rPr>
        <sz val="9.5"/>
        <color theme="1"/>
        <rFont val="Microsoft Sans Serif"/>
        <family val="2"/>
      </rPr>
      <t>iPhone 17 Pro Deep Blue 256 GB</t>
    </r>
  </si>
  <si>
    <r>
      <rPr>
        <sz val="9.5"/>
        <color theme="1"/>
        <rFont val="Microsoft Sans Serif"/>
        <family val="2"/>
      </rPr>
      <t>iPhone 17 Pro Silver 256 GB</t>
    </r>
  </si>
  <si>
    <t>Invoice me Box pack he</t>
  </si>
  <si>
    <r>
      <rPr>
        <sz val="9.5"/>
        <color theme="1"/>
        <rFont val="Microsoft Sans Serif"/>
        <family val="2"/>
      </rPr>
      <t>Lock</t>
    </r>
  </si>
  <si>
    <r>
      <rPr>
        <sz val="9.5"/>
        <color theme="1"/>
        <rFont val="Microsoft Sans Serif"/>
        <family val="2"/>
      </rPr>
      <t>iPad Pro M5 13" (W+C) Space Black 256 GB</t>
    </r>
  </si>
  <si>
    <t>iPad Pro M5 13" (W) Silver 512 GB</t>
  </si>
  <si>
    <t>SHJ2VVHPKJP</t>
  </si>
  <si>
    <r>
      <rPr>
        <sz val="9.5"/>
        <color theme="1"/>
        <rFont val="Microsoft Sans Serif"/>
        <family val="2"/>
      </rPr>
      <t>iPad Pro M5 13" (W) Silver 512 GB</t>
    </r>
  </si>
  <si>
    <t>SLKQLW31JQ6</t>
  </si>
  <si>
    <r>
      <rPr>
        <sz val="9.5"/>
        <color theme="1"/>
        <rFont val="Microsoft Sans Serif"/>
        <family val="2"/>
      </rPr>
      <t>iPad Pro M5 11" (W+C) Space Black 256 GB</t>
    </r>
  </si>
  <si>
    <t>iPad Pro M4 13" (W) Space Black 2 TB</t>
  </si>
  <si>
    <t>SJ2W4Y9KR67</t>
  </si>
  <si>
    <r>
      <rPr>
        <sz val="9.5"/>
        <color theme="1"/>
        <rFont val="Microsoft Sans Serif"/>
        <family val="2"/>
      </rPr>
      <t>Nano Texture</t>
    </r>
  </si>
  <si>
    <t>iPad Air M3 13" (W) Blue 128 GB</t>
  </si>
  <si>
    <t>SLXQY0KH3C0</t>
  </si>
  <si>
    <t>iPad A16 (W) Silver 128 GB</t>
  </si>
  <si>
    <t>SJ7J9XQF2MM</t>
  </si>
  <si>
    <t>iPad 10th Gen (W) Yellow 64 GB (Kit)</t>
  </si>
  <si>
    <t>SH9V9G96V4T</t>
  </si>
  <si>
    <t>Active, Scratches on Screen</t>
  </si>
  <si>
    <t>MacBook Pro M5 Max 16" MGEE4 Space Black 48 GB, 2 TB</t>
  </si>
  <si>
    <t>SMD7JTJ9J02</t>
  </si>
  <si>
    <t>AirPods Max 2 Blue</t>
  </si>
  <si>
    <t>SK22D2W3NH3</t>
  </si>
  <si>
    <r>
      <rPr>
        <sz val="9.5"/>
        <color theme="1"/>
        <rFont val="Microsoft Sans Serif"/>
        <family val="2"/>
      </rPr>
      <t>AirPods Max 2 Blue</t>
    </r>
  </si>
  <si>
    <t>SMCPYNHW9P4</t>
  </si>
  <si>
    <t>SLQP7TVKVYF</t>
  </si>
  <si>
    <t>AirPods Max Midgnight</t>
  </si>
  <si>
    <t>SH2XX57WJQK</t>
  </si>
  <si>
    <t>Motorolla Model XT Midnight Blue 128 GB (Kit)</t>
  </si>
  <si>
    <r>
      <rPr>
        <sz val="9.5"/>
        <color theme="1"/>
        <rFont val="Microsoft Sans Serif"/>
        <family val="2"/>
      </rPr>
      <t>Motorolla Model XT Midnight Blue 128 GB (Kit)</t>
    </r>
  </si>
  <si>
    <t>Motorolla Model XT Ink Blue 64 GB (Kit)</t>
  </si>
  <si>
    <r>
      <rPr>
        <sz val="9.5"/>
        <color theme="1"/>
        <rFont val="Microsoft Sans Serif"/>
        <family val="2"/>
      </rPr>
      <t>Motorolla Model XT Ink Blue 64 GB (Kit)</t>
    </r>
  </si>
  <si>
    <t>Motorolla Model XT Sapphire Blue 64 GB (Kit)</t>
  </si>
  <si>
    <r>
      <rPr>
        <sz val="9.5"/>
        <color theme="1"/>
        <rFont val="Microsoft Sans Serif"/>
        <family val="2"/>
      </rPr>
      <t>Motorolla Model XT Sapphire Blue 64 GB (Kit)</t>
    </r>
  </si>
  <si>
    <t>Motorolla Model XT Sage Green 128 GB (Kit)</t>
  </si>
  <si>
    <r>
      <rPr>
        <sz val="9.5"/>
        <color theme="1"/>
        <rFont val="Microsoft Sans Serif"/>
        <family val="2"/>
      </rPr>
      <t>Meta Ǫuest 3 4k 512 GB</t>
    </r>
  </si>
  <si>
    <t>2G97BMMHCS00ZP</t>
  </si>
  <si>
    <t>2G97BMMH9G00SX</t>
  </si>
  <si>
    <t>2G97BMMHBG0089</t>
  </si>
  <si>
    <t>2G97BMMHCL02VP</t>
  </si>
  <si>
    <t>2G97BMMHCL02W1</t>
  </si>
  <si>
    <t>2G97BMMHCL02TK</t>
  </si>
  <si>
    <t>2G97BMMHCS0110</t>
  </si>
  <si>
    <t>2G97BMMHCL02R2</t>
  </si>
  <si>
    <t>2G97BMMHCL01QD</t>
  </si>
  <si>
    <t>2G97BMMHCL02X1</t>
  </si>
  <si>
    <t>2G97BMMHCS00CJ</t>
  </si>
  <si>
    <t>2G97BMMHCH037L</t>
  </si>
  <si>
    <t>2G97BMMHCH03CP</t>
  </si>
  <si>
    <t>2G97BMMHCH03JS</t>
  </si>
  <si>
    <t>Meta Headliner Gen 2 Matte Black, Clear</t>
  </si>
  <si>
    <t>4V0ZH12HC002C0</t>
  </si>
  <si>
    <t>Meta Wayfarer Gen 2 Matte Black, Polar Graphite</t>
  </si>
  <si>
    <t>4V37W23H8G00H6</t>
  </si>
  <si>
    <t>4V0ZH12HC404Y2</t>
  </si>
  <si>
    <r>
      <rPr>
        <sz val="9.5"/>
        <color theme="1"/>
        <rFont val="Microsoft Sans Serif"/>
        <family val="2"/>
      </rPr>
      <t>Meta Wayfarer Gen 2 Matte Black, Clear</t>
    </r>
  </si>
  <si>
    <t>4V0ZW04HBW05JY</t>
  </si>
  <si>
    <t>17626078301 Owais HT</t>
  </si>
  <si>
    <t>Motorolla XT 64gb</t>
  </si>
  <si>
    <t>Motorolla XT 128gb</t>
  </si>
  <si>
    <t>iPad 10th Gen (W) 64GB</t>
  </si>
  <si>
    <t>MacBook Pro M5 Max 16" 48 GB, 2 TB</t>
  </si>
  <si>
    <t>Sale Sahad P4U</t>
  </si>
  <si>
    <t>Sale Euro Next 408</t>
  </si>
  <si>
    <t>Sale CKR</t>
  </si>
  <si>
    <t>Sale CH Umar</t>
  </si>
  <si>
    <t>Sale Anus Mota</t>
  </si>
  <si>
    <t>Sale Abdul Bari Sarena</t>
  </si>
  <si>
    <t>Sale Sandeep Kumar</t>
  </si>
  <si>
    <t>Sale Jatin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</si>
  <si>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</si>
  <si>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</si>
  <si>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</si>
  <si>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</si>
  <si>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</si>
  <si>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</si>
  <si>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</si>
  <si>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</si>
  <si>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</si>
  <si>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</si>
  <si>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</si>
  <si>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Sale Sandeep</t>
  </si>
  <si>
    <t>Unlock Active</t>
  </si>
  <si>
    <t>iPhone 17 Pro Silver 512 GB</t>
  </si>
  <si>
    <t>iPhone 17 Air Light Gold 256 GB</t>
  </si>
  <si>
    <t>JV (Active)</t>
  </si>
  <si>
    <t>(GPS + CELLULAR)</t>
  </si>
  <si>
    <t>SFLW13Q6YL0</t>
  </si>
  <si>
    <t>SLV191YXDT9</t>
  </si>
  <si>
    <t>SJTYY4PQ7VL</t>
  </si>
  <si>
    <t>SG33QFP000K</t>
  </si>
  <si>
    <t>SCP4413HNYH</t>
  </si>
  <si>
    <t>SJ7N9H7WJY3</t>
  </si>
  <si>
    <t>SJR64XQW5DD</t>
  </si>
  <si>
    <t>SK6L34PR734</t>
  </si>
  <si>
    <t>SHCR7PV27HQ</t>
  </si>
  <si>
    <t>SHP4D52DWD9</t>
  </si>
  <si>
    <t>SLV6GHCXM02</t>
  </si>
  <si>
    <t>iPad Pro M5 13" (W) Silver 256 GB</t>
  </si>
  <si>
    <t>SMXJLWQK7V4</t>
  </si>
  <si>
    <t>SJKMH4VGGYK</t>
  </si>
  <si>
    <t>SK6N7J6W1YH</t>
  </si>
  <si>
    <t>SMRX1N2QNKW</t>
  </si>
  <si>
    <t>MacBook Air M4 15" MC7A4 Sky Blue 16 GB, 256 GB</t>
  </si>
  <si>
    <t>SGHXYD9KY32</t>
  </si>
  <si>
    <t>Macbook Neo 13" MHFH4 Blus 8 GB , 256 GB</t>
  </si>
  <si>
    <t>SJ30MWMD92R</t>
  </si>
  <si>
    <t>Macbook Neo 13" MHFD4 Citrus 8 GB, 256 GB</t>
  </si>
  <si>
    <t>SDKJR2LRH4X</t>
  </si>
  <si>
    <t>Macbook Neo 13" 8 GB, 256 GB MHFD4</t>
  </si>
  <si>
    <t>SCWYJ746XD2</t>
  </si>
  <si>
    <t>Macbook Neo 13" 8 GB, 256 GB MHFF4</t>
  </si>
  <si>
    <t>SGRW4X6CL9L</t>
  </si>
  <si>
    <t>Macbook Neo 13" MHFF4 Indigo 8 GB, 256 GB</t>
  </si>
  <si>
    <t>SHWQ0XNCWRR</t>
  </si>
  <si>
    <t>SC9Q3M7YY7L</t>
  </si>
  <si>
    <t>MACBOOK NEO 13" 8 GB , 256 GB</t>
  </si>
  <si>
    <t>HAW50314042708</t>
  </si>
  <si>
    <t>871043618440 Mudassir</t>
  </si>
  <si>
    <t>Mudassir Bhai Prices</t>
  </si>
  <si>
    <t>Galaxy Z Fold 7 Jet Black 256 GB</t>
  </si>
  <si>
    <t>Mudassir Bhai Invoice</t>
  </si>
  <si>
    <t>Total Invoice Amount</t>
  </si>
  <si>
    <t>SR No</t>
  </si>
  <si>
    <t>Meta Quest 512</t>
  </si>
  <si>
    <t>2G97BMMHCQ04DS</t>
  </si>
  <si>
    <t>2G97BMMHCS012B</t>
  </si>
  <si>
    <t>2G97BMMHB601MK</t>
  </si>
  <si>
    <t>2G97BMMHCL01TL</t>
  </si>
  <si>
    <t>2G97BMMHC0010P</t>
  </si>
  <si>
    <t>2G97BMMHCL02SL</t>
  </si>
  <si>
    <t>2G97BMMHCL02W7</t>
  </si>
  <si>
    <t>2G97BMMHB60039</t>
  </si>
  <si>
    <t>2G97BMMHCH04GG</t>
  </si>
  <si>
    <t>2G97BMMHCS0126</t>
  </si>
  <si>
    <t>Meta Quest 512 Bat Man</t>
  </si>
  <si>
    <t>2G0YBMTH0702R7</t>
  </si>
  <si>
    <t>2G0YBMTH0702TG</t>
  </si>
  <si>
    <t>2G0YBMTH0702KR</t>
  </si>
  <si>
    <t>2G0YBMTH0701Q0</t>
  </si>
  <si>
    <t>2G0YBMTH0702RB</t>
  </si>
  <si>
    <t>2G0YBMTH0701WW</t>
  </si>
  <si>
    <t>2G0YBMTH0702N1</t>
  </si>
  <si>
    <t>2G0YBMTH0702TD</t>
  </si>
  <si>
    <t>HAW50723162615</t>
  </si>
  <si>
    <t>HAW50774197055</t>
  </si>
  <si>
    <t>X Box Carbon Black</t>
  </si>
  <si>
    <t>X Box Robot White</t>
  </si>
  <si>
    <t>Wayfarer Gen 2 (601SSB50)</t>
  </si>
  <si>
    <t>4V0ZW04HBT0DZT</t>
  </si>
  <si>
    <t>4V0ZW04HB3041D</t>
  </si>
  <si>
    <t>Wayfarer Gen 2 (601S1Z50)</t>
  </si>
  <si>
    <t>4V37W25J0M011P</t>
  </si>
  <si>
    <t>PS 5 PRO 2TB</t>
  </si>
  <si>
    <t>S01K25B01VJ910527267</t>
  </si>
  <si>
    <t>S01K25901VJ910414648</t>
  </si>
  <si>
    <t>invoice 57</t>
  </si>
  <si>
    <t>Xbox  Controller</t>
  </si>
  <si>
    <t>Sale Aman 125</t>
  </si>
  <si>
    <t>4-30-2026</t>
  </si>
  <si>
    <t>entry on 1 may</t>
  </si>
  <si>
    <t>PowerBeats Pro Buds</t>
  </si>
  <si>
    <t>SH2DN10B1LN3P</t>
  </si>
  <si>
    <t>SH2JMX109LN3P</t>
  </si>
  <si>
    <t>S017712124A</t>
  </si>
  <si>
    <t>Meta Quest 3 4k 512 GB</t>
  </si>
  <si>
    <t>E10G1US1BLK</t>
  </si>
  <si>
    <t>GOOGLE PIXEL WATCH 4 MATTE BLACK 32 GB 45MM</t>
  </si>
  <si>
    <t>GOOGLE PIXEL WATCH 4</t>
  </si>
  <si>
    <t>Margin</t>
  </si>
  <si>
    <t>Sale Salman karachi</t>
  </si>
  <si>
    <t>Sale Mubashir 258</t>
  </si>
  <si>
    <t>Sale Mubashir Khatri</t>
  </si>
  <si>
    <t>Sale Daniyal Sarena</t>
  </si>
  <si>
    <t>Sale Asd Links</t>
  </si>
  <si>
    <t>Sale Fawad Peshawar</t>
  </si>
  <si>
    <t>Sale Js Tech Sherin</t>
  </si>
  <si>
    <t>NZ-Ship-07-05-2026</t>
  </si>
  <si>
    <t>871190582000 Mudassir</t>
  </si>
  <si>
    <t>iWatch Ultra 3 Natural Ti, Trail 49mm</t>
  </si>
  <si>
    <t>Galaxy S26 Ultra Black 512 GB</t>
  </si>
  <si>
    <t>Invoice 58</t>
  </si>
  <si>
    <t>Purchase Wojin Technologies</t>
  </si>
  <si>
    <t>Purchase From Wise Bank USA</t>
  </si>
  <si>
    <t>Perth-Ship-11-05-2026</t>
  </si>
  <si>
    <t>Sale Kid Games</t>
  </si>
  <si>
    <t>sale Euronext 408</t>
  </si>
  <si>
    <t>Sale AR Bhai</t>
  </si>
  <si>
    <t>Sale Ashraf Electronics</t>
  </si>
  <si>
    <t>Purchase Mehran Customer</t>
  </si>
  <si>
    <t>Sale Mehran Customer</t>
  </si>
  <si>
    <t>Sale Return Waqas MT</t>
  </si>
  <si>
    <t>invoice 55</t>
  </si>
  <si>
    <t>Purchase Mudassir 09/04/2026</t>
  </si>
  <si>
    <t>Sale Return Powerplay</t>
  </si>
  <si>
    <t>Sale Cellular link</t>
  </si>
  <si>
    <t>Instax Mini 13</t>
  </si>
  <si>
    <t>G7X Mark III Black Photogear Online</t>
  </si>
  <si>
    <t>Instax Mini 13 Abdul Khan</t>
  </si>
  <si>
    <t>Collection Commision Abdul Khan</t>
  </si>
  <si>
    <t>Goldmonster 2000 Jacobs Digital Pending Delivery</t>
  </si>
  <si>
    <t>G7X Mark III Black Photo Warehouse Pending Delivery</t>
  </si>
  <si>
    <t>Instax Mini 13 Noel Leeming Online Pending Delivery</t>
  </si>
  <si>
    <t>G7X Mark III Black Photogear Online Pending Delivery</t>
  </si>
  <si>
    <t>Minelab GPZ 8000Jacobs Digital Pending Delivery</t>
  </si>
  <si>
    <t>Minelab 1000  Jacobs Digital Pending Delivery</t>
  </si>
  <si>
    <t>G7X MakIII Silver Photogear Online Pending Delivery</t>
  </si>
  <si>
    <t>Purchase Return in Aus</t>
  </si>
  <si>
    <t>Minelab 1000 Anaconda Chullora</t>
  </si>
  <si>
    <t>Macbook Pro M5 16/512 JBHIFI Homebush</t>
  </si>
  <si>
    <t>Minelab 1000 BCF Online Pending Delivery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</si>
  <si>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</si>
  <si>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</si>
  <si>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</si>
  <si>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</si>
  <si>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</si>
  <si>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</si>
  <si>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</si>
  <si>
    <t>Minelab Gold Monster 2000</t>
  </si>
  <si>
    <t>SYD Ship 16-04-2026</t>
  </si>
  <si>
    <t>Sale MZ Sabka</t>
  </si>
  <si>
    <t>Sale Nadeem Turkiya</t>
  </si>
  <si>
    <t>Sale El-Siddiqui</t>
  </si>
  <si>
    <t>5-20-2026</t>
  </si>
  <si>
    <t>WOOJIN (17628286941)</t>
  </si>
  <si>
    <t>MINELAB 1000</t>
  </si>
  <si>
    <t>Purchase Woojin Technologies</t>
  </si>
  <si>
    <t>Purchase Powerplay</t>
  </si>
  <si>
    <t>5-16-2026</t>
  </si>
  <si>
    <t>(OWAIS)17628286930</t>
  </si>
  <si>
    <t>META QUEST 512 4K</t>
  </si>
  <si>
    <t>2G97BMMHCQ03J8</t>
  </si>
  <si>
    <t>2G97BMMHCQ04HG</t>
  </si>
  <si>
    <t>2G97BMMHCH03DH</t>
  </si>
  <si>
    <t>2G97BMMHCH04G2</t>
  </si>
  <si>
    <t>2G97BMMHCQ04K5</t>
  </si>
  <si>
    <t>META QUEST 256</t>
  </si>
  <si>
    <t>3487B0GGBW01HW</t>
  </si>
  <si>
    <t>3487B0GGBD02KD</t>
  </si>
  <si>
    <t>3487B0GGCG021G</t>
  </si>
  <si>
    <t>NINTENDO SWITCH 2</t>
  </si>
  <si>
    <t>HAW50079520923</t>
  </si>
  <si>
    <t>HAW50916528105</t>
  </si>
  <si>
    <t>HAW50681746117</t>
  </si>
  <si>
    <t>HAW80639499666</t>
  </si>
  <si>
    <t>DUAL SENSE EDGE WIRELESS CONTROLLER BLACK</t>
  </si>
  <si>
    <t xml:space="preserve">dualsenseedgewirelesscontroller0014 </t>
  </si>
  <si>
    <t>NINTENDO SWITCH 2 PRO CONTROLLER</t>
  </si>
  <si>
    <t>045496885861</t>
  </si>
  <si>
    <t>NINTENDO SWITCH JOY-CON2 LR LIGHT BLUE</t>
  </si>
  <si>
    <t>045496885892</t>
  </si>
  <si>
    <t>NINTENDO SWITCH JOY-CON2 LR PASTEL PINK</t>
  </si>
  <si>
    <t>045496884727</t>
  </si>
  <si>
    <t>META QUEST 3S COMPACT CHARGING DOCK STATION</t>
  </si>
  <si>
    <t>397FB61GCX00DK</t>
  </si>
  <si>
    <t>AIRPOD MAX WITH SMART CASE BLUE</t>
  </si>
  <si>
    <t>SHN4P0W2W3F</t>
  </si>
  <si>
    <t>AIRPOD MAX WITH SMART CASE MIDNIGHT</t>
  </si>
  <si>
    <t>SLGC4RKF2LN</t>
  </si>
  <si>
    <t>APPLE WATCH ULTRA 3 49MM BLACK OCEAN BAND</t>
  </si>
  <si>
    <t>IPHONE 17 PM 256 ORANGE</t>
  </si>
  <si>
    <t>IPAD PRO 11'' M5 (W+C) 256 BLACK</t>
  </si>
  <si>
    <t>IPAD AIR 13'' M3 (W) 128 GREY</t>
  </si>
  <si>
    <t>SC9MFMKDP6H</t>
  </si>
  <si>
    <t>IPAD PRO 13'' M5 (W) 256 SILVER</t>
  </si>
  <si>
    <t>SC320MFD42W</t>
  </si>
  <si>
    <t>IPAD PRO 13'' M5 (W) 256 BLACK</t>
  </si>
  <si>
    <t>SC02X0K2N25</t>
  </si>
  <si>
    <t>IPAD PRO 13'' M5 (W+C) 256 BLACK</t>
  </si>
  <si>
    <t>Unlock  USA Blacklist Current Status: Blocked</t>
  </si>
  <si>
    <t>MACBOOK NEO 13'' 8-256 YELLOW (MHFD4)</t>
  </si>
  <si>
    <t>SMPJ4W7LG6W</t>
  </si>
  <si>
    <t>SKHYTX760F6</t>
  </si>
  <si>
    <t>SJQQRQDC6FN</t>
  </si>
  <si>
    <t>MACBOOK NEO 13'' 8-256 BLUE (MHFF4)</t>
  </si>
  <si>
    <t>SHFL2J3CY2G</t>
  </si>
  <si>
    <t>SL94QYTYFV5</t>
  </si>
  <si>
    <t>MACBOOK PRO 14'' 24-1TB (MGBR4)</t>
  </si>
  <si>
    <t>SL226MXVY4X</t>
  </si>
  <si>
    <t>META WAYFARER GEN 2 MATE BLACK L GRAPHITE GREEN(601ST350)</t>
  </si>
  <si>
    <t>4V37W23HB500DT</t>
  </si>
  <si>
    <t>4V37W23HB401NV</t>
  </si>
  <si>
    <t>4V37W23HB500W7</t>
  </si>
  <si>
    <t>4V9GW23HCR05C4</t>
  </si>
  <si>
    <t>4V37W23H8S02MQ</t>
  </si>
  <si>
    <t>4V9GW23HCQ0BRP</t>
  </si>
  <si>
    <t>META WAYFARER GEN 2 MATE BLACK L GRAPHITE GREEN(601ST353)</t>
  </si>
  <si>
    <t>4V0ZW29J0V0166</t>
  </si>
  <si>
    <t>4V0ZW29HBF04HY</t>
  </si>
  <si>
    <t>4V37W29HCQ01WM</t>
  </si>
  <si>
    <t>4V0ZW29J0W06GC</t>
  </si>
  <si>
    <t>4V0ZW29J0F024D</t>
  </si>
  <si>
    <t>4V0ZW29J0X005V</t>
  </si>
  <si>
    <t>WAYFARER MATE BLACK L GRAPHITE GREEN(601ST350)</t>
  </si>
  <si>
    <t>4V0ZW23H7001C5</t>
  </si>
  <si>
    <t>Prices Change</t>
  </si>
  <si>
    <t>NINTENDO SWITCH JOY-CON2</t>
  </si>
  <si>
    <t xml:space="preserve">META QUEST 3S COMPACT CHARGING DOCK </t>
  </si>
  <si>
    <t>(Mudassir)871538580610</t>
  </si>
  <si>
    <t>s26 ultra 512 sky blue</t>
  </si>
  <si>
    <t>s26 ultra 512 cobalt</t>
  </si>
  <si>
    <t>s26 ultra 256 sky blue</t>
  </si>
  <si>
    <t>s26 ultra 256 sky black</t>
  </si>
  <si>
    <t>Sale Return Cellular Link</t>
  </si>
  <si>
    <t>Sale Garden Star</t>
  </si>
  <si>
    <t>Sale Maxima</t>
  </si>
  <si>
    <t>OW (17628286941)</t>
  </si>
  <si>
    <t>NINETENDO SWITCH 2</t>
  </si>
  <si>
    <t>HAW50474391821</t>
  </si>
  <si>
    <t>HAW50651401848</t>
  </si>
  <si>
    <t>HAW50676341556</t>
  </si>
  <si>
    <t>HAW50825848127</t>
  </si>
  <si>
    <t>HAW50902799427</t>
  </si>
  <si>
    <t>HAW50395523288</t>
  </si>
  <si>
    <t>HAW50416422583</t>
  </si>
  <si>
    <t>HAW50193541811</t>
  </si>
  <si>
    <t>HAW50325936133</t>
  </si>
  <si>
    <t>HAW50850008251</t>
  </si>
  <si>
    <t>HAW50904120373</t>
  </si>
  <si>
    <t>HAW50543274703</t>
  </si>
  <si>
    <t>HAW50809884530</t>
  </si>
  <si>
    <t>HAW50361978708</t>
  </si>
  <si>
    <t>HAW50180684736</t>
  </si>
  <si>
    <t>2G97BMMH9G01T6</t>
  </si>
  <si>
    <t>2G97BMMHCS012D</t>
  </si>
  <si>
    <t>2G97BMMHCS012W</t>
  </si>
  <si>
    <t>2G97BMMHCS010S</t>
  </si>
  <si>
    <t>2G97BMMJ0P01VL</t>
  </si>
  <si>
    <t>2G97BMMH4801ZX</t>
  </si>
  <si>
    <t>2G97BMMH5C0195</t>
  </si>
  <si>
    <t>2G97BMMHCL02WY</t>
  </si>
  <si>
    <t>2G97BMMJ0P025G</t>
  </si>
  <si>
    <t>2G97BMMH4S00GR</t>
  </si>
  <si>
    <t>2G97BMMHCS0109</t>
  </si>
  <si>
    <t>2G97BMMHCH04FY</t>
  </si>
  <si>
    <t>2G97BMMH9G00TM</t>
  </si>
  <si>
    <t>2G97BMMH5J04J8</t>
  </si>
  <si>
    <t>2G97BMMHCR060X</t>
  </si>
  <si>
    <t>2G97BMMHCS00Y8</t>
  </si>
  <si>
    <t>2G97BMMHCL01XW</t>
  </si>
  <si>
    <t>2G97BMMHCL02WN</t>
  </si>
  <si>
    <t>2G97BMMHB601R5</t>
  </si>
  <si>
    <t>2G97BMMHBG004Q</t>
  </si>
  <si>
    <t>2G97BMMH9H02JZ</t>
  </si>
  <si>
    <t>2G97BMMHBX01VF</t>
  </si>
  <si>
    <t>2G97BMMHCH03FC</t>
  </si>
  <si>
    <t>2G97BMMHCS0114</t>
  </si>
  <si>
    <t>2G97BMMJ0P023C</t>
  </si>
  <si>
    <t>2G97BMMHCS00ZK</t>
  </si>
  <si>
    <t>2G97BMMHCS0123</t>
  </si>
  <si>
    <t>META QUEST 3S 256</t>
  </si>
  <si>
    <t>3487B0GGCJ00DP</t>
  </si>
  <si>
    <t>347MBMNJ180109</t>
  </si>
  <si>
    <t>DIGITAL SONY CA,ERA ZV1F</t>
  </si>
  <si>
    <t>S016789170O</t>
  </si>
  <si>
    <t>IWATCH SERIES 11 JET BLACK 46MM GPS</t>
  </si>
  <si>
    <t>SKDFL2RPH2C</t>
  </si>
  <si>
    <t>Unlock Non Active</t>
  </si>
  <si>
    <t>SKFGKXXL2T1</t>
  </si>
  <si>
    <t>ULTRA 3 49MM CHARCOAL</t>
  </si>
  <si>
    <t>Prices Update</t>
  </si>
  <si>
    <t>IPAD PRO M5 11'' (W+C)256 BLACK</t>
  </si>
  <si>
    <t>Lock Non Active</t>
  </si>
  <si>
    <t>IPAD PRO M5 13'' (W+C) 256 BLACK</t>
  </si>
  <si>
    <t>WAFARER MATE BLACK POLAR GRADIENT GRAPHITE(601ST353) GEN 2</t>
  </si>
  <si>
    <t>4V0ZW29HBD05FZ</t>
  </si>
  <si>
    <t>4V37W29HCP0004</t>
  </si>
  <si>
    <t>4V37W29HCT013P</t>
  </si>
  <si>
    <t>4V37W29H8D012W</t>
  </si>
  <si>
    <t>4V37W29HCR004W</t>
  </si>
  <si>
    <t>4V0ZW29J0X018W</t>
  </si>
  <si>
    <t>4V37W29H8D0270</t>
  </si>
  <si>
    <t>4V37W29H8D02GY</t>
  </si>
  <si>
    <t>4V0ZW29J2H01QC</t>
  </si>
  <si>
    <t>4V0ZW29J0X00G2</t>
  </si>
  <si>
    <t>WAFARER MATE BLACK TRANSITION GREY(601ST353) GEN 2</t>
  </si>
  <si>
    <t>4V37W31J0D00VR</t>
  </si>
  <si>
    <t>WAFARER MATE BLACK POLAR GRADIENT GRAPHITE(601ST350) GEN 2</t>
  </si>
  <si>
    <t>4V0ZW23HCQ01FB</t>
  </si>
  <si>
    <t>4V37W23HB9008F</t>
  </si>
  <si>
    <t>4V37W23HB50099</t>
  </si>
  <si>
    <t>4V9GW23HCJ0BX2</t>
  </si>
  <si>
    <t>4V0ZW23HC401XC</t>
  </si>
  <si>
    <t>4V9GW23HCL07F5</t>
  </si>
  <si>
    <t>4V37W23H8S0277</t>
  </si>
  <si>
    <t>WAFARER MATE BLACK CLEAR (601SSB50) GEN 2</t>
  </si>
  <si>
    <t>4V0ZW04J050H32</t>
  </si>
  <si>
    <t>WAFARER MATE BLACK POLAR GRADIENT GRAPHITE(601ST350)</t>
  </si>
  <si>
    <t>4V0ZW23H7D03ZZ</t>
  </si>
  <si>
    <t>IPHONE 17 PM 256 SILVER</t>
  </si>
  <si>
    <t>Unlock Non Active USA Blacklist Current Status: Blocked</t>
  </si>
  <si>
    <t>IPHONE 17 PM 256 BLUE</t>
  </si>
  <si>
    <t>Lock Active</t>
  </si>
  <si>
    <t>IPHONE 17 PRO 256 SILVER</t>
  </si>
  <si>
    <t>IPHONE 17 PRO 256 BLUE</t>
  </si>
  <si>
    <t>IPHONE 17 PRO 256 ORANGE</t>
  </si>
  <si>
    <t>PS5 PRO</t>
  </si>
  <si>
    <t>S01K25901VJ910420854</t>
  </si>
  <si>
    <t>S01K25A01VJ910504277</t>
  </si>
  <si>
    <t>S01K25901VJ910423066</t>
  </si>
  <si>
    <t>S01K25901VJ910424406</t>
  </si>
  <si>
    <t>S01K25901VJ910412938</t>
  </si>
  <si>
    <t>S01K25901VJ910418874</t>
  </si>
  <si>
    <t>S01K25A01VJ910504298</t>
  </si>
  <si>
    <t>Sony Digital Camera ZV1F</t>
  </si>
  <si>
    <t>Sale Return Sadiq 457</t>
  </si>
  <si>
    <t>Minelab GPZ 8000 Jacobs Digital Pending Delivery</t>
  </si>
  <si>
    <t>Instax Mini 13 Noel Leeming Pending Delivery</t>
  </si>
  <si>
    <t>G7X MakIII Silver Photo Warehouse Pending Delivery</t>
  </si>
  <si>
    <t>Instax Mini 13 Abdul Khan Pending Delivery</t>
  </si>
  <si>
    <t>Shipping Charges  CT Freight Sydney Paid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</si>
  <si>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</si>
  <si>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</si>
  <si>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</si>
  <si>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</si>
  <si>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</si>
  <si>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</si>
  <si>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</si>
  <si>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Storage Charges Storage King Sydney</t>
  </si>
  <si>
    <t>Instax mini 13 JBHIFI Roselands</t>
  </si>
  <si>
    <t>Meta Gen 2 Transitions JBHIFI Roselands</t>
  </si>
  <si>
    <t>Instax mini 13 JBHIFI Parramatta</t>
  </si>
  <si>
    <t>G7X Mark III Silver JBHIFI Parramatta</t>
  </si>
  <si>
    <t>Macbook Pro M5 16/512 JBHIFI Castle Hills</t>
  </si>
  <si>
    <t>884838339796 Master</t>
  </si>
  <si>
    <t>Fedex Invoice Price</t>
  </si>
  <si>
    <t>Paid from Swiss Tech USA Wise Account</t>
  </si>
  <si>
    <t>886200376598 Master</t>
  </si>
  <si>
    <t>Quote Price</t>
  </si>
  <si>
    <t>Ahsan Cba Labels</t>
  </si>
  <si>
    <t>01096561</t>
  </si>
  <si>
    <t>NOON FOOD, AE</t>
  </si>
  <si>
    <t>Smart Dubai Government, AE</t>
  </si>
  <si>
    <t>MBME PAY PAYMENT SERVICES, AE</t>
  </si>
  <si>
    <t>021439911</t>
  </si>
  <si>
    <r>
      <rPr>
        <sz val="11"/>
        <rFont val="Tahoma"/>
        <family val="2"/>
      </rPr>
      <t>NOON, AE</t>
    </r>
  </si>
  <si>
    <r>
      <rPr>
        <sz val="11"/>
        <rFont val="Tahoma"/>
        <family val="2"/>
      </rPr>
      <t>NOON FOOD, AE</t>
    </r>
  </si>
  <si>
    <r>
      <rPr>
        <sz val="11"/>
        <rFont val="Tahoma"/>
        <family val="2"/>
      </rPr>
      <t>MBME PAY PAYMENT SERVICES, AE</t>
    </r>
  </si>
  <si>
    <r>
      <rPr>
        <sz val="11"/>
        <rFont val="Tahoma"/>
        <family val="2"/>
      </rPr>
      <t>Amazon.ae, AE</t>
    </r>
  </si>
  <si>
    <r>
      <rPr>
        <sz val="8"/>
        <rFont val="Tahoma"/>
        <family val="2"/>
      </rPr>
      <t>Amazon.ae, AE</t>
    </r>
  </si>
  <si>
    <r>
      <rPr>
        <sz val="8"/>
        <rFont val="Tahoma"/>
        <family val="2"/>
      </rPr>
      <t>MBME PAY PAYMENT SERVICES, AE</t>
    </r>
  </si>
  <si>
    <r>
      <rPr>
        <sz val="8"/>
        <rFont val="Tahoma"/>
        <family val="2"/>
      </rPr>
      <t>Amazon Grocery, AE</t>
    </r>
  </si>
  <si>
    <t>DATE</t>
  </si>
  <si>
    <t>PARTY NAME</t>
  </si>
  <si>
    <t>HOUSTON</t>
  </si>
  <si>
    <t>Last Purchasing</t>
  </si>
  <si>
    <t>Different Amount</t>
  </si>
  <si>
    <t>WATCH ULTRA 49MM BLACK OCEAN</t>
  </si>
  <si>
    <t>WATCH ULTRA 49MM BLACK Ti, ALP</t>
  </si>
  <si>
    <t>2G97BMMJ0P021C</t>
  </si>
  <si>
    <t>4V0ZW29J0V01XY</t>
  </si>
  <si>
    <t>WAFARER MATE BLACK TRANSITIONS GREY(601ST353) GEN 2</t>
  </si>
  <si>
    <t>4V37W31J390220</t>
  </si>
  <si>
    <t>4V0ZW29J2F05G3</t>
  </si>
  <si>
    <t>4V37W23J1400ZL</t>
  </si>
  <si>
    <t>4V37W23J1402LW</t>
  </si>
  <si>
    <t>4V37W23J0G025R</t>
  </si>
  <si>
    <t>SKHK37MT2M7</t>
  </si>
  <si>
    <t>SK04TJYV7QJ</t>
  </si>
  <si>
    <t>SF7YKCQPG2K</t>
  </si>
  <si>
    <t>IPAD AIR 11'' M4 (W) 512 BLUE</t>
  </si>
  <si>
    <t>SF7L579CW37</t>
  </si>
  <si>
    <t>SMXVMVVLXTG</t>
  </si>
  <si>
    <t>SHT45PF4RXL</t>
  </si>
  <si>
    <t>SJHX9Q0WTQY</t>
  </si>
  <si>
    <t>SGY60MQJF6R</t>
  </si>
  <si>
    <t>MACBOOK NEO 13'' 8-512 BLUE (MHFG4)</t>
  </si>
  <si>
    <t>SDFV45XQ12T</t>
  </si>
  <si>
    <t>SK40WM2JQ94</t>
  </si>
  <si>
    <t>MACBOOK AIR 13'' M5 16-1TB (MDHF4)</t>
  </si>
  <si>
    <t>SC69LY2FHFF</t>
  </si>
  <si>
    <t>MACBOOK AIR 15'' M5 16-512 (MDVH4)</t>
  </si>
  <si>
    <t>SFC3GWKVXK9</t>
  </si>
  <si>
    <t>MACBOOK PRO 14'' M5 24-1TB (MGDR4)</t>
  </si>
  <si>
    <t>SKFPL6RM4T9</t>
  </si>
  <si>
    <t>S01K25901VJ910422265</t>
  </si>
  <si>
    <t>S01K25901VJ910423093</t>
  </si>
  <si>
    <t>MACBOOK AIR M5 15 16 GB, 512 GB</t>
  </si>
  <si>
    <t>IPAD AIR M4 11 (W) 512 GB</t>
  </si>
  <si>
    <t>Purchase Owais Houton</t>
  </si>
  <si>
    <t>Sale Haseeb Merchant</t>
  </si>
  <si>
    <t>Australia Melbourne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</si>
  <si>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</si>
  <si>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</si>
  <si>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</si>
  <si>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</si>
  <si>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</si>
  <si>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</si>
  <si>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</si>
  <si>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</si>
  <si>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Minelab Gold Monster 1000 Anaconda Springvale</t>
  </si>
  <si>
    <t>Minelab Gold Monster 1000 Anaconda Bayswater</t>
  </si>
  <si>
    <t>Minelab Gold Monster 1000 Anaconda Narre Warren</t>
  </si>
  <si>
    <t>Starlink Standard Kit v4 Bunnings Moorabbin</t>
  </si>
  <si>
    <t>Google TV Streamer 4K JB Hifi Springvale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</si>
  <si>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</si>
  <si>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</si>
  <si>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</si>
  <si>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</si>
  <si>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Starlink Standard Kit v4 Bunnings Bayswater</t>
  </si>
  <si>
    <t>Starlink Standard Kit v4 Bunnings Rosebud</t>
  </si>
  <si>
    <t>Fuel Shell Noble Park Expanse</t>
  </si>
  <si>
    <t>Fuel Shell Elwood Expanse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</si>
  <si>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</si>
  <si>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</si>
  <si>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</si>
  <si>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</si>
  <si>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</si>
  <si>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Petrol Shell Preston Expanse</t>
  </si>
  <si>
    <t>Minelab Gold Monster 1000 BCF Online</t>
  </si>
  <si>
    <t>Minelab Gold Monster 1000 Anaconda Online</t>
  </si>
  <si>
    <t>Purchase AR Staff</t>
  </si>
  <si>
    <t>5-18-2026</t>
  </si>
  <si>
    <t>M-871538132434</t>
  </si>
  <si>
    <t>S26 ULTRA 256 BLACK</t>
  </si>
  <si>
    <t>S26 ULTRA 256 VIOLET</t>
  </si>
  <si>
    <t>IP 17 PM 256 DEEP BLUE</t>
  </si>
  <si>
    <t>Active Lock</t>
  </si>
  <si>
    <t>IP 17 PM 256 SILVER</t>
  </si>
  <si>
    <t>Non Active Lock</t>
  </si>
  <si>
    <t>IP 17 PM 256 ORANGE</t>
  </si>
  <si>
    <t>IP 17 PRO 256 DEEP BLUE</t>
  </si>
  <si>
    <t>Non Active Lock USA Blacklist Current Status: Blocked</t>
  </si>
  <si>
    <t>IP 17 256 BLACK</t>
  </si>
  <si>
    <t>IPAD AIR 13'' M4 (W+C) 128 PURPLE</t>
  </si>
  <si>
    <t>Non Active Unlock</t>
  </si>
  <si>
    <t>IPAD AIR 11'' M4 (W+C) 128 SPACE GREY</t>
  </si>
  <si>
    <t>WATCH ULTRA 49MM CHARCOAL</t>
  </si>
  <si>
    <t>Non Active Unlock LOOSE USED WITHOUT ACCESORIES</t>
  </si>
  <si>
    <t>WATCH ULTRA 49MM NATURAL OCEAN</t>
  </si>
  <si>
    <t>WATCH ULTRA 49MM BLACK TI BLACK TML</t>
  </si>
  <si>
    <t>Non Active Unlock USA Blacklist Current Status: Blocked</t>
  </si>
  <si>
    <t>IPAD AIR 11'' M4 (W+C) 128</t>
  </si>
  <si>
    <t>Invoice 59</t>
  </si>
  <si>
    <t>Purchase Mudassir 18-05-2026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</si>
  <si>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</si>
  <si>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</si>
  <si>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</si>
  <si>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</si>
  <si>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</si>
  <si>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</si>
  <si>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Minelab 1000 Multiple Stores Adil Bhai</t>
  </si>
  <si>
    <t>Collection Charges Adil bhai</t>
  </si>
  <si>
    <t>Starlink Standard Kit Bunnings East Packenham Melbourne</t>
  </si>
  <si>
    <t>Minelab Gold Monster 1000</t>
  </si>
  <si>
    <t>Purchase AR Wise Bank USA</t>
  </si>
  <si>
    <t>Sale EL-Siddiqui</t>
  </si>
  <si>
    <t>OW 17628286985</t>
  </si>
  <si>
    <t>Prices USD</t>
  </si>
  <si>
    <t>Prices AED</t>
  </si>
  <si>
    <t>2G97BMMJ1R008T</t>
  </si>
  <si>
    <t>2G97BMMJ1R006X</t>
  </si>
  <si>
    <t>2G97BMMJ1B044M</t>
  </si>
  <si>
    <t>2G97BMMJ1B043Y</t>
  </si>
  <si>
    <t>2G97BMMJ1B048H</t>
  </si>
  <si>
    <t>2G97BMMJ1B048V</t>
  </si>
  <si>
    <t>2G97BMMJ1R006D</t>
  </si>
  <si>
    <t>2G97BMMJ1R005D</t>
  </si>
  <si>
    <t>2G97BMMJ1B048M</t>
  </si>
  <si>
    <t>2G97BMMJ1B047S</t>
  </si>
  <si>
    <t>2G97BMMJ1D001B</t>
  </si>
  <si>
    <t>2G97BMMJ1R0066</t>
  </si>
  <si>
    <t>2G97BMMJ1R007P</t>
  </si>
  <si>
    <t>2G97BMMJ1R004Y</t>
  </si>
  <si>
    <t>2G97BMMJ1B0475</t>
  </si>
  <si>
    <t>2G97BMMJ1B0458</t>
  </si>
  <si>
    <t>2G97BMMJ1B0456</t>
  </si>
  <si>
    <t>2G97BMMJ1B03ZR</t>
  </si>
  <si>
    <t>2G97BMMJ1R006N</t>
  </si>
  <si>
    <t>2G97BMMJ1C0403</t>
  </si>
  <si>
    <t>2G97BMMJ1B040N</t>
  </si>
  <si>
    <t>2G97BMMJ1B0490</t>
  </si>
  <si>
    <t>2G97BMMJ1R007Q</t>
  </si>
  <si>
    <t>2G97BMMJ1R003H</t>
  </si>
  <si>
    <t>2G97BMMJ1B03X8</t>
  </si>
  <si>
    <t>2G97BMMJ1B048L</t>
  </si>
  <si>
    <t>2G97BMMJ1B03WM</t>
  </si>
  <si>
    <t>2G97BMMJ1B0439</t>
  </si>
  <si>
    <t>2G97BMMJ1B046N</t>
  </si>
  <si>
    <t>2G97BMMJ1B045C</t>
  </si>
  <si>
    <t>2G97BMMJ1B048N</t>
  </si>
  <si>
    <t>2G97BMMJ1B045W</t>
  </si>
  <si>
    <t>2G97BMMJ1B0460</t>
  </si>
  <si>
    <t>2G97BMMJ1B048K</t>
  </si>
  <si>
    <t>2G97BMMJ1D002Y</t>
  </si>
  <si>
    <t>2G97BMMJ1R0072</t>
  </si>
  <si>
    <t>2G97BMMJ1R004X</t>
  </si>
  <si>
    <t>2G97BMMJ1B04S4</t>
  </si>
  <si>
    <t>2G97BMMJ1R006Z</t>
  </si>
  <si>
    <t>2G97BMMJ1R006Y</t>
  </si>
  <si>
    <t>2G97BMMJ1B03T2</t>
  </si>
  <si>
    <t>2G97BMMJ1B048Z</t>
  </si>
  <si>
    <t>2G97BMMJ1B048C</t>
  </si>
  <si>
    <t>2G97BMMJ1B02N8</t>
  </si>
  <si>
    <t>2G97BMMJ1R007D</t>
  </si>
  <si>
    <t>2G97BMMJ1C040K</t>
  </si>
  <si>
    <t>2G97BMMJ1B0487</t>
  </si>
  <si>
    <t>2G97BMMJ1B042R</t>
  </si>
  <si>
    <t>2G97BMMJ1B03WW</t>
  </si>
  <si>
    <t>2G97BMMJ1B043V</t>
  </si>
  <si>
    <t>2G97BMMJ1B042P</t>
  </si>
  <si>
    <t>2G97BMMJ1B0419</t>
  </si>
  <si>
    <t>2G97BMMJ1R005Y</t>
  </si>
  <si>
    <t>2G97BMMJ1C03Z5</t>
  </si>
  <si>
    <t>2G97BMMJ1R005G</t>
  </si>
  <si>
    <t>2G97BMMJ1C03ZK</t>
  </si>
  <si>
    <t>2G97BMMJ1B048R</t>
  </si>
  <si>
    <t>2G97BMMJ1B0462</t>
  </si>
  <si>
    <t>2G97BMMJ1R006Q</t>
  </si>
  <si>
    <t>2G97BMMJ1R006T</t>
  </si>
  <si>
    <t>S01K25801VJ910403373</t>
  </si>
  <si>
    <t>S01K25901VJ910430343</t>
  </si>
  <si>
    <t>S01K25901VJ910427710</t>
  </si>
  <si>
    <t>S01K25901VJ910433200</t>
  </si>
  <si>
    <t>S01K25901VJ910418912</t>
  </si>
  <si>
    <t>WAYFARER GEN 2 MATT BALCK L TRANSITION GREY(601S1Z50)</t>
  </si>
  <si>
    <t>4V0ZW25H9P0F8G</t>
  </si>
  <si>
    <t>4V37W25HB9003D</t>
  </si>
  <si>
    <t>4V37W25HBF00MX</t>
  </si>
  <si>
    <t>4V37W25HBF009C</t>
  </si>
  <si>
    <t>WAYFARER GEN 2 MATT BALCK POLAR GRADIENT GRAPHITE(601ST350)</t>
  </si>
  <si>
    <t>4V37W23J0G004C</t>
  </si>
  <si>
    <t>4V9GW23HCL05LL</t>
  </si>
  <si>
    <t>4V37W23J3202GT</t>
  </si>
  <si>
    <t>WAYFARER GEN 2 SHINY BLACK TRANSITION GRAPHITE GREEN(6011M53)</t>
  </si>
  <si>
    <t>4V0ZW32HB401DP</t>
  </si>
  <si>
    <t>Sale Al-Mahafil</t>
  </si>
  <si>
    <t>Minelab Gold Monster 1000 BCF Altona</t>
  </si>
  <si>
    <t>Minelab Gold Monster 1000 BCF Hoppers Crossing</t>
  </si>
  <si>
    <t>Macbook 14" SB 512 GB m5 JB Hifi Werribee Plaza</t>
  </si>
  <si>
    <t>INSTAX Mini 13 INST Cam Office Works Epping</t>
  </si>
  <si>
    <t>INSTAX Mini 13 INST Cam Office Works Preston</t>
  </si>
  <si>
    <t>INSTAX Mini 13 INST Cam Office Works Bundoora</t>
  </si>
  <si>
    <t>Fuel BP Merrifield Expanse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</si>
  <si>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</si>
  <si>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</si>
  <si>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</si>
  <si>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</si>
  <si>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Minelab Gold Monster 1000 BCF Preston</t>
  </si>
  <si>
    <t>INSTAX Mini 13 INST Cam JB Hifi Preston</t>
  </si>
  <si>
    <t>Macbook 14" S 512 GB m5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</si>
  <si>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</si>
  <si>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</si>
  <si>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</si>
  <si>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</si>
  <si>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</si>
  <si>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</si>
  <si>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</si>
  <si>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</si>
  <si>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INSTAX Mini 13 INST Cam JB Hifi Northlands</t>
  </si>
  <si>
    <t>Australia Perth</t>
  </si>
  <si>
    <t>Starlink Standard Kit v4</t>
  </si>
  <si>
    <t xml:space="preserve">MACBOOK AIR 13'' M5 16-1TB </t>
  </si>
  <si>
    <t>Sale Zeesahan Dysomac</t>
  </si>
  <si>
    <t>Sale Return Zeesahan Dysomac</t>
  </si>
  <si>
    <t>870453667113 Owais HT</t>
  </si>
  <si>
    <t>Mel-Ship-17-06-2026</t>
  </si>
  <si>
    <t>NZ-Ship-17-06-2026</t>
  </si>
  <si>
    <t>Sale Ali Khoker</t>
  </si>
  <si>
    <t>Sale farhan Turkish</t>
  </si>
  <si>
    <t>Sale Sabar Al Reyah</t>
  </si>
  <si>
    <t>6-17-2026</t>
  </si>
  <si>
    <t>Owais</t>
  </si>
  <si>
    <t>Iphone 17 Pro Max Cosmic Orange 256 GB</t>
  </si>
  <si>
    <t>Iphone 17 Pro Max Deep Blue 256 GB</t>
  </si>
  <si>
    <t>Unlock Active USA Blacklist Current Status: Blocked</t>
  </si>
  <si>
    <t>Iphone 17 Pro Max Silver 256 GB</t>
  </si>
  <si>
    <t>Iphone 17 Pro Silver 256 GB</t>
  </si>
  <si>
    <t>Iphone 17 Pro Cosmic Orange 256 GB</t>
  </si>
  <si>
    <t>Iphone 17 Pro Deep Blue 256 GB</t>
  </si>
  <si>
    <t>Locked Carrier: US Verizon Locked Policy</t>
  </si>
  <si>
    <t>Iphone 17 Pro Max Orange 256 GB</t>
  </si>
  <si>
    <t>Iphone 17 Pro Max Blue 256GB</t>
  </si>
  <si>
    <t>Locked Carrier: US AT&amp;T Activation Policy</t>
  </si>
  <si>
    <t>Iphone 17 Sage 256GB</t>
  </si>
  <si>
    <t>Apple Watch Ultra 3 49mm Natural Ti, Ocean Band</t>
  </si>
  <si>
    <t>Ipad A16 Silver (Wifi) 128GB</t>
  </si>
  <si>
    <t>SJRH0WQWKNL</t>
  </si>
  <si>
    <t>Ipad A16 Blue (W+C) 128GB</t>
  </si>
  <si>
    <t>4V37W23J1403GK</t>
  </si>
  <si>
    <t>4V37W23H7F03NN</t>
  </si>
  <si>
    <t>4V37W23J1301Y2</t>
  </si>
  <si>
    <t>4V0ZW23J0Q04RV</t>
  </si>
  <si>
    <t>4V37W25HBF00Y4</t>
  </si>
  <si>
    <t>4V0ZW25J0P00R5</t>
  </si>
  <si>
    <t>4V0ZW32HB301XP</t>
  </si>
  <si>
    <t>Headliner Gen 2 Matte Black L, Polar Gradient Graphite(601ST350)</t>
  </si>
  <si>
    <t>4V0ZH14H7S0691</t>
  </si>
  <si>
    <t>Headliner Gen 2 Shiny Black L, G15 Green(6017151)</t>
  </si>
  <si>
    <t>4V0ZL21HBT020R</t>
  </si>
  <si>
    <t>Skyler Shiny Black L, G15 Green(6017152)</t>
  </si>
  <si>
    <t>2Q0ZY14H8L02M0</t>
  </si>
  <si>
    <t>PS5 PRO 2TB</t>
  </si>
  <si>
    <t>S01K25A01VJ910510971</t>
  </si>
  <si>
    <t>S01K25901VJ910424475</t>
  </si>
  <si>
    <t>S01K25901VJ910425173</t>
  </si>
  <si>
    <t>S01K25801VJ910405586</t>
  </si>
  <si>
    <t>Goldmonster 2000 Jacobs Digital</t>
  </si>
  <si>
    <t>Collection and delivery Commision Abdul Khan</t>
  </si>
  <si>
    <t>Minelab 1000 Asfand Perth Transfer Perth</t>
  </si>
  <si>
    <t>Instax mini 13 Good Guys Commercial</t>
  </si>
  <si>
    <t>Storage Charges Storage King Perth</t>
  </si>
  <si>
    <t>Shipping Charges  CT Freight Melbourne</t>
  </si>
  <si>
    <t>Van Hire and Petrol  Anis Car Rental</t>
  </si>
  <si>
    <t>6-16-2026</t>
  </si>
  <si>
    <t>Ipad Air M4 13" (W+C) Purple 128 GB</t>
  </si>
  <si>
    <t>Apple Watach Series 11 46mm Jet Black, Al Black</t>
  </si>
  <si>
    <t>Iphone Air Space Black 256 GB</t>
  </si>
  <si>
    <t>Lock Non Active USA Blacklist Current Status: Blocked</t>
  </si>
  <si>
    <t>Iphone 17 Black 256 GB</t>
  </si>
  <si>
    <t>Iphone 17 Sage 256 GB</t>
  </si>
  <si>
    <t>Ipad Pro M5 13" Space Black (W+C) 256 GB</t>
  </si>
  <si>
    <t>Unlock Non Active (Used)</t>
  </si>
  <si>
    <t>Apple Watch Ultra 3 49mm Black Ti, Black Alp</t>
  </si>
  <si>
    <t>Apple Watch Ultra 3 49mm Black Ti, Charcoal Ti</t>
  </si>
  <si>
    <t>SYD Ship 22-06-2026</t>
  </si>
  <si>
    <t>Minelab 1000 Anaconda Cannington</t>
  </si>
  <si>
    <t>Minelab 1000 BCF Cannington</t>
  </si>
  <si>
    <t>Minelab 1000 Anaconda Midland</t>
  </si>
  <si>
    <t>Minelab 1000 BCF Midland</t>
  </si>
  <si>
    <t>Minelab 1000 Anaconda Innaldo</t>
  </si>
  <si>
    <t>Minelab 1000 BCF Ellenbrook</t>
  </si>
  <si>
    <t>Starlink Standard Kit v4 Bunnings Harrisdale</t>
  </si>
  <si>
    <t>Starlink Standard Kit v4 Bunnings Melville</t>
  </si>
  <si>
    <t>Starlink Standard Kit v4 Bunnings Bibra Lake</t>
  </si>
  <si>
    <t>Macbook Pro M5 14inch 16GB-512GB JB-HI-FI Belmont</t>
  </si>
  <si>
    <t>Minelab 1000 BCF Joondalup</t>
  </si>
  <si>
    <t>Minelab 1000 BCF Balcatta</t>
  </si>
  <si>
    <t>Minelab 1000 Anaconda</t>
  </si>
  <si>
    <t>INSTAX Mini 13 INST Cam Officeworks Ellenbrook</t>
  </si>
  <si>
    <t>INSTAX Mini 13 INST Cam Officeworks Perth Cbd</t>
  </si>
  <si>
    <t>Perth Purchasing</t>
  </si>
  <si>
    <t>Macbook Pro M5 14inch 16GB-512GB JB-HI-FI Kaminyup</t>
  </si>
  <si>
    <t>INSTAX Mini 13 INST Cam JB-HI-FI Scarborough</t>
  </si>
  <si>
    <t>INSTAX Mini 13 INST Cam Harvey Norman AV/IT</t>
  </si>
  <si>
    <t>INSTAX Mini 13 INST Cam JB-HI-FI Garden City</t>
  </si>
  <si>
    <t>Minelab 1000 Anaconda Melville</t>
  </si>
  <si>
    <t>INSTAX Mini 13 INST Cam JB-HI-FI Claremont</t>
  </si>
  <si>
    <t>Macbook Pro M5 14inch 16GB-512GB JB-HI-FI Claremont</t>
  </si>
  <si>
    <t>Macbook Pro M5 14inch 16GB-512GB JB-HI-FI Cockburn</t>
  </si>
  <si>
    <t>INSTAX Mini 13 INST Cam Officeworks Victoria Park</t>
  </si>
  <si>
    <t>Purchase AR Wise Bank</t>
  </si>
  <si>
    <t>Purchase Captain Logistics</t>
  </si>
  <si>
    <t>Macbook 14" S 512 GB m5  JB Hifi Northlands</t>
  </si>
  <si>
    <t>POWERSHOT G7Xiii JB Hifi Melb Central</t>
  </si>
  <si>
    <t>Macbook 14" S 512 GB m5 JB Hifi Broadmeadows</t>
  </si>
  <si>
    <t>Macbook 14" SB 512 GB m5 JB Hifi Broadmeadows</t>
  </si>
  <si>
    <t>Macbook 14" SB 512 GB m5 JB Hifi Preston</t>
  </si>
  <si>
    <t>Melbourne Purchasing</t>
  </si>
  <si>
    <t>Sale Faizan ground</t>
  </si>
  <si>
    <t>Sale Ali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</si>
</sst>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_([$AUD]\ * #,##0.00_);_([$AUD]\ * \(#,##0.00\);_([$AUD]\ * &quot;-&quot;??_);_(@_)"/>
    <numFmt numFmtId="168" formatCode="&quot;$&quot;#,##0;[Red]\-&quot;$&quot;#,##0"/>
    <numFmt numFmtId="169" formatCode="_-[$NZD]\ * #,##0.00_-;\-[$NZD]\ * #,##0.00_-;_-[$NZD]\ * &quot;-&quot;??_-;_-@_-"/>
    <numFmt numFmtId="170" formatCode="&quot;$&quot;#,##0.00"/>
    <numFmt numFmtId="171" formatCode="0_ ;\-0\ "/>
    <numFmt numFmtId="172" formatCode="#,##0.0"/>
    <numFmt numFmtId="173" formatCode="&quot;$&quot;#,##0"/>
    <numFmt numFmtId="174" formatCode="_-[$$-409]* #,##0.00_ ;_-[$$-409]* \-#,##0.00\ ;_-[$$-409]* &quot;-&quot;??_ ;_-@_ "/>
    <numFmt numFmtId="175" formatCode="&quot;AED&quot;#,##0.00"/>
    <numFmt numFmtId="176" formatCode="_-[$$-409]* #,##0_ ;_-[$$-409]* \-#,##0\ ;_-[$$-409]* &quot;-&quot;??_ ;_-@_ "/>
    <numFmt numFmtId="177" formatCode="[$-C09]dd\-mmm\-yy;@"/>
    <numFmt numFmtId="178" formatCode="&quot;$&quot;#,##0.00;[Red]\-&quot;$&quot;#,##0.00"/>
    <numFmt numFmtId="179" formatCode="_-[$AED]\ * #,##0.00_-;\-[$AED]\ * #,##0.00_-;_-[$AED]\ * &quot;-&quot;??_-;_-@_-"/>
    <numFmt numFmtId="180" formatCode="_-[$USD]\ * #,##0.00_-;\-[$USD]\ * #,##0.00_-;_-[$USD]\ * &quot;-&quot;??_-;_-@_-"/>
    <numFmt numFmtId="181" formatCode="m\-d\-yyyy;@"/>
    <numFmt numFmtId="182" formatCode="\$0.00"/>
    <numFmt numFmtId="183" formatCode="m\-dd\-yyyy;@"/>
  </numFmts>
  <fonts count="125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family val="2"/>
    </font>
    <font>
      <sz val="16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" tint="0.34998626667073579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0"/>
      <color theme="7" tint="0.39997558519241921"/>
      <name val="Arial"/>
      <family val="2"/>
    </font>
    <font>
      <sz val="16"/>
      <color theme="1"/>
      <name val="Arial"/>
      <family val="2"/>
    </font>
    <font>
      <sz val="14"/>
      <color rgb="FF000000"/>
      <name val="Times New Roman"/>
      <family val="1"/>
    </font>
    <font>
      <b/>
      <sz val="14"/>
      <name val="Arial"/>
      <family val="2"/>
    </font>
    <font>
      <sz val="14"/>
      <name val="Arial MT"/>
      <family val="2"/>
    </font>
    <font>
      <sz val="14"/>
      <color rgb="FF000000"/>
      <name val="Arial MT"/>
      <family val="2"/>
    </font>
    <font>
      <sz val="14"/>
      <name val="Arial MT"/>
    </font>
    <font>
      <b/>
      <sz val="10"/>
      <name val="Verdana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  <font>
      <b/>
      <sz val="14"/>
      <color rgb="FF000000"/>
      <name val="Times New Roman"/>
      <family val="1"/>
    </font>
    <font>
      <b/>
      <sz val="18"/>
      <color rgb="FF000000"/>
      <name val="Aptos Display"/>
      <family val="2"/>
      <scheme val="major"/>
    </font>
    <font>
      <sz val="10"/>
      <color rgb="FF000000"/>
      <name val="Times New Roman"/>
      <family val="1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1"/>
      <name val="Aptos Narrow"/>
      <family val="2"/>
      <scheme val="minor"/>
    </font>
    <font>
      <sz val="11"/>
      <name val="Verdana"/>
      <family val="2"/>
    </font>
    <font>
      <b/>
      <sz val="6"/>
      <name val="Arial"/>
      <family val="2"/>
    </font>
    <font>
      <sz val="11"/>
      <name val="Arial MT"/>
      <family val="2"/>
    </font>
    <font>
      <b/>
      <sz val="11"/>
      <color rgb="FF000000"/>
      <name val="Times New Roman"/>
      <family val="1"/>
    </font>
    <font>
      <b/>
      <sz val="18"/>
      <color theme="1"/>
      <name val="Aptos Narrow"/>
      <family val="2"/>
      <scheme val="minor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11"/>
      <color rgb="FF000000"/>
      <name val="Arial MT"/>
      <family val="2"/>
    </font>
    <font>
      <sz val="11"/>
      <name val="Arial MT"/>
    </font>
    <font>
      <b/>
      <sz val="11"/>
      <color rgb="FF000000"/>
      <name val="Abadi"/>
      <family val="2"/>
    </font>
    <font>
      <b/>
      <sz val="11"/>
      <name val="Abadi"/>
      <family val="2"/>
    </font>
    <font>
      <b/>
      <sz val="24"/>
      <color rgb="FF000000"/>
      <name val="Times New Roman"/>
      <family val="1"/>
    </font>
    <font>
      <sz val="11"/>
      <color rgb="FF000000"/>
      <name val="Times New Roman"/>
      <family val="2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1"/>
      <color rgb="FF000000"/>
      <name val="Verdana"/>
      <family val="2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1"/>
      <color rgb="FF37751C"/>
      <name val="Microsoft Sans Serif"/>
      <family val="2"/>
    </font>
    <font>
      <sz val="10"/>
      <name val="Microsoft Sans Serif"/>
      <family val="2"/>
    </font>
    <font>
      <b/>
      <sz val="11"/>
      <name val="Arial MT"/>
    </font>
    <font>
      <b/>
      <sz val="14"/>
      <color rgb="FF000000"/>
      <name val="Arial MT"/>
    </font>
    <font>
      <sz val="10"/>
      <color rgb="FF000000"/>
      <name val="Arial MT"/>
    </font>
    <font>
      <sz val="16"/>
      <color rgb="FF000000"/>
      <name val="Times New Roman"/>
      <family val="1"/>
    </font>
    <font>
      <b/>
      <sz val="10"/>
      <name val="Arial MT"/>
    </font>
    <font>
      <b/>
      <sz val="10"/>
      <color rgb="FF000000"/>
      <name val="Arial MT"/>
    </font>
    <font>
      <sz val="9.5"/>
      <color theme="1"/>
      <name val="Microsoft Sans Serif"/>
      <family val="2"/>
    </font>
    <font>
      <sz val="10"/>
      <color theme="1"/>
      <name val="Times New Roman"/>
      <family val="1"/>
    </font>
    <font>
      <sz val="10"/>
      <color theme="1"/>
      <name val="Nunito"/>
    </font>
    <font>
      <sz val="9"/>
      <color rgb="FF1E293B"/>
      <name val="Arial"/>
      <family val="2"/>
    </font>
    <font>
      <b/>
      <sz val="11"/>
      <color theme="1" tint="4.9989318521683403E-2"/>
      <name val="Abadi"/>
      <family val="2"/>
    </font>
    <font>
      <b/>
      <sz val="11"/>
      <color theme="1"/>
      <name val="Abadi"/>
      <family val="2"/>
    </font>
    <font>
      <sz val="8"/>
      <name val="Tahoma"/>
      <family val="2"/>
    </font>
    <font>
      <sz val="11"/>
      <color theme="1" tint="4.9989318521683403E-2"/>
      <name val="Abadi"/>
      <family val="2"/>
    </font>
    <font>
      <sz val="11"/>
      <name val="Tahoma"/>
      <family val="2"/>
    </font>
    <font>
      <b/>
      <sz val="11"/>
      <color theme="1"/>
      <name val="Arial"/>
      <family val="2"/>
    </font>
    <font>
      <sz val="10"/>
      <color rgb="FF434343"/>
      <name val="Roboto"/>
    </font>
    <font>
      <sz val="11"/>
      <color rgb="FF434343"/>
      <name val="Roboto"/>
    </font>
    <font>
      <sz val="11"/>
      <color rgb="FF434343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6AA74E"/>
      </patternFill>
    </fill>
    <fill>
      <patternFill patternType="solid">
        <fgColor theme="6"/>
        <bgColor indexed="64"/>
      </patternFill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5" fillId="0" borderId="0"/>
    <xf numFmtId="0" fontId="72" fillId="0" borderId="0"/>
    <xf numFmtId="0" fontId="86" fillId="0" borderId="0"/>
    <xf numFmtId="0" fontId="102" fillId="0" borderId="0"/>
  </cellStyleXfs>
  <cellXfs count="15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wrapText="1"/>
    </xf>
    <xf numFmtId="165" fontId="14" fillId="0" borderId="7" xfId="1" applyFont="1" applyFill="1" applyBorder="1" applyAlignment="1">
      <alignment horizontal="center" vertical="center"/>
    </xf>
    <xf numFmtId="166" fontId="4" fillId="7" borderId="0" xfId="0" applyNumberFormat="1" applyFont="1" applyFill="1" applyAlignment="1">
      <alignment horizontal="center"/>
    </xf>
    <xf numFmtId="166" fontId="0" fillId="0" borderId="7" xfId="0" applyNumberFormat="1" applyBorder="1"/>
    <xf numFmtId="166" fontId="0" fillId="0" borderId="0" xfId="0" applyNumberFormat="1"/>
    <xf numFmtId="0" fontId="0" fillId="0" borderId="0" xfId="0" quotePrefix="1"/>
    <xf numFmtId="0" fontId="12" fillId="0" borderId="0" xfId="0" applyFont="1"/>
    <xf numFmtId="0" fontId="12" fillId="10" borderId="0" xfId="0" applyFont="1" applyFill="1"/>
    <xf numFmtId="0" fontId="0" fillId="10" borderId="0" xfId="0" applyFill="1"/>
    <xf numFmtId="0" fontId="12" fillId="9" borderId="0" xfId="0" applyFont="1" applyFill="1"/>
    <xf numFmtId="0" fontId="0" fillId="9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16" fillId="0" borderId="0" xfId="0" applyFont="1"/>
    <xf numFmtId="14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7" fillId="0" borderId="0" xfId="0" applyFont="1"/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5" fontId="11" fillId="0" borderId="7" xfId="1" applyFont="1" applyBorder="1" applyAlignment="1">
      <alignment horizontal="center"/>
    </xf>
    <xf numFmtId="0" fontId="18" fillId="0" borderId="7" xfId="0" applyFont="1" applyBorder="1" applyAlignment="1">
      <alignment horizontal="left" vertical="top" wrapText="1"/>
    </xf>
    <xf numFmtId="14" fontId="10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165" fontId="11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167" fontId="4" fillId="8" borderId="1" xfId="0" applyNumberFormat="1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15" borderId="0" xfId="0" applyFont="1" applyFill="1"/>
    <xf numFmtId="167" fontId="3" fillId="8" borderId="0" xfId="0" applyNumberFormat="1" applyFont="1" applyFill="1"/>
    <xf numFmtId="164" fontId="4" fillId="8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4" fontId="0" fillId="0" borderId="7" xfId="0" applyNumberFormat="1" applyBorder="1"/>
    <xf numFmtId="168" fontId="0" fillId="0" borderId="7" xfId="0" applyNumberFormat="1" applyBorder="1"/>
    <xf numFmtId="20" fontId="0" fillId="0" borderId="0" xfId="0" applyNumberFormat="1"/>
    <xf numFmtId="0" fontId="0" fillId="0" borderId="9" xfId="0" applyBorder="1" applyAlignment="1">
      <alignment horizontal="center"/>
    </xf>
    <xf numFmtId="0" fontId="0" fillId="0" borderId="9" xfId="0" applyBorder="1"/>
    <xf numFmtId="168" fontId="0" fillId="0" borderId="9" xfId="0" applyNumberFormat="1" applyBorder="1"/>
    <xf numFmtId="14" fontId="0" fillId="0" borderId="0" xfId="0" applyNumberFormat="1"/>
    <xf numFmtId="0" fontId="15" fillId="16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9" fontId="3" fillId="8" borderId="0" xfId="0" applyNumberFormat="1" applyFont="1" applyFill="1"/>
    <xf numFmtId="0" fontId="3" fillId="0" borderId="7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0" fillId="17" borderId="7" xfId="0" applyFill="1" applyBorder="1"/>
    <xf numFmtId="0" fontId="0" fillId="0" borderId="0" xfId="0" applyAlignment="1">
      <alignment horizontal="left"/>
    </xf>
    <xf numFmtId="14" fontId="0" fillId="9" borderId="7" xfId="0" applyNumberFormat="1" applyFill="1" applyBorder="1" applyAlignment="1">
      <alignment horizontal="center"/>
    </xf>
    <xf numFmtId="0" fontId="3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7" xfId="0" applyFill="1" applyBorder="1"/>
    <xf numFmtId="0" fontId="3" fillId="0" borderId="7" xfId="0" applyFont="1" applyBorder="1"/>
    <xf numFmtId="14" fontId="0" fillId="17" borderId="7" xfId="0" applyNumberForma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9" borderId="7" xfId="0" applyFont="1" applyFill="1" applyBorder="1" applyAlignment="1">
      <alignment horizontal="left"/>
    </xf>
    <xf numFmtId="0" fontId="0" fillId="9" borderId="7" xfId="0" applyFill="1" applyBorder="1"/>
    <xf numFmtId="0" fontId="3" fillId="10" borderId="7" xfId="0" applyFont="1" applyFill="1" applyBorder="1" applyAlignment="1">
      <alignment horizontal="center"/>
    </xf>
    <xf numFmtId="0" fontId="9" fillId="0" borderId="0" xfId="0" applyFont="1"/>
    <xf numFmtId="14" fontId="26" fillId="0" borderId="7" xfId="0" applyNumberFormat="1" applyFont="1" applyBorder="1"/>
    <xf numFmtId="0" fontId="26" fillId="0" borderId="7" xfId="0" applyFont="1" applyBorder="1"/>
    <xf numFmtId="0" fontId="26" fillId="0" borderId="7" xfId="0" applyFont="1" applyBorder="1" applyAlignment="1">
      <alignment horizontal="center"/>
    </xf>
    <xf numFmtId="0" fontId="28" fillId="0" borderId="7" xfId="0" applyFont="1" applyBorder="1"/>
    <xf numFmtId="0" fontId="3" fillId="0" borderId="7" xfId="0" applyFont="1" applyBorder="1" applyAlignment="1">
      <alignment vertical="center" wrapText="1"/>
    </xf>
    <xf numFmtId="0" fontId="0" fillId="19" borderId="0" xfId="0" applyFill="1"/>
    <xf numFmtId="0" fontId="4" fillId="8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3" fillId="17" borderId="7" xfId="0" applyFont="1" applyFill="1" applyBorder="1" applyAlignment="1">
      <alignment horizontal="left" vertical="center" wrapText="1"/>
    </xf>
    <xf numFmtId="44" fontId="0" fillId="0" borderId="0" xfId="0" applyNumberFormat="1"/>
    <xf numFmtId="0" fontId="29" fillId="0" borderId="0" xfId="0" applyFont="1"/>
    <xf numFmtId="0" fontId="29" fillId="3" borderId="7" xfId="0" applyFont="1" applyFill="1" applyBorder="1"/>
    <xf numFmtId="44" fontId="29" fillId="3" borderId="7" xfId="0" applyNumberFormat="1" applyFont="1" applyFill="1" applyBorder="1"/>
    <xf numFmtId="0" fontId="0" fillId="20" borderId="7" xfId="0" applyFill="1" applyBorder="1"/>
    <xf numFmtId="44" fontId="0" fillId="20" borderId="7" xfId="0" applyNumberFormat="1" applyFill="1" applyBorder="1"/>
    <xf numFmtId="44" fontId="0" fillId="0" borderId="7" xfId="0" applyNumberFormat="1" applyBorder="1"/>
    <xf numFmtId="44" fontId="29" fillId="21" borderId="7" xfId="0" applyNumberFormat="1" applyFont="1" applyFill="1" applyBorder="1"/>
    <xf numFmtId="0" fontId="3" fillId="0" borderId="6" xfId="0" applyFont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3" fillId="17" borderId="7" xfId="0" applyFont="1" applyFill="1" applyBorder="1" applyAlignment="1">
      <alignment horizontal="left"/>
    </xf>
    <xf numFmtId="14" fontId="0" fillId="10" borderId="7" xfId="0" applyNumberFormat="1" applyFill="1" applyBorder="1" applyAlignment="1">
      <alignment horizontal="center"/>
    </xf>
    <xf numFmtId="0" fontId="0" fillId="10" borderId="7" xfId="0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0" fontId="3" fillId="0" borderId="11" xfId="0" applyFon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9" borderId="7" xfId="0" applyNumberForma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4" fontId="0" fillId="19" borderId="7" xfId="0" applyNumberFormat="1" applyFill="1" applyBorder="1" applyAlignment="1">
      <alignment horizontal="center"/>
    </xf>
    <xf numFmtId="0" fontId="0" fillId="19" borderId="7" xfId="0" applyFill="1" applyBorder="1" applyAlignment="1">
      <alignment horizontal="left"/>
    </xf>
    <xf numFmtId="0" fontId="0" fillId="19" borderId="7" xfId="0" applyFill="1" applyBorder="1" applyAlignment="1">
      <alignment horizontal="center"/>
    </xf>
    <xf numFmtId="0" fontId="0" fillId="19" borderId="7" xfId="0" applyFill="1" applyBorder="1"/>
    <xf numFmtId="1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170" fontId="0" fillId="19" borderId="7" xfId="0" applyNumberFormat="1" applyFill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1" fillId="22" borderId="0" xfId="0" applyFont="1" applyFill="1" applyAlignment="1">
      <alignment horizontal="center"/>
    </xf>
    <xf numFmtId="2" fontId="31" fillId="22" borderId="0" xfId="0" applyNumberFormat="1" applyFont="1" applyFill="1" applyAlignment="1">
      <alignment horizontal="center"/>
    </xf>
    <xf numFmtId="2" fontId="0" fillId="0" borderId="0" xfId="0" applyNumberFormat="1"/>
    <xf numFmtId="171" fontId="31" fillId="2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4" fontId="10" fillId="23" borderId="7" xfId="0" applyNumberFormat="1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 wrapText="1"/>
    </xf>
    <xf numFmtId="14" fontId="0" fillId="23" borderId="7" xfId="0" applyNumberForma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3" borderId="7" xfId="0" applyFont="1" applyFill="1" applyBorder="1"/>
    <xf numFmtId="0" fontId="3" fillId="23" borderId="7" xfId="0" applyFont="1" applyFill="1" applyBorder="1" applyAlignment="1">
      <alignment horizontal="left"/>
    </xf>
    <xf numFmtId="0" fontId="3" fillId="23" borderId="7" xfId="0" applyFont="1" applyFill="1" applyBorder="1" applyAlignment="1">
      <alignment vertical="center" wrapText="1"/>
    </xf>
    <xf numFmtId="42" fontId="31" fillId="22" borderId="0" xfId="0" applyNumberFormat="1" applyFont="1" applyFill="1" applyAlignment="1">
      <alignment horizontal="center"/>
    </xf>
    <xf numFmtId="42" fontId="0" fillId="0" borderId="0" xfId="0" applyNumberFormat="1"/>
    <xf numFmtId="2" fontId="0" fillId="0" borderId="7" xfId="0" applyNumberFormat="1" applyBorder="1"/>
    <xf numFmtId="42" fontId="0" fillId="0" borderId="7" xfId="0" applyNumberFormat="1" applyBorder="1"/>
    <xf numFmtId="0" fontId="0" fillId="23" borderId="7" xfId="0" applyFill="1" applyBorder="1" applyAlignment="1">
      <alignment horizontal="center"/>
    </xf>
    <xf numFmtId="2" fontId="0" fillId="23" borderId="7" xfId="0" applyNumberFormat="1" applyFill="1" applyBorder="1"/>
    <xf numFmtId="42" fontId="0" fillId="23" borderId="7" xfId="0" applyNumberFormat="1" applyFill="1" applyBorder="1"/>
    <xf numFmtId="44" fontId="0" fillId="23" borderId="7" xfId="0" applyNumberFormat="1" applyFill="1" applyBorder="1"/>
    <xf numFmtId="0" fontId="32" fillId="20" borderId="0" xfId="0" applyFont="1" applyFill="1"/>
    <xf numFmtId="0" fontId="3" fillId="23" borderId="7" xfId="0" applyFont="1" applyFill="1" applyBorder="1" applyAlignment="1">
      <alignment horizontal="left" vertical="center" wrapText="1"/>
    </xf>
    <xf numFmtId="14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170" fontId="0" fillId="9" borderId="7" xfId="0" applyNumberFormat="1" applyFill="1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14" fontId="0" fillId="23" borderId="9" xfId="0" applyNumberFormat="1" applyFill="1" applyBorder="1" applyAlignment="1">
      <alignment horizontal="center"/>
    </xf>
    <xf numFmtId="0" fontId="3" fillId="23" borderId="9" xfId="0" applyFont="1" applyFill="1" applyBorder="1" applyAlignment="1">
      <alignment horizontal="left"/>
    </xf>
    <xf numFmtId="0" fontId="0" fillId="23" borderId="9" xfId="0" applyFill="1" applyBorder="1" applyAlignment="1">
      <alignment horizontal="center"/>
    </xf>
    <xf numFmtId="2" fontId="0" fillId="23" borderId="9" xfId="0" applyNumberFormat="1" applyFill="1" applyBorder="1"/>
    <xf numFmtId="44" fontId="0" fillId="23" borderId="9" xfId="0" applyNumberFormat="1" applyFill="1" applyBorder="1"/>
    <xf numFmtId="42" fontId="0" fillId="23" borderId="9" xfId="0" applyNumberFormat="1" applyFill="1" applyBorder="1"/>
    <xf numFmtId="44" fontId="29" fillId="3" borderId="0" xfId="0" applyNumberFormat="1" applyFont="1" applyFill="1"/>
    <xf numFmtId="42" fontId="29" fillId="3" borderId="0" xfId="0" applyNumberFormat="1" applyFont="1" applyFill="1"/>
    <xf numFmtId="14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37" fillId="7" borderId="0" xfId="0" applyFont="1" applyFill="1" applyAlignment="1">
      <alignment horizontal="center"/>
    </xf>
    <xf numFmtId="14" fontId="35" fillId="9" borderId="7" xfId="0" applyNumberFormat="1" applyFont="1" applyFill="1" applyBorder="1" applyAlignment="1">
      <alignment horizontal="center"/>
    </xf>
    <xf numFmtId="0" fontId="35" fillId="9" borderId="7" xfId="0" applyFont="1" applyFill="1" applyBorder="1"/>
    <xf numFmtId="0" fontId="35" fillId="9" borderId="7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7" xfId="0" applyFont="1" applyBorder="1"/>
    <xf numFmtId="0" fontId="35" fillId="0" borderId="0" xfId="0" applyFont="1" applyAlignment="1">
      <alignment horizontal="center"/>
    </xf>
    <xf numFmtId="0" fontId="35" fillId="0" borderId="0" xfId="0" applyFont="1"/>
    <xf numFmtId="14" fontId="35" fillId="0" borderId="7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14" fontId="0" fillId="9" borderId="7" xfId="0" applyNumberFormat="1" applyFill="1" applyBorder="1"/>
    <xf numFmtId="170" fontId="0" fillId="0" borderId="7" xfId="0" applyNumberFormat="1" applyBorder="1"/>
    <xf numFmtId="3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/>
    <xf numFmtId="14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14" fontId="0" fillId="24" borderId="7" xfId="0" applyNumberFormat="1" applyFill="1" applyBorder="1" applyAlignment="1">
      <alignment horizontal="center"/>
    </xf>
    <xf numFmtId="0" fontId="3" fillId="24" borderId="7" xfId="0" applyFont="1" applyFill="1" applyBorder="1" applyAlignment="1">
      <alignment vertical="center" wrapText="1"/>
    </xf>
    <xf numFmtId="0" fontId="3" fillId="24" borderId="7" xfId="0" applyFont="1" applyFill="1" applyBorder="1" applyAlignment="1">
      <alignment horizontal="center"/>
    </xf>
    <xf numFmtId="0" fontId="3" fillId="24" borderId="7" xfId="0" applyFont="1" applyFill="1" applyBorder="1"/>
    <xf numFmtId="0" fontId="3" fillId="24" borderId="7" xfId="0" applyFont="1" applyFill="1" applyBorder="1" applyAlignment="1">
      <alignment horizontal="left"/>
    </xf>
    <xf numFmtId="0" fontId="3" fillId="24" borderId="7" xfId="0" applyFont="1" applyFill="1" applyBorder="1" applyAlignment="1">
      <alignment horizontal="left" vertical="center"/>
    </xf>
    <xf numFmtId="0" fontId="3" fillId="2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172" fontId="0" fillId="0" borderId="7" xfId="0" applyNumberFormat="1" applyBorder="1" applyAlignment="1">
      <alignment horizontal="center"/>
    </xf>
    <xf numFmtId="0" fontId="0" fillId="0" borderId="11" xfId="0" applyBorder="1"/>
    <xf numFmtId="170" fontId="0" fillId="0" borderId="11" xfId="0" applyNumberFormat="1" applyBorder="1" applyAlignment="1">
      <alignment horizontal="center"/>
    </xf>
    <xf numFmtId="0" fontId="0" fillId="25" borderId="7" xfId="0" applyFill="1" applyBorder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3" fillId="17" borderId="7" xfId="0" applyFont="1" applyFill="1" applyBorder="1"/>
    <xf numFmtId="0" fontId="3" fillId="17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14" fontId="0" fillId="14" borderId="7" xfId="0" applyNumberFormat="1" applyFill="1" applyBorder="1" applyAlignment="1">
      <alignment horizontal="center"/>
    </xf>
    <xf numFmtId="0" fontId="3" fillId="14" borderId="7" xfId="0" applyFont="1" applyFill="1" applyBorder="1" applyAlignment="1">
      <alignment horizontal="left"/>
    </xf>
    <xf numFmtId="0" fontId="3" fillId="14" borderId="7" xfId="0" applyFont="1" applyFill="1" applyBorder="1" applyAlignment="1">
      <alignment horizontal="center"/>
    </xf>
    <xf numFmtId="0" fontId="0" fillId="14" borderId="7" xfId="0" applyFill="1" applyBorder="1"/>
    <xf numFmtId="0" fontId="3" fillId="14" borderId="7" xfId="0" applyFont="1" applyFill="1" applyBorder="1" applyAlignment="1">
      <alignment horizontal="left" vertical="center"/>
    </xf>
    <xf numFmtId="14" fontId="0" fillId="17" borderId="9" xfId="0" applyNumberFormat="1" applyFill="1" applyBorder="1" applyAlignment="1">
      <alignment horizontal="center"/>
    </xf>
    <xf numFmtId="0" fontId="3" fillId="17" borderId="9" xfId="0" applyFont="1" applyFill="1" applyBorder="1" applyAlignment="1">
      <alignment horizontal="left" vertical="center"/>
    </xf>
    <xf numFmtId="0" fontId="3" fillId="17" borderId="9" xfId="0" applyFont="1" applyFill="1" applyBorder="1" applyAlignment="1">
      <alignment horizontal="center"/>
    </xf>
    <xf numFmtId="0" fontId="0" fillId="17" borderId="9" xfId="0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horizontal="left"/>
    </xf>
    <xf numFmtId="14" fontId="0" fillId="9" borderId="9" xfId="0" applyNumberForma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70" fontId="0" fillId="9" borderId="9" xfId="0" applyNumberFormat="1" applyFill="1" applyBorder="1"/>
    <xf numFmtId="0" fontId="0" fillId="26" borderId="7" xfId="0" applyFill="1" applyBorder="1" applyAlignment="1">
      <alignment horizontal="left"/>
    </xf>
    <xf numFmtId="14" fontId="0" fillId="27" borderId="7" xfId="0" applyNumberFormat="1" applyFill="1" applyBorder="1" applyAlignment="1">
      <alignment horizontal="center"/>
    </xf>
    <xf numFmtId="0" fontId="3" fillId="27" borderId="7" xfId="0" applyFont="1" applyFill="1" applyBorder="1" applyAlignment="1">
      <alignment horizontal="left" vertical="center"/>
    </xf>
    <xf numFmtId="0" fontId="0" fillId="27" borderId="7" xfId="0" applyFill="1" applyBorder="1"/>
    <xf numFmtId="0" fontId="3" fillId="27" borderId="7" xfId="0" applyFont="1" applyFill="1" applyBorder="1" applyAlignment="1">
      <alignment horizontal="center"/>
    </xf>
    <xf numFmtId="0" fontId="3" fillId="6" borderId="0" xfId="0" applyFont="1" applyFill="1"/>
    <xf numFmtId="14" fontId="0" fillId="28" borderId="7" xfId="0" applyNumberFormat="1" applyFill="1" applyBorder="1" applyAlignment="1">
      <alignment horizontal="center"/>
    </xf>
    <xf numFmtId="0" fontId="3" fillId="28" borderId="7" xfId="0" applyFont="1" applyFill="1" applyBorder="1" applyAlignment="1">
      <alignment horizontal="left" vertical="center" wrapText="1"/>
    </xf>
    <xf numFmtId="0" fontId="3" fillId="28" borderId="7" xfId="0" applyFont="1" applyFill="1" applyBorder="1" applyAlignment="1">
      <alignment horizontal="center"/>
    </xf>
    <xf numFmtId="0" fontId="3" fillId="28" borderId="7" xfId="0" applyFont="1" applyFill="1" applyBorder="1" applyAlignment="1">
      <alignment horizontal="left"/>
    </xf>
    <xf numFmtId="0" fontId="0" fillId="28" borderId="7" xfId="0" applyFill="1" applyBorder="1"/>
    <xf numFmtId="0" fontId="3" fillId="6" borderId="9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28" borderId="7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0" fillId="0" borderId="5" xfId="0" applyBorder="1"/>
    <xf numFmtId="14" fontId="0" fillId="20" borderId="7" xfId="0" applyNumberForma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3" fillId="17" borderId="7" xfId="0" applyNumberFormat="1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7" xfId="0" applyFill="1" applyBorder="1"/>
    <xf numFmtId="0" fontId="3" fillId="8" borderId="7" xfId="0" applyFont="1" applyFill="1" applyBorder="1"/>
    <xf numFmtId="14" fontId="3" fillId="0" borderId="9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14" xfId="0" applyBorder="1"/>
    <xf numFmtId="14" fontId="3" fillId="0" borderId="0" xfId="0" applyNumberFormat="1" applyFont="1" applyAlignment="1">
      <alignment horizontal="center"/>
    </xf>
    <xf numFmtId="14" fontId="3" fillId="29" borderId="7" xfId="0" applyNumberFormat="1" applyFont="1" applyFill="1" applyBorder="1" applyAlignment="1">
      <alignment horizontal="center"/>
    </xf>
    <xf numFmtId="0" fontId="3" fillId="29" borderId="7" xfId="0" applyFont="1" applyFill="1" applyBorder="1" applyAlignment="1">
      <alignment horizontal="left"/>
    </xf>
    <xf numFmtId="0" fontId="3" fillId="29" borderId="7" xfId="0" applyFont="1" applyFill="1" applyBorder="1" applyAlignment="1">
      <alignment horizontal="center"/>
    </xf>
    <xf numFmtId="0" fontId="0" fillId="29" borderId="7" xfId="0" applyFill="1" applyBorder="1"/>
    <xf numFmtId="0" fontId="3" fillId="8" borderId="7" xfId="0" applyFont="1" applyFill="1" applyBorder="1" applyAlignment="1">
      <alignment horizontal="left" vertical="center"/>
    </xf>
    <xf numFmtId="0" fontId="3" fillId="30" borderId="7" xfId="0" applyFont="1" applyFill="1" applyBorder="1" applyAlignment="1">
      <alignment horizontal="left" vertical="center" wrapText="1"/>
    </xf>
    <xf numFmtId="0" fontId="3" fillId="30" borderId="7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0" fillId="30" borderId="7" xfId="0" applyFill="1" applyBorder="1"/>
    <xf numFmtId="0" fontId="1" fillId="22" borderId="7" xfId="0" applyFont="1" applyFill="1" applyBorder="1" applyAlignment="1">
      <alignment horizontal="center"/>
    </xf>
    <xf numFmtId="0" fontId="0" fillId="22" borderId="7" xfId="0" applyFill="1" applyBorder="1"/>
    <xf numFmtId="0" fontId="0" fillId="0" borderId="0" xfId="0" applyAlignment="1">
      <alignment horizontal="right"/>
    </xf>
    <xf numFmtId="44" fontId="1" fillId="22" borderId="7" xfId="0" applyNumberFormat="1" applyFont="1" applyFill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6" borderId="7" xfId="0" applyFont="1" applyFill="1" applyBorder="1" applyAlignment="1">
      <alignment horizontal="left" vertical="center" wrapText="1"/>
    </xf>
    <xf numFmtId="0" fontId="3" fillId="29" borderId="7" xfId="0" applyFont="1" applyFill="1" applyBorder="1" applyAlignment="1">
      <alignment horizontal="left" vertical="center" wrapText="1"/>
    </xf>
    <xf numFmtId="0" fontId="3" fillId="29" borderId="0" xfId="0" applyFont="1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0" fontId="3" fillId="14" borderId="7" xfId="0" applyFont="1" applyFill="1" applyBorder="1"/>
    <xf numFmtId="0" fontId="0" fillId="32" borderId="7" xfId="0" applyFill="1" applyBorder="1"/>
    <xf numFmtId="0" fontId="0" fillId="32" borderId="7" xfId="0" applyFill="1" applyBorder="1" applyAlignment="1">
      <alignment horizontal="center"/>
    </xf>
    <xf numFmtId="14" fontId="3" fillId="31" borderId="7" xfId="0" applyNumberFormat="1" applyFont="1" applyFill="1" applyBorder="1" applyAlignment="1">
      <alignment horizontal="center"/>
    </xf>
    <xf numFmtId="0" fontId="3" fillId="31" borderId="7" xfId="0" applyFont="1" applyFill="1" applyBorder="1" applyAlignment="1">
      <alignment horizontal="left" vertical="center" wrapText="1"/>
    </xf>
    <xf numFmtId="0" fontId="3" fillId="31" borderId="7" xfId="0" applyFont="1" applyFill="1" applyBorder="1" applyAlignment="1">
      <alignment horizontal="center"/>
    </xf>
    <xf numFmtId="0" fontId="0" fillId="31" borderId="7" xfId="0" applyFill="1" applyBorder="1"/>
    <xf numFmtId="0" fontId="0" fillId="31" borderId="0" xfId="0" applyFill="1"/>
    <xf numFmtId="0" fontId="3" fillId="31" borderId="7" xfId="0" applyFont="1" applyFill="1" applyBorder="1" applyAlignment="1">
      <alignment horizontal="left" vertical="center"/>
    </xf>
    <xf numFmtId="14" fontId="3" fillId="7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0" fillId="12" borderId="7" xfId="0" applyFill="1" applyBorder="1"/>
    <xf numFmtId="0" fontId="3" fillId="12" borderId="7" xfId="0" applyFont="1" applyFill="1" applyBorder="1" applyAlignment="1">
      <alignment horizontal="center"/>
    </xf>
    <xf numFmtId="14" fontId="3" fillId="12" borderId="7" xfId="0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/>
    </xf>
    <xf numFmtId="0" fontId="35" fillId="31" borderId="7" xfId="0" applyFont="1" applyFill="1" applyBorder="1"/>
    <xf numFmtId="0" fontId="3" fillId="33" borderId="7" xfId="0" applyFont="1" applyFill="1" applyBorder="1" applyAlignment="1">
      <alignment horizontal="left" vertical="center" wrapText="1"/>
    </xf>
    <xf numFmtId="0" fontId="3" fillId="33" borderId="7" xfId="0" applyFont="1" applyFill="1" applyBorder="1" applyAlignment="1">
      <alignment horizontal="center"/>
    </xf>
    <xf numFmtId="0" fontId="3" fillId="33" borderId="7" xfId="0" applyFont="1" applyFill="1" applyBorder="1" applyAlignment="1">
      <alignment horizontal="left"/>
    </xf>
    <xf numFmtId="14" fontId="3" fillId="33" borderId="7" xfId="0" applyNumberFormat="1" applyFont="1" applyFill="1" applyBorder="1" applyAlignment="1">
      <alignment horizontal="center"/>
    </xf>
    <xf numFmtId="0" fontId="0" fillId="33" borderId="7" xfId="0" applyFill="1" applyBorder="1"/>
    <xf numFmtId="0" fontId="0" fillId="0" borderId="13" xfId="0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14" fontId="3" fillId="25" borderId="7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0" fontId="0" fillId="29" borderId="7" xfId="0" applyFill="1" applyBorder="1" applyAlignment="1">
      <alignment horizontal="center"/>
    </xf>
    <xf numFmtId="0" fontId="3" fillId="29" borderId="0" xfId="0" applyFont="1" applyFill="1" applyAlignment="1">
      <alignment horizontal="left"/>
    </xf>
    <xf numFmtId="0" fontId="0" fillId="29" borderId="11" xfId="0" applyFill="1" applyBorder="1" applyAlignment="1">
      <alignment horizontal="center"/>
    </xf>
    <xf numFmtId="0" fontId="3" fillId="25" borderId="7" xfId="0" applyFont="1" applyFill="1" applyBorder="1" applyAlignment="1">
      <alignment horizontal="left" vertical="center" wrapText="1"/>
    </xf>
    <xf numFmtId="0" fontId="3" fillId="25" borderId="7" xfId="0" applyFont="1" applyFill="1" applyBorder="1" applyAlignment="1">
      <alignment horizontal="left" vertical="center"/>
    </xf>
    <xf numFmtId="0" fontId="3" fillId="25" borderId="7" xfId="0" applyFont="1" applyFill="1" applyBorder="1" applyAlignment="1">
      <alignment horizontal="left"/>
    </xf>
    <xf numFmtId="0" fontId="3" fillId="25" borderId="7" xfId="0" applyFont="1" applyFill="1" applyBorder="1"/>
    <xf numFmtId="0" fontId="3" fillId="25" borderId="7" xfId="0" applyFont="1" applyFill="1" applyBorder="1" applyAlignment="1">
      <alignment horizontal="center"/>
    </xf>
    <xf numFmtId="14" fontId="3" fillId="16" borderId="7" xfId="0" applyNumberFormat="1" applyFont="1" applyFill="1" applyBorder="1" applyAlignment="1">
      <alignment horizontal="center"/>
    </xf>
    <xf numFmtId="0" fontId="3" fillId="16" borderId="7" xfId="0" applyFont="1" applyFill="1" applyBorder="1" applyAlignment="1">
      <alignment horizontal="left" vertical="center"/>
    </xf>
    <xf numFmtId="0" fontId="3" fillId="16" borderId="7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0" fontId="3" fillId="16" borderId="7" xfId="0" applyFont="1" applyFill="1" applyBorder="1" applyAlignment="1">
      <alignment vertical="center"/>
    </xf>
    <xf numFmtId="0" fontId="3" fillId="16" borderId="7" xfId="0" applyFont="1" applyFill="1" applyBorder="1"/>
    <xf numFmtId="0" fontId="3" fillId="16" borderId="11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left"/>
    </xf>
    <xf numFmtId="0" fontId="3" fillId="17" borderId="0" xfId="0" applyFont="1" applyFill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14" borderId="0" xfId="0" applyFont="1" applyFill="1" applyAlignment="1">
      <alignment horizontal="left"/>
    </xf>
    <xf numFmtId="0" fontId="0" fillId="24" borderId="7" xfId="0" applyFill="1" applyBorder="1" applyAlignment="1">
      <alignment horizontal="center"/>
    </xf>
    <xf numFmtId="0" fontId="0" fillId="16" borderId="7" xfId="0" applyFill="1" applyBorder="1"/>
    <xf numFmtId="0" fontId="3" fillId="25" borderId="0" xfId="0" applyFont="1" applyFill="1" applyAlignment="1">
      <alignment horizontal="center"/>
    </xf>
    <xf numFmtId="0" fontId="3" fillId="25" borderId="0" xfId="0" applyFont="1" applyFill="1" applyAlignment="1">
      <alignment horizontal="left"/>
    </xf>
    <xf numFmtId="0" fontId="0" fillId="25" borderId="0" xfId="0" applyFill="1"/>
    <xf numFmtId="0" fontId="3" fillId="25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70" fontId="35" fillId="9" borderId="7" xfId="0" applyNumberFormat="1" applyFont="1" applyFill="1" applyBorder="1" applyAlignment="1">
      <alignment horizontal="center"/>
    </xf>
    <xf numFmtId="170" fontId="0" fillId="20" borderId="7" xfId="0" applyNumberFormat="1" applyFill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4" fontId="0" fillId="17" borderId="7" xfId="0" applyNumberFormat="1" applyFill="1" applyBorder="1"/>
    <xf numFmtId="0" fontId="38" fillId="17" borderId="7" xfId="0" applyFont="1" applyFill="1" applyBorder="1"/>
    <xf numFmtId="0" fontId="0" fillId="25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18" borderId="7" xfId="0" applyNumberFormat="1" applyFill="1" applyBorder="1" applyAlignment="1">
      <alignment horizontal="center"/>
    </xf>
    <xf numFmtId="14" fontId="0" fillId="32" borderId="7" xfId="0" applyNumberFormat="1" applyFill="1" applyBorder="1" applyAlignment="1">
      <alignment horizontal="center"/>
    </xf>
    <xf numFmtId="164" fontId="12" fillId="0" borderId="0" xfId="0" applyNumberFormat="1" applyFont="1"/>
    <xf numFmtId="0" fontId="12" fillId="5" borderId="7" xfId="0" applyFont="1" applyFill="1" applyBorder="1" applyAlignment="1">
      <alignment horizontal="left"/>
    </xf>
    <xf numFmtId="14" fontId="35" fillId="34" borderId="7" xfId="0" applyNumberFormat="1" applyFont="1" applyFill="1" applyBorder="1"/>
    <xf numFmtId="0" fontId="35" fillId="34" borderId="7" xfId="0" applyFont="1" applyFill="1" applyBorder="1"/>
    <xf numFmtId="170" fontId="35" fillId="34" borderId="7" xfId="0" applyNumberFormat="1" applyFont="1" applyFill="1" applyBorder="1"/>
    <xf numFmtId="164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23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0" fillId="31" borderId="0" xfId="0" applyFill="1" applyAlignment="1">
      <alignment horizontal="center"/>
    </xf>
    <xf numFmtId="0" fontId="35" fillId="34" borderId="7" xfId="0" applyFont="1" applyFill="1" applyBorder="1" applyAlignment="1">
      <alignment horizontal="center"/>
    </xf>
    <xf numFmtId="14" fontId="3" fillId="23" borderId="9" xfId="0" applyNumberFormat="1" applyFont="1" applyFill="1" applyBorder="1" applyAlignment="1">
      <alignment horizontal="center"/>
    </xf>
    <xf numFmtId="0" fontId="3" fillId="23" borderId="9" xfId="0" applyFont="1" applyFill="1" applyBorder="1"/>
    <xf numFmtId="14" fontId="26" fillId="0" borderId="7" xfId="0" applyNumberFormat="1" applyFont="1" applyBorder="1" applyAlignment="1">
      <alignment horizontal="center"/>
    </xf>
    <xf numFmtId="0" fontId="40" fillId="23" borderId="17" xfId="0" applyFont="1" applyFill="1" applyBorder="1" applyAlignment="1">
      <alignment horizontal="center" wrapText="1"/>
    </xf>
    <xf numFmtId="0" fontId="3" fillId="1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41" fillId="23" borderId="17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42" fillId="0" borderId="7" xfId="0" applyNumberFormat="1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2" applyNumberFormat="1" applyFont="1" applyFill="1" applyBorder="1" applyAlignment="1">
      <alignment vertical="center"/>
    </xf>
    <xf numFmtId="0" fontId="38" fillId="0" borderId="7" xfId="0" applyFon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" fontId="0" fillId="0" borderId="7" xfId="0" applyNumberFormat="1" applyBorder="1" applyAlignment="1">
      <alignment horizontal="center"/>
    </xf>
    <xf numFmtId="1" fontId="38" fillId="0" borderId="7" xfId="0" applyNumberFormat="1" applyFont="1" applyBorder="1" applyAlignment="1">
      <alignment horizontal="center"/>
    </xf>
    <xf numFmtId="44" fontId="12" fillId="0" borderId="0" xfId="0" applyNumberFormat="1" applyFont="1"/>
    <xf numFmtId="0" fontId="0" fillId="23" borderId="7" xfId="0" applyFill="1" applyBorder="1"/>
    <xf numFmtId="170" fontId="0" fillId="23" borderId="7" xfId="0" applyNumberFormat="1" applyFill="1" applyBorder="1" applyAlignment="1">
      <alignment horizontal="center"/>
    </xf>
    <xf numFmtId="0" fontId="0" fillId="25" borderId="5" xfId="0" applyFill="1" applyBorder="1"/>
    <xf numFmtId="0" fontId="3" fillId="25" borderId="0" xfId="0" applyFont="1" applyFill="1" applyAlignment="1">
      <alignment horizontal="left" vertical="center"/>
    </xf>
    <xf numFmtId="170" fontId="0" fillId="18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vertical="center"/>
    </xf>
    <xf numFmtId="0" fontId="3" fillId="16" borderId="0" xfId="0" applyFont="1" applyFill="1" applyAlignment="1">
      <alignment horizontal="left"/>
    </xf>
    <xf numFmtId="14" fontId="0" fillId="25" borderId="7" xfId="0" applyNumberFormat="1" applyFill="1" applyBorder="1" applyAlignment="1">
      <alignment horizontal="center"/>
    </xf>
    <xf numFmtId="14" fontId="3" fillId="9" borderId="7" xfId="0" applyNumberFormat="1" applyFont="1" applyFill="1" applyBorder="1" applyAlignment="1">
      <alignment horizontal="center"/>
    </xf>
    <xf numFmtId="14" fontId="0" fillId="9" borderId="14" xfId="0" applyNumberFormat="1" applyFill="1" applyBorder="1" applyAlignment="1">
      <alignment horizontal="center"/>
    </xf>
    <xf numFmtId="0" fontId="0" fillId="9" borderId="14" xfId="0" applyFill="1" applyBorder="1"/>
    <xf numFmtId="0" fontId="0" fillId="9" borderId="14" xfId="0" applyFill="1" applyBorder="1" applyAlignment="1">
      <alignment horizontal="center"/>
    </xf>
    <xf numFmtId="164" fontId="0" fillId="0" borderId="7" xfId="0" applyNumberFormat="1" applyBorder="1"/>
    <xf numFmtId="14" fontId="3" fillId="23" borderId="7" xfId="0" applyNumberFormat="1" applyFont="1" applyFill="1" applyBorder="1" applyAlignment="1">
      <alignment horizontal="center"/>
    </xf>
    <xf numFmtId="0" fontId="3" fillId="23" borderId="7" xfId="0" applyFont="1" applyFill="1" applyBorder="1" applyAlignment="1">
      <alignment vertical="center"/>
    </xf>
    <xf numFmtId="170" fontId="0" fillId="10" borderId="7" xfId="0" applyNumberFormat="1" applyFill="1" applyBorder="1" applyAlignment="1">
      <alignment horizontal="center"/>
    </xf>
    <xf numFmtId="14" fontId="3" fillId="24" borderId="7" xfId="0" applyNumberFormat="1" applyFont="1" applyFill="1" applyBorder="1" applyAlignment="1">
      <alignment horizontal="center"/>
    </xf>
    <xf numFmtId="0" fontId="0" fillId="24" borderId="7" xfId="0" applyFill="1" applyBorder="1"/>
    <xf numFmtId="0" fontId="3" fillId="25" borderId="7" xfId="0" applyFont="1" applyFill="1" applyBorder="1" applyAlignment="1">
      <alignment vertical="center"/>
    </xf>
    <xf numFmtId="14" fontId="3" fillId="24" borderId="0" xfId="0" applyNumberFormat="1" applyFont="1" applyFill="1" applyAlignment="1">
      <alignment horizontal="center"/>
    </xf>
    <xf numFmtId="0" fontId="0" fillId="23" borderId="0" xfId="0" applyFill="1"/>
    <xf numFmtId="0" fontId="0" fillId="0" borderId="7" xfId="0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25" borderId="7" xfId="0" applyFill="1" applyBorder="1" applyAlignment="1">
      <alignment horizontal="left"/>
    </xf>
    <xf numFmtId="14" fontId="0" fillId="10" borderId="7" xfId="0" applyNumberFormat="1" applyFill="1" applyBorder="1"/>
    <xf numFmtId="173" fontId="0" fillId="25" borderId="7" xfId="0" applyNumberFormat="1" applyFill="1" applyBorder="1" applyAlignment="1">
      <alignment horizontal="center"/>
    </xf>
    <xf numFmtId="14" fontId="0" fillId="31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 vertical="center"/>
    </xf>
    <xf numFmtId="173" fontId="0" fillId="0" borderId="7" xfId="0" applyNumberFormat="1" applyBorder="1" applyAlignment="1">
      <alignment horizontal="center"/>
    </xf>
    <xf numFmtId="1" fontId="0" fillId="0" borderId="7" xfId="3" applyNumberFormat="1" applyFont="1" applyBorder="1" applyAlignment="1">
      <alignment horizontal="center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0" fontId="3" fillId="12" borderId="5" xfId="0" applyFont="1" applyFill="1" applyBorder="1" applyAlignment="1">
      <alignment vertical="center"/>
    </xf>
    <xf numFmtId="0" fontId="3" fillId="25" borderId="5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left"/>
    </xf>
    <xf numFmtId="0" fontId="3" fillId="24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14" fontId="0" fillId="0" borderId="9" xfId="0" applyNumberFormat="1" applyBorder="1"/>
    <xf numFmtId="14" fontId="0" fillId="0" borderId="7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174" fontId="0" fillId="0" borderId="7" xfId="0" applyNumberFormat="1" applyBorder="1" applyAlignment="1">
      <alignment horizontal="center"/>
    </xf>
    <xf numFmtId="14" fontId="3" fillId="35" borderId="7" xfId="0" applyNumberFormat="1" applyFont="1" applyFill="1" applyBorder="1" applyAlignment="1">
      <alignment horizontal="center"/>
    </xf>
    <xf numFmtId="0" fontId="3" fillId="35" borderId="7" xfId="0" applyFont="1" applyFill="1" applyBorder="1" applyAlignment="1">
      <alignment horizontal="left"/>
    </xf>
    <xf numFmtId="0" fontId="3" fillId="35" borderId="7" xfId="0" applyFont="1" applyFill="1" applyBorder="1" applyAlignment="1">
      <alignment horizontal="center"/>
    </xf>
    <xf numFmtId="0" fontId="0" fillId="35" borderId="7" xfId="0" applyFill="1" applyBorder="1"/>
    <xf numFmtId="0" fontId="3" fillId="35" borderId="7" xfId="0" applyFont="1" applyFill="1" applyBorder="1" applyAlignment="1">
      <alignment vertical="center"/>
    </xf>
    <xf numFmtId="0" fontId="3" fillId="35" borderId="7" xfId="0" applyFont="1" applyFill="1" applyBorder="1" applyAlignment="1">
      <alignment horizontal="left" vertical="center"/>
    </xf>
    <xf numFmtId="0" fontId="3" fillId="35" borderId="7" xfId="0" applyFont="1" applyFill="1" applyBorder="1"/>
    <xf numFmtId="14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/>
    <xf numFmtId="0" fontId="3" fillId="4" borderId="7" xfId="0" applyFont="1" applyFill="1" applyBorder="1" applyAlignment="1">
      <alignment horizontal="center"/>
    </xf>
    <xf numFmtId="0" fontId="0" fillId="4" borderId="7" xfId="0" applyFill="1" applyBorder="1"/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 vertical="center"/>
    </xf>
    <xf numFmtId="0" fontId="0" fillId="7" borderId="0" xfId="0" applyFill="1"/>
    <xf numFmtId="14" fontId="3" fillId="28" borderId="7" xfId="0" applyNumberFormat="1" applyFont="1" applyFill="1" applyBorder="1" applyAlignment="1">
      <alignment horizontal="center"/>
    </xf>
    <xf numFmtId="0" fontId="3" fillId="28" borderId="7" xfId="0" applyFont="1" applyFill="1" applyBorder="1" applyAlignment="1">
      <alignment vertical="center"/>
    </xf>
    <xf numFmtId="0" fontId="3" fillId="25" borderId="9" xfId="0" applyFont="1" applyFill="1" applyBorder="1" applyAlignment="1">
      <alignment horizontal="left"/>
    </xf>
    <xf numFmtId="14" fontId="3" fillId="36" borderId="7" xfId="0" applyNumberFormat="1" applyFont="1" applyFill="1" applyBorder="1" applyAlignment="1">
      <alignment horizontal="center"/>
    </xf>
    <xf numFmtId="0" fontId="3" fillId="36" borderId="7" xfId="0" applyFont="1" applyFill="1" applyBorder="1" applyAlignment="1">
      <alignment horizontal="left"/>
    </xf>
    <xf numFmtId="0" fontId="3" fillId="36" borderId="7" xfId="0" applyFont="1" applyFill="1" applyBorder="1" applyAlignment="1">
      <alignment horizontal="center"/>
    </xf>
    <xf numFmtId="0" fontId="0" fillId="36" borderId="7" xfId="0" applyFill="1" applyBorder="1"/>
    <xf numFmtId="0" fontId="0" fillId="36" borderId="7" xfId="0" applyFill="1" applyBorder="1" applyAlignment="1">
      <alignment horizontal="left"/>
    </xf>
    <xf numFmtId="0" fontId="0" fillId="25" borderId="7" xfId="0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center"/>
    </xf>
    <xf numFmtId="0" fontId="31" fillId="3" borderId="7" xfId="0" applyFont="1" applyFill="1" applyBorder="1" applyAlignment="1">
      <alignment horizontal="center"/>
    </xf>
    <xf numFmtId="14" fontId="0" fillId="35" borderId="7" xfId="0" applyNumberFormat="1" applyFill="1" applyBorder="1" applyAlignment="1">
      <alignment horizontal="center"/>
    </xf>
    <xf numFmtId="0" fontId="0" fillId="35" borderId="7" xfId="0" applyFill="1" applyBorder="1" applyAlignment="1">
      <alignment horizontal="center"/>
    </xf>
    <xf numFmtId="173" fontId="0" fillId="35" borderId="7" xfId="0" applyNumberFormat="1" applyFill="1" applyBorder="1" applyAlignment="1">
      <alignment horizontal="center"/>
    </xf>
    <xf numFmtId="170" fontId="0" fillId="35" borderId="7" xfId="0" applyNumberFormat="1" applyFill="1" applyBorder="1" applyAlignment="1">
      <alignment horizontal="center"/>
    </xf>
    <xf numFmtId="173" fontId="0" fillId="9" borderId="7" xfId="0" applyNumberFormat="1" applyFill="1" applyBorder="1" applyAlignment="1">
      <alignment horizontal="center"/>
    </xf>
    <xf numFmtId="173" fontId="0" fillId="7" borderId="7" xfId="0" applyNumberFormat="1" applyFill="1" applyBorder="1" applyAlignment="1">
      <alignment horizontal="center"/>
    </xf>
    <xf numFmtId="1" fontId="0" fillId="7" borderId="7" xfId="3" applyNumberFormat="1" applyFont="1" applyFill="1" applyBorder="1" applyAlignment="1">
      <alignment horizontal="center"/>
    </xf>
    <xf numFmtId="17" fontId="0" fillId="0" borderId="0" xfId="0" applyNumberFormat="1"/>
    <xf numFmtId="1" fontId="0" fillId="0" borderId="0" xfId="0" applyNumberFormat="1"/>
    <xf numFmtId="1" fontId="0" fillId="0" borderId="7" xfId="0" applyNumberFormat="1" applyBorder="1"/>
    <xf numFmtId="0" fontId="0" fillId="23" borderId="7" xfId="0" applyFill="1" applyBorder="1" applyAlignment="1">
      <alignment horizontal="left"/>
    </xf>
    <xf numFmtId="0" fontId="3" fillId="23" borderId="7" xfId="0" applyFont="1" applyFill="1" applyBorder="1" applyAlignment="1">
      <alignment horizontal="left" vertical="center"/>
    </xf>
    <xf numFmtId="175" fontId="33" fillId="20" borderId="0" xfId="0" applyNumberFormat="1" applyFont="1" applyFill="1"/>
    <xf numFmtId="175" fontId="0" fillId="0" borderId="0" xfId="0" applyNumberFormat="1"/>
    <xf numFmtId="0" fontId="32" fillId="0" borderId="0" xfId="0" applyFont="1"/>
    <xf numFmtId="175" fontId="33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0" fontId="4" fillId="7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0" fillId="25" borderId="7" xfId="0" applyFont="1" applyFill="1" applyBorder="1" applyAlignment="1">
      <alignment horizontal="left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/>
    <xf numFmtId="0" fontId="0" fillId="25" borderId="7" xfId="0" applyFont="1" applyFill="1" applyBorder="1" applyAlignment="1"/>
    <xf numFmtId="0" fontId="0" fillId="25" borderId="7" xfId="0" applyFont="1" applyFill="1" applyBorder="1" applyAlignment="1">
      <alignment vertical="center"/>
    </xf>
    <xf numFmtId="0" fontId="0" fillId="0" borderId="7" xfId="0" applyBorder="1" applyAlignment="1"/>
    <xf numFmtId="0" fontId="0" fillId="37" borderId="7" xfId="0" applyFill="1" applyBorder="1"/>
    <xf numFmtId="0" fontId="0" fillId="38" borderId="7" xfId="0" applyFill="1" applyBorder="1" applyAlignment="1">
      <alignment horizontal="center"/>
    </xf>
    <xf numFmtId="0" fontId="0" fillId="31" borderId="7" xfId="0" applyFill="1" applyBorder="1" applyAlignment="1">
      <alignment horizontal="left"/>
    </xf>
    <xf numFmtId="0" fontId="3" fillId="31" borderId="7" xfId="0" applyFont="1" applyFill="1" applyBorder="1" applyAlignment="1">
      <alignment horizontal="left"/>
    </xf>
    <xf numFmtId="0" fontId="3" fillId="31" borderId="7" xfId="0" applyFont="1" applyFill="1" applyBorder="1" applyAlignment="1">
      <alignment vertical="center"/>
    </xf>
    <xf numFmtId="0" fontId="3" fillId="31" borderId="7" xfId="0" applyFont="1" applyFill="1" applyBorder="1"/>
    <xf numFmtId="0" fontId="0" fillId="25" borderId="7" xfId="0" applyFill="1" applyBorder="1" applyAlignment="1">
      <alignment horizontal="center"/>
    </xf>
    <xf numFmtId="0" fontId="43" fillId="25" borderId="7" xfId="0" applyFont="1" applyFill="1" applyBorder="1"/>
    <xf numFmtId="16" fontId="0" fillId="0" borderId="7" xfId="0" applyNumberFormat="1" applyBorder="1"/>
    <xf numFmtId="14" fontId="0" fillId="25" borderId="7" xfId="0" applyNumberFormat="1" applyFill="1" applyBorder="1"/>
    <xf numFmtId="170" fontId="0" fillId="25" borderId="7" xfId="0" applyNumberFormat="1" applyFill="1" applyBorder="1"/>
    <xf numFmtId="0" fontId="3" fillId="23" borderId="9" xfId="0" applyFont="1" applyFill="1" applyBorder="1" applyAlignment="1">
      <alignment horizontal="left" vertical="center"/>
    </xf>
    <xf numFmtId="0" fontId="3" fillId="23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/>
    </xf>
    <xf numFmtId="0" fontId="0" fillId="0" borderId="7" xfId="0" applyFont="1" applyBorder="1"/>
    <xf numFmtId="0" fontId="0" fillId="0" borderId="7" xfId="0" applyFont="1" applyBorder="1" applyAlignment="1">
      <alignment horizontal="center" vertical="center" wrapText="1"/>
    </xf>
    <xf numFmtId="0" fontId="12" fillId="31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4" fillId="0" borderId="0" xfId="0" applyFont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25" borderId="0" xfId="0" applyFill="1" applyAlignment="1">
      <alignment horizontal="center"/>
    </xf>
    <xf numFmtId="164" fontId="0" fillId="25" borderId="0" xfId="0" applyNumberFormat="1" applyFill="1"/>
    <xf numFmtId="0" fontId="4" fillId="25" borderId="0" xfId="0" applyFont="1" applyFill="1" applyBorder="1" applyAlignment="1">
      <alignment horizontal="center"/>
    </xf>
    <xf numFmtId="164" fontId="4" fillId="25" borderId="0" xfId="0" applyNumberFormat="1" applyFont="1" applyFill="1" applyBorder="1" applyAlignment="1">
      <alignment horizontal="center"/>
    </xf>
    <xf numFmtId="14" fontId="0" fillId="25" borderId="0" xfId="0" applyNumberFormat="1" applyFill="1" applyBorder="1"/>
    <xf numFmtId="0" fontId="0" fillId="25" borderId="0" xfId="0" applyFill="1" applyBorder="1"/>
    <xf numFmtId="170" fontId="0" fillId="25" borderId="0" xfId="0" applyNumberFormat="1" applyFill="1" applyBorder="1"/>
    <xf numFmtId="0" fontId="0" fillId="25" borderId="0" xfId="0" applyFill="1" applyBorder="1" applyAlignment="1">
      <alignment horizontal="center"/>
    </xf>
    <xf numFmtId="164" fontId="0" fillId="25" borderId="0" xfId="0" applyNumberFormat="1" applyFill="1" applyBorder="1" applyAlignment="1">
      <alignment horizontal="center"/>
    </xf>
    <xf numFmtId="14" fontId="0" fillId="25" borderId="0" xfId="0" applyNumberFormat="1" applyFill="1" applyBorder="1" applyAlignment="1">
      <alignment horizontal="right"/>
    </xf>
    <xf numFmtId="14" fontId="0" fillId="25" borderId="0" xfId="0" applyNumberFormat="1" applyFill="1" applyBorder="1" applyAlignment="1">
      <alignment horizontal="center"/>
    </xf>
    <xf numFmtId="170" fontId="0" fillId="25" borderId="0" xfId="0" applyNumberFormat="1" applyFill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/>
    <xf numFmtId="16" fontId="0" fillId="0" borderId="7" xfId="0" applyNumberFormat="1" applyBorder="1" applyAlignment="1">
      <alignment horizontal="center"/>
    </xf>
    <xf numFmtId="16" fontId="0" fillId="9" borderId="7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" fontId="0" fillId="25" borderId="7" xfId="0" applyNumberFormat="1" applyFill="1" applyBorder="1" applyAlignment="1">
      <alignment horizontal="center"/>
    </xf>
    <xf numFmtId="16" fontId="4" fillId="25" borderId="7" xfId="0" applyNumberFormat="1" applyFont="1" applyFill="1" applyBorder="1" applyAlignment="1">
      <alignment horizontal="center"/>
    </xf>
    <xf numFmtId="15" fontId="0" fillId="0" borderId="0" xfId="0" applyNumberFormat="1"/>
    <xf numFmtId="0" fontId="3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5" borderId="7" xfId="0" applyFill="1" applyBorder="1" applyAlignment="1">
      <alignment horizontal="center"/>
    </xf>
    <xf numFmtId="0" fontId="0" fillId="10" borderId="7" xfId="0" applyFill="1" applyBorder="1" applyAlignment="1">
      <alignment horizontal="left" vertical="center"/>
    </xf>
    <xf numFmtId="0" fontId="0" fillId="25" borderId="7" xfId="0" applyFill="1" applyBorder="1" applyAlignment="1">
      <alignment vertical="center"/>
    </xf>
    <xf numFmtId="0" fontId="12" fillId="10" borderId="7" xfId="0" applyFont="1" applyFill="1" applyBorder="1" applyAlignment="1">
      <alignment horizontal="center"/>
    </xf>
    <xf numFmtId="174" fontId="0" fillId="0" borderId="0" xfId="2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74" fontId="0" fillId="0" borderId="0" xfId="0" applyNumberFormat="1" applyBorder="1" applyAlignment="1">
      <alignment horizontal="center"/>
    </xf>
    <xf numFmtId="176" fontId="0" fillId="25" borderId="7" xfId="0" applyNumberFormat="1" applyFill="1" applyBorder="1"/>
    <xf numFmtId="176" fontId="0" fillId="25" borderId="7" xfId="0" applyNumberFormat="1" applyFill="1" applyBorder="1" applyAlignment="1">
      <alignment horizontal="center"/>
    </xf>
    <xf numFmtId="176" fontId="0" fillId="9" borderId="7" xfId="0" applyNumberFormat="1" applyFill="1" applyBorder="1"/>
    <xf numFmtId="0" fontId="0" fillId="25" borderId="7" xfId="0" applyFill="1" applyBorder="1" applyAlignment="1">
      <alignment horizontal="center"/>
    </xf>
    <xf numFmtId="14" fontId="3" fillId="30" borderId="7" xfId="0" applyNumberFormat="1" applyFont="1" applyFill="1" applyBorder="1" applyAlignment="1">
      <alignment horizontal="center"/>
    </xf>
    <xf numFmtId="0" fontId="3" fillId="30" borderId="7" xfId="0" applyFont="1" applyFill="1" applyBorder="1" applyAlignment="1">
      <alignment horizontal="left"/>
    </xf>
    <xf numFmtId="16" fontId="0" fillId="25" borderId="7" xfId="0" applyNumberFormat="1" applyFill="1" applyBorder="1"/>
    <xf numFmtId="9" fontId="0" fillId="0" borderId="7" xfId="0" applyNumberFormat="1" applyBorder="1" applyAlignment="1">
      <alignment horizontal="center"/>
    </xf>
    <xf numFmtId="16" fontId="0" fillId="9" borderId="7" xfId="0" applyNumberFormat="1" applyFill="1" applyBorder="1"/>
    <xf numFmtId="9" fontId="0" fillId="9" borderId="7" xfId="0" applyNumberFormat="1" applyFill="1" applyBorder="1" applyAlignment="1">
      <alignment horizontal="center"/>
    </xf>
    <xf numFmtId="0" fontId="44" fillId="31" borderId="7" xfId="0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7" borderId="7" xfId="0" applyNumberFormat="1" applyFill="1" applyBorder="1"/>
    <xf numFmtId="170" fontId="0" fillId="7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22" borderId="7" xfId="0" applyNumberFormat="1" applyFill="1" applyBorder="1"/>
    <xf numFmtId="170" fontId="0" fillId="22" borderId="7" xfId="0" applyNumberFormat="1" applyFill="1" applyBorder="1"/>
    <xf numFmtId="0" fontId="0" fillId="22" borderId="7" xfId="0" applyFill="1" applyBorder="1" applyAlignment="1">
      <alignment horizontal="center"/>
    </xf>
    <xf numFmtId="174" fontId="0" fillId="0" borderId="0" xfId="0" applyNumberFormat="1"/>
    <xf numFmtId="0" fontId="3" fillId="24" borderId="7" xfId="0" applyFont="1" applyFill="1" applyBorder="1" applyAlignment="1">
      <alignment horizontal="left" vertical="center" wrapText="1"/>
    </xf>
    <xf numFmtId="176" fontId="0" fillId="31" borderId="7" xfId="0" applyNumberForma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77" fontId="0" fillId="9" borderId="7" xfId="0" applyNumberFormat="1" applyFill="1" applyBorder="1"/>
    <xf numFmtId="0" fontId="0" fillId="9" borderId="7" xfId="0" applyFill="1" applyBorder="1" applyAlignment="1">
      <alignment horizontal="right"/>
    </xf>
    <xf numFmtId="173" fontId="0" fillId="25" borderId="7" xfId="0" applyNumberFormat="1" applyFill="1" applyBorder="1" applyAlignment="1">
      <alignment horizontal="right"/>
    </xf>
    <xf numFmtId="0" fontId="0" fillId="22" borderId="7" xfId="0" applyFill="1" applyBorder="1" applyAlignment="1">
      <alignment horizontal="left"/>
    </xf>
    <xf numFmtId="0" fontId="0" fillId="0" borderId="7" xfId="0" applyBorder="1"/>
    <xf numFmtId="0" fontId="0" fillId="0" borderId="7" xfId="0" applyFill="1" applyBorder="1"/>
    <xf numFmtId="0" fontId="0" fillId="0" borderId="7" xfId="0" applyBorder="1"/>
    <xf numFmtId="0" fontId="0" fillId="0" borderId="7" xfId="0" applyFill="1" applyBorder="1"/>
    <xf numFmtId="16" fontId="0" fillId="0" borderId="7" xfId="0" applyNumberFormat="1" applyBorder="1"/>
    <xf numFmtId="0" fontId="0" fillId="0" borderId="0" xfId="0"/>
    <xf numFmtId="0" fontId="0" fillId="0" borderId="7" xfId="0" applyBorder="1"/>
    <xf numFmtId="170" fontId="0" fillId="0" borderId="7" xfId="0" applyNumberFormat="1" applyBorder="1"/>
    <xf numFmtId="0" fontId="0" fillId="0" borderId="7" xfId="0" applyBorder="1" applyAlignment="1">
      <alignment horizontal="center"/>
    </xf>
    <xf numFmtId="0" fontId="0" fillId="23" borderId="7" xfId="0" applyFill="1" applyBorder="1"/>
    <xf numFmtId="16" fontId="0" fillId="0" borderId="7" xfId="0" applyNumberFormat="1" applyBorder="1"/>
    <xf numFmtId="0" fontId="0" fillId="0" borderId="7" xfId="0" applyFill="1" applyBorder="1"/>
    <xf numFmtId="0" fontId="0" fillId="0" borderId="7" xfId="0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6" fontId="0" fillId="0" borderId="9" xfId="0" applyNumberFormat="1" applyBorder="1"/>
    <xf numFmtId="173" fontId="0" fillId="0" borderId="7" xfId="0" applyNumberFormat="1" applyBorder="1"/>
    <xf numFmtId="173" fontId="0" fillId="0" borderId="9" xfId="0" applyNumberFormat="1" applyBorder="1"/>
    <xf numFmtId="173" fontId="0" fillId="9" borderId="7" xfId="0" applyNumberFormat="1" applyFill="1" applyBorder="1"/>
    <xf numFmtId="16" fontId="0" fillId="31" borderId="7" xfId="0" applyNumberFormat="1" applyFill="1" applyBorder="1"/>
    <xf numFmtId="173" fontId="0" fillId="31" borderId="7" xfId="0" applyNumberFormat="1" applyFill="1" applyBorder="1"/>
    <xf numFmtId="0" fontId="0" fillId="0" borderId="7" xfId="0" applyFill="1" applyBorder="1" applyAlignment="1">
      <alignment horizontal="center"/>
    </xf>
    <xf numFmtId="0" fontId="35" fillId="10" borderId="7" xfId="0" applyFont="1" applyFill="1" applyBorder="1"/>
    <xf numFmtId="4" fontId="12" fillId="0" borderId="0" xfId="0" applyNumberFormat="1" applyFont="1"/>
    <xf numFmtId="0" fontId="0" fillId="0" borderId="5" xfId="0" applyBorder="1" applyAlignment="1">
      <alignment horizontal="center"/>
    </xf>
    <xf numFmtId="0" fontId="42" fillId="0" borderId="7" xfId="0" applyFont="1" applyBorder="1" applyAlignment="1">
      <alignment horizontal="left" wrapText="1"/>
    </xf>
    <xf numFmtId="14" fontId="0" fillId="0" borderId="13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35" fillId="0" borderId="7" xfId="0" applyFont="1" applyBorder="1" applyAlignment="1">
      <alignment horizontal="left"/>
    </xf>
    <xf numFmtId="16" fontId="0" fillId="0" borderId="14" xfId="0" applyNumberFormat="1" applyBorder="1"/>
    <xf numFmtId="173" fontId="0" fillId="0" borderId="14" xfId="0" applyNumberFormat="1" applyBorder="1"/>
    <xf numFmtId="173" fontId="0" fillId="25" borderId="7" xfId="0" applyNumberFormat="1" applyFill="1" applyBorder="1"/>
    <xf numFmtId="173" fontId="0" fillId="22" borderId="7" xfId="0" applyNumberFormat="1" applyFill="1" applyBorder="1"/>
    <xf numFmtId="0" fontId="42" fillId="0" borderId="7" xfId="0" applyFont="1" applyBorder="1" applyAlignment="1">
      <alignment horizontal="center" wrapText="1"/>
    </xf>
    <xf numFmtId="0" fontId="42" fillId="23" borderId="7" xfId="0" applyFont="1" applyFill="1" applyBorder="1" applyAlignment="1">
      <alignment horizontal="left" wrapText="1"/>
    </xf>
    <xf numFmtId="0" fontId="42" fillId="23" borderId="7" xfId="0" applyFont="1" applyFill="1" applyBorder="1" applyAlignment="1">
      <alignment horizontal="center" wrapText="1"/>
    </xf>
    <xf numFmtId="44" fontId="12" fillId="0" borderId="7" xfId="0" applyNumberFormat="1" applyFont="1" applyBorder="1" applyAlignment="1">
      <alignment horizontal="center"/>
    </xf>
    <xf numFmtId="0" fontId="0" fillId="25" borderId="7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12" fillId="25" borderId="7" xfId="0" applyFont="1" applyFill="1" applyBorder="1"/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left"/>
    </xf>
    <xf numFmtId="0" fontId="3" fillId="29" borderId="0" xfId="0" applyFon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9" borderId="14" xfId="0" applyNumberFormat="1" applyFill="1" applyBorder="1"/>
    <xf numFmtId="173" fontId="0" fillId="9" borderId="14" xfId="0" applyNumberFormat="1" applyFill="1" applyBorder="1"/>
    <xf numFmtId="173" fontId="0" fillId="9" borderId="7" xfId="0" applyNumberFormat="1" applyFill="1" applyBorder="1" applyAlignment="1">
      <alignment horizontal="right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29" fillId="0" borderId="0" xfId="0" applyNumberFormat="1" applyFont="1"/>
    <xf numFmtId="0" fontId="35" fillId="34" borderId="7" xfId="0" applyNumberFormat="1" applyFont="1" applyFill="1" applyBorder="1"/>
    <xf numFmtId="0" fontId="0" fillId="0" borderId="7" xfId="0" applyNumberFormat="1" applyBorder="1"/>
    <xf numFmtId="0" fontId="12" fillId="0" borderId="7" xfId="0" applyNumberFormat="1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4" fontId="35" fillId="0" borderId="0" xfId="0" applyNumberFormat="1" applyFont="1"/>
    <xf numFmtId="0" fontId="0" fillId="0" borderId="0" xfId="0" applyFont="1"/>
    <xf numFmtId="0" fontId="0" fillId="25" borderId="7" xfId="0" applyFill="1" applyBorder="1" applyAlignment="1">
      <alignment horizontal="center"/>
    </xf>
    <xf numFmtId="14" fontId="0" fillId="25" borderId="7" xfId="0" applyNumberFormat="1" applyFill="1" applyBorder="1" applyAlignment="1">
      <alignment horizontal="left"/>
    </xf>
    <xf numFmtId="14" fontId="0" fillId="9" borderId="7" xfId="0" applyNumberForma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3" fillId="25" borderId="13" xfId="0" applyFont="1" applyFill="1" applyBorder="1" applyAlignment="1">
      <alignment horizontal="center"/>
    </xf>
    <xf numFmtId="168" fontId="0" fillId="9" borderId="7" xfId="0" applyNumberFormat="1" applyFill="1" applyBorder="1"/>
    <xf numFmtId="168" fontId="0" fillId="25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2" borderId="7" xfId="0" applyFill="1" applyBorder="1" applyAlignment="1">
      <alignment horizontal="right"/>
    </xf>
    <xf numFmtId="14" fontId="42" fillId="40" borderId="7" xfId="0" applyNumberFormat="1" applyFont="1" applyFill="1" applyBorder="1" applyAlignment="1">
      <alignment horizontal="center" wrapText="1"/>
    </xf>
    <xf numFmtId="0" fontId="42" fillId="4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7" fillId="41" borderId="7" xfId="0" applyFont="1" applyFill="1" applyBorder="1" applyAlignment="1">
      <alignment horizontal="center" wrapText="1"/>
    </xf>
    <xf numFmtId="1" fontId="46" fillId="41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1" fontId="42" fillId="10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right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Fill="1" applyBorder="1" applyAlignment="1">
      <alignment horizontal="center" wrapText="1"/>
    </xf>
    <xf numFmtId="0" fontId="42" fillId="25" borderId="21" xfId="0" applyFont="1" applyFill="1" applyBorder="1" applyAlignment="1">
      <alignment horizontal="center" wrapText="1"/>
    </xf>
    <xf numFmtId="0" fontId="42" fillId="25" borderId="20" xfId="0" applyFont="1" applyFill="1" applyBorder="1" applyAlignment="1">
      <alignment wrapText="1"/>
    </xf>
    <xf numFmtId="0" fontId="42" fillId="25" borderId="20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wrapText="1"/>
    </xf>
    <xf numFmtId="0" fontId="42" fillId="25" borderId="19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horizontal="center" wrapText="1"/>
    </xf>
    <xf numFmtId="0" fontId="42" fillId="25" borderId="29" xfId="0" applyFont="1" applyFill="1" applyBorder="1" applyAlignment="1">
      <alignment wrapText="1"/>
    </xf>
    <xf numFmtId="0" fontId="42" fillId="25" borderId="29" xfId="0" applyFont="1" applyFill="1" applyBorder="1" applyAlignment="1">
      <alignment horizontal="center" wrapText="1"/>
    </xf>
    <xf numFmtId="0" fontId="42" fillId="25" borderId="23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horizontal="center" wrapText="1"/>
    </xf>
    <xf numFmtId="1" fontId="42" fillId="42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horizontal="center" wrapText="1"/>
    </xf>
    <xf numFmtId="1" fontId="42" fillId="43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25" borderId="22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52" fillId="0" borderId="7" xfId="0" applyFont="1" applyBorder="1" applyAlignment="1">
      <alignment horizontal="center" wrapText="1"/>
    </xf>
    <xf numFmtId="0" fontId="5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35" fillId="34" borderId="0" xfId="0" applyFont="1" applyFill="1" applyBorder="1"/>
    <xf numFmtId="0" fontId="51" fillId="0" borderId="7" xfId="0" applyFont="1" applyBorder="1" applyAlignment="1">
      <alignment horizontal="center"/>
    </xf>
    <xf numFmtId="0" fontId="51" fillId="31" borderId="7" xfId="0" applyFont="1" applyFill="1" applyBorder="1" applyAlignment="1">
      <alignment horizontal="center"/>
    </xf>
    <xf numFmtId="44" fontId="0" fillId="10" borderId="7" xfId="0" applyNumberFormat="1" applyFill="1" applyBorder="1" applyAlignment="1">
      <alignment horizontal="center"/>
    </xf>
    <xf numFmtId="0" fontId="0" fillId="10" borderId="7" xfId="0" applyNumberFormat="1" applyFill="1" applyBorder="1" applyAlignment="1">
      <alignment horizontal="center"/>
    </xf>
    <xf numFmtId="0" fontId="42" fillId="25" borderId="7" xfId="0" applyFont="1" applyFill="1" applyBorder="1" applyAlignment="1">
      <alignment horizontal="center" wrapText="1"/>
    </xf>
    <xf numFmtId="1" fontId="42" fillId="25" borderId="7" xfId="0" applyNumberFormat="1" applyFont="1" applyFill="1" applyBorder="1" applyAlignment="1">
      <alignment horizontal="center" wrapText="1"/>
    </xf>
    <xf numFmtId="178" fontId="0" fillId="22" borderId="7" xfId="0" applyNumberForma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0" xfId="0" applyNumberFormat="1" applyFont="1"/>
    <xf numFmtId="1" fontId="42" fillId="31" borderId="7" xfId="0" applyNumberFormat="1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30" fillId="0" borderId="7" xfId="0" applyFont="1" applyBorder="1" applyAlignment="1">
      <alignment horizontal="center" vertical="center"/>
    </xf>
    <xf numFmtId="44" fontId="30" fillId="0" borderId="7" xfId="0" applyNumberFormat="1" applyFont="1" applyBorder="1" applyAlignment="1">
      <alignment horizontal="center" vertical="center"/>
    </xf>
    <xf numFmtId="0" fontId="30" fillId="0" borderId="7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12" fillId="0" borderId="7" xfId="0" applyFont="1" applyBorder="1" applyAlignment="1">
      <alignment horizontal="center"/>
    </xf>
    <xf numFmtId="0" fontId="35" fillId="0" borderId="0" xfId="0" applyFont="1"/>
    <xf numFmtId="0" fontId="0" fillId="0" borderId="7" xfId="0" applyBorder="1" applyAlignment="1">
      <alignment horizontal="center"/>
    </xf>
    <xf numFmtId="173" fontId="0" fillId="0" borderId="7" xfId="0" applyNumberFormat="1" applyBorder="1"/>
    <xf numFmtId="16" fontId="0" fillId="0" borderId="7" xfId="0" applyNumberFormat="1" applyBorder="1"/>
    <xf numFmtId="173" fontId="0" fillId="0" borderId="0" xfId="0" applyNumberFormat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42" fillId="0" borderId="30" xfId="0" applyFont="1" applyBorder="1" applyAlignment="1">
      <alignment wrapText="1"/>
    </xf>
    <xf numFmtId="0" fontId="42" fillId="44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wrapText="1"/>
    </xf>
    <xf numFmtId="0" fontId="0" fillId="23" borderId="7" xfId="0" applyNumberFormat="1" applyFill="1" applyBorder="1" applyAlignment="1">
      <alignment horizontal="center"/>
    </xf>
    <xf numFmtId="0" fontId="0" fillId="25" borderId="7" xfId="0" applyNumberFormat="1" applyFill="1" applyBorder="1" applyAlignment="1">
      <alignment horizontal="center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9" xfId="0" applyFont="1" applyFill="1" applyBorder="1" applyAlignment="1">
      <alignment horizontal="center" wrapText="1"/>
    </xf>
    <xf numFmtId="1" fontId="42" fillId="10" borderId="9" xfId="0" applyNumberFormat="1" applyFont="1" applyFill="1" applyBorder="1" applyAlignment="1">
      <alignment horizontal="center" wrapText="1"/>
    </xf>
    <xf numFmtId="0" fontId="0" fillId="10" borderId="7" xfId="0" applyFon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1" fontId="42" fillId="17" borderId="7" xfId="0" applyNumberFormat="1" applyFont="1" applyFill="1" applyBorder="1" applyAlignment="1">
      <alignment horizontal="center" wrapText="1"/>
    </xf>
    <xf numFmtId="0" fontId="46" fillId="41" borderId="11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168" fontId="0" fillId="22" borderId="7" xfId="0" applyNumberFormat="1" applyFill="1" applyBorder="1"/>
    <xf numFmtId="0" fontId="42" fillId="0" borderId="11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44" fontId="0" fillId="31" borderId="7" xfId="0" applyNumberFormat="1" applyFill="1" applyBorder="1" applyAlignment="1">
      <alignment horizontal="center"/>
    </xf>
    <xf numFmtId="0" fontId="0" fillId="31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42" fillId="25" borderId="0" xfId="0" applyNumberFormat="1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44" fontId="0" fillId="0" borderId="9" xfId="0" applyNumberFormat="1" applyBorder="1"/>
    <xf numFmtId="0" fontId="12" fillId="0" borderId="9" xfId="0" applyNumberFormat="1" applyFont="1" applyBorder="1"/>
    <xf numFmtId="15" fontId="0" fillId="0" borderId="7" xfId="0" applyNumberFormat="1" applyBorder="1"/>
    <xf numFmtId="0" fontId="0" fillId="0" borderId="7" xfId="0" applyNumberFormat="1" applyFill="1" applyBorder="1"/>
    <xf numFmtId="0" fontId="0" fillId="0" borderId="7" xfId="0" applyNumberFormat="1" applyFont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25" borderId="7" xfId="0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wrapText="1"/>
    </xf>
    <xf numFmtId="1" fontId="42" fillId="23" borderId="7" xfId="0" applyNumberFormat="1" applyFont="1" applyFill="1" applyBorder="1" applyAlignment="1">
      <alignment horizontal="center" wrapText="1"/>
    </xf>
    <xf numFmtId="1" fontId="54" fillId="10" borderId="7" xfId="0" applyNumberFormat="1" applyFont="1" applyFill="1" applyBorder="1" applyAlignment="1">
      <alignment horizontal="center" wrapText="1"/>
    </xf>
    <xf numFmtId="14" fontId="42" fillId="46" borderId="7" xfId="0" applyNumberFormat="1" applyFont="1" applyFill="1" applyBorder="1" applyAlignment="1">
      <alignment horizontal="center" wrapText="1"/>
    </xf>
    <xf numFmtId="0" fontId="42" fillId="46" borderId="7" xfId="0" applyFont="1" applyFill="1" applyBorder="1" applyAlignment="1">
      <alignment horizontal="center" wrapText="1"/>
    </xf>
    <xf numFmtId="0" fontId="45" fillId="47" borderId="7" xfId="0" applyFont="1" applyFill="1" applyBorder="1" applyAlignment="1">
      <alignment horizontal="center" wrapText="1"/>
    </xf>
    <xf numFmtId="0" fontId="49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wrapText="1"/>
    </xf>
    <xf numFmtId="0" fontId="42" fillId="31" borderId="0" xfId="0" applyFont="1" applyFill="1" applyBorder="1" applyAlignment="1">
      <alignment wrapText="1"/>
    </xf>
    <xf numFmtId="0" fontId="42" fillId="10" borderId="0" xfId="0" applyFont="1" applyFill="1" applyBorder="1" applyAlignment="1">
      <alignment wrapText="1"/>
    </xf>
    <xf numFmtId="0" fontId="42" fillId="0" borderId="0" xfId="0" applyFont="1" applyBorder="1" applyAlignment="1">
      <alignment horizontal="center" wrapText="1"/>
    </xf>
    <xf numFmtId="0" fontId="46" fillId="41" borderId="0" xfId="0" applyFont="1" applyFill="1" applyBorder="1" applyAlignment="1">
      <alignment horizontal="center" wrapText="1"/>
    </xf>
    <xf numFmtId="0" fontId="0" fillId="10" borderId="0" xfId="0" applyFill="1" applyBorder="1"/>
    <xf numFmtId="0" fontId="42" fillId="0" borderId="0" xfId="0" applyFont="1" applyFill="1" applyBorder="1" applyAlignment="1">
      <alignment horizontal="center" wrapText="1"/>
    </xf>
    <xf numFmtId="0" fontId="42" fillId="10" borderId="0" xfId="0" applyFont="1" applyFill="1" applyBorder="1" applyAlignment="1">
      <alignment horizontal="right" wrapText="1"/>
    </xf>
    <xf numFmtId="0" fontId="48" fillId="0" borderId="0" xfId="0" applyFont="1" applyBorder="1" applyAlignment="1">
      <alignment horizontal="center" vertical="center" wrapText="1"/>
    </xf>
    <xf numFmtId="0" fontId="56" fillId="0" borderId="0" xfId="0" applyFont="1" applyBorder="1" applyAlignment="1">
      <alignment horizontal="center" vertical="center" wrapText="1"/>
    </xf>
    <xf numFmtId="0" fontId="45" fillId="47" borderId="0" xfId="0" applyFont="1" applyFill="1" applyBorder="1" applyAlignment="1">
      <alignment horizontal="center" wrapText="1"/>
    </xf>
    <xf numFmtId="0" fontId="57" fillId="10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 wrapText="1"/>
    </xf>
    <xf numFmtId="0" fontId="57" fillId="49" borderId="7" xfId="0" applyFont="1" applyFill="1" applyBorder="1" applyAlignment="1">
      <alignment horizontal="center" vertical="top" wrapText="1"/>
    </xf>
    <xf numFmtId="0" fontId="58" fillId="50" borderId="7" xfId="0" applyFont="1" applyFill="1" applyBorder="1" applyAlignment="1">
      <alignment horizontal="center" vertical="top" wrapText="1"/>
    </xf>
    <xf numFmtId="1" fontId="60" fillId="10" borderId="7" xfId="0" applyNumberFormat="1" applyFont="1" applyFill="1" applyBorder="1" applyAlignment="1">
      <alignment horizontal="center" vertical="top" shrinkToFit="1"/>
    </xf>
    <xf numFmtId="0" fontId="61" fillId="10" borderId="7" xfId="0" applyFont="1" applyFill="1" applyBorder="1" applyAlignment="1">
      <alignment horizontal="center" vertical="top" wrapText="1"/>
    </xf>
    <xf numFmtId="0" fontId="57" fillId="10" borderId="7" xfId="0" applyFont="1" applyFill="1" applyBorder="1" applyAlignment="1">
      <alignment horizontal="left" wrapText="1"/>
    </xf>
    <xf numFmtId="0" fontId="59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vertical="top"/>
    </xf>
    <xf numFmtId="0" fontId="62" fillId="10" borderId="7" xfId="0" applyFont="1" applyFill="1" applyBorder="1" applyAlignment="1">
      <alignment horizontal="center" vertical="top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63" fillId="50" borderId="7" xfId="0" applyFont="1" applyFill="1" applyBorder="1" applyAlignment="1">
      <alignment horizontal="center" vertical="top" wrapText="1"/>
    </xf>
    <xf numFmtId="16" fontId="0" fillId="25" borderId="14" xfId="0" applyNumberFormat="1" applyFill="1" applyBorder="1"/>
    <xf numFmtId="0" fontId="0" fillId="25" borderId="14" xfId="0" applyFill="1" applyBorder="1"/>
    <xf numFmtId="170" fontId="0" fillId="25" borderId="14" xfId="0" applyNumberFormat="1" applyFill="1" applyBorder="1"/>
    <xf numFmtId="0" fontId="0" fillId="25" borderId="14" xfId="0" applyFill="1" applyBorder="1" applyAlignment="1">
      <alignment horizontal="center"/>
    </xf>
    <xf numFmtId="16" fontId="0" fillId="25" borderId="31" xfId="0" applyNumberFormat="1" applyFill="1" applyBorder="1"/>
    <xf numFmtId="0" fontId="0" fillId="25" borderId="31" xfId="0" applyFill="1" applyBorder="1"/>
    <xf numFmtId="170" fontId="0" fillId="25" borderId="31" xfId="0" applyNumberFormat="1" applyFill="1" applyBorder="1"/>
    <xf numFmtId="0" fontId="0" fillId="25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65" fillId="0" borderId="0" xfId="4" applyAlignment="1">
      <alignment horizontal="left" vertical="top"/>
    </xf>
    <xf numFmtId="0" fontId="65" fillId="0" borderId="0" xfId="4" applyFont="1" applyAlignment="1">
      <alignment horizontal="left" vertical="top"/>
    </xf>
    <xf numFmtId="0" fontId="65" fillId="23" borderId="0" xfId="4" applyFill="1" applyAlignment="1">
      <alignment horizontal="left" vertical="top"/>
    </xf>
    <xf numFmtId="0" fontId="65" fillId="51" borderId="0" xfId="4" applyFill="1" applyAlignment="1">
      <alignment horizontal="left" vertical="top"/>
    </xf>
    <xf numFmtId="0" fontId="65" fillId="51" borderId="0" xfId="4" applyFont="1" applyFill="1" applyAlignment="1">
      <alignment horizontal="left" vertical="top"/>
    </xf>
    <xf numFmtId="0" fontId="10" fillId="25" borderId="7" xfId="4" applyFont="1" applyFill="1" applyBorder="1" applyAlignment="1">
      <alignment horizontal="center" vertical="top"/>
    </xf>
    <xf numFmtId="0" fontId="65" fillId="25" borderId="0" xfId="4" applyFill="1" applyAlignment="1">
      <alignment horizontal="left" vertical="top"/>
    </xf>
    <xf numFmtId="0" fontId="70" fillId="25" borderId="7" xfId="4" applyFont="1" applyFill="1" applyBorder="1" applyAlignment="1">
      <alignment horizontal="center" vertical="top"/>
    </xf>
    <xf numFmtId="0" fontId="19" fillId="25" borderId="7" xfId="4" applyFont="1" applyFill="1" applyBorder="1" applyAlignment="1">
      <alignment horizontal="center" vertical="top"/>
    </xf>
    <xf numFmtId="0" fontId="65" fillId="49" borderId="7" xfId="4" applyFill="1" applyBorder="1" applyAlignment="1">
      <alignment horizontal="center" vertical="top" wrapText="1"/>
    </xf>
    <xf numFmtId="1" fontId="66" fillId="10" borderId="1" xfId="4" applyNumberFormat="1" applyFont="1" applyFill="1" applyBorder="1" applyAlignment="1">
      <alignment horizontal="center" vertical="top" shrinkToFit="1"/>
    </xf>
    <xf numFmtId="0" fontId="67" fillId="10" borderId="1" xfId="4" applyFont="1" applyFill="1" applyBorder="1" applyAlignment="1">
      <alignment horizontal="center" vertical="top" wrapText="1"/>
    </xf>
    <xf numFmtId="0" fontId="65" fillId="10" borderId="8" xfId="4" applyFill="1" applyBorder="1" applyAlignment="1">
      <alignment horizontal="left" wrapText="1"/>
    </xf>
    <xf numFmtId="0" fontId="10" fillId="10" borderId="7" xfId="4" applyFont="1" applyFill="1" applyBorder="1" applyAlignment="1">
      <alignment horizontal="center" vertical="top"/>
    </xf>
    <xf numFmtId="0" fontId="67" fillId="10" borderId="8" xfId="4" applyFont="1" applyFill="1" applyBorder="1" applyAlignment="1">
      <alignment horizontal="center" vertical="top" wrapText="1"/>
    </xf>
    <xf numFmtId="0" fontId="69" fillId="10" borderId="8" xfId="4" applyFont="1" applyFill="1" applyBorder="1" applyAlignment="1">
      <alignment horizontal="center" vertical="top" wrapText="1"/>
    </xf>
    <xf numFmtId="0" fontId="65" fillId="10" borderId="7" xfId="4" applyFill="1" applyBorder="1" applyAlignment="1">
      <alignment horizontal="left" vertical="top"/>
    </xf>
    <xf numFmtId="0" fontId="65" fillId="10" borderId="7" xfId="4" applyFill="1" applyBorder="1" applyAlignment="1">
      <alignment vertical="top" wrapText="1"/>
    </xf>
    <xf numFmtId="0" fontId="67" fillId="10" borderId="7" xfId="4" applyFont="1" applyFill="1" applyBorder="1" applyAlignment="1">
      <alignment horizontal="center" vertical="top" wrapText="1"/>
    </xf>
    <xf numFmtId="0" fontId="65" fillId="10" borderId="13" xfId="4" applyFill="1" applyBorder="1" applyAlignment="1">
      <alignment vertical="top" wrapText="1"/>
    </xf>
    <xf numFmtId="1" fontId="66" fillId="10" borderId="7" xfId="4" applyNumberFormat="1" applyFont="1" applyFill="1" applyBorder="1" applyAlignment="1">
      <alignment horizontal="center" vertical="top" shrinkToFit="1"/>
    </xf>
    <xf numFmtId="0" fontId="67" fillId="10" borderId="4" xfId="4" applyFont="1" applyFill="1" applyBorder="1" applyAlignment="1">
      <alignment horizontal="center" vertical="top" wrapText="1"/>
    </xf>
    <xf numFmtId="0" fontId="65" fillId="10" borderId="32" xfId="4" applyFill="1" applyBorder="1" applyAlignment="1">
      <alignment horizontal="left" wrapText="1"/>
    </xf>
    <xf numFmtId="0" fontId="12" fillId="10" borderId="11" xfId="0" applyFont="1" applyFill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76" fillId="49" borderId="0" xfId="5" applyFont="1" applyFill="1" applyAlignment="1">
      <alignment horizontal="center" vertical="top" wrapText="1"/>
    </xf>
    <xf numFmtId="1" fontId="73" fillId="25" borderId="7" xfId="5" applyNumberFormat="1" applyFont="1" applyFill="1" applyBorder="1" applyAlignment="1">
      <alignment horizontal="center" vertical="top" shrinkToFit="1"/>
    </xf>
    <xf numFmtId="0" fontId="74" fillId="25" borderId="7" xfId="5" applyFont="1" applyFill="1" applyBorder="1" applyAlignment="1">
      <alignment horizontal="center" vertical="top" wrapText="1"/>
    </xf>
    <xf numFmtId="0" fontId="72" fillId="25" borderId="7" xfId="5" applyFill="1" applyBorder="1" applyAlignment="1">
      <alignment horizontal="center" vertical="top"/>
    </xf>
    <xf numFmtId="0" fontId="19" fillId="25" borderId="7" xfId="5" applyFont="1" applyFill="1" applyBorder="1" applyAlignment="1">
      <alignment horizontal="left" vertical="top"/>
    </xf>
    <xf numFmtId="179" fontId="19" fillId="25" borderId="7" xfId="5" applyNumberFormat="1" applyFont="1" applyFill="1" applyBorder="1" applyAlignment="1">
      <alignment horizontal="left" vertical="top"/>
    </xf>
    <xf numFmtId="1" fontId="73" fillId="10" borderId="7" xfId="5" applyNumberFormat="1" applyFont="1" applyFill="1" applyBorder="1" applyAlignment="1">
      <alignment horizontal="center" vertical="top" shrinkToFit="1"/>
    </xf>
    <xf numFmtId="0" fontId="74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top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76" fillId="53" borderId="7" xfId="0" applyFont="1" applyFill="1" applyBorder="1" applyAlignment="1">
      <alignment horizontal="center" vertical="top" wrapText="1"/>
    </xf>
    <xf numFmtId="1" fontId="73" fillId="23" borderId="7" xfId="0" applyNumberFormat="1" applyFont="1" applyFill="1" applyBorder="1" applyAlignment="1">
      <alignment horizontal="center" vertical="top" shrinkToFit="1"/>
    </xf>
    <xf numFmtId="0" fontId="74" fillId="23" borderId="7" xfId="0" applyFont="1" applyFill="1" applyBorder="1" applyAlignment="1">
      <alignment horizontal="center" vertical="top" wrapText="1"/>
    </xf>
    <xf numFmtId="0" fontId="76" fillId="23" borderId="7" xfId="0" applyFont="1" applyFill="1" applyBorder="1" applyAlignment="1">
      <alignment horizontal="center" vertical="top" wrapText="1"/>
    </xf>
    <xf numFmtId="0" fontId="0" fillId="23" borderId="7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80" fontId="70" fillId="54" borderId="7" xfId="0" applyNumberFormat="1" applyFont="1" applyFill="1" applyBorder="1" applyAlignment="1">
      <alignment horizontal="center" vertical="center"/>
    </xf>
    <xf numFmtId="179" fontId="70" fillId="54" borderId="7" xfId="0" applyNumberFormat="1" applyFont="1" applyFill="1" applyBorder="1" applyAlignment="1">
      <alignment horizontal="center" vertical="center"/>
    </xf>
    <xf numFmtId="1" fontId="73" fillId="10" borderId="7" xfId="0" applyNumberFormat="1" applyFont="1" applyFill="1" applyBorder="1" applyAlignment="1">
      <alignment horizontal="center" vertical="top" shrinkToFit="1"/>
    </xf>
    <xf numFmtId="0" fontId="74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 vertical="top"/>
    </xf>
    <xf numFmtId="0" fontId="78" fillId="22" borderId="7" xfId="0" applyFont="1" applyFill="1" applyBorder="1" applyAlignment="1">
      <alignment horizontal="center" vertical="center"/>
    </xf>
    <xf numFmtId="0" fontId="76" fillId="23" borderId="11" xfId="0" applyFont="1" applyFill="1" applyBorder="1" applyAlignment="1">
      <alignment horizontal="center" vertical="top" wrapText="1"/>
    </xf>
    <xf numFmtId="0" fontId="42" fillId="46" borderId="7" xfId="0" applyFont="1" applyFill="1" applyBorder="1" applyAlignment="1">
      <alignment horizontal="center" vertical="center" wrapText="1"/>
    </xf>
    <xf numFmtId="0" fontId="0" fillId="31" borderId="7" xfId="0" applyFill="1" applyBorder="1" applyAlignment="1">
      <alignment horizontal="right"/>
    </xf>
    <xf numFmtId="16" fontId="0" fillId="31" borderId="7" xfId="0" applyNumberFormat="1" applyFill="1" applyBorder="1" applyAlignment="1">
      <alignment horizontal="right"/>
    </xf>
    <xf numFmtId="0" fontId="0" fillId="0" borderId="7" xfId="0" applyBorder="1" applyAlignment="1">
      <alignment horizontal="right" vertical="center"/>
    </xf>
    <xf numFmtId="0" fontId="80" fillId="0" borderId="0" xfId="0" applyFont="1" applyBorder="1" applyAlignment="1">
      <alignment horizontal="center" vertical="top" wrapText="1"/>
    </xf>
    <xf numFmtId="0" fontId="72" fillId="0" borderId="0" xfId="5" applyAlignment="1">
      <alignment horizontal="left" vertical="top"/>
    </xf>
    <xf numFmtId="0" fontId="72" fillId="30" borderId="0" xfId="5" applyFill="1" applyAlignment="1">
      <alignment horizontal="left" vertical="top"/>
    </xf>
    <xf numFmtId="0" fontId="72" fillId="17" borderId="0" xfId="5" applyFill="1" applyAlignment="1">
      <alignment horizontal="left" vertical="top"/>
    </xf>
    <xf numFmtId="0" fontId="65" fillId="17" borderId="0" xfId="5" applyFont="1" applyFill="1" applyAlignment="1">
      <alignment horizontal="left" vertical="top"/>
    </xf>
    <xf numFmtId="0" fontId="67" fillId="30" borderId="5" xfId="5" applyFont="1" applyFill="1" applyBorder="1" applyAlignment="1">
      <alignment horizontal="center" vertical="top" wrapText="1"/>
    </xf>
    <xf numFmtId="0" fontId="69" fillId="30" borderId="5" xfId="5" applyFont="1" applyFill="1" applyBorder="1" applyAlignment="1">
      <alignment horizontal="center" vertical="top" wrapText="1"/>
    </xf>
    <xf numFmtId="1" fontId="78" fillId="30" borderId="5" xfId="5" applyNumberFormat="1" applyFont="1" applyFill="1" applyBorder="1" applyAlignment="1">
      <alignment horizontal="center" vertical="center" wrapText="1"/>
    </xf>
    <xf numFmtId="0" fontId="10" fillId="55" borderId="7" xfId="5" applyFont="1" applyFill="1" applyBorder="1" applyAlignment="1">
      <alignment horizontal="center" vertical="top" wrapText="1"/>
    </xf>
    <xf numFmtId="180" fontId="70" fillId="14" borderId="7" xfId="5" applyNumberFormat="1" applyFont="1" applyFill="1" applyBorder="1" applyAlignment="1">
      <alignment horizontal="left" vertical="top"/>
    </xf>
    <xf numFmtId="179" fontId="19" fillId="14" borderId="7" xfId="5" applyNumberFormat="1" applyFont="1" applyFill="1" applyBorder="1" applyAlignment="1">
      <alignment horizontal="left" vertical="top"/>
    </xf>
    <xf numFmtId="0" fontId="72" fillId="22" borderId="7" xfId="5" applyFill="1" applyBorder="1" applyAlignment="1">
      <alignment horizontal="center" vertical="center" wrapText="1"/>
    </xf>
    <xf numFmtId="0" fontId="10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/>
    </xf>
    <xf numFmtId="1" fontId="66" fillId="10" borderId="7" xfId="5" applyNumberFormat="1" applyFont="1" applyFill="1" applyBorder="1" applyAlignment="1">
      <alignment horizontal="center" vertical="top" shrinkToFit="1"/>
    </xf>
    <xf numFmtId="0" fontId="67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center"/>
    </xf>
    <xf numFmtId="0" fontId="65" fillId="10" borderId="7" xfId="5" applyFont="1" applyFill="1" applyBorder="1" applyAlignment="1">
      <alignment horizontal="left" wrapText="1"/>
    </xf>
    <xf numFmtId="0" fontId="72" fillId="10" borderId="7" xfId="5" applyFill="1" applyBorder="1" applyAlignment="1">
      <alignment horizontal="left" vertical="top"/>
    </xf>
    <xf numFmtId="0" fontId="65" fillId="10" borderId="7" xfId="5" applyFont="1" applyFill="1" applyBorder="1" applyAlignment="1">
      <alignment vertical="top" wrapText="1"/>
    </xf>
    <xf numFmtId="0" fontId="65" fillId="10" borderId="7" xfId="5" applyFont="1" applyFill="1" applyBorder="1" applyAlignment="1">
      <alignment vertical="center" wrapText="1"/>
    </xf>
    <xf numFmtId="0" fontId="78" fillId="10" borderId="7" xfId="5" applyFont="1" applyFill="1" applyBorder="1" applyAlignment="1">
      <alignment horizontal="center" vertical="center"/>
    </xf>
    <xf numFmtId="0" fontId="69" fillId="10" borderId="7" xfId="5" applyFont="1" applyFill="1" applyBorder="1" applyAlignment="1">
      <alignment horizontal="center" vertical="top" wrapText="1"/>
    </xf>
    <xf numFmtId="0" fontId="72" fillId="10" borderId="13" xfId="5" applyFill="1" applyBorder="1" applyAlignment="1">
      <alignment horizontal="center" vertical="center"/>
    </xf>
    <xf numFmtId="0" fontId="65" fillId="10" borderId="7" xfId="5" applyFont="1" applyFill="1" applyBorder="1" applyAlignment="1">
      <alignment wrapText="1"/>
    </xf>
    <xf numFmtId="1" fontId="78" fillId="10" borderId="7" xfId="5" applyNumberFormat="1" applyFont="1" applyFill="1" applyBorder="1" applyAlignment="1">
      <alignment horizontal="center" vertical="center"/>
    </xf>
    <xf numFmtId="0" fontId="42" fillId="10" borderId="7" xfId="0" applyFont="1" applyFill="1" applyBorder="1" applyAlignment="1">
      <alignment wrapText="1"/>
    </xf>
    <xf numFmtId="0" fontId="78" fillId="55" borderId="7" xfId="0" applyFont="1" applyFill="1" applyBorder="1" applyAlignment="1">
      <alignment horizontal="center" vertical="center" wrapText="1"/>
    </xf>
    <xf numFmtId="0" fontId="78" fillId="55" borderId="7" xfId="0" applyFont="1" applyFill="1" applyBorder="1" applyAlignment="1">
      <alignment horizontal="center" vertical="center"/>
    </xf>
    <xf numFmtId="180" fontId="77" fillId="14" borderId="7" xfId="0" applyNumberFormat="1" applyFont="1" applyFill="1" applyBorder="1" applyAlignment="1">
      <alignment horizontal="center" vertical="center"/>
    </xf>
    <xf numFmtId="179" fontId="70" fillId="14" borderId="7" xfId="0" applyNumberFormat="1" applyFont="1" applyFill="1" applyBorder="1" applyAlignment="1">
      <alignment horizontal="center" vertical="center"/>
    </xf>
    <xf numFmtId="1" fontId="73" fillId="10" borderId="1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74" fillId="10" borderId="1" xfId="0" applyFont="1" applyFill="1" applyBorder="1" applyAlignment="1">
      <alignment horizontal="center" vertical="top" wrapText="1"/>
    </xf>
    <xf numFmtId="0" fontId="74" fillId="10" borderId="34" xfId="0" applyFont="1" applyFill="1" applyBorder="1" applyAlignment="1">
      <alignment horizontal="center" vertical="top" wrapText="1"/>
    </xf>
    <xf numFmtId="0" fontId="74" fillId="10" borderId="13" xfId="0" applyFont="1" applyFill="1" applyBorder="1" applyAlignment="1">
      <alignment horizontal="center" vertical="center" wrapText="1"/>
    </xf>
    <xf numFmtId="0" fontId="74" fillId="10" borderId="8" xfId="0" applyFont="1" applyFill="1" applyBorder="1" applyAlignment="1">
      <alignment horizontal="center" vertical="top" wrapText="1"/>
    </xf>
    <xf numFmtId="0" fontId="0" fillId="10" borderId="13" xfId="0" applyFill="1" applyBorder="1" applyAlignment="1">
      <alignment horizontal="left" vertical="top"/>
    </xf>
    <xf numFmtId="1" fontId="78" fillId="10" borderId="7" xfId="0" applyNumberFormat="1" applyFont="1" applyFill="1" applyBorder="1" applyAlignment="1">
      <alignment horizontal="center" vertical="center" wrapText="1"/>
    </xf>
    <xf numFmtId="1" fontId="73" fillId="10" borderId="8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 wrapText="1"/>
    </xf>
    <xf numFmtId="0" fontId="0" fillId="10" borderId="13" xfId="0" applyFill="1" applyBorder="1" applyAlignment="1">
      <alignment vertical="top" wrapText="1"/>
    </xf>
    <xf numFmtId="0" fontId="65" fillId="10" borderId="7" xfId="0" applyFont="1" applyFill="1" applyBorder="1" applyAlignment="1">
      <alignment horizontal="center" vertical="center" wrapText="1"/>
    </xf>
    <xf numFmtId="1" fontId="73" fillId="10" borderId="26" xfId="0" applyNumberFormat="1" applyFont="1" applyFill="1" applyBorder="1" applyAlignment="1">
      <alignment horizontal="center" vertical="center" shrinkToFit="1"/>
    </xf>
    <xf numFmtId="1" fontId="73" fillId="10" borderId="13" xfId="0" applyNumberFormat="1" applyFont="1" applyFill="1" applyBorder="1" applyAlignment="1">
      <alignment horizontal="center" vertical="center" shrinkToFit="1"/>
    </xf>
    <xf numFmtId="0" fontId="74" fillId="10" borderId="4" xfId="0" applyFont="1" applyFill="1" applyBorder="1" applyAlignment="1">
      <alignment horizontal="center" vertical="top" wrapText="1"/>
    </xf>
    <xf numFmtId="0" fontId="74" fillId="10" borderId="32" xfId="0" applyFont="1" applyFill="1" applyBorder="1" applyAlignment="1">
      <alignment horizontal="center" vertical="top" wrapText="1"/>
    </xf>
    <xf numFmtId="1" fontId="73" fillId="31" borderId="1" xfId="0" applyNumberFormat="1" applyFont="1" applyFill="1" applyBorder="1" applyAlignment="1">
      <alignment horizontal="center" vertical="top" shrinkToFit="1"/>
    </xf>
    <xf numFmtId="0" fontId="74" fillId="31" borderId="1" xfId="0" applyFont="1" applyFill="1" applyBorder="1" applyAlignment="1">
      <alignment horizontal="center" vertical="top" wrapText="1"/>
    </xf>
    <xf numFmtId="1" fontId="73" fillId="31" borderId="8" xfId="0" applyNumberFormat="1" applyFont="1" applyFill="1" applyBorder="1" applyAlignment="1">
      <alignment horizontal="center" vertical="top" shrinkToFit="1"/>
    </xf>
    <xf numFmtId="0" fontId="0" fillId="31" borderId="13" xfId="0" applyFill="1" applyBorder="1" applyAlignment="1">
      <alignment horizontal="center" vertical="center" wrapText="1"/>
    </xf>
    <xf numFmtId="0" fontId="65" fillId="31" borderId="7" xfId="0" applyFont="1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" fontId="73" fillId="31" borderId="32" xfId="0" applyNumberFormat="1" applyFont="1" applyFill="1" applyBorder="1" applyAlignment="1">
      <alignment horizontal="center" vertical="top" shrinkToFit="1"/>
    </xf>
    <xf numFmtId="0" fontId="74" fillId="31" borderId="8" xfId="0" applyFont="1" applyFill="1" applyBorder="1" applyAlignment="1">
      <alignment horizontal="center" vertical="top" wrapText="1"/>
    </xf>
    <xf numFmtId="0" fontId="0" fillId="31" borderId="13" xfId="0" applyFill="1" applyBorder="1" applyAlignment="1">
      <alignment horizontal="left" vertical="top"/>
    </xf>
    <xf numFmtId="0" fontId="74" fillId="31" borderId="13" xfId="0" applyFont="1" applyFill="1" applyBorder="1" applyAlignment="1">
      <alignment horizontal="center" vertical="center" wrapText="1"/>
    </xf>
    <xf numFmtId="0" fontId="74" fillId="31" borderId="4" xfId="0" applyFont="1" applyFill="1" applyBorder="1" applyAlignment="1">
      <alignment horizontal="center" vertical="top" wrapText="1"/>
    </xf>
    <xf numFmtId="0" fontId="74" fillId="31" borderId="32" xfId="0" applyFont="1" applyFill="1" applyBorder="1" applyAlignment="1">
      <alignment horizontal="center" vertical="top" wrapText="1"/>
    </xf>
    <xf numFmtId="0" fontId="0" fillId="31" borderId="18" xfId="0" applyFill="1" applyBorder="1" applyAlignment="1">
      <alignment horizontal="left" vertical="top"/>
    </xf>
    <xf numFmtId="0" fontId="74" fillId="31" borderId="18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top"/>
    </xf>
    <xf numFmtId="179" fontId="85" fillId="25" borderId="7" xfId="0" applyNumberFormat="1" applyFont="1" applyFill="1" applyBorder="1" applyAlignment="1">
      <alignment horizontal="left" vertical="top"/>
    </xf>
    <xf numFmtId="0" fontId="69" fillId="25" borderId="7" xfId="0" applyFont="1" applyFill="1" applyBorder="1" applyAlignment="1">
      <alignment horizontal="center" vertical="top" wrapText="1"/>
    </xf>
    <xf numFmtId="0" fontId="78" fillId="25" borderId="7" xfId="0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9" xfId="0" applyFont="1" applyFill="1" applyBorder="1" applyAlignment="1">
      <alignment wrapText="1"/>
    </xf>
    <xf numFmtId="0" fontId="0" fillId="10" borderId="9" xfId="0" applyFill="1" applyBorder="1"/>
    <xf numFmtId="0" fontId="42" fillId="10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86" fillId="0" borderId="0" xfId="6" applyAlignment="1">
      <alignment horizontal="left" vertical="top"/>
    </xf>
    <xf numFmtId="0" fontId="83" fillId="55" borderId="7" xfId="6" applyFont="1" applyFill="1" applyBorder="1" applyAlignment="1">
      <alignment horizontal="center" vertical="center" wrapText="1"/>
    </xf>
    <xf numFmtId="0" fontId="78" fillId="55" borderId="7" xfId="6" applyFont="1" applyFill="1" applyBorder="1" applyAlignment="1">
      <alignment horizontal="center" vertical="center"/>
    </xf>
    <xf numFmtId="1" fontId="90" fillId="0" borderId="5" xfId="6" applyNumberFormat="1" applyFont="1" applyBorder="1" applyAlignment="1">
      <alignment horizontal="center" vertical="center"/>
    </xf>
    <xf numFmtId="180" fontId="92" fillId="28" borderId="7" xfId="6" applyNumberFormat="1" applyFont="1" applyFill="1" applyBorder="1" applyAlignment="1">
      <alignment horizontal="left" vertical="top"/>
    </xf>
    <xf numFmtId="179" fontId="85" fillId="28" borderId="7" xfId="6" applyNumberFormat="1" applyFont="1" applyFill="1" applyBorder="1" applyAlignment="1">
      <alignment horizontal="left" vertical="top"/>
    </xf>
    <xf numFmtId="0" fontId="93" fillId="55" borderId="7" xfId="6" applyFont="1" applyFill="1" applyBorder="1" applyAlignment="1">
      <alignment horizontal="center" vertical="center" wrapText="1"/>
    </xf>
    <xf numFmtId="1" fontId="88" fillId="10" borderId="7" xfId="6" applyNumberFormat="1" applyFont="1" applyFill="1" applyBorder="1" applyAlignment="1">
      <alignment horizontal="center" vertical="top" shrinkToFit="1"/>
    </xf>
    <xf numFmtId="0" fontId="89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center" vertical="center"/>
    </xf>
    <xf numFmtId="0" fontId="10" fillId="10" borderId="7" xfId="6" applyFont="1" applyFill="1" applyBorder="1" applyAlignment="1">
      <alignment horizontal="left" wrapText="1"/>
    </xf>
    <xf numFmtId="0" fontId="89" fillId="10" borderId="14" xfId="6" applyFont="1" applyFill="1" applyBorder="1" applyAlignment="1">
      <alignment horizontal="center" vertical="top" wrapText="1"/>
    </xf>
    <xf numFmtId="1" fontId="88" fillId="10" borderId="14" xfId="6" applyNumberFormat="1" applyFont="1" applyFill="1" applyBorder="1" applyAlignment="1">
      <alignment horizontal="center" vertical="top" shrinkToFit="1"/>
    </xf>
    <xf numFmtId="0" fontId="10" fillId="10" borderId="14" xfId="6" applyFont="1" applyFill="1" applyBorder="1" applyAlignment="1">
      <alignment horizontal="left" wrapText="1"/>
    </xf>
    <xf numFmtId="0" fontId="9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left" vertical="top"/>
    </xf>
    <xf numFmtId="0" fontId="10" fillId="10" borderId="7" xfId="6" applyFont="1" applyFill="1" applyBorder="1" applyAlignment="1">
      <alignment vertical="top" wrapText="1"/>
    </xf>
    <xf numFmtId="0" fontId="82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wrapText="1"/>
    </xf>
    <xf numFmtId="0" fontId="78" fillId="25" borderId="0" xfId="0" applyFont="1" applyFill="1" applyBorder="1" applyAlignment="1">
      <alignment horizontal="center" vertical="center" wrapText="1"/>
    </xf>
    <xf numFmtId="1" fontId="66" fillId="10" borderId="7" xfId="0" applyNumberFormat="1" applyFont="1" applyFill="1" applyBorder="1" applyAlignment="1">
      <alignment horizontal="center" vertical="top" shrinkToFit="1"/>
    </xf>
    <xf numFmtId="0" fontId="67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wrapText="1"/>
    </xf>
    <xf numFmtId="0" fontId="0" fillId="10" borderId="7" xfId="0" applyFill="1" applyBorder="1" applyAlignment="1">
      <alignment vertical="center" wrapText="1"/>
    </xf>
    <xf numFmtId="0" fontId="0" fillId="25" borderId="7" xfId="0" applyFill="1" applyBorder="1" applyAlignment="1">
      <alignment horizontal="center"/>
    </xf>
    <xf numFmtId="0" fontId="0" fillId="0" borderId="7" xfId="0" applyBorder="1" applyAlignment="1">
      <alignment horizontal="right"/>
    </xf>
    <xf numFmtId="15" fontId="0" fillId="0" borderId="7" xfId="0" applyNumberFormat="1" applyBorder="1" applyAlignment="1">
      <alignment horizontal="right"/>
    </xf>
    <xf numFmtId="0" fontId="0" fillId="0" borderId="0" xfId="0" applyAlignment="1">
      <alignment horizontal="center"/>
    </xf>
    <xf numFmtId="44" fontId="12" fillId="25" borderId="0" xfId="0" applyNumberFormat="1" applyFont="1" applyFill="1" applyBorder="1"/>
    <xf numFmtId="0" fontId="12" fillId="25" borderId="0" xfId="0" applyNumberFormat="1" applyFont="1" applyFill="1" applyBorder="1"/>
    <xf numFmtId="0" fontId="12" fillId="25" borderId="7" xfId="0" applyNumberFormat="1" applyFont="1" applyFill="1" applyBorder="1"/>
    <xf numFmtId="0" fontId="0" fillId="25" borderId="7" xfId="0" applyNumberFormat="1" applyFont="1" applyFill="1" applyBorder="1"/>
    <xf numFmtId="0" fontId="4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6" borderId="7" xfId="0" applyFill="1" applyBorder="1"/>
    <xf numFmtId="1" fontId="0" fillId="56" borderId="7" xfId="0" applyNumberFormat="1" applyFill="1" applyBorder="1" applyAlignment="1">
      <alignment horizontal="center"/>
    </xf>
    <xf numFmtId="0" fontId="65" fillId="0" borderId="0" xfId="5" applyFont="1" applyAlignment="1">
      <alignment horizontal="left" vertical="top"/>
    </xf>
    <xf numFmtId="15" fontId="0" fillId="0" borderId="0" xfId="0" applyNumberFormat="1" applyBorder="1"/>
    <xf numFmtId="0" fontId="0" fillId="31" borderId="7" xfId="0" applyNumberFormat="1" applyFont="1" applyFill="1" applyBorder="1"/>
    <xf numFmtId="0" fontId="65" fillId="0" borderId="7" xfId="0" applyFont="1" applyBorder="1" applyAlignment="1">
      <alignment horizontal="left" vertical="top"/>
    </xf>
    <xf numFmtId="1" fontId="97" fillId="10" borderId="1" xfId="0" applyNumberFormat="1" applyFont="1" applyFill="1" applyBorder="1" applyAlignment="1">
      <alignment horizontal="right" vertical="top" indent="1" shrinkToFit="1"/>
    </xf>
    <xf numFmtId="0" fontId="98" fillId="10" borderId="1" xfId="0" applyFont="1" applyFill="1" applyBorder="1" applyAlignment="1">
      <alignment horizontal="center" vertical="top" wrapText="1"/>
    </xf>
    <xf numFmtId="0" fontId="98" fillId="10" borderId="8" xfId="0" applyFont="1" applyFill="1" applyBorder="1" applyAlignment="1">
      <alignment horizontal="center" vertical="top" wrapText="1"/>
    </xf>
    <xf numFmtId="182" fontId="99" fillId="10" borderId="7" xfId="0" applyNumberFormat="1" applyFont="1" applyFill="1" applyBorder="1" applyAlignment="1">
      <alignment horizontal="left" vertical="top" indent="1" shrinkToFit="1"/>
    </xf>
    <xf numFmtId="1" fontId="97" fillId="10" borderId="8" xfId="0" applyNumberFormat="1" applyFont="1" applyFill="1" applyBorder="1" applyAlignment="1">
      <alignment horizontal="center" vertical="top" shrinkToFit="1"/>
    </xf>
    <xf numFmtId="0" fontId="100" fillId="10" borderId="8" xfId="0" applyFont="1" applyFill="1" applyBorder="1" applyAlignment="1">
      <alignment horizontal="center" vertical="top" wrapText="1"/>
    </xf>
    <xf numFmtId="1" fontId="97" fillId="31" borderId="1" xfId="0" applyNumberFormat="1" applyFont="1" applyFill="1" applyBorder="1" applyAlignment="1">
      <alignment horizontal="right" vertical="top" indent="1" shrinkToFit="1"/>
    </xf>
    <xf numFmtId="0" fontId="98" fillId="31" borderId="1" xfId="0" applyFont="1" applyFill="1" applyBorder="1" applyAlignment="1">
      <alignment horizontal="center" vertical="top" wrapText="1"/>
    </xf>
    <xf numFmtId="0" fontId="98" fillId="31" borderId="8" xfId="0" applyFont="1" applyFill="1" applyBorder="1" applyAlignment="1">
      <alignment horizontal="center" vertical="top" wrapText="1"/>
    </xf>
    <xf numFmtId="0" fontId="0" fillId="31" borderId="7" xfId="0" applyFill="1" applyBorder="1" applyAlignment="1">
      <alignment horizontal="left" vertical="top"/>
    </xf>
    <xf numFmtId="0" fontId="95" fillId="53" borderId="8" xfId="0" applyFont="1" applyFill="1" applyBorder="1" applyAlignment="1">
      <alignment horizontal="center" vertical="top" wrapText="1"/>
    </xf>
    <xf numFmtId="181" fontId="96" fillId="53" borderId="8" xfId="0" applyNumberFormat="1" applyFont="1" applyFill="1" applyBorder="1" applyAlignment="1">
      <alignment horizontal="center" vertical="top" shrinkToFit="1"/>
    </xf>
    <xf numFmtId="0" fontId="0" fillId="0" borderId="0" xfId="0"/>
    <xf numFmtId="2" fontId="0" fillId="0" borderId="0" xfId="0" applyNumberFormat="1" applyAlignment="1">
      <alignment horizontal="left" vertical="top"/>
    </xf>
    <xf numFmtId="0" fontId="12" fillId="12" borderId="7" xfId="0" applyFont="1" applyFill="1" applyBorder="1" applyAlignment="1">
      <alignment horizontal="center" vertical="center"/>
    </xf>
    <xf numFmtId="180" fontId="30" fillId="0" borderId="7" xfId="0" applyNumberFormat="1" applyFont="1" applyBorder="1"/>
    <xf numFmtId="179" fontId="30" fillId="0" borderId="7" xfId="0" applyNumberFormat="1" applyFont="1" applyBorder="1" applyAlignment="1">
      <alignment horizontal="center" vertical="center"/>
    </xf>
    <xf numFmtId="179" fontId="30" fillId="25" borderId="7" xfId="0" applyNumberFormat="1" applyFont="1" applyFill="1" applyBorder="1" applyAlignment="1">
      <alignment horizontal="center" vertical="center"/>
    </xf>
    <xf numFmtId="0" fontId="30" fillId="25" borderId="7" xfId="0" applyFont="1" applyFill="1" applyBorder="1" applyAlignment="1">
      <alignment horizontal="center" vertical="center"/>
    </xf>
    <xf numFmtId="2" fontId="12" fillId="25" borderId="7" xfId="0" applyNumberFormat="1" applyFont="1" applyFill="1" applyBorder="1" applyAlignment="1">
      <alignment horizontal="center" vertical="center"/>
    </xf>
    <xf numFmtId="179" fontId="12" fillId="25" borderId="7" xfId="0" applyNumberFormat="1" applyFont="1" applyFill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 vertical="center"/>
    </xf>
    <xf numFmtId="182" fontId="101" fillId="10" borderId="8" xfId="0" applyNumberFormat="1" applyFont="1" applyFill="1" applyBorder="1" applyAlignment="1">
      <alignment horizontal="center" vertical="top" shrinkToFit="1"/>
    </xf>
    <xf numFmtId="2" fontId="0" fillId="10" borderId="7" xfId="0" applyNumberFormat="1" applyFill="1" applyBorder="1" applyAlignment="1">
      <alignment horizontal="center" vertical="center"/>
    </xf>
    <xf numFmtId="182" fontId="101" fillId="10" borderId="35" xfId="0" applyNumberFormat="1" applyFont="1" applyFill="1" applyBorder="1" applyAlignment="1">
      <alignment horizontal="center" vertical="top" shrinkToFit="1"/>
    </xf>
    <xf numFmtId="0" fontId="0" fillId="10" borderId="9" xfId="0" applyFill="1" applyBorder="1" applyAlignment="1">
      <alignment horizontal="center" vertical="center"/>
    </xf>
    <xf numFmtId="1" fontId="0" fillId="10" borderId="9" xfId="0" applyNumberFormat="1" applyFill="1" applyBorder="1" applyAlignment="1">
      <alignment horizontal="center" vertical="center"/>
    </xf>
    <xf numFmtId="182" fontId="101" fillId="10" borderId="32" xfId="0" applyNumberFormat="1" applyFont="1" applyFill="1" applyBorder="1" applyAlignment="1">
      <alignment horizontal="center" vertical="top" shrinkToFit="1"/>
    </xf>
    <xf numFmtId="2" fontId="0" fillId="10" borderId="9" xfId="0" applyNumberFormat="1" applyFill="1" applyBorder="1" applyAlignment="1">
      <alignment horizontal="center" vertical="center"/>
    </xf>
    <xf numFmtId="182" fontId="101" fillId="10" borderId="7" xfId="0" applyNumberFormat="1" applyFont="1" applyFill="1" applyBorder="1" applyAlignment="1">
      <alignment horizontal="center" vertical="top" shrinkToFit="1"/>
    </xf>
    <xf numFmtId="0" fontId="12" fillId="12" borderId="14" xfId="0" applyFont="1" applyFill="1" applyBorder="1" applyAlignment="1">
      <alignment horizontal="center" vertical="center"/>
    </xf>
    <xf numFmtId="2" fontId="12" fillId="12" borderId="14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1" fontId="0" fillId="10" borderId="14" xfId="0" applyNumberFormat="1" applyFill="1" applyBorder="1" applyAlignment="1">
      <alignment horizontal="center" vertical="center"/>
    </xf>
    <xf numFmtId="182" fontId="101" fillId="10" borderId="34" xfId="0" applyNumberFormat="1" applyFont="1" applyFill="1" applyBorder="1" applyAlignment="1">
      <alignment horizontal="center" vertical="top" shrinkToFit="1"/>
    </xf>
    <xf numFmtId="0" fontId="0" fillId="0" borderId="0" xfId="0"/>
    <xf numFmtId="0" fontId="42" fillId="0" borderId="17" xfId="0" applyFont="1" applyBorder="1" applyAlignment="1">
      <alignment wrapText="1"/>
    </xf>
    <xf numFmtId="1" fontId="42" fillId="46" borderId="17" xfId="0" applyNumberFormat="1" applyFont="1" applyFill="1" applyBorder="1" applyAlignment="1">
      <alignment horizontal="center" wrapText="1"/>
    </xf>
    <xf numFmtId="1" fontId="45" fillId="46" borderId="30" xfId="0" applyNumberFormat="1" applyFont="1" applyFill="1" applyBorder="1" applyAlignment="1">
      <alignment horizontal="center" wrapText="1"/>
    </xf>
    <xf numFmtId="0" fontId="42" fillId="0" borderId="30" xfId="0" applyFont="1" applyBorder="1" applyAlignment="1">
      <alignment wrapText="1"/>
    </xf>
    <xf numFmtId="0" fontId="45" fillId="25" borderId="7" xfId="0" applyFont="1" applyFill="1" applyBorder="1" applyAlignment="1">
      <alignment horizontal="center" wrapText="1"/>
    </xf>
    <xf numFmtId="1" fontId="45" fillId="25" borderId="7" xfId="0" applyNumberFormat="1" applyFont="1" applyFill="1" applyBorder="1" applyAlignment="1">
      <alignment horizontal="center" wrapText="1"/>
    </xf>
    <xf numFmtId="0" fontId="42" fillId="25" borderId="7" xfId="0" applyFont="1" applyFill="1" applyBorder="1" applyAlignment="1">
      <alignment wrapText="1"/>
    </xf>
    <xf numFmtId="0" fontId="0" fillId="25" borderId="7" xfId="0" applyFill="1" applyBorder="1"/>
    <xf numFmtId="2" fontId="0" fillId="0" borderId="11" xfId="0" applyNumberFormat="1" applyFill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0" fontId="0" fillId="31" borderId="7" xfId="0" applyFill="1" applyBorder="1"/>
    <xf numFmtId="1" fontId="0" fillId="31" borderId="7" xfId="0" applyNumberFormat="1" applyFill="1" applyBorder="1"/>
    <xf numFmtId="1" fontId="0" fillId="10" borderId="7" xfId="0" applyNumberFormat="1" applyFill="1" applyBorder="1"/>
    <xf numFmtId="0" fontId="15" fillId="25" borderId="7" xfId="0" applyFont="1" applyFill="1" applyBorder="1" applyAlignment="1">
      <alignment horizontal="center" vertical="center" wrapText="1"/>
    </xf>
    <xf numFmtId="0" fontId="102" fillId="0" borderId="0" xfId="7" applyAlignment="1">
      <alignment horizontal="left" vertical="top"/>
    </xf>
    <xf numFmtId="179" fontId="70" fillId="0" borderId="1" xfId="7" applyNumberFormat="1" applyFont="1" applyBorder="1" applyAlignment="1">
      <alignment horizontal="center" wrapText="1"/>
    </xf>
    <xf numFmtId="183" fontId="96" fillId="49" borderId="8" xfId="7" applyNumberFormat="1" applyFont="1" applyFill="1" applyBorder="1" applyAlignment="1">
      <alignment horizontal="center" vertical="top" shrinkToFit="1"/>
    </xf>
    <xf numFmtId="0" fontId="94" fillId="49" borderId="8" xfId="7" applyFont="1" applyFill="1" applyBorder="1" applyAlignment="1">
      <alignment horizontal="center" vertical="top" wrapText="1"/>
    </xf>
    <xf numFmtId="1" fontId="96" fillId="10" borderId="1" xfId="7" applyNumberFormat="1" applyFont="1" applyFill="1" applyBorder="1" applyAlignment="1">
      <alignment horizontal="center" vertical="top" shrinkToFit="1"/>
    </xf>
    <xf numFmtId="0" fontId="94" fillId="10" borderId="1" xfId="7" applyFont="1" applyFill="1" applyBorder="1" applyAlignment="1">
      <alignment horizontal="center" vertical="top" wrapText="1"/>
    </xf>
    <xf numFmtId="0" fontId="102" fillId="10" borderId="3" xfId="7" applyFill="1" applyBorder="1" applyAlignment="1">
      <alignment horizontal="left" wrapText="1"/>
    </xf>
    <xf numFmtId="0" fontId="102" fillId="10" borderId="3" xfId="7" applyFill="1" applyBorder="1" applyAlignment="1">
      <alignment horizontal="center" wrapText="1"/>
    </xf>
    <xf numFmtId="0" fontId="102" fillId="10" borderId="1" xfId="7" applyFill="1" applyBorder="1" applyAlignment="1">
      <alignment horizontal="left" wrapText="1"/>
    </xf>
    <xf numFmtId="0" fontId="102" fillId="10" borderId="1" xfId="7" applyFill="1" applyBorder="1" applyAlignment="1">
      <alignment horizontal="center" wrapText="1"/>
    </xf>
    <xf numFmtId="0" fontId="95" fillId="10" borderId="1" xfId="7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" fontId="0" fillId="0" borderId="0" xfId="0" applyNumberFormat="1" applyBorder="1"/>
    <xf numFmtId="173" fontId="0" fillId="0" borderId="0" xfId="0" applyNumberFormat="1" applyBorder="1"/>
    <xf numFmtId="0" fontId="0" fillId="25" borderId="0" xfId="0" applyFill="1" applyAlignment="1">
      <alignment horizontal="left" vertical="top"/>
    </xf>
    <xf numFmtId="180" fontId="70" fillId="25" borderId="7" xfId="0" applyNumberFormat="1" applyFont="1" applyFill="1" applyBorder="1" applyAlignment="1">
      <alignment horizontal="center" vertical="center"/>
    </xf>
    <xf numFmtId="179" fontId="70" fillId="25" borderId="7" xfId="0" applyNumberFormat="1" applyFont="1" applyFill="1" applyBorder="1" applyAlignment="1">
      <alignment horizontal="center" vertical="center"/>
    </xf>
    <xf numFmtId="183" fontId="96" fillId="49" borderId="34" xfId="7" applyNumberFormat="1" applyFont="1" applyFill="1" applyBorder="1" applyAlignment="1">
      <alignment horizontal="center" vertical="top" shrinkToFit="1"/>
    </xf>
    <xf numFmtId="1" fontId="97" fillId="10" borderId="1" xfId="0" applyNumberFormat="1" applyFont="1" applyFill="1" applyBorder="1" applyAlignment="1">
      <alignment horizontal="center" vertical="top" shrinkToFit="1"/>
    </xf>
    <xf numFmtId="1" fontId="65" fillId="10" borderId="7" xfId="0" applyNumberFormat="1" applyFont="1" applyFill="1" applyBorder="1" applyAlignment="1">
      <alignment horizontal="center" vertical="center"/>
    </xf>
    <xf numFmtId="0" fontId="65" fillId="10" borderId="7" xfId="0" applyFont="1" applyFill="1" applyBorder="1" applyAlignment="1">
      <alignment horizontal="center" vertical="center"/>
    </xf>
    <xf numFmtId="1" fontId="103" fillId="10" borderId="7" xfId="0" applyNumberFormat="1" applyFont="1" applyFill="1" applyBorder="1" applyAlignment="1">
      <alignment horizontal="center" vertical="center"/>
    </xf>
    <xf numFmtId="1" fontId="65" fillId="10" borderId="13" xfId="0" applyNumberFormat="1" applyFont="1" applyFill="1" applyBorder="1" applyAlignment="1">
      <alignment horizontal="center" vertical="center"/>
    </xf>
    <xf numFmtId="15" fontId="0" fillId="31" borderId="7" xfId="0" applyNumberFormat="1" applyFill="1" applyBorder="1" applyAlignment="1">
      <alignment horizontal="right"/>
    </xf>
    <xf numFmtId="167" fontId="0" fillId="31" borderId="7" xfId="0" applyNumberFormat="1" applyFill="1" applyBorder="1" applyAlignment="1">
      <alignment horizontal="center"/>
    </xf>
    <xf numFmtId="180" fontId="70" fillId="0" borderId="7" xfId="0" applyNumberFormat="1" applyFont="1" applyBorder="1" applyAlignment="1">
      <alignment horizontal="left" vertical="top"/>
    </xf>
    <xf numFmtId="179" fontId="70" fillId="0" borderId="7" xfId="0" applyNumberFormat="1" applyFont="1" applyBorder="1" applyAlignment="1">
      <alignment horizontal="left" vertical="top"/>
    </xf>
    <xf numFmtId="0" fontId="65" fillId="0" borderId="0" xfId="0" applyFont="1" applyAlignment="1">
      <alignment horizontal="left" vertical="top"/>
    </xf>
    <xf numFmtId="2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left" vertical="top"/>
    </xf>
    <xf numFmtId="183" fontId="88" fillId="53" borderId="8" xfId="0" applyNumberFormat="1" applyFont="1" applyFill="1" applyBorder="1" applyAlignment="1">
      <alignment horizontal="center" vertical="top" shrinkToFit="1"/>
    </xf>
    <xf numFmtId="0" fontId="89" fillId="53" borderId="10" xfId="0" applyFont="1" applyFill="1" applyBorder="1" applyAlignment="1">
      <alignment horizontal="center" vertical="top" wrapText="1"/>
    </xf>
    <xf numFmtId="0" fontId="42" fillId="3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/>
    </xf>
    <xf numFmtId="0" fontId="0" fillId="0" borderId="0" xfId="0" applyNumberFormat="1" applyBorder="1"/>
    <xf numFmtId="0" fontId="12" fillId="0" borderId="0" xfId="0" applyNumberFormat="1" applyFont="1" applyBorder="1" applyAlignment="1">
      <alignment horizontal="center"/>
    </xf>
    <xf numFmtId="0" fontId="12" fillId="0" borderId="0" xfId="0" applyNumberFormat="1" applyFont="1" applyBorder="1"/>
    <xf numFmtId="0" fontId="0" fillId="0" borderId="0" xfId="0" applyNumberFormat="1" applyFill="1" applyBorder="1"/>
    <xf numFmtId="0" fontId="0" fillId="0" borderId="0" xfId="0" applyNumberFormat="1" applyFont="1" applyBorder="1"/>
    <xf numFmtId="0" fontId="0" fillId="25" borderId="0" xfId="0" applyNumberFormat="1" applyFont="1" applyFill="1" applyBorder="1"/>
    <xf numFmtId="2" fontId="29" fillId="3" borderId="0" xfId="0" applyNumberFormat="1" applyFont="1" applyFill="1" applyBorder="1"/>
    <xf numFmtId="2" fontId="0" fillId="20" borderId="0" xfId="0" applyNumberFormat="1" applyFill="1" applyBorder="1"/>
    <xf numFmtId="2" fontId="0" fillId="0" borderId="0" xfId="0" applyNumberFormat="1" applyBorder="1"/>
    <xf numFmtId="2" fontId="29" fillId="21" borderId="0" xfId="0" applyNumberFormat="1" applyFont="1" applyFill="1" applyBorder="1"/>
    <xf numFmtId="2" fontId="35" fillId="34" borderId="7" xfId="0" applyNumberFormat="1" applyFont="1" applyFill="1" applyBorder="1"/>
    <xf numFmtId="2" fontId="12" fillId="0" borderId="0" xfId="0" applyNumberFormat="1" applyFont="1"/>
    <xf numFmtId="2" fontId="0" fillId="0" borderId="7" xfId="2" applyNumberFormat="1" applyFont="1" applyFill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12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10" borderId="7" xfId="0" applyNumberFormat="1" applyFill="1" applyBorder="1" applyAlignment="1">
      <alignment horizontal="center"/>
    </xf>
    <xf numFmtId="2" fontId="52" fillId="0" borderId="7" xfId="0" applyNumberFormat="1" applyFont="1" applyBorder="1" applyAlignment="1">
      <alignment horizontal="center" wrapText="1"/>
    </xf>
    <xf numFmtId="2" fontId="52" fillId="31" borderId="7" xfId="0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12" fillId="25" borderId="0" xfId="0" applyNumberFormat="1" applyFont="1" applyFill="1" applyBorder="1"/>
    <xf numFmtId="2" fontId="30" fillId="0" borderId="7" xfId="0" applyNumberFormat="1" applyFont="1" applyBorder="1" applyAlignment="1">
      <alignment horizontal="center" vertical="center"/>
    </xf>
    <xf numFmtId="2" fontId="45" fillId="39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wrapText="1"/>
    </xf>
    <xf numFmtId="2" fontId="46" fillId="41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horizontal="center" wrapText="1"/>
    </xf>
    <xf numFmtId="2" fontId="42" fillId="31" borderId="7" xfId="0" applyNumberFormat="1" applyFont="1" applyFill="1" applyBorder="1" applyAlignment="1">
      <alignment horizontal="center" wrapText="1"/>
    </xf>
    <xf numFmtId="2" fontId="0" fillId="31" borderId="7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56" borderId="7" xfId="0" applyNumberFormat="1" applyFill="1" applyBorder="1"/>
    <xf numFmtId="0" fontId="12" fillId="0" borderId="7" xfId="0" applyNumberFormat="1" applyFont="1" applyBorder="1"/>
    <xf numFmtId="0" fontId="69" fillId="52" borderId="34" xfId="0" applyFont="1" applyFill="1" applyBorder="1" applyAlignment="1">
      <alignment vertical="top" wrapText="1"/>
    </xf>
    <xf numFmtId="0" fontId="67" fillId="52" borderId="16" xfId="0" applyFont="1" applyFill="1" applyBorder="1" applyAlignment="1">
      <alignment vertical="top" wrapText="1"/>
    </xf>
    <xf numFmtId="183" fontId="66" fillId="53" borderId="3" xfId="0" applyNumberFormat="1" applyFont="1" applyFill="1" applyBorder="1" applyAlignment="1">
      <alignment horizontal="center" vertical="top" shrinkToFit="1"/>
    </xf>
    <xf numFmtId="0" fontId="69" fillId="52" borderId="32" xfId="0" applyFont="1" applyFill="1" applyBorder="1" applyAlignment="1">
      <alignment vertical="top" wrapText="1"/>
    </xf>
    <xf numFmtId="0" fontId="67" fillId="52" borderId="15" xfId="0" applyFont="1" applyFill="1" applyBorder="1" applyAlignment="1">
      <alignment vertical="top" wrapText="1"/>
    </xf>
    <xf numFmtId="0" fontId="67" fillId="53" borderId="4" xfId="0" applyFont="1" applyFill="1" applyBorder="1" applyAlignment="1">
      <alignment horizontal="center" vertical="top" wrapText="1"/>
    </xf>
    <xf numFmtId="0" fontId="0" fillId="25" borderId="7" xfId="0" applyFill="1" applyBorder="1" applyAlignment="1">
      <alignment horizontal="center" vertical="center"/>
    </xf>
    <xf numFmtId="0" fontId="69" fillId="25" borderId="7" xfId="0" applyFont="1" applyFill="1" applyBorder="1" applyAlignment="1">
      <alignment horizontal="center" vertical="center"/>
    </xf>
    <xf numFmtId="1" fontId="0" fillId="25" borderId="7" xfId="0" applyNumberFormat="1" applyFill="1" applyBorder="1" applyAlignment="1">
      <alignment horizontal="center" vertical="center"/>
    </xf>
    <xf numFmtId="179" fontId="77" fillId="25" borderId="7" xfId="0" applyNumberFormat="1" applyFont="1" applyFill="1" applyBorder="1" applyAlignment="1">
      <alignment horizontal="left" vertical="top"/>
    </xf>
    <xf numFmtId="0" fontId="69" fillId="1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/>
    </xf>
    <xf numFmtId="0" fontId="12" fillId="0" borderId="7" xfId="0" applyFont="1" applyFill="1" applyBorder="1"/>
    <xf numFmtId="0" fontId="0" fillId="10" borderId="7" xfId="0" applyNumberFormat="1" applyFill="1" applyBorder="1"/>
    <xf numFmtId="0" fontId="69" fillId="53" borderId="4" xfId="0" applyFont="1" applyFill="1" applyBorder="1" applyAlignment="1">
      <alignment horizontal="center" vertical="top" wrapText="1"/>
    </xf>
    <xf numFmtId="0" fontId="102" fillId="0" borderId="0" xfId="7" applyAlignment="1">
      <alignment horizontal="left" vertical="top"/>
    </xf>
    <xf numFmtId="183" fontId="66" fillId="53" borderId="8" xfId="7" applyNumberFormat="1" applyFont="1" applyFill="1" applyBorder="1" applyAlignment="1">
      <alignment horizontal="center" vertical="top" shrinkToFit="1"/>
    </xf>
    <xf numFmtId="0" fontId="65" fillId="0" borderId="0" xfId="7" applyFont="1" applyAlignment="1">
      <alignment horizontal="left" vertical="top"/>
    </xf>
    <xf numFmtId="0" fontId="106" fillId="53" borderId="8" xfId="7" applyFont="1" applyFill="1" applyBorder="1" applyAlignment="1">
      <alignment horizontal="center" vertical="center" wrapText="1"/>
    </xf>
    <xf numFmtId="180" fontId="70" fillId="57" borderId="7" xfId="7" applyNumberFormat="1" applyFont="1" applyFill="1" applyBorder="1" applyAlignment="1">
      <alignment horizontal="center" vertical="center"/>
    </xf>
    <xf numFmtId="179" fontId="70" fillId="57" borderId="7" xfId="7" applyNumberFormat="1" applyFont="1" applyFill="1" applyBorder="1" applyAlignment="1">
      <alignment horizontal="center" vertical="center"/>
    </xf>
    <xf numFmtId="0" fontId="65" fillId="25" borderId="7" xfId="7" applyFont="1" applyFill="1" applyBorder="1" applyAlignment="1">
      <alignment horizontal="center" vertical="center"/>
    </xf>
    <xf numFmtId="1" fontId="103" fillId="10" borderId="1" xfId="7" applyNumberFormat="1" applyFont="1" applyFill="1" applyBorder="1" applyAlignment="1">
      <alignment horizontal="center" vertical="top" shrinkToFit="1"/>
    </xf>
    <xf numFmtId="0" fontId="105" fillId="10" borderId="1" xfId="7" applyFont="1" applyFill="1" applyBorder="1" applyAlignment="1">
      <alignment horizontal="center" vertical="top" wrapText="1"/>
    </xf>
    <xf numFmtId="1" fontId="105" fillId="10" borderId="8" xfId="7" applyNumberFormat="1" applyFont="1" applyFill="1" applyBorder="1" applyAlignment="1">
      <alignment horizontal="center" vertical="top" wrapText="1"/>
    </xf>
    <xf numFmtId="0" fontId="102" fillId="10" borderId="7" xfId="7" applyFill="1" applyBorder="1" applyAlignment="1">
      <alignment horizontal="center" vertical="center"/>
    </xf>
    <xf numFmtId="0" fontId="65" fillId="10" borderId="7" xfId="7" applyFont="1" applyFill="1" applyBorder="1" applyAlignment="1">
      <alignment horizontal="center" vertical="center"/>
    </xf>
    <xf numFmtId="2" fontId="0" fillId="18" borderId="7" xfId="0" applyNumberFormat="1" applyFill="1" applyBorder="1"/>
    <xf numFmtId="0" fontId="0" fillId="25" borderId="7" xfId="0" applyFill="1" applyBorder="1" applyAlignment="1">
      <alignment horizontal="center"/>
    </xf>
    <xf numFmtId="0" fontId="102" fillId="0" borderId="0" xfId="7" applyAlignment="1">
      <alignment horizontal="left" vertical="top"/>
    </xf>
    <xf numFmtId="0" fontId="67" fillId="53" borderId="4" xfId="7" applyFont="1" applyFill="1" applyBorder="1" applyAlignment="1">
      <alignment horizontal="center" vertical="top" wrapText="1"/>
    </xf>
    <xf numFmtId="0" fontId="65" fillId="0" borderId="0" xfId="7" applyFont="1" applyAlignment="1">
      <alignment horizontal="left" vertical="top"/>
    </xf>
    <xf numFmtId="0" fontId="65" fillId="10" borderId="7" xfId="7" applyFont="1" applyFill="1" applyBorder="1" applyAlignment="1">
      <alignment horizontal="center" vertical="center"/>
    </xf>
    <xf numFmtId="1" fontId="65" fillId="10" borderId="7" xfId="7" applyNumberFormat="1" applyFont="1" applyFill="1" applyBorder="1" applyAlignment="1">
      <alignment horizontal="center" vertical="center"/>
    </xf>
    <xf numFmtId="0" fontId="65" fillId="10" borderId="13" xfId="7" applyFont="1" applyFill="1" applyBorder="1" applyAlignment="1">
      <alignment horizontal="center" vertical="center"/>
    </xf>
    <xf numFmtId="1" fontId="97" fillId="10" borderId="1" xfId="7" applyNumberFormat="1" applyFont="1" applyFill="1" applyBorder="1" applyAlignment="1">
      <alignment horizontal="center" vertical="top" shrinkToFit="1"/>
    </xf>
    <xf numFmtId="0" fontId="98" fillId="10" borderId="1" xfId="7" applyFont="1" applyFill="1" applyBorder="1" applyAlignment="1">
      <alignment horizontal="center" vertical="top" wrapText="1"/>
    </xf>
    <xf numFmtId="1" fontId="97" fillId="10" borderId="8" xfId="7" applyNumberFormat="1" applyFont="1" applyFill="1" applyBorder="1" applyAlignment="1">
      <alignment horizontal="center" vertical="top" shrinkToFit="1"/>
    </xf>
    <xf numFmtId="1" fontId="66" fillId="10" borderId="1" xfId="7" applyNumberFormat="1" applyFont="1" applyFill="1" applyBorder="1" applyAlignment="1">
      <alignment horizontal="center" vertical="top" shrinkToFit="1"/>
    </xf>
    <xf numFmtId="0" fontId="67" fillId="10" borderId="1" xfId="7" applyFont="1" applyFill="1" applyBorder="1" applyAlignment="1">
      <alignment horizontal="center" vertical="top" wrapText="1"/>
    </xf>
    <xf numFmtId="0" fontId="65" fillId="10" borderId="8" xfId="7" applyFont="1" applyFill="1" applyBorder="1" applyAlignment="1">
      <alignment horizontal="left" wrapText="1"/>
    </xf>
    <xf numFmtId="0" fontId="67" fillId="10" borderId="8" xfId="7" applyFont="1" applyFill="1" applyBorder="1" applyAlignment="1">
      <alignment horizontal="center" vertical="top" wrapText="1"/>
    </xf>
    <xf numFmtId="0" fontId="102" fillId="10" borderId="7" xfId="7" applyFill="1" applyBorder="1" applyAlignment="1">
      <alignment horizontal="left" vertical="top"/>
    </xf>
    <xf numFmtId="183" fontId="108" fillId="53" borderId="8" xfId="7" applyNumberFormat="1" applyFont="1" applyFill="1" applyBorder="1" applyAlignment="1">
      <alignment horizontal="center" vertical="top" shrinkToFit="1"/>
    </xf>
    <xf numFmtId="0" fontId="102" fillId="0" borderId="35" xfId="7" applyBorder="1" applyAlignment="1">
      <alignment horizontal="left" wrapText="1"/>
    </xf>
    <xf numFmtId="0" fontId="102" fillId="0" borderId="14" xfId="7" applyBorder="1" applyAlignment="1">
      <alignment horizontal="center" vertical="top"/>
    </xf>
    <xf numFmtId="0" fontId="69" fillId="10" borderId="7" xfId="7" applyFont="1" applyFill="1" applyBorder="1" applyAlignment="1">
      <alignment horizontal="center" vertical="center"/>
    </xf>
    <xf numFmtId="0" fontId="69" fillId="10" borderId="1" xfId="7" applyFont="1" applyFill="1" applyBorder="1" applyAlignment="1">
      <alignment horizontal="center" vertical="top" wrapText="1"/>
    </xf>
    <xf numFmtId="0" fontId="69" fillId="10" borderId="8" xfId="7" applyFont="1" applyFill="1" applyBorder="1" applyAlignment="1">
      <alignment horizontal="center" vertical="top" wrapText="1"/>
    </xf>
    <xf numFmtId="0" fontId="98" fillId="10" borderId="8" xfId="7" applyFont="1" applyFill="1" applyBorder="1" applyAlignment="1">
      <alignment horizontal="center" vertical="top" wrapText="1"/>
    </xf>
    <xf numFmtId="0" fontId="65" fillId="31" borderId="7" xfId="7" applyFont="1" applyFill="1" applyBorder="1" applyAlignment="1">
      <alignment horizontal="center" vertical="center"/>
    </xf>
    <xf numFmtId="1" fontId="65" fillId="31" borderId="7" xfId="7" applyNumberFormat="1" applyFont="1" applyFill="1" applyBorder="1" applyAlignment="1">
      <alignment horizontal="center" vertical="center"/>
    </xf>
    <xf numFmtId="0" fontId="65" fillId="31" borderId="13" xfId="7" applyFont="1" applyFill="1" applyBorder="1" applyAlignment="1">
      <alignment horizontal="center" vertical="center"/>
    </xf>
    <xf numFmtId="1" fontId="97" fillId="31" borderId="1" xfId="7" applyNumberFormat="1" applyFont="1" applyFill="1" applyBorder="1" applyAlignment="1">
      <alignment horizontal="center" vertical="top" shrinkToFit="1"/>
    </xf>
    <xf numFmtId="0" fontId="98" fillId="31" borderId="1" xfId="7" applyFont="1" applyFill="1" applyBorder="1" applyAlignment="1">
      <alignment horizontal="center" vertical="top" wrapText="1"/>
    </xf>
    <xf numFmtId="1" fontId="97" fillId="31" borderId="8" xfId="7" applyNumberFormat="1" applyFont="1" applyFill="1" applyBorder="1" applyAlignment="1">
      <alignment horizontal="center" vertical="top" shrinkToFit="1"/>
    </xf>
    <xf numFmtId="0" fontId="102" fillId="31" borderId="7" xfId="7" applyFill="1" applyBorder="1" applyAlignment="1">
      <alignment horizontal="left" vertical="top"/>
    </xf>
    <xf numFmtId="1" fontId="66" fillId="31" borderId="1" xfId="7" applyNumberFormat="1" applyFont="1" applyFill="1" applyBorder="1" applyAlignment="1">
      <alignment horizontal="center" vertical="top" shrinkToFit="1"/>
    </xf>
    <xf numFmtId="0" fontId="67" fillId="31" borderId="1" xfId="7" applyFont="1" applyFill="1" applyBorder="1" applyAlignment="1">
      <alignment horizontal="center" vertical="top" wrapText="1"/>
    </xf>
    <xf numFmtId="0" fontId="65" fillId="31" borderId="8" xfId="7" applyFont="1" applyFill="1" applyBorder="1" applyAlignment="1">
      <alignment horizontal="left" wrapText="1"/>
    </xf>
    <xf numFmtId="0" fontId="102" fillId="31" borderId="7" xfId="7" applyFill="1" applyBorder="1" applyAlignment="1">
      <alignment horizontal="center"/>
    </xf>
    <xf numFmtId="0" fontId="67" fillId="31" borderId="8" xfId="7" applyFont="1" applyFill="1" applyBorder="1" applyAlignment="1">
      <alignment horizontal="center" vertical="top" wrapText="1"/>
    </xf>
    <xf numFmtId="0" fontId="0" fillId="25" borderId="11" xfId="0" applyFill="1" applyBorder="1"/>
    <xf numFmtId="16" fontId="0" fillId="5" borderId="7" xfId="0" applyNumberFormat="1" applyFill="1" applyBorder="1"/>
    <xf numFmtId="170" fontId="0" fillId="5" borderId="7" xfId="0" applyNumberFormat="1" applyFill="1" applyBorder="1"/>
    <xf numFmtId="16" fontId="0" fillId="9" borderId="9" xfId="0" applyNumberFormat="1" applyFill="1" applyBorder="1"/>
    <xf numFmtId="0" fontId="102" fillId="0" borderId="0" xfId="7" applyAlignment="1">
      <alignment horizontal="left" vertical="top"/>
    </xf>
    <xf numFmtId="0" fontId="65" fillId="0" borderId="0" xfId="7" applyFont="1" applyAlignment="1">
      <alignment horizontal="left" vertical="top"/>
    </xf>
    <xf numFmtId="0" fontId="102" fillId="10" borderId="7" xfId="7" applyFill="1" applyBorder="1" applyAlignment="1">
      <alignment horizontal="center" vertical="center"/>
    </xf>
    <xf numFmtId="179" fontId="70" fillId="0" borderId="7" xfId="7" applyNumberFormat="1" applyFont="1" applyBorder="1" applyAlignment="1">
      <alignment horizontal="center" vertical="center"/>
    </xf>
    <xf numFmtId="183" fontId="66" fillId="53" borderId="1" xfId="7" applyNumberFormat="1" applyFont="1" applyFill="1" applyBorder="1" applyAlignment="1">
      <alignment horizontal="center" vertical="top" shrinkToFit="1"/>
    </xf>
    <xf numFmtId="0" fontId="110" fillId="53" borderId="1" xfId="7" applyFont="1" applyFill="1" applyBorder="1" applyAlignment="1">
      <alignment horizontal="center" vertical="top" wrapText="1"/>
    </xf>
    <xf numFmtId="180" fontId="70" fillId="16" borderId="7" xfId="7" applyNumberFormat="1" applyFont="1" applyFill="1" applyBorder="1" applyAlignment="1">
      <alignment horizontal="center" vertical="center"/>
    </xf>
    <xf numFmtId="179" fontId="70" fillId="16" borderId="7" xfId="7" applyNumberFormat="1" applyFont="1" applyFill="1" applyBorder="1" applyAlignment="1">
      <alignment horizontal="center" vertical="center"/>
    </xf>
    <xf numFmtId="0" fontId="19" fillId="19" borderId="7" xfId="7" applyFont="1" applyFill="1" applyBorder="1" applyAlignment="1">
      <alignment horizontal="center" vertical="center"/>
    </xf>
    <xf numFmtId="0" fontId="110" fillId="53" borderId="34" xfId="7" applyFont="1" applyFill="1" applyBorder="1" applyAlignment="1">
      <alignment horizontal="center" vertical="top" wrapText="1"/>
    </xf>
    <xf numFmtId="2" fontId="102" fillId="10" borderId="7" xfId="7" applyNumberFormat="1" applyFill="1" applyBorder="1" applyAlignment="1">
      <alignment horizontal="center" vertical="center"/>
    </xf>
    <xf numFmtId="0" fontId="65" fillId="10" borderId="8" xfId="7" applyFont="1" applyFill="1" applyBorder="1" applyAlignment="1">
      <alignment horizontal="left" vertical="center" wrapText="1"/>
    </xf>
    <xf numFmtId="0" fontId="105" fillId="10" borderId="8" xfId="7" applyFont="1" applyFill="1" applyBorder="1" applyAlignment="1">
      <alignment horizontal="center" vertical="top" wrapText="1"/>
    </xf>
    <xf numFmtId="0" fontId="102" fillId="0" borderId="0" xfId="7" applyAlignment="1">
      <alignment horizontal="left" vertical="top"/>
    </xf>
    <xf numFmtId="0" fontId="110" fillId="52" borderId="8" xfId="7" applyFont="1" applyFill="1" applyBorder="1" applyAlignment="1">
      <alignment horizontal="center" vertical="center" wrapText="1"/>
    </xf>
    <xf numFmtId="183" fontId="111" fillId="53" borderId="1" xfId="7" applyNumberFormat="1" applyFont="1" applyFill="1" applyBorder="1" applyAlignment="1">
      <alignment horizontal="center" vertical="center" shrinkToFit="1"/>
    </xf>
    <xf numFmtId="0" fontId="110" fillId="53" borderId="8" xfId="7" applyFont="1" applyFill="1" applyBorder="1" applyAlignment="1">
      <alignment horizontal="center" vertical="center" wrapText="1"/>
    </xf>
    <xf numFmtId="0" fontId="110" fillId="53" borderId="1" xfId="7" applyFont="1" applyFill="1" applyBorder="1" applyAlignment="1">
      <alignment horizontal="center" vertical="center" wrapText="1"/>
    </xf>
    <xf numFmtId="180" fontId="70" fillId="16" borderId="7" xfId="7" applyNumberFormat="1" applyFont="1" applyFill="1" applyBorder="1" applyAlignment="1">
      <alignment horizontal="center" vertical="center"/>
    </xf>
    <xf numFmtId="179" fontId="70" fillId="16" borderId="7" xfId="7" applyNumberFormat="1" applyFont="1" applyFill="1" applyBorder="1" applyAlignment="1">
      <alignment horizontal="center" vertical="center"/>
    </xf>
    <xf numFmtId="2" fontId="102" fillId="10" borderId="13" xfId="7" applyNumberFormat="1" applyFill="1" applyBorder="1" applyAlignment="1">
      <alignment horizontal="center" vertical="center"/>
    </xf>
    <xf numFmtId="0" fontId="10" fillId="10" borderId="7" xfId="7" applyFont="1" applyFill="1" applyBorder="1" applyAlignment="1">
      <alignment horizontal="left" vertical="top"/>
    </xf>
    <xf numFmtId="0" fontId="65" fillId="10" borderId="7" xfId="7" applyFont="1" applyFill="1" applyBorder="1" applyAlignment="1">
      <alignment horizontal="left" vertical="top"/>
    </xf>
    <xf numFmtId="0" fontId="94" fillId="48" borderId="32" xfId="0" applyFont="1" applyFill="1" applyBorder="1" applyAlignment="1">
      <alignment vertical="top" wrapText="1"/>
    </xf>
    <xf numFmtId="0" fontId="94" fillId="48" borderId="8" xfId="0" applyFont="1" applyFill="1" applyBorder="1" applyAlignment="1">
      <alignment horizontal="center" vertical="center" wrapText="1"/>
    </xf>
    <xf numFmtId="183" fontId="96" fillId="49" borderId="1" xfId="0" applyNumberFormat="1" applyFont="1" applyFill="1" applyBorder="1" applyAlignment="1">
      <alignment horizontal="center" vertical="top" shrinkToFit="1"/>
    </xf>
    <xf numFmtId="0" fontId="94" fillId="48" borderId="32" xfId="0" applyFont="1" applyFill="1" applyBorder="1" applyAlignment="1">
      <alignment horizontal="center" vertical="center" wrapText="1"/>
    </xf>
    <xf numFmtId="0" fontId="94" fillId="49" borderId="4" xfId="0" applyFont="1" applyFill="1" applyBorder="1" applyAlignment="1">
      <alignment horizontal="center" vertical="top" wrapText="1"/>
    </xf>
    <xf numFmtId="180" fontId="70" fillId="16" borderId="7" xfId="0" applyNumberFormat="1" applyFont="1" applyFill="1" applyBorder="1" applyAlignment="1">
      <alignment horizontal="center" vertical="center"/>
    </xf>
    <xf numFmtId="179" fontId="70" fillId="16" borderId="7" xfId="0" applyNumberFormat="1" applyFont="1" applyFill="1" applyBorder="1" applyAlignment="1">
      <alignment horizontal="center" vertical="center"/>
    </xf>
    <xf numFmtId="1" fontId="112" fillId="10" borderId="7" xfId="0" applyNumberFormat="1" applyFont="1" applyFill="1" applyBorder="1" applyAlignment="1">
      <alignment horizontal="center" vertical="center"/>
    </xf>
    <xf numFmtId="1" fontId="113" fillId="10" borderId="13" xfId="0" applyNumberFormat="1" applyFont="1" applyFill="1" applyBorder="1" applyAlignment="1">
      <alignment horizontal="center" vertical="center"/>
    </xf>
    <xf numFmtId="1" fontId="113" fillId="10" borderId="7" xfId="0" applyNumberFormat="1" applyFont="1" applyFill="1" applyBorder="1" applyAlignment="1">
      <alignment horizontal="center" vertical="center"/>
    </xf>
    <xf numFmtId="1" fontId="112" fillId="10" borderId="13" xfId="0" applyNumberFormat="1" applyFont="1" applyFill="1" applyBorder="1" applyAlignment="1">
      <alignment horizontal="center" vertical="center"/>
    </xf>
    <xf numFmtId="0" fontId="95" fillId="49" borderId="4" xfId="0" applyFont="1" applyFill="1" applyBorder="1" applyAlignment="1">
      <alignment horizontal="center" vertical="top" wrapText="1"/>
    </xf>
    <xf numFmtId="0" fontId="0" fillId="25" borderId="7" xfId="0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42" fillId="45" borderId="38" xfId="0" applyFont="1" applyFill="1" applyBorder="1" applyAlignment="1">
      <alignment horizontal="center" wrapText="1"/>
    </xf>
    <xf numFmtId="14" fontId="42" fillId="46" borderId="39" xfId="0" applyNumberFormat="1" applyFont="1" applyFill="1" applyBorder="1" applyAlignment="1">
      <alignment horizontal="center" wrapText="1"/>
    </xf>
    <xf numFmtId="0" fontId="42" fillId="45" borderId="38" xfId="0" applyFont="1" applyFill="1" applyBorder="1" applyAlignment="1">
      <alignment horizontal="center" vertical="center" wrapText="1"/>
    </xf>
    <xf numFmtId="0" fontId="42" fillId="45" borderId="40" xfId="0" applyFont="1" applyFill="1" applyBorder="1" applyAlignment="1">
      <alignment horizontal="center" wrapText="1"/>
    </xf>
    <xf numFmtId="0" fontId="42" fillId="46" borderId="41" xfId="0" applyFont="1" applyFill="1" applyBorder="1" applyAlignment="1">
      <alignment horizontal="center" wrapText="1"/>
    </xf>
    <xf numFmtId="180" fontId="30" fillId="0" borderId="7" xfId="0" applyNumberFormat="1" applyFont="1" applyBorder="1"/>
    <xf numFmtId="179" fontId="30" fillId="0" borderId="7" xfId="0" applyNumberFormat="1" applyFont="1" applyBorder="1"/>
    <xf numFmtId="0" fontId="0" fillId="10" borderId="13" xfId="0" applyFill="1" applyBorder="1" applyAlignment="1">
      <alignment horizontal="center"/>
    </xf>
    <xf numFmtId="0" fontId="0" fillId="0" borderId="0" xfId="0"/>
    <xf numFmtId="0" fontId="0" fillId="0" borderId="0" xfId="0"/>
    <xf numFmtId="14" fontId="42" fillId="46" borderId="17" xfId="0" applyNumberFormat="1" applyFont="1" applyFill="1" applyBorder="1" applyAlignment="1">
      <alignment horizontal="center" wrapText="1"/>
    </xf>
    <xf numFmtId="0" fontId="42" fillId="46" borderId="30" xfId="0" applyFont="1" applyFill="1" applyBorder="1" applyAlignment="1">
      <alignment horizontal="center" wrapText="1"/>
    </xf>
    <xf numFmtId="179" fontId="30" fillId="0" borderId="7" xfId="0" applyNumberFormat="1" applyFont="1" applyBorder="1"/>
    <xf numFmtId="0" fontId="30" fillId="35" borderId="7" xfId="0" applyFont="1" applyFill="1" applyBorder="1" applyAlignment="1">
      <alignment horizontal="center" vertical="center"/>
    </xf>
    <xf numFmtId="0" fontId="42" fillId="45" borderId="36" xfId="0" applyFont="1" applyFill="1" applyBorder="1" applyAlignment="1">
      <alignment horizontal="center" vertical="center" wrapText="1"/>
    </xf>
    <xf numFmtId="0" fontId="42" fillId="45" borderId="20" xfId="0" applyFont="1" applyFill="1" applyBorder="1" applyAlignment="1">
      <alignment horizontal="center" vertical="center" wrapText="1"/>
    </xf>
    <xf numFmtId="0" fontId="0" fillId="0" borderId="0" xfId="0"/>
    <xf numFmtId="14" fontId="45" fillId="46" borderId="39" xfId="0" applyNumberFormat="1" applyFont="1" applyFill="1" applyBorder="1" applyAlignment="1">
      <alignment horizontal="center" wrapText="1"/>
    </xf>
    <xf numFmtId="0" fontId="42" fillId="46" borderId="41" xfId="0" applyFont="1" applyFill="1" applyBorder="1" applyAlignment="1">
      <alignment horizontal="center" wrapText="1"/>
    </xf>
    <xf numFmtId="0" fontId="45" fillId="45" borderId="38" xfId="0" applyFont="1" applyFill="1" applyBorder="1" applyAlignment="1">
      <alignment horizontal="center" vertical="center" wrapText="1"/>
    </xf>
    <xf numFmtId="0" fontId="42" fillId="45" borderId="40" xfId="0" applyFont="1" applyFill="1" applyBorder="1" applyAlignment="1">
      <alignment horizontal="center" vertical="center" wrapText="1"/>
    </xf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114" fillId="0" borderId="7" xfId="0" applyFont="1" applyBorder="1" applyAlignment="1">
      <alignment horizontal="center" wrapText="1"/>
    </xf>
    <xf numFmtId="0" fontId="42" fillId="0" borderId="9" xfId="0" applyFont="1" applyBorder="1" applyAlignment="1">
      <alignment wrapText="1"/>
    </xf>
    <xf numFmtId="0" fontId="42" fillId="0" borderId="14" xfId="0" applyFont="1" applyBorder="1" applyAlignment="1">
      <alignment wrapText="1"/>
    </xf>
    <xf numFmtId="0" fontId="45" fillId="0" borderId="7" xfId="0" applyFont="1" applyBorder="1" applyAlignment="1">
      <alignment horizontal="center" wrapText="1"/>
    </xf>
    <xf numFmtId="0" fontId="42" fillId="6" borderId="7" xfId="0" applyFont="1" applyFill="1" applyBorder="1" applyAlignment="1">
      <alignment horizontal="center" wrapText="1"/>
    </xf>
    <xf numFmtId="0" fontId="114" fillId="6" borderId="7" xfId="0" applyFont="1" applyFill="1" applyBorder="1" applyAlignment="1">
      <alignment horizontal="center" wrapText="1"/>
    </xf>
    <xf numFmtId="0" fontId="42" fillId="6" borderId="7" xfId="0" applyFont="1" applyFill="1" applyBorder="1" applyAlignment="1">
      <alignment wrapText="1"/>
    </xf>
    <xf numFmtId="0" fontId="115" fillId="31" borderId="7" xfId="0" applyFont="1" applyFill="1" applyBorder="1"/>
    <xf numFmtId="1" fontId="0" fillId="31" borderId="7" xfId="0" applyNumberFormat="1" applyFill="1" applyBorder="1" applyAlignment="1">
      <alignment horizontal="center"/>
    </xf>
    <xf numFmtId="0" fontId="12" fillId="31" borderId="0" xfId="0" applyFont="1" applyFill="1" applyBorder="1"/>
    <xf numFmtId="0" fontId="0" fillId="0" borderId="0" xfId="0"/>
    <xf numFmtId="14" fontId="42" fillId="46" borderId="17" xfId="0" applyNumberFormat="1" applyFont="1" applyFill="1" applyBorder="1" applyAlignment="1">
      <alignment horizontal="center" wrapText="1"/>
    </xf>
    <xf numFmtId="0" fontId="42" fillId="45" borderId="36" xfId="0" applyFont="1" applyFill="1" applyBorder="1" applyAlignment="1">
      <alignment horizontal="center" vertical="center" wrapText="1"/>
    </xf>
    <xf numFmtId="0" fontId="42" fillId="45" borderId="20" xfId="0" applyFont="1" applyFill="1" applyBorder="1" applyAlignment="1">
      <alignment horizontal="center" vertical="center" wrapText="1"/>
    </xf>
    <xf numFmtId="0" fontId="42" fillId="46" borderId="30" xfId="0" applyFont="1" applyFill="1" applyBorder="1" applyAlignment="1">
      <alignment horizontal="center" wrapText="1"/>
    </xf>
    <xf numFmtId="179" fontId="30" fillId="0" borderId="7" xfId="0" applyNumberFormat="1" applyFont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/>
    </xf>
    <xf numFmtId="1" fontId="0" fillId="23" borderId="7" xfId="0" applyNumberFormat="1" applyFill="1" applyBorder="1" applyAlignment="1">
      <alignment horizontal="center"/>
    </xf>
    <xf numFmtId="0" fontId="0" fillId="0" borderId="0" xfId="0"/>
    <xf numFmtId="0" fontId="0" fillId="23" borderId="13" xfId="0" applyFill="1" applyBorder="1" applyAlignment="1">
      <alignment horizontal="center"/>
    </xf>
    <xf numFmtId="0" fontId="0" fillId="23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7" xfId="0" applyFill="1" applyBorder="1" applyAlignment="1">
      <alignment horizontal="center"/>
    </xf>
    <xf numFmtId="1" fontId="42" fillId="33" borderId="7" xfId="0" applyNumberFormat="1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0" fillId="0" borderId="0" xfId="0"/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45" fillId="45" borderId="7" xfId="0" applyFont="1" applyFill="1" applyBorder="1" applyAlignment="1">
      <alignment horizontal="center" vertical="center" wrapText="1"/>
    </xf>
    <xf numFmtId="1" fontId="45" fillId="46" borderId="7" xfId="0" applyNumberFormat="1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 vertical="center"/>
    </xf>
    <xf numFmtId="1" fontId="0" fillId="25" borderId="7" xfId="0" applyNumberFormat="1" applyFill="1" applyBorder="1" applyAlignment="1">
      <alignment horizontal="center" vertical="center"/>
    </xf>
    <xf numFmtId="2" fontId="0" fillId="25" borderId="7" xfId="0" applyNumberFormat="1" applyFill="1" applyBorder="1" applyAlignment="1">
      <alignment horizontal="center" vertical="center"/>
    </xf>
    <xf numFmtId="1" fontId="0" fillId="10" borderId="7" xfId="0" quotePrefix="1" applyNumberFormat="1" applyFill="1" applyBorder="1" applyAlignment="1">
      <alignment horizontal="center" vertical="center"/>
    </xf>
    <xf numFmtId="0" fontId="0" fillId="0" borderId="0" xfId="0"/>
    <xf numFmtId="0" fontId="0" fillId="0" borderId="0" xfId="0"/>
    <xf numFmtId="174" fontId="30" fillId="12" borderId="7" xfId="0" applyNumberFormat="1" applyFont="1" applyFill="1" applyBorder="1" applyAlignment="1">
      <alignment horizontal="center" vertical="center"/>
    </xf>
    <xf numFmtId="179" fontId="30" fillId="12" borderId="7" xfId="0" applyNumberFormat="1" applyFont="1" applyFill="1" applyBorder="1" applyAlignment="1">
      <alignment horizontal="center" vertical="center"/>
    </xf>
    <xf numFmtId="0" fontId="42" fillId="45" borderId="7" xfId="0" applyFont="1" applyFill="1" applyBorder="1" applyAlignment="1">
      <alignment horizontal="center" vertical="center" wrapText="1"/>
    </xf>
    <xf numFmtId="0" fontId="42" fillId="46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15" fontId="0" fillId="25" borderId="7" xfId="0" applyNumberFormat="1" applyFill="1" applyBorder="1" applyAlignment="1">
      <alignment horizontal="center" vertical="center"/>
    </xf>
    <xf numFmtId="0" fontId="116" fillId="25" borderId="7" xfId="0" applyFont="1" applyFill="1" applyBorder="1" applyAlignment="1">
      <alignment horizontal="center" vertical="center"/>
    </xf>
    <xf numFmtId="15" fontId="116" fillId="25" borderId="7" xfId="0" applyNumberFormat="1" applyFont="1" applyFill="1" applyBorder="1" applyAlignment="1">
      <alignment horizontal="center" vertical="center"/>
    </xf>
    <xf numFmtId="0" fontId="116" fillId="25" borderId="7" xfId="0" quotePrefix="1" applyFont="1" applyFill="1" applyBorder="1" applyAlignment="1">
      <alignment horizontal="center" vertical="center"/>
    </xf>
    <xf numFmtId="0" fontId="119" fillId="25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117" fillId="0" borderId="0" xfId="0" applyFont="1" applyBorder="1" applyAlignment="1">
      <alignment horizontal="center" vertical="center"/>
    </xf>
    <xf numFmtId="0" fontId="30" fillId="31" borderId="7" xfId="0" applyFont="1" applyFill="1" applyBorder="1" applyAlignment="1">
      <alignment horizontal="center"/>
    </xf>
    <xf numFmtId="0" fontId="0" fillId="0" borderId="0" xfId="0"/>
    <xf numFmtId="174" fontId="30" fillId="12" borderId="7" xfId="0" applyNumberFormat="1" applyFont="1" applyFill="1" applyBorder="1" applyAlignment="1">
      <alignment horizontal="center" vertical="center"/>
    </xf>
    <xf numFmtId="0" fontId="121" fillId="58" borderId="7" xfId="0" applyFont="1" applyFill="1" applyBorder="1" applyAlignment="1">
      <alignment horizontal="center" vertical="center" wrapText="1"/>
    </xf>
    <xf numFmtId="15" fontId="121" fillId="58" borderId="7" xfId="0" applyNumberFormat="1" applyFont="1" applyFill="1" applyBorder="1" applyAlignment="1">
      <alignment horizontal="center" vertical="center" wrapText="1"/>
    </xf>
    <xf numFmtId="0" fontId="12" fillId="0" borderId="7" xfId="0" applyFont="1" applyBorder="1"/>
    <xf numFmtId="179" fontId="30" fillId="12" borderId="7" xfId="0" applyNumberFormat="1" applyFont="1" applyFill="1" applyBorder="1" applyAlignment="1">
      <alignment horizontal="center" vertical="center"/>
    </xf>
    <xf numFmtId="1" fontId="0" fillId="10" borderId="26" xfId="0" applyNumberForma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1" fontId="0" fillId="10" borderId="13" xfId="0" applyNumberFormat="1" applyFill="1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4" fontId="122" fillId="59" borderId="7" xfId="0" applyNumberFormat="1" applyFont="1" applyFill="1" applyBorder="1" applyAlignment="1">
      <alignment vertical="center" wrapText="1"/>
    </xf>
    <xf numFmtId="0" fontId="122" fillId="59" borderId="7" xfId="0" applyFont="1" applyFill="1" applyBorder="1" applyAlignment="1">
      <alignment vertical="center" wrapText="1"/>
    </xf>
    <xf numFmtId="14" fontId="122" fillId="60" borderId="7" xfId="0" applyNumberFormat="1" applyFont="1" applyFill="1" applyBorder="1" applyAlignment="1">
      <alignment vertical="center" wrapText="1"/>
    </xf>
    <xf numFmtId="0" fontId="122" fillId="60" borderId="7" xfId="0" applyFont="1" applyFill="1" applyBorder="1" applyAlignment="1">
      <alignment vertical="center" wrapText="1"/>
    </xf>
    <xf numFmtId="0" fontId="122" fillId="59" borderId="13" xfId="0" applyFont="1" applyFill="1" applyBorder="1" applyAlignment="1">
      <alignment vertical="center" wrapText="1"/>
    </xf>
    <xf numFmtId="0" fontId="122" fillId="60" borderId="13" xfId="0" applyFont="1" applyFill="1" applyBorder="1" applyAlignment="1">
      <alignment vertical="center" wrapText="1"/>
    </xf>
    <xf numFmtId="0" fontId="122" fillId="59" borderId="7" xfId="0" applyFont="1" applyFill="1" applyBorder="1" applyAlignment="1">
      <alignment horizontal="right" vertical="center" wrapText="1"/>
    </xf>
    <xf numFmtId="0" fontId="122" fillId="60" borderId="7" xfId="0" applyFont="1" applyFill="1" applyBorder="1" applyAlignment="1">
      <alignment horizontal="right" vertical="center" wrapText="1"/>
    </xf>
    <xf numFmtId="0" fontId="122" fillId="59" borderId="7" xfId="0" applyFont="1" applyFill="1" applyBorder="1" applyAlignment="1">
      <alignment horizontal="center" vertical="center" wrapText="1"/>
    </xf>
    <xf numFmtId="0" fontId="122" fillId="60" borderId="7" xfId="0" applyFont="1" applyFill="1" applyBorder="1" applyAlignment="1">
      <alignment horizontal="center" vertical="center" wrapText="1"/>
    </xf>
    <xf numFmtId="14" fontId="123" fillId="59" borderId="7" xfId="0" applyNumberFormat="1" applyFont="1" applyFill="1" applyBorder="1" applyAlignment="1">
      <alignment vertical="center" wrapText="1"/>
    </xf>
    <xf numFmtId="0" fontId="123" fillId="59" borderId="13" xfId="0" applyFont="1" applyFill="1" applyBorder="1" applyAlignment="1">
      <alignment vertical="center" wrapText="1"/>
    </xf>
    <xf numFmtId="0" fontId="123" fillId="59" borderId="7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4" fontId="123" fillId="60" borderId="7" xfId="0" applyNumberFormat="1" applyFont="1" applyFill="1" applyBorder="1" applyAlignment="1">
      <alignment vertical="center" wrapText="1"/>
    </xf>
    <xf numFmtId="0" fontId="123" fillId="60" borderId="13" xfId="0" applyFont="1" applyFill="1" applyBorder="1" applyAlignment="1">
      <alignment vertical="center" wrapText="1"/>
    </xf>
    <xf numFmtId="0" fontId="123" fillId="60" borderId="7" xfId="0" applyFont="1" applyFill="1" applyBorder="1" applyAlignment="1">
      <alignment horizontal="center" vertical="center" wrapText="1"/>
    </xf>
    <xf numFmtId="14" fontId="124" fillId="22" borderId="7" xfId="0" applyNumberFormat="1" applyFont="1" applyFill="1" applyBorder="1"/>
    <xf numFmtId="0" fontId="124" fillId="22" borderId="13" xfId="0" applyFont="1" applyFill="1" applyBorder="1"/>
    <xf numFmtId="0" fontId="0" fillId="22" borderId="7" xfId="0" applyFont="1" applyFill="1" applyBorder="1" applyAlignment="1">
      <alignment horizontal="center"/>
    </xf>
    <xf numFmtId="0" fontId="124" fillId="22" borderId="7" xfId="0" applyFont="1" applyFill="1" applyBorder="1" applyAlignment="1">
      <alignment horizontal="center"/>
    </xf>
    <xf numFmtId="0" fontId="0" fillId="22" borderId="5" xfId="0" applyFont="1" applyFill="1" applyBorder="1" applyAlignment="1">
      <alignment horizontal="center"/>
    </xf>
    <xf numFmtId="0" fontId="0" fillId="22" borderId="7" xfId="0" applyFont="1" applyFill="1" applyBorder="1"/>
    <xf numFmtId="14" fontId="122" fillId="9" borderId="7" xfId="0" applyNumberFormat="1" applyFont="1" applyFill="1" applyBorder="1" applyAlignment="1">
      <alignment vertical="center" wrapText="1"/>
    </xf>
    <xf numFmtId="0" fontId="122" fillId="9" borderId="7" xfId="0" applyFont="1" applyFill="1" applyBorder="1" applyAlignment="1">
      <alignment vertical="center" wrapText="1"/>
    </xf>
    <xf numFmtId="0" fontId="122" fillId="9" borderId="7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/>
    </xf>
    <xf numFmtId="14" fontId="122" fillId="22" borderId="7" xfId="0" applyNumberFormat="1" applyFont="1" applyFill="1" applyBorder="1" applyAlignment="1">
      <alignment vertical="center" wrapText="1"/>
    </xf>
    <xf numFmtId="0" fontId="122" fillId="22" borderId="7" xfId="0" applyFont="1" applyFill="1" applyBorder="1" applyAlignment="1">
      <alignment vertical="center" wrapText="1"/>
    </xf>
    <xf numFmtId="0" fontId="122" fillId="22" borderId="7" xfId="0" applyFon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0" borderId="0" xfId="0"/>
    <xf numFmtId="0" fontId="42" fillId="46" borderId="7" xfId="0" applyFont="1" applyFill="1" applyBorder="1" applyAlignment="1">
      <alignment horizontal="center" wrapText="1"/>
    </xf>
    <xf numFmtId="0" fontId="42" fillId="45" borderId="7" xfId="0" applyFont="1" applyFill="1" applyBorder="1" applyAlignment="1">
      <alignment horizontal="center" vertical="center" wrapText="1"/>
    </xf>
    <xf numFmtId="179" fontId="30" fillId="12" borderId="7" xfId="0" applyNumberFormat="1" applyFont="1" applyFill="1" applyBorder="1" applyAlignment="1">
      <alignment horizontal="center" vertical="center"/>
    </xf>
    <xf numFmtId="170" fontId="0" fillId="0" borderId="9" xfId="0" applyNumberFormat="1" applyBorder="1"/>
    <xf numFmtId="170" fontId="0" fillId="9" borderId="9" xfId="0" applyNumberFormat="1" applyFill="1" applyBorder="1" applyAlignment="1">
      <alignment horizontal="center"/>
    </xf>
    <xf numFmtId="14" fontId="3" fillId="33" borderId="0" xfId="0" applyNumberFormat="1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0" fillId="0" borderId="0" xfId="0"/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45" fillId="45" borderId="7" xfId="0" applyFont="1" applyFill="1" applyBorder="1" applyAlignment="1">
      <alignment horizontal="center" vertical="center" wrapText="1"/>
    </xf>
    <xf numFmtId="14" fontId="45" fillId="46" borderId="7" xfId="0" applyNumberFormat="1" applyFont="1" applyFill="1" applyBorder="1" applyAlignment="1">
      <alignment horizontal="center" vertical="center" wrapText="1"/>
    </xf>
    <xf numFmtId="0" fontId="45" fillId="46" borderId="7" xfId="0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/>
    </xf>
    <xf numFmtId="0" fontId="122" fillId="0" borderId="0" xfId="0" applyFont="1"/>
    <xf numFmtId="0" fontId="0" fillId="0" borderId="14" xfId="0" applyBorder="1" applyAlignment="1">
      <alignment horizontal="right"/>
    </xf>
    <xf numFmtId="14" fontId="122" fillId="0" borderId="7" xfId="0" applyNumberFormat="1" applyFont="1" applyBorder="1"/>
    <xf numFmtId="0" fontId="122" fillId="0" borderId="7" xfId="0" applyFont="1" applyBorder="1"/>
    <xf numFmtId="14" fontId="122" fillId="59" borderId="7" xfId="0" applyNumberFormat="1" applyFont="1" applyFill="1" applyBorder="1" applyAlignment="1">
      <alignment horizontal="center" vertical="center" wrapText="1"/>
    </xf>
    <xf numFmtId="14" fontId="122" fillId="60" borderId="7" xfId="0" applyNumberFormat="1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/>
    </xf>
    <xf numFmtId="1" fontId="12" fillId="0" borderId="0" xfId="0" applyNumberFormat="1" applyFont="1"/>
    <xf numFmtId="182" fontId="12" fillId="0" borderId="0" xfId="0" applyNumberFormat="1" applyFont="1"/>
    <xf numFmtId="0" fontId="82" fillId="53" borderId="4" xfId="0" applyFont="1" applyFill="1" applyBorder="1" applyAlignment="1">
      <alignment horizontal="center" vertical="top" wrapText="1"/>
    </xf>
    <xf numFmtId="0" fontId="0" fillId="0" borderId="0" xfId="0"/>
    <xf numFmtId="174" fontId="30" fillId="35" borderId="7" xfId="0" applyNumberFormat="1" applyFont="1" applyFill="1" applyBorder="1" applyAlignment="1">
      <alignment horizontal="center" vertical="center"/>
    </xf>
    <xf numFmtId="179" fontId="30" fillId="35" borderId="7" xfId="0" applyNumberFormat="1" applyFont="1" applyFill="1" applyBorder="1" applyAlignment="1">
      <alignment horizontal="center" vertical="center"/>
    </xf>
    <xf numFmtId="0" fontId="45" fillId="45" borderId="7" xfId="0" applyFont="1" applyFill="1" applyBorder="1" applyAlignment="1">
      <alignment horizontal="center" wrapText="1"/>
    </xf>
    <xf numFmtId="0" fontId="45" fillId="46" borderId="7" xfId="0" applyFont="1" applyFill="1" applyBorder="1" applyAlignment="1">
      <alignment horizontal="center" vertical="center" wrapText="1"/>
    </xf>
    <xf numFmtId="0" fontId="0" fillId="22" borderId="11" xfId="0" applyFill="1" applyBorder="1"/>
    <xf numFmtId="0" fontId="0" fillId="0" borderId="0" xfId="0"/>
    <xf numFmtId="0" fontId="42" fillId="46" borderId="7" xfId="0" applyFont="1" applyFill="1" applyBorder="1" applyAlignment="1">
      <alignment horizontal="center" vertical="center" wrapText="1"/>
    </xf>
    <xf numFmtId="0" fontId="42" fillId="46" borderId="11" xfId="0" applyFont="1" applyFill="1" applyBorder="1" applyAlignment="1">
      <alignment horizontal="center" vertical="center" wrapText="1"/>
    </xf>
    <xf numFmtId="0" fontId="42" fillId="45" borderId="7" xfId="0" applyFont="1" applyFill="1" applyBorder="1" applyAlignment="1">
      <alignment horizontal="center" vertical="center" wrapText="1"/>
    </xf>
    <xf numFmtId="179" fontId="30" fillId="35" borderId="7" xfId="0" applyNumberFormat="1" applyFont="1" applyFill="1" applyBorder="1" applyAlignment="1">
      <alignment horizontal="center" vertical="center"/>
    </xf>
    <xf numFmtId="14" fontId="123" fillId="59" borderId="7" xfId="0" applyNumberFormat="1" applyFont="1" applyFill="1" applyBorder="1" applyAlignment="1">
      <alignment horizontal="center" vertical="center" wrapText="1"/>
    </xf>
    <xf numFmtId="0" fontId="123" fillId="59" borderId="7" xfId="0" applyFont="1" applyFill="1" applyBorder="1" applyAlignment="1">
      <alignment vertical="center" wrapText="1"/>
    </xf>
    <xf numFmtId="0" fontId="123" fillId="59" borderId="7" xfId="0" applyFont="1" applyFill="1" applyBorder="1" applyAlignment="1">
      <alignment horizontal="right" vertical="center" wrapText="1"/>
    </xf>
    <xf numFmtId="14" fontId="123" fillId="60" borderId="7" xfId="0" applyNumberFormat="1" applyFont="1" applyFill="1" applyBorder="1" applyAlignment="1">
      <alignment horizontal="center" vertical="center" wrapText="1"/>
    </xf>
    <xf numFmtId="0" fontId="123" fillId="60" borderId="7" xfId="0" applyFont="1" applyFill="1" applyBorder="1" applyAlignment="1">
      <alignment vertical="center" wrapText="1"/>
    </xf>
    <xf numFmtId="0" fontId="123" fillId="60" borderId="7" xfId="0" applyFont="1" applyFill="1" applyBorder="1" applyAlignment="1">
      <alignment horizontal="right" vertical="center" wrapText="1"/>
    </xf>
    <xf numFmtId="0" fontId="65" fillId="0" borderId="7" xfId="7" applyFont="1" applyBorder="1" applyAlignment="1">
      <alignment horizontal="center" wrapText="1"/>
    </xf>
    <xf numFmtId="0" fontId="67" fillId="52" borderId="8" xfId="7" applyFont="1" applyFill="1" applyBorder="1" applyAlignment="1">
      <alignment horizontal="center" vertical="top" wrapText="1"/>
    </xf>
    <xf numFmtId="0" fontId="67" fillId="52" borderId="2" xfId="7" applyFont="1" applyFill="1" applyBorder="1" applyAlignment="1">
      <alignment horizontal="center" vertical="top" wrapText="1"/>
    </xf>
    <xf numFmtId="0" fontId="67" fillId="52" borderId="32" xfId="7" applyFont="1" applyFill="1" applyBorder="1" applyAlignment="1">
      <alignment horizontal="center" vertical="top" wrapText="1"/>
    </xf>
    <xf numFmtId="0" fontId="67" fillId="52" borderId="15" xfId="7" applyFont="1" applyFill="1" applyBorder="1" applyAlignment="1">
      <alignment horizontal="center" vertical="top" wrapText="1"/>
    </xf>
    <xf numFmtId="0" fontId="109" fillId="0" borderId="7" xfId="7" applyFont="1" applyBorder="1" applyAlignment="1">
      <alignment horizontal="center" vertical="center" wrapText="1"/>
    </xf>
    <xf numFmtId="183" fontId="107" fillId="53" borderId="8" xfId="7" applyNumberFormat="1" applyFont="1" applyFill="1" applyBorder="1" applyAlignment="1">
      <alignment horizontal="center" vertical="center" shrinkToFit="1"/>
    </xf>
    <xf numFmtId="183" fontId="107" fillId="53" borderId="37" xfId="7" applyNumberFormat="1" applyFont="1" applyFill="1" applyBorder="1" applyAlignment="1">
      <alignment horizontal="center" vertical="center" shrinkToFit="1"/>
    </xf>
    <xf numFmtId="0" fontId="106" fillId="52" borderId="8" xfId="7" applyFont="1" applyFill="1" applyBorder="1" applyAlignment="1">
      <alignment horizontal="center" vertical="center" wrapText="1"/>
    </xf>
    <xf numFmtId="0" fontId="106" fillId="52" borderId="2" xfId="7" applyFont="1" applyFill="1" applyBorder="1" applyAlignment="1">
      <alignment horizontal="center" vertical="center" wrapText="1"/>
    </xf>
    <xf numFmtId="0" fontId="89" fillId="52" borderId="8" xfId="0" applyFont="1" applyFill="1" applyBorder="1" applyAlignment="1">
      <alignment horizontal="center" vertical="top" wrapText="1"/>
    </xf>
    <xf numFmtId="0" fontId="89" fillId="52" borderId="2" xfId="0" applyFont="1" applyFill="1" applyBorder="1" applyAlignment="1">
      <alignment horizontal="center" vertical="top" wrapText="1"/>
    </xf>
    <xf numFmtId="0" fontId="89" fillId="52" borderId="32" xfId="0" applyFont="1" applyFill="1" applyBorder="1" applyAlignment="1">
      <alignment horizontal="center" vertical="top" wrapText="1"/>
    </xf>
    <xf numFmtId="0" fontId="89" fillId="52" borderId="15" xfId="0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0" borderId="13" xfId="0" applyFont="1" applyBorder="1" applyAlignment="1">
      <alignment horizontal="center" wrapText="1"/>
    </xf>
    <xf numFmtId="0" fontId="42" fillId="0" borderId="6" xfId="0" applyFont="1" applyBorder="1" applyAlignment="1">
      <alignment horizontal="center" wrapText="1"/>
    </xf>
    <xf numFmtId="0" fontId="42" fillId="0" borderId="5" xfId="0" applyFont="1" applyBorder="1" applyAlignment="1">
      <alignment horizont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39" borderId="7" xfId="0" applyFont="1" applyFill="1" applyBorder="1" applyAlignment="1">
      <alignment horizont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2" fillId="3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50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8" fillId="0" borderId="18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2" fillId="43" borderId="7" xfId="0" applyFont="1" applyFill="1" applyBorder="1" applyAlignment="1">
      <alignment wrapText="1"/>
    </xf>
    <xf numFmtId="0" fontId="42" fillId="42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2" fillId="25" borderId="7" xfId="0" applyFont="1" applyFill="1" applyBorder="1" applyAlignment="1">
      <alignment horizontal="center" wrapText="1"/>
    </xf>
    <xf numFmtId="0" fontId="53" fillId="0" borderId="7" xfId="0" applyFont="1" applyBorder="1" applyAlignment="1">
      <alignment horizontal="center" vertical="center" wrapText="1"/>
    </xf>
    <xf numFmtId="0" fontId="42" fillId="0" borderId="20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5" fillId="45" borderId="7" xfId="0" applyFont="1" applyFill="1" applyBorder="1" applyAlignment="1">
      <alignment horizontal="center" wrapText="1"/>
    </xf>
    <xf numFmtId="0" fontId="48" fillId="0" borderId="13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57" fillId="48" borderId="7" xfId="0" applyFont="1" applyFill="1" applyBorder="1" applyAlignment="1">
      <alignment horizontal="center" vertical="top" wrapText="1"/>
    </xf>
    <xf numFmtId="0" fontId="48" fillId="0" borderId="7" xfId="0" applyFont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 wrapText="1"/>
    </xf>
    <xf numFmtId="0" fontId="72" fillId="48" borderId="0" xfId="5" applyFill="1" applyAlignment="1">
      <alignment horizontal="center" vertical="top" wrapText="1"/>
    </xf>
    <xf numFmtId="0" fontId="77" fillId="0" borderId="13" xfId="5" applyFont="1" applyBorder="1" applyAlignment="1">
      <alignment horizontal="center" vertical="center" wrapText="1"/>
    </xf>
    <xf numFmtId="0" fontId="77" fillId="0" borderId="6" xfId="5" applyFont="1" applyBorder="1" applyAlignment="1">
      <alignment horizontal="center" vertical="center" wrapText="1"/>
    </xf>
    <xf numFmtId="0" fontId="77" fillId="0" borderId="5" xfId="5" applyFont="1" applyBorder="1" applyAlignment="1">
      <alignment horizontal="center" vertical="center" wrapText="1"/>
    </xf>
    <xf numFmtId="0" fontId="65" fillId="48" borderId="7" xfId="4" applyFill="1" applyBorder="1" applyAlignment="1">
      <alignment horizontal="center" vertical="top" wrapText="1"/>
    </xf>
    <xf numFmtId="0" fontId="65" fillId="10" borderId="13" xfId="4" applyFill="1" applyBorder="1" applyAlignment="1">
      <alignment horizontal="left" vertical="center" wrapText="1"/>
    </xf>
    <xf numFmtId="0" fontId="71" fillId="0" borderId="7" xfId="4" applyFont="1" applyBorder="1" applyAlignment="1">
      <alignment horizontal="center" vertical="center" wrapText="1"/>
    </xf>
    <xf numFmtId="0" fontId="94" fillId="48" borderId="8" xfId="7" applyFont="1" applyFill="1" applyBorder="1" applyAlignment="1">
      <alignment horizontal="center" vertical="top" wrapText="1"/>
    </xf>
    <xf numFmtId="0" fontId="94" fillId="48" borderId="2" xfId="7" applyFont="1" applyFill="1" applyBorder="1" applyAlignment="1">
      <alignment horizontal="center" vertical="top" wrapText="1"/>
    </xf>
    <xf numFmtId="0" fontId="102" fillId="0" borderId="13" xfId="7" applyBorder="1" applyAlignment="1">
      <alignment horizontal="center" wrapText="1"/>
    </xf>
    <xf numFmtId="0" fontId="102" fillId="0" borderId="5" xfId="7" applyBorder="1" applyAlignment="1">
      <alignment horizontal="center" wrapText="1"/>
    </xf>
    <xf numFmtId="0" fontId="72" fillId="48" borderId="7" xfId="5" applyFill="1" applyBorder="1" applyAlignment="1">
      <alignment horizontal="center" vertical="top" wrapText="1"/>
    </xf>
    <xf numFmtId="0" fontId="84" fillId="0" borderId="7" xfId="0" applyFont="1" applyBorder="1" applyAlignment="1">
      <alignment horizontal="center" vertical="center"/>
    </xf>
    <xf numFmtId="0" fontId="0" fillId="52" borderId="7" xfId="0" applyFill="1" applyBorder="1" applyAlignment="1">
      <alignment horizontal="center" vertical="top" wrapText="1"/>
    </xf>
    <xf numFmtId="0" fontId="79" fillId="0" borderId="13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45" fillId="45" borderId="7" xfId="0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42" fillId="45" borderId="7" xfId="0" applyFont="1" applyFill="1" applyBorder="1" applyAlignment="1">
      <alignment horizontal="center" wrapText="1"/>
    </xf>
    <xf numFmtId="14" fontId="42" fillId="46" borderId="38" xfId="0" applyNumberFormat="1" applyFont="1" applyFill="1" applyBorder="1" applyAlignment="1">
      <alignment horizontal="center" wrapText="1"/>
    </xf>
    <xf numFmtId="14" fontId="42" fillId="46" borderId="42" xfId="0" applyNumberFormat="1" applyFont="1" applyFill="1" applyBorder="1" applyAlignment="1">
      <alignment horizontal="center" wrapText="1"/>
    </xf>
    <xf numFmtId="14" fontId="42" fillId="46" borderId="43" xfId="0" applyNumberFormat="1" applyFont="1" applyFill="1" applyBorder="1" applyAlignment="1">
      <alignment horizontal="center" wrapText="1"/>
    </xf>
    <xf numFmtId="0" fontId="15" fillId="25" borderId="7" xfId="0" applyFont="1" applyFill="1" applyBorder="1" applyAlignment="1">
      <alignment horizontal="center" vertical="top"/>
    </xf>
    <xf numFmtId="0" fontId="0" fillId="52" borderId="0" xfId="0" applyFill="1" applyBorder="1" applyAlignment="1">
      <alignment horizontal="center" vertical="center" wrapText="1"/>
    </xf>
    <xf numFmtId="0" fontId="0" fillId="52" borderId="33" xfId="0" applyFill="1" applyBorder="1" applyAlignment="1">
      <alignment horizontal="center" vertical="center" wrapText="1"/>
    </xf>
    <xf numFmtId="0" fontId="76" fillId="53" borderId="0" xfId="0" applyFont="1" applyFill="1" applyBorder="1" applyAlignment="1">
      <alignment horizontal="center" vertical="center" wrapText="1"/>
    </xf>
    <xf numFmtId="0" fontId="76" fillId="53" borderId="3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45" fillId="45" borderId="36" xfId="0" applyFont="1" applyFill="1" applyBorder="1" applyAlignment="1">
      <alignment horizontal="center" wrapText="1"/>
    </xf>
    <xf numFmtId="0" fontId="45" fillId="45" borderId="19" xfId="0" applyFont="1" applyFill="1" applyBorder="1" applyAlignment="1">
      <alignment horizontal="center" wrapText="1"/>
    </xf>
    <xf numFmtId="0" fontId="45" fillId="45" borderId="20" xfId="0" applyFont="1" applyFill="1" applyBorder="1" applyAlignment="1">
      <alignment horizontal="center" wrapText="1"/>
    </xf>
    <xf numFmtId="0" fontId="45" fillId="45" borderId="22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94" fillId="52" borderId="8" xfId="0" applyFont="1" applyFill="1" applyBorder="1" applyAlignment="1">
      <alignment horizontal="center" vertical="top" wrapText="1"/>
    </xf>
    <xf numFmtId="0" fontId="94" fillId="52" borderId="2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25" borderId="7" xfId="0" applyFill="1" applyBorder="1" applyAlignment="1">
      <alignment horizontal="center" vertical="top" wrapText="1"/>
    </xf>
    <xf numFmtId="179" fontId="85" fillId="25" borderId="7" xfId="0" applyNumberFormat="1" applyFont="1" applyFill="1" applyBorder="1" applyAlignment="1">
      <alignment horizontal="center" vertical="top"/>
    </xf>
    <xf numFmtId="0" fontId="10" fillId="55" borderId="7" xfId="6" applyFont="1" applyFill="1" applyBorder="1" applyAlignment="1">
      <alignment horizontal="center" vertical="top" wrapText="1"/>
    </xf>
    <xf numFmtId="0" fontId="79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0" fillId="25" borderId="7" xfId="0" applyFill="1" applyBorder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71" fontId="34" fillId="7" borderId="0" xfId="0" applyNumberFormat="1" applyFont="1" applyFill="1" applyAlignment="1">
      <alignment horizontal="center"/>
    </xf>
    <xf numFmtId="2" fontId="0" fillId="0" borderId="7" xfId="0" applyNumberFormat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4" xr:uid="{BDB6D673-EABA-4445-8049-33ADD6DD7E9F}"/>
    <cellStyle name="Normal 3" xfId="5" xr:uid="{69042920-1BF6-41AE-8A5F-2E894D6065A7}"/>
    <cellStyle name="Normal 4" xfId="6" xr:uid="{5A5E705D-802F-48FA-9B68-A84975222C49}"/>
    <cellStyle name="Normal 5" xfId="7" xr:uid="{215659C2-A444-43DF-AE88-41B7533528CB}"/>
    <cellStyle name="Percent" xfId="3" builtinId="5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harveynorman.com.au/dji-mini-4-pro-rc-2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arveynorman.com.au/dji-mini-4-pro-rc-2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1936-3274-403B-9913-9031316BDDB3}">
  <sheetPr codeName="Sheet1"/>
  <dimension ref="A1:J3626"/>
  <sheetViews>
    <sheetView topLeftCell="A3585" zoomScale="70" zoomScaleNormal="70" workbookViewId="0">
      <selection activeCell="B3598" sqref="B3598"/>
    </sheetView>
  </sheetViews>
  <sheetFormatPr defaultRowHeight="15"/>
  <cols>
    <col min="1" max="1" width="7.140625" customWidth="1"/>
    <col min="2" max="2" width="82" customWidth="1"/>
    <col min="3" max="3" width="34.85546875" customWidth="1"/>
    <col min="4" max="4" width="53.7109375" customWidth="1"/>
    <col min="5" max="5" width="54.7109375" style="500" customWidth="1"/>
    <col min="6" max="6" width="59.85546875" customWidth="1"/>
    <col min="7" max="7" width="34.5703125" customWidth="1"/>
    <col min="8" max="8" width="37.140625" style="731" customWidth="1"/>
    <col min="9" max="9" width="31.42578125" customWidth="1"/>
    <col min="10" max="10" width="22.85546875" customWidth="1"/>
  </cols>
  <sheetData>
    <row r="1" spans="1:10">
      <c r="A1" s="1434" t="s">
        <v>1</v>
      </c>
      <c r="B1" s="1434"/>
      <c r="C1" s="673">
        <v>46082</v>
      </c>
      <c r="D1" s="1443" t="s">
        <v>2516</v>
      </c>
      <c r="E1" s="1443"/>
      <c r="F1" s="1443"/>
      <c r="G1" s="1443"/>
      <c r="H1" s="1443"/>
      <c r="I1" s="1443"/>
      <c r="J1" s="1443"/>
    </row>
    <row r="2" spans="1:10">
      <c r="A2" s="1434" t="s">
        <v>2416</v>
      </c>
      <c r="B2" s="1434"/>
      <c r="C2" s="674" t="s">
        <v>2417</v>
      </c>
      <c r="D2" s="1443"/>
      <c r="E2" s="1443"/>
      <c r="F2" s="1443"/>
      <c r="G2" s="1443"/>
      <c r="H2" s="1443"/>
      <c r="I2" s="1443"/>
      <c r="J2" s="1443"/>
    </row>
    <row r="3" spans="1:10" ht="20.45" customHeight="1">
      <c r="A3" s="408"/>
      <c r="B3" s="408"/>
      <c r="C3" s="408"/>
      <c r="D3" s="1431" t="s">
        <v>2545</v>
      </c>
      <c r="E3" s="1432"/>
      <c r="F3" s="1432"/>
      <c r="G3" s="1432"/>
      <c r="H3" s="1432"/>
      <c r="I3" s="1432"/>
      <c r="J3" s="1433"/>
    </row>
    <row r="4" spans="1:10">
      <c r="A4" s="675" t="s">
        <v>2418</v>
      </c>
      <c r="B4" s="675" t="s">
        <v>2419</v>
      </c>
      <c r="C4" s="675" t="s">
        <v>2420</v>
      </c>
      <c r="D4" s="675" t="s">
        <v>2421</v>
      </c>
      <c r="E4" s="677" t="s">
        <v>2422</v>
      </c>
      <c r="F4" s="1442" t="s">
        <v>2423</v>
      </c>
      <c r="G4" s="1442"/>
      <c r="H4" s="800"/>
      <c r="I4" s="676" t="s">
        <v>2424</v>
      </c>
      <c r="J4" s="676" t="s">
        <v>2425</v>
      </c>
    </row>
    <row r="5" spans="1:10">
      <c r="A5" s="678">
        <v>1</v>
      </c>
      <c r="B5" s="678" t="s">
        <v>2426</v>
      </c>
      <c r="C5" s="678" t="s">
        <v>2427</v>
      </c>
      <c r="D5" s="678" t="s">
        <v>2428</v>
      </c>
      <c r="E5" s="679">
        <v>358051322533887</v>
      </c>
      <c r="F5" s="1427"/>
      <c r="G5" s="1427"/>
      <c r="H5" s="796"/>
      <c r="I5" s="678">
        <v>880</v>
      </c>
      <c r="J5" s="680">
        <f>I5*3.595</f>
        <v>3163.6000000000004</v>
      </c>
    </row>
    <row r="6" spans="1:10">
      <c r="A6" s="678">
        <v>2</v>
      </c>
      <c r="B6" s="678" t="s">
        <v>2426</v>
      </c>
      <c r="C6" s="678" t="s">
        <v>2427</v>
      </c>
      <c r="D6" s="678" t="s">
        <v>2428</v>
      </c>
      <c r="E6" s="679">
        <v>353837419391642</v>
      </c>
      <c r="F6" s="1427"/>
      <c r="G6" s="1427"/>
      <c r="H6" s="796"/>
      <c r="I6" s="678">
        <v>880</v>
      </c>
      <c r="J6" s="680">
        <f t="shared" ref="J6:J62" si="0">I6*3.595</f>
        <v>3163.6000000000004</v>
      </c>
    </row>
    <row r="7" spans="1:10">
      <c r="A7" s="678">
        <v>3</v>
      </c>
      <c r="B7" s="678" t="s">
        <v>2426</v>
      </c>
      <c r="C7" s="678" t="s">
        <v>2427</v>
      </c>
      <c r="D7" s="678" t="s">
        <v>2428</v>
      </c>
      <c r="E7" s="679">
        <v>358051321265978</v>
      </c>
      <c r="F7" s="1426" t="s">
        <v>1121</v>
      </c>
      <c r="G7" s="1426"/>
      <c r="H7" s="797"/>
      <c r="I7" s="678">
        <v>880</v>
      </c>
      <c r="J7" s="680">
        <f t="shared" si="0"/>
        <v>3163.6000000000004</v>
      </c>
    </row>
    <row r="8" spans="1:10">
      <c r="A8" s="678">
        <v>4</v>
      </c>
      <c r="B8" s="678" t="s">
        <v>2426</v>
      </c>
      <c r="C8" s="678" t="s">
        <v>2427</v>
      </c>
      <c r="D8" s="678" t="s">
        <v>2428</v>
      </c>
      <c r="E8" s="679">
        <v>356605225057831</v>
      </c>
      <c r="F8" s="1426" t="s">
        <v>1121</v>
      </c>
      <c r="G8" s="1426"/>
      <c r="H8" s="797"/>
      <c r="I8" s="678">
        <v>880</v>
      </c>
      <c r="J8" s="680">
        <f t="shared" si="0"/>
        <v>3163.6000000000004</v>
      </c>
    </row>
    <row r="9" spans="1:10">
      <c r="A9" s="678">
        <v>5</v>
      </c>
      <c r="B9" s="678" t="s">
        <v>2426</v>
      </c>
      <c r="C9" s="678" t="s">
        <v>2427</v>
      </c>
      <c r="D9" s="678" t="s">
        <v>2428</v>
      </c>
      <c r="E9" s="679">
        <v>350889862536879</v>
      </c>
      <c r="F9" s="1427"/>
      <c r="G9" s="1427"/>
      <c r="H9" s="796"/>
      <c r="I9" s="678">
        <v>880</v>
      </c>
      <c r="J9" s="680">
        <f t="shared" si="0"/>
        <v>3163.6000000000004</v>
      </c>
    </row>
    <row r="10" spans="1:10">
      <c r="A10" s="678">
        <v>6</v>
      </c>
      <c r="B10" s="678" t="s">
        <v>2426</v>
      </c>
      <c r="C10" s="678" t="s">
        <v>2427</v>
      </c>
      <c r="D10" s="678" t="s">
        <v>2428</v>
      </c>
      <c r="E10" s="679">
        <v>353263425144000</v>
      </c>
      <c r="F10" s="1427"/>
      <c r="G10" s="1427"/>
      <c r="H10" s="796"/>
      <c r="I10" s="678">
        <v>880</v>
      </c>
      <c r="J10" s="680">
        <f t="shared" si="0"/>
        <v>3163.6000000000004</v>
      </c>
    </row>
    <row r="11" spans="1:10">
      <c r="A11" s="678">
        <v>7</v>
      </c>
      <c r="B11" s="678" t="s">
        <v>2426</v>
      </c>
      <c r="C11" s="678" t="s">
        <v>2427</v>
      </c>
      <c r="D11" s="678" t="s">
        <v>2428</v>
      </c>
      <c r="E11" s="679">
        <v>359614544687390</v>
      </c>
      <c r="F11" s="1427"/>
      <c r="G11" s="1427"/>
      <c r="H11" s="796"/>
      <c r="I11" s="678">
        <v>880</v>
      </c>
      <c r="J11" s="680">
        <f t="shared" si="0"/>
        <v>3163.6000000000004</v>
      </c>
    </row>
    <row r="12" spans="1:10">
      <c r="A12" s="678">
        <v>8</v>
      </c>
      <c r="B12" s="678" t="s">
        <v>2426</v>
      </c>
      <c r="C12" s="678" t="s">
        <v>2429</v>
      </c>
      <c r="D12" s="678" t="s">
        <v>2428</v>
      </c>
      <c r="E12" s="679">
        <v>359912587219711</v>
      </c>
      <c r="F12" s="1427"/>
      <c r="G12" s="1427"/>
      <c r="H12" s="796"/>
      <c r="I12" s="678">
        <v>900</v>
      </c>
      <c r="J12" s="680">
        <f t="shared" si="0"/>
        <v>3235.5</v>
      </c>
    </row>
    <row r="13" spans="1:10">
      <c r="A13" s="678">
        <v>9</v>
      </c>
      <c r="B13" s="678" t="s">
        <v>2426</v>
      </c>
      <c r="C13" s="678" t="s">
        <v>2429</v>
      </c>
      <c r="D13" s="678" t="s">
        <v>2428</v>
      </c>
      <c r="E13" s="679">
        <v>359614541610171</v>
      </c>
      <c r="F13" s="1427"/>
      <c r="G13" s="1427"/>
      <c r="H13" s="796"/>
      <c r="I13" s="678">
        <v>900</v>
      </c>
      <c r="J13" s="680">
        <f t="shared" si="0"/>
        <v>3235.5</v>
      </c>
    </row>
    <row r="14" spans="1:10">
      <c r="A14" s="678">
        <v>10</v>
      </c>
      <c r="B14" s="678" t="s">
        <v>2426</v>
      </c>
      <c r="C14" s="678" t="s">
        <v>2429</v>
      </c>
      <c r="D14" s="678" t="s">
        <v>2428</v>
      </c>
      <c r="E14" s="679">
        <v>359614540060931</v>
      </c>
      <c r="F14" s="1427"/>
      <c r="G14" s="1427"/>
      <c r="H14" s="796"/>
      <c r="I14" s="678">
        <v>900</v>
      </c>
      <c r="J14" s="680">
        <f t="shared" si="0"/>
        <v>3235.5</v>
      </c>
    </row>
    <row r="15" spans="1:10">
      <c r="A15" s="678">
        <v>11</v>
      </c>
      <c r="B15" s="678" t="s">
        <v>2426</v>
      </c>
      <c r="C15" s="678" t="s">
        <v>2429</v>
      </c>
      <c r="D15" s="678" t="s">
        <v>2430</v>
      </c>
      <c r="E15" s="679">
        <v>353263423932034</v>
      </c>
      <c r="F15" s="1427"/>
      <c r="G15" s="1427"/>
      <c r="H15" s="796"/>
      <c r="I15" s="678">
        <v>980</v>
      </c>
      <c r="J15" s="680">
        <f t="shared" si="0"/>
        <v>3523.1000000000004</v>
      </c>
    </row>
    <row r="16" spans="1:10">
      <c r="A16" s="678">
        <v>12</v>
      </c>
      <c r="B16" s="678" t="s">
        <v>2431</v>
      </c>
      <c r="C16" s="678" t="s">
        <v>2432</v>
      </c>
      <c r="D16" s="678" t="s">
        <v>2428</v>
      </c>
      <c r="E16" s="679">
        <v>355008282401839</v>
      </c>
      <c r="F16" s="1427"/>
      <c r="G16" s="1427"/>
      <c r="H16" s="796"/>
      <c r="I16" s="678">
        <v>730</v>
      </c>
      <c r="J16" s="680">
        <f t="shared" si="0"/>
        <v>2624.3500000000004</v>
      </c>
    </row>
    <row r="17" spans="1:10">
      <c r="A17" s="678">
        <v>13</v>
      </c>
      <c r="B17" s="678" t="s">
        <v>2433</v>
      </c>
      <c r="C17" s="678" t="s">
        <v>2434</v>
      </c>
      <c r="D17" s="678" t="s">
        <v>2435</v>
      </c>
      <c r="E17" s="679">
        <v>355445520481381</v>
      </c>
      <c r="F17" s="1426" t="s">
        <v>2436</v>
      </c>
      <c r="G17" s="1426"/>
      <c r="H17" s="797"/>
      <c r="I17" s="678">
        <v>620</v>
      </c>
      <c r="J17" s="680">
        <f t="shared" si="0"/>
        <v>2228.9</v>
      </c>
    </row>
    <row r="18" spans="1:10">
      <c r="A18" s="678">
        <v>14</v>
      </c>
      <c r="B18" s="678" t="s">
        <v>2437</v>
      </c>
      <c r="C18" s="678" t="s">
        <v>2438</v>
      </c>
      <c r="D18" s="678" t="s">
        <v>2428</v>
      </c>
      <c r="E18" s="679">
        <v>357719281961635</v>
      </c>
      <c r="F18" s="1426" t="s">
        <v>2436</v>
      </c>
      <c r="G18" s="1426"/>
      <c r="H18" s="797"/>
      <c r="I18" s="678">
        <v>620</v>
      </c>
      <c r="J18" s="680">
        <f t="shared" si="0"/>
        <v>2228.9</v>
      </c>
    </row>
    <row r="19" spans="1:10">
      <c r="A19" s="678">
        <v>15</v>
      </c>
      <c r="B19" s="678" t="s">
        <v>2439</v>
      </c>
      <c r="C19" s="678" t="s">
        <v>2440</v>
      </c>
      <c r="D19" s="678" t="s">
        <v>2428</v>
      </c>
      <c r="E19" s="679">
        <v>357762265949689</v>
      </c>
      <c r="F19" s="1426" t="s">
        <v>2436</v>
      </c>
      <c r="G19" s="1426"/>
      <c r="H19" s="797"/>
      <c r="I19" s="678">
        <v>470</v>
      </c>
      <c r="J19" s="680">
        <f t="shared" si="0"/>
        <v>1689.65</v>
      </c>
    </row>
    <row r="20" spans="1:10">
      <c r="A20" s="678">
        <v>16</v>
      </c>
      <c r="B20" s="678" t="s">
        <v>2439</v>
      </c>
      <c r="C20" s="678" t="s">
        <v>2441</v>
      </c>
      <c r="D20" s="678" t="s">
        <v>2442</v>
      </c>
      <c r="E20" s="679">
        <v>353685834007800</v>
      </c>
      <c r="F20" s="1426" t="s">
        <v>2436</v>
      </c>
      <c r="G20" s="1426"/>
      <c r="H20" s="797"/>
      <c r="I20" s="678">
        <v>350</v>
      </c>
      <c r="J20" s="680">
        <f t="shared" si="0"/>
        <v>1258.25</v>
      </c>
    </row>
    <row r="21" spans="1:10">
      <c r="A21" s="678">
        <v>17</v>
      </c>
      <c r="B21" s="678" t="s">
        <v>2443</v>
      </c>
      <c r="C21" s="678" t="s">
        <v>2444</v>
      </c>
      <c r="D21" s="678" t="s">
        <v>2428</v>
      </c>
      <c r="E21" s="679">
        <v>357985605788059</v>
      </c>
      <c r="F21" s="1427"/>
      <c r="G21" s="1427"/>
      <c r="H21" s="796"/>
      <c r="I21" s="678">
        <v>470</v>
      </c>
      <c r="J21" s="680">
        <f t="shared" si="0"/>
        <v>1689.65</v>
      </c>
    </row>
    <row r="22" spans="1:10">
      <c r="A22" s="678">
        <v>18</v>
      </c>
      <c r="B22" s="678" t="s">
        <v>2445</v>
      </c>
      <c r="C22" s="678" t="s">
        <v>2446</v>
      </c>
      <c r="D22" s="678" t="s">
        <v>2442</v>
      </c>
      <c r="E22" s="679">
        <v>355852812209224</v>
      </c>
      <c r="F22" s="1426" t="s">
        <v>2840</v>
      </c>
      <c r="G22" s="1426"/>
      <c r="H22" s="797"/>
      <c r="I22" s="678">
        <v>165</v>
      </c>
      <c r="J22" s="680">
        <f t="shared" si="0"/>
        <v>593.17500000000007</v>
      </c>
    </row>
    <row r="23" spans="1:10">
      <c r="A23" s="678">
        <v>19</v>
      </c>
      <c r="B23" s="678" t="s">
        <v>2445</v>
      </c>
      <c r="C23" s="678" t="s">
        <v>2446</v>
      </c>
      <c r="D23" s="678" t="s">
        <v>2442</v>
      </c>
      <c r="E23" s="679">
        <v>350138782777415</v>
      </c>
      <c r="F23" s="1427"/>
      <c r="G23" s="1427"/>
      <c r="H23" s="796"/>
      <c r="I23" s="678">
        <v>205</v>
      </c>
      <c r="J23" s="680">
        <f t="shared" si="0"/>
        <v>736.97500000000002</v>
      </c>
    </row>
    <row r="24" spans="1:10">
      <c r="A24" s="678">
        <v>20</v>
      </c>
      <c r="B24" s="678" t="s">
        <v>2445</v>
      </c>
      <c r="C24" s="678" t="s">
        <v>2444</v>
      </c>
      <c r="D24" s="678" t="s">
        <v>2442</v>
      </c>
      <c r="E24" s="679">
        <v>352515983937724</v>
      </c>
      <c r="F24" s="1426" t="s">
        <v>2447</v>
      </c>
      <c r="G24" s="1426"/>
      <c r="H24" s="797"/>
      <c r="I24" s="678">
        <v>205</v>
      </c>
      <c r="J24" s="680">
        <f t="shared" si="0"/>
        <v>736.97500000000002</v>
      </c>
    </row>
    <row r="25" spans="1:10">
      <c r="A25" s="678">
        <v>21</v>
      </c>
      <c r="B25" s="678" t="s">
        <v>2445</v>
      </c>
      <c r="C25" s="678" t="s">
        <v>2444</v>
      </c>
      <c r="D25" s="678" t="s">
        <v>2442</v>
      </c>
      <c r="E25" s="679">
        <v>350304975570948</v>
      </c>
      <c r="F25" s="1427"/>
      <c r="G25" s="1427"/>
      <c r="H25" s="796"/>
      <c r="I25" s="678">
        <v>205</v>
      </c>
      <c r="J25" s="680">
        <f t="shared" si="0"/>
        <v>736.97500000000002</v>
      </c>
    </row>
    <row r="26" spans="1:10">
      <c r="A26" s="678">
        <v>22</v>
      </c>
      <c r="B26" s="678" t="s">
        <v>2448</v>
      </c>
      <c r="C26" s="678" t="s">
        <v>2449</v>
      </c>
      <c r="D26" s="678" t="s">
        <v>2442</v>
      </c>
      <c r="E26" s="679">
        <v>356832826585198</v>
      </c>
      <c r="F26" s="1426" t="s">
        <v>2447</v>
      </c>
      <c r="G26" s="1426"/>
      <c r="H26" s="797"/>
      <c r="I26" s="678">
        <v>280</v>
      </c>
      <c r="J26" s="680">
        <f t="shared" si="0"/>
        <v>1006.6</v>
      </c>
    </row>
    <row r="27" spans="1:10">
      <c r="A27" s="678">
        <v>23</v>
      </c>
      <c r="B27" s="678" t="s">
        <v>2450</v>
      </c>
      <c r="C27" s="678" t="s">
        <v>2451</v>
      </c>
      <c r="D27" s="678" t="s">
        <v>2442</v>
      </c>
      <c r="E27" s="679">
        <v>357773240293275</v>
      </c>
      <c r="F27" s="1426" t="s">
        <v>2436</v>
      </c>
      <c r="G27" s="1426"/>
      <c r="H27" s="797"/>
      <c r="I27" s="678">
        <v>410</v>
      </c>
      <c r="J27" s="680">
        <f t="shared" si="0"/>
        <v>1473.95</v>
      </c>
    </row>
    <row r="28" spans="1:10">
      <c r="A28" s="678">
        <v>24</v>
      </c>
      <c r="B28" s="678" t="s">
        <v>2450</v>
      </c>
      <c r="C28" s="678" t="s">
        <v>2451</v>
      </c>
      <c r="D28" s="678" t="s">
        <v>2428</v>
      </c>
      <c r="E28" s="679">
        <v>357773241392274</v>
      </c>
      <c r="F28" s="1426" t="s">
        <v>2436</v>
      </c>
      <c r="G28" s="1426"/>
      <c r="H28" s="797"/>
      <c r="I28" s="678">
        <v>420</v>
      </c>
      <c r="J28" s="680">
        <f t="shared" si="0"/>
        <v>1509.9</v>
      </c>
    </row>
    <row r="29" spans="1:10">
      <c r="A29" s="678">
        <v>21</v>
      </c>
      <c r="B29" s="678" t="s">
        <v>2452</v>
      </c>
      <c r="C29" s="678" t="s">
        <v>2453</v>
      </c>
      <c r="D29" s="678" t="s">
        <v>2442</v>
      </c>
      <c r="E29" s="679">
        <v>358691739992588</v>
      </c>
      <c r="F29" s="1426" t="s">
        <v>2436</v>
      </c>
      <c r="G29" s="1426"/>
      <c r="H29" s="797"/>
      <c r="I29" s="678">
        <v>200</v>
      </c>
      <c r="J29" s="680">
        <f t="shared" si="0"/>
        <v>719</v>
      </c>
    </row>
    <row r="30" spans="1:10">
      <c r="A30" s="678">
        <v>22</v>
      </c>
      <c r="B30" s="678" t="s">
        <v>2454</v>
      </c>
      <c r="C30" s="678" t="s">
        <v>2455</v>
      </c>
      <c r="D30" s="678" t="s">
        <v>2428</v>
      </c>
      <c r="E30" s="679">
        <v>353894107001488</v>
      </c>
      <c r="F30" s="1426" t="s">
        <v>2436</v>
      </c>
      <c r="G30" s="1426"/>
      <c r="H30" s="797"/>
      <c r="I30" s="678">
        <v>175</v>
      </c>
      <c r="J30" s="680">
        <f t="shared" si="0"/>
        <v>629.125</v>
      </c>
    </row>
    <row r="31" spans="1:10">
      <c r="A31" s="678">
        <v>23</v>
      </c>
      <c r="B31" s="678" t="s">
        <v>2456</v>
      </c>
      <c r="C31" s="678" t="s">
        <v>2457</v>
      </c>
      <c r="D31" s="678" t="s">
        <v>2442</v>
      </c>
      <c r="E31" s="679">
        <v>358229303109360</v>
      </c>
      <c r="F31" s="1426" t="s">
        <v>1121</v>
      </c>
      <c r="G31" s="1426"/>
      <c r="H31" s="797"/>
      <c r="I31" s="678">
        <v>80</v>
      </c>
      <c r="J31" s="680">
        <f t="shared" si="0"/>
        <v>287.60000000000002</v>
      </c>
    </row>
    <row r="32" spans="1:10">
      <c r="A32" s="678">
        <v>24</v>
      </c>
      <c r="B32" s="678" t="s">
        <v>2458</v>
      </c>
      <c r="C32" s="678" t="s">
        <v>2459</v>
      </c>
      <c r="D32" s="678" t="s">
        <v>2428</v>
      </c>
      <c r="E32" s="679">
        <v>358112930542452</v>
      </c>
      <c r="F32" s="1426" t="s">
        <v>2460</v>
      </c>
      <c r="G32" s="1426"/>
      <c r="H32" s="797"/>
      <c r="I32" s="678">
        <v>850</v>
      </c>
      <c r="J32" s="680">
        <f t="shared" si="0"/>
        <v>3055.75</v>
      </c>
    </row>
    <row r="33" spans="1:10">
      <c r="A33" s="678">
        <v>25</v>
      </c>
      <c r="B33" s="678" t="s">
        <v>2461</v>
      </c>
      <c r="C33" s="678" t="s">
        <v>2459</v>
      </c>
      <c r="D33" s="678" t="s">
        <v>2428</v>
      </c>
      <c r="E33" s="679">
        <v>356334540274274</v>
      </c>
      <c r="F33" s="1427"/>
      <c r="G33" s="1427"/>
      <c r="H33" s="796"/>
      <c r="I33" s="678">
        <v>945</v>
      </c>
      <c r="J33" s="680">
        <f t="shared" si="0"/>
        <v>3397.2750000000001</v>
      </c>
    </row>
    <row r="34" spans="1:10">
      <c r="A34" s="678">
        <v>26</v>
      </c>
      <c r="B34" s="678" t="s">
        <v>2462</v>
      </c>
      <c r="C34" s="678" t="s">
        <v>2455</v>
      </c>
      <c r="D34" s="678" t="s">
        <v>2442</v>
      </c>
      <c r="E34" s="679" t="s">
        <v>2463</v>
      </c>
      <c r="F34" s="1427"/>
      <c r="G34" s="1427"/>
      <c r="H34" s="796"/>
      <c r="I34" s="678">
        <v>550</v>
      </c>
      <c r="J34" s="680">
        <f t="shared" si="0"/>
        <v>1977.25</v>
      </c>
    </row>
    <row r="35" spans="1:10">
      <c r="A35" s="678">
        <v>27</v>
      </c>
      <c r="B35" s="678" t="s">
        <v>2462</v>
      </c>
      <c r="C35" s="678" t="s">
        <v>2455</v>
      </c>
      <c r="D35" s="678" t="s">
        <v>2442</v>
      </c>
      <c r="E35" s="679" t="s">
        <v>2464</v>
      </c>
      <c r="F35" s="1427"/>
      <c r="G35" s="1427"/>
      <c r="H35" s="796"/>
      <c r="I35" s="678">
        <v>600</v>
      </c>
      <c r="J35" s="680">
        <f t="shared" si="0"/>
        <v>2157</v>
      </c>
    </row>
    <row r="36" spans="1:10">
      <c r="A36" s="678">
        <v>28</v>
      </c>
      <c r="B36" s="678" t="s">
        <v>2465</v>
      </c>
      <c r="C36" s="678" t="s">
        <v>2429</v>
      </c>
      <c r="D36" s="678" t="s">
        <v>2442</v>
      </c>
      <c r="E36" s="679">
        <v>350094261697964</v>
      </c>
      <c r="F36" s="1427"/>
      <c r="G36" s="1427"/>
      <c r="H36" s="796"/>
      <c r="I36" s="678">
        <v>285</v>
      </c>
      <c r="J36" s="680">
        <f t="shared" si="0"/>
        <v>1024.575</v>
      </c>
    </row>
    <row r="37" spans="1:10">
      <c r="A37" s="678">
        <v>29</v>
      </c>
      <c r="B37" s="678" t="s">
        <v>2465</v>
      </c>
      <c r="C37" s="678" t="s">
        <v>2429</v>
      </c>
      <c r="D37" s="678" t="s">
        <v>2442</v>
      </c>
      <c r="E37" s="679">
        <v>350094261355704</v>
      </c>
      <c r="F37" s="1427"/>
      <c r="G37" s="1427"/>
      <c r="H37" s="796"/>
      <c r="I37" s="678">
        <v>285</v>
      </c>
      <c r="J37" s="680">
        <f t="shared" si="0"/>
        <v>1024.575</v>
      </c>
    </row>
    <row r="38" spans="1:10">
      <c r="A38" s="678">
        <v>30</v>
      </c>
      <c r="B38" s="678" t="s">
        <v>2466</v>
      </c>
      <c r="C38" s="678" t="s">
        <v>2455</v>
      </c>
      <c r="D38" s="678" t="s">
        <v>2442</v>
      </c>
      <c r="E38" s="679">
        <v>357153132623899</v>
      </c>
      <c r="F38" s="1427"/>
      <c r="G38" s="1427"/>
      <c r="H38" s="796"/>
      <c r="I38" s="678">
        <v>430</v>
      </c>
      <c r="J38" s="680">
        <f t="shared" si="0"/>
        <v>1545.8500000000001</v>
      </c>
    </row>
    <row r="39" spans="1:10">
      <c r="A39" s="678">
        <v>31</v>
      </c>
      <c r="B39" s="678" t="s">
        <v>2467</v>
      </c>
      <c r="C39" s="678" t="s">
        <v>2468</v>
      </c>
      <c r="D39" s="678" t="s">
        <v>2428</v>
      </c>
      <c r="E39" s="679" t="s">
        <v>2469</v>
      </c>
      <c r="F39" s="1427"/>
      <c r="G39" s="1427"/>
      <c r="H39" s="796"/>
      <c r="I39" s="678">
        <v>475</v>
      </c>
      <c r="J39" s="680">
        <f t="shared" si="0"/>
        <v>1707.625</v>
      </c>
    </row>
    <row r="40" spans="1:10">
      <c r="A40" s="678">
        <v>32</v>
      </c>
      <c r="B40" s="678" t="s">
        <v>2470</v>
      </c>
      <c r="C40" s="678" t="s">
        <v>2459</v>
      </c>
      <c r="D40" s="678" t="s">
        <v>2471</v>
      </c>
      <c r="E40" s="679" t="s">
        <v>2472</v>
      </c>
      <c r="F40" s="1427"/>
      <c r="G40" s="1427"/>
      <c r="H40" s="796"/>
      <c r="I40" s="678">
        <v>1550</v>
      </c>
      <c r="J40" s="680">
        <f t="shared" si="0"/>
        <v>5572.25</v>
      </c>
    </row>
    <row r="41" spans="1:10">
      <c r="A41" s="678">
        <v>33</v>
      </c>
      <c r="B41" s="678" t="s">
        <v>2470</v>
      </c>
      <c r="C41" s="678" t="s">
        <v>2459</v>
      </c>
      <c r="D41" s="678" t="s">
        <v>2471</v>
      </c>
      <c r="E41" s="679" t="s">
        <v>2473</v>
      </c>
      <c r="F41" s="1427"/>
      <c r="G41" s="1427"/>
      <c r="H41" s="796"/>
      <c r="I41" s="678">
        <v>1550</v>
      </c>
      <c r="J41" s="680">
        <f t="shared" si="0"/>
        <v>5572.25</v>
      </c>
    </row>
    <row r="42" spans="1:10">
      <c r="A42" s="678">
        <v>34</v>
      </c>
      <c r="B42" s="678" t="s">
        <v>2474</v>
      </c>
      <c r="C42" s="678" t="s">
        <v>2429</v>
      </c>
      <c r="D42" s="678" t="s">
        <v>2475</v>
      </c>
      <c r="E42" s="679" t="s">
        <v>2476</v>
      </c>
      <c r="F42" s="1427"/>
      <c r="G42" s="1427"/>
      <c r="H42" s="796"/>
      <c r="I42" s="678">
        <v>1670</v>
      </c>
      <c r="J42" s="680">
        <f t="shared" si="0"/>
        <v>6003.6500000000005</v>
      </c>
    </row>
    <row r="43" spans="1:10">
      <c r="A43" s="678">
        <v>35</v>
      </c>
      <c r="B43" s="678" t="s">
        <v>2477</v>
      </c>
      <c r="C43" s="678" t="s">
        <v>2459</v>
      </c>
      <c r="D43" s="678" t="s">
        <v>2478</v>
      </c>
      <c r="E43" s="679" t="s">
        <v>2479</v>
      </c>
      <c r="F43" s="1427"/>
      <c r="G43" s="1427"/>
      <c r="H43" s="796"/>
      <c r="I43" s="678">
        <v>1630</v>
      </c>
      <c r="J43" s="680">
        <f t="shared" si="0"/>
        <v>5859.85</v>
      </c>
    </row>
    <row r="44" spans="1:10">
      <c r="A44" s="678">
        <v>36</v>
      </c>
      <c r="B44" s="678" t="s">
        <v>2480</v>
      </c>
      <c r="C44" s="678" t="s">
        <v>2481</v>
      </c>
      <c r="D44" s="678" t="s">
        <v>2482</v>
      </c>
      <c r="E44" s="679">
        <v>356187982445939</v>
      </c>
      <c r="F44" s="1427"/>
      <c r="G44" s="1427"/>
      <c r="H44" s="796"/>
      <c r="I44" s="678">
        <v>640</v>
      </c>
      <c r="J44" s="680">
        <f t="shared" si="0"/>
        <v>2300.8000000000002</v>
      </c>
    </row>
    <row r="45" spans="1:10">
      <c r="A45" s="678">
        <v>37</v>
      </c>
      <c r="B45" s="678" t="s">
        <v>2483</v>
      </c>
      <c r="C45" s="678" t="s">
        <v>2457</v>
      </c>
      <c r="D45" s="678" t="s">
        <v>2484</v>
      </c>
      <c r="E45" s="679">
        <v>359132197678855</v>
      </c>
      <c r="F45" s="1427"/>
      <c r="G45" s="1427"/>
      <c r="H45" s="796"/>
      <c r="I45" s="678">
        <v>180</v>
      </c>
      <c r="J45" s="680">
        <f t="shared" si="0"/>
        <v>647.1</v>
      </c>
    </row>
    <row r="46" spans="1:10">
      <c r="A46" s="678">
        <v>38</v>
      </c>
      <c r="B46" s="678" t="s">
        <v>2483</v>
      </c>
      <c r="C46" s="678" t="s">
        <v>2485</v>
      </c>
      <c r="D46" s="678" t="s">
        <v>2486</v>
      </c>
      <c r="E46" s="679" t="s">
        <v>2487</v>
      </c>
      <c r="F46" s="1427"/>
      <c r="G46" s="1427"/>
      <c r="H46" s="796"/>
      <c r="I46" s="678">
        <v>200</v>
      </c>
      <c r="J46" s="680">
        <f t="shared" si="0"/>
        <v>719</v>
      </c>
    </row>
    <row r="47" spans="1:10">
      <c r="A47" s="678">
        <v>39</v>
      </c>
      <c r="B47" s="678" t="s">
        <v>1468</v>
      </c>
      <c r="C47" s="681"/>
      <c r="D47" s="681"/>
      <c r="E47" s="679" t="s">
        <v>2488</v>
      </c>
      <c r="F47" s="1427"/>
      <c r="G47" s="1427"/>
      <c r="H47" s="796"/>
      <c r="I47" s="678">
        <v>195</v>
      </c>
      <c r="J47" s="680">
        <f t="shared" si="0"/>
        <v>701.02500000000009</v>
      </c>
    </row>
    <row r="48" spans="1:10">
      <c r="A48" s="678">
        <v>40</v>
      </c>
      <c r="B48" s="678" t="s">
        <v>1468</v>
      </c>
      <c r="C48" s="681"/>
      <c r="D48" s="681"/>
      <c r="E48" s="679" t="s">
        <v>2489</v>
      </c>
      <c r="F48" s="1427"/>
      <c r="G48" s="1427"/>
      <c r="H48" s="796"/>
      <c r="I48" s="678">
        <v>195</v>
      </c>
      <c r="J48" s="680">
        <f t="shared" si="0"/>
        <v>701.02500000000009</v>
      </c>
    </row>
    <row r="49" spans="1:10">
      <c r="A49" s="678">
        <v>41</v>
      </c>
      <c r="B49" s="678" t="s">
        <v>1468</v>
      </c>
      <c r="C49" s="681"/>
      <c r="D49" s="681"/>
      <c r="E49" s="679" t="s">
        <v>2490</v>
      </c>
      <c r="F49" s="1427"/>
      <c r="G49" s="1427"/>
      <c r="H49" s="796"/>
      <c r="I49" s="678">
        <v>195</v>
      </c>
      <c r="J49" s="680">
        <f t="shared" si="0"/>
        <v>701.02500000000009</v>
      </c>
    </row>
    <row r="50" spans="1:10">
      <c r="A50" s="678">
        <v>42</v>
      </c>
      <c r="B50" s="678" t="s">
        <v>1468</v>
      </c>
      <c r="C50" s="681"/>
      <c r="D50" s="681"/>
      <c r="E50" s="679" t="s">
        <v>2491</v>
      </c>
      <c r="F50" s="1427"/>
      <c r="G50" s="1427"/>
      <c r="H50" s="796"/>
      <c r="I50" s="678">
        <v>195</v>
      </c>
      <c r="J50" s="680">
        <f t="shared" si="0"/>
        <v>701.02500000000009</v>
      </c>
    </row>
    <row r="51" spans="1:10">
      <c r="A51" s="678">
        <v>43</v>
      </c>
      <c r="B51" s="678" t="s">
        <v>2492</v>
      </c>
      <c r="C51" s="681"/>
      <c r="D51" s="681"/>
      <c r="E51" s="679" t="s">
        <v>2493</v>
      </c>
      <c r="F51" s="1427"/>
      <c r="G51" s="1427"/>
      <c r="H51" s="796"/>
      <c r="I51" s="678">
        <v>125</v>
      </c>
      <c r="J51" s="680">
        <f t="shared" si="0"/>
        <v>449.375</v>
      </c>
    </row>
    <row r="52" spans="1:10">
      <c r="A52" s="678">
        <v>44</v>
      </c>
      <c r="B52" s="678" t="s">
        <v>2492</v>
      </c>
      <c r="C52" s="681"/>
      <c r="D52" s="681"/>
      <c r="E52" s="679" t="s">
        <v>2494</v>
      </c>
      <c r="F52" s="1427"/>
      <c r="G52" s="1427"/>
      <c r="H52" s="796"/>
      <c r="I52" s="678">
        <v>125</v>
      </c>
      <c r="J52" s="680">
        <f t="shared" si="0"/>
        <v>449.375</v>
      </c>
    </row>
    <row r="53" spans="1:10">
      <c r="A53" s="678">
        <v>45</v>
      </c>
      <c r="B53" s="678" t="s">
        <v>2492</v>
      </c>
      <c r="C53" s="681"/>
      <c r="D53" s="681"/>
      <c r="E53" s="679" t="s">
        <v>2495</v>
      </c>
      <c r="F53" s="1427"/>
      <c r="G53" s="1427"/>
      <c r="H53" s="796"/>
      <c r="I53" s="678">
        <v>125</v>
      </c>
      <c r="J53" s="680">
        <f t="shared" si="0"/>
        <v>449.375</v>
      </c>
    </row>
    <row r="54" spans="1:10">
      <c r="A54" s="978">
        <v>46</v>
      </c>
      <c r="B54" s="978" t="s">
        <v>2496</v>
      </c>
      <c r="C54" s="978" t="s">
        <v>2497</v>
      </c>
      <c r="D54" s="978" t="s">
        <v>2428</v>
      </c>
      <c r="E54" s="679">
        <v>359800206266629</v>
      </c>
      <c r="F54" s="1426" t="s">
        <v>1181</v>
      </c>
      <c r="G54" s="1426"/>
      <c r="H54" s="978"/>
      <c r="I54" s="978">
        <v>420</v>
      </c>
      <c r="J54" s="680">
        <f t="shared" si="0"/>
        <v>1509.9</v>
      </c>
    </row>
    <row r="55" spans="1:10">
      <c r="A55" s="978">
        <v>47</v>
      </c>
      <c r="B55" s="978" t="s">
        <v>2496</v>
      </c>
      <c r="C55" s="978" t="s">
        <v>2498</v>
      </c>
      <c r="D55" s="978" t="s">
        <v>2428</v>
      </c>
      <c r="E55" s="679">
        <v>358344510337678</v>
      </c>
      <c r="F55" s="1426" t="s">
        <v>1181</v>
      </c>
      <c r="G55" s="1426"/>
      <c r="H55" s="978"/>
      <c r="I55" s="978">
        <v>420</v>
      </c>
      <c r="J55" s="680">
        <f t="shared" si="0"/>
        <v>1509.9</v>
      </c>
    </row>
    <row r="56" spans="1:10">
      <c r="A56" s="978">
        <v>48</v>
      </c>
      <c r="B56" s="978" t="s">
        <v>2496</v>
      </c>
      <c r="C56" s="978" t="s">
        <v>2499</v>
      </c>
      <c r="D56" s="978" t="s">
        <v>2428</v>
      </c>
      <c r="E56" s="679">
        <v>359800204422869</v>
      </c>
      <c r="F56" s="1426" t="s">
        <v>1181</v>
      </c>
      <c r="G56" s="1426"/>
      <c r="H56" s="978"/>
      <c r="I56" s="978">
        <v>420</v>
      </c>
      <c r="J56" s="680">
        <f t="shared" si="0"/>
        <v>1509.9</v>
      </c>
    </row>
    <row r="57" spans="1:10">
      <c r="A57" s="678">
        <v>49</v>
      </c>
      <c r="B57" s="678" t="s">
        <v>2500</v>
      </c>
      <c r="C57" s="678" t="s">
        <v>2501</v>
      </c>
      <c r="D57" s="681"/>
      <c r="E57" s="679" t="s">
        <v>2502</v>
      </c>
      <c r="F57" s="1427"/>
      <c r="G57" s="1427"/>
      <c r="H57" s="796"/>
      <c r="I57" s="678">
        <v>300</v>
      </c>
      <c r="J57" s="680">
        <f t="shared" si="0"/>
        <v>1078.5</v>
      </c>
    </row>
    <row r="58" spans="1:10">
      <c r="A58" s="678">
        <v>50</v>
      </c>
      <c r="B58" s="678" t="s">
        <v>2503</v>
      </c>
      <c r="C58" s="678" t="s">
        <v>2504</v>
      </c>
      <c r="D58" s="681"/>
      <c r="E58" s="679" t="s">
        <v>2505</v>
      </c>
      <c r="F58" s="1427"/>
      <c r="G58" s="1427"/>
      <c r="H58" s="796"/>
      <c r="I58" s="678">
        <v>350</v>
      </c>
      <c r="J58" s="680">
        <f t="shared" si="0"/>
        <v>1258.25</v>
      </c>
    </row>
    <row r="59" spans="1:10">
      <c r="A59" s="678">
        <v>51</v>
      </c>
      <c r="B59" s="678" t="s">
        <v>2506</v>
      </c>
      <c r="C59" s="678" t="s">
        <v>2507</v>
      </c>
      <c r="D59" s="681"/>
      <c r="E59" s="679" t="s">
        <v>2508</v>
      </c>
      <c r="F59" s="1427"/>
      <c r="G59" s="1427"/>
      <c r="H59" s="796"/>
      <c r="I59" s="678">
        <v>350</v>
      </c>
      <c r="J59" s="680">
        <f t="shared" si="0"/>
        <v>1258.25</v>
      </c>
    </row>
    <row r="60" spans="1:10">
      <c r="A60" s="678">
        <v>52</v>
      </c>
      <c r="B60" s="678" t="s">
        <v>2509</v>
      </c>
      <c r="C60" s="678" t="s">
        <v>2510</v>
      </c>
      <c r="D60" s="681"/>
      <c r="E60" s="679" t="s">
        <v>2511</v>
      </c>
      <c r="F60" s="1427"/>
      <c r="G60" s="1427"/>
      <c r="H60" s="796"/>
      <c r="I60" s="678">
        <v>300</v>
      </c>
      <c r="J60" s="680">
        <f t="shared" si="0"/>
        <v>1078.5</v>
      </c>
    </row>
    <row r="61" spans="1:10">
      <c r="A61" s="678">
        <v>53</v>
      </c>
      <c r="B61" s="678" t="s">
        <v>2509</v>
      </c>
      <c r="C61" s="678" t="s">
        <v>2507</v>
      </c>
      <c r="D61" s="681"/>
      <c r="E61" s="679" t="s">
        <v>2512</v>
      </c>
      <c r="F61" s="1427"/>
      <c r="G61" s="1427"/>
      <c r="H61" s="796"/>
      <c r="I61" s="678">
        <v>300</v>
      </c>
      <c r="J61" s="680">
        <f t="shared" si="0"/>
        <v>1078.5</v>
      </c>
    </row>
    <row r="62" spans="1:10">
      <c r="A62" s="678">
        <v>54</v>
      </c>
      <c r="B62" s="678" t="s">
        <v>2513</v>
      </c>
      <c r="C62" s="678" t="s">
        <v>2514</v>
      </c>
      <c r="D62" s="681"/>
      <c r="E62" s="679" t="s">
        <v>2515</v>
      </c>
      <c r="F62" s="1427"/>
      <c r="G62" s="1427"/>
      <c r="H62" s="796"/>
      <c r="I62" s="678">
        <v>300</v>
      </c>
      <c r="J62" s="680">
        <f t="shared" si="0"/>
        <v>1078.5</v>
      </c>
    </row>
    <row r="66" spans="1:9" ht="15" customHeight="1">
      <c r="A66" s="1434" t="s">
        <v>1</v>
      </c>
      <c r="B66" s="1434"/>
      <c r="C66" s="674" t="s">
        <v>2524</v>
      </c>
      <c r="D66" s="1435" t="s">
        <v>2543</v>
      </c>
      <c r="E66" s="1436"/>
      <c r="F66" s="1436"/>
      <c r="G66" s="1436"/>
      <c r="H66" s="1436"/>
      <c r="I66" s="1437"/>
    </row>
    <row r="67" spans="1:9" ht="15" customHeight="1">
      <c r="A67" s="1434" t="s">
        <v>2416</v>
      </c>
      <c r="B67" s="1434"/>
      <c r="C67" s="674" t="s">
        <v>2525</v>
      </c>
      <c r="D67" s="1438"/>
      <c r="E67" s="1439"/>
      <c r="F67" s="1439"/>
      <c r="G67" s="1439"/>
      <c r="H67" s="1439"/>
      <c r="I67" s="1440"/>
    </row>
    <row r="68" spans="1:9" ht="15" customHeight="1">
      <c r="A68" s="408"/>
      <c r="B68" s="408"/>
      <c r="C68" s="408"/>
      <c r="D68" s="1431" t="s">
        <v>2545</v>
      </c>
      <c r="E68" s="1432"/>
      <c r="F68" s="1432"/>
      <c r="G68" s="1432"/>
      <c r="H68" s="1432"/>
      <c r="I68" s="1432"/>
    </row>
    <row r="69" spans="1:9">
      <c r="A69" s="675" t="s">
        <v>2418</v>
      </c>
      <c r="B69" s="675" t="s">
        <v>2419</v>
      </c>
      <c r="C69" s="675" t="s">
        <v>2420</v>
      </c>
      <c r="D69" s="675" t="s">
        <v>2421</v>
      </c>
      <c r="E69" s="675" t="s">
        <v>2422</v>
      </c>
      <c r="F69" s="1442" t="s">
        <v>2423</v>
      </c>
      <c r="G69" s="1442"/>
      <c r="H69" s="800"/>
      <c r="I69" s="675" t="s">
        <v>2544</v>
      </c>
    </row>
    <row r="70" spans="1:9">
      <c r="A70" s="678">
        <v>1</v>
      </c>
      <c r="B70" s="678" t="s">
        <v>2426</v>
      </c>
      <c r="C70" s="678" t="s">
        <v>2427</v>
      </c>
      <c r="D70" s="678" t="s">
        <v>2428</v>
      </c>
      <c r="E70" s="1297">
        <v>359614540205064</v>
      </c>
      <c r="F70" s="1426" t="s">
        <v>2447</v>
      </c>
      <c r="G70" s="1426"/>
      <c r="H70" s="797"/>
      <c r="I70" s="612">
        <v>3300</v>
      </c>
    </row>
    <row r="71" spans="1:9">
      <c r="A71" s="678">
        <v>2</v>
      </c>
      <c r="B71" s="678" t="s">
        <v>2426</v>
      </c>
      <c r="C71" s="678" t="s">
        <v>2427</v>
      </c>
      <c r="D71" s="678" t="s">
        <v>2428</v>
      </c>
      <c r="E71" s="1297">
        <v>353263422963410</v>
      </c>
      <c r="F71" s="1426" t="s">
        <v>2447</v>
      </c>
      <c r="G71" s="1426"/>
      <c r="H71" s="797"/>
      <c r="I71" s="612">
        <v>3300</v>
      </c>
    </row>
    <row r="72" spans="1:9">
      <c r="A72" s="678">
        <v>3</v>
      </c>
      <c r="B72" s="678" t="s">
        <v>2426</v>
      </c>
      <c r="C72" s="678" t="s">
        <v>2427</v>
      </c>
      <c r="D72" s="678" t="s">
        <v>2428</v>
      </c>
      <c r="E72" s="1297">
        <v>356188161192995</v>
      </c>
      <c r="F72" s="1427"/>
      <c r="G72" s="1427"/>
      <c r="H72" s="796"/>
      <c r="I72" s="612">
        <v>3300</v>
      </c>
    </row>
    <row r="73" spans="1:9">
      <c r="A73" s="678">
        <v>4</v>
      </c>
      <c r="B73" s="678" t="s">
        <v>2426</v>
      </c>
      <c r="C73" s="678" t="s">
        <v>2427</v>
      </c>
      <c r="D73" s="678" t="s">
        <v>2428</v>
      </c>
      <c r="E73" s="1297">
        <v>356764179559548</v>
      </c>
      <c r="F73" s="1427"/>
      <c r="G73" s="1427"/>
      <c r="H73" s="796"/>
      <c r="I73" s="612">
        <v>3300</v>
      </c>
    </row>
    <row r="74" spans="1:9">
      <c r="A74" s="678">
        <v>5</v>
      </c>
      <c r="B74" s="678" t="s">
        <v>2426</v>
      </c>
      <c r="C74" s="678" t="s">
        <v>2427</v>
      </c>
      <c r="D74" s="678" t="s">
        <v>2428</v>
      </c>
      <c r="E74" s="1297">
        <v>358482492772130</v>
      </c>
      <c r="F74" s="1427"/>
      <c r="G74" s="1427"/>
      <c r="H74" s="796"/>
      <c r="I74" s="612">
        <v>3300</v>
      </c>
    </row>
    <row r="75" spans="1:9">
      <c r="A75" s="678">
        <v>6</v>
      </c>
      <c r="B75" s="678" t="s">
        <v>2426</v>
      </c>
      <c r="C75" s="678" t="s">
        <v>2427</v>
      </c>
      <c r="D75" s="678" t="s">
        <v>2428</v>
      </c>
      <c r="E75" s="1297">
        <v>355478877711241</v>
      </c>
      <c r="F75" s="1427"/>
      <c r="G75" s="1427"/>
      <c r="H75" s="796"/>
      <c r="I75" s="612">
        <v>3300</v>
      </c>
    </row>
    <row r="76" spans="1:9">
      <c r="A76" s="678">
        <v>7</v>
      </c>
      <c r="B76" s="678" t="s">
        <v>2426</v>
      </c>
      <c r="C76" s="678" t="s">
        <v>2526</v>
      </c>
      <c r="D76" s="678" t="s">
        <v>2428</v>
      </c>
      <c r="E76" s="1297">
        <v>355450218827739</v>
      </c>
      <c r="F76" s="1427"/>
      <c r="G76" s="1427"/>
      <c r="H76" s="796"/>
      <c r="I76" s="612">
        <v>3050</v>
      </c>
    </row>
    <row r="77" spans="1:9">
      <c r="A77" s="678">
        <v>8</v>
      </c>
      <c r="B77" s="678" t="s">
        <v>2426</v>
      </c>
      <c r="C77" s="678" t="s">
        <v>2526</v>
      </c>
      <c r="D77" s="678" t="s">
        <v>2428</v>
      </c>
      <c r="E77" s="1297">
        <v>356605220869008</v>
      </c>
      <c r="F77" s="1426" t="s">
        <v>2447</v>
      </c>
      <c r="G77" s="1426"/>
      <c r="H77" s="797"/>
      <c r="I77" s="612">
        <v>3050</v>
      </c>
    </row>
    <row r="78" spans="1:9">
      <c r="A78" s="678">
        <v>9</v>
      </c>
      <c r="B78" s="678" t="s">
        <v>2426</v>
      </c>
      <c r="C78" s="678" t="s">
        <v>2526</v>
      </c>
      <c r="D78" s="678" t="s">
        <v>2428</v>
      </c>
      <c r="E78" s="1297">
        <v>355450218921904</v>
      </c>
      <c r="F78" s="1427"/>
      <c r="G78" s="1427"/>
      <c r="H78" s="796"/>
      <c r="I78" s="612">
        <v>3050</v>
      </c>
    </row>
    <row r="79" spans="1:9">
      <c r="A79" s="678">
        <v>10</v>
      </c>
      <c r="B79" s="678" t="s">
        <v>2426</v>
      </c>
      <c r="C79" s="678" t="s">
        <v>2526</v>
      </c>
      <c r="D79" s="678" t="s">
        <v>2428</v>
      </c>
      <c r="E79" s="1297">
        <v>358482492116395</v>
      </c>
      <c r="F79" s="1426" t="s">
        <v>2447</v>
      </c>
      <c r="G79" s="1426"/>
      <c r="H79" s="797"/>
      <c r="I79" s="612">
        <v>3050</v>
      </c>
    </row>
    <row r="80" spans="1:9">
      <c r="A80" s="638">
        <v>11</v>
      </c>
      <c r="B80" s="638" t="s">
        <v>2426</v>
      </c>
      <c r="C80" s="638" t="s">
        <v>2526</v>
      </c>
      <c r="D80" s="638" t="s">
        <v>2428</v>
      </c>
      <c r="E80" s="407">
        <v>357586344039901</v>
      </c>
      <c r="F80" s="1445"/>
      <c r="G80" s="1445"/>
      <c r="H80" s="798"/>
      <c r="I80" s="682"/>
    </row>
    <row r="81" spans="1:9">
      <c r="A81" s="678">
        <v>12</v>
      </c>
      <c r="B81" s="678" t="s">
        <v>2426</v>
      </c>
      <c r="C81" s="678" t="s">
        <v>2429</v>
      </c>
      <c r="D81" s="678" t="s">
        <v>2428</v>
      </c>
      <c r="E81" s="679">
        <v>358482493754913</v>
      </c>
      <c r="F81" s="1427"/>
      <c r="G81" s="1427"/>
      <c r="H81" s="796"/>
      <c r="I81" s="612">
        <v>3350</v>
      </c>
    </row>
    <row r="82" spans="1:9">
      <c r="A82" s="678">
        <v>13</v>
      </c>
      <c r="B82" s="678" t="s">
        <v>2426</v>
      </c>
      <c r="C82" s="678" t="s">
        <v>2429</v>
      </c>
      <c r="D82" s="678" t="s">
        <v>2428</v>
      </c>
      <c r="E82" s="679">
        <v>358482493754913</v>
      </c>
      <c r="F82" s="1427"/>
      <c r="G82" s="1427"/>
      <c r="H82" s="796"/>
      <c r="I82" s="612">
        <v>3350</v>
      </c>
    </row>
    <row r="83" spans="1:9">
      <c r="A83" s="638">
        <v>14</v>
      </c>
      <c r="B83" s="638" t="s">
        <v>2527</v>
      </c>
      <c r="C83" s="638" t="s">
        <v>2427</v>
      </c>
      <c r="D83" s="638" t="s">
        <v>2428</v>
      </c>
      <c r="E83" s="407">
        <v>355122365088007</v>
      </c>
      <c r="F83" s="1444" t="s">
        <v>1121</v>
      </c>
      <c r="G83" s="1444"/>
      <c r="H83" s="795"/>
      <c r="I83" s="612"/>
    </row>
    <row r="84" spans="1:9">
      <c r="A84" s="638">
        <v>15</v>
      </c>
      <c r="B84" s="638" t="s">
        <v>2527</v>
      </c>
      <c r="C84" s="638" t="s">
        <v>2526</v>
      </c>
      <c r="D84" s="638" t="s">
        <v>2428</v>
      </c>
      <c r="E84" s="407">
        <v>352440638029357</v>
      </c>
      <c r="F84" s="1445"/>
      <c r="G84" s="1445"/>
      <c r="H84" s="798"/>
      <c r="I84" s="612"/>
    </row>
    <row r="85" spans="1:9">
      <c r="A85" s="678">
        <v>16</v>
      </c>
      <c r="B85" s="678" t="s">
        <v>2527</v>
      </c>
      <c r="C85" s="678" t="s">
        <v>2526</v>
      </c>
      <c r="D85" s="678" t="s">
        <v>2428</v>
      </c>
      <c r="E85" s="1297">
        <v>352440638529299</v>
      </c>
      <c r="F85" s="1427"/>
      <c r="G85" s="1427"/>
      <c r="H85" s="796"/>
      <c r="I85" s="612">
        <v>2500</v>
      </c>
    </row>
    <row r="86" spans="1:9">
      <c r="A86" s="678">
        <v>17</v>
      </c>
      <c r="B86" s="678" t="s">
        <v>2527</v>
      </c>
      <c r="C86" s="678" t="s">
        <v>2526</v>
      </c>
      <c r="D86" s="678" t="s">
        <v>2428</v>
      </c>
      <c r="E86" s="1297">
        <v>352440638658510</v>
      </c>
      <c r="F86" s="1427"/>
      <c r="G86" s="1427"/>
      <c r="H86" s="796"/>
      <c r="I86" s="612">
        <v>2500</v>
      </c>
    </row>
    <row r="87" spans="1:9">
      <c r="A87" s="678">
        <v>18</v>
      </c>
      <c r="B87" s="678" t="s">
        <v>2527</v>
      </c>
      <c r="C87" s="678" t="s">
        <v>2526</v>
      </c>
      <c r="D87" s="678" t="s">
        <v>2428</v>
      </c>
      <c r="E87" s="1297">
        <v>352190321356316</v>
      </c>
      <c r="F87" s="1426" t="s">
        <v>1121</v>
      </c>
      <c r="G87" s="1426"/>
      <c r="H87" s="797"/>
      <c r="I87" s="612">
        <v>2450</v>
      </c>
    </row>
    <row r="88" spans="1:9">
      <c r="A88" s="678">
        <v>19</v>
      </c>
      <c r="B88" s="678" t="s">
        <v>2528</v>
      </c>
      <c r="C88" s="678" t="s">
        <v>2529</v>
      </c>
      <c r="D88" s="678" t="s">
        <v>2428</v>
      </c>
      <c r="E88" s="1297">
        <v>351605721516327</v>
      </c>
      <c r="F88" s="1426" t="s">
        <v>2530</v>
      </c>
      <c r="G88" s="1426"/>
      <c r="H88" s="797"/>
      <c r="I88" s="612">
        <v>1900</v>
      </c>
    </row>
    <row r="89" spans="1:9">
      <c r="A89" s="678">
        <v>20</v>
      </c>
      <c r="B89" s="678" t="s">
        <v>2528</v>
      </c>
      <c r="C89" s="678" t="s">
        <v>2459</v>
      </c>
      <c r="D89" s="678" t="s">
        <v>2428</v>
      </c>
      <c r="E89" s="1297">
        <v>358302114634163</v>
      </c>
      <c r="F89" s="1427"/>
      <c r="G89" s="1427"/>
      <c r="H89" s="796"/>
      <c r="I89" s="612">
        <v>1900</v>
      </c>
    </row>
    <row r="90" spans="1:9">
      <c r="A90" s="678">
        <v>21</v>
      </c>
      <c r="B90" s="678" t="s">
        <v>2528</v>
      </c>
      <c r="C90" s="678" t="s">
        <v>2459</v>
      </c>
      <c r="D90" s="678" t="s">
        <v>2428</v>
      </c>
      <c r="E90" s="1297">
        <v>351605725243233</v>
      </c>
      <c r="F90" s="1427"/>
      <c r="G90" s="1427"/>
      <c r="H90" s="796"/>
      <c r="I90" s="612">
        <v>1900</v>
      </c>
    </row>
    <row r="91" spans="1:9">
      <c r="A91" s="678">
        <v>22</v>
      </c>
      <c r="B91" s="678" t="s">
        <v>2528</v>
      </c>
      <c r="C91" s="678" t="s">
        <v>2459</v>
      </c>
      <c r="D91" s="678" t="s">
        <v>2428</v>
      </c>
      <c r="E91" s="1297">
        <v>358838945453216</v>
      </c>
      <c r="F91" s="1427"/>
      <c r="G91" s="1427"/>
      <c r="H91" s="796"/>
      <c r="I91" s="612">
        <v>1900</v>
      </c>
    </row>
    <row r="92" spans="1:9">
      <c r="A92" s="678">
        <v>23</v>
      </c>
      <c r="B92" s="678" t="s">
        <v>2528</v>
      </c>
      <c r="C92" s="678" t="s">
        <v>2531</v>
      </c>
      <c r="D92" s="678" t="s">
        <v>2428</v>
      </c>
      <c r="E92" s="1297">
        <v>357247594841112</v>
      </c>
      <c r="F92" s="1427"/>
      <c r="G92" s="1427"/>
      <c r="H92" s="796"/>
      <c r="I92" s="612">
        <v>1900</v>
      </c>
    </row>
    <row r="93" spans="1:9">
      <c r="A93" s="678">
        <v>24</v>
      </c>
      <c r="B93" s="678" t="s">
        <v>2532</v>
      </c>
      <c r="C93" s="678" t="s">
        <v>2533</v>
      </c>
      <c r="D93" s="678" t="s">
        <v>2428</v>
      </c>
      <c r="E93" s="679">
        <v>354780907319619</v>
      </c>
      <c r="F93" s="1426" t="s">
        <v>2447</v>
      </c>
      <c r="G93" s="1426"/>
      <c r="H93" s="797"/>
      <c r="I93" s="612">
        <v>1900</v>
      </c>
    </row>
    <row r="94" spans="1:9">
      <c r="A94" s="678">
        <v>25</v>
      </c>
      <c r="B94" s="678" t="s">
        <v>2532</v>
      </c>
      <c r="C94" s="678" t="s">
        <v>2533</v>
      </c>
      <c r="D94" s="678" t="s">
        <v>2428</v>
      </c>
      <c r="E94" s="679">
        <v>359045769498108</v>
      </c>
      <c r="F94" s="1426" t="s">
        <v>2447</v>
      </c>
      <c r="G94" s="1426"/>
      <c r="H94" s="797"/>
      <c r="I94" s="612">
        <v>1900</v>
      </c>
    </row>
    <row r="95" spans="1:9">
      <c r="A95" s="678">
        <v>26</v>
      </c>
      <c r="B95" s="678" t="s">
        <v>2458</v>
      </c>
      <c r="C95" s="678" t="s">
        <v>2459</v>
      </c>
      <c r="D95" s="678" t="s">
        <v>2428</v>
      </c>
      <c r="E95" s="679">
        <v>358112934982993</v>
      </c>
      <c r="F95" s="1427"/>
      <c r="G95" s="1427"/>
      <c r="H95" s="796"/>
      <c r="I95" s="612">
        <v>3900</v>
      </c>
    </row>
    <row r="96" spans="1:9">
      <c r="A96" s="638">
        <v>27</v>
      </c>
      <c r="B96" s="638" t="s">
        <v>2534</v>
      </c>
      <c r="C96" s="638" t="s">
        <v>2459</v>
      </c>
      <c r="D96" s="638" t="s">
        <v>2478</v>
      </c>
      <c r="E96" s="407" t="s">
        <v>2535</v>
      </c>
      <c r="F96" s="1445"/>
      <c r="G96" s="1445"/>
      <c r="H96" s="798"/>
      <c r="I96" s="612"/>
    </row>
    <row r="97" spans="1:9">
      <c r="A97" s="638">
        <v>28</v>
      </c>
      <c r="B97" s="638" t="s">
        <v>2534</v>
      </c>
      <c r="C97" s="638" t="s">
        <v>2459</v>
      </c>
      <c r="D97" s="638" t="s">
        <v>2478</v>
      </c>
      <c r="E97" s="407" t="s">
        <v>2536</v>
      </c>
      <c r="F97" s="1445"/>
      <c r="G97" s="1445"/>
      <c r="H97" s="798"/>
      <c r="I97" s="612"/>
    </row>
    <row r="98" spans="1:9">
      <c r="A98" s="638">
        <v>29</v>
      </c>
      <c r="B98" s="638" t="s">
        <v>2534</v>
      </c>
      <c r="C98" s="638" t="s">
        <v>2459</v>
      </c>
      <c r="D98" s="638" t="s">
        <v>2478</v>
      </c>
      <c r="E98" s="407" t="s">
        <v>2537</v>
      </c>
      <c r="F98" s="1445"/>
      <c r="G98" s="1445"/>
      <c r="H98" s="798"/>
      <c r="I98" s="612"/>
    </row>
    <row r="99" spans="1:9">
      <c r="A99" s="678">
        <v>30</v>
      </c>
      <c r="B99" s="678" t="s">
        <v>2480</v>
      </c>
      <c r="C99" s="678" t="s">
        <v>2538</v>
      </c>
      <c r="D99" s="678" t="s">
        <v>2482</v>
      </c>
      <c r="E99" s="1297">
        <v>356187983271318</v>
      </c>
      <c r="F99" s="1427"/>
      <c r="G99" s="1427"/>
      <c r="H99" s="796"/>
      <c r="I99" s="612">
        <v>2380</v>
      </c>
    </row>
    <row r="100" spans="1:9">
      <c r="A100" s="638">
        <v>31</v>
      </c>
      <c r="B100" s="638" t="s">
        <v>2480</v>
      </c>
      <c r="C100" s="638" t="s">
        <v>2538</v>
      </c>
      <c r="D100" s="638" t="s">
        <v>2482</v>
      </c>
      <c r="E100" s="407">
        <v>353938643484441</v>
      </c>
      <c r="F100" s="1445"/>
      <c r="G100" s="1445"/>
      <c r="H100" s="798"/>
      <c r="I100" s="612"/>
    </row>
    <row r="101" spans="1:9">
      <c r="A101" s="678">
        <v>32</v>
      </c>
      <c r="B101" s="678" t="s">
        <v>2480</v>
      </c>
      <c r="C101" s="678" t="s">
        <v>2481</v>
      </c>
      <c r="D101" s="678" t="s">
        <v>2482</v>
      </c>
      <c r="E101" s="1297">
        <v>358135793097124</v>
      </c>
      <c r="F101" s="1427"/>
      <c r="G101" s="1427"/>
      <c r="H101" s="796"/>
      <c r="I101" s="612">
        <v>2380</v>
      </c>
    </row>
    <row r="102" spans="1:9">
      <c r="A102" s="678">
        <v>33</v>
      </c>
      <c r="B102" s="678" t="s">
        <v>2480</v>
      </c>
      <c r="C102" s="678" t="s">
        <v>2481</v>
      </c>
      <c r="D102" s="678" t="s">
        <v>2482</v>
      </c>
      <c r="E102" s="1297">
        <v>358135793204829</v>
      </c>
      <c r="F102" s="1427"/>
      <c r="G102" s="1427"/>
      <c r="H102" s="796"/>
      <c r="I102" s="612">
        <v>2380</v>
      </c>
    </row>
    <row r="103" spans="1:9">
      <c r="A103" s="678">
        <v>34</v>
      </c>
      <c r="B103" s="678" t="s">
        <v>2480</v>
      </c>
      <c r="C103" s="678" t="s">
        <v>2539</v>
      </c>
      <c r="D103" s="678" t="s">
        <v>2482</v>
      </c>
      <c r="E103" s="1297">
        <v>358135793673171</v>
      </c>
      <c r="F103" s="1427"/>
      <c r="G103" s="1427"/>
      <c r="H103" s="796"/>
      <c r="I103" s="612">
        <v>2380</v>
      </c>
    </row>
    <row r="104" spans="1:9">
      <c r="A104" s="678">
        <v>35</v>
      </c>
      <c r="B104" s="678" t="s">
        <v>2480</v>
      </c>
      <c r="C104" s="678" t="s">
        <v>2539</v>
      </c>
      <c r="D104" s="678" t="s">
        <v>2482</v>
      </c>
      <c r="E104" s="1297">
        <v>358135791276969</v>
      </c>
      <c r="F104" s="1427"/>
      <c r="G104" s="1427"/>
      <c r="H104" s="796"/>
      <c r="I104" s="612">
        <v>2380</v>
      </c>
    </row>
    <row r="105" spans="1:9">
      <c r="A105" s="678">
        <v>36</v>
      </c>
      <c r="B105" s="678" t="s">
        <v>2483</v>
      </c>
      <c r="C105" s="678" t="s">
        <v>2457</v>
      </c>
      <c r="D105" s="678" t="s">
        <v>2484</v>
      </c>
      <c r="E105" s="679">
        <v>359132196544314</v>
      </c>
      <c r="F105" s="1427"/>
      <c r="G105" s="1427"/>
      <c r="H105" s="796"/>
      <c r="I105" s="612">
        <v>900</v>
      </c>
    </row>
    <row r="106" spans="1:9">
      <c r="A106" s="678">
        <v>37</v>
      </c>
      <c r="B106" s="678" t="s">
        <v>2483</v>
      </c>
      <c r="C106" s="678" t="s">
        <v>2457</v>
      </c>
      <c r="D106" s="678" t="s">
        <v>2484</v>
      </c>
      <c r="E106" s="679">
        <v>359132192725040</v>
      </c>
      <c r="F106" s="1427"/>
      <c r="G106" s="1427"/>
      <c r="H106" s="796"/>
      <c r="I106" s="612">
        <v>900</v>
      </c>
    </row>
    <row r="107" spans="1:9">
      <c r="A107" s="678">
        <v>38</v>
      </c>
      <c r="B107" s="678" t="s">
        <v>2540</v>
      </c>
      <c r="C107" s="678" t="s">
        <v>2541</v>
      </c>
      <c r="D107" s="678" t="s">
        <v>2428</v>
      </c>
      <c r="E107" s="1297">
        <v>356930604083582</v>
      </c>
      <c r="F107" s="1427"/>
      <c r="G107" s="1427"/>
      <c r="H107" s="796"/>
      <c r="I107" s="612">
        <v>1900</v>
      </c>
    </row>
    <row r="108" spans="1:9">
      <c r="A108" s="678">
        <v>39</v>
      </c>
      <c r="B108" s="678" t="s">
        <v>2540</v>
      </c>
      <c r="C108" s="678" t="s">
        <v>2541</v>
      </c>
      <c r="D108" s="678" t="s">
        <v>2428</v>
      </c>
      <c r="E108" s="1297">
        <v>356930604085157</v>
      </c>
      <c r="F108" s="1427"/>
      <c r="G108" s="1427"/>
      <c r="H108" s="796"/>
      <c r="I108" s="612">
        <v>1900</v>
      </c>
    </row>
    <row r="109" spans="1:9">
      <c r="A109" s="678">
        <v>40</v>
      </c>
      <c r="B109" s="678" t="s">
        <v>2540</v>
      </c>
      <c r="C109" s="678" t="s">
        <v>2542</v>
      </c>
      <c r="D109" s="678" t="s">
        <v>2428</v>
      </c>
      <c r="E109" s="1297">
        <v>351878870840984</v>
      </c>
      <c r="F109" s="1427"/>
      <c r="G109" s="1427"/>
      <c r="H109" s="796"/>
      <c r="I109" s="612">
        <v>1900</v>
      </c>
    </row>
    <row r="114" spans="1:10">
      <c r="A114" s="1434" t="s">
        <v>1</v>
      </c>
      <c r="B114" s="1434"/>
      <c r="C114" s="673">
        <v>46174</v>
      </c>
      <c r="D114" s="1446" t="s">
        <v>2564</v>
      </c>
      <c r="E114" s="1447"/>
      <c r="F114" s="1447"/>
      <c r="G114" s="1447"/>
      <c r="H114" s="1447"/>
      <c r="I114" s="1448"/>
      <c r="J114" s="612"/>
    </row>
    <row r="115" spans="1:10">
      <c r="A115" s="1434" t="s">
        <v>2416</v>
      </c>
      <c r="B115" s="1434"/>
      <c r="C115" s="674" t="s">
        <v>2546</v>
      </c>
      <c r="D115" s="1449"/>
      <c r="E115" s="1450"/>
      <c r="F115" s="1450"/>
      <c r="G115" s="1450"/>
      <c r="H115" s="1450"/>
      <c r="I115" s="1451"/>
      <c r="J115" s="612"/>
    </row>
    <row r="116" spans="1:10">
      <c r="A116" s="408"/>
      <c r="B116" s="408"/>
      <c r="C116" s="408"/>
      <c r="D116" s="1431" t="s">
        <v>2545</v>
      </c>
      <c r="E116" s="1432"/>
      <c r="F116" s="1432"/>
      <c r="G116" s="1432"/>
      <c r="H116" s="1432"/>
      <c r="I116" s="1432"/>
      <c r="J116" s="612"/>
    </row>
    <row r="117" spans="1:10">
      <c r="A117" s="675" t="s">
        <v>2418</v>
      </c>
      <c r="B117" s="675" t="s">
        <v>2419</v>
      </c>
      <c r="C117" s="675" t="s">
        <v>2420</v>
      </c>
      <c r="D117" s="675" t="s">
        <v>2421</v>
      </c>
      <c r="E117" s="675" t="s">
        <v>2422</v>
      </c>
      <c r="F117" s="1442" t="s">
        <v>2423</v>
      </c>
      <c r="G117" s="1442"/>
      <c r="H117" s="800"/>
      <c r="I117" s="676" t="s">
        <v>2425</v>
      </c>
      <c r="J117" s="408"/>
    </row>
    <row r="118" spans="1:10">
      <c r="A118" s="678">
        <v>1</v>
      </c>
      <c r="B118" s="678" t="s">
        <v>2426</v>
      </c>
      <c r="C118" s="678" t="s">
        <v>2427</v>
      </c>
      <c r="D118" s="678" t="s">
        <v>2428</v>
      </c>
      <c r="E118" s="679">
        <v>358051322163339</v>
      </c>
      <c r="F118" s="1427"/>
      <c r="G118" s="1427"/>
      <c r="H118" s="796"/>
      <c r="I118" s="678">
        <v>3280</v>
      </c>
      <c r="J118" s="681"/>
    </row>
    <row r="119" spans="1:10">
      <c r="A119" s="678">
        <v>2</v>
      </c>
      <c r="B119" s="678" t="s">
        <v>2426</v>
      </c>
      <c r="C119" s="678" t="s">
        <v>2427</v>
      </c>
      <c r="D119" s="678" t="s">
        <v>2428</v>
      </c>
      <c r="E119" s="679">
        <v>350889865420378</v>
      </c>
      <c r="F119" s="1427"/>
      <c r="G119" s="1427"/>
      <c r="H119" s="796"/>
      <c r="I119" s="678">
        <v>3280</v>
      </c>
      <c r="J119" s="681"/>
    </row>
    <row r="120" spans="1:10">
      <c r="A120" s="678">
        <v>3</v>
      </c>
      <c r="B120" s="678" t="s">
        <v>2426</v>
      </c>
      <c r="C120" s="678" t="s">
        <v>2427</v>
      </c>
      <c r="D120" s="678" t="s">
        <v>2428</v>
      </c>
      <c r="E120" s="679">
        <v>357586344694234</v>
      </c>
      <c r="F120" s="1427"/>
      <c r="G120" s="1427"/>
      <c r="H120" s="796"/>
      <c r="I120" s="678">
        <v>3280</v>
      </c>
      <c r="J120" s="681"/>
    </row>
    <row r="121" spans="1:10">
      <c r="A121" s="678">
        <v>4</v>
      </c>
      <c r="B121" s="678" t="s">
        <v>2426</v>
      </c>
      <c r="C121" s="678" t="s">
        <v>2427</v>
      </c>
      <c r="D121" s="678" t="s">
        <v>2428</v>
      </c>
      <c r="E121" s="679">
        <v>356188163778437</v>
      </c>
      <c r="F121" s="1427"/>
      <c r="G121" s="1427"/>
      <c r="H121" s="796"/>
      <c r="I121" s="678">
        <v>3280</v>
      </c>
      <c r="J121" s="681"/>
    </row>
    <row r="122" spans="1:10">
      <c r="A122" s="678">
        <v>5</v>
      </c>
      <c r="B122" s="678" t="s">
        <v>2426</v>
      </c>
      <c r="C122" s="678" t="s">
        <v>2427</v>
      </c>
      <c r="D122" s="678" t="s">
        <v>2428</v>
      </c>
      <c r="E122" s="679">
        <v>358051322098196</v>
      </c>
      <c r="F122" s="1427"/>
      <c r="G122" s="1427"/>
      <c r="H122" s="796"/>
      <c r="I122" s="678">
        <v>3280</v>
      </c>
      <c r="J122" s="681"/>
    </row>
    <row r="123" spans="1:10">
      <c r="A123" s="678">
        <v>6</v>
      </c>
      <c r="B123" s="678" t="s">
        <v>2426</v>
      </c>
      <c r="C123" s="678" t="s">
        <v>2427</v>
      </c>
      <c r="D123" s="678" t="s">
        <v>2428</v>
      </c>
      <c r="E123" s="679">
        <v>357586344596264</v>
      </c>
      <c r="F123" s="1427"/>
      <c r="G123" s="1427"/>
      <c r="H123" s="796"/>
      <c r="I123" s="678">
        <v>3280</v>
      </c>
      <c r="J123" s="681"/>
    </row>
    <row r="124" spans="1:10">
      <c r="A124" s="692">
        <v>7</v>
      </c>
      <c r="B124" s="692" t="s">
        <v>2426</v>
      </c>
      <c r="C124" s="692" t="s">
        <v>2427</v>
      </c>
      <c r="D124" s="692" t="s">
        <v>2430</v>
      </c>
      <c r="E124" s="693">
        <v>357063606642566</v>
      </c>
      <c r="F124" s="1453"/>
      <c r="G124" s="1453"/>
      <c r="H124" s="805"/>
      <c r="I124" s="692">
        <v>0</v>
      </c>
      <c r="J124" s="692" t="s">
        <v>2560</v>
      </c>
    </row>
    <row r="125" spans="1:10">
      <c r="A125" s="678">
        <v>8</v>
      </c>
      <c r="B125" s="678" t="s">
        <v>2426</v>
      </c>
      <c r="C125" s="678" t="s">
        <v>2526</v>
      </c>
      <c r="D125" s="678" t="s">
        <v>2428</v>
      </c>
      <c r="E125" s="679">
        <v>355224250029748</v>
      </c>
      <c r="F125" s="1427"/>
      <c r="G125" s="1427"/>
      <c r="H125" s="796"/>
      <c r="I125" s="678">
        <v>2500</v>
      </c>
      <c r="J125" s="681"/>
    </row>
    <row r="126" spans="1:10">
      <c r="A126" s="694">
        <v>9</v>
      </c>
      <c r="B126" s="694" t="s">
        <v>2426</v>
      </c>
      <c r="C126" s="694" t="s">
        <v>2526</v>
      </c>
      <c r="D126" s="694" t="s">
        <v>2430</v>
      </c>
      <c r="E126" s="695">
        <v>358482494214404</v>
      </c>
      <c r="F126" s="1452"/>
      <c r="G126" s="1452"/>
      <c r="H126" s="803"/>
      <c r="I126" s="694">
        <v>0</v>
      </c>
      <c r="J126" s="694" t="s">
        <v>2560</v>
      </c>
    </row>
    <row r="127" spans="1:10">
      <c r="A127" s="694">
        <v>10</v>
      </c>
      <c r="B127" s="694" t="s">
        <v>2426</v>
      </c>
      <c r="C127" s="694" t="s">
        <v>2526</v>
      </c>
      <c r="D127" s="694" t="s">
        <v>2435</v>
      </c>
      <c r="E127" s="695">
        <v>355478870685798</v>
      </c>
      <c r="F127" s="1452"/>
      <c r="G127" s="1452"/>
      <c r="H127" s="803"/>
      <c r="I127" s="694">
        <v>0</v>
      </c>
      <c r="J127" s="694" t="s">
        <v>2560</v>
      </c>
    </row>
    <row r="128" spans="1:10">
      <c r="A128" s="678">
        <v>11</v>
      </c>
      <c r="B128" s="678" t="s">
        <v>2527</v>
      </c>
      <c r="C128" s="678" t="s">
        <v>2427</v>
      </c>
      <c r="D128" s="678" t="s">
        <v>2428</v>
      </c>
      <c r="E128" s="679">
        <v>356250549251677</v>
      </c>
      <c r="F128" s="1427"/>
      <c r="G128" s="1427"/>
      <c r="H128" s="796"/>
      <c r="I128" s="678">
        <v>2600</v>
      </c>
      <c r="J128" s="681"/>
    </row>
    <row r="129" spans="1:10">
      <c r="A129" s="678">
        <v>12</v>
      </c>
      <c r="B129" s="678" t="s">
        <v>2527</v>
      </c>
      <c r="C129" s="678" t="s">
        <v>2427</v>
      </c>
      <c r="D129" s="678" t="s">
        <v>2428</v>
      </c>
      <c r="E129" s="679">
        <v>350208033090551</v>
      </c>
      <c r="F129" s="1427"/>
      <c r="G129" s="1427"/>
      <c r="H129" s="796"/>
      <c r="I129" s="678">
        <v>2600</v>
      </c>
      <c r="J129" s="681"/>
    </row>
    <row r="130" spans="1:10">
      <c r="A130" s="678">
        <v>13</v>
      </c>
      <c r="B130" s="678" t="s">
        <v>2527</v>
      </c>
      <c r="C130" s="678" t="s">
        <v>2427</v>
      </c>
      <c r="D130" s="678" t="s">
        <v>2428</v>
      </c>
      <c r="E130" s="679">
        <v>350208033173753</v>
      </c>
      <c r="F130" s="1427"/>
      <c r="G130" s="1427"/>
      <c r="H130" s="796"/>
      <c r="I130" s="678">
        <v>2600</v>
      </c>
      <c r="J130" s="681"/>
    </row>
    <row r="131" spans="1:10">
      <c r="A131" s="678">
        <v>14</v>
      </c>
      <c r="B131" s="678" t="s">
        <v>2527</v>
      </c>
      <c r="C131" s="678" t="s">
        <v>2427</v>
      </c>
      <c r="D131" s="678" t="s">
        <v>2428</v>
      </c>
      <c r="E131" s="679">
        <v>350208033299269</v>
      </c>
      <c r="F131" s="1427"/>
      <c r="G131" s="1427"/>
      <c r="H131" s="796"/>
      <c r="I131" s="678">
        <v>2600</v>
      </c>
      <c r="J131" s="681"/>
    </row>
    <row r="132" spans="1:10">
      <c r="A132" s="678">
        <v>15</v>
      </c>
      <c r="B132" s="678" t="s">
        <v>2527</v>
      </c>
      <c r="C132" s="678" t="s">
        <v>2427</v>
      </c>
      <c r="D132" s="678" t="s">
        <v>2428</v>
      </c>
      <c r="E132" s="679">
        <v>356250549428937</v>
      </c>
      <c r="F132" s="1427"/>
      <c r="G132" s="1427"/>
      <c r="H132" s="796"/>
      <c r="I132" s="678">
        <v>2600</v>
      </c>
      <c r="J132" s="681"/>
    </row>
    <row r="133" spans="1:10">
      <c r="A133" s="694">
        <v>16</v>
      </c>
      <c r="B133" s="694" t="s">
        <v>2527</v>
      </c>
      <c r="C133" s="694" t="s">
        <v>2427</v>
      </c>
      <c r="D133" s="694" t="s">
        <v>2428</v>
      </c>
      <c r="E133" s="695">
        <v>352190329368099</v>
      </c>
      <c r="F133" s="1452"/>
      <c r="G133" s="1452"/>
      <c r="H133" s="803"/>
      <c r="I133" s="694">
        <v>0</v>
      </c>
      <c r="J133" s="694" t="s">
        <v>2554</v>
      </c>
    </row>
    <row r="134" spans="1:10">
      <c r="A134" s="694">
        <v>17</v>
      </c>
      <c r="B134" s="694" t="s">
        <v>2527</v>
      </c>
      <c r="C134" s="694" t="s">
        <v>2427</v>
      </c>
      <c r="D134" s="694" t="s">
        <v>2428</v>
      </c>
      <c r="E134" s="695">
        <v>352190329323094</v>
      </c>
      <c r="F134" s="1452"/>
      <c r="G134" s="1452"/>
      <c r="H134" s="803"/>
      <c r="I134" s="694">
        <v>0</v>
      </c>
      <c r="J134" s="694" t="s">
        <v>2554</v>
      </c>
    </row>
    <row r="135" spans="1:10">
      <c r="A135" s="678">
        <v>18</v>
      </c>
      <c r="B135" s="678" t="s">
        <v>2527</v>
      </c>
      <c r="C135" s="678" t="s">
        <v>2427</v>
      </c>
      <c r="D135" s="678" t="s">
        <v>2428</v>
      </c>
      <c r="E135" s="679">
        <v>356250549139179</v>
      </c>
      <c r="F135" s="1427"/>
      <c r="G135" s="1427"/>
      <c r="H135" s="796"/>
      <c r="I135" s="678">
        <v>2600</v>
      </c>
      <c r="J135" s="681"/>
    </row>
    <row r="136" spans="1:10">
      <c r="A136" s="678">
        <v>19</v>
      </c>
      <c r="B136" s="678" t="s">
        <v>2527</v>
      </c>
      <c r="C136" s="678" t="s">
        <v>2427</v>
      </c>
      <c r="D136" s="678" t="s">
        <v>2428</v>
      </c>
      <c r="E136" s="679">
        <v>350208033166849</v>
      </c>
      <c r="F136" s="1427"/>
      <c r="G136" s="1427"/>
      <c r="H136" s="796"/>
      <c r="I136" s="678">
        <v>2600</v>
      </c>
      <c r="J136" s="681"/>
    </row>
    <row r="137" spans="1:10">
      <c r="A137" s="694">
        <v>20</v>
      </c>
      <c r="B137" s="694" t="s">
        <v>2527</v>
      </c>
      <c r="C137" s="694" t="s">
        <v>2427</v>
      </c>
      <c r="D137" s="694" t="s">
        <v>2430</v>
      </c>
      <c r="E137" s="695">
        <v>359572765974774</v>
      </c>
      <c r="F137" s="1452"/>
      <c r="G137" s="1452"/>
      <c r="H137" s="803"/>
      <c r="I137" s="694">
        <v>0</v>
      </c>
      <c r="J137" s="694" t="s">
        <v>2555</v>
      </c>
    </row>
    <row r="138" spans="1:10">
      <c r="A138" s="678">
        <v>21</v>
      </c>
      <c r="B138" s="678" t="s">
        <v>2527</v>
      </c>
      <c r="C138" s="678" t="s">
        <v>2526</v>
      </c>
      <c r="D138" s="678" t="s">
        <v>2428</v>
      </c>
      <c r="E138" s="679">
        <v>351317522499402</v>
      </c>
      <c r="F138" s="1427"/>
      <c r="G138" s="1427"/>
      <c r="H138" s="796"/>
      <c r="I138" s="678">
        <v>2500</v>
      </c>
      <c r="J138" s="681"/>
    </row>
    <row r="139" spans="1:10">
      <c r="A139" s="678">
        <v>22</v>
      </c>
      <c r="B139" s="678" t="s">
        <v>2527</v>
      </c>
      <c r="C139" s="678" t="s">
        <v>2526</v>
      </c>
      <c r="D139" s="678" t="s">
        <v>2430</v>
      </c>
      <c r="E139" s="679">
        <v>350208037361842</v>
      </c>
      <c r="F139" s="1427"/>
      <c r="G139" s="1427"/>
      <c r="H139" s="796"/>
      <c r="I139" s="678">
        <v>2600</v>
      </c>
      <c r="J139" s="681"/>
    </row>
    <row r="140" spans="1:10">
      <c r="A140" s="678">
        <v>23</v>
      </c>
      <c r="B140" s="678" t="s">
        <v>2527</v>
      </c>
      <c r="C140" s="678" t="s">
        <v>2526</v>
      </c>
      <c r="D140" s="678" t="s">
        <v>2430</v>
      </c>
      <c r="E140" s="679">
        <v>350208037531998</v>
      </c>
      <c r="F140" s="1427"/>
      <c r="G140" s="1427"/>
      <c r="H140" s="796"/>
      <c r="I140" s="678">
        <v>2600</v>
      </c>
      <c r="J140" s="681"/>
    </row>
    <row r="141" spans="1:10">
      <c r="A141" s="678">
        <v>24</v>
      </c>
      <c r="B141" s="678" t="s">
        <v>2527</v>
      </c>
      <c r="C141" s="678" t="s">
        <v>2429</v>
      </c>
      <c r="D141" s="678" t="s">
        <v>2428</v>
      </c>
      <c r="E141" s="679">
        <v>352190324660847</v>
      </c>
      <c r="F141" s="1426" t="s">
        <v>1121</v>
      </c>
      <c r="G141" s="1426"/>
      <c r="H141" s="797"/>
      <c r="I141" s="678">
        <v>2600</v>
      </c>
      <c r="J141" s="681"/>
    </row>
    <row r="142" spans="1:10">
      <c r="A142" s="678">
        <v>25</v>
      </c>
      <c r="B142" s="678" t="s">
        <v>2528</v>
      </c>
      <c r="C142" s="678" t="s">
        <v>2529</v>
      </c>
      <c r="D142" s="678" t="s">
        <v>2428</v>
      </c>
      <c r="E142" s="679">
        <v>350795041545725</v>
      </c>
      <c r="F142" s="1426" t="s">
        <v>2530</v>
      </c>
      <c r="G142" s="1426"/>
      <c r="H142" s="797"/>
      <c r="I142" s="678">
        <v>1900</v>
      </c>
      <c r="J142" s="681"/>
    </row>
    <row r="143" spans="1:10">
      <c r="A143" s="678">
        <v>26</v>
      </c>
      <c r="B143" s="678" t="s">
        <v>2528</v>
      </c>
      <c r="C143" s="678" t="s">
        <v>2459</v>
      </c>
      <c r="D143" s="678" t="s">
        <v>2428</v>
      </c>
      <c r="E143" s="679">
        <v>357223745121191</v>
      </c>
      <c r="F143" s="1427"/>
      <c r="G143" s="1427"/>
      <c r="H143" s="796"/>
      <c r="I143" s="678">
        <v>1900</v>
      </c>
      <c r="J143" s="681"/>
    </row>
    <row r="144" spans="1:10">
      <c r="A144" s="694">
        <v>27</v>
      </c>
      <c r="B144" s="694" t="s">
        <v>2547</v>
      </c>
      <c r="C144" s="694" t="s">
        <v>2459</v>
      </c>
      <c r="D144" s="694" t="s">
        <v>2428</v>
      </c>
      <c r="E144" s="695">
        <v>352355702080625</v>
      </c>
      <c r="F144" s="1452"/>
      <c r="G144" s="1452"/>
      <c r="H144" s="803"/>
      <c r="I144" s="694">
        <v>0</v>
      </c>
      <c r="J144" s="694" t="s">
        <v>2560</v>
      </c>
    </row>
    <row r="145" spans="1:10">
      <c r="A145" s="678">
        <v>28</v>
      </c>
      <c r="B145" s="678" t="s">
        <v>2547</v>
      </c>
      <c r="C145" s="678" t="s">
        <v>2459</v>
      </c>
      <c r="D145" s="678" t="s">
        <v>2428</v>
      </c>
      <c r="E145" s="679">
        <v>352355700400171</v>
      </c>
      <c r="F145" s="1426" t="s">
        <v>2548</v>
      </c>
      <c r="G145" s="1426"/>
      <c r="H145" s="797"/>
      <c r="I145" s="678">
        <v>3900</v>
      </c>
      <c r="J145" s="681"/>
    </row>
    <row r="146" spans="1:10">
      <c r="A146" s="694">
        <v>29</v>
      </c>
      <c r="B146" s="694" t="s">
        <v>2547</v>
      </c>
      <c r="C146" s="694" t="s">
        <v>2459</v>
      </c>
      <c r="D146" s="694" t="s">
        <v>2428</v>
      </c>
      <c r="E146" s="695">
        <v>352355706809664</v>
      </c>
      <c r="F146" s="1454" t="s">
        <v>2549</v>
      </c>
      <c r="G146" s="1454"/>
      <c r="H146" s="804"/>
      <c r="I146" s="694">
        <v>0</v>
      </c>
      <c r="J146" s="694" t="s">
        <v>2560</v>
      </c>
    </row>
    <row r="147" spans="1:10">
      <c r="A147" s="694">
        <v>30</v>
      </c>
      <c r="B147" s="694" t="s">
        <v>2547</v>
      </c>
      <c r="C147" s="694" t="s">
        <v>2459</v>
      </c>
      <c r="D147" s="694" t="s">
        <v>2428</v>
      </c>
      <c r="E147" s="695">
        <v>352355703300709</v>
      </c>
      <c r="F147" s="1452"/>
      <c r="G147" s="1452"/>
      <c r="H147" s="803"/>
      <c r="I147" s="694">
        <v>0</v>
      </c>
      <c r="J147" s="694" t="s">
        <v>2560</v>
      </c>
    </row>
    <row r="148" spans="1:10">
      <c r="A148" s="694">
        <v>31</v>
      </c>
      <c r="B148" s="694" t="s">
        <v>2547</v>
      </c>
      <c r="C148" s="694" t="s">
        <v>2459</v>
      </c>
      <c r="D148" s="694" t="s">
        <v>2428</v>
      </c>
      <c r="E148" s="695">
        <v>352355703776288</v>
      </c>
      <c r="F148" s="1452"/>
      <c r="G148" s="1452"/>
      <c r="H148" s="803"/>
      <c r="I148" s="694">
        <v>0</v>
      </c>
      <c r="J148" s="694" t="s">
        <v>2560</v>
      </c>
    </row>
    <row r="149" spans="1:10">
      <c r="A149" s="678">
        <v>32</v>
      </c>
      <c r="B149" s="678" t="s">
        <v>2480</v>
      </c>
      <c r="C149" s="678" t="s">
        <v>2550</v>
      </c>
      <c r="D149" s="678" t="s">
        <v>2482</v>
      </c>
      <c r="E149" s="679">
        <v>356768327697845</v>
      </c>
      <c r="F149" s="1427"/>
      <c r="G149" s="1427"/>
      <c r="H149" s="796"/>
      <c r="I149" s="678">
        <v>2380</v>
      </c>
      <c r="J149" s="681"/>
    </row>
    <row r="150" spans="1:10">
      <c r="A150" s="678">
        <v>33</v>
      </c>
      <c r="B150" s="678" t="s">
        <v>2480</v>
      </c>
      <c r="C150" s="678" t="s">
        <v>2550</v>
      </c>
      <c r="D150" s="678" t="s">
        <v>2482</v>
      </c>
      <c r="E150" s="679">
        <v>355827874548040</v>
      </c>
      <c r="F150" s="1427"/>
      <c r="G150" s="1427"/>
      <c r="H150" s="796"/>
      <c r="I150" s="678">
        <v>2380</v>
      </c>
      <c r="J150" s="681"/>
    </row>
    <row r="151" spans="1:10">
      <c r="A151" s="678">
        <v>34</v>
      </c>
      <c r="B151" s="678" t="s">
        <v>2480</v>
      </c>
      <c r="C151" s="678" t="s">
        <v>2550</v>
      </c>
      <c r="D151" s="678" t="s">
        <v>2482</v>
      </c>
      <c r="E151" s="679">
        <v>356768323955908</v>
      </c>
      <c r="F151" s="1427"/>
      <c r="G151" s="1427"/>
      <c r="H151" s="796"/>
      <c r="I151" s="678">
        <v>2380</v>
      </c>
      <c r="J151" s="681"/>
    </row>
    <row r="152" spans="1:10">
      <c r="A152" s="678">
        <v>35</v>
      </c>
      <c r="B152" s="678" t="s">
        <v>2480</v>
      </c>
      <c r="C152" s="678" t="s">
        <v>2550</v>
      </c>
      <c r="D152" s="678" t="s">
        <v>2482</v>
      </c>
      <c r="E152" s="679">
        <v>355827874735076</v>
      </c>
      <c r="F152" s="1426" t="s">
        <v>2551</v>
      </c>
      <c r="G152" s="1426"/>
      <c r="H152" s="797"/>
      <c r="I152" s="678">
        <v>2350</v>
      </c>
      <c r="J152" s="681"/>
    </row>
    <row r="153" spans="1:10">
      <c r="A153" s="678">
        <v>36</v>
      </c>
      <c r="B153" s="678" t="s">
        <v>2480</v>
      </c>
      <c r="C153" s="678" t="s">
        <v>2550</v>
      </c>
      <c r="D153" s="678" t="s">
        <v>2482</v>
      </c>
      <c r="E153" s="679">
        <v>355827873912551</v>
      </c>
      <c r="F153" s="1426" t="s">
        <v>2552</v>
      </c>
      <c r="G153" s="1426"/>
      <c r="H153" s="797"/>
      <c r="I153" s="678">
        <v>2350</v>
      </c>
      <c r="J153" s="681"/>
    </row>
    <row r="154" spans="1:10">
      <c r="A154" s="678">
        <v>37</v>
      </c>
      <c r="B154" s="678" t="s">
        <v>2480</v>
      </c>
      <c r="C154" s="678" t="s">
        <v>2550</v>
      </c>
      <c r="D154" s="678" t="s">
        <v>2482</v>
      </c>
      <c r="E154" s="679">
        <v>355827874619494</v>
      </c>
      <c r="F154" s="1427"/>
      <c r="G154" s="1427"/>
      <c r="H154" s="796"/>
      <c r="I154" s="678">
        <v>2380</v>
      </c>
      <c r="J154" s="681"/>
    </row>
    <row r="155" spans="1:10">
      <c r="A155" s="678">
        <v>38</v>
      </c>
      <c r="B155" s="678" t="s">
        <v>2480</v>
      </c>
      <c r="C155" s="678" t="s">
        <v>2550</v>
      </c>
      <c r="D155" s="678" t="s">
        <v>2482</v>
      </c>
      <c r="E155" s="679">
        <v>355827874116541</v>
      </c>
      <c r="F155" s="1427"/>
      <c r="G155" s="1427"/>
      <c r="H155" s="796"/>
      <c r="I155" s="678">
        <v>2380</v>
      </c>
      <c r="J155" s="681"/>
    </row>
    <row r="156" spans="1:10">
      <c r="A156" s="678">
        <v>39</v>
      </c>
      <c r="B156" s="678" t="s">
        <v>2480</v>
      </c>
      <c r="C156" s="678" t="s">
        <v>2539</v>
      </c>
      <c r="D156" s="678" t="s">
        <v>2482</v>
      </c>
      <c r="E156" s="679">
        <v>358135794483430</v>
      </c>
      <c r="F156" s="1427"/>
      <c r="G156" s="1427"/>
      <c r="H156" s="796"/>
      <c r="I156" s="678">
        <v>2380</v>
      </c>
      <c r="J156" s="681"/>
    </row>
    <row r="157" spans="1:10">
      <c r="A157" s="678">
        <v>40</v>
      </c>
      <c r="B157" s="678" t="s">
        <v>2480</v>
      </c>
      <c r="C157" s="678" t="s">
        <v>2539</v>
      </c>
      <c r="D157" s="678" t="s">
        <v>2482</v>
      </c>
      <c r="E157" s="679">
        <v>358135794723439</v>
      </c>
      <c r="F157" s="1427"/>
      <c r="G157" s="1427"/>
      <c r="H157" s="796"/>
      <c r="I157" s="678">
        <v>2380</v>
      </c>
      <c r="J157" s="681"/>
    </row>
    <row r="158" spans="1:10">
      <c r="A158" s="678">
        <v>41</v>
      </c>
      <c r="B158" s="678" t="s">
        <v>2480</v>
      </c>
      <c r="C158" s="678" t="s">
        <v>2539</v>
      </c>
      <c r="D158" s="678" t="s">
        <v>2482</v>
      </c>
      <c r="E158" s="679">
        <v>356768323979858</v>
      </c>
      <c r="F158" s="1426" t="s">
        <v>2561</v>
      </c>
      <c r="G158" s="1426"/>
      <c r="H158" s="797"/>
      <c r="I158" s="678">
        <v>2200</v>
      </c>
      <c r="J158" s="681"/>
    </row>
    <row r="159" spans="1:10">
      <c r="A159" s="694">
        <v>42</v>
      </c>
      <c r="B159" s="694" t="s">
        <v>2562</v>
      </c>
      <c r="C159" s="696"/>
      <c r="D159" s="696"/>
      <c r="E159" s="694" t="s">
        <v>2563</v>
      </c>
      <c r="F159" s="1452"/>
      <c r="G159" s="1452"/>
      <c r="H159" s="803"/>
      <c r="I159" s="696"/>
      <c r="J159" s="694" t="s">
        <v>1181</v>
      </c>
    </row>
    <row r="160" spans="1:10" s="611" customFormat="1" ht="15.75" thickBot="1">
      <c r="A160" s="688"/>
      <c r="B160" s="688"/>
      <c r="C160" s="689"/>
      <c r="D160" s="689"/>
      <c r="E160" s="690"/>
      <c r="F160" s="686"/>
      <c r="G160" s="686"/>
      <c r="H160" s="686"/>
      <c r="I160" s="689"/>
      <c r="J160" s="691"/>
    </row>
    <row r="161" spans="1:10" s="611" customFormat="1" ht="15.75" thickBot="1">
      <c r="A161" s="683"/>
      <c r="B161" s="683"/>
      <c r="C161" s="684"/>
      <c r="D161" s="684"/>
      <c r="E161" s="685"/>
      <c r="F161" s="686"/>
      <c r="G161" s="686"/>
      <c r="H161" s="686"/>
      <c r="I161" s="684"/>
      <c r="J161" s="687"/>
    </row>
    <row r="162" spans="1:10" s="611" customFormat="1">
      <c r="A162" s="683"/>
      <c r="B162" s="683"/>
      <c r="C162" s="684"/>
      <c r="D162" s="684"/>
      <c r="E162" s="685"/>
      <c r="F162" s="686"/>
      <c r="G162" s="686"/>
      <c r="H162" s="686"/>
      <c r="I162" s="684"/>
      <c r="J162" s="697"/>
    </row>
    <row r="163" spans="1:10">
      <c r="A163" s="1434" t="s">
        <v>1</v>
      </c>
      <c r="B163" s="1434"/>
      <c r="C163" s="673">
        <v>46174</v>
      </c>
      <c r="D163" s="1446" t="s">
        <v>2564</v>
      </c>
      <c r="E163" s="1447"/>
      <c r="F163" s="1447"/>
      <c r="G163" s="1447"/>
      <c r="H163" s="1447"/>
      <c r="I163" s="1448"/>
      <c r="J163" s="408"/>
    </row>
    <row r="164" spans="1:10">
      <c r="A164" s="1434" t="s">
        <v>2416</v>
      </c>
      <c r="B164" s="1434"/>
      <c r="C164" s="674" t="s">
        <v>2553</v>
      </c>
      <c r="D164" s="1449"/>
      <c r="E164" s="1450"/>
      <c r="F164" s="1450"/>
      <c r="G164" s="1450"/>
      <c r="H164" s="1450"/>
      <c r="I164" s="1451"/>
      <c r="J164" s="408"/>
    </row>
    <row r="165" spans="1:10">
      <c r="A165" s="408"/>
      <c r="B165" s="408"/>
      <c r="C165" s="408"/>
      <c r="D165" s="1431" t="s">
        <v>2545</v>
      </c>
      <c r="E165" s="1432"/>
      <c r="F165" s="1432"/>
      <c r="G165" s="1432"/>
      <c r="H165" s="1432"/>
      <c r="I165" s="1432"/>
      <c r="J165" s="408"/>
    </row>
    <row r="166" spans="1:10">
      <c r="A166" s="675" t="s">
        <v>2418</v>
      </c>
      <c r="B166" s="675" t="s">
        <v>2419</v>
      </c>
      <c r="C166" s="675" t="s">
        <v>2420</v>
      </c>
      <c r="D166" s="675" t="s">
        <v>2421</v>
      </c>
      <c r="E166" s="675" t="s">
        <v>2422</v>
      </c>
      <c r="F166" s="1442" t="s">
        <v>2423</v>
      </c>
      <c r="G166" s="1442"/>
      <c r="H166" s="800"/>
      <c r="I166" s="676" t="s">
        <v>2425</v>
      </c>
      <c r="J166" s="408"/>
    </row>
    <row r="167" spans="1:10">
      <c r="A167" s="678">
        <v>1</v>
      </c>
      <c r="B167" s="678" t="s">
        <v>2426</v>
      </c>
      <c r="C167" s="678" t="s">
        <v>2427</v>
      </c>
      <c r="D167" s="678" t="s">
        <v>2428</v>
      </c>
      <c r="E167" s="679">
        <v>357586344726028</v>
      </c>
      <c r="F167" s="1426" t="s">
        <v>1121</v>
      </c>
      <c r="G167" s="1426"/>
      <c r="H167" s="797"/>
      <c r="I167" s="678">
        <v>3280</v>
      </c>
      <c r="J167" s="681"/>
    </row>
    <row r="168" spans="1:10">
      <c r="A168" s="678">
        <v>2</v>
      </c>
      <c r="B168" s="678" t="s">
        <v>2426</v>
      </c>
      <c r="C168" s="678" t="s">
        <v>2427</v>
      </c>
      <c r="D168" s="678" t="s">
        <v>2428</v>
      </c>
      <c r="E168" s="679">
        <v>350889864968799</v>
      </c>
      <c r="F168" s="1427"/>
      <c r="G168" s="1427"/>
      <c r="H168" s="796"/>
      <c r="I168" s="678">
        <v>3280</v>
      </c>
      <c r="J168" s="681"/>
    </row>
    <row r="169" spans="1:10">
      <c r="A169" s="678">
        <v>3</v>
      </c>
      <c r="B169" s="678" t="s">
        <v>2426</v>
      </c>
      <c r="C169" s="678" t="s">
        <v>2427</v>
      </c>
      <c r="D169" s="678" t="s">
        <v>2428</v>
      </c>
      <c r="E169" s="679">
        <v>358051322474710</v>
      </c>
      <c r="F169" s="1427"/>
      <c r="G169" s="1427"/>
      <c r="H169" s="796"/>
      <c r="I169" s="678">
        <v>3280</v>
      </c>
      <c r="J169" s="681"/>
    </row>
    <row r="170" spans="1:10">
      <c r="A170" s="678">
        <v>4</v>
      </c>
      <c r="B170" s="678" t="s">
        <v>2426</v>
      </c>
      <c r="C170" s="678" t="s">
        <v>2427</v>
      </c>
      <c r="D170" s="678" t="s">
        <v>2428</v>
      </c>
      <c r="E170" s="679">
        <v>356188163860573</v>
      </c>
      <c r="F170" s="1427"/>
      <c r="G170" s="1427"/>
      <c r="H170" s="796"/>
      <c r="I170" s="678">
        <v>3280</v>
      </c>
      <c r="J170" s="681"/>
    </row>
    <row r="171" spans="1:10">
      <c r="A171" s="638">
        <v>5</v>
      </c>
      <c r="B171" s="638" t="s">
        <v>2426</v>
      </c>
      <c r="C171" s="638" t="s">
        <v>2427</v>
      </c>
      <c r="D171" s="638" t="s">
        <v>2428</v>
      </c>
      <c r="E171" s="407">
        <v>358051321400252</v>
      </c>
      <c r="F171" s="1445"/>
      <c r="G171" s="1445"/>
      <c r="H171" s="798"/>
      <c r="I171" s="638">
        <v>0</v>
      </c>
      <c r="J171" s="638" t="s">
        <v>2554</v>
      </c>
    </row>
    <row r="172" spans="1:10">
      <c r="A172" s="638">
        <v>6</v>
      </c>
      <c r="B172" s="638" t="s">
        <v>2426</v>
      </c>
      <c r="C172" s="638" t="s">
        <v>2427</v>
      </c>
      <c r="D172" s="638" t="s">
        <v>2428</v>
      </c>
      <c r="E172" s="407">
        <v>358051320221964</v>
      </c>
      <c r="F172" s="1445"/>
      <c r="G172" s="1445"/>
      <c r="H172" s="798"/>
      <c r="I172" s="638">
        <v>0</v>
      </c>
      <c r="J172" s="638" t="s">
        <v>2554</v>
      </c>
    </row>
    <row r="173" spans="1:10">
      <c r="A173" s="678">
        <v>7</v>
      </c>
      <c r="B173" s="678" t="s">
        <v>2426</v>
      </c>
      <c r="C173" s="678" t="s">
        <v>2427</v>
      </c>
      <c r="D173" s="678" t="s">
        <v>2428</v>
      </c>
      <c r="E173" s="679">
        <v>358051322301210</v>
      </c>
      <c r="F173" s="1427"/>
      <c r="G173" s="1427"/>
      <c r="H173" s="796"/>
      <c r="I173" s="678">
        <v>3280</v>
      </c>
      <c r="J173" s="681"/>
    </row>
    <row r="174" spans="1:10">
      <c r="A174" s="678">
        <v>8</v>
      </c>
      <c r="B174" s="678" t="s">
        <v>2426</v>
      </c>
      <c r="C174" s="678" t="s">
        <v>2427</v>
      </c>
      <c r="D174" s="678" t="s">
        <v>2428</v>
      </c>
      <c r="E174" s="679">
        <v>358051321091101</v>
      </c>
      <c r="F174" s="1427"/>
      <c r="G174" s="1427"/>
      <c r="H174" s="796"/>
      <c r="I174" s="678">
        <v>3280</v>
      </c>
      <c r="J174" s="681"/>
    </row>
    <row r="175" spans="1:10">
      <c r="A175" s="638">
        <v>9</v>
      </c>
      <c r="B175" s="638" t="s">
        <v>2426</v>
      </c>
      <c r="C175" s="638" t="s">
        <v>2427</v>
      </c>
      <c r="D175" s="638" t="s">
        <v>2430</v>
      </c>
      <c r="E175" s="407">
        <v>355450212819278</v>
      </c>
      <c r="F175" s="1445"/>
      <c r="G175" s="1445"/>
      <c r="H175" s="798"/>
      <c r="I175" s="638">
        <v>0</v>
      </c>
      <c r="J175" s="638" t="s">
        <v>2555</v>
      </c>
    </row>
    <row r="176" spans="1:10">
      <c r="A176" s="678">
        <v>10</v>
      </c>
      <c r="B176" s="678" t="s">
        <v>2426</v>
      </c>
      <c r="C176" s="678" t="s">
        <v>2526</v>
      </c>
      <c r="D176" s="678" t="s">
        <v>2428</v>
      </c>
      <c r="E176" s="679">
        <v>355450218650917</v>
      </c>
      <c r="F176" s="1427"/>
      <c r="G176" s="1427"/>
      <c r="H176" s="796"/>
      <c r="I176" s="678">
        <v>3060</v>
      </c>
      <c r="J176" s="681"/>
    </row>
    <row r="177" spans="1:10">
      <c r="A177" s="678">
        <v>11</v>
      </c>
      <c r="B177" s="678" t="s">
        <v>2426</v>
      </c>
      <c r="C177" s="678" t="s">
        <v>2526</v>
      </c>
      <c r="D177" s="678" t="s">
        <v>2428</v>
      </c>
      <c r="E177" s="679">
        <v>356605226033781</v>
      </c>
      <c r="F177" s="1426" t="s">
        <v>1121</v>
      </c>
      <c r="G177" s="1426"/>
      <c r="H177" s="797"/>
      <c r="I177" s="678">
        <v>3060</v>
      </c>
      <c r="J177" s="681"/>
    </row>
    <row r="178" spans="1:10">
      <c r="A178" s="638">
        <v>12</v>
      </c>
      <c r="B178" s="638" t="s">
        <v>2426</v>
      </c>
      <c r="C178" s="638" t="s">
        <v>2429</v>
      </c>
      <c r="D178" s="638" t="s">
        <v>2428</v>
      </c>
      <c r="E178" s="407">
        <v>359912587804603</v>
      </c>
      <c r="F178" s="1445"/>
      <c r="G178" s="1445"/>
      <c r="H178" s="798"/>
      <c r="I178" s="638">
        <v>0</v>
      </c>
      <c r="J178" s="638" t="s">
        <v>2555</v>
      </c>
    </row>
    <row r="179" spans="1:10">
      <c r="A179" s="678">
        <v>13</v>
      </c>
      <c r="B179" s="678" t="s">
        <v>2527</v>
      </c>
      <c r="C179" s="678" t="s">
        <v>2427</v>
      </c>
      <c r="D179" s="678" t="s">
        <v>2428</v>
      </c>
      <c r="E179" s="679">
        <v>352190327421734</v>
      </c>
      <c r="F179" s="1427"/>
      <c r="G179" s="1427"/>
      <c r="H179" s="796"/>
      <c r="I179" s="678">
        <v>2600</v>
      </c>
      <c r="J179" s="681"/>
    </row>
    <row r="180" spans="1:10">
      <c r="A180" s="678">
        <v>14</v>
      </c>
      <c r="B180" s="678" t="s">
        <v>2527</v>
      </c>
      <c r="C180" s="678" t="s">
        <v>2427</v>
      </c>
      <c r="D180" s="678" t="s">
        <v>2428</v>
      </c>
      <c r="E180" s="679">
        <v>354956974267937</v>
      </c>
      <c r="F180" s="1427"/>
      <c r="G180" s="1427"/>
      <c r="H180" s="796"/>
      <c r="I180" s="678">
        <v>2600</v>
      </c>
      <c r="J180" s="681"/>
    </row>
    <row r="181" spans="1:10">
      <c r="A181" s="678">
        <v>15</v>
      </c>
      <c r="B181" s="678" t="s">
        <v>2527</v>
      </c>
      <c r="C181" s="678" t="s">
        <v>2427</v>
      </c>
      <c r="D181" s="678" t="s">
        <v>2428</v>
      </c>
      <c r="E181" s="679">
        <v>356661405453746</v>
      </c>
      <c r="F181" s="1427"/>
      <c r="G181" s="1427"/>
      <c r="H181" s="796"/>
      <c r="I181" s="678">
        <v>2600</v>
      </c>
      <c r="J181" s="681"/>
    </row>
    <row r="182" spans="1:10">
      <c r="A182" s="678">
        <v>16</v>
      </c>
      <c r="B182" s="678" t="s">
        <v>2527</v>
      </c>
      <c r="C182" s="678" t="s">
        <v>2427</v>
      </c>
      <c r="D182" s="678" t="s">
        <v>2428</v>
      </c>
      <c r="E182" s="679">
        <v>356250543171277</v>
      </c>
      <c r="F182" s="1427"/>
      <c r="G182" s="1427"/>
      <c r="H182" s="796"/>
      <c r="I182" s="678">
        <v>2600</v>
      </c>
      <c r="J182" s="681"/>
    </row>
    <row r="183" spans="1:10">
      <c r="A183" s="678">
        <v>17</v>
      </c>
      <c r="B183" s="678" t="s">
        <v>2527</v>
      </c>
      <c r="C183" s="678" t="s">
        <v>2427</v>
      </c>
      <c r="D183" s="678" t="s">
        <v>2428</v>
      </c>
      <c r="E183" s="679">
        <v>356250549338896</v>
      </c>
      <c r="F183" s="1427"/>
      <c r="G183" s="1427"/>
      <c r="H183" s="796"/>
      <c r="I183" s="678">
        <v>2600</v>
      </c>
      <c r="J183" s="681"/>
    </row>
    <row r="184" spans="1:10">
      <c r="A184" s="678">
        <v>18</v>
      </c>
      <c r="B184" s="678" t="s">
        <v>2527</v>
      </c>
      <c r="C184" s="678" t="s">
        <v>2427</v>
      </c>
      <c r="D184" s="678" t="s">
        <v>2428</v>
      </c>
      <c r="E184" s="679">
        <v>352190327764315</v>
      </c>
      <c r="F184" s="1427"/>
      <c r="G184" s="1427"/>
      <c r="H184" s="796"/>
      <c r="I184" s="678">
        <v>2600</v>
      </c>
      <c r="J184" s="681"/>
    </row>
    <row r="185" spans="1:10">
      <c r="A185" s="678">
        <v>19</v>
      </c>
      <c r="B185" s="678" t="s">
        <v>2527</v>
      </c>
      <c r="C185" s="678" t="s">
        <v>2427</v>
      </c>
      <c r="D185" s="678" t="s">
        <v>2428</v>
      </c>
      <c r="E185" s="679">
        <v>353708846189133</v>
      </c>
      <c r="F185" s="1427"/>
      <c r="G185" s="1427"/>
      <c r="H185" s="796"/>
      <c r="I185" s="678">
        <v>2600</v>
      </c>
      <c r="J185" s="681"/>
    </row>
    <row r="186" spans="1:10">
      <c r="A186" s="638">
        <v>20</v>
      </c>
      <c r="B186" s="638" t="s">
        <v>2527</v>
      </c>
      <c r="C186" s="638" t="s">
        <v>2427</v>
      </c>
      <c r="D186" s="638" t="s">
        <v>2428</v>
      </c>
      <c r="E186" s="407">
        <v>356250543373360</v>
      </c>
      <c r="F186" s="1445"/>
      <c r="G186" s="1445"/>
      <c r="H186" s="798"/>
      <c r="I186" s="638">
        <v>0</v>
      </c>
      <c r="J186" s="638" t="s">
        <v>2555</v>
      </c>
    </row>
    <row r="187" spans="1:10">
      <c r="A187" s="678">
        <v>21</v>
      </c>
      <c r="B187" s="678" t="s">
        <v>2528</v>
      </c>
      <c r="C187" s="678" t="s">
        <v>2529</v>
      </c>
      <c r="D187" s="678" t="s">
        <v>2428</v>
      </c>
      <c r="E187" s="679">
        <v>350795040883309</v>
      </c>
      <c r="F187" s="1427"/>
      <c r="G187" s="1427"/>
      <c r="H187" s="796"/>
      <c r="I187" s="678">
        <v>1900</v>
      </c>
      <c r="J187" s="681"/>
    </row>
    <row r="188" spans="1:10">
      <c r="A188" s="678">
        <v>22</v>
      </c>
      <c r="B188" s="678" t="s">
        <v>2528</v>
      </c>
      <c r="C188" s="678" t="s">
        <v>2529</v>
      </c>
      <c r="D188" s="678" t="s">
        <v>2428</v>
      </c>
      <c r="E188" s="679">
        <v>357247591394057</v>
      </c>
      <c r="F188" s="1427"/>
      <c r="G188" s="1427"/>
      <c r="H188" s="796"/>
      <c r="I188" s="678">
        <v>1900</v>
      </c>
      <c r="J188" s="681"/>
    </row>
    <row r="189" spans="1:10">
      <c r="A189" s="638">
        <v>23</v>
      </c>
      <c r="B189" s="638" t="s">
        <v>2528</v>
      </c>
      <c r="C189" s="638" t="s">
        <v>2529</v>
      </c>
      <c r="D189" s="638" t="s">
        <v>2428</v>
      </c>
      <c r="E189" s="407">
        <v>356816320067191</v>
      </c>
      <c r="F189" s="1445"/>
      <c r="G189" s="1445"/>
      <c r="H189" s="798"/>
      <c r="I189" s="638">
        <v>0</v>
      </c>
      <c r="J189" s="638" t="s">
        <v>2556</v>
      </c>
    </row>
    <row r="190" spans="1:10">
      <c r="A190" s="678">
        <v>24</v>
      </c>
      <c r="B190" s="678" t="s">
        <v>2528</v>
      </c>
      <c r="C190" s="678" t="s">
        <v>2529</v>
      </c>
      <c r="D190" s="678" t="s">
        <v>2428</v>
      </c>
      <c r="E190" s="679">
        <v>350795041218463</v>
      </c>
      <c r="F190" s="1427"/>
      <c r="G190" s="1427"/>
      <c r="H190" s="796"/>
      <c r="I190" s="678">
        <v>1900</v>
      </c>
      <c r="J190" s="681"/>
    </row>
    <row r="191" spans="1:10">
      <c r="A191" s="678">
        <v>25</v>
      </c>
      <c r="B191" s="678" t="s">
        <v>2528</v>
      </c>
      <c r="C191" s="678" t="s">
        <v>2529</v>
      </c>
      <c r="D191" s="678" t="s">
        <v>2428</v>
      </c>
      <c r="E191" s="679">
        <v>350795041085185</v>
      </c>
      <c r="F191" s="1427"/>
      <c r="G191" s="1427"/>
      <c r="H191" s="796"/>
      <c r="I191" s="678">
        <v>1900</v>
      </c>
      <c r="J191" s="681"/>
    </row>
    <row r="192" spans="1:10">
      <c r="A192" s="678">
        <v>26</v>
      </c>
      <c r="B192" s="678" t="s">
        <v>2547</v>
      </c>
      <c r="C192" s="678" t="s">
        <v>2459</v>
      </c>
      <c r="D192" s="678" t="s">
        <v>2428</v>
      </c>
      <c r="E192" s="679">
        <v>352355707404705</v>
      </c>
      <c r="F192" s="1427"/>
      <c r="G192" s="1427"/>
      <c r="H192" s="796"/>
      <c r="I192" s="678">
        <v>4100</v>
      </c>
      <c r="J192" s="681"/>
    </row>
    <row r="193" spans="1:10">
      <c r="A193" s="678">
        <v>27</v>
      </c>
      <c r="B193" s="678" t="s">
        <v>2480</v>
      </c>
      <c r="C193" s="678" t="s">
        <v>2550</v>
      </c>
      <c r="D193" s="678" t="s">
        <v>2482</v>
      </c>
      <c r="E193" s="679">
        <v>355827874060491</v>
      </c>
      <c r="F193" s="1427"/>
      <c r="G193" s="1427"/>
      <c r="H193" s="796"/>
      <c r="I193" s="678">
        <v>2380</v>
      </c>
      <c r="J193" s="681"/>
    </row>
    <row r="194" spans="1:10">
      <c r="A194" s="678">
        <v>28</v>
      </c>
      <c r="B194" s="678" t="s">
        <v>2480</v>
      </c>
      <c r="C194" s="678" t="s">
        <v>2550</v>
      </c>
      <c r="D194" s="678" t="s">
        <v>2482</v>
      </c>
      <c r="E194" s="679">
        <v>356768325047464</v>
      </c>
      <c r="F194" s="1427"/>
      <c r="G194" s="1427"/>
      <c r="H194" s="796"/>
      <c r="I194" s="678">
        <v>2380</v>
      </c>
      <c r="J194" s="681"/>
    </row>
    <row r="195" spans="1:10">
      <c r="A195" s="678">
        <v>29</v>
      </c>
      <c r="B195" s="678" t="s">
        <v>2480</v>
      </c>
      <c r="C195" s="678" t="s">
        <v>2550</v>
      </c>
      <c r="D195" s="678" t="s">
        <v>2482</v>
      </c>
      <c r="E195" s="679">
        <v>355827873857608</v>
      </c>
      <c r="F195" s="1427"/>
      <c r="G195" s="1427"/>
      <c r="H195" s="796"/>
      <c r="I195" s="678">
        <v>2380</v>
      </c>
      <c r="J195" s="681"/>
    </row>
    <row r="196" spans="1:10">
      <c r="A196" s="678">
        <v>30</v>
      </c>
      <c r="B196" s="678" t="s">
        <v>2480</v>
      </c>
      <c r="C196" s="678" t="s">
        <v>2481</v>
      </c>
      <c r="D196" s="678" t="s">
        <v>2482</v>
      </c>
      <c r="E196" s="679">
        <v>355827874760009</v>
      </c>
      <c r="F196" s="1427"/>
      <c r="G196" s="1427"/>
      <c r="H196" s="796"/>
      <c r="I196" s="678">
        <v>2380</v>
      </c>
      <c r="J196" s="681"/>
    </row>
    <row r="197" spans="1:10">
      <c r="A197" s="678">
        <v>31</v>
      </c>
      <c r="B197" s="678" t="s">
        <v>2480</v>
      </c>
      <c r="C197" s="678" t="s">
        <v>2481</v>
      </c>
      <c r="D197" s="678" t="s">
        <v>2482</v>
      </c>
      <c r="E197" s="679">
        <v>356768328441524</v>
      </c>
      <c r="F197" s="1427"/>
      <c r="G197" s="1427"/>
      <c r="H197" s="796"/>
      <c r="I197" s="678">
        <v>2380</v>
      </c>
      <c r="J197" s="681"/>
    </row>
    <row r="198" spans="1:10">
      <c r="A198" s="678">
        <v>32</v>
      </c>
      <c r="B198" s="678" t="s">
        <v>2480</v>
      </c>
      <c r="C198" s="678" t="s">
        <v>2539</v>
      </c>
      <c r="D198" s="678" t="s">
        <v>2482</v>
      </c>
      <c r="E198" s="679">
        <v>356187983372108</v>
      </c>
      <c r="F198" s="1427"/>
      <c r="G198" s="1427"/>
      <c r="H198" s="796"/>
      <c r="I198" s="678">
        <v>2380</v>
      </c>
      <c r="J198" s="681"/>
    </row>
    <row r="199" spans="1:10">
      <c r="A199" s="678">
        <v>33</v>
      </c>
      <c r="B199" s="678" t="s">
        <v>2480</v>
      </c>
      <c r="C199" s="678" t="s">
        <v>2539</v>
      </c>
      <c r="D199" s="678" t="s">
        <v>2482</v>
      </c>
      <c r="E199" s="679">
        <v>358135794112948</v>
      </c>
      <c r="F199" s="1427"/>
      <c r="G199" s="1427"/>
      <c r="H199" s="796"/>
      <c r="I199" s="678">
        <v>2380</v>
      </c>
      <c r="J199" s="681"/>
    </row>
    <row r="200" spans="1:10">
      <c r="A200" s="678">
        <v>34</v>
      </c>
      <c r="B200" s="678" t="s">
        <v>2483</v>
      </c>
      <c r="C200" s="678" t="s">
        <v>2457</v>
      </c>
      <c r="D200" s="678" t="s">
        <v>2484</v>
      </c>
      <c r="E200" s="679">
        <v>352673830520696</v>
      </c>
      <c r="F200" s="1427"/>
      <c r="G200" s="1427"/>
      <c r="H200" s="796"/>
      <c r="I200" s="678">
        <v>900</v>
      </c>
      <c r="J200" s="681"/>
    </row>
    <row r="201" spans="1:10">
      <c r="A201" s="678">
        <v>35</v>
      </c>
      <c r="B201" s="678" t="s">
        <v>2483</v>
      </c>
      <c r="C201" s="678" t="s">
        <v>2485</v>
      </c>
      <c r="D201" s="678" t="s">
        <v>2484</v>
      </c>
      <c r="E201" s="679">
        <v>355201220205269</v>
      </c>
      <c r="F201" s="1427"/>
      <c r="G201" s="1427"/>
      <c r="H201" s="796"/>
      <c r="I201" s="678">
        <v>900</v>
      </c>
      <c r="J201" s="681"/>
    </row>
    <row r="202" spans="1:10">
      <c r="A202" s="678">
        <v>36</v>
      </c>
      <c r="B202" s="678" t="s">
        <v>2540</v>
      </c>
      <c r="C202" s="678" t="s">
        <v>2541</v>
      </c>
      <c r="D202" s="678" t="s">
        <v>2428</v>
      </c>
      <c r="E202" s="679">
        <v>351878871049411</v>
      </c>
      <c r="F202" s="1427"/>
      <c r="G202" s="1427"/>
      <c r="H202" s="796"/>
      <c r="I202" s="678">
        <v>1900</v>
      </c>
      <c r="J202" s="681"/>
    </row>
    <row r="203" spans="1:10">
      <c r="A203" s="678">
        <v>37</v>
      </c>
      <c r="B203" s="678" t="s">
        <v>2540</v>
      </c>
      <c r="C203" s="678" t="s">
        <v>2541</v>
      </c>
      <c r="D203" s="678" t="s">
        <v>2428</v>
      </c>
      <c r="E203" s="679">
        <v>351878871034231</v>
      </c>
      <c r="F203" s="1427"/>
      <c r="G203" s="1427"/>
      <c r="H203" s="796"/>
      <c r="I203" s="678">
        <v>1900</v>
      </c>
      <c r="J203" s="681"/>
    </row>
    <row r="204" spans="1:10">
      <c r="A204" s="678">
        <v>38</v>
      </c>
      <c r="B204" s="678" t="s">
        <v>2540</v>
      </c>
      <c r="C204" s="678" t="s">
        <v>2541</v>
      </c>
      <c r="D204" s="678" t="s">
        <v>2428</v>
      </c>
      <c r="E204" s="679">
        <v>356930604129856</v>
      </c>
      <c r="F204" s="1427"/>
      <c r="G204" s="1427"/>
      <c r="H204" s="796"/>
      <c r="I204" s="678">
        <v>1900</v>
      </c>
      <c r="J204" s="681"/>
    </row>
    <row r="205" spans="1:10">
      <c r="A205" s="638">
        <v>39</v>
      </c>
      <c r="B205" s="638" t="s">
        <v>2557</v>
      </c>
      <c r="C205" s="638" t="s">
        <v>2558</v>
      </c>
      <c r="D205" s="638" t="s">
        <v>2442</v>
      </c>
      <c r="E205" s="407">
        <v>353729490642581</v>
      </c>
      <c r="F205" s="1445"/>
      <c r="G205" s="1445"/>
      <c r="H205" s="798"/>
      <c r="I205" s="638">
        <v>0</v>
      </c>
      <c r="J205" s="638" t="s">
        <v>2559</v>
      </c>
    </row>
    <row r="212" spans="1:10">
      <c r="A212" s="1434" t="s">
        <v>1</v>
      </c>
      <c r="B212" s="1434"/>
      <c r="C212" s="673">
        <v>46235</v>
      </c>
      <c r="D212" s="698"/>
      <c r="E212" s="1455" t="s">
        <v>2624</v>
      </c>
      <c r="F212" s="1456"/>
      <c r="G212" s="1456"/>
      <c r="H212" s="1456"/>
      <c r="I212" s="1456"/>
      <c r="J212" s="1457"/>
    </row>
    <row r="213" spans="1:10">
      <c r="A213" s="1434" t="s">
        <v>2416</v>
      </c>
      <c r="B213" s="1434"/>
      <c r="C213" s="674" t="s">
        <v>2617</v>
      </c>
      <c r="D213" s="700" t="s">
        <v>2618</v>
      </c>
      <c r="E213" s="1458"/>
      <c r="F213" s="1459"/>
      <c r="G213" s="1459"/>
      <c r="H213" s="1459"/>
      <c r="I213" s="1459"/>
      <c r="J213" s="1460"/>
    </row>
    <row r="214" spans="1:10">
      <c r="A214" s="698"/>
      <c r="B214" s="698"/>
      <c r="C214" s="698"/>
      <c r="D214" s="698"/>
      <c r="E214" s="1461" t="s">
        <v>2545</v>
      </c>
      <c r="F214" s="1461"/>
      <c r="G214" s="1461"/>
      <c r="H214" s="1461"/>
      <c r="I214" s="1461"/>
      <c r="J214" s="1461"/>
    </row>
    <row r="215" spans="1:10">
      <c r="A215" s="699" t="s">
        <v>2418</v>
      </c>
      <c r="B215" s="699" t="s">
        <v>2419</v>
      </c>
      <c r="C215" s="699" t="s">
        <v>2420</v>
      </c>
      <c r="D215" s="699" t="s">
        <v>2421</v>
      </c>
      <c r="E215" s="699" t="s">
        <v>2422</v>
      </c>
      <c r="F215" s="1442" t="s">
        <v>2423</v>
      </c>
      <c r="G215" s="1442"/>
      <c r="H215" s="800"/>
      <c r="I215" s="676" t="s">
        <v>2424</v>
      </c>
      <c r="J215" s="699" t="s">
        <v>2425</v>
      </c>
    </row>
    <row r="216" spans="1:10">
      <c r="A216" s="703">
        <v>1</v>
      </c>
      <c r="B216" s="703" t="s">
        <v>2426</v>
      </c>
      <c r="C216" s="703" t="s">
        <v>2427</v>
      </c>
      <c r="D216" s="703" t="s">
        <v>2428</v>
      </c>
      <c r="E216" s="679">
        <v>353263424083571</v>
      </c>
      <c r="F216" s="1427"/>
      <c r="G216" s="1427"/>
      <c r="H216" s="796"/>
      <c r="I216" s="703">
        <v>880</v>
      </c>
      <c r="J216" s="143">
        <f>I216*3.595</f>
        <v>3163.6000000000004</v>
      </c>
    </row>
    <row r="217" spans="1:10">
      <c r="A217" s="703">
        <v>2</v>
      </c>
      <c r="B217" s="703" t="s">
        <v>2426</v>
      </c>
      <c r="C217" s="703" t="s">
        <v>2427</v>
      </c>
      <c r="D217" s="703" t="s">
        <v>2428</v>
      </c>
      <c r="E217" s="679">
        <v>352791396686626</v>
      </c>
      <c r="F217" s="1427"/>
      <c r="G217" s="1427"/>
      <c r="H217" s="796"/>
      <c r="I217" s="703">
        <v>880</v>
      </c>
      <c r="J217" s="143">
        <f t="shared" ref="J217:J267" si="1">I217*3.595</f>
        <v>3163.6000000000004</v>
      </c>
    </row>
    <row r="218" spans="1:10">
      <c r="A218" s="703">
        <v>3</v>
      </c>
      <c r="B218" s="703" t="s">
        <v>2426</v>
      </c>
      <c r="C218" s="703" t="s">
        <v>2427</v>
      </c>
      <c r="D218" s="703" t="s">
        <v>2428</v>
      </c>
      <c r="E218" s="679">
        <v>356188160423706</v>
      </c>
      <c r="F218" s="1426" t="s">
        <v>1121</v>
      </c>
      <c r="G218" s="1426"/>
      <c r="H218" s="797"/>
      <c r="I218" s="703">
        <v>880</v>
      </c>
      <c r="J218" s="143">
        <f t="shared" si="1"/>
        <v>3163.6000000000004</v>
      </c>
    </row>
    <row r="219" spans="1:10">
      <c r="A219" s="703">
        <v>4</v>
      </c>
      <c r="B219" s="703" t="s">
        <v>2426</v>
      </c>
      <c r="C219" s="703" t="s">
        <v>2427</v>
      </c>
      <c r="D219" s="703" t="s">
        <v>2428</v>
      </c>
      <c r="E219" s="679">
        <v>356188160049063</v>
      </c>
      <c r="F219" s="1426" t="s">
        <v>1121</v>
      </c>
      <c r="G219" s="1426"/>
      <c r="H219" s="797"/>
      <c r="I219" s="703">
        <v>880</v>
      </c>
      <c r="J219" s="143">
        <f t="shared" si="1"/>
        <v>3163.6000000000004</v>
      </c>
    </row>
    <row r="220" spans="1:10">
      <c r="A220" s="703">
        <v>5</v>
      </c>
      <c r="B220" s="703" t="s">
        <v>2426</v>
      </c>
      <c r="C220" s="703" t="s">
        <v>2427</v>
      </c>
      <c r="D220" s="703" t="s">
        <v>2428</v>
      </c>
      <c r="E220" s="679">
        <v>353263427359440</v>
      </c>
      <c r="F220" s="1427"/>
      <c r="G220" s="1427"/>
      <c r="H220" s="796"/>
      <c r="I220" s="703">
        <v>880</v>
      </c>
      <c r="J220" s="143">
        <f t="shared" si="1"/>
        <v>3163.6000000000004</v>
      </c>
    </row>
    <row r="221" spans="1:10">
      <c r="A221" s="703">
        <v>6</v>
      </c>
      <c r="B221" s="703" t="s">
        <v>2426</v>
      </c>
      <c r="C221" s="703" t="s">
        <v>2427</v>
      </c>
      <c r="D221" s="703" t="s">
        <v>2428</v>
      </c>
      <c r="E221" s="679">
        <v>358051326224004</v>
      </c>
      <c r="F221" s="1426" t="s">
        <v>1121</v>
      </c>
      <c r="G221" s="1426"/>
      <c r="H221" s="797"/>
      <c r="I221" s="703">
        <v>880</v>
      </c>
      <c r="J221" s="143">
        <f t="shared" si="1"/>
        <v>3163.6000000000004</v>
      </c>
    </row>
    <row r="222" spans="1:10">
      <c r="A222" s="703">
        <v>7</v>
      </c>
      <c r="B222" s="703" t="s">
        <v>2426</v>
      </c>
      <c r="C222" s="703" t="s">
        <v>2427</v>
      </c>
      <c r="D222" s="703" t="s">
        <v>2428</v>
      </c>
      <c r="E222" s="679">
        <v>357586344585994</v>
      </c>
      <c r="F222" s="1426" t="s">
        <v>1121</v>
      </c>
      <c r="G222" s="1426"/>
      <c r="H222" s="797"/>
      <c r="I222" s="703">
        <v>880</v>
      </c>
      <c r="J222" s="143">
        <f t="shared" si="1"/>
        <v>3163.6000000000004</v>
      </c>
    </row>
    <row r="223" spans="1:10">
      <c r="A223" s="703">
        <v>8</v>
      </c>
      <c r="B223" s="703" t="s">
        <v>2426</v>
      </c>
      <c r="C223" s="703" t="s">
        <v>2427</v>
      </c>
      <c r="D223" s="703" t="s">
        <v>2428</v>
      </c>
      <c r="E223" s="679">
        <v>353263426755861</v>
      </c>
      <c r="F223" s="1427"/>
      <c r="G223" s="1427"/>
      <c r="H223" s="796"/>
      <c r="I223" s="703">
        <v>880</v>
      </c>
      <c r="J223" s="143">
        <f t="shared" si="1"/>
        <v>3163.6000000000004</v>
      </c>
    </row>
    <row r="224" spans="1:10">
      <c r="A224" s="703">
        <v>9</v>
      </c>
      <c r="B224" s="703" t="s">
        <v>2426</v>
      </c>
      <c r="C224" s="703" t="s">
        <v>2427</v>
      </c>
      <c r="D224" s="703" t="s">
        <v>2428</v>
      </c>
      <c r="E224" s="679">
        <v>359912586795810</v>
      </c>
      <c r="F224" s="1427"/>
      <c r="G224" s="1427"/>
      <c r="H224" s="796"/>
      <c r="I224" s="703">
        <v>880</v>
      </c>
      <c r="J224" s="143">
        <f t="shared" si="1"/>
        <v>3163.6000000000004</v>
      </c>
    </row>
    <row r="225" spans="1:10">
      <c r="A225" s="703">
        <v>10</v>
      </c>
      <c r="B225" s="703" t="s">
        <v>2426</v>
      </c>
      <c r="C225" s="703" t="s">
        <v>2427</v>
      </c>
      <c r="D225" s="703" t="s">
        <v>2428</v>
      </c>
      <c r="E225" s="679">
        <v>356188162356185</v>
      </c>
      <c r="F225" s="1427"/>
      <c r="G225" s="1427"/>
      <c r="H225" s="796"/>
      <c r="I225" s="703">
        <v>880</v>
      </c>
      <c r="J225" s="143">
        <f t="shared" si="1"/>
        <v>3163.6000000000004</v>
      </c>
    </row>
    <row r="226" spans="1:10">
      <c r="A226" s="703">
        <v>11</v>
      </c>
      <c r="B226" s="703" t="s">
        <v>2426</v>
      </c>
      <c r="C226" s="703" t="s">
        <v>2427</v>
      </c>
      <c r="D226" s="703" t="s">
        <v>2428</v>
      </c>
      <c r="E226" s="679">
        <v>358051321099997</v>
      </c>
      <c r="F226" s="1426" t="s">
        <v>2447</v>
      </c>
      <c r="G226" s="1426"/>
      <c r="H226" s="797"/>
      <c r="I226" s="703">
        <v>880</v>
      </c>
      <c r="J226" s="143">
        <f t="shared" si="1"/>
        <v>3163.6000000000004</v>
      </c>
    </row>
    <row r="227" spans="1:10">
      <c r="A227" s="703">
        <v>12</v>
      </c>
      <c r="B227" s="703" t="s">
        <v>2426</v>
      </c>
      <c r="C227" s="703" t="s">
        <v>2427</v>
      </c>
      <c r="D227" s="703" t="s">
        <v>2428</v>
      </c>
      <c r="E227" s="679">
        <v>350889862475052</v>
      </c>
      <c r="F227" s="1427"/>
      <c r="G227" s="1427"/>
      <c r="H227" s="796"/>
      <c r="I227" s="703">
        <v>880</v>
      </c>
      <c r="J227" s="143">
        <f t="shared" si="1"/>
        <v>3163.6000000000004</v>
      </c>
    </row>
    <row r="228" spans="1:10">
      <c r="A228" s="703">
        <v>13</v>
      </c>
      <c r="B228" s="703" t="s">
        <v>2426</v>
      </c>
      <c r="C228" s="703" t="s">
        <v>2427</v>
      </c>
      <c r="D228" s="703" t="s">
        <v>2428</v>
      </c>
      <c r="E228" s="679">
        <v>350889862618701</v>
      </c>
      <c r="F228" s="1426" t="s">
        <v>1121</v>
      </c>
      <c r="G228" s="1426"/>
      <c r="H228" s="797"/>
      <c r="I228" s="703">
        <v>880</v>
      </c>
      <c r="J228" s="143">
        <f t="shared" si="1"/>
        <v>3163.6000000000004</v>
      </c>
    </row>
    <row r="229" spans="1:10">
      <c r="A229" s="703">
        <v>14</v>
      </c>
      <c r="B229" s="703" t="s">
        <v>2426</v>
      </c>
      <c r="C229" s="703" t="s">
        <v>2427</v>
      </c>
      <c r="D229" s="703" t="s">
        <v>2428</v>
      </c>
      <c r="E229" s="679">
        <v>357586344610396</v>
      </c>
      <c r="F229" s="1427"/>
      <c r="G229" s="1427"/>
      <c r="H229" s="796"/>
      <c r="I229" s="703">
        <v>880</v>
      </c>
      <c r="J229" s="143">
        <f t="shared" si="1"/>
        <v>3163.6000000000004</v>
      </c>
    </row>
    <row r="230" spans="1:10">
      <c r="A230" s="703">
        <v>15</v>
      </c>
      <c r="B230" s="703" t="s">
        <v>2426</v>
      </c>
      <c r="C230" s="703" t="s">
        <v>2427</v>
      </c>
      <c r="D230" s="703" t="s">
        <v>2428</v>
      </c>
      <c r="E230" s="679">
        <v>359614546217410</v>
      </c>
      <c r="F230" s="1427"/>
      <c r="G230" s="1427"/>
      <c r="H230" s="796"/>
      <c r="I230" s="703">
        <v>880</v>
      </c>
      <c r="J230" s="143">
        <f t="shared" si="1"/>
        <v>3163.6000000000004</v>
      </c>
    </row>
    <row r="231" spans="1:10">
      <c r="A231" s="703">
        <v>16</v>
      </c>
      <c r="B231" s="703" t="s">
        <v>2426</v>
      </c>
      <c r="C231" s="703" t="s">
        <v>2427</v>
      </c>
      <c r="D231" s="703" t="s">
        <v>2428</v>
      </c>
      <c r="E231" s="679">
        <v>352791397736289</v>
      </c>
      <c r="F231" s="1427"/>
      <c r="G231" s="1427"/>
      <c r="H231" s="796"/>
      <c r="I231" s="703">
        <v>880</v>
      </c>
      <c r="J231" s="143">
        <f t="shared" si="1"/>
        <v>3163.6000000000004</v>
      </c>
    </row>
    <row r="232" spans="1:10">
      <c r="A232" s="703">
        <v>17</v>
      </c>
      <c r="B232" s="703" t="s">
        <v>2426</v>
      </c>
      <c r="C232" s="703" t="s">
        <v>2427</v>
      </c>
      <c r="D232" s="703" t="s">
        <v>2428</v>
      </c>
      <c r="E232" s="679">
        <v>353263427082901</v>
      </c>
      <c r="F232" s="1427"/>
      <c r="G232" s="1427"/>
      <c r="H232" s="796"/>
      <c r="I232" s="703">
        <v>880</v>
      </c>
      <c r="J232" s="143">
        <f t="shared" si="1"/>
        <v>3163.6000000000004</v>
      </c>
    </row>
    <row r="233" spans="1:10">
      <c r="A233" s="703">
        <v>18</v>
      </c>
      <c r="B233" s="703" t="s">
        <v>2426</v>
      </c>
      <c r="C233" s="703" t="s">
        <v>2427</v>
      </c>
      <c r="D233" s="703" t="s">
        <v>2428</v>
      </c>
      <c r="E233" s="679">
        <v>356188161863918</v>
      </c>
      <c r="F233" s="1427"/>
      <c r="G233" s="1427"/>
      <c r="H233" s="796"/>
      <c r="I233" s="703">
        <v>880</v>
      </c>
      <c r="J233" s="143">
        <f t="shared" si="1"/>
        <v>3163.6000000000004</v>
      </c>
    </row>
    <row r="234" spans="1:10">
      <c r="A234" s="703">
        <v>19</v>
      </c>
      <c r="B234" s="703" t="s">
        <v>2426</v>
      </c>
      <c r="C234" s="703" t="s">
        <v>2427</v>
      </c>
      <c r="D234" s="703" t="s">
        <v>2428</v>
      </c>
      <c r="E234" s="679">
        <v>358051321426497</v>
      </c>
      <c r="F234" s="1426" t="s">
        <v>1121</v>
      </c>
      <c r="G234" s="1426"/>
      <c r="H234" s="797"/>
      <c r="I234" s="703">
        <v>880</v>
      </c>
      <c r="J234" s="143">
        <f t="shared" si="1"/>
        <v>3163.6000000000004</v>
      </c>
    </row>
    <row r="235" spans="1:10">
      <c r="A235" s="703">
        <v>20</v>
      </c>
      <c r="B235" s="703" t="s">
        <v>2426</v>
      </c>
      <c r="C235" s="703" t="s">
        <v>2526</v>
      </c>
      <c r="D235" s="703" t="s">
        <v>2428</v>
      </c>
      <c r="E235" s="679">
        <v>356364246005268</v>
      </c>
      <c r="F235" s="1426" t="s">
        <v>2619</v>
      </c>
      <c r="G235" s="1426"/>
      <c r="H235" s="797"/>
      <c r="I235" s="703">
        <v>380</v>
      </c>
      <c r="J235" s="143">
        <f t="shared" si="1"/>
        <v>1366.1000000000001</v>
      </c>
    </row>
    <row r="236" spans="1:10">
      <c r="A236" s="703">
        <v>21</v>
      </c>
      <c r="B236" s="703" t="s">
        <v>2426</v>
      </c>
      <c r="C236" s="703" t="s">
        <v>2526</v>
      </c>
      <c r="D236" s="703" t="s">
        <v>2428</v>
      </c>
      <c r="E236" s="679">
        <v>356364246059356</v>
      </c>
      <c r="F236" s="1426" t="s">
        <v>2619</v>
      </c>
      <c r="G236" s="1426"/>
      <c r="H236" s="797"/>
      <c r="I236" s="703">
        <v>380</v>
      </c>
      <c r="J236" s="143">
        <f t="shared" si="1"/>
        <v>1366.1000000000001</v>
      </c>
    </row>
    <row r="237" spans="1:10">
      <c r="A237" s="703">
        <v>22</v>
      </c>
      <c r="B237" s="703" t="s">
        <v>2426</v>
      </c>
      <c r="C237" s="703" t="s">
        <v>2526</v>
      </c>
      <c r="D237" s="703" t="s">
        <v>2428</v>
      </c>
      <c r="E237" s="679">
        <v>356364245823588</v>
      </c>
      <c r="F237" s="1426" t="s">
        <v>2619</v>
      </c>
      <c r="G237" s="1426"/>
      <c r="H237" s="797"/>
      <c r="I237" s="703">
        <v>380</v>
      </c>
      <c r="J237" s="143">
        <f t="shared" si="1"/>
        <v>1366.1000000000001</v>
      </c>
    </row>
    <row r="238" spans="1:10">
      <c r="A238" s="703">
        <v>23</v>
      </c>
      <c r="B238" s="703" t="s">
        <v>2426</v>
      </c>
      <c r="C238" s="703" t="s">
        <v>2429</v>
      </c>
      <c r="D238" s="703" t="s">
        <v>2428</v>
      </c>
      <c r="E238" s="679">
        <v>356764176095702</v>
      </c>
      <c r="F238" s="1426" t="s">
        <v>2619</v>
      </c>
      <c r="G238" s="1426"/>
      <c r="H238" s="797"/>
      <c r="I238" s="703">
        <v>380</v>
      </c>
      <c r="J238" s="143">
        <f t="shared" si="1"/>
        <v>1366.1000000000001</v>
      </c>
    </row>
    <row r="239" spans="1:10">
      <c r="A239" s="703">
        <v>24</v>
      </c>
      <c r="B239" s="703" t="s">
        <v>2426</v>
      </c>
      <c r="C239" s="703" t="s">
        <v>2429</v>
      </c>
      <c r="D239" s="703" t="s">
        <v>2428</v>
      </c>
      <c r="E239" s="679">
        <v>356605222182244</v>
      </c>
      <c r="F239" s="1426" t="s">
        <v>1121</v>
      </c>
      <c r="G239" s="1426"/>
      <c r="H239" s="797"/>
      <c r="I239" s="703">
        <v>880</v>
      </c>
      <c r="J239" s="143">
        <f t="shared" si="1"/>
        <v>3163.6000000000004</v>
      </c>
    </row>
    <row r="240" spans="1:10">
      <c r="A240" s="703">
        <v>25</v>
      </c>
      <c r="B240" s="703" t="s">
        <v>2426</v>
      </c>
      <c r="C240" s="703" t="s">
        <v>2429</v>
      </c>
      <c r="D240" s="703" t="s">
        <v>2428</v>
      </c>
      <c r="E240" s="679">
        <v>352791394722647</v>
      </c>
      <c r="F240" s="1427"/>
      <c r="G240" s="1427"/>
      <c r="H240" s="796"/>
      <c r="I240" s="703">
        <v>900</v>
      </c>
      <c r="J240" s="143">
        <f t="shared" si="1"/>
        <v>3235.5</v>
      </c>
    </row>
    <row r="241" spans="1:10">
      <c r="A241" s="703">
        <v>26</v>
      </c>
      <c r="B241" s="703" t="s">
        <v>2426</v>
      </c>
      <c r="C241" s="703" t="s">
        <v>2429</v>
      </c>
      <c r="D241" s="703" t="s">
        <v>2428</v>
      </c>
      <c r="E241" s="679">
        <v>353263425811954</v>
      </c>
      <c r="F241" s="1427"/>
      <c r="G241" s="1427"/>
      <c r="H241" s="796"/>
      <c r="I241" s="703">
        <v>900</v>
      </c>
      <c r="J241" s="143">
        <f t="shared" si="1"/>
        <v>3235.5</v>
      </c>
    </row>
    <row r="242" spans="1:10">
      <c r="A242" s="703">
        <v>27</v>
      </c>
      <c r="B242" s="703" t="s">
        <v>2426</v>
      </c>
      <c r="C242" s="703" t="s">
        <v>2429</v>
      </c>
      <c r="D242" s="703" t="s">
        <v>2428</v>
      </c>
      <c r="E242" s="679">
        <v>357586346058651</v>
      </c>
      <c r="F242" s="1427"/>
      <c r="G242" s="1427"/>
      <c r="H242" s="796"/>
      <c r="I242" s="703">
        <v>900</v>
      </c>
      <c r="J242" s="143">
        <f t="shared" si="1"/>
        <v>3235.5</v>
      </c>
    </row>
    <row r="243" spans="1:10">
      <c r="A243" s="703">
        <v>28</v>
      </c>
      <c r="B243" s="703" t="s">
        <v>2426</v>
      </c>
      <c r="C243" s="703" t="s">
        <v>2429</v>
      </c>
      <c r="D243" s="703" t="s">
        <v>2428</v>
      </c>
      <c r="E243" s="679">
        <v>359802898116179</v>
      </c>
      <c r="F243" s="1427"/>
      <c r="G243" s="1427"/>
      <c r="H243" s="796"/>
      <c r="I243" s="703">
        <v>900</v>
      </c>
      <c r="J243" s="143">
        <f t="shared" si="1"/>
        <v>3235.5</v>
      </c>
    </row>
    <row r="244" spans="1:10">
      <c r="A244" s="703">
        <v>29</v>
      </c>
      <c r="B244" s="703" t="s">
        <v>2426</v>
      </c>
      <c r="C244" s="703" t="s">
        <v>2429</v>
      </c>
      <c r="D244" s="703" t="s">
        <v>2428</v>
      </c>
      <c r="E244" s="679">
        <v>359614541233842</v>
      </c>
      <c r="F244" s="1426" t="s">
        <v>1121</v>
      </c>
      <c r="G244" s="1426"/>
      <c r="H244" s="797"/>
      <c r="I244" s="703">
        <v>900</v>
      </c>
      <c r="J244" s="143">
        <f t="shared" si="1"/>
        <v>3235.5</v>
      </c>
    </row>
    <row r="245" spans="1:10">
      <c r="A245" s="703">
        <v>30</v>
      </c>
      <c r="B245" s="703" t="s">
        <v>2426</v>
      </c>
      <c r="C245" s="703" t="s">
        <v>2429</v>
      </c>
      <c r="D245" s="703" t="s">
        <v>2428</v>
      </c>
      <c r="E245" s="679">
        <v>356605223669785</v>
      </c>
      <c r="F245" s="1427"/>
      <c r="G245" s="1427"/>
      <c r="H245" s="796"/>
      <c r="I245" s="703">
        <v>900</v>
      </c>
      <c r="J245" s="143">
        <f t="shared" si="1"/>
        <v>3235.5</v>
      </c>
    </row>
    <row r="246" spans="1:10">
      <c r="A246" s="703">
        <v>31</v>
      </c>
      <c r="B246" s="703" t="s">
        <v>2426</v>
      </c>
      <c r="C246" s="703" t="s">
        <v>2429</v>
      </c>
      <c r="D246" s="703" t="s">
        <v>2428</v>
      </c>
      <c r="E246" s="679">
        <v>357063607465264</v>
      </c>
      <c r="F246" s="1426" t="s">
        <v>1121</v>
      </c>
      <c r="G246" s="1426"/>
      <c r="H246" s="797"/>
      <c r="I246" s="703">
        <v>900</v>
      </c>
      <c r="J246" s="143">
        <f t="shared" si="1"/>
        <v>3235.5</v>
      </c>
    </row>
    <row r="247" spans="1:10">
      <c r="A247" s="703">
        <v>32</v>
      </c>
      <c r="B247" s="703" t="s">
        <v>2426</v>
      </c>
      <c r="C247" s="703" t="s">
        <v>2429</v>
      </c>
      <c r="D247" s="703" t="s">
        <v>2428</v>
      </c>
      <c r="E247" s="679">
        <v>359614542086678</v>
      </c>
      <c r="F247" s="1427"/>
      <c r="G247" s="1427"/>
      <c r="H247" s="796"/>
      <c r="I247" s="703">
        <v>900</v>
      </c>
      <c r="J247" s="143">
        <f t="shared" si="1"/>
        <v>3235.5</v>
      </c>
    </row>
    <row r="248" spans="1:10">
      <c r="A248" s="703">
        <v>33</v>
      </c>
      <c r="B248" s="703" t="s">
        <v>2426</v>
      </c>
      <c r="C248" s="703" t="s">
        <v>2429</v>
      </c>
      <c r="D248" s="703" t="s">
        <v>2428</v>
      </c>
      <c r="E248" s="679">
        <v>359614542002816</v>
      </c>
      <c r="F248" s="1427"/>
      <c r="G248" s="1427"/>
      <c r="H248" s="796"/>
      <c r="I248" s="703">
        <v>900</v>
      </c>
      <c r="J248" s="143">
        <f t="shared" si="1"/>
        <v>3235.5</v>
      </c>
    </row>
    <row r="249" spans="1:10">
      <c r="A249" s="703">
        <v>34</v>
      </c>
      <c r="B249" s="703" t="s">
        <v>2426</v>
      </c>
      <c r="C249" s="703" t="s">
        <v>2429</v>
      </c>
      <c r="D249" s="703" t="s">
        <v>2428</v>
      </c>
      <c r="E249" s="679">
        <v>357063606855754</v>
      </c>
      <c r="F249" s="1426" t="s">
        <v>2619</v>
      </c>
      <c r="G249" s="1426"/>
      <c r="H249" s="797"/>
      <c r="I249" s="703">
        <v>380</v>
      </c>
      <c r="J249" s="143">
        <f t="shared" si="1"/>
        <v>1366.1000000000001</v>
      </c>
    </row>
    <row r="250" spans="1:10">
      <c r="A250" s="703">
        <v>35</v>
      </c>
      <c r="B250" s="703" t="s">
        <v>2426</v>
      </c>
      <c r="C250" s="703" t="s">
        <v>2429</v>
      </c>
      <c r="D250" s="703" t="s">
        <v>2428</v>
      </c>
      <c r="E250" s="679">
        <v>350889867176291</v>
      </c>
      <c r="F250" s="1426" t="s">
        <v>1121</v>
      </c>
      <c r="G250" s="1426"/>
      <c r="H250" s="797"/>
      <c r="I250" s="703">
        <v>900</v>
      </c>
      <c r="J250" s="143">
        <f t="shared" si="1"/>
        <v>3235.5</v>
      </c>
    </row>
    <row r="251" spans="1:10">
      <c r="A251" s="703">
        <v>36</v>
      </c>
      <c r="B251" s="703" t="s">
        <v>2426</v>
      </c>
      <c r="C251" s="703" t="s">
        <v>2429</v>
      </c>
      <c r="D251" s="703" t="s">
        <v>2428</v>
      </c>
      <c r="E251" s="679">
        <v>356764176012640</v>
      </c>
      <c r="F251" s="1426" t="s">
        <v>2619</v>
      </c>
      <c r="G251" s="1426"/>
      <c r="H251" s="797"/>
      <c r="I251" s="703">
        <v>380</v>
      </c>
      <c r="J251" s="143">
        <f t="shared" si="1"/>
        <v>1366.1000000000001</v>
      </c>
    </row>
    <row r="252" spans="1:10">
      <c r="A252" s="703">
        <v>37</v>
      </c>
      <c r="B252" s="703" t="s">
        <v>2426</v>
      </c>
      <c r="C252" s="703" t="s">
        <v>2429</v>
      </c>
      <c r="D252" s="703" t="s">
        <v>2428</v>
      </c>
      <c r="E252" s="679">
        <v>350889865663902</v>
      </c>
      <c r="F252" s="1427"/>
      <c r="G252" s="1427"/>
      <c r="H252" s="796"/>
      <c r="I252" s="703">
        <v>900</v>
      </c>
      <c r="J252" s="143">
        <f t="shared" si="1"/>
        <v>3235.5</v>
      </c>
    </row>
    <row r="253" spans="1:10">
      <c r="A253" s="703">
        <v>38</v>
      </c>
      <c r="B253" s="703" t="s">
        <v>2527</v>
      </c>
      <c r="C253" s="703" t="s">
        <v>2427</v>
      </c>
      <c r="D253" s="703" t="s">
        <v>2428</v>
      </c>
      <c r="E253" s="679">
        <v>354956977937882</v>
      </c>
      <c r="F253" s="1426" t="s">
        <v>2619</v>
      </c>
      <c r="G253" s="1426"/>
      <c r="H253" s="797"/>
      <c r="I253" s="703">
        <v>280</v>
      </c>
      <c r="J253" s="143">
        <f t="shared" si="1"/>
        <v>1006.6</v>
      </c>
    </row>
    <row r="254" spans="1:10">
      <c r="A254" s="703">
        <v>39</v>
      </c>
      <c r="B254" s="703" t="s">
        <v>2620</v>
      </c>
      <c r="C254" s="703" t="s">
        <v>2444</v>
      </c>
      <c r="D254" s="704"/>
      <c r="E254" s="679">
        <v>711719560364</v>
      </c>
      <c r="F254" s="1427"/>
      <c r="G254" s="1427"/>
      <c r="H254" s="796"/>
      <c r="I254" s="703">
        <v>135</v>
      </c>
      <c r="J254" s="143">
        <f t="shared" si="1"/>
        <v>485.32500000000005</v>
      </c>
    </row>
    <row r="255" spans="1:10">
      <c r="A255" s="703">
        <v>40</v>
      </c>
      <c r="B255" s="703" t="s">
        <v>2620</v>
      </c>
      <c r="C255" s="703" t="s">
        <v>2444</v>
      </c>
      <c r="D255" s="704"/>
      <c r="E255" s="679">
        <v>711719560364</v>
      </c>
      <c r="F255" s="1427"/>
      <c r="G255" s="1427"/>
      <c r="H255" s="796"/>
      <c r="I255" s="703">
        <v>135</v>
      </c>
      <c r="J255" s="143">
        <f t="shared" si="1"/>
        <v>485.32500000000005</v>
      </c>
    </row>
    <row r="256" spans="1:10">
      <c r="A256" s="703">
        <v>41</v>
      </c>
      <c r="B256" s="703" t="s">
        <v>2620</v>
      </c>
      <c r="C256" s="703" t="s">
        <v>2444</v>
      </c>
      <c r="D256" s="704"/>
      <c r="E256" s="679">
        <v>711719560364</v>
      </c>
      <c r="F256" s="1427"/>
      <c r="G256" s="1427"/>
      <c r="H256" s="796"/>
      <c r="I256" s="703">
        <v>135</v>
      </c>
      <c r="J256" s="143">
        <f t="shared" si="1"/>
        <v>485.32500000000005</v>
      </c>
    </row>
    <row r="257" spans="1:10">
      <c r="A257" s="703">
        <v>42</v>
      </c>
      <c r="B257" s="703" t="s">
        <v>2620</v>
      </c>
      <c r="C257" s="703" t="s">
        <v>2444</v>
      </c>
      <c r="D257" s="704"/>
      <c r="E257" s="679">
        <v>711719560364</v>
      </c>
      <c r="F257" s="1427"/>
      <c r="G257" s="1427"/>
      <c r="H257" s="796"/>
      <c r="I257" s="703">
        <v>135</v>
      </c>
      <c r="J257" s="143">
        <f t="shared" si="1"/>
        <v>485.32500000000005</v>
      </c>
    </row>
    <row r="258" spans="1:10">
      <c r="A258" s="703">
        <v>43</v>
      </c>
      <c r="B258" s="703" t="s">
        <v>2620</v>
      </c>
      <c r="C258" s="703" t="s">
        <v>2444</v>
      </c>
      <c r="D258" s="704"/>
      <c r="E258" s="679">
        <v>711719560364</v>
      </c>
      <c r="F258" s="1427"/>
      <c r="G258" s="1427"/>
      <c r="H258" s="796"/>
      <c r="I258" s="703">
        <v>135</v>
      </c>
      <c r="J258" s="143">
        <f t="shared" si="1"/>
        <v>485.32500000000005</v>
      </c>
    </row>
    <row r="259" spans="1:10">
      <c r="A259" s="703">
        <v>44</v>
      </c>
      <c r="B259" s="703" t="s">
        <v>2620</v>
      </c>
      <c r="C259" s="703" t="s">
        <v>2621</v>
      </c>
      <c r="D259" s="704"/>
      <c r="E259" s="679">
        <v>711719596554</v>
      </c>
      <c r="F259" s="1427"/>
      <c r="G259" s="1427"/>
      <c r="H259" s="796"/>
      <c r="I259" s="703">
        <v>135</v>
      </c>
      <c r="J259" s="143">
        <f t="shared" si="1"/>
        <v>485.32500000000005</v>
      </c>
    </row>
    <row r="260" spans="1:10">
      <c r="A260" s="703">
        <v>45</v>
      </c>
      <c r="B260" s="703" t="s">
        <v>2620</v>
      </c>
      <c r="C260" s="703" t="s">
        <v>2621</v>
      </c>
      <c r="D260" s="704"/>
      <c r="E260" s="679">
        <v>711719596554</v>
      </c>
      <c r="F260" s="1427"/>
      <c r="G260" s="1427"/>
      <c r="H260" s="796"/>
      <c r="I260" s="703">
        <v>135</v>
      </c>
      <c r="J260" s="143">
        <f t="shared" si="1"/>
        <v>485.32500000000005</v>
      </c>
    </row>
    <row r="261" spans="1:10">
      <c r="A261" s="703">
        <v>46</v>
      </c>
      <c r="B261" s="703" t="s">
        <v>2620</v>
      </c>
      <c r="C261" s="703" t="s">
        <v>2621</v>
      </c>
      <c r="D261" s="704"/>
      <c r="E261" s="679">
        <v>711719596554</v>
      </c>
      <c r="F261" s="1427"/>
      <c r="G261" s="1427"/>
      <c r="H261" s="796"/>
      <c r="I261" s="703">
        <v>135</v>
      </c>
      <c r="J261" s="143">
        <f t="shared" si="1"/>
        <v>485.32500000000005</v>
      </c>
    </row>
    <row r="262" spans="1:10">
      <c r="A262" s="703">
        <v>47</v>
      </c>
      <c r="B262" s="703" t="s">
        <v>2622</v>
      </c>
      <c r="C262" s="703" t="s">
        <v>2444</v>
      </c>
      <c r="D262" s="704"/>
      <c r="E262" s="679">
        <v>711719574293</v>
      </c>
      <c r="F262" s="1427"/>
      <c r="G262" s="1427"/>
      <c r="H262" s="796"/>
      <c r="I262" s="703">
        <v>45</v>
      </c>
      <c r="J262" s="143">
        <f t="shared" si="1"/>
        <v>161.77500000000001</v>
      </c>
    </row>
    <row r="263" spans="1:10">
      <c r="A263" s="703">
        <v>48</v>
      </c>
      <c r="B263" s="703" t="s">
        <v>2622</v>
      </c>
      <c r="C263" s="703" t="s">
        <v>2444</v>
      </c>
      <c r="D263" s="704"/>
      <c r="E263" s="679">
        <v>711719574293</v>
      </c>
      <c r="F263" s="1427"/>
      <c r="G263" s="1427"/>
      <c r="H263" s="796"/>
      <c r="I263" s="703">
        <v>45</v>
      </c>
      <c r="J263" s="143">
        <f t="shared" si="1"/>
        <v>161.77500000000001</v>
      </c>
    </row>
    <row r="264" spans="1:10">
      <c r="A264" s="703">
        <v>49</v>
      </c>
      <c r="B264" s="703" t="s">
        <v>2622</v>
      </c>
      <c r="C264" s="703" t="s">
        <v>2444</v>
      </c>
      <c r="D264" s="704"/>
      <c r="E264" s="679">
        <v>711719574293</v>
      </c>
      <c r="F264" s="1427"/>
      <c r="G264" s="1427"/>
      <c r="H264" s="796"/>
      <c r="I264" s="703">
        <v>45</v>
      </c>
      <c r="J264" s="143">
        <f t="shared" si="1"/>
        <v>161.77500000000001</v>
      </c>
    </row>
    <row r="265" spans="1:10">
      <c r="A265" s="703">
        <v>50</v>
      </c>
      <c r="B265" s="703" t="s">
        <v>2622</v>
      </c>
      <c r="C265" s="703" t="s">
        <v>2623</v>
      </c>
      <c r="D265" s="704"/>
      <c r="E265" s="679">
        <v>711719572671</v>
      </c>
      <c r="F265" s="1427"/>
      <c r="G265" s="1427"/>
      <c r="H265" s="796"/>
      <c r="I265" s="703">
        <v>45</v>
      </c>
      <c r="J265" s="143">
        <f t="shared" si="1"/>
        <v>161.77500000000001</v>
      </c>
    </row>
    <row r="266" spans="1:10">
      <c r="A266" s="703">
        <v>51</v>
      </c>
      <c r="B266" s="703" t="s">
        <v>2622</v>
      </c>
      <c r="C266" s="703" t="s">
        <v>2623</v>
      </c>
      <c r="D266" s="704"/>
      <c r="E266" s="679">
        <v>711719572671</v>
      </c>
      <c r="F266" s="1427"/>
      <c r="G266" s="1427"/>
      <c r="H266" s="796"/>
      <c r="I266" s="703">
        <v>45</v>
      </c>
      <c r="J266" s="143">
        <f t="shared" si="1"/>
        <v>161.77500000000001</v>
      </c>
    </row>
    <row r="267" spans="1:10">
      <c r="A267" s="703">
        <v>52</v>
      </c>
      <c r="B267" s="703" t="s">
        <v>2622</v>
      </c>
      <c r="C267" s="703" t="s">
        <v>2623</v>
      </c>
      <c r="D267" s="704"/>
      <c r="E267" s="679">
        <v>711719572671</v>
      </c>
      <c r="F267" s="1427"/>
      <c r="G267" s="1427"/>
      <c r="H267" s="796"/>
      <c r="I267" s="703">
        <v>45</v>
      </c>
      <c r="J267" s="143">
        <f t="shared" si="1"/>
        <v>161.77500000000001</v>
      </c>
    </row>
    <row r="268" spans="1:10">
      <c r="I268" s="27">
        <f>SUM(I216:I267)</f>
        <v>31410</v>
      </c>
      <c r="J268" s="870">
        <f>SUM(J216:J267)</f>
        <v>112918.94999999995</v>
      </c>
    </row>
    <row r="273" spans="1:9" ht="14.45" customHeight="1">
      <c r="A273" s="1434" t="s">
        <v>1</v>
      </c>
      <c r="B273" s="1434"/>
      <c r="C273" s="674" t="s">
        <v>2629</v>
      </c>
      <c r="D273" s="1463" t="s">
        <v>2644</v>
      </c>
      <c r="E273" s="1463"/>
      <c r="F273" s="1463"/>
      <c r="G273" s="1463"/>
      <c r="H273" s="1463"/>
      <c r="I273" s="1463"/>
    </row>
    <row r="274" spans="1:9" ht="14.45" customHeight="1">
      <c r="A274" s="1434" t="s">
        <v>2416</v>
      </c>
      <c r="B274" s="1434"/>
      <c r="C274" s="674" t="s">
        <v>2630</v>
      </c>
      <c r="D274" s="1463"/>
      <c r="E274" s="1463"/>
      <c r="F274" s="1463"/>
      <c r="G274" s="1463"/>
      <c r="H274" s="1463"/>
      <c r="I274" s="1463"/>
    </row>
    <row r="275" spans="1:9">
      <c r="A275" s="707"/>
      <c r="B275" s="707"/>
      <c r="C275" s="707"/>
      <c r="D275" s="1444" t="s">
        <v>2545</v>
      </c>
      <c r="E275" s="1444"/>
      <c r="F275" s="1444"/>
      <c r="G275" s="1444"/>
      <c r="H275" s="1444"/>
      <c r="I275" s="1444"/>
    </row>
    <row r="276" spans="1:9">
      <c r="A276" s="705" t="s">
        <v>2418</v>
      </c>
      <c r="B276" s="705" t="s">
        <v>2419</v>
      </c>
      <c r="C276" s="705" t="s">
        <v>2420</v>
      </c>
      <c r="D276" s="705" t="s">
        <v>2421</v>
      </c>
      <c r="E276" s="705" t="s">
        <v>2422</v>
      </c>
      <c r="F276" s="1442" t="s">
        <v>2423</v>
      </c>
      <c r="G276" s="1442"/>
      <c r="H276" s="800"/>
      <c r="I276" s="705" t="s">
        <v>2645</v>
      </c>
    </row>
    <row r="277" spans="1:9">
      <c r="A277" s="713">
        <v>1</v>
      </c>
      <c r="B277" s="713" t="s">
        <v>2426</v>
      </c>
      <c r="C277" s="713" t="s">
        <v>2429</v>
      </c>
      <c r="D277" s="713" t="s">
        <v>2430</v>
      </c>
      <c r="E277" s="714">
        <v>355450217466752</v>
      </c>
      <c r="F277" s="1462" t="s">
        <v>2631</v>
      </c>
      <c r="G277" s="1462"/>
      <c r="H277" s="802"/>
      <c r="I277" s="612"/>
    </row>
    <row r="278" spans="1:9">
      <c r="A278" s="703">
        <v>2</v>
      </c>
      <c r="B278" s="703" t="s">
        <v>2632</v>
      </c>
      <c r="C278" s="703" t="s">
        <v>2459</v>
      </c>
      <c r="D278" s="703" t="s">
        <v>2435</v>
      </c>
      <c r="E278" s="679" t="s">
        <v>2633</v>
      </c>
      <c r="F278" s="1426" t="s">
        <v>1121</v>
      </c>
      <c r="G278" s="1426"/>
      <c r="H278" s="797"/>
      <c r="I278" s="143">
        <v>4300</v>
      </c>
    </row>
    <row r="279" spans="1:9">
      <c r="A279" s="703">
        <v>3</v>
      </c>
      <c r="B279" s="703" t="s">
        <v>2634</v>
      </c>
      <c r="C279" s="703" t="s">
        <v>2449</v>
      </c>
      <c r="D279" s="703" t="s">
        <v>2442</v>
      </c>
      <c r="E279" s="679" t="s">
        <v>2635</v>
      </c>
      <c r="F279" s="1427"/>
      <c r="G279" s="1427"/>
      <c r="H279" s="796"/>
      <c r="I279" s="143">
        <v>1000</v>
      </c>
    </row>
    <row r="280" spans="1:9">
      <c r="A280" s="703">
        <v>4</v>
      </c>
      <c r="B280" s="703" t="s">
        <v>2573</v>
      </c>
      <c r="C280" s="703" t="s">
        <v>2459</v>
      </c>
      <c r="D280" s="703" t="s">
        <v>2574</v>
      </c>
      <c r="E280" s="679" t="s">
        <v>2575</v>
      </c>
      <c r="F280" s="1426"/>
      <c r="G280" s="1426"/>
      <c r="H280" s="797"/>
      <c r="I280" s="143">
        <v>4775</v>
      </c>
    </row>
    <row r="281" spans="1:9">
      <c r="A281" s="706">
        <v>5</v>
      </c>
      <c r="B281" s="706" t="s">
        <v>2636</v>
      </c>
      <c r="C281" s="706" t="s">
        <v>2429</v>
      </c>
      <c r="D281" s="706" t="s">
        <v>2637</v>
      </c>
      <c r="E281" s="407" t="s">
        <v>2638</v>
      </c>
      <c r="F281" s="1445"/>
      <c r="G281" s="1445"/>
      <c r="H281" s="798"/>
      <c r="I281" s="612"/>
    </row>
    <row r="282" spans="1:9">
      <c r="A282" s="703">
        <v>6</v>
      </c>
      <c r="B282" s="703" t="s">
        <v>2577</v>
      </c>
      <c r="C282" s="703" t="s">
        <v>2459</v>
      </c>
      <c r="D282" s="703" t="s">
        <v>2471</v>
      </c>
      <c r="E282" s="679" t="s">
        <v>2578</v>
      </c>
      <c r="F282" s="1426"/>
      <c r="G282" s="1426"/>
      <c r="H282" s="797"/>
      <c r="I282" s="143">
        <v>4920</v>
      </c>
    </row>
    <row r="283" spans="1:9">
      <c r="A283" s="703">
        <v>7</v>
      </c>
      <c r="B283" s="703" t="s">
        <v>2577</v>
      </c>
      <c r="C283" s="703" t="s">
        <v>2459</v>
      </c>
      <c r="D283" s="703" t="s">
        <v>2471</v>
      </c>
      <c r="E283" s="679" t="s">
        <v>2579</v>
      </c>
      <c r="F283" s="1426"/>
      <c r="G283" s="1426"/>
      <c r="H283" s="797"/>
      <c r="I283" s="143">
        <v>4920</v>
      </c>
    </row>
    <row r="284" spans="1:9">
      <c r="A284" s="703">
        <v>8</v>
      </c>
      <c r="B284" s="703" t="s">
        <v>2581</v>
      </c>
      <c r="C284" s="703" t="s">
        <v>2529</v>
      </c>
      <c r="D284" s="703" t="s">
        <v>2574</v>
      </c>
      <c r="E284" s="679" t="s">
        <v>2582</v>
      </c>
      <c r="F284" s="1426"/>
      <c r="G284" s="1426"/>
      <c r="H284" s="797"/>
      <c r="I284" s="143">
        <v>3270</v>
      </c>
    </row>
    <row r="285" spans="1:9">
      <c r="A285" s="703">
        <v>9</v>
      </c>
      <c r="B285" s="703" t="s">
        <v>2584</v>
      </c>
      <c r="C285" s="703" t="s">
        <v>2457</v>
      </c>
      <c r="D285" s="703" t="s">
        <v>2585</v>
      </c>
      <c r="E285" s="679" t="s">
        <v>2586</v>
      </c>
      <c r="F285" s="1426"/>
      <c r="G285" s="1426"/>
      <c r="H285" s="797"/>
      <c r="I285" s="143">
        <v>2350</v>
      </c>
    </row>
    <row r="286" spans="1:9">
      <c r="A286" s="703">
        <v>10</v>
      </c>
      <c r="B286" s="703" t="s">
        <v>2587</v>
      </c>
      <c r="C286" s="703" t="s">
        <v>2457</v>
      </c>
      <c r="D286" s="703" t="s">
        <v>2588</v>
      </c>
      <c r="E286" s="679" t="s">
        <v>2589</v>
      </c>
      <c r="F286" s="1426"/>
      <c r="G286" s="1426"/>
      <c r="H286" s="797"/>
      <c r="I286" s="143">
        <v>2000</v>
      </c>
    </row>
    <row r="287" spans="1:9">
      <c r="A287" s="703">
        <v>11</v>
      </c>
      <c r="B287" s="703" t="s">
        <v>2587</v>
      </c>
      <c r="C287" s="703" t="s">
        <v>2457</v>
      </c>
      <c r="D287" s="703" t="s">
        <v>2588</v>
      </c>
      <c r="E287" s="679" t="s">
        <v>2590</v>
      </c>
      <c r="F287" s="1426"/>
      <c r="G287" s="1426"/>
      <c r="H287" s="797"/>
      <c r="I287" s="143">
        <v>2000</v>
      </c>
    </row>
    <row r="288" spans="1:9">
      <c r="A288" s="703">
        <v>12</v>
      </c>
      <c r="B288" s="703" t="s">
        <v>2587</v>
      </c>
      <c r="C288" s="703" t="s">
        <v>2457</v>
      </c>
      <c r="D288" s="703" t="s">
        <v>2588</v>
      </c>
      <c r="E288" s="679" t="s">
        <v>2591</v>
      </c>
      <c r="F288" s="1426"/>
      <c r="G288" s="1426"/>
      <c r="H288" s="797"/>
      <c r="I288" s="143">
        <v>2000</v>
      </c>
    </row>
    <row r="289" spans="1:10">
      <c r="A289" s="703">
        <v>13</v>
      </c>
      <c r="B289" s="703" t="s">
        <v>2587</v>
      </c>
      <c r="C289" s="703" t="s">
        <v>2457</v>
      </c>
      <c r="D289" s="703" t="s">
        <v>2588</v>
      </c>
      <c r="E289" s="679" t="s">
        <v>2592</v>
      </c>
      <c r="F289" s="1426"/>
      <c r="G289" s="1426"/>
      <c r="H289" s="797"/>
      <c r="I289" s="143">
        <v>2000</v>
      </c>
    </row>
    <row r="290" spans="1:10">
      <c r="A290" s="703">
        <v>14</v>
      </c>
      <c r="B290" s="703" t="s">
        <v>2587</v>
      </c>
      <c r="C290" s="703" t="s">
        <v>2457</v>
      </c>
      <c r="D290" s="703" t="s">
        <v>2588</v>
      </c>
      <c r="E290" s="679" t="s">
        <v>2593</v>
      </c>
      <c r="F290" s="1426"/>
      <c r="G290" s="1426"/>
      <c r="H290" s="797"/>
      <c r="I290" s="143">
        <v>2000</v>
      </c>
    </row>
    <row r="291" spans="1:10">
      <c r="A291" s="703">
        <v>15</v>
      </c>
      <c r="B291" s="703" t="s">
        <v>2587</v>
      </c>
      <c r="C291" s="703" t="s">
        <v>2457</v>
      </c>
      <c r="D291" s="703" t="s">
        <v>2588</v>
      </c>
      <c r="E291" s="679" t="s">
        <v>2594</v>
      </c>
      <c r="F291" s="1426"/>
      <c r="G291" s="1426"/>
      <c r="H291" s="797"/>
      <c r="I291" s="143">
        <v>2000</v>
      </c>
    </row>
    <row r="292" spans="1:10">
      <c r="A292" s="706">
        <v>16</v>
      </c>
      <c r="B292" s="706" t="s">
        <v>2639</v>
      </c>
      <c r="C292" s="706" t="s">
        <v>2640</v>
      </c>
      <c r="D292" s="706" t="s">
        <v>2641</v>
      </c>
      <c r="E292" s="407" t="s">
        <v>2642</v>
      </c>
      <c r="F292" s="1445"/>
      <c r="G292" s="1445"/>
      <c r="H292" s="798"/>
      <c r="I292" s="612"/>
    </row>
    <row r="293" spans="1:10">
      <c r="A293" s="706">
        <v>17</v>
      </c>
      <c r="B293" s="706" t="s">
        <v>2483</v>
      </c>
      <c r="C293" s="706" t="s">
        <v>2485</v>
      </c>
      <c r="D293" s="706" t="s">
        <v>2484</v>
      </c>
      <c r="E293" s="407" t="s">
        <v>2643</v>
      </c>
      <c r="F293" s="1445"/>
      <c r="G293" s="1445"/>
      <c r="H293" s="798"/>
      <c r="I293" s="612"/>
    </row>
    <row r="298" spans="1:10" ht="14.45" customHeight="1">
      <c r="A298" s="1434" t="s">
        <v>1</v>
      </c>
      <c r="B298" s="1434"/>
      <c r="C298" s="674" t="s">
        <v>2671</v>
      </c>
      <c r="D298" s="1435" t="s">
        <v>2715</v>
      </c>
      <c r="E298" s="1436"/>
      <c r="F298" s="1436"/>
      <c r="G298" s="1436"/>
      <c r="H298" s="1436"/>
      <c r="I298" s="1436"/>
      <c r="J298" s="1437"/>
    </row>
    <row r="299" spans="1:10" ht="14.45" customHeight="1">
      <c r="A299" s="1434" t="s">
        <v>2416</v>
      </c>
      <c r="B299" s="1434"/>
      <c r="C299" s="674" t="s">
        <v>2672</v>
      </c>
      <c r="D299" s="1438"/>
      <c r="E299" s="1439"/>
      <c r="F299" s="1439"/>
      <c r="G299" s="1439"/>
      <c r="H299" s="1439"/>
      <c r="I299" s="1439"/>
      <c r="J299" s="1440"/>
    </row>
    <row r="300" spans="1:10">
      <c r="A300" s="719"/>
      <c r="B300" s="719"/>
      <c r="C300" s="719"/>
      <c r="D300" s="1428" t="s">
        <v>2545</v>
      </c>
      <c r="E300" s="1429"/>
      <c r="F300" s="1429"/>
      <c r="G300" s="1429"/>
      <c r="H300" s="1429"/>
      <c r="I300" s="1429"/>
      <c r="J300" s="1430"/>
    </row>
    <row r="301" spans="1:10">
      <c r="A301" s="718" t="s">
        <v>2418</v>
      </c>
      <c r="B301" s="718" t="s">
        <v>2419</v>
      </c>
      <c r="C301" s="718" t="s">
        <v>2420</v>
      </c>
      <c r="D301" s="718" t="s">
        <v>2421</v>
      </c>
      <c r="E301" s="718" t="s">
        <v>2673</v>
      </c>
      <c r="F301" s="1442" t="s">
        <v>2423</v>
      </c>
      <c r="G301" s="1442"/>
      <c r="H301" s="800"/>
      <c r="I301" s="718" t="s">
        <v>2714</v>
      </c>
      <c r="J301" s="718" t="s">
        <v>2649</v>
      </c>
    </row>
    <row r="302" spans="1:10">
      <c r="A302" s="717">
        <v>1</v>
      </c>
      <c r="B302" s="717" t="s">
        <v>2426</v>
      </c>
      <c r="C302" s="717" t="s">
        <v>2427</v>
      </c>
      <c r="D302" s="717" t="s">
        <v>2428</v>
      </c>
      <c r="E302" s="679">
        <v>356188164272612</v>
      </c>
      <c r="F302" s="1426" t="s">
        <v>1121</v>
      </c>
      <c r="G302" s="1426"/>
      <c r="H302" s="797"/>
      <c r="I302" s="143">
        <v>890</v>
      </c>
      <c r="J302" s="143">
        <f>I302*3.595</f>
        <v>3199.55</v>
      </c>
    </row>
    <row r="303" spans="1:10">
      <c r="A303" s="717">
        <v>2</v>
      </c>
      <c r="B303" s="717" t="s">
        <v>2426</v>
      </c>
      <c r="C303" s="717" t="s">
        <v>2427</v>
      </c>
      <c r="D303" s="717" t="s">
        <v>2428</v>
      </c>
      <c r="E303" s="679">
        <v>359614547089768</v>
      </c>
      <c r="F303" s="1427"/>
      <c r="G303" s="1427"/>
      <c r="H303" s="796"/>
      <c r="I303" s="143">
        <v>890</v>
      </c>
      <c r="J303" s="143">
        <f t="shared" ref="J303:J366" si="2">I303*3.595</f>
        <v>3199.55</v>
      </c>
    </row>
    <row r="304" spans="1:10">
      <c r="A304" s="717">
        <v>3</v>
      </c>
      <c r="B304" s="717" t="s">
        <v>2426</v>
      </c>
      <c r="C304" s="717" t="s">
        <v>2427</v>
      </c>
      <c r="D304" s="717" t="s">
        <v>2428</v>
      </c>
      <c r="E304" s="679">
        <v>350889861168955</v>
      </c>
      <c r="F304" s="1426" t="s">
        <v>2447</v>
      </c>
      <c r="G304" s="1426"/>
      <c r="H304" s="797"/>
      <c r="I304" s="143">
        <v>950</v>
      </c>
      <c r="J304" s="143">
        <f t="shared" si="2"/>
        <v>3415.25</v>
      </c>
    </row>
    <row r="305" spans="1:10">
      <c r="A305" s="717">
        <v>4</v>
      </c>
      <c r="B305" s="717" t="s">
        <v>2426</v>
      </c>
      <c r="C305" s="717" t="s">
        <v>2427</v>
      </c>
      <c r="D305" s="717" t="s">
        <v>2428</v>
      </c>
      <c r="E305" s="679">
        <v>359614544913366</v>
      </c>
      <c r="F305" s="1426" t="s">
        <v>1121</v>
      </c>
      <c r="G305" s="1426"/>
      <c r="H305" s="797"/>
      <c r="I305" s="143">
        <v>890</v>
      </c>
      <c r="J305" s="143">
        <f t="shared" si="2"/>
        <v>3199.55</v>
      </c>
    </row>
    <row r="306" spans="1:10">
      <c r="A306" s="717">
        <v>5</v>
      </c>
      <c r="B306" s="717" t="s">
        <v>2426</v>
      </c>
      <c r="C306" s="717" t="s">
        <v>2427</v>
      </c>
      <c r="D306" s="717" t="s">
        <v>2428</v>
      </c>
      <c r="E306" s="679">
        <v>355450217194271</v>
      </c>
      <c r="F306" s="1426" t="s">
        <v>2447</v>
      </c>
      <c r="G306" s="1426"/>
      <c r="H306" s="797"/>
      <c r="I306" s="143">
        <v>950</v>
      </c>
      <c r="J306" s="143">
        <f t="shared" si="2"/>
        <v>3415.25</v>
      </c>
    </row>
    <row r="307" spans="1:10">
      <c r="A307" s="717">
        <v>6</v>
      </c>
      <c r="B307" s="717" t="s">
        <v>2426</v>
      </c>
      <c r="C307" s="717" t="s">
        <v>2427</v>
      </c>
      <c r="D307" s="717" t="s">
        <v>2428</v>
      </c>
      <c r="E307" s="679">
        <v>355450217184959</v>
      </c>
      <c r="F307" s="1426" t="s">
        <v>2447</v>
      </c>
      <c r="G307" s="1426"/>
      <c r="H307" s="797"/>
      <c r="I307" s="143">
        <v>950</v>
      </c>
      <c r="J307" s="143">
        <f t="shared" si="2"/>
        <v>3415.25</v>
      </c>
    </row>
    <row r="308" spans="1:10">
      <c r="A308" s="717">
        <v>7</v>
      </c>
      <c r="B308" s="717" t="s">
        <v>2426</v>
      </c>
      <c r="C308" s="717" t="s">
        <v>2427</v>
      </c>
      <c r="D308" s="717" t="s">
        <v>2428</v>
      </c>
      <c r="E308" s="679">
        <v>353837411808940</v>
      </c>
      <c r="F308" s="1426" t="s">
        <v>2839</v>
      </c>
      <c r="G308" s="1426"/>
      <c r="H308" s="797"/>
      <c r="I308" s="143">
        <v>830</v>
      </c>
      <c r="J308" s="143">
        <f t="shared" si="2"/>
        <v>2983.8500000000004</v>
      </c>
    </row>
    <row r="309" spans="1:10">
      <c r="A309" s="717">
        <v>8</v>
      </c>
      <c r="B309" s="717" t="s">
        <v>2426</v>
      </c>
      <c r="C309" s="717" t="s">
        <v>2427</v>
      </c>
      <c r="D309" s="717" t="s">
        <v>2428</v>
      </c>
      <c r="E309" s="679">
        <v>357826993263109</v>
      </c>
      <c r="F309" s="1427"/>
      <c r="G309" s="1427"/>
      <c r="H309" s="796"/>
      <c r="I309" s="143">
        <v>890</v>
      </c>
      <c r="J309" s="143">
        <f t="shared" si="2"/>
        <v>3199.55</v>
      </c>
    </row>
    <row r="310" spans="1:10">
      <c r="A310" s="717">
        <v>9</v>
      </c>
      <c r="B310" s="717" t="s">
        <v>2426</v>
      </c>
      <c r="C310" s="717" t="s">
        <v>2427</v>
      </c>
      <c r="D310" s="717" t="s">
        <v>2428</v>
      </c>
      <c r="E310" s="679">
        <v>359426269639708</v>
      </c>
      <c r="F310" s="1427"/>
      <c r="G310" s="1427"/>
      <c r="H310" s="796"/>
      <c r="I310" s="143">
        <v>890</v>
      </c>
      <c r="J310" s="143">
        <f t="shared" si="2"/>
        <v>3199.55</v>
      </c>
    </row>
    <row r="311" spans="1:10">
      <c r="A311" s="717">
        <v>10</v>
      </c>
      <c r="B311" s="717" t="s">
        <v>2426</v>
      </c>
      <c r="C311" s="717" t="s">
        <v>2427</v>
      </c>
      <c r="D311" s="717" t="s">
        <v>2428</v>
      </c>
      <c r="E311" s="679">
        <v>353263425398234</v>
      </c>
      <c r="F311" s="1426" t="s">
        <v>1121</v>
      </c>
      <c r="G311" s="1426"/>
      <c r="H311" s="797"/>
      <c r="I311" s="143">
        <v>890</v>
      </c>
      <c r="J311" s="143">
        <f t="shared" si="2"/>
        <v>3199.55</v>
      </c>
    </row>
    <row r="312" spans="1:10">
      <c r="A312" s="717">
        <v>11</v>
      </c>
      <c r="B312" s="717" t="s">
        <v>2426</v>
      </c>
      <c r="C312" s="717" t="s">
        <v>2427</v>
      </c>
      <c r="D312" s="717" t="s">
        <v>2428</v>
      </c>
      <c r="E312" s="679">
        <v>357063606283254</v>
      </c>
      <c r="F312" s="1426" t="s">
        <v>1121</v>
      </c>
      <c r="G312" s="1426"/>
      <c r="H312" s="797"/>
      <c r="I312" s="143">
        <v>890</v>
      </c>
      <c r="J312" s="143">
        <f t="shared" si="2"/>
        <v>3199.55</v>
      </c>
    </row>
    <row r="313" spans="1:10">
      <c r="A313" s="717">
        <v>12</v>
      </c>
      <c r="B313" s="717" t="s">
        <v>2426</v>
      </c>
      <c r="C313" s="717" t="s">
        <v>2427</v>
      </c>
      <c r="D313" s="717" t="s">
        <v>2428</v>
      </c>
      <c r="E313" s="679">
        <v>357586344621054</v>
      </c>
      <c r="F313" s="1426" t="s">
        <v>1121</v>
      </c>
      <c r="G313" s="1426"/>
      <c r="H313" s="797"/>
      <c r="I313" s="143">
        <v>890</v>
      </c>
      <c r="J313" s="143">
        <f t="shared" si="2"/>
        <v>3199.55</v>
      </c>
    </row>
    <row r="314" spans="1:10">
      <c r="A314" s="717">
        <v>13</v>
      </c>
      <c r="B314" s="717" t="s">
        <v>2426</v>
      </c>
      <c r="C314" s="717" t="s">
        <v>2427</v>
      </c>
      <c r="D314" s="717" t="s">
        <v>2428</v>
      </c>
      <c r="E314" s="679">
        <v>356605226470314</v>
      </c>
      <c r="F314" s="1426" t="s">
        <v>1121</v>
      </c>
      <c r="G314" s="1426"/>
      <c r="H314" s="797"/>
      <c r="I314" s="143">
        <v>890</v>
      </c>
      <c r="J314" s="143">
        <f t="shared" si="2"/>
        <v>3199.55</v>
      </c>
    </row>
    <row r="315" spans="1:10">
      <c r="A315" s="717">
        <v>14</v>
      </c>
      <c r="B315" s="717" t="s">
        <v>2426</v>
      </c>
      <c r="C315" s="717" t="s">
        <v>2427</v>
      </c>
      <c r="D315" s="717" t="s">
        <v>2428</v>
      </c>
      <c r="E315" s="679">
        <v>356188163896601</v>
      </c>
      <c r="F315" s="1426" t="s">
        <v>1121</v>
      </c>
      <c r="G315" s="1426"/>
      <c r="H315" s="797"/>
      <c r="I315" s="143">
        <v>890</v>
      </c>
      <c r="J315" s="143">
        <f t="shared" si="2"/>
        <v>3199.55</v>
      </c>
    </row>
    <row r="316" spans="1:10">
      <c r="A316" s="717">
        <v>15</v>
      </c>
      <c r="B316" s="717" t="s">
        <v>2426</v>
      </c>
      <c r="C316" s="717" t="s">
        <v>2427</v>
      </c>
      <c r="D316" s="717" t="s">
        <v>2428</v>
      </c>
      <c r="E316" s="679">
        <v>359614546774345</v>
      </c>
      <c r="F316" s="1427"/>
      <c r="G316" s="1427"/>
      <c r="H316" s="796"/>
      <c r="I316" s="143">
        <v>890</v>
      </c>
      <c r="J316" s="143">
        <f t="shared" si="2"/>
        <v>3199.55</v>
      </c>
    </row>
    <row r="317" spans="1:10">
      <c r="A317" s="717">
        <v>16</v>
      </c>
      <c r="B317" s="717" t="s">
        <v>2426</v>
      </c>
      <c r="C317" s="717" t="s">
        <v>2427</v>
      </c>
      <c r="D317" s="717" t="s">
        <v>2428</v>
      </c>
      <c r="E317" s="679">
        <v>358482497669539</v>
      </c>
      <c r="F317" s="1426" t="s">
        <v>1121</v>
      </c>
      <c r="G317" s="1426"/>
      <c r="H317" s="797"/>
      <c r="I317" s="143">
        <v>890</v>
      </c>
      <c r="J317" s="143">
        <f t="shared" si="2"/>
        <v>3199.55</v>
      </c>
    </row>
    <row r="318" spans="1:10">
      <c r="A318" s="717">
        <v>17</v>
      </c>
      <c r="B318" s="717" t="s">
        <v>2426</v>
      </c>
      <c r="C318" s="717" t="s">
        <v>2427</v>
      </c>
      <c r="D318" s="717" t="s">
        <v>2428</v>
      </c>
      <c r="E318" s="679">
        <v>356605226216295</v>
      </c>
      <c r="F318" s="1426" t="s">
        <v>1121</v>
      </c>
      <c r="G318" s="1426"/>
      <c r="H318" s="797"/>
      <c r="I318" s="143">
        <v>890</v>
      </c>
      <c r="J318" s="143">
        <f t="shared" si="2"/>
        <v>3199.55</v>
      </c>
    </row>
    <row r="319" spans="1:10">
      <c r="A319" s="717">
        <v>18</v>
      </c>
      <c r="B319" s="717" t="s">
        <v>2426</v>
      </c>
      <c r="C319" s="717" t="s">
        <v>2427</v>
      </c>
      <c r="D319" s="717" t="s">
        <v>2428</v>
      </c>
      <c r="E319" s="679">
        <v>350889861022111</v>
      </c>
      <c r="F319" s="1426" t="s">
        <v>2447</v>
      </c>
      <c r="G319" s="1426"/>
      <c r="H319" s="797"/>
      <c r="I319" s="143">
        <v>950</v>
      </c>
      <c r="J319" s="143">
        <f t="shared" si="2"/>
        <v>3415.25</v>
      </c>
    </row>
    <row r="320" spans="1:10">
      <c r="A320" s="717">
        <v>19</v>
      </c>
      <c r="B320" s="717" t="s">
        <v>2426</v>
      </c>
      <c r="C320" s="717" t="s">
        <v>2427</v>
      </c>
      <c r="D320" s="717" t="s">
        <v>2428</v>
      </c>
      <c r="E320" s="679">
        <v>356188166134521</v>
      </c>
      <c r="F320" s="1427"/>
      <c r="G320" s="1427"/>
      <c r="H320" s="796"/>
      <c r="I320" s="143">
        <v>890</v>
      </c>
      <c r="J320" s="143">
        <f t="shared" si="2"/>
        <v>3199.55</v>
      </c>
    </row>
    <row r="321" spans="1:10">
      <c r="A321" s="717">
        <v>20</v>
      </c>
      <c r="B321" s="717" t="s">
        <v>2426</v>
      </c>
      <c r="C321" s="717" t="s">
        <v>2427</v>
      </c>
      <c r="D321" s="717" t="s">
        <v>2428</v>
      </c>
      <c r="E321" s="679">
        <v>355450216932796</v>
      </c>
      <c r="F321" s="1426" t="s">
        <v>2447</v>
      </c>
      <c r="G321" s="1426"/>
      <c r="H321" s="797"/>
      <c r="I321" s="143">
        <v>950</v>
      </c>
      <c r="J321" s="143">
        <f t="shared" si="2"/>
        <v>3415.25</v>
      </c>
    </row>
    <row r="322" spans="1:10">
      <c r="A322" s="717">
        <v>21</v>
      </c>
      <c r="B322" s="717" t="s">
        <v>2426</v>
      </c>
      <c r="C322" s="717" t="s">
        <v>2427</v>
      </c>
      <c r="D322" s="717" t="s">
        <v>2428</v>
      </c>
      <c r="E322" s="679">
        <v>350889861204131</v>
      </c>
      <c r="F322" s="1426" t="s">
        <v>2447</v>
      </c>
      <c r="G322" s="1426"/>
      <c r="H322" s="797"/>
      <c r="I322" s="143">
        <v>950</v>
      </c>
      <c r="J322" s="143">
        <f t="shared" si="2"/>
        <v>3415.25</v>
      </c>
    </row>
    <row r="323" spans="1:10">
      <c r="A323" s="717">
        <v>22</v>
      </c>
      <c r="B323" s="717" t="s">
        <v>2426</v>
      </c>
      <c r="C323" s="717" t="s">
        <v>2427</v>
      </c>
      <c r="D323" s="717" t="s">
        <v>2428</v>
      </c>
      <c r="E323" s="679">
        <v>355450219567110</v>
      </c>
      <c r="F323" s="1426" t="s">
        <v>2447</v>
      </c>
      <c r="G323" s="1426"/>
      <c r="H323" s="797"/>
      <c r="I323" s="143">
        <v>950</v>
      </c>
      <c r="J323" s="143">
        <f t="shared" si="2"/>
        <v>3415.25</v>
      </c>
    </row>
    <row r="324" spans="1:10">
      <c r="A324" s="717">
        <v>23</v>
      </c>
      <c r="B324" s="717" t="s">
        <v>2426</v>
      </c>
      <c r="C324" s="717" t="s">
        <v>2427</v>
      </c>
      <c r="D324" s="717" t="s">
        <v>2428</v>
      </c>
      <c r="E324" s="679">
        <v>356188165309348</v>
      </c>
      <c r="F324" s="1426" t="s">
        <v>2447</v>
      </c>
      <c r="G324" s="1426"/>
      <c r="H324" s="797"/>
      <c r="I324" s="143">
        <v>950</v>
      </c>
      <c r="J324" s="143">
        <f t="shared" si="2"/>
        <v>3415.25</v>
      </c>
    </row>
    <row r="325" spans="1:10">
      <c r="A325" s="717">
        <v>24</v>
      </c>
      <c r="B325" s="717" t="s">
        <v>2426</v>
      </c>
      <c r="C325" s="717" t="s">
        <v>2427</v>
      </c>
      <c r="D325" s="717" t="s">
        <v>2428</v>
      </c>
      <c r="E325" s="679">
        <v>355450217081908</v>
      </c>
      <c r="F325" s="1426" t="s">
        <v>2447</v>
      </c>
      <c r="G325" s="1426"/>
      <c r="H325" s="797"/>
      <c r="I325" s="143">
        <v>950</v>
      </c>
      <c r="J325" s="143">
        <f t="shared" si="2"/>
        <v>3415.25</v>
      </c>
    </row>
    <row r="326" spans="1:10">
      <c r="A326" s="717">
        <v>25</v>
      </c>
      <c r="B326" s="717" t="s">
        <v>2426</v>
      </c>
      <c r="C326" s="717" t="s">
        <v>2427</v>
      </c>
      <c r="D326" s="717" t="s">
        <v>2428</v>
      </c>
      <c r="E326" s="679">
        <v>355450216993962</v>
      </c>
      <c r="F326" s="1426" t="s">
        <v>2447</v>
      </c>
      <c r="G326" s="1426"/>
      <c r="H326" s="797"/>
      <c r="I326" s="143">
        <v>950</v>
      </c>
      <c r="J326" s="143">
        <f t="shared" si="2"/>
        <v>3415.25</v>
      </c>
    </row>
    <row r="327" spans="1:10">
      <c r="A327" s="717">
        <v>26</v>
      </c>
      <c r="B327" s="717" t="s">
        <v>2426</v>
      </c>
      <c r="C327" s="717" t="s">
        <v>2427</v>
      </c>
      <c r="D327" s="717" t="s">
        <v>2428</v>
      </c>
      <c r="E327" s="679">
        <v>357586345419276</v>
      </c>
      <c r="F327" s="1426" t="s">
        <v>2447</v>
      </c>
      <c r="G327" s="1426"/>
      <c r="H327" s="797"/>
      <c r="I327" s="143">
        <v>950</v>
      </c>
      <c r="J327" s="143">
        <f t="shared" si="2"/>
        <v>3415.25</v>
      </c>
    </row>
    <row r="328" spans="1:10">
      <c r="A328" s="717">
        <v>27</v>
      </c>
      <c r="B328" s="717" t="s">
        <v>2426</v>
      </c>
      <c r="C328" s="717" t="s">
        <v>2427</v>
      </c>
      <c r="D328" s="717" t="s">
        <v>2430</v>
      </c>
      <c r="E328" s="679">
        <v>357826990550276</v>
      </c>
      <c r="F328" s="1426" t="s">
        <v>2674</v>
      </c>
      <c r="G328" s="1426"/>
      <c r="H328" s="797"/>
      <c r="I328" s="143">
        <v>1280</v>
      </c>
      <c r="J328" s="143">
        <f t="shared" si="2"/>
        <v>4601.6000000000004</v>
      </c>
    </row>
    <row r="329" spans="1:10">
      <c r="A329" s="717">
        <v>28</v>
      </c>
      <c r="B329" s="717" t="s">
        <v>2426</v>
      </c>
      <c r="C329" s="717" t="s">
        <v>2526</v>
      </c>
      <c r="D329" s="717" t="s">
        <v>2428</v>
      </c>
      <c r="E329" s="679">
        <v>350889868314636</v>
      </c>
      <c r="F329" s="1426" t="s">
        <v>2447</v>
      </c>
      <c r="G329" s="1426"/>
      <c r="H329" s="797"/>
      <c r="I329" s="143">
        <v>940</v>
      </c>
      <c r="J329" s="143">
        <f t="shared" si="2"/>
        <v>3379.3</v>
      </c>
    </row>
    <row r="330" spans="1:10">
      <c r="A330" s="717">
        <v>29</v>
      </c>
      <c r="B330" s="717" t="s">
        <v>2426</v>
      </c>
      <c r="C330" s="717" t="s">
        <v>2526</v>
      </c>
      <c r="D330" s="717" t="s">
        <v>2428</v>
      </c>
      <c r="E330" s="679">
        <v>356605228262263</v>
      </c>
      <c r="F330" s="1426" t="s">
        <v>2447</v>
      </c>
      <c r="G330" s="1426"/>
      <c r="H330" s="797"/>
      <c r="I330" s="143">
        <v>940</v>
      </c>
      <c r="J330" s="143">
        <f t="shared" si="2"/>
        <v>3379.3</v>
      </c>
    </row>
    <row r="331" spans="1:10">
      <c r="A331" s="717">
        <v>30</v>
      </c>
      <c r="B331" s="717" t="s">
        <v>2426</v>
      </c>
      <c r="C331" s="717" t="s">
        <v>2526</v>
      </c>
      <c r="D331" s="717" t="s">
        <v>2428</v>
      </c>
      <c r="E331" s="679">
        <v>356605228190878</v>
      </c>
      <c r="F331" s="1426" t="s">
        <v>2447</v>
      </c>
      <c r="G331" s="1426"/>
      <c r="H331" s="797"/>
      <c r="I331" s="143">
        <v>940</v>
      </c>
      <c r="J331" s="143">
        <f t="shared" si="2"/>
        <v>3379.3</v>
      </c>
    </row>
    <row r="332" spans="1:10">
      <c r="A332" s="717">
        <v>31</v>
      </c>
      <c r="B332" s="717" t="s">
        <v>2426</v>
      </c>
      <c r="C332" s="717" t="s">
        <v>2526</v>
      </c>
      <c r="D332" s="717" t="s">
        <v>2428</v>
      </c>
      <c r="E332" s="679">
        <v>356605228798647</v>
      </c>
      <c r="F332" s="1426" t="s">
        <v>2447</v>
      </c>
      <c r="G332" s="1426"/>
      <c r="H332" s="797"/>
      <c r="I332" s="143">
        <v>940</v>
      </c>
      <c r="J332" s="143">
        <f t="shared" si="2"/>
        <v>3379.3</v>
      </c>
    </row>
    <row r="333" spans="1:10">
      <c r="A333" s="717">
        <v>32</v>
      </c>
      <c r="B333" s="717" t="s">
        <v>2426</v>
      </c>
      <c r="C333" s="717" t="s">
        <v>2526</v>
      </c>
      <c r="D333" s="717" t="s">
        <v>2428</v>
      </c>
      <c r="E333" s="679">
        <v>356605228254161</v>
      </c>
      <c r="F333" s="1426" t="s">
        <v>2447</v>
      </c>
      <c r="G333" s="1426"/>
      <c r="H333" s="797"/>
      <c r="I333" s="143">
        <v>940</v>
      </c>
      <c r="J333" s="143">
        <f t="shared" si="2"/>
        <v>3379.3</v>
      </c>
    </row>
    <row r="334" spans="1:10">
      <c r="A334" s="717">
        <v>33</v>
      </c>
      <c r="B334" s="717" t="s">
        <v>2426</v>
      </c>
      <c r="C334" s="717" t="s">
        <v>2526</v>
      </c>
      <c r="D334" s="717" t="s">
        <v>2428</v>
      </c>
      <c r="E334" s="679">
        <v>356605226024244</v>
      </c>
      <c r="F334" s="1427"/>
      <c r="G334" s="1427"/>
      <c r="H334" s="796"/>
      <c r="I334" s="143">
        <v>860</v>
      </c>
      <c r="J334" s="143">
        <f t="shared" si="2"/>
        <v>3091.7000000000003</v>
      </c>
    </row>
    <row r="335" spans="1:10">
      <c r="A335" s="717">
        <v>34</v>
      </c>
      <c r="B335" s="717" t="s">
        <v>2426</v>
      </c>
      <c r="C335" s="717" t="s">
        <v>2526</v>
      </c>
      <c r="D335" s="717" t="s">
        <v>2428</v>
      </c>
      <c r="E335" s="679">
        <v>359614541291014</v>
      </c>
      <c r="F335" s="1426" t="s">
        <v>2631</v>
      </c>
      <c r="G335" s="1426"/>
      <c r="H335" s="797"/>
      <c r="I335" s="143">
        <v>1140</v>
      </c>
      <c r="J335" s="143">
        <f t="shared" si="2"/>
        <v>4098.3</v>
      </c>
    </row>
    <row r="336" spans="1:10">
      <c r="A336" s="717">
        <v>35</v>
      </c>
      <c r="B336" s="717" t="s">
        <v>2426</v>
      </c>
      <c r="C336" s="717" t="s">
        <v>2526</v>
      </c>
      <c r="D336" s="717" t="s">
        <v>2428</v>
      </c>
      <c r="E336" s="679">
        <v>350889866041819</v>
      </c>
      <c r="F336" s="1427"/>
      <c r="G336" s="1427"/>
      <c r="H336" s="796"/>
      <c r="I336" s="143">
        <v>860</v>
      </c>
      <c r="J336" s="143">
        <f t="shared" si="2"/>
        <v>3091.7000000000003</v>
      </c>
    </row>
    <row r="337" spans="1:10">
      <c r="A337" s="717">
        <v>36</v>
      </c>
      <c r="B337" s="717" t="s">
        <v>2426</v>
      </c>
      <c r="C337" s="717" t="s">
        <v>2526</v>
      </c>
      <c r="D337" s="717" t="s">
        <v>2428</v>
      </c>
      <c r="E337" s="679">
        <v>350889868063860</v>
      </c>
      <c r="F337" s="1426" t="s">
        <v>2447</v>
      </c>
      <c r="G337" s="1426"/>
      <c r="H337" s="797"/>
      <c r="I337" s="143">
        <v>940</v>
      </c>
      <c r="J337" s="143">
        <f t="shared" si="2"/>
        <v>3379.3</v>
      </c>
    </row>
    <row r="338" spans="1:10">
      <c r="A338" s="717">
        <v>37</v>
      </c>
      <c r="B338" s="717" t="s">
        <v>2426</v>
      </c>
      <c r="C338" s="717" t="s">
        <v>2526</v>
      </c>
      <c r="D338" s="717" t="s">
        <v>2428</v>
      </c>
      <c r="E338" s="679">
        <v>356605228327546</v>
      </c>
      <c r="F338" s="1426" t="s">
        <v>2447</v>
      </c>
      <c r="G338" s="1426"/>
      <c r="H338" s="797"/>
      <c r="I338" s="143">
        <v>940</v>
      </c>
      <c r="J338" s="143">
        <f t="shared" si="2"/>
        <v>3379.3</v>
      </c>
    </row>
    <row r="339" spans="1:10">
      <c r="A339" s="717">
        <v>38</v>
      </c>
      <c r="B339" s="717" t="s">
        <v>2426</v>
      </c>
      <c r="C339" s="717" t="s">
        <v>2526</v>
      </c>
      <c r="D339" s="717" t="s">
        <v>2428</v>
      </c>
      <c r="E339" s="679">
        <v>355224254052001</v>
      </c>
      <c r="F339" s="1427"/>
      <c r="G339" s="1427"/>
      <c r="H339" s="796"/>
      <c r="I339" s="143">
        <v>860</v>
      </c>
      <c r="J339" s="143">
        <f t="shared" si="2"/>
        <v>3091.7000000000003</v>
      </c>
    </row>
    <row r="340" spans="1:10">
      <c r="A340" s="717">
        <v>39</v>
      </c>
      <c r="B340" s="717" t="s">
        <v>2426</v>
      </c>
      <c r="C340" s="717" t="s">
        <v>2526</v>
      </c>
      <c r="D340" s="717" t="s">
        <v>2428</v>
      </c>
      <c r="E340" s="679">
        <v>356605227911035</v>
      </c>
      <c r="F340" s="1426" t="s">
        <v>2447</v>
      </c>
      <c r="G340" s="1426"/>
      <c r="H340" s="797"/>
      <c r="I340" s="143">
        <v>940</v>
      </c>
      <c r="J340" s="143">
        <f t="shared" si="2"/>
        <v>3379.3</v>
      </c>
    </row>
    <row r="341" spans="1:10">
      <c r="A341" s="717">
        <v>40</v>
      </c>
      <c r="B341" s="717" t="s">
        <v>2426</v>
      </c>
      <c r="C341" s="717" t="s">
        <v>2526</v>
      </c>
      <c r="D341" s="717" t="s">
        <v>2428</v>
      </c>
      <c r="E341" s="679">
        <v>358051326306199</v>
      </c>
      <c r="F341" s="1426" t="s">
        <v>1121</v>
      </c>
      <c r="G341" s="1426"/>
      <c r="H341" s="797"/>
      <c r="I341" s="143">
        <v>860</v>
      </c>
      <c r="J341" s="143">
        <f t="shared" si="2"/>
        <v>3091.7000000000003</v>
      </c>
    </row>
    <row r="342" spans="1:10">
      <c r="A342" s="717">
        <v>41</v>
      </c>
      <c r="B342" s="717" t="s">
        <v>2426</v>
      </c>
      <c r="C342" s="717" t="s">
        <v>2526</v>
      </c>
      <c r="D342" s="717" t="s">
        <v>2428</v>
      </c>
      <c r="E342" s="679">
        <v>355224250889430</v>
      </c>
      <c r="F342" s="1427"/>
      <c r="G342" s="1427"/>
      <c r="H342" s="796"/>
      <c r="I342" s="143">
        <v>860</v>
      </c>
      <c r="J342" s="143">
        <f t="shared" si="2"/>
        <v>3091.7000000000003</v>
      </c>
    </row>
    <row r="343" spans="1:10">
      <c r="A343" s="717">
        <v>42</v>
      </c>
      <c r="B343" s="717" t="s">
        <v>2426</v>
      </c>
      <c r="C343" s="717" t="s">
        <v>2526</v>
      </c>
      <c r="D343" s="717" t="s">
        <v>2428</v>
      </c>
      <c r="E343" s="679">
        <v>355224250266969</v>
      </c>
      <c r="F343" s="1427"/>
      <c r="G343" s="1427"/>
      <c r="H343" s="796"/>
      <c r="I343" s="143">
        <v>860</v>
      </c>
      <c r="J343" s="143">
        <f t="shared" si="2"/>
        <v>3091.7000000000003</v>
      </c>
    </row>
    <row r="344" spans="1:10">
      <c r="A344" s="717">
        <v>43</v>
      </c>
      <c r="B344" s="717" t="s">
        <v>2426</v>
      </c>
      <c r="C344" s="717" t="s">
        <v>2526</v>
      </c>
      <c r="D344" s="717" t="s">
        <v>2428</v>
      </c>
      <c r="E344" s="679">
        <v>358051326418366</v>
      </c>
      <c r="F344" s="1426" t="s">
        <v>1121</v>
      </c>
      <c r="G344" s="1426"/>
      <c r="H344" s="797"/>
      <c r="I344" s="143">
        <v>860</v>
      </c>
      <c r="J344" s="143">
        <f t="shared" si="2"/>
        <v>3091.7000000000003</v>
      </c>
    </row>
    <row r="345" spans="1:10">
      <c r="A345" s="717">
        <v>44</v>
      </c>
      <c r="B345" s="717" t="s">
        <v>2426</v>
      </c>
      <c r="C345" s="717" t="s">
        <v>2526</v>
      </c>
      <c r="D345" s="717" t="s">
        <v>2428</v>
      </c>
      <c r="E345" s="679">
        <v>355224250070676</v>
      </c>
      <c r="F345" s="1427"/>
      <c r="G345" s="1427"/>
      <c r="H345" s="796"/>
      <c r="I345" s="143">
        <v>860</v>
      </c>
      <c r="J345" s="143">
        <f t="shared" si="2"/>
        <v>3091.7000000000003</v>
      </c>
    </row>
    <row r="346" spans="1:10">
      <c r="A346" s="717">
        <v>45</v>
      </c>
      <c r="B346" s="717" t="s">
        <v>2426</v>
      </c>
      <c r="C346" s="717" t="s">
        <v>2526</v>
      </c>
      <c r="D346" s="717" t="s">
        <v>2428</v>
      </c>
      <c r="E346" s="679">
        <v>355224251542483</v>
      </c>
      <c r="F346" s="1426" t="s">
        <v>1121</v>
      </c>
      <c r="G346" s="1426"/>
      <c r="H346" s="797"/>
      <c r="I346" s="143">
        <v>860</v>
      </c>
      <c r="J346" s="143">
        <f t="shared" si="2"/>
        <v>3091.7000000000003</v>
      </c>
    </row>
    <row r="347" spans="1:10">
      <c r="A347" s="717">
        <v>46</v>
      </c>
      <c r="B347" s="717" t="s">
        <v>2426</v>
      </c>
      <c r="C347" s="717" t="s">
        <v>2526</v>
      </c>
      <c r="D347" s="717" t="s">
        <v>2428</v>
      </c>
      <c r="E347" s="679">
        <v>355224251493604</v>
      </c>
      <c r="F347" s="1426" t="s">
        <v>1121</v>
      </c>
      <c r="G347" s="1426"/>
      <c r="H347" s="797"/>
      <c r="I347" s="143">
        <v>860</v>
      </c>
      <c r="J347" s="143">
        <f t="shared" si="2"/>
        <v>3091.7000000000003</v>
      </c>
    </row>
    <row r="348" spans="1:10">
      <c r="A348" s="717">
        <v>47</v>
      </c>
      <c r="B348" s="717" t="s">
        <v>2426</v>
      </c>
      <c r="C348" s="717" t="s">
        <v>2526</v>
      </c>
      <c r="D348" s="717" t="s">
        <v>2428</v>
      </c>
      <c r="E348" s="679">
        <v>359426269498758</v>
      </c>
      <c r="F348" s="1426" t="s">
        <v>1121</v>
      </c>
      <c r="G348" s="1426"/>
      <c r="H348" s="797"/>
      <c r="I348" s="143">
        <v>860</v>
      </c>
      <c r="J348" s="143">
        <f t="shared" si="2"/>
        <v>3091.7000000000003</v>
      </c>
    </row>
    <row r="349" spans="1:10">
      <c r="A349" s="717">
        <v>48</v>
      </c>
      <c r="B349" s="717" t="s">
        <v>2426</v>
      </c>
      <c r="C349" s="717" t="s">
        <v>2526</v>
      </c>
      <c r="D349" s="717" t="s">
        <v>2428</v>
      </c>
      <c r="E349" s="679">
        <v>358051326069136</v>
      </c>
      <c r="F349" s="1426" t="s">
        <v>1121</v>
      </c>
      <c r="G349" s="1426"/>
      <c r="H349" s="797"/>
      <c r="I349" s="143">
        <v>860</v>
      </c>
      <c r="J349" s="143">
        <f t="shared" si="2"/>
        <v>3091.7000000000003</v>
      </c>
    </row>
    <row r="350" spans="1:10">
      <c r="A350" s="717">
        <v>49</v>
      </c>
      <c r="B350" s="717" t="s">
        <v>2426</v>
      </c>
      <c r="C350" s="717" t="s">
        <v>2429</v>
      </c>
      <c r="D350" s="717" t="s">
        <v>2428</v>
      </c>
      <c r="E350" s="679">
        <v>357586348805398</v>
      </c>
      <c r="F350" s="1426" t="s">
        <v>1121</v>
      </c>
      <c r="G350" s="1426"/>
      <c r="H350" s="797"/>
      <c r="I350" s="143">
        <v>905</v>
      </c>
      <c r="J350" s="143">
        <f t="shared" si="2"/>
        <v>3253.4750000000004</v>
      </c>
    </row>
    <row r="351" spans="1:10">
      <c r="A351" s="717">
        <v>50</v>
      </c>
      <c r="B351" s="717" t="s">
        <v>2426</v>
      </c>
      <c r="C351" s="717" t="s">
        <v>2429</v>
      </c>
      <c r="D351" s="717" t="s">
        <v>2428</v>
      </c>
      <c r="E351" s="679">
        <v>359614546386934</v>
      </c>
      <c r="F351" s="1426" t="s">
        <v>2631</v>
      </c>
      <c r="G351" s="1426"/>
      <c r="H351" s="797"/>
      <c r="I351" s="143">
        <v>1140</v>
      </c>
      <c r="J351" s="143">
        <f t="shared" si="2"/>
        <v>4098.3</v>
      </c>
    </row>
    <row r="352" spans="1:10">
      <c r="A352" s="717">
        <v>51</v>
      </c>
      <c r="B352" s="717" t="s">
        <v>2527</v>
      </c>
      <c r="C352" s="717" t="s">
        <v>2429</v>
      </c>
      <c r="D352" s="717" t="s">
        <v>2428</v>
      </c>
      <c r="E352" s="679">
        <v>351317520845499</v>
      </c>
      <c r="F352" s="1426" t="s">
        <v>2631</v>
      </c>
      <c r="G352" s="1426"/>
      <c r="H352" s="797"/>
      <c r="I352" s="143">
        <v>1040</v>
      </c>
      <c r="J352" s="143">
        <f t="shared" si="2"/>
        <v>3738.8</v>
      </c>
    </row>
    <row r="353" spans="1:10">
      <c r="A353" s="717">
        <v>52</v>
      </c>
      <c r="B353" s="717" t="s">
        <v>2527</v>
      </c>
      <c r="C353" s="717" t="s">
        <v>2429</v>
      </c>
      <c r="D353" s="717" t="s">
        <v>2428</v>
      </c>
      <c r="E353" s="679">
        <v>356250541701943</v>
      </c>
      <c r="F353" s="1426" t="s">
        <v>2631</v>
      </c>
      <c r="G353" s="1426"/>
      <c r="H353" s="797"/>
      <c r="I353" s="143">
        <v>1040</v>
      </c>
      <c r="J353" s="143">
        <f t="shared" si="2"/>
        <v>3738.8</v>
      </c>
    </row>
    <row r="354" spans="1:10">
      <c r="A354" s="722">
        <v>53</v>
      </c>
      <c r="B354" s="722" t="s">
        <v>2527</v>
      </c>
      <c r="C354" s="722" t="s">
        <v>2429</v>
      </c>
      <c r="D354" s="722" t="s">
        <v>2428</v>
      </c>
      <c r="E354" s="721">
        <v>359572768921269</v>
      </c>
      <c r="F354" s="1441" t="s">
        <v>2717</v>
      </c>
      <c r="G354" s="1441"/>
      <c r="H354" s="801"/>
      <c r="I354" s="313"/>
      <c r="J354" s="612">
        <f t="shared" si="2"/>
        <v>0</v>
      </c>
    </row>
    <row r="355" spans="1:10">
      <c r="A355" s="717">
        <v>54</v>
      </c>
      <c r="B355" s="717" t="s">
        <v>2527</v>
      </c>
      <c r="C355" s="717" t="s">
        <v>2429</v>
      </c>
      <c r="D355" s="717" t="s">
        <v>2428</v>
      </c>
      <c r="E355" s="679">
        <v>352294449552580</v>
      </c>
      <c r="F355" s="1426" t="s">
        <v>2631</v>
      </c>
      <c r="G355" s="1426"/>
      <c r="H355" s="797"/>
      <c r="I355" s="143">
        <v>1040</v>
      </c>
      <c r="J355" s="143">
        <f t="shared" si="2"/>
        <v>3738.8</v>
      </c>
    </row>
    <row r="356" spans="1:10">
      <c r="A356" s="717">
        <v>55</v>
      </c>
      <c r="B356" s="717" t="s">
        <v>2527</v>
      </c>
      <c r="C356" s="717" t="s">
        <v>2429</v>
      </c>
      <c r="D356" s="717" t="s">
        <v>2428</v>
      </c>
      <c r="E356" s="679">
        <v>355500353647993</v>
      </c>
      <c r="F356" s="1426" t="s">
        <v>2631</v>
      </c>
      <c r="G356" s="1426"/>
      <c r="H356" s="797"/>
      <c r="I356" s="143">
        <v>1040</v>
      </c>
      <c r="J356" s="143">
        <f t="shared" si="2"/>
        <v>3738.8</v>
      </c>
    </row>
    <row r="357" spans="1:10">
      <c r="A357" s="717">
        <v>56</v>
      </c>
      <c r="B357" s="717" t="s">
        <v>2528</v>
      </c>
      <c r="C357" s="717" t="s">
        <v>2459</v>
      </c>
      <c r="D357" s="717" t="s">
        <v>2428</v>
      </c>
      <c r="E357" s="679">
        <v>355413813310535</v>
      </c>
      <c r="F357" s="1426" t="s">
        <v>2674</v>
      </c>
      <c r="G357" s="1426"/>
      <c r="H357" s="797"/>
      <c r="I357" s="143">
        <v>810</v>
      </c>
      <c r="J357" s="143">
        <f t="shared" si="2"/>
        <v>2911.9500000000003</v>
      </c>
    </row>
    <row r="358" spans="1:10">
      <c r="A358" s="717">
        <v>57</v>
      </c>
      <c r="B358" s="717" t="s">
        <v>2532</v>
      </c>
      <c r="C358" s="717" t="s">
        <v>2533</v>
      </c>
      <c r="D358" s="717" t="s">
        <v>2428</v>
      </c>
      <c r="E358" s="679">
        <v>359045767346721</v>
      </c>
      <c r="F358" s="1426" t="s">
        <v>2631</v>
      </c>
      <c r="G358" s="1426"/>
      <c r="H358" s="797"/>
      <c r="I358" s="143">
        <v>750</v>
      </c>
      <c r="J358" s="143">
        <f t="shared" si="2"/>
        <v>2696.25</v>
      </c>
    </row>
    <row r="359" spans="1:10">
      <c r="A359" s="717">
        <v>58</v>
      </c>
      <c r="B359" s="717" t="s">
        <v>2532</v>
      </c>
      <c r="C359" s="717" t="s">
        <v>2533</v>
      </c>
      <c r="D359" s="717" t="s">
        <v>2428</v>
      </c>
      <c r="E359" s="679">
        <v>356484792035632</v>
      </c>
      <c r="F359" s="1426" t="s">
        <v>2674</v>
      </c>
      <c r="G359" s="1426"/>
      <c r="H359" s="797"/>
      <c r="I359" s="143">
        <v>690</v>
      </c>
      <c r="J359" s="143">
        <f t="shared" si="2"/>
        <v>2480.5500000000002</v>
      </c>
    </row>
    <row r="360" spans="1:10">
      <c r="A360" s="717">
        <v>59</v>
      </c>
      <c r="B360" s="717" t="s">
        <v>2532</v>
      </c>
      <c r="C360" s="717" t="s">
        <v>2675</v>
      </c>
      <c r="D360" s="717" t="s">
        <v>2428</v>
      </c>
      <c r="E360" s="679">
        <v>359045769093669</v>
      </c>
      <c r="F360" s="1426" t="s">
        <v>2631</v>
      </c>
      <c r="G360" s="1426"/>
      <c r="H360" s="797"/>
      <c r="I360" s="143">
        <v>750</v>
      </c>
      <c r="J360" s="143">
        <f t="shared" si="2"/>
        <v>2696.25</v>
      </c>
    </row>
    <row r="361" spans="1:10">
      <c r="A361" s="717">
        <v>60</v>
      </c>
      <c r="B361" s="717" t="s">
        <v>2431</v>
      </c>
      <c r="C361" s="717" t="s">
        <v>2438</v>
      </c>
      <c r="D361" s="717" t="s">
        <v>2430</v>
      </c>
      <c r="E361" s="679">
        <v>359222380879988</v>
      </c>
      <c r="F361" s="1426" t="s">
        <v>2674</v>
      </c>
      <c r="G361" s="1426"/>
      <c r="H361" s="797"/>
      <c r="I361" s="143">
        <v>1020</v>
      </c>
      <c r="J361" s="143">
        <f t="shared" si="2"/>
        <v>3666.9</v>
      </c>
    </row>
    <row r="362" spans="1:10">
      <c r="A362" s="717">
        <v>61</v>
      </c>
      <c r="B362" s="717" t="s">
        <v>2431</v>
      </c>
      <c r="C362" s="717" t="s">
        <v>2434</v>
      </c>
      <c r="D362" s="717" t="s">
        <v>2428</v>
      </c>
      <c r="E362" s="679">
        <v>358594364461483</v>
      </c>
      <c r="F362" s="1426" t="s">
        <v>2631</v>
      </c>
      <c r="G362" s="1426"/>
      <c r="H362" s="797"/>
      <c r="I362" s="143">
        <v>980</v>
      </c>
      <c r="J362" s="143">
        <f t="shared" si="2"/>
        <v>3523.1000000000004</v>
      </c>
    </row>
    <row r="363" spans="1:10">
      <c r="A363" s="717">
        <v>62</v>
      </c>
      <c r="B363" s="717" t="s">
        <v>2445</v>
      </c>
      <c r="C363" s="717" t="s">
        <v>2446</v>
      </c>
      <c r="D363" s="717" t="s">
        <v>2442</v>
      </c>
      <c r="E363" s="679">
        <v>355852813543027</v>
      </c>
      <c r="F363" s="1426" t="s">
        <v>1121</v>
      </c>
      <c r="G363" s="1426"/>
      <c r="H363" s="797"/>
      <c r="I363" s="143">
        <v>205</v>
      </c>
      <c r="J363" s="143">
        <f t="shared" si="2"/>
        <v>736.97500000000002</v>
      </c>
    </row>
    <row r="364" spans="1:10">
      <c r="A364" s="717">
        <v>63</v>
      </c>
      <c r="B364" s="717" t="s">
        <v>2445</v>
      </c>
      <c r="C364" s="717" t="s">
        <v>2446</v>
      </c>
      <c r="D364" s="717" t="s">
        <v>2442</v>
      </c>
      <c r="E364" s="679">
        <v>355852813455594</v>
      </c>
      <c r="F364" s="1426" t="s">
        <v>1121</v>
      </c>
      <c r="G364" s="1426"/>
      <c r="H364" s="797"/>
      <c r="I364" s="143">
        <v>205</v>
      </c>
      <c r="J364" s="143">
        <f t="shared" si="2"/>
        <v>736.97500000000002</v>
      </c>
    </row>
    <row r="365" spans="1:10">
      <c r="A365" s="717">
        <v>64</v>
      </c>
      <c r="B365" s="717" t="s">
        <v>2445</v>
      </c>
      <c r="C365" s="717" t="s">
        <v>2446</v>
      </c>
      <c r="D365" s="717" t="s">
        <v>2442</v>
      </c>
      <c r="E365" s="679">
        <v>352700323139724</v>
      </c>
      <c r="F365" s="1426" t="s">
        <v>1121</v>
      </c>
      <c r="G365" s="1426"/>
      <c r="H365" s="797"/>
      <c r="I365" s="143">
        <v>205</v>
      </c>
      <c r="J365" s="143">
        <f t="shared" si="2"/>
        <v>736.97500000000002</v>
      </c>
    </row>
    <row r="366" spans="1:10">
      <c r="A366" s="717">
        <v>65</v>
      </c>
      <c r="B366" s="717" t="s">
        <v>2445</v>
      </c>
      <c r="C366" s="717" t="s">
        <v>2446</v>
      </c>
      <c r="D366" s="717" t="s">
        <v>2442</v>
      </c>
      <c r="E366" s="679">
        <v>357020913138365</v>
      </c>
      <c r="F366" s="1426" t="s">
        <v>1121</v>
      </c>
      <c r="G366" s="1426"/>
      <c r="H366" s="797"/>
      <c r="I366" s="143">
        <v>205</v>
      </c>
      <c r="J366" s="143">
        <f t="shared" si="2"/>
        <v>736.97500000000002</v>
      </c>
    </row>
    <row r="367" spans="1:10">
      <c r="A367" s="717">
        <v>66</v>
      </c>
      <c r="B367" s="717" t="s">
        <v>2547</v>
      </c>
      <c r="C367" s="717" t="s">
        <v>2429</v>
      </c>
      <c r="D367" s="717" t="s">
        <v>2428</v>
      </c>
      <c r="E367" s="679">
        <v>352355705267526</v>
      </c>
      <c r="F367" s="1427"/>
      <c r="G367" s="1427"/>
      <c r="H367" s="796"/>
      <c r="I367" s="143">
        <v>1110</v>
      </c>
      <c r="J367" s="143">
        <f t="shared" ref="J367:J405" si="3">I367*3.595</f>
        <v>3990.4500000000003</v>
      </c>
    </row>
    <row r="368" spans="1:10">
      <c r="A368" s="717">
        <v>67</v>
      </c>
      <c r="B368" s="717" t="s">
        <v>2632</v>
      </c>
      <c r="C368" s="717" t="s">
        <v>2459</v>
      </c>
      <c r="D368" s="717" t="s">
        <v>2430</v>
      </c>
      <c r="E368" s="679" t="s">
        <v>2676</v>
      </c>
      <c r="F368" s="1427"/>
      <c r="G368" s="1427"/>
      <c r="H368" s="796"/>
      <c r="I368" s="143">
        <v>1250</v>
      </c>
      <c r="J368" s="143">
        <f t="shared" si="3"/>
        <v>4493.75</v>
      </c>
    </row>
    <row r="369" spans="1:10">
      <c r="A369" s="717">
        <v>68</v>
      </c>
      <c r="B369" s="717" t="s">
        <v>2632</v>
      </c>
      <c r="C369" s="717" t="s">
        <v>2459</v>
      </c>
      <c r="D369" s="717" t="s">
        <v>2430</v>
      </c>
      <c r="E369" s="679" t="s">
        <v>2677</v>
      </c>
      <c r="F369" s="1427"/>
      <c r="G369" s="1427"/>
      <c r="H369" s="796"/>
      <c r="I369" s="143">
        <v>1250</v>
      </c>
      <c r="J369" s="143">
        <f t="shared" si="3"/>
        <v>4493.75</v>
      </c>
    </row>
    <row r="370" spans="1:10">
      <c r="A370" s="717">
        <v>69</v>
      </c>
      <c r="B370" s="717" t="s">
        <v>2462</v>
      </c>
      <c r="C370" s="717" t="s">
        <v>2455</v>
      </c>
      <c r="D370" s="717" t="s">
        <v>2442</v>
      </c>
      <c r="E370" s="679" t="s">
        <v>2678</v>
      </c>
      <c r="F370" s="1427"/>
      <c r="G370" s="1427"/>
      <c r="H370" s="796"/>
      <c r="I370" s="143">
        <v>600</v>
      </c>
      <c r="J370" s="143">
        <f t="shared" si="3"/>
        <v>2157</v>
      </c>
    </row>
    <row r="371" spans="1:10">
      <c r="A371" s="717">
        <v>70</v>
      </c>
      <c r="B371" s="717" t="s">
        <v>2462</v>
      </c>
      <c r="C371" s="717" t="s">
        <v>2455</v>
      </c>
      <c r="D371" s="717" t="s">
        <v>2442</v>
      </c>
      <c r="E371" s="679" t="s">
        <v>2679</v>
      </c>
      <c r="F371" s="1427"/>
      <c r="G371" s="1427"/>
      <c r="H371" s="796"/>
      <c r="I371" s="143">
        <v>600</v>
      </c>
      <c r="J371" s="143">
        <f t="shared" si="3"/>
        <v>2157</v>
      </c>
    </row>
    <row r="372" spans="1:10">
      <c r="A372" s="717">
        <v>71</v>
      </c>
      <c r="B372" s="717" t="s">
        <v>2680</v>
      </c>
      <c r="C372" s="717" t="s">
        <v>2455</v>
      </c>
      <c r="D372" s="717" t="s">
        <v>2442</v>
      </c>
      <c r="E372" s="679" t="s">
        <v>2681</v>
      </c>
      <c r="F372" s="1427"/>
      <c r="G372" s="1427"/>
      <c r="H372" s="796"/>
      <c r="I372" s="143">
        <v>430</v>
      </c>
      <c r="J372" s="143">
        <f t="shared" si="3"/>
        <v>1545.8500000000001</v>
      </c>
    </row>
    <row r="373" spans="1:10">
      <c r="A373" s="717">
        <v>72</v>
      </c>
      <c r="B373" s="717" t="s">
        <v>2465</v>
      </c>
      <c r="C373" s="717" t="s">
        <v>2449</v>
      </c>
      <c r="D373" s="717" t="s">
        <v>2442</v>
      </c>
      <c r="E373" s="679" t="s">
        <v>2682</v>
      </c>
      <c r="F373" s="1426"/>
      <c r="G373" s="1426"/>
      <c r="H373" s="797"/>
      <c r="I373" s="143">
        <v>350</v>
      </c>
      <c r="J373" s="143">
        <f t="shared" si="3"/>
        <v>1258.25</v>
      </c>
    </row>
    <row r="374" spans="1:10">
      <c r="A374" s="717">
        <v>73</v>
      </c>
      <c r="B374" s="717" t="s">
        <v>2477</v>
      </c>
      <c r="C374" s="717" t="s">
        <v>2459</v>
      </c>
      <c r="D374" s="717" t="s">
        <v>2478</v>
      </c>
      <c r="E374" s="679" t="s">
        <v>2683</v>
      </c>
      <c r="F374" s="1427"/>
      <c r="G374" s="1427"/>
      <c r="H374" s="796"/>
      <c r="I374" s="143">
        <v>1630</v>
      </c>
      <c r="J374" s="143">
        <f t="shared" si="3"/>
        <v>5859.85</v>
      </c>
    </row>
    <row r="375" spans="1:10">
      <c r="A375" s="717">
        <v>74</v>
      </c>
      <c r="B375" s="717" t="s">
        <v>2477</v>
      </c>
      <c r="C375" s="717" t="s">
        <v>2459</v>
      </c>
      <c r="D375" s="717" t="s">
        <v>2478</v>
      </c>
      <c r="E375" s="679" t="s">
        <v>2684</v>
      </c>
      <c r="F375" s="1427"/>
      <c r="G375" s="1427"/>
      <c r="H375" s="796"/>
      <c r="I375" s="143">
        <v>1630</v>
      </c>
      <c r="J375" s="143">
        <f t="shared" si="3"/>
        <v>5859.85</v>
      </c>
    </row>
    <row r="376" spans="1:10">
      <c r="A376" s="717">
        <v>75</v>
      </c>
      <c r="B376" s="717" t="s">
        <v>2685</v>
      </c>
      <c r="C376" s="717" t="s">
        <v>2485</v>
      </c>
      <c r="D376" s="717" t="s">
        <v>2574</v>
      </c>
      <c r="E376" s="679" t="s">
        <v>2686</v>
      </c>
      <c r="F376" s="1426"/>
      <c r="G376" s="1426"/>
      <c r="H376" s="797"/>
      <c r="I376" s="143">
        <v>1120</v>
      </c>
      <c r="J376" s="143">
        <f t="shared" si="3"/>
        <v>4026.4</v>
      </c>
    </row>
    <row r="377" spans="1:10">
      <c r="A377" s="717">
        <v>76</v>
      </c>
      <c r="B377" s="717" t="s">
        <v>2480</v>
      </c>
      <c r="C377" s="717" t="s">
        <v>2550</v>
      </c>
      <c r="D377" s="717" t="s">
        <v>2482</v>
      </c>
      <c r="E377" s="679">
        <v>358135792809040</v>
      </c>
      <c r="F377" s="1427"/>
      <c r="G377" s="1427"/>
      <c r="H377" s="796"/>
      <c r="I377" s="143">
        <v>650</v>
      </c>
      <c r="J377" s="143">
        <f t="shared" si="3"/>
        <v>2336.75</v>
      </c>
    </row>
    <row r="378" spans="1:10">
      <c r="A378" s="717">
        <v>77</v>
      </c>
      <c r="B378" s="717" t="s">
        <v>2480</v>
      </c>
      <c r="C378" s="717" t="s">
        <v>2550</v>
      </c>
      <c r="D378" s="717" t="s">
        <v>2482</v>
      </c>
      <c r="E378" s="679">
        <v>355827874792937</v>
      </c>
      <c r="F378" s="1427"/>
      <c r="G378" s="1427"/>
      <c r="H378" s="796"/>
      <c r="I378" s="143">
        <v>650</v>
      </c>
      <c r="J378" s="143">
        <f t="shared" si="3"/>
        <v>2336.75</v>
      </c>
    </row>
    <row r="379" spans="1:10">
      <c r="A379" s="717">
        <v>78</v>
      </c>
      <c r="B379" s="717" t="s">
        <v>2480</v>
      </c>
      <c r="C379" s="717" t="s">
        <v>2550</v>
      </c>
      <c r="D379" s="717" t="s">
        <v>2482</v>
      </c>
      <c r="E379" s="679">
        <v>355827873795535</v>
      </c>
      <c r="F379" s="1427"/>
      <c r="G379" s="1427"/>
      <c r="H379" s="796"/>
      <c r="I379" s="143">
        <v>650</v>
      </c>
      <c r="J379" s="143">
        <f t="shared" si="3"/>
        <v>2336.75</v>
      </c>
    </row>
    <row r="380" spans="1:10">
      <c r="A380" s="717">
        <v>79</v>
      </c>
      <c r="B380" s="717" t="s">
        <v>2480</v>
      </c>
      <c r="C380" s="717" t="s">
        <v>2481</v>
      </c>
      <c r="D380" s="717" t="s">
        <v>2482</v>
      </c>
      <c r="E380" s="679">
        <v>358135790828976</v>
      </c>
      <c r="F380" s="1427"/>
      <c r="G380" s="1427"/>
      <c r="H380" s="796"/>
      <c r="I380" s="143">
        <v>650</v>
      </c>
      <c r="J380" s="143">
        <f t="shared" si="3"/>
        <v>2336.75</v>
      </c>
    </row>
    <row r="381" spans="1:10">
      <c r="A381" s="717">
        <v>80</v>
      </c>
      <c r="B381" s="717" t="s">
        <v>2480</v>
      </c>
      <c r="C381" s="717" t="s">
        <v>2539</v>
      </c>
      <c r="D381" s="717" t="s">
        <v>2482</v>
      </c>
      <c r="E381" s="679">
        <v>353938643193174</v>
      </c>
      <c r="F381" s="1427"/>
      <c r="G381" s="1427"/>
      <c r="H381" s="796"/>
      <c r="I381" s="143">
        <v>650</v>
      </c>
      <c r="J381" s="143">
        <f t="shared" si="3"/>
        <v>2336.75</v>
      </c>
    </row>
    <row r="382" spans="1:10">
      <c r="A382" s="717">
        <v>81</v>
      </c>
      <c r="B382" s="717" t="s">
        <v>2639</v>
      </c>
      <c r="C382" s="717" t="s">
        <v>2498</v>
      </c>
      <c r="D382" s="717" t="s">
        <v>2687</v>
      </c>
      <c r="E382" s="679" t="s">
        <v>2688</v>
      </c>
      <c r="F382" s="1427"/>
      <c r="G382" s="1427"/>
      <c r="H382" s="796"/>
      <c r="I382" s="143">
        <v>325</v>
      </c>
      <c r="J382" s="143">
        <f t="shared" si="3"/>
        <v>1168.375</v>
      </c>
    </row>
    <row r="383" spans="1:10">
      <c r="A383" s="717">
        <v>82</v>
      </c>
      <c r="B383" s="717" t="s">
        <v>2639</v>
      </c>
      <c r="C383" s="717" t="s">
        <v>2640</v>
      </c>
      <c r="D383" s="717" t="s">
        <v>2641</v>
      </c>
      <c r="E383" s="679">
        <v>359606750181787</v>
      </c>
      <c r="F383" s="1427"/>
      <c r="G383" s="1427"/>
      <c r="H383" s="796"/>
      <c r="I383" s="143">
        <v>305</v>
      </c>
      <c r="J383" s="143">
        <f t="shared" si="3"/>
        <v>1096.4750000000001</v>
      </c>
    </row>
    <row r="384" spans="1:10">
      <c r="A384" s="717">
        <v>83</v>
      </c>
      <c r="B384" s="717" t="s">
        <v>2483</v>
      </c>
      <c r="C384" s="717" t="s">
        <v>2457</v>
      </c>
      <c r="D384" s="717" t="s">
        <v>2486</v>
      </c>
      <c r="E384" s="679">
        <v>357550241279424</v>
      </c>
      <c r="F384" s="1427"/>
      <c r="G384" s="1427"/>
      <c r="H384" s="796"/>
      <c r="I384" s="143">
        <v>205</v>
      </c>
      <c r="J384" s="143">
        <f t="shared" si="3"/>
        <v>736.97500000000002</v>
      </c>
    </row>
    <row r="385" spans="1:10">
      <c r="A385" s="717">
        <v>84</v>
      </c>
      <c r="B385" s="717" t="s">
        <v>2483</v>
      </c>
      <c r="C385" s="717" t="s">
        <v>2485</v>
      </c>
      <c r="D385" s="717" t="s">
        <v>2486</v>
      </c>
      <c r="E385" s="679">
        <v>357550248095872</v>
      </c>
      <c r="F385" s="1427"/>
      <c r="G385" s="1427"/>
      <c r="H385" s="796"/>
      <c r="I385" s="143">
        <v>205</v>
      </c>
      <c r="J385" s="143">
        <f t="shared" si="3"/>
        <v>736.97500000000002</v>
      </c>
    </row>
    <row r="386" spans="1:10">
      <c r="A386" s="717">
        <v>85</v>
      </c>
      <c r="B386" s="717" t="s">
        <v>1468</v>
      </c>
      <c r="C386" s="716"/>
      <c r="D386" s="716"/>
      <c r="E386" s="679" t="s">
        <v>2689</v>
      </c>
      <c r="F386" s="1427"/>
      <c r="G386" s="1427"/>
      <c r="H386" s="796"/>
      <c r="I386" s="143">
        <v>200</v>
      </c>
      <c r="J386" s="143">
        <f t="shared" si="3"/>
        <v>719</v>
      </c>
    </row>
    <row r="387" spans="1:10">
      <c r="A387" s="717">
        <v>86</v>
      </c>
      <c r="B387" s="717" t="s">
        <v>1468</v>
      </c>
      <c r="C387" s="716"/>
      <c r="D387" s="716"/>
      <c r="E387" s="679" t="s">
        <v>2690</v>
      </c>
      <c r="F387" s="1427"/>
      <c r="G387" s="1427"/>
      <c r="H387" s="796"/>
      <c r="I387" s="143">
        <v>200</v>
      </c>
      <c r="J387" s="143">
        <f t="shared" si="3"/>
        <v>719</v>
      </c>
    </row>
    <row r="388" spans="1:10">
      <c r="A388" s="717">
        <v>87</v>
      </c>
      <c r="B388" s="717" t="s">
        <v>1468</v>
      </c>
      <c r="C388" s="716"/>
      <c r="D388" s="716"/>
      <c r="E388" s="679" t="s">
        <v>2691</v>
      </c>
      <c r="F388" s="1427"/>
      <c r="G388" s="1427"/>
      <c r="H388" s="796"/>
      <c r="I388" s="143">
        <v>200</v>
      </c>
      <c r="J388" s="143">
        <f t="shared" si="3"/>
        <v>719</v>
      </c>
    </row>
    <row r="389" spans="1:10">
      <c r="A389" s="717">
        <v>88</v>
      </c>
      <c r="B389" s="717" t="s">
        <v>1468</v>
      </c>
      <c r="C389" s="716"/>
      <c r="D389" s="716"/>
      <c r="E389" s="679" t="s">
        <v>2692</v>
      </c>
      <c r="F389" s="1427"/>
      <c r="G389" s="1427"/>
      <c r="H389" s="796"/>
      <c r="I389" s="143">
        <v>200</v>
      </c>
      <c r="J389" s="143">
        <f t="shared" si="3"/>
        <v>719</v>
      </c>
    </row>
    <row r="390" spans="1:10">
      <c r="A390" s="717">
        <v>89</v>
      </c>
      <c r="B390" s="717" t="s">
        <v>2016</v>
      </c>
      <c r="C390" s="716"/>
      <c r="D390" s="716"/>
      <c r="E390" s="679" t="s">
        <v>2693</v>
      </c>
      <c r="F390" s="1427"/>
      <c r="G390" s="1427"/>
      <c r="H390" s="796"/>
      <c r="I390" s="143">
        <v>145</v>
      </c>
      <c r="J390" s="143">
        <f t="shared" si="3"/>
        <v>521.27499999999998</v>
      </c>
    </row>
    <row r="391" spans="1:10">
      <c r="A391" s="717">
        <v>90</v>
      </c>
      <c r="B391" s="717" t="s">
        <v>2694</v>
      </c>
      <c r="C391" s="716"/>
      <c r="D391" s="717" t="s">
        <v>2430</v>
      </c>
      <c r="E391" s="679" t="s">
        <v>2695</v>
      </c>
      <c r="F391" s="1427"/>
      <c r="G391" s="1427"/>
      <c r="H391" s="796"/>
      <c r="I391" s="143">
        <v>425</v>
      </c>
      <c r="J391" s="143">
        <f t="shared" si="3"/>
        <v>1527.875</v>
      </c>
    </row>
    <row r="392" spans="1:10">
      <c r="A392" s="717">
        <v>91</v>
      </c>
      <c r="B392" s="717" t="s">
        <v>2694</v>
      </c>
      <c r="C392" s="716"/>
      <c r="D392" s="717" t="s">
        <v>2430</v>
      </c>
      <c r="E392" s="679" t="s">
        <v>2696</v>
      </c>
      <c r="F392" s="1427"/>
      <c r="G392" s="1427"/>
      <c r="H392" s="796"/>
      <c r="I392" s="143">
        <v>425</v>
      </c>
      <c r="J392" s="143">
        <f t="shared" si="3"/>
        <v>1527.875</v>
      </c>
    </row>
    <row r="393" spans="1:10">
      <c r="A393" s="717">
        <v>92</v>
      </c>
      <c r="B393" s="717" t="s">
        <v>2694</v>
      </c>
      <c r="C393" s="716"/>
      <c r="D393" s="717" t="s">
        <v>2430</v>
      </c>
      <c r="E393" s="679" t="s">
        <v>2697</v>
      </c>
      <c r="F393" s="1427"/>
      <c r="G393" s="1427"/>
      <c r="H393" s="796"/>
      <c r="I393" s="143">
        <v>425</v>
      </c>
      <c r="J393" s="143">
        <f t="shared" si="3"/>
        <v>1527.875</v>
      </c>
    </row>
    <row r="394" spans="1:10">
      <c r="A394" s="717">
        <v>93</v>
      </c>
      <c r="B394" s="717" t="s">
        <v>2694</v>
      </c>
      <c r="C394" s="716"/>
      <c r="D394" s="717" t="s">
        <v>2430</v>
      </c>
      <c r="E394" s="679" t="s">
        <v>2698</v>
      </c>
      <c r="F394" s="1427"/>
      <c r="G394" s="1427"/>
      <c r="H394" s="796"/>
      <c r="I394" s="143">
        <v>425</v>
      </c>
      <c r="J394" s="143">
        <f t="shared" si="3"/>
        <v>1527.875</v>
      </c>
    </row>
    <row r="395" spans="1:10">
      <c r="A395" s="717">
        <v>94</v>
      </c>
      <c r="B395" s="717" t="s">
        <v>2699</v>
      </c>
      <c r="C395" s="717" t="s">
        <v>2700</v>
      </c>
      <c r="D395" s="716"/>
      <c r="E395" s="679" t="s">
        <v>2701</v>
      </c>
      <c r="F395" s="1427"/>
      <c r="G395" s="1427"/>
      <c r="H395" s="796"/>
      <c r="I395" s="143">
        <v>380</v>
      </c>
      <c r="J395" s="143">
        <f t="shared" si="3"/>
        <v>1366.1000000000001</v>
      </c>
    </row>
    <row r="396" spans="1:10">
      <c r="A396" s="717">
        <v>95</v>
      </c>
      <c r="B396" s="717" t="s">
        <v>2699</v>
      </c>
      <c r="C396" s="717" t="s">
        <v>2702</v>
      </c>
      <c r="D396" s="716"/>
      <c r="E396" s="679" t="s">
        <v>2703</v>
      </c>
      <c r="F396" s="1427"/>
      <c r="G396" s="1427"/>
      <c r="H396" s="796"/>
      <c r="I396" s="143">
        <v>380</v>
      </c>
      <c r="J396" s="143">
        <f t="shared" si="3"/>
        <v>1366.1000000000001</v>
      </c>
    </row>
    <row r="397" spans="1:10">
      <c r="A397" s="717">
        <v>96</v>
      </c>
      <c r="B397" s="717" t="s">
        <v>2503</v>
      </c>
      <c r="C397" s="717" t="s">
        <v>2501</v>
      </c>
      <c r="D397" s="716"/>
      <c r="E397" s="679" t="s">
        <v>2704</v>
      </c>
      <c r="F397" s="1427"/>
      <c r="G397" s="1427"/>
      <c r="H397" s="796"/>
      <c r="I397" s="143">
        <v>350</v>
      </c>
      <c r="J397" s="143">
        <f t="shared" si="3"/>
        <v>1258.25</v>
      </c>
    </row>
    <row r="398" spans="1:10">
      <c r="A398" s="717">
        <v>97</v>
      </c>
      <c r="B398" s="717" t="s">
        <v>2503</v>
      </c>
      <c r="C398" s="717" t="s">
        <v>2501</v>
      </c>
      <c r="D398" s="716"/>
      <c r="E398" s="679" t="s">
        <v>2705</v>
      </c>
      <c r="F398" s="1426"/>
      <c r="G398" s="1426"/>
      <c r="H398" s="797"/>
      <c r="I398" s="143">
        <v>350</v>
      </c>
      <c r="J398" s="143">
        <f t="shared" si="3"/>
        <v>1258.25</v>
      </c>
    </row>
    <row r="399" spans="1:10">
      <c r="A399" s="717">
        <v>98</v>
      </c>
      <c r="B399" s="717" t="s">
        <v>2706</v>
      </c>
      <c r="C399" s="716"/>
      <c r="D399" s="717" t="s">
        <v>2428</v>
      </c>
      <c r="E399" s="679" t="s">
        <v>2707</v>
      </c>
      <c r="F399" s="1426"/>
      <c r="G399" s="1426"/>
      <c r="H399" s="797"/>
      <c r="I399" s="143">
        <v>380</v>
      </c>
      <c r="J399" s="143">
        <f t="shared" si="3"/>
        <v>1366.1000000000001</v>
      </c>
    </row>
    <row r="400" spans="1:10">
      <c r="A400" s="717">
        <v>99</v>
      </c>
      <c r="B400" s="717" t="s">
        <v>2708</v>
      </c>
      <c r="C400" s="716"/>
      <c r="D400" s="717" t="s">
        <v>2430</v>
      </c>
      <c r="E400" s="679" t="s">
        <v>2709</v>
      </c>
      <c r="F400" s="1426"/>
      <c r="G400" s="1426"/>
      <c r="H400" s="797"/>
      <c r="I400" s="143">
        <v>480</v>
      </c>
      <c r="J400" s="143">
        <f t="shared" si="3"/>
        <v>1725.6000000000001</v>
      </c>
    </row>
    <row r="401" spans="1:10">
      <c r="A401" s="717">
        <v>100</v>
      </c>
      <c r="B401" s="717" t="s">
        <v>2708</v>
      </c>
      <c r="C401" s="716"/>
      <c r="D401" s="717" t="s">
        <v>2435</v>
      </c>
      <c r="E401" s="679" t="s">
        <v>2710</v>
      </c>
      <c r="F401" s="1426"/>
      <c r="G401" s="1426"/>
      <c r="H401" s="797"/>
      <c r="I401" s="143">
        <v>600</v>
      </c>
      <c r="J401" s="143">
        <f t="shared" si="3"/>
        <v>2157</v>
      </c>
    </row>
    <row r="402" spans="1:10">
      <c r="A402" s="717">
        <v>101</v>
      </c>
      <c r="B402" s="717" t="s">
        <v>2708</v>
      </c>
      <c r="C402" s="716"/>
      <c r="D402" s="717" t="s">
        <v>2435</v>
      </c>
      <c r="E402" s="679" t="s">
        <v>2711</v>
      </c>
      <c r="F402" s="1426"/>
      <c r="G402" s="1426"/>
      <c r="H402" s="797"/>
      <c r="I402" s="143">
        <v>600</v>
      </c>
      <c r="J402" s="143">
        <f t="shared" si="3"/>
        <v>2157</v>
      </c>
    </row>
    <row r="403" spans="1:10">
      <c r="A403" s="717">
        <v>102</v>
      </c>
      <c r="B403" s="717" t="s">
        <v>2712</v>
      </c>
      <c r="C403" s="716"/>
      <c r="D403" s="716"/>
      <c r="E403" s="679" t="s">
        <v>2713</v>
      </c>
      <c r="F403" s="1426" t="s">
        <v>2716</v>
      </c>
      <c r="G403" s="1426"/>
      <c r="H403" s="797"/>
      <c r="I403" s="143"/>
      <c r="J403" s="143">
        <f t="shared" si="3"/>
        <v>0</v>
      </c>
    </row>
    <row r="404" spans="1:10">
      <c r="A404" s="717">
        <v>103</v>
      </c>
      <c r="B404" s="717" t="s">
        <v>2712</v>
      </c>
      <c r="C404" s="716"/>
      <c r="D404" s="716"/>
      <c r="E404" s="679" t="s">
        <v>2713</v>
      </c>
      <c r="F404" s="1426" t="s">
        <v>2716</v>
      </c>
      <c r="G404" s="1426"/>
      <c r="H404" s="797"/>
      <c r="I404" s="143"/>
      <c r="J404" s="143">
        <f t="shared" si="3"/>
        <v>0</v>
      </c>
    </row>
    <row r="405" spans="1:10">
      <c r="A405" s="717">
        <v>104</v>
      </c>
      <c r="B405" s="717" t="s">
        <v>2712</v>
      </c>
      <c r="C405" s="716"/>
      <c r="D405" s="716"/>
      <c r="E405" s="679" t="s">
        <v>2713</v>
      </c>
      <c r="F405" s="1426" t="s">
        <v>2716</v>
      </c>
      <c r="G405" s="1426"/>
      <c r="H405" s="797"/>
      <c r="I405" s="143"/>
      <c r="J405" s="143">
        <f t="shared" si="3"/>
        <v>0</v>
      </c>
    </row>
    <row r="410" spans="1:10" ht="15.75" thickBot="1"/>
    <row r="411" spans="1:10">
      <c r="A411" s="747"/>
      <c r="B411" s="747"/>
      <c r="C411" s="747"/>
      <c r="D411" s="747"/>
      <c r="E411" s="747"/>
      <c r="F411" s="1464"/>
      <c r="G411" s="1465"/>
      <c r="H411" s="799"/>
      <c r="I411" s="747"/>
    </row>
    <row r="412" spans="1:10">
      <c r="A412" s="1434" t="s">
        <v>1</v>
      </c>
      <c r="B412" s="1434"/>
      <c r="C412" s="674" t="s">
        <v>2753</v>
      </c>
      <c r="D412" s="1435" t="s">
        <v>2757</v>
      </c>
      <c r="E412" s="1436"/>
      <c r="F412" s="1436"/>
      <c r="G412" s="1436"/>
      <c r="H412" s="1436"/>
      <c r="I412" s="1437"/>
    </row>
    <row r="413" spans="1:10">
      <c r="A413" s="1434" t="s">
        <v>2416</v>
      </c>
      <c r="B413" s="1434"/>
      <c r="C413" s="674" t="s">
        <v>2754</v>
      </c>
      <c r="D413" s="1438"/>
      <c r="E413" s="1439"/>
      <c r="F413" s="1439"/>
      <c r="G413" s="1439"/>
      <c r="H413" s="1439"/>
      <c r="I413" s="1440"/>
    </row>
    <row r="414" spans="1:10" ht="17.45" customHeight="1">
      <c r="A414" s="725"/>
      <c r="B414" s="725"/>
      <c r="C414" s="725"/>
      <c r="D414" s="1431" t="s">
        <v>2758</v>
      </c>
      <c r="E414" s="1432"/>
      <c r="F414" s="1432"/>
      <c r="G414" s="1432"/>
      <c r="H414" s="1432"/>
      <c r="I414" s="1433"/>
    </row>
    <row r="415" spans="1:10">
      <c r="A415" s="724" t="s">
        <v>2418</v>
      </c>
      <c r="B415" s="724" t="s">
        <v>2419</v>
      </c>
      <c r="C415" s="724" t="s">
        <v>2420</v>
      </c>
      <c r="D415" s="724" t="s">
        <v>2421</v>
      </c>
      <c r="E415" s="724" t="s">
        <v>2755</v>
      </c>
      <c r="F415" s="1442" t="s">
        <v>2423</v>
      </c>
      <c r="G415" s="1442"/>
      <c r="H415" s="800"/>
      <c r="I415" s="676" t="s">
        <v>2425</v>
      </c>
    </row>
    <row r="416" spans="1:10">
      <c r="A416" s="723">
        <v>1</v>
      </c>
      <c r="B416" s="723" t="s">
        <v>2426</v>
      </c>
      <c r="C416" s="723" t="s">
        <v>2427</v>
      </c>
      <c r="D416" s="723" t="s">
        <v>2428</v>
      </c>
      <c r="E416" s="679">
        <v>356188161552859</v>
      </c>
      <c r="F416" s="1426" t="s">
        <v>2447</v>
      </c>
      <c r="G416" s="1426"/>
      <c r="H416" s="797"/>
      <c r="I416" s="723">
        <v>3300</v>
      </c>
    </row>
    <row r="417" spans="1:9">
      <c r="A417" s="726">
        <v>2</v>
      </c>
      <c r="B417" s="726" t="s">
        <v>2426</v>
      </c>
      <c r="C417" s="726" t="s">
        <v>2427</v>
      </c>
      <c r="D417" s="726" t="s">
        <v>2428</v>
      </c>
      <c r="E417" s="407">
        <v>357586343762230</v>
      </c>
      <c r="F417" s="1445"/>
      <c r="G417" s="1445"/>
      <c r="H417" s="798"/>
      <c r="I417" s="725"/>
    </row>
    <row r="418" spans="1:9">
      <c r="A418" s="726">
        <v>3</v>
      </c>
      <c r="B418" s="726" t="s">
        <v>2426</v>
      </c>
      <c r="C418" s="726" t="s">
        <v>2427</v>
      </c>
      <c r="D418" s="726" t="s">
        <v>2428</v>
      </c>
      <c r="E418" s="407">
        <v>358482497595429</v>
      </c>
      <c r="F418" s="1445"/>
      <c r="G418" s="1445"/>
      <c r="H418" s="798"/>
      <c r="I418" s="725"/>
    </row>
    <row r="419" spans="1:9">
      <c r="A419" s="726">
        <v>4</v>
      </c>
      <c r="B419" s="726" t="s">
        <v>2426</v>
      </c>
      <c r="C419" s="726" t="s">
        <v>2427</v>
      </c>
      <c r="D419" s="726" t="s">
        <v>2428</v>
      </c>
      <c r="E419" s="407">
        <v>358482497577047</v>
      </c>
      <c r="F419" s="1445"/>
      <c r="G419" s="1445"/>
      <c r="H419" s="798"/>
      <c r="I419" s="725"/>
    </row>
    <row r="420" spans="1:9">
      <c r="A420" s="723">
        <v>5</v>
      </c>
      <c r="B420" s="723" t="s">
        <v>2426</v>
      </c>
      <c r="C420" s="723" t="s">
        <v>2427</v>
      </c>
      <c r="D420" s="723" t="s">
        <v>2428</v>
      </c>
      <c r="E420" s="679">
        <v>356188164176789</v>
      </c>
      <c r="F420" s="1426" t="s">
        <v>2447</v>
      </c>
      <c r="G420" s="1426"/>
      <c r="H420" s="797"/>
      <c r="I420" s="723">
        <v>3300</v>
      </c>
    </row>
    <row r="421" spans="1:9">
      <c r="A421" s="723">
        <v>6</v>
      </c>
      <c r="B421" s="723" t="s">
        <v>2426</v>
      </c>
      <c r="C421" s="723" t="s">
        <v>2526</v>
      </c>
      <c r="D421" s="723" t="s">
        <v>2428</v>
      </c>
      <c r="E421" s="679">
        <v>353263423163911</v>
      </c>
      <c r="F421" s="1427"/>
      <c r="G421" s="1427"/>
      <c r="H421" s="796"/>
      <c r="I421" s="723">
        <v>3080</v>
      </c>
    </row>
    <row r="422" spans="1:9">
      <c r="A422" s="723">
        <v>7</v>
      </c>
      <c r="B422" s="723" t="s">
        <v>2426</v>
      </c>
      <c r="C422" s="723" t="s">
        <v>2526</v>
      </c>
      <c r="D422" s="723" t="s">
        <v>2428</v>
      </c>
      <c r="E422" s="679">
        <v>356605224923694</v>
      </c>
      <c r="F422" s="1427"/>
      <c r="G422" s="1427"/>
      <c r="H422" s="796"/>
      <c r="I422" s="723">
        <v>3080</v>
      </c>
    </row>
    <row r="423" spans="1:9">
      <c r="A423" s="723">
        <v>8</v>
      </c>
      <c r="B423" s="723" t="s">
        <v>2426</v>
      </c>
      <c r="C423" s="723" t="s">
        <v>2526</v>
      </c>
      <c r="D423" s="723" t="s">
        <v>2428</v>
      </c>
      <c r="E423" s="679">
        <v>355450217775111</v>
      </c>
      <c r="F423" s="1427"/>
      <c r="G423" s="1427"/>
      <c r="H423" s="796"/>
      <c r="I423" s="723">
        <v>3080</v>
      </c>
    </row>
    <row r="424" spans="1:9">
      <c r="A424" s="723">
        <v>9</v>
      </c>
      <c r="B424" s="723" t="s">
        <v>2426</v>
      </c>
      <c r="C424" s="723" t="s">
        <v>2526</v>
      </c>
      <c r="D424" s="723" t="s">
        <v>2428</v>
      </c>
      <c r="E424" s="679">
        <v>355450218138897</v>
      </c>
      <c r="F424" s="1427"/>
      <c r="G424" s="1427"/>
      <c r="H424" s="796"/>
      <c r="I424" s="723">
        <v>3080</v>
      </c>
    </row>
    <row r="425" spans="1:9">
      <c r="A425" s="726">
        <v>10</v>
      </c>
      <c r="B425" s="726" t="s">
        <v>2426</v>
      </c>
      <c r="C425" s="726" t="s">
        <v>2526</v>
      </c>
      <c r="D425" s="726" t="s">
        <v>2430</v>
      </c>
      <c r="E425" s="407">
        <v>359614540919565</v>
      </c>
      <c r="F425" s="1444" t="s">
        <v>1121</v>
      </c>
      <c r="G425" s="1444"/>
      <c r="H425" s="795"/>
      <c r="I425" s="726" t="s">
        <v>2555</v>
      </c>
    </row>
    <row r="426" spans="1:9">
      <c r="A426" s="726">
        <v>11</v>
      </c>
      <c r="B426" s="726" t="s">
        <v>2426</v>
      </c>
      <c r="C426" s="726" t="s">
        <v>2429</v>
      </c>
      <c r="D426" s="726" t="s">
        <v>2428</v>
      </c>
      <c r="E426" s="407">
        <v>358482495048967</v>
      </c>
      <c r="F426" s="1445"/>
      <c r="G426" s="1445"/>
      <c r="H426" s="798"/>
      <c r="I426" s="726" t="s">
        <v>2555</v>
      </c>
    </row>
    <row r="427" spans="1:9">
      <c r="A427" s="723">
        <v>12</v>
      </c>
      <c r="B427" s="723" t="s">
        <v>2426</v>
      </c>
      <c r="C427" s="723" t="s">
        <v>2429</v>
      </c>
      <c r="D427" s="723" t="s">
        <v>2428</v>
      </c>
      <c r="E427" s="679">
        <v>358482493529307</v>
      </c>
      <c r="F427" s="1427"/>
      <c r="G427" s="1427"/>
      <c r="H427" s="796"/>
      <c r="I427" s="723">
        <v>3400</v>
      </c>
    </row>
    <row r="428" spans="1:9">
      <c r="A428" s="723">
        <v>13</v>
      </c>
      <c r="B428" s="723" t="s">
        <v>2426</v>
      </c>
      <c r="C428" s="723" t="s">
        <v>2429</v>
      </c>
      <c r="D428" s="723" t="s">
        <v>2428</v>
      </c>
      <c r="E428" s="679">
        <v>358482493270399</v>
      </c>
      <c r="F428" s="1427"/>
      <c r="G428" s="1427"/>
      <c r="H428" s="796"/>
      <c r="I428" s="723">
        <v>3400</v>
      </c>
    </row>
    <row r="429" spans="1:9">
      <c r="A429" s="723">
        <v>14</v>
      </c>
      <c r="B429" s="723" t="s">
        <v>2426</v>
      </c>
      <c r="C429" s="723" t="s">
        <v>2429</v>
      </c>
      <c r="D429" s="723" t="s">
        <v>2428</v>
      </c>
      <c r="E429" s="679">
        <v>359614541093337</v>
      </c>
      <c r="F429" s="1427"/>
      <c r="G429" s="1427"/>
      <c r="H429" s="796"/>
      <c r="I429" s="723">
        <v>3400</v>
      </c>
    </row>
    <row r="430" spans="1:9">
      <c r="A430" s="723">
        <v>15</v>
      </c>
      <c r="B430" s="723" t="s">
        <v>2426</v>
      </c>
      <c r="C430" s="723" t="s">
        <v>2429</v>
      </c>
      <c r="D430" s="723" t="s">
        <v>2428</v>
      </c>
      <c r="E430" s="679">
        <v>355478878442325</v>
      </c>
      <c r="F430" s="1427"/>
      <c r="G430" s="1427"/>
      <c r="H430" s="796"/>
      <c r="I430" s="723">
        <v>3400</v>
      </c>
    </row>
    <row r="431" spans="1:9">
      <c r="A431" s="726">
        <v>16</v>
      </c>
      <c r="B431" s="726" t="s">
        <v>2527</v>
      </c>
      <c r="C431" s="726" t="s">
        <v>2427</v>
      </c>
      <c r="D431" s="726" t="s">
        <v>2428</v>
      </c>
      <c r="E431" s="407">
        <v>356250542777272</v>
      </c>
      <c r="F431" s="1445"/>
      <c r="G431" s="1445"/>
      <c r="H431" s="798"/>
      <c r="I431" s="726" t="s">
        <v>2555</v>
      </c>
    </row>
    <row r="432" spans="1:9">
      <c r="A432" s="726">
        <v>17</v>
      </c>
      <c r="B432" s="726" t="s">
        <v>2527</v>
      </c>
      <c r="C432" s="726" t="s">
        <v>2427</v>
      </c>
      <c r="D432" s="726" t="s">
        <v>2428</v>
      </c>
      <c r="E432" s="407">
        <v>356250542758041</v>
      </c>
      <c r="F432" s="1445"/>
      <c r="G432" s="1445"/>
      <c r="H432" s="798"/>
      <c r="I432" s="726" t="s">
        <v>2555</v>
      </c>
    </row>
    <row r="433" spans="1:9">
      <c r="A433" s="723">
        <v>18</v>
      </c>
      <c r="B433" s="723" t="s">
        <v>2527</v>
      </c>
      <c r="C433" s="723" t="s">
        <v>2427</v>
      </c>
      <c r="D433" s="723" t="s">
        <v>2428</v>
      </c>
      <c r="E433" s="679">
        <v>353708842036635</v>
      </c>
      <c r="F433" s="1426" t="s">
        <v>1121</v>
      </c>
      <c r="G433" s="1426"/>
      <c r="H433" s="797"/>
      <c r="I433" s="723">
        <v>2680</v>
      </c>
    </row>
    <row r="434" spans="1:9">
      <c r="A434" s="723">
        <v>19</v>
      </c>
      <c r="B434" s="723" t="s">
        <v>2527</v>
      </c>
      <c r="C434" s="723" t="s">
        <v>2427</v>
      </c>
      <c r="D434" s="723" t="s">
        <v>2428</v>
      </c>
      <c r="E434" s="679">
        <v>356250543300421</v>
      </c>
      <c r="F434" s="1427"/>
      <c r="G434" s="1427"/>
      <c r="H434" s="796"/>
      <c r="I434" s="723">
        <v>2680</v>
      </c>
    </row>
    <row r="435" spans="1:9">
      <c r="A435" s="723">
        <v>20</v>
      </c>
      <c r="B435" s="723" t="s">
        <v>2527</v>
      </c>
      <c r="C435" s="723" t="s">
        <v>2526</v>
      </c>
      <c r="D435" s="723" t="s">
        <v>2428</v>
      </c>
      <c r="E435" s="679">
        <v>350208034439278</v>
      </c>
      <c r="F435" s="1427"/>
      <c r="G435" s="1427"/>
      <c r="H435" s="796"/>
      <c r="I435" s="723">
        <v>2580</v>
      </c>
    </row>
    <row r="436" spans="1:9">
      <c r="A436" s="723">
        <v>21</v>
      </c>
      <c r="B436" s="723" t="s">
        <v>2527</v>
      </c>
      <c r="C436" s="723" t="s">
        <v>2526</v>
      </c>
      <c r="D436" s="723" t="s">
        <v>2428</v>
      </c>
      <c r="E436" s="679">
        <v>353748539961141</v>
      </c>
      <c r="F436" s="1426" t="s">
        <v>2447</v>
      </c>
      <c r="G436" s="1426"/>
      <c r="H436" s="797"/>
      <c r="I436" s="723">
        <v>2580</v>
      </c>
    </row>
    <row r="437" spans="1:9">
      <c r="A437" s="726">
        <v>22</v>
      </c>
      <c r="B437" s="726" t="s">
        <v>2527</v>
      </c>
      <c r="C437" s="726" t="s">
        <v>2526</v>
      </c>
      <c r="D437" s="726" t="s">
        <v>2428</v>
      </c>
      <c r="E437" s="407">
        <v>350208034359609</v>
      </c>
      <c r="F437" s="1445"/>
      <c r="G437" s="1445"/>
      <c r="H437" s="798"/>
      <c r="I437" s="726" t="s">
        <v>2555</v>
      </c>
    </row>
    <row r="438" spans="1:9">
      <c r="A438" s="723">
        <v>23</v>
      </c>
      <c r="B438" s="723" t="s">
        <v>2527</v>
      </c>
      <c r="C438" s="723" t="s">
        <v>2429</v>
      </c>
      <c r="D438" s="723" t="s">
        <v>2428</v>
      </c>
      <c r="E438" s="679">
        <v>356839679159534</v>
      </c>
      <c r="F438" s="1427"/>
      <c r="G438" s="1427"/>
      <c r="H438" s="796"/>
      <c r="I438" s="723">
        <v>2720</v>
      </c>
    </row>
    <row r="439" spans="1:9">
      <c r="A439" s="723">
        <v>24</v>
      </c>
      <c r="B439" s="723" t="s">
        <v>2527</v>
      </c>
      <c r="C439" s="723" t="s">
        <v>2429</v>
      </c>
      <c r="D439" s="723" t="s">
        <v>2428</v>
      </c>
      <c r="E439" s="679">
        <v>355500357943893</v>
      </c>
      <c r="F439" s="1427"/>
      <c r="G439" s="1427"/>
      <c r="H439" s="796"/>
      <c r="I439" s="723">
        <v>2720</v>
      </c>
    </row>
    <row r="440" spans="1:9">
      <c r="A440" s="723">
        <v>25</v>
      </c>
      <c r="B440" s="723" t="s">
        <v>2547</v>
      </c>
      <c r="C440" s="723" t="s">
        <v>2459</v>
      </c>
      <c r="D440" s="723" t="s">
        <v>2428</v>
      </c>
      <c r="E440" s="679">
        <v>352355700414206</v>
      </c>
      <c r="F440" s="1427"/>
      <c r="G440" s="1427"/>
      <c r="H440" s="796"/>
      <c r="I440" s="723">
        <v>3950</v>
      </c>
    </row>
    <row r="441" spans="1:9">
      <c r="A441" s="723">
        <v>26</v>
      </c>
      <c r="B441" s="723" t="s">
        <v>2480</v>
      </c>
      <c r="C441" s="723" t="s">
        <v>2550</v>
      </c>
      <c r="D441" s="723" t="s">
        <v>2482</v>
      </c>
      <c r="E441" s="679">
        <v>356187982541513</v>
      </c>
      <c r="F441" s="1427"/>
      <c r="G441" s="1427"/>
      <c r="H441" s="796"/>
      <c r="I441" s="723">
        <v>2380</v>
      </c>
    </row>
    <row r="442" spans="1:9">
      <c r="A442" s="723">
        <v>27</v>
      </c>
      <c r="B442" s="723" t="s">
        <v>2480</v>
      </c>
      <c r="C442" s="723" t="s">
        <v>2481</v>
      </c>
      <c r="D442" s="723" t="s">
        <v>2482</v>
      </c>
      <c r="E442" s="679">
        <v>353938642157444</v>
      </c>
      <c r="F442" s="1427"/>
      <c r="G442" s="1427"/>
      <c r="H442" s="796"/>
      <c r="I442" s="723">
        <v>2380</v>
      </c>
    </row>
    <row r="443" spans="1:9">
      <c r="A443" s="723">
        <v>28</v>
      </c>
      <c r="B443" s="723" t="s">
        <v>2480</v>
      </c>
      <c r="C443" s="723" t="s">
        <v>2481</v>
      </c>
      <c r="D443" s="723" t="s">
        <v>2482</v>
      </c>
      <c r="E443" s="679">
        <v>353938640357954</v>
      </c>
      <c r="F443" s="1427"/>
      <c r="G443" s="1427"/>
      <c r="H443" s="796"/>
      <c r="I443" s="723">
        <v>2380</v>
      </c>
    </row>
    <row r="444" spans="1:9">
      <c r="A444" s="723">
        <v>29</v>
      </c>
      <c r="B444" s="723" t="s">
        <v>2480</v>
      </c>
      <c r="C444" s="723" t="s">
        <v>2481</v>
      </c>
      <c r="D444" s="723" t="s">
        <v>2482</v>
      </c>
      <c r="E444" s="679">
        <v>356187982623444</v>
      </c>
      <c r="F444" s="1427"/>
      <c r="G444" s="1427"/>
      <c r="H444" s="796"/>
      <c r="I444" s="723">
        <v>2380</v>
      </c>
    </row>
    <row r="445" spans="1:9">
      <c r="A445" s="723">
        <v>30</v>
      </c>
      <c r="B445" s="723" t="s">
        <v>2480</v>
      </c>
      <c r="C445" s="723" t="s">
        <v>2539</v>
      </c>
      <c r="D445" s="723" t="s">
        <v>2482</v>
      </c>
      <c r="E445" s="679">
        <v>356187983034039</v>
      </c>
      <c r="F445" s="1427"/>
      <c r="G445" s="1427"/>
      <c r="H445" s="796"/>
      <c r="I445" s="723">
        <v>2380</v>
      </c>
    </row>
    <row r="446" spans="1:9">
      <c r="A446" s="723">
        <v>31</v>
      </c>
      <c r="B446" s="723" t="s">
        <v>2639</v>
      </c>
      <c r="C446" s="723" t="s">
        <v>2640</v>
      </c>
      <c r="D446" s="723" t="s">
        <v>2687</v>
      </c>
      <c r="E446" s="679">
        <v>354123752650640</v>
      </c>
      <c r="F446" s="1427"/>
      <c r="G446" s="1427"/>
      <c r="H446" s="796"/>
      <c r="I446" s="723">
        <v>1350</v>
      </c>
    </row>
    <row r="447" spans="1:9">
      <c r="A447" s="723">
        <v>32</v>
      </c>
      <c r="B447" s="723" t="s">
        <v>2540</v>
      </c>
      <c r="C447" s="723" t="s">
        <v>2541</v>
      </c>
      <c r="D447" s="723" t="s">
        <v>2428</v>
      </c>
      <c r="E447" s="679">
        <v>351878870270182</v>
      </c>
      <c r="F447" s="1427"/>
      <c r="G447" s="1427"/>
      <c r="H447" s="796"/>
      <c r="I447" s="723">
        <v>1850</v>
      </c>
    </row>
    <row r="448" spans="1:9">
      <c r="A448" s="723">
        <v>33</v>
      </c>
      <c r="B448" s="723" t="s">
        <v>2540</v>
      </c>
      <c r="C448" s="723" t="s">
        <v>2756</v>
      </c>
      <c r="D448" s="723" t="s">
        <v>2428</v>
      </c>
      <c r="E448" s="679">
        <v>351878871215095</v>
      </c>
      <c r="F448" s="1427"/>
      <c r="G448" s="1427"/>
      <c r="H448" s="796"/>
      <c r="I448" s="723">
        <v>1850</v>
      </c>
    </row>
    <row r="454" spans="1:8" ht="23.25">
      <c r="A454" s="1434" t="s">
        <v>1</v>
      </c>
      <c r="B454" s="1434"/>
      <c r="C454" s="674" t="s">
        <v>2769</v>
      </c>
      <c r="D454" s="1435" t="s">
        <v>2780</v>
      </c>
      <c r="E454" s="1436"/>
      <c r="F454" s="1436"/>
      <c r="G454" s="1437"/>
      <c r="H454" s="811"/>
    </row>
    <row r="455" spans="1:8" ht="23.25">
      <c r="A455" s="1434" t="s">
        <v>2416</v>
      </c>
      <c r="B455" s="1434"/>
      <c r="C455" s="674" t="s">
        <v>2770</v>
      </c>
      <c r="D455" s="1438"/>
      <c r="E455" s="1439"/>
      <c r="F455" s="1439"/>
      <c r="G455" s="1440"/>
      <c r="H455" s="811"/>
    </row>
    <row r="456" spans="1:8" ht="19.350000000000001" customHeight="1">
      <c r="A456" s="743"/>
      <c r="B456" s="743"/>
      <c r="C456" s="743"/>
      <c r="D456" s="1431" t="s">
        <v>2781</v>
      </c>
      <c r="E456" s="1432"/>
      <c r="F456" s="1432"/>
      <c r="G456" s="1433"/>
      <c r="H456" s="812"/>
    </row>
    <row r="457" spans="1:8">
      <c r="A457" s="741" t="s">
        <v>2418</v>
      </c>
      <c r="B457" s="741" t="s">
        <v>2419</v>
      </c>
      <c r="C457" s="741" t="s">
        <v>2420</v>
      </c>
      <c r="D457" s="741" t="s">
        <v>2421</v>
      </c>
      <c r="E457" s="741" t="s">
        <v>2673</v>
      </c>
      <c r="F457" s="676" t="s">
        <v>2425</v>
      </c>
      <c r="G457" s="743"/>
      <c r="H457" s="813"/>
    </row>
    <row r="458" spans="1:8">
      <c r="A458" s="744">
        <v>1</v>
      </c>
      <c r="B458" s="744" t="s">
        <v>2426</v>
      </c>
      <c r="C458" s="744" t="s">
        <v>2427</v>
      </c>
      <c r="D458" s="744" t="s">
        <v>2428</v>
      </c>
      <c r="E458" s="721">
        <v>359614545075645</v>
      </c>
      <c r="F458" s="744">
        <v>3500</v>
      </c>
      <c r="G458" s="749" t="s">
        <v>2771</v>
      </c>
      <c r="H458" s="814"/>
    </row>
    <row r="459" spans="1:8">
      <c r="A459" s="744">
        <v>2</v>
      </c>
      <c r="B459" s="744" t="s">
        <v>2426</v>
      </c>
      <c r="C459" s="744" t="s">
        <v>2427</v>
      </c>
      <c r="D459" s="744" t="s">
        <v>2428</v>
      </c>
      <c r="E459" s="721">
        <v>356188161941771</v>
      </c>
      <c r="F459" s="744">
        <v>3500</v>
      </c>
      <c r="G459" s="749" t="s">
        <v>2771</v>
      </c>
      <c r="H459" s="814"/>
    </row>
    <row r="460" spans="1:8">
      <c r="A460" s="739">
        <v>3</v>
      </c>
      <c r="B460" s="739" t="s">
        <v>2426</v>
      </c>
      <c r="C460" s="739" t="s">
        <v>2427</v>
      </c>
      <c r="D460" s="739" t="s">
        <v>2428</v>
      </c>
      <c r="E460" s="679">
        <v>356188162226958</v>
      </c>
      <c r="F460" s="739">
        <v>3300</v>
      </c>
      <c r="G460" s="740"/>
      <c r="H460" s="815"/>
    </row>
    <row r="461" spans="1:8">
      <c r="A461" s="739">
        <v>4</v>
      </c>
      <c r="B461" s="739" t="s">
        <v>2426</v>
      </c>
      <c r="C461" s="739" t="s">
        <v>2427</v>
      </c>
      <c r="D461" s="739" t="s">
        <v>2428</v>
      </c>
      <c r="E461" s="679">
        <v>353263425436349</v>
      </c>
      <c r="F461" s="739">
        <v>3300</v>
      </c>
      <c r="G461" s="740"/>
      <c r="H461" s="815"/>
    </row>
    <row r="462" spans="1:8">
      <c r="A462" s="739">
        <v>5</v>
      </c>
      <c r="B462" s="739" t="s">
        <v>2426</v>
      </c>
      <c r="C462" s="739" t="s">
        <v>2526</v>
      </c>
      <c r="D462" s="739" t="s">
        <v>2428</v>
      </c>
      <c r="E462" s="679">
        <v>355450210206460</v>
      </c>
      <c r="F462" s="739">
        <v>3080</v>
      </c>
      <c r="G462" s="740"/>
      <c r="H462" s="815"/>
    </row>
    <row r="463" spans="1:8">
      <c r="A463" s="739">
        <v>6</v>
      </c>
      <c r="B463" s="739" t="s">
        <v>2527</v>
      </c>
      <c r="C463" s="739" t="s">
        <v>2427</v>
      </c>
      <c r="D463" s="739" t="s">
        <v>2428</v>
      </c>
      <c r="E463" s="679">
        <v>356250549929496</v>
      </c>
      <c r="F463" s="739">
        <v>2700</v>
      </c>
      <c r="G463" s="740"/>
      <c r="H463" s="815"/>
    </row>
    <row r="464" spans="1:8">
      <c r="A464" s="742">
        <v>7</v>
      </c>
      <c r="B464" s="742" t="s">
        <v>2527</v>
      </c>
      <c r="C464" s="742" t="s">
        <v>2427</v>
      </c>
      <c r="D464" s="742" t="s">
        <v>2428</v>
      </c>
      <c r="E464" s="407">
        <v>356250549507128</v>
      </c>
      <c r="F464" s="748" t="s">
        <v>2555</v>
      </c>
      <c r="G464" s="743"/>
      <c r="H464" s="813"/>
    </row>
    <row r="465" spans="1:8">
      <c r="A465" s="739">
        <v>8</v>
      </c>
      <c r="B465" s="739" t="s">
        <v>2528</v>
      </c>
      <c r="C465" s="739" t="s">
        <v>2529</v>
      </c>
      <c r="D465" s="739" t="s">
        <v>2428</v>
      </c>
      <c r="E465" s="679">
        <v>358271520542197</v>
      </c>
      <c r="F465" s="739">
        <v>1920</v>
      </c>
      <c r="G465" s="740"/>
      <c r="H465" s="815"/>
    </row>
    <row r="466" spans="1:8">
      <c r="A466" s="739">
        <v>9</v>
      </c>
      <c r="B466" s="739" t="s">
        <v>2528</v>
      </c>
      <c r="C466" s="739" t="s">
        <v>2772</v>
      </c>
      <c r="D466" s="739" t="s">
        <v>2428</v>
      </c>
      <c r="E466" s="679">
        <v>357223745708245</v>
      </c>
      <c r="F466" s="739">
        <v>1920</v>
      </c>
      <c r="G466" s="740"/>
      <c r="H466" s="815"/>
    </row>
    <row r="467" spans="1:8">
      <c r="A467" s="739">
        <v>10</v>
      </c>
      <c r="B467" s="739" t="s">
        <v>2528</v>
      </c>
      <c r="C467" s="739" t="s">
        <v>2531</v>
      </c>
      <c r="D467" s="739" t="s">
        <v>2428</v>
      </c>
      <c r="E467" s="679">
        <v>357247595058732</v>
      </c>
      <c r="F467" s="739">
        <v>1920</v>
      </c>
      <c r="G467" s="740"/>
      <c r="H467" s="815"/>
    </row>
    <row r="468" spans="1:8">
      <c r="A468" s="739">
        <v>11</v>
      </c>
      <c r="B468" s="739" t="s">
        <v>2480</v>
      </c>
      <c r="C468" s="739" t="s">
        <v>2538</v>
      </c>
      <c r="D468" s="739" t="s">
        <v>2482</v>
      </c>
      <c r="E468" s="679">
        <v>358135792056733</v>
      </c>
      <c r="F468" s="739">
        <v>2380</v>
      </c>
      <c r="G468" s="740"/>
      <c r="H468" s="815"/>
    </row>
    <row r="469" spans="1:8">
      <c r="A469" s="739">
        <v>12</v>
      </c>
      <c r="B469" s="739" t="s">
        <v>2480</v>
      </c>
      <c r="C469" s="739" t="s">
        <v>2538</v>
      </c>
      <c r="D469" s="739" t="s">
        <v>2482</v>
      </c>
      <c r="E469" s="679">
        <v>358135792481378</v>
      </c>
      <c r="F469" s="739">
        <v>2380</v>
      </c>
      <c r="G469" s="740"/>
      <c r="H469" s="815"/>
    </row>
    <row r="470" spans="1:8">
      <c r="A470" s="739">
        <v>13</v>
      </c>
      <c r="B470" s="739" t="s">
        <v>2480</v>
      </c>
      <c r="C470" s="739" t="s">
        <v>2538</v>
      </c>
      <c r="D470" s="739" t="s">
        <v>2482</v>
      </c>
      <c r="E470" s="679">
        <v>355827874494583</v>
      </c>
      <c r="F470" s="739">
        <v>2380</v>
      </c>
      <c r="G470" s="740"/>
      <c r="H470" s="815"/>
    </row>
    <row r="471" spans="1:8">
      <c r="A471" s="739">
        <v>14</v>
      </c>
      <c r="B471" s="739" t="s">
        <v>2480</v>
      </c>
      <c r="C471" s="739" t="s">
        <v>2538</v>
      </c>
      <c r="D471" s="739" t="s">
        <v>2482</v>
      </c>
      <c r="E471" s="679">
        <v>353938640453852</v>
      </c>
      <c r="F471" s="739">
        <v>2380</v>
      </c>
      <c r="G471" s="740"/>
      <c r="H471" s="815"/>
    </row>
    <row r="472" spans="1:8">
      <c r="A472" s="739">
        <v>15</v>
      </c>
      <c r="B472" s="739" t="s">
        <v>2480</v>
      </c>
      <c r="C472" s="739" t="s">
        <v>2538</v>
      </c>
      <c r="D472" s="739" t="s">
        <v>2482</v>
      </c>
      <c r="E472" s="679">
        <v>358135791751391</v>
      </c>
      <c r="F472" s="739">
        <v>2380</v>
      </c>
      <c r="G472" s="740"/>
      <c r="H472" s="815"/>
    </row>
    <row r="473" spans="1:8">
      <c r="A473" s="739">
        <v>16</v>
      </c>
      <c r="B473" s="739" t="s">
        <v>2480</v>
      </c>
      <c r="C473" s="739" t="s">
        <v>2539</v>
      </c>
      <c r="D473" s="739" t="s">
        <v>2482</v>
      </c>
      <c r="E473" s="679">
        <v>353938643033149</v>
      </c>
      <c r="F473" s="739">
        <v>2380</v>
      </c>
      <c r="G473" s="740"/>
      <c r="H473" s="815"/>
    </row>
    <row r="474" spans="1:8">
      <c r="A474" s="739">
        <v>17</v>
      </c>
      <c r="B474" s="739" t="s">
        <v>2480</v>
      </c>
      <c r="C474" s="739" t="s">
        <v>2539</v>
      </c>
      <c r="D474" s="739" t="s">
        <v>2482</v>
      </c>
      <c r="E474" s="679">
        <v>356187982019536</v>
      </c>
      <c r="F474" s="739">
        <v>2380</v>
      </c>
      <c r="G474" s="740"/>
      <c r="H474" s="815"/>
    </row>
    <row r="475" spans="1:8">
      <c r="A475" s="739">
        <v>18</v>
      </c>
      <c r="B475" s="739" t="s">
        <v>2483</v>
      </c>
      <c r="C475" s="739" t="s">
        <v>2457</v>
      </c>
      <c r="D475" s="739" t="s">
        <v>2486</v>
      </c>
      <c r="E475" s="679">
        <v>357550247373999</v>
      </c>
      <c r="F475" s="739">
        <v>900</v>
      </c>
      <c r="G475" s="740"/>
      <c r="H475" s="815"/>
    </row>
    <row r="476" spans="1:8">
      <c r="A476" s="739">
        <v>19</v>
      </c>
      <c r="B476" s="739" t="s">
        <v>2483</v>
      </c>
      <c r="C476" s="739" t="s">
        <v>2485</v>
      </c>
      <c r="D476" s="739" t="s">
        <v>2486</v>
      </c>
      <c r="E476" s="679">
        <v>357550246083979</v>
      </c>
      <c r="F476" s="739">
        <v>900</v>
      </c>
      <c r="G476" s="740"/>
      <c r="H476" s="815"/>
    </row>
    <row r="477" spans="1:8">
      <c r="A477" s="742">
        <v>20</v>
      </c>
      <c r="B477" s="742" t="s">
        <v>1405</v>
      </c>
      <c r="C477" s="743"/>
      <c r="D477" s="743"/>
      <c r="E477" s="407" t="s">
        <v>2773</v>
      </c>
      <c r="F477" s="748" t="s">
        <v>2774</v>
      </c>
      <c r="G477" s="743"/>
      <c r="H477" s="813"/>
    </row>
    <row r="478" spans="1:8">
      <c r="A478" s="742">
        <v>21</v>
      </c>
      <c r="B478" s="742" t="s">
        <v>2775</v>
      </c>
      <c r="C478" s="742" t="s">
        <v>2776</v>
      </c>
      <c r="D478" s="742" t="s">
        <v>2428</v>
      </c>
      <c r="E478" s="407">
        <v>358910538638915</v>
      </c>
      <c r="F478" s="748" t="s">
        <v>2774</v>
      </c>
      <c r="G478" s="743"/>
      <c r="H478" s="813"/>
    </row>
    <row r="479" spans="1:8">
      <c r="A479" s="742">
        <v>22</v>
      </c>
      <c r="B479" s="742" t="s">
        <v>2777</v>
      </c>
      <c r="C479" s="743"/>
      <c r="D479" s="743"/>
      <c r="E479" s="743"/>
      <c r="F479" s="748" t="s">
        <v>2554</v>
      </c>
      <c r="G479" s="743"/>
      <c r="H479" s="813"/>
    </row>
    <row r="485" spans="1:9">
      <c r="A485" s="1434" t="s">
        <v>1</v>
      </c>
      <c r="B485" s="1434"/>
      <c r="C485" s="674" t="s">
        <v>2782</v>
      </c>
      <c r="D485" s="1435" t="s">
        <v>2792</v>
      </c>
      <c r="E485" s="1436"/>
      <c r="F485" s="1436"/>
      <c r="G485" s="1436"/>
      <c r="H485" s="1436"/>
      <c r="I485" s="1437"/>
    </row>
    <row r="486" spans="1:9">
      <c r="A486" s="1434" t="s">
        <v>2416</v>
      </c>
      <c r="B486" s="1434"/>
      <c r="C486" s="674" t="s">
        <v>2783</v>
      </c>
      <c r="D486" s="1438"/>
      <c r="E486" s="1439"/>
      <c r="F486" s="1439"/>
      <c r="G486" s="1439"/>
      <c r="H486" s="1439"/>
      <c r="I486" s="1440"/>
    </row>
    <row r="487" spans="1:9">
      <c r="A487" s="743"/>
      <c r="B487" s="743"/>
      <c r="C487" s="743"/>
      <c r="D487" s="1428" t="s">
        <v>2545</v>
      </c>
      <c r="E487" s="1429"/>
      <c r="F487" s="1429"/>
      <c r="G487" s="1429"/>
      <c r="H487" s="1429"/>
      <c r="I487" s="1430"/>
    </row>
    <row r="488" spans="1:9">
      <c r="A488" s="741" t="s">
        <v>2418</v>
      </c>
      <c r="B488" s="741" t="s">
        <v>2419</v>
      </c>
      <c r="C488" s="741" t="s">
        <v>2420</v>
      </c>
      <c r="D488" s="741" t="s">
        <v>2421</v>
      </c>
      <c r="E488" s="741" t="s">
        <v>2673</v>
      </c>
      <c r="F488" s="741" t="s">
        <v>2423</v>
      </c>
      <c r="G488" s="741" t="s">
        <v>2714</v>
      </c>
      <c r="H488" s="800"/>
      <c r="I488" s="741" t="s">
        <v>2649</v>
      </c>
    </row>
    <row r="489" spans="1:9">
      <c r="A489" s="752">
        <v>1</v>
      </c>
      <c r="B489" s="752" t="s">
        <v>2426</v>
      </c>
      <c r="C489" s="752" t="s">
        <v>2427</v>
      </c>
      <c r="D489" s="752" t="s">
        <v>2428</v>
      </c>
      <c r="E489" s="679">
        <v>359614547064746</v>
      </c>
      <c r="F489" s="753"/>
      <c r="G489" s="753">
        <v>900</v>
      </c>
      <c r="H489" s="796"/>
      <c r="I489" s="143">
        <f>G489*3.595</f>
        <v>3235.5</v>
      </c>
    </row>
    <row r="490" spans="1:9">
      <c r="A490" s="752">
        <v>2</v>
      </c>
      <c r="B490" s="752" t="s">
        <v>2426</v>
      </c>
      <c r="C490" s="752" t="s">
        <v>2427</v>
      </c>
      <c r="D490" s="752" t="s">
        <v>2428</v>
      </c>
      <c r="E490" s="679">
        <v>350889861054247</v>
      </c>
      <c r="F490" s="753"/>
      <c r="G490" s="753">
        <v>900</v>
      </c>
      <c r="H490" s="796"/>
      <c r="I490" s="143">
        <f t="shared" ref="I490:I553" si="4">G490*3.595</f>
        <v>3235.5</v>
      </c>
    </row>
    <row r="491" spans="1:9">
      <c r="A491" s="752">
        <v>3</v>
      </c>
      <c r="B491" s="752" t="s">
        <v>2426</v>
      </c>
      <c r="C491" s="752" t="s">
        <v>2427</v>
      </c>
      <c r="D491" s="752" t="s">
        <v>2428</v>
      </c>
      <c r="E491" s="679">
        <v>357826991518611</v>
      </c>
      <c r="F491" s="753"/>
      <c r="G491" s="753">
        <v>900</v>
      </c>
      <c r="H491" s="796"/>
      <c r="I491" s="143">
        <f t="shared" si="4"/>
        <v>3235.5</v>
      </c>
    </row>
    <row r="492" spans="1:9">
      <c r="A492" s="752">
        <v>4</v>
      </c>
      <c r="B492" s="752" t="s">
        <v>2426</v>
      </c>
      <c r="C492" s="752" t="s">
        <v>2427</v>
      </c>
      <c r="D492" s="752" t="s">
        <v>2428</v>
      </c>
      <c r="E492" s="679">
        <v>359426267055675</v>
      </c>
      <c r="F492" s="753"/>
      <c r="G492" s="753">
        <v>900</v>
      </c>
      <c r="H492" s="796"/>
      <c r="I492" s="143">
        <f t="shared" si="4"/>
        <v>3235.5</v>
      </c>
    </row>
    <row r="493" spans="1:9">
      <c r="A493" s="752">
        <v>5</v>
      </c>
      <c r="B493" s="752" t="s">
        <v>2426</v>
      </c>
      <c r="C493" s="752" t="s">
        <v>2427</v>
      </c>
      <c r="D493" s="752" t="s">
        <v>2428</v>
      </c>
      <c r="E493" s="679">
        <v>356605227683113</v>
      </c>
      <c r="F493" s="752" t="s">
        <v>2436</v>
      </c>
      <c r="G493" s="753">
        <v>1090</v>
      </c>
      <c r="H493" s="796"/>
      <c r="I493" s="143">
        <f t="shared" si="4"/>
        <v>3918.55</v>
      </c>
    </row>
    <row r="494" spans="1:9">
      <c r="A494" s="752">
        <v>6</v>
      </c>
      <c r="B494" s="752" t="s">
        <v>2426</v>
      </c>
      <c r="C494" s="752" t="s">
        <v>2427</v>
      </c>
      <c r="D494" s="752" t="s">
        <v>2428</v>
      </c>
      <c r="E494" s="679">
        <v>353263427011769</v>
      </c>
      <c r="F494" s="753"/>
      <c r="G494" s="753">
        <v>900</v>
      </c>
      <c r="H494" s="796"/>
      <c r="I494" s="143">
        <f t="shared" si="4"/>
        <v>3235.5</v>
      </c>
    </row>
    <row r="495" spans="1:9">
      <c r="A495" s="752">
        <v>7</v>
      </c>
      <c r="B495" s="752" t="s">
        <v>2426</v>
      </c>
      <c r="C495" s="752" t="s">
        <v>2427</v>
      </c>
      <c r="D495" s="752" t="s">
        <v>2428</v>
      </c>
      <c r="E495" s="679">
        <v>359614547846704</v>
      </c>
      <c r="F495" s="753"/>
      <c r="G495" s="753">
        <v>900</v>
      </c>
      <c r="H495" s="796"/>
      <c r="I495" s="143">
        <f t="shared" si="4"/>
        <v>3235.5</v>
      </c>
    </row>
    <row r="496" spans="1:9">
      <c r="A496" s="752">
        <v>8</v>
      </c>
      <c r="B496" s="752" t="s">
        <v>2426</v>
      </c>
      <c r="C496" s="752" t="s">
        <v>2427</v>
      </c>
      <c r="D496" s="752" t="s">
        <v>2428</v>
      </c>
      <c r="E496" s="679">
        <v>358051325062371</v>
      </c>
      <c r="F496" s="753"/>
      <c r="G496" s="753">
        <v>900</v>
      </c>
      <c r="H496" s="796"/>
      <c r="I496" s="143">
        <f t="shared" si="4"/>
        <v>3235.5</v>
      </c>
    </row>
    <row r="497" spans="1:9">
      <c r="A497" s="752">
        <v>9</v>
      </c>
      <c r="B497" s="752" t="s">
        <v>2426</v>
      </c>
      <c r="C497" s="752" t="s">
        <v>2427</v>
      </c>
      <c r="D497" s="752" t="s">
        <v>2428</v>
      </c>
      <c r="E497" s="679">
        <v>358051328034526</v>
      </c>
      <c r="F497" s="753"/>
      <c r="G497" s="753">
        <v>900</v>
      </c>
      <c r="H497" s="796"/>
      <c r="I497" s="143">
        <f t="shared" si="4"/>
        <v>3235.5</v>
      </c>
    </row>
    <row r="498" spans="1:9">
      <c r="A498" s="752">
        <v>10</v>
      </c>
      <c r="B498" s="752" t="s">
        <v>2426</v>
      </c>
      <c r="C498" s="752" t="s">
        <v>2427</v>
      </c>
      <c r="D498" s="752" t="s">
        <v>2428</v>
      </c>
      <c r="E498" s="679">
        <v>358105432135304</v>
      </c>
      <c r="F498" s="753"/>
      <c r="G498" s="753">
        <v>900</v>
      </c>
      <c r="H498" s="796"/>
      <c r="I498" s="143">
        <f t="shared" si="4"/>
        <v>3235.5</v>
      </c>
    </row>
    <row r="499" spans="1:9">
      <c r="A499" s="752">
        <v>11</v>
      </c>
      <c r="B499" s="752" t="s">
        <v>2426</v>
      </c>
      <c r="C499" s="752" t="s">
        <v>2427</v>
      </c>
      <c r="D499" s="752" t="s">
        <v>2428</v>
      </c>
      <c r="E499" s="679">
        <v>357826992298429</v>
      </c>
      <c r="F499" s="753"/>
      <c r="G499" s="753">
        <v>900</v>
      </c>
      <c r="H499" s="796"/>
      <c r="I499" s="143">
        <f t="shared" si="4"/>
        <v>3235.5</v>
      </c>
    </row>
    <row r="500" spans="1:9">
      <c r="A500" s="752">
        <v>12</v>
      </c>
      <c r="B500" s="752" t="s">
        <v>2426</v>
      </c>
      <c r="C500" s="752" t="s">
        <v>2427</v>
      </c>
      <c r="D500" s="752" t="s">
        <v>2428</v>
      </c>
      <c r="E500" s="679">
        <v>359614547271069</v>
      </c>
      <c r="F500" s="753"/>
      <c r="G500" s="753">
        <v>900</v>
      </c>
      <c r="H500" s="796"/>
      <c r="I500" s="143">
        <f t="shared" si="4"/>
        <v>3235.5</v>
      </c>
    </row>
    <row r="501" spans="1:9">
      <c r="A501" s="752">
        <v>13</v>
      </c>
      <c r="B501" s="752" t="s">
        <v>2426</v>
      </c>
      <c r="C501" s="752" t="s">
        <v>2427</v>
      </c>
      <c r="D501" s="752" t="s">
        <v>2428</v>
      </c>
      <c r="E501" s="679">
        <v>353263427557704</v>
      </c>
      <c r="F501" s="753"/>
      <c r="G501" s="753">
        <v>900</v>
      </c>
      <c r="H501" s="796"/>
      <c r="I501" s="143">
        <f t="shared" si="4"/>
        <v>3235.5</v>
      </c>
    </row>
    <row r="502" spans="1:9">
      <c r="A502" s="752">
        <v>14</v>
      </c>
      <c r="B502" s="752" t="s">
        <v>2426</v>
      </c>
      <c r="C502" s="752" t="s">
        <v>2427</v>
      </c>
      <c r="D502" s="752" t="s">
        <v>2428</v>
      </c>
      <c r="E502" s="679">
        <v>355224250996854</v>
      </c>
      <c r="F502" s="752" t="s">
        <v>2436</v>
      </c>
      <c r="G502" s="753">
        <v>1090</v>
      </c>
      <c r="H502" s="796"/>
      <c r="I502" s="143">
        <f t="shared" si="4"/>
        <v>3918.55</v>
      </c>
    </row>
    <row r="503" spans="1:9">
      <c r="A503" s="752">
        <v>15</v>
      </c>
      <c r="B503" s="752" t="s">
        <v>2426</v>
      </c>
      <c r="C503" s="752" t="s">
        <v>2427</v>
      </c>
      <c r="D503" s="752" t="s">
        <v>2428</v>
      </c>
      <c r="E503" s="679">
        <v>357826991408870</v>
      </c>
      <c r="F503" s="752" t="s">
        <v>1121</v>
      </c>
      <c r="G503" s="753">
        <v>900</v>
      </c>
      <c r="H503" s="796"/>
      <c r="I503" s="143">
        <f t="shared" si="4"/>
        <v>3235.5</v>
      </c>
    </row>
    <row r="504" spans="1:9">
      <c r="A504" s="752">
        <v>16</v>
      </c>
      <c r="B504" s="752" t="s">
        <v>2426</v>
      </c>
      <c r="C504" s="752" t="s">
        <v>2427</v>
      </c>
      <c r="D504" s="752" t="s">
        <v>2428</v>
      </c>
      <c r="E504" s="679">
        <v>350889860529314</v>
      </c>
      <c r="F504" s="752" t="s">
        <v>2631</v>
      </c>
      <c r="G504" s="753">
        <v>1160</v>
      </c>
      <c r="H504" s="796"/>
      <c r="I504" s="143">
        <f t="shared" si="4"/>
        <v>4170.2</v>
      </c>
    </row>
    <row r="505" spans="1:9">
      <c r="A505" s="752">
        <v>17</v>
      </c>
      <c r="B505" s="752" t="s">
        <v>2426</v>
      </c>
      <c r="C505" s="752" t="s">
        <v>2427</v>
      </c>
      <c r="D505" s="752" t="s">
        <v>2428</v>
      </c>
      <c r="E505" s="679">
        <v>353263427193989</v>
      </c>
      <c r="F505" s="752" t="s">
        <v>2631</v>
      </c>
      <c r="G505" s="753">
        <v>1160</v>
      </c>
      <c r="H505" s="796"/>
      <c r="I505" s="143">
        <f t="shared" si="4"/>
        <v>4170.2</v>
      </c>
    </row>
    <row r="506" spans="1:9">
      <c r="A506" s="752">
        <v>18</v>
      </c>
      <c r="B506" s="752" t="s">
        <v>2426</v>
      </c>
      <c r="C506" s="752" t="s">
        <v>2427</v>
      </c>
      <c r="D506" s="752" t="s">
        <v>2428</v>
      </c>
      <c r="E506" s="679">
        <v>356188161706919</v>
      </c>
      <c r="F506" s="752" t="s">
        <v>2447</v>
      </c>
      <c r="G506" s="753">
        <v>970</v>
      </c>
      <c r="H506" s="796"/>
      <c r="I506" s="143">
        <f t="shared" si="4"/>
        <v>3487.15</v>
      </c>
    </row>
    <row r="507" spans="1:9">
      <c r="A507" s="752">
        <v>19</v>
      </c>
      <c r="B507" s="752" t="s">
        <v>2426</v>
      </c>
      <c r="C507" s="752" t="s">
        <v>2427</v>
      </c>
      <c r="D507" s="752" t="s">
        <v>2428</v>
      </c>
      <c r="E507" s="679">
        <v>355224255457688</v>
      </c>
      <c r="F507" s="753"/>
      <c r="G507" s="753">
        <v>900</v>
      </c>
      <c r="H507" s="796"/>
      <c r="I507" s="143">
        <f t="shared" si="4"/>
        <v>3235.5</v>
      </c>
    </row>
    <row r="508" spans="1:9">
      <c r="A508" s="752">
        <v>20</v>
      </c>
      <c r="B508" s="752" t="s">
        <v>2426</v>
      </c>
      <c r="C508" s="752" t="s">
        <v>2427</v>
      </c>
      <c r="D508" s="752" t="s">
        <v>2428</v>
      </c>
      <c r="E508" s="679">
        <v>356605227703804</v>
      </c>
      <c r="F508" s="752" t="s">
        <v>2436</v>
      </c>
      <c r="G508" s="753">
        <v>1090</v>
      </c>
      <c r="H508" s="796"/>
      <c r="I508" s="143">
        <f t="shared" si="4"/>
        <v>3918.55</v>
      </c>
    </row>
    <row r="509" spans="1:9">
      <c r="A509" s="752">
        <v>21</v>
      </c>
      <c r="B509" s="752" t="s">
        <v>2426</v>
      </c>
      <c r="C509" s="752" t="s">
        <v>2427</v>
      </c>
      <c r="D509" s="752" t="s">
        <v>2430</v>
      </c>
      <c r="E509" s="679">
        <v>356188163093639</v>
      </c>
      <c r="F509" s="752" t="s">
        <v>2631</v>
      </c>
      <c r="G509" s="753">
        <v>1350</v>
      </c>
      <c r="H509" s="796"/>
      <c r="I509" s="143">
        <f t="shared" si="4"/>
        <v>4853.25</v>
      </c>
    </row>
    <row r="510" spans="1:9">
      <c r="A510" s="752">
        <v>22</v>
      </c>
      <c r="B510" s="752" t="s">
        <v>2426</v>
      </c>
      <c r="C510" s="752" t="s">
        <v>2427</v>
      </c>
      <c r="D510" s="752" t="s">
        <v>2784</v>
      </c>
      <c r="E510" s="679">
        <v>351687746863769</v>
      </c>
      <c r="F510" s="752" t="s">
        <v>2436</v>
      </c>
      <c r="G510" s="753">
        <v>1730</v>
      </c>
      <c r="H510" s="796"/>
      <c r="I510" s="143">
        <f t="shared" si="4"/>
        <v>6219.35</v>
      </c>
    </row>
    <row r="511" spans="1:9">
      <c r="A511" s="752">
        <v>23</v>
      </c>
      <c r="B511" s="752" t="s">
        <v>2426</v>
      </c>
      <c r="C511" s="752" t="s">
        <v>2526</v>
      </c>
      <c r="D511" s="752" t="s">
        <v>2428</v>
      </c>
      <c r="E511" s="679">
        <v>355224251427081</v>
      </c>
      <c r="F511" s="752" t="s">
        <v>2436</v>
      </c>
      <c r="G511" s="753">
        <v>1090</v>
      </c>
      <c r="H511" s="796"/>
      <c r="I511" s="143">
        <f t="shared" si="4"/>
        <v>3918.55</v>
      </c>
    </row>
    <row r="512" spans="1:9">
      <c r="A512" s="752">
        <v>24</v>
      </c>
      <c r="B512" s="752" t="s">
        <v>2426</v>
      </c>
      <c r="C512" s="752" t="s">
        <v>2526</v>
      </c>
      <c r="D512" s="752" t="s">
        <v>2428</v>
      </c>
      <c r="E512" s="679">
        <v>353263421628196</v>
      </c>
      <c r="F512" s="752" t="s">
        <v>1121</v>
      </c>
      <c r="G512" s="753">
        <v>870</v>
      </c>
      <c r="H512" s="796"/>
      <c r="I512" s="143">
        <f t="shared" si="4"/>
        <v>3127.65</v>
      </c>
    </row>
    <row r="513" spans="1:9">
      <c r="A513" s="752">
        <v>25</v>
      </c>
      <c r="B513" s="752" t="s">
        <v>2426</v>
      </c>
      <c r="C513" s="752" t="s">
        <v>2526</v>
      </c>
      <c r="D513" s="752" t="s">
        <v>2428</v>
      </c>
      <c r="E513" s="679">
        <v>353263421777209</v>
      </c>
      <c r="F513" s="753"/>
      <c r="G513" s="753">
        <v>870</v>
      </c>
      <c r="H513" s="796"/>
      <c r="I513" s="143">
        <f t="shared" si="4"/>
        <v>3127.65</v>
      </c>
    </row>
    <row r="514" spans="1:9">
      <c r="A514" s="752">
        <v>26</v>
      </c>
      <c r="B514" s="752" t="s">
        <v>2426</v>
      </c>
      <c r="C514" s="752" t="s">
        <v>2429</v>
      </c>
      <c r="D514" s="752" t="s">
        <v>2428</v>
      </c>
      <c r="E514" s="679">
        <v>356605224108312</v>
      </c>
      <c r="F514" s="752" t="s">
        <v>2631</v>
      </c>
      <c r="G514" s="753">
        <v>1160</v>
      </c>
      <c r="H514" s="796"/>
      <c r="I514" s="143">
        <f t="shared" si="4"/>
        <v>4170.2</v>
      </c>
    </row>
    <row r="515" spans="1:9">
      <c r="A515" s="752">
        <v>27</v>
      </c>
      <c r="B515" s="752" t="s">
        <v>2426</v>
      </c>
      <c r="C515" s="752" t="s">
        <v>2429</v>
      </c>
      <c r="D515" s="752" t="s">
        <v>2428</v>
      </c>
      <c r="E515" s="679">
        <v>357586342264501</v>
      </c>
      <c r="F515" s="752" t="s">
        <v>2447</v>
      </c>
      <c r="G515" s="753">
        <v>970</v>
      </c>
      <c r="H515" s="796"/>
      <c r="I515" s="143">
        <f t="shared" si="4"/>
        <v>3487.15</v>
      </c>
    </row>
    <row r="516" spans="1:9">
      <c r="A516" s="752">
        <v>28</v>
      </c>
      <c r="B516" s="752" t="s">
        <v>2426</v>
      </c>
      <c r="C516" s="752" t="s">
        <v>2429</v>
      </c>
      <c r="D516" s="752" t="s">
        <v>2428</v>
      </c>
      <c r="E516" s="679">
        <v>356605224177770</v>
      </c>
      <c r="F516" s="753"/>
      <c r="G516" s="753">
        <v>910</v>
      </c>
      <c r="H516" s="796"/>
      <c r="I516" s="143">
        <f t="shared" si="4"/>
        <v>3271.4500000000003</v>
      </c>
    </row>
    <row r="517" spans="1:9">
      <c r="A517" s="752">
        <v>29</v>
      </c>
      <c r="B517" s="752" t="s">
        <v>2426</v>
      </c>
      <c r="C517" s="752" t="s">
        <v>2429</v>
      </c>
      <c r="D517" s="752" t="s">
        <v>2428</v>
      </c>
      <c r="E517" s="679">
        <v>356764177275477</v>
      </c>
      <c r="F517" s="752" t="s">
        <v>2631</v>
      </c>
      <c r="G517" s="753">
        <v>1160</v>
      </c>
      <c r="H517" s="796"/>
      <c r="I517" s="143">
        <f t="shared" si="4"/>
        <v>4170.2</v>
      </c>
    </row>
    <row r="518" spans="1:9">
      <c r="A518" s="752">
        <v>30</v>
      </c>
      <c r="B518" s="752" t="s">
        <v>2426</v>
      </c>
      <c r="C518" s="752" t="s">
        <v>2429</v>
      </c>
      <c r="D518" s="752" t="s">
        <v>2428</v>
      </c>
      <c r="E518" s="679">
        <v>355224256513240</v>
      </c>
      <c r="F518" s="752" t="s">
        <v>2447</v>
      </c>
      <c r="G518" s="753">
        <v>970</v>
      </c>
      <c r="H518" s="796"/>
      <c r="I518" s="143">
        <f t="shared" si="4"/>
        <v>3487.15</v>
      </c>
    </row>
    <row r="519" spans="1:9">
      <c r="A519" s="752">
        <v>31</v>
      </c>
      <c r="B519" s="752" t="s">
        <v>2426</v>
      </c>
      <c r="C519" s="752" t="s">
        <v>2429</v>
      </c>
      <c r="D519" s="752" t="s">
        <v>2428</v>
      </c>
      <c r="E519" s="679">
        <v>359614546797635</v>
      </c>
      <c r="F519" s="753"/>
      <c r="G519" s="753">
        <v>910</v>
      </c>
      <c r="H519" s="796"/>
      <c r="I519" s="143">
        <f t="shared" si="4"/>
        <v>3271.4500000000003</v>
      </c>
    </row>
    <row r="520" spans="1:9">
      <c r="A520" s="752">
        <v>32</v>
      </c>
      <c r="B520" s="752" t="s">
        <v>2426</v>
      </c>
      <c r="C520" s="752" t="s">
        <v>2429</v>
      </c>
      <c r="D520" s="752" t="s">
        <v>2428</v>
      </c>
      <c r="E520" s="679">
        <v>350889864418803</v>
      </c>
      <c r="F520" s="753"/>
      <c r="G520" s="753">
        <v>910</v>
      </c>
      <c r="H520" s="796"/>
      <c r="I520" s="143">
        <f t="shared" si="4"/>
        <v>3271.4500000000003</v>
      </c>
    </row>
    <row r="521" spans="1:9">
      <c r="A521" s="754">
        <v>33</v>
      </c>
      <c r="B521" s="754" t="s">
        <v>2426</v>
      </c>
      <c r="C521" s="754" t="s">
        <v>2429</v>
      </c>
      <c r="D521" s="754" t="s">
        <v>2428</v>
      </c>
      <c r="E521" s="755">
        <v>353263426675176</v>
      </c>
      <c r="F521" s="754" t="s">
        <v>2436</v>
      </c>
      <c r="G521" s="753">
        <v>1160</v>
      </c>
      <c r="H521" s="796"/>
      <c r="I521" s="143">
        <f t="shared" si="4"/>
        <v>4170.2</v>
      </c>
    </row>
    <row r="522" spans="1:9">
      <c r="A522" s="752">
        <v>34</v>
      </c>
      <c r="B522" s="752" t="s">
        <v>2527</v>
      </c>
      <c r="C522" s="752" t="s">
        <v>2427</v>
      </c>
      <c r="D522" s="752" t="s">
        <v>2428</v>
      </c>
      <c r="E522" s="679">
        <v>351317529884903</v>
      </c>
      <c r="F522" s="752" t="s">
        <v>2631</v>
      </c>
      <c r="G522" s="753">
        <v>1070</v>
      </c>
      <c r="H522" s="796"/>
      <c r="I522" s="756">
        <f t="shared" si="4"/>
        <v>3846.65</v>
      </c>
    </row>
    <row r="523" spans="1:9">
      <c r="A523" s="752">
        <v>35</v>
      </c>
      <c r="B523" s="752" t="s">
        <v>2527</v>
      </c>
      <c r="C523" s="752" t="s">
        <v>2427</v>
      </c>
      <c r="D523" s="752" t="s">
        <v>2430</v>
      </c>
      <c r="E523" s="679">
        <v>350455774515615</v>
      </c>
      <c r="F523" s="752" t="s">
        <v>2436</v>
      </c>
      <c r="G523" s="753">
        <v>1160</v>
      </c>
      <c r="H523" s="796"/>
      <c r="I523" s="143">
        <f t="shared" si="4"/>
        <v>4170.2</v>
      </c>
    </row>
    <row r="524" spans="1:9">
      <c r="A524" s="752">
        <v>36</v>
      </c>
      <c r="B524" s="752" t="s">
        <v>2527</v>
      </c>
      <c r="C524" s="752" t="s">
        <v>2427</v>
      </c>
      <c r="D524" s="752" t="s">
        <v>2430</v>
      </c>
      <c r="E524" s="679">
        <v>356661400563283</v>
      </c>
      <c r="F524" s="752" t="s">
        <v>2436</v>
      </c>
      <c r="G524" s="753">
        <v>1160</v>
      </c>
      <c r="H524" s="796"/>
      <c r="I524" s="143">
        <f t="shared" si="4"/>
        <v>4170.2</v>
      </c>
    </row>
    <row r="525" spans="1:9">
      <c r="A525" s="752">
        <v>37</v>
      </c>
      <c r="B525" s="752" t="s">
        <v>2527</v>
      </c>
      <c r="C525" s="752" t="s">
        <v>2526</v>
      </c>
      <c r="D525" s="752" t="s">
        <v>2428</v>
      </c>
      <c r="E525" s="679">
        <v>356250548298976</v>
      </c>
      <c r="F525" s="752" t="s">
        <v>2631</v>
      </c>
      <c r="G525" s="753">
        <v>1060</v>
      </c>
      <c r="H525" s="796"/>
      <c r="I525" s="143">
        <f t="shared" si="4"/>
        <v>3810.7000000000003</v>
      </c>
    </row>
    <row r="526" spans="1:9">
      <c r="A526" s="752">
        <v>38</v>
      </c>
      <c r="B526" s="752" t="s">
        <v>2527</v>
      </c>
      <c r="C526" s="752" t="s">
        <v>2526</v>
      </c>
      <c r="D526" s="752" t="s">
        <v>2428</v>
      </c>
      <c r="E526" s="679">
        <v>356250548267765</v>
      </c>
      <c r="F526" s="752" t="s">
        <v>2631</v>
      </c>
      <c r="G526" s="753">
        <v>1070</v>
      </c>
      <c r="H526" s="796"/>
      <c r="I526" s="143">
        <f t="shared" si="4"/>
        <v>3846.65</v>
      </c>
    </row>
    <row r="527" spans="1:9">
      <c r="A527" s="752">
        <v>39</v>
      </c>
      <c r="B527" s="752" t="s">
        <v>2527</v>
      </c>
      <c r="C527" s="752" t="s">
        <v>2526</v>
      </c>
      <c r="D527" s="752" t="s">
        <v>2430</v>
      </c>
      <c r="E527" s="679">
        <v>350208037479339</v>
      </c>
      <c r="F527" s="752" t="s">
        <v>2631</v>
      </c>
      <c r="G527" s="753">
        <v>1230</v>
      </c>
      <c r="H527" s="796"/>
      <c r="I527" s="143">
        <f t="shared" si="4"/>
        <v>4421.8500000000004</v>
      </c>
    </row>
    <row r="528" spans="1:9">
      <c r="A528" s="752">
        <v>40</v>
      </c>
      <c r="B528" s="752" t="s">
        <v>2527</v>
      </c>
      <c r="C528" s="752" t="s">
        <v>2526</v>
      </c>
      <c r="D528" s="752" t="s">
        <v>2430</v>
      </c>
      <c r="E528" s="679">
        <v>352591613065434</v>
      </c>
      <c r="F528" s="752" t="s">
        <v>2436</v>
      </c>
      <c r="G528" s="753">
        <v>1160</v>
      </c>
      <c r="H528" s="796"/>
      <c r="I528" s="143">
        <f t="shared" si="4"/>
        <v>4170.2</v>
      </c>
    </row>
    <row r="529" spans="1:9">
      <c r="A529" s="752">
        <v>41</v>
      </c>
      <c r="B529" s="752" t="s">
        <v>2527</v>
      </c>
      <c r="C529" s="752" t="s">
        <v>2429</v>
      </c>
      <c r="D529" s="752" t="s">
        <v>2428</v>
      </c>
      <c r="E529" s="679">
        <v>352440634381554</v>
      </c>
      <c r="F529" s="752" t="s">
        <v>2631</v>
      </c>
      <c r="G529" s="753">
        <v>1070</v>
      </c>
      <c r="H529" s="796"/>
      <c r="I529" s="143">
        <f t="shared" si="4"/>
        <v>3846.65</v>
      </c>
    </row>
    <row r="530" spans="1:9">
      <c r="A530" s="752">
        <v>42</v>
      </c>
      <c r="B530" s="752" t="s">
        <v>2527</v>
      </c>
      <c r="C530" s="752" t="s">
        <v>2429</v>
      </c>
      <c r="D530" s="752" t="s">
        <v>2428</v>
      </c>
      <c r="E530" s="679">
        <v>350208032986825</v>
      </c>
      <c r="F530" s="752" t="s">
        <v>2631</v>
      </c>
      <c r="G530" s="753">
        <v>1070</v>
      </c>
      <c r="H530" s="796"/>
      <c r="I530" s="143">
        <f t="shared" si="4"/>
        <v>3846.65</v>
      </c>
    </row>
    <row r="531" spans="1:9">
      <c r="A531" s="752">
        <v>43</v>
      </c>
      <c r="B531" s="752" t="s">
        <v>2527</v>
      </c>
      <c r="C531" s="752" t="s">
        <v>2429</v>
      </c>
      <c r="D531" s="752" t="s">
        <v>2428</v>
      </c>
      <c r="E531" s="679">
        <v>351317522022725</v>
      </c>
      <c r="F531" s="752" t="s">
        <v>2436</v>
      </c>
      <c r="G531" s="753">
        <v>1010</v>
      </c>
      <c r="H531" s="796"/>
      <c r="I531" s="143">
        <f t="shared" si="4"/>
        <v>3630.9500000000003</v>
      </c>
    </row>
    <row r="532" spans="1:9">
      <c r="A532" s="752">
        <v>44</v>
      </c>
      <c r="B532" s="752" t="s">
        <v>2527</v>
      </c>
      <c r="C532" s="752" t="s">
        <v>2429</v>
      </c>
      <c r="D532" s="752" t="s">
        <v>2428</v>
      </c>
      <c r="E532" s="679">
        <v>351317529770219</v>
      </c>
      <c r="F532" s="752" t="s">
        <v>2436</v>
      </c>
      <c r="G532" s="753">
        <v>1010</v>
      </c>
      <c r="H532" s="796"/>
      <c r="I532" s="143">
        <f t="shared" si="4"/>
        <v>3630.9500000000003</v>
      </c>
    </row>
    <row r="533" spans="1:9">
      <c r="A533" s="752">
        <v>45</v>
      </c>
      <c r="B533" s="752" t="s">
        <v>2527</v>
      </c>
      <c r="C533" s="752" t="s">
        <v>2429</v>
      </c>
      <c r="D533" s="752" t="s">
        <v>2428</v>
      </c>
      <c r="E533" s="679">
        <v>352294448173529</v>
      </c>
      <c r="F533" s="752" t="s">
        <v>2631</v>
      </c>
      <c r="G533" s="753">
        <v>1070</v>
      </c>
      <c r="H533" s="796"/>
      <c r="I533" s="143">
        <f t="shared" si="4"/>
        <v>3846.65</v>
      </c>
    </row>
    <row r="534" spans="1:9">
      <c r="A534" s="752">
        <v>46</v>
      </c>
      <c r="B534" s="752" t="s">
        <v>2528</v>
      </c>
      <c r="C534" s="752" t="s">
        <v>2529</v>
      </c>
      <c r="D534" s="752" t="s">
        <v>2428</v>
      </c>
      <c r="E534" s="679">
        <v>351605722195832</v>
      </c>
      <c r="F534" s="752" t="s">
        <v>1121</v>
      </c>
      <c r="G534" s="753">
        <v>500</v>
      </c>
      <c r="H534" s="796"/>
      <c r="I534" s="143">
        <f t="shared" si="4"/>
        <v>1797.5</v>
      </c>
    </row>
    <row r="535" spans="1:9">
      <c r="A535" s="752">
        <v>47</v>
      </c>
      <c r="B535" s="752" t="s">
        <v>2528</v>
      </c>
      <c r="C535" s="752" t="s">
        <v>2529</v>
      </c>
      <c r="D535" s="752" t="s">
        <v>2428</v>
      </c>
      <c r="E535" s="679">
        <v>358271521457833</v>
      </c>
      <c r="F535" s="752" t="s">
        <v>1121</v>
      </c>
      <c r="G535" s="753">
        <v>500</v>
      </c>
      <c r="H535" s="796"/>
      <c r="I535" s="143">
        <f t="shared" si="4"/>
        <v>1797.5</v>
      </c>
    </row>
    <row r="536" spans="1:9">
      <c r="A536" s="752">
        <v>48</v>
      </c>
      <c r="B536" s="752" t="s">
        <v>2528</v>
      </c>
      <c r="C536" s="752" t="s">
        <v>2772</v>
      </c>
      <c r="D536" s="752" t="s">
        <v>2428</v>
      </c>
      <c r="E536" s="679">
        <v>357247595304755</v>
      </c>
      <c r="F536" s="753"/>
      <c r="G536" s="753">
        <v>500</v>
      </c>
      <c r="H536" s="796"/>
      <c r="I536" s="143">
        <f t="shared" si="4"/>
        <v>1797.5</v>
      </c>
    </row>
    <row r="537" spans="1:9">
      <c r="A537" s="752">
        <v>49</v>
      </c>
      <c r="B537" s="752" t="s">
        <v>2528</v>
      </c>
      <c r="C537" s="752" t="s">
        <v>2531</v>
      </c>
      <c r="D537" s="752" t="s">
        <v>2428</v>
      </c>
      <c r="E537" s="679">
        <v>358838945990324</v>
      </c>
      <c r="F537" s="753"/>
      <c r="G537" s="753">
        <v>500</v>
      </c>
      <c r="H537" s="796"/>
      <c r="I537" s="143">
        <f t="shared" si="4"/>
        <v>1797.5</v>
      </c>
    </row>
    <row r="538" spans="1:9">
      <c r="A538" s="752">
        <v>50</v>
      </c>
      <c r="B538" s="752" t="s">
        <v>2528</v>
      </c>
      <c r="C538" s="752" t="s">
        <v>2459</v>
      </c>
      <c r="D538" s="752" t="s">
        <v>2428</v>
      </c>
      <c r="E538" s="679">
        <v>355413814844524</v>
      </c>
      <c r="F538" s="753"/>
      <c r="G538" s="753">
        <v>500</v>
      </c>
      <c r="H538" s="796"/>
      <c r="I538" s="143">
        <f t="shared" si="4"/>
        <v>1797.5</v>
      </c>
    </row>
    <row r="539" spans="1:9">
      <c r="A539" s="752">
        <v>51</v>
      </c>
      <c r="B539" s="752" t="s">
        <v>2532</v>
      </c>
      <c r="C539" s="752" t="s">
        <v>2446</v>
      </c>
      <c r="D539" s="752" t="s">
        <v>2428</v>
      </c>
      <c r="E539" s="679">
        <v>351523427089996</v>
      </c>
      <c r="F539" s="752" t="s">
        <v>2631</v>
      </c>
      <c r="G539" s="753">
        <v>740</v>
      </c>
      <c r="H539" s="796"/>
      <c r="I539" s="143">
        <f t="shared" si="4"/>
        <v>2660.3</v>
      </c>
    </row>
    <row r="540" spans="1:9">
      <c r="A540" s="752">
        <v>52</v>
      </c>
      <c r="B540" s="752" t="s">
        <v>2445</v>
      </c>
      <c r="C540" s="752" t="s">
        <v>2446</v>
      </c>
      <c r="D540" s="752" t="s">
        <v>2442</v>
      </c>
      <c r="E540" s="679">
        <v>357020912351308</v>
      </c>
      <c r="F540" s="752" t="s">
        <v>2631</v>
      </c>
      <c r="G540" s="753">
        <v>425</v>
      </c>
      <c r="H540" s="796"/>
      <c r="I540" s="143">
        <f t="shared" si="4"/>
        <v>1527.875</v>
      </c>
    </row>
    <row r="541" spans="1:9">
      <c r="A541" s="752">
        <v>53</v>
      </c>
      <c r="B541" s="752" t="s">
        <v>2547</v>
      </c>
      <c r="C541" s="752" t="s">
        <v>2459</v>
      </c>
      <c r="D541" s="752" t="s">
        <v>2428</v>
      </c>
      <c r="E541" s="679">
        <v>352355707588655</v>
      </c>
      <c r="F541" s="753"/>
      <c r="G541" s="753">
        <v>1115</v>
      </c>
      <c r="H541" s="796"/>
      <c r="I541" s="143">
        <f t="shared" si="4"/>
        <v>4008.4250000000002</v>
      </c>
    </row>
    <row r="542" spans="1:9">
      <c r="A542" s="752">
        <v>54</v>
      </c>
      <c r="B542" s="752" t="s">
        <v>2632</v>
      </c>
      <c r="C542" s="752" t="s">
        <v>2459</v>
      </c>
      <c r="D542" s="752" t="s">
        <v>2428</v>
      </c>
      <c r="E542" s="679" t="s">
        <v>2785</v>
      </c>
      <c r="F542" s="753"/>
      <c r="G542" s="753">
        <v>1090</v>
      </c>
      <c r="H542" s="796"/>
      <c r="I542" s="143">
        <f t="shared" si="4"/>
        <v>3918.55</v>
      </c>
    </row>
    <row r="543" spans="1:9">
      <c r="A543" s="752">
        <v>55</v>
      </c>
      <c r="B543" s="752" t="s">
        <v>2632</v>
      </c>
      <c r="C543" s="752" t="s">
        <v>2459</v>
      </c>
      <c r="D543" s="752" t="s">
        <v>2428</v>
      </c>
      <c r="E543" s="679" t="s">
        <v>2786</v>
      </c>
      <c r="F543" s="753"/>
      <c r="G543" s="753">
        <v>1090</v>
      </c>
      <c r="H543" s="796"/>
      <c r="I543" s="143">
        <f t="shared" si="4"/>
        <v>3918.55</v>
      </c>
    </row>
    <row r="544" spans="1:9">
      <c r="A544" s="752">
        <v>56</v>
      </c>
      <c r="B544" s="752" t="s">
        <v>2632</v>
      </c>
      <c r="C544" s="752" t="s">
        <v>2459</v>
      </c>
      <c r="D544" s="752" t="s">
        <v>2428</v>
      </c>
      <c r="E544" s="679" t="s">
        <v>2787</v>
      </c>
      <c r="F544" s="753"/>
      <c r="G544" s="753">
        <v>1090</v>
      </c>
      <c r="H544" s="796"/>
      <c r="I544" s="143">
        <f t="shared" si="4"/>
        <v>3918.55</v>
      </c>
    </row>
    <row r="545" spans="1:9">
      <c r="A545" s="752">
        <v>57</v>
      </c>
      <c r="B545" s="752" t="s">
        <v>2632</v>
      </c>
      <c r="C545" s="752" t="s">
        <v>2429</v>
      </c>
      <c r="D545" s="752" t="s">
        <v>2428</v>
      </c>
      <c r="E545" s="679" t="s">
        <v>2788</v>
      </c>
      <c r="F545" s="753"/>
      <c r="G545" s="753">
        <v>1090</v>
      </c>
      <c r="H545" s="796"/>
      <c r="I545" s="143">
        <f t="shared" si="4"/>
        <v>3918.55</v>
      </c>
    </row>
    <row r="546" spans="1:9">
      <c r="A546" s="752">
        <v>58</v>
      </c>
      <c r="B546" s="752" t="s">
        <v>2632</v>
      </c>
      <c r="C546" s="752" t="s">
        <v>2429</v>
      </c>
      <c r="D546" s="752" t="s">
        <v>2428</v>
      </c>
      <c r="E546" s="679" t="s">
        <v>2789</v>
      </c>
      <c r="F546" s="753"/>
      <c r="G546" s="753">
        <v>1090</v>
      </c>
      <c r="H546" s="796"/>
      <c r="I546" s="143">
        <f t="shared" si="4"/>
        <v>3918.55</v>
      </c>
    </row>
    <row r="547" spans="1:9">
      <c r="A547" s="742">
        <v>59</v>
      </c>
      <c r="B547" s="742" t="s">
        <v>2458</v>
      </c>
      <c r="C547" s="742" t="s">
        <v>2459</v>
      </c>
      <c r="D547" s="742" t="s">
        <v>2428</v>
      </c>
      <c r="E547" s="407">
        <v>358112933425135</v>
      </c>
      <c r="F547" s="742" t="s">
        <v>2460</v>
      </c>
      <c r="G547" s="743"/>
      <c r="H547" s="798"/>
      <c r="I547" s="732">
        <f t="shared" si="4"/>
        <v>0</v>
      </c>
    </row>
    <row r="548" spans="1:9">
      <c r="A548" s="752">
        <v>60</v>
      </c>
      <c r="B548" s="752" t="s">
        <v>2458</v>
      </c>
      <c r="C548" s="752" t="s">
        <v>2459</v>
      </c>
      <c r="D548" s="752" t="s">
        <v>2428</v>
      </c>
      <c r="E548" s="679">
        <v>358112933972698</v>
      </c>
      <c r="F548" s="753"/>
      <c r="G548" s="753">
        <v>1000</v>
      </c>
      <c r="H548" s="796"/>
      <c r="I548" s="143">
        <f t="shared" si="4"/>
        <v>3595</v>
      </c>
    </row>
    <row r="549" spans="1:9">
      <c r="A549" s="752">
        <v>61</v>
      </c>
      <c r="B549" s="752" t="s">
        <v>2458</v>
      </c>
      <c r="C549" s="752" t="s">
        <v>2459</v>
      </c>
      <c r="D549" s="752" t="s">
        <v>2428</v>
      </c>
      <c r="E549" s="679">
        <v>358112932514061</v>
      </c>
      <c r="F549" s="752" t="s">
        <v>2460</v>
      </c>
      <c r="G549" s="753">
        <v>845</v>
      </c>
      <c r="H549" s="796"/>
      <c r="I549" s="143">
        <f t="shared" si="4"/>
        <v>3037.7750000000001</v>
      </c>
    </row>
    <row r="550" spans="1:9">
      <c r="A550" s="752">
        <v>62</v>
      </c>
      <c r="B550" s="752" t="s">
        <v>2458</v>
      </c>
      <c r="C550" s="752" t="s">
        <v>2459</v>
      </c>
      <c r="D550" s="752" t="s">
        <v>2428</v>
      </c>
      <c r="E550" s="679">
        <v>358112934561524</v>
      </c>
      <c r="F550" s="753"/>
      <c r="G550" s="753">
        <v>1000</v>
      </c>
      <c r="H550" s="796"/>
      <c r="I550" s="143">
        <f t="shared" si="4"/>
        <v>3595</v>
      </c>
    </row>
    <row r="551" spans="1:9">
      <c r="A551" s="752">
        <v>63</v>
      </c>
      <c r="B551" s="752" t="s">
        <v>2466</v>
      </c>
      <c r="C551" s="752" t="s">
        <v>2449</v>
      </c>
      <c r="D551" s="752" t="s">
        <v>2442</v>
      </c>
      <c r="E551" s="679">
        <v>357153137093346</v>
      </c>
      <c r="F551" s="753"/>
      <c r="G551" s="753">
        <v>450</v>
      </c>
      <c r="H551" s="796"/>
      <c r="I551" s="143">
        <f t="shared" si="4"/>
        <v>1617.75</v>
      </c>
    </row>
    <row r="552" spans="1:9">
      <c r="A552" s="752">
        <v>64</v>
      </c>
      <c r="B552" s="752" t="s">
        <v>2573</v>
      </c>
      <c r="C552" s="752" t="s">
        <v>2459</v>
      </c>
      <c r="D552" s="752" t="s">
        <v>2574</v>
      </c>
      <c r="E552" s="679" t="s">
        <v>2790</v>
      </c>
      <c r="F552" s="753"/>
      <c r="G552" s="753">
        <v>1340</v>
      </c>
      <c r="H552" s="796"/>
      <c r="I552" s="143">
        <f t="shared" si="4"/>
        <v>4817.3</v>
      </c>
    </row>
    <row r="553" spans="1:9">
      <c r="A553" s="752">
        <v>65</v>
      </c>
      <c r="B553" s="752" t="s">
        <v>2573</v>
      </c>
      <c r="C553" s="752" t="s">
        <v>2459</v>
      </c>
      <c r="D553" s="752" t="s">
        <v>2574</v>
      </c>
      <c r="E553" s="679" t="s">
        <v>2791</v>
      </c>
      <c r="F553" s="753"/>
      <c r="G553" s="753">
        <v>1340</v>
      </c>
      <c r="H553" s="796"/>
      <c r="I553" s="143">
        <f t="shared" si="4"/>
        <v>4817.3</v>
      </c>
    </row>
    <row r="554" spans="1:9">
      <c r="A554" s="742">
        <v>66</v>
      </c>
      <c r="B554" s="742" t="s">
        <v>2480</v>
      </c>
      <c r="C554" s="742" t="s">
        <v>2550</v>
      </c>
      <c r="D554" s="742" t="s">
        <v>2482</v>
      </c>
      <c r="E554" s="407">
        <v>356768321404982</v>
      </c>
      <c r="F554" s="743"/>
      <c r="G554" s="743"/>
      <c r="H554" s="798"/>
      <c r="I554" s="732">
        <f>G554*3.595</f>
        <v>0</v>
      </c>
    </row>
    <row r="555" spans="1:9">
      <c r="A555" s="742">
        <v>67</v>
      </c>
      <c r="B555" s="742" t="s">
        <v>2480</v>
      </c>
      <c r="C555" s="742" t="s">
        <v>2539</v>
      </c>
      <c r="D555" s="742" t="s">
        <v>2482</v>
      </c>
      <c r="E555" s="407">
        <v>356187983011615</v>
      </c>
      <c r="F555" s="743"/>
      <c r="G555" s="743"/>
      <c r="H555" s="798"/>
      <c r="I555" s="732">
        <f>G555*3.595</f>
        <v>0</v>
      </c>
    </row>
    <row r="561" spans="1:9" ht="14.45" customHeight="1">
      <c r="A561" s="1434" t="s">
        <v>1</v>
      </c>
      <c r="B561" s="1434"/>
      <c r="C561" s="674" t="s">
        <v>2857</v>
      </c>
      <c r="D561" s="1473" t="s">
        <v>2891</v>
      </c>
      <c r="E561" s="1473"/>
      <c r="F561" s="1473"/>
      <c r="G561" s="1473"/>
      <c r="H561" s="1473"/>
      <c r="I561" s="1473"/>
    </row>
    <row r="562" spans="1:9" ht="14.45" customHeight="1">
      <c r="A562" s="1434" t="s">
        <v>2416</v>
      </c>
      <c r="B562" s="1434"/>
      <c r="C562" s="674" t="s">
        <v>2858</v>
      </c>
      <c r="D562" s="1473"/>
      <c r="E562" s="1473"/>
      <c r="F562" s="1473"/>
      <c r="G562" s="1473"/>
      <c r="H562" s="1473"/>
      <c r="I562" s="1473"/>
    </row>
    <row r="563" spans="1:9">
      <c r="A563" s="759"/>
      <c r="B563" s="759"/>
      <c r="C563" s="759"/>
      <c r="D563" s="1444" t="s">
        <v>2892</v>
      </c>
      <c r="E563" s="1444"/>
      <c r="F563" s="1444"/>
      <c r="G563" s="1444"/>
      <c r="H563" s="1444"/>
      <c r="I563" s="1444"/>
    </row>
    <row r="564" spans="1:9">
      <c r="A564" s="760" t="s">
        <v>2418</v>
      </c>
      <c r="B564" s="760" t="s">
        <v>2419</v>
      </c>
      <c r="C564" s="760" t="s">
        <v>2420</v>
      </c>
      <c r="D564" s="760" t="s">
        <v>2421</v>
      </c>
      <c r="E564" s="760" t="s">
        <v>2422</v>
      </c>
      <c r="F564" s="760" t="s">
        <v>2423</v>
      </c>
      <c r="G564" s="760" t="s">
        <v>2890</v>
      </c>
      <c r="H564" s="800"/>
      <c r="I564" s="760" t="s">
        <v>2649</v>
      </c>
    </row>
    <row r="565" spans="1:9">
      <c r="A565" s="758">
        <v>1</v>
      </c>
      <c r="B565" s="758" t="s">
        <v>2426</v>
      </c>
      <c r="C565" s="758" t="s">
        <v>2427</v>
      </c>
      <c r="D565" s="758" t="s">
        <v>2428</v>
      </c>
      <c r="E565" s="679">
        <v>358051329574686</v>
      </c>
      <c r="F565" s="758" t="s">
        <v>1121</v>
      </c>
      <c r="G565" s="757">
        <v>925</v>
      </c>
      <c r="H565" s="796"/>
      <c r="I565" s="143">
        <f>G565*3.595</f>
        <v>3325.375</v>
      </c>
    </row>
    <row r="566" spans="1:9">
      <c r="A566" s="758">
        <v>2</v>
      </c>
      <c r="B566" s="758" t="s">
        <v>2426</v>
      </c>
      <c r="C566" s="758" t="s">
        <v>2427</v>
      </c>
      <c r="D566" s="758" t="s">
        <v>2428</v>
      </c>
      <c r="E566" s="679">
        <v>358051329585997</v>
      </c>
      <c r="F566" s="758" t="s">
        <v>1121</v>
      </c>
      <c r="G566" s="757">
        <v>925</v>
      </c>
      <c r="H566" s="796"/>
      <c r="I566" s="143">
        <f t="shared" ref="I566:I629" si="5">G566*3.595</f>
        <v>3325.375</v>
      </c>
    </row>
    <row r="567" spans="1:9">
      <c r="A567" s="758">
        <v>3</v>
      </c>
      <c r="B567" s="758" t="s">
        <v>2426</v>
      </c>
      <c r="C567" s="758" t="s">
        <v>2427</v>
      </c>
      <c r="D567" s="758" t="s">
        <v>2428</v>
      </c>
      <c r="E567" s="679">
        <v>359614541026386</v>
      </c>
      <c r="F567" s="758" t="s">
        <v>2859</v>
      </c>
      <c r="G567" s="757">
        <v>990</v>
      </c>
      <c r="H567" s="796"/>
      <c r="I567" s="143">
        <f t="shared" si="5"/>
        <v>3559.05</v>
      </c>
    </row>
    <row r="568" spans="1:9">
      <c r="A568" s="758">
        <v>4</v>
      </c>
      <c r="B568" s="758" t="s">
        <v>2426</v>
      </c>
      <c r="C568" s="758" t="s">
        <v>2427</v>
      </c>
      <c r="D568" s="758" t="s">
        <v>2428</v>
      </c>
      <c r="E568" s="679">
        <v>353263421457737</v>
      </c>
      <c r="F568" s="758" t="s">
        <v>2447</v>
      </c>
      <c r="G568" s="757">
        <v>990</v>
      </c>
      <c r="H568" s="796"/>
      <c r="I568" s="143">
        <f t="shared" si="5"/>
        <v>3559.05</v>
      </c>
    </row>
    <row r="569" spans="1:9">
      <c r="A569" s="758">
        <v>5</v>
      </c>
      <c r="B569" s="758" t="s">
        <v>2426</v>
      </c>
      <c r="C569" s="758" t="s">
        <v>2427</v>
      </c>
      <c r="D569" s="758" t="s">
        <v>2428</v>
      </c>
      <c r="E569" s="679">
        <v>356188162000346</v>
      </c>
      <c r="F569" s="758" t="s">
        <v>2447</v>
      </c>
      <c r="G569" s="757">
        <v>990</v>
      </c>
      <c r="H569" s="796"/>
      <c r="I569" s="143">
        <f t="shared" si="5"/>
        <v>3559.05</v>
      </c>
    </row>
    <row r="570" spans="1:9">
      <c r="A570" s="758">
        <v>6</v>
      </c>
      <c r="B570" s="758" t="s">
        <v>2426</v>
      </c>
      <c r="C570" s="758" t="s">
        <v>2427</v>
      </c>
      <c r="D570" s="758" t="s">
        <v>2428</v>
      </c>
      <c r="E570" s="679">
        <v>356188161539617</v>
      </c>
      <c r="F570" s="758" t="s">
        <v>2447</v>
      </c>
      <c r="G570" s="757">
        <v>990</v>
      </c>
      <c r="H570" s="796"/>
      <c r="I570" s="143">
        <f t="shared" si="5"/>
        <v>3559.05</v>
      </c>
    </row>
    <row r="571" spans="1:9">
      <c r="A571" s="758">
        <v>7</v>
      </c>
      <c r="B571" s="758" t="s">
        <v>2426</v>
      </c>
      <c r="C571" s="758" t="s">
        <v>2427</v>
      </c>
      <c r="D571" s="758" t="s">
        <v>2428</v>
      </c>
      <c r="E571" s="679">
        <v>356188162016581</v>
      </c>
      <c r="F571" s="758" t="s">
        <v>2447</v>
      </c>
      <c r="G571" s="757">
        <v>990</v>
      </c>
      <c r="H571" s="796"/>
      <c r="I571" s="143">
        <f t="shared" si="5"/>
        <v>3559.05</v>
      </c>
    </row>
    <row r="572" spans="1:9">
      <c r="A572" s="758">
        <v>8</v>
      </c>
      <c r="B572" s="758" t="s">
        <v>2426</v>
      </c>
      <c r="C572" s="758" t="s">
        <v>2427</v>
      </c>
      <c r="D572" s="758" t="s">
        <v>2428</v>
      </c>
      <c r="E572" s="679">
        <v>355224254396572</v>
      </c>
      <c r="F572" s="758" t="s">
        <v>2447</v>
      </c>
      <c r="G572" s="757">
        <v>990</v>
      </c>
      <c r="H572" s="796"/>
      <c r="I572" s="143">
        <f t="shared" si="5"/>
        <v>3559.05</v>
      </c>
    </row>
    <row r="573" spans="1:9">
      <c r="A573" s="758">
        <v>9</v>
      </c>
      <c r="B573" s="758" t="s">
        <v>2426</v>
      </c>
      <c r="C573" s="758" t="s">
        <v>2427</v>
      </c>
      <c r="D573" s="758" t="s">
        <v>2428</v>
      </c>
      <c r="E573" s="679">
        <v>356605227196892</v>
      </c>
      <c r="F573" s="758" t="s">
        <v>2447</v>
      </c>
      <c r="G573" s="757">
        <v>990</v>
      </c>
      <c r="H573" s="796"/>
      <c r="I573" s="143">
        <f t="shared" si="5"/>
        <v>3559.05</v>
      </c>
    </row>
    <row r="574" spans="1:9">
      <c r="A574" s="758">
        <v>10</v>
      </c>
      <c r="B574" s="758" t="s">
        <v>2426</v>
      </c>
      <c r="C574" s="758" t="s">
        <v>2427</v>
      </c>
      <c r="D574" s="758" t="s">
        <v>2428</v>
      </c>
      <c r="E574" s="679">
        <v>355224254126243</v>
      </c>
      <c r="F574" s="758" t="s">
        <v>2447</v>
      </c>
      <c r="G574" s="757">
        <v>990</v>
      </c>
      <c r="H574" s="796"/>
      <c r="I574" s="143">
        <f t="shared" si="5"/>
        <v>3559.05</v>
      </c>
    </row>
    <row r="575" spans="1:9">
      <c r="A575" s="758">
        <v>11</v>
      </c>
      <c r="B575" s="758" t="s">
        <v>2426</v>
      </c>
      <c r="C575" s="758" t="s">
        <v>2427</v>
      </c>
      <c r="D575" s="758" t="s">
        <v>2428</v>
      </c>
      <c r="E575" s="679">
        <v>358051323674557</v>
      </c>
      <c r="F575" s="758" t="s">
        <v>2447</v>
      </c>
      <c r="G575" s="757">
        <v>990</v>
      </c>
      <c r="H575" s="796"/>
      <c r="I575" s="143">
        <f t="shared" si="5"/>
        <v>3559.05</v>
      </c>
    </row>
    <row r="576" spans="1:9">
      <c r="A576" s="758">
        <v>12</v>
      </c>
      <c r="B576" s="758" t="s">
        <v>2426</v>
      </c>
      <c r="C576" s="758" t="s">
        <v>2427</v>
      </c>
      <c r="D576" s="758" t="s">
        <v>2428</v>
      </c>
      <c r="E576" s="679">
        <v>359614547609045</v>
      </c>
      <c r="F576" s="758" t="s">
        <v>2447</v>
      </c>
      <c r="G576" s="757">
        <v>990</v>
      </c>
      <c r="H576" s="796"/>
      <c r="I576" s="143">
        <f t="shared" si="5"/>
        <v>3559.05</v>
      </c>
    </row>
    <row r="577" spans="1:9">
      <c r="A577" s="758">
        <v>13</v>
      </c>
      <c r="B577" s="758" t="s">
        <v>2426</v>
      </c>
      <c r="C577" s="758" t="s">
        <v>2427</v>
      </c>
      <c r="D577" s="758" t="s">
        <v>2428</v>
      </c>
      <c r="E577" s="679">
        <v>355224254059345</v>
      </c>
      <c r="F577" s="758" t="s">
        <v>2447</v>
      </c>
      <c r="G577" s="757">
        <v>990</v>
      </c>
      <c r="H577" s="796"/>
      <c r="I577" s="143">
        <f t="shared" si="5"/>
        <v>3559.05</v>
      </c>
    </row>
    <row r="578" spans="1:9">
      <c r="A578" s="758">
        <v>14</v>
      </c>
      <c r="B578" s="758" t="s">
        <v>2426</v>
      </c>
      <c r="C578" s="758" t="s">
        <v>2427</v>
      </c>
      <c r="D578" s="758" t="s">
        <v>2428</v>
      </c>
      <c r="E578" s="679">
        <v>355224254042200</v>
      </c>
      <c r="F578" s="758" t="s">
        <v>2447</v>
      </c>
      <c r="G578" s="757">
        <v>990</v>
      </c>
      <c r="H578" s="796"/>
      <c r="I578" s="143">
        <f t="shared" si="5"/>
        <v>3559.05</v>
      </c>
    </row>
    <row r="579" spans="1:9">
      <c r="A579" s="758">
        <v>15</v>
      </c>
      <c r="B579" s="758" t="s">
        <v>2426</v>
      </c>
      <c r="C579" s="758" t="s">
        <v>2427</v>
      </c>
      <c r="D579" s="758" t="s">
        <v>2428</v>
      </c>
      <c r="E579" s="679">
        <v>356188162319639</v>
      </c>
      <c r="F579" s="758" t="s">
        <v>2447</v>
      </c>
      <c r="G579" s="757">
        <v>990</v>
      </c>
      <c r="H579" s="796"/>
      <c r="I579" s="143">
        <f t="shared" si="5"/>
        <v>3559.05</v>
      </c>
    </row>
    <row r="580" spans="1:9">
      <c r="A580" s="758">
        <v>16</v>
      </c>
      <c r="B580" s="758" t="s">
        <v>2426</v>
      </c>
      <c r="C580" s="758" t="s">
        <v>2427</v>
      </c>
      <c r="D580" s="758" t="s">
        <v>2428</v>
      </c>
      <c r="E580" s="679">
        <v>356188161511251</v>
      </c>
      <c r="F580" s="758" t="s">
        <v>2447</v>
      </c>
      <c r="G580" s="757">
        <v>990</v>
      </c>
      <c r="H580" s="796"/>
      <c r="I580" s="143">
        <f t="shared" si="5"/>
        <v>3559.05</v>
      </c>
    </row>
    <row r="581" spans="1:9">
      <c r="A581" s="758">
        <v>17</v>
      </c>
      <c r="B581" s="758" t="s">
        <v>2426</v>
      </c>
      <c r="C581" s="758" t="s">
        <v>2526</v>
      </c>
      <c r="D581" s="758" t="s">
        <v>2428</v>
      </c>
      <c r="E581" s="679">
        <v>356188168834524</v>
      </c>
      <c r="F581" s="758" t="s">
        <v>2447</v>
      </c>
      <c r="G581" s="757">
        <v>960</v>
      </c>
      <c r="H581" s="796"/>
      <c r="I581" s="143">
        <f t="shared" si="5"/>
        <v>3451.2000000000003</v>
      </c>
    </row>
    <row r="582" spans="1:9">
      <c r="A582" s="758">
        <v>18</v>
      </c>
      <c r="B582" s="758" t="s">
        <v>2426</v>
      </c>
      <c r="C582" s="758" t="s">
        <v>2526</v>
      </c>
      <c r="D582" s="758" t="s">
        <v>2428</v>
      </c>
      <c r="E582" s="679">
        <v>356188168047309</v>
      </c>
      <c r="F582" s="758" t="s">
        <v>2447</v>
      </c>
      <c r="G582" s="757">
        <v>960</v>
      </c>
      <c r="H582" s="796"/>
      <c r="I582" s="143">
        <f t="shared" si="5"/>
        <v>3451.2000000000003</v>
      </c>
    </row>
    <row r="583" spans="1:9">
      <c r="A583" s="758">
        <v>19</v>
      </c>
      <c r="B583" s="758" t="s">
        <v>2426</v>
      </c>
      <c r="C583" s="758" t="s">
        <v>2526</v>
      </c>
      <c r="D583" s="758" t="s">
        <v>2428</v>
      </c>
      <c r="E583" s="765">
        <v>350889868206576</v>
      </c>
      <c r="F583" s="758" t="s">
        <v>2447</v>
      </c>
      <c r="G583" s="757">
        <v>960</v>
      </c>
      <c r="H583" s="796"/>
      <c r="I583" s="143">
        <f t="shared" si="5"/>
        <v>3451.2000000000003</v>
      </c>
    </row>
    <row r="584" spans="1:9">
      <c r="A584" s="758">
        <v>20</v>
      </c>
      <c r="B584" s="758" t="s">
        <v>2426</v>
      </c>
      <c r="C584" s="758" t="s">
        <v>2526</v>
      </c>
      <c r="D584" s="758" t="s">
        <v>2428</v>
      </c>
      <c r="E584" s="679">
        <v>356188168060328</v>
      </c>
      <c r="F584" s="758" t="s">
        <v>2447</v>
      </c>
      <c r="G584" s="757">
        <v>960</v>
      </c>
      <c r="H584" s="796"/>
      <c r="I584" s="143">
        <f t="shared" si="5"/>
        <v>3451.2000000000003</v>
      </c>
    </row>
    <row r="585" spans="1:9">
      <c r="A585" s="758">
        <v>21</v>
      </c>
      <c r="B585" s="758" t="s">
        <v>2426</v>
      </c>
      <c r="C585" s="758" t="s">
        <v>2526</v>
      </c>
      <c r="D585" s="758" t="s">
        <v>2428</v>
      </c>
      <c r="E585" s="679">
        <v>358482498577160</v>
      </c>
      <c r="F585" s="758" t="s">
        <v>2447</v>
      </c>
      <c r="G585" s="757">
        <v>960</v>
      </c>
      <c r="H585" s="796"/>
      <c r="I585" s="143">
        <f t="shared" si="5"/>
        <v>3451.2000000000003</v>
      </c>
    </row>
    <row r="586" spans="1:9">
      <c r="A586" s="758">
        <v>22</v>
      </c>
      <c r="B586" s="758" t="s">
        <v>2426</v>
      </c>
      <c r="C586" s="758" t="s">
        <v>2526</v>
      </c>
      <c r="D586" s="758" t="s">
        <v>2428</v>
      </c>
      <c r="E586" s="679">
        <v>356188168406505</v>
      </c>
      <c r="F586" s="758" t="s">
        <v>2447</v>
      </c>
      <c r="G586" s="757">
        <v>960</v>
      </c>
      <c r="H586" s="796"/>
      <c r="I586" s="143">
        <f t="shared" si="5"/>
        <v>3451.2000000000003</v>
      </c>
    </row>
    <row r="587" spans="1:9">
      <c r="A587" s="758">
        <v>23</v>
      </c>
      <c r="B587" s="758" t="s">
        <v>2426</v>
      </c>
      <c r="C587" s="758" t="s">
        <v>2526</v>
      </c>
      <c r="D587" s="758" t="s">
        <v>2428</v>
      </c>
      <c r="E587" s="679">
        <v>356188168659723</v>
      </c>
      <c r="F587" s="758" t="s">
        <v>2447</v>
      </c>
      <c r="G587" s="757">
        <v>960</v>
      </c>
      <c r="H587" s="796"/>
      <c r="I587" s="143">
        <f t="shared" si="5"/>
        <v>3451.2000000000003</v>
      </c>
    </row>
    <row r="588" spans="1:9">
      <c r="A588" s="758">
        <v>24</v>
      </c>
      <c r="B588" s="758" t="s">
        <v>2426</v>
      </c>
      <c r="C588" s="758" t="s">
        <v>2526</v>
      </c>
      <c r="D588" s="758" t="s">
        <v>2428</v>
      </c>
      <c r="E588" s="679">
        <v>356605227804917</v>
      </c>
      <c r="F588" s="757"/>
      <c r="G588" s="757">
        <v>960</v>
      </c>
      <c r="H588" s="796"/>
      <c r="I588" s="143">
        <f t="shared" si="5"/>
        <v>3451.2000000000003</v>
      </c>
    </row>
    <row r="589" spans="1:9">
      <c r="A589" s="758">
        <v>25</v>
      </c>
      <c r="B589" s="758" t="s">
        <v>2426</v>
      </c>
      <c r="C589" s="758" t="s">
        <v>2526</v>
      </c>
      <c r="D589" s="758" t="s">
        <v>2428</v>
      </c>
      <c r="E589" s="679">
        <v>356188168004102</v>
      </c>
      <c r="F589" s="758" t="s">
        <v>2447</v>
      </c>
      <c r="G589" s="757">
        <v>960</v>
      </c>
      <c r="H589" s="796"/>
      <c r="I589" s="143">
        <f t="shared" si="5"/>
        <v>3451.2000000000003</v>
      </c>
    </row>
    <row r="590" spans="1:9">
      <c r="A590" s="758">
        <v>26</v>
      </c>
      <c r="B590" s="758" t="s">
        <v>2426</v>
      </c>
      <c r="C590" s="758" t="s">
        <v>2526</v>
      </c>
      <c r="D590" s="758" t="s">
        <v>2428</v>
      </c>
      <c r="E590" s="679">
        <v>356188168480963</v>
      </c>
      <c r="F590" s="758" t="s">
        <v>2447</v>
      </c>
      <c r="G590" s="757">
        <v>960</v>
      </c>
      <c r="H590" s="796"/>
      <c r="I590" s="143">
        <f t="shared" si="5"/>
        <v>3451.2000000000003</v>
      </c>
    </row>
    <row r="591" spans="1:9">
      <c r="A591" s="758">
        <v>27</v>
      </c>
      <c r="B591" s="758" t="s">
        <v>2426</v>
      </c>
      <c r="C591" s="758" t="s">
        <v>2526</v>
      </c>
      <c r="D591" s="758" t="s">
        <v>2428</v>
      </c>
      <c r="E591" s="679">
        <v>350889868584295</v>
      </c>
      <c r="F591" s="758" t="s">
        <v>2447</v>
      </c>
      <c r="G591" s="757">
        <v>960</v>
      </c>
      <c r="H591" s="796"/>
      <c r="I591" s="143">
        <f t="shared" si="5"/>
        <v>3451.2000000000003</v>
      </c>
    </row>
    <row r="592" spans="1:9">
      <c r="A592" s="758">
        <v>28</v>
      </c>
      <c r="B592" s="758" t="s">
        <v>2426</v>
      </c>
      <c r="C592" s="758" t="s">
        <v>2526</v>
      </c>
      <c r="D592" s="758" t="s">
        <v>2428</v>
      </c>
      <c r="E592" s="679">
        <v>356188168459470</v>
      </c>
      <c r="F592" s="758" t="s">
        <v>2447</v>
      </c>
      <c r="G592" s="757">
        <v>960</v>
      </c>
      <c r="H592" s="796"/>
      <c r="I592" s="143">
        <f t="shared" si="5"/>
        <v>3451.2000000000003</v>
      </c>
    </row>
    <row r="593" spans="1:9">
      <c r="A593" s="758">
        <v>29</v>
      </c>
      <c r="B593" s="758" t="s">
        <v>2426</v>
      </c>
      <c r="C593" s="758" t="s">
        <v>2526</v>
      </c>
      <c r="D593" s="758" t="s">
        <v>2428</v>
      </c>
      <c r="E593" s="679">
        <v>356605227145451</v>
      </c>
      <c r="F593" s="757"/>
      <c r="G593" s="757">
        <v>890</v>
      </c>
      <c r="H593" s="796"/>
      <c r="I593" s="143">
        <f t="shared" si="5"/>
        <v>3199.55</v>
      </c>
    </row>
    <row r="594" spans="1:9">
      <c r="A594" s="758">
        <v>30</v>
      </c>
      <c r="B594" s="758" t="s">
        <v>2426</v>
      </c>
      <c r="C594" s="758" t="s">
        <v>2429</v>
      </c>
      <c r="D594" s="758" t="s">
        <v>2428</v>
      </c>
      <c r="E594" s="679">
        <v>355224254159822</v>
      </c>
      <c r="F594" s="758" t="s">
        <v>1121</v>
      </c>
      <c r="G594" s="757">
        <v>940</v>
      </c>
      <c r="H594" s="796"/>
      <c r="I594" s="143">
        <f t="shared" si="5"/>
        <v>3379.3</v>
      </c>
    </row>
    <row r="595" spans="1:9">
      <c r="A595" s="758">
        <v>31</v>
      </c>
      <c r="B595" s="758" t="s">
        <v>2426</v>
      </c>
      <c r="C595" s="758" t="s">
        <v>2429</v>
      </c>
      <c r="D595" s="758" t="s">
        <v>2428</v>
      </c>
      <c r="E595" s="679">
        <v>350599860287975</v>
      </c>
      <c r="F595" s="758" t="s">
        <v>1121</v>
      </c>
      <c r="G595" s="757">
        <v>940</v>
      </c>
      <c r="H595" s="796"/>
      <c r="I595" s="143">
        <f t="shared" si="5"/>
        <v>3379.3</v>
      </c>
    </row>
    <row r="596" spans="1:9">
      <c r="A596" s="758">
        <v>32</v>
      </c>
      <c r="B596" s="758" t="s">
        <v>2426</v>
      </c>
      <c r="C596" s="758" t="s">
        <v>2429</v>
      </c>
      <c r="D596" s="758" t="s">
        <v>2428</v>
      </c>
      <c r="E596" s="679">
        <v>355224258284154</v>
      </c>
      <c r="F596" s="758" t="s">
        <v>1121</v>
      </c>
      <c r="G596" s="757">
        <v>940</v>
      </c>
      <c r="H596" s="796"/>
      <c r="I596" s="143">
        <f t="shared" si="5"/>
        <v>3379.3</v>
      </c>
    </row>
    <row r="597" spans="1:9">
      <c r="A597" s="758">
        <v>33</v>
      </c>
      <c r="B597" s="758" t="s">
        <v>2426</v>
      </c>
      <c r="C597" s="758" t="s">
        <v>2429</v>
      </c>
      <c r="D597" s="758" t="s">
        <v>2428</v>
      </c>
      <c r="E597" s="679">
        <v>350599860045001</v>
      </c>
      <c r="F597" s="758" t="s">
        <v>1121</v>
      </c>
      <c r="G597" s="757">
        <v>940</v>
      </c>
      <c r="H597" s="796"/>
      <c r="I597" s="143">
        <f t="shared" si="5"/>
        <v>3379.3</v>
      </c>
    </row>
    <row r="598" spans="1:9">
      <c r="A598" s="758">
        <v>34</v>
      </c>
      <c r="B598" s="758" t="s">
        <v>2426</v>
      </c>
      <c r="C598" s="758" t="s">
        <v>2429</v>
      </c>
      <c r="D598" s="758" t="s">
        <v>2428</v>
      </c>
      <c r="E598" s="679">
        <v>350599865603093</v>
      </c>
      <c r="F598" s="758" t="s">
        <v>2859</v>
      </c>
      <c r="G598" s="757">
        <v>1000</v>
      </c>
      <c r="H598" s="796"/>
      <c r="I598" s="143">
        <f t="shared" si="5"/>
        <v>3595</v>
      </c>
    </row>
    <row r="599" spans="1:9">
      <c r="A599" s="758">
        <v>35</v>
      </c>
      <c r="B599" s="758" t="s">
        <v>2465</v>
      </c>
      <c r="C599" s="758" t="s">
        <v>2449</v>
      </c>
      <c r="D599" s="758" t="s">
        <v>2442</v>
      </c>
      <c r="E599" s="679">
        <v>359655271280842</v>
      </c>
      <c r="F599" s="757"/>
      <c r="G599" s="757">
        <v>340</v>
      </c>
      <c r="H599" s="796"/>
      <c r="I599" s="143">
        <f t="shared" si="5"/>
        <v>1222.3</v>
      </c>
    </row>
    <row r="600" spans="1:9">
      <c r="A600" s="758">
        <v>36</v>
      </c>
      <c r="B600" s="758" t="s">
        <v>2465</v>
      </c>
      <c r="C600" s="758" t="s">
        <v>2429</v>
      </c>
      <c r="D600" s="758" t="s">
        <v>2442</v>
      </c>
      <c r="E600" s="679">
        <v>352302617760784</v>
      </c>
      <c r="F600" s="757"/>
      <c r="G600" s="757">
        <v>340</v>
      </c>
      <c r="H600" s="796"/>
      <c r="I600" s="143">
        <f t="shared" si="5"/>
        <v>1222.3</v>
      </c>
    </row>
    <row r="601" spans="1:9">
      <c r="A601" s="758">
        <v>37</v>
      </c>
      <c r="B601" s="758" t="s">
        <v>2480</v>
      </c>
      <c r="C601" s="758" t="s">
        <v>2550</v>
      </c>
      <c r="D601" s="758" t="s">
        <v>2482</v>
      </c>
      <c r="E601" s="679">
        <v>358135794891228</v>
      </c>
      <c r="F601" s="757"/>
      <c r="G601" s="757">
        <v>650</v>
      </c>
      <c r="H601" s="796"/>
      <c r="I601" s="143">
        <f t="shared" si="5"/>
        <v>2336.75</v>
      </c>
    </row>
    <row r="602" spans="1:9">
      <c r="A602" s="758">
        <v>38</v>
      </c>
      <c r="B602" s="758" t="s">
        <v>2480</v>
      </c>
      <c r="C602" s="758" t="s">
        <v>2550</v>
      </c>
      <c r="D602" s="758" t="s">
        <v>2482</v>
      </c>
      <c r="E602" s="679">
        <v>353938643115292</v>
      </c>
      <c r="F602" s="757"/>
      <c r="G602" s="757">
        <v>650</v>
      </c>
      <c r="H602" s="796"/>
      <c r="I602" s="143">
        <f t="shared" si="5"/>
        <v>2336.75</v>
      </c>
    </row>
    <row r="603" spans="1:9">
      <c r="A603" s="758">
        <v>39</v>
      </c>
      <c r="B603" s="758" t="s">
        <v>2480</v>
      </c>
      <c r="C603" s="758" t="s">
        <v>2860</v>
      </c>
      <c r="D603" s="758" t="s">
        <v>2482</v>
      </c>
      <c r="E603" s="679">
        <v>356187982451119</v>
      </c>
      <c r="F603" s="757"/>
      <c r="G603" s="757">
        <v>650</v>
      </c>
      <c r="H603" s="796"/>
      <c r="I603" s="143">
        <f t="shared" si="5"/>
        <v>2336.75</v>
      </c>
    </row>
    <row r="604" spans="1:9">
      <c r="A604" s="758">
        <v>40</v>
      </c>
      <c r="B604" s="758" t="s">
        <v>2480</v>
      </c>
      <c r="C604" s="758" t="s">
        <v>2539</v>
      </c>
      <c r="D604" s="758" t="s">
        <v>2482</v>
      </c>
      <c r="E604" s="679">
        <v>358135790839023</v>
      </c>
      <c r="F604" s="757"/>
      <c r="G604" s="757">
        <v>650</v>
      </c>
      <c r="H604" s="796"/>
      <c r="I604" s="143">
        <f t="shared" si="5"/>
        <v>2336.75</v>
      </c>
    </row>
    <row r="605" spans="1:9">
      <c r="A605" s="758">
        <v>41</v>
      </c>
      <c r="B605" s="758" t="s">
        <v>2694</v>
      </c>
      <c r="C605" s="757"/>
      <c r="D605" s="758" t="s">
        <v>2430</v>
      </c>
      <c r="E605" s="679" t="s">
        <v>2861</v>
      </c>
      <c r="F605" s="757"/>
      <c r="G605" s="757">
        <v>425</v>
      </c>
      <c r="H605" s="796"/>
      <c r="I605" s="143">
        <f t="shared" si="5"/>
        <v>1527.875</v>
      </c>
    </row>
    <row r="606" spans="1:9">
      <c r="A606" s="758">
        <v>42</v>
      </c>
      <c r="B606" s="758" t="s">
        <v>2694</v>
      </c>
      <c r="C606" s="757"/>
      <c r="D606" s="758" t="s">
        <v>2430</v>
      </c>
      <c r="E606" s="679" t="s">
        <v>2862</v>
      </c>
      <c r="F606" s="757"/>
      <c r="G606" s="757">
        <v>425</v>
      </c>
      <c r="H606" s="796"/>
      <c r="I606" s="143">
        <f t="shared" si="5"/>
        <v>1527.875</v>
      </c>
    </row>
    <row r="607" spans="1:9">
      <c r="A607" s="758">
        <v>43</v>
      </c>
      <c r="B607" s="758" t="s">
        <v>2694</v>
      </c>
      <c r="C607" s="757"/>
      <c r="D607" s="758" t="s">
        <v>2430</v>
      </c>
      <c r="E607" s="679" t="s">
        <v>2863</v>
      </c>
      <c r="F607" s="757"/>
      <c r="G607" s="757">
        <v>425</v>
      </c>
      <c r="H607" s="796"/>
      <c r="I607" s="143">
        <f t="shared" si="5"/>
        <v>1527.875</v>
      </c>
    </row>
    <row r="608" spans="1:9">
      <c r="A608" s="758">
        <v>44</v>
      </c>
      <c r="B608" s="758" t="s">
        <v>2694</v>
      </c>
      <c r="C608" s="757"/>
      <c r="D608" s="758" t="s">
        <v>2430</v>
      </c>
      <c r="E608" s="679" t="s">
        <v>2864</v>
      </c>
      <c r="F608" s="757"/>
      <c r="G608" s="757">
        <v>425</v>
      </c>
      <c r="H608" s="796"/>
      <c r="I608" s="143">
        <f t="shared" si="5"/>
        <v>1527.875</v>
      </c>
    </row>
    <row r="609" spans="1:9">
      <c r="A609" s="758">
        <v>45</v>
      </c>
      <c r="B609" s="758" t="s">
        <v>2699</v>
      </c>
      <c r="C609" s="758" t="s">
        <v>2865</v>
      </c>
      <c r="D609" s="757"/>
      <c r="E609" s="679" t="s">
        <v>2866</v>
      </c>
      <c r="F609" s="757"/>
      <c r="G609" s="757">
        <v>400</v>
      </c>
      <c r="H609" s="796"/>
      <c r="I609" s="143">
        <f t="shared" si="5"/>
        <v>1438</v>
      </c>
    </row>
    <row r="610" spans="1:9">
      <c r="A610" s="758">
        <v>46</v>
      </c>
      <c r="B610" s="758" t="s">
        <v>2500</v>
      </c>
      <c r="C610" s="758" t="s">
        <v>2867</v>
      </c>
      <c r="D610" s="757"/>
      <c r="E610" s="679" t="s">
        <v>2868</v>
      </c>
      <c r="F610" s="757"/>
      <c r="G610" s="757">
        <v>300</v>
      </c>
      <c r="H610" s="796"/>
      <c r="I610" s="143">
        <f t="shared" si="5"/>
        <v>1078.5</v>
      </c>
    </row>
    <row r="611" spans="1:9">
      <c r="A611" s="758">
        <v>47</v>
      </c>
      <c r="B611" s="758" t="s">
        <v>2500</v>
      </c>
      <c r="C611" s="758" t="s">
        <v>2867</v>
      </c>
      <c r="D611" s="757"/>
      <c r="E611" s="679" t="s">
        <v>2869</v>
      </c>
      <c r="F611" s="757"/>
      <c r="G611" s="757">
        <v>300</v>
      </c>
      <c r="H611" s="796"/>
      <c r="I611" s="143">
        <f t="shared" si="5"/>
        <v>1078.5</v>
      </c>
    </row>
    <row r="612" spans="1:9">
      <c r="A612" s="758">
        <v>48</v>
      </c>
      <c r="B612" s="758" t="s">
        <v>2500</v>
      </c>
      <c r="C612" s="758" t="s">
        <v>2867</v>
      </c>
      <c r="D612" s="757"/>
      <c r="E612" s="679" t="s">
        <v>2870</v>
      </c>
      <c r="F612" s="757"/>
      <c r="G612" s="757">
        <v>300</v>
      </c>
      <c r="H612" s="796"/>
      <c r="I612" s="143">
        <f t="shared" si="5"/>
        <v>1078.5</v>
      </c>
    </row>
    <row r="613" spans="1:9">
      <c r="A613" s="758">
        <v>49</v>
      </c>
      <c r="B613" s="758" t="s">
        <v>2500</v>
      </c>
      <c r="C613" s="758" t="s">
        <v>2867</v>
      </c>
      <c r="D613" s="757"/>
      <c r="E613" s="679" t="s">
        <v>2871</v>
      </c>
      <c r="F613" s="757"/>
      <c r="G613" s="757">
        <v>300</v>
      </c>
      <c r="H613" s="796"/>
      <c r="I613" s="143">
        <f t="shared" si="5"/>
        <v>1078.5</v>
      </c>
    </row>
    <row r="614" spans="1:9">
      <c r="A614" s="758">
        <v>50</v>
      </c>
      <c r="B614" s="758" t="s">
        <v>2503</v>
      </c>
      <c r="C614" s="758" t="s">
        <v>2501</v>
      </c>
      <c r="D614" s="757"/>
      <c r="E614" s="679" t="s">
        <v>2872</v>
      </c>
      <c r="F614" s="757"/>
      <c r="G614" s="757">
        <v>350</v>
      </c>
      <c r="H614" s="796"/>
      <c r="I614" s="143">
        <f t="shared" si="5"/>
        <v>1258.25</v>
      </c>
    </row>
    <row r="615" spans="1:9">
      <c r="A615" s="758">
        <v>51</v>
      </c>
      <c r="B615" s="758" t="s">
        <v>2503</v>
      </c>
      <c r="C615" s="758" t="s">
        <v>2501</v>
      </c>
      <c r="D615" s="757"/>
      <c r="E615" s="679" t="s">
        <v>2873</v>
      </c>
      <c r="F615" s="757"/>
      <c r="G615" s="757">
        <v>350</v>
      </c>
      <c r="H615" s="796"/>
      <c r="I615" s="143">
        <f t="shared" si="5"/>
        <v>1258.25</v>
      </c>
    </row>
    <row r="616" spans="1:9">
      <c r="A616" s="758">
        <v>52</v>
      </c>
      <c r="B616" s="758" t="s">
        <v>2503</v>
      </c>
      <c r="C616" s="758" t="s">
        <v>2501</v>
      </c>
      <c r="D616" s="757"/>
      <c r="E616" s="679" t="s">
        <v>2874</v>
      </c>
      <c r="F616" s="757"/>
      <c r="G616" s="757">
        <v>350</v>
      </c>
      <c r="H616" s="796"/>
      <c r="I616" s="143">
        <f t="shared" si="5"/>
        <v>1258.25</v>
      </c>
    </row>
    <row r="617" spans="1:9">
      <c r="A617" s="758">
        <v>53</v>
      </c>
      <c r="B617" s="758" t="s">
        <v>2503</v>
      </c>
      <c r="C617" s="758" t="s">
        <v>2501</v>
      </c>
      <c r="D617" s="757"/>
      <c r="E617" s="679" t="s">
        <v>2875</v>
      </c>
      <c r="F617" s="757"/>
      <c r="G617" s="757">
        <v>350</v>
      </c>
      <c r="H617" s="796"/>
      <c r="I617" s="143">
        <f t="shared" si="5"/>
        <v>1258.25</v>
      </c>
    </row>
    <row r="618" spans="1:9">
      <c r="A618" s="758">
        <v>54</v>
      </c>
      <c r="B618" s="758" t="s">
        <v>2503</v>
      </c>
      <c r="C618" s="758" t="s">
        <v>2876</v>
      </c>
      <c r="D618" s="757"/>
      <c r="E618" s="679" t="s">
        <v>2877</v>
      </c>
      <c r="F618" s="757"/>
      <c r="G618" s="757">
        <v>350</v>
      </c>
      <c r="H618" s="796"/>
      <c r="I618" s="143">
        <f t="shared" si="5"/>
        <v>1258.25</v>
      </c>
    </row>
    <row r="619" spans="1:9">
      <c r="A619" s="758">
        <v>55</v>
      </c>
      <c r="B619" s="758" t="s">
        <v>2503</v>
      </c>
      <c r="C619" s="758" t="s">
        <v>2876</v>
      </c>
      <c r="D619" s="757"/>
      <c r="E619" s="679" t="s">
        <v>2878</v>
      </c>
      <c r="F619" s="757"/>
      <c r="G619" s="757">
        <v>350</v>
      </c>
      <c r="H619" s="796"/>
      <c r="I619" s="143">
        <f t="shared" si="5"/>
        <v>1258.25</v>
      </c>
    </row>
    <row r="620" spans="1:9">
      <c r="A620" s="758">
        <v>56</v>
      </c>
      <c r="B620" s="758" t="s">
        <v>2503</v>
      </c>
      <c r="C620" s="758" t="s">
        <v>2876</v>
      </c>
      <c r="D620" s="757"/>
      <c r="E620" s="679" t="s">
        <v>2879</v>
      </c>
      <c r="F620" s="757"/>
      <c r="G620" s="757">
        <v>350</v>
      </c>
      <c r="H620" s="796"/>
      <c r="I620" s="143">
        <f t="shared" si="5"/>
        <v>1258.25</v>
      </c>
    </row>
    <row r="621" spans="1:9">
      <c r="A621" s="758">
        <v>57</v>
      </c>
      <c r="B621" s="758" t="s">
        <v>2509</v>
      </c>
      <c r="C621" s="758" t="s">
        <v>2867</v>
      </c>
      <c r="D621" s="757"/>
      <c r="E621" s="679" t="s">
        <v>2880</v>
      </c>
      <c r="F621" s="757"/>
      <c r="G621" s="757">
        <v>300</v>
      </c>
      <c r="H621" s="796"/>
      <c r="I621" s="143">
        <f t="shared" si="5"/>
        <v>1078.5</v>
      </c>
    </row>
    <row r="622" spans="1:9">
      <c r="A622" s="758">
        <v>58</v>
      </c>
      <c r="B622" s="758" t="s">
        <v>2509</v>
      </c>
      <c r="C622" s="758" t="s">
        <v>2867</v>
      </c>
      <c r="D622" s="757"/>
      <c r="E622" s="679" t="s">
        <v>2881</v>
      </c>
      <c r="F622" s="757"/>
      <c r="G622" s="757">
        <v>300</v>
      </c>
      <c r="H622" s="796"/>
      <c r="I622" s="143">
        <f t="shared" si="5"/>
        <v>1078.5</v>
      </c>
    </row>
    <row r="623" spans="1:9">
      <c r="A623" s="758">
        <v>59</v>
      </c>
      <c r="B623" s="758" t="s">
        <v>2509</v>
      </c>
      <c r="C623" s="758" t="s">
        <v>2867</v>
      </c>
      <c r="D623" s="757"/>
      <c r="E623" s="679" t="s">
        <v>2882</v>
      </c>
      <c r="F623" s="757"/>
      <c r="G623" s="757">
        <v>300</v>
      </c>
      <c r="H623" s="796"/>
      <c r="I623" s="143">
        <f t="shared" si="5"/>
        <v>1078.5</v>
      </c>
    </row>
    <row r="624" spans="1:9">
      <c r="A624" s="758">
        <v>60</v>
      </c>
      <c r="B624" s="758" t="s">
        <v>2509</v>
      </c>
      <c r="C624" s="758" t="s">
        <v>2510</v>
      </c>
      <c r="D624" s="757"/>
      <c r="E624" s="679" t="s">
        <v>2883</v>
      </c>
      <c r="F624" s="757"/>
      <c r="G624" s="757">
        <v>300</v>
      </c>
      <c r="H624" s="796"/>
      <c r="I624" s="143">
        <f t="shared" si="5"/>
        <v>1078.5</v>
      </c>
    </row>
    <row r="625" spans="1:9">
      <c r="A625" s="758">
        <v>61</v>
      </c>
      <c r="B625" s="758" t="s">
        <v>2509</v>
      </c>
      <c r="C625" s="758" t="s">
        <v>2510</v>
      </c>
      <c r="D625" s="757"/>
      <c r="E625" s="679" t="s">
        <v>2884</v>
      </c>
      <c r="F625" s="757"/>
      <c r="G625" s="757">
        <v>300</v>
      </c>
      <c r="H625" s="796"/>
      <c r="I625" s="143">
        <f t="shared" si="5"/>
        <v>1078.5</v>
      </c>
    </row>
    <row r="626" spans="1:9">
      <c r="A626" s="758">
        <v>62</v>
      </c>
      <c r="B626" s="758" t="s">
        <v>2509</v>
      </c>
      <c r="C626" s="758" t="s">
        <v>2510</v>
      </c>
      <c r="D626" s="757"/>
      <c r="E626" s="679" t="s">
        <v>2885</v>
      </c>
      <c r="F626" s="757"/>
      <c r="G626" s="757">
        <v>300</v>
      </c>
      <c r="H626" s="796"/>
      <c r="I626" s="143">
        <f t="shared" si="5"/>
        <v>1078.5</v>
      </c>
    </row>
    <row r="627" spans="1:9">
      <c r="A627" s="758">
        <v>63</v>
      </c>
      <c r="B627" s="758" t="s">
        <v>2509</v>
      </c>
      <c r="C627" s="758" t="s">
        <v>2510</v>
      </c>
      <c r="D627" s="757"/>
      <c r="E627" s="679" t="s">
        <v>2886</v>
      </c>
      <c r="F627" s="757"/>
      <c r="G627" s="757">
        <v>300</v>
      </c>
      <c r="H627" s="796"/>
      <c r="I627" s="143">
        <f t="shared" si="5"/>
        <v>1078.5</v>
      </c>
    </row>
    <row r="628" spans="1:9">
      <c r="A628" s="758">
        <v>64</v>
      </c>
      <c r="B628" s="758" t="s">
        <v>2509</v>
      </c>
      <c r="C628" s="758" t="s">
        <v>2510</v>
      </c>
      <c r="D628" s="757"/>
      <c r="E628" s="679" t="s">
        <v>2887</v>
      </c>
      <c r="F628" s="757"/>
      <c r="G628" s="757">
        <v>300</v>
      </c>
      <c r="H628" s="796"/>
      <c r="I628" s="143">
        <f t="shared" si="5"/>
        <v>1078.5</v>
      </c>
    </row>
    <row r="629" spans="1:9">
      <c r="A629" s="758">
        <v>65</v>
      </c>
      <c r="B629" s="758" t="s">
        <v>2888</v>
      </c>
      <c r="C629" s="758" t="s">
        <v>2501</v>
      </c>
      <c r="D629" s="757"/>
      <c r="E629" s="679" t="s">
        <v>2889</v>
      </c>
      <c r="F629" s="757"/>
      <c r="G629" s="757">
        <v>300</v>
      </c>
      <c r="H629" s="796"/>
      <c r="I629" s="143">
        <f t="shared" si="5"/>
        <v>1078.5</v>
      </c>
    </row>
    <row r="635" spans="1:9">
      <c r="A635" s="1434" t="s">
        <v>1</v>
      </c>
      <c r="B635" s="1434"/>
      <c r="C635" s="674" t="s">
        <v>2923</v>
      </c>
      <c r="D635" s="1446" t="s">
        <v>2926</v>
      </c>
      <c r="E635" s="1447"/>
      <c r="F635" s="1448"/>
    </row>
    <row r="636" spans="1:9">
      <c r="A636" s="1434" t="s">
        <v>2416</v>
      </c>
      <c r="B636" s="1434"/>
      <c r="C636" s="674" t="s">
        <v>2924</v>
      </c>
      <c r="D636" s="1449"/>
      <c r="E636" s="1450"/>
      <c r="F636" s="1451"/>
    </row>
    <row r="637" spans="1:9">
      <c r="A637" s="769"/>
      <c r="B637" s="769"/>
      <c r="C637" s="769"/>
      <c r="D637" s="1428" t="s">
        <v>2927</v>
      </c>
      <c r="E637" s="1429"/>
      <c r="F637" s="1430"/>
    </row>
    <row r="638" spans="1:9">
      <c r="A638" s="768" t="s">
        <v>2418</v>
      </c>
      <c r="B638" s="768" t="s">
        <v>2419</v>
      </c>
      <c r="C638" s="768" t="s">
        <v>2420</v>
      </c>
      <c r="D638" s="768" t="s">
        <v>2421</v>
      </c>
      <c r="E638" s="768" t="s">
        <v>2755</v>
      </c>
      <c r="F638" s="768" t="s">
        <v>2544</v>
      </c>
    </row>
    <row r="639" spans="1:9">
      <c r="A639" s="767">
        <v>1</v>
      </c>
      <c r="B639" s="767" t="s">
        <v>2426</v>
      </c>
      <c r="C639" s="767" t="s">
        <v>2427</v>
      </c>
      <c r="D639" s="767" t="s">
        <v>2428</v>
      </c>
      <c r="E639" s="679">
        <v>355450214360651</v>
      </c>
      <c r="F639" s="143">
        <v>3400</v>
      </c>
    </row>
    <row r="640" spans="1:9">
      <c r="A640" s="767">
        <v>2</v>
      </c>
      <c r="B640" s="767" t="s">
        <v>2426</v>
      </c>
      <c r="C640" s="767" t="s">
        <v>2427</v>
      </c>
      <c r="D640" s="767" t="s">
        <v>2428</v>
      </c>
      <c r="E640" s="679">
        <v>359614547225396</v>
      </c>
      <c r="F640" s="143">
        <v>3400</v>
      </c>
    </row>
    <row r="641" spans="1:6">
      <c r="A641" s="767">
        <v>3</v>
      </c>
      <c r="B641" s="767" t="s">
        <v>2480</v>
      </c>
      <c r="C641" s="767" t="s">
        <v>2550</v>
      </c>
      <c r="D641" s="767" t="s">
        <v>2482</v>
      </c>
      <c r="E641" s="679">
        <v>358135793601875</v>
      </c>
      <c r="F641" s="143">
        <v>2380</v>
      </c>
    </row>
    <row r="642" spans="1:6">
      <c r="A642" s="767">
        <v>4</v>
      </c>
      <c r="B642" s="767" t="s">
        <v>2480</v>
      </c>
      <c r="C642" s="767" t="s">
        <v>2550</v>
      </c>
      <c r="D642" s="767" t="s">
        <v>2482</v>
      </c>
      <c r="E642" s="679">
        <v>358135793093669</v>
      </c>
      <c r="F642" s="143">
        <v>2380</v>
      </c>
    </row>
    <row r="643" spans="1:6">
      <c r="A643" s="767">
        <v>5</v>
      </c>
      <c r="B643" s="767" t="s">
        <v>2480</v>
      </c>
      <c r="C643" s="767" t="s">
        <v>2550</v>
      </c>
      <c r="D643" s="767" t="s">
        <v>2482</v>
      </c>
      <c r="E643" s="679">
        <v>358135793727266</v>
      </c>
      <c r="F643" s="143">
        <v>2380</v>
      </c>
    </row>
    <row r="644" spans="1:6">
      <c r="A644" s="767">
        <v>6</v>
      </c>
      <c r="B644" s="767" t="s">
        <v>2480</v>
      </c>
      <c r="C644" s="767" t="s">
        <v>2538</v>
      </c>
      <c r="D644" s="767" t="s">
        <v>2482</v>
      </c>
      <c r="E644" s="679">
        <v>356187980824507</v>
      </c>
      <c r="F644" s="143">
        <v>2380</v>
      </c>
    </row>
    <row r="645" spans="1:6">
      <c r="A645" s="767">
        <v>7</v>
      </c>
      <c r="B645" s="767" t="s">
        <v>2480</v>
      </c>
      <c r="C645" s="767" t="s">
        <v>2925</v>
      </c>
      <c r="D645" s="767" t="s">
        <v>2482</v>
      </c>
      <c r="E645" s="679">
        <v>356187983748711</v>
      </c>
      <c r="F645" s="143">
        <v>2380</v>
      </c>
    </row>
    <row r="646" spans="1:6">
      <c r="A646" s="767">
        <v>8</v>
      </c>
      <c r="B646" s="767" t="s">
        <v>2480</v>
      </c>
      <c r="C646" s="767" t="s">
        <v>2925</v>
      </c>
      <c r="D646" s="767" t="s">
        <v>2482</v>
      </c>
      <c r="E646" s="679">
        <v>358135793441769</v>
      </c>
      <c r="F646" s="143">
        <v>2380</v>
      </c>
    </row>
    <row r="647" spans="1:6">
      <c r="A647" s="767">
        <v>9</v>
      </c>
      <c r="B647" s="767" t="s">
        <v>2480</v>
      </c>
      <c r="C647" s="767" t="s">
        <v>2925</v>
      </c>
      <c r="D647" s="767" t="s">
        <v>2482</v>
      </c>
      <c r="E647" s="679">
        <v>358135793303381</v>
      </c>
      <c r="F647" s="143">
        <v>2380</v>
      </c>
    </row>
    <row r="648" spans="1:6">
      <c r="A648" s="767">
        <v>10</v>
      </c>
      <c r="B648" s="767" t="s">
        <v>2480</v>
      </c>
      <c r="C648" s="767" t="s">
        <v>2539</v>
      </c>
      <c r="D648" s="767" t="s">
        <v>2482</v>
      </c>
      <c r="E648" s="679">
        <v>353938643610383</v>
      </c>
      <c r="F648" s="143">
        <v>2380</v>
      </c>
    </row>
    <row r="649" spans="1:6">
      <c r="A649" s="767">
        <v>11</v>
      </c>
      <c r="B649" s="767" t="s">
        <v>2639</v>
      </c>
      <c r="C649" s="767" t="s">
        <v>2498</v>
      </c>
      <c r="D649" s="767" t="s">
        <v>2641</v>
      </c>
      <c r="E649" s="679">
        <v>356865260785361</v>
      </c>
      <c r="F649" s="143">
        <v>1350</v>
      </c>
    </row>
    <row r="650" spans="1:6">
      <c r="A650" s="767">
        <v>12</v>
      </c>
      <c r="B650" s="767" t="s">
        <v>2483</v>
      </c>
      <c r="C650" s="767" t="s">
        <v>2485</v>
      </c>
      <c r="D650" s="767" t="s">
        <v>2484</v>
      </c>
      <c r="E650" s="679">
        <v>351117220036617</v>
      </c>
      <c r="F650" s="143">
        <v>900</v>
      </c>
    </row>
    <row r="651" spans="1:6">
      <c r="A651" s="767">
        <v>13</v>
      </c>
      <c r="B651" s="767" t="s">
        <v>2540</v>
      </c>
      <c r="C651" s="767" t="s">
        <v>2541</v>
      </c>
      <c r="D651" s="767" t="s">
        <v>2428</v>
      </c>
      <c r="E651" s="679">
        <v>356930604367183</v>
      </c>
      <c r="F651" s="143">
        <v>1860</v>
      </c>
    </row>
    <row r="652" spans="1:6">
      <c r="A652" s="767">
        <v>14</v>
      </c>
      <c r="B652" s="767" t="s">
        <v>2540</v>
      </c>
      <c r="C652" s="767" t="s">
        <v>2541</v>
      </c>
      <c r="D652" s="767" t="s">
        <v>2428</v>
      </c>
      <c r="E652" s="679">
        <v>356930604373199</v>
      </c>
      <c r="F652" s="143">
        <v>1860</v>
      </c>
    </row>
    <row r="653" spans="1:6">
      <c r="A653" s="767">
        <v>15</v>
      </c>
      <c r="B653" s="767" t="s">
        <v>2540</v>
      </c>
      <c r="C653" s="767" t="s">
        <v>2541</v>
      </c>
      <c r="D653" s="767" t="s">
        <v>2428</v>
      </c>
      <c r="E653" s="679">
        <v>356930604117083</v>
      </c>
      <c r="F653" s="143">
        <v>1860</v>
      </c>
    </row>
    <row r="654" spans="1:6">
      <c r="A654" s="767">
        <v>16</v>
      </c>
      <c r="B654" s="767" t="s">
        <v>2540</v>
      </c>
      <c r="C654" s="767" t="s">
        <v>2756</v>
      </c>
      <c r="D654" s="767" t="s">
        <v>2428</v>
      </c>
      <c r="E654" s="679">
        <v>356930604131365</v>
      </c>
      <c r="F654" s="143">
        <v>1860</v>
      </c>
    </row>
    <row r="655" spans="1:6">
      <c r="A655" s="767">
        <v>17</v>
      </c>
      <c r="B655" s="767" t="s">
        <v>2540</v>
      </c>
      <c r="C655" s="767" t="s">
        <v>2756</v>
      </c>
      <c r="D655" s="767" t="s">
        <v>2428</v>
      </c>
      <c r="E655" s="679">
        <v>356930604293926</v>
      </c>
      <c r="F655" s="143">
        <v>1860</v>
      </c>
    </row>
    <row r="656" spans="1:6">
      <c r="A656" s="767">
        <v>18</v>
      </c>
      <c r="B656" s="767" t="s">
        <v>2775</v>
      </c>
      <c r="C656" s="767" t="s">
        <v>2776</v>
      </c>
      <c r="D656" s="767" t="s">
        <v>2428</v>
      </c>
      <c r="E656" s="679">
        <v>355951903170012</v>
      </c>
      <c r="F656" s="143">
        <v>3100</v>
      </c>
    </row>
    <row r="662" spans="1:8" ht="14.45" customHeight="1">
      <c r="A662" s="1434" t="s">
        <v>1</v>
      </c>
      <c r="B662" s="1434"/>
      <c r="C662" s="673">
        <v>46083</v>
      </c>
      <c r="D662" s="1435" t="s">
        <v>2953</v>
      </c>
      <c r="E662" s="1436"/>
      <c r="F662" s="1436"/>
      <c r="G662" s="1437"/>
      <c r="H662" s="811"/>
    </row>
    <row r="663" spans="1:8" ht="14.45" customHeight="1">
      <c r="A663" s="1434" t="s">
        <v>2416</v>
      </c>
      <c r="B663" s="1434"/>
      <c r="C663" s="674" t="s">
        <v>2951</v>
      </c>
      <c r="D663" s="1438"/>
      <c r="E663" s="1439"/>
      <c r="F663" s="1439"/>
      <c r="G663" s="1440"/>
      <c r="H663" s="811"/>
    </row>
    <row r="664" spans="1:8">
      <c r="A664" s="777"/>
      <c r="B664" s="777"/>
      <c r="C664" s="777"/>
      <c r="D664" s="1428" t="s">
        <v>2545</v>
      </c>
      <c r="E664" s="1429"/>
      <c r="F664" s="1429"/>
      <c r="G664" s="1430"/>
      <c r="H664" s="816"/>
    </row>
    <row r="665" spans="1:8">
      <c r="A665" s="778" t="s">
        <v>2418</v>
      </c>
      <c r="B665" s="778" t="s">
        <v>2419</v>
      </c>
      <c r="C665" s="778" t="s">
        <v>2420</v>
      </c>
      <c r="D665" s="778" t="s">
        <v>2421</v>
      </c>
      <c r="E665" s="778" t="s">
        <v>2755</v>
      </c>
      <c r="F665" s="778" t="s">
        <v>2423</v>
      </c>
      <c r="G665" s="778" t="s">
        <v>2544</v>
      </c>
      <c r="H665" s="817"/>
    </row>
    <row r="666" spans="1:8">
      <c r="A666" s="776">
        <v>1</v>
      </c>
      <c r="B666" s="776" t="s">
        <v>2426</v>
      </c>
      <c r="C666" s="776" t="s">
        <v>2427</v>
      </c>
      <c r="D666" s="776" t="s">
        <v>2428</v>
      </c>
      <c r="E666" s="679">
        <v>350599869504909</v>
      </c>
      <c r="F666" s="775"/>
      <c r="G666" s="143">
        <v>3450</v>
      </c>
      <c r="H666" s="818"/>
    </row>
    <row r="667" spans="1:8">
      <c r="A667" s="776">
        <v>2</v>
      </c>
      <c r="B667" s="776" t="s">
        <v>2426</v>
      </c>
      <c r="C667" s="776" t="s">
        <v>2427</v>
      </c>
      <c r="D667" s="776" t="s">
        <v>2428</v>
      </c>
      <c r="E667" s="679">
        <v>356605227652662</v>
      </c>
      <c r="F667" s="775"/>
      <c r="G667" s="143">
        <v>3450</v>
      </c>
      <c r="H667" s="818"/>
    </row>
    <row r="668" spans="1:8">
      <c r="A668" s="776">
        <v>3</v>
      </c>
      <c r="B668" s="776" t="s">
        <v>2426</v>
      </c>
      <c r="C668" s="776" t="s">
        <v>2427</v>
      </c>
      <c r="D668" s="776" t="s">
        <v>2428</v>
      </c>
      <c r="E668" s="679">
        <v>353263426837701</v>
      </c>
      <c r="F668" s="775"/>
      <c r="G668" s="143">
        <v>3450</v>
      </c>
      <c r="H668" s="818"/>
    </row>
    <row r="669" spans="1:8">
      <c r="A669" s="776">
        <v>4</v>
      </c>
      <c r="B669" s="776" t="s">
        <v>2426</v>
      </c>
      <c r="C669" s="776" t="s">
        <v>2427</v>
      </c>
      <c r="D669" s="776" t="s">
        <v>2428</v>
      </c>
      <c r="E669" s="679">
        <v>350599864265969</v>
      </c>
      <c r="F669" s="776" t="s">
        <v>1121</v>
      </c>
      <c r="G669" s="143">
        <v>3450</v>
      </c>
      <c r="H669" s="818"/>
    </row>
    <row r="670" spans="1:8">
      <c r="A670" s="776">
        <v>5</v>
      </c>
      <c r="B670" s="776" t="s">
        <v>2426</v>
      </c>
      <c r="C670" s="776" t="s">
        <v>2427</v>
      </c>
      <c r="D670" s="776" t="s">
        <v>2428</v>
      </c>
      <c r="E670" s="679">
        <v>350599869739604</v>
      </c>
      <c r="F670" s="775"/>
      <c r="G670" s="143">
        <v>3450</v>
      </c>
      <c r="H670" s="818"/>
    </row>
    <row r="671" spans="1:8">
      <c r="A671" s="774">
        <v>6</v>
      </c>
      <c r="B671" s="774" t="s">
        <v>2426</v>
      </c>
      <c r="C671" s="774" t="s">
        <v>2427</v>
      </c>
      <c r="D671" s="774" t="s">
        <v>2428</v>
      </c>
      <c r="E671" s="407">
        <v>355224254853176</v>
      </c>
      <c r="F671" s="777"/>
      <c r="G671" s="682" t="s">
        <v>2554</v>
      </c>
      <c r="H671" s="819"/>
    </row>
    <row r="672" spans="1:8">
      <c r="A672" s="776">
        <v>7</v>
      </c>
      <c r="B672" s="776" t="s">
        <v>2426</v>
      </c>
      <c r="C672" s="776" t="s">
        <v>2526</v>
      </c>
      <c r="D672" s="776" t="s">
        <v>2428</v>
      </c>
      <c r="E672" s="679">
        <v>353263428008269</v>
      </c>
      <c r="F672" s="776" t="s">
        <v>1121</v>
      </c>
      <c r="G672" s="143">
        <v>3130</v>
      </c>
      <c r="H672" s="818"/>
    </row>
    <row r="673" spans="1:9">
      <c r="A673" s="776">
        <v>8</v>
      </c>
      <c r="B673" s="776" t="s">
        <v>2426</v>
      </c>
      <c r="C673" s="776" t="s">
        <v>2526</v>
      </c>
      <c r="D673" s="776" t="s">
        <v>2428</v>
      </c>
      <c r="E673" s="679">
        <v>350599865976879</v>
      </c>
      <c r="F673" s="775"/>
      <c r="G673" s="143">
        <v>3130</v>
      </c>
      <c r="H673" s="818"/>
    </row>
    <row r="674" spans="1:9">
      <c r="A674" s="776">
        <v>9</v>
      </c>
      <c r="B674" s="776" t="s">
        <v>2426</v>
      </c>
      <c r="C674" s="776" t="s">
        <v>2526</v>
      </c>
      <c r="D674" s="776" t="s">
        <v>2428</v>
      </c>
      <c r="E674" s="679">
        <v>357586348762284</v>
      </c>
      <c r="F674" s="775"/>
      <c r="G674" s="143">
        <v>3130</v>
      </c>
      <c r="H674" s="818"/>
    </row>
    <row r="675" spans="1:9">
      <c r="A675" s="776">
        <v>10</v>
      </c>
      <c r="B675" s="776" t="s">
        <v>2426</v>
      </c>
      <c r="C675" s="776" t="s">
        <v>2526</v>
      </c>
      <c r="D675" s="776" t="s">
        <v>2428</v>
      </c>
      <c r="E675" s="679">
        <v>355224251777493</v>
      </c>
      <c r="F675" s="775"/>
      <c r="G675" s="143">
        <v>3130</v>
      </c>
      <c r="H675" s="818"/>
    </row>
    <row r="676" spans="1:9">
      <c r="A676" s="776">
        <v>11</v>
      </c>
      <c r="B676" s="776" t="s">
        <v>2426</v>
      </c>
      <c r="C676" s="776" t="s">
        <v>2429</v>
      </c>
      <c r="D676" s="776" t="s">
        <v>2428</v>
      </c>
      <c r="E676" s="679">
        <v>357586348307940</v>
      </c>
      <c r="F676" s="775"/>
      <c r="G676" s="143">
        <v>3600</v>
      </c>
      <c r="H676" s="818"/>
    </row>
    <row r="677" spans="1:9">
      <c r="A677" s="776">
        <v>12</v>
      </c>
      <c r="B677" s="776" t="s">
        <v>2426</v>
      </c>
      <c r="C677" s="776" t="s">
        <v>2429</v>
      </c>
      <c r="D677" s="776" t="s">
        <v>2428</v>
      </c>
      <c r="E677" s="679">
        <v>357586348499325</v>
      </c>
      <c r="F677" s="776" t="s">
        <v>1121</v>
      </c>
      <c r="G677" s="143">
        <v>3600</v>
      </c>
      <c r="H677" s="818"/>
    </row>
    <row r="678" spans="1:9">
      <c r="A678" s="776">
        <v>13</v>
      </c>
      <c r="B678" s="776" t="s">
        <v>2527</v>
      </c>
      <c r="C678" s="776" t="s">
        <v>2427</v>
      </c>
      <c r="D678" s="776" t="s">
        <v>2428</v>
      </c>
      <c r="E678" s="679">
        <v>356250544736300</v>
      </c>
      <c r="F678" s="775"/>
      <c r="G678" s="143">
        <v>2730</v>
      </c>
      <c r="H678" s="818"/>
    </row>
    <row r="679" spans="1:9">
      <c r="A679" s="774">
        <v>14</v>
      </c>
      <c r="B679" s="774" t="s">
        <v>2527</v>
      </c>
      <c r="C679" s="774" t="s">
        <v>2427</v>
      </c>
      <c r="D679" s="774" t="s">
        <v>2428</v>
      </c>
      <c r="E679" s="407">
        <v>356250544907505</v>
      </c>
      <c r="F679" s="774" t="s">
        <v>1121</v>
      </c>
      <c r="G679" s="682" t="s">
        <v>2954</v>
      </c>
      <c r="H679" s="819"/>
    </row>
    <row r="680" spans="1:9">
      <c r="A680" s="776">
        <v>15</v>
      </c>
      <c r="B680" s="776" t="s">
        <v>2527</v>
      </c>
      <c r="C680" s="776" t="s">
        <v>2526</v>
      </c>
      <c r="D680" s="776" t="s">
        <v>2428</v>
      </c>
      <c r="E680" s="679">
        <v>355832519622440</v>
      </c>
      <c r="F680" s="776" t="s">
        <v>2957</v>
      </c>
      <c r="G680" s="143">
        <v>2350</v>
      </c>
      <c r="H680" s="818"/>
      <c r="I680" t="s">
        <v>952</v>
      </c>
    </row>
    <row r="681" spans="1:9">
      <c r="A681" s="774">
        <v>16</v>
      </c>
      <c r="B681" s="774" t="s">
        <v>2527</v>
      </c>
      <c r="C681" s="774" t="s">
        <v>2526</v>
      </c>
      <c r="D681" s="774" t="s">
        <v>2428</v>
      </c>
      <c r="E681" s="407">
        <v>355832519650607</v>
      </c>
      <c r="F681" s="774" t="s">
        <v>1121</v>
      </c>
      <c r="G681" s="682" t="s">
        <v>2954</v>
      </c>
      <c r="H681" s="819"/>
    </row>
    <row r="682" spans="1:9">
      <c r="A682" s="776">
        <v>17</v>
      </c>
      <c r="B682" s="776" t="s">
        <v>2527</v>
      </c>
      <c r="C682" s="776" t="s">
        <v>2526</v>
      </c>
      <c r="D682" s="776" t="s">
        <v>2428</v>
      </c>
      <c r="E682" s="679">
        <v>355832517114960</v>
      </c>
      <c r="F682" s="775"/>
      <c r="G682" s="143">
        <v>2500</v>
      </c>
      <c r="H682" s="818"/>
    </row>
    <row r="683" spans="1:9">
      <c r="A683" s="776">
        <v>18</v>
      </c>
      <c r="B683" s="776" t="s">
        <v>2527</v>
      </c>
      <c r="C683" s="776" t="s">
        <v>2526</v>
      </c>
      <c r="D683" s="776" t="s">
        <v>2428</v>
      </c>
      <c r="E683" s="679">
        <v>355832517794936</v>
      </c>
      <c r="F683" s="775"/>
      <c r="G683" s="680">
        <v>2500</v>
      </c>
      <c r="H683" s="820"/>
    </row>
    <row r="684" spans="1:9">
      <c r="A684" s="774">
        <v>19</v>
      </c>
      <c r="B684" s="774" t="s">
        <v>2527</v>
      </c>
      <c r="C684" s="774" t="s">
        <v>2429</v>
      </c>
      <c r="D684" s="774" t="s">
        <v>2428</v>
      </c>
      <c r="E684" s="407">
        <v>359477631121602</v>
      </c>
      <c r="F684" s="774" t="s">
        <v>1121</v>
      </c>
      <c r="G684" s="682" t="s">
        <v>2954</v>
      </c>
      <c r="H684" s="819"/>
    </row>
    <row r="685" spans="1:9">
      <c r="A685" s="776">
        <v>20</v>
      </c>
      <c r="B685" s="776" t="s">
        <v>2528</v>
      </c>
      <c r="C685" s="776" t="s">
        <v>2529</v>
      </c>
      <c r="D685" s="776" t="s">
        <v>2428</v>
      </c>
      <c r="E685" s="679">
        <v>357247592806984</v>
      </c>
      <c r="F685" s="775"/>
      <c r="G685" s="143">
        <v>1920</v>
      </c>
      <c r="H685" s="818"/>
    </row>
    <row r="686" spans="1:9">
      <c r="A686" s="776">
        <v>21</v>
      </c>
      <c r="B686" s="776" t="s">
        <v>2528</v>
      </c>
      <c r="C686" s="776" t="s">
        <v>2529</v>
      </c>
      <c r="D686" s="776" t="s">
        <v>2428</v>
      </c>
      <c r="E686" s="679">
        <v>357247592397729</v>
      </c>
      <c r="F686" s="775"/>
      <c r="G686" s="143">
        <v>1920</v>
      </c>
      <c r="H686" s="818"/>
    </row>
    <row r="687" spans="1:9">
      <c r="A687" s="776">
        <v>22</v>
      </c>
      <c r="B687" s="776" t="s">
        <v>2528</v>
      </c>
      <c r="C687" s="776" t="s">
        <v>2459</v>
      </c>
      <c r="D687" s="776" t="s">
        <v>2428</v>
      </c>
      <c r="E687" s="679">
        <v>350795045798791</v>
      </c>
      <c r="F687" s="775"/>
      <c r="G687" s="143">
        <v>1920</v>
      </c>
      <c r="H687" s="818"/>
    </row>
    <row r="688" spans="1:9">
      <c r="A688" s="776">
        <v>23</v>
      </c>
      <c r="B688" s="776" t="s">
        <v>2528</v>
      </c>
      <c r="C688" s="776" t="s">
        <v>2459</v>
      </c>
      <c r="D688" s="776" t="s">
        <v>2428</v>
      </c>
      <c r="E688" s="679">
        <v>350795045828762</v>
      </c>
      <c r="F688" s="775"/>
      <c r="G688" s="143">
        <v>1920</v>
      </c>
      <c r="H688" s="818"/>
    </row>
    <row r="689" spans="1:8">
      <c r="A689" s="776">
        <v>24</v>
      </c>
      <c r="B689" s="776" t="s">
        <v>2528</v>
      </c>
      <c r="C689" s="776" t="s">
        <v>2459</v>
      </c>
      <c r="D689" s="776" t="s">
        <v>2428</v>
      </c>
      <c r="E689" s="679">
        <v>350795045916294</v>
      </c>
      <c r="F689" s="775"/>
      <c r="G689" s="143">
        <v>1920</v>
      </c>
      <c r="H689" s="818"/>
    </row>
    <row r="690" spans="1:8">
      <c r="A690" s="776">
        <v>25</v>
      </c>
      <c r="B690" s="776" t="s">
        <v>2528</v>
      </c>
      <c r="C690" s="776" t="s">
        <v>2459</v>
      </c>
      <c r="D690" s="776" t="s">
        <v>2428</v>
      </c>
      <c r="E690" s="679">
        <v>350795046044732</v>
      </c>
      <c r="F690" s="775"/>
      <c r="G690" s="143">
        <v>1920</v>
      </c>
      <c r="H690" s="818"/>
    </row>
    <row r="691" spans="1:8">
      <c r="A691" s="776">
        <v>26</v>
      </c>
      <c r="B691" s="776" t="s">
        <v>2528</v>
      </c>
      <c r="C691" s="776" t="s">
        <v>2459</v>
      </c>
      <c r="D691" s="776" t="s">
        <v>2428</v>
      </c>
      <c r="E691" s="679">
        <v>357223746136966</v>
      </c>
      <c r="F691" s="775"/>
      <c r="G691" s="143">
        <v>1920</v>
      </c>
      <c r="H691" s="818"/>
    </row>
    <row r="692" spans="1:8">
      <c r="A692" s="776">
        <v>27</v>
      </c>
      <c r="B692" s="776" t="s">
        <v>2528</v>
      </c>
      <c r="C692" s="776" t="s">
        <v>2531</v>
      </c>
      <c r="D692" s="776" t="s">
        <v>2428</v>
      </c>
      <c r="E692" s="679">
        <v>357247593362060</v>
      </c>
      <c r="F692" s="775"/>
      <c r="G692" s="143">
        <v>1920</v>
      </c>
      <c r="H692" s="818"/>
    </row>
    <row r="693" spans="1:8">
      <c r="A693" s="774">
        <v>28</v>
      </c>
      <c r="B693" s="774" t="s">
        <v>2532</v>
      </c>
      <c r="C693" s="774" t="s">
        <v>2675</v>
      </c>
      <c r="D693" s="774" t="s">
        <v>2428</v>
      </c>
      <c r="E693" s="407">
        <v>354717534041026</v>
      </c>
      <c r="F693" s="774" t="s">
        <v>2447</v>
      </c>
      <c r="G693" s="682" t="s">
        <v>2554</v>
      </c>
      <c r="H693" s="819"/>
    </row>
    <row r="694" spans="1:8">
      <c r="A694" s="776">
        <v>29</v>
      </c>
      <c r="B694" s="776" t="s">
        <v>2952</v>
      </c>
      <c r="C694" s="776" t="s">
        <v>2468</v>
      </c>
      <c r="D694" s="776" t="s">
        <v>2442</v>
      </c>
      <c r="E694" s="679">
        <v>359200573550764</v>
      </c>
      <c r="F694" s="775"/>
      <c r="G694" s="143">
        <v>2100</v>
      </c>
      <c r="H694" s="818"/>
    </row>
    <row r="695" spans="1:8">
      <c r="A695" s="776">
        <v>30</v>
      </c>
      <c r="B695" s="776" t="s">
        <v>2480</v>
      </c>
      <c r="C695" s="776" t="s">
        <v>2550</v>
      </c>
      <c r="D695" s="776" t="s">
        <v>2482</v>
      </c>
      <c r="E695" s="679">
        <v>356187984681119</v>
      </c>
      <c r="F695" s="775"/>
      <c r="G695" s="143">
        <v>2380</v>
      </c>
      <c r="H695" s="818"/>
    </row>
    <row r="696" spans="1:8">
      <c r="A696" s="776">
        <v>31</v>
      </c>
      <c r="B696" s="776" t="s">
        <v>2480</v>
      </c>
      <c r="C696" s="776" t="s">
        <v>2550</v>
      </c>
      <c r="D696" s="776" t="s">
        <v>2482</v>
      </c>
      <c r="E696" s="679">
        <v>358135792871644</v>
      </c>
      <c r="F696" s="775"/>
      <c r="G696" s="143">
        <v>2380</v>
      </c>
      <c r="H696" s="818"/>
    </row>
    <row r="697" spans="1:8">
      <c r="A697" s="776">
        <v>32</v>
      </c>
      <c r="B697" s="776" t="s">
        <v>2480</v>
      </c>
      <c r="C697" s="776" t="s">
        <v>2550</v>
      </c>
      <c r="D697" s="776" t="s">
        <v>2482</v>
      </c>
      <c r="E697" s="679">
        <v>358135793507676</v>
      </c>
      <c r="F697" s="775"/>
      <c r="G697" s="143">
        <v>2380</v>
      </c>
      <c r="H697" s="818"/>
    </row>
    <row r="698" spans="1:8">
      <c r="A698" s="776">
        <v>33</v>
      </c>
      <c r="B698" s="776" t="s">
        <v>2480</v>
      </c>
      <c r="C698" s="776" t="s">
        <v>2550</v>
      </c>
      <c r="D698" s="776" t="s">
        <v>2482</v>
      </c>
      <c r="E698" s="679">
        <v>358135792930002</v>
      </c>
      <c r="F698" s="775"/>
      <c r="G698" s="143">
        <v>2380</v>
      </c>
      <c r="H698" s="818"/>
    </row>
    <row r="699" spans="1:8">
      <c r="A699" s="776">
        <v>34</v>
      </c>
      <c r="B699" s="776" t="s">
        <v>2480</v>
      </c>
      <c r="C699" s="776" t="s">
        <v>2550</v>
      </c>
      <c r="D699" s="776" t="s">
        <v>2482</v>
      </c>
      <c r="E699" s="679">
        <v>353938643621919</v>
      </c>
      <c r="F699" s="775"/>
      <c r="G699" s="143">
        <v>2380</v>
      </c>
      <c r="H699" s="818"/>
    </row>
    <row r="700" spans="1:8">
      <c r="A700" s="776">
        <v>35</v>
      </c>
      <c r="B700" s="776" t="s">
        <v>2480</v>
      </c>
      <c r="C700" s="776" t="s">
        <v>2550</v>
      </c>
      <c r="D700" s="776" t="s">
        <v>2482</v>
      </c>
      <c r="E700" s="679">
        <v>358135792616791</v>
      </c>
      <c r="F700" s="775"/>
      <c r="G700" s="143">
        <v>2380</v>
      </c>
      <c r="H700" s="818"/>
    </row>
    <row r="701" spans="1:8">
      <c r="A701" s="774">
        <v>36</v>
      </c>
      <c r="B701" s="774" t="s">
        <v>2480</v>
      </c>
      <c r="C701" s="774" t="s">
        <v>2539</v>
      </c>
      <c r="D701" s="774" t="s">
        <v>2482</v>
      </c>
      <c r="E701" s="407">
        <v>353938643283777</v>
      </c>
      <c r="F701" s="777"/>
      <c r="G701" s="682" t="s">
        <v>2954</v>
      </c>
      <c r="H701" s="819"/>
    </row>
    <row r="702" spans="1:8">
      <c r="A702" s="774">
        <v>37</v>
      </c>
      <c r="B702" s="774" t="s">
        <v>2480</v>
      </c>
      <c r="C702" s="774" t="s">
        <v>2539</v>
      </c>
      <c r="D702" s="774" t="s">
        <v>2482</v>
      </c>
      <c r="E702" s="407">
        <v>358135794332959</v>
      </c>
      <c r="F702" s="777"/>
      <c r="G702" s="682" t="s">
        <v>2954</v>
      </c>
      <c r="H702" s="819"/>
    </row>
    <row r="703" spans="1:8">
      <c r="A703" s="776">
        <v>38</v>
      </c>
      <c r="B703" s="776" t="s">
        <v>2540</v>
      </c>
      <c r="C703" s="776" t="s">
        <v>2541</v>
      </c>
      <c r="D703" s="776" t="s">
        <v>2428</v>
      </c>
      <c r="E703" s="679">
        <v>351878872024330</v>
      </c>
      <c r="F703" s="775"/>
      <c r="G703" s="143">
        <v>1880</v>
      </c>
      <c r="H703" s="818"/>
    </row>
    <row r="704" spans="1:8">
      <c r="A704" s="776">
        <v>39</v>
      </c>
      <c r="B704" s="776" t="s">
        <v>2540</v>
      </c>
      <c r="C704" s="776" t="s">
        <v>2542</v>
      </c>
      <c r="D704" s="776" t="s">
        <v>2428</v>
      </c>
      <c r="E704" s="679">
        <v>351878871686550</v>
      </c>
      <c r="F704" s="775"/>
      <c r="G704" s="143">
        <v>1880</v>
      </c>
      <c r="H704" s="818"/>
    </row>
    <row r="705" spans="1:9">
      <c r="A705" s="776">
        <v>40</v>
      </c>
      <c r="B705" s="776" t="s">
        <v>2540</v>
      </c>
      <c r="C705" s="776" t="s">
        <v>2542</v>
      </c>
      <c r="D705" s="776" t="s">
        <v>2428</v>
      </c>
      <c r="E705" s="679">
        <v>351878871577510</v>
      </c>
      <c r="F705" s="775"/>
      <c r="G705" s="143">
        <v>1880</v>
      </c>
      <c r="H705" s="818"/>
    </row>
    <row r="706" spans="1:9">
      <c r="A706" s="776">
        <v>41</v>
      </c>
      <c r="B706" s="776" t="s">
        <v>2540</v>
      </c>
      <c r="C706" s="776" t="s">
        <v>2756</v>
      </c>
      <c r="D706" s="776" t="s">
        <v>2428</v>
      </c>
      <c r="E706" s="679">
        <v>351878872078856</v>
      </c>
      <c r="F706" s="775"/>
      <c r="G706" s="143">
        <v>1880</v>
      </c>
      <c r="H706" s="818"/>
    </row>
    <row r="712" spans="1:9" ht="14.45" customHeight="1">
      <c r="A712" s="1434" t="s">
        <v>1</v>
      </c>
      <c r="B712" s="1434"/>
      <c r="C712" s="673">
        <v>46083</v>
      </c>
      <c r="D712" s="1435" t="s">
        <v>2974</v>
      </c>
      <c r="E712" s="1436"/>
      <c r="F712" s="1436"/>
      <c r="G712" s="1436"/>
      <c r="H712" s="1436"/>
      <c r="I712" s="1437"/>
    </row>
    <row r="713" spans="1:9" ht="14.45" customHeight="1">
      <c r="A713" s="1434" t="s">
        <v>2416</v>
      </c>
      <c r="B713" s="1434"/>
      <c r="C713" s="674" t="s">
        <v>2964</v>
      </c>
      <c r="D713" s="1438"/>
      <c r="E713" s="1439"/>
      <c r="F713" s="1439"/>
      <c r="G713" s="1439"/>
      <c r="H713" s="1439"/>
      <c r="I713" s="1440"/>
    </row>
    <row r="714" spans="1:9">
      <c r="A714" s="793"/>
      <c r="B714" s="793"/>
      <c r="C714" s="793"/>
      <c r="D714" s="1428" t="s">
        <v>3010</v>
      </c>
      <c r="E714" s="1429"/>
      <c r="F714" s="1429"/>
      <c r="G714" s="1429"/>
      <c r="H714" s="1429"/>
      <c r="I714" s="1430"/>
    </row>
    <row r="715" spans="1:9">
      <c r="A715" s="791" t="s">
        <v>2418</v>
      </c>
      <c r="B715" s="791" t="s">
        <v>2419</v>
      </c>
      <c r="C715" s="791" t="s">
        <v>2420</v>
      </c>
      <c r="D715" s="791" t="s">
        <v>2421</v>
      </c>
      <c r="E715" s="791" t="s">
        <v>2422</v>
      </c>
      <c r="F715" s="791" t="s">
        <v>2423</v>
      </c>
      <c r="G715" s="791" t="s">
        <v>2714</v>
      </c>
      <c r="H715" s="800"/>
      <c r="I715" s="791" t="s">
        <v>2649</v>
      </c>
    </row>
    <row r="716" spans="1:9">
      <c r="A716" s="789">
        <v>1</v>
      </c>
      <c r="B716" s="789" t="s">
        <v>2426</v>
      </c>
      <c r="C716" s="789" t="s">
        <v>2427</v>
      </c>
      <c r="D716" s="789" t="s">
        <v>2428</v>
      </c>
      <c r="E716" s="679">
        <v>359614549197783</v>
      </c>
      <c r="F716" s="790"/>
      <c r="G716" s="143">
        <v>930</v>
      </c>
      <c r="H716" s="143"/>
      <c r="I716" s="143">
        <f>G716*3.59</f>
        <v>3338.7</v>
      </c>
    </row>
    <row r="717" spans="1:9">
      <c r="A717" s="789">
        <v>2</v>
      </c>
      <c r="B717" s="789" t="s">
        <v>2426</v>
      </c>
      <c r="C717" s="789" t="s">
        <v>2427</v>
      </c>
      <c r="D717" s="789" t="s">
        <v>2428</v>
      </c>
      <c r="E717" s="679">
        <v>355246654440031</v>
      </c>
      <c r="F717" s="790"/>
      <c r="G717" s="143">
        <v>930</v>
      </c>
      <c r="H717" s="143"/>
      <c r="I717" s="143">
        <f t="shared" ref="I717:I780" si="6">G717*3.59</f>
        <v>3338.7</v>
      </c>
    </row>
    <row r="718" spans="1:9">
      <c r="A718" s="789">
        <v>3</v>
      </c>
      <c r="B718" s="789" t="s">
        <v>2426</v>
      </c>
      <c r="C718" s="789" t="s">
        <v>2427</v>
      </c>
      <c r="D718" s="789" t="s">
        <v>2428</v>
      </c>
      <c r="E718" s="679">
        <v>350889861073445</v>
      </c>
      <c r="F718" s="789" t="s">
        <v>1121</v>
      </c>
      <c r="G718" s="143">
        <v>930</v>
      </c>
      <c r="H718" s="143"/>
      <c r="I718" s="143">
        <f t="shared" si="6"/>
        <v>3338.7</v>
      </c>
    </row>
    <row r="719" spans="1:9">
      <c r="A719" s="789">
        <v>4</v>
      </c>
      <c r="B719" s="789" t="s">
        <v>2426</v>
      </c>
      <c r="C719" s="789" t="s">
        <v>2427</v>
      </c>
      <c r="D719" s="789" t="s">
        <v>2428</v>
      </c>
      <c r="E719" s="679">
        <v>350599860798815</v>
      </c>
      <c r="F719" s="790"/>
      <c r="G719" s="143">
        <v>930</v>
      </c>
      <c r="H719" s="143"/>
      <c r="I719" s="143">
        <f t="shared" si="6"/>
        <v>3338.7</v>
      </c>
    </row>
    <row r="720" spans="1:9">
      <c r="A720" s="789">
        <v>5</v>
      </c>
      <c r="B720" s="789" t="s">
        <v>2426</v>
      </c>
      <c r="C720" s="789" t="s">
        <v>2427</v>
      </c>
      <c r="D720" s="789" t="s">
        <v>2428</v>
      </c>
      <c r="E720" s="679">
        <v>353263429532580</v>
      </c>
      <c r="F720" s="789" t="s">
        <v>2447</v>
      </c>
      <c r="G720" s="143">
        <v>1000</v>
      </c>
      <c r="H720" s="143"/>
      <c r="I720" s="143">
        <f t="shared" si="6"/>
        <v>3590</v>
      </c>
    </row>
    <row r="721" spans="1:9">
      <c r="A721" s="789">
        <v>6</v>
      </c>
      <c r="B721" s="789" t="s">
        <v>2426</v>
      </c>
      <c r="C721" s="789" t="s">
        <v>2427</v>
      </c>
      <c r="D721" s="789" t="s">
        <v>2428</v>
      </c>
      <c r="E721" s="679">
        <v>355246652213562</v>
      </c>
      <c r="F721" s="790"/>
      <c r="G721" s="143">
        <v>930</v>
      </c>
      <c r="H721" s="143"/>
      <c r="I721" s="143">
        <f t="shared" si="6"/>
        <v>3338.7</v>
      </c>
    </row>
    <row r="722" spans="1:9">
      <c r="A722" s="789">
        <v>7</v>
      </c>
      <c r="B722" s="789" t="s">
        <v>2426</v>
      </c>
      <c r="C722" s="789" t="s">
        <v>2427</v>
      </c>
      <c r="D722" s="789" t="s">
        <v>2428</v>
      </c>
      <c r="E722" s="679">
        <v>359614549472368</v>
      </c>
      <c r="F722" s="790"/>
      <c r="G722" s="143">
        <v>930</v>
      </c>
      <c r="H722" s="143"/>
      <c r="I722" s="143">
        <f t="shared" si="6"/>
        <v>3338.7</v>
      </c>
    </row>
    <row r="723" spans="1:9">
      <c r="A723" s="789">
        <v>8</v>
      </c>
      <c r="B723" s="789" t="s">
        <v>2426</v>
      </c>
      <c r="C723" s="789" t="s">
        <v>2427</v>
      </c>
      <c r="D723" s="789" t="s">
        <v>2428</v>
      </c>
      <c r="E723" s="679">
        <v>356605229794470</v>
      </c>
      <c r="F723" s="790"/>
      <c r="G723" s="143">
        <v>930</v>
      </c>
      <c r="H723" s="143"/>
      <c r="I723" s="143">
        <f t="shared" si="6"/>
        <v>3338.7</v>
      </c>
    </row>
    <row r="724" spans="1:9">
      <c r="A724" s="789">
        <v>9</v>
      </c>
      <c r="B724" s="789" t="s">
        <v>2426</v>
      </c>
      <c r="C724" s="789" t="s">
        <v>2427</v>
      </c>
      <c r="D724" s="789" t="s">
        <v>2428</v>
      </c>
      <c r="E724" s="679">
        <v>359614549578180</v>
      </c>
      <c r="F724" s="790"/>
      <c r="G724" s="143">
        <v>930</v>
      </c>
      <c r="H724" s="143"/>
      <c r="I724" s="143">
        <f t="shared" si="6"/>
        <v>3338.7</v>
      </c>
    </row>
    <row r="725" spans="1:9">
      <c r="A725" s="789">
        <v>10</v>
      </c>
      <c r="B725" s="789" t="s">
        <v>2426</v>
      </c>
      <c r="C725" s="789" t="s">
        <v>2427</v>
      </c>
      <c r="D725" s="789" t="s">
        <v>2428</v>
      </c>
      <c r="E725" s="679">
        <v>359614549647191</v>
      </c>
      <c r="F725" s="790"/>
      <c r="G725" s="143">
        <v>930</v>
      </c>
      <c r="H725" s="143"/>
      <c r="I725" s="143">
        <f t="shared" si="6"/>
        <v>3338.7</v>
      </c>
    </row>
    <row r="726" spans="1:9">
      <c r="A726" s="789">
        <v>11</v>
      </c>
      <c r="B726" s="789" t="s">
        <v>2426</v>
      </c>
      <c r="C726" s="789" t="s">
        <v>2427</v>
      </c>
      <c r="D726" s="789" t="s">
        <v>2428</v>
      </c>
      <c r="E726" s="679">
        <v>357586342027957</v>
      </c>
      <c r="F726" s="790"/>
      <c r="G726" s="143">
        <v>930</v>
      </c>
      <c r="H726" s="143"/>
      <c r="I726" s="143">
        <f t="shared" si="6"/>
        <v>3338.7</v>
      </c>
    </row>
    <row r="727" spans="1:9">
      <c r="A727" s="789">
        <v>12</v>
      </c>
      <c r="B727" s="789" t="s">
        <v>2426</v>
      </c>
      <c r="C727" s="789" t="s">
        <v>2427</v>
      </c>
      <c r="D727" s="789" t="s">
        <v>2428</v>
      </c>
      <c r="E727" s="679">
        <v>350599860076667</v>
      </c>
      <c r="F727" s="790"/>
      <c r="G727" s="143">
        <v>930</v>
      </c>
      <c r="H727" s="143"/>
      <c r="I727" s="143">
        <f t="shared" si="6"/>
        <v>3338.7</v>
      </c>
    </row>
    <row r="728" spans="1:9">
      <c r="A728" s="789">
        <v>13</v>
      </c>
      <c r="B728" s="789" t="s">
        <v>2426</v>
      </c>
      <c r="C728" s="789" t="s">
        <v>2427</v>
      </c>
      <c r="D728" s="789" t="s">
        <v>2428</v>
      </c>
      <c r="E728" s="679">
        <v>359614549584527</v>
      </c>
      <c r="F728" s="790"/>
      <c r="G728" s="143">
        <v>930</v>
      </c>
      <c r="H728" s="143"/>
      <c r="I728" s="143">
        <f t="shared" si="6"/>
        <v>3338.7</v>
      </c>
    </row>
    <row r="729" spans="1:9">
      <c r="A729" s="789">
        <v>14</v>
      </c>
      <c r="B729" s="789" t="s">
        <v>2426</v>
      </c>
      <c r="C729" s="789" t="s">
        <v>2427</v>
      </c>
      <c r="D729" s="789" t="s">
        <v>2428</v>
      </c>
      <c r="E729" s="679">
        <v>356188165683536</v>
      </c>
      <c r="F729" s="790"/>
      <c r="G729" s="143">
        <v>930</v>
      </c>
      <c r="H729" s="143"/>
      <c r="I729" s="143">
        <f t="shared" si="6"/>
        <v>3338.7</v>
      </c>
    </row>
    <row r="730" spans="1:9">
      <c r="A730" s="789">
        <v>15</v>
      </c>
      <c r="B730" s="789" t="s">
        <v>2426</v>
      </c>
      <c r="C730" s="789" t="s">
        <v>2427</v>
      </c>
      <c r="D730" s="789" t="s">
        <v>2428</v>
      </c>
      <c r="E730" s="679">
        <v>359614541474362</v>
      </c>
      <c r="F730" s="789" t="s">
        <v>1121</v>
      </c>
      <c r="G730" s="143">
        <v>930</v>
      </c>
      <c r="H730" s="143"/>
      <c r="I730" s="143">
        <f t="shared" si="6"/>
        <v>3338.7</v>
      </c>
    </row>
    <row r="731" spans="1:9">
      <c r="A731" s="789">
        <v>16</v>
      </c>
      <c r="B731" s="789" t="s">
        <v>2426</v>
      </c>
      <c r="C731" s="789" t="s">
        <v>2427</v>
      </c>
      <c r="D731" s="789" t="s">
        <v>2428</v>
      </c>
      <c r="E731" s="679">
        <v>350599860131520</v>
      </c>
      <c r="F731" s="790"/>
      <c r="G731" s="143">
        <v>930</v>
      </c>
      <c r="H731" s="143"/>
      <c r="I731" s="143">
        <f t="shared" si="6"/>
        <v>3338.7</v>
      </c>
    </row>
    <row r="732" spans="1:9">
      <c r="A732" s="789">
        <v>17</v>
      </c>
      <c r="B732" s="789" t="s">
        <v>2426</v>
      </c>
      <c r="C732" s="789" t="s">
        <v>2427</v>
      </c>
      <c r="D732" s="789" t="s">
        <v>2428</v>
      </c>
      <c r="E732" s="679">
        <v>359614542852145</v>
      </c>
      <c r="F732" s="789" t="s">
        <v>1121</v>
      </c>
      <c r="G732" s="143">
        <v>930</v>
      </c>
      <c r="H732" s="143"/>
      <c r="I732" s="143">
        <f t="shared" si="6"/>
        <v>3338.7</v>
      </c>
    </row>
    <row r="733" spans="1:9">
      <c r="A733" s="789">
        <v>18</v>
      </c>
      <c r="B733" s="789" t="s">
        <v>2426</v>
      </c>
      <c r="C733" s="789" t="s">
        <v>2427</v>
      </c>
      <c r="D733" s="789" t="s">
        <v>2428</v>
      </c>
      <c r="E733" s="679">
        <v>350599861007257</v>
      </c>
      <c r="F733" s="790"/>
      <c r="G733" s="143">
        <v>930</v>
      </c>
      <c r="H733" s="143"/>
      <c r="I733" s="143">
        <f t="shared" si="6"/>
        <v>3338.7</v>
      </c>
    </row>
    <row r="734" spans="1:9">
      <c r="A734" s="789">
        <v>19</v>
      </c>
      <c r="B734" s="789" t="s">
        <v>2426</v>
      </c>
      <c r="C734" s="789" t="s">
        <v>2427</v>
      </c>
      <c r="D734" s="789" t="s">
        <v>2428</v>
      </c>
      <c r="E734" s="679">
        <v>350599861426267</v>
      </c>
      <c r="F734" s="790"/>
      <c r="G734" s="143">
        <v>930</v>
      </c>
      <c r="H734" s="143"/>
      <c r="I734" s="143">
        <f t="shared" si="6"/>
        <v>3338.7</v>
      </c>
    </row>
    <row r="735" spans="1:9">
      <c r="A735" s="789">
        <v>20</v>
      </c>
      <c r="B735" s="789" t="s">
        <v>2426</v>
      </c>
      <c r="C735" s="789" t="s">
        <v>2427</v>
      </c>
      <c r="D735" s="789" t="s">
        <v>2428</v>
      </c>
      <c r="E735" s="679">
        <v>359614548897359</v>
      </c>
      <c r="F735" s="790"/>
      <c r="G735" s="143">
        <v>930</v>
      </c>
      <c r="H735" s="143"/>
      <c r="I735" s="143">
        <f t="shared" si="6"/>
        <v>3338.7</v>
      </c>
    </row>
    <row r="736" spans="1:9">
      <c r="A736" s="789">
        <v>21</v>
      </c>
      <c r="B736" s="789" t="s">
        <v>2426</v>
      </c>
      <c r="C736" s="789" t="s">
        <v>2427</v>
      </c>
      <c r="D736" s="789" t="s">
        <v>2428</v>
      </c>
      <c r="E736" s="679">
        <v>359614548970909</v>
      </c>
      <c r="F736" s="790"/>
      <c r="G736" s="143">
        <v>930</v>
      </c>
      <c r="H736" s="143"/>
      <c r="I736" s="143">
        <f t="shared" si="6"/>
        <v>3338.7</v>
      </c>
    </row>
    <row r="737" spans="1:9">
      <c r="A737" s="789">
        <v>22</v>
      </c>
      <c r="B737" s="789" t="s">
        <v>2426</v>
      </c>
      <c r="C737" s="789" t="s">
        <v>2427</v>
      </c>
      <c r="D737" s="789" t="s">
        <v>2428</v>
      </c>
      <c r="E737" s="679">
        <v>359614549213846</v>
      </c>
      <c r="F737" s="789" t="s">
        <v>2447</v>
      </c>
      <c r="G737" s="143">
        <v>1000</v>
      </c>
      <c r="H737" s="143"/>
      <c r="I737" s="143">
        <f t="shared" si="6"/>
        <v>3590</v>
      </c>
    </row>
    <row r="738" spans="1:9">
      <c r="A738" s="789">
        <v>23</v>
      </c>
      <c r="B738" s="789" t="s">
        <v>2426</v>
      </c>
      <c r="C738" s="789" t="s">
        <v>2427</v>
      </c>
      <c r="D738" s="789" t="s">
        <v>2428</v>
      </c>
      <c r="E738" s="679">
        <v>356188165867840</v>
      </c>
      <c r="F738" s="790"/>
      <c r="G738" s="143">
        <v>930</v>
      </c>
      <c r="H738" s="143"/>
      <c r="I738" s="143">
        <f t="shared" si="6"/>
        <v>3338.7</v>
      </c>
    </row>
    <row r="739" spans="1:9">
      <c r="A739" s="789">
        <v>24</v>
      </c>
      <c r="B739" s="789" t="s">
        <v>2426</v>
      </c>
      <c r="C739" s="789" t="s">
        <v>2427</v>
      </c>
      <c r="D739" s="789" t="s">
        <v>2428</v>
      </c>
      <c r="E739" s="679">
        <v>357431261821892</v>
      </c>
      <c r="F739" s="789" t="s">
        <v>1121</v>
      </c>
      <c r="G739" s="143">
        <v>830</v>
      </c>
      <c r="H739" s="143"/>
      <c r="I739" s="143">
        <f t="shared" si="6"/>
        <v>2979.7</v>
      </c>
    </row>
    <row r="740" spans="1:9">
      <c r="A740" s="789">
        <v>25</v>
      </c>
      <c r="B740" s="789" t="s">
        <v>2426</v>
      </c>
      <c r="C740" s="789" t="s">
        <v>2427</v>
      </c>
      <c r="D740" s="789" t="s">
        <v>2428</v>
      </c>
      <c r="E740" s="679">
        <v>358051329731229</v>
      </c>
      <c r="F740" s="790"/>
      <c r="G740" s="143">
        <v>930</v>
      </c>
      <c r="H740" s="143"/>
      <c r="I740" s="143">
        <f t="shared" si="6"/>
        <v>3338.7</v>
      </c>
    </row>
    <row r="741" spans="1:9">
      <c r="A741" s="789">
        <v>26</v>
      </c>
      <c r="B741" s="789" t="s">
        <v>2426</v>
      </c>
      <c r="C741" s="789" t="s">
        <v>2427</v>
      </c>
      <c r="D741" s="789" t="s">
        <v>2428</v>
      </c>
      <c r="E741" s="679">
        <v>357586343122690</v>
      </c>
      <c r="F741" s="790"/>
      <c r="G741" s="143">
        <v>930</v>
      </c>
      <c r="H741" s="143"/>
      <c r="I741" s="143">
        <f t="shared" si="6"/>
        <v>3338.7</v>
      </c>
    </row>
    <row r="742" spans="1:9">
      <c r="A742" s="789">
        <v>27</v>
      </c>
      <c r="B742" s="789" t="s">
        <v>2426</v>
      </c>
      <c r="C742" s="789" t="s">
        <v>2427</v>
      </c>
      <c r="D742" s="789" t="s">
        <v>2428</v>
      </c>
      <c r="E742" s="679">
        <v>353263423774428</v>
      </c>
      <c r="F742" s="790"/>
      <c r="G742" s="143">
        <v>930</v>
      </c>
      <c r="H742" s="143"/>
      <c r="I742" s="143">
        <f t="shared" si="6"/>
        <v>3338.7</v>
      </c>
    </row>
    <row r="743" spans="1:9">
      <c r="A743" s="789">
        <v>28</v>
      </c>
      <c r="B743" s="789" t="s">
        <v>2426</v>
      </c>
      <c r="C743" s="789" t="s">
        <v>2427</v>
      </c>
      <c r="D743" s="789" t="s">
        <v>2428</v>
      </c>
      <c r="E743" s="679">
        <v>358051329690722</v>
      </c>
      <c r="F743" s="790"/>
      <c r="G743" s="143">
        <v>930</v>
      </c>
      <c r="H743" s="143"/>
      <c r="I743" s="143">
        <f t="shared" si="6"/>
        <v>3338.7</v>
      </c>
    </row>
    <row r="744" spans="1:9">
      <c r="A744" s="789">
        <v>29</v>
      </c>
      <c r="B744" s="789" t="s">
        <v>2426</v>
      </c>
      <c r="C744" s="789" t="s">
        <v>2427</v>
      </c>
      <c r="D744" s="789" t="s">
        <v>2428</v>
      </c>
      <c r="E744" s="679">
        <v>357586349420825</v>
      </c>
      <c r="F744" s="790"/>
      <c r="G744" s="143">
        <v>930</v>
      </c>
      <c r="H744" s="143"/>
      <c r="I744" s="143">
        <f t="shared" si="6"/>
        <v>3338.7</v>
      </c>
    </row>
    <row r="745" spans="1:9">
      <c r="A745" s="789">
        <v>30</v>
      </c>
      <c r="B745" s="789" t="s">
        <v>2426</v>
      </c>
      <c r="C745" s="789" t="s">
        <v>2427</v>
      </c>
      <c r="D745" s="789" t="s">
        <v>2428</v>
      </c>
      <c r="E745" s="679">
        <v>350599860871810</v>
      </c>
      <c r="F745" s="790"/>
      <c r="G745" s="143">
        <v>930</v>
      </c>
      <c r="H745" s="143"/>
      <c r="I745" s="143">
        <f t="shared" si="6"/>
        <v>3338.7</v>
      </c>
    </row>
    <row r="746" spans="1:9">
      <c r="A746" s="789">
        <v>31</v>
      </c>
      <c r="B746" s="789" t="s">
        <v>2426</v>
      </c>
      <c r="C746" s="789" t="s">
        <v>2427</v>
      </c>
      <c r="D746" s="789" t="s">
        <v>2428</v>
      </c>
      <c r="E746" s="679">
        <v>355246653388124</v>
      </c>
      <c r="F746" s="790"/>
      <c r="G746" s="143">
        <v>930</v>
      </c>
      <c r="H746" s="143"/>
      <c r="I746" s="143">
        <f t="shared" si="6"/>
        <v>3338.7</v>
      </c>
    </row>
    <row r="747" spans="1:9">
      <c r="A747" s="789">
        <v>32</v>
      </c>
      <c r="B747" s="789" t="s">
        <v>2426</v>
      </c>
      <c r="C747" s="789" t="s">
        <v>2427</v>
      </c>
      <c r="D747" s="789" t="s">
        <v>2428</v>
      </c>
      <c r="E747" s="679">
        <v>359614541276585</v>
      </c>
      <c r="F747" s="789" t="s">
        <v>1121</v>
      </c>
      <c r="G747" s="143">
        <v>930</v>
      </c>
      <c r="H747" s="143"/>
      <c r="I747" s="143">
        <f t="shared" si="6"/>
        <v>3338.7</v>
      </c>
    </row>
    <row r="748" spans="1:9">
      <c r="A748" s="789">
        <v>33</v>
      </c>
      <c r="B748" s="789" t="s">
        <v>2426</v>
      </c>
      <c r="C748" s="789" t="s">
        <v>2427</v>
      </c>
      <c r="D748" s="789" t="s">
        <v>2428</v>
      </c>
      <c r="E748" s="679">
        <v>352791395180480</v>
      </c>
      <c r="F748" s="789" t="s">
        <v>2965</v>
      </c>
      <c r="G748" s="143">
        <v>840</v>
      </c>
      <c r="H748" s="143"/>
      <c r="I748" s="143">
        <f t="shared" si="6"/>
        <v>3015.6</v>
      </c>
    </row>
    <row r="749" spans="1:9">
      <c r="A749" s="789">
        <v>34</v>
      </c>
      <c r="B749" s="789" t="s">
        <v>2426</v>
      </c>
      <c r="C749" s="789" t="s">
        <v>2427</v>
      </c>
      <c r="D749" s="789" t="s">
        <v>2428</v>
      </c>
      <c r="E749" s="679">
        <v>358419945377059</v>
      </c>
      <c r="F749" s="789" t="s">
        <v>2965</v>
      </c>
      <c r="G749" s="143">
        <v>840</v>
      </c>
      <c r="H749" s="143"/>
      <c r="I749" s="143">
        <f t="shared" si="6"/>
        <v>3015.6</v>
      </c>
    </row>
    <row r="750" spans="1:9">
      <c r="A750" s="789">
        <v>35</v>
      </c>
      <c r="B750" s="789" t="s">
        <v>2426</v>
      </c>
      <c r="C750" s="789" t="s">
        <v>2427</v>
      </c>
      <c r="D750" s="789" t="s">
        <v>2430</v>
      </c>
      <c r="E750" s="679">
        <v>355190203129630</v>
      </c>
      <c r="F750" s="789" t="s">
        <v>2631</v>
      </c>
      <c r="G750" s="143">
        <v>1320</v>
      </c>
      <c r="H750" s="143"/>
      <c r="I750" s="143">
        <f t="shared" si="6"/>
        <v>4738.8</v>
      </c>
    </row>
    <row r="751" spans="1:9">
      <c r="A751" s="789">
        <v>36</v>
      </c>
      <c r="B751" s="789" t="s">
        <v>2426</v>
      </c>
      <c r="C751" s="789" t="s">
        <v>2427</v>
      </c>
      <c r="D751" s="789" t="s">
        <v>2435</v>
      </c>
      <c r="E751" s="679">
        <v>355478870669040</v>
      </c>
      <c r="F751" s="789" t="s">
        <v>2965</v>
      </c>
      <c r="G751" s="143">
        <v>1060</v>
      </c>
      <c r="H751" s="143"/>
      <c r="I751" s="143">
        <f t="shared" si="6"/>
        <v>3805.3999999999996</v>
      </c>
    </row>
    <row r="752" spans="1:9">
      <c r="A752" s="789">
        <v>37</v>
      </c>
      <c r="B752" s="789" t="s">
        <v>2426</v>
      </c>
      <c r="C752" s="789" t="s">
        <v>2526</v>
      </c>
      <c r="D752" s="789" t="s">
        <v>2428</v>
      </c>
      <c r="E752" s="679">
        <v>350599861807607</v>
      </c>
      <c r="F752" s="790"/>
      <c r="G752" s="143">
        <v>900</v>
      </c>
      <c r="H752" s="143"/>
      <c r="I752" s="143">
        <f t="shared" si="6"/>
        <v>3231</v>
      </c>
    </row>
    <row r="753" spans="1:9">
      <c r="A753" s="789">
        <v>38</v>
      </c>
      <c r="B753" s="789" t="s">
        <v>2426</v>
      </c>
      <c r="C753" s="789" t="s">
        <v>2526</v>
      </c>
      <c r="D753" s="789" t="s">
        <v>2428</v>
      </c>
      <c r="E753" s="679">
        <v>356605229177262</v>
      </c>
      <c r="F753" s="790"/>
      <c r="G753" s="143">
        <v>900</v>
      </c>
      <c r="H753" s="143"/>
      <c r="I753" s="143">
        <f t="shared" si="6"/>
        <v>3231</v>
      </c>
    </row>
    <row r="754" spans="1:9">
      <c r="A754" s="789">
        <v>39</v>
      </c>
      <c r="B754" s="789" t="s">
        <v>2426</v>
      </c>
      <c r="C754" s="789" t="s">
        <v>2526</v>
      </c>
      <c r="D754" s="789" t="s">
        <v>2428</v>
      </c>
      <c r="E754" s="679">
        <v>356605226777189</v>
      </c>
      <c r="F754" s="790"/>
      <c r="G754" s="143">
        <v>900</v>
      </c>
      <c r="H754" s="143"/>
      <c r="I754" s="143">
        <f t="shared" si="6"/>
        <v>3231</v>
      </c>
    </row>
    <row r="755" spans="1:9">
      <c r="A755" s="789">
        <v>40</v>
      </c>
      <c r="B755" s="789" t="s">
        <v>2426</v>
      </c>
      <c r="C755" s="789" t="s">
        <v>2526</v>
      </c>
      <c r="D755" s="789" t="s">
        <v>2428</v>
      </c>
      <c r="E755" s="679">
        <v>358051326483055</v>
      </c>
      <c r="F755" s="790"/>
      <c r="G755" s="143">
        <v>900</v>
      </c>
      <c r="H755" s="143"/>
      <c r="I755" s="143">
        <f t="shared" si="6"/>
        <v>3231</v>
      </c>
    </row>
    <row r="756" spans="1:9">
      <c r="A756" s="789">
        <v>41</v>
      </c>
      <c r="B756" s="789" t="s">
        <v>2426</v>
      </c>
      <c r="C756" s="789" t="s">
        <v>2526</v>
      </c>
      <c r="D756" s="789" t="s">
        <v>2428</v>
      </c>
      <c r="E756" s="679">
        <v>350599861566120</v>
      </c>
      <c r="F756" s="790"/>
      <c r="G756" s="143">
        <v>900</v>
      </c>
      <c r="H756" s="143"/>
      <c r="I756" s="143">
        <f t="shared" si="6"/>
        <v>3231</v>
      </c>
    </row>
    <row r="757" spans="1:9">
      <c r="A757" s="789">
        <v>42</v>
      </c>
      <c r="B757" s="789" t="s">
        <v>2426</v>
      </c>
      <c r="C757" s="789" t="s">
        <v>2526</v>
      </c>
      <c r="D757" s="789" t="s">
        <v>2428</v>
      </c>
      <c r="E757" s="679">
        <v>355224255218510</v>
      </c>
      <c r="F757" s="790"/>
      <c r="G757" s="143">
        <v>900</v>
      </c>
      <c r="H757" s="143"/>
      <c r="I757" s="143">
        <f t="shared" si="6"/>
        <v>3231</v>
      </c>
    </row>
    <row r="758" spans="1:9">
      <c r="A758" s="789">
        <v>43</v>
      </c>
      <c r="B758" s="789" t="s">
        <v>2426</v>
      </c>
      <c r="C758" s="789" t="s">
        <v>2526</v>
      </c>
      <c r="D758" s="789" t="s">
        <v>2428</v>
      </c>
      <c r="E758" s="679">
        <v>350889866122700</v>
      </c>
      <c r="F758" s="790"/>
      <c r="G758" s="143">
        <v>900</v>
      </c>
      <c r="H758" s="143"/>
      <c r="I758" s="143">
        <f t="shared" si="6"/>
        <v>3231</v>
      </c>
    </row>
    <row r="759" spans="1:9">
      <c r="A759" s="789">
        <v>44</v>
      </c>
      <c r="B759" s="789" t="s">
        <v>2426</v>
      </c>
      <c r="C759" s="789" t="s">
        <v>2526</v>
      </c>
      <c r="D759" s="789" t="s">
        <v>2428</v>
      </c>
      <c r="E759" s="679">
        <v>350889867584825</v>
      </c>
      <c r="F759" s="790"/>
      <c r="G759" s="143">
        <v>900</v>
      </c>
      <c r="H759" s="143"/>
      <c r="I759" s="143">
        <f t="shared" si="6"/>
        <v>3231</v>
      </c>
    </row>
    <row r="760" spans="1:9">
      <c r="A760" s="789">
        <v>45</v>
      </c>
      <c r="B760" s="789" t="s">
        <v>2426</v>
      </c>
      <c r="C760" s="789" t="s">
        <v>2526</v>
      </c>
      <c r="D760" s="789" t="s">
        <v>2428</v>
      </c>
      <c r="E760" s="679">
        <v>350599861383278</v>
      </c>
      <c r="F760" s="790"/>
      <c r="G760" s="143">
        <v>900</v>
      </c>
      <c r="H760" s="143"/>
      <c r="I760" s="143">
        <f t="shared" si="6"/>
        <v>3231</v>
      </c>
    </row>
    <row r="761" spans="1:9">
      <c r="A761" s="789">
        <v>46</v>
      </c>
      <c r="B761" s="789" t="s">
        <v>2426</v>
      </c>
      <c r="C761" s="789" t="s">
        <v>2526</v>
      </c>
      <c r="D761" s="789" t="s">
        <v>2435</v>
      </c>
      <c r="E761" s="806">
        <v>355478872556005</v>
      </c>
      <c r="F761" s="789" t="s">
        <v>3009</v>
      </c>
      <c r="G761" s="680">
        <v>1</v>
      </c>
      <c r="H761" s="680"/>
      <c r="I761" s="143">
        <f t="shared" si="6"/>
        <v>3.59</v>
      </c>
    </row>
    <row r="762" spans="1:9">
      <c r="A762" s="789">
        <v>47</v>
      </c>
      <c r="B762" s="789" t="s">
        <v>2426</v>
      </c>
      <c r="C762" s="789" t="s">
        <v>2429</v>
      </c>
      <c r="D762" s="789" t="s">
        <v>2428</v>
      </c>
      <c r="E762" s="679">
        <v>350599862268221</v>
      </c>
      <c r="F762" s="790"/>
      <c r="G762" s="143">
        <v>950</v>
      </c>
      <c r="H762" s="143"/>
      <c r="I762" s="143">
        <f t="shared" si="6"/>
        <v>3410.5</v>
      </c>
    </row>
    <row r="763" spans="1:9">
      <c r="A763" s="789">
        <v>48</v>
      </c>
      <c r="B763" s="789" t="s">
        <v>2426</v>
      </c>
      <c r="C763" s="789" t="s">
        <v>2429</v>
      </c>
      <c r="D763" s="789" t="s">
        <v>2428</v>
      </c>
      <c r="E763" s="679">
        <v>356605228962862</v>
      </c>
      <c r="F763" s="790"/>
      <c r="G763" s="143">
        <v>945</v>
      </c>
      <c r="H763" s="143"/>
      <c r="I763" s="143">
        <f t="shared" si="6"/>
        <v>3392.5499999999997</v>
      </c>
    </row>
    <row r="764" spans="1:9">
      <c r="A764" s="789">
        <v>49</v>
      </c>
      <c r="B764" s="789" t="s">
        <v>2426</v>
      </c>
      <c r="C764" s="789" t="s">
        <v>2429</v>
      </c>
      <c r="D764" s="789" t="s">
        <v>2428</v>
      </c>
      <c r="E764" s="679">
        <v>350599863390958</v>
      </c>
      <c r="F764" s="789" t="s">
        <v>2436</v>
      </c>
      <c r="G764" s="143">
        <v>1130</v>
      </c>
      <c r="H764" s="143"/>
      <c r="I764" s="143">
        <f t="shared" si="6"/>
        <v>4056.7</v>
      </c>
    </row>
    <row r="765" spans="1:9">
      <c r="A765" s="789">
        <v>50</v>
      </c>
      <c r="B765" s="789" t="s">
        <v>2426</v>
      </c>
      <c r="C765" s="789" t="s">
        <v>2429</v>
      </c>
      <c r="D765" s="789" t="s">
        <v>2428</v>
      </c>
      <c r="E765" s="679">
        <v>350599864494262</v>
      </c>
      <c r="F765" s="789" t="s">
        <v>2447</v>
      </c>
      <c r="G765" s="143">
        <v>1015</v>
      </c>
      <c r="H765" s="143"/>
      <c r="I765" s="143">
        <f t="shared" si="6"/>
        <v>3643.85</v>
      </c>
    </row>
    <row r="766" spans="1:9">
      <c r="A766" s="789">
        <v>51</v>
      </c>
      <c r="B766" s="789" t="s">
        <v>2426</v>
      </c>
      <c r="C766" s="789" t="s">
        <v>2429</v>
      </c>
      <c r="D766" s="789" t="s">
        <v>2428</v>
      </c>
      <c r="E766" s="679">
        <v>355246657041414</v>
      </c>
      <c r="F766" s="789" t="s">
        <v>2447</v>
      </c>
      <c r="G766" s="143">
        <v>1015</v>
      </c>
      <c r="H766" s="143"/>
      <c r="I766" s="143">
        <f t="shared" si="6"/>
        <v>3643.85</v>
      </c>
    </row>
    <row r="767" spans="1:9">
      <c r="A767" s="789">
        <v>52</v>
      </c>
      <c r="B767" s="789" t="s">
        <v>2426</v>
      </c>
      <c r="C767" s="789" t="s">
        <v>2429</v>
      </c>
      <c r="D767" s="789" t="s">
        <v>2428</v>
      </c>
      <c r="E767" s="679">
        <v>350599861078688</v>
      </c>
      <c r="F767" s="790"/>
      <c r="G767" s="143">
        <v>945</v>
      </c>
      <c r="H767" s="143"/>
      <c r="I767" s="143">
        <f t="shared" si="6"/>
        <v>3392.5499999999997</v>
      </c>
    </row>
    <row r="768" spans="1:9">
      <c r="A768" s="789">
        <v>53</v>
      </c>
      <c r="B768" s="789" t="s">
        <v>2426</v>
      </c>
      <c r="C768" s="789" t="s">
        <v>2429</v>
      </c>
      <c r="D768" s="789" t="s">
        <v>2428</v>
      </c>
      <c r="E768" s="679">
        <v>356605225521885</v>
      </c>
      <c r="F768" s="789" t="s">
        <v>1121</v>
      </c>
      <c r="G768" s="143">
        <v>945</v>
      </c>
      <c r="H768" s="143"/>
      <c r="I768" s="143">
        <f t="shared" si="6"/>
        <v>3392.5499999999997</v>
      </c>
    </row>
    <row r="769" spans="1:9">
      <c r="A769" s="789">
        <v>54</v>
      </c>
      <c r="B769" s="789" t="s">
        <v>2527</v>
      </c>
      <c r="C769" s="789" t="s">
        <v>2427</v>
      </c>
      <c r="D769" s="789" t="s">
        <v>2428</v>
      </c>
      <c r="E769" s="679">
        <v>350208035900146</v>
      </c>
      <c r="F769" s="790"/>
      <c r="G769" s="143">
        <v>820</v>
      </c>
      <c r="H769" s="143"/>
      <c r="I769" s="143">
        <f t="shared" si="6"/>
        <v>2943.7999999999997</v>
      </c>
    </row>
    <row r="770" spans="1:9">
      <c r="A770" s="789">
        <v>55</v>
      </c>
      <c r="B770" s="789" t="s">
        <v>2527</v>
      </c>
      <c r="C770" s="789" t="s">
        <v>2427</v>
      </c>
      <c r="D770" s="789" t="s">
        <v>2428</v>
      </c>
      <c r="E770" s="679">
        <v>355832515765870</v>
      </c>
      <c r="F770" s="789" t="s">
        <v>1121</v>
      </c>
      <c r="G770" s="143">
        <v>820</v>
      </c>
      <c r="H770" s="143"/>
      <c r="I770" s="143">
        <f t="shared" si="6"/>
        <v>2943.7999999999997</v>
      </c>
    </row>
    <row r="771" spans="1:9">
      <c r="A771" s="789">
        <v>56</v>
      </c>
      <c r="B771" s="789" t="s">
        <v>2527</v>
      </c>
      <c r="C771" s="789" t="s">
        <v>2427</v>
      </c>
      <c r="D771" s="789" t="s">
        <v>2428</v>
      </c>
      <c r="E771" s="679">
        <v>350208035593446</v>
      </c>
      <c r="F771" s="790"/>
      <c r="G771" s="143">
        <v>820</v>
      </c>
      <c r="H771" s="143"/>
      <c r="I771" s="143">
        <f t="shared" si="6"/>
        <v>2943.7999999999997</v>
      </c>
    </row>
    <row r="772" spans="1:9">
      <c r="A772" s="789">
        <v>57</v>
      </c>
      <c r="B772" s="789" t="s">
        <v>2527</v>
      </c>
      <c r="C772" s="789" t="s">
        <v>2526</v>
      </c>
      <c r="D772" s="789" t="s">
        <v>2428</v>
      </c>
      <c r="E772" s="679">
        <v>355832514351615</v>
      </c>
      <c r="F772" s="789" t="s">
        <v>2631</v>
      </c>
      <c r="G772" s="143">
        <v>1050</v>
      </c>
      <c r="H772" s="143"/>
      <c r="I772" s="143">
        <f t="shared" si="6"/>
        <v>3769.5</v>
      </c>
    </row>
    <row r="773" spans="1:9">
      <c r="A773" s="789">
        <v>58</v>
      </c>
      <c r="B773" s="789" t="s">
        <v>2527</v>
      </c>
      <c r="C773" s="789" t="s">
        <v>2526</v>
      </c>
      <c r="D773" s="789" t="s">
        <v>2428</v>
      </c>
      <c r="E773" s="679">
        <v>355832514177853</v>
      </c>
      <c r="F773" s="789" t="s">
        <v>2631</v>
      </c>
      <c r="G773" s="143">
        <v>1050</v>
      </c>
      <c r="H773" s="143"/>
      <c r="I773" s="143">
        <f t="shared" si="6"/>
        <v>3769.5</v>
      </c>
    </row>
    <row r="774" spans="1:9">
      <c r="A774" s="789">
        <v>59</v>
      </c>
      <c r="B774" s="789" t="s">
        <v>2527</v>
      </c>
      <c r="C774" s="789" t="s">
        <v>2429</v>
      </c>
      <c r="D774" s="789" t="s">
        <v>2428</v>
      </c>
      <c r="E774" s="679">
        <v>354956978099849</v>
      </c>
      <c r="F774" s="789" t="s">
        <v>2631</v>
      </c>
      <c r="G774" s="143">
        <v>1050</v>
      </c>
      <c r="H774" s="143"/>
      <c r="I774" s="143">
        <f t="shared" si="6"/>
        <v>3769.5</v>
      </c>
    </row>
    <row r="775" spans="1:9">
      <c r="A775" s="789">
        <v>60</v>
      </c>
      <c r="B775" s="789" t="s">
        <v>2532</v>
      </c>
      <c r="C775" s="789" t="s">
        <v>2533</v>
      </c>
      <c r="D775" s="789" t="s">
        <v>2428</v>
      </c>
      <c r="E775" s="679">
        <v>355714601350611</v>
      </c>
      <c r="F775" s="790"/>
      <c r="G775" s="143">
        <v>570</v>
      </c>
      <c r="H775" s="143"/>
      <c r="I775" s="143">
        <f t="shared" si="6"/>
        <v>2046.3</v>
      </c>
    </row>
    <row r="776" spans="1:9">
      <c r="A776" s="789">
        <v>61</v>
      </c>
      <c r="B776" s="789" t="s">
        <v>2532</v>
      </c>
      <c r="C776" s="789" t="s">
        <v>2675</v>
      </c>
      <c r="D776" s="789" t="s">
        <v>2428</v>
      </c>
      <c r="E776" s="679">
        <v>354666659937353</v>
      </c>
      <c r="F776" s="789" t="s">
        <v>2631</v>
      </c>
      <c r="G776" s="143">
        <v>750</v>
      </c>
      <c r="H776" s="143"/>
      <c r="I776" s="143">
        <f t="shared" si="6"/>
        <v>2692.5</v>
      </c>
    </row>
    <row r="777" spans="1:9">
      <c r="A777" s="789">
        <v>62</v>
      </c>
      <c r="B777" s="789" t="s">
        <v>2532</v>
      </c>
      <c r="C777" s="789" t="s">
        <v>2675</v>
      </c>
      <c r="D777" s="789" t="s">
        <v>2428</v>
      </c>
      <c r="E777" s="679">
        <v>354666659216865</v>
      </c>
      <c r="F777" s="789" t="s">
        <v>2631</v>
      </c>
      <c r="G777" s="143">
        <v>750</v>
      </c>
      <c r="H777" s="143"/>
      <c r="I777" s="143">
        <f t="shared" si="6"/>
        <v>2692.5</v>
      </c>
    </row>
    <row r="778" spans="1:9">
      <c r="A778" s="789">
        <v>63</v>
      </c>
      <c r="B778" s="789" t="s">
        <v>2532</v>
      </c>
      <c r="C778" s="789" t="s">
        <v>2675</v>
      </c>
      <c r="D778" s="789" t="s">
        <v>2428</v>
      </c>
      <c r="E778" s="679">
        <v>354666659768618</v>
      </c>
      <c r="F778" s="789" t="s">
        <v>2631</v>
      </c>
      <c r="G778" s="143">
        <v>750</v>
      </c>
      <c r="H778" s="143"/>
      <c r="I778" s="143">
        <f t="shared" si="6"/>
        <v>2692.5</v>
      </c>
    </row>
    <row r="779" spans="1:9">
      <c r="A779" s="789">
        <v>64</v>
      </c>
      <c r="B779" s="789" t="s">
        <v>2532</v>
      </c>
      <c r="C779" s="789" t="s">
        <v>2446</v>
      </c>
      <c r="D779" s="789" t="s">
        <v>2428</v>
      </c>
      <c r="E779" s="679">
        <v>359371454638463</v>
      </c>
      <c r="F779" s="789" t="s">
        <v>2631</v>
      </c>
      <c r="G779" s="143">
        <v>750</v>
      </c>
      <c r="H779" s="143"/>
      <c r="I779" s="143">
        <f t="shared" si="6"/>
        <v>2692.5</v>
      </c>
    </row>
    <row r="780" spans="1:9">
      <c r="A780" s="789">
        <v>65</v>
      </c>
      <c r="B780" s="789" t="s">
        <v>2532</v>
      </c>
      <c r="C780" s="789" t="s">
        <v>2444</v>
      </c>
      <c r="D780" s="789" t="s">
        <v>2428</v>
      </c>
      <c r="E780" s="679">
        <v>354717534936118</v>
      </c>
      <c r="F780" s="790"/>
      <c r="G780" s="143">
        <v>570</v>
      </c>
      <c r="H780" s="143"/>
      <c r="I780" s="143">
        <f t="shared" si="6"/>
        <v>2046.3</v>
      </c>
    </row>
    <row r="781" spans="1:9">
      <c r="A781" s="789">
        <v>66</v>
      </c>
      <c r="B781" s="789" t="s">
        <v>2431</v>
      </c>
      <c r="C781" s="789" t="s">
        <v>2432</v>
      </c>
      <c r="D781" s="789" t="s">
        <v>2428</v>
      </c>
      <c r="E781" s="679">
        <v>352641354328762</v>
      </c>
      <c r="F781" s="789" t="s">
        <v>3008</v>
      </c>
      <c r="G781" s="143">
        <v>750</v>
      </c>
      <c r="H781" s="143"/>
      <c r="I781" s="143">
        <f t="shared" ref="I781:I801" si="7">G781*3.59</f>
        <v>2692.5</v>
      </c>
    </row>
    <row r="782" spans="1:9">
      <c r="A782" s="789">
        <v>67</v>
      </c>
      <c r="B782" s="789" t="s">
        <v>2431</v>
      </c>
      <c r="C782" s="789" t="s">
        <v>2432</v>
      </c>
      <c r="D782" s="789" t="s">
        <v>2428</v>
      </c>
      <c r="E782" s="807">
        <v>359906329765163</v>
      </c>
      <c r="F782" s="789" t="s">
        <v>2965</v>
      </c>
      <c r="G782" s="143">
        <v>600</v>
      </c>
      <c r="H782" s="143"/>
      <c r="I782" s="143">
        <f t="shared" si="7"/>
        <v>2154</v>
      </c>
    </row>
    <row r="783" spans="1:9">
      <c r="A783" s="789">
        <v>68</v>
      </c>
      <c r="B783" s="789" t="s">
        <v>2431</v>
      </c>
      <c r="C783" s="789" t="s">
        <v>2432</v>
      </c>
      <c r="D783" s="789" t="s">
        <v>2428</v>
      </c>
      <c r="E783" s="679">
        <v>355445525545842</v>
      </c>
      <c r="F783" s="789" t="s">
        <v>2965</v>
      </c>
      <c r="G783" s="143">
        <v>600</v>
      </c>
      <c r="H783" s="143"/>
      <c r="I783" s="143">
        <f t="shared" si="7"/>
        <v>2154</v>
      </c>
    </row>
    <row r="784" spans="1:9">
      <c r="A784" s="789">
        <v>69</v>
      </c>
      <c r="B784" s="789" t="s">
        <v>2431</v>
      </c>
      <c r="C784" s="789" t="s">
        <v>2432</v>
      </c>
      <c r="D784" s="789" t="s">
        <v>2428</v>
      </c>
      <c r="E784" s="679">
        <v>350773436222036</v>
      </c>
      <c r="F784" s="789" t="s">
        <v>2965</v>
      </c>
      <c r="G784" s="143">
        <v>600</v>
      </c>
      <c r="H784" s="143"/>
      <c r="I784" s="143">
        <f t="shared" si="7"/>
        <v>2154</v>
      </c>
    </row>
    <row r="785" spans="1:9">
      <c r="A785" s="789">
        <v>70</v>
      </c>
      <c r="B785" s="789" t="s">
        <v>2431</v>
      </c>
      <c r="C785" s="789" t="s">
        <v>2966</v>
      </c>
      <c r="D785" s="789" t="s">
        <v>2428</v>
      </c>
      <c r="E785" s="679">
        <v>352356350826400</v>
      </c>
      <c r="F785" s="789" t="s">
        <v>1121</v>
      </c>
      <c r="G785" s="143">
        <v>700</v>
      </c>
      <c r="H785" s="143"/>
      <c r="I785" s="143">
        <f t="shared" si="7"/>
        <v>2513</v>
      </c>
    </row>
    <row r="786" spans="1:9">
      <c r="A786" s="789">
        <v>71</v>
      </c>
      <c r="B786" s="789" t="s">
        <v>2431</v>
      </c>
      <c r="C786" s="789" t="s">
        <v>2434</v>
      </c>
      <c r="D786" s="789" t="s">
        <v>2430</v>
      </c>
      <c r="E786" s="679">
        <v>356339499985713</v>
      </c>
      <c r="F786" s="789" t="s">
        <v>2859</v>
      </c>
      <c r="G786" s="143">
        <v>600</v>
      </c>
      <c r="H786" s="143"/>
      <c r="I786" s="143">
        <f t="shared" si="7"/>
        <v>2154</v>
      </c>
    </row>
    <row r="787" spans="1:9">
      <c r="A787" s="789">
        <v>72</v>
      </c>
      <c r="B787" s="789" t="s">
        <v>2967</v>
      </c>
      <c r="C787" s="789" t="s">
        <v>2432</v>
      </c>
      <c r="D787" s="789" t="s">
        <v>2442</v>
      </c>
      <c r="E787" s="679">
        <v>357463447012518</v>
      </c>
      <c r="F787" s="789" t="s">
        <v>1121</v>
      </c>
      <c r="G787" s="143">
        <v>470</v>
      </c>
      <c r="H787" s="143"/>
      <c r="I787" s="143">
        <f t="shared" si="7"/>
        <v>1687.3</v>
      </c>
    </row>
    <row r="788" spans="1:9">
      <c r="A788" s="789">
        <v>73</v>
      </c>
      <c r="B788" s="789" t="s">
        <v>2443</v>
      </c>
      <c r="C788" s="789" t="s">
        <v>2446</v>
      </c>
      <c r="D788" s="789" t="s">
        <v>2442</v>
      </c>
      <c r="E788" s="679">
        <v>351420494815363</v>
      </c>
      <c r="F788" s="789" t="s">
        <v>2631</v>
      </c>
      <c r="G788" s="143">
        <v>520</v>
      </c>
      <c r="H788" s="143"/>
      <c r="I788" s="143">
        <f t="shared" si="7"/>
        <v>1866.8</v>
      </c>
    </row>
    <row r="789" spans="1:9">
      <c r="A789" s="789">
        <v>74</v>
      </c>
      <c r="B789" s="789" t="s">
        <v>2443</v>
      </c>
      <c r="C789" s="789" t="s">
        <v>2446</v>
      </c>
      <c r="D789" s="789" t="s">
        <v>2442</v>
      </c>
      <c r="E789" s="679">
        <v>351420494380632</v>
      </c>
      <c r="F789" s="789" t="s">
        <v>2631</v>
      </c>
      <c r="G789" s="143">
        <v>520</v>
      </c>
      <c r="H789" s="143"/>
      <c r="I789" s="143">
        <f t="shared" si="7"/>
        <v>1866.8</v>
      </c>
    </row>
    <row r="790" spans="1:9">
      <c r="A790" s="789">
        <v>75</v>
      </c>
      <c r="B790" s="789" t="s">
        <v>2448</v>
      </c>
      <c r="C790" s="789" t="s">
        <v>2449</v>
      </c>
      <c r="D790" s="789" t="s">
        <v>2442</v>
      </c>
      <c r="E790" s="679">
        <v>351399086670404</v>
      </c>
      <c r="F790" s="790"/>
      <c r="G790" s="143">
        <v>280</v>
      </c>
      <c r="H790" s="143"/>
      <c r="I790" s="143">
        <f t="shared" si="7"/>
        <v>1005.1999999999999</v>
      </c>
    </row>
    <row r="791" spans="1:9">
      <c r="A791" s="789">
        <v>76</v>
      </c>
      <c r="B791" s="789" t="s">
        <v>2458</v>
      </c>
      <c r="C791" s="789" t="s">
        <v>2459</v>
      </c>
      <c r="D791" s="789" t="s">
        <v>2428</v>
      </c>
      <c r="E791" s="679">
        <v>358112932864458</v>
      </c>
      <c r="F791" s="789" t="s">
        <v>2460</v>
      </c>
      <c r="G791" s="143">
        <v>840</v>
      </c>
      <c r="H791" s="143"/>
      <c r="I791" s="143">
        <f t="shared" si="7"/>
        <v>3015.6</v>
      </c>
    </row>
    <row r="792" spans="1:9">
      <c r="A792" s="789">
        <v>77</v>
      </c>
      <c r="B792" s="789" t="s">
        <v>2458</v>
      </c>
      <c r="C792" s="789" t="s">
        <v>2459</v>
      </c>
      <c r="D792" s="789" t="s">
        <v>2428</v>
      </c>
      <c r="E792" s="679">
        <v>358112932632558</v>
      </c>
      <c r="F792" s="790"/>
      <c r="G792" s="143">
        <v>1000</v>
      </c>
      <c r="H792" s="143"/>
      <c r="I792" s="143">
        <f t="shared" si="7"/>
        <v>3590</v>
      </c>
    </row>
    <row r="793" spans="1:9">
      <c r="A793" s="789">
        <v>78</v>
      </c>
      <c r="B793" s="789" t="s">
        <v>2968</v>
      </c>
      <c r="C793" s="789" t="s">
        <v>2455</v>
      </c>
      <c r="D793" s="789" t="s">
        <v>2442</v>
      </c>
      <c r="E793" s="679" t="s">
        <v>2969</v>
      </c>
      <c r="F793" s="790"/>
      <c r="G793" s="143">
        <v>400</v>
      </c>
      <c r="H793" s="143"/>
      <c r="I793" s="143">
        <f t="shared" si="7"/>
        <v>1436</v>
      </c>
    </row>
    <row r="794" spans="1:9">
      <c r="A794" s="789">
        <v>79</v>
      </c>
      <c r="B794" s="789" t="s">
        <v>2952</v>
      </c>
      <c r="C794" s="789" t="s">
        <v>2455</v>
      </c>
      <c r="D794" s="789" t="s">
        <v>2442</v>
      </c>
      <c r="E794" s="679">
        <v>359200572142647</v>
      </c>
      <c r="F794" s="790"/>
      <c r="G794" s="143">
        <v>575</v>
      </c>
      <c r="H794" s="143"/>
      <c r="I794" s="143">
        <f t="shared" si="7"/>
        <v>2064.25</v>
      </c>
    </row>
    <row r="795" spans="1:9">
      <c r="A795" s="789">
        <v>80</v>
      </c>
      <c r="B795" s="789" t="s">
        <v>2480</v>
      </c>
      <c r="C795" s="789" t="s">
        <v>2550</v>
      </c>
      <c r="D795" s="789" t="s">
        <v>2482</v>
      </c>
      <c r="E795" s="679">
        <v>358135790631933</v>
      </c>
      <c r="F795" s="790"/>
      <c r="G795" s="143">
        <v>660</v>
      </c>
      <c r="H795" s="143"/>
      <c r="I795" s="143">
        <f t="shared" si="7"/>
        <v>2369.4</v>
      </c>
    </row>
    <row r="796" spans="1:9">
      <c r="A796" s="789">
        <v>81</v>
      </c>
      <c r="B796" s="789" t="s">
        <v>2480</v>
      </c>
      <c r="C796" s="789" t="s">
        <v>2550</v>
      </c>
      <c r="D796" s="789" t="s">
        <v>2482</v>
      </c>
      <c r="E796" s="679">
        <v>358135794155822</v>
      </c>
      <c r="F796" s="790"/>
      <c r="G796" s="143">
        <v>660</v>
      </c>
      <c r="H796" s="143"/>
      <c r="I796" s="143">
        <f t="shared" si="7"/>
        <v>2369.4</v>
      </c>
    </row>
    <row r="797" spans="1:9">
      <c r="A797" s="789">
        <v>82</v>
      </c>
      <c r="B797" s="789" t="s">
        <v>2970</v>
      </c>
      <c r="C797" s="790"/>
      <c r="D797" s="789" t="s">
        <v>2446</v>
      </c>
      <c r="E797" s="679" t="s">
        <v>2971</v>
      </c>
      <c r="F797" s="790"/>
      <c r="G797" s="143">
        <v>115</v>
      </c>
      <c r="H797" s="143"/>
      <c r="I797" s="143">
        <f t="shared" si="7"/>
        <v>412.84999999999997</v>
      </c>
    </row>
    <row r="798" spans="1:9">
      <c r="A798" s="789">
        <v>83</v>
      </c>
      <c r="B798" s="789" t="s">
        <v>2622</v>
      </c>
      <c r="C798" s="789" t="s">
        <v>2621</v>
      </c>
      <c r="D798" s="790"/>
      <c r="E798" s="679">
        <v>711719574309</v>
      </c>
      <c r="F798" s="790"/>
      <c r="G798" s="143">
        <v>45</v>
      </c>
      <c r="H798" s="143"/>
      <c r="I798" s="143">
        <f t="shared" si="7"/>
        <v>161.54999999999998</v>
      </c>
    </row>
    <row r="799" spans="1:9">
      <c r="A799" s="789">
        <v>84</v>
      </c>
      <c r="B799" s="789" t="s">
        <v>2622</v>
      </c>
      <c r="C799" s="789" t="s">
        <v>2621</v>
      </c>
      <c r="D799" s="790"/>
      <c r="E799" s="679">
        <v>711719023227</v>
      </c>
      <c r="F799" s="790"/>
      <c r="G799" s="143">
        <v>45</v>
      </c>
      <c r="H799" s="143"/>
      <c r="I799" s="143">
        <f t="shared" si="7"/>
        <v>161.54999999999998</v>
      </c>
    </row>
    <row r="800" spans="1:9">
      <c r="A800" s="789">
        <v>85</v>
      </c>
      <c r="B800" s="789" t="s">
        <v>2622</v>
      </c>
      <c r="C800" s="789" t="s">
        <v>2972</v>
      </c>
      <c r="D800" s="790"/>
      <c r="E800" s="679">
        <v>711719574330</v>
      </c>
      <c r="F800" s="790"/>
      <c r="G800" s="143">
        <v>45</v>
      </c>
      <c r="H800" s="143"/>
      <c r="I800" s="143">
        <f t="shared" si="7"/>
        <v>161.54999999999998</v>
      </c>
    </row>
    <row r="801" spans="1:9">
      <c r="A801" s="789">
        <v>86</v>
      </c>
      <c r="B801" s="789" t="s">
        <v>2622</v>
      </c>
      <c r="C801" s="789" t="s">
        <v>2973</v>
      </c>
      <c r="D801" s="790"/>
      <c r="E801" s="679">
        <v>711719024422</v>
      </c>
      <c r="F801" s="790"/>
      <c r="G801" s="143">
        <v>45</v>
      </c>
      <c r="H801" s="143"/>
      <c r="I801" s="143">
        <f t="shared" si="7"/>
        <v>161.54999999999998</v>
      </c>
    </row>
    <row r="808" spans="1:9" ht="19.350000000000001" customHeight="1">
      <c r="A808" s="1466" t="s">
        <v>1</v>
      </c>
      <c r="B808" s="1466"/>
      <c r="C808" s="808">
        <v>46205</v>
      </c>
      <c r="D808" s="1467" t="s">
        <v>3021</v>
      </c>
      <c r="E808" s="1468"/>
      <c r="F808" s="1468"/>
      <c r="G808" s="1469"/>
      <c r="H808" s="821"/>
    </row>
    <row r="809" spans="1:9" ht="21" customHeight="1">
      <c r="A809" s="1466" t="s">
        <v>2416</v>
      </c>
      <c r="B809" s="1466"/>
      <c r="C809" s="809" t="s">
        <v>3013</v>
      </c>
      <c r="D809" s="1470" t="s">
        <v>3023</v>
      </c>
      <c r="E809" s="1471"/>
      <c r="F809" s="1471"/>
      <c r="G809" s="1472"/>
      <c r="H809" s="822"/>
    </row>
    <row r="810" spans="1:9">
      <c r="A810" s="810" t="s">
        <v>3014</v>
      </c>
      <c r="B810" s="810" t="s">
        <v>2419</v>
      </c>
      <c r="C810" s="810" t="s">
        <v>2420</v>
      </c>
      <c r="D810" s="810" t="s">
        <v>2421</v>
      </c>
      <c r="E810" s="810" t="s">
        <v>2755</v>
      </c>
      <c r="F810" s="810" t="s">
        <v>2423</v>
      </c>
      <c r="G810" s="810" t="s">
        <v>2649</v>
      </c>
      <c r="H810" s="823"/>
    </row>
    <row r="811" spans="1:9">
      <c r="A811" s="789">
        <v>1</v>
      </c>
      <c r="B811" s="789" t="s">
        <v>2426</v>
      </c>
      <c r="C811" s="789" t="s">
        <v>2427</v>
      </c>
      <c r="D811" s="789" t="s">
        <v>2428</v>
      </c>
      <c r="E811" s="679">
        <v>359912581596726</v>
      </c>
      <c r="F811" s="790"/>
      <c r="G811" s="143">
        <v>3450</v>
      </c>
      <c r="H811" s="818"/>
    </row>
    <row r="812" spans="1:9">
      <c r="A812" s="789">
        <v>2</v>
      </c>
      <c r="B812" s="789" t="s">
        <v>2426</v>
      </c>
      <c r="C812" s="789" t="s">
        <v>2427</v>
      </c>
      <c r="D812" s="789" t="s">
        <v>2428</v>
      </c>
      <c r="E812" s="679">
        <v>355224250496475</v>
      </c>
      <c r="F812" s="790"/>
      <c r="G812" s="143">
        <v>3450</v>
      </c>
      <c r="H812" s="818"/>
    </row>
    <row r="813" spans="1:9">
      <c r="A813" s="789">
        <v>3</v>
      </c>
      <c r="B813" s="789" t="s">
        <v>2426</v>
      </c>
      <c r="C813" s="789" t="s">
        <v>2427</v>
      </c>
      <c r="D813" s="789" t="s">
        <v>2428</v>
      </c>
      <c r="E813" s="679">
        <v>356605226917652</v>
      </c>
      <c r="F813" s="790"/>
      <c r="G813" s="143">
        <v>3450</v>
      </c>
      <c r="H813" s="818"/>
    </row>
    <row r="814" spans="1:9">
      <c r="A814" s="789">
        <v>4</v>
      </c>
      <c r="B814" s="789" t="s">
        <v>2426</v>
      </c>
      <c r="C814" s="789" t="s">
        <v>2427</v>
      </c>
      <c r="D814" s="789" t="s">
        <v>2428</v>
      </c>
      <c r="E814" s="679">
        <v>356605226749428</v>
      </c>
      <c r="F814" s="790"/>
      <c r="G814" s="143">
        <v>3450</v>
      </c>
      <c r="H814" s="818"/>
    </row>
    <row r="815" spans="1:9">
      <c r="A815" s="789">
        <v>5</v>
      </c>
      <c r="B815" s="789" t="s">
        <v>2426</v>
      </c>
      <c r="C815" s="789" t="s">
        <v>2526</v>
      </c>
      <c r="D815" s="789" t="s">
        <v>2428</v>
      </c>
      <c r="E815" s="679">
        <v>357586348055192</v>
      </c>
      <c r="F815" s="790"/>
      <c r="G815" s="143">
        <v>3130</v>
      </c>
      <c r="H815" s="818"/>
    </row>
    <row r="816" spans="1:9">
      <c r="A816" s="789">
        <v>6</v>
      </c>
      <c r="B816" s="789" t="s">
        <v>2426</v>
      </c>
      <c r="C816" s="789" t="s">
        <v>2526</v>
      </c>
      <c r="D816" s="789" t="s">
        <v>2428</v>
      </c>
      <c r="E816" s="679">
        <v>358051326198919</v>
      </c>
      <c r="F816" s="789" t="s">
        <v>1121</v>
      </c>
      <c r="G816" s="143">
        <v>3130</v>
      </c>
      <c r="H816" s="818"/>
    </row>
    <row r="817" spans="1:8">
      <c r="A817" s="789">
        <v>7</v>
      </c>
      <c r="B817" s="789" t="s">
        <v>2527</v>
      </c>
      <c r="C817" s="789" t="s">
        <v>2526</v>
      </c>
      <c r="D817" s="789" t="s">
        <v>2428</v>
      </c>
      <c r="E817" s="679">
        <v>355832515680889</v>
      </c>
      <c r="F817" s="789" t="s">
        <v>1121</v>
      </c>
      <c r="G817" s="143">
        <v>2600</v>
      </c>
      <c r="H817" s="818"/>
    </row>
    <row r="818" spans="1:8">
      <c r="A818" s="789">
        <v>8</v>
      </c>
      <c r="B818" s="789" t="s">
        <v>2527</v>
      </c>
      <c r="C818" s="789" t="s">
        <v>2526</v>
      </c>
      <c r="D818" s="789" t="s">
        <v>2428</v>
      </c>
      <c r="E818" s="679">
        <v>351317523248402</v>
      </c>
      <c r="F818" s="789" t="s">
        <v>3015</v>
      </c>
      <c r="G818" s="143">
        <v>2600</v>
      </c>
      <c r="H818" s="818"/>
    </row>
    <row r="819" spans="1:8">
      <c r="A819" s="792">
        <v>9</v>
      </c>
      <c r="B819" s="792" t="s">
        <v>2527</v>
      </c>
      <c r="C819" s="792" t="s">
        <v>2429</v>
      </c>
      <c r="D819" s="792" t="s">
        <v>2428</v>
      </c>
      <c r="E819" s="407">
        <v>351317529547856</v>
      </c>
      <c r="F819" s="793" t="s">
        <v>3022</v>
      </c>
      <c r="G819" s="732"/>
      <c r="H819" s="568"/>
    </row>
    <row r="820" spans="1:8">
      <c r="A820" s="789">
        <v>10</v>
      </c>
      <c r="B820" s="789" t="s">
        <v>2527</v>
      </c>
      <c r="C820" s="789" t="s">
        <v>2429</v>
      </c>
      <c r="D820" s="789" t="s">
        <v>2428</v>
      </c>
      <c r="E820" s="679">
        <v>356250549992031</v>
      </c>
      <c r="F820" s="29"/>
      <c r="G820" s="790">
        <v>2750</v>
      </c>
      <c r="H820" s="815"/>
    </row>
    <row r="821" spans="1:8">
      <c r="A821" s="789">
        <v>11</v>
      </c>
      <c r="B821" s="789" t="s">
        <v>2528</v>
      </c>
      <c r="C821" s="789" t="s">
        <v>2529</v>
      </c>
      <c r="D821" s="789" t="s">
        <v>2428</v>
      </c>
      <c r="E821" s="679">
        <v>357247595315819</v>
      </c>
      <c r="F821" s="790"/>
      <c r="G821" s="143">
        <v>1920</v>
      </c>
      <c r="H821" s="818"/>
    </row>
    <row r="822" spans="1:8">
      <c r="A822" s="789">
        <v>12</v>
      </c>
      <c r="B822" s="789" t="s">
        <v>2528</v>
      </c>
      <c r="C822" s="789" t="s">
        <v>2529</v>
      </c>
      <c r="D822" s="789" t="s">
        <v>2428</v>
      </c>
      <c r="E822" s="679">
        <v>357223741959446</v>
      </c>
      <c r="F822" s="790"/>
      <c r="G822" s="143">
        <v>1920</v>
      </c>
      <c r="H822" s="818"/>
    </row>
    <row r="823" spans="1:8">
      <c r="A823" s="789">
        <v>13</v>
      </c>
      <c r="B823" s="789" t="s">
        <v>2528</v>
      </c>
      <c r="C823" s="789" t="s">
        <v>2459</v>
      </c>
      <c r="D823" s="789" t="s">
        <v>2428</v>
      </c>
      <c r="E823" s="679">
        <v>351605725846399</v>
      </c>
      <c r="F823" s="789" t="s">
        <v>3016</v>
      </c>
      <c r="G823" s="143">
        <v>1870</v>
      </c>
      <c r="H823" s="818"/>
    </row>
    <row r="824" spans="1:8">
      <c r="A824" s="789">
        <v>14</v>
      </c>
      <c r="B824" s="789" t="s">
        <v>2528</v>
      </c>
      <c r="C824" s="789" t="s">
        <v>2459</v>
      </c>
      <c r="D824" s="789" t="s">
        <v>2428</v>
      </c>
      <c r="E824" s="679">
        <v>351605726004006</v>
      </c>
      <c r="F824" s="790"/>
      <c r="G824" s="143">
        <v>1920</v>
      </c>
      <c r="H824" s="818"/>
    </row>
    <row r="825" spans="1:8">
      <c r="A825" s="789">
        <v>15</v>
      </c>
      <c r="B825" s="789" t="s">
        <v>2528</v>
      </c>
      <c r="C825" s="789" t="s">
        <v>2459</v>
      </c>
      <c r="D825" s="789" t="s">
        <v>2428</v>
      </c>
      <c r="E825" s="679">
        <v>351605725975859</v>
      </c>
      <c r="F825" s="790"/>
      <c r="G825" s="143">
        <v>1920</v>
      </c>
      <c r="H825" s="818"/>
    </row>
    <row r="826" spans="1:8">
      <c r="A826" s="789">
        <v>16</v>
      </c>
      <c r="B826" s="789" t="s">
        <v>2528</v>
      </c>
      <c r="C826" s="789" t="s">
        <v>2459</v>
      </c>
      <c r="D826" s="789" t="s">
        <v>2428</v>
      </c>
      <c r="E826" s="679">
        <v>351605726091755</v>
      </c>
      <c r="F826" s="790"/>
      <c r="G826" s="143">
        <v>1920</v>
      </c>
      <c r="H826" s="818"/>
    </row>
    <row r="827" spans="1:8">
      <c r="A827" s="789">
        <v>17</v>
      </c>
      <c r="B827" s="789" t="s">
        <v>2547</v>
      </c>
      <c r="C827" s="789" t="s">
        <v>2459</v>
      </c>
      <c r="D827" s="789" t="s">
        <v>2428</v>
      </c>
      <c r="E827" s="679">
        <v>352355700564521</v>
      </c>
      <c r="F827" s="790"/>
      <c r="G827" s="143">
        <v>3950</v>
      </c>
      <c r="H827" s="818"/>
    </row>
    <row r="828" spans="1:8">
      <c r="A828" s="789">
        <v>18</v>
      </c>
      <c r="B828" s="789" t="s">
        <v>2547</v>
      </c>
      <c r="C828" s="789" t="s">
        <v>2459</v>
      </c>
      <c r="D828" s="789" t="s">
        <v>2428</v>
      </c>
      <c r="E828" s="679">
        <v>352355708179843</v>
      </c>
      <c r="F828" s="789" t="s">
        <v>1121</v>
      </c>
      <c r="G828" s="143">
        <v>3850</v>
      </c>
      <c r="H828" s="818"/>
    </row>
    <row r="829" spans="1:8">
      <c r="A829" s="789">
        <v>19</v>
      </c>
      <c r="B829" s="789" t="s">
        <v>2547</v>
      </c>
      <c r="C829" s="789" t="s">
        <v>2459</v>
      </c>
      <c r="D829" s="789" t="s">
        <v>2428</v>
      </c>
      <c r="E829" s="679">
        <v>352355707695203</v>
      </c>
      <c r="F829" s="789" t="s">
        <v>3017</v>
      </c>
      <c r="G829" s="143">
        <v>3850</v>
      </c>
      <c r="H829" s="818"/>
    </row>
    <row r="830" spans="1:8">
      <c r="A830" s="789">
        <v>20</v>
      </c>
      <c r="B830" s="789" t="s">
        <v>2547</v>
      </c>
      <c r="C830" s="789" t="s">
        <v>2459</v>
      </c>
      <c r="D830" s="789" t="s">
        <v>2428</v>
      </c>
      <c r="E830" s="679">
        <v>352355702872138</v>
      </c>
      <c r="F830" s="789" t="s">
        <v>3018</v>
      </c>
      <c r="G830" s="143">
        <v>3850</v>
      </c>
      <c r="H830" s="818"/>
    </row>
    <row r="831" spans="1:8">
      <c r="A831" s="789">
        <v>21</v>
      </c>
      <c r="B831" s="789" t="s">
        <v>2547</v>
      </c>
      <c r="C831" s="789" t="s">
        <v>2459</v>
      </c>
      <c r="D831" s="789" t="s">
        <v>3019</v>
      </c>
      <c r="E831" s="679">
        <v>352355708317864</v>
      </c>
      <c r="F831" s="790"/>
      <c r="G831" s="143">
        <v>4600</v>
      </c>
      <c r="H831" s="818"/>
    </row>
    <row r="832" spans="1:8">
      <c r="A832" s="789">
        <v>22</v>
      </c>
      <c r="B832" s="789" t="s">
        <v>2480</v>
      </c>
      <c r="C832" s="789" t="s">
        <v>2538</v>
      </c>
      <c r="D832" s="789" t="s">
        <v>2482</v>
      </c>
      <c r="E832" s="679">
        <v>353938643664943</v>
      </c>
      <c r="F832" s="790"/>
      <c r="G832" s="143">
        <v>2380</v>
      </c>
      <c r="H832" s="818"/>
    </row>
    <row r="833" spans="1:9">
      <c r="A833" s="789">
        <v>23</v>
      </c>
      <c r="B833" s="789" t="s">
        <v>2639</v>
      </c>
      <c r="C833" s="789" t="s">
        <v>2776</v>
      </c>
      <c r="D833" s="789" t="s">
        <v>2687</v>
      </c>
      <c r="E833" s="679">
        <v>357324132104624</v>
      </c>
      <c r="F833" s="790"/>
      <c r="G833" s="143">
        <v>1350</v>
      </c>
      <c r="H833" s="818"/>
    </row>
    <row r="834" spans="1:9">
      <c r="A834" s="789">
        <v>24</v>
      </c>
      <c r="B834" s="789" t="s">
        <v>2639</v>
      </c>
      <c r="C834" s="789" t="s">
        <v>2640</v>
      </c>
      <c r="D834" s="789" t="s">
        <v>2641</v>
      </c>
      <c r="E834" s="679">
        <v>356865260896796</v>
      </c>
      <c r="F834" s="790"/>
      <c r="G834" s="143">
        <v>1250</v>
      </c>
      <c r="H834" s="818"/>
    </row>
    <row r="835" spans="1:9">
      <c r="A835" s="789">
        <v>25</v>
      </c>
      <c r="B835" s="789" t="s">
        <v>2483</v>
      </c>
      <c r="C835" s="789" t="s">
        <v>2457</v>
      </c>
      <c r="D835" s="789" t="s">
        <v>2486</v>
      </c>
      <c r="E835" s="679">
        <v>357550249890172</v>
      </c>
      <c r="F835" s="789" t="s">
        <v>3020</v>
      </c>
      <c r="G835" s="143">
        <v>800</v>
      </c>
      <c r="H835" s="818"/>
    </row>
    <row r="836" spans="1:9">
      <c r="A836" s="789">
        <v>26</v>
      </c>
      <c r="B836" s="789" t="s">
        <v>2483</v>
      </c>
      <c r="C836" s="789" t="s">
        <v>2457</v>
      </c>
      <c r="D836" s="754" t="s">
        <v>2484</v>
      </c>
      <c r="E836" s="755">
        <v>352673831095177</v>
      </c>
      <c r="F836" s="976"/>
      <c r="G836" s="977">
        <v>900</v>
      </c>
      <c r="H836" s="818"/>
    </row>
    <row r="837" spans="1:9">
      <c r="A837" s="975">
        <v>27</v>
      </c>
      <c r="B837" s="975" t="s">
        <v>2547</v>
      </c>
      <c r="C837" s="975" t="s">
        <v>2459</v>
      </c>
      <c r="D837" s="975" t="s">
        <v>2428</v>
      </c>
      <c r="E837" s="679">
        <v>352355700129150</v>
      </c>
      <c r="F837" s="143"/>
      <c r="G837" s="143">
        <v>3800</v>
      </c>
      <c r="H837" s="143"/>
    </row>
    <row r="838" spans="1:9">
      <c r="A838" s="975">
        <v>28</v>
      </c>
      <c r="B838" s="975" t="s">
        <v>2547</v>
      </c>
      <c r="C838" s="975" t="s">
        <v>2459</v>
      </c>
      <c r="D838" s="975" t="s">
        <v>2428</v>
      </c>
      <c r="E838" s="679">
        <v>352355706300888</v>
      </c>
      <c r="F838" s="143"/>
      <c r="G838" s="143">
        <v>3800</v>
      </c>
      <c r="H838" s="143"/>
    </row>
    <row r="839" spans="1:9">
      <c r="A839" s="688"/>
      <c r="B839" s="688"/>
      <c r="C839" s="688"/>
      <c r="D839" s="782"/>
      <c r="E839" s="688"/>
      <c r="G839" s="500"/>
    </row>
    <row r="840" spans="1:9">
      <c r="A840" s="688"/>
      <c r="B840" s="688"/>
      <c r="C840" s="688"/>
      <c r="D840" s="782"/>
      <c r="E840" s="688"/>
    </row>
    <row r="841" spans="1:9">
      <c r="A841" s="688"/>
      <c r="B841" s="688"/>
      <c r="C841" s="688"/>
      <c r="D841" s="782"/>
      <c r="E841" s="688"/>
    </row>
    <row r="842" spans="1:9">
      <c r="A842" s="688"/>
      <c r="B842" s="688"/>
      <c r="C842" s="688"/>
      <c r="D842" s="782"/>
      <c r="E842" s="688"/>
    </row>
    <row r="843" spans="1:9" ht="36">
      <c r="A843" s="1474" t="s">
        <v>3027</v>
      </c>
      <c r="B843" s="1474"/>
      <c r="C843" s="826" t="s">
        <v>3028</v>
      </c>
      <c r="D843" s="1475" t="s">
        <v>3089</v>
      </c>
      <c r="E843" s="1475"/>
      <c r="F843" s="1475"/>
      <c r="G843" s="1475"/>
      <c r="H843" s="1475"/>
      <c r="I843" s="1475"/>
    </row>
    <row r="844" spans="1:9" ht="18">
      <c r="A844" s="827" t="s">
        <v>3014</v>
      </c>
      <c r="B844" s="827" t="s">
        <v>2419</v>
      </c>
      <c r="C844" s="827" t="s">
        <v>2420</v>
      </c>
      <c r="D844" s="827" t="s">
        <v>2421</v>
      </c>
      <c r="E844" s="827" t="s">
        <v>2422</v>
      </c>
      <c r="F844" s="827" t="s">
        <v>2423</v>
      </c>
      <c r="G844" s="827" t="s">
        <v>2544</v>
      </c>
      <c r="H844" s="827" t="s">
        <v>2649</v>
      </c>
      <c r="I844" s="827" t="s">
        <v>3029</v>
      </c>
    </row>
    <row r="845" spans="1:9" ht="18.75">
      <c r="A845" s="828">
        <v>1</v>
      </c>
      <c r="B845" s="829" t="s">
        <v>3030</v>
      </c>
      <c r="C845" s="829" t="s">
        <v>3031</v>
      </c>
      <c r="D845" s="829" t="s">
        <v>3032</v>
      </c>
      <c r="E845" s="828">
        <v>355246652977711</v>
      </c>
      <c r="F845" s="829" t="s">
        <v>3033</v>
      </c>
      <c r="G845" s="824">
        <v>930</v>
      </c>
      <c r="H845" s="824">
        <f>G845*3.59</f>
        <v>3338.7</v>
      </c>
      <c r="I845" s="142"/>
    </row>
    <row r="846" spans="1:9" ht="18.75">
      <c r="A846" s="828">
        <v>2</v>
      </c>
      <c r="B846" s="829" t="s">
        <v>3030</v>
      </c>
      <c r="C846" s="829" t="s">
        <v>3031</v>
      </c>
      <c r="D846" s="829" t="s">
        <v>3032</v>
      </c>
      <c r="E846" s="828">
        <v>353263424016977</v>
      </c>
      <c r="F846" s="829" t="s">
        <v>3034</v>
      </c>
      <c r="G846" s="824">
        <v>1000</v>
      </c>
      <c r="H846" s="824">
        <f t="shared" ref="H846:H909" si="8">G846*3.59</f>
        <v>3590</v>
      </c>
      <c r="I846" s="142" t="s">
        <v>1113</v>
      </c>
    </row>
    <row r="847" spans="1:9" ht="18.75">
      <c r="A847" s="828">
        <v>3</v>
      </c>
      <c r="B847" s="829" t="s">
        <v>3030</v>
      </c>
      <c r="C847" s="829" t="s">
        <v>3031</v>
      </c>
      <c r="D847" s="829" t="s">
        <v>3032</v>
      </c>
      <c r="E847" s="828">
        <v>355246650625650</v>
      </c>
      <c r="F847" s="829" t="s">
        <v>3033</v>
      </c>
      <c r="G847" s="824">
        <v>930</v>
      </c>
      <c r="H847" s="824">
        <f t="shared" si="8"/>
        <v>3338.7</v>
      </c>
      <c r="I847" s="142" t="s">
        <v>1113</v>
      </c>
    </row>
    <row r="848" spans="1:9" ht="18.75">
      <c r="A848" s="828">
        <v>4</v>
      </c>
      <c r="B848" s="829" t="s">
        <v>3030</v>
      </c>
      <c r="C848" s="829" t="s">
        <v>3031</v>
      </c>
      <c r="D848" s="829" t="s">
        <v>3032</v>
      </c>
      <c r="E848" s="828">
        <v>357586349172541</v>
      </c>
      <c r="F848" s="829" t="s">
        <v>3033</v>
      </c>
      <c r="G848" s="824">
        <v>930</v>
      </c>
      <c r="H848" s="824">
        <f t="shared" si="8"/>
        <v>3338.7</v>
      </c>
      <c r="I848" s="142"/>
    </row>
    <row r="849" spans="1:9" ht="18.75">
      <c r="A849" s="828">
        <v>5</v>
      </c>
      <c r="B849" s="829" t="s">
        <v>3030</v>
      </c>
      <c r="C849" s="829" t="s">
        <v>3031</v>
      </c>
      <c r="D849" s="829" t="s">
        <v>3032</v>
      </c>
      <c r="E849" s="828">
        <v>350889860270851</v>
      </c>
      <c r="F849" s="829" t="s">
        <v>3035</v>
      </c>
      <c r="G849" s="824">
        <v>960</v>
      </c>
      <c r="H849" s="824">
        <f t="shared" si="8"/>
        <v>3446.3999999999996</v>
      </c>
      <c r="I849" s="142"/>
    </row>
    <row r="850" spans="1:9" ht="18.75">
      <c r="A850" s="828">
        <v>6</v>
      </c>
      <c r="B850" s="829" t="s">
        <v>3030</v>
      </c>
      <c r="C850" s="829" t="s">
        <v>3031</v>
      </c>
      <c r="D850" s="829" t="s">
        <v>3032</v>
      </c>
      <c r="E850" s="828">
        <v>359614543648872</v>
      </c>
      <c r="F850" s="829" t="s">
        <v>3034</v>
      </c>
      <c r="G850" s="824">
        <v>1000</v>
      </c>
      <c r="H850" s="824">
        <f t="shared" si="8"/>
        <v>3590</v>
      </c>
      <c r="I850" s="142" t="s">
        <v>1113</v>
      </c>
    </row>
    <row r="851" spans="1:9" ht="18.75">
      <c r="A851" s="828">
        <v>7</v>
      </c>
      <c r="B851" s="829" t="s">
        <v>3030</v>
      </c>
      <c r="C851" s="829" t="s">
        <v>3031</v>
      </c>
      <c r="D851" s="829" t="s">
        <v>3032</v>
      </c>
      <c r="E851" s="828">
        <v>357586349148152</v>
      </c>
      <c r="F851" s="829" t="s">
        <v>3033</v>
      </c>
      <c r="G851" s="824">
        <v>930</v>
      </c>
      <c r="H851" s="824">
        <f t="shared" si="8"/>
        <v>3338.7</v>
      </c>
      <c r="I851" s="142"/>
    </row>
    <row r="852" spans="1:9" ht="18.75">
      <c r="A852" s="828">
        <v>8</v>
      </c>
      <c r="B852" s="829" t="s">
        <v>3030</v>
      </c>
      <c r="C852" s="829" t="s">
        <v>3031</v>
      </c>
      <c r="D852" s="829" t="s">
        <v>3032</v>
      </c>
      <c r="E852" s="828">
        <v>353263424081401</v>
      </c>
      <c r="F852" s="829" t="s">
        <v>3034</v>
      </c>
      <c r="G852" s="824">
        <v>1000</v>
      </c>
      <c r="H852" s="824">
        <f t="shared" si="8"/>
        <v>3590</v>
      </c>
      <c r="I852" s="142" t="s">
        <v>1113</v>
      </c>
    </row>
    <row r="853" spans="1:9" ht="30.75">
      <c r="A853" s="828">
        <v>9</v>
      </c>
      <c r="B853" s="829" t="s">
        <v>3030</v>
      </c>
      <c r="C853" s="829" t="s">
        <v>3031</v>
      </c>
      <c r="D853" s="829" t="s">
        <v>3032</v>
      </c>
      <c r="E853" s="828">
        <v>359802898807108</v>
      </c>
      <c r="F853" s="829" t="s">
        <v>3036</v>
      </c>
      <c r="G853" s="824">
        <v>1090</v>
      </c>
      <c r="H853" s="824">
        <f t="shared" si="8"/>
        <v>3913.1</v>
      </c>
      <c r="I853" s="825" t="s">
        <v>3037</v>
      </c>
    </row>
    <row r="854" spans="1:9" ht="18.75">
      <c r="A854" s="828">
        <v>10</v>
      </c>
      <c r="B854" s="829" t="s">
        <v>3030</v>
      </c>
      <c r="C854" s="829" t="s">
        <v>3031</v>
      </c>
      <c r="D854" s="829" t="s">
        <v>3032</v>
      </c>
      <c r="E854" s="828">
        <v>353263423995601</v>
      </c>
      <c r="F854" s="829" t="s">
        <v>3034</v>
      </c>
      <c r="G854" s="824">
        <v>1000</v>
      </c>
      <c r="H854" s="824">
        <f t="shared" si="8"/>
        <v>3590</v>
      </c>
      <c r="I854" s="142" t="s">
        <v>1113</v>
      </c>
    </row>
    <row r="855" spans="1:9" ht="30.75">
      <c r="A855" s="828">
        <v>11</v>
      </c>
      <c r="B855" s="829" t="s">
        <v>3030</v>
      </c>
      <c r="C855" s="829" t="s">
        <v>3031</v>
      </c>
      <c r="D855" s="829" t="s">
        <v>3032</v>
      </c>
      <c r="E855" s="828">
        <v>350599869476702</v>
      </c>
      <c r="F855" s="830"/>
      <c r="G855" s="824">
        <v>900</v>
      </c>
      <c r="H855" s="824">
        <f t="shared" si="8"/>
        <v>3231</v>
      </c>
      <c r="I855" s="825" t="s">
        <v>3038</v>
      </c>
    </row>
    <row r="856" spans="1:9" ht="18.75">
      <c r="A856" s="828">
        <v>12</v>
      </c>
      <c r="B856" s="829" t="s">
        <v>3030</v>
      </c>
      <c r="C856" s="829" t="s">
        <v>3031</v>
      </c>
      <c r="D856" s="829" t="s">
        <v>3032</v>
      </c>
      <c r="E856" s="828">
        <v>358051328938171</v>
      </c>
      <c r="F856" s="829" t="s">
        <v>3039</v>
      </c>
      <c r="G856" s="824">
        <v>1090</v>
      </c>
      <c r="H856" s="824">
        <f t="shared" si="8"/>
        <v>3913.1</v>
      </c>
      <c r="I856" s="142" t="s">
        <v>1113</v>
      </c>
    </row>
    <row r="857" spans="1:9" ht="18.75">
      <c r="A857" s="828">
        <v>13</v>
      </c>
      <c r="B857" s="829" t="s">
        <v>3030</v>
      </c>
      <c r="C857" s="829" t="s">
        <v>3031</v>
      </c>
      <c r="D857" s="829" t="s">
        <v>3032</v>
      </c>
      <c r="E857" s="828">
        <v>353263429421313</v>
      </c>
      <c r="F857" s="829" t="s">
        <v>3034</v>
      </c>
      <c r="G857" s="824">
        <v>1000</v>
      </c>
      <c r="H857" s="824">
        <f t="shared" si="8"/>
        <v>3590</v>
      </c>
      <c r="I857" s="142" t="s">
        <v>1113</v>
      </c>
    </row>
    <row r="858" spans="1:9" ht="18.75">
      <c r="A858" s="828">
        <v>14</v>
      </c>
      <c r="B858" s="829" t="s">
        <v>3030</v>
      </c>
      <c r="C858" s="829" t="s">
        <v>3031</v>
      </c>
      <c r="D858" s="829" t="s">
        <v>3032</v>
      </c>
      <c r="E858" s="828">
        <v>353263424486485</v>
      </c>
      <c r="F858" s="829" t="s">
        <v>3034</v>
      </c>
      <c r="G858" s="824">
        <v>1000</v>
      </c>
      <c r="H858" s="824">
        <f t="shared" si="8"/>
        <v>3590</v>
      </c>
      <c r="I858" s="142" t="s">
        <v>1113</v>
      </c>
    </row>
    <row r="859" spans="1:9" ht="18.75">
      <c r="A859" s="828">
        <v>15</v>
      </c>
      <c r="B859" s="829" t="s">
        <v>3030</v>
      </c>
      <c r="C859" s="829" t="s">
        <v>3031</v>
      </c>
      <c r="D859" s="829" t="s">
        <v>3032</v>
      </c>
      <c r="E859" s="828">
        <v>353263423726956</v>
      </c>
      <c r="F859" s="829" t="s">
        <v>3034</v>
      </c>
      <c r="G859" s="824">
        <v>1000</v>
      </c>
      <c r="H859" s="824">
        <f t="shared" si="8"/>
        <v>3590</v>
      </c>
      <c r="I859" s="142" t="s">
        <v>1113</v>
      </c>
    </row>
    <row r="860" spans="1:9" ht="18.75">
      <c r="A860" s="828">
        <v>16</v>
      </c>
      <c r="B860" s="829" t="s">
        <v>3030</v>
      </c>
      <c r="C860" s="829" t="s">
        <v>3031</v>
      </c>
      <c r="D860" s="829" t="s">
        <v>3032</v>
      </c>
      <c r="E860" s="828">
        <v>359614547404140</v>
      </c>
      <c r="F860" s="829" t="s">
        <v>3039</v>
      </c>
      <c r="G860" s="824">
        <v>930</v>
      </c>
      <c r="H860" s="824">
        <f t="shared" si="8"/>
        <v>3338.7</v>
      </c>
      <c r="I860" s="142" t="s">
        <v>1113</v>
      </c>
    </row>
    <row r="861" spans="1:9" ht="18.75">
      <c r="A861" s="828">
        <v>17</v>
      </c>
      <c r="B861" s="829" t="s">
        <v>3030</v>
      </c>
      <c r="C861" s="829" t="s">
        <v>3031</v>
      </c>
      <c r="D861" s="829" t="s">
        <v>3032</v>
      </c>
      <c r="E861" s="828">
        <v>357586345930520</v>
      </c>
      <c r="F861" s="829" t="s">
        <v>3039</v>
      </c>
      <c r="G861" s="824">
        <v>930</v>
      </c>
      <c r="H861" s="824">
        <f t="shared" si="8"/>
        <v>3338.7</v>
      </c>
      <c r="I861" s="142" t="s">
        <v>1113</v>
      </c>
    </row>
    <row r="862" spans="1:9" ht="18.75">
      <c r="A862" s="828">
        <v>18</v>
      </c>
      <c r="B862" s="829" t="s">
        <v>3030</v>
      </c>
      <c r="C862" s="829" t="s">
        <v>3031</v>
      </c>
      <c r="D862" s="829" t="s">
        <v>3032</v>
      </c>
      <c r="E862" s="828">
        <v>350599867351444</v>
      </c>
      <c r="F862" s="829" t="s">
        <v>3033</v>
      </c>
      <c r="G862" s="824">
        <v>930</v>
      </c>
      <c r="H862" s="824">
        <f t="shared" si="8"/>
        <v>3338.7</v>
      </c>
      <c r="I862" s="142"/>
    </row>
    <row r="863" spans="1:9" ht="18.75">
      <c r="A863" s="828">
        <v>19</v>
      </c>
      <c r="B863" s="829" t="s">
        <v>3030</v>
      </c>
      <c r="C863" s="829" t="s">
        <v>3031</v>
      </c>
      <c r="D863" s="829" t="s">
        <v>3032</v>
      </c>
      <c r="E863" s="828">
        <v>357586345594383</v>
      </c>
      <c r="F863" s="829" t="s">
        <v>3039</v>
      </c>
      <c r="G863" s="824">
        <v>930</v>
      </c>
      <c r="H863" s="824">
        <f t="shared" si="8"/>
        <v>3338.7</v>
      </c>
      <c r="I863" s="142" t="s">
        <v>1113</v>
      </c>
    </row>
    <row r="864" spans="1:9" ht="18.75">
      <c r="A864" s="828">
        <v>20</v>
      </c>
      <c r="B864" s="829" t="s">
        <v>3030</v>
      </c>
      <c r="C864" s="829" t="s">
        <v>3031</v>
      </c>
      <c r="D864" s="829" t="s">
        <v>3032</v>
      </c>
      <c r="E864" s="828">
        <v>353263429317628</v>
      </c>
      <c r="F864" s="829" t="s">
        <v>3034</v>
      </c>
      <c r="G864" s="824">
        <v>1000</v>
      </c>
      <c r="H864" s="824">
        <f t="shared" si="8"/>
        <v>3590</v>
      </c>
      <c r="I864" s="142" t="s">
        <v>1113</v>
      </c>
    </row>
    <row r="865" spans="1:9" ht="18.75">
      <c r="A865" s="828">
        <v>21</v>
      </c>
      <c r="B865" s="829" t="s">
        <v>3030</v>
      </c>
      <c r="C865" s="829" t="s">
        <v>3031</v>
      </c>
      <c r="D865" s="829" t="s">
        <v>3032</v>
      </c>
      <c r="E865" s="828">
        <v>359614548991376</v>
      </c>
      <c r="F865" s="831" t="s">
        <v>2447</v>
      </c>
      <c r="G865" s="824">
        <v>1000</v>
      </c>
      <c r="H865" s="824">
        <f t="shared" si="8"/>
        <v>3590</v>
      </c>
      <c r="I865" s="142" t="s">
        <v>1113</v>
      </c>
    </row>
    <row r="866" spans="1:9" ht="18.75">
      <c r="A866" s="828">
        <v>22</v>
      </c>
      <c r="B866" s="829" t="s">
        <v>3030</v>
      </c>
      <c r="C866" s="829" t="s">
        <v>3031</v>
      </c>
      <c r="D866" s="829" t="s">
        <v>3032</v>
      </c>
      <c r="E866" s="828">
        <v>353263424223136</v>
      </c>
      <c r="F866" s="829" t="s">
        <v>3034</v>
      </c>
      <c r="G866" s="824">
        <v>1000</v>
      </c>
      <c r="H866" s="824">
        <f t="shared" si="8"/>
        <v>3590</v>
      </c>
      <c r="I866" s="142" t="s">
        <v>1113</v>
      </c>
    </row>
    <row r="867" spans="1:9" ht="18.75">
      <c r="A867" s="828">
        <v>23</v>
      </c>
      <c r="B867" s="829" t="s">
        <v>3030</v>
      </c>
      <c r="C867" s="829" t="s">
        <v>3031</v>
      </c>
      <c r="D867" s="829" t="s">
        <v>3032</v>
      </c>
      <c r="E867" s="828">
        <v>359614543570472</v>
      </c>
      <c r="F867" s="829" t="s">
        <v>3035</v>
      </c>
      <c r="G867" s="824">
        <v>1000</v>
      </c>
      <c r="H867" s="824">
        <f t="shared" si="8"/>
        <v>3590</v>
      </c>
      <c r="I867" s="142" t="s">
        <v>1113</v>
      </c>
    </row>
    <row r="868" spans="1:9" ht="18.75">
      <c r="A868" s="828">
        <v>24</v>
      </c>
      <c r="B868" s="829" t="s">
        <v>3030</v>
      </c>
      <c r="C868" s="829" t="s">
        <v>3031</v>
      </c>
      <c r="D868" s="829" t="s">
        <v>3032</v>
      </c>
      <c r="E868" s="828">
        <v>353837411197401</v>
      </c>
      <c r="F868" s="830"/>
      <c r="G868" s="824">
        <v>930</v>
      </c>
      <c r="H868" s="824">
        <f t="shared" si="8"/>
        <v>3338.7</v>
      </c>
      <c r="I868" s="142" t="s">
        <v>1113</v>
      </c>
    </row>
    <row r="869" spans="1:9" ht="18.75">
      <c r="A869" s="828">
        <v>25</v>
      </c>
      <c r="B869" s="829" t="s">
        <v>3030</v>
      </c>
      <c r="C869" s="829" t="s">
        <v>3031</v>
      </c>
      <c r="D869" s="829" t="s">
        <v>3032</v>
      </c>
      <c r="E869" s="828">
        <v>352791396508374</v>
      </c>
      <c r="F869" s="830"/>
      <c r="G869" s="824">
        <v>930</v>
      </c>
      <c r="H869" s="824">
        <f t="shared" si="8"/>
        <v>3338.7</v>
      </c>
      <c r="I869" s="142" t="s">
        <v>1113</v>
      </c>
    </row>
    <row r="870" spans="1:9" ht="18.75">
      <c r="A870" s="828">
        <v>26</v>
      </c>
      <c r="B870" s="829" t="s">
        <v>3030</v>
      </c>
      <c r="C870" s="829" t="s">
        <v>3031</v>
      </c>
      <c r="D870" s="829" t="s">
        <v>3032</v>
      </c>
      <c r="E870" s="828">
        <v>353263423631370</v>
      </c>
      <c r="F870" s="829" t="s">
        <v>3034</v>
      </c>
      <c r="G870" s="824">
        <v>1000</v>
      </c>
      <c r="H870" s="824">
        <f t="shared" si="8"/>
        <v>3590</v>
      </c>
      <c r="I870" s="142" t="s">
        <v>1113</v>
      </c>
    </row>
    <row r="871" spans="1:9" ht="18.75">
      <c r="A871" s="828">
        <v>27</v>
      </c>
      <c r="B871" s="829" t="s">
        <v>3030</v>
      </c>
      <c r="C871" s="829" t="s">
        <v>3031</v>
      </c>
      <c r="D871" s="829" t="s">
        <v>3032</v>
      </c>
      <c r="E871" s="828">
        <v>358419941371486</v>
      </c>
      <c r="F871" s="829" t="s">
        <v>3035</v>
      </c>
      <c r="G871" s="824">
        <v>980</v>
      </c>
      <c r="H871" s="824">
        <f t="shared" si="8"/>
        <v>3518.2</v>
      </c>
      <c r="I871" s="142"/>
    </row>
    <row r="872" spans="1:9" ht="18.75">
      <c r="A872" s="828">
        <v>28</v>
      </c>
      <c r="B872" s="829" t="s">
        <v>3030</v>
      </c>
      <c r="C872" s="829" t="s">
        <v>3031</v>
      </c>
      <c r="D872" s="829" t="s">
        <v>3032</v>
      </c>
      <c r="E872" s="828">
        <v>355246650228620</v>
      </c>
      <c r="F872" s="830"/>
      <c r="G872" s="824">
        <v>930</v>
      </c>
      <c r="H872" s="824">
        <f t="shared" si="8"/>
        <v>3338.7</v>
      </c>
      <c r="I872" s="142" t="s">
        <v>1113</v>
      </c>
    </row>
    <row r="873" spans="1:9" ht="30.75">
      <c r="A873" s="828">
        <v>29</v>
      </c>
      <c r="B873" s="829" t="s">
        <v>3030</v>
      </c>
      <c r="C873" s="829" t="s">
        <v>3031</v>
      </c>
      <c r="D873" s="829" t="s">
        <v>3032</v>
      </c>
      <c r="E873" s="828">
        <v>353263429694141</v>
      </c>
      <c r="F873" s="830"/>
      <c r="G873" s="824">
        <v>900</v>
      </c>
      <c r="H873" s="824">
        <f t="shared" si="8"/>
        <v>3231</v>
      </c>
      <c r="I873" s="825" t="s">
        <v>3038</v>
      </c>
    </row>
    <row r="874" spans="1:9" ht="18.75">
      <c r="A874" s="828">
        <v>30</v>
      </c>
      <c r="B874" s="829" t="s">
        <v>3030</v>
      </c>
      <c r="C874" s="829" t="s">
        <v>3031</v>
      </c>
      <c r="D874" s="829" t="s">
        <v>3032</v>
      </c>
      <c r="E874" s="828">
        <v>357586349143344</v>
      </c>
      <c r="F874" s="829" t="s">
        <v>3033</v>
      </c>
      <c r="G874" s="824">
        <v>930</v>
      </c>
      <c r="H874" s="824">
        <f t="shared" si="8"/>
        <v>3338.7</v>
      </c>
      <c r="I874" s="142"/>
    </row>
    <row r="875" spans="1:9" ht="18.75">
      <c r="A875" s="828">
        <v>31</v>
      </c>
      <c r="B875" s="829" t="s">
        <v>3030</v>
      </c>
      <c r="C875" s="829" t="s">
        <v>3031</v>
      </c>
      <c r="D875" s="829" t="s">
        <v>3032</v>
      </c>
      <c r="E875" s="828">
        <v>350599868575991</v>
      </c>
      <c r="F875" s="830"/>
      <c r="G875" s="824">
        <v>930</v>
      </c>
      <c r="H875" s="824">
        <f t="shared" si="8"/>
        <v>3338.7</v>
      </c>
      <c r="I875" s="142" t="s">
        <v>1113</v>
      </c>
    </row>
    <row r="876" spans="1:9" ht="18.75">
      <c r="A876" s="828">
        <v>32</v>
      </c>
      <c r="B876" s="829" t="s">
        <v>3030</v>
      </c>
      <c r="C876" s="829" t="s">
        <v>3031</v>
      </c>
      <c r="D876" s="829" t="s">
        <v>3032</v>
      </c>
      <c r="E876" s="828">
        <v>359614544569002</v>
      </c>
      <c r="F876" s="829" t="s">
        <v>3039</v>
      </c>
      <c r="G876" s="824">
        <v>1090</v>
      </c>
      <c r="H876" s="824">
        <f t="shared" si="8"/>
        <v>3913.1</v>
      </c>
      <c r="I876" s="142" t="s">
        <v>1113</v>
      </c>
    </row>
    <row r="877" spans="1:9" ht="18.75">
      <c r="A877" s="828">
        <v>33</v>
      </c>
      <c r="B877" s="829" t="s">
        <v>3030</v>
      </c>
      <c r="C877" s="829" t="s">
        <v>3031</v>
      </c>
      <c r="D877" s="829" t="s">
        <v>3032</v>
      </c>
      <c r="E877" s="828">
        <v>358902510326775</v>
      </c>
      <c r="F877" s="830"/>
      <c r="G877" s="824">
        <v>930</v>
      </c>
      <c r="H877" s="824">
        <f t="shared" si="8"/>
        <v>3338.7</v>
      </c>
      <c r="I877" s="142" t="s">
        <v>1113</v>
      </c>
    </row>
    <row r="878" spans="1:9" ht="18.75">
      <c r="A878" s="828">
        <v>34</v>
      </c>
      <c r="B878" s="829" t="s">
        <v>3030</v>
      </c>
      <c r="C878" s="829" t="s">
        <v>3031</v>
      </c>
      <c r="D878" s="829" t="s">
        <v>3032</v>
      </c>
      <c r="E878" s="828">
        <v>353263424147939</v>
      </c>
      <c r="F878" s="829" t="s">
        <v>3034</v>
      </c>
      <c r="G878" s="824">
        <v>1000</v>
      </c>
      <c r="H878" s="824">
        <f t="shared" si="8"/>
        <v>3590</v>
      </c>
      <c r="I878" s="142" t="s">
        <v>1113</v>
      </c>
    </row>
    <row r="879" spans="1:9" ht="18.75">
      <c r="A879" s="828">
        <v>35</v>
      </c>
      <c r="B879" s="829" t="s">
        <v>3030</v>
      </c>
      <c r="C879" s="829" t="s">
        <v>3031</v>
      </c>
      <c r="D879" s="829" t="s">
        <v>3032</v>
      </c>
      <c r="E879" s="828">
        <v>359614543832328</v>
      </c>
      <c r="F879" s="829" t="s">
        <v>3034</v>
      </c>
      <c r="G879" s="824">
        <v>1000</v>
      </c>
      <c r="H879" s="824">
        <f t="shared" si="8"/>
        <v>3590</v>
      </c>
      <c r="I879" s="142" t="s">
        <v>1113</v>
      </c>
    </row>
    <row r="880" spans="1:9" ht="18.75">
      <c r="A880" s="828">
        <v>36</v>
      </c>
      <c r="B880" s="829" t="s">
        <v>3030</v>
      </c>
      <c r="C880" s="829" t="s">
        <v>3031</v>
      </c>
      <c r="D880" s="829" t="s">
        <v>3032</v>
      </c>
      <c r="E880" s="828">
        <v>353263424014055</v>
      </c>
      <c r="F880" s="829" t="s">
        <v>3034</v>
      </c>
      <c r="G880" s="824">
        <v>1000</v>
      </c>
      <c r="H880" s="824">
        <f t="shared" si="8"/>
        <v>3590</v>
      </c>
      <c r="I880" s="142" t="s">
        <v>1113</v>
      </c>
    </row>
    <row r="881" spans="1:9" ht="18.75">
      <c r="A881" s="828">
        <v>37</v>
      </c>
      <c r="B881" s="829" t="s">
        <v>3030</v>
      </c>
      <c r="C881" s="829" t="s">
        <v>3031</v>
      </c>
      <c r="D881" s="829" t="s">
        <v>3032</v>
      </c>
      <c r="E881" s="828">
        <v>353263424113543</v>
      </c>
      <c r="F881" s="829" t="s">
        <v>3034</v>
      </c>
      <c r="G881" s="824">
        <v>1000</v>
      </c>
      <c r="H881" s="824">
        <f t="shared" si="8"/>
        <v>3590</v>
      </c>
      <c r="I881" s="142" t="s">
        <v>1113</v>
      </c>
    </row>
    <row r="882" spans="1:9" ht="18.75">
      <c r="A882" s="828">
        <v>38</v>
      </c>
      <c r="B882" s="829" t="s">
        <v>3030</v>
      </c>
      <c r="C882" s="829" t="s">
        <v>3031</v>
      </c>
      <c r="D882" s="829" t="s">
        <v>3032</v>
      </c>
      <c r="E882" s="828">
        <v>355224256001535</v>
      </c>
      <c r="F882" s="829" t="s">
        <v>3033</v>
      </c>
      <c r="G882" s="824">
        <v>930</v>
      </c>
      <c r="H882" s="824">
        <f t="shared" si="8"/>
        <v>3338.7</v>
      </c>
      <c r="I882" s="142"/>
    </row>
    <row r="883" spans="1:9" ht="18.75">
      <c r="A883" s="828">
        <v>39</v>
      </c>
      <c r="B883" s="829" t="s">
        <v>3030</v>
      </c>
      <c r="C883" s="829" t="s">
        <v>3031</v>
      </c>
      <c r="D883" s="829" t="s">
        <v>3032</v>
      </c>
      <c r="E883" s="828">
        <v>350599869414539</v>
      </c>
      <c r="F883" s="832"/>
      <c r="G883" s="824">
        <v>930</v>
      </c>
      <c r="H883" s="824">
        <f t="shared" si="8"/>
        <v>3338.7</v>
      </c>
      <c r="I883" s="142" t="s">
        <v>1113</v>
      </c>
    </row>
    <row r="884" spans="1:9" ht="18.75">
      <c r="A884" s="828">
        <v>40</v>
      </c>
      <c r="B884" s="829" t="s">
        <v>3030</v>
      </c>
      <c r="C884" s="829" t="s">
        <v>3031</v>
      </c>
      <c r="D884" s="829" t="s">
        <v>3032</v>
      </c>
      <c r="E884" s="828">
        <v>355246652282609</v>
      </c>
      <c r="F884" s="829" t="s">
        <v>3033</v>
      </c>
      <c r="G884" s="824">
        <v>930</v>
      </c>
      <c r="H884" s="824">
        <f t="shared" si="8"/>
        <v>3338.7</v>
      </c>
      <c r="I884" s="142"/>
    </row>
    <row r="885" spans="1:9" ht="18.75">
      <c r="A885" s="828">
        <v>41</v>
      </c>
      <c r="B885" s="829" t="s">
        <v>3030</v>
      </c>
      <c r="C885" s="829" t="s">
        <v>3031</v>
      </c>
      <c r="D885" s="829" t="s">
        <v>3032</v>
      </c>
      <c r="E885" s="828">
        <v>353263424158514</v>
      </c>
      <c r="F885" s="829" t="s">
        <v>3034</v>
      </c>
      <c r="G885" s="824">
        <v>1000</v>
      </c>
      <c r="H885" s="824">
        <f t="shared" si="8"/>
        <v>3590</v>
      </c>
      <c r="I885" s="142" t="s">
        <v>1113</v>
      </c>
    </row>
    <row r="886" spans="1:9" ht="18.75">
      <c r="A886" s="828">
        <v>42</v>
      </c>
      <c r="B886" s="829" t="s">
        <v>3030</v>
      </c>
      <c r="C886" s="829" t="s">
        <v>3031</v>
      </c>
      <c r="D886" s="829" t="s">
        <v>3032</v>
      </c>
      <c r="E886" s="828">
        <v>357826998153354</v>
      </c>
      <c r="F886" s="829" t="s">
        <v>3040</v>
      </c>
      <c r="G886" s="824">
        <v>830</v>
      </c>
      <c r="H886" s="824">
        <f t="shared" si="8"/>
        <v>2979.7</v>
      </c>
      <c r="I886" s="142"/>
    </row>
    <row r="887" spans="1:9" ht="18.75">
      <c r="A887" s="828">
        <v>43</v>
      </c>
      <c r="B887" s="829" t="s">
        <v>3030</v>
      </c>
      <c r="C887" s="829" t="s">
        <v>3041</v>
      </c>
      <c r="D887" s="829" t="s">
        <v>3032</v>
      </c>
      <c r="E887" s="828">
        <v>355246656807930</v>
      </c>
      <c r="F887" s="829" t="s">
        <v>3033</v>
      </c>
      <c r="G887" s="824">
        <v>900</v>
      </c>
      <c r="H887" s="824">
        <f t="shared" si="8"/>
        <v>3231</v>
      </c>
      <c r="I887" s="142" t="s">
        <v>1113</v>
      </c>
    </row>
    <row r="888" spans="1:9" ht="18.75">
      <c r="A888" s="828">
        <v>44</v>
      </c>
      <c r="B888" s="829" t="s">
        <v>3030</v>
      </c>
      <c r="C888" s="829" t="s">
        <v>3041</v>
      </c>
      <c r="D888" s="829" t="s">
        <v>3032</v>
      </c>
      <c r="E888" s="828">
        <v>350599861997440</v>
      </c>
      <c r="F888" s="829" t="s">
        <v>3034</v>
      </c>
      <c r="G888" s="824">
        <v>970</v>
      </c>
      <c r="H888" s="824">
        <f t="shared" si="8"/>
        <v>3482.2999999999997</v>
      </c>
      <c r="I888" s="142" t="s">
        <v>1113</v>
      </c>
    </row>
    <row r="889" spans="1:9" ht="18.75">
      <c r="A889" s="828">
        <v>45</v>
      </c>
      <c r="B889" s="829" t="s">
        <v>3030</v>
      </c>
      <c r="C889" s="829" t="s">
        <v>3041</v>
      </c>
      <c r="D889" s="829" t="s">
        <v>3032</v>
      </c>
      <c r="E889" s="828">
        <v>357586348769776</v>
      </c>
      <c r="F889" s="829" t="s">
        <v>3039</v>
      </c>
      <c r="G889" s="824">
        <v>1090</v>
      </c>
      <c r="H889" s="824">
        <f t="shared" si="8"/>
        <v>3913.1</v>
      </c>
      <c r="I889" s="142" t="s">
        <v>1113</v>
      </c>
    </row>
    <row r="890" spans="1:9" ht="18.75">
      <c r="A890" s="828">
        <v>46</v>
      </c>
      <c r="B890" s="829" t="s">
        <v>3030</v>
      </c>
      <c r="C890" s="829" t="s">
        <v>3041</v>
      </c>
      <c r="D890" s="829" t="s">
        <v>3032</v>
      </c>
      <c r="E890" s="828">
        <v>356188168685678</v>
      </c>
      <c r="F890" s="829" t="s">
        <v>3035</v>
      </c>
      <c r="G890" s="824">
        <v>960</v>
      </c>
      <c r="H890" s="824">
        <f t="shared" si="8"/>
        <v>3446.3999999999996</v>
      </c>
      <c r="I890" s="142"/>
    </row>
    <row r="891" spans="1:9" ht="18.75">
      <c r="A891" s="828">
        <v>47</v>
      </c>
      <c r="B891" s="829" t="s">
        <v>3030</v>
      </c>
      <c r="C891" s="829" t="s">
        <v>3041</v>
      </c>
      <c r="D891" s="829" t="s">
        <v>3032</v>
      </c>
      <c r="E891" s="828">
        <v>350599864309106</v>
      </c>
      <c r="F891" s="829" t="s">
        <v>3034</v>
      </c>
      <c r="G891" s="824">
        <v>970</v>
      </c>
      <c r="H891" s="824">
        <f t="shared" si="8"/>
        <v>3482.2999999999997</v>
      </c>
      <c r="I891" s="142" t="s">
        <v>1113</v>
      </c>
    </row>
    <row r="892" spans="1:9" ht="18.75">
      <c r="A892" s="828">
        <v>48</v>
      </c>
      <c r="B892" s="829" t="s">
        <v>3030</v>
      </c>
      <c r="C892" s="829" t="s">
        <v>3041</v>
      </c>
      <c r="D892" s="829" t="s">
        <v>3032</v>
      </c>
      <c r="E892" s="828">
        <v>353263423085494</v>
      </c>
      <c r="F892" s="829" t="s">
        <v>3036</v>
      </c>
      <c r="G892" s="824">
        <v>1050</v>
      </c>
      <c r="H892" s="824">
        <f t="shared" si="8"/>
        <v>3769.5</v>
      </c>
      <c r="I892" s="142"/>
    </row>
    <row r="893" spans="1:9" ht="18.75">
      <c r="A893" s="828">
        <v>49</v>
      </c>
      <c r="B893" s="829" t="s">
        <v>3030</v>
      </c>
      <c r="C893" s="829" t="s">
        <v>3041</v>
      </c>
      <c r="D893" s="829" t="s">
        <v>3032</v>
      </c>
      <c r="E893" s="828">
        <v>350599860438636</v>
      </c>
      <c r="F893" s="829" t="s">
        <v>3034</v>
      </c>
      <c r="G893" s="824">
        <v>970</v>
      </c>
      <c r="H893" s="824">
        <f t="shared" si="8"/>
        <v>3482.2999999999997</v>
      </c>
      <c r="I893" s="142" t="s">
        <v>1113</v>
      </c>
    </row>
    <row r="894" spans="1:9" ht="18.75">
      <c r="A894" s="828">
        <v>50</v>
      </c>
      <c r="B894" s="829" t="s">
        <v>3030</v>
      </c>
      <c r="C894" s="829" t="s">
        <v>3041</v>
      </c>
      <c r="D894" s="829" t="s">
        <v>3032</v>
      </c>
      <c r="E894" s="828">
        <v>350889868201080</v>
      </c>
      <c r="F894" s="829" t="s">
        <v>3033</v>
      </c>
      <c r="G894" s="824">
        <v>900</v>
      </c>
      <c r="H894" s="824">
        <f t="shared" si="8"/>
        <v>3231</v>
      </c>
      <c r="I894" s="142"/>
    </row>
    <row r="895" spans="1:9" ht="18.75">
      <c r="A895" s="828">
        <v>51</v>
      </c>
      <c r="B895" s="829" t="s">
        <v>3030</v>
      </c>
      <c r="C895" s="829" t="s">
        <v>3041</v>
      </c>
      <c r="D895" s="829" t="s">
        <v>3032</v>
      </c>
      <c r="E895" s="828">
        <v>357586348010205</v>
      </c>
      <c r="F895" s="829" t="s">
        <v>3039</v>
      </c>
      <c r="G895" s="824">
        <v>1090</v>
      </c>
      <c r="H895" s="824">
        <f t="shared" si="8"/>
        <v>3913.1</v>
      </c>
      <c r="I895" s="142" t="s">
        <v>1113</v>
      </c>
    </row>
    <row r="896" spans="1:9" ht="18.75">
      <c r="A896" s="828">
        <v>52</v>
      </c>
      <c r="B896" s="829" t="s">
        <v>3030</v>
      </c>
      <c r="C896" s="829" t="s">
        <v>3041</v>
      </c>
      <c r="D896" s="829" t="s">
        <v>3032</v>
      </c>
      <c r="E896" s="828">
        <v>350599860400362</v>
      </c>
      <c r="F896" s="829" t="s">
        <v>3034</v>
      </c>
      <c r="G896" s="824">
        <v>970</v>
      </c>
      <c r="H896" s="824">
        <f t="shared" si="8"/>
        <v>3482.2999999999997</v>
      </c>
      <c r="I896" s="142" t="s">
        <v>1113</v>
      </c>
    </row>
    <row r="897" spans="1:9" ht="18.75">
      <c r="A897" s="828">
        <v>53</v>
      </c>
      <c r="B897" s="829" t="s">
        <v>3030</v>
      </c>
      <c r="C897" s="829" t="s">
        <v>3041</v>
      </c>
      <c r="D897" s="829" t="s">
        <v>3032</v>
      </c>
      <c r="E897" s="828">
        <v>350889868387681</v>
      </c>
      <c r="F897" s="829" t="s">
        <v>3033</v>
      </c>
      <c r="G897" s="824">
        <v>900</v>
      </c>
      <c r="H897" s="824">
        <f t="shared" si="8"/>
        <v>3231</v>
      </c>
      <c r="I897" s="142"/>
    </row>
    <row r="898" spans="1:9" ht="18.75">
      <c r="A898" s="828">
        <v>54</v>
      </c>
      <c r="B898" s="829" t="s">
        <v>3030</v>
      </c>
      <c r="C898" s="829" t="s">
        <v>3042</v>
      </c>
      <c r="D898" s="829" t="s">
        <v>3032</v>
      </c>
      <c r="E898" s="828">
        <v>355224259504121</v>
      </c>
      <c r="F898" s="830"/>
      <c r="G898" s="824">
        <v>955</v>
      </c>
      <c r="H898" s="824">
        <f t="shared" si="8"/>
        <v>3428.45</v>
      </c>
      <c r="I898" s="142" t="s">
        <v>1113</v>
      </c>
    </row>
    <row r="899" spans="1:9" ht="18.75">
      <c r="A899" s="828">
        <v>55</v>
      </c>
      <c r="B899" s="829" t="s">
        <v>3030</v>
      </c>
      <c r="C899" s="829" t="s">
        <v>3042</v>
      </c>
      <c r="D899" s="829" t="s">
        <v>3032</v>
      </c>
      <c r="E899" s="828">
        <v>350889864680956</v>
      </c>
      <c r="F899" s="830"/>
      <c r="G899" s="824">
        <v>955</v>
      </c>
      <c r="H899" s="824">
        <f t="shared" si="8"/>
        <v>3428.45</v>
      </c>
      <c r="I899" s="142" t="s">
        <v>1113</v>
      </c>
    </row>
    <row r="900" spans="1:9" ht="18.75">
      <c r="A900" s="828">
        <v>56</v>
      </c>
      <c r="B900" s="829" t="s">
        <v>3030</v>
      </c>
      <c r="C900" s="829" t="s">
        <v>3042</v>
      </c>
      <c r="D900" s="829" t="s">
        <v>3032</v>
      </c>
      <c r="E900" s="828">
        <v>356392240417536</v>
      </c>
      <c r="F900" s="829" t="s">
        <v>3034</v>
      </c>
      <c r="G900" s="824">
        <v>1015</v>
      </c>
      <c r="H900" s="824">
        <f t="shared" si="8"/>
        <v>3643.85</v>
      </c>
      <c r="I900" s="142" t="s">
        <v>1113</v>
      </c>
    </row>
    <row r="901" spans="1:9" ht="18.75">
      <c r="A901" s="828">
        <v>57</v>
      </c>
      <c r="B901" s="829" t="s">
        <v>3030</v>
      </c>
      <c r="C901" s="829" t="s">
        <v>3042</v>
      </c>
      <c r="D901" s="829" t="s">
        <v>3032</v>
      </c>
      <c r="E901" s="828">
        <v>359802897630881</v>
      </c>
      <c r="F901" s="829" t="s">
        <v>3040</v>
      </c>
      <c r="G901" s="824">
        <v>840</v>
      </c>
      <c r="H901" s="824">
        <f t="shared" si="8"/>
        <v>3015.6</v>
      </c>
      <c r="I901" s="142"/>
    </row>
    <row r="902" spans="1:9" ht="18.75">
      <c r="A902" s="828">
        <v>58</v>
      </c>
      <c r="B902" s="829" t="s">
        <v>3030</v>
      </c>
      <c r="C902" s="829" t="s">
        <v>3042</v>
      </c>
      <c r="D902" s="829" t="s">
        <v>3032</v>
      </c>
      <c r="E902" s="828">
        <v>359912588398365</v>
      </c>
      <c r="F902" s="829" t="s">
        <v>3040</v>
      </c>
      <c r="G902" s="824">
        <v>840</v>
      </c>
      <c r="H902" s="824">
        <f t="shared" si="8"/>
        <v>3015.6</v>
      </c>
      <c r="I902" s="142"/>
    </row>
    <row r="903" spans="1:9" ht="18.75">
      <c r="A903" s="828">
        <v>59</v>
      </c>
      <c r="B903" s="829" t="s">
        <v>3030</v>
      </c>
      <c r="C903" s="829" t="s">
        <v>3042</v>
      </c>
      <c r="D903" s="829" t="s">
        <v>3032</v>
      </c>
      <c r="E903" s="828">
        <v>357586343452733</v>
      </c>
      <c r="F903" s="829" t="s">
        <v>3040</v>
      </c>
      <c r="G903" s="824">
        <v>840</v>
      </c>
      <c r="H903" s="824">
        <f t="shared" si="8"/>
        <v>3015.6</v>
      </c>
      <c r="I903" s="142"/>
    </row>
    <row r="904" spans="1:9" ht="18.75">
      <c r="A904" s="828">
        <v>60</v>
      </c>
      <c r="B904" s="829" t="s">
        <v>3030</v>
      </c>
      <c r="C904" s="829" t="s">
        <v>3042</v>
      </c>
      <c r="D904" s="829" t="s">
        <v>3043</v>
      </c>
      <c r="E904" s="828">
        <v>356605226479034</v>
      </c>
      <c r="F904" s="829" t="s">
        <v>3039</v>
      </c>
      <c r="G904" s="824">
        <v>1780</v>
      </c>
      <c r="H904" s="824">
        <f t="shared" si="8"/>
        <v>6390.2</v>
      </c>
      <c r="I904" s="142" t="s">
        <v>1113</v>
      </c>
    </row>
    <row r="905" spans="1:9" ht="18.75">
      <c r="A905" s="828">
        <v>61</v>
      </c>
      <c r="B905" s="829" t="s">
        <v>3044</v>
      </c>
      <c r="C905" s="829" t="s">
        <v>3041</v>
      </c>
      <c r="D905" s="829" t="s">
        <v>3032</v>
      </c>
      <c r="E905" s="828">
        <v>357254473152595</v>
      </c>
      <c r="F905" s="830"/>
      <c r="G905" s="824">
        <v>800</v>
      </c>
      <c r="H905" s="824">
        <f t="shared" si="8"/>
        <v>2872</v>
      </c>
      <c r="I905" s="142"/>
    </row>
    <row r="906" spans="1:9" ht="18.75">
      <c r="A906" s="828">
        <v>62</v>
      </c>
      <c r="B906" s="829" t="s">
        <v>3044</v>
      </c>
      <c r="C906" s="829" t="s">
        <v>3041</v>
      </c>
      <c r="D906" s="829" t="s">
        <v>3032</v>
      </c>
      <c r="E906" s="828">
        <v>357254473457093</v>
      </c>
      <c r="F906" s="830"/>
      <c r="G906" s="824">
        <v>800</v>
      </c>
      <c r="H906" s="824">
        <f t="shared" si="8"/>
        <v>2872</v>
      </c>
      <c r="I906" s="142"/>
    </row>
    <row r="907" spans="1:9" ht="18.75">
      <c r="A907" s="828">
        <v>63</v>
      </c>
      <c r="B907" s="829" t="s">
        <v>3044</v>
      </c>
      <c r="C907" s="829" t="s">
        <v>3041</v>
      </c>
      <c r="D907" s="829" t="s">
        <v>3032</v>
      </c>
      <c r="E907" s="828">
        <v>357254473545210</v>
      </c>
      <c r="F907" s="830"/>
      <c r="G907" s="824">
        <v>800</v>
      </c>
      <c r="H907" s="824">
        <f t="shared" si="8"/>
        <v>2872</v>
      </c>
      <c r="I907" s="142"/>
    </row>
    <row r="908" spans="1:9" ht="18.75">
      <c r="A908" s="828">
        <v>64</v>
      </c>
      <c r="B908" s="829" t="s">
        <v>3044</v>
      </c>
      <c r="C908" s="829" t="s">
        <v>3041</v>
      </c>
      <c r="D908" s="829" t="s">
        <v>3032</v>
      </c>
      <c r="E908" s="828">
        <v>357254473304543</v>
      </c>
      <c r="F908" s="830"/>
      <c r="G908" s="824">
        <v>800</v>
      </c>
      <c r="H908" s="824">
        <f t="shared" si="8"/>
        <v>2872</v>
      </c>
      <c r="I908" s="142"/>
    </row>
    <row r="909" spans="1:9" ht="18.75">
      <c r="A909" s="828">
        <v>65</v>
      </c>
      <c r="B909" s="829" t="s">
        <v>3044</v>
      </c>
      <c r="C909" s="829" t="s">
        <v>3041</v>
      </c>
      <c r="D909" s="829" t="s">
        <v>3032</v>
      </c>
      <c r="E909" s="828">
        <v>357254473510214</v>
      </c>
      <c r="F909" s="830"/>
      <c r="G909" s="824">
        <v>800</v>
      </c>
      <c r="H909" s="824">
        <f t="shared" si="8"/>
        <v>2872</v>
      </c>
      <c r="I909" s="142"/>
    </row>
    <row r="910" spans="1:9" ht="18.75">
      <c r="A910" s="828">
        <v>66</v>
      </c>
      <c r="B910" s="829" t="s">
        <v>3044</v>
      </c>
      <c r="C910" s="829" t="s">
        <v>3041</v>
      </c>
      <c r="D910" s="829" t="s">
        <v>3032</v>
      </c>
      <c r="E910" s="828">
        <v>357254473437210</v>
      </c>
      <c r="F910" s="830"/>
      <c r="G910" s="824">
        <v>800</v>
      </c>
      <c r="H910" s="824">
        <f t="shared" ref="H910:H938" si="9">G910*3.59</f>
        <v>2872</v>
      </c>
      <c r="I910" s="142"/>
    </row>
    <row r="911" spans="1:9" ht="18.75">
      <c r="A911" s="828">
        <v>67</v>
      </c>
      <c r="B911" s="829" t="s">
        <v>3044</v>
      </c>
      <c r="C911" s="829" t="s">
        <v>3041</v>
      </c>
      <c r="D911" s="829" t="s">
        <v>3032</v>
      </c>
      <c r="E911" s="828">
        <v>357254473534115</v>
      </c>
      <c r="F911" s="830"/>
      <c r="G911" s="824">
        <v>800</v>
      </c>
      <c r="H911" s="824">
        <f t="shared" si="9"/>
        <v>2872</v>
      </c>
      <c r="I911" s="142"/>
    </row>
    <row r="912" spans="1:9" ht="18.75">
      <c r="A912" s="828">
        <v>68</v>
      </c>
      <c r="B912" s="829" t="s">
        <v>3044</v>
      </c>
      <c r="C912" s="829" t="s">
        <v>3041</v>
      </c>
      <c r="D912" s="829" t="s">
        <v>3032</v>
      </c>
      <c r="E912" s="828">
        <v>351317522351918</v>
      </c>
      <c r="F912" s="829" t="s">
        <v>3033</v>
      </c>
      <c r="G912" s="824">
        <v>800</v>
      </c>
      <c r="H912" s="824">
        <f t="shared" si="9"/>
        <v>2872</v>
      </c>
      <c r="I912" s="142"/>
    </row>
    <row r="913" spans="1:9" ht="18.75">
      <c r="A913" s="828">
        <v>69</v>
      </c>
      <c r="B913" s="829" t="s">
        <v>3044</v>
      </c>
      <c r="C913" s="829" t="s">
        <v>3042</v>
      </c>
      <c r="D913" s="829" t="s">
        <v>3032</v>
      </c>
      <c r="E913" s="828">
        <v>352190320801965</v>
      </c>
      <c r="F913" s="829" t="s">
        <v>3039</v>
      </c>
      <c r="G913" s="824">
        <v>1065</v>
      </c>
      <c r="H913" s="824">
        <f t="shared" si="9"/>
        <v>3823.35</v>
      </c>
      <c r="I913" s="142" t="s">
        <v>1113</v>
      </c>
    </row>
    <row r="914" spans="1:9" ht="18.75">
      <c r="A914" s="828">
        <v>70</v>
      </c>
      <c r="B914" s="829" t="s">
        <v>3044</v>
      </c>
      <c r="C914" s="829" t="s">
        <v>3042</v>
      </c>
      <c r="D914" s="829" t="s">
        <v>3032</v>
      </c>
      <c r="E914" s="828">
        <v>352190320562518</v>
      </c>
      <c r="F914" s="829" t="s">
        <v>3039</v>
      </c>
      <c r="G914" s="824">
        <v>1065</v>
      </c>
      <c r="H914" s="824">
        <f t="shared" si="9"/>
        <v>3823.35</v>
      </c>
      <c r="I914" s="142" t="s">
        <v>1113</v>
      </c>
    </row>
    <row r="915" spans="1:9" ht="18.75">
      <c r="A915" s="828">
        <v>71</v>
      </c>
      <c r="B915" s="829" t="s">
        <v>3044</v>
      </c>
      <c r="C915" s="829" t="s">
        <v>3042</v>
      </c>
      <c r="D915" s="829" t="s">
        <v>3032</v>
      </c>
      <c r="E915" s="828">
        <v>352440634409025</v>
      </c>
      <c r="F915" s="829" t="s">
        <v>3039</v>
      </c>
      <c r="G915" s="824">
        <v>1065</v>
      </c>
      <c r="H915" s="824">
        <f t="shared" si="9"/>
        <v>3823.35</v>
      </c>
      <c r="I915" s="142" t="s">
        <v>1113</v>
      </c>
    </row>
    <row r="916" spans="1:9" ht="18.75">
      <c r="A916" s="828">
        <v>72</v>
      </c>
      <c r="B916" s="829" t="s">
        <v>3044</v>
      </c>
      <c r="C916" s="829" t="s">
        <v>3042</v>
      </c>
      <c r="D916" s="829" t="s">
        <v>3045</v>
      </c>
      <c r="E916" s="828">
        <v>355122365010001</v>
      </c>
      <c r="F916" s="829" t="s">
        <v>3039</v>
      </c>
      <c r="G916" s="824">
        <v>1190</v>
      </c>
      <c r="H916" s="824">
        <f t="shared" si="9"/>
        <v>4272.0999999999995</v>
      </c>
      <c r="I916" s="142" t="s">
        <v>1113</v>
      </c>
    </row>
    <row r="917" spans="1:9" ht="18.75">
      <c r="A917" s="828">
        <v>73</v>
      </c>
      <c r="B917" s="829" t="s">
        <v>3044</v>
      </c>
      <c r="C917" s="829" t="s">
        <v>3046</v>
      </c>
      <c r="D917" s="829" t="s">
        <v>3032</v>
      </c>
      <c r="E917" s="828">
        <v>358838942194557</v>
      </c>
      <c r="F917" s="830"/>
      <c r="G917" s="824">
        <v>520</v>
      </c>
      <c r="H917" s="824">
        <f t="shared" si="9"/>
        <v>1866.8</v>
      </c>
      <c r="I917" s="142" t="s">
        <v>3047</v>
      </c>
    </row>
    <row r="918" spans="1:9" ht="18.75">
      <c r="A918" s="828">
        <v>74</v>
      </c>
      <c r="B918" s="829" t="s">
        <v>3044</v>
      </c>
      <c r="C918" s="829" t="s">
        <v>3048</v>
      </c>
      <c r="D918" s="829" t="s">
        <v>3032</v>
      </c>
      <c r="E918" s="828">
        <v>358302115419374</v>
      </c>
      <c r="F918" s="830"/>
      <c r="G918" s="824">
        <v>520</v>
      </c>
      <c r="H918" s="824">
        <f t="shared" si="9"/>
        <v>1866.8</v>
      </c>
      <c r="I918" s="142" t="s">
        <v>3047</v>
      </c>
    </row>
    <row r="919" spans="1:9" ht="18.75">
      <c r="A919" s="828">
        <v>75</v>
      </c>
      <c r="B919" s="829" t="s">
        <v>3044</v>
      </c>
      <c r="C919" s="829" t="s">
        <v>3048</v>
      </c>
      <c r="D919" s="829" t="s">
        <v>3049</v>
      </c>
      <c r="E919" s="828">
        <v>358838942166878</v>
      </c>
      <c r="F919" s="830"/>
      <c r="G919" s="824">
        <v>620</v>
      </c>
      <c r="H919" s="824">
        <f t="shared" si="9"/>
        <v>2225.7999999999997</v>
      </c>
      <c r="I919" s="142" t="s">
        <v>3047</v>
      </c>
    </row>
    <row r="920" spans="1:9" ht="18.75">
      <c r="A920" s="828">
        <v>76</v>
      </c>
      <c r="B920" s="829" t="s">
        <v>3050</v>
      </c>
      <c r="C920" s="829" t="s">
        <v>3051</v>
      </c>
      <c r="D920" s="829" t="s">
        <v>3032</v>
      </c>
      <c r="E920" s="828">
        <v>352355709496667</v>
      </c>
      <c r="F920" s="830"/>
      <c r="G920" s="824">
        <v>1080</v>
      </c>
      <c r="H920" s="824">
        <f t="shared" si="9"/>
        <v>3877.2</v>
      </c>
      <c r="I920" s="142" t="s">
        <v>3052</v>
      </c>
    </row>
    <row r="921" spans="1:9" ht="18.75">
      <c r="A921" s="828">
        <v>77</v>
      </c>
      <c r="B921" s="829" t="s">
        <v>3053</v>
      </c>
      <c r="C921" s="829" t="s">
        <v>3042</v>
      </c>
      <c r="D921" s="829" t="s">
        <v>3032</v>
      </c>
      <c r="E921" s="829" t="s">
        <v>3054</v>
      </c>
      <c r="F921" s="830"/>
      <c r="G921" s="824">
        <v>1050</v>
      </c>
      <c r="H921" s="824">
        <f t="shared" si="9"/>
        <v>3769.5</v>
      </c>
      <c r="I921" s="142" t="s">
        <v>1113</v>
      </c>
    </row>
    <row r="922" spans="1:9" ht="18.75">
      <c r="A922" s="828">
        <v>78</v>
      </c>
      <c r="B922" s="829" t="s">
        <v>3055</v>
      </c>
      <c r="C922" s="829" t="s">
        <v>3046</v>
      </c>
      <c r="D922" s="829" t="s">
        <v>3056</v>
      </c>
      <c r="E922" s="829" t="s">
        <v>3057</v>
      </c>
      <c r="F922" s="830"/>
      <c r="G922" s="824">
        <v>1125</v>
      </c>
      <c r="H922" s="824">
        <f t="shared" si="9"/>
        <v>4038.75</v>
      </c>
      <c r="I922" s="142" t="s">
        <v>1113</v>
      </c>
    </row>
    <row r="923" spans="1:9" ht="18.75">
      <c r="A923" s="828">
        <v>79</v>
      </c>
      <c r="B923" s="829" t="s">
        <v>3058</v>
      </c>
      <c r="C923" s="829" t="s">
        <v>3059</v>
      </c>
      <c r="D923" s="829" t="s">
        <v>3060</v>
      </c>
      <c r="E923" s="829" t="s">
        <v>3061</v>
      </c>
      <c r="F923" s="830"/>
      <c r="G923" s="824">
        <v>1320</v>
      </c>
      <c r="H923" s="824">
        <f t="shared" si="9"/>
        <v>4738.8</v>
      </c>
      <c r="I923" s="142" t="s">
        <v>1113</v>
      </c>
    </row>
    <row r="924" spans="1:9" ht="18.75">
      <c r="A924" s="828">
        <v>80</v>
      </c>
      <c r="B924" s="829" t="s">
        <v>3058</v>
      </c>
      <c r="C924" s="829" t="s">
        <v>3059</v>
      </c>
      <c r="D924" s="829" t="s">
        <v>3060</v>
      </c>
      <c r="E924" s="829" t="s">
        <v>3062</v>
      </c>
      <c r="F924" s="830"/>
      <c r="G924" s="824">
        <v>1320</v>
      </c>
      <c r="H924" s="824">
        <f t="shared" si="9"/>
        <v>4738.8</v>
      </c>
      <c r="I924" s="142" t="s">
        <v>1113</v>
      </c>
    </row>
    <row r="925" spans="1:9" ht="18.75">
      <c r="A925" s="828">
        <v>81</v>
      </c>
      <c r="B925" s="829" t="s">
        <v>3063</v>
      </c>
      <c r="C925" s="829" t="s">
        <v>3059</v>
      </c>
      <c r="D925" s="829" t="s">
        <v>3056</v>
      </c>
      <c r="E925" s="829" t="s">
        <v>3064</v>
      </c>
      <c r="F925" s="830"/>
      <c r="G925" s="824">
        <v>950</v>
      </c>
      <c r="H925" s="824">
        <f t="shared" si="9"/>
        <v>3410.5</v>
      </c>
      <c r="I925" s="142" t="s">
        <v>1113</v>
      </c>
    </row>
    <row r="926" spans="1:9" ht="18.75">
      <c r="A926" s="828">
        <v>82</v>
      </c>
      <c r="B926" s="829" t="s">
        <v>3065</v>
      </c>
      <c r="C926" s="829" t="s">
        <v>3066</v>
      </c>
      <c r="D926" s="829" t="s">
        <v>3067</v>
      </c>
      <c r="E926" s="828">
        <v>355827872816332</v>
      </c>
      <c r="F926" s="830"/>
      <c r="G926" s="824">
        <v>675</v>
      </c>
      <c r="H926" s="824">
        <f t="shared" si="9"/>
        <v>2423.25</v>
      </c>
      <c r="I926" s="142" t="s">
        <v>1113</v>
      </c>
    </row>
    <row r="927" spans="1:9" ht="18.75">
      <c r="A927" s="828">
        <v>83</v>
      </c>
      <c r="B927" s="829" t="s">
        <v>3065</v>
      </c>
      <c r="C927" s="829" t="s">
        <v>3068</v>
      </c>
      <c r="D927" s="829" t="s">
        <v>3067</v>
      </c>
      <c r="E927" s="828">
        <v>356768325410696</v>
      </c>
      <c r="F927" s="830"/>
      <c r="G927" s="824">
        <v>675</v>
      </c>
      <c r="H927" s="824">
        <f t="shared" si="9"/>
        <v>2423.25</v>
      </c>
      <c r="I927" s="142" t="s">
        <v>1113</v>
      </c>
    </row>
    <row r="928" spans="1:9" ht="18.75">
      <c r="A928" s="828">
        <v>84</v>
      </c>
      <c r="B928" s="829" t="s">
        <v>3069</v>
      </c>
      <c r="C928" s="829" t="s">
        <v>3070</v>
      </c>
      <c r="D928" s="829" t="s">
        <v>3071</v>
      </c>
      <c r="E928" s="829" t="s">
        <v>3072</v>
      </c>
      <c r="F928" s="830"/>
      <c r="G928" s="824">
        <v>320</v>
      </c>
      <c r="H928" s="824">
        <f t="shared" si="9"/>
        <v>1148.8</v>
      </c>
      <c r="I928" s="142" t="s">
        <v>1113</v>
      </c>
    </row>
    <row r="929" spans="1:9" ht="18.75">
      <c r="A929" s="828">
        <v>85</v>
      </c>
      <c r="B929" s="829" t="s">
        <v>3069</v>
      </c>
      <c r="C929" s="829" t="s">
        <v>3073</v>
      </c>
      <c r="D929" s="829" t="s">
        <v>3074</v>
      </c>
      <c r="E929" s="829" t="s">
        <v>3075</v>
      </c>
      <c r="F929" s="830"/>
      <c r="G929" s="824">
        <v>300</v>
      </c>
      <c r="H929" s="824">
        <f t="shared" si="9"/>
        <v>1077</v>
      </c>
      <c r="I929" s="833" t="s">
        <v>3076</v>
      </c>
    </row>
    <row r="930" spans="1:9" ht="18.75">
      <c r="A930" s="828">
        <v>86</v>
      </c>
      <c r="B930" s="829" t="s">
        <v>3069</v>
      </c>
      <c r="C930" s="829" t="s">
        <v>3073</v>
      </c>
      <c r="D930" s="829" t="s">
        <v>3074</v>
      </c>
      <c r="E930" s="829" t="s">
        <v>3077</v>
      </c>
      <c r="F930" s="830"/>
      <c r="G930" s="824">
        <v>300</v>
      </c>
      <c r="H930" s="824">
        <f t="shared" si="9"/>
        <v>1077</v>
      </c>
      <c r="I930" s="142" t="s">
        <v>1113</v>
      </c>
    </row>
    <row r="931" spans="1:9" ht="18.75">
      <c r="A931" s="828">
        <v>87</v>
      </c>
      <c r="B931" s="829" t="s">
        <v>3078</v>
      </c>
      <c r="C931" s="830"/>
      <c r="D931" s="830"/>
      <c r="E931" s="829" t="s">
        <v>3079</v>
      </c>
      <c r="F931" s="830"/>
      <c r="G931" s="824">
        <v>205</v>
      </c>
      <c r="H931" s="824">
        <f t="shared" si="9"/>
        <v>735.94999999999993</v>
      </c>
      <c r="I931" s="142" t="s">
        <v>1113</v>
      </c>
    </row>
    <row r="932" spans="1:9" ht="18.75">
      <c r="A932" s="828">
        <v>88</v>
      </c>
      <c r="B932" s="829" t="s">
        <v>3078</v>
      </c>
      <c r="C932" s="830"/>
      <c r="D932" s="830"/>
      <c r="E932" s="829" t="s">
        <v>3080</v>
      </c>
      <c r="F932" s="830"/>
      <c r="G932" s="824">
        <v>205</v>
      </c>
      <c r="H932" s="824">
        <f t="shared" si="9"/>
        <v>735.94999999999993</v>
      </c>
      <c r="I932" s="142" t="s">
        <v>1113</v>
      </c>
    </row>
    <row r="933" spans="1:9" ht="18.75">
      <c r="A933" s="828">
        <v>89</v>
      </c>
      <c r="B933" s="829" t="s">
        <v>3078</v>
      </c>
      <c r="C933" s="830"/>
      <c r="D933" s="830"/>
      <c r="E933" s="829" t="s">
        <v>3081</v>
      </c>
      <c r="F933" s="830"/>
      <c r="G933" s="824">
        <v>205</v>
      </c>
      <c r="H933" s="824">
        <f t="shared" si="9"/>
        <v>735.94999999999993</v>
      </c>
      <c r="I933" s="833" t="s">
        <v>3076</v>
      </c>
    </row>
    <row r="934" spans="1:9" ht="18.75">
      <c r="A934" s="828">
        <v>90</v>
      </c>
      <c r="B934" s="829" t="s">
        <v>3078</v>
      </c>
      <c r="C934" s="830"/>
      <c r="D934" s="830"/>
      <c r="E934" s="829" t="s">
        <v>3082</v>
      </c>
      <c r="F934" s="830"/>
      <c r="G934" s="824">
        <v>205</v>
      </c>
      <c r="H934" s="824">
        <f t="shared" si="9"/>
        <v>735.94999999999993</v>
      </c>
      <c r="I934" s="142" t="s">
        <v>1113</v>
      </c>
    </row>
    <row r="935" spans="1:9" ht="18.75">
      <c r="A935" s="828">
        <v>91</v>
      </c>
      <c r="B935" s="829" t="s">
        <v>3083</v>
      </c>
      <c r="C935" s="830"/>
      <c r="D935" s="830"/>
      <c r="E935" s="829" t="s">
        <v>3084</v>
      </c>
      <c r="F935" s="830"/>
      <c r="G935" s="824">
        <v>85</v>
      </c>
      <c r="H935" s="824">
        <f t="shared" si="9"/>
        <v>305.14999999999998</v>
      </c>
      <c r="I935" s="142" t="s">
        <v>1113</v>
      </c>
    </row>
    <row r="936" spans="1:9" ht="18.75">
      <c r="A936" s="828">
        <v>92</v>
      </c>
      <c r="B936" s="829" t="s">
        <v>3083</v>
      </c>
      <c r="C936" s="830"/>
      <c r="D936" s="830"/>
      <c r="E936" s="829" t="s">
        <v>3085</v>
      </c>
      <c r="F936" s="830"/>
      <c r="G936" s="824">
        <v>85</v>
      </c>
      <c r="H936" s="824">
        <f t="shared" si="9"/>
        <v>305.14999999999998</v>
      </c>
      <c r="I936" s="142" t="s">
        <v>1113</v>
      </c>
    </row>
    <row r="937" spans="1:9" ht="18.75">
      <c r="A937" s="828">
        <v>93</v>
      </c>
      <c r="B937" s="829" t="s">
        <v>3083</v>
      </c>
      <c r="C937" s="830"/>
      <c r="D937" s="830"/>
      <c r="E937" s="829" t="s">
        <v>3086</v>
      </c>
      <c r="F937" s="830"/>
      <c r="G937" s="824">
        <v>85</v>
      </c>
      <c r="H937" s="824">
        <f t="shared" si="9"/>
        <v>305.14999999999998</v>
      </c>
      <c r="I937" s="142" t="s">
        <v>1113</v>
      </c>
    </row>
    <row r="938" spans="1:9" ht="18.75">
      <c r="A938" s="828">
        <v>94</v>
      </c>
      <c r="B938" s="829" t="s">
        <v>3087</v>
      </c>
      <c r="C938" s="830"/>
      <c r="D938" s="830"/>
      <c r="E938" s="829" t="s">
        <v>3088</v>
      </c>
      <c r="F938" s="830"/>
      <c r="G938" s="824">
        <v>125</v>
      </c>
      <c r="H938" s="824">
        <f t="shared" si="9"/>
        <v>448.75</v>
      </c>
      <c r="I938" s="142" t="s">
        <v>1113</v>
      </c>
    </row>
    <row r="944" spans="1:9" ht="25.35" customHeight="1">
      <c r="A944" s="1466" t="s">
        <v>1</v>
      </c>
      <c r="B944" s="1466"/>
      <c r="C944" s="809" t="s">
        <v>3095</v>
      </c>
      <c r="D944" s="1435" t="s">
        <v>3100</v>
      </c>
      <c r="E944" s="1436"/>
      <c r="F944" s="1436"/>
      <c r="G944" s="1437"/>
    </row>
    <row r="945" spans="1:7" ht="28.7" customHeight="1">
      <c r="A945" s="1466" t="s">
        <v>2416</v>
      </c>
      <c r="B945" s="1466"/>
      <c r="C945" s="809" t="s">
        <v>3096</v>
      </c>
      <c r="D945" s="1476" t="s">
        <v>3101</v>
      </c>
      <c r="E945" s="1476"/>
      <c r="F945" s="1476"/>
      <c r="G945" s="1476"/>
    </row>
    <row r="946" spans="1:7" s="731" customFormat="1" ht="18" customHeight="1">
      <c r="A946" s="836" t="s">
        <v>3014</v>
      </c>
      <c r="B946" s="836" t="s">
        <v>2419</v>
      </c>
      <c r="C946" s="836" t="s">
        <v>2420</v>
      </c>
      <c r="D946" s="836" t="s">
        <v>2421</v>
      </c>
      <c r="E946" s="836" t="s">
        <v>2422</v>
      </c>
      <c r="F946" s="836" t="s">
        <v>2423</v>
      </c>
      <c r="G946" s="836" t="s">
        <v>2544</v>
      </c>
    </row>
    <row r="947" spans="1:7">
      <c r="A947" s="835">
        <v>1</v>
      </c>
      <c r="B947" s="835" t="s">
        <v>2426</v>
      </c>
      <c r="C947" s="835" t="s">
        <v>2526</v>
      </c>
      <c r="D947" s="835" t="s">
        <v>2428</v>
      </c>
      <c r="E947" s="679">
        <v>350889869652414</v>
      </c>
      <c r="F947" s="834"/>
      <c r="G947" s="143">
        <v>3200</v>
      </c>
    </row>
    <row r="948" spans="1:7">
      <c r="A948" s="835">
        <v>2</v>
      </c>
      <c r="B948" s="835" t="s">
        <v>2426</v>
      </c>
      <c r="C948" s="835" t="s">
        <v>2526</v>
      </c>
      <c r="D948" s="835" t="s">
        <v>2428</v>
      </c>
      <c r="E948" s="679">
        <v>350599866170662</v>
      </c>
      <c r="F948" s="835" t="s">
        <v>1121</v>
      </c>
      <c r="G948" s="143">
        <v>3200</v>
      </c>
    </row>
    <row r="949" spans="1:7">
      <c r="A949" s="835">
        <v>3</v>
      </c>
      <c r="B949" s="835" t="s">
        <v>2426</v>
      </c>
      <c r="C949" s="835" t="s">
        <v>2526</v>
      </c>
      <c r="D949" s="835" t="s">
        <v>2428</v>
      </c>
      <c r="E949" s="679">
        <v>355246651890659</v>
      </c>
      <c r="F949" s="834"/>
      <c r="G949" s="143">
        <v>3200</v>
      </c>
    </row>
    <row r="950" spans="1:7">
      <c r="A950" s="835">
        <v>4</v>
      </c>
      <c r="B950" s="835" t="s">
        <v>2426</v>
      </c>
      <c r="C950" s="835" t="s">
        <v>2429</v>
      </c>
      <c r="D950" s="835" t="s">
        <v>2428</v>
      </c>
      <c r="E950" s="679">
        <v>357586348706521</v>
      </c>
      <c r="F950" s="835" t="s">
        <v>1121</v>
      </c>
      <c r="G950" s="143">
        <v>3500</v>
      </c>
    </row>
    <row r="951" spans="1:7">
      <c r="A951" s="835">
        <v>5</v>
      </c>
      <c r="B951" s="835" t="s">
        <v>2527</v>
      </c>
      <c r="C951" s="835" t="s">
        <v>2526</v>
      </c>
      <c r="D951" s="835" t="s">
        <v>2428</v>
      </c>
      <c r="E951" s="679">
        <v>355832512695849</v>
      </c>
      <c r="F951" s="834"/>
      <c r="G951" s="143">
        <v>2650</v>
      </c>
    </row>
    <row r="952" spans="1:7">
      <c r="A952" s="835">
        <v>6</v>
      </c>
      <c r="B952" s="835" t="s">
        <v>2527</v>
      </c>
      <c r="C952" s="835" t="s">
        <v>2526</v>
      </c>
      <c r="D952" s="835" t="s">
        <v>2428</v>
      </c>
      <c r="E952" s="679">
        <v>351317527529104</v>
      </c>
      <c r="F952" s="835" t="s">
        <v>1121</v>
      </c>
      <c r="G952" s="143">
        <v>2650</v>
      </c>
    </row>
    <row r="953" spans="1:7">
      <c r="A953" s="835">
        <v>7</v>
      </c>
      <c r="B953" s="835" t="s">
        <v>2527</v>
      </c>
      <c r="C953" s="835" t="s">
        <v>2526</v>
      </c>
      <c r="D953" s="835" t="s">
        <v>2428</v>
      </c>
      <c r="E953" s="679">
        <v>355832518233033</v>
      </c>
      <c r="F953" s="834"/>
      <c r="G953" s="143">
        <v>2650</v>
      </c>
    </row>
    <row r="954" spans="1:7">
      <c r="A954" s="835">
        <v>8</v>
      </c>
      <c r="B954" s="835" t="s">
        <v>2527</v>
      </c>
      <c r="C954" s="835" t="s">
        <v>2526</v>
      </c>
      <c r="D954" s="835" t="s">
        <v>2428</v>
      </c>
      <c r="E954" s="679">
        <v>355832516469084</v>
      </c>
      <c r="F954" s="834"/>
      <c r="G954" s="143">
        <v>2650</v>
      </c>
    </row>
    <row r="955" spans="1:7">
      <c r="A955" s="835">
        <v>9</v>
      </c>
      <c r="B955" s="835" t="s">
        <v>2527</v>
      </c>
      <c r="C955" s="835" t="s">
        <v>2526</v>
      </c>
      <c r="D955" s="835" t="s">
        <v>2428</v>
      </c>
      <c r="E955" s="679">
        <v>357254470870983</v>
      </c>
      <c r="F955" s="835" t="s">
        <v>3097</v>
      </c>
      <c r="G955" s="143">
        <v>2600</v>
      </c>
    </row>
    <row r="956" spans="1:7">
      <c r="A956" s="835">
        <v>10</v>
      </c>
      <c r="B956" s="835" t="s">
        <v>2528</v>
      </c>
      <c r="C956" s="835" t="s">
        <v>2459</v>
      </c>
      <c r="D956" s="835" t="s">
        <v>2428</v>
      </c>
      <c r="E956" s="679">
        <v>355413814850182</v>
      </c>
      <c r="F956" s="834"/>
      <c r="G956" s="143">
        <v>1920</v>
      </c>
    </row>
    <row r="957" spans="1:7">
      <c r="A957" s="835">
        <v>11</v>
      </c>
      <c r="B957" s="835" t="s">
        <v>2547</v>
      </c>
      <c r="C957" s="835" t="s">
        <v>2459</v>
      </c>
      <c r="D957" s="835" t="s">
        <v>2428</v>
      </c>
      <c r="E957" s="679">
        <v>352355700190574</v>
      </c>
      <c r="F957" s="835" t="s">
        <v>1121</v>
      </c>
      <c r="G957" s="143">
        <v>3850</v>
      </c>
    </row>
    <row r="958" spans="1:7">
      <c r="A958" s="835">
        <v>12</v>
      </c>
      <c r="B958" s="835" t="s">
        <v>2952</v>
      </c>
      <c r="C958" s="835" t="s">
        <v>2468</v>
      </c>
      <c r="D958" s="835" t="s">
        <v>2442</v>
      </c>
      <c r="E958" s="679">
        <v>359200571946774</v>
      </c>
      <c r="F958" s="834"/>
      <c r="G958" s="143">
        <v>2700</v>
      </c>
    </row>
    <row r="959" spans="1:7">
      <c r="A959" s="835">
        <v>13</v>
      </c>
      <c r="B959" s="835" t="s">
        <v>2480</v>
      </c>
      <c r="C959" s="835" t="s">
        <v>2550</v>
      </c>
      <c r="D959" s="835" t="s">
        <v>2482</v>
      </c>
      <c r="E959" s="679">
        <v>356187982394590</v>
      </c>
      <c r="F959" s="835" t="s">
        <v>1121</v>
      </c>
      <c r="G959" s="143">
        <v>2380</v>
      </c>
    </row>
    <row r="960" spans="1:7">
      <c r="A960" s="835">
        <v>14</v>
      </c>
      <c r="B960" s="835" t="s">
        <v>2480</v>
      </c>
      <c r="C960" s="835" t="s">
        <v>2550</v>
      </c>
      <c r="D960" s="835" t="s">
        <v>2482</v>
      </c>
      <c r="E960" s="679">
        <v>353938645582275</v>
      </c>
      <c r="F960" s="835" t="s">
        <v>2530</v>
      </c>
      <c r="G960" s="143">
        <v>2280</v>
      </c>
    </row>
    <row r="961" spans="1:7">
      <c r="A961" s="835">
        <v>15</v>
      </c>
      <c r="B961" s="835" t="s">
        <v>2480</v>
      </c>
      <c r="C961" s="835" t="s">
        <v>2538</v>
      </c>
      <c r="D961" s="835" t="s">
        <v>2482</v>
      </c>
      <c r="E961" s="679">
        <v>353938640642165</v>
      </c>
      <c r="F961" s="834"/>
      <c r="G961" s="143">
        <v>2380</v>
      </c>
    </row>
    <row r="962" spans="1:7">
      <c r="A962" s="835">
        <v>16</v>
      </c>
      <c r="B962" s="835" t="s">
        <v>2480</v>
      </c>
      <c r="C962" s="835" t="s">
        <v>2538</v>
      </c>
      <c r="D962" s="835" t="s">
        <v>2482</v>
      </c>
      <c r="E962" s="679">
        <v>356187983701322</v>
      </c>
      <c r="F962" s="834"/>
      <c r="G962" s="143">
        <v>2380</v>
      </c>
    </row>
    <row r="963" spans="1:7">
      <c r="A963" s="835">
        <v>17</v>
      </c>
      <c r="B963" s="835" t="s">
        <v>2480</v>
      </c>
      <c r="C963" s="835" t="s">
        <v>3098</v>
      </c>
      <c r="D963" s="835" t="s">
        <v>2482</v>
      </c>
      <c r="E963" s="679">
        <v>356187984996814</v>
      </c>
      <c r="F963" s="834"/>
      <c r="G963" s="143">
        <v>2380</v>
      </c>
    </row>
    <row r="964" spans="1:7">
      <c r="A964" s="835">
        <v>18</v>
      </c>
      <c r="B964" s="835" t="s">
        <v>2480</v>
      </c>
      <c r="C964" s="835" t="s">
        <v>3098</v>
      </c>
      <c r="D964" s="835" t="s">
        <v>2482</v>
      </c>
      <c r="E964" s="679">
        <v>356187983977641</v>
      </c>
      <c r="F964" s="834"/>
      <c r="G964" s="143">
        <v>2380</v>
      </c>
    </row>
    <row r="965" spans="1:7">
      <c r="A965" s="835">
        <v>19</v>
      </c>
      <c r="B965" s="835" t="s">
        <v>2483</v>
      </c>
      <c r="C965" s="835" t="s">
        <v>2457</v>
      </c>
      <c r="D965" s="835" t="s">
        <v>2486</v>
      </c>
      <c r="E965" s="679">
        <v>353660340448400</v>
      </c>
      <c r="F965" s="835" t="s">
        <v>2530</v>
      </c>
      <c r="G965" s="143">
        <v>800</v>
      </c>
    </row>
    <row r="966" spans="1:7">
      <c r="A966" s="835">
        <v>20</v>
      </c>
      <c r="B966" s="835" t="s">
        <v>2540</v>
      </c>
      <c r="C966" s="835" t="s">
        <v>2541</v>
      </c>
      <c r="D966" s="835" t="s">
        <v>2430</v>
      </c>
      <c r="E966" s="679">
        <v>351878872462159</v>
      </c>
      <c r="F966" s="834"/>
      <c r="G966" s="143">
        <v>1980</v>
      </c>
    </row>
    <row r="967" spans="1:7">
      <c r="A967" s="835">
        <v>21</v>
      </c>
      <c r="B967" s="835" t="s">
        <v>2540</v>
      </c>
      <c r="C967" s="835" t="s">
        <v>3099</v>
      </c>
      <c r="D967" s="835" t="s">
        <v>2428</v>
      </c>
      <c r="E967" s="679">
        <v>351878872313915</v>
      </c>
      <c r="F967" s="834"/>
      <c r="G967" s="143">
        <v>1880</v>
      </c>
    </row>
    <row r="968" spans="1:7">
      <c r="A968" s="835">
        <v>22</v>
      </c>
      <c r="B968" s="835" t="s">
        <v>2540</v>
      </c>
      <c r="C968" s="835" t="s">
        <v>3099</v>
      </c>
      <c r="D968" s="835" t="s">
        <v>2428</v>
      </c>
      <c r="E968" s="679">
        <v>351878872298041</v>
      </c>
      <c r="F968" s="834"/>
      <c r="G968" s="143">
        <v>1880</v>
      </c>
    </row>
    <row r="969" spans="1:7">
      <c r="A969" s="835">
        <v>23</v>
      </c>
      <c r="B969" s="835" t="s">
        <v>2540</v>
      </c>
      <c r="C969" s="835" t="s">
        <v>2542</v>
      </c>
      <c r="D969" s="835" t="s">
        <v>2428</v>
      </c>
      <c r="E969" s="679">
        <v>351878871583716</v>
      </c>
      <c r="F969" s="834"/>
      <c r="G969" s="143">
        <v>1880</v>
      </c>
    </row>
    <row r="970" spans="1:7">
      <c r="A970" s="835">
        <v>24</v>
      </c>
      <c r="B970" s="835" t="s">
        <v>2426</v>
      </c>
      <c r="C970" s="835" t="s">
        <v>2526</v>
      </c>
      <c r="D970" s="835" t="s">
        <v>2428</v>
      </c>
      <c r="E970" s="679">
        <v>356605223104544</v>
      </c>
      <c r="F970" s="143"/>
      <c r="G970" s="143">
        <v>3200</v>
      </c>
    </row>
    <row r="971" spans="1:7">
      <c r="A971" s="835">
        <v>25</v>
      </c>
      <c r="B971" s="835" t="s">
        <v>2426</v>
      </c>
      <c r="C971" s="835" t="s">
        <v>2526</v>
      </c>
      <c r="D971" s="835" t="s">
        <v>2430</v>
      </c>
      <c r="E971" s="679">
        <v>359614548843338</v>
      </c>
      <c r="F971" s="143"/>
      <c r="G971" s="143">
        <v>3300</v>
      </c>
    </row>
    <row r="972" spans="1:7">
      <c r="A972" s="835">
        <v>26</v>
      </c>
      <c r="B972" s="835" t="s">
        <v>2426</v>
      </c>
      <c r="C972" s="835" t="s">
        <v>2526</v>
      </c>
      <c r="D972" s="835" t="s">
        <v>2430</v>
      </c>
      <c r="E972" s="679">
        <v>355224257251246</v>
      </c>
      <c r="F972" s="143"/>
      <c r="G972" s="143">
        <v>3300</v>
      </c>
    </row>
    <row r="973" spans="1:7">
      <c r="A973" s="835">
        <v>27</v>
      </c>
      <c r="B973" s="835" t="s">
        <v>2528</v>
      </c>
      <c r="C973" s="835" t="s">
        <v>2529</v>
      </c>
      <c r="D973" s="835" t="s">
        <v>2428</v>
      </c>
      <c r="E973" s="679">
        <v>357223741476847</v>
      </c>
      <c r="F973" s="143"/>
      <c r="G973" s="143">
        <v>1920</v>
      </c>
    </row>
    <row r="974" spans="1:7">
      <c r="A974" s="835">
        <v>28</v>
      </c>
      <c r="B974" s="835" t="s">
        <v>2532</v>
      </c>
      <c r="C974" s="835" t="s">
        <v>2444</v>
      </c>
      <c r="D974" s="835" t="s">
        <v>2428</v>
      </c>
      <c r="E974" s="679">
        <v>355714603395325</v>
      </c>
      <c r="F974" s="143"/>
      <c r="G974" s="143">
        <v>1920</v>
      </c>
    </row>
    <row r="975" spans="1:7">
      <c r="A975" s="835">
        <v>29</v>
      </c>
      <c r="B975" s="835" t="s">
        <v>2547</v>
      </c>
      <c r="C975" s="835" t="s">
        <v>2459</v>
      </c>
      <c r="D975" s="835" t="s">
        <v>2428</v>
      </c>
      <c r="E975" s="679">
        <v>352355709092714</v>
      </c>
      <c r="F975" s="143"/>
      <c r="G975" s="143">
        <v>3950</v>
      </c>
    </row>
    <row r="976" spans="1:7">
      <c r="A976" s="835">
        <v>30</v>
      </c>
      <c r="B976" s="835" t="s">
        <v>2480</v>
      </c>
      <c r="C976" s="835" t="s">
        <v>2550</v>
      </c>
      <c r="D976" s="835" t="s">
        <v>2482</v>
      </c>
      <c r="E976" s="679">
        <v>353938642685824</v>
      </c>
      <c r="F976" s="143"/>
      <c r="G976" s="143">
        <v>2380</v>
      </c>
    </row>
    <row r="977" spans="1:7">
      <c r="A977" s="835">
        <v>31</v>
      </c>
      <c r="B977" s="835" t="s">
        <v>2480</v>
      </c>
      <c r="C977" s="835" t="s">
        <v>2550</v>
      </c>
      <c r="D977" s="835" t="s">
        <v>2482</v>
      </c>
      <c r="E977" s="679">
        <v>355827874088450</v>
      </c>
      <c r="F977" s="143"/>
      <c r="G977" s="143">
        <v>2380</v>
      </c>
    </row>
    <row r="978" spans="1:7">
      <c r="A978" s="835">
        <v>32</v>
      </c>
      <c r="B978" s="835" t="s">
        <v>2480</v>
      </c>
      <c r="C978" s="835" t="s">
        <v>2550</v>
      </c>
      <c r="D978" s="835" t="s">
        <v>2482</v>
      </c>
      <c r="E978" s="679">
        <v>358135792981187</v>
      </c>
      <c r="F978" s="143"/>
      <c r="G978" s="143">
        <v>2380</v>
      </c>
    </row>
    <row r="979" spans="1:7">
      <c r="A979" s="835">
        <v>33</v>
      </c>
      <c r="B979" s="835" t="s">
        <v>2480</v>
      </c>
      <c r="C979" s="835" t="s">
        <v>2550</v>
      </c>
      <c r="D979" s="835" t="s">
        <v>2482</v>
      </c>
      <c r="E979" s="679">
        <v>353938642689149</v>
      </c>
      <c r="F979" s="143"/>
      <c r="G979" s="143">
        <v>2380</v>
      </c>
    </row>
    <row r="980" spans="1:7">
      <c r="A980" s="835">
        <v>34</v>
      </c>
      <c r="B980" s="835" t="s">
        <v>2480</v>
      </c>
      <c r="C980" s="835" t="s">
        <v>2538</v>
      </c>
      <c r="D980" s="835" t="s">
        <v>2482</v>
      </c>
      <c r="E980" s="679">
        <v>356187982562022</v>
      </c>
      <c r="F980" s="143"/>
      <c r="G980" s="143">
        <v>2380</v>
      </c>
    </row>
    <row r="981" spans="1:7">
      <c r="A981" s="835">
        <v>35</v>
      </c>
      <c r="B981" s="835" t="s">
        <v>2480</v>
      </c>
      <c r="C981" s="835" t="s">
        <v>2860</v>
      </c>
      <c r="D981" s="835" t="s">
        <v>2482</v>
      </c>
      <c r="E981" s="679">
        <v>356187980708502</v>
      </c>
      <c r="F981" s="143"/>
      <c r="G981" s="143">
        <v>2380</v>
      </c>
    </row>
    <row r="982" spans="1:7">
      <c r="A982" s="835">
        <v>36</v>
      </c>
      <c r="B982" s="835" t="s">
        <v>2480</v>
      </c>
      <c r="C982" s="835" t="s">
        <v>3098</v>
      </c>
      <c r="D982" s="835" t="s">
        <v>2482</v>
      </c>
      <c r="E982" s="679">
        <v>358135790659777</v>
      </c>
      <c r="F982" s="143"/>
      <c r="G982" s="143">
        <v>2380</v>
      </c>
    </row>
    <row r="983" spans="1:7">
      <c r="A983" s="835">
        <v>37</v>
      </c>
      <c r="B983" s="835" t="s">
        <v>2540</v>
      </c>
      <c r="C983" s="835" t="s">
        <v>2541</v>
      </c>
      <c r="D983" s="835" t="s">
        <v>2428</v>
      </c>
      <c r="E983" s="679">
        <v>351878872026194</v>
      </c>
      <c r="F983" s="143"/>
      <c r="G983" s="143">
        <v>1880</v>
      </c>
    </row>
    <row r="984" spans="1:7">
      <c r="A984" s="835">
        <v>38</v>
      </c>
      <c r="B984" s="835" t="s">
        <v>2540</v>
      </c>
      <c r="C984" s="835" t="s">
        <v>2541</v>
      </c>
      <c r="D984" s="835" t="s">
        <v>2430</v>
      </c>
      <c r="E984" s="679">
        <v>351878872166503</v>
      </c>
      <c r="F984" s="143"/>
      <c r="G984" s="143">
        <v>1980</v>
      </c>
    </row>
    <row r="985" spans="1:7">
      <c r="A985" s="835">
        <v>39</v>
      </c>
      <c r="B985" s="835" t="s">
        <v>2540</v>
      </c>
      <c r="C985" s="835" t="s">
        <v>3099</v>
      </c>
      <c r="D985" s="835" t="s">
        <v>2428</v>
      </c>
      <c r="E985" s="679">
        <v>351878872135193</v>
      </c>
      <c r="F985" s="143"/>
      <c r="G985" s="143">
        <v>1880</v>
      </c>
    </row>
    <row r="986" spans="1:7">
      <c r="A986" s="835">
        <v>40</v>
      </c>
      <c r="B986" s="835" t="s">
        <v>2540</v>
      </c>
      <c r="C986" s="835" t="s">
        <v>3099</v>
      </c>
      <c r="D986" s="835" t="s">
        <v>2428</v>
      </c>
      <c r="E986" s="679">
        <v>351878872065606</v>
      </c>
      <c r="F986" s="143"/>
      <c r="G986" s="143">
        <v>1880</v>
      </c>
    </row>
    <row r="987" spans="1:7">
      <c r="A987" s="835">
        <v>41</v>
      </c>
      <c r="B987" s="835" t="s">
        <v>2540</v>
      </c>
      <c r="C987" s="835" t="s">
        <v>3099</v>
      </c>
      <c r="D987" s="835" t="s">
        <v>2428</v>
      </c>
      <c r="E987" s="679">
        <v>351878872070945</v>
      </c>
      <c r="F987" s="143"/>
      <c r="G987" s="143">
        <v>1880</v>
      </c>
    </row>
    <row r="988" spans="1:7">
      <c r="A988" s="835">
        <v>42</v>
      </c>
      <c r="B988" s="835" t="s">
        <v>2775</v>
      </c>
      <c r="C988" s="835" t="s">
        <v>2498</v>
      </c>
      <c r="D988" s="835" t="s">
        <v>2428</v>
      </c>
      <c r="E988" s="679">
        <v>353478903515030</v>
      </c>
      <c r="F988" s="143"/>
      <c r="G988" s="143">
        <v>3250</v>
      </c>
    </row>
    <row r="997" spans="1:9" ht="39" customHeight="1">
      <c r="A997" s="1481" t="s">
        <v>3109</v>
      </c>
      <c r="B997" s="1481"/>
      <c r="C997" s="856" t="s">
        <v>3110</v>
      </c>
      <c r="D997" s="1483" t="s">
        <v>3206</v>
      </c>
      <c r="E997" s="1483"/>
      <c r="F997" s="1483"/>
      <c r="G997" s="1483"/>
      <c r="H997" s="1483"/>
      <c r="I997" s="731"/>
    </row>
    <row r="998" spans="1:9" s="731" customFormat="1" ht="15.75">
      <c r="A998" s="836" t="s">
        <v>3014</v>
      </c>
      <c r="B998" s="836" t="s">
        <v>2419</v>
      </c>
      <c r="C998" s="836" t="s">
        <v>2420</v>
      </c>
      <c r="D998" s="836" t="s">
        <v>2421</v>
      </c>
      <c r="E998" s="836" t="s">
        <v>2422</v>
      </c>
      <c r="F998" s="836" t="s">
        <v>2423</v>
      </c>
      <c r="G998" s="836" t="s">
        <v>2544</v>
      </c>
      <c r="H998" s="836" t="s">
        <v>3111</v>
      </c>
    </row>
    <row r="999" spans="1:9">
      <c r="A999" s="857">
        <v>1</v>
      </c>
      <c r="B999" s="858" t="s">
        <v>3112</v>
      </c>
      <c r="C999" s="858" t="s">
        <v>3113</v>
      </c>
      <c r="D999" s="858" t="s">
        <v>3114</v>
      </c>
      <c r="E999" s="857">
        <v>355246651900102</v>
      </c>
      <c r="F999" s="859"/>
      <c r="G999" s="860">
        <v>955</v>
      </c>
      <c r="H999" s="860">
        <f>G999*3.57</f>
        <v>3409.35</v>
      </c>
      <c r="I999" s="731"/>
    </row>
    <row r="1000" spans="1:9">
      <c r="A1000" s="857">
        <v>2</v>
      </c>
      <c r="B1000" s="858" t="s">
        <v>3112</v>
      </c>
      <c r="C1000" s="858" t="s">
        <v>3113</v>
      </c>
      <c r="D1000" s="858" t="s">
        <v>3114</v>
      </c>
      <c r="E1000" s="857">
        <v>355246658276621</v>
      </c>
      <c r="F1000" s="859"/>
      <c r="G1000" s="860">
        <v>935</v>
      </c>
      <c r="H1000" s="860">
        <f t="shared" ref="H1000:H1063" si="10">G1000*3.57</f>
        <v>3337.95</v>
      </c>
      <c r="I1000" s="731"/>
    </row>
    <row r="1001" spans="1:9">
      <c r="A1001" s="857">
        <v>3</v>
      </c>
      <c r="B1001" s="858" t="s">
        <v>3112</v>
      </c>
      <c r="C1001" s="858" t="s">
        <v>3113</v>
      </c>
      <c r="D1001" s="858" t="s">
        <v>3114</v>
      </c>
      <c r="E1001" s="857">
        <v>359614549800444</v>
      </c>
      <c r="F1001" s="861" t="s">
        <v>3115</v>
      </c>
      <c r="G1001" s="860">
        <v>1140</v>
      </c>
      <c r="H1001" s="860">
        <f t="shared" si="10"/>
        <v>4069.7999999999997</v>
      </c>
      <c r="I1001" s="731"/>
    </row>
    <row r="1002" spans="1:9">
      <c r="A1002" s="857">
        <v>4</v>
      </c>
      <c r="B1002" s="858" t="s">
        <v>3112</v>
      </c>
      <c r="C1002" s="858" t="s">
        <v>3113</v>
      </c>
      <c r="D1002" s="858" t="s">
        <v>3114</v>
      </c>
      <c r="E1002" s="857">
        <v>356605229474420</v>
      </c>
      <c r="F1002" s="861" t="s">
        <v>3115</v>
      </c>
      <c r="G1002" s="860">
        <v>1140</v>
      </c>
      <c r="H1002" s="860">
        <f t="shared" si="10"/>
        <v>4069.7999999999997</v>
      </c>
      <c r="I1002" s="731"/>
    </row>
    <row r="1003" spans="1:9">
      <c r="A1003" s="857">
        <v>5</v>
      </c>
      <c r="B1003" s="858" t="s">
        <v>3112</v>
      </c>
      <c r="C1003" s="858" t="s">
        <v>3113</v>
      </c>
      <c r="D1003" s="858" t="s">
        <v>3114</v>
      </c>
      <c r="E1003" s="857">
        <v>355246651399586</v>
      </c>
      <c r="F1003" s="859"/>
      <c r="G1003" s="860">
        <v>935</v>
      </c>
      <c r="H1003" s="860">
        <f t="shared" si="10"/>
        <v>3337.95</v>
      </c>
      <c r="I1003" s="731"/>
    </row>
    <row r="1004" spans="1:9">
      <c r="A1004" s="857">
        <v>6</v>
      </c>
      <c r="B1004" s="858" t="s">
        <v>3112</v>
      </c>
      <c r="C1004" s="858" t="s">
        <v>3113</v>
      </c>
      <c r="D1004" s="858" t="s">
        <v>3114</v>
      </c>
      <c r="E1004" s="857">
        <v>350599869599719</v>
      </c>
      <c r="F1004" s="859"/>
      <c r="G1004" s="860">
        <v>935</v>
      </c>
      <c r="H1004" s="860">
        <f t="shared" si="10"/>
        <v>3337.95</v>
      </c>
      <c r="I1004" s="731"/>
    </row>
    <row r="1005" spans="1:9">
      <c r="A1005" s="857">
        <v>7</v>
      </c>
      <c r="B1005" s="858" t="s">
        <v>3112</v>
      </c>
      <c r="C1005" s="858" t="s">
        <v>3113</v>
      </c>
      <c r="D1005" s="858" t="s">
        <v>3114</v>
      </c>
      <c r="E1005" s="857">
        <v>353263429425751</v>
      </c>
      <c r="F1005" s="861" t="s">
        <v>3116</v>
      </c>
      <c r="G1005" s="860">
        <v>1180</v>
      </c>
      <c r="H1005" s="860">
        <f t="shared" si="10"/>
        <v>4212.5999999999995</v>
      </c>
      <c r="I1005" s="731"/>
    </row>
    <row r="1006" spans="1:9">
      <c r="A1006" s="857">
        <v>8</v>
      </c>
      <c r="B1006" s="858" t="s">
        <v>3112</v>
      </c>
      <c r="C1006" s="858" t="s">
        <v>3113</v>
      </c>
      <c r="D1006" s="858" t="s">
        <v>3114</v>
      </c>
      <c r="E1006" s="857">
        <v>358902512382537</v>
      </c>
      <c r="F1006" s="859"/>
      <c r="G1006" s="860">
        <v>935</v>
      </c>
      <c r="H1006" s="860">
        <f t="shared" si="10"/>
        <v>3337.95</v>
      </c>
      <c r="I1006" s="731"/>
    </row>
    <row r="1007" spans="1:9">
      <c r="A1007" s="857">
        <v>9</v>
      </c>
      <c r="B1007" s="858" t="s">
        <v>3112</v>
      </c>
      <c r="C1007" s="858" t="s">
        <v>3113</v>
      </c>
      <c r="D1007" s="858" t="s">
        <v>3114</v>
      </c>
      <c r="E1007" s="857">
        <v>358051329931936</v>
      </c>
      <c r="F1007" s="859"/>
      <c r="G1007" s="860">
        <v>935</v>
      </c>
      <c r="H1007" s="860">
        <f t="shared" si="10"/>
        <v>3337.95</v>
      </c>
      <c r="I1007" s="731"/>
    </row>
    <row r="1008" spans="1:9">
      <c r="A1008" s="857">
        <v>10</v>
      </c>
      <c r="B1008" s="858" t="s">
        <v>3112</v>
      </c>
      <c r="C1008" s="858" t="s">
        <v>3113</v>
      </c>
      <c r="D1008" s="858" t="s">
        <v>3114</v>
      </c>
      <c r="E1008" s="857">
        <v>357586349496411</v>
      </c>
      <c r="F1008" s="859"/>
      <c r="G1008" s="860">
        <v>935</v>
      </c>
      <c r="H1008" s="860">
        <f t="shared" si="10"/>
        <v>3337.95</v>
      </c>
      <c r="I1008" s="731"/>
    </row>
    <row r="1009" spans="1:9">
      <c r="A1009" s="857">
        <v>11</v>
      </c>
      <c r="B1009" s="858" t="s">
        <v>3112</v>
      </c>
      <c r="C1009" s="858" t="s">
        <v>3113</v>
      </c>
      <c r="D1009" s="858" t="s">
        <v>3114</v>
      </c>
      <c r="E1009" s="857">
        <v>350599869770708</v>
      </c>
      <c r="F1009" s="861" t="s">
        <v>3116</v>
      </c>
      <c r="G1009" s="860">
        <v>1180</v>
      </c>
      <c r="H1009" s="860">
        <f t="shared" si="10"/>
        <v>4212.5999999999995</v>
      </c>
      <c r="I1009" s="731"/>
    </row>
    <row r="1010" spans="1:9">
      <c r="A1010" s="857">
        <v>12</v>
      </c>
      <c r="B1010" s="858" t="s">
        <v>3112</v>
      </c>
      <c r="C1010" s="858" t="s">
        <v>3113</v>
      </c>
      <c r="D1010" s="858" t="s">
        <v>3114</v>
      </c>
      <c r="E1010" s="857">
        <v>356392244848629</v>
      </c>
      <c r="F1010" s="859"/>
      <c r="G1010" s="860">
        <v>935</v>
      </c>
      <c r="H1010" s="860">
        <f t="shared" si="10"/>
        <v>3337.95</v>
      </c>
      <c r="I1010" s="731"/>
    </row>
    <row r="1011" spans="1:9">
      <c r="A1011" s="857">
        <v>13</v>
      </c>
      <c r="B1011" s="858" t="s">
        <v>3112</v>
      </c>
      <c r="C1011" s="858" t="s">
        <v>3113</v>
      </c>
      <c r="D1011" s="858" t="s">
        <v>3114</v>
      </c>
      <c r="E1011" s="857">
        <v>353263424525753</v>
      </c>
      <c r="F1011" s="861" t="s">
        <v>3116</v>
      </c>
      <c r="G1011" s="860">
        <v>1180</v>
      </c>
      <c r="H1011" s="860">
        <f t="shared" si="10"/>
        <v>4212.5999999999995</v>
      </c>
      <c r="I1011" s="731"/>
    </row>
    <row r="1012" spans="1:9">
      <c r="A1012" s="857">
        <v>14</v>
      </c>
      <c r="B1012" s="858" t="s">
        <v>3112</v>
      </c>
      <c r="C1012" s="858" t="s">
        <v>3113</v>
      </c>
      <c r="D1012" s="858" t="s">
        <v>3114</v>
      </c>
      <c r="E1012" s="857">
        <v>357586349547700</v>
      </c>
      <c r="F1012" s="859"/>
      <c r="G1012" s="860">
        <v>935</v>
      </c>
      <c r="H1012" s="860">
        <f t="shared" si="10"/>
        <v>3337.95</v>
      </c>
      <c r="I1012" s="731"/>
    </row>
    <row r="1013" spans="1:9">
      <c r="A1013" s="857">
        <v>15</v>
      </c>
      <c r="B1013" s="858" t="s">
        <v>3112</v>
      </c>
      <c r="C1013" s="858" t="s">
        <v>3113</v>
      </c>
      <c r="D1013" s="858" t="s">
        <v>3114</v>
      </c>
      <c r="E1013" s="857">
        <v>357586343876725</v>
      </c>
      <c r="F1013" s="861" t="s">
        <v>3116</v>
      </c>
      <c r="G1013" s="860">
        <v>1180</v>
      </c>
      <c r="H1013" s="860">
        <f t="shared" si="10"/>
        <v>4212.5999999999995</v>
      </c>
      <c r="I1013" s="731"/>
    </row>
    <row r="1014" spans="1:9">
      <c r="A1014" s="857">
        <v>16</v>
      </c>
      <c r="B1014" s="858" t="s">
        <v>3112</v>
      </c>
      <c r="C1014" s="858" t="s">
        <v>3113</v>
      </c>
      <c r="D1014" s="858" t="s">
        <v>3114</v>
      </c>
      <c r="E1014" s="857">
        <v>356392242146018</v>
      </c>
      <c r="F1014" s="859"/>
      <c r="G1014" s="860">
        <v>935</v>
      </c>
      <c r="H1014" s="860">
        <f t="shared" si="10"/>
        <v>3337.95</v>
      </c>
      <c r="I1014" s="731"/>
    </row>
    <row r="1015" spans="1:9">
      <c r="A1015" s="857">
        <v>17</v>
      </c>
      <c r="B1015" s="858" t="s">
        <v>3112</v>
      </c>
      <c r="C1015" s="858" t="s">
        <v>3113</v>
      </c>
      <c r="D1015" s="858" t="s">
        <v>3114</v>
      </c>
      <c r="E1015" s="857">
        <v>359614548969208</v>
      </c>
      <c r="F1015" s="861" t="s">
        <v>3116</v>
      </c>
      <c r="G1015" s="860">
        <v>1180</v>
      </c>
      <c r="H1015" s="860">
        <f t="shared" si="10"/>
        <v>4212.5999999999995</v>
      </c>
      <c r="I1015" s="731"/>
    </row>
    <row r="1016" spans="1:9">
      <c r="A1016" s="857">
        <v>18</v>
      </c>
      <c r="B1016" s="858" t="s">
        <v>3112</v>
      </c>
      <c r="C1016" s="858" t="s">
        <v>3113</v>
      </c>
      <c r="D1016" s="858" t="s">
        <v>3114</v>
      </c>
      <c r="E1016" s="857">
        <v>353263429701987</v>
      </c>
      <c r="F1016" s="861" t="s">
        <v>3115</v>
      </c>
      <c r="G1016" s="860">
        <v>1140</v>
      </c>
      <c r="H1016" s="860">
        <f t="shared" si="10"/>
        <v>4069.7999999999997</v>
      </c>
      <c r="I1016" s="731"/>
    </row>
    <row r="1017" spans="1:9">
      <c r="A1017" s="857">
        <v>19</v>
      </c>
      <c r="B1017" s="858" t="s">
        <v>3112</v>
      </c>
      <c r="C1017" s="858" t="s">
        <v>3113</v>
      </c>
      <c r="D1017" s="858" t="s">
        <v>3114</v>
      </c>
      <c r="E1017" s="857">
        <v>355246658428792</v>
      </c>
      <c r="F1017" s="861" t="s">
        <v>3115</v>
      </c>
      <c r="G1017" s="860">
        <v>935</v>
      </c>
      <c r="H1017" s="860">
        <f t="shared" si="10"/>
        <v>3337.95</v>
      </c>
      <c r="I1017" s="731"/>
    </row>
    <row r="1018" spans="1:9">
      <c r="A1018" s="857">
        <v>20</v>
      </c>
      <c r="B1018" s="858" t="s">
        <v>3112</v>
      </c>
      <c r="C1018" s="858" t="s">
        <v>3113</v>
      </c>
      <c r="D1018" s="858" t="s">
        <v>3114</v>
      </c>
      <c r="E1018" s="857">
        <v>350599868319796</v>
      </c>
      <c r="F1018" s="859"/>
      <c r="G1018" s="860">
        <v>935</v>
      </c>
      <c r="H1018" s="860">
        <f t="shared" si="10"/>
        <v>3337.95</v>
      </c>
      <c r="I1018" s="731"/>
    </row>
    <row r="1019" spans="1:9">
      <c r="A1019" s="857">
        <v>21</v>
      </c>
      <c r="B1019" s="858" t="s">
        <v>3112</v>
      </c>
      <c r="C1019" s="858" t="s">
        <v>3113</v>
      </c>
      <c r="D1019" s="858" t="s">
        <v>3114</v>
      </c>
      <c r="E1019" s="857">
        <v>357586349004827</v>
      </c>
      <c r="F1019" s="859"/>
      <c r="G1019" s="860">
        <v>935</v>
      </c>
      <c r="H1019" s="860">
        <f t="shared" si="10"/>
        <v>3337.95</v>
      </c>
      <c r="I1019" s="731"/>
    </row>
    <row r="1020" spans="1:9">
      <c r="A1020" s="857">
        <v>22</v>
      </c>
      <c r="B1020" s="858" t="s">
        <v>3112</v>
      </c>
      <c r="C1020" s="858" t="s">
        <v>3113</v>
      </c>
      <c r="D1020" s="858" t="s">
        <v>3114</v>
      </c>
      <c r="E1020" s="857">
        <v>356392242311067</v>
      </c>
      <c r="F1020" s="859"/>
      <c r="G1020" s="860">
        <v>935</v>
      </c>
      <c r="H1020" s="860">
        <f t="shared" si="10"/>
        <v>3337.95</v>
      </c>
      <c r="I1020" s="731"/>
    </row>
    <row r="1021" spans="1:9">
      <c r="A1021" s="857">
        <v>23</v>
      </c>
      <c r="B1021" s="858" t="s">
        <v>3112</v>
      </c>
      <c r="C1021" s="858" t="s">
        <v>3113</v>
      </c>
      <c r="D1021" s="858" t="s">
        <v>3114</v>
      </c>
      <c r="E1021" s="857">
        <v>355246658814819</v>
      </c>
      <c r="F1021" s="861" t="s">
        <v>3117</v>
      </c>
      <c r="G1021" s="860">
        <v>935</v>
      </c>
      <c r="H1021" s="860">
        <f t="shared" si="10"/>
        <v>3337.95</v>
      </c>
      <c r="I1021" s="731"/>
    </row>
    <row r="1022" spans="1:9">
      <c r="A1022" s="857">
        <v>24</v>
      </c>
      <c r="B1022" s="858" t="s">
        <v>3112</v>
      </c>
      <c r="C1022" s="858" t="s">
        <v>3113</v>
      </c>
      <c r="D1022" s="858" t="s">
        <v>3114</v>
      </c>
      <c r="E1022" s="857">
        <v>355224258441432</v>
      </c>
      <c r="F1022" s="861" t="s">
        <v>3116</v>
      </c>
      <c r="G1022" s="860">
        <v>1180</v>
      </c>
      <c r="H1022" s="860">
        <f t="shared" si="10"/>
        <v>4212.5999999999995</v>
      </c>
      <c r="I1022" s="731"/>
    </row>
    <row r="1023" spans="1:9">
      <c r="A1023" s="857">
        <v>25</v>
      </c>
      <c r="B1023" s="858" t="s">
        <v>3112</v>
      </c>
      <c r="C1023" s="858" t="s">
        <v>3113</v>
      </c>
      <c r="D1023" s="858" t="s">
        <v>3114</v>
      </c>
      <c r="E1023" s="857">
        <v>355246658058086</v>
      </c>
      <c r="F1023" s="859"/>
      <c r="G1023" s="860">
        <v>935</v>
      </c>
      <c r="H1023" s="860">
        <f t="shared" si="10"/>
        <v>3337.95</v>
      </c>
      <c r="I1023" s="731"/>
    </row>
    <row r="1024" spans="1:9">
      <c r="A1024" s="857">
        <v>26</v>
      </c>
      <c r="B1024" s="858" t="s">
        <v>3112</v>
      </c>
      <c r="C1024" s="858" t="s">
        <v>3113</v>
      </c>
      <c r="D1024" s="858" t="s">
        <v>3114</v>
      </c>
      <c r="E1024" s="857">
        <v>353263424600770</v>
      </c>
      <c r="F1024" s="861" t="s">
        <v>3116</v>
      </c>
      <c r="G1024" s="860">
        <v>1180</v>
      </c>
      <c r="H1024" s="860">
        <f t="shared" si="10"/>
        <v>4212.5999999999995</v>
      </c>
      <c r="I1024" s="731"/>
    </row>
    <row r="1025" spans="1:9">
      <c r="A1025" s="857">
        <v>27</v>
      </c>
      <c r="B1025" s="858" t="s">
        <v>3112</v>
      </c>
      <c r="C1025" s="858" t="s">
        <v>3113</v>
      </c>
      <c r="D1025" s="858" t="s">
        <v>3114</v>
      </c>
      <c r="E1025" s="857">
        <v>350599860673851</v>
      </c>
      <c r="F1025" s="861" t="s">
        <v>3117</v>
      </c>
      <c r="G1025" s="860">
        <v>935</v>
      </c>
      <c r="H1025" s="860">
        <f t="shared" si="10"/>
        <v>3337.95</v>
      </c>
      <c r="I1025" s="731"/>
    </row>
    <row r="1026" spans="1:9">
      <c r="A1026" s="857">
        <v>28</v>
      </c>
      <c r="B1026" s="858" t="s">
        <v>3112</v>
      </c>
      <c r="C1026" s="858" t="s">
        <v>3113</v>
      </c>
      <c r="D1026" s="858" t="s">
        <v>3114</v>
      </c>
      <c r="E1026" s="857">
        <v>350599869958063</v>
      </c>
      <c r="F1026" s="861" t="s">
        <v>3116</v>
      </c>
      <c r="G1026" s="860">
        <v>1180</v>
      </c>
      <c r="H1026" s="860">
        <f t="shared" si="10"/>
        <v>4212.5999999999995</v>
      </c>
      <c r="I1026" s="731"/>
    </row>
    <row r="1027" spans="1:9">
      <c r="A1027" s="857">
        <v>29</v>
      </c>
      <c r="B1027" s="858" t="s">
        <v>3112</v>
      </c>
      <c r="C1027" s="858" t="s">
        <v>3113</v>
      </c>
      <c r="D1027" s="858" t="s">
        <v>3114</v>
      </c>
      <c r="E1027" s="857">
        <v>353497850073967</v>
      </c>
      <c r="F1027" s="859"/>
      <c r="G1027" s="860">
        <v>935</v>
      </c>
      <c r="H1027" s="860">
        <f t="shared" si="10"/>
        <v>3337.95</v>
      </c>
      <c r="I1027" s="731"/>
    </row>
    <row r="1028" spans="1:9">
      <c r="A1028" s="857">
        <v>30</v>
      </c>
      <c r="B1028" s="858" t="s">
        <v>3112</v>
      </c>
      <c r="C1028" s="858" t="s">
        <v>3113</v>
      </c>
      <c r="D1028" s="858" t="s">
        <v>3114</v>
      </c>
      <c r="E1028" s="857">
        <v>355224257755600</v>
      </c>
      <c r="F1028" s="861" t="s">
        <v>3116</v>
      </c>
      <c r="G1028" s="860">
        <v>1180</v>
      </c>
      <c r="H1028" s="860">
        <f t="shared" si="10"/>
        <v>4212.5999999999995</v>
      </c>
      <c r="I1028" s="731"/>
    </row>
    <row r="1029" spans="1:9">
      <c r="A1029" s="857">
        <v>31</v>
      </c>
      <c r="B1029" s="858" t="s">
        <v>3112</v>
      </c>
      <c r="C1029" s="858" t="s">
        <v>3113</v>
      </c>
      <c r="D1029" s="858" t="s">
        <v>3114</v>
      </c>
      <c r="E1029" s="857">
        <v>355246659339295</v>
      </c>
      <c r="F1029" s="859"/>
      <c r="G1029" s="860">
        <v>935</v>
      </c>
      <c r="H1029" s="860">
        <f t="shared" si="10"/>
        <v>3337.95</v>
      </c>
      <c r="I1029" s="731"/>
    </row>
    <row r="1030" spans="1:9">
      <c r="A1030" s="857">
        <v>32</v>
      </c>
      <c r="B1030" s="858" t="s">
        <v>3112</v>
      </c>
      <c r="C1030" s="858" t="s">
        <v>3113</v>
      </c>
      <c r="D1030" s="858" t="s">
        <v>3114</v>
      </c>
      <c r="E1030" s="857">
        <v>359614549097686</v>
      </c>
      <c r="F1030" s="861" t="s">
        <v>3116</v>
      </c>
      <c r="G1030" s="860">
        <v>1180</v>
      </c>
      <c r="H1030" s="860">
        <f t="shared" si="10"/>
        <v>4212.5999999999995</v>
      </c>
      <c r="I1030" s="731"/>
    </row>
    <row r="1031" spans="1:9">
      <c r="A1031" s="857">
        <v>33</v>
      </c>
      <c r="B1031" s="858" t="s">
        <v>3112</v>
      </c>
      <c r="C1031" s="858" t="s">
        <v>3113</v>
      </c>
      <c r="D1031" s="858" t="s">
        <v>3118</v>
      </c>
      <c r="E1031" s="857">
        <v>356764177871267</v>
      </c>
      <c r="F1031" s="861" t="s">
        <v>3115</v>
      </c>
      <c r="G1031" s="860">
        <v>1450</v>
      </c>
      <c r="H1031" s="860">
        <f t="shared" si="10"/>
        <v>5176.5</v>
      </c>
      <c r="I1031" s="731"/>
    </row>
    <row r="1032" spans="1:9">
      <c r="A1032" s="857">
        <v>34</v>
      </c>
      <c r="B1032" s="858" t="s">
        <v>3112</v>
      </c>
      <c r="C1032" s="858" t="s">
        <v>3119</v>
      </c>
      <c r="D1032" s="858" t="s">
        <v>3114</v>
      </c>
      <c r="E1032" s="857">
        <v>350599866165662</v>
      </c>
      <c r="F1032" s="861" t="s">
        <v>3115</v>
      </c>
      <c r="G1032" s="860">
        <v>1140</v>
      </c>
      <c r="H1032" s="860">
        <f t="shared" si="10"/>
        <v>4069.7999999999997</v>
      </c>
      <c r="I1032" s="731"/>
    </row>
    <row r="1033" spans="1:9">
      <c r="A1033" s="857">
        <v>35</v>
      </c>
      <c r="B1033" s="858" t="s">
        <v>3112</v>
      </c>
      <c r="C1033" s="858" t="s">
        <v>3119</v>
      </c>
      <c r="D1033" s="858" t="s">
        <v>3114</v>
      </c>
      <c r="E1033" s="857">
        <v>353497852188797</v>
      </c>
      <c r="F1033" s="861" t="s">
        <v>3117</v>
      </c>
      <c r="G1033" s="860">
        <v>900</v>
      </c>
      <c r="H1033" s="860">
        <f t="shared" si="10"/>
        <v>3213</v>
      </c>
      <c r="I1033" s="731"/>
    </row>
    <row r="1034" spans="1:9">
      <c r="A1034" s="857">
        <v>36</v>
      </c>
      <c r="B1034" s="858" t="s">
        <v>3112</v>
      </c>
      <c r="C1034" s="858" t="s">
        <v>3119</v>
      </c>
      <c r="D1034" s="858" t="s">
        <v>3114</v>
      </c>
      <c r="E1034" s="857">
        <v>356188169002535</v>
      </c>
      <c r="F1034" s="861" t="s">
        <v>3117</v>
      </c>
      <c r="G1034" s="860">
        <v>900</v>
      </c>
      <c r="H1034" s="860">
        <f t="shared" si="10"/>
        <v>3213</v>
      </c>
      <c r="I1034" s="731"/>
    </row>
    <row r="1035" spans="1:9">
      <c r="A1035" s="857">
        <v>37</v>
      </c>
      <c r="B1035" s="858" t="s">
        <v>3112</v>
      </c>
      <c r="C1035" s="858" t="s">
        <v>3119</v>
      </c>
      <c r="D1035" s="858" t="s">
        <v>3114</v>
      </c>
      <c r="E1035" s="857">
        <v>355246655294064</v>
      </c>
      <c r="F1035" s="861" t="s">
        <v>3115</v>
      </c>
      <c r="G1035" s="860">
        <v>1140</v>
      </c>
      <c r="H1035" s="860">
        <f t="shared" si="10"/>
        <v>4069.7999999999997</v>
      </c>
      <c r="I1035" s="731"/>
    </row>
    <row r="1036" spans="1:9">
      <c r="A1036" s="857">
        <v>38</v>
      </c>
      <c r="B1036" s="858" t="s">
        <v>3112</v>
      </c>
      <c r="C1036" s="858" t="s">
        <v>3120</v>
      </c>
      <c r="D1036" s="858" t="s">
        <v>3114</v>
      </c>
      <c r="E1036" s="857">
        <v>358051323667940</v>
      </c>
      <c r="F1036" s="861" t="s">
        <v>3121</v>
      </c>
      <c r="G1036" s="860">
        <v>1015</v>
      </c>
      <c r="H1036" s="860">
        <f t="shared" si="10"/>
        <v>3623.5499999999997</v>
      </c>
      <c r="I1036" s="731"/>
    </row>
    <row r="1037" spans="1:9">
      <c r="A1037" s="857">
        <v>39</v>
      </c>
      <c r="B1037" s="858" t="s">
        <v>3112</v>
      </c>
      <c r="C1037" s="858" t="s">
        <v>3120</v>
      </c>
      <c r="D1037" s="858" t="s">
        <v>3114</v>
      </c>
      <c r="E1037" s="857">
        <v>358051324028654</v>
      </c>
      <c r="F1037" s="861" t="s">
        <v>3121</v>
      </c>
      <c r="G1037" s="860">
        <v>1015</v>
      </c>
      <c r="H1037" s="860">
        <f t="shared" si="10"/>
        <v>3623.5499999999997</v>
      </c>
      <c r="I1037" s="731"/>
    </row>
    <row r="1038" spans="1:9">
      <c r="A1038" s="857">
        <v>40</v>
      </c>
      <c r="B1038" s="858" t="s">
        <v>3112</v>
      </c>
      <c r="C1038" s="858" t="s">
        <v>3120</v>
      </c>
      <c r="D1038" s="858" t="s">
        <v>3114</v>
      </c>
      <c r="E1038" s="857">
        <v>355224255215847</v>
      </c>
      <c r="F1038" s="859"/>
      <c r="G1038" s="860">
        <v>955</v>
      </c>
      <c r="H1038" s="860">
        <f t="shared" si="10"/>
        <v>3409.35</v>
      </c>
      <c r="I1038" s="731"/>
    </row>
    <row r="1039" spans="1:9">
      <c r="A1039" s="857">
        <v>41</v>
      </c>
      <c r="B1039" s="858" t="s">
        <v>3112</v>
      </c>
      <c r="C1039" s="858" t="s">
        <v>3120</v>
      </c>
      <c r="D1039" s="858" t="s">
        <v>3114</v>
      </c>
      <c r="E1039" s="857">
        <v>358051324181743</v>
      </c>
      <c r="F1039" s="861" t="s">
        <v>3121</v>
      </c>
      <c r="G1039" s="860">
        <v>1015</v>
      </c>
      <c r="H1039" s="860">
        <f t="shared" si="10"/>
        <v>3623.5499999999997</v>
      </c>
      <c r="I1039" s="731"/>
    </row>
    <row r="1040" spans="1:9">
      <c r="A1040" s="857">
        <v>42</v>
      </c>
      <c r="B1040" s="858" t="s">
        <v>3112</v>
      </c>
      <c r="C1040" s="858" t="s">
        <v>3120</v>
      </c>
      <c r="D1040" s="858" t="s">
        <v>3114</v>
      </c>
      <c r="E1040" s="857">
        <v>356392243538593</v>
      </c>
      <c r="F1040" s="859"/>
      <c r="G1040" s="860">
        <v>955</v>
      </c>
      <c r="H1040" s="860">
        <f t="shared" si="10"/>
        <v>3409.35</v>
      </c>
      <c r="I1040" s="731"/>
    </row>
    <row r="1041" spans="1:9">
      <c r="A1041" s="857">
        <v>43</v>
      </c>
      <c r="B1041" s="858" t="s">
        <v>3112</v>
      </c>
      <c r="C1041" s="858" t="s">
        <v>3120</v>
      </c>
      <c r="D1041" s="858" t="s">
        <v>3114</v>
      </c>
      <c r="E1041" s="857">
        <v>357329441189398</v>
      </c>
      <c r="F1041" s="859"/>
      <c r="G1041" s="860">
        <v>955</v>
      </c>
      <c r="H1041" s="860">
        <f t="shared" si="10"/>
        <v>3409.35</v>
      </c>
      <c r="I1041" s="731"/>
    </row>
    <row r="1042" spans="1:9">
      <c r="A1042" s="857">
        <v>44</v>
      </c>
      <c r="B1042" s="858" t="s">
        <v>3112</v>
      </c>
      <c r="C1042" s="858" t="s">
        <v>3120</v>
      </c>
      <c r="D1042" s="858" t="s">
        <v>3114</v>
      </c>
      <c r="E1042" s="857">
        <v>358902511663218</v>
      </c>
      <c r="F1042" s="861" t="s">
        <v>3116</v>
      </c>
      <c r="G1042" s="860">
        <v>1180</v>
      </c>
      <c r="H1042" s="860">
        <f t="shared" si="10"/>
        <v>4212.5999999999995</v>
      </c>
      <c r="I1042" s="731"/>
    </row>
    <row r="1043" spans="1:9">
      <c r="A1043" s="857">
        <v>45</v>
      </c>
      <c r="B1043" s="858" t="s">
        <v>3112</v>
      </c>
      <c r="C1043" s="858" t="s">
        <v>3120</v>
      </c>
      <c r="D1043" s="858" t="s">
        <v>3114</v>
      </c>
      <c r="E1043" s="857">
        <v>358902511462249</v>
      </c>
      <c r="F1043" s="861" t="s">
        <v>3116</v>
      </c>
      <c r="G1043" s="860">
        <v>1180</v>
      </c>
      <c r="H1043" s="860">
        <f t="shared" si="10"/>
        <v>4212.5999999999995</v>
      </c>
      <c r="I1043" s="731"/>
    </row>
    <row r="1044" spans="1:9">
      <c r="A1044" s="857">
        <v>46</v>
      </c>
      <c r="B1044" s="858" t="s">
        <v>3112</v>
      </c>
      <c r="C1044" s="858" t="s">
        <v>3120</v>
      </c>
      <c r="D1044" s="858" t="s">
        <v>3114</v>
      </c>
      <c r="E1044" s="857">
        <v>355246652379694</v>
      </c>
      <c r="F1044" s="861" t="s">
        <v>3117</v>
      </c>
      <c r="G1044" s="860">
        <v>955</v>
      </c>
      <c r="H1044" s="860">
        <f t="shared" si="10"/>
        <v>3409.35</v>
      </c>
      <c r="I1044" s="731"/>
    </row>
    <row r="1045" spans="1:9">
      <c r="A1045" s="857">
        <v>47</v>
      </c>
      <c r="B1045" s="858" t="s">
        <v>3112</v>
      </c>
      <c r="C1045" s="858" t="s">
        <v>3120</v>
      </c>
      <c r="D1045" s="858" t="s">
        <v>3114</v>
      </c>
      <c r="E1045" s="857">
        <v>355246652765959</v>
      </c>
      <c r="F1045" s="861" t="s">
        <v>3117</v>
      </c>
      <c r="G1045" s="860">
        <v>955</v>
      </c>
      <c r="H1045" s="860">
        <f t="shared" si="10"/>
        <v>3409.35</v>
      </c>
      <c r="I1045" s="731"/>
    </row>
    <row r="1046" spans="1:9">
      <c r="A1046" s="857">
        <v>48</v>
      </c>
      <c r="B1046" s="858" t="s">
        <v>3112</v>
      </c>
      <c r="C1046" s="858" t="s">
        <v>3120</v>
      </c>
      <c r="D1046" s="858" t="s">
        <v>3114</v>
      </c>
      <c r="E1046" s="857">
        <v>358902511179199</v>
      </c>
      <c r="F1046" s="861" t="s">
        <v>3117</v>
      </c>
      <c r="G1046" s="860">
        <v>955</v>
      </c>
      <c r="H1046" s="860">
        <f t="shared" si="10"/>
        <v>3409.35</v>
      </c>
      <c r="I1046" s="731"/>
    </row>
    <row r="1047" spans="1:9">
      <c r="A1047" s="857">
        <v>49</v>
      </c>
      <c r="B1047" s="858" t="s">
        <v>3112</v>
      </c>
      <c r="C1047" s="858" t="s">
        <v>3120</v>
      </c>
      <c r="D1047" s="858" t="s">
        <v>3114</v>
      </c>
      <c r="E1047" s="857">
        <v>356605228885659</v>
      </c>
      <c r="F1047" s="861" t="s">
        <v>3117</v>
      </c>
      <c r="G1047" s="860">
        <v>955</v>
      </c>
      <c r="H1047" s="860">
        <f t="shared" si="10"/>
        <v>3409.35</v>
      </c>
      <c r="I1047" s="731"/>
    </row>
    <row r="1048" spans="1:9">
      <c r="A1048" s="857">
        <v>50</v>
      </c>
      <c r="B1048" s="858" t="s">
        <v>3112</v>
      </c>
      <c r="C1048" s="858" t="s">
        <v>3120</v>
      </c>
      <c r="D1048" s="858" t="s">
        <v>3114</v>
      </c>
      <c r="E1048" s="857">
        <v>353497853696020</v>
      </c>
      <c r="F1048" s="861" t="s">
        <v>3117</v>
      </c>
      <c r="G1048" s="860">
        <v>955</v>
      </c>
      <c r="H1048" s="860">
        <f t="shared" si="10"/>
        <v>3409.35</v>
      </c>
      <c r="I1048" s="731"/>
    </row>
    <row r="1049" spans="1:9">
      <c r="A1049" s="857">
        <v>51</v>
      </c>
      <c r="B1049" s="858" t="s">
        <v>3112</v>
      </c>
      <c r="C1049" s="858" t="s">
        <v>3120</v>
      </c>
      <c r="D1049" s="858" t="s">
        <v>3114</v>
      </c>
      <c r="E1049" s="857">
        <v>355246650565849</v>
      </c>
      <c r="F1049" s="861" t="s">
        <v>3117</v>
      </c>
      <c r="G1049" s="860">
        <v>955</v>
      </c>
      <c r="H1049" s="860">
        <f t="shared" si="10"/>
        <v>3409.35</v>
      </c>
      <c r="I1049" s="731"/>
    </row>
    <row r="1050" spans="1:9">
      <c r="A1050" s="857">
        <v>52</v>
      </c>
      <c r="B1050" s="858" t="s">
        <v>3112</v>
      </c>
      <c r="C1050" s="858" t="s">
        <v>3120</v>
      </c>
      <c r="D1050" s="858" t="s">
        <v>3114</v>
      </c>
      <c r="E1050" s="857">
        <v>350889869613903</v>
      </c>
      <c r="F1050" s="861" t="s">
        <v>3117</v>
      </c>
      <c r="G1050" s="860">
        <v>955</v>
      </c>
      <c r="H1050" s="860">
        <f t="shared" si="10"/>
        <v>3409.35</v>
      </c>
      <c r="I1050" s="731"/>
    </row>
    <row r="1051" spans="1:9">
      <c r="A1051" s="857">
        <v>53</v>
      </c>
      <c r="B1051" s="858" t="s">
        <v>3112</v>
      </c>
      <c r="C1051" s="858" t="s">
        <v>3120</v>
      </c>
      <c r="D1051" s="858" t="s">
        <v>3114</v>
      </c>
      <c r="E1051" s="857">
        <v>355246650171143</v>
      </c>
      <c r="F1051" s="861" t="s">
        <v>3117</v>
      </c>
      <c r="G1051" s="860">
        <v>955</v>
      </c>
      <c r="H1051" s="860">
        <f t="shared" si="10"/>
        <v>3409.35</v>
      </c>
      <c r="I1051" s="731"/>
    </row>
    <row r="1052" spans="1:9">
      <c r="A1052" s="857">
        <v>54</v>
      </c>
      <c r="B1052" s="858" t="s">
        <v>3112</v>
      </c>
      <c r="C1052" s="858" t="s">
        <v>3120</v>
      </c>
      <c r="D1052" s="858" t="s">
        <v>3114</v>
      </c>
      <c r="E1052" s="857">
        <v>358902512369583</v>
      </c>
      <c r="F1052" s="861" t="s">
        <v>3116</v>
      </c>
      <c r="G1052" s="860">
        <v>1180</v>
      </c>
      <c r="H1052" s="860">
        <f t="shared" si="10"/>
        <v>4212.5999999999995</v>
      </c>
      <c r="I1052" s="731"/>
    </row>
    <row r="1053" spans="1:9">
      <c r="A1053" s="857">
        <v>55</v>
      </c>
      <c r="B1053" s="858" t="s">
        <v>3112</v>
      </c>
      <c r="C1053" s="858" t="s">
        <v>3120</v>
      </c>
      <c r="D1053" s="858" t="s">
        <v>3114</v>
      </c>
      <c r="E1053" s="857">
        <v>356605229043761</v>
      </c>
      <c r="F1053" s="861" t="s">
        <v>3115</v>
      </c>
      <c r="G1053" s="860">
        <v>1140</v>
      </c>
      <c r="H1053" s="860">
        <f t="shared" si="10"/>
        <v>4069.7999999999997</v>
      </c>
      <c r="I1053" s="731"/>
    </row>
    <row r="1054" spans="1:9">
      <c r="A1054" s="857">
        <v>56</v>
      </c>
      <c r="B1054" s="858" t="s">
        <v>3112</v>
      </c>
      <c r="C1054" s="858" t="s">
        <v>3120</v>
      </c>
      <c r="D1054" s="858" t="s">
        <v>3114</v>
      </c>
      <c r="E1054" s="857">
        <v>355224259003793</v>
      </c>
      <c r="F1054" s="861" t="s">
        <v>3117</v>
      </c>
      <c r="G1054" s="860">
        <v>955</v>
      </c>
      <c r="H1054" s="860">
        <f t="shared" si="10"/>
        <v>3409.35</v>
      </c>
      <c r="I1054" s="731"/>
    </row>
    <row r="1055" spans="1:9">
      <c r="A1055" s="857">
        <v>57</v>
      </c>
      <c r="B1055" s="858" t="s">
        <v>3112</v>
      </c>
      <c r="C1055" s="858" t="s">
        <v>3120</v>
      </c>
      <c r="D1055" s="858" t="s">
        <v>3114</v>
      </c>
      <c r="E1055" s="857">
        <v>355246655870152</v>
      </c>
      <c r="F1055" s="859"/>
      <c r="G1055" s="860">
        <v>955</v>
      </c>
      <c r="H1055" s="860">
        <f t="shared" si="10"/>
        <v>3409.35</v>
      </c>
      <c r="I1055" s="731"/>
    </row>
    <row r="1056" spans="1:9">
      <c r="A1056" s="857">
        <v>58</v>
      </c>
      <c r="B1056" s="858" t="s">
        <v>3112</v>
      </c>
      <c r="C1056" s="858" t="s">
        <v>3120</v>
      </c>
      <c r="D1056" s="858" t="s">
        <v>3114</v>
      </c>
      <c r="E1056" s="857">
        <v>350599861255583</v>
      </c>
      <c r="F1056" s="861" t="s">
        <v>3115</v>
      </c>
      <c r="G1056" s="860">
        <v>1140</v>
      </c>
      <c r="H1056" s="860">
        <f t="shared" si="10"/>
        <v>4069.7999999999997</v>
      </c>
      <c r="I1056" s="731"/>
    </row>
    <row r="1057" spans="1:9">
      <c r="A1057" s="857">
        <v>59</v>
      </c>
      <c r="B1057" s="858" t="s">
        <v>3112</v>
      </c>
      <c r="C1057" s="858" t="s">
        <v>3120</v>
      </c>
      <c r="D1057" s="858" t="s">
        <v>3114</v>
      </c>
      <c r="E1057" s="857">
        <v>356605229065079</v>
      </c>
      <c r="F1057" s="861" t="s">
        <v>3115</v>
      </c>
      <c r="G1057" s="860">
        <v>1140</v>
      </c>
      <c r="H1057" s="860">
        <f t="shared" si="10"/>
        <v>4069.7999999999997</v>
      </c>
      <c r="I1057" s="731"/>
    </row>
    <row r="1058" spans="1:9">
      <c r="A1058" s="857">
        <v>60</v>
      </c>
      <c r="B1058" s="858" t="s">
        <v>3112</v>
      </c>
      <c r="C1058" s="858" t="s">
        <v>3120</v>
      </c>
      <c r="D1058" s="858" t="s">
        <v>3114</v>
      </c>
      <c r="E1058" s="857">
        <v>356392243799245</v>
      </c>
      <c r="F1058" s="859"/>
      <c r="G1058" s="860">
        <v>955</v>
      </c>
      <c r="H1058" s="860">
        <f t="shared" si="10"/>
        <v>3409.35</v>
      </c>
      <c r="I1058" s="731"/>
    </row>
    <row r="1059" spans="1:9">
      <c r="A1059" s="857">
        <v>61</v>
      </c>
      <c r="B1059" s="858" t="s">
        <v>3112</v>
      </c>
      <c r="C1059" s="858" t="s">
        <v>3120</v>
      </c>
      <c r="D1059" s="858" t="s">
        <v>3114</v>
      </c>
      <c r="E1059" s="857">
        <v>350599865078429</v>
      </c>
      <c r="F1059" s="861" t="s">
        <v>3115</v>
      </c>
      <c r="G1059" s="860">
        <v>1140</v>
      </c>
      <c r="H1059" s="860">
        <f t="shared" si="10"/>
        <v>4069.7999999999997</v>
      </c>
      <c r="I1059" s="731"/>
    </row>
    <row r="1060" spans="1:9">
      <c r="A1060" s="857">
        <v>62</v>
      </c>
      <c r="B1060" s="858" t="s">
        <v>3112</v>
      </c>
      <c r="C1060" s="858" t="s">
        <v>3120</v>
      </c>
      <c r="D1060" s="858" t="s">
        <v>3114</v>
      </c>
      <c r="E1060" s="857">
        <v>358902513335823</v>
      </c>
      <c r="F1060" s="859"/>
      <c r="G1060" s="860">
        <v>955</v>
      </c>
      <c r="H1060" s="860">
        <f t="shared" si="10"/>
        <v>3409.35</v>
      </c>
      <c r="I1060" s="731"/>
    </row>
    <row r="1061" spans="1:9">
      <c r="A1061" s="857">
        <v>3659</v>
      </c>
      <c r="B1061" s="858" t="s">
        <v>3112</v>
      </c>
      <c r="C1061" s="858" t="s">
        <v>3120</v>
      </c>
      <c r="D1061" s="858" t="s">
        <v>3114</v>
      </c>
      <c r="E1061" s="857">
        <v>358051324423301</v>
      </c>
      <c r="F1061" s="861" t="s">
        <v>3121</v>
      </c>
      <c r="G1061" s="860">
        <v>1015</v>
      </c>
      <c r="H1061" s="860">
        <f t="shared" si="10"/>
        <v>3623.5499999999997</v>
      </c>
      <c r="I1061" s="731"/>
    </row>
    <row r="1062" spans="1:9">
      <c r="A1062" s="857">
        <v>64</v>
      </c>
      <c r="B1062" s="858" t="s">
        <v>3112</v>
      </c>
      <c r="C1062" s="858" t="s">
        <v>3120</v>
      </c>
      <c r="D1062" s="858" t="s">
        <v>3114</v>
      </c>
      <c r="E1062" s="857">
        <v>358051324119321</v>
      </c>
      <c r="F1062" s="861" t="s">
        <v>3121</v>
      </c>
      <c r="G1062" s="860">
        <v>1015</v>
      </c>
      <c r="H1062" s="860">
        <f t="shared" si="10"/>
        <v>3623.5499999999997</v>
      </c>
      <c r="I1062" s="847"/>
    </row>
    <row r="1063" spans="1:9">
      <c r="A1063" s="857">
        <v>65</v>
      </c>
      <c r="B1063" s="858" t="s">
        <v>3112</v>
      </c>
      <c r="C1063" s="858" t="s">
        <v>3120</v>
      </c>
      <c r="D1063" s="858" t="s">
        <v>3114</v>
      </c>
      <c r="E1063" s="857">
        <v>358051324209452</v>
      </c>
      <c r="F1063" s="861" t="s">
        <v>3121</v>
      </c>
      <c r="G1063" s="860">
        <v>1015</v>
      </c>
      <c r="H1063" s="860">
        <f t="shared" si="10"/>
        <v>3623.5499999999997</v>
      </c>
      <c r="I1063" s="847"/>
    </row>
    <row r="1064" spans="1:9">
      <c r="A1064" s="857">
        <v>66</v>
      </c>
      <c r="B1064" s="858" t="s">
        <v>3112</v>
      </c>
      <c r="C1064" s="858" t="s">
        <v>3120</v>
      </c>
      <c r="D1064" s="858" t="s">
        <v>3122</v>
      </c>
      <c r="E1064" s="857">
        <v>355450218484960</v>
      </c>
      <c r="F1064" s="861" t="s">
        <v>3115</v>
      </c>
      <c r="G1064" s="860">
        <v>1270</v>
      </c>
      <c r="H1064" s="860">
        <f t="shared" ref="H1064:H1118" si="11">G1064*3.57</f>
        <v>4533.8999999999996</v>
      </c>
      <c r="I1064" s="847"/>
    </row>
    <row r="1065" spans="1:9">
      <c r="A1065" s="857">
        <v>67</v>
      </c>
      <c r="B1065" s="858" t="s">
        <v>3123</v>
      </c>
      <c r="C1065" s="858" t="s">
        <v>3113</v>
      </c>
      <c r="D1065" s="858" t="s">
        <v>3114</v>
      </c>
      <c r="E1065" s="857">
        <v>355832511985480</v>
      </c>
      <c r="F1065" s="861" t="s">
        <v>3115</v>
      </c>
      <c r="G1065" s="860">
        <v>1025</v>
      </c>
      <c r="H1065" s="860">
        <f t="shared" si="11"/>
        <v>3659.25</v>
      </c>
      <c r="I1065" s="847"/>
    </row>
    <row r="1066" spans="1:9">
      <c r="A1066" s="857">
        <v>68</v>
      </c>
      <c r="B1066" s="858" t="s">
        <v>3123</v>
      </c>
      <c r="C1066" s="858" t="s">
        <v>3113</v>
      </c>
      <c r="D1066" s="858" t="s">
        <v>3114</v>
      </c>
      <c r="E1066" s="857">
        <v>357254470072135</v>
      </c>
      <c r="F1066" s="861" t="s">
        <v>3116</v>
      </c>
      <c r="G1066" s="860">
        <v>1095</v>
      </c>
      <c r="H1066" s="860">
        <f t="shared" si="11"/>
        <v>3909.1499999999996</v>
      </c>
      <c r="I1066" s="847"/>
    </row>
    <row r="1067" spans="1:9">
      <c r="A1067" s="857">
        <v>69</v>
      </c>
      <c r="B1067" s="858" t="s">
        <v>3123</v>
      </c>
      <c r="C1067" s="858" t="s">
        <v>3113</v>
      </c>
      <c r="D1067" s="858" t="s">
        <v>3114</v>
      </c>
      <c r="E1067" s="857">
        <v>353708846516277</v>
      </c>
      <c r="F1067" s="859"/>
      <c r="G1067" s="860">
        <v>825</v>
      </c>
      <c r="H1067" s="860">
        <f t="shared" si="11"/>
        <v>2945.25</v>
      </c>
      <c r="I1067" s="847"/>
    </row>
    <row r="1068" spans="1:9">
      <c r="A1068" s="857">
        <v>70</v>
      </c>
      <c r="B1068" s="858" t="s">
        <v>3123</v>
      </c>
      <c r="C1068" s="858" t="s">
        <v>3113</v>
      </c>
      <c r="D1068" s="858" t="s">
        <v>3114</v>
      </c>
      <c r="E1068" s="857">
        <v>355832513170552</v>
      </c>
      <c r="F1068" s="861" t="s">
        <v>3116</v>
      </c>
      <c r="G1068" s="860">
        <v>1095</v>
      </c>
      <c r="H1068" s="860">
        <f t="shared" si="11"/>
        <v>3909.1499999999996</v>
      </c>
      <c r="I1068" s="847"/>
    </row>
    <row r="1069" spans="1:9">
      <c r="A1069" s="857">
        <v>71</v>
      </c>
      <c r="B1069" s="858" t="s">
        <v>3123</v>
      </c>
      <c r="C1069" s="858" t="s">
        <v>3119</v>
      </c>
      <c r="D1069" s="858" t="s">
        <v>3114</v>
      </c>
      <c r="E1069" s="857">
        <v>355820200559732</v>
      </c>
      <c r="F1069" s="861" t="s">
        <v>3117</v>
      </c>
      <c r="G1069" s="860">
        <v>800</v>
      </c>
      <c r="H1069" s="860">
        <f t="shared" si="11"/>
        <v>2856</v>
      </c>
      <c r="I1069" s="847"/>
    </row>
    <row r="1070" spans="1:9">
      <c r="A1070" s="857">
        <v>72</v>
      </c>
      <c r="B1070" s="858" t="s">
        <v>3123</v>
      </c>
      <c r="C1070" s="858" t="s">
        <v>3120</v>
      </c>
      <c r="D1070" s="858" t="s">
        <v>3114</v>
      </c>
      <c r="E1070" s="857">
        <v>351317528497962</v>
      </c>
      <c r="F1070" s="861" t="s">
        <v>3116</v>
      </c>
      <c r="G1070" s="860">
        <v>1095</v>
      </c>
      <c r="H1070" s="860">
        <f t="shared" si="11"/>
        <v>3909.1499999999996</v>
      </c>
      <c r="I1070" s="847"/>
    </row>
    <row r="1071" spans="1:9">
      <c r="A1071" s="857">
        <v>73</v>
      </c>
      <c r="B1071" s="858" t="s">
        <v>3124</v>
      </c>
      <c r="C1071" s="858" t="s">
        <v>3125</v>
      </c>
      <c r="D1071" s="858" t="s">
        <v>3114</v>
      </c>
      <c r="E1071" s="857">
        <v>358302110725908</v>
      </c>
      <c r="F1071" s="861" t="s">
        <v>3121</v>
      </c>
      <c r="G1071" s="860">
        <v>800</v>
      </c>
      <c r="H1071" s="860">
        <f t="shared" si="11"/>
        <v>2856</v>
      </c>
      <c r="I1071" s="848" t="s">
        <v>3126</v>
      </c>
    </row>
    <row r="1072" spans="1:9">
      <c r="A1072" s="857">
        <v>74</v>
      </c>
      <c r="B1072" s="858" t="s">
        <v>3124</v>
      </c>
      <c r="C1072" s="858" t="s">
        <v>3125</v>
      </c>
      <c r="D1072" s="858" t="s">
        <v>3114</v>
      </c>
      <c r="E1072" s="857">
        <v>350795045808152</v>
      </c>
      <c r="F1072" s="861" t="s">
        <v>3117</v>
      </c>
      <c r="G1072" s="860">
        <v>520</v>
      </c>
      <c r="H1072" s="860">
        <f t="shared" si="11"/>
        <v>1856.3999999999999</v>
      </c>
      <c r="I1072" s="847"/>
    </row>
    <row r="1073" spans="1:9">
      <c r="A1073" s="857">
        <v>75</v>
      </c>
      <c r="B1073" s="858" t="s">
        <v>3127</v>
      </c>
      <c r="C1073" s="858" t="s">
        <v>3128</v>
      </c>
      <c r="D1073" s="858" t="s">
        <v>3114</v>
      </c>
      <c r="E1073" s="857">
        <v>355714605268900</v>
      </c>
      <c r="F1073" s="861" t="s">
        <v>3116</v>
      </c>
      <c r="G1073" s="860">
        <v>750</v>
      </c>
      <c r="H1073" s="860">
        <f t="shared" si="11"/>
        <v>2677.5</v>
      </c>
      <c r="I1073" s="851" t="s">
        <v>3129</v>
      </c>
    </row>
    <row r="1074" spans="1:9">
      <c r="A1074" s="857">
        <v>76</v>
      </c>
      <c r="B1074" s="858" t="s">
        <v>3127</v>
      </c>
      <c r="C1074" s="858" t="s">
        <v>3128</v>
      </c>
      <c r="D1074" s="858" t="s">
        <v>3114</v>
      </c>
      <c r="E1074" s="857">
        <v>354717536243570</v>
      </c>
      <c r="F1074" s="859"/>
      <c r="G1074" s="860">
        <v>560</v>
      </c>
      <c r="H1074" s="860">
        <f t="shared" si="11"/>
        <v>1999.1999999999998</v>
      </c>
      <c r="I1074" s="847"/>
    </row>
    <row r="1075" spans="1:9">
      <c r="A1075" s="857">
        <v>77</v>
      </c>
      <c r="B1075" s="858" t="s">
        <v>3127</v>
      </c>
      <c r="C1075" s="858" t="s">
        <v>3128</v>
      </c>
      <c r="D1075" s="858" t="s">
        <v>3114</v>
      </c>
      <c r="E1075" s="857">
        <v>355714606034723</v>
      </c>
      <c r="F1075" s="861" t="s">
        <v>3115</v>
      </c>
      <c r="G1075" s="860">
        <v>560</v>
      </c>
      <c r="H1075" s="860">
        <f t="shared" si="11"/>
        <v>1999.1999999999998</v>
      </c>
      <c r="I1075" s="847"/>
    </row>
    <row r="1076" spans="1:9">
      <c r="A1076" s="857">
        <v>78</v>
      </c>
      <c r="B1076" s="858" t="s">
        <v>3130</v>
      </c>
      <c r="C1076" s="858" t="s">
        <v>3131</v>
      </c>
      <c r="D1076" s="858" t="s">
        <v>3114</v>
      </c>
      <c r="E1076" s="857">
        <v>354331121168562</v>
      </c>
      <c r="F1076" s="861" t="s">
        <v>3132</v>
      </c>
      <c r="G1076" s="860">
        <v>610</v>
      </c>
      <c r="H1076" s="860">
        <f t="shared" si="11"/>
        <v>2177.6999999999998</v>
      </c>
      <c r="I1076" s="847"/>
    </row>
    <row r="1077" spans="1:9">
      <c r="A1077" s="857">
        <v>79</v>
      </c>
      <c r="B1077" s="858" t="s">
        <v>3130</v>
      </c>
      <c r="C1077" s="858" t="s">
        <v>3131</v>
      </c>
      <c r="D1077" s="858" t="s">
        <v>3114</v>
      </c>
      <c r="E1077" s="857">
        <v>357100773012494</v>
      </c>
      <c r="F1077" s="861" t="s">
        <v>3133</v>
      </c>
      <c r="G1077" s="860">
        <v>600</v>
      </c>
      <c r="H1077" s="860">
        <f t="shared" si="11"/>
        <v>2142</v>
      </c>
      <c r="I1077" s="847"/>
    </row>
    <row r="1078" spans="1:9">
      <c r="A1078" s="857">
        <v>80</v>
      </c>
      <c r="B1078" s="858" t="s">
        <v>3130</v>
      </c>
      <c r="C1078" s="858" t="s">
        <v>3134</v>
      </c>
      <c r="D1078" s="858" t="s">
        <v>3114</v>
      </c>
      <c r="E1078" s="857">
        <v>352356355395492</v>
      </c>
      <c r="F1078" s="861" t="s">
        <v>3135</v>
      </c>
      <c r="G1078" s="860">
        <v>600</v>
      </c>
      <c r="H1078" s="860">
        <f t="shared" si="11"/>
        <v>2142</v>
      </c>
      <c r="I1078" s="847"/>
    </row>
    <row r="1079" spans="1:9">
      <c r="A1079" s="857">
        <v>81</v>
      </c>
      <c r="B1079" s="858" t="s">
        <v>3130</v>
      </c>
      <c r="C1079" s="858" t="s">
        <v>3136</v>
      </c>
      <c r="D1079" s="858" t="s">
        <v>3114</v>
      </c>
      <c r="E1079" s="857">
        <v>353484621259737</v>
      </c>
      <c r="F1079" s="861" t="s">
        <v>3137</v>
      </c>
      <c r="G1079" s="860">
        <v>600</v>
      </c>
      <c r="H1079" s="860">
        <f t="shared" si="11"/>
        <v>2142</v>
      </c>
      <c r="I1079" s="847"/>
    </row>
    <row r="1080" spans="1:9">
      <c r="A1080" s="857">
        <v>82</v>
      </c>
      <c r="B1080" s="858" t="s">
        <v>3130</v>
      </c>
      <c r="C1080" s="858" t="s">
        <v>3136</v>
      </c>
      <c r="D1080" s="858" t="s">
        <v>3114</v>
      </c>
      <c r="E1080" s="857">
        <v>354423233904396</v>
      </c>
      <c r="F1080" s="861" t="s">
        <v>3138</v>
      </c>
      <c r="G1080" s="860">
        <v>600</v>
      </c>
      <c r="H1080" s="860">
        <f t="shared" si="11"/>
        <v>2142</v>
      </c>
      <c r="I1080" s="847"/>
    </row>
    <row r="1081" spans="1:9">
      <c r="A1081" s="857">
        <v>83</v>
      </c>
      <c r="B1081" s="858" t="s">
        <v>3139</v>
      </c>
      <c r="C1081" s="858" t="s">
        <v>3128</v>
      </c>
      <c r="D1081" s="858" t="s">
        <v>3140</v>
      </c>
      <c r="E1081" s="857">
        <v>351399085288729</v>
      </c>
      <c r="F1081" s="861" t="s">
        <v>3141</v>
      </c>
      <c r="G1081" s="860">
        <v>275</v>
      </c>
      <c r="H1081" s="860">
        <f t="shared" si="11"/>
        <v>981.75</v>
      </c>
      <c r="I1081" s="847"/>
    </row>
    <row r="1082" spans="1:9">
      <c r="A1082" s="857">
        <v>84</v>
      </c>
      <c r="B1082" s="858" t="s">
        <v>3139</v>
      </c>
      <c r="C1082" s="858" t="s">
        <v>3128</v>
      </c>
      <c r="D1082" s="858" t="s">
        <v>3140</v>
      </c>
      <c r="E1082" s="857">
        <v>357491835223942</v>
      </c>
      <c r="F1082" s="861" t="s">
        <v>3141</v>
      </c>
      <c r="G1082" s="860">
        <v>275</v>
      </c>
      <c r="H1082" s="860">
        <f t="shared" si="11"/>
        <v>981.75</v>
      </c>
      <c r="I1082" s="847"/>
    </row>
    <row r="1083" spans="1:9">
      <c r="A1083" s="857">
        <v>85</v>
      </c>
      <c r="B1083" s="858" t="s">
        <v>3142</v>
      </c>
      <c r="C1083" s="858" t="s">
        <v>3143</v>
      </c>
      <c r="D1083" s="858" t="s">
        <v>3114</v>
      </c>
      <c r="E1083" s="857">
        <v>352355704693557</v>
      </c>
      <c r="F1083" s="861" t="s">
        <v>3144</v>
      </c>
      <c r="G1083" s="860">
        <v>1080</v>
      </c>
      <c r="H1083" s="860">
        <f t="shared" si="11"/>
        <v>3855.6</v>
      </c>
      <c r="I1083" s="847"/>
    </row>
    <row r="1084" spans="1:9">
      <c r="A1084" s="857">
        <v>86</v>
      </c>
      <c r="B1084" s="858" t="s">
        <v>3145</v>
      </c>
      <c r="C1084" s="858" t="s">
        <v>3143</v>
      </c>
      <c r="D1084" s="858" t="s">
        <v>3114</v>
      </c>
      <c r="E1084" s="857">
        <v>358112933617087</v>
      </c>
      <c r="F1084" s="859"/>
      <c r="G1084" s="860">
        <v>980</v>
      </c>
      <c r="H1084" s="860">
        <f t="shared" si="11"/>
        <v>3498.6</v>
      </c>
      <c r="I1084" s="848" t="s">
        <v>3126</v>
      </c>
    </row>
    <row r="1085" spans="1:9">
      <c r="A1085" s="857">
        <v>87</v>
      </c>
      <c r="B1085" s="858" t="s">
        <v>3145</v>
      </c>
      <c r="C1085" s="858" t="s">
        <v>3143</v>
      </c>
      <c r="D1085" s="858" t="s">
        <v>3114</v>
      </c>
      <c r="E1085" s="857">
        <v>358112934659435</v>
      </c>
      <c r="F1085" s="859"/>
      <c r="G1085" s="860">
        <v>1080</v>
      </c>
      <c r="H1085" s="860">
        <f t="shared" si="11"/>
        <v>3855.6</v>
      </c>
      <c r="I1085" s="849" t="s">
        <v>3146</v>
      </c>
    </row>
    <row r="1086" spans="1:9">
      <c r="A1086" s="857">
        <v>88</v>
      </c>
      <c r="B1086" s="858" t="s">
        <v>3147</v>
      </c>
      <c r="C1086" s="858" t="s">
        <v>3143</v>
      </c>
      <c r="D1086" s="858" t="s">
        <v>3114</v>
      </c>
      <c r="E1086" s="858" t="s">
        <v>3148</v>
      </c>
      <c r="F1086" s="859"/>
      <c r="G1086" s="860">
        <v>750</v>
      </c>
      <c r="H1086" s="860">
        <f t="shared" si="11"/>
        <v>2677.5</v>
      </c>
      <c r="I1086" s="850"/>
    </row>
    <row r="1087" spans="1:9">
      <c r="A1087" s="857">
        <v>89</v>
      </c>
      <c r="B1087" s="858" t="s">
        <v>3149</v>
      </c>
      <c r="C1087" s="858" t="s">
        <v>3150</v>
      </c>
      <c r="D1087" s="858" t="s">
        <v>3140</v>
      </c>
      <c r="E1087" s="858" t="s">
        <v>3151</v>
      </c>
      <c r="F1087" s="859"/>
      <c r="G1087" s="860">
        <v>600</v>
      </c>
      <c r="H1087" s="860">
        <f t="shared" si="11"/>
        <v>2142</v>
      </c>
      <c r="I1087" s="847"/>
    </row>
    <row r="1088" spans="1:9">
      <c r="A1088" s="857">
        <v>90</v>
      </c>
      <c r="B1088" s="858" t="s">
        <v>3149</v>
      </c>
      <c r="C1088" s="858" t="s">
        <v>3152</v>
      </c>
      <c r="D1088" s="858" t="s">
        <v>3140</v>
      </c>
      <c r="E1088" s="858" t="s">
        <v>3153</v>
      </c>
      <c r="F1088" s="859"/>
      <c r="G1088" s="860">
        <v>600</v>
      </c>
      <c r="H1088" s="860">
        <f t="shared" si="11"/>
        <v>2142</v>
      </c>
      <c r="I1088" s="847"/>
    </row>
    <row r="1089" spans="1:9">
      <c r="A1089" s="857">
        <v>91</v>
      </c>
      <c r="B1089" s="858" t="s">
        <v>3154</v>
      </c>
      <c r="C1089" s="858" t="s">
        <v>3150</v>
      </c>
      <c r="D1089" s="858" t="s">
        <v>3140</v>
      </c>
      <c r="E1089" s="858" t="s">
        <v>3155</v>
      </c>
      <c r="F1089" s="859"/>
      <c r="G1089" s="860">
        <v>440</v>
      </c>
      <c r="H1089" s="860">
        <f t="shared" si="11"/>
        <v>1570.8</v>
      </c>
      <c r="I1089" s="850"/>
    </row>
    <row r="1090" spans="1:9">
      <c r="A1090" s="857">
        <v>92</v>
      </c>
      <c r="B1090" s="858" t="s">
        <v>3154</v>
      </c>
      <c r="C1090" s="858" t="s">
        <v>3150</v>
      </c>
      <c r="D1090" s="858" t="s">
        <v>3114</v>
      </c>
      <c r="E1090" s="858" t="s">
        <v>3156</v>
      </c>
      <c r="F1090" s="859"/>
      <c r="G1090" s="860">
        <v>525</v>
      </c>
      <c r="H1090" s="860">
        <f t="shared" si="11"/>
        <v>1874.25</v>
      </c>
      <c r="I1090" s="847"/>
    </row>
    <row r="1091" spans="1:9">
      <c r="A1091" s="857">
        <v>93</v>
      </c>
      <c r="B1091" s="858" t="s">
        <v>3157</v>
      </c>
      <c r="C1091" s="858" t="s">
        <v>3152</v>
      </c>
      <c r="D1091" s="858" t="s">
        <v>3140</v>
      </c>
      <c r="E1091" s="857">
        <v>357585652557637</v>
      </c>
      <c r="F1091" s="862" t="s">
        <v>3158</v>
      </c>
      <c r="G1091" s="860">
        <v>300</v>
      </c>
      <c r="H1091" s="860">
        <f t="shared" si="11"/>
        <v>1071</v>
      </c>
      <c r="I1091" s="847"/>
    </row>
    <row r="1092" spans="1:9">
      <c r="A1092" s="857">
        <v>94</v>
      </c>
      <c r="B1092" s="858" t="s">
        <v>3157</v>
      </c>
      <c r="C1092" s="858" t="s">
        <v>3152</v>
      </c>
      <c r="D1092" s="858" t="s">
        <v>3140</v>
      </c>
      <c r="E1092" s="857">
        <v>351159023117517</v>
      </c>
      <c r="F1092" s="859"/>
      <c r="G1092" s="860">
        <v>350</v>
      </c>
      <c r="H1092" s="860">
        <f t="shared" si="11"/>
        <v>1249.5</v>
      </c>
      <c r="I1092" s="851" t="s">
        <v>3126</v>
      </c>
    </row>
    <row r="1093" spans="1:9">
      <c r="A1093" s="857">
        <v>95</v>
      </c>
      <c r="B1093" s="858" t="s">
        <v>3159</v>
      </c>
      <c r="C1093" s="858" t="s">
        <v>3160</v>
      </c>
      <c r="D1093" s="858" t="s">
        <v>3161</v>
      </c>
      <c r="E1093" s="858" t="s">
        <v>3162</v>
      </c>
      <c r="F1093" s="859"/>
      <c r="G1093" s="860">
        <v>1260</v>
      </c>
      <c r="H1093" s="860">
        <f t="shared" si="11"/>
        <v>4498.2</v>
      </c>
      <c r="I1093" s="847"/>
    </row>
    <row r="1094" spans="1:9">
      <c r="A1094" s="857">
        <v>96</v>
      </c>
      <c r="B1094" s="858" t="s">
        <v>3163</v>
      </c>
      <c r="C1094" s="858" t="s">
        <v>3160</v>
      </c>
      <c r="D1094" s="858" t="s">
        <v>3164</v>
      </c>
      <c r="E1094" s="858" t="s">
        <v>3165</v>
      </c>
      <c r="F1094" s="859"/>
      <c r="G1094" s="860">
        <v>930</v>
      </c>
      <c r="H1094" s="860">
        <f t="shared" si="11"/>
        <v>3320.1</v>
      </c>
      <c r="I1094" s="847"/>
    </row>
    <row r="1095" spans="1:9">
      <c r="A1095" s="857">
        <v>97</v>
      </c>
      <c r="B1095" s="858" t="s">
        <v>3166</v>
      </c>
      <c r="C1095" s="858" t="s">
        <v>3167</v>
      </c>
      <c r="D1095" s="858" t="s">
        <v>3168</v>
      </c>
      <c r="E1095" s="858" t="s">
        <v>3169</v>
      </c>
      <c r="F1095" s="859"/>
      <c r="G1095" s="860">
        <v>320</v>
      </c>
      <c r="H1095" s="860">
        <f t="shared" si="11"/>
        <v>1142.3999999999999</v>
      </c>
      <c r="I1095" s="850"/>
    </row>
    <row r="1096" spans="1:9">
      <c r="A1096" s="857">
        <v>98</v>
      </c>
      <c r="B1096" s="858" t="s">
        <v>3166</v>
      </c>
      <c r="C1096" s="858" t="s">
        <v>3150</v>
      </c>
      <c r="D1096" s="858" t="s">
        <v>3168</v>
      </c>
      <c r="E1096" s="858" t="s">
        <v>3170</v>
      </c>
      <c r="F1096" s="859"/>
      <c r="G1096" s="860">
        <v>320</v>
      </c>
      <c r="H1096" s="860">
        <f t="shared" si="11"/>
        <v>1142.3999999999999</v>
      </c>
      <c r="I1096" s="850"/>
    </row>
    <row r="1097" spans="1:9">
      <c r="A1097" s="857">
        <v>99</v>
      </c>
      <c r="B1097" s="858" t="s">
        <v>3171</v>
      </c>
      <c r="C1097" s="858" t="s">
        <v>3167</v>
      </c>
      <c r="D1097" s="858" t="s">
        <v>3168</v>
      </c>
      <c r="E1097" s="858" t="s">
        <v>3172</v>
      </c>
      <c r="F1097" s="859"/>
      <c r="G1097" s="860">
        <v>270</v>
      </c>
      <c r="H1097" s="860">
        <f t="shared" si="11"/>
        <v>963.9</v>
      </c>
      <c r="I1097" s="847"/>
    </row>
    <row r="1098" spans="1:9">
      <c r="A1098" s="857">
        <v>100</v>
      </c>
      <c r="B1098" s="858" t="s">
        <v>3171</v>
      </c>
      <c r="C1098" s="858" t="s">
        <v>3167</v>
      </c>
      <c r="D1098" s="858" t="s">
        <v>3168</v>
      </c>
      <c r="E1098" s="858" t="s">
        <v>3173</v>
      </c>
      <c r="F1098" s="859"/>
      <c r="G1098" s="860">
        <v>270</v>
      </c>
      <c r="H1098" s="860">
        <f t="shared" si="11"/>
        <v>963.9</v>
      </c>
      <c r="I1098" s="847"/>
    </row>
    <row r="1099" spans="1:9">
      <c r="A1099" s="857">
        <v>101</v>
      </c>
      <c r="B1099" s="858" t="s">
        <v>3174</v>
      </c>
      <c r="C1099" s="858" t="s">
        <v>3160</v>
      </c>
      <c r="D1099" s="858" t="s">
        <v>3175</v>
      </c>
      <c r="E1099" s="857">
        <v>357550240240252</v>
      </c>
      <c r="F1099" s="859"/>
      <c r="G1099" s="860">
        <v>210</v>
      </c>
      <c r="H1099" s="860">
        <f t="shared" si="11"/>
        <v>749.69999999999993</v>
      </c>
      <c r="I1099" s="847"/>
    </row>
    <row r="1100" spans="1:9">
      <c r="A1100" s="857">
        <v>102</v>
      </c>
      <c r="B1100" s="858" t="s">
        <v>3174</v>
      </c>
      <c r="C1100" s="858" t="s">
        <v>3176</v>
      </c>
      <c r="D1100" s="858" t="s">
        <v>3175</v>
      </c>
      <c r="E1100" s="858" t="s">
        <v>3177</v>
      </c>
      <c r="F1100" s="859"/>
      <c r="G1100" s="860">
        <v>210</v>
      </c>
      <c r="H1100" s="860">
        <f t="shared" si="11"/>
        <v>749.69999999999993</v>
      </c>
      <c r="I1100" s="847"/>
    </row>
    <row r="1101" spans="1:9">
      <c r="A1101" s="857">
        <v>103</v>
      </c>
      <c r="B1101" s="858" t="s">
        <v>3174</v>
      </c>
      <c r="C1101" s="858" t="s">
        <v>3176</v>
      </c>
      <c r="D1101" s="858" t="s">
        <v>3175</v>
      </c>
      <c r="E1101" s="858" t="s">
        <v>3178</v>
      </c>
      <c r="F1101" s="859"/>
      <c r="G1101" s="860">
        <v>210</v>
      </c>
      <c r="H1101" s="860">
        <f t="shared" si="11"/>
        <v>749.69999999999993</v>
      </c>
      <c r="I1101" s="847"/>
    </row>
    <row r="1102" spans="1:9">
      <c r="A1102" s="857">
        <v>104</v>
      </c>
      <c r="B1102" s="858" t="s">
        <v>3179</v>
      </c>
      <c r="C1102" s="858" t="s">
        <v>3160</v>
      </c>
      <c r="D1102" s="858" t="s">
        <v>3180</v>
      </c>
      <c r="E1102" s="858" t="s">
        <v>3181</v>
      </c>
      <c r="F1102" s="859"/>
      <c r="G1102" s="860">
        <v>135</v>
      </c>
      <c r="H1102" s="860">
        <f t="shared" si="11"/>
        <v>481.95</v>
      </c>
      <c r="I1102" s="847"/>
    </row>
    <row r="1103" spans="1:9">
      <c r="A1103" s="857">
        <v>105</v>
      </c>
      <c r="B1103" s="858" t="s">
        <v>3179</v>
      </c>
      <c r="C1103" s="858" t="s">
        <v>3160</v>
      </c>
      <c r="D1103" s="858" t="s">
        <v>3180</v>
      </c>
      <c r="E1103" s="858" t="s">
        <v>3182</v>
      </c>
      <c r="F1103" s="859"/>
      <c r="G1103" s="860">
        <v>135</v>
      </c>
      <c r="H1103" s="860">
        <f t="shared" si="11"/>
        <v>481.95</v>
      </c>
      <c r="I1103" s="847"/>
    </row>
    <row r="1104" spans="1:9">
      <c r="A1104" s="857">
        <v>106</v>
      </c>
      <c r="B1104" s="858" t="s">
        <v>3179</v>
      </c>
      <c r="C1104" s="868" t="s">
        <v>3160</v>
      </c>
      <c r="D1104" s="868" t="s">
        <v>3180</v>
      </c>
      <c r="E1104" s="868" t="s">
        <v>3183</v>
      </c>
      <c r="F1104" s="869"/>
      <c r="G1104" s="860">
        <v>135</v>
      </c>
      <c r="H1104" s="860">
        <f t="shared" si="11"/>
        <v>481.95</v>
      </c>
      <c r="I1104" s="847"/>
    </row>
    <row r="1105" spans="1:9">
      <c r="A1105" s="857">
        <v>107</v>
      </c>
      <c r="B1105" s="861" t="s">
        <v>3184</v>
      </c>
      <c r="C1105" s="863"/>
      <c r="D1105" s="864"/>
      <c r="E1105" s="865" t="s">
        <v>3185</v>
      </c>
      <c r="F1105" s="866"/>
      <c r="G1105" s="860">
        <v>200</v>
      </c>
      <c r="H1105" s="860">
        <f t="shared" si="11"/>
        <v>714</v>
      </c>
      <c r="I1105" s="848" t="s">
        <v>1121</v>
      </c>
    </row>
    <row r="1106" spans="1:9">
      <c r="A1106" s="857">
        <v>108</v>
      </c>
      <c r="B1106" s="861" t="s">
        <v>3184</v>
      </c>
      <c r="C1106" s="863"/>
      <c r="D1106" s="864"/>
      <c r="E1106" s="865" t="s">
        <v>3186</v>
      </c>
      <c r="F1106" s="866"/>
      <c r="G1106" s="860">
        <v>200</v>
      </c>
      <c r="H1106" s="860">
        <f t="shared" si="11"/>
        <v>714</v>
      </c>
      <c r="I1106" s="847"/>
    </row>
    <row r="1107" spans="1:9">
      <c r="A1107" s="857">
        <v>109</v>
      </c>
      <c r="B1107" s="861" t="s">
        <v>3184</v>
      </c>
      <c r="C1107" s="863"/>
      <c r="D1107" s="864"/>
      <c r="E1107" s="865" t="s">
        <v>3187</v>
      </c>
      <c r="F1107" s="866"/>
      <c r="G1107" s="860">
        <v>200</v>
      </c>
      <c r="H1107" s="860">
        <f t="shared" si="11"/>
        <v>714</v>
      </c>
      <c r="I1107" s="847"/>
    </row>
    <row r="1108" spans="1:9">
      <c r="A1108" s="857">
        <v>110</v>
      </c>
      <c r="B1108" s="861" t="s">
        <v>3184</v>
      </c>
      <c r="C1108" s="863"/>
      <c r="D1108" s="864"/>
      <c r="E1108" s="865" t="s">
        <v>3188</v>
      </c>
      <c r="F1108" s="866"/>
      <c r="G1108" s="860">
        <v>200</v>
      </c>
      <c r="H1108" s="860">
        <f t="shared" si="11"/>
        <v>714</v>
      </c>
      <c r="I1108" s="847"/>
    </row>
    <row r="1109" spans="1:9" ht="16.7" customHeight="1">
      <c r="A1109" s="857">
        <v>111</v>
      </c>
      <c r="B1109" s="861" t="s">
        <v>3189</v>
      </c>
      <c r="C1109" s="865" t="s">
        <v>3190</v>
      </c>
      <c r="D1109" s="867">
        <v>711719560364</v>
      </c>
      <c r="E1109" s="864" t="s">
        <v>3191</v>
      </c>
      <c r="F1109" s="866"/>
      <c r="G1109" s="860">
        <v>135</v>
      </c>
      <c r="H1109" s="860">
        <f t="shared" si="11"/>
        <v>481.95</v>
      </c>
      <c r="I1109" s="847"/>
    </row>
    <row r="1110" spans="1:9" ht="18.600000000000001" customHeight="1">
      <c r="A1110" s="857">
        <v>112</v>
      </c>
      <c r="B1110" s="861" t="s">
        <v>3189</v>
      </c>
      <c r="C1110" s="865" t="s">
        <v>3190</v>
      </c>
      <c r="D1110" s="867">
        <v>711719560364</v>
      </c>
      <c r="E1110" s="864" t="s">
        <v>3192</v>
      </c>
      <c r="F1110" s="866"/>
      <c r="G1110" s="860">
        <v>135</v>
      </c>
      <c r="H1110" s="860">
        <f t="shared" si="11"/>
        <v>481.95</v>
      </c>
      <c r="I1110" s="731"/>
    </row>
    <row r="1111" spans="1:9" ht="18" customHeight="1">
      <c r="A1111" s="857">
        <v>113</v>
      </c>
      <c r="B1111" s="861" t="s">
        <v>3189</v>
      </c>
      <c r="C1111" s="865" t="s">
        <v>3190</v>
      </c>
      <c r="D1111" s="867">
        <v>711719560364</v>
      </c>
      <c r="E1111" s="864" t="s">
        <v>3193</v>
      </c>
      <c r="F1111" s="866"/>
      <c r="G1111" s="860">
        <v>135</v>
      </c>
      <c r="H1111" s="860">
        <f t="shared" si="11"/>
        <v>481.95</v>
      </c>
      <c r="I1111" s="731"/>
    </row>
    <row r="1112" spans="1:9" ht="18" customHeight="1">
      <c r="A1112" s="857">
        <v>114</v>
      </c>
      <c r="B1112" s="861" t="s">
        <v>3194</v>
      </c>
      <c r="C1112" s="865" t="s">
        <v>3190</v>
      </c>
      <c r="D1112" s="867">
        <v>711719574293</v>
      </c>
      <c r="E1112" s="864" t="s">
        <v>3195</v>
      </c>
      <c r="F1112" s="866"/>
      <c r="G1112" s="860">
        <v>42</v>
      </c>
      <c r="H1112" s="860">
        <f t="shared" si="11"/>
        <v>149.94</v>
      </c>
      <c r="I1112" s="731"/>
    </row>
    <row r="1113" spans="1:9" ht="18.600000000000001" customHeight="1">
      <c r="A1113" s="857">
        <v>115</v>
      </c>
      <c r="B1113" s="861" t="s">
        <v>3194</v>
      </c>
      <c r="C1113" s="865" t="s">
        <v>3196</v>
      </c>
      <c r="D1113" s="867">
        <v>711719023227</v>
      </c>
      <c r="E1113" s="864" t="s">
        <v>3197</v>
      </c>
      <c r="F1113" s="866"/>
      <c r="G1113" s="860">
        <v>42</v>
      </c>
      <c r="H1113" s="860">
        <f t="shared" si="11"/>
        <v>149.94</v>
      </c>
      <c r="I1113" s="731"/>
    </row>
    <row r="1114" spans="1:9" ht="15.6" customHeight="1">
      <c r="A1114" s="857">
        <v>116</v>
      </c>
      <c r="B1114" s="861" t="s">
        <v>3194</v>
      </c>
      <c r="C1114" s="865" t="s">
        <v>3196</v>
      </c>
      <c r="D1114" s="867">
        <v>711719023227</v>
      </c>
      <c r="E1114" s="864" t="s">
        <v>3198</v>
      </c>
      <c r="F1114" s="866"/>
      <c r="G1114" s="860">
        <v>42</v>
      </c>
      <c r="H1114" s="860">
        <f t="shared" si="11"/>
        <v>149.94</v>
      </c>
      <c r="I1114" s="731"/>
    </row>
    <row r="1115" spans="1:9" ht="17.45" customHeight="1">
      <c r="A1115" s="857">
        <v>117</v>
      </c>
      <c r="B1115" s="861" t="s">
        <v>3194</v>
      </c>
      <c r="C1115" s="865" t="s">
        <v>3196</v>
      </c>
      <c r="D1115" s="867">
        <v>711719023227</v>
      </c>
      <c r="E1115" s="864" t="s">
        <v>3199</v>
      </c>
      <c r="F1115" s="866"/>
      <c r="G1115" s="860">
        <v>42</v>
      </c>
      <c r="H1115" s="860">
        <f t="shared" si="11"/>
        <v>149.94</v>
      </c>
      <c r="I1115" s="731"/>
    </row>
    <row r="1116" spans="1:9" ht="16.7" customHeight="1">
      <c r="A1116" s="857">
        <v>118</v>
      </c>
      <c r="B1116" s="861" t="s">
        <v>3194</v>
      </c>
      <c r="C1116" s="865" t="s">
        <v>3196</v>
      </c>
      <c r="D1116" s="867">
        <v>711719023227</v>
      </c>
      <c r="E1116" s="864" t="s">
        <v>3200</v>
      </c>
      <c r="F1116" s="866"/>
      <c r="G1116" s="860">
        <v>42</v>
      </c>
      <c r="H1116" s="860">
        <f t="shared" si="11"/>
        <v>149.94</v>
      </c>
      <c r="I1116" s="731"/>
    </row>
    <row r="1117" spans="1:9">
      <c r="A1117" s="857">
        <v>119</v>
      </c>
      <c r="B1117" s="861" t="s">
        <v>3201</v>
      </c>
      <c r="C1117" s="865" t="s">
        <v>3202</v>
      </c>
      <c r="D1117" s="867">
        <v>815820026822</v>
      </c>
      <c r="E1117" s="865" t="s">
        <v>3203</v>
      </c>
      <c r="F1117" s="1482"/>
      <c r="G1117" s="860">
        <v>175</v>
      </c>
      <c r="H1117" s="860">
        <f t="shared" si="11"/>
        <v>624.75</v>
      </c>
      <c r="I1117" s="731"/>
    </row>
    <row r="1118" spans="1:9">
      <c r="A1118" s="857">
        <v>120</v>
      </c>
      <c r="B1118" s="861" t="s">
        <v>3201</v>
      </c>
      <c r="C1118" s="865" t="s">
        <v>3204</v>
      </c>
      <c r="D1118" s="867">
        <v>815820026860</v>
      </c>
      <c r="E1118" s="865" t="s">
        <v>3205</v>
      </c>
      <c r="F1118" s="1482"/>
      <c r="G1118" s="860">
        <v>175</v>
      </c>
      <c r="H1118" s="860">
        <f t="shared" si="11"/>
        <v>624.75</v>
      </c>
      <c r="I1118" s="731"/>
    </row>
    <row r="1119" spans="1:9" ht="18.75">
      <c r="A1119" s="853"/>
      <c r="B1119" s="853"/>
      <c r="C1119" s="853"/>
      <c r="D1119" s="853"/>
      <c r="E1119" s="853"/>
      <c r="F1119" s="852" t="s">
        <v>2994</v>
      </c>
      <c r="G1119" s="854">
        <v>93880</v>
      </c>
      <c r="H1119" s="855">
        <v>335151.60000000015</v>
      </c>
      <c r="I1119" s="731"/>
    </row>
    <row r="1126" spans="1:7" ht="31.35" customHeight="1">
      <c r="A1126" s="1466" t="s">
        <v>1</v>
      </c>
      <c r="B1126" s="1466"/>
      <c r="C1126" s="809" t="s">
        <v>3215</v>
      </c>
      <c r="D1126" s="1467" t="s">
        <v>3227</v>
      </c>
      <c r="E1126" s="1468"/>
      <c r="F1126" s="1468"/>
      <c r="G1126" s="1469"/>
    </row>
    <row r="1127" spans="1:7" ht="20.45" customHeight="1">
      <c r="A1127" s="1466" t="s">
        <v>2416</v>
      </c>
      <c r="B1127" s="1466"/>
      <c r="C1127" s="809" t="s">
        <v>3216</v>
      </c>
      <c r="D1127" s="1431" t="s">
        <v>3228</v>
      </c>
      <c r="E1127" s="1432"/>
      <c r="F1127" s="1432"/>
      <c r="G1127" s="1433"/>
    </row>
    <row r="1128" spans="1:7">
      <c r="A1128" s="873">
        <v>1</v>
      </c>
      <c r="B1128" s="873" t="s">
        <v>2426</v>
      </c>
      <c r="C1128" s="873" t="s">
        <v>2427</v>
      </c>
      <c r="D1128" s="873" t="s">
        <v>2428</v>
      </c>
      <c r="E1128" s="407">
        <v>355450215015510</v>
      </c>
      <c r="F1128" s="873" t="s">
        <v>1121</v>
      </c>
      <c r="G1128" s="682" t="s">
        <v>3224</v>
      </c>
    </row>
    <row r="1129" spans="1:7">
      <c r="A1129" s="873">
        <v>2</v>
      </c>
      <c r="B1129" s="873" t="s">
        <v>2426</v>
      </c>
      <c r="C1129" s="873" t="s">
        <v>2526</v>
      </c>
      <c r="D1129" s="873" t="s">
        <v>2428</v>
      </c>
      <c r="E1129" s="407">
        <v>356605227905367</v>
      </c>
      <c r="F1129" s="873" t="s">
        <v>1121</v>
      </c>
      <c r="G1129" s="682" t="s">
        <v>3225</v>
      </c>
    </row>
    <row r="1130" spans="1:7">
      <c r="A1130" s="871">
        <v>3</v>
      </c>
      <c r="B1130" s="871" t="s">
        <v>2426</v>
      </c>
      <c r="C1130" s="871" t="s">
        <v>2526</v>
      </c>
      <c r="D1130" s="871" t="s">
        <v>2428</v>
      </c>
      <c r="E1130" s="679">
        <v>359614549382799</v>
      </c>
      <c r="F1130" s="872"/>
      <c r="G1130" s="143">
        <v>3200</v>
      </c>
    </row>
    <row r="1131" spans="1:7">
      <c r="A1131" s="873">
        <v>4</v>
      </c>
      <c r="B1131" s="873" t="s">
        <v>2426</v>
      </c>
      <c r="C1131" s="873" t="s">
        <v>2429</v>
      </c>
      <c r="D1131" s="873" t="s">
        <v>2428</v>
      </c>
      <c r="E1131" s="407">
        <v>350599861345145</v>
      </c>
      <c r="F1131" s="874"/>
      <c r="G1131" s="682" t="s">
        <v>3225</v>
      </c>
    </row>
    <row r="1132" spans="1:7">
      <c r="A1132" s="873">
        <v>5</v>
      </c>
      <c r="B1132" s="873" t="s">
        <v>2426</v>
      </c>
      <c r="C1132" s="873" t="s">
        <v>2429</v>
      </c>
      <c r="D1132" s="873" t="s">
        <v>2428</v>
      </c>
      <c r="E1132" s="407">
        <v>355246659516603</v>
      </c>
      <c r="F1132" s="874"/>
      <c r="G1132" s="682" t="s">
        <v>3226</v>
      </c>
    </row>
    <row r="1133" spans="1:7">
      <c r="A1133" s="871">
        <v>6</v>
      </c>
      <c r="B1133" s="871" t="s">
        <v>2527</v>
      </c>
      <c r="C1133" s="871" t="s">
        <v>2427</v>
      </c>
      <c r="D1133" s="871" t="s">
        <v>2428</v>
      </c>
      <c r="E1133" s="679">
        <v>352190327455278</v>
      </c>
      <c r="F1133" s="143"/>
      <c r="G1133" s="872">
        <v>2850</v>
      </c>
    </row>
    <row r="1134" spans="1:7">
      <c r="A1134" s="871">
        <v>7</v>
      </c>
      <c r="B1134" s="871" t="s">
        <v>2527</v>
      </c>
      <c r="C1134" s="871" t="s">
        <v>2427</v>
      </c>
      <c r="D1134" s="871" t="s">
        <v>2428</v>
      </c>
      <c r="E1134" s="679">
        <v>352190328534956</v>
      </c>
      <c r="F1134" s="143"/>
      <c r="G1134" s="934">
        <v>2850</v>
      </c>
    </row>
    <row r="1135" spans="1:7">
      <c r="A1135" s="871">
        <v>8</v>
      </c>
      <c r="B1135" s="871" t="s">
        <v>2527</v>
      </c>
      <c r="C1135" s="871" t="s">
        <v>2427</v>
      </c>
      <c r="D1135" s="871" t="s">
        <v>2428</v>
      </c>
      <c r="E1135" s="679">
        <v>352190328154797</v>
      </c>
      <c r="F1135" s="872"/>
      <c r="G1135" s="934">
        <v>2850</v>
      </c>
    </row>
    <row r="1136" spans="1:7">
      <c r="A1136" s="871">
        <v>9</v>
      </c>
      <c r="B1136" s="871" t="s">
        <v>2527</v>
      </c>
      <c r="C1136" s="871" t="s">
        <v>2526</v>
      </c>
      <c r="D1136" s="871" t="s">
        <v>2428</v>
      </c>
      <c r="E1136" s="679">
        <v>355832516958219</v>
      </c>
      <c r="F1136" s="872"/>
      <c r="G1136" s="872">
        <v>2700</v>
      </c>
    </row>
    <row r="1137" spans="1:7">
      <c r="A1137" s="871">
        <v>10</v>
      </c>
      <c r="B1137" s="871" t="s">
        <v>2527</v>
      </c>
      <c r="C1137" s="871" t="s">
        <v>2526</v>
      </c>
      <c r="D1137" s="871" t="s">
        <v>2428</v>
      </c>
      <c r="E1137" s="679">
        <v>355832516130116</v>
      </c>
      <c r="F1137" s="872"/>
      <c r="G1137" s="872">
        <v>2200</v>
      </c>
    </row>
    <row r="1138" spans="1:7">
      <c r="A1138" s="871">
        <v>11</v>
      </c>
      <c r="B1138" s="871" t="s">
        <v>2527</v>
      </c>
      <c r="C1138" s="871" t="s">
        <v>2526</v>
      </c>
      <c r="D1138" s="871" t="s">
        <v>2428</v>
      </c>
      <c r="E1138" s="679">
        <v>355832512664332</v>
      </c>
      <c r="F1138" s="872"/>
      <c r="G1138" s="872">
        <v>2700</v>
      </c>
    </row>
    <row r="1139" spans="1:7">
      <c r="A1139" s="873">
        <v>12</v>
      </c>
      <c r="B1139" s="873" t="s">
        <v>2527</v>
      </c>
      <c r="C1139" s="873" t="s">
        <v>2526</v>
      </c>
      <c r="D1139" s="873" t="s">
        <v>2428</v>
      </c>
      <c r="E1139" s="407">
        <v>355832519436288</v>
      </c>
      <c r="F1139" s="873" t="s">
        <v>1121</v>
      </c>
      <c r="G1139" s="682" t="s">
        <v>3225</v>
      </c>
    </row>
    <row r="1140" spans="1:7">
      <c r="A1140" s="871">
        <v>13</v>
      </c>
      <c r="B1140" s="871" t="s">
        <v>2527</v>
      </c>
      <c r="C1140" s="871" t="s">
        <v>2526</v>
      </c>
      <c r="D1140" s="871" t="s">
        <v>2428</v>
      </c>
      <c r="E1140" s="679">
        <v>355832512956787</v>
      </c>
      <c r="F1140" s="872"/>
      <c r="G1140" s="872">
        <v>2700</v>
      </c>
    </row>
    <row r="1141" spans="1:7">
      <c r="A1141" s="871">
        <v>14</v>
      </c>
      <c r="B1141" s="871" t="s">
        <v>2527</v>
      </c>
      <c r="C1141" s="871" t="s">
        <v>2526</v>
      </c>
      <c r="D1141" s="871" t="s">
        <v>2428</v>
      </c>
      <c r="E1141" s="679">
        <v>355832518355554</v>
      </c>
      <c r="F1141" s="872"/>
      <c r="G1141" s="872">
        <v>2700</v>
      </c>
    </row>
    <row r="1142" spans="1:7">
      <c r="A1142" s="873">
        <v>15</v>
      </c>
      <c r="B1142" s="873" t="s">
        <v>2527</v>
      </c>
      <c r="C1142" s="873" t="s">
        <v>2526</v>
      </c>
      <c r="D1142" s="873" t="s">
        <v>2428</v>
      </c>
      <c r="E1142" s="407">
        <v>356245410531827</v>
      </c>
      <c r="G1142" s="682" t="s">
        <v>3225</v>
      </c>
    </row>
    <row r="1143" spans="1:7">
      <c r="A1143" s="871">
        <v>16</v>
      </c>
      <c r="B1143" s="871" t="s">
        <v>2527</v>
      </c>
      <c r="C1143" s="871" t="s">
        <v>2429</v>
      </c>
      <c r="D1143" s="871" t="s">
        <v>2428</v>
      </c>
      <c r="E1143" s="679">
        <v>359477632806128</v>
      </c>
      <c r="F1143" s="872"/>
      <c r="G1143" s="872">
        <v>3000</v>
      </c>
    </row>
    <row r="1144" spans="1:7">
      <c r="A1144" s="871">
        <v>17</v>
      </c>
      <c r="B1144" s="871" t="s">
        <v>2527</v>
      </c>
      <c r="C1144" s="871" t="s">
        <v>2429</v>
      </c>
      <c r="D1144" s="871" t="s">
        <v>2428</v>
      </c>
      <c r="E1144" s="679">
        <v>355832513724234</v>
      </c>
      <c r="F1144" s="872"/>
      <c r="G1144" s="872">
        <v>3000</v>
      </c>
    </row>
    <row r="1145" spans="1:7">
      <c r="A1145" s="871">
        <v>18</v>
      </c>
      <c r="B1145" s="871" t="s">
        <v>2528</v>
      </c>
      <c r="C1145" s="871" t="s">
        <v>2529</v>
      </c>
      <c r="D1145" s="871" t="s">
        <v>2428</v>
      </c>
      <c r="E1145" s="679">
        <v>351605724701124</v>
      </c>
      <c r="F1145" s="872"/>
      <c r="G1145" s="872">
        <v>1920</v>
      </c>
    </row>
    <row r="1146" spans="1:7">
      <c r="A1146" s="871">
        <v>19</v>
      </c>
      <c r="B1146" s="871" t="s">
        <v>2528</v>
      </c>
      <c r="C1146" s="871" t="s">
        <v>2529</v>
      </c>
      <c r="D1146" s="871" t="s">
        <v>2428</v>
      </c>
      <c r="E1146" s="679">
        <v>350795041666034</v>
      </c>
      <c r="F1146" s="872"/>
      <c r="G1146" s="872">
        <v>1920</v>
      </c>
    </row>
    <row r="1147" spans="1:7">
      <c r="A1147" s="871">
        <v>20</v>
      </c>
      <c r="B1147" s="871" t="s">
        <v>2528</v>
      </c>
      <c r="C1147" s="871" t="s">
        <v>2459</v>
      </c>
      <c r="D1147" s="871" t="s">
        <v>2428</v>
      </c>
      <c r="E1147" s="679">
        <v>350795045749612</v>
      </c>
      <c r="F1147" s="871" t="s">
        <v>3217</v>
      </c>
      <c r="G1147" s="872">
        <v>1920</v>
      </c>
    </row>
    <row r="1148" spans="1:7">
      <c r="A1148" s="871">
        <v>21</v>
      </c>
      <c r="B1148" s="871" t="s">
        <v>2528</v>
      </c>
      <c r="C1148" s="871" t="s">
        <v>2459</v>
      </c>
      <c r="D1148" s="871" t="s">
        <v>2428</v>
      </c>
      <c r="E1148" s="679">
        <v>355413815114174</v>
      </c>
      <c r="F1148" s="872"/>
      <c r="G1148" s="872">
        <v>1920</v>
      </c>
    </row>
    <row r="1149" spans="1:7">
      <c r="A1149" s="871">
        <v>22</v>
      </c>
      <c r="B1149" s="871" t="s">
        <v>2528</v>
      </c>
      <c r="C1149" s="871" t="s">
        <v>2459</v>
      </c>
      <c r="D1149" s="871" t="s">
        <v>2428</v>
      </c>
      <c r="E1149" s="679">
        <v>355413814918419</v>
      </c>
      <c r="F1149" s="872"/>
      <c r="G1149" s="872">
        <v>1920</v>
      </c>
    </row>
    <row r="1150" spans="1:7">
      <c r="A1150" s="871">
        <v>23</v>
      </c>
      <c r="B1150" s="871" t="s">
        <v>2528</v>
      </c>
      <c r="C1150" s="871" t="s">
        <v>2459</v>
      </c>
      <c r="D1150" s="871" t="s">
        <v>2428</v>
      </c>
      <c r="E1150" s="679">
        <v>355413814741027</v>
      </c>
      <c r="F1150" s="872"/>
      <c r="G1150" s="872">
        <v>1920</v>
      </c>
    </row>
    <row r="1151" spans="1:7">
      <c r="A1151" s="871">
        <v>24</v>
      </c>
      <c r="B1151" s="871" t="s">
        <v>2528</v>
      </c>
      <c r="C1151" s="871" t="s">
        <v>2459</v>
      </c>
      <c r="D1151" s="871" t="s">
        <v>2428</v>
      </c>
      <c r="E1151" s="679">
        <v>355413815139585</v>
      </c>
      <c r="F1151" s="872"/>
      <c r="G1151" s="872">
        <v>1920</v>
      </c>
    </row>
    <row r="1152" spans="1:7">
      <c r="A1152" s="871">
        <v>25</v>
      </c>
      <c r="B1152" s="871" t="s">
        <v>2528</v>
      </c>
      <c r="C1152" s="871" t="s">
        <v>2459</v>
      </c>
      <c r="D1152" s="871" t="s">
        <v>2428</v>
      </c>
      <c r="E1152" s="679">
        <v>355413815048182</v>
      </c>
      <c r="F1152" s="872"/>
      <c r="G1152" s="872">
        <v>1920</v>
      </c>
    </row>
    <row r="1153" spans="1:7">
      <c r="A1153" s="871">
        <v>26</v>
      </c>
      <c r="B1153" s="871" t="s">
        <v>2532</v>
      </c>
      <c r="C1153" s="871" t="s">
        <v>2533</v>
      </c>
      <c r="D1153" s="871" t="s">
        <v>2428</v>
      </c>
      <c r="E1153" s="679">
        <v>356305884416168</v>
      </c>
      <c r="F1153" s="872"/>
      <c r="G1153" s="872">
        <v>1950</v>
      </c>
    </row>
    <row r="1154" spans="1:7">
      <c r="A1154" s="871">
        <v>27</v>
      </c>
      <c r="B1154" s="871" t="s">
        <v>2532</v>
      </c>
      <c r="C1154" s="871" t="s">
        <v>2533</v>
      </c>
      <c r="D1154" s="871" t="s">
        <v>2428</v>
      </c>
      <c r="E1154" s="679">
        <v>356305884004501</v>
      </c>
      <c r="F1154" s="872"/>
      <c r="G1154" s="872">
        <v>1950</v>
      </c>
    </row>
    <row r="1155" spans="1:7">
      <c r="A1155" s="871">
        <v>28</v>
      </c>
      <c r="B1155" s="871" t="s">
        <v>2443</v>
      </c>
      <c r="C1155" s="871" t="s">
        <v>2440</v>
      </c>
      <c r="D1155" s="871" t="s">
        <v>2442</v>
      </c>
      <c r="E1155" s="679">
        <v>357253673868281</v>
      </c>
      <c r="F1155" s="871" t="s">
        <v>1121</v>
      </c>
      <c r="G1155" s="872">
        <v>1600</v>
      </c>
    </row>
    <row r="1156" spans="1:7">
      <c r="A1156" s="871">
        <v>29</v>
      </c>
      <c r="B1156" s="871" t="s">
        <v>2443</v>
      </c>
      <c r="C1156" s="871" t="s">
        <v>3218</v>
      </c>
      <c r="D1156" s="871" t="s">
        <v>2442</v>
      </c>
      <c r="E1156" s="679">
        <v>351420495470085</v>
      </c>
      <c r="F1156" s="871" t="s">
        <v>1121</v>
      </c>
      <c r="G1156" s="872">
        <v>1500</v>
      </c>
    </row>
    <row r="1157" spans="1:7">
      <c r="A1157" s="873">
        <v>30</v>
      </c>
      <c r="B1157" s="873" t="s">
        <v>2547</v>
      </c>
      <c r="C1157" s="873" t="s">
        <v>2459</v>
      </c>
      <c r="D1157" s="873" t="s">
        <v>2428</v>
      </c>
      <c r="E1157" s="407">
        <v>352355708265402</v>
      </c>
      <c r="F1157" s="873" t="s">
        <v>1121</v>
      </c>
      <c r="G1157" s="682" t="s">
        <v>3224</v>
      </c>
    </row>
    <row r="1158" spans="1:7">
      <c r="A1158" s="871">
        <v>31</v>
      </c>
      <c r="B1158" s="871" t="s">
        <v>2547</v>
      </c>
      <c r="C1158" s="871" t="s">
        <v>2459</v>
      </c>
      <c r="D1158" s="871" t="s">
        <v>2428</v>
      </c>
      <c r="E1158" s="679">
        <v>352355700215959</v>
      </c>
      <c r="F1158" s="872"/>
      <c r="G1158" s="872">
        <v>3950</v>
      </c>
    </row>
    <row r="1159" spans="1:7">
      <c r="A1159" s="871">
        <v>32</v>
      </c>
      <c r="B1159" s="871" t="s">
        <v>2547</v>
      </c>
      <c r="C1159" s="871" t="s">
        <v>2459</v>
      </c>
      <c r="D1159" s="871" t="s">
        <v>2428</v>
      </c>
      <c r="E1159" s="679">
        <v>352355703868101</v>
      </c>
      <c r="F1159" s="871" t="s">
        <v>1121</v>
      </c>
      <c r="G1159" s="872">
        <v>3850</v>
      </c>
    </row>
    <row r="1160" spans="1:7">
      <c r="A1160" s="871">
        <v>33</v>
      </c>
      <c r="B1160" s="871" t="s">
        <v>2547</v>
      </c>
      <c r="C1160" s="871" t="s">
        <v>2429</v>
      </c>
      <c r="D1160" s="871" t="s">
        <v>2428</v>
      </c>
      <c r="E1160" s="679">
        <v>352355705006452</v>
      </c>
      <c r="F1160" s="872"/>
      <c r="G1160" s="872">
        <v>3950</v>
      </c>
    </row>
    <row r="1161" spans="1:7">
      <c r="A1161" s="871">
        <v>34</v>
      </c>
      <c r="B1161" s="871" t="s">
        <v>2458</v>
      </c>
      <c r="C1161" s="871" t="s">
        <v>2459</v>
      </c>
      <c r="D1161" s="871" t="s">
        <v>2428</v>
      </c>
      <c r="E1161" s="679">
        <v>358112934305849</v>
      </c>
      <c r="F1161" s="872"/>
      <c r="G1161" s="872">
        <v>3700</v>
      </c>
    </row>
    <row r="1162" spans="1:7">
      <c r="A1162" s="871">
        <v>35</v>
      </c>
      <c r="B1162" s="871" t="s">
        <v>2480</v>
      </c>
      <c r="C1162" s="871" t="s">
        <v>2550</v>
      </c>
      <c r="D1162" s="871" t="s">
        <v>2482</v>
      </c>
      <c r="E1162" s="679">
        <v>358135792802425</v>
      </c>
      <c r="F1162" s="872"/>
      <c r="G1162" s="872">
        <v>2380</v>
      </c>
    </row>
    <row r="1163" spans="1:7">
      <c r="A1163" s="871">
        <v>36</v>
      </c>
      <c r="B1163" s="871" t="s">
        <v>2480</v>
      </c>
      <c r="C1163" s="871" t="s">
        <v>2538</v>
      </c>
      <c r="D1163" s="871" t="s">
        <v>2482</v>
      </c>
      <c r="E1163" s="679">
        <v>356187983506895</v>
      </c>
      <c r="F1163" s="872"/>
      <c r="G1163" s="872">
        <v>2380</v>
      </c>
    </row>
    <row r="1164" spans="1:7">
      <c r="A1164" s="871">
        <v>37</v>
      </c>
      <c r="B1164" s="871" t="s">
        <v>2639</v>
      </c>
      <c r="C1164" s="871" t="s">
        <v>2640</v>
      </c>
      <c r="D1164" s="871" t="s">
        <v>2641</v>
      </c>
      <c r="E1164" s="679">
        <v>356544771064406</v>
      </c>
      <c r="F1164" s="871" t="s">
        <v>3219</v>
      </c>
      <c r="G1164" s="872">
        <v>1200</v>
      </c>
    </row>
    <row r="1165" spans="1:7">
      <c r="A1165" s="871">
        <v>38</v>
      </c>
      <c r="B1165" s="871" t="s">
        <v>2483</v>
      </c>
      <c r="C1165" s="871" t="s">
        <v>2485</v>
      </c>
      <c r="D1165" s="871" t="s">
        <v>2486</v>
      </c>
      <c r="E1165" s="679">
        <v>353660340926249</v>
      </c>
      <c r="F1165" s="872"/>
      <c r="G1165" s="872">
        <v>900</v>
      </c>
    </row>
    <row r="1166" spans="1:7">
      <c r="A1166" s="871">
        <v>39</v>
      </c>
      <c r="B1166" s="871" t="s">
        <v>2540</v>
      </c>
      <c r="C1166" s="871" t="s">
        <v>2541</v>
      </c>
      <c r="D1166" s="871" t="s">
        <v>2428</v>
      </c>
      <c r="E1166" s="679">
        <v>351878872247196</v>
      </c>
      <c r="F1166" s="872"/>
      <c r="G1166" s="872">
        <v>1880</v>
      </c>
    </row>
    <row r="1167" spans="1:7">
      <c r="A1167" s="873">
        <v>40</v>
      </c>
      <c r="B1167" s="873" t="s">
        <v>2540</v>
      </c>
      <c r="C1167" s="873" t="s">
        <v>2541</v>
      </c>
      <c r="D1167" s="873" t="s">
        <v>2428</v>
      </c>
      <c r="E1167" s="407">
        <v>358754773599790</v>
      </c>
      <c r="F1167" s="874"/>
      <c r="G1167" s="682" t="s">
        <v>3225</v>
      </c>
    </row>
    <row r="1168" spans="1:7">
      <c r="A1168" s="873">
        <v>41</v>
      </c>
      <c r="B1168" s="873" t="s">
        <v>3220</v>
      </c>
      <c r="C1168" s="873" t="s">
        <v>3221</v>
      </c>
      <c r="D1168" s="873" t="s">
        <v>3222</v>
      </c>
      <c r="E1168" s="407" t="s">
        <v>3223</v>
      </c>
      <c r="F1168" s="874"/>
      <c r="G1168" s="682" t="s">
        <v>676</v>
      </c>
    </row>
    <row r="1176" spans="1:6" ht="29.45" customHeight="1">
      <c r="A1176" s="1477" t="s">
        <v>3258</v>
      </c>
      <c r="B1176" s="1477"/>
      <c r="C1176" s="877" t="s">
        <v>3259</v>
      </c>
      <c r="D1176" s="1478" t="s">
        <v>3290</v>
      </c>
      <c r="E1176" s="1479"/>
      <c r="F1176" s="1480"/>
    </row>
    <row r="1177" spans="1:6">
      <c r="A1177" s="883">
        <v>1</v>
      </c>
      <c r="B1177" s="884" t="s">
        <v>3260</v>
      </c>
      <c r="C1177" s="884" t="s">
        <v>3261</v>
      </c>
      <c r="D1177" s="884" t="s">
        <v>3262</v>
      </c>
      <c r="E1177" s="883">
        <v>355246657858320</v>
      </c>
      <c r="F1177" s="885">
        <v>3500</v>
      </c>
    </row>
    <row r="1178" spans="1:6">
      <c r="A1178" s="883">
        <v>2</v>
      </c>
      <c r="B1178" s="884" t="s">
        <v>3260</v>
      </c>
      <c r="C1178" s="884" t="s">
        <v>3263</v>
      </c>
      <c r="D1178" s="884" t="s">
        <v>3262</v>
      </c>
      <c r="E1178" s="883">
        <v>350599863966187</v>
      </c>
      <c r="F1178" s="885">
        <v>3200</v>
      </c>
    </row>
    <row r="1179" spans="1:6">
      <c r="A1179" s="883">
        <v>3</v>
      </c>
      <c r="B1179" s="884" t="s">
        <v>3260</v>
      </c>
      <c r="C1179" s="884" t="s">
        <v>3263</v>
      </c>
      <c r="D1179" s="884" t="s">
        <v>3262</v>
      </c>
      <c r="E1179" s="883">
        <v>355246655365252</v>
      </c>
      <c r="F1179" s="885">
        <v>3200</v>
      </c>
    </row>
    <row r="1180" spans="1:6">
      <c r="A1180" s="883">
        <v>4</v>
      </c>
      <c r="B1180" s="884" t="s">
        <v>3260</v>
      </c>
      <c r="C1180" s="884" t="s">
        <v>3264</v>
      </c>
      <c r="D1180" s="884" t="s">
        <v>3262</v>
      </c>
      <c r="E1180" s="883">
        <v>355246654779214</v>
      </c>
      <c r="F1180" s="885">
        <v>1</v>
      </c>
    </row>
    <row r="1181" spans="1:6">
      <c r="A1181" s="883">
        <v>5</v>
      </c>
      <c r="B1181" s="884" t="s">
        <v>3266</v>
      </c>
      <c r="C1181" s="884" t="s">
        <v>3261</v>
      </c>
      <c r="D1181" s="884" t="s">
        <v>3262</v>
      </c>
      <c r="E1181" s="883">
        <v>352190320080172</v>
      </c>
      <c r="F1181" s="885">
        <v>3500</v>
      </c>
    </row>
    <row r="1182" spans="1:6">
      <c r="A1182" s="883">
        <v>6</v>
      </c>
      <c r="B1182" s="884" t="s">
        <v>3266</v>
      </c>
      <c r="C1182" s="884" t="s">
        <v>3263</v>
      </c>
      <c r="D1182" s="884" t="s">
        <v>3262</v>
      </c>
      <c r="E1182" s="883">
        <v>351317527261690</v>
      </c>
      <c r="F1182" s="885">
        <v>3200</v>
      </c>
    </row>
    <row r="1183" spans="1:6">
      <c r="A1183" s="883">
        <v>7</v>
      </c>
      <c r="B1183" s="884" t="s">
        <v>3266</v>
      </c>
      <c r="C1183" s="884" t="s">
        <v>3264</v>
      </c>
      <c r="D1183" s="884" t="s">
        <v>3262</v>
      </c>
      <c r="E1183" s="883">
        <v>355832510336826</v>
      </c>
      <c r="F1183" s="885">
        <v>1</v>
      </c>
    </row>
    <row r="1184" spans="1:6">
      <c r="A1184" s="883">
        <v>8</v>
      </c>
      <c r="B1184" s="884" t="s">
        <v>3266</v>
      </c>
      <c r="C1184" s="884" t="s">
        <v>3264</v>
      </c>
      <c r="D1184" s="884" t="s">
        <v>3262</v>
      </c>
      <c r="E1184" s="883">
        <v>355079360622984</v>
      </c>
      <c r="F1184" s="885">
        <v>1</v>
      </c>
    </row>
    <row r="1185" spans="1:6">
      <c r="A1185" s="883">
        <v>9</v>
      </c>
      <c r="B1185" s="884" t="s">
        <v>3266</v>
      </c>
      <c r="C1185" s="884" t="s">
        <v>3264</v>
      </c>
      <c r="D1185" s="884" t="s">
        <v>3262</v>
      </c>
      <c r="E1185" s="883">
        <v>359477635750687</v>
      </c>
      <c r="F1185" s="885">
        <v>1</v>
      </c>
    </row>
    <row r="1186" spans="1:6">
      <c r="A1186" s="883">
        <v>10</v>
      </c>
      <c r="B1186" s="884" t="s">
        <v>3267</v>
      </c>
      <c r="C1186" s="884" t="s">
        <v>3268</v>
      </c>
      <c r="D1186" s="884" t="s">
        <v>3262</v>
      </c>
      <c r="E1186" s="883">
        <v>352355702755622</v>
      </c>
      <c r="F1186" s="885">
        <v>3950</v>
      </c>
    </row>
    <row r="1187" spans="1:6">
      <c r="A1187" s="883">
        <v>11</v>
      </c>
      <c r="B1187" s="884" t="s">
        <v>3269</v>
      </c>
      <c r="C1187" s="884" t="s">
        <v>3270</v>
      </c>
      <c r="D1187" s="884" t="s">
        <v>3271</v>
      </c>
      <c r="E1187" s="883">
        <v>359200571698417</v>
      </c>
      <c r="F1187" s="885">
        <v>2650</v>
      </c>
    </row>
    <row r="1188" spans="1:6">
      <c r="A1188" s="883">
        <v>12</v>
      </c>
      <c r="B1188" s="884" t="s">
        <v>3269</v>
      </c>
      <c r="C1188" s="884" t="s">
        <v>3270</v>
      </c>
      <c r="D1188" s="884" t="s">
        <v>3271</v>
      </c>
      <c r="E1188" s="883">
        <v>359200575042547</v>
      </c>
      <c r="F1188" s="885">
        <v>2650</v>
      </c>
    </row>
    <row r="1189" spans="1:6">
      <c r="A1189" s="883">
        <v>13</v>
      </c>
      <c r="B1189" s="884" t="s">
        <v>3269</v>
      </c>
      <c r="C1189" s="884" t="s">
        <v>3270</v>
      </c>
      <c r="D1189" s="884" t="s">
        <v>3271</v>
      </c>
      <c r="E1189" s="883">
        <v>359200575117430</v>
      </c>
      <c r="F1189" s="885">
        <v>2650</v>
      </c>
    </row>
    <row r="1190" spans="1:6">
      <c r="A1190" s="883">
        <v>14</v>
      </c>
      <c r="B1190" s="884" t="s">
        <v>3269</v>
      </c>
      <c r="C1190" s="884" t="s">
        <v>3270</v>
      </c>
      <c r="D1190" s="884" t="s">
        <v>3271</v>
      </c>
      <c r="E1190" s="883">
        <v>359200579040778</v>
      </c>
      <c r="F1190" s="885">
        <v>2650</v>
      </c>
    </row>
    <row r="1191" spans="1:6">
      <c r="A1191" s="883">
        <v>15</v>
      </c>
      <c r="B1191" s="884" t="s">
        <v>3272</v>
      </c>
      <c r="C1191" s="884" t="s">
        <v>3273</v>
      </c>
      <c r="D1191" s="884" t="s">
        <v>3274</v>
      </c>
      <c r="E1191" s="883">
        <v>355827875550953</v>
      </c>
      <c r="F1191" s="885">
        <v>2380</v>
      </c>
    </row>
    <row r="1192" spans="1:6">
      <c r="A1192" s="883">
        <v>16</v>
      </c>
      <c r="B1192" s="884" t="s">
        <v>3272</v>
      </c>
      <c r="C1192" s="884" t="s">
        <v>3273</v>
      </c>
      <c r="D1192" s="884" t="s">
        <v>3274</v>
      </c>
      <c r="E1192" s="883">
        <v>356187984771530</v>
      </c>
      <c r="F1192" s="885">
        <v>2380</v>
      </c>
    </row>
    <row r="1193" spans="1:6">
      <c r="A1193" s="883">
        <v>17</v>
      </c>
      <c r="B1193" s="884" t="s">
        <v>3272</v>
      </c>
      <c r="C1193" s="884" t="s">
        <v>3275</v>
      </c>
      <c r="D1193" s="884" t="s">
        <v>3274</v>
      </c>
      <c r="E1193" s="883">
        <v>356187983162202</v>
      </c>
      <c r="F1193" s="885">
        <v>2380</v>
      </c>
    </row>
    <row r="1194" spans="1:6">
      <c r="A1194" s="883">
        <v>18</v>
      </c>
      <c r="B1194" s="884" t="s">
        <v>3272</v>
      </c>
      <c r="C1194" s="884" t="s">
        <v>3275</v>
      </c>
      <c r="D1194" s="884" t="s">
        <v>3274</v>
      </c>
      <c r="E1194" s="883">
        <v>356187984887690</v>
      </c>
      <c r="F1194" s="885">
        <v>2380</v>
      </c>
    </row>
    <row r="1195" spans="1:6">
      <c r="A1195" s="883">
        <v>19</v>
      </c>
      <c r="B1195" s="884" t="s">
        <v>3272</v>
      </c>
      <c r="C1195" s="884" t="s">
        <v>3275</v>
      </c>
      <c r="D1195" s="884" t="s">
        <v>3274</v>
      </c>
      <c r="E1195" s="883">
        <v>356187983240560</v>
      </c>
      <c r="F1195" s="885">
        <v>2380</v>
      </c>
    </row>
    <row r="1196" spans="1:6">
      <c r="A1196" s="883">
        <v>20</v>
      </c>
      <c r="B1196" s="884" t="s">
        <v>3272</v>
      </c>
      <c r="C1196" s="884" t="s">
        <v>3275</v>
      </c>
      <c r="D1196" s="884" t="s">
        <v>3274</v>
      </c>
      <c r="E1196" s="883">
        <v>356187982713435</v>
      </c>
      <c r="F1196" s="885">
        <v>2380</v>
      </c>
    </row>
    <row r="1197" spans="1:6">
      <c r="A1197" s="883">
        <v>21</v>
      </c>
      <c r="B1197" s="884" t="s">
        <v>3272</v>
      </c>
      <c r="C1197" s="884" t="s">
        <v>3276</v>
      </c>
      <c r="D1197" s="884" t="s">
        <v>3274</v>
      </c>
      <c r="E1197" s="883">
        <v>356187982825569</v>
      </c>
      <c r="F1197" s="885">
        <v>2380</v>
      </c>
    </row>
    <row r="1198" spans="1:6">
      <c r="A1198" s="878">
        <v>22</v>
      </c>
      <c r="B1198" s="879" t="s">
        <v>3277</v>
      </c>
      <c r="C1198" s="879" t="s">
        <v>3278</v>
      </c>
      <c r="D1198" s="879" t="s">
        <v>3279</v>
      </c>
      <c r="E1198" s="878">
        <v>355202680229336</v>
      </c>
      <c r="F1198" s="880" t="s">
        <v>3265</v>
      </c>
    </row>
    <row r="1199" spans="1:6">
      <c r="A1199" s="883">
        <v>23</v>
      </c>
      <c r="B1199" s="884" t="s">
        <v>3280</v>
      </c>
      <c r="C1199" s="884" t="s">
        <v>3281</v>
      </c>
      <c r="D1199" s="884" t="s">
        <v>3262</v>
      </c>
      <c r="E1199" s="883">
        <v>351878872230002</v>
      </c>
      <c r="F1199" s="885">
        <v>1880</v>
      </c>
    </row>
    <row r="1200" spans="1:6">
      <c r="A1200" s="883">
        <v>24</v>
      </c>
      <c r="B1200" s="884" t="s">
        <v>3280</v>
      </c>
      <c r="C1200" s="884" t="s">
        <v>3281</v>
      </c>
      <c r="D1200" s="884" t="s">
        <v>3262</v>
      </c>
      <c r="E1200" s="883">
        <v>351878872364561</v>
      </c>
      <c r="F1200" s="885">
        <v>1880</v>
      </c>
    </row>
    <row r="1201" spans="1:6">
      <c r="A1201" s="883">
        <v>25</v>
      </c>
      <c r="B1201" s="884" t="s">
        <v>3280</v>
      </c>
      <c r="C1201" s="884" t="s">
        <v>3281</v>
      </c>
      <c r="D1201" s="884" t="s">
        <v>3262</v>
      </c>
      <c r="E1201" s="883">
        <v>351878872239300</v>
      </c>
      <c r="F1201" s="885">
        <v>1880</v>
      </c>
    </row>
    <row r="1202" spans="1:6">
      <c r="A1202" s="883">
        <v>26</v>
      </c>
      <c r="B1202" s="884" t="s">
        <v>3280</v>
      </c>
      <c r="C1202" s="884" t="s">
        <v>3281</v>
      </c>
      <c r="D1202" s="884" t="s">
        <v>3282</v>
      </c>
      <c r="E1202" s="883">
        <v>351878870695198</v>
      </c>
      <c r="F1202" s="885">
        <v>1880</v>
      </c>
    </row>
    <row r="1203" spans="1:6">
      <c r="A1203" s="883">
        <v>27</v>
      </c>
      <c r="B1203" s="884" t="s">
        <v>3280</v>
      </c>
      <c r="C1203" s="884" t="s">
        <v>3283</v>
      </c>
      <c r="D1203" s="884" t="s">
        <v>3262</v>
      </c>
      <c r="E1203" s="883">
        <v>351878872195262</v>
      </c>
      <c r="F1203" s="885">
        <v>1880</v>
      </c>
    </row>
    <row r="1204" spans="1:6">
      <c r="A1204" s="883">
        <v>28</v>
      </c>
      <c r="B1204" s="884" t="s">
        <v>3280</v>
      </c>
      <c r="C1204" s="884" t="s">
        <v>3283</v>
      </c>
      <c r="D1204" s="884" t="s">
        <v>3262</v>
      </c>
      <c r="E1204" s="883">
        <v>351878872148907</v>
      </c>
      <c r="F1204" s="885">
        <v>1880</v>
      </c>
    </row>
    <row r="1205" spans="1:6">
      <c r="A1205" s="883">
        <v>29</v>
      </c>
      <c r="B1205" s="884" t="s">
        <v>3280</v>
      </c>
      <c r="C1205" s="884" t="s">
        <v>3283</v>
      </c>
      <c r="D1205" s="884" t="s">
        <v>3262</v>
      </c>
      <c r="E1205" s="883">
        <v>351878872082296</v>
      </c>
      <c r="F1205" s="885">
        <v>1880</v>
      </c>
    </row>
    <row r="1206" spans="1:6">
      <c r="A1206" s="883">
        <v>30</v>
      </c>
      <c r="B1206" s="884" t="s">
        <v>3280</v>
      </c>
      <c r="C1206" s="884" t="s">
        <v>3284</v>
      </c>
      <c r="D1206" s="884" t="s">
        <v>3262</v>
      </c>
      <c r="E1206" s="883">
        <v>351878871545277</v>
      </c>
      <c r="F1206" s="885">
        <v>1880</v>
      </c>
    </row>
    <row r="1207" spans="1:6">
      <c r="A1207" s="878">
        <v>31</v>
      </c>
      <c r="B1207" s="879" t="s">
        <v>3285</v>
      </c>
      <c r="C1207" s="879" t="s">
        <v>3286</v>
      </c>
      <c r="D1207" s="879" t="s">
        <v>3287</v>
      </c>
      <c r="E1207" s="878">
        <v>351880301716528</v>
      </c>
      <c r="F1207" s="880" t="s">
        <v>3288</v>
      </c>
    </row>
    <row r="1208" spans="1:6" ht="15.75">
      <c r="A1208" s="363"/>
      <c r="B1208" s="363"/>
      <c r="C1208" s="363"/>
      <c r="D1208" s="363"/>
      <c r="E1208" s="881" t="s">
        <v>2994</v>
      </c>
      <c r="F1208" s="882">
        <v>62854</v>
      </c>
    </row>
    <row r="1217" spans="1:7" ht="30" customHeight="1">
      <c r="A1217" s="1490" t="s">
        <v>3258</v>
      </c>
      <c r="B1217" s="1490"/>
      <c r="C1217" s="890" t="s">
        <v>3292</v>
      </c>
      <c r="D1217" s="1491" t="s">
        <v>3413</v>
      </c>
      <c r="E1217" s="1492"/>
      <c r="F1217" s="1492"/>
      <c r="G1217" s="1493"/>
    </row>
    <row r="1218" spans="1:7" s="731" customFormat="1" ht="30" customHeight="1">
      <c r="A1218" s="901" t="s">
        <v>2615</v>
      </c>
      <c r="B1218" s="901" t="s">
        <v>2086</v>
      </c>
      <c r="C1218" s="901" t="s">
        <v>2614</v>
      </c>
      <c r="D1218" s="901" t="s">
        <v>2421</v>
      </c>
      <c r="E1218" s="901" t="s">
        <v>2755</v>
      </c>
      <c r="F1218" s="901" t="s">
        <v>3442</v>
      </c>
      <c r="G1218" s="901" t="s">
        <v>2645</v>
      </c>
    </row>
    <row r="1219" spans="1:7">
      <c r="A1219" s="898">
        <v>1</v>
      </c>
      <c r="B1219" s="899" t="s">
        <v>3293</v>
      </c>
      <c r="C1219" s="899" t="s">
        <v>3294</v>
      </c>
      <c r="D1219" s="899" t="s">
        <v>3262</v>
      </c>
      <c r="E1219" s="899" t="s">
        <v>3295</v>
      </c>
      <c r="F1219" s="900">
        <v>590</v>
      </c>
      <c r="G1219" s="900">
        <f>F1219*3.58</f>
        <v>2112.1999999999998</v>
      </c>
    </row>
    <row r="1220" spans="1:7">
      <c r="A1220" s="898">
        <v>2</v>
      </c>
      <c r="B1220" s="899" t="s">
        <v>3296</v>
      </c>
      <c r="C1220" s="899" t="s">
        <v>3268</v>
      </c>
      <c r="D1220" s="899" t="s">
        <v>3297</v>
      </c>
      <c r="E1220" s="899" t="s">
        <v>3298</v>
      </c>
      <c r="F1220" s="900">
        <v>1640</v>
      </c>
      <c r="G1220" s="900">
        <f t="shared" ref="G1220:G1283" si="12">F1220*3.58</f>
        <v>5871.2</v>
      </c>
    </row>
    <row r="1221" spans="1:7">
      <c r="A1221" s="898">
        <v>3</v>
      </c>
      <c r="B1221" s="899" t="s">
        <v>3299</v>
      </c>
      <c r="C1221" s="899" t="s">
        <v>3300</v>
      </c>
      <c r="D1221" s="899" t="s">
        <v>3301</v>
      </c>
      <c r="E1221" s="899" t="s">
        <v>3302</v>
      </c>
      <c r="F1221" s="900">
        <v>590</v>
      </c>
      <c r="G1221" s="900">
        <f t="shared" si="12"/>
        <v>2112.1999999999998</v>
      </c>
    </row>
    <row r="1222" spans="1:7">
      <c r="A1222" s="898">
        <v>4</v>
      </c>
      <c r="B1222" s="899" t="s">
        <v>3299</v>
      </c>
      <c r="C1222" s="899" t="s">
        <v>3300</v>
      </c>
      <c r="D1222" s="899" t="s">
        <v>3301</v>
      </c>
      <c r="E1222" s="899" t="s">
        <v>3303</v>
      </c>
      <c r="F1222" s="900">
        <v>590</v>
      </c>
      <c r="G1222" s="900">
        <f t="shared" si="12"/>
        <v>2112.1999999999998</v>
      </c>
    </row>
    <row r="1223" spans="1:7">
      <c r="A1223" s="898">
        <v>5</v>
      </c>
      <c r="B1223" s="899" t="s">
        <v>3299</v>
      </c>
      <c r="C1223" s="899" t="s">
        <v>3300</v>
      </c>
      <c r="D1223" s="899" t="s">
        <v>3301</v>
      </c>
      <c r="E1223" s="899" t="s">
        <v>3304</v>
      </c>
      <c r="F1223" s="900">
        <v>590</v>
      </c>
      <c r="G1223" s="900">
        <f t="shared" si="12"/>
        <v>2112.1999999999998</v>
      </c>
    </row>
    <row r="1224" spans="1:7">
      <c r="A1224" s="898">
        <v>6</v>
      </c>
      <c r="B1224" s="899" t="s">
        <v>3299</v>
      </c>
      <c r="C1224" s="899" t="s">
        <v>3300</v>
      </c>
      <c r="D1224" s="899" t="s">
        <v>3301</v>
      </c>
      <c r="E1224" s="899" t="s">
        <v>3305</v>
      </c>
      <c r="F1224" s="900">
        <v>590</v>
      </c>
      <c r="G1224" s="900">
        <f t="shared" si="12"/>
        <v>2112.1999999999998</v>
      </c>
    </row>
    <row r="1225" spans="1:7">
      <c r="A1225" s="898">
        <v>7</v>
      </c>
      <c r="B1225" s="899" t="s">
        <v>3299</v>
      </c>
      <c r="C1225" s="899" t="s">
        <v>3300</v>
      </c>
      <c r="D1225" s="899" t="s">
        <v>3301</v>
      </c>
      <c r="E1225" s="899" t="s">
        <v>3306</v>
      </c>
      <c r="F1225" s="900">
        <v>590</v>
      </c>
      <c r="G1225" s="900">
        <f t="shared" si="12"/>
        <v>2112.1999999999998</v>
      </c>
    </row>
    <row r="1226" spans="1:7">
      <c r="A1226" s="898">
        <v>8</v>
      </c>
      <c r="B1226" s="899" t="s">
        <v>3299</v>
      </c>
      <c r="C1226" s="899" t="s">
        <v>3300</v>
      </c>
      <c r="D1226" s="899" t="s">
        <v>3301</v>
      </c>
      <c r="E1226" s="899" t="s">
        <v>3307</v>
      </c>
      <c r="F1226" s="900">
        <v>590</v>
      </c>
      <c r="G1226" s="900">
        <f t="shared" si="12"/>
        <v>2112.1999999999998</v>
      </c>
    </row>
    <row r="1227" spans="1:7">
      <c r="A1227" s="898">
        <v>9</v>
      </c>
      <c r="B1227" s="899" t="s">
        <v>3299</v>
      </c>
      <c r="C1227" s="899" t="s">
        <v>3300</v>
      </c>
      <c r="D1227" s="899" t="s">
        <v>3301</v>
      </c>
      <c r="E1227" s="899" t="s">
        <v>3308</v>
      </c>
      <c r="F1227" s="900">
        <v>590</v>
      </c>
      <c r="G1227" s="900">
        <f t="shared" si="12"/>
        <v>2112.1999999999998</v>
      </c>
    </row>
    <row r="1228" spans="1:7">
      <c r="A1228" s="898">
        <v>10</v>
      </c>
      <c r="B1228" s="899" t="s">
        <v>3299</v>
      </c>
      <c r="C1228" s="899" t="s">
        <v>3300</v>
      </c>
      <c r="D1228" s="899" t="s">
        <v>3301</v>
      </c>
      <c r="E1228" s="899" t="s">
        <v>3309</v>
      </c>
      <c r="F1228" s="900">
        <v>590</v>
      </c>
      <c r="G1228" s="900">
        <f t="shared" si="12"/>
        <v>2112.1999999999998</v>
      </c>
    </row>
    <row r="1229" spans="1:7">
      <c r="A1229" s="898">
        <v>11</v>
      </c>
      <c r="B1229" s="899" t="s">
        <v>3299</v>
      </c>
      <c r="C1229" s="899" t="s">
        <v>3300</v>
      </c>
      <c r="D1229" s="899" t="s">
        <v>3301</v>
      </c>
      <c r="E1229" s="899" t="s">
        <v>3310</v>
      </c>
      <c r="F1229" s="900">
        <v>590</v>
      </c>
      <c r="G1229" s="900">
        <f t="shared" si="12"/>
        <v>2112.1999999999998</v>
      </c>
    </row>
    <row r="1230" spans="1:7">
      <c r="A1230" s="898">
        <v>12</v>
      </c>
      <c r="B1230" s="899" t="s">
        <v>3299</v>
      </c>
      <c r="C1230" s="899" t="s">
        <v>3300</v>
      </c>
      <c r="D1230" s="899" t="s">
        <v>3301</v>
      </c>
      <c r="E1230" s="899" t="s">
        <v>3311</v>
      </c>
      <c r="F1230" s="900">
        <v>590</v>
      </c>
      <c r="G1230" s="900">
        <f t="shared" si="12"/>
        <v>2112.1999999999998</v>
      </c>
    </row>
    <row r="1231" spans="1:7">
      <c r="A1231" s="898">
        <v>13</v>
      </c>
      <c r="B1231" s="899" t="s">
        <v>3299</v>
      </c>
      <c r="C1231" s="899" t="s">
        <v>3300</v>
      </c>
      <c r="D1231" s="899" t="s">
        <v>3301</v>
      </c>
      <c r="E1231" s="899" t="s">
        <v>3312</v>
      </c>
      <c r="F1231" s="900">
        <v>590</v>
      </c>
      <c r="G1231" s="900">
        <f t="shared" si="12"/>
        <v>2112.1999999999998</v>
      </c>
    </row>
    <row r="1232" spans="1:7">
      <c r="A1232" s="898">
        <v>14</v>
      </c>
      <c r="B1232" s="899" t="s">
        <v>3299</v>
      </c>
      <c r="C1232" s="899" t="s">
        <v>3300</v>
      </c>
      <c r="D1232" s="899" t="s">
        <v>3301</v>
      </c>
      <c r="E1232" s="899" t="s">
        <v>3313</v>
      </c>
      <c r="F1232" s="900">
        <v>590</v>
      </c>
      <c r="G1232" s="900">
        <f t="shared" si="12"/>
        <v>2112.1999999999998</v>
      </c>
    </row>
    <row r="1233" spans="1:7">
      <c r="A1233" s="898">
        <v>15</v>
      </c>
      <c r="B1233" s="899" t="s">
        <v>3299</v>
      </c>
      <c r="C1233" s="899" t="s">
        <v>3300</v>
      </c>
      <c r="D1233" s="899" t="s">
        <v>3301</v>
      </c>
      <c r="E1233" s="899" t="s">
        <v>3314</v>
      </c>
      <c r="F1233" s="900">
        <v>590</v>
      </c>
      <c r="G1233" s="900">
        <f t="shared" si="12"/>
        <v>2112.1999999999998</v>
      </c>
    </row>
    <row r="1234" spans="1:7">
      <c r="A1234" s="898">
        <v>16</v>
      </c>
      <c r="B1234" s="899" t="s">
        <v>3299</v>
      </c>
      <c r="C1234" s="899" t="s">
        <v>3300</v>
      </c>
      <c r="D1234" s="899" t="s">
        <v>3301</v>
      </c>
      <c r="E1234" s="899" t="s">
        <v>3315</v>
      </c>
      <c r="F1234" s="900">
        <v>590</v>
      </c>
      <c r="G1234" s="900">
        <f t="shared" si="12"/>
        <v>2112.1999999999998</v>
      </c>
    </row>
    <row r="1235" spans="1:7">
      <c r="A1235" s="898">
        <v>17</v>
      </c>
      <c r="B1235" s="899" t="s">
        <v>3299</v>
      </c>
      <c r="C1235" s="899" t="s">
        <v>3300</v>
      </c>
      <c r="D1235" s="899" t="s">
        <v>3301</v>
      </c>
      <c r="E1235" s="899" t="s">
        <v>3316</v>
      </c>
      <c r="F1235" s="900">
        <v>590</v>
      </c>
      <c r="G1235" s="900">
        <f t="shared" si="12"/>
        <v>2112.1999999999998</v>
      </c>
    </row>
    <row r="1236" spans="1:7">
      <c r="A1236" s="898">
        <v>18</v>
      </c>
      <c r="B1236" s="899" t="s">
        <v>3299</v>
      </c>
      <c r="C1236" s="899" t="s">
        <v>3300</v>
      </c>
      <c r="D1236" s="899" t="s">
        <v>3301</v>
      </c>
      <c r="E1236" s="899" t="s">
        <v>3317</v>
      </c>
      <c r="F1236" s="900">
        <v>590</v>
      </c>
      <c r="G1236" s="900">
        <f t="shared" si="12"/>
        <v>2112.1999999999998</v>
      </c>
    </row>
    <row r="1237" spans="1:7">
      <c r="A1237" s="898">
        <v>19</v>
      </c>
      <c r="B1237" s="899" t="s">
        <v>3299</v>
      </c>
      <c r="C1237" s="899" t="s">
        <v>3300</v>
      </c>
      <c r="D1237" s="899" t="s">
        <v>3301</v>
      </c>
      <c r="E1237" s="899" t="s">
        <v>3318</v>
      </c>
      <c r="F1237" s="900">
        <v>590</v>
      </c>
      <c r="G1237" s="900">
        <f t="shared" si="12"/>
        <v>2112.1999999999998</v>
      </c>
    </row>
    <row r="1238" spans="1:7">
      <c r="A1238" s="898">
        <v>20</v>
      </c>
      <c r="B1238" s="899" t="s">
        <v>3299</v>
      </c>
      <c r="C1238" s="899" t="s">
        <v>3300</v>
      </c>
      <c r="D1238" s="899" t="s">
        <v>3301</v>
      </c>
      <c r="E1238" s="899" t="s">
        <v>3319</v>
      </c>
      <c r="F1238" s="900">
        <v>590</v>
      </c>
      <c r="G1238" s="900">
        <f t="shared" si="12"/>
        <v>2112.1999999999998</v>
      </c>
    </row>
    <row r="1239" spans="1:7">
      <c r="A1239" s="898">
        <v>21</v>
      </c>
      <c r="B1239" s="899" t="s">
        <v>3299</v>
      </c>
      <c r="C1239" s="899" t="s">
        <v>3300</v>
      </c>
      <c r="D1239" s="899" t="s">
        <v>3301</v>
      </c>
      <c r="E1239" s="899" t="s">
        <v>3320</v>
      </c>
      <c r="F1239" s="900">
        <v>590</v>
      </c>
      <c r="G1239" s="900">
        <f t="shared" si="12"/>
        <v>2112.1999999999998</v>
      </c>
    </row>
    <row r="1240" spans="1:7">
      <c r="A1240" s="898">
        <v>22</v>
      </c>
      <c r="B1240" s="899" t="s">
        <v>3299</v>
      </c>
      <c r="C1240" s="899" t="s">
        <v>3300</v>
      </c>
      <c r="D1240" s="899" t="s">
        <v>3301</v>
      </c>
      <c r="E1240" s="899" t="s">
        <v>3321</v>
      </c>
      <c r="F1240" s="900">
        <v>590</v>
      </c>
      <c r="G1240" s="900">
        <f t="shared" si="12"/>
        <v>2112.1999999999998</v>
      </c>
    </row>
    <row r="1241" spans="1:7">
      <c r="A1241" s="898">
        <v>23</v>
      </c>
      <c r="B1241" s="899" t="s">
        <v>3299</v>
      </c>
      <c r="C1241" s="899" t="s">
        <v>3300</v>
      </c>
      <c r="D1241" s="899" t="s">
        <v>3301</v>
      </c>
      <c r="E1241" s="899" t="s">
        <v>3322</v>
      </c>
      <c r="F1241" s="900">
        <v>590</v>
      </c>
      <c r="G1241" s="900">
        <f t="shared" si="12"/>
        <v>2112.1999999999998</v>
      </c>
    </row>
    <row r="1242" spans="1:7">
      <c r="A1242" s="898">
        <v>24</v>
      </c>
      <c r="B1242" s="899" t="s">
        <v>3299</v>
      </c>
      <c r="C1242" s="899" t="s">
        <v>3300</v>
      </c>
      <c r="D1242" s="899" t="s">
        <v>3301</v>
      </c>
      <c r="E1242" s="899" t="s">
        <v>3323</v>
      </c>
      <c r="F1242" s="900">
        <v>590</v>
      </c>
      <c r="G1242" s="900">
        <f t="shared" si="12"/>
        <v>2112.1999999999998</v>
      </c>
    </row>
    <row r="1243" spans="1:7">
      <c r="A1243" s="898">
        <v>25</v>
      </c>
      <c r="B1243" s="899" t="s">
        <v>3299</v>
      </c>
      <c r="C1243" s="899" t="s">
        <v>3300</v>
      </c>
      <c r="D1243" s="899" t="s">
        <v>3301</v>
      </c>
      <c r="E1243" s="899" t="s">
        <v>3324</v>
      </c>
      <c r="F1243" s="900">
        <v>590</v>
      </c>
      <c r="G1243" s="900">
        <f t="shared" si="12"/>
        <v>2112.1999999999998</v>
      </c>
    </row>
    <row r="1244" spans="1:7">
      <c r="A1244" s="898">
        <v>26</v>
      </c>
      <c r="B1244" s="899" t="s">
        <v>3299</v>
      </c>
      <c r="C1244" s="899" t="s">
        <v>3300</v>
      </c>
      <c r="D1244" s="899" t="s">
        <v>3301</v>
      </c>
      <c r="E1244" s="899" t="s">
        <v>3325</v>
      </c>
      <c r="F1244" s="900">
        <v>590</v>
      </c>
      <c r="G1244" s="900">
        <f t="shared" si="12"/>
        <v>2112.1999999999998</v>
      </c>
    </row>
    <row r="1245" spans="1:7">
      <c r="A1245" s="898">
        <v>27</v>
      </c>
      <c r="B1245" s="899" t="s">
        <v>3299</v>
      </c>
      <c r="C1245" s="899" t="s">
        <v>3300</v>
      </c>
      <c r="D1245" s="899" t="s">
        <v>3301</v>
      </c>
      <c r="E1245" s="899" t="s">
        <v>3326</v>
      </c>
      <c r="F1245" s="900">
        <v>590</v>
      </c>
      <c r="G1245" s="900">
        <f t="shared" si="12"/>
        <v>2112.1999999999998</v>
      </c>
    </row>
    <row r="1246" spans="1:7">
      <c r="A1246" s="898">
        <v>28</v>
      </c>
      <c r="B1246" s="899" t="s">
        <v>3299</v>
      </c>
      <c r="C1246" s="899" t="s">
        <v>3300</v>
      </c>
      <c r="D1246" s="899" t="s">
        <v>3301</v>
      </c>
      <c r="E1246" s="899" t="s">
        <v>3327</v>
      </c>
      <c r="F1246" s="900">
        <v>590</v>
      </c>
      <c r="G1246" s="900">
        <f t="shared" si="12"/>
        <v>2112.1999999999998</v>
      </c>
    </row>
    <row r="1247" spans="1:7">
      <c r="A1247" s="898">
        <v>29</v>
      </c>
      <c r="B1247" s="899" t="s">
        <v>3299</v>
      </c>
      <c r="C1247" s="899" t="s">
        <v>3300</v>
      </c>
      <c r="D1247" s="899" t="s">
        <v>3301</v>
      </c>
      <c r="E1247" s="899" t="s">
        <v>3328</v>
      </c>
      <c r="F1247" s="900">
        <v>590</v>
      </c>
      <c r="G1247" s="900">
        <f t="shared" si="12"/>
        <v>2112.1999999999998</v>
      </c>
    </row>
    <row r="1248" spans="1:7">
      <c r="A1248" s="898">
        <v>30</v>
      </c>
      <c r="B1248" s="899" t="s">
        <v>3299</v>
      </c>
      <c r="C1248" s="899" t="s">
        <v>3300</v>
      </c>
      <c r="D1248" s="899" t="s">
        <v>3301</v>
      </c>
      <c r="E1248" s="899" t="s">
        <v>3329</v>
      </c>
      <c r="F1248" s="900">
        <v>590</v>
      </c>
      <c r="G1248" s="900">
        <f t="shared" si="12"/>
        <v>2112.1999999999998</v>
      </c>
    </row>
    <row r="1249" spans="1:7">
      <c r="A1249" s="898">
        <v>31</v>
      </c>
      <c r="B1249" s="899" t="s">
        <v>3299</v>
      </c>
      <c r="C1249" s="899" t="s">
        <v>3300</v>
      </c>
      <c r="D1249" s="899" t="s">
        <v>3301</v>
      </c>
      <c r="E1249" s="899" t="s">
        <v>3330</v>
      </c>
      <c r="F1249" s="900">
        <v>590</v>
      </c>
      <c r="G1249" s="900">
        <f t="shared" si="12"/>
        <v>2112.1999999999998</v>
      </c>
    </row>
    <row r="1250" spans="1:7">
      <c r="A1250" s="898">
        <v>32</v>
      </c>
      <c r="B1250" s="899" t="s">
        <v>3299</v>
      </c>
      <c r="C1250" s="899" t="s">
        <v>3300</v>
      </c>
      <c r="D1250" s="899" t="s">
        <v>3301</v>
      </c>
      <c r="E1250" s="899" t="s">
        <v>3331</v>
      </c>
      <c r="F1250" s="900">
        <v>590</v>
      </c>
      <c r="G1250" s="900">
        <f t="shared" si="12"/>
        <v>2112.1999999999998</v>
      </c>
    </row>
    <row r="1251" spans="1:7">
      <c r="A1251" s="898">
        <v>33</v>
      </c>
      <c r="B1251" s="899" t="s">
        <v>3299</v>
      </c>
      <c r="C1251" s="899" t="s">
        <v>3300</v>
      </c>
      <c r="D1251" s="899" t="s">
        <v>3301</v>
      </c>
      <c r="E1251" s="899" t="s">
        <v>3332</v>
      </c>
      <c r="F1251" s="900">
        <v>590</v>
      </c>
      <c r="G1251" s="900">
        <f t="shared" si="12"/>
        <v>2112.1999999999998</v>
      </c>
    </row>
    <row r="1252" spans="1:7">
      <c r="A1252" s="898">
        <v>34</v>
      </c>
      <c r="B1252" s="899" t="s">
        <v>3299</v>
      </c>
      <c r="C1252" s="899" t="s">
        <v>3300</v>
      </c>
      <c r="D1252" s="899" t="s">
        <v>3301</v>
      </c>
      <c r="E1252" s="899" t="s">
        <v>3333</v>
      </c>
      <c r="F1252" s="900">
        <v>590</v>
      </c>
      <c r="G1252" s="900">
        <f t="shared" si="12"/>
        <v>2112.1999999999998</v>
      </c>
    </row>
    <row r="1253" spans="1:7">
      <c r="A1253" s="898">
        <v>35</v>
      </c>
      <c r="B1253" s="899" t="s">
        <v>3299</v>
      </c>
      <c r="C1253" s="899" t="s">
        <v>3300</v>
      </c>
      <c r="D1253" s="899" t="s">
        <v>3301</v>
      </c>
      <c r="E1253" s="899" t="s">
        <v>3334</v>
      </c>
      <c r="F1253" s="900">
        <v>590</v>
      </c>
      <c r="G1253" s="900">
        <f t="shared" si="12"/>
        <v>2112.1999999999998</v>
      </c>
    </row>
    <row r="1254" spans="1:7">
      <c r="A1254" s="898">
        <v>36</v>
      </c>
      <c r="B1254" s="899" t="s">
        <v>3299</v>
      </c>
      <c r="C1254" s="899" t="s">
        <v>3300</v>
      </c>
      <c r="D1254" s="899" t="s">
        <v>3301</v>
      </c>
      <c r="E1254" s="899" t="s">
        <v>3335</v>
      </c>
      <c r="F1254" s="900">
        <v>590</v>
      </c>
      <c r="G1254" s="900">
        <f t="shared" si="12"/>
        <v>2112.1999999999998</v>
      </c>
    </row>
    <row r="1255" spans="1:7">
      <c r="A1255" s="898">
        <v>37</v>
      </c>
      <c r="B1255" s="899" t="s">
        <v>3299</v>
      </c>
      <c r="C1255" s="899" t="s">
        <v>3300</v>
      </c>
      <c r="D1255" s="899" t="s">
        <v>3301</v>
      </c>
      <c r="E1255" s="899" t="s">
        <v>3336</v>
      </c>
      <c r="F1255" s="900">
        <v>590</v>
      </c>
      <c r="G1255" s="900">
        <f t="shared" si="12"/>
        <v>2112.1999999999998</v>
      </c>
    </row>
    <row r="1256" spans="1:7">
      <c r="A1256" s="898">
        <v>38</v>
      </c>
      <c r="B1256" s="899" t="s">
        <v>3299</v>
      </c>
      <c r="C1256" s="899" t="s">
        <v>3300</v>
      </c>
      <c r="D1256" s="899" t="s">
        <v>3301</v>
      </c>
      <c r="E1256" s="899" t="s">
        <v>3337</v>
      </c>
      <c r="F1256" s="900">
        <v>590</v>
      </c>
      <c r="G1256" s="900">
        <f t="shared" si="12"/>
        <v>2112.1999999999998</v>
      </c>
    </row>
    <row r="1257" spans="1:7">
      <c r="A1257" s="898">
        <v>39</v>
      </c>
      <c r="B1257" s="899" t="s">
        <v>3299</v>
      </c>
      <c r="C1257" s="899" t="s">
        <v>3300</v>
      </c>
      <c r="D1257" s="899" t="s">
        <v>3301</v>
      </c>
      <c r="E1257" s="899" t="s">
        <v>3338</v>
      </c>
      <c r="F1257" s="900">
        <v>590</v>
      </c>
      <c r="G1257" s="900">
        <f t="shared" si="12"/>
        <v>2112.1999999999998</v>
      </c>
    </row>
    <row r="1258" spans="1:7">
      <c r="A1258" s="898">
        <v>40</v>
      </c>
      <c r="B1258" s="899" t="s">
        <v>3299</v>
      </c>
      <c r="C1258" s="899" t="s">
        <v>3300</v>
      </c>
      <c r="D1258" s="899" t="s">
        <v>3301</v>
      </c>
      <c r="E1258" s="899" t="s">
        <v>3339</v>
      </c>
      <c r="F1258" s="900">
        <v>590</v>
      </c>
      <c r="G1258" s="900">
        <f t="shared" si="12"/>
        <v>2112.1999999999998</v>
      </c>
    </row>
    <row r="1259" spans="1:7">
      <c r="A1259" s="898">
        <v>41</v>
      </c>
      <c r="B1259" s="899" t="s">
        <v>3299</v>
      </c>
      <c r="C1259" s="899" t="s">
        <v>3300</v>
      </c>
      <c r="D1259" s="899" t="s">
        <v>3301</v>
      </c>
      <c r="E1259" s="899" t="s">
        <v>3340</v>
      </c>
      <c r="F1259" s="900">
        <v>590</v>
      </c>
      <c r="G1259" s="900">
        <f t="shared" si="12"/>
        <v>2112.1999999999998</v>
      </c>
    </row>
    <row r="1260" spans="1:7">
      <c r="A1260" s="898">
        <v>42</v>
      </c>
      <c r="B1260" s="899" t="s">
        <v>3299</v>
      </c>
      <c r="C1260" s="899" t="s">
        <v>3300</v>
      </c>
      <c r="D1260" s="899" t="s">
        <v>3301</v>
      </c>
      <c r="E1260" s="899" t="s">
        <v>3341</v>
      </c>
      <c r="F1260" s="900">
        <v>590</v>
      </c>
      <c r="G1260" s="900">
        <f t="shared" si="12"/>
        <v>2112.1999999999998</v>
      </c>
    </row>
    <row r="1261" spans="1:7">
      <c r="A1261" s="898">
        <v>43</v>
      </c>
      <c r="B1261" s="899" t="s">
        <v>3299</v>
      </c>
      <c r="C1261" s="899" t="s">
        <v>3300</v>
      </c>
      <c r="D1261" s="899" t="s">
        <v>3301</v>
      </c>
      <c r="E1261" s="899" t="s">
        <v>3342</v>
      </c>
      <c r="F1261" s="900">
        <v>590</v>
      </c>
      <c r="G1261" s="900">
        <f t="shared" si="12"/>
        <v>2112.1999999999998</v>
      </c>
    </row>
    <row r="1262" spans="1:7">
      <c r="A1262" s="898">
        <v>44</v>
      </c>
      <c r="B1262" s="899" t="s">
        <v>3299</v>
      </c>
      <c r="C1262" s="899" t="s">
        <v>3300</v>
      </c>
      <c r="D1262" s="899" t="s">
        <v>3301</v>
      </c>
      <c r="E1262" s="899" t="s">
        <v>3343</v>
      </c>
      <c r="F1262" s="900">
        <v>590</v>
      </c>
      <c r="G1262" s="900">
        <f t="shared" si="12"/>
        <v>2112.1999999999998</v>
      </c>
    </row>
    <row r="1263" spans="1:7">
      <c r="A1263" s="898">
        <v>45</v>
      </c>
      <c r="B1263" s="899" t="s">
        <v>3299</v>
      </c>
      <c r="C1263" s="899" t="s">
        <v>3300</v>
      </c>
      <c r="D1263" s="899" t="s">
        <v>3301</v>
      </c>
      <c r="E1263" s="899" t="s">
        <v>3344</v>
      </c>
      <c r="F1263" s="900">
        <v>590</v>
      </c>
      <c r="G1263" s="900">
        <f t="shared" si="12"/>
        <v>2112.1999999999998</v>
      </c>
    </row>
    <row r="1264" spans="1:7">
      <c r="A1264" s="898">
        <v>46</v>
      </c>
      <c r="B1264" s="899" t="s">
        <v>3299</v>
      </c>
      <c r="C1264" s="899" t="s">
        <v>3300</v>
      </c>
      <c r="D1264" s="899" t="s">
        <v>3301</v>
      </c>
      <c r="E1264" s="899" t="s">
        <v>3345</v>
      </c>
      <c r="F1264" s="900">
        <v>590</v>
      </c>
      <c r="G1264" s="900">
        <f t="shared" si="12"/>
        <v>2112.1999999999998</v>
      </c>
    </row>
    <row r="1265" spans="1:8">
      <c r="A1265" s="898">
        <v>47</v>
      </c>
      <c r="B1265" s="899" t="s">
        <v>3299</v>
      </c>
      <c r="C1265" s="899" t="s">
        <v>3300</v>
      </c>
      <c r="D1265" s="899" t="s">
        <v>3301</v>
      </c>
      <c r="E1265" s="899" t="s">
        <v>3346</v>
      </c>
      <c r="F1265" s="900">
        <v>590</v>
      </c>
      <c r="G1265" s="900">
        <f t="shared" si="12"/>
        <v>2112.1999999999998</v>
      </c>
    </row>
    <row r="1266" spans="1:8">
      <c r="A1266" s="898">
        <v>48</v>
      </c>
      <c r="B1266" s="899" t="s">
        <v>3299</v>
      </c>
      <c r="C1266" s="899" t="s">
        <v>3300</v>
      </c>
      <c r="D1266" s="899" t="s">
        <v>3301</v>
      </c>
      <c r="E1266" s="899" t="s">
        <v>3347</v>
      </c>
      <c r="F1266" s="900">
        <v>590</v>
      </c>
      <c r="G1266" s="900">
        <f t="shared" si="12"/>
        <v>2112.1999999999998</v>
      </c>
    </row>
    <row r="1267" spans="1:8">
      <c r="A1267" s="898">
        <v>49</v>
      </c>
      <c r="B1267" s="899" t="s">
        <v>3299</v>
      </c>
      <c r="C1267" s="899" t="s">
        <v>3300</v>
      </c>
      <c r="D1267" s="899" t="s">
        <v>3301</v>
      </c>
      <c r="E1267" s="899" t="s">
        <v>3348</v>
      </c>
      <c r="F1267" s="900">
        <v>590</v>
      </c>
      <c r="G1267" s="900">
        <f t="shared" si="12"/>
        <v>2112.1999999999998</v>
      </c>
    </row>
    <row r="1268" spans="1:8">
      <c r="A1268" s="891">
        <v>50</v>
      </c>
      <c r="B1268" s="892" t="s">
        <v>3299</v>
      </c>
      <c r="C1268" s="892" t="s">
        <v>3300</v>
      </c>
      <c r="D1268" s="892" t="s">
        <v>3301</v>
      </c>
      <c r="E1268" s="893" t="s">
        <v>3349</v>
      </c>
      <c r="F1268" s="894">
        <v>590</v>
      </c>
      <c r="G1268" s="894">
        <f t="shared" si="12"/>
        <v>2112.1999999999998</v>
      </c>
      <c r="H1268" s="902" t="s">
        <v>2716</v>
      </c>
    </row>
    <row r="1269" spans="1:8">
      <c r="A1269" s="898">
        <v>51</v>
      </c>
      <c r="B1269" s="899" t="s">
        <v>3299</v>
      </c>
      <c r="C1269" s="899" t="s">
        <v>3300</v>
      </c>
      <c r="D1269" s="899" t="s">
        <v>3301</v>
      </c>
      <c r="E1269" s="899" t="s">
        <v>3350</v>
      </c>
      <c r="F1269" s="900">
        <v>590</v>
      </c>
      <c r="G1269" s="900">
        <f t="shared" si="12"/>
        <v>2112.1999999999998</v>
      </c>
    </row>
    <row r="1270" spans="1:8">
      <c r="A1270" s="898">
        <v>52</v>
      </c>
      <c r="B1270" s="899" t="s">
        <v>3299</v>
      </c>
      <c r="C1270" s="899" t="s">
        <v>3300</v>
      </c>
      <c r="D1270" s="899" t="s">
        <v>3301</v>
      </c>
      <c r="E1270" s="899" t="s">
        <v>3351</v>
      </c>
      <c r="F1270" s="900">
        <v>590</v>
      </c>
      <c r="G1270" s="900">
        <f t="shared" si="12"/>
        <v>2112.1999999999998</v>
      </c>
    </row>
    <row r="1271" spans="1:8">
      <c r="A1271" s="898">
        <v>53</v>
      </c>
      <c r="B1271" s="899" t="s">
        <v>3299</v>
      </c>
      <c r="C1271" s="899" t="s">
        <v>3300</v>
      </c>
      <c r="D1271" s="899" t="s">
        <v>3301</v>
      </c>
      <c r="E1271" s="899" t="s">
        <v>3352</v>
      </c>
      <c r="F1271" s="900">
        <v>590</v>
      </c>
      <c r="G1271" s="900">
        <f t="shared" si="12"/>
        <v>2112.1999999999998</v>
      </c>
    </row>
    <row r="1272" spans="1:8">
      <c r="A1272" s="898">
        <v>54</v>
      </c>
      <c r="B1272" s="899" t="s">
        <v>3299</v>
      </c>
      <c r="C1272" s="899" t="s">
        <v>3300</v>
      </c>
      <c r="D1272" s="899" t="s">
        <v>3301</v>
      </c>
      <c r="E1272" s="899" t="s">
        <v>3353</v>
      </c>
      <c r="F1272" s="900">
        <v>590</v>
      </c>
      <c r="G1272" s="900">
        <f t="shared" si="12"/>
        <v>2112.1999999999998</v>
      </c>
    </row>
    <row r="1273" spans="1:8">
      <c r="A1273" s="898">
        <v>55</v>
      </c>
      <c r="B1273" s="899" t="s">
        <v>3299</v>
      </c>
      <c r="C1273" s="899" t="s">
        <v>3300</v>
      </c>
      <c r="D1273" s="899" t="s">
        <v>3301</v>
      </c>
      <c r="E1273" s="899" t="s">
        <v>3354</v>
      </c>
      <c r="F1273" s="900">
        <v>590</v>
      </c>
      <c r="G1273" s="900">
        <f t="shared" si="12"/>
        <v>2112.1999999999998</v>
      </c>
    </row>
    <row r="1274" spans="1:8">
      <c r="A1274" s="898">
        <v>56</v>
      </c>
      <c r="B1274" s="899" t="s">
        <v>3299</v>
      </c>
      <c r="C1274" s="899" t="s">
        <v>3300</v>
      </c>
      <c r="D1274" s="899" t="s">
        <v>3301</v>
      </c>
      <c r="E1274" s="899" t="s">
        <v>3355</v>
      </c>
      <c r="F1274" s="900">
        <v>590</v>
      </c>
      <c r="G1274" s="900">
        <f t="shared" si="12"/>
        <v>2112.1999999999998</v>
      </c>
    </row>
    <row r="1275" spans="1:8">
      <c r="A1275" s="898">
        <v>57</v>
      </c>
      <c r="B1275" s="899" t="s">
        <v>3299</v>
      </c>
      <c r="C1275" s="899" t="s">
        <v>3300</v>
      </c>
      <c r="D1275" s="899" t="s">
        <v>3301</v>
      </c>
      <c r="E1275" s="899" t="s">
        <v>3356</v>
      </c>
      <c r="F1275" s="900">
        <v>590</v>
      </c>
      <c r="G1275" s="900">
        <f t="shared" si="12"/>
        <v>2112.1999999999998</v>
      </c>
    </row>
    <row r="1276" spans="1:8">
      <c r="A1276" s="898">
        <v>58</v>
      </c>
      <c r="B1276" s="899" t="s">
        <v>3299</v>
      </c>
      <c r="C1276" s="899" t="s">
        <v>3300</v>
      </c>
      <c r="D1276" s="899" t="s">
        <v>3301</v>
      </c>
      <c r="E1276" s="899" t="s">
        <v>3357</v>
      </c>
      <c r="F1276" s="900">
        <v>590</v>
      </c>
      <c r="G1276" s="900">
        <f t="shared" si="12"/>
        <v>2112.1999999999998</v>
      </c>
    </row>
    <row r="1277" spans="1:8">
      <c r="A1277" s="898">
        <v>59</v>
      </c>
      <c r="B1277" s="899" t="s">
        <v>3299</v>
      </c>
      <c r="C1277" s="899" t="s">
        <v>3300</v>
      </c>
      <c r="D1277" s="899" t="s">
        <v>3301</v>
      </c>
      <c r="E1277" s="899" t="s">
        <v>3358</v>
      </c>
      <c r="F1277" s="900">
        <v>590</v>
      </c>
      <c r="G1277" s="900">
        <f t="shared" si="12"/>
        <v>2112.1999999999998</v>
      </c>
    </row>
    <row r="1278" spans="1:8">
      <c r="A1278" s="898">
        <v>60</v>
      </c>
      <c r="B1278" s="899" t="s">
        <v>3299</v>
      </c>
      <c r="C1278" s="899" t="s">
        <v>3300</v>
      </c>
      <c r="D1278" s="899" t="s">
        <v>3301</v>
      </c>
      <c r="E1278" s="899" t="s">
        <v>3359</v>
      </c>
      <c r="F1278" s="900">
        <v>590</v>
      </c>
      <c r="G1278" s="900">
        <f t="shared" si="12"/>
        <v>2112.1999999999998</v>
      </c>
    </row>
    <row r="1279" spans="1:8">
      <c r="A1279" s="898">
        <v>61</v>
      </c>
      <c r="B1279" s="899" t="s">
        <v>3299</v>
      </c>
      <c r="C1279" s="899" t="s">
        <v>3300</v>
      </c>
      <c r="D1279" s="899" t="s">
        <v>3301</v>
      </c>
      <c r="E1279" s="899" t="s">
        <v>3360</v>
      </c>
      <c r="F1279" s="900">
        <v>590</v>
      </c>
      <c r="G1279" s="900">
        <f t="shared" si="12"/>
        <v>2112.1999999999998</v>
      </c>
    </row>
    <row r="1280" spans="1:8">
      <c r="A1280" s="898">
        <v>62</v>
      </c>
      <c r="B1280" s="899" t="s">
        <v>3299</v>
      </c>
      <c r="C1280" s="899" t="s">
        <v>3300</v>
      </c>
      <c r="D1280" s="899" t="s">
        <v>3301</v>
      </c>
      <c r="E1280" s="899" t="s">
        <v>3361</v>
      </c>
      <c r="F1280" s="900">
        <v>590</v>
      </c>
      <c r="G1280" s="900">
        <f t="shared" si="12"/>
        <v>2112.1999999999998</v>
      </c>
    </row>
    <row r="1281" spans="1:7">
      <c r="A1281" s="898">
        <v>63</v>
      </c>
      <c r="B1281" s="899" t="s">
        <v>3299</v>
      </c>
      <c r="C1281" s="899" t="s">
        <v>3300</v>
      </c>
      <c r="D1281" s="899" t="s">
        <v>3301</v>
      </c>
      <c r="E1281" s="899" t="s">
        <v>3362</v>
      </c>
      <c r="F1281" s="900">
        <v>590</v>
      </c>
      <c r="G1281" s="900">
        <f t="shared" si="12"/>
        <v>2112.1999999999998</v>
      </c>
    </row>
    <row r="1282" spans="1:7">
      <c r="A1282" s="898">
        <v>64</v>
      </c>
      <c r="B1282" s="899" t="s">
        <v>3299</v>
      </c>
      <c r="C1282" s="899" t="s">
        <v>3300</v>
      </c>
      <c r="D1282" s="899" t="s">
        <v>3301</v>
      </c>
      <c r="E1282" s="899" t="s">
        <v>3363</v>
      </c>
      <c r="F1282" s="900">
        <v>590</v>
      </c>
      <c r="G1282" s="900">
        <f t="shared" si="12"/>
        <v>2112.1999999999998</v>
      </c>
    </row>
    <row r="1283" spans="1:7">
      <c r="A1283" s="898">
        <v>65</v>
      </c>
      <c r="B1283" s="899" t="s">
        <v>3299</v>
      </c>
      <c r="C1283" s="899" t="s">
        <v>3300</v>
      </c>
      <c r="D1283" s="899" t="s">
        <v>3301</v>
      </c>
      <c r="E1283" s="899" t="s">
        <v>3364</v>
      </c>
      <c r="F1283" s="900">
        <v>590</v>
      </c>
      <c r="G1283" s="900">
        <f t="shared" si="12"/>
        <v>2112.1999999999998</v>
      </c>
    </row>
    <row r="1284" spans="1:7">
      <c r="A1284" s="898">
        <v>66</v>
      </c>
      <c r="B1284" s="899" t="s">
        <v>3299</v>
      </c>
      <c r="C1284" s="899" t="s">
        <v>3300</v>
      </c>
      <c r="D1284" s="899" t="s">
        <v>3301</v>
      </c>
      <c r="E1284" s="899" t="s">
        <v>3365</v>
      </c>
      <c r="F1284" s="900">
        <v>590</v>
      </c>
      <c r="G1284" s="900">
        <f t="shared" ref="G1284:G1329" si="13">F1284*3.58</f>
        <v>2112.1999999999998</v>
      </c>
    </row>
    <row r="1285" spans="1:7">
      <c r="A1285" s="898">
        <v>67</v>
      </c>
      <c r="B1285" s="899" t="s">
        <v>3299</v>
      </c>
      <c r="C1285" s="899" t="s">
        <v>3300</v>
      </c>
      <c r="D1285" s="899" t="s">
        <v>3301</v>
      </c>
      <c r="E1285" s="899" t="s">
        <v>3366</v>
      </c>
      <c r="F1285" s="900">
        <v>590</v>
      </c>
      <c r="G1285" s="900">
        <f t="shared" si="13"/>
        <v>2112.1999999999998</v>
      </c>
    </row>
    <row r="1286" spans="1:7">
      <c r="A1286" s="898">
        <v>68</v>
      </c>
      <c r="B1286" s="899" t="s">
        <v>3299</v>
      </c>
      <c r="C1286" s="899" t="s">
        <v>3300</v>
      </c>
      <c r="D1286" s="899" t="s">
        <v>3301</v>
      </c>
      <c r="E1286" s="899" t="s">
        <v>3367</v>
      </c>
      <c r="F1286" s="900">
        <v>590</v>
      </c>
      <c r="G1286" s="900">
        <f t="shared" si="13"/>
        <v>2112.1999999999998</v>
      </c>
    </row>
    <row r="1287" spans="1:7">
      <c r="A1287" s="898">
        <v>69</v>
      </c>
      <c r="B1287" s="899" t="s">
        <v>3299</v>
      </c>
      <c r="C1287" s="899" t="s">
        <v>3300</v>
      </c>
      <c r="D1287" s="899" t="s">
        <v>3301</v>
      </c>
      <c r="E1287" s="899" t="s">
        <v>3368</v>
      </c>
      <c r="F1287" s="900">
        <v>590</v>
      </c>
      <c r="G1287" s="900">
        <f t="shared" si="13"/>
        <v>2112.1999999999998</v>
      </c>
    </row>
    <row r="1288" spans="1:7">
      <c r="A1288" s="898">
        <v>70</v>
      </c>
      <c r="B1288" s="899" t="s">
        <v>3299</v>
      </c>
      <c r="C1288" s="899" t="s">
        <v>3300</v>
      </c>
      <c r="D1288" s="899" t="s">
        <v>3301</v>
      </c>
      <c r="E1288" s="899" t="s">
        <v>3369</v>
      </c>
      <c r="F1288" s="900">
        <v>590</v>
      </c>
      <c r="G1288" s="900">
        <f t="shared" si="13"/>
        <v>2112.1999999999998</v>
      </c>
    </row>
    <row r="1289" spans="1:7">
      <c r="A1289" s="898">
        <v>71</v>
      </c>
      <c r="B1289" s="899" t="s">
        <v>3299</v>
      </c>
      <c r="C1289" s="899" t="s">
        <v>3300</v>
      </c>
      <c r="D1289" s="899" t="s">
        <v>3301</v>
      </c>
      <c r="E1289" s="899" t="s">
        <v>3370</v>
      </c>
      <c r="F1289" s="900">
        <v>590</v>
      </c>
      <c r="G1289" s="900">
        <f t="shared" si="13"/>
        <v>2112.1999999999998</v>
      </c>
    </row>
    <row r="1290" spans="1:7">
      <c r="A1290" s="898">
        <v>72</v>
      </c>
      <c r="B1290" s="899" t="s">
        <v>3299</v>
      </c>
      <c r="C1290" s="899" t="s">
        <v>3300</v>
      </c>
      <c r="D1290" s="899" t="s">
        <v>3301</v>
      </c>
      <c r="E1290" s="899" t="s">
        <v>3371</v>
      </c>
      <c r="F1290" s="900">
        <v>590</v>
      </c>
      <c r="G1290" s="900">
        <f t="shared" si="13"/>
        <v>2112.1999999999998</v>
      </c>
    </row>
    <row r="1291" spans="1:7">
      <c r="A1291" s="898">
        <v>73</v>
      </c>
      <c r="B1291" s="899" t="s">
        <v>3299</v>
      </c>
      <c r="C1291" s="899" t="s">
        <v>3300</v>
      </c>
      <c r="D1291" s="899" t="s">
        <v>3301</v>
      </c>
      <c r="E1291" s="899" t="s">
        <v>3372</v>
      </c>
      <c r="F1291" s="900">
        <v>590</v>
      </c>
      <c r="G1291" s="900">
        <f t="shared" si="13"/>
        <v>2112.1999999999998</v>
      </c>
    </row>
    <row r="1292" spans="1:7">
      <c r="A1292" s="898">
        <v>74</v>
      </c>
      <c r="B1292" s="899" t="s">
        <v>3299</v>
      </c>
      <c r="C1292" s="899" t="s">
        <v>3300</v>
      </c>
      <c r="D1292" s="899" t="s">
        <v>3301</v>
      </c>
      <c r="E1292" s="899" t="s">
        <v>3373</v>
      </c>
      <c r="F1292" s="900">
        <v>590</v>
      </c>
      <c r="G1292" s="900">
        <f t="shared" si="13"/>
        <v>2112.1999999999998</v>
      </c>
    </row>
    <row r="1293" spans="1:7">
      <c r="A1293" s="898">
        <v>75</v>
      </c>
      <c r="B1293" s="899" t="s">
        <v>3299</v>
      </c>
      <c r="C1293" s="899" t="s">
        <v>3300</v>
      </c>
      <c r="D1293" s="899" t="s">
        <v>3301</v>
      </c>
      <c r="E1293" s="899" t="s">
        <v>3374</v>
      </c>
      <c r="F1293" s="900">
        <v>590</v>
      </c>
      <c r="G1293" s="900">
        <f t="shared" si="13"/>
        <v>2112.1999999999998</v>
      </c>
    </row>
    <row r="1294" spans="1:7">
      <c r="A1294" s="898">
        <v>76</v>
      </c>
      <c r="B1294" s="899" t="s">
        <v>3299</v>
      </c>
      <c r="C1294" s="899" t="s">
        <v>3300</v>
      </c>
      <c r="D1294" s="899" t="s">
        <v>3301</v>
      </c>
      <c r="E1294" s="899" t="s">
        <v>3375</v>
      </c>
      <c r="F1294" s="900">
        <v>590</v>
      </c>
      <c r="G1294" s="900">
        <f t="shared" si="13"/>
        <v>2112.1999999999998</v>
      </c>
    </row>
    <row r="1295" spans="1:7">
      <c r="A1295" s="898">
        <v>77</v>
      </c>
      <c r="B1295" s="899" t="s">
        <v>3299</v>
      </c>
      <c r="C1295" s="899" t="s">
        <v>3300</v>
      </c>
      <c r="D1295" s="899" t="s">
        <v>3301</v>
      </c>
      <c r="E1295" s="899" t="s">
        <v>3376</v>
      </c>
      <c r="F1295" s="900">
        <v>590</v>
      </c>
      <c r="G1295" s="900">
        <f t="shared" si="13"/>
        <v>2112.1999999999998</v>
      </c>
    </row>
    <row r="1296" spans="1:7">
      <c r="A1296" s="898">
        <v>78</v>
      </c>
      <c r="B1296" s="899" t="s">
        <v>3299</v>
      </c>
      <c r="C1296" s="899" t="s">
        <v>3300</v>
      </c>
      <c r="D1296" s="899" t="s">
        <v>3301</v>
      </c>
      <c r="E1296" s="899" t="s">
        <v>3377</v>
      </c>
      <c r="F1296" s="900">
        <v>590</v>
      </c>
      <c r="G1296" s="900">
        <f t="shared" si="13"/>
        <v>2112.1999999999998</v>
      </c>
    </row>
    <row r="1297" spans="1:7">
      <c r="A1297" s="898">
        <v>79</v>
      </c>
      <c r="B1297" s="899" t="s">
        <v>3299</v>
      </c>
      <c r="C1297" s="899" t="s">
        <v>3300</v>
      </c>
      <c r="D1297" s="899" t="s">
        <v>3301</v>
      </c>
      <c r="E1297" s="899" t="s">
        <v>3378</v>
      </c>
      <c r="F1297" s="900">
        <v>590</v>
      </c>
      <c r="G1297" s="900">
        <f t="shared" si="13"/>
        <v>2112.1999999999998</v>
      </c>
    </row>
    <row r="1298" spans="1:7">
      <c r="A1298" s="898">
        <v>80</v>
      </c>
      <c r="B1298" s="899" t="s">
        <v>3299</v>
      </c>
      <c r="C1298" s="899" t="s">
        <v>3300</v>
      </c>
      <c r="D1298" s="899" t="s">
        <v>3301</v>
      </c>
      <c r="E1298" s="899" t="s">
        <v>3379</v>
      </c>
      <c r="F1298" s="900">
        <v>590</v>
      </c>
      <c r="G1298" s="900">
        <f t="shared" si="13"/>
        <v>2112.1999999999998</v>
      </c>
    </row>
    <row r="1299" spans="1:7">
      <c r="A1299" s="898">
        <v>81</v>
      </c>
      <c r="B1299" s="899" t="s">
        <v>3299</v>
      </c>
      <c r="C1299" s="899" t="s">
        <v>3300</v>
      </c>
      <c r="D1299" s="899" t="s">
        <v>3301</v>
      </c>
      <c r="E1299" s="899" t="s">
        <v>3380</v>
      </c>
      <c r="F1299" s="900">
        <v>590</v>
      </c>
      <c r="G1299" s="900">
        <f t="shared" si="13"/>
        <v>2112.1999999999998</v>
      </c>
    </row>
    <row r="1300" spans="1:7">
      <c r="A1300" s="898">
        <v>82</v>
      </c>
      <c r="B1300" s="899" t="s">
        <v>3299</v>
      </c>
      <c r="C1300" s="899" t="s">
        <v>3300</v>
      </c>
      <c r="D1300" s="899" t="s">
        <v>3301</v>
      </c>
      <c r="E1300" s="899" t="s">
        <v>3381</v>
      </c>
      <c r="F1300" s="900">
        <v>590</v>
      </c>
      <c r="G1300" s="900">
        <f t="shared" si="13"/>
        <v>2112.1999999999998</v>
      </c>
    </row>
    <row r="1301" spans="1:7">
      <c r="A1301" s="898">
        <v>83</v>
      </c>
      <c r="B1301" s="899" t="s">
        <v>3299</v>
      </c>
      <c r="C1301" s="899" t="s">
        <v>3300</v>
      </c>
      <c r="D1301" s="899" t="s">
        <v>3301</v>
      </c>
      <c r="E1301" s="899" t="s">
        <v>3382</v>
      </c>
      <c r="F1301" s="900">
        <v>590</v>
      </c>
      <c r="G1301" s="900">
        <f t="shared" si="13"/>
        <v>2112.1999999999998</v>
      </c>
    </row>
    <row r="1302" spans="1:7">
      <c r="A1302" s="898">
        <v>84</v>
      </c>
      <c r="B1302" s="899" t="s">
        <v>3299</v>
      </c>
      <c r="C1302" s="899" t="s">
        <v>3300</v>
      </c>
      <c r="D1302" s="899" t="s">
        <v>3301</v>
      </c>
      <c r="E1302" s="899" t="s">
        <v>3383</v>
      </c>
      <c r="F1302" s="900">
        <v>590</v>
      </c>
      <c r="G1302" s="900">
        <f t="shared" si="13"/>
        <v>2112.1999999999998</v>
      </c>
    </row>
    <row r="1303" spans="1:7">
      <c r="A1303" s="898">
        <v>85</v>
      </c>
      <c r="B1303" s="899" t="s">
        <v>3299</v>
      </c>
      <c r="C1303" s="899" t="s">
        <v>3300</v>
      </c>
      <c r="D1303" s="899" t="s">
        <v>3301</v>
      </c>
      <c r="E1303" s="899" t="s">
        <v>3384</v>
      </c>
      <c r="F1303" s="900">
        <v>590</v>
      </c>
      <c r="G1303" s="900">
        <f t="shared" si="13"/>
        <v>2112.1999999999998</v>
      </c>
    </row>
    <row r="1304" spans="1:7">
      <c r="A1304" s="898">
        <v>86</v>
      </c>
      <c r="B1304" s="899" t="s">
        <v>3299</v>
      </c>
      <c r="C1304" s="899" t="s">
        <v>3300</v>
      </c>
      <c r="D1304" s="899" t="s">
        <v>3301</v>
      </c>
      <c r="E1304" s="899" t="s">
        <v>3385</v>
      </c>
      <c r="F1304" s="900">
        <v>590</v>
      </c>
      <c r="G1304" s="900">
        <f t="shared" si="13"/>
        <v>2112.1999999999998</v>
      </c>
    </row>
    <row r="1305" spans="1:7">
      <c r="A1305" s="898">
        <v>87</v>
      </c>
      <c r="B1305" s="899" t="s">
        <v>3299</v>
      </c>
      <c r="C1305" s="899" t="s">
        <v>3300</v>
      </c>
      <c r="D1305" s="899" t="s">
        <v>3301</v>
      </c>
      <c r="E1305" s="899" t="s">
        <v>3386</v>
      </c>
      <c r="F1305" s="900">
        <v>590</v>
      </c>
      <c r="G1305" s="900">
        <f t="shared" si="13"/>
        <v>2112.1999999999998</v>
      </c>
    </row>
    <row r="1306" spans="1:7">
      <c r="A1306" s="898">
        <v>88</v>
      </c>
      <c r="B1306" s="899" t="s">
        <v>3299</v>
      </c>
      <c r="C1306" s="899" t="s">
        <v>3300</v>
      </c>
      <c r="D1306" s="899" t="s">
        <v>3301</v>
      </c>
      <c r="E1306" s="899" t="s">
        <v>3387</v>
      </c>
      <c r="F1306" s="900">
        <v>590</v>
      </c>
      <c r="G1306" s="900">
        <f t="shared" si="13"/>
        <v>2112.1999999999998</v>
      </c>
    </row>
    <row r="1307" spans="1:7">
      <c r="A1307" s="898">
        <v>89</v>
      </c>
      <c r="B1307" s="899" t="s">
        <v>3299</v>
      </c>
      <c r="C1307" s="899" t="s">
        <v>3300</v>
      </c>
      <c r="D1307" s="899" t="s">
        <v>3301</v>
      </c>
      <c r="E1307" s="899" t="s">
        <v>3388</v>
      </c>
      <c r="F1307" s="900">
        <v>590</v>
      </c>
      <c r="G1307" s="900">
        <f t="shared" si="13"/>
        <v>2112.1999999999998</v>
      </c>
    </row>
    <row r="1308" spans="1:7">
      <c r="A1308" s="898">
        <v>90</v>
      </c>
      <c r="B1308" s="899" t="s">
        <v>3299</v>
      </c>
      <c r="C1308" s="899" t="s">
        <v>3300</v>
      </c>
      <c r="D1308" s="899" t="s">
        <v>3301</v>
      </c>
      <c r="E1308" s="899" t="s">
        <v>3389</v>
      </c>
      <c r="F1308" s="900">
        <v>590</v>
      </c>
      <c r="G1308" s="900">
        <f t="shared" si="13"/>
        <v>2112.1999999999998</v>
      </c>
    </row>
    <row r="1309" spans="1:7">
      <c r="A1309" s="898">
        <v>91</v>
      </c>
      <c r="B1309" s="899" t="s">
        <v>3299</v>
      </c>
      <c r="C1309" s="899" t="s">
        <v>3300</v>
      </c>
      <c r="D1309" s="899" t="s">
        <v>3301</v>
      </c>
      <c r="E1309" s="899" t="s">
        <v>3390</v>
      </c>
      <c r="F1309" s="900">
        <v>590</v>
      </c>
      <c r="G1309" s="900">
        <f t="shared" si="13"/>
        <v>2112.1999999999998</v>
      </c>
    </row>
    <row r="1310" spans="1:7">
      <c r="A1310" s="898">
        <v>92</v>
      </c>
      <c r="B1310" s="899" t="s">
        <v>3299</v>
      </c>
      <c r="C1310" s="899" t="s">
        <v>3300</v>
      </c>
      <c r="D1310" s="899" t="s">
        <v>3301</v>
      </c>
      <c r="E1310" s="899" t="s">
        <v>3391</v>
      </c>
      <c r="F1310" s="900">
        <v>590</v>
      </c>
      <c r="G1310" s="900">
        <f t="shared" si="13"/>
        <v>2112.1999999999998</v>
      </c>
    </row>
    <row r="1311" spans="1:7">
      <c r="A1311" s="898">
        <v>93</v>
      </c>
      <c r="B1311" s="899" t="s">
        <v>3299</v>
      </c>
      <c r="C1311" s="899" t="s">
        <v>3300</v>
      </c>
      <c r="D1311" s="899" t="s">
        <v>3301</v>
      </c>
      <c r="E1311" s="899" t="s">
        <v>3392</v>
      </c>
      <c r="F1311" s="900">
        <v>590</v>
      </c>
      <c r="G1311" s="900">
        <f t="shared" si="13"/>
        <v>2112.1999999999998</v>
      </c>
    </row>
    <row r="1312" spans="1:7">
      <c r="A1312" s="898">
        <v>94</v>
      </c>
      <c r="B1312" s="899" t="s">
        <v>3299</v>
      </c>
      <c r="C1312" s="899" t="s">
        <v>3300</v>
      </c>
      <c r="D1312" s="899" t="s">
        <v>3301</v>
      </c>
      <c r="E1312" s="899" t="s">
        <v>3393</v>
      </c>
      <c r="F1312" s="900">
        <v>590</v>
      </c>
      <c r="G1312" s="900">
        <f t="shared" si="13"/>
        <v>2112.1999999999998</v>
      </c>
    </row>
    <row r="1313" spans="1:7">
      <c r="A1313" s="898">
        <v>95</v>
      </c>
      <c r="B1313" s="899" t="s">
        <v>3299</v>
      </c>
      <c r="C1313" s="899" t="s">
        <v>3300</v>
      </c>
      <c r="D1313" s="899" t="s">
        <v>3301</v>
      </c>
      <c r="E1313" s="899" t="s">
        <v>3394</v>
      </c>
      <c r="F1313" s="900">
        <v>590</v>
      </c>
      <c r="G1313" s="900">
        <f t="shared" si="13"/>
        <v>2112.1999999999998</v>
      </c>
    </row>
    <row r="1314" spans="1:7">
      <c r="A1314" s="898">
        <v>96</v>
      </c>
      <c r="B1314" s="899" t="s">
        <v>3299</v>
      </c>
      <c r="C1314" s="899" t="s">
        <v>3300</v>
      </c>
      <c r="D1314" s="899" t="s">
        <v>3301</v>
      </c>
      <c r="E1314" s="899" t="s">
        <v>3395</v>
      </c>
      <c r="F1314" s="900">
        <v>590</v>
      </c>
      <c r="G1314" s="900">
        <f t="shared" si="13"/>
        <v>2112.1999999999998</v>
      </c>
    </row>
    <row r="1315" spans="1:7">
      <c r="A1315" s="898">
        <v>97</v>
      </c>
      <c r="B1315" s="899" t="s">
        <v>3299</v>
      </c>
      <c r="C1315" s="899" t="s">
        <v>3300</v>
      </c>
      <c r="D1315" s="899" t="s">
        <v>3301</v>
      </c>
      <c r="E1315" s="899" t="s">
        <v>3396</v>
      </c>
      <c r="F1315" s="900">
        <v>590</v>
      </c>
      <c r="G1315" s="900">
        <f t="shared" si="13"/>
        <v>2112.1999999999998</v>
      </c>
    </row>
    <row r="1316" spans="1:7">
      <c r="A1316" s="898">
        <v>98</v>
      </c>
      <c r="B1316" s="899" t="s">
        <v>3299</v>
      </c>
      <c r="C1316" s="899" t="s">
        <v>3300</v>
      </c>
      <c r="D1316" s="899" t="s">
        <v>3301</v>
      </c>
      <c r="E1316" s="899" t="s">
        <v>3397</v>
      </c>
      <c r="F1316" s="900">
        <v>590</v>
      </c>
      <c r="G1316" s="900">
        <f t="shared" si="13"/>
        <v>2112.1999999999998</v>
      </c>
    </row>
    <row r="1317" spans="1:7">
      <c r="A1317" s="898">
        <v>99</v>
      </c>
      <c r="B1317" s="899" t="s">
        <v>3398</v>
      </c>
      <c r="C1317" s="899" t="s">
        <v>3282</v>
      </c>
      <c r="D1317" s="900"/>
      <c r="E1317" s="899" t="s">
        <v>3399</v>
      </c>
      <c r="F1317" s="900">
        <v>425</v>
      </c>
      <c r="G1317" s="900">
        <f t="shared" si="13"/>
        <v>1521.5</v>
      </c>
    </row>
    <row r="1318" spans="1:7">
      <c r="A1318" s="898">
        <v>100</v>
      </c>
      <c r="B1318" s="899" t="s">
        <v>3398</v>
      </c>
      <c r="C1318" s="899" t="s">
        <v>3282</v>
      </c>
      <c r="D1318" s="900"/>
      <c r="E1318" s="899" t="s">
        <v>3400</v>
      </c>
      <c r="F1318" s="900">
        <v>425</v>
      </c>
      <c r="G1318" s="900">
        <f t="shared" si="13"/>
        <v>1521.5</v>
      </c>
    </row>
    <row r="1319" spans="1:7">
      <c r="A1319" s="898">
        <v>101</v>
      </c>
      <c r="B1319" s="899" t="s">
        <v>3398</v>
      </c>
      <c r="C1319" s="899" t="s">
        <v>3282</v>
      </c>
      <c r="D1319" s="900"/>
      <c r="E1319" s="899" t="s">
        <v>3401</v>
      </c>
      <c r="F1319" s="900">
        <v>425</v>
      </c>
      <c r="G1319" s="900">
        <f t="shared" si="13"/>
        <v>1521.5</v>
      </c>
    </row>
    <row r="1320" spans="1:7">
      <c r="A1320" s="898">
        <v>102</v>
      </c>
      <c r="B1320" s="899" t="s">
        <v>3398</v>
      </c>
      <c r="C1320" s="899" t="s">
        <v>3282</v>
      </c>
      <c r="D1320" s="900"/>
      <c r="E1320" s="899" t="s">
        <v>3402</v>
      </c>
      <c r="F1320" s="900">
        <v>425</v>
      </c>
      <c r="G1320" s="900">
        <f t="shared" si="13"/>
        <v>1521.5</v>
      </c>
    </row>
    <row r="1321" spans="1:7">
      <c r="A1321" s="898">
        <v>103</v>
      </c>
      <c r="B1321" s="899" t="s">
        <v>3398</v>
      </c>
      <c r="C1321" s="899" t="s">
        <v>3282</v>
      </c>
      <c r="D1321" s="900"/>
      <c r="E1321" s="899" t="s">
        <v>3403</v>
      </c>
      <c r="F1321" s="900">
        <v>425</v>
      </c>
      <c r="G1321" s="900">
        <f t="shared" si="13"/>
        <v>1521.5</v>
      </c>
    </row>
    <row r="1322" spans="1:7">
      <c r="A1322" s="898">
        <v>104</v>
      </c>
      <c r="B1322" s="899" t="s">
        <v>3398</v>
      </c>
      <c r="C1322" s="899" t="s">
        <v>3282</v>
      </c>
      <c r="D1322" s="900"/>
      <c r="E1322" s="899" t="s">
        <v>3404</v>
      </c>
      <c r="F1322" s="900">
        <v>425</v>
      </c>
      <c r="G1322" s="900">
        <f t="shared" si="13"/>
        <v>1521.5</v>
      </c>
    </row>
    <row r="1323" spans="1:7">
      <c r="A1323" s="898">
        <v>105</v>
      </c>
      <c r="B1323" s="899" t="s">
        <v>3398</v>
      </c>
      <c r="C1323" s="899" t="s">
        <v>3282</v>
      </c>
      <c r="D1323" s="900"/>
      <c r="E1323" s="899" t="s">
        <v>3405</v>
      </c>
      <c r="F1323" s="900">
        <v>425</v>
      </c>
      <c r="G1323" s="900">
        <f t="shared" si="13"/>
        <v>1521.5</v>
      </c>
    </row>
    <row r="1324" spans="1:7">
      <c r="A1324" s="898">
        <v>106</v>
      </c>
      <c r="B1324" s="899" t="s">
        <v>3398</v>
      </c>
      <c r="C1324" s="899" t="s">
        <v>3282</v>
      </c>
      <c r="D1324" s="900"/>
      <c r="E1324" s="899" t="s">
        <v>3406</v>
      </c>
      <c r="F1324" s="900">
        <v>425</v>
      </c>
      <c r="G1324" s="900">
        <f t="shared" si="13"/>
        <v>1521.5</v>
      </c>
    </row>
    <row r="1325" spans="1:7">
      <c r="A1325" s="898">
        <v>107</v>
      </c>
      <c r="B1325" s="899" t="s">
        <v>3398</v>
      </c>
      <c r="C1325" s="899" t="s">
        <v>3282</v>
      </c>
      <c r="D1325" s="900"/>
      <c r="E1325" s="899" t="s">
        <v>3407</v>
      </c>
      <c r="F1325" s="900">
        <v>425</v>
      </c>
      <c r="G1325" s="900">
        <f t="shared" si="13"/>
        <v>1521.5</v>
      </c>
    </row>
    <row r="1326" spans="1:7">
      <c r="A1326" s="898">
        <v>108</v>
      </c>
      <c r="B1326" s="899" t="s">
        <v>3398</v>
      </c>
      <c r="C1326" s="899" t="s">
        <v>3282</v>
      </c>
      <c r="D1326" s="900"/>
      <c r="E1326" s="899" t="s">
        <v>3408</v>
      </c>
      <c r="F1326" s="900">
        <v>425</v>
      </c>
      <c r="G1326" s="900">
        <f t="shared" si="13"/>
        <v>1521.5</v>
      </c>
    </row>
    <row r="1327" spans="1:7">
      <c r="A1327" s="898">
        <v>109</v>
      </c>
      <c r="B1327" s="899" t="s">
        <v>3398</v>
      </c>
      <c r="C1327" s="899" t="s">
        <v>3282</v>
      </c>
      <c r="D1327" s="900"/>
      <c r="E1327" s="899" t="s">
        <v>3409</v>
      </c>
      <c r="F1327" s="900">
        <v>425</v>
      </c>
      <c r="G1327" s="900">
        <f t="shared" si="13"/>
        <v>1521.5</v>
      </c>
    </row>
    <row r="1328" spans="1:7">
      <c r="A1328" s="898">
        <v>110</v>
      </c>
      <c r="B1328" s="899" t="s">
        <v>3398</v>
      </c>
      <c r="C1328" s="899" t="s">
        <v>3282</v>
      </c>
      <c r="D1328" s="900"/>
      <c r="E1328" s="899" t="s">
        <v>3410</v>
      </c>
      <c r="F1328" s="900">
        <v>425</v>
      </c>
      <c r="G1328" s="900">
        <f t="shared" si="13"/>
        <v>1521.5</v>
      </c>
    </row>
    <row r="1329" spans="1:8">
      <c r="A1329" s="898">
        <v>111</v>
      </c>
      <c r="B1329" s="899" t="s">
        <v>3411</v>
      </c>
      <c r="C1329" s="899" t="s">
        <v>3282</v>
      </c>
      <c r="D1329" s="900"/>
      <c r="E1329" s="899" t="s">
        <v>3412</v>
      </c>
      <c r="F1329" s="900">
        <v>425</v>
      </c>
      <c r="G1329" s="900">
        <f t="shared" si="13"/>
        <v>1521.5</v>
      </c>
    </row>
    <row r="1330" spans="1:8" ht="18.75">
      <c r="A1330" s="895"/>
      <c r="B1330" s="895"/>
      <c r="C1330" s="895"/>
      <c r="D1330" s="895"/>
      <c r="E1330" s="895"/>
      <c r="F1330" s="896">
        <f>SUM(F1219:F1329)</f>
        <v>64395</v>
      </c>
      <c r="G1330" s="897">
        <f>SUM(G1219:G1329)</f>
        <v>230534.1000000003</v>
      </c>
    </row>
    <row r="1339" spans="1:8" ht="24" customHeight="1">
      <c r="A1339" s="1494" t="s">
        <v>1</v>
      </c>
      <c r="B1339" s="1494"/>
      <c r="C1339" s="903" t="s">
        <v>3420</v>
      </c>
      <c r="D1339" s="1495" t="s">
        <v>3443</v>
      </c>
      <c r="E1339" s="1496"/>
      <c r="F1339" s="1496"/>
      <c r="G1339" s="1496"/>
      <c r="H1339" s="1497"/>
    </row>
    <row r="1340" spans="1:8" ht="24" customHeight="1">
      <c r="A1340" s="1494" t="s">
        <v>2416</v>
      </c>
      <c r="B1340" s="1494"/>
      <c r="C1340" s="903" t="s">
        <v>3421</v>
      </c>
      <c r="D1340" s="1431" t="s">
        <v>2545</v>
      </c>
      <c r="E1340" s="1432"/>
      <c r="F1340" s="1432"/>
      <c r="G1340" s="1432"/>
      <c r="H1340" s="1433"/>
    </row>
    <row r="1341" spans="1:8" s="731" customFormat="1">
      <c r="A1341" s="901" t="s">
        <v>2615</v>
      </c>
      <c r="B1341" s="901" t="s">
        <v>2086</v>
      </c>
      <c r="C1341" s="901" t="s">
        <v>2614</v>
      </c>
      <c r="D1341" s="901" t="s">
        <v>2421</v>
      </c>
      <c r="E1341" s="901" t="s">
        <v>2755</v>
      </c>
      <c r="F1341" s="901" t="s">
        <v>2423</v>
      </c>
      <c r="G1341" s="901" t="s">
        <v>3442</v>
      </c>
      <c r="H1341" s="901" t="s">
        <v>2649</v>
      </c>
    </row>
    <row r="1342" spans="1:8">
      <c r="A1342" s="887">
        <v>1</v>
      </c>
      <c r="B1342" s="887" t="s">
        <v>2426</v>
      </c>
      <c r="C1342" s="887" t="s">
        <v>2427</v>
      </c>
      <c r="D1342" s="887" t="s">
        <v>2428</v>
      </c>
      <c r="E1342" s="679">
        <v>355246659780654</v>
      </c>
      <c r="F1342" s="887" t="s">
        <v>1121</v>
      </c>
      <c r="G1342" s="143">
        <v>925</v>
      </c>
      <c r="H1342" s="143">
        <f>G1342*3.59</f>
        <v>3320.75</v>
      </c>
    </row>
    <row r="1343" spans="1:8">
      <c r="A1343" s="887">
        <v>2</v>
      </c>
      <c r="B1343" s="887" t="s">
        <v>2426</v>
      </c>
      <c r="C1343" s="887" t="s">
        <v>2427</v>
      </c>
      <c r="D1343" s="887" t="s">
        <v>2428</v>
      </c>
      <c r="E1343" s="679">
        <v>350599867831882</v>
      </c>
      <c r="F1343" s="886"/>
      <c r="G1343" s="143">
        <v>925</v>
      </c>
      <c r="H1343" s="143">
        <f t="shared" ref="H1343:H1374" si="14">G1343*3.59</f>
        <v>3320.75</v>
      </c>
    </row>
    <row r="1344" spans="1:8">
      <c r="A1344" s="887">
        <v>3</v>
      </c>
      <c r="B1344" s="887" t="s">
        <v>2426</v>
      </c>
      <c r="C1344" s="887" t="s">
        <v>2427</v>
      </c>
      <c r="D1344" s="887" t="s">
        <v>2428</v>
      </c>
      <c r="E1344" s="679">
        <v>355246650065485</v>
      </c>
      <c r="F1344" s="887" t="s">
        <v>1121</v>
      </c>
      <c r="G1344" s="143">
        <v>925</v>
      </c>
      <c r="H1344" s="143">
        <f t="shared" si="14"/>
        <v>3320.75</v>
      </c>
    </row>
    <row r="1345" spans="1:8">
      <c r="A1345" s="887">
        <v>4</v>
      </c>
      <c r="B1345" s="887" t="s">
        <v>2426</v>
      </c>
      <c r="C1345" s="887" t="s">
        <v>2427</v>
      </c>
      <c r="D1345" s="887" t="s">
        <v>2428</v>
      </c>
      <c r="E1345" s="679">
        <v>353837412434381</v>
      </c>
      <c r="F1345" s="886"/>
      <c r="G1345" s="143">
        <v>925</v>
      </c>
      <c r="H1345" s="143">
        <f t="shared" si="14"/>
        <v>3320.75</v>
      </c>
    </row>
    <row r="1346" spans="1:8">
      <c r="A1346" s="887">
        <v>5</v>
      </c>
      <c r="B1346" s="887" t="s">
        <v>2426</v>
      </c>
      <c r="C1346" s="887" t="s">
        <v>2427</v>
      </c>
      <c r="D1346" s="887" t="s">
        <v>2428</v>
      </c>
      <c r="E1346" s="679">
        <v>350599867930171</v>
      </c>
      <c r="F1346" s="886"/>
      <c r="G1346" s="143">
        <v>925</v>
      </c>
      <c r="H1346" s="143">
        <f t="shared" si="14"/>
        <v>3320.75</v>
      </c>
    </row>
    <row r="1347" spans="1:8">
      <c r="A1347" s="887">
        <v>6</v>
      </c>
      <c r="B1347" s="887" t="s">
        <v>2426</v>
      </c>
      <c r="C1347" s="887" t="s">
        <v>2427</v>
      </c>
      <c r="D1347" s="887" t="s">
        <v>2428</v>
      </c>
      <c r="E1347" s="679">
        <v>350599867852086</v>
      </c>
      <c r="F1347" s="886"/>
      <c r="G1347" s="143">
        <v>925</v>
      </c>
      <c r="H1347" s="143">
        <f t="shared" si="14"/>
        <v>3320.75</v>
      </c>
    </row>
    <row r="1348" spans="1:8">
      <c r="A1348" s="888">
        <v>7</v>
      </c>
      <c r="B1348" s="888" t="s">
        <v>2426</v>
      </c>
      <c r="C1348" s="888" t="s">
        <v>2427</v>
      </c>
      <c r="D1348" s="888" t="s">
        <v>2428</v>
      </c>
      <c r="E1348" s="721">
        <v>350889867621262</v>
      </c>
      <c r="F1348" s="888" t="s">
        <v>3441</v>
      </c>
      <c r="G1348" s="143">
        <v>1100</v>
      </c>
      <c r="H1348" s="143">
        <f t="shared" si="14"/>
        <v>3949</v>
      </c>
    </row>
    <row r="1349" spans="1:8">
      <c r="A1349" s="887">
        <v>8</v>
      </c>
      <c r="B1349" s="887" t="s">
        <v>2426</v>
      </c>
      <c r="C1349" s="887" t="s">
        <v>2427</v>
      </c>
      <c r="D1349" s="887" t="s">
        <v>2428</v>
      </c>
      <c r="E1349" s="679">
        <v>356392241032599</v>
      </c>
      <c r="F1349" s="887" t="s">
        <v>1121</v>
      </c>
      <c r="G1349" s="143">
        <v>925</v>
      </c>
      <c r="H1349" s="143">
        <f t="shared" si="14"/>
        <v>3320.75</v>
      </c>
    </row>
    <row r="1350" spans="1:8">
      <c r="A1350" s="887">
        <v>9</v>
      </c>
      <c r="B1350" s="887" t="s">
        <v>2426</v>
      </c>
      <c r="C1350" s="887" t="s">
        <v>2427</v>
      </c>
      <c r="D1350" s="887" t="s">
        <v>2428</v>
      </c>
      <c r="E1350" s="679">
        <v>353837411601402</v>
      </c>
      <c r="F1350" s="886"/>
      <c r="G1350" s="143">
        <v>925</v>
      </c>
      <c r="H1350" s="143">
        <f t="shared" si="14"/>
        <v>3320.75</v>
      </c>
    </row>
    <row r="1351" spans="1:8">
      <c r="A1351" s="887">
        <v>10</v>
      </c>
      <c r="B1351" s="887" t="s">
        <v>2426</v>
      </c>
      <c r="C1351" s="887" t="s">
        <v>2427</v>
      </c>
      <c r="D1351" s="887" t="s">
        <v>2428</v>
      </c>
      <c r="E1351" s="679">
        <v>356392240436270</v>
      </c>
      <c r="F1351" s="887" t="s">
        <v>1121</v>
      </c>
      <c r="G1351" s="143">
        <v>925</v>
      </c>
      <c r="H1351" s="143">
        <f t="shared" si="14"/>
        <v>3320.75</v>
      </c>
    </row>
    <row r="1352" spans="1:8">
      <c r="A1352" s="887">
        <v>11</v>
      </c>
      <c r="B1352" s="887" t="s">
        <v>2426</v>
      </c>
      <c r="C1352" s="887" t="s">
        <v>2427</v>
      </c>
      <c r="D1352" s="887" t="s">
        <v>2428</v>
      </c>
      <c r="E1352" s="679">
        <v>355246658908090</v>
      </c>
      <c r="F1352" s="887" t="s">
        <v>1121</v>
      </c>
      <c r="G1352" s="143">
        <v>925</v>
      </c>
      <c r="H1352" s="143">
        <f t="shared" si="14"/>
        <v>3320.75</v>
      </c>
    </row>
    <row r="1353" spans="1:8">
      <c r="A1353" s="887">
        <v>12</v>
      </c>
      <c r="B1353" s="887" t="s">
        <v>2426</v>
      </c>
      <c r="C1353" s="887" t="s">
        <v>2526</v>
      </c>
      <c r="D1353" s="887" t="s">
        <v>2428</v>
      </c>
      <c r="E1353" s="679">
        <v>358902510967826</v>
      </c>
      <c r="F1353" s="887" t="s">
        <v>2859</v>
      </c>
      <c r="G1353" s="143">
        <v>960</v>
      </c>
      <c r="H1353" s="143">
        <f t="shared" si="14"/>
        <v>3446.3999999999996</v>
      </c>
    </row>
    <row r="1354" spans="1:8">
      <c r="A1354" s="887">
        <v>13</v>
      </c>
      <c r="B1354" s="887" t="s">
        <v>2426</v>
      </c>
      <c r="C1354" s="887" t="s">
        <v>2526</v>
      </c>
      <c r="D1354" s="887" t="s">
        <v>2428</v>
      </c>
      <c r="E1354" s="679">
        <v>353497851093964</v>
      </c>
      <c r="F1354" s="887" t="s">
        <v>2447</v>
      </c>
      <c r="G1354" s="143">
        <v>970</v>
      </c>
      <c r="H1354" s="143">
        <f t="shared" si="14"/>
        <v>3482.2999999999997</v>
      </c>
    </row>
    <row r="1355" spans="1:8">
      <c r="A1355" s="887">
        <v>14</v>
      </c>
      <c r="B1355" s="887" t="s">
        <v>2426</v>
      </c>
      <c r="C1355" s="887" t="s">
        <v>2526</v>
      </c>
      <c r="D1355" s="887" t="s">
        <v>2428</v>
      </c>
      <c r="E1355" s="679">
        <v>356364249592973</v>
      </c>
      <c r="F1355" s="886"/>
      <c r="G1355" s="143">
        <v>890</v>
      </c>
      <c r="H1355" s="143">
        <f t="shared" si="14"/>
        <v>3195.1</v>
      </c>
    </row>
    <row r="1356" spans="1:8">
      <c r="A1356" s="887">
        <v>15</v>
      </c>
      <c r="B1356" s="887" t="s">
        <v>2426</v>
      </c>
      <c r="C1356" s="887" t="s">
        <v>2429</v>
      </c>
      <c r="D1356" s="887" t="s">
        <v>2430</v>
      </c>
      <c r="E1356" s="679">
        <v>355224256591014</v>
      </c>
      <c r="F1356" s="887" t="s">
        <v>3422</v>
      </c>
      <c r="G1356" s="143">
        <v>1270</v>
      </c>
      <c r="H1356" s="143">
        <f t="shared" si="14"/>
        <v>4559.3</v>
      </c>
    </row>
    <row r="1357" spans="1:8">
      <c r="A1357" s="887">
        <v>16</v>
      </c>
      <c r="B1357" s="887" t="s">
        <v>2528</v>
      </c>
      <c r="C1357" s="887" t="s">
        <v>2531</v>
      </c>
      <c r="D1357" s="887" t="s">
        <v>2428</v>
      </c>
      <c r="E1357" s="679">
        <v>358271525408493</v>
      </c>
      <c r="F1357" s="886"/>
      <c r="G1357" s="143">
        <v>520</v>
      </c>
      <c r="H1357" s="143">
        <f t="shared" si="14"/>
        <v>1866.8</v>
      </c>
    </row>
    <row r="1358" spans="1:8">
      <c r="A1358" s="887">
        <v>17</v>
      </c>
      <c r="B1358" s="887" t="s">
        <v>2632</v>
      </c>
      <c r="C1358" s="887" t="s">
        <v>2459</v>
      </c>
      <c r="D1358" s="887" t="s">
        <v>2428</v>
      </c>
      <c r="E1358" s="679" t="s">
        <v>3423</v>
      </c>
      <c r="F1358" s="886"/>
      <c r="G1358" s="143">
        <v>1080</v>
      </c>
      <c r="H1358" s="143">
        <f t="shared" si="14"/>
        <v>3877.2</v>
      </c>
    </row>
    <row r="1359" spans="1:8">
      <c r="A1359" s="887">
        <v>18</v>
      </c>
      <c r="B1359" s="887" t="s">
        <v>2632</v>
      </c>
      <c r="C1359" s="887" t="s">
        <v>2429</v>
      </c>
      <c r="D1359" s="887" t="s">
        <v>2428</v>
      </c>
      <c r="E1359" s="679" t="s">
        <v>3424</v>
      </c>
      <c r="F1359" s="886"/>
      <c r="G1359" s="143">
        <v>1080</v>
      </c>
      <c r="H1359" s="143">
        <f t="shared" si="14"/>
        <v>3877.2</v>
      </c>
    </row>
    <row r="1360" spans="1:8">
      <c r="A1360" s="887">
        <v>19</v>
      </c>
      <c r="B1360" s="887" t="s">
        <v>2465</v>
      </c>
      <c r="C1360" s="887" t="s">
        <v>2449</v>
      </c>
      <c r="D1360" s="887" t="s">
        <v>2442</v>
      </c>
      <c r="E1360" s="679">
        <v>357879852424809</v>
      </c>
      <c r="F1360" s="886"/>
      <c r="G1360" s="143">
        <v>340</v>
      </c>
      <c r="H1360" s="143">
        <f t="shared" si="14"/>
        <v>1220.5999999999999</v>
      </c>
    </row>
    <row r="1361" spans="1:8">
      <c r="A1361" s="887">
        <v>20</v>
      </c>
      <c r="B1361" s="887" t="s">
        <v>2634</v>
      </c>
      <c r="C1361" s="887" t="s">
        <v>2449</v>
      </c>
      <c r="D1361" s="887" t="s">
        <v>2428</v>
      </c>
      <c r="E1361" s="679" t="s">
        <v>3425</v>
      </c>
      <c r="F1361" s="886"/>
      <c r="G1361" s="143">
        <v>385</v>
      </c>
      <c r="H1361" s="143">
        <f t="shared" si="14"/>
        <v>1382.1499999999999</v>
      </c>
    </row>
    <row r="1362" spans="1:8">
      <c r="A1362" s="887">
        <v>21</v>
      </c>
      <c r="B1362" s="887" t="s">
        <v>2634</v>
      </c>
      <c r="C1362" s="887" t="s">
        <v>2449</v>
      </c>
      <c r="D1362" s="887" t="s">
        <v>2428</v>
      </c>
      <c r="E1362" s="679" t="s">
        <v>3426</v>
      </c>
      <c r="F1362" s="886"/>
      <c r="G1362" s="143">
        <v>385</v>
      </c>
      <c r="H1362" s="143">
        <f t="shared" si="14"/>
        <v>1382.1499999999999</v>
      </c>
    </row>
    <row r="1363" spans="1:8">
      <c r="A1363" s="887">
        <v>22</v>
      </c>
      <c r="B1363" s="887" t="s">
        <v>3427</v>
      </c>
      <c r="C1363" s="887" t="s">
        <v>2459</v>
      </c>
      <c r="D1363" s="887" t="s">
        <v>3428</v>
      </c>
      <c r="E1363" s="679" t="s">
        <v>3429</v>
      </c>
      <c r="F1363" s="887" t="s">
        <v>1121</v>
      </c>
      <c r="G1363" s="143">
        <v>2260</v>
      </c>
      <c r="H1363" s="143">
        <f t="shared" si="14"/>
        <v>8113.4</v>
      </c>
    </row>
    <row r="1364" spans="1:8">
      <c r="A1364" s="887">
        <v>23</v>
      </c>
      <c r="B1364" s="887" t="s">
        <v>3427</v>
      </c>
      <c r="C1364" s="887" t="s">
        <v>2459</v>
      </c>
      <c r="D1364" s="887" t="s">
        <v>3428</v>
      </c>
      <c r="E1364" s="679" t="s">
        <v>3430</v>
      </c>
      <c r="F1364" s="887" t="s">
        <v>1121</v>
      </c>
      <c r="G1364" s="143">
        <v>2260</v>
      </c>
      <c r="H1364" s="143">
        <f t="shared" si="14"/>
        <v>8113.4</v>
      </c>
    </row>
    <row r="1365" spans="1:8">
      <c r="A1365" s="887">
        <v>24</v>
      </c>
      <c r="B1365" s="887" t="s">
        <v>3431</v>
      </c>
      <c r="C1365" s="887" t="s">
        <v>2429</v>
      </c>
      <c r="D1365" s="887" t="s">
        <v>2478</v>
      </c>
      <c r="E1365" s="679" t="s">
        <v>3432</v>
      </c>
      <c r="F1365" s="886"/>
      <c r="G1365" s="143">
        <v>1640</v>
      </c>
      <c r="H1365" s="143">
        <f t="shared" si="14"/>
        <v>5887.5999999999995</v>
      </c>
    </row>
    <row r="1366" spans="1:8">
      <c r="A1366" s="887">
        <v>25</v>
      </c>
      <c r="B1366" s="887" t="s">
        <v>3433</v>
      </c>
      <c r="C1366" s="887" t="s">
        <v>2457</v>
      </c>
      <c r="D1366" s="887" t="s">
        <v>2574</v>
      </c>
      <c r="E1366" s="679" t="s">
        <v>3434</v>
      </c>
      <c r="F1366" s="887" t="s">
        <v>1121</v>
      </c>
      <c r="G1366" s="143">
        <v>1105</v>
      </c>
      <c r="H1366" s="143">
        <f t="shared" si="14"/>
        <v>3966.95</v>
      </c>
    </row>
    <row r="1367" spans="1:8">
      <c r="A1367" s="887">
        <v>26</v>
      </c>
      <c r="B1367" s="887" t="s">
        <v>3433</v>
      </c>
      <c r="C1367" s="887" t="s">
        <v>2457</v>
      </c>
      <c r="D1367" s="887" t="s">
        <v>2574</v>
      </c>
      <c r="E1367" s="679" t="s">
        <v>3435</v>
      </c>
      <c r="F1367" s="887" t="s">
        <v>1121</v>
      </c>
      <c r="G1367" s="143">
        <v>1105</v>
      </c>
      <c r="H1367" s="143">
        <f t="shared" si="14"/>
        <v>3966.95</v>
      </c>
    </row>
    <row r="1368" spans="1:8">
      <c r="A1368" s="887">
        <v>27</v>
      </c>
      <c r="B1368" s="887" t="s">
        <v>2584</v>
      </c>
      <c r="C1368" s="887" t="s">
        <v>2457</v>
      </c>
      <c r="D1368" s="887" t="s">
        <v>2585</v>
      </c>
      <c r="E1368" s="679" t="s">
        <v>3436</v>
      </c>
      <c r="F1368" s="886"/>
      <c r="G1368" s="143">
        <v>740</v>
      </c>
      <c r="H1368" s="143">
        <f t="shared" si="14"/>
        <v>2656.6</v>
      </c>
    </row>
    <row r="1369" spans="1:8">
      <c r="A1369" s="887">
        <v>28</v>
      </c>
      <c r="B1369" s="887" t="s">
        <v>2480</v>
      </c>
      <c r="C1369" s="887" t="s">
        <v>2860</v>
      </c>
      <c r="D1369" s="887" t="s">
        <v>2482</v>
      </c>
      <c r="E1369" s="679">
        <v>358135794184319</v>
      </c>
      <c r="F1369" s="886"/>
      <c r="G1369" s="143">
        <v>670</v>
      </c>
      <c r="H1369" s="143">
        <f t="shared" si="14"/>
        <v>2405.2999999999997</v>
      </c>
    </row>
    <row r="1370" spans="1:8">
      <c r="A1370" s="887">
        <v>29</v>
      </c>
      <c r="B1370" s="887" t="s">
        <v>2480</v>
      </c>
      <c r="C1370" s="887" t="s">
        <v>2860</v>
      </c>
      <c r="D1370" s="887" t="s">
        <v>2482</v>
      </c>
      <c r="E1370" s="679">
        <v>353938645034004</v>
      </c>
      <c r="F1370" s="886"/>
      <c r="G1370" s="143">
        <v>670</v>
      </c>
      <c r="H1370" s="143">
        <f t="shared" si="14"/>
        <v>2405.2999999999997</v>
      </c>
    </row>
    <row r="1371" spans="1:8">
      <c r="A1371" s="887">
        <v>30</v>
      </c>
      <c r="B1371" s="887" t="s">
        <v>2639</v>
      </c>
      <c r="C1371" s="887" t="s">
        <v>2455</v>
      </c>
      <c r="D1371" s="887" t="s">
        <v>2641</v>
      </c>
      <c r="E1371" s="679" t="s">
        <v>3437</v>
      </c>
      <c r="F1371" s="886"/>
      <c r="G1371" s="143">
        <v>300</v>
      </c>
      <c r="H1371" s="143">
        <f t="shared" si="14"/>
        <v>1077</v>
      </c>
    </row>
    <row r="1372" spans="1:8">
      <c r="A1372" s="887">
        <v>31</v>
      </c>
      <c r="B1372" s="887" t="s">
        <v>2639</v>
      </c>
      <c r="C1372" s="887" t="s">
        <v>2455</v>
      </c>
      <c r="D1372" s="887" t="s">
        <v>2641</v>
      </c>
      <c r="E1372" s="679" t="s">
        <v>3438</v>
      </c>
      <c r="F1372" s="886"/>
      <c r="G1372" s="143">
        <v>300</v>
      </c>
      <c r="H1372" s="143">
        <f t="shared" si="14"/>
        <v>1077</v>
      </c>
    </row>
    <row r="1373" spans="1:8">
      <c r="A1373" s="887">
        <v>32</v>
      </c>
      <c r="B1373" s="887" t="s">
        <v>2639</v>
      </c>
      <c r="C1373" s="887" t="s">
        <v>2455</v>
      </c>
      <c r="D1373" s="887" t="s">
        <v>2641</v>
      </c>
      <c r="E1373" s="679" t="s">
        <v>3439</v>
      </c>
      <c r="F1373" s="886"/>
      <c r="G1373" s="143">
        <v>300</v>
      </c>
      <c r="H1373" s="143">
        <f t="shared" si="14"/>
        <v>1077</v>
      </c>
    </row>
    <row r="1374" spans="1:8">
      <c r="A1374" s="887">
        <v>33</v>
      </c>
      <c r="B1374" s="887" t="s">
        <v>2639</v>
      </c>
      <c r="C1374" s="887" t="s">
        <v>2455</v>
      </c>
      <c r="D1374" s="887" t="s">
        <v>2641</v>
      </c>
      <c r="E1374" s="679" t="s">
        <v>3440</v>
      </c>
      <c r="F1374" s="886"/>
      <c r="G1374" s="143">
        <v>300</v>
      </c>
      <c r="H1374" s="143">
        <f t="shared" si="14"/>
        <v>1077</v>
      </c>
    </row>
    <row r="1375" spans="1:8">
      <c r="G1375" s="559">
        <f>SUM(G1342:G1374)</f>
        <v>29880</v>
      </c>
      <c r="H1375" s="559">
        <f>SUM(H1342:H1374)</f>
        <v>107269.20000000001</v>
      </c>
    </row>
    <row r="1383" spans="1:9" ht="28.5">
      <c r="A1383" s="1488" t="s">
        <v>3469</v>
      </c>
      <c r="B1383" s="1488"/>
      <c r="C1383" s="915" t="s">
        <v>3470</v>
      </c>
      <c r="D1383" s="1489" t="s">
        <v>3530</v>
      </c>
      <c r="E1383" s="1489"/>
      <c r="F1383" s="1489"/>
      <c r="G1383" s="1489"/>
      <c r="H1383" s="1489"/>
      <c r="I1383" s="1017" t="s">
        <v>3821</v>
      </c>
    </row>
    <row r="1384" spans="1:9" s="731" customFormat="1" ht="27" customHeight="1">
      <c r="A1384" s="918" t="s">
        <v>2615</v>
      </c>
      <c r="B1384" s="918" t="s">
        <v>2086</v>
      </c>
      <c r="C1384" s="919" t="s">
        <v>2614</v>
      </c>
      <c r="D1384" s="920" t="s">
        <v>2421</v>
      </c>
      <c r="E1384" s="920" t="s">
        <v>2755</v>
      </c>
      <c r="F1384" s="920" t="s">
        <v>2423</v>
      </c>
      <c r="G1384" s="921" t="s">
        <v>3471</v>
      </c>
      <c r="H1384" s="921" t="s">
        <v>2645</v>
      </c>
      <c r="I1384" s="908"/>
    </row>
    <row r="1385" spans="1:9">
      <c r="A1385" s="922">
        <v>1</v>
      </c>
      <c r="B1385" s="923" t="s">
        <v>3112</v>
      </c>
      <c r="C1385" s="923" t="s">
        <v>3113</v>
      </c>
      <c r="D1385" s="923" t="s">
        <v>3114</v>
      </c>
      <c r="E1385" s="922">
        <v>358902510478006</v>
      </c>
      <c r="F1385" s="923" t="s">
        <v>3116</v>
      </c>
      <c r="G1385" s="924">
        <v>1190</v>
      </c>
      <c r="H1385" s="924">
        <v>4272.0999999999995</v>
      </c>
      <c r="I1385" s="908"/>
    </row>
    <row r="1386" spans="1:9">
      <c r="A1386" s="922">
        <v>2</v>
      </c>
      <c r="B1386" s="923" t="s">
        <v>3112</v>
      </c>
      <c r="C1386" s="923" t="s">
        <v>3113</v>
      </c>
      <c r="D1386" s="923" t="s">
        <v>3114</v>
      </c>
      <c r="E1386" s="922">
        <v>358051329925383</v>
      </c>
      <c r="F1386" s="923" t="s">
        <v>3116</v>
      </c>
      <c r="G1386" s="924">
        <v>1190</v>
      </c>
      <c r="H1386" s="924">
        <v>4272.0999999999995</v>
      </c>
      <c r="I1386" s="908"/>
    </row>
    <row r="1387" spans="1:9">
      <c r="A1387" s="922">
        <v>3</v>
      </c>
      <c r="B1387" s="923" t="s">
        <v>3112</v>
      </c>
      <c r="C1387" s="923" t="s">
        <v>3113</v>
      </c>
      <c r="D1387" s="923" t="s">
        <v>3114</v>
      </c>
      <c r="E1387" s="922">
        <v>358902510698074</v>
      </c>
      <c r="F1387" s="923" t="s">
        <v>3116</v>
      </c>
      <c r="G1387" s="924">
        <v>1190</v>
      </c>
      <c r="H1387" s="924">
        <v>4272.0999999999995</v>
      </c>
      <c r="I1387" s="908"/>
    </row>
    <row r="1388" spans="1:9">
      <c r="A1388" s="922">
        <v>4</v>
      </c>
      <c r="B1388" s="923" t="s">
        <v>3112</v>
      </c>
      <c r="C1388" s="923" t="s">
        <v>3113</v>
      </c>
      <c r="D1388" s="923" t="s">
        <v>3114</v>
      </c>
      <c r="E1388" s="922">
        <v>356188169957969</v>
      </c>
      <c r="F1388" s="923" t="s">
        <v>3116</v>
      </c>
      <c r="G1388" s="924">
        <v>1190</v>
      </c>
      <c r="H1388" s="924">
        <v>4272.0999999999995</v>
      </c>
      <c r="I1388" s="908"/>
    </row>
    <row r="1389" spans="1:9">
      <c r="A1389" s="922">
        <v>5</v>
      </c>
      <c r="B1389" s="923" t="s">
        <v>3112</v>
      </c>
      <c r="C1389" s="923" t="s">
        <v>3113</v>
      </c>
      <c r="D1389" s="923" t="s">
        <v>3114</v>
      </c>
      <c r="E1389" s="922">
        <v>358902510026078</v>
      </c>
      <c r="F1389" s="923" t="s">
        <v>3121</v>
      </c>
      <c r="G1389" s="924">
        <v>1190</v>
      </c>
      <c r="H1389" s="924">
        <v>4272.0999999999995</v>
      </c>
      <c r="I1389" s="910" t="s">
        <v>3126</v>
      </c>
    </row>
    <row r="1390" spans="1:9">
      <c r="A1390" s="922">
        <v>6</v>
      </c>
      <c r="B1390" s="923" t="s">
        <v>3112</v>
      </c>
      <c r="C1390" s="923" t="s">
        <v>3113</v>
      </c>
      <c r="D1390" s="923" t="s">
        <v>3114</v>
      </c>
      <c r="E1390" s="922">
        <v>358206130422398</v>
      </c>
      <c r="F1390" s="925"/>
      <c r="G1390" s="924">
        <v>930</v>
      </c>
      <c r="H1390" s="924">
        <v>3338.7</v>
      </c>
      <c r="I1390" s="908"/>
    </row>
    <row r="1391" spans="1:9">
      <c r="A1391" s="922">
        <v>7</v>
      </c>
      <c r="B1391" s="923" t="s">
        <v>3112</v>
      </c>
      <c r="C1391" s="923" t="s">
        <v>3113</v>
      </c>
      <c r="D1391" s="923" t="s">
        <v>3114</v>
      </c>
      <c r="E1391" s="922">
        <v>358206130059489</v>
      </c>
      <c r="F1391" s="925"/>
      <c r="G1391" s="924">
        <v>930</v>
      </c>
      <c r="H1391" s="924">
        <v>3338.7</v>
      </c>
      <c r="I1391" s="908"/>
    </row>
    <row r="1392" spans="1:9">
      <c r="A1392" s="922">
        <v>8</v>
      </c>
      <c r="B1392" s="923" t="s">
        <v>3112</v>
      </c>
      <c r="C1392" s="923" t="s">
        <v>3113</v>
      </c>
      <c r="D1392" s="923" t="s">
        <v>3114</v>
      </c>
      <c r="E1392" s="922">
        <v>358206130581136</v>
      </c>
      <c r="F1392" s="925"/>
      <c r="G1392" s="924">
        <v>930</v>
      </c>
      <c r="H1392" s="924">
        <v>3338.7</v>
      </c>
      <c r="I1392" s="908"/>
    </row>
    <row r="1393" spans="1:9">
      <c r="A1393" s="922">
        <v>9</v>
      </c>
      <c r="B1393" s="923" t="s">
        <v>3112</v>
      </c>
      <c r="C1393" s="923" t="s">
        <v>3113</v>
      </c>
      <c r="D1393" s="923" t="s">
        <v>3114</v>
      </c>
      <c r="E1393" s="922">
        <v>353497851611575</v>
      </c>
      <c r="F1393" s="925"/>
      <c r="G1393" s="924">
        <v>930</v>
      </c>
      <c r="H1393" s="924">
        <v>3338.7</v>
      </c>
      <c r="I1393" s="908"/>
    </row>
    <row r="1394" spans="1:9">
      <c r="A1394" s="922">
        <v>10</v>
      </c>
      <c r="B1394" s="923" t="s">
        <v>3112</v>
      </c>
      <c r="C1394" s="923" t="s">
        <v>3113</v>
      </c>
      <c r="D1394" s="923" t="s">
        <v>3114</v>
      </c>
      <c r="E1394" s="922">
        <v>350889861722264</v>
      </c>
      <c r="F1394" s="923" t="s">
        <v>3116</v>
      </c>
      <c r="G1394" s="924">
        <v>1190</v>
      </c>
      <c r="H1394" s="924">
        <v>4272.0999999999995</v>
      </c>
      <c r="I1394" s="908"/>
    </row>
    <row r="1395" spans="1:9">
      <c r="A1395" s="922">
        <v>11</v>
      </c>
      <c r="B1395" s="923" t="s">
        <v>3112</v>
      </c>
      <c r="C1395" s="923" t="s">
        <v>3113</v>
      </c>
      <c r="D1395" s="923" t="s">
        <v>3114</v>
      </c>
      <c r="E1395" s="922">
        <v>355246658436142</v>
      </c>
      <c r="F1395" s="925"/>
      <c r="G1395" s="924">
        <v>930</v>
      </c>
      <c r="H1395" s="924">
        <v>3338.7</v>
      </c>
      <c r="I1395" s="908"/>
    </row>
    <row r="1396" spans="1:9">
      <c r="A1396" s="922">
        <v>12</v>
      </c>
      <c r="B1396" s="923" t="s">
        <v>3112</v>
      </c>
      <c r="C1396" s="923" t="s">
        <v>3113</v>
      </c>
      <c r="D1396" s="923" t="s">
        <v>3114</v>
      </c>
      <c r="E1396" s="922">
        <v>358902514424857</v>
      </c>
      <c r="F1396" s="925"/>
      <c r="G1396" s="924">
        <v>930</v>
      </c>
      <c r="H1396" s="924">
        <v>3338.7</v>
      </c>
      <c r="I1396" s="908"/>
    </row>
    <row r="1397" spans="1:9">
      <c r="A1397" s="922">
        <v>13</v>
      </c>
      <c r="B1397" s="923" t="s">
        <v>3112</v>
      </c>
      <c r="C1397" s="923" t="s">
        <v>3113</v>
      </c>
      <c r="D1397" s="923" t="s">
        <v>3114</v>
      </c>
      <c r="E1397" s="922">
        <v>357586340898011</v>
      </c>
      <c r="F1397" s="923" t="s">
        <v>3116</v>
      </c>
      <c r="G1397" s="924">
        <v>1190</v>
      </c>
      <c r="H1397" s="924">
        <v>4272.0999999999995</v>
      </c>
      <c r="I1397" s="908"/>
    </row>
    <row r="1398" spans="1:9">
      <c r="A1398" s="922">
        <v>14</v>
      </c>
      <c r="B1398" s="923" t="s">
        <v>3112</v>
      </c>
      <c r="C1398" s="923" t="s">
        <v>3113</v>
      </c>
      <c r="D1398" s="923" t="s">
        <v>3114</v>
      </c>
      <c r="E1398" s="922">
        <v>357586340850814</v>
      </c>
      <c r="F1398" s="923" t="s">
        <v>3116</v>
      </c>
      <c r="G1398" s="924">
        <v>1190</v>
      </c>
      <c r="H1398" s="924">
        <v>4272.0999999999995</v>
      </c>
      <c r="I1398" s="908"/>
    </row>
    <row r="1399" spans="1:9">
      <c r="A1399" s="922">
        <v>15</v>
      </c>
      <c r="B1399" s="923" t="s">
        <v>3112</v>
      </c>
      <c r="C1399" s="923" t="s">
        <v>3113</v>
      </c>
      <c r="D1399" s="923" t="s">
        <v>3114</v>
      </c>
      <c r="E1399" s="922">
        <v>357329444749586</v>
      </c>
      <c r="F1399" s="925"/>
      <c r="G1399" s="924">
        <v>930</v>
      </c>
      <c r="H1399" s="924">
        <v>3338.7</v>
      </c>
      <c r="I1399" s="908"/>
    </row>
    <row r="1400" spans="1:9">
      <c r="A1400" s="922">
        <v>16</v>
      </c>
      <c r="B1400" s="923" t="s">
        <v>3112</v>
      </c>
      <c r="C1400" s="923" t="s">
        <v>3113</v>
      </c>
      <c r="D1400" s="923" t="s">
        <v>3114</v>
      </c>
      <c r="E1400" s="922">
        <v>358902514085609</v>
      </c>
      <c r="F1400" s="923" t="s">
        <v>3116</v>
      </c>
      <c r="G1400" s="924">
        <v>1190</v>
      </c>
      <c r="H1400" s="924">
        <v>4272.0999999999995</v>
      </c>
      <c r="I1400" s="731"/>
    </row>
    <row r="1401" spans="1:9">
      <c r="A1401" s="922">
        <v>17</v>
      </c>
      <c r="B1401" s="923" t="s">
        <v>3112</v>
      </c>
      <c r="C1401" s="923" t="s">
        <v>3113</v>
      </c>
      <c r="D1401" s="923" t="s">
        <v>3114</v>
      </c>
      <c r="E1401" s="922">
        <v>357586340580619</v>
      </c>
      <c r="F1401" s="923" t="s">
        <v>3116</v>
      </c>
      <c r="G1401" s="924">
        <v>1190</v>
      </c>
      <c r="H1401" s="924">
        <v>4272.0999999999995</v>
      </c>
      <c r="I1401" s="731"/>
    </row>
    <row r="1402" spans="1:9">
      <c r="A1402" s="922">
        <v>18</v>
      </c>
      <c r="B1402" s="923" t="s">
        <v>3112</v>
      </c>
      <c r="C1402" s="923" t="s">
        <v>3113</v>
      </c>
      <c r="D1402" s="923" t="s">
        <v>3114</v>
      </c>
      <c r="E1402" s="922">
        <v>356392240101569</v>
      </c>
      <c r="F1402" s="925"/>
      <c r="G1402" s="924">
        <v>930</v>
      </c>
      <c r="H1402" s="924">
        <v>3338.7</v>
      </c>
      <c r="I1402" s="731"/>
    </row>
    <row r="1403" spans="1:9">
      <c r="A1403" s="922">
        <v>19</v>
      </c>
      <c r="B1403" s="923" t="s">
        <v>3112</v>
      </c>
      <c r="C1403" s="923" t="s">
        <v>3113</v>
      </c>
      <c r="D1403" s="923" t="s">
        <v>3114</v>
      </c>
      <c r="E1403" s="922">
        <v>355246658984901</v>
      </c>
      <c r="F1403" s="925"/>
      <c r="G1403" s="924">
        <v>1190</v>
      </c>
      <c r="H1403" s="924">
        <v>4272.0999999999995</v>
      </c>
      <c r="I1403" s="731"/>
    </row>
    <row r="1404" spans="1:9">
      <c r="A1404" s="922">
        <v>20</v>
      </c>
      <c r="B1404" s="923" t="s">
        <v>3112</v>
      </c>
      <c r="C1404" s="923" t="s">
        <v>3113</v>
      </c>
      <c r="D1404" s="923" t="s">
        <v>3114</v>
      </c>
      <c r="E1404" s="922">
        <v>353497852298786</v>
      </c>
      <c r="F1404" s="925"/>
      <c r="G1404" s="924">
        <v>930</v>
      </c>
      <c r="H1404" s="924">
        <v>3338.7</v>
      </c>
      <c r="I1404" s="731"/>
    </row>
    <row r="1405" spans="1:9">
      <c r="A1405" s="922">
        <v>21</v>
      </c>
      <c r="B1405" s="923" t="s">
        <v>3112</v>
      </c>
      <c r="C1405" s="923" t="s">
        <v>3113</v>
      </c>
      <c r="D1405" s="923" t="s">
        <v>3114</v>
      </c>
      <c r="E1405" s="922">
        <v>359614548859920</v>
      </c>
      <c r="F1405" s="923" t="s">
        <v>3115</v>
      </c>
      <c r="G1405" s="924">
        <v>1140</v>
      </c>
      <c r="H1405" s="924">
        <v>4092.6</v>
      </c>
      <c r="I1405" s="731"/>
    </row>
    <row r="1406" spans="1:9">
      <c r="A1406" s="922">
        <v>22</v>
      </c>
      <c r="B1406" s="923" t="s">
        <v>3112</v>
      </c>
      <c r="C1406" s="923" t="s">
        <v>3113</v>
      </c>
      <c r="D1406" s="923" t="s">
        <v>3114</v>
      </c>
      <c r="E1406" s="922">
        <v>355224259994231</v>
      </c>
      <c r="F1406" s="925"/>
      <c r="G1406" s="924">
        <v>930</v>
      </c>
      <c r="H1406" s="924">
        <v>3338.7</v>
      </c>
      <c r="I1406" s="731"/>
    </row>
    <row r="1407" spans="1:9">
      <c r="A1407" s="922">
        <v>23</v>
      </c>
      <c r="B1407" s="923" t="s">
        <v>3112</v>
      </c>
      <c r="C1407" s="923" t="s">
        <v>3113</v>
      </c>
      <c r="D1407" s="923" t="s">
        <v>3114</v>
      </c>
      <c r="E1407" s="922">
        <v>355246656971413</v>
      </c>
      <c r="F1407" s="923" t="s">
        <v>3117</v>
      </c>
      <c r="G1407" s="924">
        <v>930</v>
      </c>
      <c r="H1407" s="924">
        <v>3338.7</v>
      </c>
      <c r="I1407" s="731"/>
    </row>
    <row r="1408" spans="1:9">
      <c r="A1408" s="922">
        <v>24</v>
      </c>
      <c r="B1408" s="923" t="s">
        <v>3112</v>
      </c>
      <c r="C1408" s="923" t="s">
        <v>3113</v>
      </c>
      <c r="D1408" s="923" t="s">
        <v>3114</v>
      </c>
      <c r="E1408" s="922">
        <v>357329444500310</v>
      </c>
      <c r="F1408" s="923" t="s">
        <v>3117</v>
      </c>
      <c r="G1408" s="924">
        <v>930</v>
      </c>
      <c r="H1408" s="924">
        <v>3338.7</v>
      </c>
      <c r="I1408" s="731"/>
    </row>
    <row r="1409" spans="1:9">
      <c r="A1409" s="922">
        <v>25</v>
      </c>
      <c r="B1409" s="923" t="s">
        <v>3112</v>
      </c>
      <c r="C1409" s="923" t="s">
        <v>3113</v>
      </c>
      <c r="D1409" s="923" t="s">
        <v>3114</v>
      </c>
      <c r="E1409" s="922">
        <v>357329444760500</v>
      </c>
      <c r="F1409" s="923" t="s">
        <v>3117</v>
      </c>
      <c r="G1409" s="924">
        <v>930</v>
      </c>
      <c r="H1409" s="924">
        <v>3338.7</v>
      </c>
      <c r="I1409" s="731"/>
    </row>
    <row r="1410" spans="1:9">
      <c r="A1410" s="922">
        <v>26</v>
      </c>
      <c r="B1410" s="923" t="s">
        <v>3112</v>
      </c>
      <c r="C1410" s="923" t="s">
        <v>3113</v>
      </c>
      <c r="D1410" s="923" t="s">
        <v>3114</v>
      </c>
      <c r="E1410" s="922">
        <v>355246659786123</v>
      </c>
      <c r="F1410" s="923" t="s">
        <v>3117</v>
      </c>
      <c r="G1410" s="924">
        <v>960</v>
      </c>
      <c r="H1410" s="924">
        <v>3446.3999999999996</v>
      </c>
      <c r="I1410" s="731"/>
    </row>
    <row r="1411" spans="1:9">
      <c r="A1411" s="922">
        <v>27</v>
      </c>
      <c r="B1411" s="923" t="s">
        <v>3112</v>
      </c>
      <c r="C1411" s="923" t="s">
        <v>3113</v>
      </c>
      <c r="D1411" s="923" t="s">
        <v>3114</v>
      </c>
      <c r="E1411" s="922">
        <v>350889869760597</v>
      </c>
      <c r="F1411" s="923" t="s">
        <v>3117</v>
      </c>
      <c r="G1411" s="924">
        <v>930</v>
      </c>
      <c r="H1411" s="924">
        <v>3338.7</v>
      </c>
      <c r="I1411" s="731"/>
    </row>
    <row r="1412" spans="1:9">
      <c r="A1412" s="922">
        <v>28</v>
      </c>
      <c r="B1412" s="923" t="s">
        <v>3112</v>
      </c>
      <c r="C1412" s="923" t="s">
        <v>3113</v>
      </c>
      <c r="D1412" s="923" t="s">
        <v>3114</v>
      </c>
      <c r="E1412" s="922">
        <v>350889869929234</v>
      </c>
      <c r="F1412" s="923" t="s">
        <v>3117</v>
      </c>
      <c r="G1412" s="924">
        <v>930</v>
      </c>
      <c r="H1412" s="924">
        <v>3338.7</v>
      </c>
      <c r="I1412" s="731"/>
    </row>
    <row r="1413" spans="1:9">
      <c r="A1413" s="922">
        <v>29</v>
      </c>
      <c r="B1413" s="923" t="s">
        <v>3112</v>
      </c>
      <c r="C1413" s="923" t="s">
        <v>3113</v>
      </c>
      <c r="D1413" s="923" t="s">
        <v>3114</v>
      </c>
      <c r="E1413" s="922">
        <v>356364247047848</v>
      </c>
      <c r="F1413" s="923" t="s">
        <v>3117</v>
      </c>
      <c r="G1413" s="924">
        <v>930</v>
      </c>
      <c r="H1413" s="924">
        <v>3338.7</v>
      </c>
      <c r="I1413" s="731"/>
    </row>
    <row r="1414" spans="1:9">
      <c r="A1414" s="922">
        <v>30</v>
      </c>
      <c r="B1414" s="923" t="s">
        <v>3112</v>
      </c>
      <c r="C1414" s="923" t="s">
        <v>3113</v>
      </c>
      <c r="D1414" s="923" t="s">
        <v>3114</v>
      </c>
      <c r="E1414" s="922">
        <v>355224259834551</v>
      </c>
      <c r="F1414" s="923" t="s">
        <v>3117</v>
      </c>
      <c r="G1414" s="924">
        <v>930</v>
      </c>
      <c r="H1414" s="924">
        <v>3338.7</v>
      </c>
      <c r="I1414" s="731"/>
    </row>
    <row r="1415" spans="1:9">
      <c r="A1415" s="922">
        <v>31</v>
      </c>
      <c r="B1415" s="923" t="s">
        <v>3112</v>
      </c>
      <c r="C1415" s="923" t="s">
        <v>3113</v>
      </c>
      <c r="D1415" s="923" t="s">
        <v>3114</v>
      </c>
      <c r="E1415" s="922">
        <v>356188169816942</v>
      </c>
      <c r="F1415" s="923" t="s">
        <v>3141</v>
      </c>
      <c r="G1415" s="924">
        <v>1000</v>
      </c>
      <c r="H1415" s="924">
        <v>3590</v>
      </c>
      <c r="I1415" s="731"/>
    </row>
    <row r="1416" spans="1:9">
      <c r="A1416" s="922">
        <v>32</v>
      </c>
      <c r="B1416" s="923" t="s">
        <v>3112</v>
      </c>
      <c r="C1416" s="923" t="s">
        <v>3113</v>
      </c>
      <c r="D1416" s="923" t="s">
        <v>3122</v>
      </c>
      <c r="E1416" s="922">
        <v>353837419148398</v>
      </c>
      <c r="F1416" s="925"/>
      <c r="G1416" s="924">
        <v>1060</v>
      </c>
      <c r="H1416" s="924">
        <v>3805.3999999999996</v>
      </c>
      <c r="I1416" s="908"/>
    </row>
    <row r="1417" spans="1:9">
      <c r="A1417" s="922">
        <v>33</v>
      </c>
      <c r="B1417" s="923" t="s">
        <v>3112</v>
      </c>
      <c r="C1417" s="923" t="s">
        <v>3113</v>
      </c>
      <c r="D1417" s="923" t="s">
        <v>3122</v>
      </c>
      <c r="E1417" s="922">
        <v>353263421036721</v>
      </c>
      <c r="F1417" s="923" t="s">
        <v>3116</v>
      </c>
      <c r="G1417" s="924">
        <v>1300</v>
      </c>
      <c r="H1417" s="924">
        <v>4667</v>
      </c>
      <c r="I1417" s="908"/>
    </row>
    <row r="1418" spans="1:9">
      <c r="A1418" s="922">
        <v>34</v>
      </c>
      <c r="B1418" s="923" t="s">
        <v>3112</v>
      </c>
      <c r="C1418" s="923" t="s">
        <v>3119</v>
      </c>
      <c r="D1418" s="923" t="s">
        <v>3114</v>
      </c>
      <c r="E1418" s="922">
        <v>350599865637059</v>
      </c>
      <c r="F1418" s="923" t="s">
        <v>3115</v>
      </c>
      <c r="G1418" s="924">
        <v>1140</v>
      </c>
      <c r="H1418" s="924">
        <v>4092.6</v>
      </c>
      <c r="I1418" s="908"/>
    </row>
    <row r="1419" spans="1:9">
      <c r="A1419" s="922">
        <v>35</v>
      </c>
      <c r="B1419" s="923" t="s">
        <v>3112</v>
      </c>
      <c r="C1419" s="923" t="s">
        <v>3119</v>
      </c>
      <c r="D1419" s="923" t="s">
        <v>3114</v>
      </c>
      <c r="E1419" s="922">
        <v>358902511404977</v>
      </c>
      <c r="F1419" s="923" t="s">
        <v>3115</v>
      </c>
      <c r="G1419" s="924">
        <v>1140</v>
      </c>
      <c r="H1419" s="924">
        <v>4092.6</v>
      </c>
      <c r="I1419" s="908"/>
    </row>
    <row r="1420" spans="1:9">
      <c r="A1420" s="922">
        <v>36</v>
      </c>
      <c r="B1420" s="923" t="s">
        <v>3112</v>
      </c>
      <c r="C1420" s="923" t="s">
        <v>3119</v>
      </c>
      <c r="D1420" s="923" t="s">
        <v>3114</v>
      </c>
      <c r="E1420" s="922">
        <v>350599864077034</v>
      </c>
      <c r="F1420" s="923" t="s">
        <v>3115</v>
      </c>
      <c r="G1420" s="924">
        <v>1190</v>
      </c>
      <c r="H1420" s="924">
        <v>4272.0999999999995</v>
      </c>
      <c r="I1420" s="911" t="s">
        <v>1113</v>
      </c>
    </row>
    <row r="1421" spans="1:9">
      <c r="A1421" s="922">
        <v>37</v>
      </c>
      <c r="B1421" s="923" t="s">
        <v>3112</v>
      </c>
      <c r="C1421" s="923" t="s">
        <v>3119</v>
      </c>
      <c r="D1421" s="923" t="s">
        <v>3122</v>
      </c>
      <c r="E1421" s="922">
        <v>356188168371030</v>
      </c>
      <c r="F1421" s="929" t="s">
        <v>3472</v>
      </c>
      <c r="G1421" s="924">
        <v>1190</v>
      </c>
      <c r="H1421" s="924">
        <v>4272.0999999999995</v>
      </c>
      <c r="I1421" s="908"/>
    </row>
    <row r="1422" spans="1:9">
      <c r="A1422" s="922">
        <v>38</v>
      </c>
      <c r="B1422" s="923" t="s">
        <v>3112</v>
      </c>
      <c r="C1422" s="923" t="s">
        <v>3120</v>
      </c>
      <c r="D1422" s="923" t="s">
        <v>3114</v>
      </c>
      <c r="E1422" s="922">
        <v>358206135017094</v>
      </c>
      <c r="F1422" s="925"/>
      <c r="G1422" s="924">
        <v>960</v>
      </c>
      <c r="H1422" s="924">
        <v>3446.3999999999996</v>
      </c>
      <c r="I1422" s="908"/>
    </row>
    <row r="1423" spans="1:9">
      <c r="A1423" s="922">
        <v>39</v>
      </c>
      <c r="B1423" s="923" t="s">
        <v>3112</v>
      </c>
      <c r="C1423" s="923" t="s">
        <v>3120</v>
      </c>
      <c r="D1423" s="923" t="s">
        <v>3114</v>
      </c>
      <c r="E1423" s="922">
        <v>358206134453738</v>
      </c>
      <c r="F1423" s="925"/>
      <c r="G1423" s="924">
        <v>960</v>
      </c>
      <c r="H1423" s="924">
        <v>3446.3999999999996</v>
      </c>
      <c r="I1423" s="908"/>
    </row>
    <row r="1424" spans="1:9">
      <c r="A1424" s="922">
        <v>40</v>
      </c>
      <c r="B1424" s="923" t="s">
        <v>3112</v>
      </c>
      <c r="C1424" s="923" t="s">
        <v>3120</v>
      </c>
      <c r="D1424" s="923" t="s">
        <v>3114</v>
      </c>
      <c r="E1424" s="922">
        <v>357329444677837</v>
      </c>
      <c r="F1424" s="923" t="s">
        <v>3117</v>
      </c>
      <c r="G1424" s="924">
        <v>960</v>
      </c>
      <c r="H1424" s="924">
        <v>3446.3999999999996</v>
      </c>
      <c r="I1424" s="908"/>
    </row>
    <row r="1425" spans="1:9">
      <c r="A1425" s="922">
        <v>41</v>
      </c>
      <c r="B1425" s="923" t="s">
        <v>3112</v>
      </c>
      <c r="C1425" s="923" t="s">
        <v>3120</v>
      </c>
      <c r="D1425" s="923" t="s">
        <v>3114</v>
      </c>
      <c r="E1425" s="922">
        <v>350599863608805</v>
      </c>
      <c r="F1425" s="923" t="s">
        <v>3117</v>
      </c>
      <c r="G1425" s="924">
        <v>960</v>
      </c>
      <c r="H1425" s="924">
        <v>3446.3999999999996</v>
      </c>
      <c r="I1425" s="908"/>
    </row>
    <row r="1426" spans="1:9">
      <c r="A1426" s="922">
        <v>42</v>
      </c>
      <c r="B1426" s="923" t="s">
        <v>3112</v>
      </c>
      <c r="C1426" s="923" t="s">
        <v>3120</v>
      </c>
      <c r="D1426" s="923" t="s">
        <v>3114</v>
      </c>
      <c r="E1426" s="922">
        <v>357329444402202</v>
      </c>
      <c r="F1426" s="923" t="s">
        <v>3117</v>
      </c>
      <c r="G1426" s="924">
        <v>960</v>
      </c>
      <c r="H1426" s="924">
        <v>3446.3999999999996</v>
      </c>
      <c r="I1426" s="908"/>
    </row>
    <row r="1427" spans="1:9">
      <c r="A1427" s="922">
        <v>43</v>
      </c>
      <c r="B1427" s="923" t="s">
        <v>3112</v>
      </c>
      <c r="C1427" s="923" t="s">
        <v>3120</v>
      </c>
      <c r="D1427" s="923" t="s">
        <v>3114</v>
      </c>
      <c r="E1427" s="922">
        <v>357329444659058</v>
      </c>
      <c r="F1427" s="923" t="s">
        <v>3117</v>
      </c>
      <c r="G1427" s="924">
        <v>960</v>
      </c>
      <c r="H1427" s="924">
        <v>3446.3999999999996</v>
      </c>
      <c r="I1427" s="908"/>
    </row>
    <row r="1428" spans="1:9">
      <c r="A1428" s="922">
        <v>44</v>
      </c>
      <c r="B1428" s="923" t="s">
        <v>3112</v>
      </c>
      <c r="C1428" s="923" t="s">
        <v>3120</v>
      </c>
      <c r="D1428" s="923" t="s">
        <v>3114</v>
      </c>
      <c r="E1428" s="922">
        <v>357329444404208</v>
      </c>
      <c r="F1428" s="923" t="s">
        <v>3117</v>
      </c>
      <c r="G1428" s="924">
        <v>960</v>
      </c>
      <c r="H1428" s="924">
        <v>3446.3999999999996</v>
      </c>
      <c r="I1428" s="908"/>
    </row>
    <row r="1429" spans="1:9">
      <c r="A1429" s="922">
        <v>45</v>
      </c>
      <c r="B1429" s="923" t="s">
        <v>3112</v>
      </c>
      <c r="C1429" s="923" t="s">
        <v>3120</v>
      </c>
      <c r="D1429" s="923" t="s">
        <v>3114</v>
      </c>
      <c r="E1429" s="922">
        <v>357329444694014</v>
      </c>
      <c r="F1429" s="923" t="s">
        <v>3117</v>
      </c>
      <c r="G1429" s="924">
        <v>960</v>
      </c>
      <c r="H1429" s="924">
        <v>3446.3999999999996</v>
      </c>
      <c r="I1429" s="908"/>
    </row>
    <row r="1430" spans="1:9">
      <c r="A1430" s="922">
        <v>46</v>
      </c>
      <c r="B1430" s="923" t="s">
        <v>3112</v>
      </c>
      <c r="C1430" s="923" t="s">
        <v>3120</v>
      </c>
      <c r="D1430" s="923" t="s">
        <v>3114</v>
      </c>
      <c r="E1430" s="922">
        <v>355246659168132</v>
      </c>
      <c r="F1430" s="923" t="s">
        <v>3116</v>
      </c>
      <c r="G1430" s="924">
        <v>1190</v>
      </c>
      <c r="H1430" s="924">
        <v>4272.0999999999995</v>
      </c>
      <c r="I1430" s="908"/>
    </row>
    <row r="1431" spans="1:9">
      <c r="A1431" s="922">
        <v>47</v>
      </c>
      <c r="B1431" s="923" t="s">
        <v>3112</v>
      </c>
      <c r="C1431" s="923" t="s">
        <v>3120</v>
      </c>
      <c r="D1431" s="923" t="s">
        <v>3114</v>
      </c>
      <c r="E1431" s="922">
        <v>357329444317814</v>
      </c>
      <c r="F1431" s="923" t="s">
        <v>3115</v>
      </c>
      <c r="G1431" s="924">
        <v>1140</v>
      </c>
      <c r="H1431" s="924">
        <v>4092.6</v>
      </c>
      <c r="I1431" s="908"/>
    </row>
    <row r="1432" spans="1:9">
      <c r="A1432" s="922">
        <v>48</v>
      </c>
      <c r="B1432" s="923" t="s">
        <v>3112</v>
      </c>
      <c r="C1432" s="923" t="s">
        <v>3120</v>
      </c>
      <c r="D1432" s="923" t="s">
        <v>3114</v>
      </c>
      <c r="E1432" s="922">
        <v>355246658872551</v>
      </c>
      <c r="F1432" s="923" t="s">
        <v>3116</v>
      </c>
      <c r="G1432" s="924">
        <v>1190</v>
      </c>
      <c r="H1432" s="924">
        <v>4272.0999999999995</v>
      </c>
      <c r="I1432" s="731"/>
    </row>
    <row r="1433" spans="1:9">
      <c r="A1433" s="922">
        <v>49</v>
      </c>
      <c r="B1433" s="923" t="s">
        <v>3112</v>
      </c>
      <c r="C1433" s="923" t="s">
        <v>3120</v>
      </c>
      <c r="D1433" s="923" t="s">
        <v>3114</v>
      </c>
      <c r="E1433" s="922">
        <v>359814713965672</v>
      </c>
      <c r="F1433" s="925"/>
      <c r="G1433" s="924">
        <v>960</v>
      </c>
      <c r="H1433" s="924">
        <v>3446.3999999999996</v>
      </c>
      <c r="I1433" s="731"/>
    </row>
    <row r="1434" spans="1:9">
      <c r="A1434" s="922">
        <v>50</v>
      </c>
      <c r="B1434" s="923" t="s">
        <v>3112</v>
      </c>
      <c r="C1434" s="923" t="s">
        <v>3120</v>
      </c>
      <c r="D1434" s="923" t="s">
        <v>3114</v>
      </c>
      <c r="E1434" s="922">
        <v>355246659007686</v>
      </c>
      <c r="F1434" s="923" t="s">
        <v>3116</v>
      </c>
      <c r="G1434" s="924">
        <v>1190</v>
      </c>
      <c r="H1434" s="924">
        <v>4272.0999999999995</v>
      </c>
      <c r="I1434" s="731"/>
    </row>
    <row r="1435" spans="1:9">
      <c r="A1435" s="922">
        <v>51</v>
      </c>
      <c r="B1435" s="923" t="s">
        <v>3123</v>
      </c>
      <c r="C1435" s="923" t="s">
        <v>3113</v>
      </c>
      <c r="D1435" s="923" t="s">
        <v>3114</v>
      </c>
      <c r="E1435" s="922">
        <v>352190329269313</v>
      </c>
      <c r="F1435" s="923" t="s">
        <v>3115</v>
      </c>
      <c r="G1435" s="924">
        <v>1090</v>
      </c>
      <c r="H1435" s="924">
        <v>3913.1</v>
      </c>
      <c r="I1435" s="731"/>
    </row>
    <row r="1436" spans="1:9">
      <c r="A1436" s="922">
        <v>52</v>
      </c>
      <c r="B1436" s="923" t="s">
        <v>3123</v>
      </c>
      <c r="C1436" s="923" t="s">
        <v>3120</v>
      </c>
      <c r="D1436" s="923" t="s">
        <v>3114</v>
      </c>
      <c r="E1436" s="922">
        <v>356245411959902</v>
      </c>
      <c r="F1436" s="925"/>
      <c r="G1436" s="924">
        <v>840</v>
      </c>
      <c r="H1436" s="924">
        <v>3015.6</v>
      </c>
      <c r="I1436" s="731"/>
    </row>
    <row r="1437" spans="1:9">
      <c r="A1437" s="922">
        <v>53</v>
      </c>
      <c r="B1437" s="923" t="s">
        <v>3124</v>
      </c>
      <c r="C1437" s="923" t="s">
        <v>3125</v>
      </c>
      <c r="D1437" s="923" t="s">
        <v>3114</v>
      </c>
      <c r="E1437" s="922">
        <v>357247594025773</v>
      </c>
      <c r="F1437" s="923" t="s">
        <v>3116</v>
      </c>
      <c r="G1437" s="924">
        <v>800</v>
      </c>
      <c r="H1437" s="924">
        <v>2872</v>
      </c>
      <c r="I1437" s="731"/>
    </row>
    <row r="1438" spans="1:9">
      <c r="A1438" s="922">
        <v>54</v>
      </c>
      <c r="B1438" s="923" t="s">
        <v>3124</v>
      </c>
      <c r="C1438" s="923" t="s">
        <v>3473</v>
      </c>
      <c r="D1438" s="923" t="s">
        <v>3114</v>
      </c>
      <c r="E1438" s="922">
        <v>351605724552337</v>
      </c>
      <c r="F1438" s="923" t="s">
        <v>3116</v>
      </c>
      <c r="G1438" s="924">
        <v>800</v>
      </c>
      <c r="H1438" s="924">
        <v>2872</v>
      </c>
      <c r="I1438" s="731"/>
    </row>
    <row r="1439" spans="1:9">
      <c r="A1439" s="922">
        <v>55</v>
      </c>
      <c r="B1439" s="923" t="s">
        <v>3124</v>
      </c>
      <c r="C1439" s="923" t="s">
        <v>3473</v>
      </c>
      <c r="D1439" s="923" t="s">
        <v>3114</v>
      </c>
      <c r="E1439" s="922">
        <v>358302111948095</v>
      </c>
      <c r="F1439" s="923" t="s">
        <v>3116</v>
      </c>
      <c r="G1439" s="924">
        <v>800</v>
      </c>
      <c r="H1439" s="924">
        <v>2872</v>
      </c>
      <c r="I1439" s="731"/>
    </row>
    <row r="1440" spans="1:9">
      <c r="A1440" s="922">
        <v>56</v>
      </c>
      <c r="B1440" s="923" t="s">
        <v>3127</v>
      </c>
      <c r="C1440" s="923" t="s">
        <v>3474</v>
      </c>
      <c r="D1440" s="923" t="s">
        <v>3114</v>
      </c>
      <c r="E1440" s="922">
        <v>353502586383349</v>
      </c>
      <c r="F1440" s="925"/>
      <c r="G1440" s="924">
        <v>560</v>
      </c>
      <c r="H1440" s="924">
        <v>2010.3999999999999</v>
      </c>
      <c r="I1440" s="731"/>
    </row>
    <row r="1441" spans="1:9">
      <c r="A1441" s="922">
        <v>57</v>
      </c>
      <c r="B1441" s="923" t="s">
        <v>3127</v>
      </c>
      <c r="C1441" s="923" t="s">
        <v>3190</v>
      </c>
      <c r="D1441" s="923" t="s">
        <v>3114</v>
      </c>
      <c r="E1441" s="922">
        <v>353502585377474</v>
      </c>
      <c r="F1441" s="923" t="s">
        <v>3121</v>
      </c>
      <c r="G1441" s="924">
        <v>640</v>
      </c>
      <c r="H1441" s="924">
        <v>2297.6</v>
      </c>
      <c r="I1441" s="731"/>
    </row>
    <row r="1442" spans="1:9">
      <c r="A1442" s="922">
        <v>58</v>
      </c>
      <c r="B1442" s="923" t="s">
        <v>3127</v>
      </c>
      <c r="C1442" s="923" t="s">
        <v>3128</v>
      </c>
      <c r="D1442" s="923" t="s">
        <v>3114</v>
      </c>
      <c r="E1442" s="922">
        <v>355714603147940</v>
      </c>
      <c r="F1442" s="923" t="s">
        <v>3121</v>
      </c>
      <c r="G1442" s="924">
        <v>640</v>
      </c>
      <c r="H1442" s="924">
        <v>2297.6</v>
      </c>
      <c r="I1442" s="731"/>
    </row>
    <row r="1443" spans="1:9">
      <c r="A1443" s="922">
        <v>59</v>
      </c>
      <c r="B1443" s="923" t="s">
        <v>3475</v>
      </c>
      <c r="C1443" s="923" t="s">
        <v>3131</v>
      </c>
      <c r="D1443" s="923" t="s">
        <v>3114</v>
      </c>
      <c r="E1443" s="922">
        <v>356864569944217</v>
      </c>
      <c r="F1443" s="923" t="s">
        <v>3116</v>
      </c>
      <c r="G1443" s="924">
        <v>780</v>
      </c>
      <c r="H1443" s="924">
        <v>2800.2</v>
      </c>
      <c r="I1443" s="731"/>
    </row>
    <row r="1444" spans="1:9">
      <c r="A1444" s="922">
        <v>60</v>
      </c>
      <c r="B1444" s="923" t="s">
        <v>3475</v>
      </c>
      <c r="C1444" s="923" t="s">
        <v>3131</v>
      </c>
      <c r="D1444" s="923" t="s">
        <v>3114</v>
      </c>
      <c r="E1444" s="922">
        <v>351614401317857</v>
      </c>
      <c r="F1444" s="923" t="s">
        <v>3117</v>
      </c>
      <c r="G1444" s="924">
        <v>600</v>
      </c>
      <c r="H1444" s="924">
        <v>2154</v>
      </c>
      <c r="I1444" s="731"/>
    </row>
    <row r="1445" spans="1:9">
      <c r="A1445" s="922">
        <v>61</v>
      </c>
      <c r="B1445" s="923" t="s">
        <v>3130</v>
      </c>
      <c r="C1445" s="923" t="s">
        <v>3131</v>
      </c>
      <c r="D1445" s="923" t="s">
        <v>3114</v>
      </c>
      <c r="E1445" s="922">
        <v>358862983224131</v>
      </c>
      <c r="F1445" s="923" t="s">
        <v>3117</v>
      </c>
      <c r="G1445" s="924">
        <v>600</v>
      </c>
      <c r="H1445" s="924">
        <v>2154</v>
      </c>
      <c r="I1445" s="731"/>
    </row>
    <row r="1446" spans="1:9">
      <c r="A1446" s="922">
        <v>62</v>
      </c>
      <c r="B1446" s="923" t="s">
        <v>3475</v>
      </c>
      <c r="C1446" s="923" t="s">
        <v>3134</v>
      </c>
      <c r="D1446" s="923" t="s">
        <v>3114</v>
      </c>
      <c r="E1446" s="922">
        <v>355300183049720</v>
      </c>
      <c r="F1446" s="923" t="s">
        <v>3117</v>
      </c>
      <c r="G1446" s="924">
        <v>600</v>
      </c>
      <c r="H1446" s="924">
        <v>2154</v>
      </c>
      <c r="I1446" s="731"/>
    </row>
    <row r="1447" spans="1:9">
      <c r="A1447" s="922">
        <v>63</v>
      </c>
      <c r="B1447" s="923" t="s">
        <v>3130</v>
      </c>
      <c r="C1447" s="923" t="s">
        <v>3476</v>
      </c>
      <c r="D1447" s="923" t="s">
        <v>3114</v>
      </c>
      <c r="E1447" s="922">
        <v>358862982636483</v>
      </c>
      <c r="F1447" s="923" t="s">
        <v>3117</v>
      </c>
      <c r="G1447" s="924">
        <v>620</v>
      </c>
      <c r="H1447" s="924">
        <v>2225.7999999999997</v>
      </c>
      <c r="I1447" s="731"/>
    </row>
    <row r="1448" spans="1:9">
      <c r="A1448" s="922">
        <v>64</v>
      </c>
      <c r="B1448" s="923" t="s">
        <v>3130</v>
      </c>
      <c r="C1448" s="923" t="s">
        <v>3476</v>
      </c>
      <c r="D1448" s="923" t="s">
        <v>3114</v>
      </c>
      <c r="E1448" s="922">
        <v>351614406649742</v>
      </c>
      <c r="F1448" s="923" t="s">
        <v>3117</v>
      </c>
      <c r="G1448" s="924">
        <v>600</v>
      </c>
      <c r="H1448" s="924">
        <v>2154</v>
      </c>
      <c r="I1448" s="908"/>
    </row>
    <row r="1449" spans="1:9">
      <c r="A1449" s="922">
        <v>65</v>
      </c>
      <c r="B1449" s="923" t="s">
        <v>3477</v>
      </c>
      <c r="C1449" s="923" t="s">
        <v>3136</v>
      </c>
      <c r="D1449" s="923" t="s">
        <v>3114</v>
      </c>
      <c r="E1449" s="922">
        <v>355008281291249</v>
      </c>
      <c r="F1449" s="930" t="s">
        <v>3422</v>
      </c>
      <c r="G1449" s="924">
        <v>750</v>
      </c>
      <c r="H1449" s="924">
        <v>2692.5</v>
      </c>
      <c r="I1449" s="908"/>
    </row>
    <row r="1450" spans="1:9" ht="25.5">
      <c r="A1450" s="922">
        <v>66</v>
      </c>
      <c r="B1450" s="923" t="s">
        <v>3142</v>
      </c>
      <c r="C1450" s="923" t="s">
        <v>3143</v>
      </c>
      <c r="D1450" s="923" t="s">
        <v>3114</v>
      </c>
      <c r="E1450" s="922">
        <v>352355700468632</v>
      </c>
      <c r="F1450" s="923" t="s">
        <v>3144</v>
      </c>
      <c r="G1450" s="924">
        <v>1080</v>
      </c>
      <c r="H1450" s="924">
        <v>3877.2</v>
      </c>
      <c r="I1450" s="912" t="s">
        <v>3478</v>
      </c>
    </row>
    <row r="1451" spans="1:9">
      <c r="A1451" s="922">
        <v>67</v>
      </c>
      <c r="B1451" s="923" t="s">
        <v>3142</v>
      </c>
      <c r="C1451" s="923" t="s">
        <v>3143</v>
      </c>
      <c r="D1451" s="923" t="s">
        <v>3114</v>
      </c>
      <c r="E1451" s="922">
        <v>352355708769940</v>
      </c>
      <c r="F1451" s="923" t="s">
        <v>3144</v>
      </c>
      <c r="G1451" s="924">
        <v>1080</v>
      </c>
      <c r="H1451" s="924">
        <v>3877.2</v>
      </c>
      <c r="I1451" s="908"/>
    </row>
    <row r="1452" spans="1:9">
      <c r="A1452" s="922">
        <v>68</v>
      </c>
      <c r="B1452" s="923" t="s">
        <v>3142</v>
      </c>
      <c r="C1452" s="923" t="s">
        <v>3143</v>
      </c>
      <c r="D1452" s="923" t="s">
        <v>3114</v>
      </c>
      <c r="E1452" s="922">
        <v>352355703580722</v>
      </c>
      <c r="F1452" s="923" t="s">
        <v>3144</v>
      </c>
      <c r="G1452" s="924">
        <v>1080</v>
      </c>
      <c r="H1452" s="924">
        <v>3877.2</v>
      </c>
      <c r="I1452" s="908"/>
    </row>
    <row r="1453" spans="1:9">
      <c r="A1453" s="922">
        <v>69</v>
      </c>
      <c r="B1453" s="923" t="s">
        <v>3142</v>
      </c>
      <c r="C1453" s="923" t="s">
        <v>3143</v>
      </c>
      <c r="D1453" s="923" t="s">
        <v>3114</v>
      </c>
      <c r="E1453" s="922">
        <v>352355709045845</v>
      </c>
      <c r="F1453" s="929" t="s">
        <v>3479</v>
      </c>
      <c r="G1453" s="924">
        <v>1080</v>
      </c>
      <c r="H1453" s="924">
        <v>3877.2</v>
      </c>
      <c r="I1453" s="908"/>
    </row>
    <row r="1454" spans="1:9">
      <c r="A1454" s="922">
        <v>70</v>
      </c>
      <c r="B1454" s="923" t="s">
        <v>3142</v>
      </c>
      <c r="C1454" s="923" t="s">
        <v>3143</v>
      </c>
      <c r="D1454" s="923" t="s">
        <v>3122</v>
      </c>
      <c r="E1454" s="922">
        <v>352355701949234</v>
      </c>
      <c r="F1454" s="929" t="s">
        <v>3479</v>
      </c>
      <c r="G1454" s="924">
        <v>1320</v>
      </c>
      <c r="H1454" s="924">
        <v>4738.8</v>
      </c>
      <c r="I1454" s="908"/>
    </row>
    <row r="1455" spans="1:9">
      <c r="A1455" s="922">
        <v>71</v>
      </c>
      <c r="B1455" s="923" t="s">
        <v>3480</v>
      </c>
      <c r="C1455" s="923" t="s">
        <v>3120</v>
      </c>
      <c r="D1455" s="923" t="s">
        <v>3114</v>
      </c>
      <c r="E1455" s="922">
        <v>352355704944109</v>
      </c>
      <c r="F1455" s="923" t="s">
        <v>3481</v>
      </c>
      <c r="G1455" s="924">
        <v>950</v>
      </c>
      <c r="H1455" s="924">
        <v>3410.5</v>
      </c>
      <c r="I1455" s="908"/>
    </row>
    <row r="1456" spans="1:9">
      <c r="A1456" s="922">
        <v>72</v>
      </c>
      <c r="B1456" s="923" t="s">
        <v>3480</v>
      </c>
      <c r="C1456" s="923" t="s">
        <v>3120</v>
      </c>
      <c r="D1456" s="923" t="s">
        <v>3114</v>
      </c>
      <c r="E1456" s="922">
        <v>352355708483302</v>
      </c>
      <c r="F1456" s="923" t="s">
        <v>3482</v>
      </c>
      <c r="G1456" s="924">
        <v>950</v>
      </c>
      <c r="H1456" s="924">
        <v>3410.5</v>
      </c>
      <c r="I1456" s="908"/>
    </row>
    <row r="1457" spans="1:9">
      <c r="A1457" s="922">
        <v>73</v>
      </c>
      <c r="B1457" s="923" t="s">
        <v>3480</v>
      </c>
      <c r="C1457" s="923" t="s">
        <v>3120</v>
      </c>
      <c r="D1457" s="923" t="s">
        <v>3114</v>
      </c>
      <c r="E1457" s="922">
        <v>352355704946237</v>
      </c>
      <c r="F1457" s="929" t="s">
        <v>3479</v>
      </c>
      <c r="G1457" s="924">
        <v>1080</v>
      </c>
      <c r="H1457" s="924">
        <v>3877.2</v>
      </c>
      <c r="I1457" s="908"/>
    </row>
    <row r="1458" spans="1:9">
      <c r="A1458" s="922">
        <v>74</v>
      </c>
      <c r="B1458" s="923" t="s">
        <v>3480</v>
      </c>
      <c r="C1458" s="923" t="s">
        <v>3120</v>
      </c>
      <c r="D1458" s="923" t="s">
        <v>3118</v>
      </c>
      <c r="E1458" s="922">
        <v>352355708996899</v>
      </c>
      <c r="F1458" s="929" t="s">
        <v>3472</v>
      </c>
      <c r="G1458" s="924">
        <v>980</v>
      </c>
      <c r="H1458" s="924">
        <v>3518.2</v>
      </c>
      <c r="I1458" s="909" t="s">
        <v>3483</v>
      </c>
    </row>
    <row r="1459" spans="1:9">
      <c r="A1459" s="922">
        <v>75</v>
      </c>
      <c r="B1459" s="923" t="s">
        <v>3145</v>
      </c>
      <c r="C1459" s="923" t="s">
        <v>3143</v>
      </c>
      <c r="D1459" s="923" t="s">
        <v>3114</v>
      </c>
      <c r="E1459" s="922">
        <v>358112933692858</v>
      </c>
      <c r="F1459" s="925"/>
      <c r="G1459" s="924">
        <v>980</v>
      </c>
      <c r="H1459" s="924">
        <v>3518.2</v>
      </c>
      <c r="I1459" s="908"/>
    </row>
    <row r="1460" spans="1:9">
      <c r="A1460" s="922">
        <v>76</v>
      </c>
      <c r="B1460" s="923" t="s">
        <v>3145</v>
      </c>
      <c r="C1460" s="923" t="s">
        <v>3143</v>
      </c>
      <c r="D1460" s="923" t="s">
        <v>3114</v>
      </c>
      <c r="E1460" s="922">
        <v>358112932235725</v>
      </c>
      <c r="F1460" s="925"/>
      <c r="G1460" s="924">
        <v>980</v>
      </c>
      <c r="H1460" s="924">
        <v>3518.2</v>
      </c>
      <c r="I1460" s="908"/>
    </row>
    <row r="1461" spans="1:9">
      <c r="A1461" s="922">
        <v>77</v>
      </c>
      <c r="B1461" s="923" t="s">
        <v>3484</v>
      </c>
      <c r="C1461" s="923" t="s">
        <v>3150</v>
      </c>
      <c r="D1461" s="923" t="s">
        <v>3140</v>
      </c>
      <c r="E1461" s="922">
        <v>359200576179967</v>
      </c>
      <c r="F1461" s="929" t="s">
        <v>3472</v>
      </c>
      <c r="G1461" s="924">
        <v>550</v>
      </c>
      <c r="H1461" s="924">
        <v>1974.5</v>
      </c>
      <c r="I1461" s="908"/>
    </row>
    <row r="1462" spans="1:9">
      <c r="A1462" s="922">
        <v>78</v>
      </c>
      <c r="B1462" s="923" t="s">
        <v>3154</v>
      </c>
      <c r="C1462" s="923" t="s">
        <v>3150</v>
      </c>
      <c r="D1462" s="923" t="s">
        <v>3140</v>
      </c>
      <c r="E1462" s="923" t="s">
        <v>3485</v>
      </c>
      <c r="F1462" s="925"/>
      <c r="G1462" s="924">
        <v>440</v>
      </c>
      <c r="H1462" s="924">
        <v>1579.6</v>
      </c>
      <c r="I1462" s="908"/>
    </row>
    <row r="1463" spans="1:9">
      <c r="A1463" s="922">
        <v>79</v>
      </c>
      <c r="B1463" s="923" t="s">
        <v>3486</v>
      </c>
      <c r="C1463" s="923" t="s">
        <v>3143</v>
      </c>
      <c r="D1463" s="923" t="s">
        <v>3487</v>
      </c>
      <c r="E1463" s="923" t="s">
        <v>3488</v>
      </c>
      <c r="F1463" s="923" t="s">
        <v>3117</v>
      </c>
      <c r="G1463" s="924">
        <v>1725</v>
      </c>
      <c r="H1463" s="924">
        <v>6192.75</v>
      </c>
      <c r="I1463" s="908"/>
    </row>
    <row r="1464" spans="1:9">
      <c r="A1464" s="922">
        <v>80</v>
      </c>
      <c r="B1464" s="930" t="s">
        <v>3489</v>
      </c>
      <c r="C1464" s="923" t="s">
        <v>3120</v>
      </c>
      <c r="D1464" s="923" t="s">
        <v>3490</v>
      </c>
      <c r="E1464" s="923" t="s">
        <v>3491</v>
      </c>
      <c r="F1464" s="930" t="s">
        <v>3492</v>
      </c>
      <c r="G1464" s="924">
        <v>950</v>
      </c>
      <c r="H1464" s="931">
        <v>3410.5</v>
      </c>
      <c r="I1464" s="908"/>
    </row>
    <row r="1465" spans="1:9">
      <c r="A1465" s="922">
        <v>81</v>
      </c>
      <c r="B1465" s="923" t="s">
        <v>3159</v>
      </c>
      <c r="C1465" s="923" t="s">
        <v>3160</v>
      </c>
      <c r="D1465" s="923" t="s">
        <v>3161</v>
      </c>
      <c r="E1465" s="923" t="s">
        <v>3493</v>
      </c>
      <c r="F1465" s="925"/>
      <c r="G1465" s="924">
        <v>1130</v>
      </c>
      <c r="H1465" s="924">
        <v>4056.7</v>
      </c>
      <c r="I1465" s="908"/>
    </row>
    <row r="1466" spans="1:9">
      <c r="A1466" s="922">
        <v>82</v>
      </c>
      <c r="B1466" s="923" t="s">
        <v>3174</v>
      </c>
      <c r="C1466" s="923" t="s">
        <v>3176</v>
      </c>
      <c r="D1466" s="923" t="s">
        <v>3175</v>
      </c>
      <c r="E1466" s="923" t="s">
        <v>3494</v>
      </c>
      <c r="F1466" s="925"/>
      <c r="G1466" s="924">
        <v>210</v>
      </c>
      <c r="H1466" s="924">
        <v>753.9</v>
      </c>
      <c r="I1466" s="908"/>
    </row>
    <row r="1467" spans="1:9">
      <c r="A1467" s="922">
        <v>83</v>
      </c>
      <c r="B1467" s="923" t="s">
        <v>3174</v>
      </c>
      <c r="C1467" s="923" t="s">
        <v>3176</v>
      </c>
      <c r="D1467" s="923" t="s">
        <v>3175</v>
      </c>
      <c r="E1467" s="923" t="s">
        <v>3495</v>
      </c>
      <c r="F1467" s="925"/>
      <c r="G1467" s="924">
        <v>210</v>
      </c>
      <c r="H1467" s="924">
        <v>753.9</v>
      </c>
      <c r="I1467" s="908"/>
    </row>
    <row r="1468" spans="1:9">
      <c r="A1468" s="922">
        <v>84</v>
      </c>
      <c r="B1468" s="923" t="s">
        <v>3174</v>
      </c>
      <c r="C1468" s="923" t="s">
        <v>3176</v>
      </c>
      <c r="D1468" s="923" t="s">
        <v>3175</v>
      </c>
      <c r="E1468" s="923" t="s">
        <v>3496</v>
      </c>
      <c r="F1468" s="925"/>
      <c r="G1468" s="924">
        <v>210</v>
      </c>
      <c r="H1468" s="924">
        <v>753.9</v>
      </c>
      <c r="I1468" s="908"/>
    </row>
    <row r="1469" spans="1:9">
      <c r="A1469" s="922">
        <v>85</v>
      </c>
      <c r="B1469" s="923" t="s">
        <v>3174</v>
      </c>
      <c r="C1469" s="923" t="s">
        <v>3176</v>
      </c>
      <c r="D1469" s="923" t="s">
        <v>3175</v>
      </c>
      <c r="E1469" s="923" t="s">
        <v>3497</v>
      </c>
      <c r="F1469" s="925"/>
      <c r="G1469" s="924">
        <v>210</v>
      </c>
      <c r="H1469" s="924">
        <v>753.9</v>
      </c>
      <c r="I1469" s="908"/>
    </row>
    <row r="1470" spans="1:9">
      <c r="A1470" s="922">
        <v>86</v>
      </c>
      <c r="B1470" s="923" t="s">
        <v>3179</v>
      </c>
      <c r="C1470" s="923" t="s">
        <v>3160</v>
      </c>
      <c r="D1470" s="923" t="s">
        <v>3180</v>
      </c>
      <c r="E1470" s="923" t="s">
        <v>3498</v>
      </c>
      <c r="F1470" s="925"/>
      <c r="G1470" s="924">
        <v>150</v>
      </c>
      <c r="H1470" s="924">
        <v>538.5</v>
      </c>
      <c r="I1470" s="908"/>
    </row>
    <row r="1471" spans="1:9">
      <c r="A1471" s="922">
        <v>87</v>
      </c>
      <c r="B1471" s="923" t="s">
        <v>3179</v>
      </c>
      <c r="C1471" s="923" t="s">
        <v>3160</v>
      </c>
      <c r="D1471" s="923" t="s">
        <v>3180</v>
      </c>
      <c r="E1471" s="923" t="s">
        <v>3499</v>
      </c>
      <c r="F1471" s="925"/>
      <c r="G1471" s="924">
        <v>150</v>
      </c>
      <c r="H1471" s="924">
        <v>538.5</v>
      </c>
      <c r="I1471" s="908"/>
    </row>
    <row r="1472" spans="1:9">
      <c r="A1472" s="922">
        <v>88</v>
      </c>
      <c r="B1472" s="923" t="s">
        <v>3184</v>
      </c>
      <c r="C1472" s="926"/>
      <c r="D1472" s="927"/>
      <c r="E1472" s="923" t="s">
        <v>3500</v>
      </c>
      <c r="F1472" s="927"/>
      <c r="G1472" s="924">
        <v>200</v>
      </c>
      <c r="H1472" s="924">
        <v>718</v>
      </c>
      <c r="I1472" s="908"/>
    </row>
    <row r="1473" spans="1:9">
      <c r="A1473" s="922">
        <v>89</v>
      </c>
      <c r="B1473" s="923" t="s">
        <v>3184</v>
      </c>
      <c r="C1473" s="926"/>
      <c r="D1473" s="927"/>
      <c r="E1473" s="923" t="s">
        <v>3501</v>
      </c>
      <c r="F1473" s="927"/>
      <c r="G1473" s="924">
        <v>200</v>
      </c>
      <c r="H1473" s="924">
        <v>718</v>
      </c>
      <c r="I1473" s="908"/>
    </row>
    <row r="1474" spans="1:9">
      <c r="A1474" s="922">
        <v>90</v>
      </c>
      <c r="B1474" s="923" t="s">
        <v>3184</v>
      </c>
      <c r="C1474" s="926"/>
      <c r="D1474" s="927"/>
      <c r="E1474" s="923" t="s">
        <v>3502</v>
      </c>
      <c r="F1474" s="927"/>
      <c r="G1474" s="924">
        <v>200</v>
      </c>
      <c r="H1474" s="924">
        <v>718</v>
      </c>
      <c r="I1474" s="908"/>
    </row>
    <row r="1475" spans="1:9">
      <c r="A1475" s="922">
        <v>91</v>
      </c>
      <c r="B1475" s="923" t="s">
        <v>3184</v>
      </c>
      <c r="C1475" s="926"/>
      <c r="D1475" s="927"/>
      <c r="E1475" s="923" t="s">
        <v>3503</v>
      </c>
      <c r="F1475" s="927"/>
      <c r="G1475" s="924">
        <v>200</v>
      </c>
      <c r="H1475" s="924">
        <v>718</v>
      </c>
      <c r="I1475" s="908"/>
    </row>
    <row r="1476" spans="1:9">
      <c r="A1476" s="922">
        <v>92</v>
      </c>
      <c r="B1476" s="923" t="s">
        <v>3184</v>
      </c>
      <c r="C1476" s="926"/>
      <c r="D1476" s="927"/>
      <c r="E1476" s="923" t="s">
        <v>3504</v>
      </c>
      <c r="F1476" s="927"/>
      <c r="G1476" s="924">
        <v>200</v>
      </c>
      <c r="H1476" s="924">
        <v>718</v>
      </c>
      <c r="I1476" s="908"/>
    </row>
    <row r="1477" spans="1:9" ht="25.5">
      <c r="A1477" s="922">
        <v>93</v>
      </c>
      <c r="B1477" s="923" t="s">
        <v>3184</v>
      </c>
      <c r="C1477" s="926"/>
      <c r="D1477" s="927"/>
      <c r="E1477" s="923" t="s">
        <v>3505</v>
      </c>
      <c r="F1477" s="927"/>
      <c r="G1477" s="924">
        <v>200</v>
      </c>
      <c r="H1477" s="924">
        <v>718</v>
      </c>
      <c r="I1477" s="913" t="s">
        <v>3506</v>
      </c>
    </row>
    <row r="1478" spans="1:9">
      <c r="A1478" s="922">
        <v>94</v>
      </c>
      <c r="B1478" s="923" t="s">
        <v>3184</v>
      </c>
      <c r="C1478" s="926"/>
      <c r="D1478" s="927"/>
      <c r="E1478" s="923" t="s">
        <v>3507</v>
      </c>
      <c r="F1478" s="927"/>
      <c r="G1478" s="924">
        <v>200</v>
      </c>
      <c r="H1478" s="924">
        <v>718</v>
      </c>
      <c r="I1478" s="908"/>
    </row>
    <row r="1479" spans="1:9">
      <c r="A1479" s="922">
        <v>95</v>
      </c>
      <c r="B1479" s="923" t="s">
        <v>3184</v>
      </c>
      <c r="C1479" s="926"/>
      <c r="D1479" s="927"/>
      <c r="E1479" s="923" t="s">
        <v>3508</v>
      </c>
      <c r="F1479" s="927"/>
      <c r="G1479" s="924">
        <v>200</v>
      </c>
      <c r="H1479" s="924">
        <v>718</v>
      </c>
      <c r="I1479" s="908"/>
    </row>
    <row r="1480" spans="1:9">
      <c r="A1480" s="922">
        <v>96</v>
      </c>
      <c r="B1480" s="923" t="s">
        <v>3184</v>
      </c>
      <c r="C1480" s="926"/>
      <c r="D1480" s="927"/>
      <c r="E1480" s="923" t="s">
        <v>3509</v>
      </c>
      <c r="F1480" s="927"/>
      <c r="G1480" s="924">
        <v>200</v>
      </c>
      <c r="H1480" s="924">
        <v>718</v>
      </c>
      <c r="I1480" s="908"/>
    </row>
    <row r="1481" spans="1:9">
      <c r="A1481" s="922">
        <v>97</v>
      </c>
      <c r="B1481" s="923" t="s">
        <v>3184</v>
      </c>
      <c r="C1481" s="926"/>
      <c r="D1481" s="927"/>
      <c r="E1481" s="923" t="s">
        <v>3510</v>
      </c>
      <c r="F1481" s="927"/>
      <c r="G1481" s="924">
        <v>200</v>
      </c>
      <c r="H1481" s="924">
        <v>718</v>
      </c>
      <c r="I1481" s="908"/>
    </row>
    <row r="1482" spans="1:9">
      <c r="A1482" s="922">
        <v>98</v>
      </c>
      <c r="B1482" s="923" t="s">
        <v>3511</v>
      </c>
      <c r="C1482" s="926"/>
      <c r="D1482" s="927"/>
      <c r="E1482" s="923" t="s">
        <v>3512</v>
      </c>
      <c r="F1482" s="927"/>
      <c r="G1482" s="924">
        <v>125</v>
      </c>
      <c r="H1482" s="924">
        <v>448.75</v>
      </c>
      <c r="I1482" s="908">
        <v>80</v>
      </c>
    </row>
    <row r="1483" spans="1:9">
      <c r="A1483" s="922">
        <v>99</v>
      </c>
      <c r="B1483" s="923" t="s">
        <v>3513</v>
      </c>
      <c r="C1483" s="926"/>
      <c r="D1483" s="927"/>
      <c r="E1483" s="923" t="s">
        <v>3514</v>
      </c>
      <c r="F1483" s="927"/>
      <c r="G1483" s="924">
        <v>125</v>
      </c>
      <c r="H1483" s="924">
        <v>448.75</v>
      </c>
      <c r="I1483" s="908"/>
    </row>
    <row r="1484" spans="1:9">
      <c r="A1484" s="922">
        <v>100</v>
      </c>
      <c r="B1484" s="923" t="s">
        <v>3513</v>
      </c>
      <c r="C1484" s="926"/>
      <c r="D1484" s="927"/>
      <c r="E1484" s="923" t="s">
        <v>3515</v>
      </c>
      <c r="F1484" s="927"/>
      <c r="G1484" s="924">
        <v>125</v>
      </c>
      <c r="H1484" s="924">
        <v>448.75</v>
      </c>
      <c r="I1484" s="908"/>
    </row>
    <row r="1485" spans="1:9">
      <c r="A1485" s="922">
        <v>101</v>
      </c>
      <c r="B1485" s="923" t="s">
        <v>3513</v>
      </c>
      <c r="C1485" s="926"/>
      <c r="D1485" s="927"/>
      <c r="E1485" s="923" t="s">
        <v>3516</v>
      </c>
      <c r="F1485" s="927"/>
      <c r="G1485" s="924">
        <v>125</v>
      </c>
      <c r="H1485" s="924">
        <v>448.75</v>
      </c>
      <c r="I1485" s="908"/>
    </row>
    <row r="1486" spans="1:9">
      <c r="A1486" s="922">
        <v>102</v>
      </c>
      <c r="B1486" s="923" t="s">
        <v>3513</v>
      </c>
      <c r="C1486" s="926"/>
      <c r="D1486" s="927"/>
      <c r="E1486" s="923" t="s">
        <v>3517</v>
      </c>
      <c r="F1486" s="927"/>
      <c r="G1486" s="924">
        <v>125</v>
      </c>
      <c r="H1486" s="924">
        <v>448.75</v>
      </c>
      <c r="I1486" s="908"/>
    </row>
    <row r="1487" spans="1:9">
      <c r="A1487" s="922">
        <v>103</v>
      </c>
      <c r="B1487" s="923" t="s">
        <v>3513</v>
      </c>
      <c r="C1487" s="926"/>
      <c r="D1487" s="927"/>
      <c r="E1487" s="923" t="s">
        <v>3518</v>
      </c>
      <c r="F1487" s="927"/>
      <c r="G1487" s="924">
        <v>125</v>
      </c>
      <c r="H1487" s="924">
        <v>448.75</v>
      </c>
      <c r="I1487" s="908"/>
    </row>
    <row r="1488" spans="1:9">
      <c r="A1488" s="922">
        <v>104</v>
      </c>
      <c r="B1488" s="923" t="s">
        <v>3513</v>
      </c>
      <c r="C1488" s="926"/>
      <c r="D1488" s="927"/>
      <c r="E1488" s="923" t="s">
        <v>3519</v>
      </c>
      <c r="F1488" s="927"/>
      <c r="G1488" s="924">
        <v>125</v>
      </c>
      <c r="H1488" s="924">
        <v>448.75</v>
      </c>
      <c r="I1488" s="908"/>
    </row>
    <row r="1489" spans="1:9">
      <c r="A1489" s="922">
        <v>105</v>
      </c>
      <c r="B1489" s="923" t="s">
        <v>3513</v>
      </c>
      <c r="C1489" s="926"/>
      <c r="D1489" s="927"/>
      <c r="E1489" s="923" t="s">
        <v>3520</v>
      </c>
      <c r="F1489" s="927"/>
      <c r="G1489" s="924">
        <v>125</v>
      </c>
      <c r="H1489" s="924">
        <v>448.75</v>
      </c>
      <c r="I1489" s="908"/>
    </row>
    <row r="1490" spans="1:9">
      <c r="A1490" s="922">
        <v>106</v>
      </c>
      <c r="B1490" s="923" t="s">
        <v>3521</v>
      </c>
      <c r="C1490" s="923" t="s">
        <v>3122</v>
      </c>
      <c r="D1490" s="926"/>
      <c r="E1490" s="923" t="s">
        <v>3522</v>
      </c>
      <c r="F1490" s="928"/>
      <c r="G1490" s="924">
        <v>425</v>
      </c>
      <c r="H1490" s="924">
        <v>1525.75</v>
      </c>
      <c r="I1490" s="908"/>
    </row>
    <row r="1491" spans="1:9">
      <c r="A1491" s="922">
        <v>107</v>
      </c>
      <c r="B1491" s="923" t="s">
        <v>3521</v>
      </c>
      <c r="C1491" s="923" t="s">
        <v>3122</v>
      </c>
      <c r="D1491" s="926"/>
      <c r="E1491" s="923" t="s">
        <v>3523</v>
      </c>
      <c r="F1491" s="928"/>
      <c r="G1491" s="924">
        <v>425</v>
      </c>
      <c r="H1491" s="924">
        <v>1525.75</v>
      </c>
      <c r="I1491" s="908"/>
    </row>
    <row r="1492" spans="1:9">
      <c r="A1492" s="922">
        <v>108</v>
      </c>
      <c r="B1492" s="923" t="s">
        <v>3524</v>
      </c>
      <c r="C1492" s="922">
        <v>1</v>
      </c>
      <c r="D1492" s="932"/>
      <c r="E1492" s="933">
        <v>815820024125</v>
      </c>
      <c r="F1492" s="932"/>
      <c r="G1492" s="924">
        <v>25</v>
      </c>
      <c r="H1492" s="924">
        <v>89.75</v>
      </c>
      <c r="I1492" s="908"/>
    </row>
    <row r="1493" spans="1:9">
      <c r="A1493" s="922">
        <v>109</v>
      </c>
      <c r="B1493" s="923" t="s">
        <v>3525</v>
      </c>
      <c r="C1493" s="923" t="s">
        <v>3202</v>
      </c>
      <c r="D1493" s="926"/>
      <c r="E1493" s="923" t="s">
        <v>3526</v>
      </c>
      <c r="F1493" s="928"/>
      <c r="G1493" s="924">
        <v>350</v>
      </c>
      <c r="H1493" s="924">
        <v>1256.5</v>
      </c>
      <c r="I1493" s="908"/>
    </row>
    <row r="1494" spans="1:9" ht="25.5">
      <c r="A1494" s="922">
        <v>110</v>
      </c>
      <c r="B1494" s="923" t="s">
        <v>3201</v>
      </c>
      <c r="C1494" s="923" t="s">
        <v>3527</v>
      </c>
      <c r="D1494" s="926"/>
      <c r="E1494" s="923" t="s">
        <v>3528</v>
      </c>
      <c r="F1494" s="928"/>
      <c r="G1494" s="924">
        <v>175</v>
      </c>
      <c r="H1494" s="924">
        <v>628.25</v>
      </c>
      <c r="I1494" s="914" t="s">
        <v>3529</v>
      </c>
    </row>
    <row r="1495" spans="1:9" ht="18.75">
      <c r="A1495" s="908"/>
      <c r="B1495" s="908"/>
      <c r="C1495" s="908"/>
      <c r="D1495" s="908"/>
      <c r="E1495" s="908"/>
      <c r="F1495" s="908"/>
      <c r="G1495" s="916">
        <v>84985</v>
      </c>
      <c r="H1495" s="917">
        <v>305096.15000000008</v>
      </c>
      <c r="I1495" s="908"/>
    </row>
    <row r="1496" spans="1:9">
      <c r="E1496" s="907"/>
    </row>
    <row r="1497" spans="1:9">
      <c r="E1497" s="907"/>
    </row>
    <row r="1498" spans="1:9">
      <c r="E1498" s="907"/>
    </row>
    <row r="1499" spans="1:9">
      <c r="E1499" s="907"/>
    </row>
    <row r="1500" spans="1:9">
      <c r="E1500" s="907"/>
    </row>
    <row r="1501" spans="1:9">
      <c r="E1501" s="907"/>
    </row>
    <row r="1502" spans="1:9">
      <c r="E1502" s="907"/>
    </row>
    <row r="1503" spans="1:9">
      <c r="E1503" s="907"/>
    </row>
    <row r="1504" spans="1:9">
      <c r="E1504" s="907"/>
    </row>
    <row r="1505" spans="1:8">
      <c r="E1505" s="907"/>
    </row>
    <row r="1506" spans="1:8">
      <c r="E1506" s="907"/>
    </row>
    <row r="1507" spans="1:8" ht="21.6" customHeight="1">
      <c r="A1507" s="1503" t="s">
        <v>3258</v>
      </c>
      <c r="B1507" s="1503"/>
      <c r="C1507" s="1505" t="s">
        <v>3531</v>
      </c>
      <c r="D1507" s="1507" t="s">
        <v>3698</v>
      </c>
      <c r="E1507" s="1507"/>
      <c r="F1507" s="1507"/>
      <c r="G1507" s="1507"/>
      <c r="H1507" s="1507"/>
    </row>
    <row r="1508" spans="1:8" s="731" customFormat="1">
      <c r="A1508" s="1504"/>
      <c r="B1508" s="1504"/>
      <c r="C1508" s="1506"/>
      <c r="D1508" s="935" t="s">
        <v>2421</v>
      </c>
      <c r="E1508" s="935" t="s">
        <v>2755</v>
      </c>
      <c r="F1508" s="936" t="s">
        <v>3471</v>
      </c>
      <c r="G1508" s="936" t="s">
        <v>2645</v>
      </c>
      <c r="H1508" s="936" t="s">
        <v>3029</v>
      </c>
    </row>
    <row r="1509" spans="1:8">
      <c r="A1509" s="939">
        <v>1</v>
      </c>
      <c r="B1509" s="942" t="s">
        <v>3532</v>
      </c>
      <c r="C1509" s="942" t="s">
        <v>3264</v>
      </c>
      <c r="D1509" s="943" t="s">
        <v>3262</v>
      </c>
      <c r="E1509" s="952">
        <v>357585651901984</v>
      </c>
      <c r="F1509" s="941">
        <v>500</v>
      </c>
      <c r="G1509" s="941">
        <f>F1509*3.59</f>
        <v>1795</v>
      </c>
      <c r="H1509" s="941"/>
    </row>
    <row r="1510" spans="1:8">
      <c r="A1510" s="939">
        <v>2</v>
      </c>
      <c r="B1510" s="942" t="s">
        <v>3533</v>
      </c>
      <c r="C1510" s="942" t="s">
        <v>3534</v>
      </c>
      <c r="D1510" s="945" t="s">
        <v>3262</v>
      </c>
      <c r="E1510" s="944" t="s">
        <v>3535</v>
      </c>
      <c r="F1510" s="941">
        <v>385</v>
      </c>
      <c r="G1510" s="941">
        <f t="shared" ref="G1510:G1573" si="15">F1510*3.59</f>
        <v>1382.1499999999999</v>
      </c>
      <c r="H1510" s="941"/>
    </row>
    <row r="1511" spans="1:8">
      <c r="A1511" s="939">
        <v>3</v>
      </c>
      <c r="B1511" s="942" t="s">
        <v>3533</v>
      </c>
      <c r="C1511" s="942" t="s">
        <v>3534</v>
      </c>
      <c r="D1511" s="945" t="s">
        <v>3262</v>
      </c>
      <c r="E1511" s="944" t="s">
        <v>3536</v>
      </c>
      <c r="F1511" s="941">
        <v>385</v>
      </c>
      <c r="G1511" s="941">
        <f t="shared" si="15"/>
        <v>1382.1499999999999</v>
      </c>
      <c r="H1511" s="941"/>
    </row>
    <row r="1512" spans="1:8">
      <c r="A1512" s="939">
        <v>4</v>
      </c>
      <c r="B1512" s="942" t="s">
        <v>3537</v>
      </c>
      <c r="C1512" s="942" t="s">
        <v>3534</v>
      </c>
      <c r="D1512" s="945" t="s">
        <v>3538</v>
      </c>
      <c r="E1512" s="944" t="s">
        <v>3539</v>
      </c>
      <c r="F1512" s="941">
        <v>850</v>
      </c>
      <c r="G1512" s="941">
        <f t="shared" si="15"/>
        <v>3051.5</v>
      </c>
      <c r="H1512" s="941"/>
    </row>
    <row r="1513" spans="1:8">
      <c r="A1513" s="939">
        <v>5</v>
      </c>
      <c r="B1513" s="942" t="s">
        <v>3277</v>
      </c>
      <c r="C1513" s="942" t="s">
        <v>3540</v>
      </c>
      <c r="D1513" s="945" t="s">
        <v>3541</v>
      </c>
      <c r="E1513" s="944" t="s">
        <v>3542</v>
      </c>
      <c r="F1513" s="941">
        <v>300</v>
      </c>
      <c r="G1513" s="941">
        <f t="shared" si="15"/>
        <v>1077</v>
      </c>
      <c r="H1513" s="941"/>
    </row>
    <row r="1514" spans="1:8">
      <c r="A1514" s="939">
        <v>6</v>
      </c>
      <c r="B1514" s="942" t="s">
        <v>3277</v>
      </c>
      <c r="C1514" s="942" t="s">
        <v>3278</v>
      </c>
      <c r="D1514" s="945" t="s">
        <v>3279</v>
      </c>
      <c r="E1514" s="944" t="s">
        <v>3543</v>
      </c>
      <c r="F1514" s="941">
        <v>320</v>
      </c>
      <c r="G1514" s="941">
        <f t="shared" si="15"/>
        <v>1148.8</v>
      </c>
      <c r="H1514" s="941"/>
    </row>
    <row r="1515" spans="1:8">
      <c r="A1515" s="939">
        <v>7</v>
      </c>
      <c r="B1515" s="942" t="s">
        <v>3544</v>
      </c>
      <c r="C1515" s="942" t="s">
        <v>3545</v>
      </c>
      <c r="D1515" s="945" t="s">
        <v>3546</v>
      </c>
      <c r="E1515" s="953">
        <v>357550245539393</v>
      </c>
      <c r="F1515" s="941">
        <v>210</v>
      </c>
      <c r="G1515" s="941">
        <f t="shared" si="15"/>
        <v>753.9</v>
      </c>
      <c r="H1515" s="941"/>
    </row>
    <row r="1516" spans="1:8">
      <c r="A1516" s="939">
        <v>8</v>
      </c>
      <c r="B1516" s="942" t="s">
        <v>3544</v>
      </c>
      <c r="C1516" s="954" t="s">
        <v>3545</v>
      </c>
      <c r="D1516" s="955" t="s">
        <v>3547</v>
      </c>
      <c r="E1516" s="944" t="s">
        <v>3548</v>
      </c>
      <c r="F1516" s="941">
        <v>185</v>
      </c>
      <c r="G1516" s="941">
        <f t="shared" si="15"/>
        <v>664.15</v>
      </c>
      <c r="H1516" s="941"/>
    </row>
    <row r="1517" spans="1:8">
      <c r="A1517" s="939">
        <v>9</v>
      </c>
      <c r="B1517" s="945" t="s">
        <v>3549</v>
      </c>
      <c r="C1517" s="832"/>
      <c r="D1517" s="950"/>
      <c r="E1517" s="944" t="s">
        <v>3550</v>
      </c>
      <c r="F1517" s="941">
        <v>200</v>
      </c>
      <c r="G1517" s="941">
        <f t="shared" si="15"/>
        <v>718</v>
      </c>
      <c r="H1517" s="941"/>
    </row>
    <row r="1518" spans="1:8">
      <c r="A1518" s="939">
        <v>10</v>
      </c>
      <c r="B1518" s="945" t="s">
        <v>3549</v>
      </c>
      <c r="C1518" s="832"/>
      <c r="D1518" s="950"/>
      <c r="E1518" s="944" t="s">
        <v>3551</v>
      </c>
      <c r="F1518" s="941">
        <v>205</v>
      </c>
      <c r="G1518" s="941">
        <f t="shared" si="15"/>
        <v>735.94999999999993</v>
      </c>
      <c r="H1518" s="941"/>
    </row>
    <row r="1519" spans="1:8" ht="25.5">
      <c r="A1519" s="939">
        <v>11</v>
      </c>
      <c r="B1519" s="945" t="s">
        <v>3549</v>
      </c>
      <c r="C1519" s="832"/>
      <c r="D1519" s="950"/>
      <c r="E1519" s="944" t="s">
        <v>3552</v>
      </c>
      <c r="F1519" s="941">
        <v>205</v>
      </c>
      <c r="G1519" s="941">
        <f t="shared" si="15"/>
        <v>735.94999999999993</v>
      </c>
      <c r="H1519" s="951" t="s">
        <v>3553</v>
      </c>
    </row>
    <row r="1520" spans="1:8">
      <c r="A1520" s="939">
        <v>12</v>
      </c>
      <c r="B1520" s="945" t="s">
        <v>3549</v>
      </c>
      <c r="C1520" s="832"/>
      <c r="D1520" s="950"/>
      <c r="E1520" s="944" t="s">
        <v>3554</v>
      </c>
      <c r="F1520" s="941">
        <v>200</v>
      </c>
      <c r="G1520" s="941">
        <f t="shared" si="15"/>
        <v>718</v>
      </c>
      <c r="H1520" s="941"/>
    </row>
    <row r="1521" spans="1:8" ht="25.5">
      <c r="A1521" s="939">
        <v>13</v>
      </c>
      <c r="B1521" s="945" t="s">
        <v>3549</v>
      </c>
      <c r="C1521" s="832"/>
      <c r="D1521" s="950"/>
      <c r="E1521" s="944" t="s">
        <v>3555</v>
      </c>
      <c r="F1521" s="941">
        <v>205</v>
      </c>
      <c r="G1521" s="941">
        <f t="shared" si="15"/>
        <v>735.94999999999993</v>
      </c>
      <c r="H1521" s="951" t="s">
        <v>3556</v>
      </c>
    </row>
    <row r="1522" spans="1:8">
      <c r="A1522" s="939">
        <v>14</v>
      </c>
      <c r="B1522" s="945" t="s">
        <v>3557</v>
      </c>
      <c r="C1522" s="832"/>
      <c r="D1522" s="950"/>
      <c r="E1522" s="944" t="s">
        <v>3558</v>
      </c>
      <c r="F1522" s="941">
        <v>125</v>
      </c>
      <c r="G1522" s="941">
        <f t="shared" si="15"/>
        <v>448.75</v>
      </c>
      <c r="H1522" s="941"/>
    </row>
    <row r="1523" spans="1:8" ht="25.5">
      <c r="A1523" s="939">
        <v>15</v>
      </c>
      <c r="B1523" s="945" t="s">
        <v>3557</v>
      </c>
      <c r="C1523" s="832"/>
      <c r="D1523" s="950"/>
      <c r="E1523" s="944" t="s">
        <v>3559</v>
      </c>
      <c r="F1523" s="941">
        <v>85</v>
      </c>
      <c r="G1523" s="941">
        <f t="shared" si="15"/>
        <v>305.14999999999998</v>
      </c>
      <c r="H1523" s="947" t="s">
        <v>3560</v>
      </c>
    </row>
    <row r="1524" spans="1:8">
      <c r="A1524" s="939">
        <v>16</v>
      </c>
      <c r="B1524" s="942" t="s">
        <v>3561</v>
      </c>
      <c r="C1524" s="943" t="s">
        <v>3562</v>
      </c>
      <c r="D1524" s="946"/>
      <c r="E1524" s="944" t="s">
        <v>3563</v>
      </c>
      <c r="F1524" s="941">
        <v>410</v>
      </c>
      <c r="G1524" s="941">
        <f t="shared" si="15"/>
        <v>1471.8999999999999</v>
      </c>
      <c r="H1524" s="941"/>
    </row>
    <row r="1525" spans="1:8">
      <c r="A1525" s="939">
        <v>17</v>
      </c>
      <c r="B1525" s="942" t="s">
        <v>3561</v>
      </c>
      <c r="C1525" s="945" t="s">
        <v>3562</v>
      </c>
      <c r="D1525" s="946"/>
      <c r="E1525" s="944" t="s">
        <v>3564</v>
      </c>
      <c r="F1525" s="941">
        <v>410</v>
      </c>
      <c r="G1525" s="941">
        <f t="shared" si="15"/>
        <v>1471.8999999999999</v>
      </c>
      <c r="H1525" s="941"/>
    </row>
    <row r="1526" spans="1:8">
      <c r="A1526" s="939">
        <v>18</v>
      </c>
      <c r="B1526" s="942" t="s">
        <v>3561</v>
      </c>
      <c r="C1526" s="945" t="s">
        <v>3534</v>
      </c>
      <c r="D1526" s="946"/>
      <c r="E1526" s="944" t="s">
        <v>3565</v>
      </c>
      <c r="F1526" s="941">
        <v>410</v>
      </c>
      <c r="G1526" s="941">
        <f t="shared" si="15"/>
        <v>1471.8999999999999</v>
      </c>
      <c r="H1526" s="941"/>
    </row>
    <row r="1527" spans="1:8">
      <c r="A1527" s="939">
        <v>19</v>
      </c>
      <c r="B1527" s="942" t="s">
        <v>3561</v>
      </c>
      <c r="C1527" s="945" t="s">
        <v>3270</v>
      </c>
      <c r="D1527" s="946"/>
      <c r="E1527" s="944" t="s">
        <v>3566</v>
      </c>
      <c r="F1527" s="941">
        <v>410</v>
      </c>
      <c r="G1527" s="941">
        <f t="shared" si="15"/>
        <v>1471.8999999999999</v>
      </c>
      <c r="H1527" s="941"/>
    </row>
    <row r="1528" spans="1:8">
      <c r="A1528" s="939">
        <v>20</v>
      </c>
      <c r="B1528" s="942" t="s">
        <v>3561</v>
      </c>
      <c r="C1528" s="945" t="s">
        <v>3270</v>
      </c>
      <c r="D1528" s="946"/>
      <c r="E1528" s="944" t="s">
        <v>3567</v>
      </c>
      <c r="F1528" s="941">
        <v>410</v>
      </c>
      <c r="G1528" s="941">
        <f t="shared" si="15"/>
        <v>1471.8999999999999</v>
      </c>
      <c r="H1528" s="941"/>
    </row>
    <row r="1529" spans="1:8">
      <c r="A1529" s="939">
        <v>21</v>
      </c>
      <c r="B1529" s="942" t="s">
        <v>3561</v>
      </c>
      <c r="C1529" s="945" t="s">
        <v>3545</v>
      </c>
      <c r="D1529" s="946"/>
      <c r="E1529" s="944" t="s">
        <v>3568</v>
      </c>
      <c r="F1529" s="941">
        <v>410</v>
      </c>
      <c r="G1529" s="941">
        <f t="shared" si="15"/>
        <v>1471.8999999999999</v>
      </c>
      <c r="H1529" s="941"/>
    </row>
    <row r="1530" spans="1:8">
      <c r="A1530" s="939">
        <v>22</v>
      </c>
      <c r="B1530" s="942" t="s">
        <v>3569</v>
      </c>
      <c r="C1530" s="945" t="s">
        <v>3570</v>
      </c>
      <c r="D1530" s="946"/>
      <c r="E1530" s="944" t="s">
        <v>3571</v>
      </c>
      <c r="F1530" s="941">
        <v>350</v>
      </c>
      <c r="G1530" s="941">
        <f t="shared" si="15"/>
        <v>1256.5</v>
      </c>
      <c r="H1530" s="941"/>
    </row>
    <row r="1531" spans="1:8" ht="25.5">
      <c r="A1531" s="939">
        <v>23</v>
      </c>
      <c r="B1531" s="942" t="s">
        <v>3572</v>
      </c>
      <c r="C1531" s="945" t="s">
        <v>3573</v>
      </c>
      <c r="D1531" s="946"/>
      <c r="E1531" s="944" t="s">
        <v>3574</v>
      </c>
      <c r="F1531" s="941">
        <v>160</v>
      </c>
      <c r="G1531" s="941">
        <f t="shared" si="15"/>
        <v>574.4</v>
      </c>
      <c r="H1531" s="951" t="s">
        <v>3575</v>
      </c>
    </row>
    <row r="1532" spans="1:8">
      <c r="A1532" s="939">
        <v>24</v>
      </c>
      <c r="B1532" s="942" t="s">
        <v>3299</v>
      </c>
      <c r="C1532" s="942" t="s">
        <v>3300</v>
      </c>
      <c r="D1532" s="943" t="s">
        <v>3301</v>
      </c>
      <c r="E1532" s="944" t="s">
        <v>3576</v>
      </c>
      <c r="F1532" s="941">
        <v>620</v>
      </c>
      <c r="G1532" s="941">
        <f t="shared" si="15"/>
        <v>2225.7999999999997</v>
      </c>
      <c r="H1532" s="941"/>
    </row>
    <row r="1533" spans="1:8">
      <c r="A1533" s="939">
        <v>25</v>
      </c>
      <c r="B1533" s="942" t="s">
        <v>3299</v>
      </c>
      <c r="C1533" s="942" t="s">
        <v>3300</v>
      </c>
      <c r="D1533" s="945" t="s">
        <v>3301</v>
      </c>
      <c r="E1533" s="944" t="s">
        <v>3577</v>
      </c>
      <c r="F1533" s="941">
        <v>620</v>
      </c>
      <c r="G1533" s="941">
        <f t="shared" si="15"/>
        <v>2225.7999999999997</v>
      </c>
      <c r="H1533" s="941"/>
    </row>
    <row r="1534" spans="1:8">
      <c r="A1534" s="939">
        <v>26</v>
      </c>
      <c r="B1534" s="942" t="s">
        <v>3299</v>
      </c>
      <c r="C1534" s="942" t="s">
        <v>3300</v>
      </c>
      <c r="D1534" s="945" t="s">
        <v>3301</v>
      </c>
      <c r="E1534" s="944" t="s">
        <v>3578</v>
      </c>
      <c r="F1534" s="941">
        <v>620</v>
      </c>
      <c r="G1534" s="941">
        <f t="shared" si="15"/>
        <v>2225.7999999999997</v>
      </c>
      <c r="H1534" s="941"/>
    </row>
    <row r="1535" spans="1:8">
      <c r="A1535" s="939">
        <v>27</v>
      </c>
      <c r="B1535" s="942" t="s">
        <v>3299</v>
      </c>
      <c r="C1535" s="942" t="s">
        <v>3300</v>
      </c>
      <c r="D1535" s="945" t="s">
        <v>3301</v>
      </c>
      <c r="E1535" s="944" t="s">
        <v>3579</v>
      </c>
      <c r="F1535" s="941">
        <v>620</v>
      </c>
      <c r="G1535" s="941">
        <f t="shared" si="15"/>
        <v>2225.7999999999997</v>
      </c>
      <c r="H1535" s="941"/>
    </row>
    <row r="1536" spans="1:8">
      <c r="A1536" s="939">
        <v>28</v>
      </c>
      <c r="B1536" s="942" t="s">
        <v>3299</v>
      </c>
      <c r="C1536" s="942" t="s">
        <v>3300</v>
      </c>
      <c r="D1536" s="945" t="s">
        <v>3301</v>
      </c>
      <c r="E1536" s="944" t="s">
        <v>3580</v>
      </c>
      <c r="F1536" s="941">
        <v>620</v>
      </c>
      <c r="G1536" s="941">
        <f t="shared" si="15"/>
        <v>2225.7999999999997</v>
      </c>
      <c r="H1536" s="941"/>
    </row>
    <row r="1537" spans="1:8">
      <c r="A1537" s="939">
        <v>29</v>
      </c>
      <c r="B1537" s="942" t="s">
        <v>3299</v>
      </c>
      <c r="C1537" s="942" t="s">
        <v>3300</v>
      </c>
      <c r="D1537" s="945" t="s">
        <v>3301</v>
      </c>
      <c r="E1537" s="944" t="s">
        <v>3581</v>
      </c>
      <c r="F1537" s="941">
        <v>620</v>
      </c>
      <c r="G1537" s="941">
        <f t="shared" si="15"/>
        <v>2225.7999999999997</v>
      </c>
      <c r="H1537" s="941"/>
    </row>
    <row r="1538" spans="1:8">
      <c r="A1538" s="939">
        <v>30</v>
      </c>
      <c r="B1538" s="942" t="s">
        <v>3299</v>
      </c>
      <c r="C1538" s="942" t="s">
        <v>3300</v>
      </c>
      <c r="D1538" s="945" t="s">
        <v>3301</v>
      </c>
      <c r="E1538" s="944" t="s">
        <v>3582</v>
      </c>
      <c r="F1538" s="941">
        <v>620</v>
      </c>
      <c r="G1538" s="941">
        <f t="shared" si="15"/>
        <v>2225.7999999999997</v>
      </c>
      <c r="H1538" s="941"/>
    </row>
    <row r="1539" spans="1:8">
      <c r="A1539" s="939">
        <v>31</v>
      </c>
      <c r="B1539" s="942" t="s">
        <v>3299</v>
      </c>
      <c r="C1539" s="942" t="s">
        <v>3300</v>
      </c>
      <c r="D1539" s="945" t="s">
        <v>3301</v>
      </c>
      <c r="E1539" s="944" t="s">
        <v>3583</v>
      </c>
      <c r="F1539" s="941">
        <v>620</v>
      </c>
      <c r="G1539" s="941">
        <f t="shared" si="15"/>
        <v>2225.7999999999997</v>
      </c>
      <c r="H1539" s="941"/>
    </row>
    <row r="1540" spans="1:8">
      <c r="A1540" s="939">
        <v>32</v>
      </c>
      <c r="B1540" s="942" t="s">
        <v>3299</v>
      </c>
      <c r="C1540" s="942" t="s">
        <v>3300</v>
      </c>
      <c r="D1540" s="945" t="s">
        <v>3301</v>
      </c>
      <c r="E1540" s="944" t="s">
        <v>3584</v>
      </c>
      <c r="F1540" s="941">
        <v>620</v>
      </c>
      <c r="G1540" s="941">
        <f t="shared" si="15"/>
        <v>2225.7999999999997</v>
      </c>
      <c r="H1540" s="941"/>
    </row>
    <row r="1541" spans="1:8">
      <c r="A1541" s="939">
        <v>33</v>
      </c>
      <c r="B1541" s="942" t="s">
        <v>3299</v>
      </c>
      <c r="C1541" s="942" t="s">
        <v>3300</v>
      </c>
      <c r="D1541" s="945" t="s">
        <v>3301</v>
      </c>
      <c r="E1541" s="944" t="s">
        <v>3585</v>
      </c>
      <c r="F1541" s="941">
        <v>620</v>
      </c>
      <c r="G1541" s="941">
        <f t="shared" si="15"/>
        <v>2225.7999999999997</v>
      </c>
      <c r="H1541" s="941"/>
    </row>
    <row r="1542" spans="1:8">
      <c r="A1542" s="939">
        <v>34</v>
      </c>
      <c r="B1542" s="942" t="s">
        <v>3299</v>
      </c>
      <c r="C1542" s="942" t="s">
        <v>3300</v>
      </c>
      <c r="D1542" s="945" t="s">
        <v>3301</v>
      </c>
      <c r="E1542" s="944" t="s">
        <v>3586</v>
      </c>
      <c r="F1542" s="941">
        <v>620</v>
      </c>
      <c r="G1542" s="941">
        <f t="shared" si="15"/>
        <v>2225.7999999999997</v>
      </c>
      <c r="H1542" s="941"/>
    </row>
    <row r="1543" spans="1:8">
      <c r="A1543" s="939">
        <v>35</v>
      </c>
      <c r="B1543" s="942" t="s">
        <v>3299</v>
      </c>
      <c r="C1543" s="942" t="s">
        <v>3300</v>
      </c>
      <c r="D1543" s="945" t="s">
        <v>3301</v>
      </c>
      <c r="E1543" s="944" t="s">
        <v>3587</v>
      </c>
      <c r="F1543" s="941">
        <v>620</v>
      </c>
      <c r="G1543" s="941">
        <f t="shared" si="15"/>
        <v>2225.7999999999997</v>
      </c>
      <c r="H1543" s="941"/>
    </row>
    <row r="1544" spans="1:8">
      <c r="A1544" s="939">
        <v>36</v>
      </c>
      <c r="B1544" s="942" t="s">
        <v>3299</v>
      </c>
      <c r="C1544" s="942" t="s">
        <v>3300</v>
      </c>
      <c r="D1544" s="945" t="s">
        <v>3301</v>
      </c>
      <c r="E1544" s="944" t="s">
        <v>3588</v>
      </c>
      <c r="F1544" s="941">
        <v>620</v>
      </c>
      <c r="G1544" s="941">
        <f t="shared" si="15"/>
        <v>2225.7999999999997</v>
      </c>
      <c r="H1544" s="941"/>
    </row>
    <row r="1545" spans="1:8">
      <c r="A1545" s="939">
        <v>37</v>
      </c>
      <c r="B1545" s="942" t="s">
        <v>3299</v>
      </c>
      <c r="C1545" s="942" t="s">
        <v>3300</v>
      </c>
      <c r="D1545" s="945" t="s">
        <v>3301</v>
      </c>
      <c r="E1545" s="944" t="s">
        <v>3589</v>
      </c>
      <c r="F1545" s="941">
        <v>620</v>
      </c>
      <c r="G1545" s="941">
        <f t="shared" si="15"/>
        <v>2225.7999999999997</v>
      </c>
      <c r="H1545" s="941"/>
    </row>
    <row r="1546" spans="1:8">
      <c r="A1546" s="939">
        <v>38</v>
      </c>
      <c r="B1546" s="942" t="s">
        <v>3299</v>
      </c>
      <c r="C1546" s="942" t="s">
        <v>3300</v>
      </c>
      <c r="D1546" s="945" t="s">
        <v>3301</v>
      </c>
      <c r="E1546" s="944" t="s">
        <v>3590</v>
      </c>
      <c r="F1546" s="941">
        <v>620</v>
      </c>
      <c r="G1546" s="941">
        <f t="shared" si="15"/>
        <v>2225.7999999999997</v>
      </c>
      <c r="H1546" s="941"/>
    </row>
    <row r="1547" spans="1:8">
      <c r="A1547" s="939">
        <v>39</v>
      </c>
      <c r="B1547" s="942" t="s">
        <v>3299</v>
      </c>
      <c r="C1547" s="942" t="s">
        <v>3300</v>
      </c>
      <c r="D1547" s="945" t="s">
        <v>3301</v>
      </c>
      <c r="E1547" s="944" t="s">
        <v>3591</v>
      </c>
      <c r="F1547" s="941">
        <v>620</v>
      </c>
      <c r="G1547" s="941">
        <f t="shared" si="15"/>
        <v>2225.7999999999997</v>
      </c>
      <c r="H1547" s="941"/>
    </row>
    <row r="1548" spans="1:8">
      <c r="A1548" s="939">
        <v>40</v>
      </c>
      <c r="B1548" s="942" t="s">
        <v>3299</v>
      </c>
      <c r="C1548" s="942" t="s">
        <v>3300</v>
      </c>
      <c r="D1548" s="945" t="s">
        <v>3301</v>
      </c>
      <c r="E1548" s="944" t="s">
        <v>3592</v>
      </c>
      <c r="F1548" s="941">
        <v>620</v>
      </c>
      <c r="G1548" s="941">
        <f t="shared" si="15"/>
        <v>2225.7999999999997</v>
      </c>
      <c r="H1548" s="941"/>
    </row>
    <row r="1549" spans="1:8">
      <c r="A1549" s="939">
        <v>41</v>
      </c>
      <c r="B1549" s="942" t="s">
        <v>3299</v>
      </c>
      <c r="C1549" s="942" t="s">
        <v>3300</v>
      </c>
      <c r="D1549" s="945" t="s">
        <v>3301</v>
      </c>
      <c r="E1549" s="944" t="s">
        <v>3593</v>
      </c>
      <c r="F1549" s="941">
        <v>620</v>
      </c>
      <c r="G1549" s="941">
        <f t="shared" si="15"/>
        <v>2225.7999999999997</v>
      </c>
      <c r="H1549" s="941"/>
    </row>
    <row r="1550" spans="1:8">
      <c r="A1550" s="939">
        <v>42</v>
      </c>
      <c r="B1550" s="942" t="s">
        <v>3299</v>
      </c>
      <c r="C1550" s="942" t="s">
        <v>3300</v>
      </c>
      <c r="D1550" s="945" t="s">
        <v>3301</v>
      </c>
      <c r="E1550" s="944" t="s">
        <v>3594</v>
      </c>
      <c r="F1550" s="941">
        <v>620</v>
      </c>
      <c r="G1550" s="941">
        <f t="shared" si="15"/>
        <v>2225.7999999999997</v>
      </c>
      <c r="H1550" s="941"/>
    </row>
    <row r="1551" spans="1:8">
      <c r="A1551" s="939">
        <v>43</v>
      </c>
      <c r="B1551" s="942" t="s">
        <v>3299</v>
      </c>
      <c r="C1551" s="942" t="s">
        <v>3300</v>
      </c>
      <c r="D1551" s="945" t="s">
        <v>3301</v>
      </c>
      <c r="E1551" s="944" t="s">
        <v>3595</v>
      </c>
      <c r="F1551" s="941">
        <v>620</v>
      </c>
      <c r="G1551" s="941">
        <f t="shared" si="15"/>
        <v>2225.7999999999997</v>
      </c>
      <c r="H1551" s="941"/>
    </row>
    <row r="1552" spans="1:8">
      <c r="A1552" s="939">
        <v>44</v>
      </c>
      <c r="B1552" s="942" t="s">
        <v>3299</v>
      </c>
      <c r="C1552" s="942" t="s">
        <v>3300</v>
      </c>
      <c r="D1552" s="945" t="s">
        <v>3301</v>
      </c>
      <c r="E1552" s="944" t="s">
        <v>3596</v>
      </c>
      <c r="F1552" s="941">
        <v>620</v>
      </c>
      <c r="G1552" s="941">
        <f t="shared" si="15"/>
        <v>2225.7999999999997</v>
      </c>
      <c r="H1552" s="941"/>
    </row>
    <row r="1553" spans="1:8">
      <c r="A1553" s="939">
        <v>45</v>
      </c>
      <c r="B1553" s="942" t="s">
        <v>3299</v>
      </c>
      <c r="C1553" s="942" t="s">
        <v>3300</v>
      </c>
      <c r="D1553" s="945" t="s">
        <v>3301</v>
      </c>
      <c r="E1553" s="944" t="s">
        <v>3597</v>
      </c>
      <c r="F1553" s="941">
        <v>620</v>
      </c>
      <c r="G1553" s="941">
        <f t="shared" si="15"/>
        <v>2225.7999999999997</v>
      </c>
      <c r="H1553" s="941"/>
    </row>
    <row r="1554" spans="1:8">
      <c r="A1554" s="939">
        <v>46</v>
      </c>
      <c r="B1554" s="942" t="s">
        <v>3299</v>
      </c>
      <c r="C1554" s="942" t="s">
        <v>3300</v>
      </c>
      <c r="D1554" s="945" t="s">
        <v>3301</v>
      </c>
      <c r="E1554" s="944" t="s">
        <v>3598</v>
      </c>
      <c r="F1554" s="941">
        <v>620</v>
      </c>
      <c r="G1554" s="941">
        <f t="shared" si="15"/>
        <v>2225.7999999999997</v>
      </c>
      <c r="H1554" s="941"/>
    </row>
    <row r="1555" spans="1:8">
      <c r="A1555" s="939">
        <v>47</v>
      </c>
      <c r="B1555" s="942" t="s">
        <v>3299</v>
      </c>
      <c r="C1555" s="942" t="s">
        <v>3300</v>
      </c>
      <c r="D1555" s="945" t="s">
        <v>3301</v>
      </c>
      <c r="E1555" s="944" t="s">
        <v>3599</v>
      </c>
      <c r="F1555" s="941">
        <v>620</v>
      </c>
      <c r="G1555" s="941">
        <f t="shared" si="15"/>
        <v>2225.7999999999997</v>
      </c>
      <c r="H1555" s="941"/>
    </row>
    <row r="1556" spans="1:8">
      <c r="A1556" s="939">
        <v>48</v>
      </c>
      <c r="B1556" s="942" t="s">
        <v>3299</v>
      </c>
      <c r="C1556" s="942" t="s">
        <v>3300</v>
      </c>
      <c r="D1556" s="945" t="s">
        <v>3301</v>
      </c>
      <c r="E1556" s="944" t="s">
        <v>3600</v>
      </c>
      <c r="F1556" s="941">
        <v>620</v>
      </c>
      <c r="G1556" s="941">
        <f t="shared" si="15"/>
        <v>2225.7999999999997</v>
      </c>
      <c r="H1556" s="941"/>
    </row>
    <row r="1557" spans="1:8">
      <c r="A1557" s="939">
        <v>49</v>
      </c>
      <c r="B1557" s="942" t="s">
        <v>3299</v>
      </c>
      <c r="C1557" s="942" t="s">
        <v>3300</v>
      </c>
      <c r="D1557" s="945" t="s">
        <v>3301</v>
      </c>
      <c r="E1557" s="944" t="s">
        <v>3601</v>
      </c>
      <c r="F1557" s="941">
        <v>620</v>
      </c>
      <c r="G1557" s="941">
        <f t="shared" si="15"/>
        <v>2225.7999999999997</v>
      </c>
      <c r="H1557" s="941"/>
    </row>
    <row r="1558" spans="1:8">
      <c r="A1558" s="939">
        <v>50</v>
      </c>
      <c r="B1558" s="942" t="s">
        <v>3299</v>
      </c>
      <c r="C1558" s="942" t="s">
        <v>3300</v>
      </c>
      <c r="D1558" s="945" t="s">
        <v>3301</v>
      </c>
      <c r="E1558" s="944" t="s">
        <v>3602</v>
      </c>
      <c r="F1558" s="941">
        <v>620</v>
      </c>
      <c r="G1558" s="941">
        <f t="shared" si="15"/>
        <v>2225.7999999999997</v>
      </c>
      <c r="H1558" s="941"/>
    </row>
    <row r="1559" spans="1:8">
      <c r="A1559" s="939">
        <v>51</v>
      </c>
      <c r="B1559" s="942" t="s">
        <v>3299</v>
      </c>
      <c r="C1559" s="942" t="s">
        <v>3300</v>
      </c>
      <c r="D1559" s="945" t="s">
        <v>3301</v>
      </c>
      <c r="E1559" s="944" t="s">
        <v>3603</v>
      </c>
      <c r="F1559" s="941">
        <v>620</v>
      </c>
      <c r="G1559" s="941">
        <f t="shared" si="15"/>
        <v>2225.7999999999997</v>
      </c>
      <c r="H1559" s="941"/>
    </row>
    <row r="1560" spans="1:8">
      <c r="A1560" s="939">
        <v>52</v>
      </c>
      <c r="B1560" s="942" t="s">
        <v>3299</v>
      </c>
      <c r="C1560" s="942" t="s">
        <v>3300</v>
      </c>
      <c r="D1560" s="945" t="s">
        <v>3301</v>
      </c>
      <c r="E1560" s="944" t="s">
        <v>3604</v>
      </c>
      <c r="F1560" s="941">
        <v>620</v>
      </c>
      <c r="G1560" s="941">
        <f t="shared" si="15"/>
        <v>2225.7999999999997</v>
      </c>
      <c r="H1560" s="941"/>
    </row>
    <row r="1561" spans="1:8">
      <c r="A1561" s="939">
        <v>53</v>
      </c>
      <c r="B1561" s="942" t="s">
        <v>3299</v>
      </c>
      <c r="C1561" s="942" t="s">
        <v>3300</v>
      </c>
      <c r="D1561" s="945" t="s">
        <v>3301</v>
      </c>
      <c r="E1561" s="944" t="s">
        <v>3605</v>
      </c>
      <c r="F1561" s="941">
        <v>620</v>
      </c>
      <c r="G1561" s="941">
        <f t="shared" si="15"/>
        <v>2225.7999999999997</v>
      </c>
      <c r="H1561" s="941"/>
    </row>
    <row r="1562" spans="1:8" ht="25.5">
      <c r="A1562" s="939">
        <v>54</v>
      </c>
      <c r="B1562" s="942" t="s">
        <v>3606</v>
      </c>
      <c r="C1562" s="942" t="s">
        <v>3300</v>
      </c>
      <c r="D1562" s="945" t="s">
        <v>3607</v>
      </c>
      <c r="E1562" s="944" t="s">
        <v>3608</v>
      </c>
      <c r="F1562" s="941">
        <v>340</v>
      </c>
      <c r="G1562" s="941">
        <f t="shared" si="15"/>
        <v>1220.5999999999999</v>
      </c>
      <c r="H1562" s="947" t="s">
        <v>3609</v>
      </c>
    </row>
    <row r="1563" spans="1:8" ht="25.5">
      <c r="A1563" s="939">
        <v>55</v>
      </c>
      <c r="B1563" s="942" t="s">
        <v>3610</v>
      </c>
      <c r="C1563" s="942" t="s">
        <v>3300</v>
      </c>
      <c r="D1563" s="945" t="s">
        <v>3611</v>
      </c>
      <c r="E1563" s="944" t="s">
        <v>3612</v>
      </c>
      <c r="F1563" s="941">
        <v>430</v>
      </c>
      <c r="G1563" s="941">
        <f t="shared" si="15"/>
        <v>1543.7</v>
      </c>
      <c r="H1563" s="947" t="s">
        <v>3613</v>
      </c>
    </row>
    <row r="1564" spans="1:8" ht="25.5">
      <c r="A1564" s="939">
        <v>56</v>
      </c>
      <c r="B1564" s="942" t="s">
        <v>3610</v>
      </c>
      <c r="C1564" s="942" t="s">
        <v>3300</v>
      </c>
      <c r="D1564" s="945" t="s">
        <v>3611</v>
      </c>
      <c r="E1564" s="944" t="s">
        <v>3614</v>
      </c>
      <c r="F1564" s="941">
        <v>430</v>
      </c>
      <c r="G1564" s="941">
        <f t="shared" si="15"/>
        <v>1543.7</v>
      </c>
      <c r="H1564" s="947" t="s">
        <v>3615</v>
      </c>
    </row>
    <row r="1565" spans="1:8" ht="25.5">
      <c r="A1565" s="939">
        <v>57</v>
      </c>
      <c r="B1565" s="942" t="s">
        <v>3610</v>
      </c>
      <c r="C1565" s="942" t="s">
        <v>3300</v>
      </c>
      <c r="D1565" s="945" t="s">
        <v>3611</v>
      </c>
      <c r="E1565" s="944" t="s">
        <v>3616</v>
      </c>
      <c r="F1565" s="941">
        <v>430</v>
      </c>
      <c r="G1565" s="941">
        <f t="shared" si="15"/>
        <v>1543.7</v>
      </c>
      <c r="H1565" s="947" t="s">
        <v>3617</v>
      </c>
    </row>
    <row r="1566" spans="1:8">
      <c r="A1566" s="939">
        <v>59</v>
      </c>
      <c r="B1566" s="942" t="s">
        <v>3618</v>
      </c>
      <c r="C1566" s="942" t="s">
        <v>3300</v>
      </c>
      <c r="D1566" s="948">
        <v>2</v>
      </c>
      <c r="E1566" s="949"/>
      <c r="F1566" s="941">
        <v>135</v>
      </c>
      <c r="G1566" s="941">
        <f t="shared" si="15"/>
        <v>484.65</v>
      </c>
      <c r="H1566" s="941"/>
    </row>
    <row r="1567" spans="1:8">
      <c r="A1567" s="939"/>
      <c r="B1567" s="942" t="s">
        <v>3618</v>
      </c>
      <c r="C1567" s="942"/>
      <c r="D1567" s="948"/>
      <c r="E1567" s="949"/>
      <c r="F1567" s="941">
        <v>135</v>
      </c>
      <c r="G1567" s="941">
        <f t="shared" si="15"/>
        <v>484.65</v>
      </c>
      <c r="H1567" s="941"/>
    </row>
    <row r="1568" spans="1:8">
      <c r="A1568" s="939"/>
      <c r="B1568" s="942" t="s">
        <v>3618</v>
      </c>
      <c r="C1568" s="942"/>
      <c r="D1568" s="948"/>
      <c r="E1568" s="949"/>
      <c r="F1568" s="941">
        <v>135</v>
      </c>
      <c r="G1568" s="941">
        <f t="shared" si="15"/>
        <v>484.65</v>
      </c>
      <c r="H1568" s="941"/>
    </row>
    <row r="1569" spans="1:8">
      <c r="A1569" s="939">
        <v>61</v>
      </c>
      <c r="B1569" s="942" t="s">
        <v>3618</v>
      </c>
      <c r="C1569" s="942" t="s">
        <v>3619</v>
      </c>
      <c r="D1569" s="948">
        <v>2</v>
      </c>
      <c r="E1569" s="949"/>
      <c r="F1569" s="941">
        <v>135</v>
      </c>
      <c r="G1569" s="941">
        <f t="shared" si="15"/>
        <v>484.65</v>
      </c>
      <c r="H1569" s="941"/>
    </row>
    <row r="1570" spans="1:8">
      <c r="A1570" s="939">
        <v>62</v>
      </c>
      <c r="B1570" s="942" t="s">
        <v>3620</v>
      </c>
      <c r="C1570" s="942" t="s">
        <v>3619</v>
      </c>
      <c r="D1570" s="948">
        <v>1</v>
      </c>
      <c r="E1570" s="949"/>
      <c r="F1570" s="941">
        <v>45</v>
      </c>
      <c r="G1570" s="941">
        <f t="shared" si="15"/>
        <v>161.54999999999998</v>
      </c>
      <c r="H1570" s="941"/>
    </row>
    <row r="1571" spans="1:8">
      <c r="A1571" s="939"/>
      <c r="B1571" s="942" t="s">
        <v>3620</v>
      </c>
      <c r="C1571" s="942" t="s">
        <v>3621</v>
      </c>
      <c r="D1571" s="948"/>
      <c r="E1571" s="949"/>
      <c r="F1571" s="941">
        <v>45</v>
      </c>
      <c r="G1571" s="941">
        <f t="shared" si="15"/>
        <v>161.54999999999998</v>
      </c>
      <c r="H1571" s="941"/>
    </row>
    <row r="1572" spans="1:8">
      <c r="A1572" s="939"/>
      <c r="B1572" s="942" t="s">
        <v>3620</v>
      </c>
      <c r="C1572" s="942" t="s">
        <v>3621</v>
      </c>
      <c r="D1572" s="948"/>
      <c r="E1572" s="949"/>
      <c r="F1572" s="941">
        <v>45</v>
      </c>
      <c r="G1572" s="941">
        <f t="shared" si="15"/>
        <v>161.54999999999998</v>
      </c>
      <c r="H1572" s="941"/>
    </row>
    <row r="1573" spans="1:8">
      <c r="A1573" s="939"/>
      <c r="B1573" s="942" t="s">
        <v>3620</v>
      </c>
      <c r="C1573" s="942" t="s">
        <v>3621</v>
      </c>
      <c r="D1573" s="948"/>
      <c r="E1573" s="949"/>
      <c r="F1573" s="941">
        <v>45</v>
      </c>
      <c r="G1573" s="941">
        <f t="shared" si="15"/>
        <v>161.54999999999998</v>
      </c>
      <c r="H1573" s="941"/>
    </row>
    <row r="1574" spans="1:8">
      <c r="A1574" s="939">
        <v>66</v>
      </c>
      <c r="B1574" s="942" t="s">
        <v>3620</v>
      </c>
      <c r="C1574" s="942" t="s">
        <v>3621</v>
      </c>
      <c r="D1574" s="948">
        <v>4</v>
      </c>
      <c r="E1574" s="949"/>
      <c r="F1574" s="941">
        <v>45</v>
      </c>
      <c r="G1574" s="941">
        <f t="shared" ref="G1574:G1633" si="16">F1574*3.59</f>
        <v>161.54999999999998</v>
      </c>
      <c r="H1574" s="941"/>
    </row>
    <row r="1575" spans="1:8">
      <c r="A1575" s="956">
        <v>67</v>
      </c>
      <c r="B1575" s="957" t="s">
        <v>3620</v>
      </c>
      <c r="C1575" s="957" t="s">
        <v>3622</v>
      </c>
      <c r="D1575" s="958">
        <v>1</v>
      </c>
      <c r="E1575" s="959"/>
      <c r="F1575" s="960" t="s">
        <v>3623</v>
      </c>
      <c r="G1575" s="961" t="e">
        <f t="shared" si="16"/>
        <v>#VALUE!</v>
      </c>
      <c r="H1575" s="961"/>
    </row>
    <row r="1576" spans="1:8">
      <c r="A1576" s="956">
        <v>68</v>
      </c>
      <c r="B1576" s="957" t="s">
        <v>3620</v>
      </c>
      <c r="C1576" s="957" t="s">
        <v>3624</v>
      </c>
      <c r="D1576" s="958">
        <v>1</v>
      </c>
      <c r="E1576" s="959"/>
      <c r="F1576" s="960" t="s">
        <v>3623</v>
      </c>
      <c r="G1576" s="961" t="e">
        <f t="shared" si="16"/>
        <v>#VALUE!</v>
      </c>
      <c r="H1576" s="961"/>
    </row>
    <row r="1577" spans="1:8">
      <c r="A1577" s="956">
        <v>69</v>
      </c>
      <c r="B1577" s="957" t="s">
        <v>3620</v>
      </c>
      <c r="C1577" s="957" t="s">
        <v>3625</v>
      </c>
      <c r="D1577" s="958">
        <v>1</v>
      </c>
      <c r="E1577" s="959"/>
      <c r="F1577" s="960" t="s">
        <v>3623</v>
      </c>
      <c r="G1577" s="961" t="e">
        <f t="shared" si="16"/>
        <v>#VALUE!</v>
      </c>
      <c r="H1577" s="961"/>
    </row>
    <row r="1578" spans="1:8">
      <c r="A1578" s="956">
        <v>70</v>
      </c>
      <c r="B1578" s="957" t="s">
        <v>3620</v>
      </c>
      <c r="C1578" s="957" t="s">
        <v>3626</v>
      </c>
      <c r="D1578" s="962">
        <v>1</v>
      </c>
      <c r="E1578" s="959"/>
      <c r="F1578" s="960" t="s">
        <v>3623</v>
      </c>
      <c r="G1578" s="961" t="e">
        <f t="shared" si="16"/>
        <v>#VALUE!</v>
      </c>
      <c r="H1578" s="961"/>
    </row>
    <row r="1579" spans="1:8">
      <c r="A1579" s="939">
        <v>71</v>
      </c>
      <c r="B1579" s="942" t="s">
        <v>3627</v>
      </c>
      <c r="C1579" s="945" t="s">
        <v>3282</v>
      </c>
      <c r="D1579" s="946"/>
      <c r="E1579" s="944" t="s">
        <v>3628</v>
      </c>
      <c r="F1579" s="941">
        <v>425</v>
      </c>
      <c r="G1579" s="941">
        <f t="shared" si="16"/>
        <v>1525.75</v>
      </c>
      <c r="H1579" s="941"/>
    </row>
    <row r="1580" spans="1:8">
      <c r="A1580" s="939">
        <v>72</v>
      </c>
      <c r="B1580" s="942" t="s">
        <v>3627</v>
      </c>
      <c r="C1580" s="945" t="s">
        <v>3282</v>
      </c>
      <c r="D1580" s="946"/>
      <c r="E1580" s="944" t="s">
        <v>3629</v>
      </c>
      <c r="F1580" s="941">
        <v>425</v>
      </c>
      <c r="G1580" s="941">
        <f t="shared" si="16"/>
        <v>1525.75</v>
      </c>
      <c r="H1580" s="941"/>
    </row>
    <row r="1581" spans="1:8">
      <c r="A1581" s="939">
        <v>73</v>
      </c>
      <c r="B1581" s="942" t="s">
        <v>3627</v>
      </c>
      <c r="C1581" s="945" t="s">
        <v>3282</v>
      </c>
      <c r="D1581" s="946"/>
      <c r="E1581" s="944" t="s">
        <v>3630</v>
      </c>
      <c r="F1581" s="941">
        <v>425</v>
      </c>
      <c r="G1581" s="941">
        <f t="shared" si="16"/>
        <v>1525.75</v>
      </c>
      <c r="H1581" s="941"/>
    </row>
    <row r="1582" spans="1:8">
      <c r="A1582" s="939">
        <v>74</v>
      </c>
      <c r="B1582" s="942" t="s">
        <v>3627</v>
      </c>
      <c r="C1582" s="945" t="s">
        <v>3282</v>
      </c>
      <c r="D1582" s="946"/>
      <c r="E1582" s="944" t="s">
        <v>3631</v>
      </c>
      <c r="F1582" s="941">
        <v>425</v>
      </c>
      <c r="G1582" s="941">
        <f t="shared" si="16"/>
        <v>1525.75</v>
      </c>
      <c r="H1582" s="941"/>
    </row>
    <row r="1583" spans="1:8">
      <c r="A1583" s="939">
        <v>75</v>
      </c>
      <c r="B1583" s="942" t="s">
        <v>3627</v>
      </c>
      <c r="C1583" s="945" t="s">
        <v>3282</v>
      </c>
      <c r="D1583" s="946"/>
      <c r="E1583" s="944" t="s">
        <v>3632</v>
      </c>
      <c r="F1583" s="941">
        <v>425</v>
      </c>
      <c r="G1583" s="941">
        <f t="shared" si="16"/>
        <v>1525.75</v>
      </c>
      <c r="H1583" s="941"/>
    </row>
    <row r="1584" spans="1:8">
      <c r="A1584" s="939">
        <v>76</v>
      </c>
      <c r="B1584" s="942" t="s">
        <v>3627</v>
      </c>
      <c r="C1584" s="945" t="s">
        <v>3282</v>
      </c>
      <c r="D1584" s="946"/>
      <c r="E1584" s="944" t="s">
        <v>3633</v>
      </c>
      <c r="F1584" s="941">
        <v>425</v>
      </c>
      <c r="G1584" s="941">
        <f t="shared" si="16"/>
        <v>1525.75</v>
      </c>
      <c r="H1584" s="941"/>
    </row>
    <row r="1585" spans="1:8">
      <c r="A1585" s="939">
        <v>77</v>
      </c>
      <c r="B1585" s="942" t="s">
        <v>3627</v>
      </c>
      <c r="C1585" s="945" t="s">
        <v>3282</v>
      </c>
      <c r="D1585" s="946"/>
      <c r="E1585" s="944" t="s">
        <v>3634</v>
      </c>
      <c r="F1585" s="941">
        <v>425</v>
      </c>
      <c r="G1585" s="941">
        <f t="shared" si="16"/>
        <v>1525.75</v>
      </c>
      <c r="H1585" s="941"/>
    </row>
    <row r="1586" spans="1:8">
      <c r="A1586" s="939">
        <v>78</v>
      </c>
      <c r="B1586" s="942" t="s">
        <v>3627</v>
      </c>
      <c r="C1586" s="945" t="s">
        <v>3282</v>
      </c>
      <c r="D1586" s="946"/>
      <c r="E1586" s="944" t="s">
        <v>3635</v>
      </c>
      <c r="F1586" s="941">
        <v>425</v>
      </c>
      <c r="G1586" s="941">
        <f t="shared" si="16"/>
        <v>1525.75</v>
      </c>
      <c r="H1586" s="941"/>
    </row>
    <row r="1587" spans="1:8">
      <c r="A1587" s="939">
        <v>79</v>
      </c>
      <c r="B1587" s="942" t="s">
        <v>3627</v>
      </c>
      <c r="C1587" s="945" t="s">
        <v>3282</v>
      </c>
      <c r="D1587" s="946"/>
      <c r="E1587" s="944" t="s">
        <v>3636</v>
      </c>
      <c r="F1587" s="941">
        <v>425</v>
      </c>
      <c r="G1587" s="941">
        <f t="shared" si="16"/>
        <v>1525.75</v>
      </c>
      <c r="H1587" s="941"/>
    </row>
    <row r="1588" spans="1:8">
      <c r="A1588" s="939">
        <v>80</v>
      </c>
      <c r="B1588" s="942" t="s">
        <v>3627</v>
      </c>
      <c r="C1588" s="945" t="s">
        <v>3282</v>
      </c>
      <c r="D1588" s="946"/>
      <c r="E1588" s="944" t="s">
        <v>3637</v>
      </c>
      <c r="F1588" s="941">
        <v>425</v>
      </c>
      <c r="G1588" s="941">
        <f t="shared" si="16"/>
        <v>1525.75</v>
      </c>
      <c r="H1588" s="941"/>
    </row>
    <row r="1589" spans="1:8">
      <c r="A1589" s="939">
        <v>81</v>
      </c>
      <c r="B1589" s="942" t="s">
        <v>3638</v>
      </c>
      <c r="C1589" s="945" t="s">
        <v>3639</v>
      </c>
      <c r="D1589" s="946"/>
      <c r="E1589" s="944" t="s">
        <v>3640</v>
      </c>
      <c r="F1589" s="941">
        <v>380</v>
      </c>
      <c r="G1589" s="941">
        <f t="shared" si="16"/>
        <v>1364.2</v>
      </c>
      <c r="H1589" s="941"/>
    </row>
    <row r="1590" spans="1:8">
      <c r="A1590" s="939">
        <v>82</v>
      </c>
      <c r="B1590" s="942" t="s">
        <v>3638</v>
      </c>
      <c r="C1590" s="945" t="s">
        <v>3639</v>
      </c>
      <c r="D1590" s="946"/>
      <c r="E1590" s="944" t="s">
        <v>3641</v>
      </c>
      <c r="F1590" s="941">
        <v>380</v>
      </c>
      <c r="G1590" s="941">
        <f t="shared" si="16"/>
        <v>1364.2</v>
      </c>
      <c r="H1590" s="941"/>
    </row>
    <row r="1591" spans="1:8">
      <c r="A1591" s="939">
        <v>83</v>
      </c>
      <c r="B1591" s="942" t="s">
        <v>3638</v>
      </c>
      <c r="C1591" s="945" t="s">
        <v>3639</v>
      </c>
      <c r="D1591" s="946"/>
      <c r="E1591" s="944" t="s">
        <v>3642</v>
      </c>
      <c r="F1591" s="941">
        <v>380</v>
      </c>
      <c r="G1591" s="941">
        <f t="shared" si="16"/>
        <v>1364.2</v>
      </c>
      <c r="H1591" s="941"/>
    </row>
    <row r="1592" spans="1:8">
      <c r="A1592" s="939">
        <v>84</v>
      </c>
      <c r="B1592" s="942" t="s">
        <v>3643</v>
      </c>
      <c r="C1592" s="945" t="s">
        <v>3644</v>
      </c>
      <c r="D1592" s="946"/>
      <c r="E1592" s="944" t="s">
        <v>3645</v>
      </c>
      <c r="F1592" s="941">
        <v>300</v>
      </c>
      <c r="G1592" s="941">
        <f t="shared" si="16"/>
        <v>1077</v>
      </c>
      <c r="H1592" s="941"/>
    </row>
    <row r="1593" spans="1:8">
      <c r="A1593" s="939">
        <v>85</v>
      </c>
      <c r="B1593" s="942" t="s">
        <v>3646</v>
      </c>
      <c r="C1593" s="945" t="s">
        <v>3647</v>
      </c>
      <c r="D1593" s="946"/>
      <c r="E1593" s="944" t="s">
        <v>3648</v>
      </c>
      <c r="F1593" s="941">
        <v>350</v>
      </c>
      <c r="G1593" s="941">
        <f t="shared" si="16"/>
        <v>1256.5</v>
      </c>
      <c r="H1593" s="941"/>
    </row>
    <row r="1594" spans="1:8">
      <c r="A1594" s="939">
        <v>86</v>
      </c>
      <c r="B1594" s="942" t="s">
        <v>3646</v>
      </c>
      <c r="C1594" s="945" t="s">
        <v>3647</v>
      </c>
      <c r="D1594" s="946"/>
      <c r="E1594" s="944" t="s">
        <v>3649</v>
      </c>
      <c r="F1594" s="941">
        <v>350</v>
      </c>
      <c r="G1594" s="941">
        <f t="shared" si="16"/>
        <v>1256.5</v>
      </c>
      <c r="H1594" s="941"/>
    </row>
    <row r="1595" spans="1:8">
      <c r="A1595" s="939">
        <v>87</v>
      </c>
      <c r="B1595" s="942" t="s">
        <v>3646</v>
      </c>
      <c r="C1595" s="945" t="s">
        <v>3647</v>
      </c>
      <c r="D1595" s="946"/>
      <c r="E1595" s="944" t="s">
        <v>3650</v>
      </c>
      <c r="F1595" s="941">
        <v>350</v>
      </c>
      <c r="G1595" s="941">
        <f t="shared" si="16"/>
        <v>1256.5</v>
      </c>
      <c r="H1595" s="941"/>
    </row>
    <row r="1596" spans="1:8">
      <c r="A1596" s="939">
        <v>88</v>
      </c>
      <c r="B1596" s="942" t="s">
        <v>3646</v>
      </c>
      <c r="C1596" s="945" t="s">
        <v>3647</v>
      </c>
      <c r="D1596" s="946"/>
      <c r="E1596" s="944" t="s">
        <v>3651</v>
      </c>
      <c r="F1596" s="941">
        <v>350</v>
      </c>
      <c r="G1596" s="941">
        <f t="shared" si="16"/>
        <v>1256.5</v>
      </c>
      <c r="H1596" s="941"/>
    </row>
    <row r="1597" spans="1:8">
      <c r="A1597" s="956">
        <v>89</v>
      </c>
      <c r="B1597" s="957" t="s">
        <v>3646</v>
      </c>
      <c r="C1597" s="963" t="s">
        <v>3652</v>
      </c>
      <c r="D1597" s="964"/>
      <c r="E1597" s="965" t="s">
        <v>3653</v>
      </c>
      <c r="F1597" s="960" t="s">
        <v>3623</v>
      </c>
      <c r="G1597" s="961" t="e">
        <f t="shared" si="16"/>
        <v>#VALUE!</v>
      </c>
      <c r="H1597" s="961"/>
    </row>
    <row r="1598" spans="1:8">
      <c r="A1598" s="939">
        <v>90</v>
      </c>
      <c r="B1598" s="942" t="s">
        <v>3654</v>
      </c>
      <c r="C1598" s="945" t="s">
        <v>3655</v>
      </c>
      <c r="D1598" s="946"/>
      <c r="E1598" s="944" t="s">
        <v>3656</v>
      </c>
      <c r="F1598" s="941">
        <v>300</v>
      </c>
      <c r="G1598" s="941">
        <f t="shared" si="16"/>
        <v>1077</v>
      </c>
      <c r="H1598" s="941"/>
    </row>
    <row r="1599" spans="1:8">
      <c r="A1599" s="939">
        <v>91</v>
      </c>
      <c r="B1599" s="942" t="s">
        <v>3654</v>
      </c>
      <c r="C1599" s="945" t="s">
        <v>3655</v>
      </c>
      <c r="D1599" s="946"/>
      <c r="E1599" s="944" t="s">
        <v>3657</v>
      </c>
      <c r="F1599" s="941">
        <v>300</v>
      </c>
      <c r="G1599" s="941">
        <f t="shared" si="16"/>
        <v>1077</v>
      </c>
      <c r="H1599" s="941"/>
    </row>
    <row r="1600" spans="1:8">
      <c r="A1600" s="939">
        <v>92</v>
      </c>
      <c r="B1600" s="942" t="s">
        <v>3654</v>
      </c>
      <c r="C1600" s="945" t="s">
        <v>3658</v>
      </c>
      <c r="D1600" s="946"/>
      <c r="E1600" s="944" t="s">
        <v>3659</v>
      </c>
      <c r="F1600" s="941">
        <v>300</v>
      </c>
      <c r="G1600" s="941">
        <f t="shared" si="16"/>
        <v>1077</v>
      </c>
      <c r="H1600" s="941"/>
    </row>
    <row r="1601" spans="1:8">
      <c r="A1601" s="939">
        <v>93</v>
      </c>
      <c r="B1601" s="942" t="s">
        <v>3654</v>
      </c>
      <c r="C1601" s="945" t="s">
        <v>3658</v>
      </c>
      <c r="D1601" s="946"/>
      <c r="E1601" s="944" t="s">
        <v>3660</v>
      </c>
      <c r="F1601" s="941">
        <v>300</v>
      </c>
      <c r="G1601" s="941">
        <f t="shared" si="16"/>
        <v>1077</v>
      </c>
      <c r="H1601" s="941"/>
    </row>
    <row r="1602" spans="1:8">
      <c r="A1602" s="939">
        <v>94</v>
      </c>
      <c r="B1602" s="942" t="s">
        <v>3654</v>
      </c>
      <c r="C1602" s="945" t="s">
        <v>3661</v>
      </c>
      <c r="D1602" s="946"/>
      <c r="E1602" s="944" t="s">
        <v>3662</v>
      </c>
      <c r="F1602" s="941">
        <v>300</v>
      </c>
      <c r="G1602" s="941">
        <f t="shared" si="16"/>
        <v>1077</v>
      </c>
      <c r="H1602" s="941"/>
    </row>
    <row r="1603" spans="1:8">
      <c r="A1603" s="939">
        <v>95</v>
      </c>
      <c r="B1603" s="942" t="s">
        <v>3654</v>
      </c>
      <c r="C1603" s="945" t="s">
        <v>3661</v>
      </c>
      <c r="D1603" s="946"/>
      <c r="E1603" s="944" t="s">
        <v>3663</v>
      </c>
      <c r="F1603" s="941">
        <v>300</v>
      </c>
      <c r="G1603" s="941">
        <f t="shared" si="16"/>
        <v>1077</v>
      </c>
      <c r="H1603" s="941"/>
    </row>
    <row r="1604" spans="1:8">
      <c r="A1604" s="956">
        <v>96</v>
      </c>
      <c r="B1604" s="957" t="s">
        <v>3664</v>
      </c>
      <c r="C1604" s="964"/>
      <c r="D1604" s="964"/>
      <c r="E1604" s="963" t="s">
        <v>3665</v>
      </c>
      <c r="F1604" s="960" t="s">
        <v>3623</v>
      </c>
      <c r="G1604" s="961" t="e">
        <f t="shared" si="16"/>
        <v>#VALUE!</v>
      </c>
      <c r="H1604" s="961"/>
    </row>
    <row r="1605" spans="1:8">
      <c r="A1605" s="956">
        <v>97</v>
      </c>
      <c r="B1605" s="957" t="s">
        <v>3664</v>
      </c>
      <c r="C1605" s="964"/>
      <c r="D1605" s="964"/>
      <c r="E1605" s="963" t="s">
        <v>3666</v>
      </c>
      <c r="F1605" s="960" t="s">
        <v>3623</v>
      </c>
      <c r="G1605" s="961" t="e">
        <f t="shared" si="16"/>
        <v>#VALUE!</v>
      </c>
      <c r="H1605" s="961"/>
    </row>
    <row r="1606" spans="1:8">
      <c r="A1606" s="956">
        <v>98</v>
      </c>
      <c r="B1606" s="957" t="s">
        <v>3667</v>
      </c>
      <c r="C1606" s="964"/>
      <c r="D1606" s="964"/>
      <c r="E1606" s="963" t="s">
        <v>3668</v>
      </c>
      <c r="F1606" s="960" t="s">
        <v>3623</v>
      </c>
      <c r="G1606" s="961" t="e">
        <f t="shared" si="16"/>
        <v>#VALUE!</v>
      </c>
      <c r="H1606" s="961"/>
    </row>
    <row r="1607" spans="1:8">
      <c r="A1607" s="956">
        <v>99</v>
      </c>
      <c r="B1607" s="966" t="s">
        <v>3669</v>
      </c>
      <c r="C1607" s="967" t="s">
        <v>3670</v>
      </c>
      <c r="D1607" s="968"/>
      <c r="E1607" s="969" t="s">
        <v>3671</v>
      </c>
      <c r="F1607" s="960" t="s">
        <v>3623</v>
      </c>
      <c r="G1607" s="961" t="e">
        <f t="shared" si="16"/>
        <v>#VALUE!</v>
      </c>
      <c r="H1607" s="961"/>
    </row>
    <row r="1608" spans="1:8">
      <c r="A1608" s="939">
        <v>100</v>
      </c>
      <c r="B1608" s="899" t="s">
        <v>3672</v>
      </c>
      <c r="C1608" s="832"/>
      <c r="D1608" s="832"/>
      <c r="E1608" s="940" t="s">
        <v>3673</v>
      </c>
      <c r="F1608" s="941">
        <v>275</v>
      </c>
      <c r="G1608" s="941">
        <f t="shared" si="16"/>
        <v>987.25</v>
      </c>
      <c r="H1608" s="941"/>
    </row>
    <row r="1609" spans="1:8">
      <c r="A1609" s="939">
        <v>101</v>
      </c>
      <c r="B1609" s="899" t="s">
        <v>3672</v>
      </c>
      <c r="C1609" s="832"/>
      <c r="D1609" s="832"/>
      <c r="E1609" s="940" t="s">
        <v>3674</v>
      </c>
      <c r="F1609" s="941">
        <v>275</v>
      </c>
      <c r="G1609" s="941">
        <f t="shared" si="16"/>
        <v>987.25</v>
      </c>
      <c r="H1609" s="941"/>
    </row>
    <row r="1610" spans="1:8">
      <c r="A1610" s="939">
        <v>102</v>
      </c>
      <c r="B1610" s="899" t="s">
        <v>3672</v>
      </c>
      <c r="C1610" s="832"/>
      <c r="D1610" s="832"/>
      <c r="E1610" s="940" t="s">
        <v>3675</v>
      </c>
      <c r="F1610" s="941">
        <v>275</v>
      </c>
      <c r="G1610" s="941">
        <f t="shared" si="16"/>
        <v>987.25</v>
      </c>
      <c r="H1610" s="941"/>
    </row>
    <row r="1611" spans="1:8">
      <c r="A1611" s="939">
        <v>103</v>
      </c>
      <c r="B1611" s="899" t="s">
        <v>3672</v>
      </c>
      <c r="C1611" s="832"/>
      <c r="D1611" s="832"/>
      <c r="E1611" s="940" t="s">
        <v>3676</v>
      </c>
      <c r="F1611" s="941">
        <v>275</v>
      </c>
      <c r="G1611" s="941">
        <f t="shared" si="16"/>
        <v>987.25</v>
      </c>
      <c r="H1611" s="941"/>
    </row>
    <row r="1612" spans="1:8">
      <c r="A1612" s="939">
        <v>104</v>
      </c>
      <c r="B1612" s="899" t="s">
        <v>3672</v>
      </c>
      <c r="C1612" s="832"/>
      <c r="D1612" s="832"/>
      <c r="E1612" s="940" t="s">
        <v>3677</v>
      </c>
      <c r="F1612" s="941">
        <v>275</v>
      </c>
      <c r="G1612" s="941">
        <f t="shared" si="16"/>
        <v>987.25</v>
      </c>
      <c r="H1612" s="941"/>
    </row>
    <row r="1613" spans="1:8">
      <c r="A1613" s="939">
        <v>105</v>
      </c>
      <c r="B1613" s="899" t="s">
        <v>3672</v>
      </c>
      <c r="C1613" s="832"/>
      <c r="D1613" s="832"/>
      <c r="E1613" s="940" t="s">
        <v>3678</v>
      </c>
      <c r="F1613" s="941">
        <v>275</v>
      </c>
      <c r="G1613" s="941">
        <f t="shared" si="16"/>
        <v>987.25</v>
      </c>
      <c r="H1613" s="941"/>
    </row>
    <row r="1614" spans="1:8">
      <c r="A1614" s="939">
        <v>106</v>
      </c>
      <c r="B1614" s="899" t="s">
        <v>3672</v>
      </c>
      <c r="C1614" s="832"/>
      <c r="D1614" s="832"/>
      <c r="E1614" s="940" t="s">
        <v>3679</v>
      </c>
      <c r="F1614" s="941">
        <v>275</v>
      </c>
      <c r="G1614" s="941">
        <f t="shared" si="16"/>
        <v>987.25</v>
      </c>
      <c r="H1614" s="941"/>
    </row>
    <row r="1615" spans="1:8">
      <c r="A1615" s="939">
        <v>107</v>
      </c>
      <c r="B1615" s="899" t="s">
        <v>3672</v>
      </c>
      <c r="C1615" s="832"/>
      <c r="D1615" s="832"/>
      <c r="E1615" s="940" t="s">
        <v>3680</v>
      </c>
      <c r="F1615" s="941">
        <v>275</v>
      </c>
      <c r="G1615" s="941">
        <f t="shared" si="16"/>
        <v>987.25</v>
      </c>
      <c r="H1615" s="941"/>
    </row>
    <row r="1616" spans="1:8">
      <c r="A1616" s="939">
        <v>108</v>
      </c>
      <c r="B1616" s="899" t="s">
        <v>3672</v>
      </c>
      <c r="C1616" s="832"/>
      <c r="D1616" s="832"/>
      <c r="E1616" s="940" t="s">
        <v>3681</v>
      </c>
      <c r="F1616" s="941">
        <v>275</v>
      </c>
      <c r="G1616" s="941">
        <f t="shared" si="16"/>
        <v>987.25</v>
      </c>
      <c r="H1616" s="941"/>
    </row>
    <row r="1617" spans="1:8">
      <c r="A1617" s="939">
        <v>109</v>
      </c>
      <c r="B1617" s="899" t="s">
        <v>3672</v>
      </c>
      <c r="C1617" s="832"/>
      <c r="D1617" s="832"/>
      <c r="E1617" s="940" t="s">
        <v>3682</v>
      </c>
      <c r="F1617" s="941">
        <v>275</v>
      </c>
      <c r="G1617" s="941">
        <f t="shared" si="16"/>
        <v>987.25</v>
      </c>
      <c r="H1617" s="941"/>
    </row>
    <row r="1618" spans="1:8">
      <c r="A1618" s="939">
        <v>110</v>
      </c>
      <c r="B1618" s="899" t="s">
        <v>3672</v>
      </c>
      <c r="C1618" s="832"/>
      <c r="D1618" s="832"/>
      <c r="E1618" s="940" t="s">
        <v>3683</v>
      </c>
      <c r="F1618" s="941">
        <v>275</v>
      </c>
      <c r="G1618" s="941">
        <f t="shared" si="16"/>
        <v>987.25</v>
      </c>
      <c r="H1618" s="941"/>
    </row>
    <row r="1619" spans="1:8">
      <c r="A1619" s="939">
        <v>111</v>
      </c>
      <c r="B1619" s="899" t="s">
        <v>3672</v>
      </c>
      <c r="C1619" s="832"/>
      <c r="D1619" s="832"/>
      <c r="E1619" s="940" t="s">
        <v>3684</v>
      </c>
      <c r="F1619" s="941">
        <v>275</v>
      </c>
      <c r="G1619" s="941">
        <f t="shared" si="16"/>
        <v>987.25</v>
      </c>
      <c r="H1619" s="941"/>
    </row>
    <row r="1620" spans="1:8">
      <c r="A1620" s="939">
        <v>112</v>
      </c>
      <c r="B1620" s="899" t="s">
        <v>3672</v>
      </c>
      <c r="C1620" s="832"/>
      <c r="D1620" s="832"/>
      <c r="E1620" s="940" t="s">
        <v>3685</v>
      </c>
      <c r="F1620" s="941">
        <v>275</v>
      </c>
      <c r="G1620" s="941">
        <f t="shared" si="16"/>
        <v>987.25</v>
      </c>
      <c r="H1620" s="941"/>
    </row>
    <row r="1621" spans="1:8">
      <c r="A1621" s="939">
        <v>113</v>
      </c>
      <c r="B1621" s="899" t="s">
        <v>3672</v>
      </c>
      <c r="C1621" s="832"/>
      <c r="D1621" s="832"/>
      <c r="E1621" s="940" t="s">
        <v>3686</v>
      </c>
      <c r="F1621" s="941">
        <v>275</v>
      </c>
      <c r="G1621" s="941">
        <f t="shared" si="16"/>
        <v>987.25</v>
      </c>
      <c r="H1621" s="941"/>
    </row>
    <row r="1622" spans="1:8">
      <c r="A1622" s="939">
        <v>114</v>
      </c>
      <c r="B1622" s="899" t="s">
        <v>3672</v>
      </c>
      <c r="C1622" s="832"/>
      <c r="D1622" s="832"/>
      <c r="E1622" s="940" t="s">
        <v>3687</v>
      </c>
      <c r="F1622" s="941">
        <v>275</v>
      </c>
      <c r="G1622" s="941">
        <f t="shared" si="16"/>
        <v>987.25</v>
      </c>
      <c r="H1622" s="941"/>
    </row>
    <row r="1623" spans="1:8">
      <c r="A1623" s="939">
        <v>115</v>
      </c>
      <c r="B1623" s="899" t="s">
        <v>3672</v>
      </c>
      <c r="C1623" s="832"/>
      <c r="D1623" s="832"/>
      <c r="E1623" s="940" t="s">
        <v>3688</v>
      </c>
      <c r="F1623" s="941">
        <v>275</v>
      </c>
      <c r="G1623" s="941">
        <f t="shared" si="16"/>
        <v>987.25</v>
      </c>
      <c r="H1623" s="941"/>
    </row>
    <row r="1624" spans="1:8">
      <c r="A1624" s="939">
        <v>116</v>
      </c>
      <c r="B1624" s="899" t="s">
        <v>3672</v>
      </c>
      <c r="C1624" s="832"/>
      <c r="D1624" s="832"/>
      <c r="E1624" s="940" t="s">
        <v>3689</v>
      </c>
      <c r="F1624" s="941">
        <v>275</v>
      </c>
      <c r="G1624" s="941">
        <f t="shared" si="16"/>
        <v>987.25</v>
      </c>
      <c r="H1624" s="941"/>
    </row>
    <row r="1625" spans="1:8">
      <c r="A1625" s="939">
        <v>117</v>
      </c>
      <c r="B1625" s="899" t="s">
        <v>3672</v>
      </c>
      <c r="C1625" s="832"/>
      <c r="D1625" s="832"/>
      <c r="E1625" s="940" t="s">
        <v>3690</v>
      </c>
      <c r="F1625" s="941">
        <v>275</v>
      </c>
      <c r="G1625" s="941">
        <f t="shared" si="16"/>
        <v>987.25</v>
      </c>
      <c r="H1625" s="941"/>
    </row>
    <row r="1626" spans="1:8">
      <c r="A1626" s="939">
        <v>118</v>
      </c>
      <c r="B1626" s="899" t="s">
        <v>3672</v>
      </c>
      <c r="C1626" s="832"/>
      <c r="D1626" s="832"/>
      <c r="E1626" s="940" t="s">
        <v>3691</v>
      </c>
      <c r="F1626" s="941">
        <v>275</v>
      </c>
      <c r="G1626" s="941">
        <f t="shared" si="16"/>
        <v>987.25</v>
      </c>
      <c r="H1626" s="941"/>
    </row>
    <row r="1627" spans="1:8">
      <c r="A1627" s="939">
        <v>119</v>
      </c>
      <c r="B1627" s="899" t="s">
        <v>3672</v>
      </c>
      <c r="C1627" s="832"/>
      <c r="D1627" s="832"/>
      <c r="E1627" s="940" t="s">
        <v>3692</v>
      </c>
      <c r="F1627" s="941">
        <v>275</v>
      </c>
      <c r="G1627" s="941">
        <f t="shared" si="16"/>
        <v>987.25</v>
      </c>
      <c r="H1627" s="941"/>
    </row>
    <row r="1628" spans="1:8">
      <c r="A1628" s="939">
        <v>120</v>
      </c>
      <c r="B1628" s="899" t="s">
        <v>3672</v>
      </c>
      <c r="C1628" s="832"/>
      <c r="D1628" s="832"/>
      <c r="E1628" s="940" t="s">
        <v>3693</v>
      </c>
      <c r="F1628" s="941">
        <v>275</v>
      </c>
      <c r="G1628" s="941">
        <f t="shared" si="16"/>
        <v>987.25</v>
      </c>
      <c r="H1628" s="941"/>
    </row>
    <row r="1629" spans="1:8">
      <c r="A1629" s="939">
        <v>121</v>
      </c>
      <c r="B1629" s="899" t="s">
        <v>3672</v>
      </c>
      <c r="C1629" s="832"/>
      <c r="D1629" s="832"/>
      <c r="E1629" s="940" t="s">
        <v>3694</v>
      </c>
      <c r="F1629" s="941">
        <v>275</v>
      </c>
      <c r="G1629" s="941">
        <f t="shared" si="16"/>
        <v>987.25</v>
      </c>
      <c r="H1629" s="941"/>
    </row>
    <row r="1630" spans="1:8">
      <c r="A1630" s="939">
        <v>122</v>
      </c>
      <c r="B1630" s="899" t="s">
        <v>3672</v>
      </c>
      <c r="C1630" s="832"/>
      <c r="D1630" s="832"/>
      <c r="E1630" s="940" t="s">
        <v>3695</v>
      </c>
      <c r="F1630" s="941">
        <v>275</v>
      </c>
      <c r="G1630" s="941">
        <f t="shared" si="16"/>
        <v>987.25</v>
      </c>
      <c r="H1630" s="941"/>
    </row>
    <row r="1631" spans="1:8">
      <c r="A1631" s="939">
        <v>123</v>
      </c>
      <c r="B1631" s="899" t="s">
        <v>3672</v>
      </c>
      <c r="C1631" s="832"/>
      <c r="D1631" s="832"/>
      <c r="E1631" s="940" t="s">
        <v>3696</v>
      </c>
      <c r="F1631" s="941">
        <v>275</v>
      </c>
      <c r="G1631" s="941">
        <f t="shared" si="16"/>
        <v>987.25</v>
      </c>
      <c r="H1631" s="941"/>
    </row>
    <row r="1632" spans="1:8">
      <c r="A1632" s="939">
        <v>124</v>
      </c>
      <c r="B1632" s="899" t="s">
        <v>3672</v>
      </c>
      <c r="C1632" s="832"/>
      <c r="D1632" s="832"/>
      <c r="E1632" s="940" t="s">
        <v>3697</v>
      </c>
      <c r="F1632" s="941">
        <v>275</v>
      </c>
      <c r="G1632" s="941">
        <f t="shared" si="16"/>
        <v>987.25</v>
      </c>
      <c r="H1632" s="941"/>
    </row>
    <row r="1633" spans="1:9" ht="20.25">
      <c r="A1633" s="895"/>
      <c r="B1633" s="895"/>
      <c r="C1633" s="895"/>
      <c r="D1633" s="895"/>
      <c r="E1633" s="126"/>
      <c r="F1633" s="937">
        <f>SUM(F1509:F1632)</f>
        <v>44090</v>
      </c>
      <c r="G1633" s="938">
        <f t="shared" si="16"/>
        <v>158283.1</v>
      </c>
      <c r="H1633" s="618"/>
    </row>
    <row r="1643" spans="1:9" ht="38.450000000000003" customHeight="1">
      <c r="A1643" s="1519" t="s">
        <v>3791</v>
      </c>
      <c r="B1643" s="1519"/>
      <c r="C1643" s="1519"/>
      <c r="D1643" s="1519"/>
      <c r="E1643" s="1519"/>
      <c r="F1643" s="1519"/>
      <c r="G1643" s="1519"/>
      <c r="H1643" s="1519"/>
    </row>
    <row r="1644" spans="1:9" ht="27.6" customHeight="1">
      <c r="A1644" s="1518" t="s">
        <v>3733</v>
      </c>
      <c r="B1644" s="1518"/>
      <c r="C1644" s="986" t="s">
        <v>3790</v>
      </c>
      <c r="D1644" s="981" t="s">
        <v>2421</v>
      </c>
      <c r="E1644" s="981" t="s">
        <v>2755</v>
      </c>
      <c r="F1644" s="981" t="s">
        <v>2423</v>
      </c>
      <c r="G1644" s="982" t="s">
        <v>3734</v>
      </c>
      <c r="H1644" s="982" t="s">
        <v>3111</v>
      </c>
      <c r="I1644" s="731" t="s">
        <v>3820</v>
      </c>
    </row>
    <row r="1645" spans="1:9">
      <c r="A1645" s="987">
        <v>1</v>
      </c>
      <c r="B1645" s="988" t="s">
        <v>3735</v>
      </c>
      <c r="C1645" s="988" t="s">
        <v>3736</v>
      </c>
      <c r="D1645" s="992" t="s">
        <v>3737</v>
      </c>
      <c r="E1645" s="993">
        <v>357329444137212</v>
      </c>
      <c r="F1645" s="994"/>
      <c r="G1645" s="989">
        <v>930</v>
      </c>
      <c r="H1645" s="990">
        <v>3338.7</v>
      </c>
      <c r="I1645" s="731"/>
    </row>
    <row r="1646" spans="1:9">
      <c r="A1646" s="987">
        <v>2</v>
      </c>
      <c r="B1646" s="988" t="s">
        <v>3735</v>
      </c>
      <c r="C1646" s="988" t="s">
        <v>3736</v>
      </c>
      <c r="D1646" s="988" t="s">
        <v>3737</v>
      </c>
      <c r="E1646" s="987">
        <v>357329443574662</v>
      </c>
      <c r="F1646" s="988" t="s">
        <v>3738</v>
      </c>
      <c r="G1646" s="989">
        <v>1180</v>
      </c>
      <c r="H1646" s="990">
        <v>4236.2</v>
      </c>
      <c r="I1646" s="731"/>
    </row>
    <row r="1647" spans="1:9">
      <c r="A1647" s="987">
        <v>3</v>
      </c>
      <c r="B1647" s="988" t="s">
        <v>3735</v>
      </c>
      <c r="C1647" s="988" t="s">
        <v>3736</v>
      </c>
      <c r="D1647" s="988" t="s">
        <v>3737</v>
      </c>
      <c r="E1647" s="987">
        <v>357329442747004</v>
      </c>
      <c r="F1647" s="988" t="s">
        <v>3738</v>
      </c>
      <c r="G1647" s="989">
        <v>1180</v>
      </c>
      <c r="H1647" s="990">
        <v>4236.2</v>
      </c>
      <c r="I1647" s="731"/>
    </row>
    <row r="1648" spans="1:9">
      <c r="A1648" s="987">
        <v>4</v>
      </c>
      <c r="B1648" s="988" t="s">
        <v>3735</v>
      </c>
      <c r="C1648" s="988" t="s">
        <v>3736</v>
      </c>
      <c r="D1648" s="988" t="s">
        <v>3737</v>
      </c>
      <c r="E1648" s="987">
        <v>359814711121583</v>
      </c>
      <c r="F1648" s="995" t="s">
        <v>3739</v>
      </c>
      <c r="G1648" s="989">
        <v>930</v>
      </c>
      <c r="H1648" s="990">
        <v>3338.7</v>
      </c>
      <c r="I1648" s="731"/>
    </row>
    <row r="1649" spans="1:9">
      <c r="A1649" s="987">
        <v>5</v>
      </c>
      <c r="B1649" s="988" t="s">
        <v>3735</v>
      </c>
      <c r="C1649" s="988" t="s">
        <v>3736</v>
      </c>
      <c r="D1649" s="988" t="s">
        <v>3737</v>
      </c>
      <c r="E1649" s="987">
        <v>357329442466084</v>
      </c>
      <c r="F1649" s="988" t="s">
        <v>3738</v>
      </c>
      <c r="G1649" s="989">
        <v>1180</v>
      </c>
      <c r="H1649" s="990">
        <v>4236.2</v>
      </c>
      <c r="I1649" s="731"/>
    </row>
    <row r="1650" spans="1:9">
      <c r="A1650" s="987">
        <v>6</v>
      </c>
      <c r="B1650" s="988" t="s">
        <v>3735</v>
      </c>
      <c r="C1650" s="988" t="s">
        <v>3736</v>
      </c>
      <c r="D1650" s="988" t="s">
        <v>3737</v>
      </c>
      <c r="E1650" s="987">
        <v>357329443543139</v>
      </c>
      <c r="F1650" s="988" t="s">
        <v>3738</v>
      </c>
      <c r="G1650" s="989">
        <v>1180</v>
      </c>
      <c r="H1650" s="990">
        <v>4236.2</v>
      </c>
      <c r="I1650" s="731"/>
    </row>
    <row r="1651" spans="1:9">
      <c r="A1651" s="987">
        <v>7</v>
      </c>
      <c r="B1651" s="988" t="s">
        <v>3735</v>
      </c>
      <c r="C1651" s="988" t="s">
        <v>3736</v>
      </c>
      <c r="D1651" s="988" t="s">
        <v>3737</v>
      </c>
      <c r="E1651" s="987">
        <v>357329443067907</v>
      </c>
      <c r="F1651" s="988" t="s">
        <v>3738</v>
      </c>
      <c r="G1651" s="989">
        <v>1180</v>
      </c>
      <c r="H1651" s="990">
        <v>4236.2</v>
      </c>
      <c r="I1651" s="731"/>
    </row>
    <row r="1652" spans="1:9">
      <c r="A1652" s="987">
        <v>8</v>
      </c>
      <c r="B1652" s="988" t="s">
        <v>3735</v>
      </c>
      <c r="C1652" s="988" t="s">
        <v>3736</v>
      </c>
      <c r="D1652" s="988" t="s">
        <v>3737</v>
      </c>
      <c r="E1652" s="987">
        <v>353263429157560</v>
      </c>
      <c r="F1652" s="988" t="s">
        <v>3740</v>
      </c>
      <c r="G1652" s="989">
        <v>1140</v>
      </c>
      <c r="H1652" s="990">
        <v>4092.6</v>
      </c>
      <c r="I1652" s="731"/>
    </row>
    <row r="1653" spans="1:9">
      <c r="A1653" s="987">
        <v>9</v>
      </c>
      <c r="B1653" s="988" t="s">
        <v>3735</v>
      </c>
      <c r="C1653" s="988" t="s">
        <v>3736</v>
      </c>
      <c r="D1653" s="988" t="s">
        <v>3737</v>
      </c>
      <c r="E1653" s="987">
        <v>357329443990397</v>
      </c>
      <c r="F1653" s="991"/>
      <c r="G1653" s="989">
        <v>930</v>
      </c>
      <c r="H1653" s="990">
        <v>3338.7</v>
      </c>
      <c r="I1653" s="731"/>
    </row>
    <row r="1654" spans="1:9">
      <c r="A1654" s="987">
        <v>10</v>
      </c>
      <c r="B1654" s="988" t="s">
        <v>3735</v>
      </c>
      <c r="C1654" s="988" t="s">
        <v>3736</v>
      </c>
      <c r="D1654" s="988" t="s">
        <v>3737</v>
      </c>
      <c r="E1654" s="987">
        <v>357329443885589</v>
      </c>
      <c r="F1654" s="991"/>
      <c r="G1654" s="989">
        <v>930</v>
      </c>
      <c r="H1654" s="990">
        <v>3338.7</v>
      </c>
      <c r="I1654" s="731"/>
    </row>
    <row r="1655" spans="1:9">
      <c r="A1655" s="987">
        <v>11</v>
      </c>
      <c r="B1655" s="988" t="s">
        <v>3735</v>
      </c>
      <c r="C1655" s="988" t="s">
        <v>3736</v>
      </c>
      <c r="D1655" s="988" t="s">
        <v>3737</v>
      </c>
      <c r="E1655" s="987">
        <v>353497854636249</v>
      </c>
      <c r="F1655" s="991"/>
      <c r="G1655" s="989">
        <v>930</v>
      </c>
      <c r="H1655" s="990">
        <v>3338.7</v>
      </c>
      <c r="I1655" s="731"/>
    </row>
    <row r="1656" spans="1:9">
      <c r="A1656" s="987">
        <v>12</v>
      </c>
      <c r="B1656" s="988" t="s">
        <v>3735</v>
      </c>
      <c r="C1656" s="988" t="s">
        <v>3736</v>
      </c>
      <c r="D1656" s="988" t="s">
        <v>3741</v>
      </c>
      <c r="E1656" s="987">
        <v>353837419687544</v>
      </c>
      <c r="F1656" s="988" t="s">
        <v>3738</v>
      </c>
      <c r="G1656" s="989">
        <v>1320</v>
      </c>
      <c r="H1656" s="990">
        <v>4738.8</v>
      </c>
      <c r="I1656" s="731"/>
    </row>
    <row r="1657" spans="1:9">
      <c r="A1657" s="987">
        <v>13</v>
      </c>
      <c r="B1657" s="988" t="s">
        <v>3735</v>
      </c>
      <c r="C1657" s="988" t="s">
        <v>3736</v>
      </c>
      <c r="D1657" s="988" t="s">
        <v>3742</v>
      </c>
      <c r="E1657" s="987">
        <v>359814712557405</v>
      </c>
      <c r="F1657" s="988" t="s">
        <v>3743</v>
      </c>
      <c r="G1657" s="989">
        <v>1280</v>
      </c>
      <c r="H1657" s="990">
        <v>4595.2</v>
      </c>
      <c r="I1657" s="731"/>
    </row>
    <row r="1658" spans="1:9">
      <c r="A1658" s="987">
        <v>14</v>
      </c>
      <c r="B1658" s="988" t="s">
        <v>3735</v>
      </c>
      <c r="C1658" s="988" t="s">
        <v>3744</v>
      </c>
      <c r="D1658" s="988" t="s">
        <v>3737</v>
      </c>
      <c r="E1658" s="987">
        <v>353497853988997</v>
      </c>
      <c r="F1658" s="988" t="s">
        <v>3743</v>
      </c>
      <c r="G1658" s="989">
        <v>910</v>
      </c>
      <c r="H1658" s="990">
        <v>3266.9</v>
      </c>
      <c r="I1658" s="731"/>
    </row>
    <row r="1659" spans="1:9">
      <c r="A1659" s="987">
        <v>15</v>
      </c>
      <c r="B1659" s="988" t="s">
        <v>3735</v>
      </c>
      <c r="C1659" s="988" t="s">
        <v>3744</v>
      </c>
      <c r="D1659" s="988" t="s">
        <v>3737</v>
      </c>
      <c r="E1659" s="987">
        <v>359814712090548</v>
      </c>
      <c r="F1659" s="991"/>
      <c r="G1659" s="989">
        <v>910</v>
      </c>
      <c r="H1659" s="990">
        <v>3266.9</v>
      </c>
      <c r="I1659" s="731"/>
    </row>
    <row r="1660" spans="1:9">
      <c r="A1660" s="987">
        <v>16</v>
      </c>
      <c r="B1660" s="988" t="s">
        <v>3735</v>
      </c>
      <c r="C1660" s="988" t="s">
        <v>3744</v>
      </c>
      <c r="D1660" s="988" t="s">
        <v>3737</v>
      </c>
      <c r="E1660" s="987">
        <v>353497852090191</v>
      </c>
      <c r="F1660" s="988" t="s">
        <v>3745</v>
      </c>
      <c r="G1660" s="989">
        <v>960</v>
      </c>
      <c r="H1660" s="990">
        <v>3446.3999999999996</v>
      </c>
      <c r="I1660" s="980"/>
    </row>
    <row r="1661" spans="1:9">
      <c r="A1661" s="987">
        <v>17</v>
      </c>
      <c r="B1661" s="988" t="s">
        <v>3735</v>
      </c>
      <c r="C1661" s="988" t="s">
        <v>3744</v>
      </c>
      <c r="D1661" s="988" t="s">
        <v>3737</v>
      </c>
      <c r="E1661" s="987">
        <v>353497852096644</v>
      </c>
      <c r="F1661" s="988" t="s">
        <v>3745</v>
      </c>
      <c r="G1661" s="989">
        <v>960</v>
      </c>
      <c r="H1661" s="990">
        <v>3446.3999999999996</v>
      </c>
      <c r="I1661" s="980"/>
    </row>
    <row r="1662" spans="1:9">
      <c r="A1662" s="987">
        <v>18</v>
      </c>
      <c r="B1662" s="988" t="s">
        <v>3735</v>
      </c>
      <c r="C1662" s="988" t="s">
        <v>3744</v>
      </c>
      <c r="D1662" s="988" t="s">
        <v>3741</v>
      </c>
      <c r="E1662" s="987">
        <v>359814715206307</v>
      </c>
      <c r="F1662" s="988" t="s">
        <v>3743</v>
      </c>
      <c r="G1662" s="989">
        <v>1180</v>
      </c>
      <c r="H1662" s="990">
        <v>4236.2</v>
      </c>
      <c r="I1662" s="980"/>
    </row>
    <row r="1663" spans="1:9">
      <c r="A1663" s="987">
        <v>19</v>
      </c>
      <c r="B1663" s="988" t="s">
        <v>3735</v>
      </c>
      <c r="C1663" s="988" t="s">
        <v>3744</v>
      </c>
      <c r="D1663" s="988" t="s">
        <v>3742</v>
      </c>
      <c r="E1663" s="987">
        <v>359814713098391</v>
      </c>
      <c r="F1663" s="988" t="s">
        <v>3743</v>
      </c>
      <c r="G1663" s="989">
        <v>1280</v>
      </c>
      <c r="H1663" s="990">
        <v>4595.2</v>
      </c>
      <c r="I1663" s="980"/>
    </row>
    <row r="1664" spans="1:9">
      <c r="A1664" s="987">
        <v>20</v>
      </c>
      <c r="B1664" s="988" t="s">
        <v>3735</v>
      </c>
      <c r="C1664" s="988" t="s">
        <v>3746</v>
      </c>
      <c r="D1664" s="988" t="s">
        <v>3737</v>
      </c>
      <c r="E1664" s="987">
        <v>353837419953243</v>
      </c>
      <c r="F1664" s="988" t="s">
        <v>3738</v>
      </c>
      <c r="G1664" s="989">
        <v>1180</v>
      </c>
      <c r="H1664" s="990">
        <v>4236.2</v>
      </c>
      <c r="I1664" s="980"/>
    </row>
    <row r="1665" spans="1:10">
      <c r="A1665" s="987">
        <v>21</v>
      </c>
      <c r="B1665" s="988" t="s">
        <v>3735</v>
      </c>
      <c r="C1665" s="988" t="s">
        <v>3746</v>
      </c>
      <c r="D1665" s="988" t="s">
        <v>3737</v>
      </c>
      <c r="E1665" s="987">
        <v>353837419937733</v>
      </c>
      <c r="F1665" s="988" t="s">
        <v>3738</v>
      </c>
      <c r="G1665" s="989">
        <v>1180</v>
      </c>
      <c r="H1665" s="990">
        <v>4236.2</v>
      </c>
      <c r="I1665" s="980"/>
    </row>
    <row r="1666" spans="1:10">
      <c r="A1666" s="987">
        <v>22</v>
      </c>
      <c r="B1666" s="988" t="s">
        <v>3735</v>
      </c>
      <c r="C1666" s="988" t="s">
        <v>3746</v>
      </c>
      <c r="D1666" s="988" t="s">
        <v>3737</v>
      </c>
      <c r="E1666" s="987">
        <v>353837419424757</v>
      </c>
      <c r="F1666" s="988" t="s">
        <v>3738</v>
      </c>
      <c r="G1666" s="989">
        <v>1180</v>
      </c>
      <c r="H1666" s="990">
        <v>4236.2</v>
      </c>
      <c r="I1666" s="980"/>
    </row>
    <row r="1667" spans="1:10">
      <c r="A1667" s="987">
        <v>23</v>
      </c>
      <c r="B1667" s="988" t="s">
        <v>3735</v>
      </c>
      <c r="C1667" s="988" t="s">
        <v>3746</v>
      </c>
      <c r="D1667" s="988" t="s">
        <v>3737</v>
      </c>
      <c r="E1667" s="987">
        <v>359814711892837</v>
      </c>
      <c r="F1667" s="988" t="s">
        <v>3743</v>
      </c>
      <c r="G1667" s="989">
        <v>1025</v>
      </c>
      <c r="H1667" s="990">
        <v>3679.75</v>
      </c>
      <c r="I1667" s="980">
        <v>925</v>
      </c>
    </row>
    <row r="1668" spans="1:10">
      <c r="A1668" s="987">
        <v>24</v>
      </c>
      <c r="B1668" s="988" t="s">
        <v>3735</v>
      </c>
      <c r="C1668" s="988" t="s">
        <v>3746</v>
      </c>
      <c r="D1668" s="988" t="s">
        <v>3737</v>
      </c>
      <c r="E1668" s="987">
        <v>358206134886663</v>
      </c>
      <c r="F1668" s="991"/>
      <c r="G1668" s="989">
        <v>960</v>
      </c>
      <c r="H1668" s="990">
        <v>3446.3999999999996</v>
      </c>
      <c r="I1668" s="980"/>
    </row>
    <row r="1669" spans="1:10">
      <c r="A1669" s="987">
        <v>25</v>
      </c>
      <c r="B1669" s="988" t="s">
        <v>3735</v>
      </c>
      <c r="C1669" s="988" t="s">
        <v>3746</v>
      </c>
      <c r="D1669" s="988" t="s">
        <v>3737</v>
      </c>
      <c r="E1669" s="987">
        <v>358206134905695</v>
      </c>
      <c r="F1669" s="991"/>
      <c r="G1669" s="989">
        <v>960</v>
      </c>
      <c r="H1669" s="990">
        <v>3446.3999999999996</v>
      </c>
      <c r="I1669" s="980"/>
    </row>
    <row r="1670" spans="1:10">
      <c r="A1670" s="987">
        <v>26</v>
      </c>
      <c r="B1670" s="988" t="s">
        <v>3735</v>
      </c>
      <c r="C1670" s="988" t="s">
        <v>3746</v>
      </c>
      <c r="D1670" s="988" t="s">
        <v>3737</v>
      </c>
      <c r="E1670" s="987">
        <v>359814713057827</v>
      </c>
      <c r="F1670" s="988" t="s">
        <v>3743</v>
      </c>
      <c r="G1670" s="989">
        <v>1025</v>
      </c>
      <c r="H1670" s="990">
        <v>3679.75</v>
      </c>
      <c r="I1670" s="983" t="s">
        <v>3747</v>
      </c>
      <c r="J1670">
        <v>925</v>
      </c>
    </row>
    <row r="1671" spans="1:10">
      <c r="A1671" s="987">
        <v>27</v>
      </c>
      <c r="B1671" s="988" t="s">
        <v>3735</v>
      </c>
      <c r="C1671" s="988" t="s">
        <v>3746</v>
      </c>
      <c r="D1671" s="988" t="s">
        <v>3737</v>
      </c>
      <c r="E1671" s="987">
        <v>359614548053847</v>
      </c>
      <c r="F1671" s="988" t="s">
        <v>3745</v>
      </c>
      <c r="G1671" s="989">
        <v>910</v>
      </c>
      <c r="H1671" s="990">
        <v>3266.9</v>
      </c>
      <c r="I1671" s="980"/>
    </row>
    <row r="1672" spans="1:10">
      <c r="A1672" s="987">
        <v>28</v>
      </c>
      <c r="B1672" s="988" t="s">
        <v>3735</v>
      </c>
      <c r="C1672" s="988" t="s">
        <v>3746</v>
      </c>
      <c r="D1672" s="988" t="s">
        <v>3737</v>
      </c>
      <c r="E1672" s="987">
        <v>358206132452443</v>
      </c>
      <c r="F1672" s="991"/>
      <c r="G1672" s="989">
        <v>960</v>
      </c>
      <c r="H1672" s="990">
        <v>3446.3999999999996</v>
      </c>
      <c r="I1672" s="980"/>
    </row>
    <row r="1673" spans="1:10">
      <c r="A1673" s="987">
        <v>29</v>
      </c>
      <c r="B1673" s="988" t="s">
        <v>3735</v>
      </c>
      <c r="C1673" s="988" t="s">
        <v>3746</v>
      </c>
      <c r="D1673" s="988" t="s">
        <v>3737</v>
      </c>
      <c r="E1673" s="987">
        <v>358206133065350</v>
      </c>
      <c r="F1673" s="991"/>
      <c r="G1673" s="989">
        <v>960</v>
      </c>
      <c r="H1673" s="990">
        <v>3446.3999999999996</v>
      </c>
      <c r="I1673" s="980"/>
    </row>
    <row r="1674" spans="1:10">
      <c r="A1674" s="987">
        <v>30</v>
      </c>
      <c r="B1674" s="988" t="s">
        <v>3735</v>
      </c>
      <c r="C1674" s="988" t="s">
        <v>3746</v>
      </c>
      <c r="D1674" s="988" t="s">
        <v>3737</v>
      </c>
      <c r="E1674" s="987">
        <v>359614548237234</v>
      </c>
      <c r="F1674" s="988" t="s">
        <v>3745</v>
      </c>
      <c r="G1674" s="989">
        <v>910</v>
      </c>
      <c r="H1674" s="990">
        <v>3266.9</v>
      </c>
      <c r="I1674" s="980"/>
    </row>
    <row r="1675" spans="1:10">
      <c r="A1675" s="987">
        <v>31</v>
      </c>
      <c r="B1675" s="988" t="s">
        <v>3735</v>
      </c>
      <c r="C1675" s="988" t="s">
        <v>3746</v>
      </c>
      <c r="D1675" s="988" t="s">
        <v>3741</v>
      </c>
      <c r="E1675" s="987">
        <v>357329441424068</v>
      </c>
      <c r="F1675" s="988" t="s">
        <v>3743</v>
      </c>
      <c r="G1675" s="989">
        <v>1180</v>
      </c>
      <c r="H1675" s="990">
        <v>4236.2</v>
      </c>
      <c r="I1675" s="980"/>
    </row>
    <row r="1676" spans="1:10">
      <c r="A1676" s="987">
        <v>32</v>
      </c>
      <c r="B1676" s="988" t="s">
        <v>3735</v>
      </c>
      <c r="C1676" s="988" t="s">
        <v>3746</v>
      </c>
      <c r="D1676" s="988" t="s">
        <v>3742</v>
      </c>
      <c r="E1676" s="987">
        <v>356392246941075</v>
      </c>
      <c r="F1676" s="988" t="s">
        <v>3743</v>
      </c>
      <c r="G1676" s="989">
        <v>1280</v>
      </c>
      <c r="H1676" s="990">
        <v>4595.2</v>
      </c>
      <c r="I1676" s="731"/>
    </row>
    <row r="1677" spans="1:10">
      <c r="A1677" s="987">
        <v>33</v>
      </c>
      <c r="B1677" s="988" t="s">
        <v>3748</v>
      </c>
      <c r="C1677" s="988" t="s">
        <v>3736</v>
      </c>
      <c r="D1677" s="988" t="s">
        <v>3737</v>
      </c>
      <c r="E1677" s="987">
        <v>352190328033777</v>
      </c>
      <c r="F1677" s="995" t="s">
        <v>3739</v>
      </c>
      <c r="G1677" s="989">
        <v>830</v>
      </c>
      <c r="H1677" s="990">
        <v>2979.7</v>
      </c>
      <c r="I1677" s="731">
        <v>800</v>
      </c>
    </row>
    <row r="1678" spans="1:10">
      <c r="A1678" s="987">
        <v>34</v>
      </c>
      <c r="B1678" s="988" t="s">
        <v>3748</v>
      </c>
      <c r="C1678" s="988" t="s">
        <v>3746</v>
      </c>
      <c r="D1678" s="988" t="s">
        <v>3737</v>
      </c>
      <c r="E1678" s="987">
        <v>352294449052755</v>
      </c>
      <c r="F1678" s="988" t="s">
        <v>3738</v>
      </c>
      <c r="G1678" s="989">
        <v>1080</v>
      </c>
      <c r="H1678" s="990">
        <v>3877.2</v>
      </c>
      <c r="I1678" s="731"/>
    </row>
    <row r="1679" spans="1:10">
      <c r="A1679" s="987">
        <v>35</v>
      </c>
      <c r="B1679" s="988" t="s">
        <v>3748</v>
      </c>
      <c r="C1679" s="988" t="s">
        <v>3746</v>
      </c>
      <c r="D1679" s="988" t="s">
        <v>3737</v>
      </c>
      <c r="E1679" s="987">
        <v>352294447725915</v>
      </c>
      <c r="F1679" s="988" t="s">
        <v>3738</v>
      </c>
      <c r="G1679" s="989">
        <v>1080</v>
      </c>
      <c r="H1679" s="990">
        <v>3877.2</v>
      </c>
      <c r="I1679" s="731"/>
    </row>
    <row r="1680" spans="1:10">
      <c r="A1680" s="987">
        <v>36</v>
      </c>
      <c r="B1680" s="988" t="s">
        <v>3749</v>
      </c>
      <c r="C1680" s="988" t="s">
        <v>3750</v>
      </c>
      <c r="D1680" s="988" t="s">
        <v>3737</v>
      </c>
      <c r="E1680" s="987">
        <v>355714605463394</v>
      </c>
      <c r="F1680" s="988" t="s">
        <v>3743</v>
      </c>
      <c r="G1680" s="989">
        <v>640</v>
      </c>
      <c r="H1680" s="990">
        <v>2297.6</v>
      </c>
      <c r="I1680" s="731"/>
    </row>
    <row r="1681" spans="1:9">
      <c r="A1681" s="987">
        <v>37</v>
      </c>
      <c r="B1681" s="988" t="s">
        <v>3749</v>
      </c>
      <c r="C1681" s="988" t="s">
        <v>3751</v>
      </c>
      <c r="D1681" s="988" t="s">
        <v>3737</v>
      </c>
      <c r="E1681" s="987">
        <v>353502589829355</v>
      </c>
      <c r="F1681" s="988" t="s">
        <v>3743</v>
      </c>
      <c r="G1681" s="989">
        <v>640</v>
      </c>
      <c r="H1681" s="990">
        <v>2297.6</v>
      </c>
      <c r="I1681" s="731"/>
    </row>
    <row r="1682" spans="1:9">
      <c r="A1682" s="987">
        <v>38</v>
      </c>
      <c r="B1682" s="988" t="s">
        <v>3749</v>
      </c>
      <c r="C1682" s="988" t="s">
        <v>3752</v>
      </c>
      <c r="D1682" s="988" t="s">
        <v>3737</v>
      </c>
      <c r="E1682" s="987">
        <v>351807171680906</v>
      </c>
      <c r="F1682" s="988" t="s">
        <v>3743</v>
      </c>
      <c r="G1682" s="989">
        <v>640</v>
      </c>
      <c r="H1682" s="990">
        <v>2297.6</v>
      </c>
      <c r="I1682" s="731"/>
    </row>
    <row r="1683" spans="1:9">
      <c r="A1683" s="987">
        <v>39</v>
      </c>
      <c r="B1683" s="988" t="s">
        <v>3749</v>
      </c>
      <c r="C1683" s="988" t="s">
        <v>3753</v>
      </c>
      <c r="D1683" s="988" t="s">
        <v>3737</v>
      </c>
      <c r="E1683" s="987">
        <v>354717537662067</v>
      </c>
      <c r="F1683" s="988" t="s">
        <v>3743</v>
      </c>
      <c r="G1683" s="989">
        <v>640</v>
      </c>
      <c r="H1683" s="990">
        <v>2297.6</v>
      </c>
      <c r="I1683" s="731"/>
    </row>
    <row r="1684" spans="1:9">
      <c r="A1684" s="987">
        <v>40</v>
      </c>
      <c r="B1684" s="988" t="s">
        <v>3754</v>
      </c>
      <c r="C1684" s="988" t="s">
        <v>3753</v>
      </c>
      <c r="D1684" s="988" t="s">
        <v>3755</v>
      </c>
      <c r="E1684" s="987">
        <v>359012142968009</v>
      </c>
      <c r="F1684" s="988" t="s">
        <v>3743</v>
      </c>
      <c r="G1684" s="989">
        <v>440</v>
      </c>
      <c r="H1684" s="990">
        <v>1579.6</v>
      </c>
      <c r="I1684" s="731"/>
    </row>
    <row r="1685" spans="1:9">
      <c r="A1685" s="987">
        <v>41</v>
      </c>
      <c r="B1685" s="988" t="s">
        <v>3754</v>
      </c>
      <c r="C1685" s="988" t="s">
        <v>3753</v>
      </c>
      <c r="D1685" s="988" t="s">
        <v>3755</v>
      </c>
      <c r="E1685" s="987">
        <v>359012142740655</v>
      </c>
      <c r="F1685" s="988" t="s">
        <v>3743</v>
      </c>
      <c r="G1685" s="989">
        <v>440</v>
      </c>
      <c r="H1685" s="990">
        <v>1579.6</v>
      </c>
      <c r="I1685" s="731"/>
    </row>
    <row r="1686" spans="1:9">
      <c r="A1686" s="987">
        <v>42</v>
      </c>
      <c r="B1686" s="988" t="s">
        <v>3756</v>
      </c>
      <c r="C1686" s="988" t="s">
        <v>3757</v>
      </c>
      <c r="D1686" s="988" t="s">
        <v>3755</v>
      </c>
      <c r="E1686" s="987">
        <v>357253672862772</v>
      </c>
      <c r="F1686" s="988" t="s">
        <v>3743</v>
      </c>
      <c r="G1686" s="989">
        <v>360</v>
      </c>
      <c r="H1686" s="990">
        <v>1292.3999999999999</v>
      </c>
      <c r="I1686" s="731"/>
    </row>
    <row r="1687" spans="1:9">
      <c r="A1687" s="987">
        <v>43</v>
      </c>
      <c r="B1687" s="988" t="s">
        <v>3758</v>
      </c>
      <c r="C1687" s="988" t="s">
        <v>3753</v>
      </c>
      <c r="D1687" s="988" t="s">
        <v>3755</v>
      </c>
      <c r="E1687" s="987">
        <v>356842891030715</v>
      </c>
      <c r="F1687" s="991"/>
      <c r="G1687" s="989">
        <v>205</v>
      </c>
      <c r="H1687" s="990">
        <v>735.94999999999993</v>
      </c>
      <c r="I1687" s="731"/>
    </row>
    <row r="1688" spans="1:9">
      <c r="A1688" s="987">
        <v>44</v>
      </c>
      <c r="B1688" s="988" t="s">
        <v>3758</v>
      </c>
      <c r="C1688" s="988" t="s">
        <v>3753</v>
      </c>
      <c r="D1688" s="988" t="s">
        <v>3755</v>
      </c>
      <c r="E1688" s="987">
        <v>356842891165669</v>
      </c>
      <c r="F1688" s="991"/>
      <c r="G1688" s="989">
        <v>205</v>
      </c>
      <c r="H1688" s="990">
        <v>735.94999999999993</v>
      </c>
      <c r="I1688" s="731"/>
    </row>
    <row r="1689" spans="1:9">
      <c r="A1689" s="987">
        <v>45</v>
      </c>
      <c r="B1689" s="988" t="s">
        <v>3758</v>
      </c>
      <c r="C1689" s="988" t="s">
        <v>3753</v>
      </c>
      <c r="D1689" s="988" t="s">
        <v>3755</v>
      </c>
      <c r="E1689" s="987">
        <v>354741554813635</v>
      </c>
      <c r="F1689" s="991"/>
      <c r="G1689" s="989">
        <v>205</v>
      </c>
      <c r="H1689" s="990">
        <v>735.94999999999993</v>
      </c>
      <c r="I1689" s="731"/>
    </row>
    <row r="1690" spans="1:9">
      <c r="A1690" s="987">
        <v>46</v>
      </c>
      <c r="B1690" s="988" t="s">
        <v>3758</v>
      </c>
      <c r="C1690" s="988" t="s">
        <v>3753</v>
      </c>
      <c r="D1690" s="988" t="s">
        <v>3755</v>
      </c>
      <c r="E1690" s="987">
        <v>355354210936854</v>
      </c>
      <c r="F1690" s="991"/>
      <c r="G1690" s="989">
        <v>205</v>
      </c>
      <c r="H1690" s="990">
        <v>735.94999999999993</v>
      </c>
      <c r="I1690" s="731"/>
    </row>
    <row r="1691" spans="1:9">
      <c r="A1691" s="987">
        <v>47</v>
      </c>
      <c r="B1691" s="988" t="s">
        <v>3759</v>
      </c>
      <c r="C1691" s="988" t="s">
        <v>3760</v>
      </c>
      <c r="D1691" s="988" t="s">
        <v>3737</v>
      </c>
      <c r="E1691" s="987">
        <v>358606717122974</v>
      </c>
      <c r="F1691" s="988" t="s">
        <v>3745</v>
      </c>
      <c r="G1691" s="989">
        <v>500</v>
      </c>
      <c r="H1691" s="990">
        <v>1795</v>
      </c>
      <c r="I1691" s="731"/>
    </row>
    <row r="1692" spans="1:9">
      <c r="A1692" s="987">
        <v>48</v>
      </c>
      <c r="B1692" s="988" t="s">
        <v>3759</v>
      </c>
      <c r="C1692" s="988" t="s">
        <v>3761</v>
      </c>
      <c r="D1692" s="988" t="s">
        <v>3737</v>
      </c>
      <c r="E1692" s="987">
        <v>351071527417030</v>
      </c>
      <c r="F1692" s="988" t="s">
        <v>3762</v>
      </c>
      <c r="G1692" s="989">
        <v>450</v>
      </c>
      <c r="H1692" s="990">
        <v>1615.5</v>
      </c>
      <c r="I1692" s="731"/>
    </row>
    <row r="1693" spans="1:9">
      <c r="A1693" s="987">
        <v>49</v>
      </c>
      <c r="B1693" s="988" t="s">
        <v>3763</v>
      </c>
      <c r="C1693" s="988" t="s">
        <v>3753</v>
      </c>
      <c r="D1693" s="988" t="s">
        <v>3755</v>
      </c>
      <c r="E1693" s="987">
        <v>353215879512090</v>
      </c>
      <c r="F1693" s="988" t="s">
        <v>3743</v>
      </c>
      <c r="G1693" s="989">
        <v>280</v>
      </c>
      <c r="H1693" s="990">
        <v>1005.1999999999999</v>
      </c>
      <c r="I1693" s="731"/>
    </row>
    <row r="1694" spans="1:9">
      <c r="A1694" s="987">
        <v>50</v>
      </c>
      <c r="B1694" s="988" t="s">
        <v>3763</v>
      </c>
      <c r="C1694" s="988" t="s">
        <v>3753</v>
      </c>
      <c r="D1694" s="988" t="s">
        <v>3755</v>
      </c>
      <c r="E1694" s="987">
        <v>353215878686424</v>
      </c>
      <c r="F1694" s="988" t="s">
        <v>3743</v>
      </c>
      <c r="G1694" s="989">
        <v>280</v>
      </c>
      <c r="H1694" s="990">
        <v>1005.1999999999999</v>
      </c>
      <c r="I1694" s="731"/>
    </row>
    <row r="1695" spans="1:9">
      <c r="A1695" s="987">
        <v>51</v>
      </c>
      <c r="B1695" s="988" t="s">
        <v>3763</v>
      </c>
      <c r="C1695" s="988" t="s">
        <v>3753</v>
      </c>
      <c r="D1695" s="988" t="s">
        <v>3755</v>
      </c>
      <c r="E1695" s="987">
        <v>353215877111390</v>
      </c>
      <c r="F1695" s="988" t="s">
        <v>3743</v>
      </c>
      <c r="G1695" s="989">
        <v>280</v>
      </c>
      <c r="H1695" s="990">
        <v>1005.1999999999999</v>
      </c>
      <c r="I1695" s="731"/>
    </row>
    <row r="1696" spans="1:9">
      <c r="A1696" s="987">
        <v>52</v>
      </c>
      <c r="B1696" s="988" t="s">
        <v>3763</v>
      </c>
      <c r="C1696" s="988" t="s">
        <v>3753</v>
      </c>
      <c r="D1696" s="988" t="s">
        <v>3755</v>
      </c>
      <c r="E1696" s="987">
        <v>351682391733748</v>
      </c>
      <c r="F1696" s="988" t="s">
        <v>3743</v>
      </c>
      <c r="G1696" s="989">
        <v>280</v>
      </c>
      <c r="H1696" s="990">
        <v>1005.1999999999999</v>
      </c>
      <c r="I1696" s="731"/>
    </row>
    <row r="1697" spans="1:9">
      <c r="A1697" s="987">
        <v>53</v>
      </c>
      <c r="B1697" s="988" t="s">
        <v>3763</v>
      </c>
      <c r="C1697" s="988" t="s">
        <v>3753</v>
      </c>
      <c r="D1697" s="988" t="s">
        <v>3755</v>
      </c>
      <c r="E1697" s="987">
        <v>353215877284767</v>
      </c>
      <c r="F1697" s="988" t="s">
        <v>3743</v>
      </c>
      <c r="G1697" s="989">
        <v>280</v>
      </c>
      <c r="H1697" s="990">
        <v>1005.1999999999999</v>
      </c>
      <c r="I1697" s="731"/>
    </row>
    <row r="1698" spans="1:9">
      <c r="A1698" s="987">
        <v>54</v>
      </c>
      <c r="B1698" s="988" t="s">
        <v>3763</v>
      </c>
      <c r="C1698" s="988" t="s">
        <v>3753</v>
      </c>
      <c r="D1698" s="988" t="s">
        <v>3755</v>
      </c>
      <c r="E1698" s="987">
        <v>353215877148384</v>
      </c>
      <c r="F1698" s="988" t="s">
        <v>3743</v>
      </c>
      <c r="G1698" s="989">
        <v>280</v>
      </c>
      <c r="H1698" s="990">
        <v>1005.1999999999999</v>
      </c>
      <c r="I1698" s="731"/>
    </row>
    <row r="1699" spans="1:9">
      <c r="A1699" s="987">
        <v>55</v>
      </c>
      <c r="B1699" s="988" t="s">
        <v>3763</v>
      </c>
      <c r="C1699" s="988" t="s">
        <v>3753</v>
      </c>
      <c r="D1699" s="988" t="s">
        <v>3755</v>
      </c>
      <c r="E1699" s="987">
        <v>351399080605059</v>
      </c>
      <c r="F1699" s="988" t="s">
        <v>3743</v>
      </c>
      <c r="G1699" s="989">
        <v>280</v>
      </c>
      <c r="H1699" s="990">
        <v>1005.1999999999999</v>
      </c>
      <c r="I1699" s="731"/>
    </row>
    <row r="1700" spans="1:9">
      <c r="A1700" s="987">
        <v>56</v>
      </c>
      <c r="B1700" s="988" t="s">
        <v>3763</v>
      </c>
      <c r="C1700" s="988" t="s">
        <v>3753</v>
      </c>
      <c r="D1700" s="988" t="s">
        <v>3755</v>
      </c>
      <c r="E1700" s="987">
        <v>353215877234358</v>
      </c>
      <c r="F1700" s="988" t="s">
        <v>3743</v>
      </c>
      <c r="G1700" s="989">
        <v>280</v>
      </c>
      <c r="H1700" s="990">
        <v>1005.1999999999999</v>
      </c>
      <c r="I1700" s="731"/>
    </row>
    <row r="1701" spans="1:9">
      <c r="A1701" s="987">
        <v>57</v>
      </c>
      <c r="B1701" s="988" t="s">
        <v>3764</v>
      </c>
      <c r="C1701" s="988" t="s">
        <v>3765</v>
      </c>
      <c r="D1701" s="988" t="s">
        <v>3755</v>
      </c>
      <c r="E1701" s="987">
        <v>357241834340043</v>
      </c>
      <c r="F1701" s="995" t="s">
        <v>3766</v>
      </c>
      <c r="G1701" s="989">
        <v>530</v>
      </c>
      <c r="H1701" s="990">
        <v>1902.6999999999998</v>
      </c>
      <c r="I1701" s="731"/>
    </row>
    <row r="1702" spans="1:9">
      <c r="A1702" s="987">
        <v>58</v>
      </c>
      <c r="B1702" s="988" t="s">
        <v>3764</v>
      </c>
      <c r="C1702" s="988" t="s">
        <v>3765</v>
      </c>
      <c r="D1702" s="988" t="s">
        <v>3755</v>
      </c>
      <c r="E1702" s="987">
        <v>357241833334930</v>
      </c>
      <c r="F1702" s="995" t="s">
        <v>3766</v>
      </c>
      <c r="G1702" s="989">
        <v>530</v>
      </c>
      <c r="H1702" s="990">
        <v>1902.6999999999998</v>
      </c>
      <c r="I1702" s="731"/>
    </row>
    <row r="1703" spans="1:9">
      <c r="A1703" s="987">
        <v>59</v>
      </c>
      <c r="B1703" s="988" t="s">
        <v>3764</v>
      </c>
      <c r="C1703" s="988" t="s">
        <v>3765</v>
      </c>
      <c r="D1703" s="988" t="s">
        <v>3755</v>
      </c>
      <c r="E1703" s="987">
        <v>357241835523662</v>
      </c>
      <c r="F1703" s="995" t="s">
        <v>3766</v>
      </c>
      <c r="G1703" s="989">
        <v>530</v>
      </c>
      <c r="H1703" s="990">
        <v>1902.6999999999998</v>
      </c>
      <c r="I1703" s="731"/>
    </row>
    <row r="1704" spans="1:9">
      <c r="A1704" s="987">
        <v>60</v>
      </c>
      <c r="B1704" s="988" t="s">
        <v>3764</v>
      </c>
      <c r="C1704" s="988" t="s">
        <v>3765</v>
      </c>
      <c r="D1704" s="988" t="s">
        <v>3755</v>
      </c>
      <c r="E1704" s="987">
        <v>357241833258287</v>
      </c>
      <c r="F1704" s="995" t="s">
        <v>3766</v>
      </c>
      <c r="G1704" s="989">
        <v>530</v>
      </c>
      <c r="H1704" s="990">
        <v>1902.6999999999998</v>
      </c>
      <c r="I1704" s="731"/>
    </row>
    <row r="1705" spans="1:9">
      <c r="A1705" s="987">
        <v>61</v>
      </c>
      <c r="B1705" s="988" t="s">
        <v>3764</v>
      </c>
      <c r="C1705" s="988" t="s">
        <v>3765</v>
      </c>
      <c r="D1705" s="988" t="s">
        <v>3755</v>
      </c>
      <c r="E1705" s="987">
        <v>357241831204176</v>
      </c>
      <c r="F1705" s="995" t="s">
        <v>3766</v>
      </c>
      <c r="G1705" s="989">
        <v>530</v>
      </c>
      <c r="H1705" s="990">
        <v>1902.6999999999998</v>
      </c>
      <c r="I1705" s="731"/>
    </row>
    <row r="1706" spans="1:9">
      <c r="A1706" s="987">
        <v>62</v>
      </c>
      <c r="B1706" s="988" t="s">
        <v>3767</v>
      </c>
      <c r="C1706" s="988" t="s">
        <v>3768</v>
      </c>
      <c r="D1706" s="988" t="s">
        <v>3769</v>
      </c>
      <c r="E1706" s="998" t="s">
        <v>3770</v>
      </c>
      <c r="F1706" s="988" t="s">
        <v>3745</v>
      </c>
      <c r="G1706" s="989">
        <v>1850</v>
      </c>
      <c r="H1706" s="990">
        <v>6641.5</v>
      </c>
      <c r="I1706" s="731"/>
    </row>
    <row r="1707" spans="1:9">
      <c r="A1707" s="987">
        <v>63</v>
      </c>
      <c r="B1707" s="988" t="s">
        <v>3771</v>
      </c>
      <c r="C1707" s="988" t="s">
        <v>3765</v>
      </c>
      <c r="D1707" s="988" t="s">
        <v>3772</v>
      </c>
      <c r="E1707" s="987">
        <v>358911634406827</v>
      </c>
      <c r="F1707" s="995" t="s">
        <v>3766</v>
      </c>
      <c r="G1707" s="989">
        <v>290</v>
      </c>
      <c r="H1707" s="990">
        <v>1041.0999999999999</v>
      </c>
      <c r="I1707" s="731"/>
    </row>
    <row r="1708" spans="1:9">
      <c r="A1708" s="987">
        <v>64</v>
      </c>
      <c r="B1708" s="988" t="s">
        <v>3771</v>
      </c>
      <c r="C1708" s="988" t="s">
        <v>3773</v>
      </c>
      <c r="D1708" s="988" t="s">
        <v>3774</v>
      </c>
      <c r="E1708" s="988" t="s">
        <v>3775</v>
      </c>
      <c r="F1708" s="991"/>
      <c r="G1708" s="989">
        <v>320</v>
      </c>
      <c r="H1708" s="990">
        <v>1148.8</v>
      </c>
      <c r="I1708" s="731"/>
    </row>
    <row r="1709" spans="1:9">
      <c r="A1709" s="987">
        <v>65</v>
      </c>
      <c r="B1709" s="988" t="s">
        <v>3771</v>
      </c>
      <c r="C1709" s="988" t="s">
        <v>3773</v>
      </c>
      <c r="D1709" s="988" t="s">
        <v>3774</v>
      </c>
      <c r="E1709" s="988" t="s">
        <v>3776</v>
      </c>
      <c r="F1709" s="991"/>
      <c r="G1709" s="989">
        <v>320</v>
      </c>
      <c r="H1709" s="990">
        <v>1148.8</v>
      </c>
      <c r="I1709" s="731"/>
    </row>
    <row r="1710" spans="1:9">
      <c r="A1710" s="987">
        <v>66</v>
      </c>
      <c r="B1710" s="988" t="s">
        <v>3777</v>
      </c>
      <c r="C1710" s="988" t="s">
        <v>3778</v>
      </c>
      <c r="D1710" s="988" t="s">
        <v>3779</v>
      </c>
      <c r="E1710" s="987">
        <v>351117220319542</v>
      </c>
      <c r="F1710" s="995" t="s">
        <v>3780</v>
      </c>
      <c r="G1710" s="989">
        <v>230</v>
      </c>
      <c r="H1710" s="990">
        <v>825.69999999999993</v>
      </c>
      <c r="I1710" s="731"/>
    </row>
    <row r="1711" spans="1:9">
      <c r="A1711" s="987">
        <v>67</v>
      </c>
      <c r="B1711" s="988" t="s">
        <v>3781</v>
      </c>
      <c r="C1711" s="996"/>
      <c r="D1711" s="997"/>
      <c r="E1711" s="988" t="s">
        <v>3782</v>
      </c>
      <c r="F1711" s="997"/>
      <c r="G1711" s="989">
        <v>200</v>
      </c>
      <c r="H1711" s="990">
        <v>718</v>
      </c>
      <c r="I1711" s="731"/>
    </row>
    <row r="1712" spans="1:9">
      <c r="A1712" s="987">
        <v>68</v>
      </c>
      <c r="B1712" s="988" t="s">
        <v>3781</v>
      </c>
      <c r="C1712" s="996"/>
      <c r="D1712" s="997"/>
      <c r="E1712" s="988" t="s">
        <v>3783</v>
      </c>
      <c r="F1712" s="997"/>
      <c r="G1712" s="989">
        <v>200</v>
      </c>
      <c r="H1712" s="990">
        <v>718</v>
      </c>
      <c r="I1712" s="731"/>
    </row>
    <row r="1713" spans="1:9">
      <c r="A1713" s="987">
        <v>69</v>
      </c>
      <c r="B1713" s="988" t="s">
        <v>3781</v>
      </c>
      <c r="C1713" s="996"/>
      <c r="D1713" s="997"/>
      <c r="E1713" s="988" t="s">
        <v>3784</v>
      </c>
      <c r="F1713" s="997"/>
      <c r="G1713" s="989">
        <v>200</v>
      </c>
      <c r="H1713" s="990">
        <v>718</v>
      </c>
      <c r="I1713" s="731"/>
    </row>
    <row r="1714" spans="1:9">
      <c r="A1714" s="987">
        <v>70</v>
      </c>
      <c r="B1714" s="988" t="s">
        <v>3781</v>
      </c>
      <c r="C1714" s="996"/>
      <c r="D1714" s="997"/>
      <c r="E1714" s="988" t="s">
        <v>3785</v>
      </c>
      <c r="F1714" s="997"/>
      <c r="G1714" s="989">
        <v>200</v>
      </c>
      <c r="H1714" s="990">
        <v>718</v>
      </c>
      <c r="I1714" s="731"/>
    </row>
    <row r="1715" spans="1:9">
      <c r="A1715" s="987">
        <v>71</v>
      </c>
      <c r="B1715" s="988" t="s">
        <v>3781</v>
      </c>
      <c r="C1715" s="996"/>
      <c r="D1715" s="997"/>
      <c r="E1715" s="988" t="s">
        <v>3786</v>
      </c>
      <c r="F1715" s="997"/>
      <c r="G1715" s="989">
        <v>200</v>
      </c>
      <c r="H1715" s="990">
        <v>718</v>
      </c>
      <c r="I1715" s="731"/>
    </row>
    <row r="1716" spans="1:9">
      <c r="A1716" s="987">
        <v>72</v>
      </c>
      <c r="B1716" s="988" t="s">
        <v>3781</v>
      </c>
      <c r="C1716" s="996"/>
      <c r="D1716" s="997"/>
      <c r="E1716" s="988" t="s">
        <v>3787</v>
      </c>
      <c r="F1716" s="997"/>
      <c r="G1716" s="989">
        <v>200</v>
      </c>
      <c r="H1716" s="990">
        <v>718</v>
      </c>
      <c r="I1716" s="731"/>
    </row>
    <row r="1717" spans="1:9">
      <c r="A1717" s="987">
        <v>73</v>
      </c>
      <c r="B1717" s="988" t="s">
        <v>3788</v>
      </c>
      <c r="C1717" s="996"/>
      <c r="D1717" s="988" t="s">
        <v>3741</v>
      </c>
      <c r="E1717" s="988" t="s">
        <v>3789</v>
      </c>
      <c r="F1717" s="999"/>
      <c r="G1717" s="989">
        <v>425</v>
      </c>
      <c r="H1717" s="990">
        <v>1525.75</v>
      </c>
      <c r="I1717" s="731"/>
    </row>
    <row r="1718" spans="1:9" ht="30">
      <c r="A1718" s="980"/>
      <c r="B1718" s="980"/>
      <c r="C1718" s="980"/>
      <c r="D1718" s="980"/>
      <c r="E1718" s="980"/>
      <c r="F1718" s="980"/>
      <c r="G1718" s="984">
        <v>52285</v>
      </c>
      <c r="H1718" s="985">
        <v>187703.15000000017</v>
      </c>
      <c r="I1718" s="731"/>
    </row>
    <row r="1727" spans="1:9" ht="24" customHeight="1">
      <c r="A1727" s="1489" t="s">
        <v>3792</v>
      </c>
      <c r="B1727" s="1489"/>
      <c r="C1727" s="1489"/>
      <c r="D1727" s="1489"/>
      <c r="E1727" s="1489"/>
      <c r="F1727" s="1489"/>
      <c r="G1727" s="1489"/>
    </row>
    <row r="1728" spans="1:9" ht="25.5">
      <c r="A1728" s="1516" t="s">
        <v>3109</v>
      </c>
      <c r="B1728" s="1516"/>
      <c r="C1728" s="973" t="s">
        <v>3706</v>
      </c>
      <c r="D1728" s="974" t="s">
        <v>2421</v>
      </c>
      <c r="E1728" s="974" t="s">
        <v>2755</v>
      </c>
      <c r="F1728" s="974" t="s">
        <v>2423</v>
      </c>
      <c r="G1728" s="974" t="s">
        <v>3111</v>
      </c>
    </row>
    <row r="1729" spans="1:7">
      <c r="A1729" s="1001">
        <v>1</v>
      </c>
      <c r="B1729" s="1002" t="s">
        <v>3112</v>
      </c>
      <c r="C1729" s="1002" t="s">
        <v>3113</v>
      </c>
      <c r="D1729" s="1002" t="s">
        <v>3114</v>
      </c>
      <c r="E1729" s="1001">
        <v>353497850454183</v>
      </c>
      <c r="F1729" s="1003"/>
      <c r="G1729" s="941">
        <v>3500</v>
      </c>
    </row>
    <row r="1730" spans="1:7">
      <c r="A1730" s="1001">
        <v>2</v>
      </c>
      <c r="B1730" s="1002" t="s">
        <v>3112</v>
      </c>
      <c r="C1730" s="1002" t="s">
        <v>3119</v>
      </c>
      <c r="D1730" s="1002" t="s">
        <v>3114</v>
      </c>
      <c r="E1730" s="1001">
        <v>358206130687685</v>
      </c>
      <c r="F1730" s="1003"/>
      <c r="G1730" s="941">
        <v>3200</v>
      </c>
    </row>
    <row r="1731" spans="1:7">
      <c r="A1731" s="1001">
        <v>3</v>
      </c>
      <c r="B1731" s="1002" t="s">
        <v>3112</v>
      </c>
      <c r="C1731" s="1002" t="s">
        <v>3119</v>
      </c>
      <c r="D1731" s="1002" t="s">
        <v>3114</v>
      </c>
      <c r="E1731" s="1001">
        <v>350599864315723</v>
      </c>
      <c r="F1731" s="1003"/>
      <c r="G1731" s="941">
        <v>3200</v>
      </c>
    </row>
    <row r="1732" spans="1:7">
      <c r="A1732" s="1001">
        <v>4</v>
      </c>
      <c r="B1732" s="1002" t="s">
        <v>3112</v>
      </c>
      <c r="C1732" s="1002" t="s">
        <v>3120</v>
      </c>
      <c r="D1732" s="1002" t="s">
        <v>3114</v>
      </c>
      <c r="E1732" s="1001">
        <v>358206135066869</v>
      </c>
      <c r="F1732" s="1003"/>
      <c r="G1732" s="941">
        <v>3600</v>
      </c>
    </row>
    <row r="1733" spans="1:7">
      <c r="A1733" s="1001">
        <v>5</v>
      </c>
      <c r="B1733" s="1002" t="s">
        <v>3123</v>
      </c>
      <c r="C1733" s="1002" t="s">
        <v>3113</v>
      </c>
      <c r="D1733" s="1002" t="s">
        <v>3114</v>
      </c>
      <c r="E1733" s="1001">
        <v>355981551539945</v>
      </c>
      <c r="F1733" s="1003"/>
      <c r="G1733" s="941">
        <v>2850</v>
      </c>
    </row>
    <row r="1734" spans="1:7">
      <c r="A1734" s="1001">
        <v>6</v>
      </c>
      <c r="B1734" s="1002" t="s">
        <v>3123</v>
      </c>
      <c r="C1734" s="1002" t="s">
        <v>3113</v>
      </c>
      <c r="D1734" s="1002" t="s">
        <v>3114</v>
      </c>
      <c r="E1734" s="1001">
        <v>355820205617501</v>
      </c>
      <c r="F1734" s="1003"/>
      <c r="G1734" s="941">
        <v>2850</v>
      </c>
    </row>
    <row r="1735" spans="1:7">
      <c r="A1735" s="1001">
        <v>7</v>
      </c>
      <c r="B1735" s="1002" t="s">
        <v>3123</v>
      </c>
      <c r="C1735" s="1002" t="s">
        <v>3119</v>
      </c>
      <c r="D1735" s="1002" t="s">
        <v>3114</v>
      </c>
      <c r="E1735" s="1001">
        <v>355820206873293</v>
      </c>
      <c r="F1735" s="1003"/>
      <c r="G1735" s="941">
        <v>2750</v>
      </c>
    </row>
    <row r="1736" spans="1:7">
      <c r="A1736" s="1001">
        <v>8</v>
      </c>
      <c r="B1736" s="1002" t="s">
        <v>3123</v>
      </c>
      <c r="C1736" s="1002" t="s">
        <v>3119</v>
      </c>
      <c r="D1736" s="1002" t="s">
        <v>3114</v>
      </c>
      <c r="E1736" s="1001">
        <v>359477634647454</v>
      </c>
      <c r="F1736" s="1002" t="s">
        <v>3707</v>
      </c>
      <c r="G1736" s="941">
        <v>2750</v>
      </c>
    </row>
    <row r="1737" spans="1:7">
      <c r="A1737" s="1001">
        <v>9</v>
      </c>
      <c r="B1737" s="1002" t="s">
        <v>3123</v>
      </c>
      <c r="C1737" s="1002" t="s">
        <v>3120</v>
      </c>
      <c r="D1737" s="1002" t="s">
        <v>3114</v>
      </c>
      <c r="E1737" s="1001">
        <v>355820206673735</v>
      </c>
      <c r="F1737" s="1003"/>
      <c r="G1737" s="941">
        <v>3000</v>
      </c>
    </row>
    <row r="1738" spans="1:7">
      <c r="A1738" s="1001">
        <v>10</v>
      </c>
      <c r="B1738" s="1002" t="s">
        <v>3123</v>
      </c>
      <c r="C1738" s="1002" t="s">
        <v>3120</v>
      </c>
      <c r="D1738" s="1002" t="s">
        <v>3114</v>
      </c>
      <c r="E1738" s="1001">
        <v>356245413499675</v>
      </c>
      <c r="F1738" s="1003"/>
      <c r="G1738" s="941">
        <v>3000</v>
      </c>
    </row>
    <row r="1739" spans="1:7">
      <c r="A1739" s="1001">
        <v>11</v>
      </c>
      <c r="B1739" s="1002" t="s">
        <v>3123</v>
      </c>
      <c r="C1739" s="1002" t="s">
        <v>3120</v>
      </c>
      <c r="D1739" s="1002" t="s">
        <v>3114</v>
      </c>
      <c r="E1739" s="1001">
        <v>355820206639553</v>
      </c>
      <c r="F1739" s="1003"/>
      <c r="G1739" s="941">
        <v>3000</v>
      </c>
    </row>
    <row r="1740" spans="1:7">
      <c r="A1740" s="1001">
        <v>12</v>
      </c>
      <c r="B1740" s="1002" t="s">
        <v>3123</v>
      </c>
      <c r="C1740" s="1002" t="s">
        <v>3120</v>
      </c>
      <c r="D1740" s="1002" t="s">
        <v>3114</v>
      </c>
      <c r="E1740" s="1001">
        <v>355079360679018</v>
      </c>
      <c r="F1740" s="1003"/>
      <c r="G1740" s="941">
        <v>3000</v>
      </c>
    </row>
    <row r="1741" spans="1:7">
      <c r="A1741" s="1001">
        <v>13</v>
      </c>
      <c r="B1741" s="1002" t="s">
        <v>3127</v>
      </c>
      <c r="C1741" s="1002" t="s">
        <v>3128</v>
      </c>
      <c r="D1741" s="1002" t="s">
        <v>3114</v>
      </c>
      <c r="E1741" s="1001">
        <v>356484797025059</v>
      </c>
      <c r="F1741" s="1003"/>
      <c r="G1741" s="941">
        <v>1950</v>
      </c>
    </row>
    <row r="1742" spans="1:7">
      <c r="A1742" s="1001">
        <v>14</v>
      </c>
      <c r="B1742" s="1002" t="s">
        <v>3142</v>
      </c>
      <c r="C1742" s="1002" t="s">
        <v>3143</v>
      </c>
      <c r="D1742" s="1002" t="s">
        <v>3114</v>
      </c>
      <c r="E1742" s="1001">
        <v>352355703295107</v>
      </c>
      <c r="F1742" s="1003"/>
      <c r="G1742" s="941">
        <v>3950</v>
      </c>
    </row>
    <row r="1743" spans="1:7">
      <c r="A1743" s="1001">
        <v>15</v>
      </c>
      <c r="B1743" s="1002" t="s">
        <v>3142</v>
      </c>
      <c r="C1743" s="1002" t="s">
        <v>3143</v>
      </c>
      <c r="D1743" s="1002" t="s">
        <v>3114</v>
      </c>
      <c r="E1743" s="1001">
        <v>352355709093084</v>
      </c>
      <c r="F1743" s="1003"/>
      <c r="G1743" s="941">
        <v>3950</v>
      </c>
    </row>
    <row r="1744" spans="1:7">
      <c r="A1744" s="1001">
        <v>16</v>
      </c>
      <c r="B1744" s="1002" t="s">
        <v>3484</v>
      </c>
      <c r="C1744" s="1002" t="s">
        <v>3708</v>
      </c>
      <c r="D1744" s="1002" t="s">
        <v>3140</v>
      </c>
      <c r="E1744" s="1001">
        <v>359200571409948</v>
      </c>
      <c r="F1744" s="1002" t="s">
        <v>3709</v>
      </c>
      <c r="G1744" s="941">
        <v>2650</v>
      </c>
    </row>
    <row r="1745" spans="1:7">
      <c r="A1745" s="1001">
        <v>17</v>
      </c>
      <c r="B1745" s="1002" t="s">
        <v>3484</v>
      </c>
      <c r="C1745" s="1002" t="s">
        <v>3708</v>
      </c>
      <c r="D1745" s="1002" t="s">
        <v>3140</v>
      </c>
      <c r="E1745" s="1001">
        <v>359200572050824</v>
      </c>
      <c r="F1745" s="1003"/>
      <c r="G1745" s="941">
        <v>2650</v>
      </c>
    </row>
    <row r="1746" spans="1:7">
      <c r="A1746" s="1001">
        <v>18</v>
      </c>
      <c r="B1746" s="1002" t="s">
        <v>3710</v>
      </c>
      <c r="C1746" s="1002" t="s">
        <v>3150</v>
      </c>
      <c r="D1746" s="1002" t="s">
        <v>3140</v>
      </c>
      <c r="E1746" s="1001">
        <v>353335921105733</v>
      </c>
      <c r="F1746" s="1003"/>
      <c r="G1746" s="941">
        <v>2350</v>
      </c>
    </row>
    <row r="1747" spans="1:7">
      <c r="A1747" s="1001">
        <v>19</v>
      </c>
      <c r="B1747" s="1002" t="s">
        <v>3711</v>
      </c>
      <c r="C1747" s="1002" t="s">
        <v>3712</v>
      </c>
      <c r="D1747" s="1002" t="s">
        <v>3713</v>
      </c>
      <c r="E1747" s="1001">
        <v>356187983891693</v>
      </c>
      <c r="F1747" s="1003"/>
      <c r="G1747" s="941">
        <v>2380</v>
      </c>
    </row>
    <row r="1748" spans="1:7">
      <c r="A1748" s="1001">
        <v>20</v>
      </c>
      <c r="B1748" s="1002" t="s">
        <v>3711</v>
      </c>
      <c r="C1748" s="1002" t="s">
        <v>3712</v>
      </c>
      <c r="D1748" s="1002" t="s">
        <v>3713</v>
      </c>
      <c r="E1748" s="1001">
        <v>356187982544475</v>
      </c>
      <c r="F1748" s="1002" t="s">
        <v>3714</v>
      </c>
      <c r="G1748" s="941">
        <v>2230</v>
      </c>
    </row>
    <row r="1749" spans="1:7">
      <c r="A1749" s="1001">
        <v>21</v>
      </c>
      <c r="B1749" s="1002" t="s">
        <v>3711</v>
      </c>
      <c r="C1749" s="1002" t="s">
        <v>3712</v>
      </c>
      <c r="D1749" s="1002" t="s">
        <v>3713</v>
      </c>
      <c r="E1749" s="1001">
        <v>358135793125933</v>
      </c>
      <c r="F1749" s="1003"/>
      <c r="G1749" s="941">
        <v>2380</v>
      </c>
    </row>
    <row r="1750" spans="1:7">
      <c r="A1750" s="1001">
        <v>22</v>
      </c>
      <c r="B1750" s="1002" t="s">
        <v>3711</v>
      </c>
      <c r="C1750" s="1002" t="s">
        <v>3715</v>
      </c>
      <c r="D1750" s="1002" t="s">
        <v>3713</v>
      </c>
      <c r="E1750" s="1001">
        <v>358135794004590</v>
      </c>
      <c r="F1750" s="1003"/>
      <c r="G1750" s="941">
        <v>2380</v>
      </c>
    </row>
    <row r="1751" spans="1:7">
      <c r="A1751" s="1001">
        <v>23</v>
      </c>
      <c r="B1751" s="1002" t="s">
        <v>3716</v>
      </c>
      <c r="C1751" s="1002" t="s">
        <v>3717</v>
      </c>
      <c r="D1751" s="1002" t="s">
        <v>3114</v>
      </c>
      <c r="E1751" s="1001">
        <v>351878872372564</v>
      </c>
      <c r="F1751" s="1004"/>
      <c r="G1751" s="941">
        <v>1850</v>
      </c>
    </row>
    <row r="1752" spans="1:7">
      <c r="A1752" s="1001">
        <v>24</v>
      </c>
      <c r="B1752" s="1002" t="s">
        <v>3716</v>
      </c>
      <c r="C1752" s="1002" t="s">
        <v>3718</v>
      </c>
      <c r="D1752" s="1002" t="s">
        <v>3114</v>
      </c>
      <c r="E1752" s="1001">
        <v>351878872398734</v>
      </c>
      <c r="F1752" s="1004"/>
      <c r="G1752" s="941">
        <v>1850</v>
      </c>
    </row>
    <row r="1753" spans="1:7">
      <c r="A1753" s="1001">
        <v>25</v>
      </c>
      <c r="B1753" s="1002" t="s">
        <v>3112</v>
      </c>
      <c r="C1753" s="1002" t="s">
        <v>3113</v>
      </c>
      <c r="D1753" s="1002" t="s">
        <v>3114</v>
      </c>
      <c r="E1753" s="1001">
        <v>359392240174970</v>
      </c>
      <c r="F1753" s="832"/>
      <c r="G1753" s="941">
        <v>3500</v>
      </c>
    </row>
    <row r="1754" spans="1:7">
      <c r="A1754" s="1001">
        <v>26</v>
      </c>
      <c r="B1754" s="1002" t="s">
        <v>3112</v>
      </c>
      <c r="C1754" s="1002" t="s">
        <v>3113</v>
      </c>
      <c r="D1754" s="1002" t="s">
        <v>3114</v>
      </c>
      <c r="E1754" s="1001">
        <v>356392240109232</v>
      </c>
      <c r="F1754" s="832"/>
      <c r="G1754" s="941">
        <v>3500</v>
      </c>
    </row>
    <row r="1755" spans="1:7">
      <c r="A1755" s="1001">
        <v>27</v>
      </c>
      <c r="B1755" s="1002" t="s">
        <v>3112</v>
      </c>
      <c r="C1755" s="1002" t="s">
        <v>3113</v>
      </c>
      <c r="D1755" s="1002" t="s">
        <v>3114</v>
      </c>
      <c r="E1755" s="1001">
        <v>355246657880290</v>
      </c>
      <c r="F1755" s="832"/>
      <c r="G1755" s="941">
        <v>3500</v>
      </c>
    </row>
    <row r="1756" spans="1:7">
      <c r="A1756" s="1001">
        <v>28</v>
      </c>
      <c r="B1756" s="1002" t="s">
        <v>3112</v>
      </c>
      <c r="C1756" s="1002" t="s">
        <v>3120</v>
      </c>
      <c r="D1756" s="1002" t="s">
        <v>3114</v>
      </c>
      <c r="E1756" s="1001">
        <v>358206132662819</v>
      </c>
      <c r="F1756" s="832"/>
      <c r="G1756" s="941">
        <v>3600</v>
      </c>
    </row>
    <row r="1757" spans="1:7" ht="25.5">
      <c r="A1757" s="971"/>
      <c r="B1757" s="1517" t="s">
        <v>3719</v>
      </c>
      <c r="C1757" s="1517"/>
      <c r="D1757" s="1517"/>
      <c r="E1757" s="1517"/>
      <c r="F1757" s="1517"/>
      <c r="G1757" s="972">
        <f>SUM(G1729:G1756)</f>
        <v>81370</v>
      </c>
    </row>
    <row r="1764" spans="1:9">
      <c r="A1764" s="1513" t="s">
        <v>3836</v>
      </c>
      <c r="B1764" s="1514"/>
      <c r="C1764" s="1032">
        <v>46116</v>
      </c>
      <c r="D1764" s="1515" t="s">
        <v>2545</v>
      </c>
      <c r="E1764" s="1515"/>
    </row>
    <row r="1765" spans="1:9">
      <c r="A1765" s="1513" t="s">
        <v>3837</v>
      </c>
      <c r="B1765" s="1514"/>
      <c r="C1765" s="1031" t="s">
        <v>3925</v>
      </c>
      <c r="D1765" s="1020" t="s">
        <v>3734</v>
      </c>
      <c r="E1765" s="1020" t="s">
        <v>3111</v>
      </c>
    </row>
    <row r="1766" spans="1:9">
      <c r="A1766" s="1021">
        <v>1</v>
      </c>
      <c r="B1766" s="1022" t="s">
        <v>3838</v>
      </c>
      <c r="C1766" s="1023" t="s">
        <v>3839</v>
      </c>
      <c r="D1766" s="1024">
        <v>410</v>
      </c>
      <c r="E1766" s="832">
        <f>D1766*3.58</f>
        <v>1467.8</v>
      </c>
      <c r="H1766" s="1000"/>
      <c r="I1766" s="1000"/>
    </row>
    <row r="1767" spans="1:9">
      <c r="A1767" s="1021">
        <v>2</v>
      </c>
      <c r="B1767" s="1022" t="s">
        <v>3840</v>
      </c>
      <c r="C1767" s="1023" t="s">
        <v>3841</v>
      </c>
      <c r="D1767" s="1024">
        <v>590</v>
      </c>
      <c r="E1767" s="832">
        <f t="shared" ref="E1767:E1830" si="17">D1767*3.58</f>
        <v>2112.1999999999998</v>
      </c>
      <c r="H1767" s="568"/>
      <c r="I1767" s="568"/>
    </row>
    <row r="1768" spans="1:9">
      <c r="A1768" s="1021">
        <v>3</v>
      </c>
      <c r="B1768" s="1022" t="s">
        <v>3840</v>
      </c>
      <c r="C1768" s="1023" t="s">
        <v>3842</v>
      </c>
      <c r="D1768" s="1024">
        <v>590</v>
      </c>
      <c r="E1768" s="832">
        <f t="shared" si="17"/>
        <v>2112.1999999999998</v>
      </c>
      <c r="H1768" s="568"/>
      <c r="I1768" s="568"/>
    </row>
    <row r="1769" spans="1:9">
      <c r="A1769" s="1021">
        <v>4</v>
      </c>
      <c r="B1769" s="1022" t="s">
        <v>3840</v>
      </c>
      <c r="C1769" s="1023" t="s">
        <v>3843</v>
      </c>
      <c r="D1769" s="1024">
        <v>590</v>
      </c>
      <c r="E1769" s="832">
        <f t="shared" si="17"/>
        <v>2112.1999999999998</v>
      </c>
      <c r="H1769" s="568"/>
      <c r="I1769" s="568"/>
    </row>
    <row r="1770" spans="1:9">
      <c r="A1770" s="1021">
        <v>5</v>
      </c>
      <c r="B1770" s="1022" t="s">
        <v>3840</v>
      </c>
      <c r="C1770" s="1023" t="s">
        <v>3844</v>
      </c>
      <c r="D1770" s="1024">
        <v>590</v>
      </c>
      <c r="E1770" s="832">
        <f t="shared" si="17"/>
        <v>2112.1999999999998</v>
      </c>
      <c r="H1770" s="568"/>
      <c r="I1770" s="568"/>
    </row>
    <row r="1771" spans="1:9">
      <c r="A1771" s="1021">
        <v>6</v>
      </c>
      <c r="B1771" s="1022" t="s">
        <v>3840</v>
      </c>
      <c r="C1771" s="1023" t="s">
        <v>3845</v>
      </c>
      <c r="D1771" s="1024">
        <v>590</v>
      </c>
      <c r="E1771" s="832">
        <f t="shared" si="17"/>
        <v>2112.1999999999998</v>
      </c>
      <c r="H1771" s="568"/>
      <c r="I1771" s="568"/>
    </row>
    <row r="1772" spans="1:9">
      <c r="A1772" s="1021">
        <v>7</v>
      </c>
      <c r="B1772" s="1022" t="s">
        <v>3840</v>
      </c>
      <c r="C1772" s="1023" t="s">
        <v>3846</v>
      </c>
      <c r="D1772" s="1024">
        <v>590</v>
      </c>
      <c r="E1772" s="832">
        <f t="shared" si="17"/>
        <v>2112.1999999999998</v>
      </c>
      <c r="H1772" s="568"/>
      <c r="I1772" s="568"/>
    </row>
    <row r="1773" spans="1:9">
      <c r="A1773" s="1021">
        <v>8</v>
      </c>
      <c r="B1773" s="1022" t="s">
        <v>3847</v>
      </c>
      <c r="C1773" s="1023" t="s">
        <v>3848</v>
      </c>
      <c r="D1773" s="1024">
        <v>420</v>
      </c>
      <c r="E1773" s="832">
        <f t="shared" si="17"/>
        <v>1503.6000000000001</v>
      </c>
      <c r="H1773" s="568"/>
      <c r="I1773" s="568"/>
    </row>
    <row r="1774" spans="1:9">
      <c r="A1774" s="1021">
        <v>9</v>
      </c>
      <c r="B1774" s="1022" t="s">
        <v>3847</v>
      </c>
      <c r="C1774" s="1023" t="s">
        <v>3849</v>
      </c>
      <c r="D1774" s="1024">
        <v>420</v>
      </c>
      <c r="E1774" s="832">
        <f t="shared" si="17"/>
        <v>1503.6000000000001</v>
      </c>
      <c r="H1774" s="568"/>
      <c r="I1774" s="568"/>
    </row>
    <row r="1775" spans="1:9">
      <c r="A1775" s="1021">
        <v>10</v>
      </c>
      <c r="B1775" s="1022" t="s">
        <v>3847</v>
      </c>
      <c r="C1775" s="1023" t="s">
        <v>3850</v>
      </c>
      <c r="D1775" s="1024">
        <v>420</v>
      </c>
      <c r="E1775" s="832">
        <f t="shared" si="17"/>
        <v>1503.6000000000001</v>
      </c>
      <c r="H1775" s="568"/>
      <c r="I1775" s="568"/>
    </row>
    <row r="1776" spans="1:9">
      <c r="A1776" s="1021">
        <v>11</v>
      </c>
      <c r="B1776" s="1022" t="s">
        <v>3847</v>
      </c>
      <c r="C1776" s="1023" t="s">
        <v>3851</v>
      </c>
      <c r="D1776" s="1024">
        <v>420</v>
      </c>
      <c r="E1776" s="832">
        <f t="shared" si="17"/>
        <v>1503.6000000000001</v>
      </c>
      <c r="H1776" s="568"/>
      <c r="I1776" s="568"/>
    </row>
    <row r="1777" spans="1:9">
      <c r="A1777" s="1021">
        <v>12</v>
      </c>
      <c r="B1777" s="1022" t="s">
        <v>3847</v>
      </c>
      <c r="C1777" s="1023" t="s">
        <v>3852</v>
      </c>
      <c r="D1777" s="1024">
        <v>420</v>
      </c>
      <c r="E1777" s="832">
        <f t="shared" si="17"/>
        <v>1503.6000000000001</v>
      </c>
      <c r="H1777" s="568"/>
      <c r="I1777" s="568"/>
    </row>
    <row r="1778" spans="1:9">
      <c r="A1778" s="1021">
        <v>13</v>
      </c>
      <c r="B1778" s="1022" t="s">
        <v>3847</v>
      </c>
      <c r="C1778" s="1023" t="s">
        <v>3853</v>
      </c>
      <c r="D1778" s="1024">
        <v>420</v>
      </c>
      <c r="E1778" s="832">
        <f t="shared" si="17"/>
        <v>1503.6000000000001</v>
      </c>
      <c r="H1778" s="568"/>
      <c r="I1778" s="568"/>
    </row>
    <row r="1779" spans="1:9">
      <c r="A1779" s="1021">
        <v>14</v>
      </c>
      <c r="B1779" s="1022" t="s">
        <v>3847</v>
      </c>
      <c r="C1779" s="1023" t="s">
        <v>3854</v>
      </c>
      <c r="D1779" s="1024">
        <v>420</v>
      </c>
      <c r="E1779" s="832">
        <f t="shared" si="17"/>
        <v>1503.6000000000001</v>
      </c>
      <c r="H1779" s="568"/>
      <c r="I1779" s="568"/>
    </row>
    <row r="1780" spans="1:9">
      <c r="A1780" s="1021">
        <v>15</v>
      </c>
      <c r="B1780" s="1022" t="s">
        <v>3847</v>
      </c>
      <c r="C1780" s="1023" t="s">
        <v>3855</v>
      </c>
      <c r="D1780" s="1024">
        <v>420</v>
      </c>
      <c r="E1780" s="832">
        <f t="shared" si="17"/>
        <v>1503.6000000000001</v>
      </c>
    </row>
    <row r="1781" spans="1:9">
      <c r="A1781" s="1021">
        <v>16</v>
      </c>
      <c r="B1781" s="1022" t="s">
        <v>3847</v>
      </c>
      <c r="C1781" s="1023" t="s">
        <v>3856</v>
      </c>
      <c r="D1781" s="1024">
        <v>420</v>
      </c>
      <c r="E1781" s="832">
        <f t="shared" si="17"/>
        <v>1503.6000000000001</v>
      </c>
    </row>
    <row r="1782" spans="1:9">
      <c r="A1782" s="1021">
        <v>17</v>
      </c>
      <c r="B1782" s="1022" t="s">
        <v>3847</v>
      </c>
      <c r="C1782" s="1023" t="s">
        <v>3857</v>
      </c>
      <c r="D1782" s="1024">
        <v>420</v>
      </c>
      <c r="E1782" s="832">
        <f t="shared" si="17"/>
        <v>1503.6000000000001</v>
      </c>
    </row>
    <row r="1783" spans="1:9">
      <c r="A1783" s="1021">
        <v>18</v>
      </c>
      <c r="B1783" s="1022" t="s">
        <v>3847</v>
      </c>
      <c r="C1783" s="1023" t="s">
        <v>3858</v>
      </c>
      <c r="D1783" s="1024">
        <v>420</v>
      </c>
      <c r="E1783" s="832">
        <f t="shared" si="17"/>
        <v>1503.6000000000001</v>
      </c>
    </row>
    <row r="1784" spans="1:9">
      <c r="A1784" s="1021">
        <v>19</v>
      </c>
      <c r="B1784" s="1022" t="s">
        <v>3847</v>
      </c>
      <c r="C1784" s="1023" t="s">
        <v>3859</v>
      </c>
      <c r="D1784" s="1024">
        <v>420</v>
      </c>
      <c r="E1784" s="832">
        <f t="shared" si="17"/>
        <v>1503.6000000000001</v>
      </c>
    </row>
    <row r="1785" spans="1:9">
      <c r="A1785" s="1021">
        <v>20</v>
      </c>
      <c r="B1785" s="1022" t="s">
        <v>3847</v>
      </c>
      <c r="C1785" s="1023" t="s">
        <v>3860</v>
      </c>
      <c r="D1785" s="1024">
        <v>420</v>
      </c>
      <c r="E1785" s="832">
        <f t="shared" si="17"/>
        <v>1503.6000000000001</v>
      </c>
    </row>
    <row r="1786" spans="1:9">
      <c r="A1786" s="1021">
        <v>21</v>
      </c>
      <c r="B1786" s="1022" t="s">
        <v>3861</v>
      </c>
      <c r="C1786" s="1023" t="s">
        <v>3862</v>
      </c>
      <c r="D1786" s="1024">
        <v>140</v>
      </c>
      <c r="E1786" s="832">
        <f t="shared" si="17"/>
        <v>501.2</v>
      </c>
    </row>
    <row r="1787" spans="1:9">
      <c r="A1787" s="1021">
        <v>22</v>
      </c>
      <c r="B1787" s="1022" t="s">
        <v>3861</v>
      </c>
      <c r="C1787" s="1023" t="s">
        <v>3863</v>
      </c>
      <c r="D1787" s="1024">
        <v>140</v>
      </c>
      <c r="E1787" s="832">
        <f t="shared" si="17"/>
        <v>501.2</v>
      </c>
    </row>
    <row r="1788" spans="1:9">
      <c r="A1788" s="1021">
        <v>23</v>
      </c>
      <c r="B1788" s="1022" t="s">
        <v>3864</v>
      </c>
      <c r="C1788" s="1025" t="s">
        <v>3865</v>
      </c>
      <c r="D1788" s="1024">
        <v>40</v>
      </c>
      <c r="E1788" s="832">
        <f t="shared" si="17"/>
        <v>143.19999999999999</v>
      </c>
    </row>
    <row r="1789" spans="1:9">
      <c r="A1789" s="1021">
        <v>24</v>
      </c>
      <c r="B1789" s="1022" t="s">
        <v>3864</v>
      </c>
      <c r="C1789" s="1025" t="s">
        <v>3866</v>
      </c>
      <c r="D1789" s="1024">
        <v>40</v>
      </c>
      <c r="E1789" s="832">
        <f t="shared" si="17"/>
        <v>143.19999999999999</v>
      </c>
    </row>
    <row r="1790" spans="1:9">
      <c r="A1790" s="1021">
        <v>25</v>
      </c>
      <c r="B1790" s="1022" t="s">
        <v>3864</v>
      </c>
      <c r="C1790" s="1025" t="s">
        <v>3867</v>
      </c>
      <c r="D1790" s="1024">
        <v>40</v>
      </c>
      <c r="E1790" s="832">
        <f t="shared" si="17"/>
        <v>143.19999999999999</v>
      </c>
    </row>
    <row r="1791" spans="1:9">
      <c r="A1791" s="1021">
        <v>26</v>
      </c>
      <c r="B1791" s="1022" t="s">
        <v>3864</v>
      </c>
      <c r="C1791" s="1025" t="s">
        <v>3868</v>
      </c>
      <c r="D1791" s="1024">
        <v>40</v>
      </c>
      <c r="E1791" s="832">
        <f t="shared" si="17"/>
        <v>143.19999999999999</v>
      </c>
    </row>
    <row r="1792" spans="1:9">
      <c r="A1792" s="1021">
        <v>27</v>
      </c>
      <c r="B1792" s="1022" t="s">
        <v>3864</v>
      </c>
      <c r="C1792" s="1025" t="s">
        <v>3869</v>
      </c>
      <c r="D1792" s="1024">
        <v>40</v>
      </c>
      <c r="E1792" s="832">
        <f t="shared" si="17"/>
        <v>143.19999999999999</v>
      </c>
    </row>
    <row r="1793" spans="1:5">
      <c r="A1793" s="1021">
        <v>28</v>
      </c>
      <c r="B1793" s="1022" t="s">
        <v>3864</v>
      </c>
      <c r="C1793" s="1025" t="s">
        <v>3870</v>
      </c>
      <c r="D1793" s="1024">
        <v>40</v>
      </c>
      <c r="E1793" s="832">
        <f t="shared" si="17"/>
        <v>143.19999999999999</v>
      </c>
    </row>
    <row r="1794" spans="1:5">
      <c r="A1794" s="1021">
        <v>29</v>
      </c>
      <c r="B1794" s="1022" t="s">
        <v>3871</v>
      </c>
      <c r="C1794" s="1023" t="s">
        <v>3872</v>
      </c>
      <c r="D1794" s="1024">
        <v>75</v>
      </c>
      <c r="E1794" s="832">
        <f t="shared" si="17"/>
        <v>268.5</v>
      </c>
    </row>
    <row r="1795" spans="1:5">
      <c r="A1795" s="1021">
        <v>30</v>
      </c>
      <c r="B1795" s="1022" t="s">
        <v>3873</v>
      </c>
      <c r="C1795" s="1023" t="s">
        <v>3874</v>
      </c>
      <c r="D1795" s="1024">
        <v>220</v>
      </c>
      <c r="E1795" s="832">
        <f t="shared" si="17"/>
        <v>787.6</v>
      </c>
    </row>
    <row r="1796" spans="1:5">
      <c r="A1796" s="1021">
        <v>31</v>
      </c>
      <c r="B1796" s="1022" t="s">
        <v>3873</v>
      </c>
      <c r="C1796" s="1023" t="s">
        <v>3875</v>
      </c>
      <c r="D1796" s="1024">
        <v>220</v>
      </c>
      <c r="E1796" s="832">
        <f t="shared" si="17"/>
        <v>787.6</v>
      </c>
    </row>
    <row r="1797" spans="1:5">
      <c r="A1797" s="1021">
        <v>32</v>
      </c>
      <c r="B1797" s="1022" t="s">
        <v>3873</v>
      </c>
      <c r="C1797" s="1023" t="s">
        <v>3876</v>
      </c>
      <c r="D1797" s="1024">
        <v>220</v>
      </c>
      <c r="E1797" s="832">
        <f t="shared" si="17"/>
        <v>787.6</v>
      </c>
    </row>
    <row r="1798" spans="1:5">
      <c r="A1798" s="1021">
        <v>33</v>
      </c>
      <c r="B1798" s="1022" t="s">
        <v>3873</v>
      </c>
      <c r="C1798" s="1023" t="s">
        <v>3877</v>
      </c>
      <c r="D1798" s="1024">
        <v>220</v>
      </c>
      <c r="E1798" s="832">
        <f t="shared" si="17"/>
        <v>787.6</v>
      </c>
    </row>
    <row r="1799" spans="1:5">
      <c r="A1799" s="1027">
        <v>34</v>
      </c>
      <c r="B1799" s="1028" t="s">
        <v>3878</v>
      </c>
      <c r="C1799" s="1029" t="s">
        <v>3879</v>
      </c>
      <c r="D1799" s="1030">
        <v>1</v>
      </c>
      <c r="E1799" s="1030">
        <v>3.58</v>
      </c>
    </row>
    <row r="1800" spans="1:5">
      <c r="A1800" s="1021">
        <v>35</v>
      </c>
      <c r="B1800" s="1022" t="s">
        <v>3873</v>
      </c>
      <c r="C1800" s="1023" t="s">
        <v>3880</v>
      </c>
      <c r="D1800" s="1024">
        <v>220</v>
      </c>
      <c r="E1800" s="832">
        <f t="shared" si="17"/>
        <v>787.6</v>
      </c>
    </row>
    <row r="1801" spans="1:5">
      <c r="A1801" s="1021">
        <v>36</v>
      </c>
      <c r="B1801" s="1022" t="s">
        <v>3873</v>
      </c>
      <c r="C1801" s="1023" t="s">
        <v>3881</v>
      </c>
      <c r="D1801" s="1024">
        <v>220</v>
      </c>
      <c r="E1801" s="832">
        <f t="shared" si="17"/>
        <v>787.6</v>
      </c>
    </row>
    <row r="1802" spans="1:5">
      <c r="A1802" s="1021">
        <v>37</v>
      </c>
      <c r="B1802" s="1022" t="s">
        <v>3873</v>
      </c>
      <c r="C1802" s="1023" t="s">
        <v>3882</v>
      </c>
      <c r="D1802" s="1024">
        <v>220</v>
      </c>
      <c r="E1802" s="832">
        <f t="shared" si="17"/>
        <v>787.6</v>
      </c>
    </row>
    <row r="1803" spans="1:5">
      <c r="A1803" s="1021">
        <v>38</v>
      </c>
      <c r="B1803" s="1022" t="s">
        <v>3873</v>
      </c>
      <c r="C1803" s="1023" t="s">
        <v>3883</v>
      </c>
      <c r="D1803" s="1024">
        <v>220</v>
      </c>
      <c r="E1803" s="832">
        <f t="shared" si="17"/>
        <v>787.6</v>
      </c>
    </row>
    <row r="1804" spans="1:5">
      <c r="A1804" s="1021">
        <v>39</v>
      </c>
      <c r="B1804" s="1022" t="s">
        <v>3873</v>
      </c>
      <c r="C1804" s="1023" t="s">
        <v>3884</v>
      </c>
      <c r="D1804" s="1024">
        <v>220</v>
      </c>
      <c r="E1804" s="832">
        <f t="shared" si="17"/>
        <v>787.6</v>
      </c>
    </row>
    <row r="1805" spans="1:5">
      <c r="A1805" s="1021">
        <v>40</v>
      </c>
      <c r="B1805" s="1022" t="s">
        <v>3873</v>
      </c>
      <c r="C1805" s="1023" t="s">
        <v>3885</v>
      </c>
      <c r="D1805" s="1024">
        <v>220</v>
      </c>
      <c r="E1805" s="832">
        <f t="shared" si="17"/>
        <v>787.6</v>
      </c>
    </row>
    <row r="1806" spans="1:5">
      <c r="A1806" s="1021">
        <v>41</v>
      </c>
      <c r="B1806" s="1022" t="s">
        <v>3873</v>
      </c>
      <c r="C1806" s="1023" t="s">
        <v>3886</v>
      </c>
      <c r="D1806" s="1024">
        <v>220</v>
      </c>
      <c r="E1806" s="832">
        <f t="shared" si="17"/>
        <v>787.6</v>
      </c>
    </row>
    <row r="1807" spans="1:5">
      <c r="A1807" s="1021">
        <v>42</v>
      </c>
      <c r="B1807" s="1022" t="s">
        <v>3873</v>
      </c>
      <c r="C1807" s="1023" t="s">
        <v>3887</v>
      </c>
      <c r="D1807" s="1024">
        <v>220</v>
      </c>
      <c r="E1807" s="832">
        <f t="shared" si="17"/>
        <v>787.6</v>
      </c>
    </row>
    <row r="1808" spans="1:5">
      <c r="A1808" s="1021">
        <v>43</v>
      </c>
      <c r="B1808" s="1022" t="s">
        <v>3873</v>
      </c>
      <c r="C1808" s="1023" t="s">
        <v>3888</v>
      </c>
      <c r="D1808" s="1024">
        <v>220</v>
      </c>
      <c r="E1808" s="832">
        <f t="shared" si="17"/>
        <v>787.6</v>
      </c>
    </row>
    <row r="1809" spans="1:5">
      <c r="A1809" s="1021">
        <v>44</v>
      </c>
      <c r="B1809" s="1022" t="s">
        <v>3873</v>
      </c>
      <c r="C1809" s="1023" t="s">
        <v>3889</v>
      </c>
      <c r="D1809" s="1024">
        <v>220</v>
      </c>
      <c r="E1809" s="832">
        <f t="shared" si="17"/>
        <v>787.6</v>
      </c>
    </row>
    <row r="1810" spans="1:5">
      <c r="A1810" s="1021">
        <v>45</v>
      </c>
      <c r="B1810" s="1022" t="s">
        <v>3873</v>
      </c>
      <c r="C1810" s="1026" t="s">
        <v>3890</v>
      </c>
      <c r="D1810" s="1024">
        <v>220</v>
      </c>
      <c r="E1810" s="832">
        <f t="shared" si="17"/>
        <v>787.6</v>
      </c>
    </row>
    <row r="1811" spans="1:5">
      <c r="A1811" s="1021">
        <v>46</v>
      </c>
      <c r="B1811" s="1022" t="s">
        <v>3873</v>
      </c>
      <c r="C1811" s="1023" t="s">
        <v>3891</v>
      </c>
      <c r="D1811" s="1024">
        <v>220</v>
      </c>
      <c r="E1811" s="832">
        <f t="shared" si="17"/>
        <v>787.6</v>
      </c>
    </row>
    <row r="1812" spans="1:5">
      <c r="A1812" s="1021">
        <v>47</v>
      </c>
      <c r="B1812" s="1022" t="s">
        <v>3873</v>
      </c>
      <c r="C1812" s="1023" t="s">
        <v>3892</v>
      </c>
      <c r="D1812" s="1024">
        <v>220</v>
      </c>
      <c r="E1812" s="832">
        <f t="shared" si="17"/>
        <v>787.6</v>
      </c>
    </row>
    <row r="1813" spans="1:5">
      <c r="A1813" s="1021">
        <v>48</v>
      </c>
      <c r="B1813" s="1022" t="s">
        <v>3873</v>
      </c>
      <c r="C1813" s="1023" t="s">
        <v>3893</v>
      </c>
      <c r="D1813" s="1024">
        <v>220</v>
      </c>
      <c r="E1813" s="832">
        <f t="shared" si="17"/>
        <v>787.6</v>
      </c>
    </row>
    <row r="1814" spans="1:5">
      <c r="A1814" s="1021">
        <v>49</v>
      </c>
      <c r="B1814" s="1022" t="s">
        <v>3873</v>
      </c>
      <c r="C1814" s="1023" t="s">
        <v>3894</v>
      </c>
      <c r="D1814" s="1024">
        <v>220</v>
      </c>
      <c r="E1814" s="832">
        <f t="shared" si="17"/>
        <v>787.6</v>
      </c>
    </row>
    <row r="1815" spans="1:5">
      <c r="A1815" s="1021">
        <v>50</v>
      </c>
      <c r="B1815" s="1022" t="s">
        <v>3873</v>
      </c>
      <c r="C1815" s="1023" t="s">
        <v>3895</v>
      </c>
      <c r="D1815" s="1024">
        <v>220</v>
      </c>
      <c r="E1815" s="832">
        <f t="shared" si="17"/>
        <v>787.6</v>
      </c>
    </row>
    <row r="1816" spans="1:5">
      <c r="A1816" s="1021">
        <v>51</v>
      </c>
      <c r="B1816" s="1022" t="s">
        <v>3873</v>
      </c>
      <c r="C1816" s="1023" t="s">
        <v>3896</v>
      </c>
      <c r="D1816" s="1024">
        <v>220</v>
      </c>
      <c r="E1816" s="832">
        <f t="shared" si="17"/>
        <v>787.6</v>
      </c>
    </row>
    <row r="1817" spans="1:5">
      <c r="A1817" s="1021">
        <v>52</v>
      </c>
      <c r="B1817" s="1022" t="s">
        <v>3873</v>
      </c>
      <c r="C1817" s="1023" t="s">
        <v>3897</v>
      </c>
      <c r="D1817" s="1024">
        <v>220</v>
      </c>
      <c r="E1817" s="832">
        <f t="shared" si="17"/>
        <v>787.6</v>
      </c>
    </row>
    <row r="1818" spans="1:5">
      <c r="A1818" s="1021">
        <v>53</v>
      </c>
      <c r="B1818" s="1022" t="s">
        <v>3873</v>
      </c>
      <c r="C1818" s="1023" t="s">
        <v>3898</v>
      </c>
      <c r="D1818" s="1024">
        <v>220</v>
      </c>
      <c r="E1818" s="832">
        <f t="shared" si="17"/>
        <v>787.6</v>
      </c>
    </row>
    <row r="1819" spans="1:5">
      <c r="A1819" s="1021">
        <v>54</v>
      </c>
      <c r="B1819" s="1022" t="s">
        <v>3873</v>
      </c>
      <c r="C1819" s="1023" t="s">
        <v>3899</v>
      </c>
      <c r="D1819" s="1024">
        <v>220</v>
      </c>
      <c r="E1819" s="832">
        <f t="shared" si="17"/>
        <v>787.6</v>
      </c>
    </row>
    <row r="1820" spans="1:5">
      <c r="A1820" s="1021">
        <v>55</v>
      </c>
      <c r="B1820" s="1022" t="s">
        <v>3873</v>
      </c>
      <c r="C1820" s="1023" t="s">
        <v>3900</v>
      </c>
      <c r="D1820" s="1024">
        <v>220</v>
      </c>
      <c r="E1820" s="832">
        <f t="shared" si="17"/>
        <v>787.6</v>
      </c>
    </row>
    <row r="1821" spans="1:5">
      <c r="A1821" s="1021">
        <v>56</v>
      </c>
      <c r="B1821" s="1022" t="s">
        <v>3873</v>
      </c>
      <c r="C1821" s="1023" t="s">
        <v>3901</v>
      </c>
      <c r="D1821" s="1024">
        <v>220</v>
      </c>
      <c r="E1821" s="832">
        <f t="shared" si="17"/>
        <v>787.6</v>
      </c>
    </row>
    <row r="1822" spans="1:5">
      <c r="A1822" s="1021">
        <v>57</v>
      </c>
      <c r="B1822" s="1022" t="s">
        <v>3873</v>
      </c>
      <c r="C1822" s="1023" t="s">
        <v>3902</v>
      </c>
      <c r="D1822" s="1024">
        <v>220</v>
      </c>
      <c r="E1822" s="832">
        <f t="shared" si="17"/>
        <v>787.6</v>
      </c>
    </row>
    <row r="1823" spans="1:5">
      <c r="A1823" s="1021">
        <v>58</v>
      </c>
      <c r="B1823" s="1022" t="s">
        <v>3873</v>
      </c>
      <c r="C1823" s="1023" t="s">
        <v>3903</v>
      </c>
      <c r="D1823" s="1024">
        <v>220</v>
      </c>
      <c r="E1823" s="832">
        <f t="shared" si="17"/>
        <v>787.6</v>
      </c>
    </row>
    <row r="1824" spans="1:5">
      <c r="A1824" s="1021">
        <v>59</v>
      </c>
      <c r="B1824" s="1022" t="s">
        <v>3873</v>
      </c>
      <c r="C1824" s="1023" t="s">
        <v>3904</v>
      </c>
      <c r="D1824" s="1024">
        <v>220</v>
      </c>
      <c r="E1824" s="832">
        <f t="shared" si="17"/>
        <v>787.6</v>
      </c>
    </row>
    <row r="1825" spans="1:5">
      <c r="A1825" s="1021">
        <v>60</v>
      </c>
      <c r="B1825" s="1022" t="s">
        <v>3873</v>
      </c>
      <c r="C1825" s="1023" t="s">
        <v>3905</v>
      </c>
      <c r="D1825" s="1024">
        <v>220</v>
      </c>
      <c r="E1825" s="832">
        <f t="shared" si="17"/>
        <v>787.6</v>
      </c>
    </row>
    <row r="1826" spans="1:5">
      <c r="A1826" s="1021">
        <v>61</v>
      </c>
      <c r="B1826" s="1022" t="s">
        <v>3873</v>
      </c>
      <c r="C1826" s="1023" t="s">
        <v>3906</v>
      </c>
      <c r="D1826" s="1024">
        <v>220</v>
      </c>
      <c r="E1826" s="832">
        <f t="shared" si="17"/>
        <v>787.6</v>
      </c>
    </row>
    <row r="1827" spans="1:5">
      <c r="A1827" s="1021">
        <v>62</v>
      </c>
      <c r="B1827" s="1022" t="s">
        <v>3873</v>
      </c>
      <c r="C1827" s="1023" t="s">
        <v>3907</v>
      </c>
      <c r="D1827" s="1024">
        <v>220</v>
      </c>
      <c r="E1827" s="832">
        <f t="shared" si="17"/>
        <v>787.6</v>
      </c>
    </row>
    <row r="1828" spans="1:5">
      <c r="A1828" s="1021">
        <v>63</v>
      </c>
      <c r="B1828" s="1022" t="s">
        <v>3873</v>
      </c>
      <c r="C1828" s="1023" t="s">
        <v>3908</v>
      </c>
      <c r="D1828" s="1024">
        <v>220</v>
      </c>
      <c r="E1828" s="832">
        <f t="shared" si="17"/>
        <v>787.6</v>
      </c>
    </row>
    <row r="1829" spans="1:5">
      <c r="A1829" s="1021">
        <v>64</v>
      </c>
      <c r="B1829" s="1022" t="s">
        <v>3873</v>
      </c>
      <c r="C1829" s="1023" t="s">
        <v>3909</v>
      </c>
      <c r="D1829" s="1024">
        <v>220</v>
      </c>
      <c r="E1829" s="832">
        <f t="shared" si="17"/>
        <v>787.6</v>
      </c>
    </row>
    <row r="1830" spans="1:5">
      <c r="A1830" s="1021">
        <v>65</v>
      </c>
      <c r="B1830" s="1022" t="s">
        <v>3873</v>
      </c>
      <c r="C1830" s="1026" t="s">
        <v>3910</v>
      </c>
      <c r="D1830" s="1024">
        <v>220</v>
      </c>
      <c r="E1830" s="832">
        <f t="shared" si="17"/>
        <v>787.6</v>
      </c>
    </row>
    <row r="1831" spans="1:5">
      <c r="A1831" s="1021">
        <v>66</v>
      </c>
      <c r="B1831" s="1022" t="s">
        <v>3873</v>
      </c>
      <c r="C1831" s="1023" t="s">
        <v>3911</v>
      </c>
      <c r="D1831" s="1024">
        <v>220</v>
      </c>
      <c r="E1831" s="832">
        <f t="shared" ref="E1831:E1840" si="18">D1831*3.58</f>
        <v>787.6</v>
      </c>
    </row>
    <row r="1832" spans="1:5">
      <c r="A1832" s="1021">
        <v>67</v>
      </c>
      <c r="B1832" s="1022" t="s">
        <v>3912</v>
      </c>
      <c r="C1832" s="1023" t="s">
        <v>3913</v>
      </c>
      <c r="D1832" s="1024">
        <v>350</v>
      </c>
      <c r="E1832" s="832">
        <f t="shared" si="18"/>
        <v>1253</v>
      </c>
    </row>
    <row r="1833" spans="1:5">
      <c r="A1833" s="1021">
        <v>68</v>
      </c>
      <c r="B1833" s="1022" t="s">
        <v>3926</v>
      </c>
      <c r="C1833" s="1023" t="s">
        <v>3914</v>
      </c>
      <c r="D1833" s="1024">
        <v>450</v>
      </c>
      <c r="E1833" s="832">
        <f t="shared" si="18"/>
        <v>1611</v>
      </c>
    </row>
    <row r="1834" spans="1:5">
      <c r="A1834" s="1021">
        <v>69</v>
      </c>
      <c r="B1834" s="1022" t="s">
        <v>3915</v>
      </c>
      <c r="C1834" s="1023" t="s">
        <v>3916</v>
      </c>
      <c r="D1834" s="1024">
        <v>220</v>
      </c>
      <c r="E1834" s="832">
        <f t="shared" si="18"/>
        <v>787.6</v>
      </c>
    </row>
    <row r="1835" spans="1:5">
      <c r="A1835" s="1021">
        <v>70</v>
      </c>
      <c r="B1835" s="1022" t="s">
        <v>3927</v>
      </c>
      <c r="C1835" s="1023" t="s">
        <v>3918</v>
      </c>
      <c r="D1835" s="1024">
        <v>100</v>
      </c>
      <c r="E1835" s="832">
        <f t="shared" si="18"/>
        <v>358</v>
      </c>
    </row>
    <row r="1836" spans="1:5">
      <c r="A1836" s="1021">
        <v>71</v>
      </c>
      <c r="B1836" s="1022" t="s">
        <v>3917</v>
      </c>
      <c r="C1836" s="1023" t="s">
        <v>3919</v>
      </c>
      <c r="D1836" s="1024">
        <v>100</v>
      </c>
      <c r="E1836" s="832">
        <f t="shared" si="18"/>
        <v>358</v>
      </c>
    </row>
    <row r="1837" spans="1:5">
      <c r="A1837" s="1021">
        <v>72</v>
      </c>
      <c r="B1837" s="1022" t="s">
        <v>3917</v>
      </c>
      <c r="C1837" s="1023" t="s">
        <v>3920</v>
      </c>
      <c r="D1837" s="1024">
        <v>100</v>
      </c>
      <c r="E1837" s="832">
        <f t="shared" si="18"/>
        <v>358</v>
      </c>
    </row>
    <row r="1838" spans="1:5">
      <c r="A1838" s="1021">
        <v>73</v>
      </c>
      <c r="B1838" s="1022" t="s">
        <v>3921</v>
      </c>
      <c r="C1838" s="1023" t="s">
        <v>3922</v>
      </c>
      <c r="D1838" s="1024">
        <v>275</v>
      </c>
      <c r="E1838" s="832">
        <f t="shared" si="18"/>
        <v>984.5</v>
      </c>
    </row>
    <row r="1839" spans="1:5">
      <c r="A1839" s="1021">
        <v>74</v>
      </c>
      <c r="B1839" s="1022" t="s">
        <v>3921</v>
      </c>
      <c r="C1839" s="1023" t="s">
        <v>3923</v>
      </c>
      <c r="D1839" s="1024">
        <v>275</v>
      </c>
      <c r="E1839" s="832">
        <f t="shared" si="18"/>
        <v>984.5</v>
      </c>
    </row>
    <row r="1840" spans="1:5">
      <c r="A1840" s="1021">
        <v>75</v>
      </c>
      <c r="B1840" s="1022" t="s">
        <v>3921</v>
      </c>
      <c r="C1840" s="1023" t="s">
        <v>3924</v>
      </c>
      <c r="D1840" s="1024">
        <v>275</v>
      </c>
      <c r="E1840" s="832">
        <f t="shared" si="18"/>
        <v>984.5</v>
      </c>
    </row>
    <row r="1841" spans="1:8">
      <c r="D1841" s="1390">
        <f>SUM(D1766:D1840)</f>
        <v>20071</v>
      </c>
      <c r="E1841" s="1389">
        <f>SUM(E1766:E1840)</f>
        <v>71854.17999999992</v>
      </c>
    </row>
    <row r="1846" spans="1:8">
      <c r="A1846" s="1498" t="s">
        <v>1</v>
      </c>
      <c r="B1846" s="1498"/>
      <c r="C1846" s="809" t="s">
        <v>4046</v>
      </c>
    </row>
    <row r="1847" spans="1:8">
      <c r="A1847" s="1498" t="s">
        <v>2416</v>
      </c>
      <c r="B1847" s="1498"/>
      <c r="C1847" s="809" t="s">
        <v>4047</v>
      </c>
    </row>
    <row r="1848" spans="1:8">
      <c r="A1848" s="1051" t="s">
        <v>3928</v>
      </c>
      <c r="B1848" s="1051" t="s">
        <v>2086</v>
      </c>
      <c r="C1848" s="1052" t="s">
        <v>2755</v>
      </c>
      <c r="D1848" s="1035" t="s">
        <v>2423</v>
      </c>
      <c r="E1848" s="1035" t="s">
        <v>3734</v>
      </c>
      <c r="F1848" s="1035" t="s">
        <v>3111</v>
      </c>
      <c r="G1848" s="731"/>
      <c r="H1848"/>
    </row>
    <row r="1849" spans="1:8">
      <c r="A1849" s="1053">
        <v>1</v>
      </c>
      <c r="B1849" s="1053" t="s">
        <v>3929</v>
      </c>
      <c r="C1849" s="1054" t="s">
        <v>3930</v>
      </c>
      <c r="D1849" s="1053"/>
      <c r="E1849" s="1055">
        <v>500</v>
      </c>
      <c r="F1849" s="1044">
        <f>E1849*3.58</f>
        <v>1790</v>
      </c>
      <c r="G1849" s="731"/>
      <c r="H1849"/>
    </row>
    <row r="1850" spans="1:8">
      <c r="A1850" s="941">
        <v>2</v>
      </c>
      <c r="B1850" s="941" t="s">
        <v>3931</v>
      </c>
      <c r="C1850" s="1042" t="s">
        <v>3932</v>
      </c>
      <c r="D1850" s="941"/>
      <c r="E1850" s="1043">
        <v>285</v>
      </c>
      <c r="F1850" s="1044">
        <f t="shared" ref="F1850:F1913" si="19">E1850*3.58</f>
        <v>1020.3000000000001</v>
      </c>
      <c r="G1850" s="731"/>
      <c r="H1850"/>
    </row>
    <row r="1851" spans="1:8">
      <c r="A1851" s="941">
        <v>3</v>
      </c>
      <c r="B1851" s="941" t="s">
        <v>3933</v>
      </c>
      <c r="C1851" s="1042" t="s">
        <v>3934</v>
      </c>
      <c r="D1851" s="941"/>
      <c r="E1851" s="1043">
        <v>285</v>
      </c>
      <c r="F1851" s="1044">
        <f t="shared" si="19"/>
        <v>1020.3000000000001</v>
      </c>
      <c r="G1851" s="731"/>
      <c r="H1851"/>
    </row>
    <row r="1852" spans="1:8">
      <c r="A1852" s="941">
        <v>4</v>
      </c>
      <c r="B1852" s="941" t="s">
        <v>3933</v>
      </c>
      <c r="C1852" s="1042" t="s">
        <v>3935</v>
      </c>
      <c r="D1852" s="941"/>
      <c r="E1852" s="1043">
        <v>285</v>
      </c>
      <c r="F1852" s="1044">
        <f t="shared" si="19"/>
        <v>1020.3000000000001</v>
      </c>
      <c r="G1852" s="731"/>
      <c r="H1852"/>
    </row>
    <row r="1853" spans="1:8">
      <c r="A1853" s="941">
        <v>5</v>
      </c>
      <c r="B1853" s="941" t="s">
        <v>3936</v>
      </c>
      <c r="C1853" s="1042">
        <v>357585653018936</v>
      </c>
      <c r="D1853" s="941"/>
      <c r="E1853" s="1043">
        <v>340</v>
      </c>
      <c r="F1853" s="1044">
        <f t="shared" si="19"/>
        <v>1217.2</v>
      </c>
      <c r="G1853" s="731"/>
      <c r="H1853"/>
    </row>
    <row r="1854" spans="1:8">
      <c r="A1854" s="941">
        <v>6</v>
      </c>
      <c r="B1854" s="941" t="s">
        <v>3936</v>
      </c>
      <c r="C1854" s="1042">
        <v>351159023232019</v>
      </c>
      <c r="D1854" s="941"/>
      <c r="E1854" s="1043">
        <v>340</v>
      </c>
      <c r="F1854" s="1044">
        <f t="shared" si="19"/>
        <v>1217.2</v>
      </c>
      <c r="G1854" s="731"/>
      <c r="H1854"/>
    </row>
    <row r="1855" spans="1:8">
      <c r="A1855" s="941">
        <v>7</v>
      </c>
      <c r="B1855" s="941" t="s">
        <v>3936</v>
      </c>
      <c r="C1855" s="1042">
        <v>357585653199041</v>
      </c>
      <c r="D1855" s="941"/>
      <c r="E1855" s="1043">
        <v>340</v>
      </c>
      <c r="F1855" s="1044">
        <f t="shared" si="19"/>
        <v>1217.2</v>
      </c>
      <c r="G1855" s="731"/>
      <c r="H1855"/>
    </row>
    <row r="1856" spans="1:8">
      <c r="A1856" s="941">
        <v>8</v>
      </c>
      <c r="B1856" s="941" t="s">
        <v>3937</v>
      </c>
      <c r="C1856" s="1042">
        <v>357585653481910</v>
      </c>
      <c r="D1856" s="941"/>
      <c r="E1856" s="1043">
        <v>340</v>
      </c>
      <c r="F1856" s="1044">
        <f t="shared" si="19"/>
        <v>1217.2</v>
      </c>
      <c r="G1856" s="731"/>
      <c r="H1856"/>
    </row>
    <row r="1857" spans="1:8">
      <c r="A1857" s="941">
        <v>9</v>
      </c>
      <c r="B1857" s="941" t="s">
        <v>3937</v>
      </c>
      <c r="C1857" s="1042">
        <v>350094263887134</v>
      </c>
      <c r="D1857" s="941"/>
      <c r="E1857" s="1043">
        <v>340</v>
      </c>
      <c r="F1857" s="1044">
        <f t="shared" si="19"/>
        <v>1217.2</v>
      </c>
      <c r="G1857" s="731"/>
      <c r="H1857"/>
    </row>
    <row r="1858" spans="1:8">
      <c r="A1858" s="941">
        <v>10</v>
      </c>
      <c r="B1858" s="941" t="s">
        <v>3938</v>
      </c>
      <c r="C1858" s="1042">
        <v>359655272498633</v>
      </c>
      <c r="D1858" s="941"/>
      <c r="E1858" s="1043">
        <v>340</v>
      </c>
      <c r="F1858" s="1044">
        <f t="shared" si="19"/>
        <v>1217.2</v>
      </c>
      <c r="G1858" s="731"/>
      <c r="H1858"/>
    </row>
    <row r="1859" spans="1:8">
      <c r="A1859" s="941">
        <v>11</v>
      </c>
      <c r="B1859" s="941" t="s">
        <v>3939</v>
      </c>
      <c r="C1859" s="1042" t="s">
        <v>3940</v>
      </c>
      <c r="D1859" s="941"/>
      <c r="E1859" s="1043">
        <v>940</v>
      </c>
      <c r="F1859" s="1044">
        <f t="shared" si="19"/>
        <v>3365.2000000000003</v>
      </c>
      <c r="G1859" s="731"/>
      <c r="H1859"/>
    </row>
    <row r="1860" spans="1:8">
      <c r="A1860" s="941">
        <v>12</v>
      </c>
      <c r="B1860" s="941" t="s">
        <v>3939</v>
      </c>
      <c r="C1860" s="1042" t="s">
        <v>3941</v>
      </c>
      <c r="D1860" s="941"/>
      <c r="E1860" s="1043">
        <v>940</v>
      </c>
      <c r="F1860" s="1044">
        <f t="shared" si="19"/>
        <v>3365.2000000000003</v>
      </c>
      <c r="G1860" s="731"/>
      <c r="H1860"/>
    </row>
    <row r="1861" spans="1:8">
      <c r="A1861" s="941">
        <v>13</v>
      </c>
      <c r="B1861" s="941" t="s">
        <v>3939</v>
      </c>
      <c r="C1861" s="1042" t="s">
        <v>3942</v>
      </c>
      <c r="D1861" s="941"/>
      <c r="E1861" s="1043">
        <v>940</v>
      </c>
      <c r="F1861" s="1044">
        <f t="shared" si="19"/>
        <v>3365.2000000000003</v>
      </c>
      <c r="G1861" s="731"/>
      <c r="H1861"/>
    </row>
    <row r="1862" spans="1:8">
      <c r="A1862" s="941">
        <v>14</v>
      </c>
      <c r="B1862" s="941" t="s">
        <v>3939</v>
      </c>
      <c r="C1862" s="1042" t="s">
        <v>3943</v>
      </c>
      <c r="D1862" s="941"/>
      <c r="E1862" s="1043">
        <v>940</v>
      </c>
      <c r="F1862" s="1044">
        <f t="shared" si="19"/>
        <v>3365.2000000000003</v>
      </c>
      <c r="G1862" s="731"/>
      <c r="H1862"/>
    </row>
    <row r="1863" spans="1:8">
      <c r="A1863" s="941">
        <v>15</v>
      </c>
      <c r="B1863" s="941" t="s">
        <v>3944</v>
      </c>
      <c r="C1863" s="1042" t="s">
        <v>3945</v>
      </c>
      <c r="D1863" s="941"/>
      <c r="E1863" s="1043">
        <v>1130</v>
      </c>
      <c r="F1863" s="1044">
        <f t="shared" si="19"/>
        <v>4045.4</v>
      </c>
      <c r="G1863" s="731"/>
      <c r="H1863"/>
    </row>
    <row r="1864" spans="1:8">
      <c r="A1864" s="941">
        <v>16</v>
      </c>
      <c r="B1864" s="941" t="s">
        <v>3946</v>
      </c>
      <c r="C1864" s="1042" t="s">
        <v>3947</v>
      </c>
      <c r="D1864" s="941"/>
      <c r="E1864" s="1043">
        <v>1105</v>
      </c>
      <c r="F1864" s="1044">
        <f t="shared" si="19"/>
        <v>3955.9</v>
      </c>
      <c r="G1864" s="731"/>
      <c r="H1864"/>
    </row>
    <row r="1865" spans="1:8">
      <c r="A1865" s="941">
        <v>17</v>
      </c>
      <c r="B1865" s="941" t="s">
        <v>3948</v>
      </c>
      <c r="C1865" s="1042" t="s">
        <v>3949</v>
      </c>
      <c r="D1865" s="941"/>
      <c r="E1865" s="1043">
        <v>1150</v>
      </c>
      <c r="F1865" s="1044">
        <f t="shared" si="19"/>
        <v>4117</v>
      </c>
      <c r="G1865" s="731"/>
      <c r="H1865"/>
    </row>
    <row r="1866" spans="1:8">
      <c r="A1866" s="941">
        <v>18</v>
      </c>
      <c r="B1866" s="941" t="s">
        <v>3950</v>
      </c>
      <c r="C1866" s="1042" t="s">
        <v>3951</v>
      </c>
      <c r="D1866" s="941"/>
      <c r="E1866" s="1043">
        <v>1341</v>
      </c>
      <c r="F1866" s="1044">
        <f t="shared" si="19"/>
        <v>4800.78</v>
      </c>
      <c r="G1866" s="731"/>
      <c r="H1866"/>
    </row>
    <row r="1867" spans="1:8">
      <c r="A1867" s="941">
        <v>19</v>
      </c>
      <c r="B1867" s="941" t="s">
        <v>3950</v>
      </c>
      <c r="C1867" s="1042" t="s">
        <v>3952</v>
      </c>
      <c r="D1867" s="941"/>
      <c r="E1867" s="1043">
        <v>1341</v>
      </c>
      <c r="F1867" s="1044">
        <f t="shared" si="19"/>
        <v>4800.78</v>
      </c>
      <c r="G1867" s="731"/>
      <c r="H1867"/>
    </row>
    <row r="1868" spans="1:8">
      <c r="A1868" s="941">
        <v>20</v>
      </c>
      <c r="B1868" s="941" t="s">
        <v>3950</v>
      </c>
      <c r="C1868" s="1042" t="s">
        <v>3953</v>
      </c>
      <c r="D1868" s="941"/>
      <c r="E1868" s="1043">
        <v>1341</v>
      </c>
      <c r="F1868" s="1044">
        <f t="shared" si="19"/>
        <v>4800.78</v>
      </c>
      <c r="G1868" s="731"/>
      <c r="H1868"/>
    </row>
    <row r="1869" spans="1:8">
      <c r="A1869" s="941">
        <v>21</v>
      </c>
      <c r="B1869" s="941" t="s">
        <v>3954</v>
      </c>
      <c r="C1869" s="1042" t="s">
        <v>3955</v>
      </c>
      <c r="D1869" s="941" t="s">
        <v>3956</v>
      </c>
      <c r="E1869" s="1043">
        <v>620</v>
      </c>
      <c r="F1869" s="1044">
        <f t="shared" si="19"/>
        <v>2219.6</v>
      </c>
      <c r="G1869" s="731"/>
      <c r="H1869"/>
    </row>
    <row r="1870" spans="1:8">
      <c r="A1870" s="941">
        <v>22</v>
      </c>
      <c r="B1870" s="941" t="s">
        <v>3957</v>
      </c>
      <c r="C1870" s="1042" t="s">
        <v>3958</v>
      </c>
      <c r="D1870" s="941"/>
      <c r="E1870" s="1043">
        <v>220</v>
      </c>
      <c r="F1870" s="1044">
        <f t="shared" si="19"/>
        <v>787.6</v>
      </c>
      <c r="G1870" s="731"/>
      <c r="H1870"/>
    </row>
    <row r="1871" spans="1:8">
      <c r="A1871" s="941">
        <v>23</v>
      </c>
      <c r="B1871" s="941" t="s">
        <v>3957</v>
      </c>
      <c r="C1871" s="1042" t="s">
        <v>3959</v>
      </c>
      <c r="D1871" s="941"/>
      <c r="E1871" s="1043">
        <v>220</v>
      </c>
      <c r="F1871" s="1044">
        <f t="shared" si="19"/>
        <v>787.6</v>
      </c>
      <c r="G1871" s="731"/>
      <c r="H1871"/>
    </row>
    <row r="1872" spans="1:8">
      <c r="A1872" s="941">
        <v>24</v>
      </c>
      <c r="B1872" s="941" t="s">
        <v>3957</v>
      </c>
      <c r="C1872" s="1042" t="s">
        <v>3960</v>
      </c>
      <c r="D1872" s="941"/>
      <c r="E1872" s="1043">
        <v>220</v>
      </c>
      <c r="F1872" s="1044">
        <f t="shared" si="19"/>
        <v>787.6</v>
      </c>
      <c r="G1872" s="731"/>
      <c r="H1872"/>
    </row>
    <row r="1873" spans="1:8">
      <c r="A1873" s="941">
        <v>25</v>
      </c>
      <c r="B1873" s="941" t="s">
        <v>1405</v>
      </c>
      <c r="C1873" s="1042" t="s">
        <v>3961</v>
      </c>
      <c r="D1873" s="941"/>
      <c r="E1873" s="1043">
        <v>200</v>
      </c>
      <c r="F1873" s="1044">
        <f t="shared" si="19"/>
        <v>716</v>
      </c>
      <c r="G1873" s="731"/>
      <c r="H1873"/>
    </row>
    <row r="1874" spans="1:8">
      <c r="A1874" s="941">
        <v>26</v>
      </c>
      <c r="B1874" s="941" t="s">
        <v>1405</v>
      </c>
      <c r="C1874" s="1042" t="s">
        <v>3962</v>
      </c>
      <c r="D1874" s="941"/>
      <c r="E1874" s="1043">
        <v>200</v>
      </c>
      <c r="F1874" s="1044">
        <f t="shared" si="19"/>
        <v>716</v>
      </c>
      <c r="G1874" s="731"/>
      <c r="H1874"/>
    </row>
    <row r="1875" spans="1:8">
      <c r="A1875" s="941">
        <v>27</v>
      </c>
      <c r="B1875" s="941" t="s">
        <v>1405</v>
      </c>
      <c r="C1875" s="1042" t="s">
        <v>3963</v>
      </c>
      <c r="D1875" s="941"/>
      <c r="E1875" s="1043">
        <v>200</v>
      </c>
      <c r="F1875" s="1044">
        <f t="shared" si="19"/>
        <v>716</v>
      </c>
      <c r="G1875" s="731"/>
      <c r="H1875"/>
    </row>
    <row r="1876" spans="1:8">
      <c r="A1876" s="941">
        <v>28</v>
      </c>
      <c r="B1876" s="941" t="s">
        <v>1405</v>
      </c>
      <c r="C1876" s="1042" t="s">
        <v>3964</v>
      </c>
      <c r="D1876" s="941"/>
      <c r="E1876" s="1043">
        <v>200</v>
      </c>
      <c r="F1876" s="1044">
        <f t="shared" si="19"/>
        <v>716</v>
      </c>
      <c r="G1876" s="731"/>
      <c r="H1876"/>
    </row>
    <row r="1877" spans="1:8">
      <c r="A1877" s="941">
        <v>29</v>
      </c>
      <c r="B1877" s="941" t="s">
        <v>1405</v>
      </c>
      <c r="C1877" s="1042" t="s">
        <v>3965</v>
      </c>
      <c r="D1877" s="941"/>
      <c r="E1877" s="1043">
        <v>200</v>
      </c>
      <c r="F1877" s="1044">
        <f t="shared" si="19"/>
        <v>716</v>
      </c>
      <c r="G1877" s="731"/>
      <c r="H1877"/>
    </row>
    <row r="1878" spans="1:8">
      <c r="A1878" s="941">
        <v>30</v>
      </c>
      <c r="B1878" s="941" t="s">
        <v>1405</v>
      </c>
      <c r="C1878" s="1042" t="s">
        <v>3966</v>
      </c>
      <c r="D1878" s="941"/>
      <c r="E1878" s="1043">
        <v>200</v>
      </c>
      <c r="F1878" s="1044">
        <f t="shared" si="19"/>
        <v>716</v>
      </c>
      <c r="G1878" s="731"/>
      <c r="H1878"/>
    </row>
    <row r="1879" spans="1:8">
      <c r="A1879" s="941">
        <v>31</v>
      </c>
      <c r="B1879" s="941" t="s">
        <v>1405</v>
      </c>
      <c r="C1879" s="1042" t="s">
        <v>3967</v>
      </c>
      <c r="D1879" s="941"/>
      <c r="E1879" s="1043">
        <v>200</v>
      </c>
      <c r="F1879" s="1044">
        <f t="shared" si="19"/>
        <v>716</v>
      </c>
      <c r="G1879" s="731"/>
      <c r="H1879"/>
    </row>
    <row r="1880" spans="1:8">
      <c r="A1880" s="941">
        <v>32</v>
      </c>
      <c r="B1880" s="941" t="s">
        <v>1405</v>
      </c>
      <c r="C1880" s="1042" t="s">
        <v>3968</v>
      </c>
      <c r="D1880" s="941"/>
      <c r="E1880" s="1043">
        <v>200</v>
      </c>
      <c r="F1880" s="1044">
        <f t="shared" si="19"/>
        <v>716</v>
      </c>
      <c r="G1880" s="731"/>
      <c r="H1880"/>
    </row>
    <row r="1881" spans="1:8">
      <c r="A1881" s="941">
        <v>33</v>
      </c>
      <c r="B1881" s="941" t="s">
        <v>1405</v>
      </c>
      <c r="C1881" s="1042" t="s">
        <v>3969</v>
      </c>
      <c r="D1881" s="941"/>
      <c r="E1881" s="1043">
        <v>200</v>
      </c>
      <c r="F1881" s="1044">
        <f t="shared" si="19"/>
        <v>716</v>
      </c>
      <c r="G1881" s="731"/>
      <c r="H1881"/>
    </row>
    <row r="1882" spans="1:8">
      <c r="A1882" s="941">
        <v>34</v>
      </c>
      <c r="B1882" s="941" t="s">
        <v>1405</v>
      </c>
      <c r="C1882" s="1042" t="s">
        <v>3970</v>
      </c>
      <c r="D1882" s="941"/>
      <c r="E1882" s="1043">
        <v>200</v>
      </c>
      <c r="F1882" s="1044">
        <f t="shared" si="19"/>
        <v>716</v>
      </c>
      <c r="G1882" s="731"/>
      <c r="H1882"/>
    </row>
    <row r="1883" spans="1:8">
      <c r="A1883" s="941">
        <v>35</v>
      </c>
      <c r="B1883" s="941" t="s">
        <v>1405</v>
      </c>
      <c r="C1883" s="1042" t="s">
        <v>3971</v>
      </c>
      <c r="D1883" s="941"/>
      <c r="E1883" s="1043">
        <v>200</v>
      </c>
      <c r="F1883" s="1044">
        <f t="shared" si="19"/>
        <v>716</v>
      </c>
      <c r="G1883" s="731"/>
      <c r="H1883"/>
    </row>
    <row r="1884" spans="1:8">
      <c r="A1884" s="941">
        <v>36</v>
      </c>
      <c r="B1884" s="941" t="s">
        <v>1405</v>
      </c>
      <c r="C1884" s="1042" t="s">
        <v>3972</v>
      </c>
      <c r="D1884" s="941"/>
      <c r="E1884" s="1043">
        <v>200</v>
      </c>
      <c r="F1884" s="1044">
        <f t="shared" si="19"/>
        <v>716</v>
      </c>
      <c r="G1884" s="731"/>
      <c r="H1884"/>
    </row>
    <row r="1885" spans="1:8">
      <c r="A1885" s="941">
        <v>37</v>
      </c>
      <c r="B1885" s="941" t="s">
        <v>1405</v>
      </c>
      <c r="C1885" s="1042" t="s">
        <v>3973</v>
      </c>
      <c r="D1885" s="941"/>
      <c r="E1885" s="1043">
        <v>200</v>
      </c>
      <c r="F1885" s="1044">
        <f t="shared" si="19"/>
        <v>716</v>
      </c>
      <c r="G1885" s="731"/>
      <c r="H1885"/>
    </row>
    <row r="1886" spans="1:8">
      <c r="A1886" s="941">
        <v>38</v>
      </c>
      <c r="B1886" s="941" t="s">
        <v>1405</v>
      </c>
      <c r="C1886" s="1042" t="s">
        <v>3974</v>
      </c>
      <c r="D1886" s="941"/>
      <c r="E1886" s="1043">
        <v>200</v>
      </c>
      <c r="F1886" s="1044">
        <f t="shared" si="19"/>
        <v>716</v>
      </c>
      <c r="G1886" s="731"/>
      <c r="H1886"/>
    </row>
    <row r="1887" spans="1:8">
      <c r="A1887" s="941">
        <v>39</v>
      </c>
      <c r="B1887" s="941" t="s">
        <v>1405</v>
      </c>
      <c r="C1887" s="1042" t="s">
        <v>3975</v>
      </c>
      <c r="D1887" s="941"/>
      <c r="E1887" s="1043">
        <v>200</v>
      </c>
      <c r="F1887" s="1044">
        <f t="shared" si="19"/>
        <v>716</v>
      </c>
      <c r="G1887" s="731"/>
      <c r="H1887"/>
    </row>
    <row r="1888" spans="1:8">
      <c r="A1888" s="941">
        <v>40</v>
      </c>
      <c r="B1888" s="941" t="s">
        <v>1405</v>
      </c>
      <c r="C1888" s="1042" t="s">
        <v>3976</v>
      </c>
      <c r="D1888" s="941"/>
      <c r="E1888" s="1043">
        <v>200</v>
      </c>
      <c r="F1888" s="1044">
        <f t="shared" si="19"/>
        <v>716</v>
      </c>
      <c r="G1888" s="731"/>
      <c r="H1888"/>
    </row>
    <row r="1889" spans="1:8">
      <c r="A1889" s="941">
        <v>41</v>
      </c>
      <c r="B1889" s="941" t="s">
        <v>1405</v>
      </c>
      <c r="C1889" s="1042" t="s">
        <v>3977</v>
      </c>
      <c r="D1889" s="941"/>
      <c r="E1889" s="1043">
        <v>200</v>
      </c>
      <c r="F1889" s="1044">
        <f t="shared" si="19"/>
        <v>716</v>
      </c>
      <c r="G1889" s="731"/>
      <c r="H1889"/>
    </row>
    <row r="1890" spans="1:8">
      <c r="A1890" s="941">
        <v>42</v>
      </c>
      <c r="B1890" s="941" t="s">
        <v>1405</v>
      </c>
      <c r="C1890" s="1042" t="s">
        <v>3978</v>
      </c>
      <c r="D1890" s="941"/>
      <c r="E1890" s="1043">
        <v>200</v>
      </c>
      <c r="F1890" s="1044">
        <f t="shared" si="19"/>
        <v>716</v>
      </c>
      <c r="G1890" s="731"/>
      <c r="H1890"/>
    </row>
    <row r="1891" spans="1:8">
      <c r="A1891" s="941">
        <v>43</v>
      </c>
      <c r="B1891" s="941" t="s">
        <v>1405</v>
      </c>
      <c r="C1891" s="1042" t="s">
        <v>3979</v>
      </c>
      <c r="D1891" s="941"/>
      <c r="E1891" s="1043">
        <v>200</v>
      </c>
      <c r="F1891" s="1044">
        <f t="shared" si="19"/>
        <v>716</v>
      </c>
      <c r="G1891" s="731"/>
      <c r="H1891"/>
    </row>
    <row r="1892" spans="1:8">
      <c r="A1892" s="941">
        <v>44</v>
      </c>
      <c r="B1892" s="941" t="s">
        <v>1405</v>
      </c>
      <c r="C1892" s="1042" t="s">
        <v>3980</v>
      </c>
      <c r="D1892" s="941"/>
      <c r="E1892" s="1043">
        <v>200</v>
      </c>
      <c r="F1892" s="1044">
        <f t="shared" si="19"/>
        <v>716</v>
      </c>
      <c r="G1892" s="731"/>
      <c r="H1892"/>
    </row>
    <row r="1893" spans="1:8">
      <c r="A1893" s="941">
        <v>45</v>
      </c>
      <c r="B1893" s="941" t="s">
        <v>1405</v>
      </c>
      <c r="C1893" s="1042" t="s">
        <v>3981</v>
      </c>
      <c r="D1893" s="941"/>
      <c r="E1893" s="1043">
        <v>200</v>
      </c>
      <c r="F1893" s="1044">
        <f t="shared" si="19"/>
        <v>716</v>
      </c>
      <c r="G1893" s="731"/>
      <c r="H1893"/>
    </row>
    <row r="1894" spans="1:8">
      <c r="A1894" s="941">
        <v>46</v>
      </c>
      <c r="B1894" s="941" t="s">
        <v>1405</v>
      </c>
      <c r="C1894" s="1042" t="s">
        <v>3982</v>
      </c>
      <c r="D1894" s="941"/>
      <c r="E1894" s="1043">
        <v>200</v>
      </c>
      <c r="F1894" s="1044">
        <f t="shared" si="19"/>
        <v>716</v>
      </c>
      <c r="G1894" s="731"/>
      <c r="H1894"/>
    </row>
    <row r="1895" spans="1:8">
      <c r="A1895" s="941">
        <v>47</v>
      </c>
      <c r="B1895" s="941" t="s">
        <v>1405</v>
      </c>
      <c r="C1895" s="1042" t="s">
        <v>3983</v>
      </c>
      <c r="D1895" s="941"/>
      <c r="E1895" s="1043">
        <v>200</v>
      </c>
      <c r="F1895" s="1044">
        <f t="shared" si="19"/>
        <v>716</v>
      </c>
      <c r="G1895" s="731"/>
      <c r="H1895"/>
    </row>
    <row r="1896" spans="1:8">
      <c r="A1896" s="941">
        <v>48</v>
      </c>
      <c r="B1896" s="941" t="s">
        <v>1405</v>
      </c>
      <c r="C1896" s="1042" t="s">
        <v>3984</v>
      </c>
      <c r="D1896" s="941"/>
      <c r="E1896" s="1043">
        <v>200</v>
      </c>
      <c r="F1896" s="1044">
        <f t="shared" si="19"/>
        <v>716</v>
      </c>
      <c r="G1896" s="731"/>
      <c r="H1896"/>
    </row>
    <row r="1897" spans="1:8">
      <c r="A1897" s="941">
        <v>49</v>
      </c>
      <c r="B1897" s="941" t="s">
        <v>1405</v>
      </c>
      <c r="C1897" s="1042" t="s">
        <v>3985</v>
      </c>
      <c r="D1897" s="941"/>
      <c r="E1897" s="1043">
        <v>200</v>
      </c>
      <c r="F1897" s="1044">
        <f t="shared" si="19"/>
        <v>716</v>
      </c>
      <c r="G1897" s="731"/>
      <c r="H1897"/>
    </row>
    <row r="1898" spans="1:8">
      <c r="A1898" s="941">
        <v>50</v>
      </c>
      <c r="B1898" s="941" t="s">
        <v>1405</v>
      </c>
      <c r="C1898" s="1042" t="s">
        <v>3986</v>
      </c>
      <c r="D1898" s="941"/>
      <c r="E1898" s="1043">
        <v>200</v>
      </c>
      <c r="F1898" s="1044">
        <f t="shared" si="19"/>
        <v>716</v>
      </c>
      <c r="G1898" s="731"/>
      <c r="H1898"/>
    </row>
    <row r="1899" spans="1:8">
      <c r="A1899" s="941">
        <v>51</v>
      </c>
      <c r="B1899" s="941" t="s">
        <v>1405</v>
      </c>
      <c r="C1899" s="1042" t="s">
        <v>3987</v>
      </c>
      <c r="D1899" s="941"/>
      <c r="E1899" s="1043">
        <v>200</v>
      </c>
      <c r="F1899" s="1044">
        <f t="shared" si="19"/>
        <v>716</v>
      </c>
      <c r="G1899" s="731"/>
      <c r="H1899"/>
    </row>
    <row r="1900" spans="1:8">
      <c r="A1900" s="941">
        <v>52</v>
      </c>
      <c r="B1900" s="941" t="s">
        <v>1405</v>
      </c>
      <c r="C1900" s="1042" t="s">
        <v>3988</v>
      </c>
      <c r="D1900" s="941"/>
      <c r="E1900" s="1043">
        <v>200</v>
      </c>
      <c r="F1900" s="1044">
        <f t="shared" si="19"/>
        <v>716</v>
      </c>
      <c r="G1900" s="731"/>
      <c r="H1900"/>
    </row>
    <row r="1901" spans="1:8">
      <c r="A1901" s="941">
        <v>53</v>
      </c>
      <c r="B1901" s="941" t="s">
        <v>1405</v>
      </c>
      <c r="C1901" s="1042" t="s">
        <v>3989</v>
      </c>
      <c r="D1901" s="941"/>
      <c r="E1901" s="1043">
        <v>200</v>
      </c>
      <c r="F1901" s="1044">
        <f t="shared" si="19"/>
        <v>716</v>
      </c>
      <c r="G1901" s="731"/>
      <c r="H1901"/>
    </row>
    <row r="1902" spans="1:8">
      <c r="A1902" s="941">
        <v>54</v>
      </c>
      <c r="B1902" s="941" t="s">
        <v>1405</v>
      </c>
      <c r="C1902" s="1042" t="s">
        <v>3990</v>
      </c>
      <c r="D1902" s="941"/>
      <c r="E1902" s="1043">
        <v>200</v>
      </c>
      <c r="F1902" s="1044">
        <f t="shared" si="19"/>
        <v>716</v>
      </c>
      <c r="G1902" s="731"/>
      <c r="H1902"/>
    </row>
    <row r="1903" spans="1:8">
      <c r="A1903" s="941">
        <v>55</v>
      </c>
      <c r="B1903" s="941" t="s">
        <v>1405</v>
      </c>
      <c r="C1903" s="1042" t="s">
        <v>3991</v>
      </c>
      <c r="D1903" s="941"/>
      <c r="E1903" s="1043">
        <v>200</v>
      </c>
      <c r="F1903" s="1044">
        <f t="shared" si="19"/>
        <v>716</v>
      </c>
      <c r="G1903" s="731"/>
      <c r="H1903"/>
    </row>
    <row r="1904" spans="1:8">
      <c r="A1904" s="941">
        <v>56</v>
      </c>
      <c r="B1904" s="941" t="s">
        <v>1405</v>
      </c>
      <c r="C1904" s="1042" t="s">
        <v>3992</v>
      </c>
      <c r="D1904" s="941"/>
      <c r="E1904" s="1043">
        <v>200</v>
      </c>
      <c r="F1904" s="1044">
        <f t="shared" si="19"/>
        <v>716</v>
      </c>
      <c r="G1904" s="731"/>
      <c r="H1904"/>
    </row>
    <row r="1905" spans="1:8">
      <c r="A1905" s="941">
        <v>57</v>
      </c>
      <c r="B1905" s="941" t="s">
        <v>1405</v>
      </c>
      <c r="C1905" s="1042" t="s">
        <v>3993</v>
      </c>
      <c r="D1905" s="941"/>
      <c r="E1905" s="1043">
        <v>200</v>
      </c>
      <c r="F1905" s="1044">
        <f t="shared" si="19"/>
        <v>716</v>
      </c>
      <c r="G1905" s="731"/>
      <c r="H1905"/>
    </row>
    <row r="1906" spans="1:8">
      <c r="A1906" s="941">
        <v>58</v>
      </c>
      <c r="B1906" s="941" t="s">
        <v>1405</v>
      </c>
      <c r="C1906" s="1042" t="s">
        <v>3994</v>
      </c>
      <c r="D1906" s="941"/>
      <c r="E1906" s="1043">
        <v>200</v>
      </c>
      <c r="F1906" s="1044">
        <f t="shared" si="19"/>
        <v>716</v>
      </c>
      <c r="G1906" s="731"/>
      <c r="H1906"/>
    </row>
    <row r="1907" spans="1:8">
      <c r="A1907" s="941">
        <v>59</v>
      </c>
      <c r="B1907" s="941" t="s">
        <v>1405</v>
      </c>
      <c r="C1907" s="1042" t="s">
        <v>3995</v>
      </c>
      <c r="D1907" s="941"/>
      <c r="E1907" s="1043">
        <v>200</v>
      </c>
      <c r="F1907" s="1044">
        <f t="shared" si="19"/>
        <v>716</v>
      </c>
      <c r="G1907" s="731"/>
      <c r="H1907"/>
    </row>
    <row r="1908" spans="1:8">
      <c r="A1908" s="941">
        <v>60</v>
      </c>
      <c r="B1908" s="941" t="s">
        <v>1405</v>
      </c>
      <c r="C1908" s="1042" t="s">
        <v>3996</v>
      </c>
      <c r="D1908" s="941"/>
      <c r="E1908" s="1043">
        <v>200</v>
      </c>
      <c r="F1908" s="1044">
        <f t="shared" si="19"/>
        <v>716</v>
      </c>
      <c r="G1908" s="731"/>
      <c r="H1908"/>
    </row>
    <row r="1909" spans="1:8">
      <c r="A1909" s="941">
        <v>61</v>
      </c>
      <c r="B1909" s="941" t="s">
        <v>1405</v>
      </c>
      <c r="C1909" s="1042" t="s">
        <v>3997</v>
      </c>
      <c r="D1909" s="941"/>
      <c r="E1909" s="1043">
        <v>200</v>
      </c>
      <c r="F1909" s="1044">
        <f t="shared" si="19"/>
        <v>716</v>
      </c>
      <c r="G1909" s="731"/>
      <c r="H1909"/>
    </row>
    <row r="1910" spans="1:8">
      <c r="A1910" s="941">
        <v>62</v>
      </c>
      <c r="B1910" s="941" t="s">
        <v>1405</v>
      </c>
      <c r="C1910" s="1042" t="s">
        <v>3998</v>
      </c>
      <c r="D1910" s="941"/>
      <c r="E1910" s="1043">
        <v>200</v>
      </c>
      <c r="F1910" s="1044">
        <f t="shared" si="19"/>
        <v>716</v>
      </c>
      <c r="G1910" s="731"/>
      <c r="H1910"/>
    </row>
    <row r="1911" spans="1:8">
      <c r="A1911" s="941">
        <v>63</v>
      </c>
      <c r="B1911" s="941" t="s">
        <v>1405</v>
      </c>
      <c r="C1911" s="1042" t="s">
        <v>3999</v>
      </c>
      <c r="D1911" s="941"/>
      <c r="E1911" s="1043">
        <v>200</v>
      </c>
      <c r="F1911" s="1044">
        <f t="shared" si="19"/>
        <v>716</v>
      </c>
      <c r="G1911" s="731"/>
      <c r="H1911"/>
    </row>
    <row r="1912" spans="1:8">
      <c r="A1912" s="941">
        <v>64</v>
      </c>
      <c r="B1912" s="941" t="s">
        <v>1405</v>
      </c>
      <c r="C1912" s="1042" t="s">
        <v>4000</v>
      </c>
      <c r="D1912" s="941"/>
      <c r="E1912" s="1043">
        <v>200</v>
      </c>
      <c r="F1912" s="1044">
        <f t="shared" si="19"/>
        <v>716</v>
      </c>
      <c r="G1912" s="731"/>
      <c r="H1912"/>
    </row>
    <row r="1913" spans="1:8">
      <c r="A1913" s="941">
        <v>65</v>
      </c>
      <c r="B1913" s="941" t="s">
        <v>1405</v>
      </c>
      <c r="C1913" s="1042" t="s">
        <v>4001</v>
      </c>
      <c r="D1913" s="941"/>
      <c r="E1913" s="1043">
        <v>200</v>
      </c>
      <c r="F1913" s="1044">
        <f t="shared" si="19"/>
        <v>716</v>
      </c>
      <c r="G1913" s="731"/>
      <c r="H1913"/>
    </row>
    <row r="1914" spans="1:8">
      <c r="A1914" s="941">
        <v>66</v>
      </c>
      <c r="B1914" s="941" t="s">
        <v>1405</v>
      </c>
      <c r="C1914" s="1042" t="s">
        <v>4002</v>
      </c>
      <c r="D1914" s="941"/>
      <c r="E1914" s="1043">
        <v>200</v>
      </c>
      <c r="F1914" s="1044">
        <f t="shared" ref="F1914:F1951" si="20">E1914*3.58</f>
        <v>716</v>
      </c>
      <c r="G1914" s="731"/>
      <c r="H1914"/>
    </row>
    <row r="1915" spans="1:8">
      <c r="A1915" s="941">
        <v>67</v>
      </c>
      <c r="B1915" s="941" t="s">
        <v>1312</v>
      </c>
      <c r="C1915" s="1042" t="s">
        <v>4003</v>
      </c>
      <c r="D1915" s="941"/>
      <c r="E1915" s="1043">
        <v>120</v>
      </c>
      <c r="F1915" s="1044">
        <f t="shared" si="20"/>
        <v>429.6</v>
      </c>
      <c r="G1915" s="731"/>
      <c r="H1915"/>
    </row>
    <row r="1916" spans="1:8">
      <c r="A1916" s="941">
        <v>68</v>
      </c>
      <c r="B1916" s="941" t="s">
        <v>1312</v>
      </c>
      <c r="C1916" s="1042" t="s">
        <v>4004</v>
      </c>
      <c r="D1916" s="941"/>
      <c r="E1916" s="1043">
        <v>120</v>
      </c>
      <c r="F1916" s="1044">
        <f t="shared" si="20"/>
        <v>429.6</v>
      </c>
      <c r="G1916" s="731"/>
      <c r="H1916"/>
    </row>
    <row r="1917" spans="1:8">
      <c r="A1917" s="941">
        <v>69</v>
      </c>
      <c r="B1917" s="941" t="s">
        <v>1312</v>
      </c>
      <c r="C1917" s="1042" t="s">
        <v>4005</v>
      </c>
      <c r="D1917" s="941"/>
      <c r="E1917" s="1043">
        <v>120</v>
      </c>
      <c r="F1917" s="1044">
        <f t="shared" si="20"/>
        <v>429.6</v>
      </c>
      <c r="G1917" s="731"/>
      <c r="H1917"/>
    </row>
    <row r="1918" spans="1:8">
      <c r="A1918" s="941">
        <v>70</v>
      </c>
      <c r="B1918" s="941" t="s">
        <v>1312</v>
      </c>
      <c r="C1918" s="1042" t="s">
        <v>4006</v>
      </c>
      <c r="D1918" s="941"/>
      <c r="E1918" s="1043">
        <v>120</v>
      </c>
      <c r="F1918" s="1044">
        <f t="shared" si="20"/>
        <v>429.6</v>
      </c>
      <c r="G1918" s="731"/>
      <c r="H1918"/>
    </row>
    <row r="1919" spans="1:8">
      <c r="A1919" s="941">
        <v>71</v>
      </c>
      <c r="B1919" s="941" t="s">
        <v>136</v>
      </c>
      <c r="C1919" s="1042" t="s">
        <v>4007</v>
      </c>
      <c r="D1919" s="941"/>
      <c r="E1919" s="1043">
        <v>85</v>
      </c>
      <c r="F1919" s="1044">
        <f t="shared" si="20"/>
        <v>304.3</v>
      </c>
      <c r="G1919" s="731"/>
      <c r="H1919"/>
    </row>
    <row r="1920" spans="1:8">
      <c r="A1920" s="941">
        <v>72</v>
      </c>
      <c r="B1920" s="941" t="s">
        <v>136</v>
      </c>
      <c r="C1920" s="1042" t="s">
        <v>4008</v>
      </c>
      <c r="D1920" s="941"/>
      <c r="E1920" s="1043">
        <v>85</v>
      </c>
      <c r="F1920" s="1044">
        <f t="shared" si="20"/>
        <v>304.3</v>
      </c>
      <c r="G1920" s="731"/>
      <c r="H1920"/>
    </row>
    <row r="1921" spans="1:8">
      <c r="A1921" s="941">
        <v>73</v>
      </c>
      <c r="B1921" s="941" t="s">
        <v>136</v>
      </c>
      <c r="C1921" s="1042" t="s">
        <v>4009</v>
      </c>
      <c r="D1921" s="941"/>
      <c r="E1921" s="1043">
        <v>85</v>
      </c>
      <c r="F1921" s="1044">
        <f t="shared" si="20"/>
        <v>304.3</v>
      </c>
      <c r="G1921" s="731"/>
      <c r="H1921"/>
    </row>
    <row r="1922" spans="1:8">
      <c r="A1922" s="941">
        <v>74</v>
      </c>
      <c r="B1922" s="941" t="s">
        <v>4010</v>
      </c>
      <c r="C1922" s="1042">
        <v>358135794787616</v>
      </c>
      <c r="D1922" s="941"/>
      <c r="E1922" s="1043">
        <v>670</v>
      </c>
      <c r="F1922" s="1044">
        <f t="shared" si="20"/>
        <v>2398.6</v>
      </c>
      <c r="G1922" s="731"/>
      <c r="H1922"/>
    </row>
    <row r="1923" spans="1:8">
      <c r="A1923" s="941">
        <v>75</v>
      </c>
      <c r="B1923" s="941" t="s">
        <v>4010</v>
      </c>
      <c r="C1923" s="1042">
        <v>355827876099414</v>
      </c>
      <c r="D1923" s="941"/>
      <c r="E1923" s="1043">
        <v>670</v>
      </c>
      <c r="F1923" s="1044">
        <f t="shared" si="20"/>
        <v>2398.6</v>
      </c>
      <c r="G1923" s="731"/>
      <c r="H1923"/>
    </row>
    <row r="1924" spans="1:8">
      <c r="A1924" s="941">
        <v>76</v>
      </c>
      <c r="B1924" s="941" t="s">
        <v>4010</v>
      </c>
      <c r="C1924" s="1042">
        <v>358135790581294</v>
      </c>
      <c r="D1924" s="941"/>
      <c r="E1924" s="1043">
        <v>670</v>
      </c>
      <c r="F1924" s="1044">
        <f t="shared" si="20"/>
        <v>2398.6</v>
      </c>
      <c r="G1924" s="731"/>
      <c r="H1924"/>
    </row>
    <row r="1925" spans="1:8">
      <c r="A1925" s="941">
        <v>77</v>
      </c>
      <c r="B1925" s="941" t="s">
        <v>4010</v>
      </c>
      <c r="C1925" s="1042">
        <v>355827875833680</v>
      </c>
      <c r="D1925" s="941"/>
      <c r="E1925" s="1043">
        <v>670</v>
      </c>
      <c r="F1925" s="1044">
        <f t="shared" si="20"/>
        <v>2398.6</v>
      </c>
      <c r="G1925" s="731"/>
      <c r="H1925"/>
    </row>
    <row r="1926" spans="1:8">
      <c r="A1926" s="941">
        <v>78</v>
      </c>
      <c r="B1926" s="941" t="s">
        <v>4011</v>
      </c>
      <c r="C1926" s="1042">
        <v>356187983912432</v>
      </c>
      <c r="D1926" s="941"/>
      <c r="E1926" s="1043">
        <v>670</v>
      </c>
      <c r="F1926" s="1044">
        <f t="shared" si="20"/>
        <v>2398.6</v>
      </c>
      <c r="G1926" s="731"/>
      <c r="H1926"/>
    </row>
    <row r="1927" spans="1:8">
      <c r="A1927" s="941">
        <v>79</v>
      </c>
      <c r="B1927" s="941" t="s">
        <v>4012</v>
      </c>
      <c r="C1927" s="1042" t="s">
        <v>4013</v>
      </c>
      <c r="D1927" s="941"/>
      <c r="E1927" s="1043">
        <v>290</v>
      </c>
      <c r="F1927" s="1044">
        <f t="shared" si="20"/>
        <v>1038.2</v>
      </c>
      <c r="G1927" s="731"/>
      <c r="H1927"/>
    </row>
    <row r="1928" spans="1:8">
      <c r="A1928" s="941">
        <v>80</v>
      </c>
      <c r="B1928" s="941" t="s">
        <v>4014</v>
      </c>
      <c r="C1928" s="1042" t="s">
        <v>4015</v>
      </c>
      <c r="D1928" s="941"/>
      <c r="E1928" s="1043">
        <v>320</v>
      </c>
      <c r="F1928" s="1044">
        <f t="shared" si="20"/>
        <v>1145.5999999999999</v>
      </c>
      <c r="G1928" s="731"/>
      <c r="H1928"/>
    </row>
    <row r="1929" spans="1:8">
      <c r="A1929" s="941">
        <v>81</v>
      </c>
      <c r="B1929" s="941" t="s">
        <v>4016</v>
      </c>
      <c r="C1929" s="1042">
        <v>358911631164577</v>
      </c>
      <c r="D1929" s="941"/>
      <c r="E1929" s="1043">
        <v>290</v>
      </c>
      <c r="F1929" s="1044">
        <f t="shared" si="20"/>
        <v>1038.2</v>
      </c>
      <c r="G1929" s="731"/>
      <c r="H1929"/>
    </row>
    <row r="1930" spans="1:8">
      <c r="A1930" s="941">
        <v>82</v>
      </c>
      <c r="B1930" s="941" t="s">
        <v>4017</v>
      </c>
      <c r="C1930" s="1042" t="s">
        <v>4018</v>
      </c>
      <c r="D1930" s="941"/>
      <c r="E1930" s="1043">
        <v>290</v>
      </c>
      <c r="F1930" s="1044">
        <f t="shared" si="20"/>
        <v>1038.2</v>
      </c>
      <c r="G1930" s="731"/>
      <c r="H1930"/>
    </row>
    <row r="1931" spans="1:8">
      <c r="A1931" s="941">
        <v>83</v>
      </c>
      <c r="B1931" s="941" t="s">
        <v>4019</v>
      </c>
      <c r="C1931" s="1042" t="s">
        <v>4020</v>
      </c>
      <c r="D1931" s="941"/>
      <c r="E1931" s="1043">
        <v>290</v>
      </c>
      <c r="F1931" s="1044">
        <f t="shared" si="20"/>
        <v>1038.2</v>
      </c>
      <c r="G1931" s="731"/>
      <c r="H1931"/>
    </row>
    <row r="1932" spans="1:8">
      <c r="A1932" s="941">
        <v>84</v>
      </c>
      <c r="B1932" s="941" t="s">
        <v>4021</v>
      </c>
      <c r="C1932" s="1042" t="s">
        <v>4022</v>
      </c>
      <c r="D1932" s="941"/>
      <c r="E1932" s="1043">
        <v>210</v>
      </c>
      <c r="F1932" s="1044">
        <f t="shared" si="20"/>
        <v>751.80000000000007</v>
      </c>
      <c r="G1932" s="731"/>
      <c r="H1932"/>
    </row>
    <row r="1933" spans="1:8">
      <c r="A1933" s="941">
        <v>85</v>
      </c>
      <c r="B1933" s="941" t="s">
        <v>4021</v>
      </c>
      <c r="C1933" s="1042" t="s">
        <v>4023</v>
      </c>
      <c r="D1933" s="941"/>
      <c r="E1933" s="1043">
        <v>210</v>
      </c>
      <c r="F1933" s="1044">
        <f t="shared" si="20"/>
        <v>751.80000000000007</v>
      </c>
      <c r="G1933" s="731"/>
      <c r="H1933"/>
    </row>
    <row r="1934" spans="1:8">
      <c r="A1934" s="941">
        <v>86</v>
      </c>
      <c r="B1934" s="941" t="s">
        <v>4021</v>
      </c>
      <c r="C1934" s="1042" t="s">
        <v>4024</v>
      </c>
      <c r="D1934" s="941"/>
      <c r="E1934" s="1043">
        <v>210</v>
      </c>
      <c r="F1934" s="1044">
        <f t="shared" si="20"/>
        <v>751.80000000000007</v>
      </c>
      <c r="G1934" s="731"/>
      <c r="H1934"/>
    </row>
    <row r="1935" spans="1:8">
      <c r="A1935" s="941">
        <v>87</v>
      </c>
      <c r="B1935" s="941" t="s">
        <v>4021</v>
      </c>
      <c r="C1935" s="1042" t="s">
        <v>4025</v>
      </c>
      <c r="D1935" s="941"/>
      <c r="E1935" s="1043">
        <v>210</v>
      </c>
      <c r="F1935" s="1044">
        <f t="shared" si="20"/>
        <v>751.80000000000007</v>
      </c>
      <c r="G1935" s="731"/>
      <c r="H1935"/>
    </row>
    <row r="1936" spans="1:8">
      <c r="A1936" s="941">
        <v>88</v>
      </c>
      <c r="B1936" s="941" t="s">
        <v>4021</v>
      </c>
      <c r="C1936" s="1042" t="s">
        <v>4026</v>
      </c>
      <c r="D1936" s="941"/>
      <c r="E1936" s="1043">
        <v>210</v>
      </c>
      <c r="F1936" s="1044">
        <f t="shared" si="20"/>
        <v>751.80000000000007</v>
      </c>
      <c r="G1936" s="731"/>
      <c r="H1936"/>
    </row>
    <row r="1937" spans="1:8">
      <c r="A1937" s="941">
        <v>89</v>
      </c>
      <c r="B1937" s="941" t="s">
        <v>4027</v>
      </c>
      <c r="C1937" s="1042" t="s">
        <v>4028</v>
      </c>
      <c r="D1937" s="941"/>
      <c r="E1937" s="1043">
        <v>210</v>
      </c>
      <c r="F1937" s="1044">
        <f t="shared" si="20"/>
        <v>751.80000000000007</v>
      </c>
      <c r="G1937" s="731"/>
      <c r="H1937"/>
    </row>
    <row r="1938" spans="1:8">
      <c r="A1938" s="941">
        <v>90</v>
      </c>
      <c r="B1938" s="941" t="s">
        <v>4029</v>
      </c>
      <c r="C1938" s="1042" t="s">
        <v>4030</v>
      </c>
      <c r="D1938" s="941"/>
      <c r="E1938" s="1043">
        <v>210</v>
      </c>
      <c r="F1938" s="1044">
        <f t="shared" si="20"/>
        <v>751.80000000000007</v>
      </c>
      <c r="G1938" s="731"/>
      <c r="H1938"/>
    </row>
    <row r="1939" spans="1:8">
      <c r="A1939" s="941">
        <v>91</v>
      </c>
      <c r="B1939" s="941" t="s">
        <v>4029</v>
      </c>
      <c r="C1939" s="1042" t="s">
        <v>4031</v>
      </c>
      <c r="D1939" s="941"/>
      <c r="E1939" s="1043">
        <v>210</v>
      </c>
      <c r="F1939" s="1044">
        <f t="shared" si="20"/>
        <v>751.80000000000007</v>
      </c>
      <c r="G1939" s="731"/>
      <c r="H1939"/>
    </row>
    <row r="1940" spans="1:8">
      <c r="A1940" s="941">
        <v>92</v>
      </c>
      <c r="B1940" s="941" t="s">
        <v>4029</v>
      </c>
      <c r="C1940" s="1042" t="s">
        <v>4032</v>
      </c>
      <c r="D1940" s="941"/>
      <c r="E1940" s="1043">
        <v>210</v>
      </c>
      <c r="F1940" s="1044">
        <f t="shared" si="20"/>
        <v>751.80000000000007</v>
      </c>
      <c r="G1940" s="731"/>
      <c r="H1940"/>
    </row>
    <row r="1941" spans="1:8">
      <c r="A1941" s="941">
        <v>93</v>
      </c>
      <c r="B1941" s="941" t="s">
        <v>4029</v>
      </c>
      <c r="C1941" s="1042" t="s">
        <v>4033</v>
      </c>
      <c r="D1941" s="941"/>
      <c r="E1941" s="1045">
        <v>130</v>
      </c>
      <c r="F1941" s="1044">
        <f t="shared" si="20"/>
        <v>465.40000000000003</v>
      </c>
      <c r="G1941" s="731"/>
      <c r="H1941"/>
    </row>
    <row r="1942" spans="1:8">
      <c r="A1942" s="941">
        <v>94</v>
      </c>
      <c r="B1942" s="941" t="s">
        <v>4034</v>
      </c>
      <c r="C1942" s="1042" t="s">
        <v>4035</v>
      </c>
      <c r="D1942" s="941"/>
      <c r="E1942" s="1043">
        <v>210</v>
      </c>
      <c r="F1942" s="1044">
        <f t="shared" si="20"/>
        <v>751.80000000000007</v>
      </c>
      <c r="G1942" s="731"/>
      <c r="H1942"/>
    </row>
    <row r="1943" spans="1:8">
      <c r="A1943" s="941">
        <v>95</v>
      </c>
      <c r="B1943" s="941" t="s">
        <v>4034</v>
      </c>
      <c r="C1943" s="1042" t="s">
        <v>4036</v>
      </c>
      <c r="D1943" s="941"/>
      <c r="E1943" s="1043">
        <v>210</v>
      </c>
      <c r="F1943" s="1044">
        <f t="shared" si="20"/>
        <v>751.80000000000007</v>
      </c>
      <c r="G1943" s="731"/>
      <c r="H1943"/>
    </row>
    <row r="1944" spans="1:8">
      <c r="A1944" s="941">
        <v>96</v>
      </c>
      <c r="B1944" s="941" t="s">
        <v>4034</v>
      </c>
      <c r="C1944" s="1042" t="s">
        <v>4037</v>
      </c>
      <c r="D1944" s="941"/>
      <c r="E1944" s="1043">
        <v>210</v>
      </c>
      <c r="F1944" s="1044">
        <f t="shared" si="20"/>
        <v>751.80000000000007</v>
      </c>
      <c r="G1944" s="731"/>
      <c r="H1944"/>
    </row>
    <row r="1945" spans="1:8">
      <c r="A1945" s="941">
        <v>97</v>
      </c>
      <c r="B1945" s="941" t="s">
        <v>4034</v>
      </c>
      <c r="C1945" s="1042" t="s">
        <v>4038</v>
      </c>
      <c r="D1945" s="941"/>
      <c r="E1945" s="1043">
        <v>210</v>
      </c>
      <c r="F1945" s="1044">
        <f t="shared" si="20"/>
        <v>751.80000000000007</v>
      </c>
      <c r="G1945" s="731"/>
      <c r="H1945"/>
    </row>
    <row r="1946" spans="1:8">
      <c r="A1946" s="1046">
        <v>98</v>
      </c>
      <c r="B1946" s="1046" t="s">
        <v>4034</v>
      </c>
      <c r="C1946" s="1047" t="s">
        <v>4039</v>
      </c>
      <c r="D1946" s="1046"/>
      <c r="E1946" s="1048">
        <v>210</v>
      </c>
      <c r="F1946" s="1049">
        <f t="shared" si="20"/>
        <v>751.80000000000007</v>
      </c>
      <c r="G1946" s="731"/>
      <c r="H1946"/>
    </row>
    <row r="1947" spans="1:8">
      <c r="A1947" s="941">
        <v>99</v>
      </c>
      <c r="B1947" s="941" t="s">
        <v>4040</v>
      </c>
      <c r="C1947" s="1042" t="s">
        <v>4041</v>
      </c>
      <c r="D1947" s="941"/>
      <c r="E1947" s="1050">
        <v>130</v>
      </c>
      <c r="F1947" s="1044">
        <f t="shared" si="20"/>
        <v>465.40000000000003</v>
      </c>
      <c r="G1947" s="731"/>
      <c r="H1947"/>
    </row>
    <row r="1948" spans="1:8">
      <c r="A1948" s="941">
        <v>100</v>
      </c>
      <c r="B1948" s="941" t="s">
        <v>4040</v>
      </c>
      <c r="C1948" s="1042" t="s">
        <v>4042</v>
      </c>
      <c r="D1948" s="941"/>
      <c r="E1948" s="1050">
        <v>130</v>
      </c>
      <c r="F1948" s="1044">
        <f t="shared" si="20"/>
        <v>465.40000000000003</v>
      </c>
      <c r="G1948" s="731"/>
      <c r="H1948"/>
    </row>
    <row r="1949" spans="1:8">
      <c r="A1949" s="941">
        <v>101</v>
      </c>
      <c r="B1949" s="941" t="s">
        <v>4040</v>
      </c>
      <c r="C1949" s="1042" t="s">
        <v>4043</v>
      </c>
      <c r="D1949" s="941"/>
      <c r="E1949" s="1050">
        <v>130</v>
      </c>
      <c r="F1949" s="1044">
        <f t="shared" si="20"/>
        <v>465.40000000000003</v>
      </c>
      <c r="G1949" s="731"/>
      <c r="H1949"/>
    </row>
    <row r="1950" spans="1:8">
      <c r="A1950" s="941">
        <v>102</v>
      </c>
      <c r="B1950" s="941" t="s">
        <v>4040</v>
      </c>
      <c r="C1950" s="1042" t="s">
        <v>4044</v>
      </c>
      <c r="D1950" s="941"/>
      <c r="E1950" s="1050">
        <v>130</v>
      </c>
      <c r="F1950" s="1044">
        <f t="shared" si="20"/>
        <v>465.40000000000003</v>
      </c>
      <c r="G1950" s="731"/>
      <c r="H1950"/>
    </row>
    <row r="1951" spans="1:8">
      <c r="A1951" s="941">
        <v>103</v>
      </c>
      <c r="B1951" s="941" t="s">
        <v>4040</v>
      </c>
      <c r="C1951" s="1042" t="s">
        <v>4045</v>
      </c>
      <c r="D1951" s="941"/>
      <c r="E1951" s="1050">
        <v>130</v>
      </c>
      <c r="F1951" s="1044">
        <f t="shared" si="20"/>
        <v>465.40000000000003</v>
      </c>
      <c r="G1951" s="731"/>
      <c r="H1951"/>
    </row>
    <row r="1952" spans="1:8" ht="18.75">
      <c r="A1952" s="1033"/>
      <c r="B1952" s="1033"/>
      <c r="C1952" s="1033"/>
      <c r="D1952" s="1034"/>
      <c r="E1952" s="1036">
        <f>SUM(E1849:E1951)</f>
        <v>33528</v>
      </c>
      <c r="F1952" s="1037">
        <f>SUM(F1849:F1951)</f>
        <v>120030.24000000006</v>
      </c>
    </row>
    <row r="1953" spans="1:8" ht="18.75">
      <c r="A1953" s="1033"/>
      <c r="B1953" s="1033"/>
      <c r="C1953" s="1033"/>
      <c r="D1953" s="1034"/>
      <c r="E1953" s="1038"/>
      <c r="F1953" s="1039"/>
    </row>
    <row r="1954" spans="1:8">
      <c r="A1954" s="1033"/>
      <c r="B1954" s="1033"/>
      <c r="C1954" s="1033"/>
      <c r="D1954" s="1034"/>
      <c r="E1954" s="1040"/>
      <c r="F1954" s="1041"/>
    </row>
    <row r="1960" spans="1:8" ht="15.75" thickBot="1"/>
    <row r="1961" spans="1:8" ht="15.75" thickBot="1">
      <c r="A1961" s="1508" t="s">
        <v>1</v>
      </c>
      <c r="B1961" s="1509"/>
      <c r="C1961" s="1058" t="s">
        <v>4046</v>
      </c>
      <c r="D1961" s="1057"/>
      <c r="E1961" s="1056"/>
      <c r="F1961" s="1056"/>
      <c r="G1961" s="731"/>
      <c r="H1961"/>
    </row>
    <row r="1962" spans="1:8">
      <c r="A1962" s="1510" t="s">
        <v>2416</v>
      </c>
      <c r="B1962" s="1511"/>
      <c r="C1962" s="1059" t="s">
        <v>4047</v>
      </c>
      <c r="D1962" s="1060"/>
      <c r="E1962" s="1056"/>
      <c r="F1962" s="1056"/>
      <c r="G1962" s="731"/>
      <c r="H1962"/>
    </row>
    <row r="1963" spans="1:8">
      <c r="A1963" s="1061" t="s">
        <v>3928</v>
      </c>
      <c r="B1963" s="1061" t="s">
        <v>2086</v>
      </c>
      <c r="C1963" s="1062" t="s">
        <v>2755</v>
      </c>
      <c r="D1963" s="1063" t="s">
        <v>4050</v>
      </c>
      <c r="E1963" s="1064" t="s">
        <v>3734</v>
      </c>
      <c r="F1963" s="1064" t="s">
        <v>3111</v>
      </c>
      <c r="G1963" s="731"/>
      <c r="H1963"/>
    </row>
    <row r="1964" spans="1:8">
      <c r="A1964" s="941">
        <v>1</v>
      </c>
      <c r="B1964" s="941" t="s">
        <v>4051</v>
      </c>
      <c r="C1964" s="1042">
        <v>357329444074464</v>
      </c>
      <c r="D1964" s="941"/>
      <c r="E1964" s="941">
        <v>930</v>
      </c>
      <c r="F1964" s="1044">
        <v>3329.4</v>
      </c>
      <c r="G1964" s="731"/>
      <c r="H1964"/>
    </row>
    <row r="1965" spans="1:8">
      <c r="A1965" s="941">
        <v>2</v>
      </c>
      <c r="B1965" s="941" t="s">
        <v>4051</v>
      </c>
      <c r="C1965" s="1042">
        <v>358206134261263</v>
      </c>
      <c r="D1965" s="941"/>
      <c r="E1965" s="941">
        <v>930</v>
      </c>
      <c r="F1965" s="1044">
        <v>3329.4</v>
      </c>
      <c r="G1965" s="731"/>
      <c r="H1965"/>
    </row>
    <row r="1966" spans="1:8">
      <c r="A1966" s="941">
        <v>3</v>
      </c>
      <c r="B1966" s="941" t="s">
        <v>4051</v>
      </c>
      <c r="C1966" s="1042">
        <v>356392245206678</v>
      </c>
      <c r="D1966" s="941"/>
      <c r="E1966" s="941">
        <v>930</v>
      </c>
      <c r="F1966" s="1044">
        <v>3329.4</v>
      </c>
      <c r="G1966" s="731"/>
      <c r="H1966"/>
    </row>
    <row r="1967" spans="1:8">
      <c r="A1967" s="941">
        <v>4</v>
      </c>
      <c r="B1967" s="941" t="s">
        <v>4051</v>
      </c>
      <c r="C1967" s="1042">
        <v>358902515956444</v>
      </c>
      <c r="D1967" s="941"/>
      <c r="E1967" s="941">
        <v>955</v>
      </c>
      <c r="F1967" s="1044">
        <v>3418.9</v>
      </c>
      <c r="G1967" s="731"/>
      <c r="H1967"/>
    </row>
    <row r="1968" spans="1:8">
      <c r="A1968" s="941">
        <v>5</v>
      </c>
      <c r="B1968" s="941" t="s">
        <v>4051</v>
      </c>
      <c r="C1968" s="1042">
        <v>358902515736036</v>
      </c>
      <c r="D1968" s="941"/>
      <c r="E1968" s="941">
        <v>930</v>
      </c>
      <c r="F1968" s="1044">
        <v>3329.4</v>
      </c>
      <c r="G1968" s="731"/>
      <c r="H1968"/>
    </row>
    <row r="1969" spans="1:8">
      <c r="A1969" s="941">
        <v>6</v>
      </c>
      <c r="B1969" s="941" t="s">
        <v>4051</v>
      </c>
      <c r="C1969" s="1042">
        <v>358902512711289</v>
      </c>
      <c r="D1969" s="941"/>
      <c r="E1969" s="941">
        <v>930</v>
      </c>
      <c r="F1969" s="1044">
        <v>3329.4</v>
      </c>
      <c r="G1969" s="731"/>
      <c r="H1969"/>
    </row>
    <row r="1970" spans="1:8">
      <c r="A1970" s="941">
        <v>7</v>
      </c>
      <c r="B1970" s="941" t="s">
        <v>4051</v>
      </c>
      <c r="C1970" s="1042">
        <v>356392242843374</v>
      </c>
      <c r="D1970" s="941"/>
      <c r="E1970" s="941">
        <v>930</v>
      </c>
      <c r="F1970" s="1044">
        <v>3329.4</v>
      </c>
      <c r="G1970" s="731"/>
      <c r="H1970"/>
    </row>
    <row r="1971" spans="1:8">
      <c r="A1971" s="941">
        <v>8</v>
      </c>
      <c r="B1971" s="941" t="s">
        <v>4051</v>
      </c>
      <c r="C1971" s="1042">
        <v>353497856505038</v>
      </c>
      <c r="D1971" s="941"/>
      <c r="E1971" s="941">
        <v>930</v>
      </c>
      <c r="F1971" s="1044">
        <v>3329.4</v>
      </c>
      <c r="G1971" s="731"/>
      <c r="H1971"/>
    </row>
    <row r="1972" spans="1:8">
      <c r="A1972" s="941">
        <v>9</v>
      </c>
      <c r="B1972" s="941" t="s">
        <v>4051</v>
      </c>
      <c r="C1972" s="1042">
        <v>353263427796328</v>
      </c>
      <c r="D1972" s="941"/>
      <c r="E1972" s="941">
        <v>930</v>
      </c>
      <c r="F1972" s="1044">
        <v>3329.4</v>
      </c>
      <c r="G1972" s="731"/>
      <c r="H1972"/>
    </row>
    <row r="1973" spans="1:8">
      <c r="A1973" s="941">
        <v>10</v>
      </c>
      <c r="B1973" s="941" t="s">
        <v>4051</v>
      </c>
      <c r="C1973" s="1042">
        <v>356392245441655</v>
      </c>
      <c r="D1973" s="941"/>
      <c r="E1973" s="941">
        <v>930</v>
      </c>
      <c r="F1973" s="1044">
        <v>3329.4</v>
      </c>
      <c r="G1973" s="731"/>
      <c r="H1973"/>
    </row>
    <row r="1974" spans="1:8">
      <c r="A1974" s="941">
        <v>11</v>
      </c>
      <c r="B1974" s="941" t="s">
        <v>4051</v>
      </c>
      <c r="C1974" s="1042">
        <v>358434706438164</v>
      </c>
      <c r="D1974" s="941"/>
      <c r="E1974" s="941">
        <v>930</v>
      </c>
      <c r="F1974" s="1044">
        <v>3329.4</v>
      </c>
      <c r="G1974" s="731"/>
      <c r="H1974"/>
    </row>
    <row r="1975" spans="1:8">
      <c r="A1975" s="941">
        <v>12</v>
      </c>
      <c r="B1975" s="941" t="s">
        <v>4051</v>
      </c>
      <c r="C1975" s="1042">
        <v>355246652402645</v>
      </c>
      <c r="D1975" s="941"/>
      <c r="E1975" s="941">
        <v>930</v>
      </c>
      <c r="F1975" s="1044">
        <v>3329.4</v>
      </c>
      <c r="G1975" s="731"/>
      <c r="H1975"/>
    </row>
    <row r="1976" spans="1:8">
      <c r="A1976" s="941">
        <v>13</v>
      </c>
      <c r="B1976" s="941" t="s">
        <v>4051</v>
      </c>
      <c r="C1976" s="1042">
        <v>356392242688068</v>
      </c>
      <c r="D1976" s="941"/>
      <c r="E1976" s="941">
        <v>910</v>
      </c>
      <c r="F1976" s="1044">
        <v>3257.8</v>
      </c>
      <c r="G1976" s="731"/>
      <c r="H1976"/>
    </row>
    <row r="1977" spans="1:8">
      <c r="A1977" s="941">
        <v>14</v>
      </c>
      <c r="B1977" s="941" t="s">
        <v>4051</v>
      </c>
      <c r="C1977" s="1042">
        <v>355246652795725</v>
      </c>
      <c r="D1977" s="941"/>
      <c r="E1977" s="941">
        <v>930</v>
      </c>
      <c r="F1977" s="1044">
        <v>3329.4</v>
      </c>
      <c r="G1977" s="731"/>
      <c r="H1977"/>
    </row>
    <row r="1978" spans="1:8">
      <c r="A1978" s="941">
        <v>15</v>
      </c>
      <c r="B1978" s="941" t="s">
        <v>4051</v>
      </c>
      <c r="C1978" s="1042">
        <v>358434706000295</v>
      </c>
      <c r="D1978" s="941"/>
      <c r="E1978" s="941">
        <v>930</v>
      </c>
      <c r="F1978" s="1044">
        <v>3329.4</v>
      </c>
      <c r="G1978" s="731"/>
      <c r="H1978"/>
    </row>
    <row r="1979" spans="1:8">
      <c r="A1979" s="941">
        <v>16</v>
      </c>
      <c r="B1979" s="941" t="s">
        <v>4051</v>
      </c>
      <c r="C1979" s="1042">
        <v>356392245134417</v>
      </c>
      <c r="D1979" s="941"/>
      <c r="E1979" s="941">
        <v>930</v>
      </c>
      <c r="F1979" s="1044">
        <v>3329.4</v>
      </c>
      <c r="G1979" s="731"/>
      <c r="H1979"/>
    </row>
    <row r="1980" spans="1:8">
      <c r="A1980" s="941">
        <v>17</v>
      </c>
      <c r="B1980" s="941" t="s">
        <v>4051</v>
      </c>
      <c r="C1980" s="1042">
        <v>356392247508238</v>
      </c>
      <c r="D1980" s="941"/>
      <c r="E1980" s="941">
        <v>930</v>
      </c>
      <c r="F1980" s="1044">
        <v>3329.4</v>
      </c>
      <c r="G1980" s="731"/>
      <c r="H1980"/>
    </row>
    <row r="1981" spans="1:8">
      <c r="A1981" s="941">
        <v>18</v>
      </c>
      <c r="B1981" s="941" t="s">
        <v>4051</v>
      </c>
      <c r="C1981" s="1042">
        <v>357063607031736</v>
      </c>
      <c r="D1981" s="941"/>
      <c r="E1981" s="941">
        <v>930</v>
      </c>
      <c r="F1981" s="1044">
        <v>3329.4</v>
      </c>
      <c r="G1981" s="731"/>
      <c r="H1981"/>
    </row>
    <row r="1982" spans="1:8">
      <c r="A1982" s="941">
        <v>19</v>
      </c>
      <c r="B1982" s="941" t="s">
        <v>4051</v>
      </c>
      <c r="C1982" s="1042">
        <v>356392246679634</v>
      </c>
      <c r="D1982" s="941" t="s">
        <v>4052</v>
      </c>
      <c r="E1982" s="941">
        <v>1190</v>
      </c>
      <c r="F1982" s="1044">
        <v>4260.2</v>
      </c>
      <c r="G1982" s="731"/>
      <c r="H1982"/>
    </row>
    <row r="1983" spans="1:8">
      <c r="A1983" s="941">
        <v>20</v>
      </c>
      <c r="B1983" s="941" t="s">
        <v>4051</v>
      </c>
      <c r="C1983" s="1042">
        <v>353497859918261</v>
      </c>
      <c r="D1983" s="941"/>
      <c r="E1983" s="941">
        <v>910</v>
      </c>
      <c r="F1983" s="1044">
        <v>3257.8</v>
      </c>
      <c r="G1983" s="731"/>
      <c r="H1983"/>
    </row>
    <row r="1984" spans="1:8">
      <c r="A1984" s="941">
        <v>21</v>
      </c>
      <c r="B1984" s="941" t="s">
        <v>4051</v>
      </c>
      <c r="C1984" s="1042">
        <v>350599868360865</v>
      </c>
      <c r="D1984" s="941"/>
      <c r="E1984" s="941">
        <v>910</v>
      </c>
      <c r="F1984" s="1044">
        <v>3257.8</v>
      </c>
      <c r="G1984" s="731"/>
      <c r="H1984"/>
    </row>
    <row r="1985" spans="1:8">
      <c r="A1985" s="941">
        <v>22</v>
      </c>
      <c r="B1985" s="941" t="s">
        <v>4051</v>
      </c>
      <c r="C1985" s="1042">
        <v>358902515766629</v>
      </c>
      <c r="D1985" s="941"/>
      <c r="E1985" s="941">
        <v>930</v>
      </c>
      <c r="F1985" s="1044">
        <v>3329.4</v>
      </c>
      <c r="G1985" s="731"/>
      <c r="H1985"/>
    </row>
    <row r="1986" spans="1:8">
      <c r="A1986" s="941">
        <v>23</v>
      </c>
      <c r="B1986" s="941" t="s">
        <v>4051</v>
      </c>
      <c r="C1986" s="1042">
        <v>350599869285392</v>
      </c>
      <c r="D1986" s="941"/>
      <c r="E1986" s="941">
        <v>910</v>
      </c>
      <c r="F1986" s="1044">
        <v>3257.8</v>
      </c>
      <c r="G1986" s="731"/>
      <c r="H1986"/>
    </row>
    <row r="1987" spans="1:8">
      <c r="A1987" s="941">
        <v>24</v>
      </c>
      <c r="B1987" s="941" t="s">
        <v>4051</v>
      </c>
      <c r="C1987" s="1042">
        <v>355246657172003</v>
      </c>
      <c r="D1987" s="941"/>
      <c r="E1987" s="941">
        <v>930</v>
      </c>
      <c r="F1987" s="1044">
        <v>3329.4</v>
      </c>
      <c r="G1987" s="731"/>
      <c r="H1987"/>
    </row>
    <row r="1988" spans="1:8">
      <c r="A1988" s="941">
        <v>25</v>
      </c>
      <c r="B1988" s="941" t="s">
        <v>4051</v>
      </c>
      <c r="C1988" s="1042">
        <v>357329442436756</v>
      </c>
      <c r="D1988" s="941"/>
      <c r="E1988" s="941">
        <v>910</v>
      </c>
      <c r="F1988" s="1044">
        <v>3257.8</v>
      </c>
      <c r="G1988" s="731"/>
      <c r="H1988"/>
    </row>
    <row r="1989" spans="1:8">
      <c r="A1989" s="941">
        <v>26</v>
      </c>
      <c r="B1989" s="941" t="s">
        <v>4051</v>
      </c>
      <c r="C1989" s="1042">
        <v>359814716687380</v>
      </c>
      <c r="D1989" s="941"/>
      <c r="E1989" s="941">
        <v>910</v>
      </c>
      <c r="F1989" s="1044">
        <v>3257.8</v>
      </c>
      <c r="G1989" s="731"/>
      <c r="H1989"/>
    </row>
    <row r="1990" spans="1:8">
      <c r="A1990" s="941">
        <v>27</v>
      </c>
      <c r="B1990" s="941" t="s">
        <v>4051</v>
      </c>
      <c r="C1990" s="1042">
        <v>355224254800300</v>
      </c>
      <c r="D1990" s="941"/>
      <c r="E1990" s="941">
        <v>930</v>
      </c>
      <c r="F1990" s="1044">
        <v>3329.4</v>
      </c>
      <c r="G1990" s="731"/>
      <c r="H1990"/>
    </row>
    <row r="1991" spans="1:8">
      <c r="A1991" s="941">
        <v>28</v>
      </c>
      <c r="B1991" s="941" t="s">
        <v>4051</v>
      </c>
      <c r="C1991" s="1042">
        <v>356392241826214</v>
      </c>
      <c r="D1991" s="941"/>
      <c r="E1991" s="941">
        <v>930</v>
      </c>
      <c r="F1991" s="1044">
        <v>3329.4</v>
      </c>
      <c r="G1991" s="731"/>
      <c r="H1991"/>
    </row>
    <row r="1992" spans="1:8">
      <c r="A1992" s="941">
        <v>29</v>
      </c>
      <c r="B1992" s="941" t="s">
        <v>4051</v>
      </c>
      <c r="C1992" s="1042">
        <v>358902514556856</v>
      </c>
      <c r="D1992" s="941"/>
      <c r="E1992" s="941">
        <v>910</v>
      </c>
      <c r="F1992" s="1044">
        <v>3257.8</v>
      </c>
      <c r="G1992" s="731"/>
      <c r="H1992"/>
    </row>
    <row r="1993" spans="1:8">
      <c r="A1993" s="941">
        <v>30</v>
      </c>
      <c r="B1993" s="941" t="s">
        <v>4051</v>
      </c>
      <c r="C1993" s="1042">
        <v>358051328209029</v>
      </c>
      <c r="D1993" s="941"/>
      <c r="E1993" s="941">
        <v>930</v>
      </c>
      <c r="F1993" s="1044">
        <v>3329.4</v>
      </c>
      <c r="G1993" s="731"/>
      <c r="H1993"/>
    </row>
    <row r="1994" spans="1:8">
      <c r="A1994" s="941">
        <v>31</v>
      </c>
      <c r="B1994" s="941" t="s">
        <v>4051</v>
      </c>
      <c r="C1994" s="1042">
        <v>355246657888731</v>
      </c>
      <c r="D1994" s="941"/>
      <c r="E1994" s="941">
        <v>930</v>
      </c>
      <c r="F1994" s="1044">
        <v>3329.4</v>
      </c>
      <c r="G1994" s="731"/>
      <c r="H1994"/>
    </row>
    <row r="1995" spans="1:8">
      <c r="A1995" s="941">
        <v>32</v>
      </c>
      <c r="B1995" s="941" t="s">
        <v>4051</v>
      </c>
      <c r="C1995" s="1042">
        <v>353497856431862</v>
      </c>
      <c r="D1995" s="941" t="s">
        <v>4052</v>
      </c>
      <c r="E1995" s="941">
        <v>1175</v>
      </c>
      <c r="F1995" s="1044">
        <v>4206.5</v>
      </c>
      <c r="G1995" s="731"/>
      <c r="H1995"/>
    </row>
    <row r="1996" spans="1:8">
      <c r="A1996" s="941">
        <v>33</v>
      </c>
      <c r="B1996" s="941" t="s">
        <v>4051</v>
      </c>
      <c r="C1996" s="1042">
        <v>353263427788085</v>
      </c>
      <c r="D1996" s="941" t="s">
        <v>4052</v>
      </c>
      <c r="E1996" s="941">
        <v>1190</v>
      </c>
      <c r="F1996" s="1044">
        <v>4260.2</v>
      </c>
      <c r="G1996" s="731"/>
      <c r="H1996"/>
    </row>
    <row r="1997" spans="1:8">
      <c r="A1997" s="941">
        <v>34</v>
      </c>
      <c r="B1997" s="941" t="s">
        <v>4051</v>
      </c>
      <c r="C1997" s="1042">
        <v>353263425312722</v>
      </c>
      <c r="D1997" s="941"/>
      <c r="E1997" s="941">
        <v>910</v>
      </c>
      <c r="F1997" s="1044">
        <v>3257.8</v>
      </c>
      <c r="G1997" s="731"/>
      <c r="H1997"/>
    </row>
    <row r="1998" spans="1:8">
      <c r="A1998" s="941">
        <v>35</v>
      </c>
      <c r="B1998" s="941" t="s">
        <v>4051</v>
      </c>
      <c r="C1998" s="1042">
        <v>355450219934542</v>
      </c>
      <c r="D1998" s="941"/>
      <c r="E1998" s="941">
        <v>910</v>
      </c>
      <c r="F1998" s="1044">
        <v>3257.8</v>
      </c>
      <c r="G1998" s="731"/>
      <c r="H1998"/>
    </row>
    <row r="1999" spans="1:8">
      <c r="A1999" s="941">
        <v>36</v>
      </c>
      <c r="B1999" s="941" t="s">
        <v>4051</v>
      </c>
      <c r="C1999" s="1042">
        <v>356392246918693</v>
      </c>
      <c r="D1999" s="941"/>
      <c r="E1999" s="941">
        <v>910</v>
      </c>
      <c r="F1999" s="1044">
        <v>3257.8</v>
      </c>
      <c r="G1999" s="731"/>
      <c r="H1999"/>
    </row>
    <row r="2000" spans="1:8">
      <c r="A2000" s="941">
        <v>37</v>
      </c>
      <c r="B2000" s="941" t="s">
        <v>4051</v>
      </c>
      <c r="C2000" s="1042">
        <v>356392246658141</v>
      </c>
      <c r="D2000" s="941"/>
      <c r="E2000" s="941">
        <v>910</v>
      </c>
      <c r="F2000" s="1044">
        <v>3257.8</v>
      </c>
      <c r="G2000" s="731"/>
      <c r="H2000"/>
    </row>
    <row r="2001" spans="1:8">
      <c r="A2001" s="941">
        <v>38</v>
      </c>
      <c r="B2001" s="941" t="s">
        <v>4051</v>
      </c>
      <c r="C2001" s="1042">
        <v>359814715431186</v>
      </c>
      <c r="D2001" s="941"/>
      <c r="E2001" s="941">
        <v>930</v>
      </c>
      <c r="F2001" s="1044">
        <v>3329.4</v>
      </c>
      <c r="G2001" s="731"/>
      <c r="H2001"/>
    </row>
    <row r="2002" spans="1:8">
      <c r="A2002" s="941">
        <v>39</v>
      </c>
      <c r="B2002" s="941" t="s">
        <v>4051</v>
      </c>
      <c r="C2002" s="1042">
        <v>355224254961490</v>
      </c>
      <c r="D2002" s="941"/>
      <c r="E2002" s="941">
        <v>930</v>
      </c>
      <c r="F2002" s="1044">
        <v>3329.4</v>
      </c>
      <c r="G2002" s="731"/>
      <c r="H2002"/>
    </row>
    <row r="2003" spans="1:8">
      <c r="A2003" s="941">
        <v>40</v>
      </c>
      <c r="B2003" s="941" t="s">
        <v>4051</v>
      </c>
      <c r="C2003" s="1042">
        <v>356392243184323</v>
      </c>
      <c r="D2003" s="941"/>
      <c r="E2003" s="941">
        <v>930</v>
      </c>
      <c r="F2003" s="1044">
        <v>3329.4</v>
      </c>
      <c r="G2003" s="731"/>
      <c r="H2003"/>
    </row>
    <row r="2004" spans="1:8">
      <c r="A2004" s="941">
        <v>41</v>
      </c>
      <c r="B2004" s="941" t="s">
        <v>4051</v>
      </c>
      <c r="C2004" s="1042">
        <v>358434705981347</v>
      </c>
      <c r="D2004" s="941"/>
      <c r="E2004" s="941">
        <v>930</v>
      </c>
      <c r="F2004" s="1044">
        <v>3329.4</v>
      </c>
      <c r="G2004" s="731"/>
      <c r="H2004"/>
    </row>
    <row r="2005" spans="1:8">
      <c r="A2005" s="941">
        <v>42</v>
      </c>
      <c r="B2005" s="941" t="s">
        <v>4051</v>
      </c>
      <c r="C2005" s="1042">
        <v>358902515517865</v>
      </c>
      <c r="D2005" s="941"/>
      <c r="E2005" s="941">
        <v>955</v>
      </c>
      <c r="F2005" s="1044">
        <v>3418.9</v>
      </c>
      <c r="G2005" s="731"/>
      <c r="H2005"/>
    </row>
    <row r="2006" spans="1:8">
      <c r="A2006" s="941">
        <v>43</v>
      </c>
      <c r="B2006" s="941" t="s">
        <v>4051</v>
      </c>
      <c r="C2006" s="1042">
        <v>358902517040114</v>
      </c>
      <c r="D2006" s="941" t="s">
        <v>4052</v>
      </c>
      <c r="E2006" s="941">
        <v>1120</v>
      </c>
      <c r="F2006" s="1044">
        <v>4009.6</v>
      </c>
      <c r="G2006" s="731"/>
      <c r="H2006"/>
    </row>
    <row r="2007" spans="1:8">
      <c r="A2007" s="941">
        <v>44</v>
      </c>
      <c r="B2007" s="941" t="s">
        <v>4051</v>
      </c>
      <c r="C2007" s="1042">
        <v>353263424328430</v>
      </c>
      <c r="D2007" s="941"/>
      <c r="E2007" s="941">
        <v>930</v>
      </c>
      <c r="F2007" s="1044">
        <v>3329.4</v>
      </c>
      <c r="G2007" s="731"/>
      <c r="H2007"/>
    </row>
    <row r="2008" spans="1:8">
      <c r="A2008" s="941">
        <v>45</v>
      </c>
      <c r="B2008" s="941" t="s">
        <v>4051</v>
      </c>
      <c r="C2008" s="1042">
        <v>357431267875470</v>
      </c>
      <c r="D2008" s="941"/>
      <c r="E2008" s="941">
        <v>930</v>
      </c>
      <c r="F2008" s="1044">
        <v>3329.4</v>
      </c>
      <c r="G2008" s="731"/>
      <c r="H2008"/>
    </row>
    <row r="2009" spans="1:8">
      <c r="A2009" s="941">
        <v>46</v>
      </c>
      <c r="B2009" s="941" t="s">
        <v>4051</v>
      </c>
      <c r="C2009" s="1042">
        <v>350599868697217</v>
      </c>
      <c r="D2009" s="941"/>
      <c r="E2009" s="941">
        <v>930</v>
      </c>
      <c r="F2009" s="1044">
        <v>3329.4</v>
      </c>
      <c r="G2009" s="731"/>
      <c r="H2009"/>
    </row>
    <row r="2010" spans="1:8">
      <c r="A2010" s="941">
        <v>47</v>
      </c>
      <c r="B2010" s="941" t="s">
        <v>4051</v>
      </c>
      <c r="C2010" s="1042">
        <v>357329442919850</v>
      </c>
      <c r="D2010" s="941" t="s">
        <v>4052</v>
      </c>
      <c r="E2010" s="941">
        <v>1190</v>
      </c>
      <c r="F2010" s="1044">
        <v>4260.2</v>
      </c>
      <c r="G2010" s="731"/>
      <c r="H2010"/>
    </row>
    <row r="2011" spans="1:8">
      <c r="A2011" s="941">
        <v>48</v>
      </c>
      <c r="B2011" s="941" t="s">
        <v>4051</v>
      </c>
      <c r="C2011" s="1042">
        <v>358902515823545</v>
      </c>
      <c r="D2011" s="941"/>
      <c r="E2011" s="941">
        <v>930</v>
      </c>
      <c r="F2011" s="1044">
        <v>3329.4</v>
      </c>
      <c r="G2011" s="731"/>
      <c r="H2011"/>
    </row>
    <row r="2012" spans="1:8">
      <c r="A2012" s="941">
        <v>49</v>
      </c>
      <c r="B2012" s="941" t="s">
        <v>4051</v>
      </c>
      <c r="C2012" s="1042">
        <v>356392247404784</v>
      </c>
      <c r="D2012" s="941"/>
      <c r="E2012" s="941">
        <v>930</v>
      </c>
      <c r="F2012" s="1044">
        <v>3329.4</v>
      </c>
      <c r="G2012" s="731"/>
      <c r="H2012"/>
    </row>
    <row r="2013" spans="1:8">
      <c r="A2013" s="941">
        <v>50</v>
      </c>
      <c r="B2013" s="941" t="s">
        <v>4051</v>
      </c>
      <c r="C2013" s="1042">
        <v>352791398838225</v>
      </c>
      <c r="D2013" s="941" t="s">
        <v>4052</v>
      </c>
      <c r="E2013" s="941">
        <v>1190</v>
      </c>
      <c r="F2013" s="1044">
        <v>4260.2</v>
      </c>
      <c r="G2013" s="731"/>
      <c r="H2013"/>
    </row>
    <row r="2014" spans="1:8">
      <c r="A2014" s="941">
        <v>51</v>
      </c>
      <c r="B2014" s="941" t="s">
        <v>4051</v>
      </c>
      <c r="C2014" s="1042">
        <v>356392240521485</v>
      </c>
      <c r="D2014" s="941"/>
      <c r="E2014" s="941">
        <v>930</v>
      </c>
      <c r="F2014" s="1044">
        <v>3329.4</v>
      </c>
      <c r="G2014" s="731"/>
      <c r="H2014"/>
    </row>
    <row r="2015" spans="1:8">
      <c r="A2015" s="941">
        <v>52</v>
      </c>
      <c r="B2015" s="941" t="s">
        <v>4051</v>
      </c>
      <c r="C2015" s="1042">
        <v>356392247197248</v>
      </c>
      <c r="D2015" s="941"/>
      <c r="E2015" s="941">
        <v>930</v>
      </c>
      <c r="F2015" s="1044">
        <v>3329.4</v>
      </c>
      <c r="G2015" s="731"/>
      <c r="H2015"/>
    </row>
    <row r="2016" spans="1:8">
      <c r="A2016" s="941">
        <v>53</v>
      </c>
      <c r="B2016" s="941" t="s">
        <v>4051</v>
      </c>
      <c r="C2016" s="1042">
        <v>359614548948483</v>
      </c>
      <c r="D2016" s="941"/>
      <c r="E2016" s="941">
        <v>930</v>
      </c>
      <c r="F2016" s="1044">
        <v>3329.4</v>
      </c>
      <c r="G2016" s="731"/>
      <c r="H2016"/>
    </row>
    <row r="2017" spans="1:8">
      <c r="A2017" s="941">
        <v>54</v>
      </c>
      <c r="B2017" s="941" t="s">
        <v>4051</v>
      </c>
      <c r="C2017" s="1042">
        <v>356392249980104</v>
      </c>
      <c r="D2017" s="941"/>
      <c r="E2017" s="941">
        <v>910</v>
      </c>
      <c r="F2017" s="1044">
        <v>3257.8</v>
      </c>
      <c r="G2017" s="731"/>
      <c r="H2017"/>
    </row>
    <row r="2018" spans="1:8">
      <c r="A2018" s="941">
        <v>55</v>
      </c>
      <c r="B2018" s="941" t="s">
        <v>4051</v>
      </c>
      <c r="C2018" s="1042">
        <v>355450212649485</v>
      </c>
      <c r="D2018" s="941"/>
      <c r="E2018" s="941">
        <v>910</v>
      </c>
      <c r="F2018" s="1044">
        <v>3257.8</v>
      </c>
      <c r="G2018" s="731"/>
      <c r="H2018"/>
    </row>
    <row r="2019" spans="1:8">
      <c r="A2019" s="941">
        <v>56</v>
      </c>
      <c r="B2019" s="941" t="s">
        <v>4051</v>
      </c>
      <c r="C2019" s="1042">
        <v>358902519107184</v>
      </c>
      <c r="D2019" s="941"/>
      <c r="E2019" s="941">
        <v>910</v>
      </c>
      <c r="F2019" s="1044">
        <v>3257.8</v>
      </c>
      <c r="G2019" s="731"/>
      <c r="H2019"/>
    </row>
    <row r="2020" spans="1:8">
      <c r="A2020" s="941">
        <v>57</v>
      </c>
      <c r="B2020" s="941" t="s">
        <v>4051</v>
      </c>
      <c r="C2020" s="1042">
        <v>355224254940502</v>
      </c>
      <c r="D2020" s="941"/>
      <c r="E2020" s="941">
        <v>930</v>
      </c>
      <c r="F2020" s="1044">
        <v>3329.4</v>
      </c>
      <c r="G2020" s="731"/>
      <c r="H2020"/>
    </row>
    <row r="2021" spans="1:8">
      <c r="A2021" s="941">
        <v>58</v>
      </c>
      <c r="B2021" s="941" t="s">
        <v>4051</v>
      </c>
      <c r="C2021" s="1042">
        <v>358051325668078</v>
      </c>
      <c r="D2021" s="941" t="s">
        <v>4052</v>
      </c>
      <c r="E2021" s="941">
        <v>1120</v>
      </c>
      <c r="F2021" s="1044">
        <v>4009.6</v>
      </c>
      <c r="G2021" s="731"/>
      <c r="H2021"/>
    </row>
    <row r="2022" spans="1:8">
      <c r="A2022" s="941">
        <v>59</v>
      </c>
      <c r="B2022" s="941" t="s">
        <v>4051</v>
      </c>
      <c r="C2022" s="1042">
        <v>355246650094030</v>
      </c>
      <c r="D2022" s="941"/>
      <c r="E2022" s="941">
        <v>930</v>
      </c>
      <c r="F2022" s="1044">
        <v>3329.4</v>
      </c>
      <c r="G2022" s="731"/>
      <c r="H2022"/>
    </row>
    <row r="2023" spans="1:8">
      <c r="A2023" s="941">
        <v>60</v>
      </c>
      <c r="B2023" s="941" t="s">
        <v>4051</v>
      </c>
      <c r="C2023" s="1042">
        <v>357329444250981</v>
      </c>
      <c r="D2023" s="941"/>
      <c r="E2023" s="941">
        <v>910</v>
      </c>
      <c r="F2023" s="1044">
        <v>3257.8</v>
      </c>
      <c r="G2023" s="731"/>
      <c r="H2023"/>
    </row>
    <row r="2024" spans="1:8">
      <c r="A2024" s="941">
        <v>61</v>
      </c>
      <c r="B2024" s="941" t="s">
        <v>4051</v>
      </c>
      <c r="C2024" s="1042">
        <v>357329443926888</v>
      </c>
      <c r="D2024" s="941"/>
      <c r="E2024" s="941">
        <v>910</v>
      </c>
      <c r="F2024" s="1044">
        <v>3257.8</v>
      </c>
      <c r="G2024" s="731"/>
      <c r="H2024"/>
    </row>
    <row r="2025" spans="1:8">
      <c r="A2025" s="941">
        <v>62</v>
      </c>
      <c r="B2025" s="941" t="s">
        <v>4051</v>
      </c>
      <c r="C2025" s="1042">
        <v>355246652904624</v>
      </c>
      <c r="D2025" s="941"/>
      <c r="E2025" s="941">
        <v>910</v>
      </c>
      <c r="F2025" s="1044">
        <v>3257.8</v>
      </c>
      <c r="G2025" s="731"/>
      <c r="H2025"/>
    </row>
    <row r="2026" spans="1:8">
      <c r="A2026" s="941">
        <v>63</v>
      </c>
      <c r="B2026" s="941" t="s">
        <v>4051</v>
      </c>
      <c r="C2026" s="1042">
        <v>356392243055499</v>
      </c>
      <c r="D2026" s="941"/>
      <c r="E2026" s="941">
        <v>910</v>
      </c>
      <c r="F2026" s="1044">
        <v>3257.8</v>
      </c>
      <c r="G2026" s="731"/>
      <c r="H2026"/>
    </row>
    <row r="2027" spans="1:8">
      <c r="A2027" s="941">
        <v>64</v>
      </c>
      <c r="B2027" s="941" t="s">
        <v>4051</v>
      </c>
      <c r="C2027" s="1042">
        <v>355224259876222</v>
      </c>
      <c r="D2027" s="941"/>
      <c r="E2027" s="941">
        <v>910</v>
      </c>
      <c r="F2027" s="1044">
        <v>3257.8</v>
      </c>
      <c r="G2027" s="731"/>
      <c r="H2027"/>
    </row>
    <row r="2028" spans="1:8">
      <c r="A2028" s="941">
        <v>65</v>
      </c>
      <c r="B2028" s="941" t="s">
        <v>4051</v>
      </c>
      <c r="C2028" s="1042">
        <v>357586349525474</v>
      </c>
      <c r="D2028" s="941"/>
      <c r="E2028" s="941">
        <v>910</v>
      </c>
      <c r="F2028" s="1044">
        <v>3257.8</v>
      </c>
      <c r="G2028" s="731"/>
      <c r="H2028"/>
    </row>
    <row r="2029" spans="1:8">
      <c r="A2029" s="941">
        <v>66</v>
      </c>
      <c r="B2029" s="941" t="s">
        <v>4053</v>
      </c>
      <c r="C2029" s="1042">
        <v>353263428837816</v>
      </c>
      <c r="D2029" s="941" t="s">
        <v>4052</v>
      </c>
      <c r="E2029" s="941">
        <v>1190</v>
      </c>
      <c r="F2029" s="1044">
        <v>4260.2</v>
      </c>
      <c r="G2029" s="731"/>
      <c r="H2029"/>
    </row>
    <row r="2030" spans="1:8">
      <c r="A2030" s="941">
        <v>67</v>
      </c>
      <c r="B2030" s="941" t="s">
        <v>4053</v>
      </c>
      <c r="C2030" s="1042">
        <v>359614549898984</v>
      </c>
      <c r="D2030" s="941"/>
      <c r="E2030" s="941">
        <v>890</v>
      </c>
      <c r="F2030" s="1044">
        <v>3186.2000000000003</v>
      </c>
      <c r="G2030" s="731"/>
      <c r="H2030"/>
    </row>
    <row r="2031" spans="1:8">
      <c r="A2031" s="941">
        <v>68</v>
      </c>
      <c r="B2031" s="941" t="s">
        <v>4053</v>
      </c>
      <c r="C2031" s="1042">
        <v>356392245638730</v>
      </c>
      <c r="D2031" s="941"/>
      <c r="E2031" s="941">
        <v>890</v>
      </c>
      <c r="F2031" s="1044">
        <v>3186.2000000000003</v>
      </c>
      <c r="G2031" s="731"/>
      <c r="H2031"/>
    </row>
    <row r="2032" spans="1:8">
      <c r="A2032" s="941">
        <v>69</v>
      </c>
      <c r="B2032" s="941" t="s">
        <v>4053</v>
      </c>
      <c r="C2032" s="1042">
        <v>358902515071079</v>
      </c>
      <c r="D2032" s="941"/>
      <c r="E2032" s="941">
        <v>890</v>
      </c>
      <c r="F2032" s="1044">
        <v>3186.2000000000003</v>
      </c>
      <c r="G2032" s="731"/>
      <c r="H2032"/>
    </row>
    <row r="2033" spans="1:8">
      <c r="A2033" s="941">
        <v>70</v>
      </c>
      <c r="B2033" s="941" t="s">
        <v>4053</v>
      </c>
      <c r="C2033" s="1042">
        <v>356392244615788</v>
      </c>
      <c r="D2033" s="941" t="s">
        <v>4052</v>
      </c>
      <c r="E2033" s="941">
        <v>1190</v>
      </c>
      <c r="F2033" s="1044">
        <v>4260.2</v>
      </c>
      <c r="G2033" s="731"/>
      <c r="H2033"/>
    </row>
    <row r="2034" spans="1:8">
      <c r="A2034" s="941">
        <v>71</v>
      </c>
      <c r="B2034" s="941" t="s">
        <v>4053</v>
      </c>
      <c r="C2034" s="1042">
        <v>356392245134060</v>
      </c>
      <c r="D2034" s="941" t="s">
        <v>4052</v>
      </c>
      <c r="E2034" s="941">
        <v>1190</v>
      </c>
      <c r="F2034" s="1044">
        <v>4260.2</v>
      </c>
      <c r="G2034" s="731"/>
      <c r="H2034"/>
    </row>
    <row r="2035" spans="1:8">
      <c r="A2035" s="941">
        <v>72</v>
      </c>
      <c r="B2035" s="941" t="s">
        <v>4053</v>
      </c>
      <c r="C2035" s="1042">
        <v>356392241181958</v>
      </c>
      <c r="D2035" s="941"/>
      <c r="E2035" s="941">
        <v>890</v>
      </c>
      <c r="F2035" s="1044">
        <v>3186.2000000000003</v>
      </c>
      <c r="G2035" s="731"/>
      <c r="H2035"/>
    </row>
    <row r="2036" spans="1:8">
      <c r="A2036" s="941">
        <v>73</v>
      </c>
      <c r="B2036" s="941" t="s">
        <v>4053</v>
      </c>
      <c r="C2036" s="1042">
        <v>350889866655501</v>
      </c>
      <c r="D2036" s="941" t="s">
        <v>4052</v>
      </c>
      <c r="E2036" s="941">
        <v>1190</v>
      </c>
      <c r="F2036" s="1044">
        <v>4260.2</v>
      </c>
      <c r="G2036" s="731"/>
      <c r="H2036"/>
    </row>
    <row r="2037" spans="1:8">
      <c r="A2037" s="941">
        <v>74</v>
      </c>
      <c r="B2037" s="941" t="s">
        <v>4054</v>
      </c>
      <c r="C2037" s="1042">
        <v>359814713520592</v>
      </c>
      <c r="D2037" s="941"/>
      <c r="E2037" s="941">
        <v>955</v>
      </c>
      <c r="F2037" s="1044">
        <v>3418.9</v>
      </c>
      <c r="G2037" s="731"/>
      <c r="H2037"/>
    </row>
    <row r="2038" spans="1:8">
      <c r="A2038" s="941">
        <v>75</v>
      </c>
      <c r="B2038" s="941" t="s">
        <v>4054</v>
      </c>
      <c r="C2038" s="1042">
        <v>355246653172064</v>
      </c>
      <c r="D2038" s="941"/>
      <c r="E2038" s="941">
        <v>955</v>
      </c>
      <c r="F2038" s="1044">
        <v>3418.9</v>
      </c>
      <c r="G2038" s="731"/>
      <c r="H2038"/>
    </row>
    <row r="2039" spans="1:8">
      <c r="A2039" s="941">
        <v>76</v>
      </c>
      <c r="B2039" s="941" t="s">
        <v>4054</v>
      </c>
      <c r="C2039" s="1042">
        <v>355246654057488</v>
      </c>
      <c r="D2039" s="941"/>
      <c r="E2039" s="941">
        <v>955</v>
      </c>
      <c r="F2039" s="1044">
        <v>3418.9</v>
      </c>
      <c r="G2039" s="731"/>
      <c r="H2039"/>
    </row>
    <row r="2040" spans="1:8">
      <c r="A2040" s="941">
        <v>77</v>
      </c>
      <c r="B2040" s="941" t="s">
        <v>4054</v>
      </c>
      <c r="C2040" s="1042">
        <v>359814713897271</v>
      </c>
      <c r="D2040" s="941"/>
      <c r="E2040" s="941">
        <v>955</v>
      </c>
      <c r="F2040" s="1044">
        <v>3418.9</v>
      </c>
      <c r="G2040" s="731"/>
      <c r="H2040"/>
    </row>
    <row r="2041" spans="1:8">
      <c r="A2041" s="941">
        <v>78</v>
      </c>
      <c r="B2041" s="941" t="s">
        <v>4054</v>
      </c>
      <c r="C2041" s="1042">
        <v>359814714043008</v>
      </c>
      <c r="D2041" s="941"/>
      <c r="E2041" s="941">
        <v>955</v>
      </c>
      <c r="F2041" s="1044">
        <v>3418.9</v>
      </c>
      <c r="G2041" s="731"/>
      <c r="H2041"/>
    </row>
    <row r="2042" spans="1:8">
      <c r="A2042" s="941">
        <v>79</v>
      </c>
      <c r="B2042" s="941" t="s">
        <v>4054</v>
      </c>
      <c r="C2042" s="1042">
        <v>350599861621222</v>
      </c>
      <c r="D2042" s="941"/>
      <c r="E2042" s="941">
        <v>955</v>
      </c>
      <c r="F2042" s="1044">
        <v>3418.9</v>
      </c>
      <c r="G2042" s="731"/>
      <c r="H2042"/>
    </row>
    <row r="2043" spans="1:8">
      <c r="A2043" s="941">
        <v>80</v>
      </c>
      <c r="B2043" s="941" t="s">
        <v>4054</v>
      </c>
      <c r="C2043" s="1042">
        <v>355246653154211</v>
      </c>
      <c r="D2043" s="941"/>
      <c r="E2043" s="941">
        <v>955</v>
      </c>
      <c r="F2043" s="1044">
        <v>3418.9</v>
      </c>
      <c r="G2043" s="731"/>
      <c r="H2043"/>
    </row>
    <row r="2044" spans="1:8">
      <c r="A2044" s="941">
        <v>81</v>
      </c>
      <c r="B2044" s="941" t="s">
        <v>4054</v>
      </c>
      <c r="C2044" s="1042">
        <v>350599861712427</v>
      </c>
      <c r="D2044" s="941"/>
      <c r="E2044" s="941">
        <v>955</v>
      </c>
      <c r="F2044" s="1044">
        <v>3418.9</v>
      </c>
      <c r="G2044" s="731"/>
      <c r="H2044"/>
    </row>
    <row r="2045" spans="1:8">
      <c r="A2045" s="941">
        <v>82</v>
      </c>
      <c r="B2045" s="941" t="s">
        <v>4054</v>
      </c>
      <c r="C2045" s="1042">
        <v>357329440200329</v>
      </c>
      <c r="D2045" s="941"/>
      <c r="E2045" s="941">
        <v>955</v>
      </c>
      <c r="F2045" s="1044">
        <v>3418.9</v>
      </c>
      <c r="G2045" s="731"/>
      <c r="H2045"/>
    </row>
    <row r="2046" spans="1:8">
      <c r="A2046" s="941">
        <v>83</v>
      </c>
      <c r="B2046" s="941" t="s">
        <v>4054</v>
      </c>
      <c r="C2046" s="1042">
        <v>350599861905138</v>
      </c>
      <c r="D2046" s="941"/>
      <c r="E2046" s="941">
        <v>955</v>
      </c>
      <c r="F2046" s="1044">
        <v>3418.9</v>
      </c>
      <c r="G2046" s="731"/>
      <c r="H2046"/>
    </row>
    <row r="2047" spans="1:8">
      <c r="A2047" s="941">
        <v>84</v>
      </c>
      <c r="B2047" s="941" t="s">
        <v>4054</v>
      </c>
      <c r="C2047" s="1042">
        <v>355246653293753</v>
      </c>
      <c r="D2047" s="941"/>
      <c r="E2047" s="941">
        <v>955</v>
      </c>
      <c r="F2047" s="1044">
        <v>3418.9</v>
      </c>
      <c r="G2047" s="731"/>
      <c r="H2047"/>
    </row>
    <row r="2048" spans="1:8">
      <c r="A2048" s="941">
        <v>85</v>
      </c>
      <c r="B2048" s="941" t="s">
        <v>4054</v>
      </c>
      <c r="C2048" s="1042">
        <v>355246654083880</v>
      </c>
      <c r="D2048" s="941"/>
      <c r="E2048" s="941">
        <v>955</v>
      </c>
      <c r="F2048" s="1044">
        <v>3418.9</v>
      </c>
      <c r="G2048" s="731"/>
      <c r="H2048"/>
    </row>
    <row r="2049" spans="1:8">
      <c r="A2049" s="941">
        <v>86</v>
      </c>
      <c r="B2049" s="941" t="s">
        <v>4054</v>
      </c>
      <c r="C2049" s="1042">
        <v>359814713591031</v>
      </c>
      <c r="D2049" s="941"/>
      <c r="E2049" s="941">
        <v>955</v>
      </c>
      <c r="F2049" s="1044">
        <v>3418.9</v>
      </c>
      <c r="G2049" s="731"/>
      <c r="H2049"/>
    </row>
    <row r="2050" spans="1:8">
      <c r="A2050" s="941">
        <v>87</v>
      </c>
      <c r="B2050" s="941" t="s">
        <v>4054</v>
      </c>
      <c r="C2050" s="1042">
        <v>358434704616415</v>
      </c>
      <c r="D2050" s="941"/>
      <c r="E2050" s="941">
        <v>955</v>
      </c>
      <c r="F2050" s="1044">
        <v>3418.9</v>
      </c>
      <c r="G2050" s="731"/>
      <c r="H2050"/>
    </row>
    <row r="2051" spans="1:8">
      <c r="A2051" s="941">
        <v>88</v>
      </c>
      <c r="B2051" s="941" t="s">
        <v>4054</v>
      </c>
      <c r="C2051" s="1042">
        <v>353263427785008</v>
      </c>
      <c r="D2051" s="941" t="s">
        <v>4052</v>
      </c>
      <c r="E2051" s="941">
        <v>1120</v>
      </c>
      <c r="F2051" s="1044">
        <v>4009.6</v>
      </c>
      <c r="G2051" s="731"/>
      <c r="H2051"/>
    </row>
    <row r="2052" spans="1:8">
      <c r="A2052" s="941">
        <v>89</v>
      </c>
      <c r="B2052" s="941" t="s">
        <v>4054</v>
      </c>
      <c r="C2052" s="1042">
        <v>358206135403369</v>
      </c>
      <c r="D2052" s="941"/>
      <c r="E2052" s="941">
        <v>930</v>
      </c>
      <c r="F2052" s="1044">
        <v>3329.4</v>
      </c>
      <c r="G2052" s="731"/>
      <c r="H2052"/>
    </row>
    <row r="2053" spans="1:8">
      <c r="A2053" s="941">
        <v>90</v>
      </c>
      <c r="B2053" s="941" t="s">
        <v>4054</v>
      </c>
      <c r="C2053" s="1042">
        <v>353263427966541</v>
      </c>
      <c r="D2053" s="941" t="s">
        <v>4052</v>
      </c>
      <c r="E2053" s="941">
        <v>1120</v>
      </c>
      <c r="F2053" s="1044">
        <v>4009.6</v>
      </c>
      <c r="G2053" s="731"/>
      <c r="H2053"/>
    </row>
    <row r="2054" spans="1:8">
      <c r="A2054" s="941">
        <v>91</v>
      </c>
      <c r="B2054" s="941" t="s">
        <v>4054</v>
      </c>
      <c r="C2054" s="1042">
        <v>358434702497701</v>
      </c>
      <c r="D2054" s="941"/>
      <c r="E2054" s="941">
        <v>955</v>
      </c>
      <c r="F2054" s="1044">
        <v>3418.9</v>
      </c>
      <c r="G2054" s="731"/>
      <c r="H2054"/>
    </row>
    <row r="2055" spans="1:8">
      <c r="A2055" s="941">
        <v>92</v>
      </c>
      <c r="B2055" s="941" t="s">
        <v>4055</v>
      </c>
      <c r="C2055" s="1042">
        <v>359814712797035</v>
      </c>
      <c r="D2055" s="941" t="s">
        <v>4052</v>
      </c>
      <c r="E2055" s="941">
        <v>1290</v>
      </c>
      <c r="F2055" s="1044">
        <v>4618.2</v>
      </c>
      <c r="G2055" s="731"/>
      <c r="H2055"/>
    </row>
    <row r="2056" spans="1:8">
      <c r="A2056" s="941">
        <v>93</v>
      </c>
      <c r="B2056" s="941" t="s">
        <v>4055</v>
      </c>
      <c r="C2056" s="1042">
        <v>350889865322301</v>
      </c>
      <c r="D2056" s="941" t="s">
        <v>4052</v>
      </c>
      <c r="E2056" s="941">
        <v>1240</v>
      </c>
      <c r="F2056" s="1044">
        <v>4439.2</v>
      </c>
      <c r="G2056" s="731"/>
      <c r="H2056"/>
    </row>
    <row r="2057" spans="1:8">
      <c r="A2057" s="941">
        <v>94</v>
      </c>
      <c r="B2057" s="941" t="s">
        <v>4055</v>
      </c>
      <c r="C2057" s="1042">
        <v>358206134032201</v>
      </c>
      <c r="D2057" s="941" t="s">
        <v>4052</v>
      </c>
      <c r="E2057" s="941">
        <v>1290</v>
      </c>
      <c r="F2057" s="1044">
        <v>4618.2</v>
      </c>
      <c r="G2057" s="731"/>
      <c r="H2057"/>
    </row>
    <row r="2058" spans="1:8">
      <c r="A2058" s="941">
        <v>95</v>
      </c>
      <c r="B2058" s="941" t="s">
        <v>4056</v>
      </c>
      <c r="C2058" s="1042">
        <v>351317529705041</v>
      </c>
      <c r="D2058" s="941" t="s">
        <v>4052</v>
      </c>
      <c r="E2058" s="941">
        <v>1025</v>
      </c>
      <c r="F2058" s="1044">
        <v>3669.5</v>
      </c>
      <c r="G2058" s="731"/>
      <c r="H2058"/>
    </row>
    <row r="2059" spans="1:8">
      <c r="A2059" s="941">
        <v>96</v>
      </c>
      <c r="B2059" s="941" t="s">
        <v>4056</v>
      </c>
      <c r="C2059" s="1042">
        <v>355981555631979</v>
      </c>
      <c r="D2059" s="941" t="s">
        <v>4052</v>
      </c>
      <c r="E2059" s="941">
        <v>1075</v>
      </c>
      <c r="F2059" s="1044">
        <v>3848.5</v>
      </c>
      <c r="G2059" s="731"/>
      <c r="H2059"/>
    </row>
    <row r="2060" spans="1:8">
      <c r="A2060" s="941">
        <v>97</v>
      </c>
      <c r="B2060" s="941" t="s">
        <v>4056</v>
      </c>
      <c r="C2060" s="1042">
        <v>355981556309765</v>
      </c>
      <c r="D2060" s="941" t="s">
        <v>4052</v>
      </c>
      <c r="E2060" s="941">
        <v>1075</v>
      </c>
      <c r="F2060" s="1044">
        <v>3848.5</v>
      </c>
      <c r="G2060" s="731"/>
      <c r="H2060"/>
    </row>
    <row r="2061" spans="1:8">
      <c r="A2061" s="941">
        <v>98</v>
      </c>
      <c r="B2061" s="941" t="s">
        <v>4057</v>
      </c>
      <c r="C2061" s="1042">
        <v>356839677482896</v>
      </c>
      <c r="D2061" s="941" t="s">
        <v>4052</v>
      </c>
      <c r="E2061" s="941">
        <v>1160</v>
      </c>
      <c r="F2061" s="1044">
        <v>4152.8</v>
      </c>
      <c r="G2061" s="731"/>
      <c r="H2061"/>
    </row>
    <row r="2062" spans="1:8">
      <c r="A2062" s="941">
        <v>99</v>
      </c>
      <c r="B2062" s="941" t="s">
        <v>4058</v>
      </c>
      <c r="C2062" s="1042">
        <v>352001991949498</v>
      </c>
      <c r="D2062" s="941" t="s">
        <v>4052</v>
      </c>
      <c r="E2062" s="941">
        <v>1055</v>
      </c>
      <c r="F2062" s="1044">
        <v>3776.9</v>
      </c>
      <c r="G2062" s="731"/>
      <c r="H2062"/>
    </row>
    <row r="2063" spans="1:8">
      <c r="A2063" s="941">
        <v>100</v>
      </c>
      <c r="B2063" s="941" t="s">
        <v>4058</v>
      </c>
      <c r="C2063" s="1042">
        <v>359477637539278</v>
      </c>
      <c r="D2063" s="941" t="s">
        <v>4052</v>
      </c>
      <c r="E2063" s="941">
        <v>1055</v>
      </c>
      <c r="F2063" s="1044">
        <v>3776.9</v>
      </c>
      <c r="G2063" s="731"/>
      <c r="H2063"/>
    </row>
    <row r="2064" spans="1:8">
      <c r="A2064" s="941">
        <v>101</v>
      </c>
      <c r="B2064" s="941" t="s">
        <v>4058</v>
      </c>
      <c r="C2064" s="1042">
        <v>352001991657588</v>
      </c>
      <c r="D2064" s="941" t="s">
        <v>4052</v>
      </c>
      <c r="E2064" s="941">
        <v>1055</v>
      </c>
      <c r="F2064" s="1044">
        <v>3776.9</v>
      </c>
      <c r="G2064" s="731"/>
      <c r="H2064"/>
    </row>
    <row r="2065" spans="1:8">
      <c r="A2065" s="941">
        <v>102</v>
      </c>
      <c r="B2065" s="941" t="s">
        <v>4058</v>
      </c>
      <c r="C2065" s="1042">
        <v>357254476544624</v>
      </c>
      <c r="D2065" s="941" t="s">
        <v>4052</v>
      </c>
      <c r="E2065" s="941">
        <v>1075</v>
      </c>
      <c r="F2065" s="1044">
        <v>3848.5</v>
      </c>
      <c r="G2065" s="731"/>
      <c r="H2065"/>
    </row>
    <row r="2066" spans="1:8">
      <c r="A2066" s="941">
        <v>103</v>
      </c>
      <c r="B2066" s="941" t="s">
        <v>4058</v>
      </c>
      <c r="C2066" s="1042">
        <v>355079366633035</v>
      </c>
      <c r="D2066" s="941" t="s">
        <v>4052</v>
      </c>
      <c r="E2066" s="941">
        <v>1075</v>
      </c>
      <c r="F2066" s="1044">
        <v>3848.5</v>
      </c>
      <c r="G2066" s="731"/>
      <c r="H2066"/>
    </row>
    <row r="2067" spans="1:8">
      <c r="A2067" s="941">
        <v>104</v>
      </c>
      <c r="B2067" s="941" t="s">
        <v>4058</v>
      </c>
      <c r="C2067" s="1042">
        <v>352001992033599</v>
      </c>
      <c r="D2067" s="941" t="s">
        <v>4052</v>
      </c>
      <c r="E2067" s="941">
        <v>1055</v>
      </c>
      <c r="F2067" s="1044">
        <v>3776.9</v>
      </c>
      <c r="G2067" s="731"/>
      <c r="H2067"/>
    </row>
    <row r="2068" spans="1:8">
      <c r="A2068" s="941">
        <v>105</v>
      </c>
      <c r="B2068" s="941" t="s">
        <v>4058</v>
      </c>
      <c r="C2068" s="1042">
        <v>352001991998560</v>
      </c>
      <c r="D2068" s="941" t="s">
        <v>4052</v>
      </c>
      <c r="E2068" s="941">
        <v>1055</v>
      </c>
      <c r="F2068" s="1044">
        <v>3776.9</v>
      </c>
      <c r="G2068" s="731"/>
      <c r="H2068"/>
    </row>
    <row r="2069" spans="1:8">
      <c r="A2069" s="941">
        <v>106</v>
      </c>
      <c r="B2069" s="941" t="s">
        <v>4058</v>
      </c>
      <c r="C2069" s="1042">
        <v>359477630806146</v>
      </c>
      <c r="D2069" s="941" t="s">
        <v>4052</v>
      </c>
      <c r="E2069" s="941">
        <v>1015</v>
      </c>
      <c r="F2069" s="1044">
        <v>3633.7000000000003</v>
      </c>
      <c r="G2069" s="731"/>
      <c r="H2069"/>
    </row>
    <row r="2070" spans="1:8">
      <c r="A2070" s="941">
        <v>107</v>
      </c>
      <c r="B2070" s="941" t="s">
        <v>4059</v>
      </c>
      <c r="C2070" s="1042">
        <v>352001992522096</v>
      </c>
      <c r="D2070" s="941" t="s">
        <v>4052</v>
      </c>
      <c r="E2070" s="941">
        <v>1160</v>
      </c>
      <c r="F2070" s="1044">
        <v>4152.8</v>
      </c>
      <c r="G2070" s="731"/>
      <c r="H2070"/>
    </row>
    <row r="2071" spans="1:8">
      <c r="A2071" s="941">
        <v>108</v>
      </c>
      <c r="B2071" s="941" t="s">
        <v>4060</v>
      </c>
      <c r="C2071" s="1042">
        <v>356245416093897</v>
      </c>
      <c r="D2071" s="941" t="s">
        <v>4052</v>
      </c>
      <c r="E2071" s="941">
        <v>1055</v>
      </c>
      <c r="F2071" s="1044">
        <v>3776.9</v>
      </c>
      <c r="G2071" s="731"/>
      <c r="H2071"/>
    </row>
    <row r="2072" spans="1:8">
      <c r="A2072" s="941">
        <v>109</v>
      </c>
      <c r="B2072" s="941" t="s">
        <v>4060</v>
      </c>
      <c r="C2072" s="1042">
        <v>357254479645311</v>
      </c>
      <c r="D2072" s="941" t="s">
        <v>4052</v>
      </c>
      <c r="E2072" s="941">
        <v>1055</v>
      </c>
      <c r="F2072" s="1044">
        <v>3776.9</v>
      </c>
      <c r="G2072" s="731"/>
      <c r="H2072"/>
    </row>
    <row r="2073" spans="1:8">
      <c r="A2073" s="941">
        <v>110</v>
      </c>
      <c r="B2073" s="941" t="s">
        <v>4060</v>
      </c>
      <c r="C2073" s="1042">
        <v>357254479143853</v>
      </c>
      <c r="D2073" s="941" t="s">
        <v>4052</v>
      </c>
      <c r="E2073" s="941">
        <v>1055</v>
      </c>
      <c r="F2073" s="1044">
        <v>3776.9</v>
      </c>
      <c r="G2073" s="731"/>
      <c r="H2073"/>
    </row>
    <row r="2074" spans="1:8">
      <c r="A2074" s="941">
        <v>111</v>
      </c>
      <c r="B2074" s="941" t="s">
        <v>4060</v>
      </c>
      <c r="C2074" s="1042">
        <v>357254479829584</v>
      </c>
      <c r="D2074" s="941" t="s">
        <v>4052</v>
      </c>
      <c r="E2074" s="941">
        <v>1055</v>
      </c>
      <c r="F2074" s="1044">
        <v>3776.9</v>
      </c>
      <c r="G2074" s="731"/>
      <c r="H2074"/>
    </row>
    <row r="2075" spans="1:8">
      <c r="A2075" s="941">
        <v>112</v>
      </c>
      <c r="B2075" s="941" t="s">
        <v>4060</v>
      </c>
      <c r="C2075" s="1042">
        <v>357254479782668</v>
      </c>
      <c r="D2075" s="941" t="s">
        <v>4052</v>
      </c>
      <c r="E2075" s="941">
        <v>1055</v>
      </c>
      <c r="F2075" s="1044">
        <v>3776.9</v>
      </c>
      <c r="G2075" s="731"/>
      <c r="H2075"/>
    </row>
    <row r="2076" spans="1:8">
      <c r="A2076" s="941">
        <v>113</v>
      </c>
      <c r="B2076" s="941" t="s">
        <v>4060</v>
      </c>
      <c r="C2076" s="1042">
        <v>357254479235014</v>
      </c>
      <c r="D2076" s="941" t="s">
        <v>4052</v>
      </c>
      <c r="E2076" s="941">
        <v>1055</v>
      </c>
      <c r="F2076" s="1044">
        <v>3776.9</v>
      </c>
      <c r="G2076" s="731"/>
      <c r="H2076"/>
    </row>
    <row r="2077" spans="1:8">
      <c r="A2077" s="941">
        <v>114</v>
      </c>
      <c r="B2077" s="941" t="s">
        <v>4061</v>
      </c>
      <c r="C2077" s="1042">
        <v>358302116096056</v>
      </c>
      <c r="D2077" s="941"/>
      <c r="E2077" s="941">
        <v>520</v>
      </c>
      <c r="F2077" s="1044">
        <v>1861.6000000000001</v>
      </c>
      <c r="G2077" s="731"/>
      <c r="H2077"/>
    </row>
    <row r="2078" spans="1:8">
      <c r="A2078" s="941">
        <v>115</v>
      </c>
      <c r="B2078" s="941" t="s">
        <v>4062</v>
      </c>
      <c r="C2078" s="1042">
        <v>354717538751802</v>
      </c>
      <c r="D2078" s="941" t="s">
        <v>4052</v>
      </c>
      <c r="E2078" s="941">
        <v>730</v>
      </c>
      <c r="F2078" s="1044">
        <v>2613.4</v>
      </c>
      <c r="G2078" s="731"/>
      <c r="H2078"/>
    </row>
    <row r="2079" spans="1:8">
      <c r="A2079" s="941">
        <v>116</v>
      </c>
      <c r="B2079" s="941" t="s">
        <v>4062</v>
      </c>
      <c r="C2079" s="1042">
        <v>354717539197690</v>
      </c>
      <c r="D2079" s="941" t="s">
        <v>4052</v>
      </c>
      <c r="E2079" s="941">
        <v>730</v>
      </c>
      <c r="F2079" s="1044">
        <v>2613.4</v>
      </c>
      <c r="G2079" s="731"/>
      <c r="H2079"/>
    </row>
    <row r="2080" spans="1:8">
      <c r="A2080" s="941">
        <v>117</v>
      </c>
      <c r="B2080" s="941" t="s">
        <v>4062</v>
      </c>
      <c r="C2080" s="1042">
        <v>354717538699399</v>
      </c>
      <c r="D2080" s="941" t="s">
        <v>4052</v>
      </c>
      <c r="E2080" s="941">
        <v>730</v>
      </c>
      <c r="F2080" s="1044">
        <v>2613.4</v>
      </c>
      <c r="G2080" s="731"/>
      <c r="H2080"/>
    </row>
    <row r="2081" spans="1:8">
      <c r="A2081" s="941">
        <v>118</v>
      </c>
      <c r="B2081" s="941" t="s">
        <v>4062</v>
      </c>
      <c r="C2081" s="1042">
        <v>354717538385015</v>
      </c>
      <c r="D2081" s="941" t="s">
        <v>4052</v>
      </c>
      <c r="E2081" s="941">
        <v>730</v>
      </c>
      <c r="F2081" s="1044">
        <v>2613.4</v>
      </c>
      <c r="G2081" s="731"/>
      <c r="H2081"/>
    </row>
    <row r="2082" spans="1:8">
      <c r="A2082" s="941">
        <v>119</v>
      </c>
      <c r="B2082" s="941" t="s">
        <v>4063</v>
      </c>
      <c r="C2082" s="1042">
        <v>355714609037558</v>
      </c>
      <c r="D2082" s="941" t="s">
        <v>4052</v>
      </c>
      <c r="E2082" s="941">
        <v>730</v>
      </c>
      <c r="F2082" s="1044">
        <v>2613.4</v>
      </c>
      <c r="G2082" s="731"/>
      <c r="H2082"/>
    </row>
    <row r="2083" spans="1:8">
      <c r="A2083" s="941">
        <v>120</v>
      </c>
      <c r="B2083" s="941" t="s">
        <v>4063</v>
      </c>
      <c r="C2083" s="1042">
        <v>355714608878614</v>
      </c>
      <c r="D2083" s="941" t="s">
        <v>4052</v>
      </c>
      <c r="E2083" s="941">
        <v>730</v>
      </c>
      <c r="F2083" s="1044">
        <v>2613.4</v>
      </c>
      <c r="G2083" s="731"/>
      <c r="H2083"/>
    </row>
    <row r="2084" spans="1:8">
      <c r="A2084" s="941">
        <v>121</v>
      </c>
      <c r="B2084" s="941" t="s">
        <v>4063</v>
      </c>
      <c r="C2084" s="1042">
        <v>355714609072803</v>
      </c>
      <c r="D2084" s="941" t="s">
        <v>4052</v>
      </c>
      <c r="E2084" s="941">
        <v>730</v>
      </c>
      <c r="F2084" s="1044">
        <v>2613.4</v>
      </c>
      <c r="G2084" s="731"/>
      <c r="H2084"/>
    </row>
    <row r="2085" spans="1:8">
      <c r="A2085" s="941">
        <v>122</v>
      </c>
      <c r="B2085" s="941" t="s">
        <v>4064</v>
      </c>
      <c r="C2085" s="1042">
        <v>351420495323870</v>
      </c>
      <c r="D2085" s="941" t="s">
        <v>4052</v>
      </c>
      <c r="E2085" s="941">
        <v>510</v>
      </c>
      <c r="F2085" s="1044">
        <v>1825.8</v>
      </c>
      <c r="G2085" s="731"/>
      <c r="H2085"/>
    </row>
    <row r="2086" spans="1:8">
      <c r="A2086" s="941">
        <v>123</v>
      </c>
      <c r="B2086" s="941" t="s">
        <v>4065</v>
      </c>
      <c r="C2086" s="1042">
        <v>353360949986039</v>
      </c>
      <c r="D2086" s="941" t="s">
        <v>4052</v>
      </c>
      <c r="E2086" s="941">
        <v>720</v>
      </c>
      <c r="F2086" s="1044">
        <v>2577.6</v>
      </c>
      <c r="G2086" s="731"/>
      <c r="H2086"/>
    </row>
    <row r="2087" spans="1:8">
      <c r="A2087" s="941">
        <v>124</v>
      </c>
      <c r="B2087" s="941" t="s">
        <v>4065</v>
      </c>
      <c r="C2087" s="1042">
        <v>357828281944143</v>
      </c>
      <c r="D2087" s="941" t="s">
        <v>4052</v>
      </c>
      <c r="E2087" s="941">
        <v>720</v>
      </c>
      <c r="F2087" s="1044">
        <v>2577.6</v>
      </c>
      <c r="G2087" s="731"/>
      <c r="H2087"/>
    </row>
    <row r="2088" spans="1:8">
      <c r="A2088" s="941">
        <v>125</v>
      </c>
      <c r="B2088" s="941" t="s">
        <v>4065</v>
      </c>
      <c r="C2088" s="1042">
        <v>357828281694722</v>
      </c>
      <c r="D2088" s="941" t="s">
        <v>4052</v>
      </c>
      <c r="E2088" s="941">
        <v>720</v>
      </c>
      <c r="F2088" s="1044">
        <v>2577.6</v>
      </c>
      <c r="G2088" s="731"/>
      <c r="H2088"/>
    </row>
    <row r="2089" spans="1:8">
      <c r="A2089" s="941">
        <v>126</v>
      </c>
      <c r="B2089" s="941" t="s">
        <v>4066</v>
      </c>
      <c r="C2089" s="1042">
        <v>353501806982914</v>
      </c>
      <c r="D2089" s="941" t="s">
        <v>4052</v>
      </c>
      <c r="E2089" s="941">
        <v>620</v>
      </c>
      <c r="F2089" s="1044">
        <v>2219.6</v>
      </c>
      <c r="G2089" s="731"/>
      <c r="H2089"/>
    </row>
    <row r="2090" spans="1:8">
      <c r="A2090" s="941">
        <v>127</v>
      </c>
      <c r="B2090" s="941" t="s">
        <v>4066</v>
      </c>
      <c r="C2090" s="1042">
        <v>350923386872948</v>
      </c>
      <c r="D2090" s="941" t="s">
        <v>4052</v>
      </c>
      <c r="E2090" s="941">
        <v>620</v>
      </c>
      <c r="F2090" s="1044">
        <v>2219.6</v>
      </c>
      <c r="G2090" s="731"/>
      <c r="H2090"/>
    </row>
    <row r="2091" spans="1:8">
      <c r="A2091" s="941">
        <v>128</v>
      </c>
      <c r="B2091" s="941" t="s">
        <v>4067</v>
      </c>
      <c r="C2091" s="1042">
        <v>352130219598785</v>
      </c>
      <c r="D2091" s="941" t="s">
        <v>4052</v>
      </c>
      <c r="E2091" s="941">
        <v>720</v>
      </c>
      <c r="F2091" s="1044">
        <v>2577.6</v>
      </c>
      <c r="G2091" s="731"/>
      <c r="H2091"/>
    </row>
    <row r="2092" spans="1:8">
      <c r="A2092" s="941">
        <v>129</v>
      </c>
      <c r="B2092" s="941" t="s">
        <v>4068</v>
      </c>
      <c r="C2092" s="1042">
        <v>352791390598538</v>
      </c>
      <c r="D2092" s="941" t="s">
        <v>2447</v>
      </c>
      <c r="E2092" s="941">
        <v>910</v>
      </c>
      <c r="F2092" s="1044">
        <v>3257.8</v>
      </c>
      <c r="G2092" s="731"/>
      <c r="H2092"/>
    </row>
    <row r="2093" spans="1:8">
      <c r="A2093" s="941">
        <v>130</v>
      </c>
      <c r="B2093" s="941" t="s">
        <v>4068</v>
      </c>
      <c r="C2093" s="1042">
        <v>352791390500633</v>
      </c>
      <c r="D2093" s="941" t="s">
        <v>2447</v>
      </c>
      <c r="E2093" s="941">
        <v>910</v>
      </c>
      <c r="F2093" s="1044">
        <v>3257.8</v>
      </c>
      <c r="G2093" s="731"/>
      <c r="H2093"/>
    </row>
    <row r="2094" spans="1:8">
      <c r="A2094" s="941">
        <v>131</v>
      </c>
      <c r="B2094" s="941" t="s">
        <v>4069</v>
      </c>
      <c r="C2094" s="1042">
        <v>358245526008361</v>
      </c>
      <c r="D2094" s="941" t="s">
        <v>4070</v>
      </c>
      <c r="E2094" s="941">
        <v>600</v>
      </c>
      <c r="F2094" s="1044">
        <v>2148</v>
      </c>
      <c r="G2094" s="731"/>
      <c r="H2094"/>
    </row>
    <row r="2095" spans="1:8">
      <c r="A2095" s="941">
        <v>132</v>
      </c>
      <c r="B2095" s="941" t="s">
        <v>4069</v>
      </c>
      <c r="C2095" s="1042">
        <v>354661674476982</v>
      </c>
      <c r="D2095" s="941" t="s">
        <v>1121</v>
      </c>
      <c r="E2095" s="941">
        <v>600</v>
      </c>
      <c r="F2095" s="1044">
        <v>2148</v>
      </c>
      <c r="G2095" s="731"/>
      <c r="H2095"/>
    </row>
    <row r="2096" spans="1:8">
      <c r="A2096" s="941">
        <v>133</v>
      </c>
      <c r="B2096" s="941" t="s">
        <v>4069</v>
      </c>
      <c r="C2096" s="1042">
        <v>355067546476946</v>
      </c>
      <c r="D2096" s="941" t="s">
        <v>4071</v>
      </c>
      <c r="E2096" s="941">
        <v>600</v>
      </c>
      <c r="F2096" s="1044">
        <v>2148</v>
      </c>
      <c r="G2096" s="731"/>
      <c r="H2096"/>
    </row>
    <row r="2097" spans="1:8">
      <c r="A2097" s="941">
        <v>134</v>
      </c>
      <c r="B2097" s="941" t="s">
        <v>4072</v>
      </c>
      <c r="C2097" s="1042">
        <v>350773437360538</v>
      </c>
      <c r="D2097" s="941" t="s">
        <v>1121</v>
      </c>
      <c r="E2097" s="941">
        <v>600</v>
      </c>
      <c r="F2097" s="1044">
        <v>2148</v>
      </c>
      <c r="G2097" s="731"/>
      <c r="H2097"/>
    </row>
    <row r="2098" spans="1:8">
      <c r="A2098" s="941">
        <v>135</v>
      </c>
      <c r="B2098" s="941" t="s">
        <v>4072</v>
      </c>
      <c r="C2098" s="1042">
        <v>354661676285225</v>
      </c>
      <c r="D2098" s="941" t="s">
        <v>4073</v>
      </c>
      <c r="E2098" s="941">
        <v>600</v>
      </c>
      <c r="F2098" s="1044">
        <v>2148</v>
      </c>
      <c r="G2098" s="731"/>
      <c r="H2098"/>
    </row>
    <row r="2099" spans="1:8">
      <c r="A2099" s="941">
        <v>136</v>
      </c>
      <c r="B2099" s="941" t="s">
        <v>4074</v>
      </c>
      <c r="C2099" s="1042">
        <v>359518870314638</v>
      </c>
      <c r="D2099" s="941" t="s">
        <v>4071</v>
      </c>
      <c r="E2099" s="941">
        <v>600</v>
      </c>
      <c r="F2099" s="1044">
        <v>2148</v>
      </c>
      <c r="G2099" s="731"/>
      <c r="H2099"/>
    </row>
    <row r="2100" spans="1:8">
      <c r="A2100" s="941">
        <v>137</v>
      </c>
      <c r="B2100" s="941" t="s">
        <v>4074</v>
      </c>
      <c r="C2100" s="1042">
        <v>351614405937593</v>
      </c>
      <c r="D2100" s="941" t="s">
        <v>4075</v>
      </c>
      <c r="E2100" s="941">
        <v>600</v>
      </c>
      <c r="F2100" s="1044">
        <v>2148</v>
      </c>
      <c r="G2100" s="731"/>
      <c r="H2100"/>
    </row>
    <row r="2101" spans="1:8">
      <c r="A2101" s="941">
        <v>138</v>
      </c>
      <c r="B2101" s="941" t="s">
        <v>4076</v>
      </c>
      <c r="C2101" s="1042">
        <v>356864567482897</v>
      </c>
      <c r="D2101" s="941" t="s">
        <v>4077</v>
      </c>
      <c r="E2101" s="941">
        <v>600</v>
      </c>
      <c r="F2101" s="1044">
        <v>2148</v>
      </c>
      <c r="G2101" s="731"/>
      <c r="H2101"/>
    </row>
    <row r="2102" spans="1:8">
      <c r="A2102" s="941">
        <v>139</v>
      </c>
      <c r="B2102" s="941" t="s">
        <v>4078</v>
      </c>
      <c r="C2102" s="1042">
        <v>352551952296362</v>
      </c>
      <c r="D2102" s="941" t="s">
        <v>1121</v>
      </c>
      <c r="E2102" s="941">
        <v>475</v>
      </c>
      <c r="F2102" s="1044">
        <v>1700.5</v>
      </c>
      <c r="G2102" s="731"/>
      <c r="H2102"/>
    </row>
    <row r="2103" spans="1:8">
      <c r="B2103" s="1056"/>
      <c r="C2103" s="1056"/>
      <c r="D2103" s="1056"/>
      <c r="E2103" s="1056">
        <v>129020</v>
      </c>
      <c r="F2103" s="1065">
        <v>461891.60000000044</v>
      </c>
    </row>
    <row r="2108" spans="1:8">
      <c r="A2108" s="1512" t="s">
        <v>4089</v>
      </c>
      <c r="B2108" s="1512"/>
      <c r="C2108" s="1512"/>
      <c r="D2108" s="1512"/>
    </row>
    <row r="2109" spans="1:8">
      <c r="A2109" s="1066" t="s">
        <v>3928</v>
      </c>
      <c r="B2109" s="1066" t="s">
        <v>2086</v>
      </c>
      <c r="C2109" s="1067" t="s">
        <v>2755</v>
      </c>
      <c r="D2109" s="1066" t="s">
        <v>4082</v>
      </c>
    </row>
    <row r="2110" spans="1:8">
      <c r="A2110" s="143">
        <v>1</v>
      </c>
      <c r="B2110" s="143" t="s">
        <v>4083</v>
      </c>
      <c r="C2110" s="1070">
        <v>351878872193671</v>
      </c>
      <c r="D2110" s="143">
        <v>1800</v>
      </c>
    </row>
    <row r="2111" spans="1:8">
      <c r="A2111" s="143">
        <v>2</v>
      </c>
      <c r="B2111" s="143" t="s">
        <v>4083</v>
      </c>
      <c r="C2111" s="1070">
        <v>351878872492446</v>
      </c>
      <c r="D2111" s="143">
        <v>1800</v>
      </c>
    </row>
    <row r="2112" spans="1:8">
      <c r="A2112" s="143">
        <v>3</v>
      </c>
      <c r="B2112" s="143" t="s">
        <v>4083</v>
      </c>
      <c r="C2112" s="1070">
        <v>351878872408673</v>
      </c>
      <c r="D2112" s="143">
        <v>1800</v>
      </c>
    </row>
    <row r="2113" spans="1:4">
      <c r="A2113" s="143">
        <v>4</v>
      </c>
      <c r="B2113" s="143" t="s">
        <v>4083</v>
      </c>
      <c r="C2113" s="1070">
        <v>351878872482694</v>
      </c>
      <c r="D2113" s="143">
        <v>1800</v>
      </c>
    </row>
    <row r="2114" spans="1:4">
      <c r="A2114" s="143">
        <v>5</v>
      </c>
      <c r="B2114" s="143" t="s">
        <v>4084</v>
      </c>
      <c r="C2114" s="1070">
        <v>356245416649979</v>
      </c>
      <c r="D2114" s="143">
        <v>2750</v>
      </c>
    </row>
    <row r="2115" spans="1:4">
      <c r="A2115" s="143">
        <v>6</v>
      </c>
      <c r="B2115" s="143" t="s">
        <v>4085</v>
      </c>
      <c r="C2115" s="1070">
        <v>356245416551316</v>
      </c>
      <c r="D2115" s="143">
        <v>3000</v>
      </c>
    </row>
    <row r="2116" spans="1:4">
      <c r="A2116" s="143">
        <v>7</v>
      </c>
      <c r="B2116" s="143" t="s">
        <v>4085</v>
      </c>
      <c r="C2116" s="1070">
        <v>356245415657239</v>
      </c>
      <c r="D2116" s="143">
        <v>3000</v>
      </c>
    </row>
    <row r="2117" spans="1:4">
      <c r="A2117" s="1068">
        <v>8</v>
      </c>
      <c r="B2117" s="1068" t="s">
        <v>4086</v>
      </c>
      <c r="C2117" s="1069">
        <v>356392244017118</v>
      </c>
      <c r="D2117" s="1068" t="s">
        <v>3022</v>
      </c>
    </row>
    <row r="2118" spans="1:4">
      <c r="A2118" s="1068">
        <v>9</v>
      </c>
      <c r="B2118" s="1068" t="s">
        <v>4086</v>
      </c>
      <c r="C2118" s="1069">
        <v>356392243968444</v>
      </c>
      <c r="D2118" s="1068" t="s">
        <v>3022</v>
      </c>
    </row>
    <row r="2119" spans="1:4">
      <c r="A2119" s="143">
        <v>10</v>
      </c>
      <c r="B2119" s="143" t="s">
        <v>4086</v>
      </c>
      <c r="C2119" s="1070">
        <v>350599884945941</v>
      </c>
      <c r="D2119" s="143">
        <v>3200</v>
      </c>
    </row>
    <row r="2120" spans="1:4">
      <c r="A2120" s="143">
        <v>11</v>
      </c>
      <c r="B2120" s="143" t="s">
        <v>4087</v>
      </c>
      <c r="C2120" s="1070">
        <v>359200572850900</v>
      </c>
      <c r="D2120" s="143">
        <v>2400</v>
      </c>
    </row>
    <row r="2121" spans="1:4">
      <c r="A2121" s="143">
        <v>12</v>
      </c>
      <c r="B2121" s="143" t="s">
        <v>4087</v>
      </c>
      <c r="C2121" s="1070">
        <v>359200577322723</v>
      </c>
      <c r="D2121" s="143">
        <v>2400</v>
      </c>
    </row>
    <row r="2122" spans="1:4">
      <c r="A2122" s="143">
        <v>13</v>
      </c>
      <c r="B2122" s="143" t="s">
        <v>4088</v>
      </c>
      <c r="C2122" s="1070">
        <v>352355709858593</v>
      </c>
      <c r="D2122" s="143">
        <v>3900</v>
      </c>
    </row>
    <row r="2123" spans="1:4">
      <c r="A2123" s="143">
        <v>14</v>
      </c>
      <c r="B2123" s="143" t="s">
        <v>4088</v>
      </c>
      <c r="C2123" s="1070">
        <v>352355705701672</v>
      </c>
      <c r="D2123" s="143">
        <v>3900</v>
      </c>
    </row>
    <row r="2124" spans="1:4">
      <c r="A2124" s="143">
        <v>15</v>
      </c>
      <c r="B2124" s="143" t="s">
        <v>4090</v>
      </c>
      <c r="C2124" s="1070"/>
      <c r="D2124" s="143">
        <v>2380</v>
      </c>
    </row>
    <row r="2125" spans="1:4">
      <c r="A2125" s="143"/>
      <c r="B2125" s="143" t="s">
        <v>4090</v>
      </c>
      <c r="C2125" s="1070"/>
      <c r="D2125" s="143">
        <v>2380</v>
      </c>
    </row>
    <row r="2126" spans="1:4">
      <c r="A2126" s="143"/>
      <c r="B2126" s="143" t="s">
        <v>4090</v>
      </c>
      <c r="C2126" s="1070"/>
      <c r="D2126" s="143">
        <v>2380</v>
      </c>
    </row>
    <row r="2127" spans="1:4">
      <c r="A2127" s="1066"/>
      <c r="B2127" s="1066"/>
      <c r="C2127" s="1067"/>
      <c r="D2127" s="1066">
        <v>38890</v>
      </c>
    </row>
    <row r="2134" spans="1:8">
      <c r="A2134" s="1484" t="s">
        <v>3836</v>
      </c>
      <c r="B2134" s="1485"/>
      <c r="C2134" s="1074">
        <v>46127</v>
      </c>
      <c r="D2134" s="1486" t="s">
        <v>4106</v>
      </c>
      <c r="E2134" s="1487"/>
      <c r="G2134" s="731"/>
      <c r="H2134"/>
    </row>
    <row r="2135" spans="1:8">
      <c r="A2135" s="1484" t="s">
        <v>3837</v>
      </c>
      <c r="B2135" s="1485"/>
      <c r="C2135" s="1075" t="s">
        <v>4093</v>
      </c>
      <c r="D2135" s="1486" t="s">
        <v>1122</v>
      </c>
      <c r="E2135" s="1487"/>
      <c r="G2135" s="731"/>
      <c r="H2135"/>
    </row>
    <row r="2136" spans="1:8">
      <c r="A2136" s="1076">
        <v>1</v>
      </c>
      <c r="B2136" s="1077" t="s">
        <v>4094</v>
      </c>
      <c r="C2136" s="1076">
        <v>358419948776950</v>
      </c>
      <c r="D2136" s="1078"/>
      <c r="E2136" s="1079">
        <v>3350</v>
      </c>
      <c r="G2136" s="731"/>
      <c r="H2136"/>
    </row>
    <row r="2137" spans="1:8">
      <c r="A2137" s="1076">
        <v>2</v>
      </c>
      <c r="B2137" s="1077" t="s">
        <v>4094</v>
      </c>
      <c r="C2137" s="1076">
        <v>358206137895950</v>
      </c>
      <c r="D2137" s="1080"/>
      <c r="E2137" s="1081">
        <v>3350</v>
      </c>
      <c r="G2137" s="731"/>
      <c r="H2137"/>
    </row>
    <row r="2138" spans="1:8">
      <c r="A2138" s="1076">
        <v>3</v>
      </c>
      <c r="B2138" s="1077" t="s">
        <v>4094</v>
      </c>
      <c r="C2138" s="1076">
        <v>358206137666229</v>
      </c>
      <c r="D2138" s="1080"/>
      <c r="E2138" s="1081">
        <v>3350</v>
      </c>
      <c r="G2138" s="731"/>
      <c r="H2138"/>
    </row>
    <row r="2139" spans="1:8">
      <c r="A2139" s="1076">
        <v>4</v>
      </c>
      <c r="B2139" s="1077" t="s">
        <v>4094</v>
      </c>
      <c r="C2139" s="1076">
        <v>358902517895012</v>
      </c>
      <c r="D2139" s="1080"/>
      <c r="E2139" s="1081">
        <v>3350</v>
      </c>
      <c r="G2139" s="731"/>
      <c r="H2139"/>
    </row>
    <row r="2140" spans="1:8">
      <c r="A2140" s="1076">
        <v>5</v>
      </c>
      <c r="B2140" s="1077" t="s">
        <v>4094</v>
      </c>
      <c r="C2140" s="1076">
        <v>357329449874504</v>
      </c>
      <c r="D2140" s="1080"/>
      <c r="E2140" s="1081">
        <v>3350</v>
      </c>
      <c r="G2140" s="731"/>
      <c r="H2140"/>
    </row>
    <row r="2141" spans="1:8">
      <c r="A2141" s="1076">
        <v>6</v>
      </c>
      <c r="B2141" s="1077" t="s">
        <v>4094</v>
      </c>
      <c r="C2141" s="1076">
        <v>359814718743991</v>
      </c>
      <c r="D2141" s="1077" t="s">
        <v>4095</v>
      </c>
      <c r="E2141" s="1081">
        <v>3350</v>
      </c>
      <c r="G2141" s="731"/>
      <c r="H2141"/>
    </row>
    <row r="2142" spans="1:8">
      <c r="A2142" s="1076">
        <v>7</v>
      </c>
      <c r="B2142" s="1077" t="s">
        <v>4094</v>
      </c>
      <c r="C2142" s="1076">
        <v>353497856732673</v>
      </c>
      <c r="D2142" s="1077" t="s">
        <v>4096</v>
      </c>
      <c r="E2142" s="1081">
        <v>4350</v>
      </c>
      <c r="G2142" s="731"/>
      <c r="H2142"/>
    </row>
    <row r="2143" spans="1:8">
      <c r="A2143" s="1076">
        <v>8</v>
      </c>
      <c r="B2143" s="1077" t="s">
        <v>4094</v>
      </c>
      <c r="C2143" s="1076">
        <v>356392249759375</v>
      </c>
      <c r="D2143" s="1080"/>
      <c r="E2143" s="1081">
        <v>3350</v>
      </c>
      <c r="G2143" s="731"/>
      <c r="H2143"/>
    </row>
    <row r="2144" spans="1:8">
      <c r="A2144" s="1076">
        <v>9</v>
      </c>
      <c r="B2144" s="1077" t="s">
        <v>4097</v>
      </c>
      <c r="C2144" s="1076">
        <v>353497859412638</v>
      </c>
      <c r="D2144" s="1080"/>
      <c r="E2144" s="1081">
        <v>3050</v>
      </c>
      <c r="G2144" s="731"/>
      <c r="H2144"/>
    </row>
    <row r="2145" spans="1:8">
      <c r="A2145" s="1076">
        <v>10</v>
      </c>
      <c r="B2145" s="1077" t="s">
        <v>4098</v>
      </c>
      <c r="C2145" s="1076">
        <v>355820205707468</v>
      </c>
      <c r="D2145" s="1077" t="s">
        <v>4099</v>
      </c>
      <c r="E2145" s="1081">
        <v>2700</v>
      </c>
      <c r="G2145" s="731"/>
      <c r="H2145"/>
    </row>
    <row r="2146" spans="1:8">
      <c r="A2146" s="1076">
        <v>11</v>
      </c>
      <c r="B2146" s="1077" t="s">
        <v>4098</v>
      </c>
      <c r="C2146" s="1076">
        <v>352001991485204</v>
      </c>
      <c r="D2146" s="1077" t="s">
        <v>4099</v>
      </c>
      <c r="E2146" s="1081">
        <v>2600</v>
      </c>
      <c r="G2146" s="731"/>
      <c r="H2146"/>
    </row>
    <row r="2147" spans="1:8">
      <c r="A2147" s="1076">
        <v>12</v>
      </c>
      <c r="B2147" s="1077" t="s">
        <v>4100</v>
      </c>
      <c r="C2147" s="1076">
        <v>355079365357768</v>
      </c>
      <c r="D2147" s="1080"/>
      <c r="E2147" s="1081">
        <v>2850</v>
      </c>
      <c r="G2147" s="731"/>
      <c r="H2147"/>
    </row>
    <row r="2148" spans="1:8">
      <c r="A2148" s="1076">
        <v>13</v>
      </c>
      <c r="B2148" s="1077" t="s">
        <v>4101</v>
      </c>
      <c r="C2148" s="1076">
        <v>352355706708783</v>
      </c>
      <c r="D2148" s="1080"/>
      <c r="E2148" s="1081">
        <v>3700</v>
      </c>
      <c r="G2148" s="731"/>
      <c r="H2148"/>
    </row>
    <row r="2149" spans="1:8">
      <c r="A2149" s="1076">
        <v>14</v>
      </c>
      <c r="B2149" s="1077" t="s">
        <v>4101</v>
      </c>
      <c r="C2149" s="1076">
        <v>352355706717073</v>
      </c>
      <c r="D2149" s="1080"/>
      <c r="E2149" s="1081">
        <v>3700</v>
      </c>
      <c r="G2149" s="731"/>
      <c r="H2149"/>
    </row>
    <row r="2150" spans="1:8">
      <c r="A2150" s="1076">
        <v>15</v>
      </c>
      <c r="B2150" s="1082" t="s">
        <v>4107</v>
      </c>
      <c r="C2150" s="1076">
        <v>352255854055864</v>
      </c>
      <c r="D2150" s="1080"/>
      <c r="E2150" s="1081">
        <v>2450</v>
      </c>
      <c r="G2150" s="731"/>
      <c r="H2150"/>
    </row>
    <row r="2151" spans="1:8">
      <c r="A2151" s="1076">
        <v>16</v>
      </c>
      <c r="B2151" s="1077" t="s">
        <v>4102</v>
      </c>
      <c r="C2151" s="1076">
        <v>358135795219619</v>
      </c>
      <c r="D2151" s="1080"/>
      <c r="E2151" s="1081">
        <v>2280</v>
      </c>
      <c r="G2151" s="731"/>
      <c r="H2151"/>
    </row>
    <row r="2152" spans="1:8">
      <c r="A2152" s="1076">
        <v>17</v>
      </c>
      <c r="B2152" s="1077" t="s">
        <v>4102</v>
      </c>
      <c r="C2152" s="1076">
        <v>355827875087725</v>
      </c>
      <c r="D2152" s="1080"/>
      <c r="E2152" s="1081">
        <v>2280</v>
      </c>
      <c r="G2152" s="731"/>
      <c r="H2152"/>
    </row>
    <row r="2153" spans="1:8">
      <c r="A2153" s="1076">
        <v>18</v>
      </c>
      <c r="B2153" s="1077" t="s">
        <v>4102</v>
      </c>
      <c r="C2153" s="1076">
        <v>355827875094069</v>
      </c>
      <c r="D2153" s="1080"/>
      <c r="E2153" s="1081">
        <v>2280</v>
      </c>
      <c r="G2153" s="731"/>
      <c r="H2153"/>
    </row>
    <row r="2154" spans="1:8">
      <c r="A2154" s="1076">
        <v>19</v>
      </c>
      <c r="B2154" s="1077" t="s">
        <v>4102</v>
      </c>
      <c r="C2154" s="1076">
        <v>358135794120073</v>
      </c>
      <c r="D2154" s="1080"/>
      <c r="E2154" s="1081">
        <v>2280</v>
      </c>
      <c r="G2154" s="731"/>
      <c r="H2154"/>
    </row>
    <row r="2155" spans="1:8">
      <c r="A2155" s="1076">
        <v>20</v>
      </c>
      <c r="B2155" s="1077" t="s">
        <v>4103</v>
      </c>
      <c r="C2155" s="1076">
        <v>356187985894794</v>
      </c>
      <c r="D2155" s="1080"/>
      <c r="E2155" s="1081">
        <v>2280</v>
      </c>
      <c r="G2155" s="731"/>
      <c r="H2155"/>
    </row>
    <row r="2156" spans="1:8">
      <c r="A2156" s="1076">
        <v>21</v>
      </c>
      <c r="B2156" s="1077" t="s">
        <v>4103</v>
      </c>
      <c r="C2156" s="1076">
        <v>356187985899520</v>
      </c>
      <c r="D2156" s="1077" t="s">
        <v>4095</v>
      </c>
      <c r="E2156" s="1081">
        <v>2280</v>
      </c>
      <c r="G2156" s="731"/>
      <c r="H2156"/>
    </row>
    <row r="2157" spans="1:8">
      <c r="A2157" s="1076">
        <v>22</v>
      </c>
      <c r="B2157" s="1077" t="s">
        <v>4103</v>
      </c>
      <c r="C2157" s="1076">
        <v>356187983734794</v>
      </c>
      <c r="D2157" s="1077" t="s">
        <v>4095</v>
      </c>
      <c r="E2157" s="1081">
        <v>2280</v>
      </c>
      <c r="G2157" s="731"/>
      <c r="H2157"/>
    </row>
    <row r="2158" spans="1:8">
      <c r="A2158" s="1076">
        <v>23</v>
      </c>
      <c r="B2158" s="1077" t="s">
        <v>4104</v>
      </c>
      <c r="C2158" s="1076">
        <v>351235185456057</v>
      </c>
      <c r="D2158" s="1080"/>
      <c r="E2158" s="1081">
        <v>2450</v>
      </c>
      <c r="G2158" s="731"/>
      <c r="H2158"/>
    </row>
    <row r="2159" spans="1:8">
      <c r="A2159" s="1076">
        <v>24</v>
      </c>
      <c r="B2159" s="1077" t="s">
        <v>4105</v>
      </c>
      <c r="C2159" s="1076">
        <v>351235181425957</v>
      </c>
      <c r="D2159" s="1080"/>
      <c r="E2159" s="1081">
        <v>2450</v>
      </c>
      <c r="G2159" s="731"/>
      <c r="H2159"/>
    </row>
    <row r="2160" spans="1:8">
      <c r="A2160" s="1076">
        <v>25</v>
      </c>
      <c r="B2160" s="1077" t="s">
        <v>4105</v>
      </c>
      <c r="C2160" s="1076">
        <v>350520601031258</v>
      </c>
      <c r="D2160" s="1080"/>
      <c r="E2160" s="1081">
        <v>2450</v>
      </c>
      <c r="G2160" s="731"/>
      <c r="H2160"/>
    </row>
    <row r="2161" spans="1:8">
      <c r="A2161" s="1076">
        <v>26</v>
      </c>
      <c r="B2161" s="1077" t="s">
        <v>4105</v>
      </c>
      <c r="C2161" s="1076">
        <v>351235180606904</v>
      </c>
      <c r="D2161" s="1080"/>
      <c r="E2161" s="1081">
        <v>2450</v>
      </c>
      <c r="G2161" s="731"/>
      <c r="H2161"/>
    </row>
    <row r="2162" spans="1:8" ht="18.75">
      <c r="B2162" s="1072"/>
      <c r="C2162" s="1072"/>
      <c r="D2162" s="1072"/>
      <c r="E2162" s="1073">
        <v>74610</v>
      </c>
    </row>
    <row r="2171" spans="1:8" ht="21">
      <c r="A2171" s="1484" t="s">
        <v>3836</v>
      </c>
      <c r="B2171" s="1485"/>
      <c r="C2171" s="1074">
        <v>46132</v>
      </c>
      <c r="D2171" s="1502" t="s">
        <v>4284</v>
      </c>
      <c r="E2171" s="1502"/>
      <c r="F2171" s="1502"/>
    </row>
    <row r="2172" spans="1:8" ht="14.45" customHeight="1">
      <c r="A2172" s="1484" t="s">
        <v>3837</v>
      </c>
      <c r="B2172" s="1485"/>
      <c r="C2172" s="1074" t="s">
        <v>4140</v>
      </c>
      <c r="D2172" s="1089" t="s">
        <v>3734</v>
      </c>
      <c r="E2172" s="1089" t="s">
        <v>3111</v>
      </c>
      <c r="F2172" s="1089" t="s">
        <v>4141</v>
      </c>
    </row>
    <row r="2173" spans="1:8">
      <c r="A2173" s="1090">
        <v>1</v>
      </c>
      <c r="B2173" s="1022" t="s">
        <v>4142</v>
      </c>
      <c r="C2173" s="1023" t="s">
        <v>4143</v>
      </c>
      <c r="D2173" s="941">
        <v>350</v>
      </c>
      <c r="E2173" s="1044">
        <f>D2173*3.57</f>
        <v>1249.5</v>
      </c>
      <c r="F2173" s="941"/>
    </row>
    <row r="2174" spans="1:8">
      <c r="A2174" s="1090">
        <v>2</v>
      </c>
      <c r="B2174" s="1022" t="s">
        <v>4142</v>
      </c>
      <c r="C2174" s="1023" t="s">
        <v>4144</v>
      </c>
      <c r="D2174" s="941">
        <v>350</v>
      </c>
      <c r="E2174" s="1044">
        <f t="shared" ref="E2174:E2237" si="21">D2174*3.57</f>
        <v>1249.5</v>
      </c>
      <c r="F2174" s="1093" t="s">
        <v>4145</v>
      </c>
    </row>
    <row r="2175" spans="1:8">
      <c r="A2175" s="1090">
        <v>3</v>
      </c>
      <c r="B2175" s="1022" t="s">
        <v>4146</v>
      </c>
      <c r="C2175" s="1023" t="s">
        <v>4147</v>
      </c>
      <c r="D2175" s="941">
        <v>350</v>
      </c>
      <c r="E2175" s="1044">
        <f t="shared" si="21"/>
        <v>1249.5</v>
      </c>
      <c r="F2175" s="1093" t="s">
        <v>4148</v>
      </c>
    </row>
    <row r="2176" spans="1:8">
      <c r="A2176" s="1090">
        <v>4</v>
      </c>
      <c r="B2176" s="1022" t="s">
        <v>4146</v>
      </c>
      <c r="C2176" s="1023" t="s">
        <v>4149</v>
      </c>
      <c r="D2176" s="941">
        <v>350</v>
      </c>
      <c r="E2176" s="1044">
        <f t="shared" si="21"/>
        <v>1249.5</v>
      </c>
      <c r="F2176" s="1093" t="s">
        <v>4150</v>
      </c>
    </row>
    <row r="2177" spans="1:6">
      <c r="A2177" s="1090">
        <v>5</v>
      </c>
      <c r="B2177" s="1022" t="s">
        <v>4151</v>
      </c>
      <c r="C2177" s="1094" t="s">
        <v>4152</v>
      </c>
      <c r="D2177" s="941">
        <v>135</v>
      </c>
      <c r="E2177" s="1044">
        <f t="shared" si="21"/>
        <v>481.95</v>
      </c>
      <c r="F2177" s="941"/>
    </row>
    <row r="2178" spans="1:6">
      <c r="A2178" s="1090">
        <v>6</v>
      </c>
      <c r="B2178" s="1022" t="s">
        <v>4153</v>
      </c>
      <c r="C2178" s="1025">
        <v>53017225217</v>
      </c>
      <c r="D2178" s="941">
        <v>520</v>
      </c>
      <c r="E2178" s="1044">
        <f t="shared" si="21"/>
        <v>1856.3999999999999</v>
      </c>
      <c r="F2178" s="941"/>
    </row>
    <row r="2179" spans="1:6">
      <c r="A2179" s="1090">
        <v>7</v>
      </c>
      <c r="B2179" s="1022" t="s">
        <v>4153</v>
      </c>
      <c r="C2179" s="1025">
        <v>605454253921</v>
      </c>
      <c r="D2179" s="941">
        <v>480</v>
      </c>
      <c r="E2179" s="1044">
        <f t="shared" si="21"/>
        <v>1713.6</v>
      </c>
      <c r="F2179" s="941"/>
    </row>
    <row r="2180" spans="1:6">
      <c r="A2180" s="1090">
        <v>8</v>
      </c>
      <c r="B2180" s="1022" t="s">
        <v>4153</v>
      </c>
      <c r="C2180" s="1025">
        <v>601110254121</v>
      </c>
      <c r="D2180" s="941">
        <v>480</v>
      </c>
      <c r="E2180" s="1044">
        <f t="shared" si="21"/>
        <v>1713.6</v>
      </c>
      <c r="F2180" s="941"/>
    </row>
    <row r="2181" spans="1:6">
      <c r="A2181" s="1090">
        <v>9</v>
      </c>
      <c r="B2181" s="1022" t="s">
        <v>4154</v>
      </c>
      <c r="C2181" s="1023" t="s">
        <v>4155</v>
      </c>
      <c r="D2181" s="941">
        <v>290</v>
      </c>
      <c r="E2181" s="1044">
        <f t="shared" si="21"/>
        <v>1035.3</v>
      </c>
      <c r="F2181" s="1092" t="s">
        <v>4156</v>
      </c>
    </row>
    <row r="2182" spans="1:6">
      <c r="A2182" s="1090">
        <v>10</v>
      </c>
      <c r="B2182" s="1022" t="s">
        <v>4157</v>
      </c>
      <c r="C2182" s="1023" t="s">
        <v>4158</v>
      </c>
      <c r="D2182" s="941">
        <v>290</v>
      </c>
      <c r="E2182" s="1044">
        <f t="shared" si="21"/>
        <v>1035.3</v>
      </c>
      <c r="F2182" s="1092" t="s">
        <v>4156</v>
      </c>
    </row>
    <row r="2183" spans="1:6">
      <c r="A2183" s="1090">
        <v>11</v>
      </c>
      <c r="B2183" s="1022" t="s">
        <v>4157</v>
      </c>
      <c r="C2183" s="1023" t="s">
        <v>4159</v>
      </c>
      <c r="D2183" s="941">
        <v>290</v>
      </c>
      <c r="E2183" s="1044">
        <f t="shared" si="21"/>
        <v>1035.3</v>
      </c>
      <c r="F2183" s="1092" t="s">
        <v>4156</v>
      </c>
    </row>
    <row r="2184" spans="1:6">
      <c r="A2184" s="1090">
        <v>12</v>
      </c>
      <c r="B2184" s="1022" t="s">
        <v>4160</v>
      </c>
      <c r="C2184" s="1023" t="s">
        <v>4161</v>
      </c>
      <c r="D2184" s="941">
        <v>425</v>
      </c>
      <c r="E2184" s="1044">
        <f t="shared" si="21"/>
        <v>1517.25</v>
      </c>
      <c r="F2184" s="941"/>
    </row>
    <row r="2185" spans="1:6">
      <c r="A2185" s="1090">
        <v>13</v>
      </c>
      <c r="B2185" s="1022" t="s">
        <v>4162</v>
      </c>
      <c r="C2185" s="1023" t="s">
        <v>4163</v>
      </c>
      <c r="D2185" s="941">
        <v>352</v>
      </c>
      <c r="E2185" s="1044">
        <f t="shared" si="21"/>
        <v>1256.6399999999999</v>
      </c>
      <c r="F2185" s="941"/>
    </row>
    <row r="2186" spans="1:6">
      <c r="A2186" s="1090">
        <v>14</v>
      </c>
      <c r="B2186" s="1022" t="s">
        <v>4162</v>
      </c>
      <c r="C2186" s="1023" t="s">
        <v>4164</v>
      </c>
      <c r="D2186" s="941">
        <v>352</v>
      </c>
      <c r="E2186" s="1044">
        <f t="shared" si="21"/>
        <v>1256.6399999999999</v>
      </c>
      <c r="F2186" s="941"/>
    </row>
    <row r="2187" spans="1:6">
      <c r="A2187" s="1090">
        <v>15</v>
      </c>
      <c r="B2187" s="1022" t="s">
        <v>4162</v>
      </c>
      <c r="C2187" s="1023" t="s">
        <v>4165</v>
      </c>
      <c r="D2187" s="941">
        <v>352</v>
      </c>
      <c r="E2187" s="1044">
        <f t="shared" si="21"/>
        <v>1256.6399999999999</v>
      </c>
      <c r="F2187" s="941"/>
    </row>
    <row r="2188" spans="1:6">
      <c r="A2188" s="1090">
        <v>16</v>
      </c>
      <c r="B2188" s="1022" t="s">
        <v>4162</v>
      </c>
      <c r="C2188" s="1023" t="s">
        <v>4166</v>
      </c>
      <c r="D2188" s="941">
        <v>352</v>
      </c>
      <c r="E2188" s="1044">
        <f t="shared" si="21"/>
        <v>1256.6399999999999</v>
      </c>
      <c r="F2188" s="941"/>
    </row>
    <row r="2189" spans="1:6">
      <c r="A2189" s="1090">
        <v>17</v>
      </c>
      <c r="B2189" s="1022" t="s">
        <v>4162</v>
      </c>
      <c r="C2189" s="1023" t="s">
        <v>4167</v>
      </c>
      <c r="D2189" s="941">
        <v>352</v>
      </c>
      <c r="E2189" s="1044">
        <f t="shared" si="21"/>
        <v>1256.6399999999999</v>
      </c>
      <c r="F2189" s="941"/>
    </row>
    <row r="2190" spans="1:6">
      <c r="A2190" s="1090">
        <v>18</v>
      </c>
      <c r="B2190" s="1022" t="s">
        <v>4162</v>
      </c>
      <c r="C2190" s="1023" t="s">
        <v>4168</v>
      </c>
      <c r="D2190" s="941">
        <v>352</v>
      </c>
      <c r="E2190" s="1044">
        <f t="shared" si="21"/>
        <v>1256.6399999999999</v>
      </c>
      <c r="F2190" s="941"/>
    </row>
    <row r="2191" spans="1:6">
      <c r="A2191" s="1090">
        <v>19</v>
      </c>
      <c r="B2191" s="1022" t="s">
        <v>4162</v>
      </c>
      <c r="C2191" s="1023" t="s">
        <v>4169</v>
      </c>
      <c r="D2191" s="941">
        <v>352</v>
      </c>
      <c r="E2191" s="1044">
        <f t="shared" si="21"/>
        <v>1256.6399999999999</v>
      </c>
      <c r="F2191" s="941"/>
    </row>
    <row r="2192" spans="1:6">
      <c r="A2192" s="1090">
        <v>20</v>
      </c>
      <c r="B2192" s="1022" t="s">
        <v>4162</v>
      </c>
      <c r="C2192" s="1023" t="s">
        <v>4170</v>
      </c>
      <c r="D2192" s="941">
        <v>352</v>
      </c>
      <c r="E2192" s="1044">
        <f t="shared" si="21"/>
        <v>1256.6399999999999</v>
      </c>
      <c r="F2192" s="941"/>
    </row>
    <row r="2193" spans="1:6">
      <c r="A2193" s="1090">
        <v>21</v>
      </c>
      <c r="B2193" s="1022" t="s">
        <v>4162</v>
      </c>
      <c r="C2193" s="1023" t="s">
        <v>4171</v>
      </c>
      <c r="D2193" s="941">
        <v>352</v>
      </c>
      <c r="E2193" s="1044">
        <f t="shared" si="21"/>
        <v>1256.6399999999999</v>
      </c>
      <c r="F2193" s="941"/>
    </row>
    <row r="2194" spans="1:6">
      <c r="A2194" s="1090">
        <v>22</v>
      </c>
      <c r="B2194" s="1022" t="s">
        <v>4162</v>
      </c>
      <c r="C2194" s="1023" t="s">
        <v>4172</v>
      </c>
      <c r="D2194" s="941">
        <v>352</v>
      </c>
      <c r="E2194" s="1044">
        <f t="shared" si="21"/>
        <v>1256.6399999999999</v>
      </c>
      <c r="F2194" s="941"/>
    </row>
    <row r="2195" spans="1:6">
      <c r="A2195" s="1090">
        <v>23</v>
      </c>
      <c r="B2195" s="1022" t="s">
        <v>4162</v>
      </c>
      <c r="C2195" s="1023" t="s">
        <v>4173</v>
      </c>
      <c r="D2195" s="941">
        <v>352</v>
      </c>
      <c r="E2195" s="1044">
        <f t="shared" si="21"/>
        <v>1256.6399999999999</v>
      </c>
      <c r="F2195" s="941"/>
    </row>
    <row r="2196" spans="1:6">
      <c r="A2196" s="1090">
        <v>24</v>
      </c>
      <c r="B2196" s="1022" t="s">
        <v>4162</v>
      </c>
      <c r="C2196" s="1023" t="s">
        <v>4174</v>
      </c>
      <c r="D2196" s="941">
        <v>352</v>
      </c>
      <c r="E2196" s="1044">
        <f t="shared" si="21"/>
        <v>1256.6399999999999</v>
      </c>
      <c r="F2196" s="941"/>
    </row>
    <row r="2197" spans="1:6">
      <c r="A2197" s="1090">
        <v>25</v>
      </c>
      <c r="B2197" s="1022" t="s">
        <v>4162</v>
      </c>
      <c r="C2197" s="1023" t="s">
        <v>4175</v>
      </c>
      <c r="D2197" s="941">
        <v>352</v>
      </c>
      <c r="E2197" s="1044">
        <f t="shared" si="21"/>
        <v>1256.6399999999999</v>
      </c>
      <c r="F2197" s="941"/>
    </row>
    <row r="2198" spans="1:6">
      <c r="A2198" s="1090">
        <v>26</v>
      </c>
      <c r="B2198" s="1022" t="s">
        <v>4162</v>
      </c>
      <c r="C2198" s="1023" t="s">
        <v>4176</v>
      </c>
      <c r="D2198" s="941">
        <v>352</v>
      </c>
      <c r="E2198" s="1044">
        <f t="shared" si="21"/>
        <v>1256.6399999999999</v>
      </c>
      <c r="F2198" s="941"/>
    </row>
    <row r="2199" spans="1:6">
      <c r="A2199" s="1090">
        <v>27</v>
      </c>
      <c r="B2199" s="1022" t="s">
        <v>4162</v>
      </c>
      <c r="C2199" s="1023" t="s">
        <v>4177</v>
      </c>
      <c r="D2199" s="941">
        <v>352</v>
      </c>
      <c r="E2199" s="1044">
        <f t="shared" si="21"/>
        <v>1256.6399999999999</v>
      </c>
      <c r="F2199" s="941"/>
    </row>
    <row r="2200" spans="1:6">
      <c r="A2200" s="1090">
        <v>28</v>
      </c>
      <c r="B2200" s="1022" t="s">
        <v>4162</v>
      </c>
      <c r="C2200" s="1023" t="s">
        <v>4178</v>
      </c>
      <c r="D2200" s="941">
        <v>352</v>
      </c>
      <c r="E2200" s="1044">
        <f t="shared" si="21"/>
        <v>1256.6399999999999</v>
      </c>
      <c r="F2200" s="941"/>
    </row>
    <row r="2201" spans="1:6">
      <c r="A2201" s="1090">
        <v>29</v>
      </c>
      <c r="B2201" s="1022" t="s">
        <v>4162</v>
      </c>
      <c r="C2201" s="1023" t="s">
        <v>4179</v>
      </c>
      <c r="D2201" s="941">
        <v>352</v>
      </c>
      <c r="E2201" s="1044">
        <f t="shared" si="21"/>
        <v>1256.6399999999999</v>
      </c>
      <c r="F2201" s="941"/>
    </row>
    <row r="2202" spans="1:6">
      <c r="A2202" s="1090">
        <v>30</v>
      </c>
      <c r="B2202" s="1022" t="s">
        <v>4162</v>
      </c>
      <c r="C2202" s="1023" t="s">
        <v>4180</v>
      </c>
      <c r="D2202" s="941">
        <v>352</v>
      </c>
      <c r="E2202" s="1044">
        <f t="shared" si="21"/>
        <v>1256.6399999999999</v>
      </c>
      <c r="F2202" s="941"/>
    </row>
    <row r="2203" spans="1:6">
      <c r="A2203" s="1090">
        <v>31</v>
      </c>
      <c r="B2203" s="1022" t="s">
        <v>4162</v>
      </c>
      <c r="C2203" s="1023" t="s">
        <v>4181</v>
      </c>
      <c r="D2203" s="941">
        <v>352</v>
      </c>
      <c r="E2203" s="1044">
        <f t="shared" si="21"/>
        <v>1256.6399999999999</v>
      </c>
      <c r="F2203" s="941"/>
    </row>
    <row r="2204" spans="1:6">
      <c r="A2204" s="1090">
        <v>32</v>
      </c>
      <c r="B2204" s="1022" t="s">
        <v>4162</v>
      </c>
      <c r="C2204" s="1023" t="s">
        <v>4182</v>
      </c>
      <c r="D2204" s="941">
        <v>352</v>
      </c>
      <c r="E2204" s="1044">
        <f t="shared" si="21"/>
        <v>1256.6399999999999</v>
      </c>
      <c r="F2204" s="941"/>
    </row>
    <row r="2205" spans="1:6">
      <c r="A2205" s="1090">
        <v>33</v>
      </c>
      <c r="B2205" s="1022" t="s">
        <v>4162</v>
      </c>
      <c r="C2205" s="1023" t="s">
        <v>4183</v>
      </c>
      <c r="D2205" s="941">
        <v>352</v>
      </c>
      <c r="E2205" s="1044">
        <f t="shared" si="21"/>
        <v>1256.6399999999999</v>
      </c>
      <c r="F2205" s="1091" t="s">
        <v>4184</v>
      </c>
    </row>
    <row r="2206" spans="1:6">
      <c r="A2206" s="1090">
        <v>34</v>
      </c>
      <c r="B2206" s="1022" t="s">
        <v>4162</v>
      </c>
      <c r="C2206" s="1023" t="s">
        <v>4185</v>
      </c>
      <c r="D2206" s="941">
        <v>352</v>
      </c>
      <c r="E2206" s="1044">
        <f t="shared" si="21"/>
        <v>1256.6399999999999</v>
      </c>
      <c r="F2206" s="1091" t="s">
        <v>4186</v>
      </c>
    </row>
    <row r="2207" spans="1:6">
      <c r="A2207" s="1090">
        <v>35</v>
      </c>
      <c r="B2207" s="1022" t="s">
        <v>4162</v>
      </c>
      <c r="C2207" s="1023" t="s">
        <v>4187</v>
      </c>
      <c r="D2207" s="941">
        <v>352</v>
      </c>
      <c r="E2207" s="1044">
        <f t="shared" si="21"/>
        <v>1256.6399999999999</v>
      </c>
      <c r="F2207" s="1091" t="s">
        <v>4188</v>
      </c>
    </row>
    <row r="2208" spans="1:6">
      <c r="A2208" s="1090">
        <v>36</v>
      </c>
      <c r="B2208" s="1022" t="s">
        <v>4162</v>
      </c>
      <c r="C2208" s="1023" t="s">
        <v>4189</v>
      </c>
      <c r="D2208" s="941">
        <v>352</v>
      </c>
      <c r="E2208" s="1044">
        <f t="shared" si="21"/>
        <v>1256.6399999999999</v>
      </c>
      <c r="F2208" s="1091" t="s">
        <v>4190</v>
      </c>
    </row>
    <row r="2209" spans="1:6">
      <c r="A2209" s="1090">
        <v>37</v>
      </c>
      <c r="B2209" s="1022" t="s">
        <v>4162</v>
      </c>
      <c r="C2209" s="1023" t="s">
        <v>4191</v>
      </c>
      <c r="D2209" s="941">
        <v>352</v>
      </c>
      <c r="E2209" s="1044">
        <f t="shared" si="21"/>
        <v>1256.6399999999999</v>
      </c>
      <c r="F2209" s="1091" t="s">
        <v>4192</v>
      </c>
    </row>
    <row r="2210" spans="1:6">
      <c r="A2210" s="1090">
        <v>38</v>
      </c>
      <c r="B2210" s="1022" t="s">
        <v>4162</v>
      </c>
      <c r="C2210" s="1023" t="s">
        <v>4193</v>
      </c>
      <c r="D2210" s="941">
        <v>352</v>
      </c>
      <c r="E2210" s="1044">
        <f t="shared" si="21"/>
        <v>1256.6399999999999</v>
      </c>
      <c r="F2210" s="941"/>
    </row>
    <row r="2211" spans="1:6">
      <c r="A2211" s="1090">
        <v>39</v>
      </c>
      <c r="B2211" s="1022" t="s">
        <v>4162</v>
      </c>
      <c r="C2211" s="1023" t="s">
        <v>4194</v>
      </c>
      <c r="D2211" s="941">
        <v>352</v>
      </c>
      <c r="E2211" s="1044">
        <f t="shared" si="21"/>
        <v>1256.6399999999999</v>
      </c>
      <c r="F2211" s="941"/>
    </row>
    <row r="2212" spans="1:6">
      <c r="A2212" s="1090">
        <v>40</v>
      </c>
      <c r="B2212" s="1022" t="s">
        <v>4162</v>
      </c>
      <c r="C2212" s="1023" t="s">
        <v>4195</v>
      </c>
      <c r="D2212" s="941">
        <v>352</v>
      </c>
      <c r="E2212" s="1044">
        <f t="shared" si="21"/>
        <v>1256.6399999999999</v>
      </c>
      <c r="F2212" s="941"/>
    </row>
    <row r="2213" spans="1:6">
      <c r="A2213" s="1090">
        <v>41</v>
      </c>
      <c r="B2213" s="1022" t="s">
        <v>4162</v>
      </c>
      <c r="C2213" s="1023" t="s">
        <v>4196</v>
      </c>
      <c r="D2213" s="941">
        <v>352</v>
      </c>
      <c r="E2213" s="1044">
        <f t="shared" si="21"/>
        <v>1256.6399999999999</v>
      </c>
      <c r="F2213" s="941"/>
    </row>
    <row r="2214" spans="1:6">
      <c r="A2214" s="1090">
        <v>42</v>
      </c>
      <c r="B2214" s="1022" t="s">
        <v>4162</v>
      </c>
      <c r="C2214" s="1023" t="s">
        <v>4197</v>
      </c>
      <c r="D2214" s="941">
        <v>352</v>
      </c>
      <c r="E2214" s="1044">
        <f t="shared" si="21"/>
        <v>1256.6399999999999</v>
      </c>
      <c r="F2214" s="941"/>
    </row>
    <row r="2215" spans="1:6">
      <c r="A2215" s="1090">
        <v>43</v>
      </c>
      <c r="B2215" s="1022" t="s">
        <v>4162</v>
      </c>
      <c r="C2215" s="1023" t="s">
        <v>4198</v>
      </c>
      <c r="D2215" s="941">
        <v>352</v>
      </c>
      <c r="E2215" s="1044">
        <f t="shared" si="21"/>
        <v>1256.6399999999999</v>
      </c>
      <c r="F2215" s="941"/>
    </row>
    <row r="2216" spans="1:6">
      <c r="A2216" s="1090">
        <v>44</v>
      </c>
      <c r="B2216" s="1022" t="s">
        <v>4162</v>
      </c>
      <c r="C2216" s="1023" t="s">
        <v>4199</v>
      </c>
      <c r="D2216" s="941">
        <v>352</v>
      </c>
      <c r="E2216" s="1044">
        <f t="shared" si="21"/>
        <v>1256.6399999999999</v>
      </c>
      <c r="F2216" s="941"/>
    </row>
    <row r="2217" spans="1:6">
      <c r="A2217" s="1090">
        <v>45</v>
      </c>
      <c r="B2217" s="1022" t="s">
        <v>4162</v>
      </c>
      <c r="C2217" s="1023" t="s">
        <v>4200</v>
      </c>
      <c r="D2217" s="941">
        <v>352</v>
      </c>
      <c r="E2217" s="1044">
        <f t="shared" si="21"/>
        <v>1256.6399999999999</v>
      </c>
      <c r="F2217" s="941"/>
    </row>
    <row r="2218" spans="1:6">
      <c r="A2218" s="1090">
        <v>46</v>
      </c>
      <c r="B2218" s="1022" t="s">
        <v>4162</v>
      </c>
      <c r="C2218" s="1023" t="s">
        <v>4201</v>
      </c>
      <c r="D2218" s="941">
        <v>352</v>
      </c>
      <c r="E2218" s="1044">
        <f t="shared" si="21"/>
        <v>1256.6399999999999</v>
      </c>
      <c r="F2218" s="941"/>
    </row>
    <row r="2219" spans="1:6">
      <c r="A2219" s="1090">
        <v>47</v>
      </c>
      <c r="B2219" s="1022" t="s">
        <v>4162</v>
      </c>
      <c r="C2219" s="1023" t="s">
        <v>4202</v>
      </c>
      <c r="D2219" s="941">
        <v>352</v>
      </c>
      <c r="E2219" s="1044">
        <f t="shared" si="21"/>
        <v>1256.6399999999999</v>
      </c>
      <c r="F2219" s="941"/>
    </row>
    <row r="2220" spans="1:6">
      <c r="A2220" s="1090">
        <v>48</v>
      </c>
      <c r="B2220" s="1022" t="s">
        <v>4162</v>
      </c>
      <c r="C2220" s="1023" t="s">
        <v>4203</v>
      </c>
      <c r="D2220" s="941">
        <v>352</v>
      </c>
      <c r="E2220" s="1044">
        <f t="shared" si="21"/>
        <v>1256.6399999999999</v>
      </c>
      <c r="F2220" s="941"/>
    </row>
    <row r="2221" spans="1:6">
      <c r="A2221" s="1090">
        <v>49</v>
      </c>
      <c r="B2221" s="1022" t="s">
        <v>4162</v>
      </c>
      <c r="C2221" s="1023" t="s">
        <v>4204</v>
      </c>
      <c r="D2221" s="941">
        <v>352</v>
      </c>
      <c r="E2221" s="1044">
        <f t="shared" si="21"/>
        <v>1256.6399999999999</v>
      </c>
      <c r="F2221" s="941"/>
    </row>
    <row r="2222" spans="1:6">
      <c r="A2222" s="1090">
        <v>50</v>
      </c>
      <c r="B2222" s="1022" t="s">
        <v>4162</v>
      </c>
      <c r="C2222" s="1023" t="s">
        <v>4721</v>
      </c>
      <c r="D2222" s="941">
        <v>352</v>
      </c>
      <c r="E2222" s="1044">
        <f t="shared" si="21"/>
        <v>1256.6399999999999</v>
      </c>
      <c r="F2222" s="941"/>
    </row>
    <row r="2223" spans="1:6">
      <c r="A2223" s="1090">
        <v>51</v>
      </c>
      <c r="B2223" s="1022" t="s">
        <v>4162</v>
      </c>
      <c r="C2223" s="1023" t="s">
        <v>4205</v>
      </c>
      <c r="D2223" s="941">
        <v>352</v>
      </c>
      <c r="E2223" s="1044">
        <f t="shared" si="21"/>
        <v>1256.6399999999999</v>
      </c>
      <c r="F2223" s="941"/>
    </row>
    <row r="2224" spans="1:6">
      <c r="A2224" s="1090">
        <v>52</v>
      </c>
      <c r="B2224" s="1022" t="s">
        <v>4162</v>
      </c>
      <c r="C2224" s="1023" t="s">
        <v>4206</v>
      </c>
      <c r="D2224" s="941">
        <v>352</v>
      </c>
      <c r="E2224" s="1044">
        <f t="shared" si="21"/>
        <v>1256.6399999999999</v>
      </c>
      <c r="F2224" s="941"/>
    </row>
    <row r="2225" spans="1:6">
      <c r="A2225" s="1090">
        <v>53</v>
      </c>
      <c r="B2225" s="1022" t="s">
        <v>4162</v>
      </c>
      <c r="C2225" s="1023" t="s">
        <v>4207</v>
      </c>
      <c r="D2225" s="941">
        <v>352</v>
      </c>
      <c r="E2225" s="1044">
        <f t="shared" si="21"/>
        <v>1256.6399999999999</v>
      </c>
      <c r="F2225" s="941"/>
    </row>
    <row r="2226" spans="1:6">
      <c r="A2226" s="1090">
        <v>54</v>
      </c>
      <c r="B2226" s="1022" t="s">
        <v>4162</v>
      </c>
      <c r="C2226" s="1023" t="s">
        <v>4208</v>
      </c>
      <c r="D2226" s="941">
        <v>352</v>
      </c>
      <c r="E2226" s="1044">
        <f t="shared" si="21"/>
        <v>1256.6399999999999</v>
      </c>
      <c r="F2226" s="941"/>
    </row>
    <row r="2227" spans="1:6">
      <c r="A2227" s="1090">
        <v>55</v>
      </c>
      <c r="B2227" s="1022" t="s">
        <v>4162</v>
      </c>
      <c r="C2227" s="1023" t="s">
        <v>4209</v>
      </c>
      <c r="D2227" s="941">
        <v>352</v>
      </c>
      <c r="E2227" s="1044">
        <f t="shared" si="21"/>
        <v>1256.6399999999999</v>
      </c>
      <c r="F2227" s="941"/>
    </row>
    <row r="2228" spans="1:6">
      <c r="A2228" s="1090">
        <v>56</v>
      </c>
      <c r="B2228" s="1022" t="s">
        <v>4162</v>
      </c>
      <c r="C2228" s="1023" t="s">
        <v>4210</v>
      </c>
      <c r="D2228" s="941">
        <v>352</v>
      </c>
      <c r="E2228" s="1044">
        <f t="shared" si="21"/>
        <v>1256.6399999999999</v>
      </c>
      <c r="F2228" s="941"/>
    </row>
    <row r="2229" spans="1:6">
      <c r="A2229" s="1090">
        <v>57</v>
      </c>
      <c r="B2229" s="1022" t="s">
        <v>4162</v>
      </c>
      <c r="C2229" s="1023" t="s">
        <v>4211</v>
      </c>
      <c r="D2229" s="941">
        <v>352</v>
      </c>
      <c r="E2229" s="1044">
        <f t="shared" si="21"/>
        <v>1256.6399999999999</v>
      </c>
      <c r="F2229" s="941"/>
    </row>
    <row r="2230" spans="1:6">
      <c r="A2230" s="1090">
        <v>58</v>
      </c>
      <c r="B2230" s="1022" t="s">
        <v>4162</v>
      </c>
      <c r="C2230" s="1023" t="s">
        <v>4212</v>
      </c>
      <c r="D2230" s="941">
        <v>352</v>
      </c>
      <c r="E2230" s="1044">
        <f t="shared" si="21"/>
        <v>1256.6399999999999</v>
      </c>
      <c r="F2230" s="941"/>
    </row>
    <row r="2231" spans="1:6">
      <c r="A2231" s="1090">
        <v>59</v>
      </c>
      <c r="B2231" s="1022" t="s">
        <v>4162</v>
      </c>
      <c r="C2231" s="1023" t="s">
        <v>4213</v>
      </c>
      <c r="D2231" s="941">
        <v>352</v>
      </c>
      <c r="E2231" s="1044">
        <f t="shared" si="21"/>
        <v>1256.6399999999999</v>
      </c>
      <c r="F2231" s="1092" t="s">
        <v>4214</v>
      </c>
    </row>
    <row r="2232" spans="1:6">
      <c r="A2232" s="1090">
        <v>60</v>
      </c>
      <c r="B2232" s="1022" t="s">
        <v>4162</v>
      </c>
      <c r="C2232" s="1023" t="s">
        <v>4215</v>
      </c>
      <c r="D2232" s="941">
        <v>352</v>
      </c>
      <c r="E2232" s="1044">
        <f t="shared" si="21"/>
        <v>1256.6399999999999</v>
      </c>
      <c r="F2232" s="941"/>
    </row>
    <row r="2233" spans="1:6">
      <c r="A2233" s="1090">
        <v>61</v>
      </c>
      <c r="B2233" s="1022" t="s">
        <v>4162</v>
      </c>
      <c r="C2233" s="1023" t="s">
        <v>4216</v>
      </c>
      <c r="D2233" s="941">
        <v>352</v>
      </c>
      <c r="E2233" s="1044">
        <f t="shared" si="21"/>
        <v>1256.6399999999999</v>
      </c>
      <c r="F2233" s="941"/>
    </row>
    <row r="2234" spans="1:6">
      <c r="A2234" s="1090">
        <v>62</v>
      </c>
      <c r="B2234" s="1022" t="s">
        <v>4162</v>
      </c>
      <c r="C2234" s="1023" t="s">
        <v>4217</v>
      </c>
      <c r="D2234" s="941">
        <v>352</v>
      </c>
      <c r="E2234" s="1044">
        <f t="shared" si="21"/>
        <v>1256.6399999999999</v>
      </c>
      <c r="F2234" s="941"/>
    </row>
    <row r="2235" spans="1:6">
      <c r="A2235" s="1090">
        <v>63</v>
      </c>
      <c r="B2235" s="1022" t="s">
        <v>4162</v>
      </c>
      <c r="C2235" s="1023" t="s">
        <v>4218</v>
      </c>
      <c r="D2235" s="941">
        <v>352</v>
      </c>
      <c r="E2235" s="1044">
        <f t="shared" si="21"/>
        <v>1256.6399999999999</v>
      </c>
      <c r="F2235" s="941"/>
    </row>
    <row r="2236" spans="1:6">
      <c r="A2236" s="1090">
        <v>64</v>
      </c>
      <c r="B2236" s="1022" t="s">
        <v>4162</v>
      </c>
      <c r="C2236" s="1023" t="s">
        <v>4219</v>
      </c>
      <c r="D2236" s="941">
        <v>352</v>
      </c>
      <c r="E2236" s="1044">
        <f t="shared" si="21"/>
        <v>1256.6399999999999</v>
      </c>
      <c r="F2236" s="941"/>
    </row>
    <row r="2237" spans="1:6">
      <c r="A2237" s="1090">
        <v>65</v>
      </c>
      <c r="B2237" s="1022" t="s">
        <v>4162</v>
      </c>
      <c r="C2237" s="1023" t="s">
        <v>4220</v>
      </c>
      <c r="D2237" s="941">
        <v>352</v>
      </c>
      <c r="E2237" s="1044">
        <f t="shared" si="21"/>
        <v>1256.6399999999999</v>
      </c>
      <c r="F2237" s="941"/>
    </row>
    <row r="2238" spans="1:6">
      <c r="A2238" s="1090">
        <v>66</v>
      </c>
      <c r="B2238" s="1022" t="s">
        <v>4162</v>
      </c>
      <c r="C2238" s="1023" t="s">
        <v>4221</v>
      </c>
      <c r="D2238" s="941">
        <v>352</v>
      </c>
      <c r="E2238" s="1044">
        <f t="shared" ref="E2238:E2301" si="22">D2238*3.57</f>
        <v>1256.6399999999999</v>
      </c>
      <c r="F2238" s="941"/>
    </row>
    <row r="2239" spans="1:6">
      <c r="A2239" s="1090">
        <v>67</v>
      </c>
      <c r="B2239" s="1022" t="s">
        <v>4162</v>
      </c>
      <c r="C2239" s="1023" t="s">
        <v>4222</v>
      </c>
      <c r="D2239" s="941">
        <v>352</v>
      </c>
      <c r="E2239" s="1044">
        <f t="shared" si="22"/>
        <v>1256.6399999999999</v>
      </c>
      <c r="F2239" s="941"/>
    </row>
    <row r="2240" spans="1:6">
      <c r="A2240" s="1090">
        <v>68</v>
      </c>
      <c r="B2240" s="1022" t="s">
        <v>4162</v>
      </c>
      <c r="C2240" s="1023" t="s">
        <v>4223</v>
      </c>
      <c r="D2240" s="941">
        <v>352</v>
      </c>
      <c r="E2240" s="1044">
        <f t="shared" si="22"/>
        <v>1256.6399999999999</v>
      </c>
      <c r="F2240" s="941"/>
    </row>
    <row r="2241" spans="1:6">
      <c r="A2241" s="1090">
        <v>69</v>
      </c>
      <c r="B2241" s="1022" t="s">
        <v>4162</v>
      </c>
      <c r="C2241" s="1023" t="s">
        <v>4224</v>
      </c>
      <c r="D2241" s="941">
        <v>352</v>
      </c>
      <c r="E2241" s="1044">
        <f t="shared" si="22"/>
        <v>1256.6399999999999</v>
      </c>
      <c r="F2241" s="941"/>
    </row>
    <row r="2242" spans="1:6">
      <c r="A2242" s="1090">
        <v>70</v>
      </c>
      <c r="B2242" s="1022" t="s">
        <v>4162</v>
      </c>
      <c r="C2242" s="1023" t="s">
        <v>4225</v>
      </c>
      <c r="D2242" s="941">
        <v>352</v>
      </c>
      <c r="E2242" s="1044">
        <f t="shared" si="22"/>
        <v>1256.6399999999999</v>
      </c>
      <c r="F2242" s="941"/>
    </row>
    <row r="2243" spans="1:6">
      <c r="A2243" s="1090">
        <v>71</v>
      </c>
      <c r="B2243" s="1022" t="s">
        <v>4162</v>
      </c>
      <c r="C2243" s="1023" t="s">
        <v>4226</v>
      </c>
      <c r="D2243" s="941">
        <v>352</v>
      </c>
      <c r="E2243" s="1044">
        <f t="shared" si="22"/>
        <v>1256.6399999999999</v>
      </c>
      <c r="F2243" s="941"/>
    </row>
    <row r="2244" spans="1:6">
      <c r="A2244" s="1090">
        <v>72</v>
      </c>
      <c r="B2244" s="1022" t="s">
        <v>4162</v>
      </c>
      <c r="C2244" s="1023" t="s">
        <v>4227</v>
      </c>
      <c r="D2244" s="941">
        <v>352</v>
      </c>
      <c r="E2244" s="1044">
        <f t="shared" si="22"/>
        <v>1256.6399999999999</v>
      </c>
      <c r="F2244" s="941"/>
    </row>
    <row r="2245" spans="1:6">
      <c r="A2245" s="1090">
        <v>73</v>
      </c>
      <c r="B2245" s="1022" t="s">
        <v>4162</v>
      </c>
      <c r="C2245" s="1023" t="s">
        <v>4228</v>
      </c>
      <c r="D2245" s="941">
        <v>352</v>
      </c>
      <c r="E2245" s="1044">
        <f t="shared" si="22"/>
        <v>1256.6399999999999</v>
      </c>
      <c r="F2245" s="941"/>
    </row>
    <row r="2246" spans="1:6">
      <c r="A2246" s="1090">
        <v>74</v>
      </c>
      <c r="B2246" s="1022" t="s">
        <v>4162</v>
      </c>
      <c r="C2246" s="1023" t="s">
        <v>4229</v>
      </c>
      <c r="D2246" s="941">
        <v>352</v>
      </c>
      <c r="E2246" s="1044">
        <f t="shared" si="22"/>
        <v>1256.6399999999999</v>
      </c>
      <c r="F2246" s="941"/>
    </row>
    <row r="2247" spans="1:6">
      <c r="A2247" s="1090">
        <v>75</v>
      </c>
      <c r="B2247" s="1022" t="s">
        <v>4162</v>
      </c>
      <c r="C2247" s="1023" t="s">
        <v>4230</v>
      </c>
      <c r="D2247" s="941">
        <v>352</v>
      </c>
      <c r="E2247" s="1044">
        <f t="shared" si="22"/>
        <v>1256.6399999999999</v>
      </c>
      <c r="F2247" s="941"/>
    </row>
    <row r="2248" spans="1:6">
      <c r="A2248" s="1090">
        <v>76</v>
      </c>
      <c r="B2248" s="1022" t="s">
        <v>4162</v>
      </c>
      <c r="C2248" s="1023" t="s">
        <v>4231</v>
      </c>
      <c r="D2248" s="941">
        <v>352</v>
      </c>
      <c r="E2248" s="1044">
        <f t="shared" si="22"/>
        <v>1256.6399999999999</v>
      </c>
      <c r="F2248" s="941"/>
    </row>
    <row r="2249" spans="1:6">
      <c r="A2249" s="1090">
        <v>77</v>
      </c>
      <c r="B2249" s="1022" t="s">
        <v>4162</v>
      </c>
      <c r="C2249" s="1023" t="s">
        <v>4232</v>
      </c>
      <c r="D2249" s="941">
        <v>352</v>
      </c>
      <c r="E2249" s="1044">
        <f t="shared" si="22"/>
        <v>1256.6399999999999</v>
      </c>
      <c r="F2249" s="941"/>
    </row>
    <row r="2250" spans="1:6">
      <c r="A2250" s="1090">
        <v>78</v>
      </c>
      <c r="B2250" s="1022" t="s">
        <v>4162</v>
      </c>
      <c r="C2250" s="1023" t="s">
        <v>4233</v>
      </c>
      <c r="D2250" s="941">
        <v>352</v>
      </c>
      <c r="E2250" s="1044">
        <f t="shared" si="22"/>
        <v>1256.6399999999999</v>
      </c>
      <c r="F2250" s="941"/>
    </row>
    <row r="2251" spans="1:6">
      <c r="A2251" s="1090">
        <v>79</v>
      </c>
      <c r="B2251" s="1022" t="s">
        <v>4162</v>
      </c>
      <c r="C2251" s="1023" t="s">
        <v>4234</v>
      </c>
      <c r="D2251" s="941">
        <v>352</v>
      </c>
      <c r="E2251" s="1044">
        <f t="shared" si="22"/>
        <v>1256.6399999999999</v>
      </c>
      <c r="F2251" s="941"/>
    </row>
    <row r="2252" spans="1:6">
      <c r="A2252" s="1090">
        <v>80</v>
      </c>
      <c r="B2252" s="1022" t="s">
        <v>4162</v>
      </c>
      <c r="C2252" s="1023" t="s">
        <v>4235</v>
      </c>
      <c r="D2252" s="941">
        <v>352</v>
      </c>
      <c r="E2252" s="1044">
        <f t="shared" si="22"/>
        <v>1256.6399999999999</v>
      </c>
      <c r="F2252" s="941"/>
    </row>
    <row r="2253" spans="1:6">
      <c r="A2253" s="1090">
        <v>81</v>
      </c>
      <c r="B2253" s="1022" t="s">
        <v>4162</v>
      </c>
      <c r="C2253" s="1023" t="s">
        <v>4236</v>
      </c>
      <c r="D2253" s="941">
        <v>352</v>
      </c>
      <c r="E2253" s="1044">
        <f t="shared" si="22"/>
        <v>1256.6399999999999</v>
      </c>
      <c r="F2253" s="941"/>
    </row>
    <row r="2254" spans="1:6">
      <c r="A2254" s="1090">
        <v>82</v>
      </c>
      <c r="B2254" s="1022" t="s">
        <v>4162</v>
      </c>
      <c r="C2254" s="1023" t="s">
        <v>4237</v>
      </c>
      <c r="D2254" s="941">
        <v>352</v>
      </c>
      <c r="E2254" s="1044">
        <f t="shared" si="22"/>
        <v>1256.6399999999999</v>
      </c>
      <c r="F2254" s="941"/>
    </row>
    <row r="2255" spans="1:6">
      <c r="A2255" s="1090">
        <v>83</v>
      </c>
      <c r="B2255" s="1022" t="s">
        <v>4162</v>
      </c>
      <c r="C2255" s="1023" t="s">
        <v>4238</v>
      </c>
      <c r="D2255" s="941">
        <v>352</v>
      </c>
      <c r="E2255" s="1044">
        <f t="shared" si="22"/>
        <v>1256.6399999999999</v>
      </c>
      <c r="F2255" s="941"/>
    </row>
    <row r="2256" spans="1:6">
      <c r="A2256" s="1090">
        <v>84</v>
      </c>
      <c r="B2256" s="1022" t="s">
        <v>4162</v>
      </c>
      <c r="C2256" s="1023" t="s">
        <v>4239</v>
      </c>
      <c r="D2256" s="941">
        <v>352</v>
      </c>
      <c r="E2256" s="1044">
        <f t="shared" si="22"/>
        <v>1256.6399999999999</v>
      </c>
      <c r="F2256" s="941"/>
    </row>
    <row r="2257" spans="1:6">
      <c r="A2257" s="1090">
        <v>85</v>
      </c>
      <c r="B2257" s="1022" t="s">
        <v>4162</v>
      </c>
      <c r="C2257" s="1023" t="s">
        <v>4240</v>
      </c>
      <c r="D2257" s="941">
        <v>352</v>
      </c>
      <c r="E2257" s="1044">
        <f t="shared" si="22"/>
        <v>1256.6399999999999</v>
      </c>
      <c r="F2257" s="941"/>
    </row>
    <row r="2258" spans="1:6">
      <c r="A2258" s="1090">
        <v>86</v>
      </c>
      <c r="B2258" s="1022" t="s">
        <v>4162</v>
      </c>
      <c r="C2258" s="1023" t="s">
        <v>4241</v>
      </c>
      <c r="D2258" s="941">
        <v>352</v>
      </c>
      <c r="E2258" s="1044">
        <f t="shared" si="22"/>
        <v>1256.6399999999999</v>
      </c>
      <c r="F2258" s="941"/>
    </row>
    <row r="2259" spans="1:6">
      <c r="A2259" s="1090">
        <v>87</v>
      </c>
      <c r="B2259" s="1022" t="s">
        <v>4162</v>
      </c>
      <c r="C2259" s="1023" t="s">
        <v>4242</v>
      </c>
      <c r="D2259" s="941">
        <v>352</v>
      </c>
      <c r="E2259" s="1044">
        <f t="shared" si="22"/>
        <v>1256.6399999999999</v>
      </c>
      <c r="F2259" s="941"/>
    </row>
    <row r="2260" spans="1:6">
      <c r="A2260" s="1090">
        <v>88</v>
      </c>
      <c r="B2260" s="1022" t="s">
        <v>4162</v>
      </c>
      <c r="C2260" s="1023" t="s">
        <v>4243</v>
      </c>
      <c r="D2260" s="941">
        <v>352</v>
      </c>
      <c r="E2260" s="1044">
        <f t="shared" si="22"/>
        <v>1256.6399999999999</v>
      </c>
      <c r="F2260" s="941"/>
    </row>
    <row r="2261" spans="1:6">
      <c r="A2261" s="1090">
        <v>89</v>
      </c>
      <c r="B2261" s="1022" t="s">
        <v>4162</v>
      </c>
      <c r="C2261" s="1023" t="s">
        <v>4244</v>
      </c>
      <c r="D2261" s="941">
        <v>352</v>
      </c>
      <c r="E2261" s="1044">
        <f t="shared" si="22"/>
        <v>1256.6399999999999</v>
      </c>
      <c r="F2261" s="941"/>
    </row>
    <row r="2262" spans="1:6">
      <c r="A2262" s="1090">
        <v>90</v>
      </c>
      <c r="B2262" s="1022" t="s">
        <v>4162</v>
      </c>
      <c r="C2262" s="1023" t="s">
        <v>4245</v>
      </c>
      <c r="D2262" s="941">
        <v>352</v>
      </c>
      <c r="E2262" s="1044">
        <f t="shared" si="22"/>
        <v>1256.6399999999999</v>
      </c>
      <c r="F2262" s="941"/>
    </row>
    <row r="2263" spans="1:6">
      <c r="A2263" s="1090">
        <v>91</v>
      </c>
      <c r="B2263" s="1022" t="s">
        <v>4162</v>
      </c>
      <c r="C2263" s="1023" t="s">
        <v>4246</v>
      </c>
      <c r="D2263" s="941">
        <v>352</v>
      </c>
      <c r="E2263" s="1044">
        <f t="shared" si="22"/>
        <v>1256.6399999999999</v>
      </c>
      <c r="F2263" s="941"/>
    </row>
    <row r="2264" spans="1:6">
      <c r="A2264" s="1090">
        <v>92</v>
      </c>
      <c r="B2264" s="1022" t="s">
        <v>4162</v>
      </c>
      <c r="C2264" s="1023" t="s">
        <v>4247</v>
      </c>
      <c r="D2264" s="941">
        <v>352</v>
      </c>
      <c r="E2264" s="1044">
        <f t="shared" si="22"/>
        <v>1256.6399999999999</v>
      </c>
      <c r="F2264" s="941"/>
    </row>
    <row r="2265" spans="1:6">
      <c r="A2265" s="1090">
        <v>93</v>
      </c>
      <c r="B2265" s="1022" t="s">
        <v>4162</v>
      </c>
      <c r="C2265" s="1023" t="s">
        <v>4248</v>
      </c>
      <c r="D2265" s="941">
        <v>352</v>
      </c>
      <c r="E2265" s="1044">
        <f t="shared" si="22"/>
        <v>1256.6399999999999</v>
      </c>
      <c r="F2265" s="941"/>
    </row>
    <row r="2266" spans="1:6">
      <c r="A2266" s="1090">
        <v>94</v>
      </c>
      <c r="B2266" s="1022" t="s">
        <v>4162</v>
      </c>
      <c r="C2266" s="1023" t="s">
        <v>4249</v>
      </c>
      <c r="D2266" s="941">
        <v>352</v>
      </c>
      <c r="E2266" s="1044">
        <f t="shared" si="22"/>
        <v>1256.6399999999999</v>
      </c>
      <c r="F2266" s="941"/>
    </row>
    <row r="2267" spans="1:6">
      <c r="A2267" s="1090">
        <v>95</v>
      </c>
      <c r="B2267" s="1022" t="s">
        <v>4162</v>
      </c>
      <c r="C2267" s="1023" t="s">
        <v>4250</v>
      </c>
      <c r="D2267" s="941">
        <v>352</v>
      </c>
      <c r="E2267" s="1044">
        <f t="shared" si="22"/>
        <v>1256.6399999999999</v>
      </c>
      <c r="F2267" s="941"/>
    </row>
    <row r="2268" spans="1:6">
      <c r="A2268" s="1090">
        <v>96</v>
      </c>
      <c r="B2268" s="1022" t="s">
        <v>4162</v>
      </c>
      <c r="C2268" s="1023" t="s">
        <v>4251</v>
      </c>
      <c r="D2268" s="941">
        <v>352</v>
      </c>
      <c r="E2268" s="1044">
        <f t="shared" si="22"/>
        <v>1256.6399999999999</v>
      </c>
      <c r="F2268" s="941"/>
    </row>
    <row r="2269" spans="1:6">
      <c r="A2269" s="1090">
        <v>97</v>
      </c>
      <c r="B2269" s="1022" t="s">
        <v>4162</v>
      </c>
      <c r="C2269" s="1023" t="s">
        <v>4252</v>
      </c>
      <c r="D2269" s="941">
        <v>352</v>
      </c>
      <c r="E2269" s="1044">
        <f t="shared" si="22"/>
        <v>1256.6399999999999</v>
      </c>
      <c r="F2269" s="941"/>
    </row>
    <row r="2270" spans="1:6">
      <c r="A2270" s="1090">
        <v>98</v>
      </c>
      <c r="B2270" s="1022" t="s">
        <v>4162</v>
      </c>
      <c r="C2270" s="1023" t="s">
        <v>4253</v>
      </c>
      <c r="D2270" s="941">
        <v>352</v>
      </c>
      <c r="E2270" s="1044">
        <f t="shared" si="22"/>
        <v>1256.6399999999999</v>
      </c>
      <c r="F2270" s="941"/>
    </row>
    <row r="2271" spans="1:6">
      <c r="A2271" s="1090">
        <v>99</v>
      </c>
      <c r="B2271" s="1022" t="s">
        <v>4162</v>
      </c>
      <c r="C2271" s="1023" t="s">
        <v>4254</v>
      </c>
      <c r="D2271" s="941">
        <v>352</v>
      </c>
      <c r="E2271" s="1044">
        <f t="shared" si="22"/>
        <v>1256.6399999999999</v>
      </c>
      <c r="F2271" s="941"/>
    </row>
    <row r="2272" spans="1:6">
      <c r="A2272" s="1090">
        <v>100</v>
      </c>
      <c r="B2272" s="1022" t="s">
        <v>4162</v>
      </c>
      <c r="C2272" s="1023" t="s">
        <v>4255</v>
      </c>
      <c r="D2272" s="941">
        <v>352</v>
      </c>
      <c r="E2272" s="1044">
        <f t="shared" si="22"/>
        <v>1256.6399999999999</v>
      </c>
      <c r="F2272" s="941"/>
    </row>
    <row r="2273" spans="1:6">
      <c r="A2273" s="1090">
        <v>101</v>
      </c>
      <c r="B2273" s="1022" t="s">
        <v>4162</v>
      </c>
      <c r="C2273" s="1023" t="s">
        <v>4256</v>
      </c>
      <c r="D2273" s="941">
        <v>352</v>
      </c>
      <c r="E2273" s="1044">
        <f t="shared" si="22"/>
        <v>1256.6399999999999</v>
      </c>
      <c r="F2273" s="941"/>
    </row>
    <row r="2274" spans="1:6">
      <c r="A2274" s="1090">
        <v>102</v>
      </c>
      <c r="B2274" s="1022" t="s">
        <v>4162</v>
      </c>
      <c r="C2274" s="1023" t="s">
        <v>4257</v>
      </c>
      <c r="D2274" s="941">
        <v>352</v>
      </c>
      <c r="E2274" s="1044">
        <f t="shared" si="22"/>
        <v>1256.6399999999999</v>
      </c>
      <c r="F2274" s="941"/>
    </row>
    <row r="2275" spans="1:6">
      <c r="A2275" s="1090">
        <v>103</v>
      </c>
      <c r="B2275" s="1022" t="s">
        <v>4162</v>
      </c>
      <c r="C2275" s="1023" t="s">
        <v>4258</v>
      </c>
      <c r="D2275" s="941">
        <v>352</v>
      </c>
      <c r="E2275" s="1044">
        <f t="shared" si="22"/>
        <v>1256.6399999999999</v>
      </c>
      <c r="F2275" s="941"/>
    </row>
    <row r="2276" spans="1:6">
      <c r="A2276" s="1090">
        <v>104</v>
      </c>
      <c r="B2276" s="1022" t="s">
        <v>4162</v>
      </c>
      <c r="C2276" s="1023" t="s">
        <v>4259</v>
      </c>
      <c r="D2276" s="941">
        <v>352</v>
      </c>
      <c r="E2276" s="1044">
        <f t="shared" si="22"/>
        <v>1256.6399999999999</v>
      </c>
      <c r="F2276" s="941"/>
    </row>
    <row r="2277" spans="1:6">
      <c r="A2277" s="1090">
        <v>105</v>
      </c>
      <c r="B2277" s="1022" t="s">
        <v>4162</v>
      </c>
      <c r="C2277" s="1023" t="s">
        <v>4260</v>
      </c>
      <c r="D2277" s="941">
        <v>352</v>
      </c>
      <c r="E2277" s="1044">
        <f t="shared" si="22"/>
        <v>1256.6399999999999</v>
      </c>
      <c r="F2277" s="941"/>
    </row>
    <row r="2278" spans="1:6">
      <c r="A2278" s="1090">
        <v>106</v>
      </c>
      <c r="B2278" s="1022" t="s">
        <v>4162</v>
      </c>
      <c r="C2278" s="1023" t="s">
        <v>4261</v>
      </c>
      <c r="D2278" s="941">
        <v>352</v>
      </c>
      <c r="E2278" s="1044">
        <f t="shared" si="22"/>
        <v>1256.6399999999999</v>
      </c>
      <c r="F2278" s="941"/>
    </row>
    <row r="2279" spans="1:6">
      <c r="A2279" s="1090">
        <v>107</v>
      </c>
      <c r="B2279" s="1022" t="s">
        <v>4162</v>
      </c>
      <c r="C2279" s="1023" t="s">
        <v>4262</v>
      </c>
      <c r="D2279" s="941">
        <v>352</v>
      </c>
      <c r="E2279" s="1044">
        <f t="shared" si="22"/>
        <v>1256.6399999999999</v>
      </c>
      <c r="F2279" s="941"/>
    </row>
    <row r="2280" spans="1:6">
      <c r="A2280" s="1090">
        <v>108</v>
      </c>
      <c r="B2280" s="1022" t="s">
        <v>4162</v>
      </c>
      <c r="C2280" s="1023" t="s">
        <v>4263</v>
      </c>
      <c r="D2280" s="941">
        <v>352</v>
      </c>
      <c r="E2280" s="1044">
        <f t="shared" si="22"/>
        <v>1256.6399999999999</v>
      </c>
      <c r="F2280" s="941"/>
    </row>
    <row r="2281" spans="1:6">
      <c r="A2281" s="1090">
        <v>109</v>
      </c>
      <c r="B2281" s="1022" t="s">
        <v>4162</v>
      </c>
      <c r="C2281" s="1023" t="s">
        <v>4264</v>
      </c>
      <c r="D2281" s="941">
        <v>352</v>
      </c>
      <c r="E2281" s="1044">
        <f t="shared" si="22"/>
        <v>1256.6399999999999</v>
      </c>
      <c r="F2281" s="941"/>
    </row>
    <row r="2282" spans="1:6">
      <c r="A2282" s="1090">
        <v>110</v>
      </c>
      <c r="B2282" s="1022" t="s">
        <v>4162</v>
      </c>
      <c r="C2282" s="1023" t="s">
        <v>4265</v>
      </c>
      <c r="D2282" s="941">
        <v>352</v>
      </c>
      <c r="E2282" s="1044">
        <f t="shared" si="22"/>
        <v>1256.6399999999999</v>
      </c>
      <c r="F2282" s="941"/>
    </row>
    <row r="2283" spans="1:6">
      <c r="A2283" s="1090">
        <v>111</v>
      </c>
      <c r="B2283" s="1022" t="s">
        <v>4162</v>
      </c>
      <c r="C2283" s="1023" t="s">
        <v>4266</v>
      </c>
      <c r="D2283" s="941">
        <v>352</v>
      </c>
      <c r="E2283" s="1044">
        <f t="shared" si="22"/>
        <v>1256.6399999999999</v>
      </c>
      <c r="F2283" s="941"/>
    </row>
    <row r="2284" spans="1:6">
      <c r="A2284" s="1090">
        <v>112</v>
      </c>
      <c r="B2284" s="1022" t="s">
        <v>4162</v>
      </c>
      <c r="C2284" s="1023" t="s">
        <v>4267</v>
      </c>
      <c r="D2284" s="941">
        <v>352</v>
      </c>
      <c r="E2284" s="1044">
        <f t="shared" si="22"/>
        <v>1256.6399999999999</v>
      </c>
      <c r="F2284" s="941"/>
    </row>
    <row r="2285" spans="1:6">
      <c r="A2285" s="1090">
        <v>113</v>
      </c>
      <c r="B2285" s="1022" t="s">
        <v>4162</v>
      </c>
      <c r="C2285" s="1023" t="s">
        <v>4268</v>
      </c>
      <c r="D2285" s="941">
        <v>352</v>
      </c>
      <c r="E2285" s="1044">
        <f t="shared" si="22"/>
        <v>1256.6399999999999</v>
      </c>
      <c r="F2285" s="941"/>
    </row>
    <row r="2286" spans="1:6">
      <c r="A2286" s="1090">
        <v>114</v>
      </c>
      <c r="B2286" s="1022" t="s">
        <v>4162</v>
      </c>
      <c r="C2286" s="1023" t="s">
        <v>4269</v>
      </c>
      <c r="D2286" s="941">
        <v>352</v>
      </c>
      <c r="E2286" s="1044">
        <f t="shared" si="22"/>
        <v>1256.6399999999999</v>
      </c>
      <c r="F2286" s="941"/>
    </row>
    <row r="2287" spans="1:6">
      <c r="A2287" s="1090">
        <v>115</v>
      </c>
      <c r="B2287" s="1022" t="s">
        <v>4162</v>
      </c>
      <c r="C2287" s="1023" t="s">
        <v>4270</v>
      </c>
      <c r="D2287" s="941">
        <v>352</v>
      </c>
      <c r="E2287" s="1044">
        <f t="shared" si="22"/>
        <v>1256.6399999999999</v>
      </c>
      <c r="F2287" s="941"/>
    </row>
    <row r="2288" spans="1:6">
      <c r="A2288" s="1090">
        <v>116</v>
      </c>
      <c r="B2288" s="1022" t="s">
        <v>4162</v>
      </c>
      <c r="C2288" s="1023" t="s">
        <v>4271</v>
      </c>
      <c r="D2288" s="941">
        <v>352</v>
      </c>
      <c r="E2288" s="1044">
        <f t="shared" si="22"/>
        <v>1256.6399999999999</v>
      </c>
      <c r="F2288" s="941"/>
    </row>
    <row r="2289" spans="1:6">
      <c r="A2289" s="1090">
        <v>117</v>
      </c>
      <c r="B2289" s="1022" t="s">
        <v>4162</v>
      </c>
      <c r="C2289" s="1023" t="s">
        <v>4272</v>
      </c>
      <c r="D2289" s="941">
        <v>352</v>
      </c>
      <c r="E2289" s="1044">
        <f t="shared" si="22"/>
        <v>1256.6399999999999</v>
      </c>
      <c r="F2289" s="941"/>
    </row>
    <row r="2290" spans="1:6">
      <c r="A2290" s="1090">
        <v>118</v>
      </c>
      <c r="B2290" s="1022" t="s">
        <v>4162</v>
      </c>
      <c r="C2290" s="1023" t="s">
        <v>4273</v>
      </c>
      <c r="D2290" s="941">
        <v>352</v>
      </c>
      <c r="E2290" s="1044">
        <f t="shared" si="22"/>
        <v>1256.6399999999999</v>
      </c>
      <c r="F2290" s="941"/>
    </row>
    <row r="2291" spans="1:6">
      <c r="A2291" s="1090">
        <v>119</v>
      </c>
      <c r="B2291" s="1022" t="s">
        <v>4162</v>
      </c>
      <c r="C2291" s="1023" t="s">
        <v>4274</v>
      </c>
      <c r="D2291" s="941">
        <v>352</v>
      </c>
      <c r="E2291" s="1044">
        <f t="shared" si="22"/>
        <v>1256.6399999999999</v>
      </c>
      <c r="F2291" s="941"/>
    </row>
    <row r="2292" spans="1:6">
      <c r="A2292" s="1090">
        <v>120</v>
      </c>
      <c r="B2292" s="1022" t="s">
        <v>4162</v>
      </c>
      <c r="C2292" s="1023" t="s">
        <v>4275</v>
      </c>
      <c r="D2292" s="941">
        <v>352</v>
      </c>
      <c r="E2292" s="1044">
        <f t="shared" si="22"/>
        <v>1256.6399999999999</v>
      </c>
      <c r="F2292" s="941"/>
    </row>
    <row r="2293" spans="1:6">
      <c r="A2293" s="1090">
        <v>121</v>
      </c>
      <c r="B2293" s="1022" t="s">
        <v>4162</v>
      </c>
      <c r="C2293" s="1023" t="s">
        <v>4276</v>
      </c>
      <c r="D2293" s="941">
        <v>352</v>
      </c>
      <c r="E2293" s="1044">
        <f t="shared" si="22"/>
        <v>1256.6399999999999</v>
      </c>
      <c r="F2293" s="941"/>
    </row>
    <row r="2294" spans="1:6">
      <c r="A2294" s="1090">
        <v>122</v>
      </c>
      <c r="B2294" s="1022" t="s">
        <v>4162</v>
      </c>
      <c r="C2294" s="1023" t="s">
        <v>4277</v>
      </c>
      <c r="D2294" s="941">
        <v>352</v>
      </c>
      <c r="E2294" s="1044">
        <f t="shared" si="22"/>
        <v>1256.6399999999999</v>
      </c>
      <c r="F2294" s="941"/>
    </row>
    <row r="2295" spans="1:6">
      <c r="A2295" s="1090">
        <v>123</v>
      </c>
      <c r="B2295" s="1022" t="s">
        <v>4162</v>
      </c>
      <c r="C2295" s="1023" t="s">
        <v>4278</v>
      </c>
      <c r="D2295" s="941">
        <v>352</v>
      </c>
      <c r="E2295" s="1044">
        <f t="shared" si="22"/>
        <v>1256.6399999999999</v>
      </c>
      <c r="F2295" s="941"/>
    </row>
    <row r="2296" spans="1:6">
      <c r="A2296" s="1090">
        <v>124</v>
      </c>
      <c r="B2296" s="1022" t="s">
        <v>4162</v>
      </c>
      <c r="C2296" s="1023" t="s">
        <v>4279</v>
      </c>
      <c r="D2296" s="941">
        <v>352</v>
      </c>
      <c r="E2296" s="1044">
        <f t="shared" si="22"/>
        <v>1256.6399999999999</v>
      </c>
      <c r="F2296" s="941"/>
    </row>
    <row r="2297" spans="1:6">
      <c r="A2297" s="1090">
        <v>125</v>
      </c>
      <c r="B2297" s="1022" t="s">
        <v>4162</v>
      </c>
      <c r="C2297" s="1023" t="s">
        <v>4280</v>
      </c>
      <c r="D2297" s="941">
        <v>352</v>
      </c>
      <c r="E2297" s="1044">
        <f t="shared" si="22"/>
        <v>1256.6399999999999</v>
      </c>
      <c r="F2297" s="941"/>
    </row>
    <row r="2298" spans="1:6">
      <c r="A2298" s="1090">
        <v>126</v>
      </c>
      <c r="B2298" s="1022" t="s">
        <v>4162</v>
      </c>
      <c r="C2298" s="1023" t="s">
        <v>4281</v>
      </c>
      <c r="D2298" s="941">
        <v>352</v>
      </c>
      <c r="E2298" s="1044">
        <f t="shared" si="22"/>
        <v>1256.6399999999999</v>
      </c>
      <c r="F2298" s="941"/>
    </row>
    <row r="2299" spans="1:6">
      <c r="A2299" s="1090">
        <v>127</v>
      </c>
      <c r="B2299" s="1022" t="s">
        <v>4162</v>
      </c>
      <c r="C2299" s="1023" t="s">
        <v>4282</v>
      </c>
      <c r="D2299" s="941">
        <v>352</v>
      </c>
      <c r="E2299" s="1044">
        <f t="shared" si="22"/>
        <v>1256.6399999999999</v>
      </c>
      <c r="F2299" s="941"/>
    </row>
    <row r="2300" spans="1:6">
      <c r="A2300" s="1090">
        <v>128</v>
      </c>
      <c r="B2300" s="1022" t="s">
        <v>4283</v>
      </c>
      <c r="C2300" s="1025">
        <v>69990094</v>
      </c>
      <c r="D2300" s="941">
        <v>400</v>
      </c>
      <c r="E2300" s="1044">
        <f t="shared" si="22"/>
        <v>1428</v>
      </c>
      <c r="F2300" s="1092" t="s">
        <v>4156</v>
      </c>
    </row>
    <row r="2301" spans="1:6">
      <c r="A2301" s="1090">
        <v>129</v>
      </c>
      <c r="B2301" s="1022" t="s">
        <v>4283</v>
      </c>
      <c r="C2301" s="1025">
        <v>70340003</v>
      </c>
      <c r="D2301" s="941">
        <v>400</v>
      </c>
      <c r="E2301" s="1044">
        <f t="shared" si="22"/>
        <v>1428</v>
      </c>
      <c r="F2301" s="1092" t="s">
        <v>4156</v>
      </c>
    </row>
    <row r="2302" spans="1:6" ht="18.75">
      <c r="A2302" s="1086"/>
      <c r="B2302" s="1086"/>
      <c r="C2302" s="1086"/>
      <c r="D2302" s="1087">
        <f>SUM(D2173:D2301)</f>
        <v>45590</v>
      </c>
      <c r="E2302" s="1088">
        <f>SUM(E2173:E2301)</f>
        <v>162756.30000000025</v>
      </c>
      <c r="F2302" s="1086"/>
    </row>
    <row r="2311" spans="1:8">
      <c r="A2311" s="1419" t="s">
        <v>4292</v>
      </c>
      <c r="B2311" s="1420"/>
      <c r="C2311" s="1102">
        <v>46132</v>
      </c>
      <c r="D2311" s="1423"/>
      <c r="E2311" s="1424"/>
      <c r="F2311" s="1425"/>
      <c r="G2311" s="895"/>
      <c r="H2311"/>
    </row>
    <row r="2312" spans="1:8">
      <c r="A2312" s="1421" t="s">
        <v>4293</v>
      </c>
      <c r="B2312" s="1422"/>
      <c r="C2312" s="1391" t="s">
        <v>5259</v>
      </c>
      <c r="D2312" s="1103" t="s">
        <v>2423</v>
      </c>
      <c r="E2312" s="1103" t="s">
        <v>3734</v>
      </c>
      <c r="F2312" s="1103" t="s">
        <v>3111</v>
      </c>
      <c r="G2312" s="895"/>
      <c r="H2312"/>
    </row>
    <row r="2313" spans="1:8">
      <c r="A2313" s="941">
        <v>1</v>
      </c>
      <c r="B2313" s="1092" t="s">
        <v>4051</v>
      </c>
      <c r="C2313" s="1042">
        <v>359614542055715</v>
      </c>
      <c r="D2313" s="941" t="s">
        <v>1121</v>
      </c>
      <c r="E2313" s="941">
        <v>910</v>
      </c>
      <c r="F2313" s="1044">
        <f>E2313*3.57</f>
        <v>3248.7</v>
      </c>
      <c r="G2313" s="895"/>
      <c r="H2313"/>
    </row>
    <row r="2314" spans="1:8">
      <c r="A2314" s="941">
        <v>2</v>
      </c>
      <c r="B2314" s="941" t="s">
        <v>4051</v>
      </c>
      <c r="C2314" s="1042">
        <v>357329443565710</v>
      </c>
      <c r="D2314" s="941" t="s">
        <v>1121</v>
      </c>
      <c r="E2314" s="941">
        <v>910</v>
      </c>
      <c r="F2314" s="1044">
        <f t="shared" ref="F2314:F2369" si="23">E2314*3.57</f>
        <v>3248.7</v>
      </c>
      <c r="G2314" s="895"/>
      <c r="H2314"/>
    </row>
    <row r="2315" spans="1:8">
      <c r="A2315" s="941">
        <v>3</v>
      </c>
      <c r="B2315" s="941" t="s">
        <v>4051</v>
      </c>
      <c r="C2315" s="1042">
        <v>358902514996631</v>
      </c>
      <c r="D2315" s="941" t="s">
        <v>1121</v>
      </c>
      <c r="E2315" s="941">
        <v>910</v>
      </c>
      <c r="F2315" s="1044">
        <f t="shared" si="23"/>
        <v>3248.7</v>
      </c>
      <c r="G2315" s="895"/>
      <c r="H2315"/>
    </row>
    <row r="2316" spans="1:8">
      <c r="A2316" s="941">
        <v>4</v>
      </c>
      <c r="B2316" s="941" t="s">
        <v>4051</v>
      </c>
      <c r="C2316" s="1042">
        <v>357329447162654</v>
      </c>
      <c r="D2316" s="941"/>
      <c r="E2316" s="941">
        <v>910</v>
      </c>
      <c r="F2316" s="1044">
        <f t="shared" si="23"/>
        <v>3248.7</v>
      </c>
      <c r="G2316" s="895"/>
      <c r="H2316"/>
    </row>
    <row r="2317" spans="1:8">
      <c r="A2317" s="941">
        <v>5</v>
      </c>
      <c r="B2317" s="941" t="s">
        <v>4051</v>
      </c>
      <c r="C2317" s="1042">
        <v>358206139332127</v>
      </c>
      <c r="D2317" s="941" t="s">
        <v>1121</v>
      </c>
      <c r="E2317" s="941">
        <v>910</v>
      </c>
      <c r="F2317" s="1044">
        <f t="shared" si="23"/>
        <v>3248.7</v>
      </c>
      <c r="G2317" s="895"/>
      <c r="H2317"/>
    </row>
    <row r="2318" spans="1:8">
      <c r="A2318" s="941">
        <v>6</v>
      </c>
      <c r="B2318" s="941" t="s">
        <v>4051</v>
      </c>
      <c r="C2318" s="1042">
        <v>350035238459939</v>
      </c>
      <c r="D2318" s="941"/>
      <c r="E2318" s="941">
        <v>910</v>
      </c>
      <c r="F2318" s="1044">
        <f t="shared" si="23"/>
        <v>3248.7</v>
      </c>
      <c r="G2318" s="895"/>
      <c r="H2318"/>
    </row>
    <row r="2319" spans="1:8">
      <c r="A2319" s="941">
        <v>7</v>
      </c>
      <c r="B2319" s="941" t="s">
        <v>4051</v>
      </c>
      <c r="C2319" s="1042">
        <v>350552898824673</v>
      </c>
      <c r="D2319" s="941"/>
      <c r="E2319" s="941">
        <v>910</v>
      </c>
      <c r="F2319" s="1044">
        <f t="shared" si="23"/>
        <v>3248.7</v>
      </c>
      <c r="G2319" s="895"/>
      <c r="H2319"/>
    </row>
    <row r="2320" spans="1:8">
      <c r="A2320" s="941">
        <v>8</v>
      </c>
      <c r="B2320" s="941" t="s">
        <v>4051</v>
      </c>
      <c r="C2320" s="1042">
        <v>350552898592916</v>
      </c>
      <c r="D2320" s="941"/>
      <c r="E2320" s="941">
        <v>910</v>
      </c>
      <c r="F2320" s="1044">
        <f t="shared" si="23"/>
        <v>3248.7</v>
      </c>
      <c r="G2320" s="895"/>
      <c r="H2320"/>
    </row>
    <row r="2321" spans="1:8">
      <c r="A2321" s="941">
        <v>9</v>
      </c>
      <c r="B2321" s="941" t="s">
        <v>4051</v>
      </c>
      <c r="C2321" s="1042">
        <v>350552898446782</v>
      </c>
      <c r="D2321" s="941"/>
      <c r="E2321" s="941">
        <v>910</v>
      </c>
      <c r="F2321" s="1044">
        <f t="shared" si="23"/>
        <v>3248.7</v>
      </c>
      <c r="G2321" s="895"/>
      <c r="H2321"/>
    </row>
    <row r="2322" spans="1:8">
      <c r="A2322" s="941">
        <v>10</v>
      </c>
      <c r="B2322" s="941" t="s">
        <v>4051</v>
      </c>
      <c r="C2322" s="1042">
        <v>356225420483342</v>
      </c>
      <c r="D2322" s="941"/>
      <c r="E2322" s="941">
        <v>910</v>
      </c>
      <c r="F2322" s="1044">
        <f t="shared" si="23"/>
        <v>3248.7</v>
      </c>
      <c r="G2322" s="895"/>
      <c r="H2322"/>
    </row>
    <row r="2323" spans="1:8">
      <c r="A2323" s="941">
        <v>11</v>
      </c>
      <c r="B2323" s="941" t="s">
        <v>4051</v>
      </c>
      <c r="C2323" s="1042">
        <v>356225422846504</v>
      </c>
      <c r="D2323" s="941"/>
      <c r="E2323" s="941">
        <v>910</v>
      </c>
      <c r="F2323" s="1044">
        <f t="shared" si="23"/>
        <v>3248.7</v>
      </c>
      <c r="G2323" s="895"/>
      <c r="H2323"/>
    </row>
    <row r="2324" spans="1:8">
      <c r="A2324" s="941">
        <v>12</v>
      </c>
      <c r="B2324" s="941" t="s">
        <v>4051</v>
      </c>
      <c r="C2324" s="1042">
        <v>358206139869052</v>
      </c>
      <c r="D2324" s="941"/>
      <c r="E2324" s="941">
        <v>910</v>
      </c>
      <c r="F2324" s="1044">
        <f t="shared" si="23"/>
        <v>3248.7</v>
      </c>
      <c r="G2324" s="895"/>
      <c r="H2324"/>
    </row>
    <row r="2325" spans="1:8">
      <c r="A2325" s="941">
        <v>13</v>
      </c>
      <c r="B2325" s="941" t="s">
        <v>4051</v>
      </c>
      <c r="C2325" s="1042">
        <v>357329446447478</v>
      </c>
      <c r="D2325" s="941"/>
      <c r="E2325" s="941">
        <v>910</v>
      </c>
      <c r="F2325" s="1044">
        <f t="shared" si="23"/>
        <v>3248.7</v>
      </c>
      <c r="G2325" s="895"/>
      <c r="H2325"/>
    </row>
    <row r="2326" spans="1:8">
      <c r="A2326" s="941">
        <v>14</v>
      </c>
      <c r="B2326" s="941" t="s">
        <v>4051</v>
      </c>
      <c r="C2326" s="1042">
        <v>350035237281888</v>
      </c>
      <c r="D2326" s="941"/>
      <c r="E2326" s="941">
        <v>910</v>
      </c>
      <c r="F2326" s="1044">
        <f t="shared" si="23"/>
        <v>3248.7</v>
      </c>
      <c r="G2326" s="895"/>
      <c r="H2326"/>
    </row>
    <row r="2327" spans="1:8">
      <c r="A2327" s="941">
        <v>15</v>
      </c>
      <c r="B2327" s="941" t="s">
        <v>4051</v>
      </c>
      <c r="C2327" s="1042">
        <v>356225420168455</v>
      </c>
      <c r="D2327" s="941"/>
      <c r="E2327" s="941">
        <v>910</v>
      </c>
      <c r="F2327" s="1044">
        <f t="shared" si="23"/>
        <v>3248.7</v>
      </c>
      <c r="G2327" s="895"/>
      <c r="H2327"/>
    </row>
    <row r="2328" spans="1:8">
      <c r="A2328" s="941">
        <v>16</v>
      </c>
      <c r="B2328" s="941" t="s">
        <v>4051</v>
      </c>
      <c r="C2328" s="1042">
        <v>358902516870768</v>
      </c>
      <c r="D2328" s="941"/>
      <c r="E2328" s="941">
        <v>910</v>
      </c>
      <c r="F2328" s="1044">
        <f t="shared" si="23"/>
        <v>3248.7</v>
      </c>
      <c r="G2328" s="895"/>
      <c r="H2328"/>
    </row>
    <row r="2329" spans="1:8">
      <c r="A2329" s="941">
        <v>17</v>
      </c>
      <c r="B2329" s="941" t="s">
        <v>4051</v>
      </c>
      <c r="C2329" s="1042">
        <v>356225420016183</v>
      </c>
      <c r="D2329" s="1092" t="s">
        <v>4294</v>
      </c>
      <c r="E2329" s="941">
        <v>910</v>
      </c>
      <c r="F2329" s="1044">
        <f t="shared" si="23"/>
        <v>3248.7</v>
      </c>
      <c r="G2329" s="1034">
        <f>910*3.57</f>
        <v>3248.7</v>
      </c>
      <c r="H2329"/>
    </row>
    <row r="2330" spans="1:8">
      <c r="A2330" s="941">
        <v>18</v>
      </c>
      <c r="B2330" s="941" t="s">
        <v>4051</v>
      </c>
      <c r="C2330" s="1042">
        <v>358902517417577</v>
      </c>
      <c r="D2330" s="941"/>
      <c r="E2330" s="941">
        <v>910</v>
      </c>
      <c r="F2330" s="1044">
        <f t="shared" si="23"/>
        <v>3248.7</v>
      </c>
      <c r="G2330" s="895"/>
      <c r="H2330"/>
    </row>
    <row r="2331" spans="1:8">
      <c r="A2331" s="941">
        <v>19</v>
      </c>
      <c r="B2331" s="941" t="s">
        <v>4051</v>
      </c>
      <c r="C2331" s="1042">
        <v>358206138929733</v>
      </c>
      <c r="D2331" s="941"/>
      <c r="E2331" s="941">
        <v>910</v>
      </c>
      <c r="F2331" s="1044">
        <f t="shared" si="23"/>
        <v>3248.7</v>
      </c>
      <c r="G2331" s="895"/>
      <c r="H2331"/>
    </row>
    <row r="2332" spans="1:8">
      <c r="A2332" s="941">
        <v>20</v>
      </c>
      <c r="B2332" s="941" t="s">
        <v>4051</v>
      </c>
      <c r="C2332" s="1042">
        <v>358434702428409</v>
      </c>
      <c r="D2332" s="941"/>
      <c r="E2332" s="941">
        <v>910</v>
      </c>
      <c r="F2332" s="1044">
        <f t="shared" si="23"/>
        <v>3248.7</v>
      </c>
      <c r="G2332" s="895"/>
      <c r="H2332"/>
    </row>
    <row r="2333" spans="1:8">
      <c r="A2333" s="941">
        <v>21</v>
      </c>
      <c r="B2333" s="941" t="s">
        <v>4051</v>
      </c>
      <c r="C2333" s="1042">
        <v>350552898203746</v>
      </c>
      <c r="D2333" s="941"/>
      <c r="E2333" s="941">
        <v>910</v>
      </c>
      <c r="F2333" s="1044">
        <f t="shared" si="23"/>
        <v>3248.7</v>
      </c>
      <c r="G2333" s="895"/>
      <c r="H2333"/>
    </row>
    <row r="2334" spans="1:8">
      <c r="A2334" s="941">
        <v>22</v>
      </c>
      <c r="B2334" s="941" t="s">
        <v>4051</v>
      </c>
      <c r="C2334" s="1042">
        <v>353497859674955</v>
      </c>
      <c r="D2334" s="941"/>
      <c r="E2334" s="941">
        <v>940</v>
      </c>
      <c r="F2334" s="1044">
        <f t="shared" si="23"/>
        <v>3355.7999999999997</v>
      </c>
      <c r="G2334" s="895"/>
      <c r="H2334"/>
    </row>
    <row r="2335" spans="1:8">
      <c r="A2335" s="941">
        <v>23</v>
      </c>
      <c r="B2335" s="941" t="s">
        <v>4051</v>
      </c>
      <c r="C2335" s="1042">
        <v>350035237171329</v>
      </c>
      <c r="D2335" s="941"/>
      <c r="E2335" s="941">
        <v>910</v>
      </c>
      <c r="F2335" s="1044">
        <f t="shared" si="23"/>
        <v>3248.7</v>
      </c>
      <c r="G2335" s="895"/>
      <c r="H2335"/>
    </row>
    <row r="2336" spans="1:8">
      <c r="A2336" s="941">
        <v>24</v>
      </c>
      <c r="B2336" s="941" t="s">
        <v>4053</v>
      </c>
      <c r="C2336" s="1042">
        <v>350035233820630</v>
      </c>
      <c r="D2336" s="941"/>
      <c r="E2336" s="941">
        <v>890</v>
      </c>
      <c r="F2336" s="1044">
        <f t="shared" si="23"/>
        <v>3177.2999999999997</v>
      </c>
      <c r="G2336" s="895"/>
      <c r="H2336"/>
    </row>
    <row r="2337" spans="1:8">
      <c r="A2337" s="941">
        <v>25</v>
      </c>
      <c r="B2337" s="941" t="s">
        <v>4053</v>
      </c>
      <c r="C2337" s="1042">
        <v>358434709168842</v>
      </c>
      <c r="D2337" s="941"/>
      <c r="E2337" s="941">
        <v>890</v>
      </c>
      <c r="F2337" s="1044">
        <f t="shared" si="23"/>
        <v>3177.2999999999997</v>
      </c>
      <c r="G2337" s="895"/>
      <c r="H2337"/>
    </row>
    <row r="2338" spans="1:8">
      <c r="A2338" s="941">
        <v>26</v>
      </c>
      <c r="B2338" s="941" t="s">
        <v>4053</v>
      </c>
      <c r="C2338" s="1042">
        <v>357329449293614</v>
      </c>
      <c r="D2338" s="941"/>
      <c r="E2338" s="941">
        <v>890</v>
      </c>
      <c r="F2338" s="1044">
        <f t="shared" si="23"/>
        <v>3177.2999999999997</v>
      </c>
      <c r="G2338" s="895"/>
      <c r="H2338"/>
    </row>
    <row r="2339" spans="1:8">
      <c r="A2339" s="941">
        <v>27</v>
      </c>
      <c r="B2339" s="941" t="s">
        <v>4053</v>
      </c>
      <c r="C2339" s="1042">
        <v>358434709475783</v>
      </c>
      <c r="D2339" s="941"/>
      <c r="E2339" s="941">
        <v>890</v>
      </c>
      <c r="F2339" s="1044">
        <f t="shared" si="23"/>
        <v>3177.2999999999997</v>
      </c>
      <c r="G2339" s="895"/>
      <c r="H2339"/>
    </row>
    <row r="2340" spans="1:8">
      <c r="A2340" s="941">
        <v>28</v>
      </c>
      <c r="B2340" s="941" t="s">
        <v>4053</v>
      </c>
      <c r="C2340" s="1042">
        <v>350552898189374</v>
      </c>
      <c r="D2340" s="941"/>
      <c r="E2340" s="941">
        <v>890</v>
      </c>
      <c r="F2340" s="1044">
        <f t="shared" si="23"/>
        <v>3177.2999999999997</v>
      </c>
      <c r="G2340" s="895"/>
      <c r="H2340"/>
    </row>
    <row r="2341" spans="1:8">
      <c r="A2341" s="941">
        <v>29</v>
      </c>
      <c r="B2341" s="941" t="s">
        <v>4053</v>
      </c>
      <c r="C2341" s="1042">
        <v>359814718786685</v>
      </c>
      <c r="D2341" s="941"/>
      <c r="E2341" s="941">
        <v>890</v>
      </c>
      <c r="F2341" s="1044">
        <f t="shared" si="23"/>
        <v>3177.2999999999997</v>
      </c>
      <c r="G2341" s="895"/>
      <c r="H2341"/>
    </row>
    <row r="2342" spans="1:8">
      <c r="A2342" s="941">
        <v>30</v>
      </c>
      <c r="B2342" s="941" t="s">
        <v>4053</v>
      </c>
      <c r="C2342" s="1042">
        <v>357329448436974</v>
      </c>
      <c r="D2342" s="941"/>
      <c r="E2342" s="941">
        <v>890</v>
      </c>
      <c r="F2342" s="1044">
        <f t="shared" si="23"/>
        <v>3177.2999999999997</v>
      </c>
      <c r="G2342" s="895"/>
      <c r="H2342"/>
    </row>
    <row r="2343" spans="1:8">
      <c r="A2343" s="941">
        <v>31</v>
      </c>
      <c r="B2343" s="941" t="s">
        <v>4053</v>
      </c>
      <c r="C2343" s="1042">
        <v>357329448679995</v>
      </c>
      <c r="D2343" s="941"/>
      <c r="E2343" s="941">
        <v>890</v>
      </c>
      <c r="F2343" s="1044">
        <f t="shared" si="23"/>
        <v>3177.2999999999997</v>
      </c>
      <c r="G2343" s="895"/>
      <c r="H2343"/>
    </row>
    <row r="2344" spans="1:8">
      <c r="A2344" s="941">
        <v>32</v>
      </c>
      <c r="B2344" s="1092" t="s">
        <v>4054</v>
      </c>
      <c r="C2344" s="1042">
        <v>353497857476999</v>
      </c>
      <c r="D2344" s="941"/>
      <c r="E2344" s="941">
        <v>940</v>
      </c>
      <c r="F2344" s="1044">
        <f t="shared" si="23"/>
        <v>3355.7999999999997</v>
      </c>
      <c r="G2344" s="895"/>
      <c r="H2344"/>
    </row>
    <row r="2345" spans="1:8">
      <c r="A2345" s="941">
        <v>33</v>
      </c>
      <c r="B2345" s="941" t="s">
        <v>4054</v>
      </c>
      <c r="C2345" s="1042">
        <v>356225420649777</v>
      </c>
      <c r="D2345" s="941"/>
      <c r="E2345" s="941">
        <v>940</v>
      </c>
      <c r="F2345" s="1044">
        <f t="shared" si="23"/>
        <v>3355.7999999999997</v>
      </c>
      <c r="G2345" s="895"/>
      <c r="H2345"/>
    </row>
    <row r="2346" spans="1:8">
      <c r="A2346" s="941">
        <v>34</v>
      </c>
      <c r="B2346" s="941" t="s">
        <v>4054</v>
      </c>
      <c r="C2346" s="1042">
        <v>353497857457718</v>
      </c>
      <c r="D2346" s="941"/>
      <c r="E2346" s="941">
        <v>940</v>
      </c>
      <c r="F2346" s="1044">
        <f t="shared" si="23"/>
        <v>3355.7999999999997</v>
      </c>
      <c r="G2346" s="895"/>
      <c r="H2346"/>
    </row>
    <row r="2347" spans="1:8">
      <c r="A2347" s="941">
        <v>35</v>
      </c>
      <c r="B2347" s="941" t="s">
        <v>4054</v>
      </c>
      <c r="C2347" s="1042">
        <v>358902516190852</v>
      </c>
      <c r="D2347" s="941"/>
      <c r="E2347" s="941">
        <v>940</v>
      </c>
      <c r="F2347" s="1044">
        <f t="shared" si="23"/>
        <v>3355.7999999999997</v>
      </c>
      <c r="G2347" s="895"/>
      <c r="H2347"/>
    </row>
    <row r="2348" spans="1:8">
      <c r="A2348" s="941">
        <v>36</v>
      </c>
      <c r="B2348" s="941" t="s">
        <v>4054</v>
      </c>
      <c r="C2348" s="1042">
        <v>356225420213871</v>
      </c>
      <c r="D2348" s="941"/>
      <c r="E2348" s="941">
        <v>940</v>
      </c>
      <c r="F2348" s="1044">
        <f t="shared" si="23"/>
        <v>3355.7999999999997</v>
      </c>
      <c r="G2348" s="895"/>
      <c r="H2348"/>
    </row>
    <row r="2349" spans="1:8">
      <c r="A2349" s="941">
        <v>37</v>
      </c>
      <c r="B2349" s="1092" t="s">
        <v>4054</v>
      </c>
      <c r="C2349" s="1042">
        <v>359814719223902</v>
      </c>
      <c r="D2349" s="941" t="s">
        <v>4295</v>
      </c>
      <c r="E2349" s="941">
        <v>910</v>
      </c>
      <c r="F2349" s="1044">
        <f t="shared" si="23"/>
        <v>3248.7</v>
      </c>
      <c r="G2349" s="895"/>
      <c r="H2349"/>
    </row>
    <row r="2350" spans="1:8">
      <c r="A2350" s="941">
        <v>38</v>
      </c>
      <c r="B2350" s="1092" t="s">
        <v>4296</v>
      </c>
      <c r="C2350" s="1042">
        <v>352355708043148</v>
      </c>
      <c r="D2350" s="941"/>
      <c r="E2350" s="941">
        <v>1320</v>
      </c>
      <c r="F2350" s="1044">
        <f t="shared" si="23"/>
        <v>4712.3999999999996</v>
      </c>
      <c r="G2350" s="895"/>
      <c r="H2350"/>
    </row>
    <row r="2351" spans="1:8">
      <c r="A2351" s="941">
        <v>39</v>
      </c>
      <c r="B2351" s="1092" t="s">
        <v>4107</v>
      </c>
      <c r="C2351" s="1042">
        <v>352255852984487</v>
      </c>
      <c r="D2351" s="941"/>
      <c r="E2351" s="941">
        <v>720</v>
      </c>
      <c r="F2351" s="1044">
        <f t="shared" si="23"/>
        <v>2570.4</v>
      </c>
      <c r="G2351" s="895"/>
      <c r="H2351"/>
    </row>
    <row r="2352" spans="1:8">
      <c r="A2352" s="941">
        <v>40</v>
      </c>
      <c r="B2352" s="1092" t="s">
        <v>4297</v>
      </c>
      <c r="C2352" s="1042">
        <v>352255854683442</v>
      </c>
      <c r="D2352" s="941"/>
      <c r="E2352" s="941">
        <v>720</v>
      </c>
      <c r="F2352" s="1044">
        <f t="shared" si="23"/>
        <v>2570.4</v>
      </c>
      <c r="G2352" s="895"/>
      <c r="H2352"/>
    </row>
    <row r="2353" spans="1:8">
      <c r="A2353" s="941">
        <v>41</v>
      </c>
      <c r="B2353" s="1092" t="s">
        <v>4298</v>
      </c>
      <c r="C2353" s="1042" t="s">
        <v>4299</v>
      </c>
      <c r="D2353" s="941" t="s">
        <v>4295</v>
      </c>
      <c r="E2353" s="941">
        <v>1375</v>
      </c>
      <c r="F2353" s="1044">
        <f t="shared" si="23"/>
        <v>4908.75</v>
      </c>
      <c r="G2353" s="895"/>
      <c r="H2353"/>
    </row>
    <row r="2354" spans="1:8">
      <c r="A2354" s="941">
        <v>42</v>
      </c>
      <c r="B2354" s="941" t="s">
        <v>4300</v>
      </c>
      <c r="C2354" s="1042" t="s">
        <v>4301</v>
      </c>
      <c r="D2354" s="941"/>
      <c r="E2354" s="941">
        <v>325</v>
      </c>
      <c r="F2354" s="1044">
        <f t="shared" si="23"/>
        <v>1160.25</v>
      </c>
      <c r="G2354" s="895"/>
      <c r="H2354"/>
    </row>
    <row r="2355" spans="1:8">
      <c r="A2355" s="941">
        <v>43</v>
      </c>
      <c r="B2355" s="941" t="s">
        <v>4300</v>
      </c>
      <c r="C2355" s="1042" t="s">
        <v>4302</v>
      </c>
      <c r="D2355" s="941"/>
      <c r="E2355" s="941">
        <v>325</v>
      </c>
      <c r="F2355" s="1044">
        <f t="shared" si="23"/>
        <v>1160.25</v>
      </c>
      <c r="G2355" s="895"/>
      <c r="H2355"/>
    </row>
    <row r="2356" spans="1:8">
      <c r="A2356" s="941">
        <v>44</v>
      </c>
      <c r="B2356" s="941" t="s">
        <v>4303</v>
      </c>
      <c r="C2356" s="1042" t="s">
        <v>4304</v>
      </c>
      <c r="D2356" s="941"/>
      <c r="E2356" s="941">
        <v>325</v>
      </c>
      <c r="F2356" s="1044">
        <f t="shared" si="23"/>
        <v>1160.25</v>
      </c>
      <c r="G2356" s="895"/>
      <c r="H2356"/>
    </row>
    <row r="2357" spans="1:8">
      <c r="A2357" s="941">
        <v>45</v>
      </c>
      <c r="B2357" s="941" t="s">
        <v>4303</v>
      </c>
      <c r="C2357" s="1042" t="s">
        <v>4305</v>
      </c>
      <c r="D2357" s="941"/>
      <c r="E2357" s="941">
        <v>325</v>
      </c>
      <c r="F2357" s="1044">
        <f t="shared" si="23"/>
        <v>1160.25</v>
      </c>
      <c r="G2357" s="895"/>
      <c r="H2357"/>
    </row>
    <row r="2358" spans="1:8">
      <c r="A2358" s="941">
        <v>46</v>
      </c>
      <c r="B2358" s="941" t="s">
        <v>4303</v>
      </c>
      <c r="C2358" s="1042" t="s">
        <v>4306</v>
      </c>
      <c r="D2358" s="941"/>
      <c r="E2358" s="941">
        <v>325</v>
      </c>
      <c r="F2358" s="1044">
        <f t="shared" si="23"/>
        <v>1160.25</v>
      </c>
      <c r="G2358" s="895"/>
      <c r="H2358"/>
    </row>
    <row r="2359" spans="1:8">
      <c r="A2359" s="941">
        <v>47</v>
      </c>
      <c r="B2359" s="941" t="s">
        <v>4303</v>
      </c>
      <c r="C2359" s="1042" t="s">
        <v>4307</v>
      </c>
      <c r="D2359" s="941"/>
      <c r="E2359" s="941">
        <v>325</v>
      </c>
      <c r="F2359" s="1044">
        <f t="shared" si="23"/>
        <v>1160.25</v>
      </c>
      <c r="G2359" s="895"/>
      <c r="H2359"/>
    </row>
    <row r="2360" spans="1:8">
      <c r="A2360" s="941">
        <v>48</v>
      </c>
      <c r="B2360" s="941" t="s">
        <v>1469</v>
      </c>
      <c r="C2360" s="1042" t="s">
        <v>4308</v>
      </c>
      <c r="D2360" s="941"/>
      <c r="E2360" s="941">
        <v>85</v>
      </c>
      <c r="F2360" s="1044">
        <f t="shared" si="23"/>
        <v>303.45</v>
      </c>
      <c r="G2360" s="895"/>
      <c r="H2360"/>
    </row>
    <row r="2361" spans="1:8">
      <c r="A2361" s="941">
        <v>49</v>
      </c>
      <c r="B2361" s="941" t="s">
        <v>1469</v>
      </c>
      <c r="C2361" s="1042" t="s">
        <v>4309</v>
      </c>
      <c r="D2361" s="941"/>
      <c r="E2361" s="941">
        <v>85</v>
      </c>
      <c r="F2361" s="1044">
        <f t="shared" si="23"/>
        <v>303.45</v>
      </c>
      <c r="G2361" s="895"/>
      <c r="H2361"/>
    </row>
    <row r="2362" spans="1:8">
      <c r="A2362" s="941">
        <v>50</v>
      </c>
      <c r="B2362" s="941" t="s">
        <v>1469</v>
      </c>
      <c r="C2362" s="1042" t="s">
        <v>4310</v>
      </c>
      <c r="D2362" s="941"/>
      <c r="E2362" s="941">
        <v>85</v>
      </c>
      <c r="F2362" s="1044">
        <f t="shared" si="23"/>
        <v>303.45</v>
      </c>
      <c r="G2362" s="895"/>
      <c r="H2362"/>
    </row>
    <row r="2363" spans="1:8">
      <c r="A2363" s="941">
        <v>51</v>
      </c>
      <c r="B2363" s="941" t="s">
        <v>1469</v>
      </c>
      <c r="C2363" s="1042" t="s">
        <v>4311</v>
      </c>
      <c r="D2363" s="941"/>
      <c r="E2363" s="941">
        <v>85</v>
      </c>
      <c r="F2363" s="1044">
        <f t="shared" si="23"/>
        <v>303.45</v>
      </c>
      <c r="G2363" s="895"/>
      <c r="H2363"/>
    </row>
    <row r="2364" spans="1:8">
      <c r="A2364" s="941">
        <v>52</v>
      </c>
      <c r="B2364" s="941" t="s">
        <v>1469</v>
      </c>
      <c r="C2364" s="1042" t="s">
        <v>4312</v>
      </c>
      <c r="D2364" s="941"/>
      <c r="E2364" s="941">
        <v>85</v>
      </c>
      <c r="F2364" s="1044">
        <f t="shared" si="23"/>
        <v>303.45</v>
      </c>
      <c r="G2364" s="895"/>
      <c r="H2364"/>
    </row>
    <row r="2365" spans="1:8">
      <c r="A2365" s="941">
        <v>53</v>
      </c>
      <c r="B2365" s="941" t="s">
        <v>1469</v>
      </c>
      <c r="C2365" s="1042" t="s">
        <v>4313</v>
      </c>
      <c r="D2365" s="941"/>
      <c r="E2365" s="941">
        <v>85</v>
      </c>
      <c r="F2365" s="1044">
        <f t="shared" si="23"/>
        <v>303.45</v>
      </c>
      <c r="G2365" s="895"/>
      <c r="H2365"/>
    </row>
    <row r="2366" spans="1:8">
      <c r="A2366" s="941">
        <v>54</v>
      </c>
      <c r="B2366" s="941" t="s">
        <v>1469</v>
      </c>
      <c r="C2366" s="1042" t="s">
        <v>4314</v>
      </c>
      <c r="D2366" s="941"/>
      <c r="E2366" s="941">
        <v>85</v>
      </c>
      <c r="F2366" s="1044">
        <f t="shared" si="23"/>
        <v>303.45</v>
      </c>
      <c r="G2366" s="895"/>
      <c r="H2366"/>
    </row>
    <row r="2367" spans="1:8">
      <c r="A2367" s="941">
        <v>55</v>
      </c>
      <c r="B2367" s="941" t="s">
        <v>1469</v>
      </c>
      <c r="C2367" s="1042" t="s">
        <v>4315</v>
      </c>
      <c r="D2367" s="941"/>
      <c r="E2367" s="941">
        <v>85</v>
      </c>
      <c r="F2367" s="1044">
        <f t="shared" si="23"/>
        <v>303.45</v>
      </c>
      <c r="G2367" s="895"/>
      <c r="H2367"/>
    </row>
    <row r="2368" spans="1:8">
      <c r="A2368" s="941">
        <v>56</v>
      </c>
      <c r="B2368" s="941" t="s">
        <v>4316</v>
      </c>
      <c r="C2368" s="1042" t="s">
        <v>4317</v>
      </c>
      <c r="D2368" s="941"/>
      <c r="E2368" s="941">
        <v>425</v>
      </c>
      <c r="F2368" s="1044">
        <f t="shared" si="23"/>
        <v>1517.25</v>
      </c>
      <c r="G2368" s="895"/>
      <c r="H2368"/>
    </row>
    <row r="2369" spans="1:8">
      <c r="A2369" s="941">
        <v>57</v>
      </c>
      <c r="B2369" s="941" t="s">
        <v>4316</v>
      </c>
      <c r="C2369" s="1042" t="s">
        <v>4318</v>
      </c>
      <c r="D2369" s="941"/>
      <c r="E2369" s="941">
        <v>425</v>
      </c>
      <c r="F2369" s="1044">
        <f t="shared" si="23"/>
        <v>1517.25</v>
      </c>
      <c r="G2369" s="895"/>
      <c r="H2369"/>
    </row>
    <row r="2370" spans="1:8" ht="18.75">
      <c r="A2370" s="895"/>
      <c r="B2370" s="895"/>
      <c r="C2370" s="895"/>
      <c r="D2370" s="895"/>
      <c r="E2370" s="1097">
        <f>SUM(E2313:E2369)</f>
        <v>41305</v>
      </c>
      <c r="F2370" s="1098">
        <f>SUM(F2313:F2369)</f>
        <v>147458.85000000009</v>
      </c>
      <c r="H2370" s="895"/>
    </row>
    <row r="2371" spans="1:8">
      <c r="A2371" s="895"/>
      <c r="B2371" s="895"/>
      <c r="C2371" s="895"/>
      <c r="D2371" s="895"/>
      <c r="E2371" s="1099" t="s">
        <v>4319</v>
      </c>
      <c r="F2371" s="1100">
        <v>107.09999999999991</v>
      </c>
      <c r="H2371" s="895"/>
    </row>
    <row r="2372" spans="1:8">
      <c r="A2372" s="895"/>
      <c r="B2372" s="895"/>
      <c r="C2372" s="895"/>
      <c r="D2372" s="895"/>
      <c r="E2372" s="895"/>
      <c r="F2372" s="1101">
        <f>F2370-F2371</f>
        <v>147351.75000000009</v>
      </c>
      <c r="H2372" s="895"/>
    </row>
    <row r="2379" spans="1:8">
      <c r="A2379" s="1142"/>
      <c r="B2379" s="1143" t="s">
        <v>1</v>
      </c>
      <c r="C2379" s="1144">
        <v>46135</v>
      </c>
      <c r="D2379" s="1144" t="s">
        <v>4353</v>
      </c>
      <c r="E2379" s="895"/>
    </row>
    <row r="2380" spans="1:8">
      <c r="A2380" s="1145" t="s">
        <v>3928</v>
      </c>
      <c r="B2380" s="1146" t="s">
        <v>2416</v>
      </c>
      <c r="C2380" s="1156" t="s">
        <v>4355</v>
      </c>
      <c r="D2380" s="1147" t="s">
        <v>3111</v>
      </c>
      <c r="E2380" s="895"/>
    </row>
    <row r="2381" spans="1:8">
      <c r="A2381" s="941">
        <v>1</v>
      </c>
      <c r="B2381" s="1152" t="s">
        <v>4051</v>
      </c>
      <c r="C2381" s="1042">
        <v>356392246070503</v>
      </c>
      <c r="D2381" s="941">
        <v>3350</v>
      </c>
      <c r="E2381" s="1086"/>
    </row>
    <row r="2382" spans="1:8">
      <c r="A2382" s="941">
        <v>2</v>
      </c>
      <c r="B2382" s="941" t="s">
        <v>4336</v>
      </c>
      <c r="C2382" s="1042">
        <v>356392248446594</v>
      </c>
      <c r="D2382" s="941">
        <v>3350</v>
      </c>
      <c r="E2382" s="1086"/>
    </row>
    <row r="2383" spans="1:8">
      <c r="A2383" s="941">
        <v>3</v>
      </c>
      <c r="B2383" s="941" t="s">
        <v>4336</v>
      </c>
      <c r="C2383" s="1042">
        <v>356392247682173</v>
      </c>
      <c r="D2383" s="941">
        <v>3350</v>
      </c>
      <c r="E2383" s="1086"/>
    </row>
    <row r="2384" spans="1:8">
      <c r="A2384" s="941">
        <v>4</v>
      </c>
      <c r="B2384" s="941" t="s">
        <v>4336</v>
      </c>
      <c r="C2384" s="1042">
        <v>359814711161357</v>
      </c>
      <c r="D2384" s="941">
        <v>3350</v>
      </c>
      <c r="E2384" s="1086"/>
    </row>
    <row r="2385" spans="1:5">
      <c r="A2385" s="941">
        <v>5</v>
      </c>
      <c r="B2385" s="941" t="s">
        <v>4336</v>
      </c>
      <c r="C2385" s="1042">
        <v>356392247719660</v>
      </c>
      <c r="D2385" s="941">
        <v>3350</v>
      </c>
      <c r="E2385" s="1086"/>
    </row>
    <row r="2386" spans="1:5">
      <c r="A2386" s="941">
        <v>6</v>
      </c>
      <c r="B2386" s="1152" t="s">
        <v>4053</v>
      </c>
      <c r="C2386" s="1042">
        <v>356392249592818</v>
      </c>
      <c r="D2386" s="941">
        <v>3050</v>
      </c>
      <c r="E2386" s="1086"/>
    </row>
    <row r="2387" spans="1:5">
      <c r="A2387" s="941">
        <v>7</v>
      </c>
      <c r="B2387" s="941" t="s">
        <v>4337</v>
      </c>
      <c r="C2387" s="1042">
        <v>356392248475684</v>
      </c>
      <c r="D2387" s="941">
        <v>3050</v>
      </c>
      <c r="E2387" s="1086"/>
    </row>
    <row r="2388" spans="1:5">
      <c r="A2388" s="941">
        <v>8</v>
      </c>
      <c r="B2388" s="941" t="s">
        <v>4337</v>
      </c>
      <c r="C2388" s="1042">
        <v>358902518047811</v>
      </c>
      <c r="D2388" s="941">
        <v>3050</v>
      </c>
      <c r="E2388" s="1086"/>
    </row>
    <row r="2389" spans="1:5">
      <c r="A2389" s="941">
        <v>9</v>
      </c>
      <c r="B2389" s="941" t="s">
        <v>4337</v>
      </c>
      <c r="C2389" s="1042">
        <v>356392243271609</v>
      </c>
      <c r="D2389" s="941">
        <v>3050</v>
      </c>
      <c r="E2389" s="1086"/>
    </row>
    <row r="2390" spans="1:5">
      <c r="A2390" s="941">
        <v>10</v>
      </c>
      <c r="B2390" s="941" t="s">
        <v>4337</v>
      </c>
      <c r="C2390" s="1042">
        <v>358051329072392</v>
      </c>
      <c r="D2390" s="941">
        <v>3050</v>
      </c>
      <c r="E2390" s="1086"/>
    </row>
    <row r="2391" spans="1:5">
      <c r="A2391" s="941">
        <v>11</v>
      </c>
      <c r="B2391" s="941" t="s">
        <v>4337</v>
      </c>
      <c r="C2391" s="1042">
        <v>356392248432180</v>
      </c>
      <c r="D2391" s="941">
        <v>3050</v>
      </c>
      <c r="E2391" s="1086"/>
    </row>
    <row r="2392" spans="1:5">
      <c r="A2392" s="941">
        <v>12</v>
      </c>
      <c r="B2392" s="941" t="s">
        <v>4337</v>
      </c>
      <c r="C2392" s="1042">
        <v>356392248888357</v>
      </c>
      <c r="D2392" s="941">
        <v>3050</v>
      </c>
      <c r="E2392" s="1086"/>
    </row>
    <row r="2393" spans="1:5">
      <c r="A2393" s="941">
        <v>13</v>
      </c>
      <c r="B2393" s="941" t="s">
        <v>4337</v>
      </c>
      <c r="C2393" s="1042">
        <v>357329442133734</v>
      </c>
      <c r="D2393" s="941">
        <v>3050</v>
      </c>
      <c r="E2393" s="1086"/>
    </row>
    <row r="2394" spans="1:5">
      <c r="A2394" s="941">
        <v>14</v>
      </c>
      <c r="B2394" s="941" t="s">
        <v>4337</v>
      </c>
      <c r="C2394" s="1042">
        <v>353263426425341</v>
      </c>
      <c r="D2394" s="941">
        <v>3050</v>
      </c>
      <c r="E2394" s="1086"/>
    </row>
    <row r="2395" spans="1:5">
      <c r="A2395" s="941">
        <v>15</v>
      </c>
      <c r="B2395" s="1152" t="s">
        <v>4054</v>
      </c>
      <c r="C2395" s="1042">
        <v>359814712926543</v>
      </c>
      <c r="D2395" s="941">
        <v>3450</v>
      </c>
      <c r="E2395" s="1086"/>
    </row>
    <row r="2396" spans="1:5">
      <c r="A2396" s="941">
        <v>16</v>
      </c>
      <c r="B2396" s="941" t="s">
        <v>4338</v>
      </c>
      <c r="C2396" s="1042">
        <v>357329444141537</v>
      </c>
      <c r="D2396" s="941">
        <v>3450</v>
      </c>
      <c r="E2396" s="1086"/>
    </row>
    <row r="2397" spans="1:5">
      <c r="A2397" s="941">
        <v>17</v>
      </c>
      <c r="B2397" s="941" t="s">
        <v>4338</v>
      </c>
      <c r="C2397" s="1042">
        <v>358434702387613</v>
      </c>
      <c r="D2397" s="941">
        <v>3450</v>
      </c>
      <c r="E2397" s="1086"/>
    </row>
    <row r="2398" spans="1:5">
      <c r="A2398" s="941">
        <v>18</v>
      </c>
      <c r="B2398" s="1152" t="s">
        <v>4056</v>
      </c>
      <c r="C2398" s="1042">
        <v>356250544941595</v>
      </c>
      <c r="D2398" s="941">
        <v>2700</v>
      </c>
      <c r="E2398" s="1086"/>
    </row>
    <row r="2399" spans="1:5">
      <c r="A2399" s="941">
        <v>19</v>
      </c>
      <c r="B2399" s="941" t="s">
        <v>4339</v>
      </c>
      <c r="C2399" s="1042">
        <v>357254472581661</v>
      </c>
      <c r="D2399" s="941">
        <v>2600</v>
      </c>
      <c r="E2399" s="1086"/>
    </row>
    <row r="2400" spans="1:5">
      <c r="A2400" s="941">
        <v>20</v>
      </c>
      <c r="B2400" s="941" t="s">
        <v>4339</v>
      </c>
      <c r="C2400" s="1042">
        <v>359477637351161</v>
      </c>
      <c r="D2400" s="941">
        <v>2600</v>
      </c>
      <c r="E2400" s="1086"/>
    </row>
    <row r="2401" spans="1:5">
      <c r="A2401" s="941">
        <v>21</v>
      </c>
      <c r="B2401" s="1152" t="s">
        <v>4058</v>
      </c>
      <c r="C2401" s="1042">
        <v>359477637199115</v>
      </c>
      <c r="D2401" s="941">
        <v>2600</v>
      </c>
      <c r="E2401" s="1086"/>
    </row>
    <row r="2402" spans="1:5">
      <c r="A2402" s="941">
        <v>22</v>
      </c>
      <c r="B2402" s="941" t="s">
        <v>4339</v>
      </c>
      <c r="C2402" s="1042">
        <v>355981553878614</v>
      </c>
      <c r="D2402" s="941">
        <v>2600</v>
      </c>
      <c r="E2402" s="1086"/>
    </row>
    <row r="2403" spans="1:5">
      <c r="A2403" s="941">
        <v>23</v>
      </c>
      <c r="B2403" s="941" t="s">
        <v>4339</v>
      </c>
      <c r="C2403" s="1042">
        <v>357254473978460</v>
      </c>
      <c r="D2403" s="941">
        <v>2600</v>
      </c>
      <c r="E2403" s="1086"/>
    </row>
    <row r="2404" spans="1:5">
      <c r="A2404" s="941">
        <v>24</v>
      </c>
      <c r="B2404" s="941" t="s">
        <v>4339</v>
      </c>
      <c r="C2404" s="1042">
        <v>357254472517798</v>
      </c>
      <c r="D2404" s="941">
        <v>2600</v>
      </c>
      <c r="E2404" s="1086"/>
    </row>
    <row r="2405" spans="1:5">
      <c r="A2405" s="941">
        <v>25</v>
      </c>
      <c r="B2405" s="941" t="s">
        <v>4339</v>
      </c>
      <c r="C2405" s="1042">
        <v>356245412630122</v>
      </c>
      <c r="D2405" s="941">
        <v>2600</v>
      </c>
      <c r="E2405" s="1086"/>
    </row>
    <row r="2406" spans="1:5">
      <c r="A2406" s="941">
        <v>26</v>
      </c>
      <c r="B2406" s="941" t="s">
        <v>4339</v>
      </c>
      <c r="C2406" s="1042">
        <v>356245412743255</v>
      </c>
      <c r="D2406" s="941">
        <v>2600</v>
      </c>
      <c r="E2406" s="1086"/>
    </row>
    <row r="2407" spans="1:5">
      <c r="A2407" s="941">
        <v>27</v>
      </c>
      <c r="B2407" s="941" t="s">
        <v>4339</v>
      </c>
      <c r="C2407" s="1042">
        <v>355820205659842</v>
      </c>
      <c r="D2407" s="941">
        <v>2600</v>
      </c>
      <c r="E2407" s="1086"/>
    </row>
    <row r="2408" spans="1:5">
      <c r="A2408" s="941">
        <v>28</v>
      </c>
      <c r="B2408" s="1152" t="s">
        <v>4060</v>
      </c>
      <c r="C2408" s="1042">
        <v>355820206737670</v>
      </c>
      <c r="D2408" s="941">
        <v>2850</v>
      </c>
      <c r="E2408" s="1086"/>
    </row>
    <row r="2409" spans="1:5">
      <c r="A2409" s="941">
        <v>29</v>
      </c>
      <c r="B2409" s="941" t="s">
        <v>4340</v>
      </c>
      <c r="C2409" s="1042">
        <v>355820205752944</v>
      </c>
      <c r="D2409" s="941">
        <v>2850</v>
      </c>
      <c r="E2409" s="1086"/>
    </row>
    <row r="2410" spans="1:5">
      <c r="A2410" s="941">
        <v>30</v>
      </c>
      <c r="B2410" s="941" t="s">
        <v>4340</v>
      </c>
      <c r="C2410" s="1042">
        <v>355079366697840</v>
      </c>
      <c r="D2410" s="941">
        <v>2850</v>
      </c>
      <c r="E2410" s="1086"/>
    </row>
    <row r="2411" spans="1:5">
      <c r="A2411" s="941">
        <v>31</v>
      </c>
      <c r="B2411" s="941" t="s">
        <v>4340</v>
      </c>
      <c r="C2411" s="1042">
        <v>355079365726384</v>
      </c>
      <c r="D2411" s="941">
        <v>2850</v>
      </c>
      <c r="E2411" s="1086"/>
    </row>
    <row r="2412" spans="1:5">
      <c r="A2412" s="941">
        <v>32</v>
      </c>
      <c r="B2412" s="1152" t="s">
        <v>4063</v>
      </c>
      <c r="C2412" s="1042">
        <v>351807172105226</v>
      </c>
      <c r="D2412" s="941">
        <v>1800</v>
      </c>
      <c r="E2412" s="1086"/>
    </row>
    <row r="2413" spans="1:5">
      <c r="A2413" s="941">
        <v>33</v>
      </c>
      <c r="B2413" s="1152" t="s">
        <v>4341</v>
      </c>
      <c r="C2413" s="1042">
        <v>352355707003614</v>
      </c>
      <c r="D2413" s="941">
        <v>3700</v>
      </c>
      <c r="E2413" s="1086"/>
    </row>
    <row r="2414" spans="1:5">
      <c r="A2414" s="941">
        <v>34</v>
      </c>
      <c r="B2414" s="941" t="s">
        <v>4342</v>
      </c>
      <c r="C2414" s="1042">
        <v>352355705309393</v>
      </c>
      <c r="D2414" s="941">
        <v>3700</v>
      </c>
      <c r="E2414" s="1086"/>
    </row>
    <row r="2415" spans="1:5">
      <c r="A2415" s="941">
        <v>35</v>
      </c>
      <c r="B2415" s="941" t="s">
        <v>4342</v>
      </c>
      <c r="C2415" s="1042">
        <v>352355701092241</v>
      </c>
      <c r="D2415" s="941">
        <v>3700</v>
      </c>
      <c r="E2415" s="1086"/>
    </row>
    <row r="2416" spans="1:5">
      <c r="A2416" s="941">
        <v>36</v>
      </c>
      <c r="B2416" s="941" t="s">
        <v>4342</v>
      </c>
      <c r="C2416" s="1042">
        <v>352355701883631</v>
      </c>
      <c r="D2416" s="941">
        <v>3700</v>
      </c>
      <c r="E2416" s="1086"/>
    </row>
    <row r="2417" spans="1:5">
      <c r="A2417" s="941">
        <v>37</v>
      </c>
      <c r="B2417" s="1152" t="s">
        <v>4343</v>
      </c>
      <c r="C2417" s="1042">
        <v>358112934493454</v>
      </c>
      <c r="D2417" s="941">
        <v>3450</v>
      </c>
      <c r="E2417" s="1148" t="s">
        <v>3144</v>
      </c>
    </row>
    <row r="2418" spans="1:5">
      <c r="A2418" s="941">
        <v>38</v>
      </c>
      <c r="B2418" s="1152" t="s">
        <v>4344</v>
      </c>
      <c r="C2418" s="1042">
        <v>352255851413843</v>
      </c>
      <c r="D2418" s="941">
        <v>2450</v>
      </c>
      <c r="E2418" s="1086"/>
    </row>
    <row r="2419" spans="1:5">
      <c r="A2419" s="941">
        <v>39</v>
      </c>
      <c r="B2419" s="1152" t="s">
        <v>4345</v>
      </c>
      <c r="C2419" s="1042">
        <v>358135794404279</v>
      </c>
      <c r="D2419" s="941">
        <v>2280</v>
      </c>
      <c r="E2419" s="1086"/>
    </row>
    <row r="2420" spans="1:5">
      <c r="A2420" s="941">
        <v>40</v>
      </c>
      <c r="B2420" s="941" t="s">
        <v>4346</v>
      </c>
      <c r="C2420" s="1042">
        <v>355827875882083</v>
      </c>
      <c r="D2420" s="941">
        <v>2280</v>
      </c>
      <c r="E2420" s="1086"/>
    </row>
    <row r="2421" spans="1:5">
      <c r="A2421" s="941">
        <v>41</v>
      </c>
      <c r="B2421" s="941" t="s">
        <v>4346</v>
      </c>
      <c r="C2421" s="1042">
        <v>358135795265471</v>
      </c>
      <c r="D2421" s="941">
        <v>2280</v>
      </c>
      <c r="E2421" s="1086"/>
    </row>
    <row r="2422" spans="1:5">
      <c r="A2422" s="941">
        <v>42</v>
      </c>
      <c r="B2422" s="941" t="s">
        <v>4346</v>
      </c>
      <c r="C2422" s="1042">
        <v>355827875436302</v>
      </c>
      <c r="D2422" s="941">
        <v>2280</v>
      </c>
      <c r="E2422" s="1086"/>
    </row>
    <row r="2423" spans="1:5">
      <c r="A2423" s="941">
        <v>43</v>
      </c>
      <c r="B2423" s="1152" t="s">
        <v>4347</v>
      </c>
      <c r="C2423" s="1042">
        <v>353938645750781</v>
      </c>
      <c r="D2423" s="941">
        <v>2280</v>
      </c>
      <c r="E2423" s="1086"/>
    </row>
    <row r="2424" spans="1:5">
      <c r="A2424" s="1148">
        <v>44</v>
      </c>
      <c r="B2424" s="1149" t="s">
        <v>4348</v>
      </c>
      <c r="C2424" s="1150">
        <v>355041760888912</v>
      </c>
      <c r="D2424" s="1148">
        <v>800</v>
      </c>
      <c r="E2424" s="1086"/>
    </row>
    <row r="2425" spans="1:5">
      <c r="A2425" s="941">
        <v>45</v>
      </c>
      <c r="B2425" s="941" t="s">
        <v>4349</v>
      </c>
      <c r="C2425" s="1042">
        <v>351235181381986</v>
      </c>
      <c r="D2425" s="941">
        <v>2450</v>
      </c>
      <c r="E2425" s="1086"/>
    </row>
    <row r="2426" spans="1:5">
      <c r="A2426" s="941">
        <v>46</v>
      </c>
      <c r="B2426" s="1152" t="s">
        <v>4350</v>
      </c>
      <c r="C2426" s="1042">
        <v>351235180705102</v>
      </c>
      <c r="D2426" s="941">
        <v>2450</v>
      </c>
      <c r="E2426" s="1086"/>
    </row>
    <row r="2427" spans="1:5">
      <c r="A2427" s="941">
        <v>47</v>
      </c>
      <c r="B2427" s="1152" t="s">
        <v>4351</v>
      </c>
      <c r="C2427" s="1042">
        <v>351878872289024</v>
      </c>
      <c r="D2427" s="941">
        <v>1650</v>
      </c>
      <c r="E2427" s="1086"/>
    </row>
    <row r="2428" spans="1:5">
      <c r="A2428" s="941">
        <v>48</v>
      </c>
      <c r="B2428" s="941" t="s">
        <v>4352</v>
      </c>
      <c r="C2428" s="1042">
        <v>354474493137912</v>
      </c>
      <c r="D2428" s="941">
        <v>1650</v>
      </c>
      <c r="E2428" s="1086"/>
    </row>
    <row r="2429" spans="1:5" ht="20.25">
      <c r="A2429" s="1086"/>
      <c r="B2429" s="1086"/>
      <c r="C2429" s="1086"/>
      <c r="D2429" s="1151">
        <f>SUM(D2381:D2428)</f>
        <v>134950</v>
      </c>
      <c r="E2429" s="1086"/>
    </row>
    <row r="2438" spans="1:7" ht="24" customHeight="1">
      <c r="A2438" s="1410" t="s">
        <v>4356</v>
      </c>
      <c r="B2438" s="1411"/>
      <c r="C2438" s="1158">
        <v>46135</v>
      </c>
      <c r="D2438" s="1415" t="s">
        <v>4458</v>
      </c>
      <c r="E2438" s="1416"/>
      <c r="F2438" s="1416"/>
      <c r="G2438" s="1056"/>
    </row>
    <row r="2439" spans="1:7" ht="21" customHeight="1">
      <c r="A2439" s="1417" t="s">
        <v>2416</v>
      </c>
      <c r="B2439" s="1418"/>
      <c r="C2439" s="1160" t="s">
        <v>4357</v>
      </c>
      <c r="D2439" s="1160" t="s">
        <v>4358</v>
      </c>
      <c r="E2439" s="1160" t="s">
        <v>3734</v>
      </c>
      <c r="F2439" s="1160" t="s">
        <v>3111</v>
      </c>
      <c r="G2439" s="1056"/>
    </row>
    <row r="2440" spans="1:7">
      <c r="A2440" s="1164">
        <v>1</v>
      </c>
      <c r="B2440" s="1165" t="s">
        <v>4051</v>
      </c>
      <c r="C2440" s="1166">
        <v>359814717786751</v>
      </c>
      <c r="D2440" s="1167"/>
      <c r="E2440" s="1168">
        <v>920</v>
      </c>
      <c r="F2440" s="1168">
        <f>E2440*3.57</f>
        <v>3284.3999999999996</v>
      </c>
      <c r="G2440" s="1056"/>
    </row>
    <row r="2441" spans="1:7">
      <c r="A2441" s="1164">
        <v>2</v>
      </c>
      <c r="B2441" s="1165" t="s">
        <v>4359</v>
      </c>
      <c r="C2441" s="1166">
        <v>358434702802272</v>
      </c>
      <c r="D2441" s="1167" t="s">
        <v>1121</v>
      </c>
      <c r="E2441" s="1168">
        <v>1080</v>
      </c>
      <c r="F2441" s="1168">
        <f t="shared" ref="F2441:F2504" si="24">E2441*3.57</f>
        <v>3855.6</v>
      </c>
      <c r="G2441" s="1056"/>
    </row>
    <row r="2442" spans="1:7">
      <c r="A2442" s="1164">
        <v>3</v>
      </c>
      <c r="B2442" s="1165" t="s">
        <v>4359</v>
      </c>
      <c r="C2442" s="1166">
        <v>358434707087002</v>
      </c>
      <c r="D2442" s="1167"/>
      <c r="E2442" s="1168">
        <v>1080</v>
      </c>
      <c r="F2442" s="1168">
        <f t="shared" si="24"/>
        <v>3855.6</v>
      </c>
      <c r="G2442" s="1056"/>
    </row>
    <row r="2443" spans="1:7">
      <c r="A2443" s="1164">
        <v>4</v>
      </c>
      <c r="B2443" s="1165" t="s">
        <v>4068</v>
      </c>
      <c r="C2443" s="1166">
        <v>359614549650955</v>
      </c>
      <c r="D2443" s="1167" t="s">
        <v>1121</v>
      </c>
      <c r="E2443" s="1168">
        <v>830</v>
      </c>
      <c r="F2443" s="1168">
        <f t="shared" si="24"/>
        <v>2963.1</v>
      </c>
      <c r="G2443" s="1056"/>
    </row>
    <row r="2444" spans="1:7">
      <c r="A2444" s="1164">
        <v>5</v>
      </c>
      <c r="B2444" s="1165" t="s">
        <v>4068</v>
      </c>
      <c r="C2444" s="1166">
        <v>353497851021437</v>
      </c>
      <c r="D2444" s="1167" t="s">
        <v>1121</v>
      </c>
      <c r="E2444" s="1168">
        <v>840</v>
      </c>
      <c r="F2444" s="1168">
        <f t="shared" si="24"/>
        <v>2998.7999999999997</v>
      </c>
      <c r="G2444" s="1056"/>
    </row>
    <row r="2445" spans="1:7">
      <c r="A2445" s="1164">
        <v>6</v>
      </c>
      <c r="B2445" s="1165" t="s">
        <v>4360</v>
      </c>
      <c r="C2445" s="1166">
        <v>355246657443701</v>
      </c>
      <c r="D2445" s="1167" t="s">
        <v>1121</v>
      </c>
      <c r="E2445" s="1168">
        <v>830</v>
      </c>
      <c r="F2445" s="1168">
        <f t="shared" si="24"/>
        <v>2963.1</v>
      </c>
      <c r="G2445" s="1056"/>
    </row>
    <row r="2446" spans="1:7">
      <c r="A2446" s="1164">
        <v>7</v>
      </c>
      <c r="B2446" s="1165" t="s">
        <v>4055</v>
      </c>
      <c r="C2446" s="1166">
        <v>359814719579154</v>
      </c>
      <c r="D2446" s="1167" t="s">
        <v>1121</v>
      </c>
      <c r="E2446" s="1168">
        <v>1080</v>
      </c>
      <c r="F2446" s="1168">
        <f t="shared" si="24"/>
        <v>3855.6</v>
      </c>
      <c r="G2446" s="1056"/>
    </row>
    <row r="2447" spans="1:7">
      <c r="A2447" s="1164">
        <v>8</v>
      </c>
      <c r="B2447" s="1165" t="s">
        <v>4056</v>
      </c>
      <c r="C2447" s="1166">
        <v>351317524281634</v>
      </c>
      <c r="D2447" s="1167" t="s">
        <v>1121</v>
      </c>
      <c r="E2447" s="1168">
        <v>810</v>
      </c>
      <c r="F2447" s="1168">
        <f t="shared" si="24"/>
        <v>2891.7</v>
      </c>
      <c r="G2447" s="1056"/>
    </row>
    <row r="2448" spans="1:7">
      <c r="A2448" s="1164">
        <v>9</v>
      </c>
      <c r="B2448" s="1165" t="s">
        <v>4056</v>
      </c>
      <c r="C2448" s="1166">
        <v>355079369331785</v>
      </c>
      <c r="D2448" s="1167"/>
      <c r="E2448" s="1168">
        <v>810</v>
      </c>
      <c r="F2448" s="1168">
        <f t="shared" si="24"/>
        <v>2891.7</v>
      </c>
      <c r="G2448" s="1056"/>
    </row>
    <row r="2449" spans="1:7">
      <c r="A2449" s="1164">
        <v>10</v>
      </c>
      <c r="B2449" s="1165" t="s">
        <v>4056</v>
      </c>
      <c r="C2449" s="1166">
        <v>352440635277744</v>
      </c>
      <c r="D2449" s="1167" t="s">
        <v>1121</v>
      </c>
      <c r="E2449" s="1168">
        <v>810</v>
      </c>
      <c r="F2449" s="1168">
        <f t="shared" si="24"/>
        <v>2891.7</v>
      </c>
      <c r="G2449" s="1056"/>
    </row>
    <row r="2450" spans="1:7">
      <c r="A2450" s="1164">
        <v>11</v>
      </c>
      <c r="B2450" s="1165" t="s">
        <v>4057</v>
      </c>
      <c r="C2450" s="1166">
        <v>356245416236967</v>
      </c>
      <c r="D2450" s="1167"/>
      <c r="E2450" s="1168">
        <v>930</v>
      </c>
      <c r="F2450" s="1168">
        <f t="shared" si="24"/>
        <v>3320.1</v>
      </c>
      <c r="G2450" s="1056"/>
    </row>
    <row r="2451" spans="1:7">
      <c r="A2451" s="1164">
        <v>12</v>
      </c>
      <c r="B2451" s="1165" t="s">
        <v>4057</v>
      </c>
      <c r="C2451" s="1166">
        <v>357254479486039</v>
      </c>
      <c r="D2451" s="1167" t="s">
        <v>4052</v>
      </c>
      <c r="E2451" s="1168">
        <v>1180</v>
      </c>
      <c r="F2451" s="1168">
        <f t="shared" si="24"/>
        <v>4212.5999999999995</v>
      </c>
      <c r="G2451" s="1056"/>
    </row>
    <row r="2452" spans="1:7">
      <c r="A2452" s="1164">
        <v>13</v>
      </c>
      <c r="B2452" s="1165" t="s">
        <v>4057</v>
      </c>
      <c r="C2452" s="1166">
        <v>357254479878961</v>
      </c>
      <c r="D2452" s="1167" t="s">
        <v>4052</v>
      </c>
      <c r="E2452" s="1168">
        <v>1180</v>
      </c>
      <c r="F2452" s="1168">
        <f t="shared" si="24"/>
        <v>4212.5999999999995</v>
      </c>
      <c r="G2452" s="1056"/>
    </row>
    <row r="2453" spans="1:7">
      <c r="A2453" s="1164">
        <v>14</v>
      </c>
      <c r="B2453" s="1165" t="s">
        <v>4057</v>
      </c>
      <c r="C2453" s="1166">
        <v>357254479287817</v>
      </c>
      <c r="D2453" s="1167" t="s">
        <v>4052</v>
      </c>
      <c r="E2453" s="1168">
        <v>1180</v>
      </c>
      <c r="F2453" s="1168">
        <f t="shared" si="24"/>
        <v>4212.5999999999995</v>
      </c>
      <c r="G2453" s="1056"/>
    </row>
    <row r="2454" spans="1:7">
      <c r="A2454" s="1164">
        <v>15</v>
      </c>
      <c r="B2454" s="1165" t="s">
        <v>4060</v>
      </c>
      <c r="C2454" s="1166">
        <v>352001993320755</v>
      </c>
      <c r="D2454" s="1167" t="s">
        <v>4052</v>
      </c>
      <c r="E2454" s="1168">
        <v>1065</v>
      </c>
      <c r="F2454" s="1168">
        <f t="shared" si="24"/>
        <v>3802.0499999999997</v>
      </c>
      <c r="G2454" s="1056"/>
    </row>
    <row r="2455" spans="1:7">
      <c r="A2455" s="1164">
        <v>16</v>
      </c>
      <c r="B2455" s="1165" t="s">
        <v>4060</v>
      </c>
      <c r="C2455" s="1166">
        <v>352001993538406</v>
      </c>
      <c r="D2455" s="1167" t="s">
        <v>4052</v>
      </c>
      <c r="E2455" s="1168">
        <v>1065</v>
      </c>
      <c r="F2455" s="1168">
        <f t="shared" si="24"/>
        <v>3802.0499999999997</v>
      </c>
      <c r="G2455" s="1056"/>
    </row>
    <row r="2456" spans="1:7">
      <c r="A2456" s="1164">
        <v>17</v>
      </c>
      <c r="B2456" s="1165" t="s">
        <v>4060</v>
      </c>
      <c r="C2456" s="1166">
        <v>352001993194531</v>
      </c>
      <c r="D2456" s="1167" t="s">
        <v>4052</v>
      </c>
      <c r="E2456" s="1168">
        <v>1065</v>
      </c>
      <c r="F2456" s="1168">
        <f t="shared" si="24"/>
        <v>3802.0499999999997</v>
      </c>
      <c r="G2456" s="1056"/>
    </row>
    <row r="2457" spans="1:7">
      <c r="A2457" s="1164">
        <v>18</v>
      </c>
      <c r="B2457" s="1165" t="s">
        <v>4060</v>
      </c>
      <c r="C2457" s="1166">
        <v>352001993207747</v>
      </c>
      <c r="D2457" s="1167" t="s">
        <v>4052</v>
      </c>
      <c r="E2457" s="1168">
        <v>1065</v>
      </c>
      <c r="F2457" s="1168">
        <f t="shared" si="24"/>
        <v>3802.0499999999997</v>
      </c>
      <c r="G2457" s="1056"/>
    </row>
    <row r="2458" spans="1:7">
      <c r="A2458" s="1164">
        <v>19</v>
      </c>
      <c r="B2458" s="1165" t="s">
        <v>4361</v>
      </c>
      <c r="C2458" s="1166">
        <v>357208787454352</v>
      </c>
      <c r="D2458" s="1167" t="s">
        <v>1121</v>
      </c>
      <c r="E2458" s="1168">
        <v>530</v>
      </c>
      <c r="F2458" s="1168">
        <f t="shared" si="24"/>
        <v>1892.1</v>
      </c>
      <c r="G2458" s="1056"/>
    </row>
    <row r="2459" spans="1:7">
      <c r="A2459" s="1164">
        <v>20</v>
      </c>
      <c r="B2459" s="1165" t="s">
        <v>4362</v>
      </c>
      <c r="C2459" s="1166">
        <v>356305889996099</v>
      </c>
      <c r="D2459" s="1167" t="s">
        <v>1121</v>
      </c>
      <c r="E2459" s="1168">
        <v>530</v>
      </c>
      <c r="F2459" s="1168">
        <f t="shared" si="24"/>
        <v>1892.1</v>
      </c>
      <c r="G2459" s="1056"/>
    </row>
    <row r="2460" spans="1:7">
      <c r="A2460" s="1164">
        <v>21</v>
      </c>
      <c r="B2460" s="1165" t="s">
        <v>4363</v>
      </c>
      <c r="C2460" s="1166">
        <v>356703573214227</v>
      </c>
      <c r="D2460" s="1167" t="s">
        <v>1121</v>
      </c>
      <c r="E2460" s="1168">
        <v>340</v>
      </c>
      <c r="F2460" s="1168">
        <f t="shared" si="24"/>
        <v>1213.8</v>
      </c>
      <c r="G2460" s="1056"/>
    </row>
    <row r="2461" spans="1:7">
      <c r="A2461" s="1164">
        <v>22</v>
      </c>
      <c r="B2461" s="1165" t="s">
        <v>4364</v>
      </c>
      <c r="C2461" s="1166">
        <v>359012141435018</v>
      </c>
      <c r="D2461" s="1167" t="s">
        <v>2447</v>
      </c>
      <c r="E2461" s="1168">
        <v>420</v>
      </c>
      <c r="F2461" s="1168">
        <f t="shared" si="24"/>
        <v>1499.3999999999999</v>
      </c>
      <c r="G2461" s="1056"/>
    </row>
    <row r="2462" spans="1:7">
      <c r="A2462" s="1164">
        <v>23</v>
      </c>
      <c r="B2462" s="1165" t="s">
        <v>4064</v>
      </c>
      <c r="C2462" s="1166">
        <v>359493734612231</v>
      </c>
      <c r="D2462" s="1167" t="s">
        <v>4052</v>
      </c>
      <c r="E2462" s="1168">
        <v>510</v>
      </c>
      <c r="F2462" s="1168">
        <f t="shared" si="24"/>
        <v>1820.6999999999998</v>
      </c>
      <c r="G2462" s="1056"/>
    </row>
    <row r="2463" spans="1:7">
      <c r="A2463" s="1164">
        <v>24</v>
      </c>
      <c r="B2463" s="1165" t="s">
        <v>4365</v>
      </c>
      <c r="C2463" s="1166">
        <v>358606711541302</v>
      </c>
      <c r="D2463" s="1167" t="s">
        <v>1121</v>
      </c>
      <c r="E2463" s="1168">
        <v>550</v>
      </c>
      <c r="F2463" s="1168">
        <f t="shared" si="24"/>
        <v>1963.5</v>
      </c>
      <c r="G2463" s="1056"/>
    </row>
    <row r="2464" spans="1:7">
      <c r="A2464" s="1164">
        <v>25</v>
      </c>
      <c r="B2464" s="1165" t="s">
        <v>4365</v>
      </c>
      <c r="C2464" s="1166">
        <v>354689824617494</v>
      </c>
      <c r="D2464" s="1168" t="s">
        <v>4366</v>
      </c>
      <c r="E2464" s="1168">
        <v>380</v>
      </c>
      <c r="F2464" s="1168">
        <f t="shared" si="24"/>
        <v>1356.6</v>
      </c>
      <c r="G2464" s="1056"/>
    </row>
    <row r="2465" spans="1:7">
      <c r="A2465" s="1164">
        <v>26</v>
      </c>
      <c r="B2465" s="1165" t="s">
        <v>4367</v>
      </c>
      <c r="C2465" s="1166">
        <v>354345293865078</v>
      </c>
      <c r="D2465" s="1167" t="s">
        <v>3422</v>
      </c>
      <c r="E2465" s="1168">
        <v>540</v>
      </c>
      <c r="F2465" s="1168">
        <f t="shared" si="24"/>
        <v>1927.8</v>
      </c>
      <c r="G2465" s="1056"/>
    </row>
    <row r="2466" spans="1:7">
      <c r="A2466" s="1164">
        <v>27</v>
      </c>
      <c r="B2466" s="1165" t="s">
        <v>4368</v>
      </c>
      <c r="C2466" s="1166">
        <v>355163567815128</v>
      </c>
      <c r="D2466" s="1167" t="s">
        <v>1121</v>
      </c>
      <c r="E2466" s="1168">
        <v>190</v>
      </c>
      <c r="F2466" s="1168">
        <f t="shared" si="24"/>
        <v>678.3</v>
      </c>
      <c r="G2466" s="1056"/>
    </row>
    <row r="2467" spans="1:7">
      <c r="A2467" s="1164">
        <v>28</v>
      </c>
      <c r="B2467" s="1165" t="s">
        <v>4368</v>
      </c>
      <c r="C2467" s="1166">
        <v>355163567146540</v>
      </c>
      <c r="D2467" s="1167" t="s">
        <v>1121</v>
      </c>
      <c r="E2467" s="1168">
        <v>190</v>
      </c>
      <c r="F2467" s="1168">
        <f t="shared" si="24"/>
        <v>678.3</v>
      </c>
      <c r="G2467" s="1056"/>
    </row>
    <row r="2468" spans="1:7">
      <c r="A2468" s="1164">
        <v>29</v>
      </c>
      <c r="B2468" s="1165" t="s">
        <v>4368</v>
      </c>
      <c r="C2468" s="1166">
        <v>355163567615098</v>
      </c>
      <c r="D2468" s="1167" t="s">
        <v>1121</v>
      </c>
      <c r="E2468" s="1168">
        <v>190</v>
      </c>
      <c r="F2468" s="1168">
        <f t="shared" si="24"/>
        <v>678.3</v>
      </c>
      <c r="G2468" s="1056"/>
    </row>
    <row r="2469" spans="1:7">
      <c r="A2469" s="1164">
        <v>30</v>
      </c>
      <c r="B2469" s="1165" t="s">
        <v>4369</v>
      </c>
      <c r="C2469" s="1166">
        <v>352355703207664</v>
      </c>
      <c r="D2469" s="1167"/>
      <c r="E2469" s="1168">
        <v>1080</v>
      </c>
      <c r="F2469" s="1168">
        <f t="shared" si="24"/>
        <v>3855.6</v>
      </c>
      <c r="G2469" s="1056"/>
    </row>
    <row r="2470" spans="1:7">
      <c r="A2470" s="1164">
        <v>31</v>
      </c>
      <c r="B2470" s="1165" t="s">
        <v>4370</v>
      </c>
      <c r="C2470" s="1166">
        <v>358112933070584</v>
      </c>
      <c r="D2470" s="1167"/>
      <c r="E2470" s="1168">
        <v>950</v>
      </c>
      <c r="F2470" s="1168">
        <f t="shared" si="24"/>
        <v>3391.5</v>
      </c>
      <c r="G2470" s="1056"/>
    </row>
    <row r="2471" spans="1:7">
      <c r="A2471" s="1164">
        <v>32</v>
      </c>
      <c r="B2471" s="1165" t="s">
        <v>4370</v>
      </c>
      <c r="C2471" s="1166">
        <v>358112934723512</v>
      </c>
      <c r="D2471" s="1167"/>
      <c r="E2471" s="1168">
        <v>950</v>
      </c>
      <c r="F2471" s="1168">
        <f t="shared" si="24"/>
        <v>3391.5</v>
      </c>
      <c r="G2471" s="1056"/>
    </row>
    <row r="2472" spans="1:7">
      <c r="A2472" s="1164">
        <v>33</v>
      </c>
      <c r="B2472" s="1165" t="s">
        <v>4370</v>
      </c>
      <c r="C2472" s="1166">
        <v>358112933664790</v>
      </c>
      <c r="D2472" s="1167"/>
      <c r="E2472" s="1168">
        <v>950</v>
      </c>
      <c r="F2472" s="1168">
        <f t="shared" si="24"/>
        <v>3391.5</v>
      </c>
      <c r="G2472" s="1056"/>
    </row>
    <row r="2473" spans="1:7">
      <c r="A2473" s="1164">
        <v>34</v>
      </c>
      <c r="B2473" s="1165" t="s">
        <v>4370</v>
      </c>
      <c r="C2473" s="1166">
        <v>358112933156094</v>
      </c>
      <c r="D2473" s="1167"/>
      <c r="E2473" s="1168">
        <v>950</v>
      </c>
      <c r="F2473" s="1168">
        <f t="shared" si="24"/>
        <v>3391.5</v>
      </c>
      <c r="G2473" s="1056"/>
    </row>
    <row r="2474" spans="1:7">
      <c r="A2474" s="1164">
        <v>35</v>
      </c>
      <c r="B2474" s="1165" t="s">
        <v>4370</v>
      </c>
      <c r="C2474" s="1166">
        <v>358112934368599</v>
      </c>
      <c r="D2474" s="1167"/>
      <c r="E2474" s="1168">
        <v>950</v>
      </c>
      <c r="F2474" s="1168">
        <f t="shared" si="24"/>
        <v>3391.5</v>
      </c>
      <c r="G2474" s="1056"/>
    </row>
    <row r="2475" spans="1:7">
      <c r="A2475" s="1164">
        <v>36</v>
      </c>
      <c r="B2475" s="1165" t="s">
        <v>4371</v>
      </c>
      <c r="C2475" s="1166" t="s">
        <v>4372</v>
      </c>
      <c r="D2475" s="1167"/>
      <c r="E2475" s="1168">
        <v>600</v>
      </c>
      <c r="F2475" s="1168">
        <f t="shared" si="24"/>
        <v>2142</v>
      </c>
      <c r="G2475" s="1056"/>
    </row>
    <row r="2476" spans="1:7">
      <c r="A2476" s="1164">
        <v>37</v>
      </c>
      <c r="B2476" s="1165" t="s">
        <v>4373</v>
      </c>
      <c r="C2476" s="1166">
        <v>353335920723965</v>
      </c>
      <c r="D2476" s="1167"/>
      <c r="E2476" s="1168">
        <v>500</v>
      </c>
      <c r="F2476" s="1168">
        <f t="shared" si="24"/>
        <v>1785</v>
      </c>
      <c r="G2476" s="1056"/>
    </row>
    <row r="2477" spans="1:7">
      <c r="A2477" s="1164">
        <v>38</v>
      </c>
      <c r="B2477" s="1165" t="s">
        <v>4374</v>
      </c>
      <c r="C2477" s="1166">
        <v>357241834133489</v>
      </c>
      <c r="D2477" s="1167"/>
      <c r="E2477" s="1168">
        <v>600</v>
      </c>
      <c r="F2477" s="1168">
        <f t="shared" si="24"/>
        <v>2142</v>
      </c>
      <c r="G2477" s="1056"/>
    </row>
    <row r="2478" spans="1:7">
      <c r="A2478" s="1164">
        <v>39</v>
      </c>
      <c r="B2478" s="1165" t="s">
        <v>4375</v>
      </c>
      <c r="C2478" s="1166">
        <v>351159024289281</v>
      </c>
      <c r="D2478" s="1167" t="s">
        <v>1121</v>
      </c>
      <c r="E2478" s="1168">
        <v>350</v>
      </c>
      <c r="F2478" s="1168">
        <f t="shared" si="24"/>
        <v>1249.5</v>
      </c>
      <c r="G2478" s="1056"/>
    </row>
    <row r="2479" spans="1:7">
      <c r="A2479" s="1164">
        <v>40</v>
      </c>
      <c r="B2479" s="1165" t="s">
        <v>4376</v>
      </c>
      <c r="C2479" s="1166">
        <v>357585654513505</v>
      </c>
      <c r="D2479" s="1167"/>
      <c r="E2479" s="1168">
        <v>350</v>
      </c>
      <c r="F2479" s="1168">
        <f t="shared" si="24"/>
        <v>1249.5</v>
      </c>
      <c r="G2479" s="1056"/>
    </row>
    <row r="2480" spans="1:7">
      <c r="A2480" s="1164">
        <v>41</v>
      </c>
      <c r="B2480" s="1165" t="s">
        <v>4376</v>
      </c>
      <c r="C2480" s="1166">
        <v>357585654819621</v>
      </c>
      <c r="D2480" s="1167"/>
      <c r="E2480" s="1168">
        <v>350</v>
      </c>
      <c r="F2480" s="1168">
        <f t="shared" si="24"/>
        <v>1249.5</v>
      </c>
      <c r="G2480" s="1056"/>
    </row>
    <row r="2481" spans="1:7">
      <c r="A2481" s="1164">
        <v>42</v>
      </c>
      <c r="B2481" s="1165" t="s">
        <v>4377</v>
      </c>
      <c r="C2481" s="1166" t="s">
        <v>4378</v>
      </c>
      <c r="D2481" s="1167"/>
      <c r="E2481" s="1168">
        <v>350</v>
      </c>
      <c r="F2481" s="1168">
        <f t="shared" si="24"/>
        <v>1249.5</v>
      </c>
      <c r="G2481" s="1056"/>
    </row>
    <row r="2482" spans="1:7">
      <c r="A2482" s="1164">
        <v>43</v>
      </c>
      <c r="B2482" s="1165" t="s">
        <v>4379</v>
      </c>
      <c r="C2482" s="1166" t="s">
        <v>4380</v>
      </c>
      <c r="D2482" s="1168" t="s">
        <v>496</v>
      </c>
      <c r="E2482" s="1168">
        <v>2200</v>
      </c>
      <c r="F2482" s="1168">
        <f t="shared" si="24"/>
        <v>7854</v>
      </c>
      <c r="G2482" s="1056"/>
    </row>
    <row r="2483" spans="1:7">
      <c r="A2483" s="1164">
        <v>44</v>
      </c>
      <c r="B2483" s="1165" t="s">
        <v>4381</v>
      </c>
      <c r="C2483" s="1166" t="s">
        <v>4382</v>
      </c>
      <c r="D2483" s="1168" t="s">
        <v>496</v>
      </c>
      <c r="E2483" s="1168">
        <v>3100</v>
      </c>
      <c r="F2483" s="1168">
        <f t="shared" si="24"/>
        <v>11067</v>
      </c>
      <c r="G2483" s="1056"/>
    </row>
    <row r="2484" spans="1:7">
      <c r="A2484" s="1164">
        <v>45</v>
      </c>
      <c r="B2484" s="1165" t="s">
        <v>4383</v>
      </c>
      <c r="C2484" s="1166" t="s">
        <v>4384</v>
      </c>
      <c r="D2484" s="1167"/>
      <c r="E2484" s="1168">
        <v>1375</v>
      </c>
      <c r="F2484" s="1168">
        <f t="shared" si="24"/>
        <v>4908.75</v>
      </c>
      <c r="G2484" s="1056"/>
    </row>
    <row r="2485" spans="1:7">
      <c r="A2485" s="1164">
        <v>46</v>
      </c>
      <c r="B2485" s="1165" t="s">
        <v>4385</v>
      </c>
      <c r="C2485" s="1166" t="s">
        <v>4386</v>
      </c>
      <c r="D2485" s="1167"/>
      <c r="E2485" s="1168">
        <v>1675</v>
      </c>
      <c r="F2485" s="1168">
        <f t="shared" si="24"/>
        <v>5979.75</v>
      </c>
      <c r="G2485" s="1056"/>
    </row>
    <row r="2486" spans="1:7" ht="30" customHeight="1">
      <c r="A2486" s="1164">
        <v>47</v>
      </c>
      <c r="B2486" s="1165" t="s">
        <v>4387</v>
      </c>
      <c r="C2486" s="1166" t="s">
        <v>4388</v>
      </c>
      <c r="D2486" s="1168" t="s">
        <v>496</v>
      </c>
      <c r="E2486" s="1168">
        <v>1000</v>
      </c>
      <c r="F2486" s="1168">
        <f t="shared" si="24"/>
        <v>3570</v>
      </c>
      <c r="G2486" s="1056"/>
    </row>
    <row r="2487" spans="1:7">
      <c r="A2487" s="1164">
        <v>48</v>
      </c>
      <c r="B2487" s="1165" t="s">
        <v>4389</v>
      </c>
      <c r="C2487" s="1166" t="s">
        <v>4390</v>
      </c>
      <c r="D2487" s="1168" t="s">
        <v>496</v>
      </c>
      <c r="E2487" s="1168">
        <v>650</v>
      </c>
      <c r="F2487" s="1168">
        <f t="shared" si="24"/>
        <v>2320.5</v>
      </c>
      <c r="G2487" s="1056"/>
    </row>
    <row r="2488" spans="1:7">
      <c r="A2488" s="1164">
        <v>49</v>
      </c>
      <c r="B2488" s="1165" t="s">
        <v>4389</v>
      </c>
      <c r="C2488" s="1166" t="s">
        <v>4391</v>
      </c>
      <c r="D2488" s="1168" t="s">
        <v>496</v>
      </c>
      <c r="E2488" s="1168">
        <v>650</v>
      </c>
      <c r="F2488" s="1168">
        <f t="shared" si="24"/>
        <v>2320.5</v>
      </c>
      <c r="G2488" s="1056"/>
    </row>
    <row r="2489" spans="1:7">
      <c r="A2489" s="1164">
        <v>50</v>
      </c>
      <c r="B2489" s="1165" t="s">
        <v>4345</v>
      </c>
      <c r="C2489" s="1166">
        <v>358135794647208</v>
      </c>
      <c r="D2489" s="1167"/>
      <c r="E2489" s="1168">
        <v>655</v>
      </c>
      <c r="F2489" s="1168">
        <f t="shared" si="24"/>
        <v>2338.35</v>
      </c>
      <c r="G2489" s="1056"/>
    </row>
    <row r="2490" spans="1:7">
      <c r="A2490" s="1164">
        <v>51</v>
      </c>
      <c r="B2490" s="1165" t="s">
        <v>4345</v>
      </c>
      <c r="C2490" s="1166">
        <v>355827875606623</v>
      </c>
      <c r="D2490" s="1167"/>
      <c r="E2490" s="1168">
        <v>655</v>
      </c>
      <c r="F2490" s="1168">
        <f t="shared" si="24"/>
        <v>2338.35</v>
      </c>
      <c r="G2490" s="1056"/>
    </row>
    <row r="2491" spans="1:7">
      <c r="A2491" s="1164">
        <v>52</v>
      </c>
      <c r="B2491" s="1165" t="s">
        <v>4345</v>
      </c>
      <c r="C2491" s="1166">
        <v>353938645737499</v>
      </c>
      <c r="D2491" s="1167"/>
      <c r="E2491" s="1168">
        <v>655</v>
      </c>
      <c r="F2491" s="1168">
        <f t="shared" si="24"/>
        <v>2338.35</v>
      </c>
      <c r="G2491" s="1056"/>
    </row>
    <row r="2492" spans="1:7">
      <c r="A2492" s="1164">
        <v>53</v>
      </c>
      <c r="B2492" s="1165" t="s">
        <v>4392</v>
      </c>
      <c r="C2492" s="1166">
        <v>358135795730227</v>
      </c>
      <c r="D2492" s="1167"/>
      <c r="E2492" s="1168">
        <v>655</v>
      </c>
      <c r="F2492" s="1168">
        <f t="shared" si="24"/>
        <v>2338.35</v>
      </c>
      <c r="G2492" s="1056"/>
    </row>
    <row r="2493" spans="1:7">
      <c r="A2493" s="1164">
        <v>54</v>
      </c>
      <c r="B2493" s="1165" t="s">
        <v>4393</v>
      </c>
      <c r="C2493" s="1166">
        <v>358135795547894</v>
      </c>
      <c r="D2493" s="1167"/>
      <c r="E2493" s="1168">
        <v>655</v>
      </c>
      <c r="F2493" s="1168">
        <f t="shared" si="24"/>
        <v>2338.35</v>
      </c>
      <c r="G2493" s="1056"/>
    </row>
    <row r="2494" spans="1:7">
      <c r="A2494" s="1164">
        <v>55</v>
      </c>
      <c r="B2494" s="1165" t="s">
        <v>4393</v>
      </c>
      <c r="C2494" s="1166">
        <v>358135791880125</v>
      </c>
      <c r="D2494" s="1167"/>
      <c r="E2494" s="1168">
        <v>655</v>
      </c>
      <c r="F2494" s="1168">
        <f t="shared" si="24"/>
        <v>2338.35</v>
      </c>
      <c r="G2494" s="1056"/>
    </row>
    <row r="2495" spans="1:7">
      <c r="A2495" s="1164">
        <v>56</v>
      </c>
      <c r="B2495" s="1165" t="s">
        <v>4393</v>
      </c>
      <c r="C2495" s="1166">
        <v>358135795012592</v>
      </c>
      <c r="D2495" s="1167"/>
      <c r="E2495" s="1168">
        <v>655</v>
      </c>
      <c r="F2495" s="1168">
        <f t="shared" si="24"/>
        <v>2338.35</v>
      </c>
      <c r="G2495" s="1056"/>
    </row>
    <row r="2496" spans="1:7">
      <c r="A2496" s="1164">
        <v>57</v>
      </c>
      <c r="B2496" s="1165" t="s">
        <v>4393</v>
      </c>
      <c r="C2496" s="1166">
        <v>358135795323072</v>
      </c>
      <c r="D2496" s="1167"/>
      <c r="E2496" s="1168">
        <v>655</v>
      </c>
      <c r="F2496" s="1168">
        <f t="shared" si="24"/>
        <v>2338.35</v>
      </c>
      <c r="G2496" s="1056"/>
    </row>
    <row r="2497" spans="1:7">
      <c r="A2497" s="1164">
        <v>58</v>
      </c>
      <c r="B2497" s="1165" t="s">
        <v>4393</v>
      </c>
      <c r="C2497" s="1166">
        <v>358135795096694</v>
      </c>
      <c r="D2497" s="1167"/>
      <c r="E2497" s="1168">
        <v>544</v>
      </c>
      <c r="F2497" s="1168">
        <f t="shared" si="24"/>
        <v>1942.08</v>
      </c>
      <c r="G2497" s="1056"/>
    </row>
    <row r="2498" spans="1:7">
      <c r="A2498" s="1164">
        <v>59</v>
      </c>
      <c r="B2498" s="1165" t="s">
        <v>4394</v>
      </c>
      <c r="C2498" s="1166" t="s">
        <v>4395</v>
      </c>
      <c r="D2498" s="1167"/>
      <c r="E2498" s="1168">
        <v>315</v>
      </c>
      <c r="F2498" s="1168">
        <f t="shared" si="24"/>
        <v>1124.55</v>
      </c>
      <c r="G2498" s="1056"/>
    </row>
    <row r="2499" spans="1:7">
      <c r="A2499" s="1164">
        <v>60</v>
      </c>
      <c r="B2499" s="1165" t="s">
        <v>4396</v>
      </c>
      <c r="C2499" s="1166" t="s">
        <v>4397</v>
      </c>
      <c r="D2499" s="1167"/>
      <c r="E2499" s="1168">
        <v>315</v>
      </c>
      <c r="F2499" s="1168">
        <f t="shared" si="24"/>
        <v>1124.55</v>
      </c>
      <c r="G2499" s="1056"/>
    </row>
    <row r="2500" spans="1:7">
      <c r="A2500" s="1164">
        <v>61</v>
      </c>
      <c r="B2500" s="1165" t="s">
        <v>4396</v>
      </c>
      <c r="C2500" s="1166" t="s">
        <v>4398</v>
      </c>
      <c r="D2500" s="1167"/>
      <c r="E2500" s="1168">
        <v>315</v>
      </c>
      <c r="F2500" s="1168">
        <f t="shared" si="24"/>
        <v>1124.55</v>
      </c>
      <c r="G2500" s="1056"/>
    </row>
    <row r="2501" spans="1:7">
      <c r="A2501" s="1164">
        <v>62</v>
      </c>
      <c r="B2501" s="1165" t="s">
        <v>4396</v>
      </c>
      <c r="C2501" s="1166" t="s">
        <v>4399</v>
      </c>
      <c r="D2501" s="1167"/>
      <c r="E2501" s="1168">
        <v>315</v>
      </c>
      <c r="F2501" s="1168">
        <f t="shared" si="24"/>
        <v>1124.55</v>
      </c>
      <c r="G2501" s="1056"/>
    </row>
    <row r="2502" spans="1:7">
      <c r="A2502" s="1164">
        <v>63</v>
      </c>
      <c r="B2502" s="1165" t="s">
        <v>4303</v>
      </c>
      <c r="C2502" s="1166" t="s">
        <v>4400</v>
      </c>
      <c r="D2502" s="1167"/>
      <c r="E2502" s="1168">
        <v>285</v>
      </c>
      <c r="F2502" s="1168">
        <f t="shared" si="24"/>
        <v>1017.4499999999999</v>
      </c>
      <c r="G2502" s="1056"/>
    </row>
    <row r="2503" spans="1:7">
      <c r="A2503" s="1164">
        <v>64</v>
      </c>
      <c r="B2503" s="1165" t="s">
        <v>4401</v>
      </c>
      <c r="C2503" s="1166">
        <v>358654262465307</v>
      </c>
      <c r="D2503" s="1168" t="s">
        <v>1181</v>
      </c>
      <c r="E2503" s="1168">
        <v>280</v>
      </c>
      <c r="F2503" s="1168">
        <f t="shared" si="24"/>
        <v>999.59999999999991</v>
      </c>
      <c r="G2503" s="1056"/>
    </row>
    <row r="2504" spans="1:7">
      <c r="A2504" s="1164">
        <v>65</v>
      </c>
      <c r="B2504" s="1165" t="s">
        <v>4402</v>
      </c>
      <c r="C2504" s="1166">
        <v>357550248131511</v>
      </c>
      <c r="D2504" s="1167"/>
      <c r="E2504" s="1168">
        <v>225</v>
      </c>
      <c r="F2504" s="1168">
        <f t="shared" si="24"/>
        <v>803.25</v>
      </c>
      <c r="G2504" s="1056"/>
    </row>
    <row r="2505" spans="1:7">
      <c r="A2505" s="1164">
        <v>66</v>
      </c>
      <c r="B2505" s="1165" t="s">
        <v>4403</v>
      </c>
      <c r="C2505" s="1166" t="s">
        <v>4404</v>
      </c>
      <c r="D2505" s="1167"/>
      <c r="E2505" s="1168">
        <v>225</v>
      </c>
      <c r="F2505" s="1168">
        <f t="shared" ref="F2505:F2551" si="25">E2505*3.57</f>
        <v>803.25</v>
      </c>
      <c r="G2505" s="1056"/>
    </row>
    <row r="2506" spans="1:7">
      <c r="A2506" s="1164">
        <v>67</v>
      </c>
      <c r="B2506" s="1165" t="s">
        <v>4403</v>
      </c>
      <c r="C2506" s="1166" t="s">
        <v>4405</v>
      </c>
      <c r="D2506" s="1167"/>
      <c r="E2506" s="1168">
        <v>225</v>
      </c>
      <c r="F2506" s="1168">
        <f t="shared" si="25"/>
        <v>803.25</v>
      </c>
      <c r="G2506" s="1056"/>
    </row>
    <row r="2507" spans="1:7">
      <c r="A2507" s="1164">
        <v>68</v>
      </c>
      <c r="B2507" s="1165" t="s">
        <v>4403</v>
      </c>
      <c r="C2507" s="1166" t="s">
        <v>4406</v>
      </c>
      <c r="D2507" s="1167"/>
      <c r="E2507" s="1168">
        <v>225</v>
      </c>
      <c r="F2507" s="1168">
        <f t="shared" si="25"/>
        <v>803.25</v>
      </c>
      <c r="G2507" s="1056"/>
    </row>
    <row r="2508" spans="1:7">
      <c r="A2508" s="1164">
        <v>69</v>
      </c>
      <c r="B2508" s="1165" t="s">
        <v>4403</v>
      </c>
      <c r="C2508" s="1166" t="s">
        <v>4407</v>
      </c>
      <c r="D2508" s="1167"/>
      <c r="E2508" s="1168">
        <v>225</v>
      </c>
      <c r="F2508" s="1168">
        <f t="shared" si="25"/>
        <v>803.25</v>
      </c>
      <c r="G2508" s="1056"/>
    </row>
    <row r="2509" spans="1:7">
      <c r="A2509" s="1164">
        <v>70</v>
      </c>
      <c r="B2509" s="1165" t="s">
        <v>4403</v>
      </c>
      <c r="C2509" s="1166" t="s">
        <v>4408</v>
      </c>
      <c r="D2509" s="1167"/>
      <c r="E2509" s="1168">
        <v>225</v>
      </c>
      <c r="F2509" s="1168">
        <f t="shared" si="25"/>
        <v>803.25</v>
      </c>
      <c r="G2509" s="1056"/>
    </row>
    <row r="2510" spans="1:7">
      <c r="A2510" s="1164">
        <v>71</v>
      </c>
      <c r="B2510" s="1165" t="s">
        <v>4409</v>
      </c>
      <c r="C2510" s="1166" t="s">
        <v>4410</v>
      </c>
      <c r="D2510" s="1167"/>
      <c r="E2510" s="1168">
        <v>130</v>
      </c>
      <c r="F2510" s="1168">
        <f t="shared" si="25"/>
        <v>464.09999999999997</v>
      </c>
      <c r="G2510" s="1056"/>
    </row>
    <row r="2511" spans="1:7">
      <c r="A2511" s="1164">
        <v>72</v>
      </c>
      <c r="B2511" s="1165" t="s">
        <v>4409</v>
      </c>
      <c r="C2511" s="1166" t="s">
        <v>4411</v>
      </c>
      <c r="D2511" s="1167"/>
      <c r="E2511" s="1168">
        <v>130</v>
      </c>
      <c r="F2511" s="1168">
        <f t="shared" si="25"/>
        <v>464.09999999999997</v>
      </c>
      <c r="G2511" s="1056"/>
    </row>
    <row r="2512" spans="1:7">
      <c r="A2512" s="1164">
        <v>73</v>
      </c>
      <c r="B2512" s="1165" t="s">
        <v>4409</v>
      </c>
      <c r="C2512" s="1166" t="s">
        <v>4412</v>
      </c>
      <c r="D2512" s="1167"/>
      <c r="E2512" s="1168">
        <v>130</v>
      </c>
      <c r="F2512" s="1168">
        <f t="shared" si="25"/>
        <v>464.09999999999997</v>
      </c>
      <c r="G2512" s="1056"/>
    </row>
    <row r="2513" spans="1:7">
      <c r="A2513" s="1164">
        <v>74</v>
      </c>
      <c r="B2513" s="1165" t="s">
        <v>4409</v>
      </c>
      <c r="C2513" s="1166" t="s">
        <v>4413</v>
      </c>
      <c r="D2513" s="1167"/>
      <c r="E2513" s="1168">
        <v>130</v>
      </c>
      <c r="F2513" s="1168">
        <f t="shared" si="25"/>
        <v>464.09999999999997</v>
      </c>
      <c r="G2513" s="1056"/>
    </row>
    <row r="2514" spans="1:7">
      <c r="A2514" s="1164">
        <v>75</v>
      </c>
      <c r="B2514" s="1165" t="s">
        <v>1468</v>
      </c>
      <c r="C2514" s="1166" t="s">
        <v>4414</v>
      </c>
      <c r="D2514" s="1167"/>
      <c r="E2514" s="1168">
        <v>200</v>
      </c>
      <c r="F2514" s="1168">
        <f t="shared" si="25"/>
        <v>714</v>
      </c>
      <c r="G2514" s="1056"/>
    </row>
    <row r="2515" spans="1:7">
      <c r="A2515" s="1164">
        <v>76</v>
      </c>
      <c r="B2515" s="1165" t="s">
        <v>1468</v>
      </c>
      <c r="C2515" s="1166" t="s">
        <v>4415</v>
      </c>
      <c r="D2515" s="1167"/>
      <c r="E2515" s="1168">
        <v>200</v>
      </c>
      <c r="F2515" s="1168">
        <f t="shared" si="25"/>
        <v>714</v>
      </c>
      <c r="G2515" s="1056"/>
    </row>
    <row r="2516" spans="1:7">
      <c r="A2516" s="1164">
        <v>77</v>
      </c>
      <c r="B2516" s="1165" t="s">
        <v>1468</v>
      </c>
      <c r="C2516" s="1166" t="s">
        <v>4416</v>
      </c>
      <c r="D2516" s="1167"/>
      <c r="E2516" s="1168">
        <v>200</v>
      </c>
      <c r="F2516" s="1168">
        <f t="shared" si="25"/>
        <v>714</v>
      </c>
      <c r="G2516" s="1056"/>
    </row>
    <row r="2517" spans="1:7">
      <c r="A2517" s="1164">
        <v>78</v>
      </c>
      <c r="B2517" s="1165" t="s">
        <v>1468</v>
      </c>
      <c r="C2517" s="1166" t="s">
        <v>4417</v>
      </c>
      <c r="D2517" s="1167"/>
      <c r="E2517" s="1168">
        <v>200</v>
      </c>
      <c r="F2517" s="1168">
        <f t="shared" si="25"/>
        <v>714</v>
      </c>
      <c r="G2517" s="1056"/>
    </row>
    <row r="2518" spans="1:7">
      <c r="A2518" s="1164">
        <v>79</v>
      </c>
      <c r="B2518" s="1165" t="s">
        <v>1468</v>
      </c>
      <c r="C2518" s="1166" t="s">
        <v>4418</v>
      </c>
      <c r="D2518" s="1167"/>
      <c r="E2518" s="1168">
        <v>200</v>
      </c>
      <c r="F2518" s="1168">
        <f t="shared" si="25"/>
        <v>714</v>
      </c>
      <c r="G2518" s="1056"/>
    </row>
    <row r="2519" spans="1:7">
      <c r="A2519" s="1164">
        <v>80</v>
      </c>
      <c r="B2519" s="1165" t="s">
        <v>1468</v>
      </c>
      <c r="C2519" s="1166" t="s">
        <v>4419</v>
      </c>
      <c r="D2519" s="1167"/>
      <c r="E2519" s="1168">
        <v>200</v>
      </c>
      <c r="F2519" s="1168">
        <f t="shared" si="25"/>
        <v>714</v>
      </c>
      <c r="G2519" s="1056"/>
    </row>
    <row r="2520" spans="1:7">
      <c r="A2520" s="1164">
        <v>81</v>
      </c>
      <c r="B2520" s="1165" t="s">
        <v>1468</v>
      </c>
      <c r="C2520" s="1166" t="s">
        <v>4420</v>
      </c>
      <c r="D2520" s="1167"/>
      <c r="E2520" s="1168">
        <v>200</v>
      </c>
      <c r="F2520" s="1168">
        <f t="shared" si="25"/>
        <v>714</v>
      </c>
      <c r="G2520" s="1056"/>
    </row>
    <row r="2521" spans="1:7">
      <c r="A2521" s="1164">
        <v>82</v>
      </c>
      <c r="B2521" s="1165" t="s">
        <v>1468</v>
      </c>
      <c r="C2521" s="1166" t="s">
        <v>4421</v>
      </c>
      <c r="D2521" s="1167"/>
      <c r="E2521" s="1168">
        <v>200</v>
      </c>
      <c r="F2521" s="1168">
        <f t="shared" si="25"/>
        <v>714</v>
      </c>
      <c r="G2521" s="1056"/>
    </row>
    <row r="2522" spans="1:7">
      <c r="A2522" s="1164">
        <v>83</v>
      </c>
      <c r="B2522" s="1165" t="s">
        <v>1468</v>
      </c>
      <c r="C2522" s="1166" t="s">
        <v>4422</v>
      </c>
      <c r="D2522" s="1167"/>
      <c r="E2522" s="1168">
        <v>200</v>
      </c>
      <c r="F2522" s="1168">
        <f t="shared" si="25"/>
        <v>714</v>
      </c>
      <c r="G2522" s="1056"/>
    </row>
    <row r="2523" spans="1:7">
      <c r="A2523" s="1164">
        <v>84</v>
      </c>
      <c r="B2523" s="1165" t="s">
        <v>1468</v>
      </c>
      <c r="C2523" s="1166" t="s">
        <v>4423</v>
      </c>
      <c r="D2523" s="1167"/>
      <c r="E2523" s="1168">
        <v>200</v>
      </c>
      <c r="F2523" s="1168">
        <f t="shared" si="25"/>
        <v>714</v>
      </c>
      <c r="G2523" s="1056"/>
    </row>
    <row r="2524" spans="1:7">
      <c r="A2524" s="1164">
        <v>85</v>
      </c>
      <c r="B2524" s="1165" t="s">
        <v>1468</v>
      </c>
      <c r="C2524" s="1166" t="s">
        <v>4424</v>
      </c>
      <c r="D2524" s="1167"/>
      <c r="E2524" s="1168">
        <v>200</v>
      </c>
      <c r="F2524" s="1168">
        <f t="shared" si="25"/>
        <v>714</v>
      </c>
      <c r="G2524" s="1056"/>
    </row>
    <row r="2525" spans="1:7">
      <c r="A2525" s="1164">
        <v>86</v>
      </c>
      <c r="B2525" s="1165" t="s">
        <v>1468</v>
      </c>
      <c r="C2525" s="1166" t="s">
        <v>4425</v>
      </c>
      <c r="D2525" s="1167"/>
      <c r="E2525" s="1168">
        <v>200</v>
      </c>
      <c r="F2525" s="1168">
        <f t="shared" si="25"/>
        <v>714</v>
      </c>
      <c r="G2525" s="1056"/>
    </row>
    <row r="2526" spans="1:7">
      <c r="A2526" s="1164">
        <v>87</v>
      </c>
      <c r="B2526" s="1165" t="s">
        <v>1468</v>
      </c>
      <c r="C2526" s="1166" t="s">
        <v>4426</v>
      </c>
      <c r="D2526" s="1167"/>
      <c r="E2526" s="1168">
        <v>200</v>
      </c>
      <c r="F2526" s="1168">
        <f t="shared" si="25"/>
        <v>714</v>
      </c>
      <c r="G2526" s="1056"/>
    </row>
    <row r="2527" spans="1:7">
      <c r="A2527" s="1164">
        <v>88</v>
      </c>
      <c r="B2527" s="1165" t="s">
        <v>1468</v>
      </c>
      <c r="C2527" s="1166" t="s">
        <v>4427</v>
      </c>
      <c r="D2527" s="1167"/>
      <c r="E2527" s="1168">
        <v>200</v>
      </c>
      <c r="F2527" s="1168">
        <f t="shared" si="25"/>
        <v>714</v>
      </c>
      <c r="G2527" s="1056"/>
    </row>
    <row r="2528" spans="1:7">
      <c r="A2528" s="1164">
        <v>89</v>
      </c>
      <c r="B2528" s="1165" t="s">
        <v>1468</v>
      </c>
      <c r="C2528" s="1166" t="s">
        <v>4428</v>
      </c>
      <c r="D2528" s="1167"/>
      <c r="E2528" s="1168">
        <v>200</v>
      </c>
      <c r="F2528" s="1168">
        <f t="shared" si="25"/>
        <v>714</v>
      </c>
      <c r="G2528" s="1056"/>
    </row>
    <row r="2529" spans="1:7">
      <c r="A2529" s="1164">
        <v>90</v>
      </c>
      <c r="B2529" s="1165" t="s">
        <v>1468</v>
      </c>
      <c r="C2529" s="1166" t="s">
        <v>4429</v>
      </c>
      <c r="D2529" s="1167"/>
      <c r="E2529" s="1168">
        <v>200</v>
      </c>
      <c r="F2529" s="1168">
        <f t="shared" si="25"/>
        <v>714</v>
      </c>
      <c r="G2529" s="1056"/>
    </row>
    <row r="2530" spans="1:7">
      <c r="A2530" s="1164">
        <v>91</v>
      </c>
      <c r="B2530" s="1165" t="s">
        <v>1468</v>
      </c>
      <c r="C2530" s="1166" t="s">
        <v>4430</v>
      </c>
      <c r="D2530" s="1167"/>
      <c r="E2530" s="1168">
        <v>200</v>
      </c>
      <c r="F2530" s="1168">
        <f t="shared" si="25"/>
        <v>714</v>
      </c>
      <c r="G2530" s="1056"/>
    </row>
    <row r="2531" spans="1:7">
      <c r="A2531" s="1164">
        <v>92</v>
      </c>
      <c r="B2531" s="1165" t="s">
        <v>1468</v>
      </c>
      <c r="C2531" s="1166" t="s">
        <v>4431</v>
      </c>
      <c r="D2531" s="1167"/>
      <c r="E2531" s="1168">
        <v>200</v>
      </c>
      <c r="F2531" s="1168">
        <f t="shared" si="25"/>
        <v>714</v>
      </c>
      <c r="G2531" s="1056"/>
    </row>
    <row r="2532" spans="1:7">
      <c r="A2532" s="1164">
        <v>93</v>
      </c>
      <c r="B2532" s="1165" t="s">
        <v>2016</v>
      </c>
      <c r="C2532" s="1166" t="s">
        <v>4432</v>
      </c>
      <c r="D2532" s="1167"/>
      <c r="E2532" s="1163">
        <v>200</v>
      </c>
      <c r="F2532" s="1168">
        <f t="shared" si="25"/>
        <v>714</v>
      </c>
      <c r="G2532" s="1056"/>
    </row>
    <row r="2533" spans="1:7">
      <c r="A2533" s="1164">
        <v>94</v>
      </c>
      <c r="B2533" s="1165" t="s">
        <v>136</v>
      </c>
      <c r="C2533" s="1166" t="s">
        <v>4433</v>
      </c>
      <c r="D2533" s="1167"/>
      <c r="E2533" s="1168">
        <v>80</v>
      </c>
      <c r="F2533" s="1168">
        <f t="shared" si="25"/>
        <v>285.59999999999997</v>
      </c>
      <c r="G2533" s="1056"/>
    </row>
    <row r="2534" spans="1:7">
      <c r="A2534" s="1164">
        <v>95</v>
      </c>
      <c r="B2534" s="1165" t="s">
        <v>136</v>
      </c>
      <c r="C2534" s="1166" t="s">
        <v>4434</v>
      </c>
      <c r="D2534" s="1167"/>
      <c r="E2534" s="1168">
        <v>80</v>
      </c>
      <c r="F2534" s="1168">
        <f t="shared" si="25"/>
        <v>285.59999999999997</v>
      </c>
      <c r="G2534" s="1157"/>
    </row>
    <row r="2535" spans="1:7">
      <c r="A2535" s="1164">
        <v>96</v>
      </c>
      <c r="B2535" s="1165" t="s">
        <v>136</v>
      </c>
      <c r="C2535" s="1166" t="s">
        <v>4435</v>
      </c>
      <c r="D2535" s="1167"/>
      <c r="E2535" s="1168">
        <v>80</v>
      </c>
      <c r="F2535" s="1168">
        <f t="shared" si="25"/>
        <v>285.59999999999997</v>
      </c>
      <c r="G2535" s="1157"/>
    </row>
    <row r="2536" spans="1:7">
      <c r="A2536" s="1164">
        <v>97</v>
      </c>
      <c r="B2536" s="1165" t="s">
        <v>136</v>
      </c>
      <c r="C2536" s="1166" t="s">
        <v>4436</v>
      </c>
      <c r="D2536" s="1167"/>
      <c r="E2536" s="1168">
        <v>80</v>
      </c>
      <c r="F2536" s="1168">
        <f t="shared" si="25"/>
        <v>285.59999999999997</v>
      </c>
      <c r="G2536" s="1157"/>
    </row>
    <row r="2537" spans="1:7">
      <c r="A2537" s="1164">
        <v>98</v>
      </c>
      <c r="B2537" s="1165" t="s">
        <v>136</v>
      </c>
      <c r="C2537" s="1166" t="s">
        <v>4437</v>
      </c>
      <c r="D2537" s="1167"/>
      <c r="E2537" s="1168">
        <v>80</v>
      </c>
      <c r="F2537" s="1168">
        <f t="shared" si="25"/>
        <v>285.59999999999997</v>
      </c>
      <c r="G2537" s="1157"/>
    </row>
    <row r="2538" spans="1:7">
      <c r="A2538" s="1164">
        <v>99</v>
      </c>
      <c r="B2538" s="1165" t="s">
        <v>136</v>
      </c>
      <c r="C2538" s="1166" t="s">
        <v>4438</v>
      </c>
      <c r="D2538" s="1167"/>
      <c r="E2538" s="1168">
        <v>80</v>
      </c>
      <c r="F2538" s="1168">
        <f t="shared" si="25"/>
        <v>285.59999999999997</v>
      </c>
      <c r="G2538" s="1159" t="s">
        <v>4439</v>
      </c>
    </row>
    <row r="2539" spans="1:7">
      <c r="A2539" s="1164">
        <v>100</v>
      </c>
      <c r="B2539" s="1165" t="s">
        <v>136</v>
      </c>
      <c r="C2539" s="1166" t="s">
        <v>4440</v>
      </c>
      <c r="D2539" s="1167"/>
      <c r="E2539" s="1168">
        <v>80</v>
      </c>
      <c r="F2539" s="1168">
        <f t="shared" si="25"/>
        <v>285.59999999999997</v>
      </c>
      <c r="G2539" s="1159" t="s">
        <v>4439</v>
      </c>
    </row>
    <row r="2540" spans="1:7">
      <c r="A2540" s="1164">
        <v>101</v>
      </c>
      <c r="B2540" s="1165" t="s">
        <v>4441</v>
      </c>
      <c r="C2540" s="1166" t="s">
        <v>4442</v>
      </c>
      <c r="D2540" s="1167"/>
      <c r="E2540" s="1168">
        <v>125</v>
      </c>
      <c r="F2540" s="1168">
        <f t="shared" si="25"/>
        <v>446.25</v>
      </c>
      <c r="G2540" s="1157"/>
    </row>
    <row r="2541" spans="1:7">
      <c r="A2541" s="1164">
        <v>102</v>
      </c>
      <c r="B2541" s="1165" t="s">
        <v>4441</v>
      </c>
      <c r="C2541" s="1166" t="s">
        <v>4443</v>
      </c>
      <c r="D2541" s="1167"/>
      <c r="E2541" s="1168">
        <v>125</v>
      </c>
      <c r="F2541" s="1168">
        <f t="shared" si="25"/>
        <v>446.25</v>
      </c>
      <c r="G2541" s="1157"/>
    </row>
    <row r="2542" spans="1:7">
      <c r="A2542" s="1164">
        <v>103</v>
      </c>
      <c r="B2542" s="1165" t="s">
        <v>4441</v>
      </c>
      <c r="C2542" s="1166" t="s">
        <v>4444</v>
      </c>
      <c r="D2542" s="1167"/>
      <c r="E2542" s="1168">
        <v>125</v>
      </c>
      <c r="F2542" s="1168">
        <f t="shared" si="25"/>
        <v>446.25</v>
      </c>
      <c r="G2542" s="1157"/>
    </row>
    <row r="2543" spans="1:7">
      <c r="A2543" s="1164">
        <v>104</v>
      </c>
      <c r="B2543" s="1165" t="s">
        <v>4441</v>
      </c>
      <c r="C2543" s="1166" t="s">
        <v>4445</v>
      </c>
      <c r="D2543" s="1167"/>
      <c r="E2543" s="1168">
        <v>125</v>
      </c>
      <c r="F2543" s="1168">
        <f t="shared" si="25"/>
        <v>446.25</v>
      </c>
      <c r="G2543" s="1157"/>
    </row>
    <row r="2544" spans="1:7">
      <c r="A2544" s="1164">
        <v>105</v>
      </c>
      <c r="B2544" s="1165" t="s">
        <v>4441</v>
      </c>
      <c r="C2544" s="1166" t="s">
        <v>4446</v>
      </c>
      <c r="D2544" s="1167"/>
      <c r="E2544" s="1168">
        <v>125</v>
      </c>
      <c r="F2544" s="1168">
        <f t="shared" si="25"/>
        <v>446.25</v>
      </c>
      <c r="G2544" s="1157"/>
    </row>
    <row r="2545" spans="1:7">
      <c r="A2545" s="1164">
        <v>106</v>
      </c>
      <c r="B2545" s="1165" t="s">
        <v>4441</v>
      </c>
      <c r="C2545" s="1166" t="s">
        <v>4447</v>
      </c>
      <c r="D2545" s="1167"/>
      <c r="E2545" s="1168">
        <v>125</v>
      </c>
      <c r="F2545" s="1168">
        <f t="shared" si="25"/>
        <v>446.25</v>
      </c>
      <c r="G2545" s="1157"/>
    </row>
    <row r="2546" spans="1:7">
      <c r="A2546" s="1164">
        <v>107</v>
      </c>
      <c r="B2546" s="1165" t="s">
        <v>4448</v>
      </c>
      <c r="C2546" s="1166" t="s">
        <v>4449</v>
      </c>
      <c r="D2546" s="1167"/>
      <c r="E2546" s="1168">
        <v>415</v>
      </c>
      <c r="F2546" s="1168">
        <f t="shared" si="25"/>
        <v>1481.55</v>
      </c>
      <c r="G2546" s="1157"/>
    </row>
    <row r="2547" spans="1:7">
      <c r="A2547" s="1164">
        <v>108</v>
      </c>
      <c r="B2547" s="1165" t="s">
        <v>4450</v>
      </c>
      <c r="C2547" s="1166">
        <v>357079530535114</v>
      </c>
      <c r="D2547" s="1168" t="s">
        <v>496</v>
      </c>
      <c r="E2547" s="1168">
        <v>220</v>
      </c>
      <c r="F2547" s="1168">
        <f t="shared" si="25"/>
        <v>785.4</v>
      </c>
      <c r="G2547" s="1157"/>
    </row>
    <row r="2548" spans="1:7">
      <c r="A2548" s="1164">
        <v>109</v>
      </c>
      <c r="B2548" s="1165" t="s">
        <v>4451</v>
      </c>
      <c r="C2548" s="1166">
        <v>357079530476970</v>
      </c>
      <c r="D2548" s="1168" t="s">
        <v>496</v>
      </c>
      <c r="E2548" s="1168">
        <v>220</v>
      </c>
      <c r="F2548" s="1168">
        <f t="shared" si="25"/>
        <v>785.4</v>
      </c>
      <c r="G2548" s="1157"/>
    </row>
    <row r="2549" spans="1:7">
      <c r="A2549" s="1164">
        <v>110</v>
      </c>
      <c r="B2549" s="1165" t="s">
        <v>4452</v>
      </c>
      <c r="C2549" s="1166" t="s">
        <v>4453</v>
      </c>
      <c r="D2549" s="1167"/>
      <c r="E2549" s="1168">
        <v>350</v>
      </c>
      <c r="F2549" s="1168">
        <f t="shared" si="25"/>
        <v>1249.5</v>
      </c>
      <c r="G2549" s="1157"/>
    </row>
    <row r="2550" spans="1:7">
      <c r="A2550" s="1164">
        <v>111</v>
      </c>
      <c r="B2550" s="1165" t="s">
        <v>4454</v>
      </c>
      <c r="C2550" s="1166" t="s">
        <v>4455</v>
      </c>
      <c r="D2550" s="1167"/>
      <c r="E2550" s="1168">
        <v>350</v>
      </c>
      <c r="F2550" s="1168">
        <f t="shared" si="25"/>
        <v>1249.5</v>
      </c>
      <c r="G2550" s="1056"/>
    </row>
    <row r="2551" spans="1:7">
      <c r="A2551" s="1164">
        <v>112</v>
      </c>
      <c r="B2551" s="1165" t="s">
        <v>4456</v>
      </c>
      <c r="C2551" s="1166" t="s">
        <v>4457</v>
      </c>
      <c r="D2551" s="1167"/>
      <c r="E2551" s="1168">
        <v>175</v>
      </c>
      <c r="F2551" s="1168">
        <f t="shared" si="25"/>
        <v>624.75</v>
      </c>
      <c r="G2551" s="1056"/>
    </row>
    <row r="2552" spans="1:7" ht="18.75">
      <c r="A2552" s="1157"/>
      <c r="B2552" s="1157"/>
      <c r="C2552" s="1157"/>
      <c r="D2552" s="1157"/>
      <c r="E2552" s="1161">
        <v>58569</v>
      </c>
      <c r="F2552" s="1162">
        <f>SUM(F2440:F2551)</f>
        <v>207377.73000000007</v>
      </c>
      <c r="G2552" s="1056"/>
    </row>
    <row r="2561" spans="1:8" ht="20.25">
      <c r="A2561" s="1410" t="s">
        <v>1</v>
      </c>
      <c r="B2561" s="1411"/>
      <c r="C2561" s="1185">
        <v>46136</v>
      </c>
      <c r="D2561" s="1414" t="s">
        <v>4499</v>
      </c>
      <c r="E2561" s="1414"/>
      <c r="F2561" s="1171"/>
      <c r="G2561" s="731"/>
      <c r="H2561"/>
    </row>
    <row r="2562" spans="1:8">
      <c r="A2562" s="1412" t="s">
        <v>2416</v>
      </c>
      <c r="B2562" s="1413"/>
      <c r="C2562" s="1172" t="s">
        <v>4475</v>
      </c>
      <c r="D2562" s="1186"/>
      <c r="E2562" s="1187" t="s">
        <v>2649</v>
      </c>
      <c r="F2562" s="1171"/>
      <c r="G2562" s="731"/>
      <c r="H2562"/>
    </row>
    <row r="2563" spans="1:8">
      <c r="A2563" s="1174">
        <v>1</v>
      </c>
      <c r="B2563" s="1188" t="s">
        <v>4051</v>
      </c>
      <c r="C2563" s="1175">
        <v>355101474841860</v>
      </c>
      <c r="D2563" s="1176"/>
      <c r="E2563" s="1210">
        <v>3170</v>
      </c>
      <c r="F2563" s="1208">
        <v>3170</v>
      </c>
      <c r="G2563" s="731"/>
      <c r="H2563"/>
    </row>
    <row r="2564" spans="1:8">
      <c r="A2564" s="1174">
        <v>2</v>
      </c>
      <c r="B2564" s="1188" t="s">
        <v>4051</v>
      </c>
      <c r="C2564" s="1175">
        <v>350035239765417</v>
      </c>
      <c r="D2564" s="1176"/>
      <c r="E2564" s="1210">
        <v>3170</v>
      </c>
      <c r="F2564" s="1208">
        <v>3170</v>
      </c>
      <c r="G2564" s="731"/>
      <c r="H2564"/>
    </row>
    <row r="2565" spans="1:8">
      <c r="A2565" s="1174">
        <v>3</v>
      </c>
      <c r="B2565" s="1174" t="s">
        <v>4336</v>
      </c>
      <c r="C2565" s="1175">
        <v>358434706445011</v>
      </c>
      <c r="D2565" s="1176"/>
      <c r="E2565" s="1210">
        <v>3170</v>
      </c>
      <c r="F2565" s="1208">
        <v>3170</v>
      </c>
      <c r="G2565" s="731"/>
      <c r="H2565"/>
    </row>
    <row r="2566" spans="1:8">
      <c r="A2566" s="1174">
        <v>4</v>
      </c>
      <c r="B2566" s="1174" t="s">
        <v>4336</v>
      </c>
      <c r="C2566" s="1175">
        <v>357329449856667</v>
      </c>
      <c r="D2566" s="1176"/>
      <c r="E2566" s="1210">
        <v>3170</v>
      </c>
      <c r="F2566" s="1208">
        <v>3170</v>
      </c>
      <c r="G2566" s="731"/>
      <c r="H2566"/>
    </row>
    <row r="2567" spans="1:8">
      <c r="A2567" s="1174">
        <v>5</v>
      </c>
      <c r="B2567" s="1174" t="s">
        <v>4336</v>
      </c>
      <c r="C2567" s="1175">
        <v>350552898432972</v>
      </c>
      <c r="D2567" s="1176"/>
      <c r="E2567" s="1210">
        <v>3170</v>
      </c>
      <c r="F2567" s="1208">
        <v>3170</v>
      </c>
      <c r="G2567" s="731"/>
      <c r="H2567"/>
    </row>
    <row r="2568" spans="1:8">
      <c r="A2568" s="1174">
        <v>6</v>
      </c>
      <c r="B2568" s="1174" t="s">
        <v>4337</v>
      </c>
      <c r="C2568" s="1175">
        <v>356225420135272</v>
      </c>
      <c r="D2568" s="1176"/>
      <c r="E2568" s="1210">
        <v>3050</v>
      </c>
      <c r="F2568" s="1208">
        <v>3050</v>
      </c>
      <c r="G2568" s="731"/>
      <c r="H2568"/>
    </row>
    <row r="2569" spans="1:8">
      <c r="A2569" s="1174">
        <v>7</v>
      </c>
      <c r="B2569" s="1174" t="s">
        <v>4337</v>
      </c>
      <c r="C2569" s="1175">
        <v>350035235535947</v>
      </c>
      <c r="D2569" s="1176"/>
      <c r="E2569" s="1210">
        <v>3050</v>
      </c>
      <c r="F2569" s="1208">
        <v>3050</v>
      </c>
      <c r="G2569" s="731"/>
      <c r="H2569"/>
    </row>
    <row r="2570" spans="1:8">
      <c r="A2570" s="1174">
        <v>8</v>
      </c>
      <c r="B2570" s="1188" t="s">
        <v>4053</v>
      </c>
      <c r="C2570" s="1175">
        <v>350035238975231</v>
      </c>
      <c r="D2570" s="1176"/>
      <c r="E2570" s="1210">
        <v>3050</v>
      </c>
      <c r="F2570" s="1208">
        <v>3050</v>
      </c>
      <c r="G2570" s="731"/>
      <c r="H2570"/>
    </row>
    <row r="2571" spans="1:8">
      <c r="A2571" s="1174">
        <v>9</v>
      </c>
      <c r="B2571" s="1174" t="s">
        <v>4337</v>
      </c>
      <c r="C2571" s="1175">
        <v>359814719338767</v>
      </c>
      <c r="D2571" s="1176"/>
      <c r="E2571" s="1210">
        <v>3050</v>
      </c>
      <c r="F2571" s="1208">
        <v>3050</v>
      </c>
      <c r="G2571" s="731"/>
      <c r="H2571"/>
    </row>
    <row r="2572" spans="1:8">
      <c r="A2572" s="1174">
        <v>10</v>
      </c>
      <c r="B2572" s="1174" t="s">
        <v>4337</v>
      </c>
      <c r="C2572" s="1175">
        <v>358434708127583</v>
      </c>
      <c r="D2572" s="1176"/>
      <c r="E2572" s="1210">
        <v>3050</v>
      </c>
      <c r="F2572" s="1208">
        <v>3050</v>
      </c>
      <c r="G2572" s="731"/>
      <c r="H2572"/>
    </row>
    <row r="2573" spans="1:8">
      <c r="A2573" s="1192">
        <v>11</v>
      </c>
      <c r="B2573" s="1192" t="s">
        <v>4339</v>
      </c>
      <c r="C2573" s="1193">
        <v>354289635079891</v>
      </c>
      <c r="D2573" s="1194" t="s">
        <v>3116</v>
      </c>
      <c r="E2573" s="1210"/>
      <c r="F2573" s="1209" t="s">
        <v>4476</v>
      </c>
      <c r="G2573" s="731"/>
      <c r="H2573"/>
    </row>
    <row r="2574" spans="1:8">
      <c r="A2574" s="1174">
        <v>12</v>
      </c>
      <c r="B2574" s="1188" t="s">
        <v>4058</v>
      </c>
      <c r="C2574" s="1175">
        <v>355981558185114</v>
      </c>
      <c r="D2574" s="1176"/>
      <c r="E2574" s="1210">
        <v>2600</v>
      </c>
      <c r="F2574" s="1208">
        <v>2600</v>
      </c>
      <c r="G2574" s="731"/>
      <c r="H2574"/>
    </row>
    <row r="2575" spans="1:8">
      <c r="A2575" s="1174">
        <v>13</v>
      </c>
      <c r="B2575" s="1188" t="s">
        <v>4063</v>
      </c>
      <c r="C2575" s="1175">
        <v>351555243319363</v>
      </c>
      <c r="D2575" s="1176"/>
      <c r="E2575" s="1210">
        <v>1850</v>
      </c>
      <c r="F2575" s="1208">
        <v>1850</v>
      </c>
      <c r="G2575" s="731"/>
      <c r="H2575"/>
    </row>
    <row r="2576" spans="1:8">
      <c r="A2576" s="1174">
        <v>14</v>
      </c>
      <c r="B2576" s="1174" t="s">
        <v>4477</v>
      </c>
      <c r="C2576" s="1175">
        <v>351555243396049</v>
      </c>
      <c r="D2576" s="1176"/>
      <c r="E2576" s="1210">
        <v>1850</v>
      </c>
      <c r="F2576" s="1208">
        <v>1850</v>
      </c>
      <c r="G2576" s="731"/>
      <c r="H2576"/>
    </row>
    <row r="2577" spans="1:8">
      <c r="A2577" s="1174">
        <v>15</v>
      </c>
      <c r="B2577" s="1188" t="s">
        <v>4343</v>
      </c>
      <c r="C2577" s="1175">
        <v>358112934775637</v>
      </c>
      <c r="D2577" s="1176"/>
      <c r="E2577" s="1210">
        <v>3450</v>
      </c>
      <c r="F2577" s="1208">
        <v>3450</v>
      </c>
      <c r="G2577" s="731"/>
      <c r="H2577"/>
    </row>
    <row r="2578" spans="1:8">
      <c r="A2578" s="1174">
        <v>16</v>
      </c>
      <c r="B2578" s="1188" t="s">
        <v>4345</v>
      </c>
      <c r="C2578" s="1175">
        <v>355827875218783</v>
      </c>
      <c r="D2578" s="1176"/>
      <c r="E2578" s="1210">
        <v>2380</v>
      </c>
      <c r="F2578" s="1208"/>
      <c r="G2578" s="731"/>
      <c r="H2578"/>
    </row>
    <row r="2579" spans="1:8">
      <c r="A2579" s="1174">
        <v>17</v>
      </c>
      <c r="B2579" s="1174" t="s">
        <v>4346</v>
      </c>
      <c r="C2579" s="1175">
        <v>355827875118181</v>
      </c>
      <c r="D2579" s="1176"/>
      <c r="E2579" s="1210">
        <v>2380</v>
      </c>
      <c r="F2579" s="1208"/>
      <c r="G2579" s="731"/>
      <c r="H2579"/>
    </row>
    <row r="2580" spans="1:8">
      <c r="A2580" s="1174">
        <v>18</v>
      </c>
      <c r="B2580" s="1174" t="s">
        <v>4346</v>
      </c>
      <c r="C2580" s="1175">
        <v>356187984151360</v>
      </c>
      <c r="D2580" s="1176"/>
      <c r="E2580" s="1210">
        <v>2380</v>
      </c>
      <c r="F2580" s="1208"/>
      <c r="G2580" s="731"/>
      <c r="H2580"/>
    </row>
    <row r="2581" spans="1:8">
      <c r="A2581" s="1192">
        <v>19</v>
      </c>
      <c r="B2581" s="1192" t="s">
        <v>4346</v>
      </c>
      <c r="C2581" s="1193">
        <v>356187984967930</v>
      </c>
      <c r="D2581" s="1194"/>
      <c r="E2581" s="1210"/>
      <c r="F2581" s="1209" t="s">
        <v>1181</v>
      </c>
      <c r="G2581" s="731"/>
      <c r="H2581"/>
    </row>
    <row r="2582" spans="1:8">
      <c r="A2582" s="1174">
        <v>20</v>
      </c>
      <c r="B2582" s="1188" t="s">
        <v>4392</v>
      </c>
      <c r="C2582" s="1175">
        <v>356187984919410</v>
      </c>
      <c r="D2582" s="1176"/>
      <c r="E2582" s="1210">
        <v>2380</v>
      </c>
      <c r="F2582" s="1208"/>
      <c r="G2582" s="731"/>
      <c r="H2582"/>
    </row>
    <row r="2583" spans="1:8">
      <c r="A2583" s="1174">
        <v>21</v>
      </c>
      <c r="B2583" s="1188" t="s">
        <v>4478</v>
      </c>
      <c r="C2583" s="1175">
        <v>359090831097587</v>
      </c>
      <c r="D2583" s="1176"/>
      <c r="E2583" s="1210">
        <v>2450</v>
      </c>
      <c r="F2583" s="1208"/>
      <c r="G2583" s="731"/>
      <c r="H2583"/>
    </row>
    <row r="2584" spans="1:8">
      <c r="A2584" s="1174">
        <v>22</v>
      </c>
      <c r="B2584" s="1174" t="s">
        <v>4479</v>
      </c>
      <c r="C2584" s="1175">
        <v>359090831058399</v>
      </c>
      <c r="D2584" s="1176"/>
      <c r="E2584" s="1210">
        <v>2450</v>
      </c>
      <c r="F2584" s="1208"/>
      <c r="G2584" s="731"/>
      <c r="H2584"/>
    </row>
    <row r="2585" spans="1:8">
      <c r="A2585" s="1192">
        <v>23</v>
      </c>
      <c r="B2585" s="1192" t="s">
        <v>4349</v>
      </c>
      <c r="C2585" s="1193">
        <v>359090830966741</v>
      </c>
      <c r="D2585" s="1194"/>
      <c r="E2585" s="1210"/>
      <c r="F2585" s="1209" t="s">
        <v>4476</v>
      </c>
      <c r="G2585" s="731"/>
      <c r="H2585"/>
    </row>
    <row r="2586" spans="1:8">
      <c r="A2586" s="1174">
        <v>24</v>
      </c>
      <c r="B2586" s="1188" t="s">
        <v>4350</v>
      </c>
      <c r="C2586" s="1175">
        <v>359090830965479</v>
      </c>
      <c r="D2586" s="1176"/>
      <c r="E2586" s="1210">
        <v>2450</v>
      </c>
      <c r="F2586" s="1209"/>
      <c r="G2586" s="731"/>
      <c r="H2586"/>
    </row>
    <row r="2587" spans="1:8">
      <c r="A2587" s="1174">
        <v>25</v>
      </c>
      <c r="B2587" s="1174" t="s">
        <v>4349</v>
      </c>
      <c r="C2587" s="1175">
        <v>350687011162278</v>
      </c>
      <c r="D2587" s="1176"/>
      <c r="E2587" s="1210">
        <v>2450</v>
      </c>
      <c r="F2587" s="1208"/>
      <c r="G2587" s="731"/>
      <c r="H2587"/>
    </row>
    <row r="2588" spans="1:8">
      <c r="A2588" s="1174">
        <v>26</v>
      </c>
      <c r="B2588" s="1174" t="s">
        <v>4349</v>
      </c>
      <c r="C2588" s="1175">
        <v>350687011357233</v>
      </c>
      <c r="D2588" s="1176"/>
      <c r="E2588" s="1210">
        <v>2450</v>
      </c>
      <c r="F2588" s="1208"/>
      <c r="G2588" s="731"/>
      <c r="H2588"/>
    </row>
    <row r="2589" spans="1:8">
      <c r="A2589" s="1192">
        <v>27</v>
      </c>
      <c r="B2589" s="1192" t="s">
        <v>4349</v>
      </c>
      <c r="C2589" s="1193">
        <v>350520600345857</v>
      </c>
      <c r="D2589" s="1194"/>
      <c r="E2589" s="1210"/>
      <c r="F2589" s="1209" t="s">
        <v>1181</v>
      </c>
      <c r="G2589" s="731"/>
      <c r="H2589"/>
    </row>
    <row r="2590" spans="1:8">
      <c r="A2590" s="1174">
        <v>28</v>
      </c>
      <c r="B2590" s="1174" t="s">
        <v>4349</v>
      </c>
      <c r="C2590" s="1175">
        <v>351235180997352</v>
      </c>
      <c r="D2590" s="1176"/>
      <c r="E2590" s="1210">
        <v>2450</v>
      </c>
      <c r="F2590" s="1208"/>
      <c r="G2590" s="731"/>
      <c r="H2590"/>
    </row>
    <row r="2591" spans="1:8">
      <c r="A2591" s="1174">
        <v>29</v>
      </c>
      <c r="B2591" s="1188" t="s">
        <v>4351</v>
      </c>
      <c r="C2591" s="1175">
        <v>351878872583640</v>
      </c>
      <c r="D2591" s="1176"/>
      <c r="E2591" s="1210">
        <v>1800</v>
      </c>
      <c r="F2591" s="1208"/>
      <c r="G2591" s="731"/>
      <c r="H2591"/>
    </row>
    <row r="2592" spans="1:8">
      <c r="A2592" s="1192">
        <v>30</v>
      </c>
      <c r="B2592" s="1192" t="s">
        <v>4480</v>
      </c>
      <c r="C2592" s="1193">
        <v>3</v>
      </c>
      <c r="D2592" s="1194"/>
      <c r="E2592" s="1210"/>
      <c r="F2592" s="1209" t="s">
        <v>4481</v>
      </c>
      <c r="G2592" s="731"/>
      <c r="H2592"/>
    </row>
    <row r="2593" spans="1:8">
      <c r="A2593" s="1177">
        <v>1</v>
      </c>
      <c r="B2593" s="1178" t="s">
        <v>4341</v>
      </c>
      <c r="C2593" s="1179">
        <v>352355702788052</v>
      </c>
      <c r="D2593" s="1184"/>
      <c r="E2593" s="1210">
        <v>3820</v>
      </c>
      <c r="F2593" s="1208">
        <v>3820</v>
      </c>
      <c r="G2593" s="731"/>
      <c r="H2593"/>
    </row>
    <row r="2594" spans="1:8">
      <c r="A2594" s="1195">
        <v>2</v>
      </c>
      <c r="B2594" s="1196" t="s">
        <v>4482</v>
      </c>
      <c r="C2594" s="1197">
        <v>352355708608163</v>
      </c>
      <c r="D2594" s="1198"/>
      <c r="E2594" s="1210"/>
      <c r="F2594" s="1209" t="s">
        <v>2774</v>
      </c>
      <c r="G2594" s="731"/>
      <c r="H2594"/>
    </row>
    <row r="2595" spans="1:8">
      <c r="A2595" s="1177">
        <v>3</v>
      </c>
      <c r="B2595" s="1178" t="s">
        <v>4482</v>
      </c>
      <c r="C2595" s="1179">
        <v>352355701315378</v>
      </c>
      <c r="D2595" s="1184"/>
      <c r="E2595" s="1210">
        <v>3820</v>
      </c>
      <c r="F2595" s="1208">
        <v>3820</v>
      </c>
      <c r="G2595" s="731"/>
      <c r="H2595"/>
    </row>
    <row r="2596" spans="1:8">
      <c r="A2596" s="1177">
        <v>4</v>
      </c>
      <c r="B2596" s="1178" t="s">
        <v>4482</v>
      </c>
      <c r="C2596" s="1179">
        <v>352355709756227</v>
      </c>
      <c r="D2596" s="1184"/>
      <c r="E2596" s="1210">
        <v>3820</v>
      </c>
      <c r="F2596" s="1208">
        <v>3820</v>
      </c>
      <c r="G2596" s="731"/>
      <c r="H2596"/>
    </row>
    <row r="2597" spans="1:8">
      <c r="A2597" s="1177">
        <v>5</v>
      </c>
      <c r="B2597" s="1178" t="s">
        <v>4483</v>
      </c>
      <c r="C2597" s="1179">
        <v>358112932676910</v>
      </c>
      <c r="D2597" s="1184"/>
      <c r="E2597" s="1210">
        <v>3450</v>
      </c>
      <c r="F2597" s="1208">
        <v>3450</v>
      </c>
      <c r="G2597" s="731"/>
      <c r="H2597"/>
    </row>
    <row r="2598" spans="1:8">
      <c r="A2598" s="1177">
        <v>6</v>
      </c>
      <c r="B2598" s="1178" t="s">
        <v>4483</v>
      </c>
      <c r="C2598" s="1179">
        <v>358112933769060</v>
      </c>
      <c r="D2598" s="1184"/>
      <c r="E2598" s="1210">
        <v>3450</v>
      </c>
      <c r="F2598" s="1208">
        <v>3450</v>
      </c>
      <c r="G2598" s="731"/>
      <c r="H2598"/>
    </row>
    <row r="2599" spans="1:8">
      <c r="A2599" s="1177">
        <v>7</v>
      </c>
      <c r="B2599" s="1178" t="s">
        <v>4483</v>
      </c>
      <c r="C2599" s="1179">
        <v>358112934556417</v>
      </c>
      <c r="D2599" s="1184"/>
      <c r="E2599" s="1210">
        <v>3450</v>
      </c>
      <c r="F2599" s="1208">
        <v>3450</v>
      </c>
      <c r="G2599" s="731"/>
      <c r="H2599"/>
    </row>
    <row r="2600" spans="1:8">
      <c r="A2600" s="1177">
        <v>8</v>
      </c>
      <c r="B2600" s="1178" t="s">
        <v>4107</v>
      </c>
      <c r="C2600" s="1179">
        <v>352255850373253</v>
      </c>
      <c r="D2600" s="1184"/>
      <c r="E2600" s="1210">
        <v>2650</v>
      </c>
      <c r="F2600" s="1208"/>
      <c r="G2600" s="731"/>
      <c r="H2600"/>
    </row>
    <row r="2601" spans="1:8">
      <c r="A2601" s="1177">
        <v>9</v>
      </c>
      <c r="B2601" s="1178" t="s">
        <v>4484</v>
      </c>
      <c r="C2601" s="1179">
        <v>352255850129390</v>
      </c>
      <c r="D2601" s="1184"/>
      <c r="E2601" s="1210">
        <v>2650</v>
      </c>
      <c r="F2601" s="1208"/>
      <c r="G2601" s="731"/>
      <c r="H2601"/>
    </row>
    <row r="2602" spans="1:8">
      <c r="A2602" s="1177">
        <v>10</v>
      </c>
      <c r="B2602" s="1178" t="s">
        <v>4344</v>
      </c>
      <c r="C2602" s="1179">
        <v>352255851176655</v>
      </c>
      <c r="D2602" s="1184"/>
      <c r="E2602" s="1210">
        <v>2650</v>
      </c>
      <c r="F2602" s="1208"/>
      <c r="G2602" s="731"/>
      <c r="H2602"/>
    </row>
    <row r="2603" spans="1:8">
      <c r="A2603" s="1177">
        <v>11</v>
      </c>
      <c r="B2603" s="1178" t="s">
        <v>4485</v>
      </c>
      <c r="C2603" s="1191" t="s">
        <v>4472</v>
      </c>
      <c r="D2603" s="1184"/>
      <c r="E2603" s="1210">
        <v>2650</v>
      </c>
      <c r="F2603" s="1208"/>
      <c r="G2603" s="731"/>
      <c r="H2603"/>
    </row>
    <row r="2604" spans="1:8">
      <c r="A2604" s="1180">
        <v>1</v>
      </c>
      <c r="B2604" s="1181" t="s">
        <v>4336</v>
      </c>
      <c r="C2604" s="1180">
        <v>358434701443052</v>
      </c>
      <c r="D2604" s="1182"/>
      <c r="E2604" s="1210">
        <v>3170</v>
      </c>
      <c r="F2604" s="1208">
        <v>3170</v>
      </c>
      <c r="G2604" s="731"/>
      <c r="H2604"/>
    </row>
    <row r="2605" spans="1:8">
      <c r="A2605" s="1199">
        <v>2</v>
      </c>
      <c r="B2605" s="1200" t="s">
        <v>4336</v>
      </c>
      <c r="C2605" s="1199">
        <v>353497854603587</v>
      </c>
      <c r="D2605" s="1201"/>
      <c r="E2605" s="1210"/>
      <c r="F2605" s="1209" t="s">
        <v>2774</v>
      </c>
      <c r="G2605" s="731"/>
      <c r="H2605"/>
    </row>
    <row r="2606" spans="1:8">
      <c r="A2606" s="1180">
        <v>3</v>
      </c>
      <c r="B2606" s="1181" t="s">
        <v>4336</v>
      </c>
      <c r="C2606" s="1180">
        <v>358206137153426</v>
      </c>
      <c r="D2606" s="1182"/>
      <c r="E2606" s="1210">
        <v>3170</v>
      </c>
      <c r="F2606" s="1208">
        <v>3170</v>
      </c>
      <c r="G2606" s="731"/>
      <c r="H2606"/>
    </row>
    <row r="2607" spans="1:8">
      <c r="A2607" s="1180">
        <v>4</v>
      </c>
      <c r="B2607" s="1181" t="s">
        <v>4336</v>
      </c>
      <c r="C2607" s="1180">
        <v>356392246100169</v>
      </c>
      <c r="D2607" s="1182"/>
      <c r="E2607" s="1210">
        <v>3170</v>
      </c>
      <c r="F2607" s="1208">
        <v>3170</v>
      </c>
      <c r="G2607" s="731"/>
      <c r="H2607"/>
    </row>
    <row r="2608" spans="1:8">
      <c r="A2608" s="1199">
        <v>5</v>
      </c>
      <c r="B2608" s="1200" t="s">
        <v>4486</v>
      </c>
      <c r="C2608" s="1199">
        <v>358206139092903</v>
      </c>
      <c r="D2608" s="1201"/>
      <c r="E2608" s="1210"/>
      <c r="F2608" s="1209" t="s">
        <v>4487</v>
      </c>
      <c r="G2608" s="731"/>
      <c r="H2608"/>
    </row>
    <row r="2609" spans="1:8">
      <c r="A2609" s="1180">
        <v>6</v>
      </c>
      <c r="B2609" s="1181" t="s">
        <v>4337</v>
      </c>
      <c r="C2609" s="1180">
        <v>350035238772554</v>
      </c>
      <c r="D2609" s="1182"/>
      <c r="E2609" s="1210">
        <v>3050</v>
      </c>
      <c r="F2609" s="1208">
        <v>3050</v>
      </c>
      <c r="G2609" s="731"/>
      <c r="H2609"/>
    </row>
    <row r="2610" spans="1:8">
      <c r="A2610" s="1180">
        <v>7</v>
      </c>
      <c r="B2610" s="1181" t="s">
        <v>4337</v>
      </c>
      <c r="C2610" s="1180">
        <v>350035237395332</v>
      </c>
      <c r="D2610" s="1182"/>
      <c r="E2610" s="1210">
        <v>3050</v>
      </c>
      <c r="F2610" s="1208">
        <v>3050</v>
      </c>
      <c r="G2610" s="731"/>
      <c r="H2610"/>
    </row>
    <row r="2611" spans="1:8">
      <c r="A2611" s="1180">
        <v>8</v>
      </c>
      <c r="B2611" s="1189" t="s">
        <v>4488</v>
      </c>
      <c r="C2611" s="1180">
        <v>357247250496433</v>
      </c>
      <c r="D2611" s="1182"/>
      <c r="E2611" s="1210">
        <v>3200</v>
      </c>
      <c r="F2611" s="1208">
        <v>3200</v>
      </c>
      <c r="G2611" s="731"/>
      <c r="H2611"/>
    </row>
    <row r="2612" spans="1:8">
      <c r="A2612" s="1180">
        <v>9</v>
      </c>
      <c r="B2612" s="1181" t="s">
        <v>4489</v>
      </c>
      <c r="C2612" s="1180">
        <v>350035239807607</v>
      </c>
      <c r="D2612" s="1182"/>
      <c r="E2612" s="1210">
        <v>3200</v>
      </c>
      <c r="F2612" s="1208">
        <v>3200</v>
      </c>
      <c r="G2612" s="731"/>
      <c r="H2612"/>
    </row>
    <row r="2613" spans="1:8">
      <c r="A2613" s="1180">
        <v>10</v>
      </c>
      <c r="B2613" s="1181" t="s">
        <v>4489</v>
      </c>
      <c r="C2613" s="1180">
        <v>357247250148000</v>
      </c>
      <c r="D2613" s="1182"/>
      <c r="E2613" s="1210">
        <v>3200</v>
      </c>
      <c r="F2613" s="1208">
        <v>3200</v>
      </c>
      <c r="G2613" s="731"/>
      <c r="H2613"/>
    </row>
    <row r="2614" spans="1:8">
      <c r="A2614" s="1180">
        <v>11</v>
      </c>
      <c r="B2614" s="1189" t="s">
        <v>4054</v>
      </c>
      <c r="C2614" s="1180">
        <v>359814713210145</v>
      </c>
      <c r="D2614" s="1182"/>
      <c r="E2614" s="1210">
        <v>3420</v>
      </c>
      <c r="F2614" s="1208">
        <v>3420</v>
      </c>
      <c r="G2614" s="731"/>
      <c r="H2614"/>
    </row>
    <row r="2615" spans="1:8">
      <c r="A2615" s="1180">
        <v>12</v>
      </c>
      <c r="B2615" s="1181" t="s">
        <v>4338</v>
      </c>
      <c r="C2615" s="1180">
        <v>358902516895807</v>
      </c>
      <c r="D2615" s="1183" t="s">
        <v>3117</v>
      </c>
      <c r="E2615" s="1210">
        <v>3420</v>
      </c>
      <c r="F2615" s="1208">
        <v>3420</v>
      </c>
      <c r="G2615" s="731"/>
      <c r="H2615"/>
    </row>
    <row r="2616" spans="1:8">
      <c r="A2616" s="1199">
        <v>13</v>
      </c>
      <c r="B2616" s="1200" t="s">
        <v>4490</v>
      </c>
      <c r="C2616" s="1199">
        <v>355246652164344</v>
      </c>
      <c r="D2616" s="1201"/>
      <c r="E2616" s="1210"/>
      <c r="F2616" s="1209" t="s">
        <v>2774</v>
      </c>
      <c r="G2616" s="731"/>
      <c r="H2616"/>
    </row>
    <row r="2617" spans="1:8">
      <c r="A2617" s="1180">
        <v>14</v>
      </c>
      <c r="B2617" s="1189" t="s">
        <v>4056</v>
      </c>
      <c r="C2617" s="1180">
        <v>355981558893428</v>
      </c>
      <c r="D2617" s="1182"/>
      <c r="E2617" s="1210">
        <v>2700</v>
      </c>
      <c r="F2617" s="1208">
        <v>2700</v>
      </c>
      <c r="G2617" s="731"/>
      <c r="H2617"/>
    </row>
    <row r="2618" spans="1:8">
      <c r="A2618" s="1180">
        <v>15</v>
      </c>
      <c r="B2618" s="1181" t="s">
        <v>4339</v>
      </c>
      <c r="C2618" s="1180">
        <v>359477639587267</v>
      </c>
      <c r="D2618" s="1182"/>
      <c r="E2618" s="1210">
        <v>2600</v>
      </c>
      <c r="F2618" s="1208">
        <v>2600</v>
      </c>
      <c r="G2618" s="731"/>
      <c r="H2618"/>
    </row>
    <row r="2619" spans="1:8">
      <c r="A2619" s="1180">
        <v>16</v>
      </c>
      <c r="B2619" s="1181" t="s">
        <v>4339</v>
      </c>
      <c r="C2619" s="1180">
        <v>355820209152414</v>
      </c>
      <c r="D2619" s="1182"/>
      <c r="E2619" s="1210">
        <v>2600</v>
      </c>
      <c r="F2619" s="1208">
        <v>2600</v>
      </c>
      <c r="G2619" s="731"/>
      <c r="H2619"/>
    </row>
    <row r="2620" spans="1:8">
      <c r="A2620" s="1180">
        <v>17</v>
      </c>
      <c r="B2620" s="1181" t="s">
        <v>4339</v>
      </c>
      <c r="C2620" s="1180">
        <v>359477637299931</v>
      </c>
      <c r="D2620" s="1190" t="s">
        <v>1121</v>
      </c>
      <c r="E2620" s="1210">
        <v>2600</v>
      </c>
      <c r="F2620" s="1208">
        <v>2600</v>
      </c>
      <c r="G2620" s="731"/>
      <c r="H2620"/>
    </row>
    <row r="2621" spans="1:8">
      <c r="A2621" s="1180">
        <v>18</v>
      </c>
      <c r="B2621" s="1181" t="s">
        <v>4339</v>
      </c>
      <c r="C2621" s="1180">
        <v>355079367233165</v>
      </c>
      <c r="D2621" s="1182"/>
      <c r="E2621" s="1210">
        <v>2600</v>
      </c>
      <c r="F2621" s="1208">
        <v>2600</v>
      </c>
      <c r="G2621" s="731"/>
      <c r="H2621"/>
    </row>
    <row r="2622" spans="1:8">
      <c r="A2622" s="1180">
        <v>19</v>
      </c>
      <c r="B2622" s="1189" t="s">
        <v>4059</v>
      </c>
      <c r="C2622" s="1180">
        <v>355079365252746</v>
      </c>
      <c r="D2622" s="1182"/>
      <c r="E2622" s="1210">
        <v>2700</v>
      </c>
      <c r="F2622" s="1208">
        <v>2700</v>
      </c>
      <c r="G2622" s="731"/>
      <c r="H2622"/>
    </row>
    <row r="2623" spans="1:8">
      <c r="A2623" s="1199">
        <v>20</v>
      </c>
      <c r="B2623" s="1200" t="s">
        <v>4340</v>
      </c>
      <c r="C2623" s="1199">
        <v>355820205406947</v>
      </c>
      <c r="D2623" s="1201"/>
      <c r="E2623" s="1210"/>
      <c r="F2623" s="1209" t="s">
        <v>2774</v>
      </c>
      <c r="G2623" s="731"/>
      <c r="H2623"/>
    </row>
    <row r="2624" spans="1:8">
      <c r="A2624" s="1199">
        <v>21</v>
      </c>
      <c r="B2624" s="1200" t="s">
        <v>4340</v>
      </c>
      <c r="C2624" s="1199">
        <v>355820205159983</v>
      </c>
      <c r="D2624" s="1201"/>
      <c r="E2624" s="1210"/>
      <c r="F2624" s="1209" t="s">
        <v>2774</v>
      </c>
      <c r="G2624" s="731"/>
      <c r="H2624"/>
    </row>
    <row r="2625" spans="1:8">
      <c r="A2625" s="1199">
        <v>22</v>
      </c>
      <c r="B2625" s="1200" t="s">
        <v>4491</v>
      </c>
      <c r="C2625" s="1199">
        <v>353502586835306</v>
      </c>
      <c r="D2625" s="1203" t="s">
        <v>3117</v>
      </c>
      <c r="E2625" s="1210"/>
      <c r="F2625" s="1209" t="s">
        <v>2774</v>
      </c>
      <c r="G2625" s="731"/>
      <c r="H2625"/>
    </row>
    <row r="2626" spans="1:8">
      <c r="A2626" s="1199">
        <v>23</v>
      </c>
      <c r="B2626" s="1200" t="s">
        <v>4492</v>
      </c>
      <c r="C2626" s="1199">
        <v>353502589556933</v>
      </c>
      <c r="D2626" s="1201"/>
      <c r="E2626" s="1210"/>
      <c r="F2626" s="1209" t="s">
        <v>2774</v>
      </c>
      <c r="G2626" s="731"/>
      <c r="H2626"/>
    </row>
    <row r="2627" spans="1:8">
      <c r="A2627" s="1180">
        <v>24</v>
      </c>
      <c r="B2627" s="1181" t="s">
        <v>4346</v>
      </c>
      <c r="C2627" s="1180">
        <v>356187985786339</v>
      </c>
      <c r="D2627" s="1182"/>
      <c r="E2627" s="1210">
        <v>2380</v>
      </c>
      <c r="F2627" s="1208"/>
      <c r="G2627" s="731"/>
      <c r="H2627"/>
    </row>
    <row r="2628" spans="1:8">
      <c r="A2628" s="1180">
        <v>25</v>
      </c>
      <c r="B2628" s="1189" t="s">
        <v>4347</v>
      </c>
      <c r="C2628" s="1180">
        <v>358135792302152</v>
      </c>
      <c r="D2628" s="1182"/>
      <c r="E2628" s="1210">
        <v>2380</v>
      </c>
      <c r="F2628" s="1208"/>
      <c r="G2628" s="731"/>
      <c r="H2628"/>
    </row>
    <row r="2629" spans="1:8">
      <c r="A2629" s="1180">
        <v>26</v>
      </c>
      <c r="B2629" s="1181" t="s">
        <v>4493</v>
      </c>
      <c r="C2629" s="1180">
        <v>358135792397582</v>
      </c>
      <c r="D2629" s="1182"/>
      <c r="E2629" s="1210">
        <v>2380</v>
      </c>
      <c r="F2629" s="1208"/>
      <c r="G2629" s="731"/>
      <c r="H2629"/>
    </row>
    <row r="2630" spans="1:8">
      <c r="A2630" s="1180">
        <v>27</v>
      </c>
      <c r="B2630" s="1181" t="s">
        <v>4494</v>
      </c>
      <c r="C2630" s="1180">
        <v>355827875231190</v>
      </c>
      <c r="D2630" s="1182"/>
      <c r="E2630" s="1210">
        <v>2380</v>
      </c>
      <c r="F2630" s="1208"/>
      <c r="G2630" s="731"/>
      <c r="H2630"/>
    </row>
    <row r="2631" spans="1:8">
      <c r="A2631" s="1180">
        <v>28</v>
      </c>
      <c r="B2631" s="1181" t="s">
        <v>4349</v>
      </c>
      <c r="C2631" s="1180">
        <v>351235180887496</v>
      </c>
      <c r="D2631" s="1182"/>
      <c r="E2631" s="1210">
        <v>2450</v>
      </c>
      <c r="F2631" s="1208"/>
      <c r="G2631" s="731"/>
      <c r="H2631"/>
    </row>
    <row r="2632" spans="1:8">
      <c r="A2632" s="1180">
        <v>29</v>
      </c>
      <c r="B2632" s="1181" t="s">
        <v>4349</v>
      </c>
      <c r="C2632" s="1180">
        <v>350520600027851</v>
      </c>
      <c r="D2632" s="1182"/>
      <c r="E2632" s="1210">
        <v>2450</v>
      </c>
      <c r="F2632" s="1208"/>
      <c r="G2632" s="731"/>
      <c r="H2632"/>
    </row>
    <row r="2633" spans="1:8">
      <c r="A2633" s="1180">
        <v>30</v>
      </c>
      <c r="B2633" s="1181" t="s">
        <v>4495</v>
      </c>
      <c r="C2633" s="1180">
        <v>359329860060789</v>
      </c>
      <c r="D2633" s="1182"/>
      <c r="E2633" s="1210">
        <v>2600</v>
      </c>
      <c r="F2633" s="1208"/>
      <c r="G2633" s="731"/>
      <c r="H2633"/>
    </row>
    <row r="2634" spans="1:8">
      <c r="A2634" s="1180">
        <v>31</v>
      </c>
      <c r="B2634" s="1189" t="s">
        <v>4496</v>
      </c>
      <c r="C2634" s="1180">
        <v>351235183386975</v>
      </c>
      <c r="D2634" s="1182"/>
      <c r="E2634" s="1210">
        <v>2450</v>
      </c>
      <c r="F2634" s="1208"/>
      <c r="G2634" s="731"/>
      <c r="H2634"/>
    </row>
    <row r="2635" spans="1:8">
      <c r="A2635" s="1180">
        <v>32</v>
      </c>
      <c r="B2635" s="1181" t="s">
        <v>4352</v>
      </c>
      <c r="C2635" s="1180">
        <v>351878872227347</v>
      </c>
      <c r="D2635" s="1182"/>
      <c r="E2635" s="1210">
        <v>1800</v>
      </c>
      <c r="F2635" s="1208"/>
      <c r="G2635" s="731"/>
      <c r="H2635"/>
    </row>
    <row r="2636" spans="1:8">
      <c r="A2636" s="1180">
        <v>33</v>
      </c>
      <c r="B2636" s="1181" t="s">
        <v>4352</v>
      </c>
      <c r="C2636" s="1180">
        <v>351878872584242</v>
      </c>
      <c r="D2636" s="1182"/>
      <c r="E2636" s="1210">
        <v>1800</v>
      </c>
      <c r="F2636" s="1208"/>
      <c r="G2636" s="731"/>
      <c r="H2636"/>
    </row>
    <row r="2637" spans="1:8">
      <c r="A2637" s="1180">
        <v>34</v>
      </c>
      <c r="B2637" s="1181" t="s">
        <v>4352</v>
      </c>
      <c r="C2637" s="1180">
        <v>351878872240787</v>
      </c>
      <c r="D2637" s="1182"/>
      <c r="E2637" s="1210">
        <v>1800</v>
      </c>
      <c r="F2637" s="1208"/>
      <c r="G2637" s="731"/>
      <c r="H2637"/>
    </row>
    <row r="2638" spans="1:8">
      <c r="A2638" s="1199">
        <v>35</v>
      </c>
      <c r="B2638" s="1200" t="s">
        <v>4497</v>
      </c>
      <c r="C2638" s="1199">
        <v>1</v>
      </c>
      <c r="D2638" s="1201"/>
      <c r="E2638" s="1202"/>
      <c r="F2638" s="1173" t="s">
        <v>4481</v>
      </c>
      <c r="G2638" s="731"/>
      <c r="H2638"/>
    </row>
    <row r="2639" spans="1:8" ht="18.75">
      <c r="B2639" s="1171"/>
      <c r="C2639" s="1171"/>
      <c r="D2639" s="1171"/>
      <c r="E2639" s="1211">
        <f>SUM(E2563:E2638)</f>
        <v>172000</v>
      </c>
      <c r="G2639" s="1171"/>
    </row>
    <row r="2646" spans="1:8">
      <c r="A2646" s="1212"/>
      <c r="B2646" s="1212" t="s">
        <v>4356</v>
      </c>
      <c r="C2646" s="1158">
        <v>46139</v>
      </c>
      <c r="D2646" s="1409"/>
      <c r="E2646" s="1409"/>
      <c r="F2646" s="1409"/>
      <c r="G2646" s="1409"/>
      <c r="H2646"/>
    </row>
    <row r="2647" spans="1:8">
      <c r="A2647" s="1213" t="s">
        <v>3928</v>
      </c>
      <c r="B2647" s="1213" t="s">
        <v>2416</v>
      </c>
      <c r="C2647" s="1213" t="s">
        <v>4541</v>
      </c>
      <c r="D2647" s="1217" t="s">
        <v>2423</v>
      </c>
      <c r="E2647" s="1217" t="s">
        <v>3734</v>
      </c>
      <c r="F2647" s="1217" t="s">
        <v>3111</v>
      </c>
      <c r="G2647" s="1217" t="s">
        <v>4542</v>
      </c>
      <c r="H2647"/>
    </row>
    <row r="2648" spans="1:8">
      <c r="A2648" s="1164">
        <v>1</v>
      </c>
      <c r="B2648" s="1165" t="s">
        <v>4051</v>
      </c>
      <c r="C2648" s="1164">
        <v>353497859837347</v>
      </c>
      <c r="D2648" s="1182"/>
      <c r="E2648" s="1210">
        <v>850</v>
      </c>
      <c r="F2648" s="1218">
        <v>3034.5</v>
      </c>
      <c r="G2648" s="1210"/>
      <c r="H2648"/>
    </row>
    <row r="2649" spans="1:8">
      <c r="A2649" s="1164">
        <v>2</v>
      </c>
      <c r="B2649" s="1165" t="s">
        <v>4051</v>
      </c>
      <c r="C2649" s="1164">
        <v>359814716516431</v>
      </c>
      <c r="D2649" s="1182"/>
      <c r="E2649" s="1210">
        <v>850</v>
      </c>
      <c r="F2649" s="1218">
        <v>3034.5</v>
      </c>
      <c r="G2649" s="1210"/>
      <c r="H2649"/>
    </row>
    <row r="2650" spans="1:8">
      <c r="A2650" s="1164">
        <v>3</v>
      </c>
      <c r="B2650" s="1165" t="s">
        <v>4051</v>
      </c>
      <c r="C2650" s="1164">
        <v>356392247045561</v>
      </c>
      <c r="D2650" s="1219"/>
      <c r="E2650" s="1210">
        <v>850</v>
      </c>
      <c r="F2650" s="1218">
        <v>3034.5</v>
      </c>
      <c r="G2650" s="1210"/>
      <c r="H2650"/>
    </row>
    <row r="2651" spans="1:8">
      <c r="A2651" s="1164">
        <v>4</v>
      </c>
      <c r="B2651" s="1165" t="s">
        <v>4051</v>
      </c>
      <c r="C2651" s="1164">
        <v>358206136682698</v>
      </c>
      <c r="D2651" s="1182"/>
      <c r="E2651" s="1210">
        <v>850</v>
      </c>
      <c r="F2651" s="1218">
        <v>3034.5</v>
      </c>
      <c r="G2651" s="1210"/>
      <c r="H2651"/>
    </row>
    <row r="2652" spans="1:8">
      <c r="A2652" s="1164">
        <v>5</v>
      </c>
      <c r="B2652" s="1165" t="s">
        <v>4051</v>
      </c>
      <c r="C2652" s="1164">
        <v>357329445885850</v>
      </c>
      <c r="D2652" s="1182"/>
      <c r="E2652" s="1210">
        <v>850</v>
      </c>
      <c r="F2652" s="1218">
        <v>3034.5</v>
      </c>
      <c r="G2652" s="1210"/>
      <c r="H2652"/>
    </row>
    <row r="2653" spans="1:8">
      <c r="A2653" s="1164">
        <v>6</v>
      </c>
      <c r="B2653" s="1165" t="s">
        <v>4051</v>
      </c>
      <c r="C2653" s="1164">
        <v>355246657672010</v>
      </c>
      <c r="D2653" s="1182"/>
      <c r="E2653" s="1210">
        <v>850</v>
      </c>
      <c r="F2653" s="1218">
        <v>3034.5</v>
      </c>
      <c r="G2653" s="1210"/>
      <c r="H2653"/>
    </row>
    <row r="2654" spans="1:8">
      <c r="A2654" s="1164">
        <v>7</v>
      </c>
      <c r="B2654" s="1165" t="s">
        <v>4051</v>
      </c>
      <c r="C2654" s="1164">
        <v>356392247282958</v>
      </c>
      <c r="D2654" s="1182"/>
      <c r="E2654" s="1210">
        <v>850</v>
      </c>
      <c r="F2654" s="1218">
        <v>3034.5</v>
      </c>
      <c r="G2654" s="1210"/>
      <c r="H2654"/>
    </row>
    <row r="2655" spans="1:8">
      <c r="A2655" s="1164">
        <v>8</v>
      </c>
      <c r="B2655" s="1165" t="s">
        <v>4051</v>
      </c>
      <c r="C2655" s="1164">
        <v>357329446954648</v>
      </c>
      <c r="D2655" s="1182"/>
      <c r="E2655" s="1210">
        <v>850</v>
      </c>
      <c r="F2655" s="1218">
        <v>3034.5</v>
      </c>
      <c r="G2655" s="1210"/>
      <c r="H2655"/>
    </row>
    <row r="2656" spans="1:8">
      <c r="A2656" s="1164">
        <v>9</v>
      </c>
      <c r="B2656" s="1165" t="s">
        <v>4051</v>
      </c>
      <c r="C2656" s="1164">
        <v>353497858288153</v>
      </c>
      <c r="D2656" s="1220" t="s">
        <v>1121</v>
      </c>
      <c r="E2656" s="1210">
        <v>760</v>
      </c>
      <c r="F2656" s="1218">
        <v>2713.2</v>
      </c>
      <c r="G2656" s="1174" t="s">
        <v>4543</v>
      </c>
      <c r="H2656"/>
    </row>
    <row r="2657" spans="1:8">
      <c r="A2657" s="1164">
        <v>10</v>
      </c>
      <c r="B2657" s="1165" t="s">
        <v>4051</v>
      </c>
      <c r="C2657" s="1164">
        <v>350599869907516</v>
      </c>
      <c r="D2657" s="1220" t="s">
        <v>3422</v>
      </c>
      <c r="E2657" s="1210">
        <v>1130</v>
      </c>
      <c r="F2657" s="1218">
        <v>4034.1</v>
      </c>
      <c r="G2657" s="1210"/>
      <c r="H2657"/>
    </row>
    <row r="2658" spans="1:8">
      <c r="A2658" s="1164">
        <v>11</v>
      </c>
      <c r="B2658" s="1165" t="s">
        <v>4051</v>
      </c>
      <c r="C2658" s="1164">
        <v>356605222677607</v>
      </c>
      <c r="D2658" s="1220" t="s">
        <v>1121</v>
      </c>
      <c r="E2658" s="1210">
        <v>850</v>
      </c>
      <c r="F2658" s="1218">
        <v>3034.5</v>
      </c>
      <c r="G2658" s="1210"/>
      <c r="H2658"/>
    </row>
    <row r="2659" spans="1:8">
      <c r="A2659" s="1164">
        <v>12</v>
      </c>
      <c r="B2659" s="1165" t="s">
        <v>4051</v>
      </c>
      <c r="C2659" s="1164">
        <v>358434702781393</v>
      </c>
      <c r="D2659" s="1220" t="s">
        <v>1121</v>
      </c>
      <c r="E2659" s="1210">
        <v>850</v>
      </c>
      <c r="F2659" s="1218">
        <v>3034.5</v>
      </c>
      <c r="G2659" s="1210"/>
      <c r="H2659"/>
    </row>
    <row r="2660" spans="1:8">
      <c r="A2660" s="1164">
        <v>13</v>
      </c>
      <c r="B2660" s="1165" t="s">
        <v>4051</v>
      </c>
      <c r="C2660" s="1164">
        <v>355246658415617</v>
      </c>
      <c r="D2660" s="1220" t="s">
        <v>3422</v>
      </c>
      <c r="E2660" s="1210">
        <v>1130</v>
      </c>
      <c r="F2660" s="1218">
        <v>4034.1</v>
      </c>
      <c r="G2660" s="1210"/>
      <c r="H2660"/>
    </row>
    <row r="2661" spans="1:8">
      <c r="A2661" s="1164">
        <v>14</v>
      </c>
      <c r="B2661" s="1165" t="s">
        <v>4051</v>
      </c>
      <c r="C2661" s="1164">
        <v>356392249976268</v>
      </c>
      <c r="D2661" s="1220" t="s">
        <v>1121</v>
      </c>
      <c r="E2661" s="1210">
        <v>850</v>
      </c>
      <c r="F2661" s="1218">
        <v>3034.5</v>
      </c>
      <c r="G2661" s="1210"/>
      <c r="H2661"/>
    </row>
    <row r="2662" spans="1:8">
      <c r="A2662" s="1164">
        <v>15</v>
      </c>
      <c r="B2662" s="1165" t="s">
        <v>4053</v>
      </c>
      <c r="C2662" s="1164">
        <v>358051329919980</v>
      </c>
      <c r="D2662" s="1182"/>
      <c r="E2662" s="1210">
        <v>800</v>
      </c>
      <c r="F2662" s="1218">
        <v>2856</v>
      </c>
      <c r="G2662" s="1210"/>
      <c r="H2662"/>
    </row>
    <row r="2663" spans="1:8">
      <c r="A2663" s="1164">
        <v>16</v>
      </c>
      <c r="B2663" s="1165" t="s">
        <v>4053</v>
      </c>
      <c r="C2663" s="1164">
        <v>350035234381541</v>
      </c>
      <c r="D2663" s="1182"/>
      <c r="E2663" s="1210">
        <v>800</v>
      </c>
      <c r="F2663" s="1218">
        <v>2856</v>
      </c>
      <c r="G2663" s="1210"/>
      <c r="H2663"/>
    </row>
    <row r="2664" spans="1:8">
      <c r="A2664" s="1164">
        <v>17</v>
      </c>
      <c r="B2664" s="1165" t="s">
        <v>4053</v>
      </c>
      <c r="C2664" s="1164">
        <v>358434707235312</v>
      </c>
      <c r="D2664" s="1220" t="s">
        <v>4052</v>
      </c>
      <c r="E2664" s="1210">
        <v>1180</v>
      </c>
      <c r="F2664" s="1218">
        <v>4212.5999999999995</v>
      </c>
      <c r="G2664" s="1210"/>
      <c r="H2664"/>
    </row>
    <row r="2665" spans="1:8">
      <c r="A2665" s="1164">
        <v>18</v>
      </c>
      <c r="B2665" s="1165" t="s">
        <v>4053</v>
      </c>
      <c r="C2665" s="1164">
        <v>356392241855841</v>
      </c>
      <c r="D2665" s="1220" t="s">
        <v>1121</v>
      </c>
      <c r="E2665" s="1210">
        <v>800</v>
      </c>
      <c r="F2665" s="1218">
        <v>2856</v>
      </c>
      <c r="G2665" s="1210"/>
      <c r="H2665"/>
    </row>
    <row r="2666" spans="1:8">
      <c r="A2666" s="1164">
        <v>19</v>
      </c>
      <c r="B2666" s="1165" t="s">
        <v>4053</v>
      </c>
      <c r="C2666" s="1164">
        <v>356225420603311</v>
      </c>
      <c r="D2666" s="1182"/>
      <c r="E2666" s="1210">
        <v>800</v>
      </c>
      <c r="F2666" s="1218">
        <v>2856</v>
      </c>
      <c r="G2666" s="1210"/>
      <c r="H2666"/>
    </row>
    <row r="2667" spans="1:8">
      <c r="A2667" s="1164">
        <v>20</v>
      </c>
      <c r="B2667" s="1165" t="s">
        <v>4053</v>
      </c>
      <c r="C2667" s="1164">
        <v>353497852912188</v>
      </c>
      <c r="D2667" s="1219"/>
      <c r="E2667" s="1210">
        <v>800</v>
      </c>
      <c r="F2667" s="1218">
        <v>2856</v>
      </c>
      <c r="G2667" s="1210"/>
      <c r="H2667"/>
    </row>
    <row r="2668" spans="1:8">
      <c r="A2668" s="1164">
        <v>21</v>
      </c>
      <c r="B2668" s="1165" t="s">
        <v>4053</v>
      </c>
      <c r="C2668" s="1164">
        <v>358434709902778</v>
      </c>
      <c r="D2668" s="1182"/>
      <c r="E2668" s="1210">
        <v>800</v>
      </c>
      <c r="F2668" s="1218">
        <v>2856</v>
      </c>
      <c r="G2668" s="1210"/>
      <c r="H2668"/>
    </row>
    <row r="2669" spans="1:8">
      <c r="A2669" s="1164">
        <v>22</v>
      </c>
      <c r="B2669" s="1165" t="s">
        <v>4053</v>
      </c>
      <c r="C2669" s="1164">
        <v>358434701361627</v>
      </c>
      <c r="D2669" s="1182"/>
      <c r="E2669" s="1210">
        <v>800</v>
      </c>
      <c r="F2669" s="1218">
        <v>2856</v>
      </c>
      <c r="G2669" s="1210"/>
      <c r="H2669"/>
    </row>
    <row r="2670" spans="1:8">
      <c r="A2670" s="1164">
        <v>23</v>
      </c>
      <c r="B2670" s="1165" t="s">
        <v>4053</v>
      </c>
      <c r="C2670" s="1164">
        <v>353497858328033</v>
      </c>
      <c r="D2670" s="1220" t="s">
        <v>4052</v>
      </c>
      <c r="E2670" s="1210">
        <v>1180</v>
      </c>
      <c r="F2670" s="1218">
        <v>4212.5999999999995</v>
      </c>
      <c r="G2670" s="1210"/>
      <c r="H2670"/>
    </row>
    <row r="2671" spans="1:8">
      <c r="A2671" s="1164">
        <v>24</v>
      </c>
      <c r="B2671" s="1165" t="s">
        <v>4053</v>
      </c>
      <c r="C2671" s="1164">
        <v>350035235459031</v>
      </c>
      <c r="D2671" s="1220" t="s">
        <v>1121</v>
      </c>
      <c r="E2671" s="1210">
        <v>800</v>
      </c>
      <c r="F2671" s="1218">
        <v>2856</v>
      </c>
      <c r="G2671" s="1210"/>
      <c r="H2671"/>
    </row>
    <row r="2672" spans="1:8">
      <c r="A2672" s="1164">
        <v>25</v>
      </c>
      <c r="B2672" s="1165" t="s">
        <v>4053</v>
      </c>
      <c r="C2672" s="1164">
        <v>358434709995608</v>
      </c>
      <c r="D2672" s="1219"/>
      <c r="E2672" s="1210">
        <v>800</v>
      </c>
      <c r="F2672" s="1218">
        <v>2856</v>
      </c>
      <c r="G2672" s="1210"/>
      <c r="H2672"/>
    </row>
    <row r="2673" spans="1:8">
      <c r="A2673" s="1164">
        <v>26</v>
      </c>
      <c r="B2673" s="1165" t="s">
        <v>4054</v>
      </c>
      <c r="C2673" s="1164">
        <v>359814713912641</v>
      </c>
      <c r="D2673" s="1182"/>
      <c r="E2673" s="1210">
        <v>920</v>
      </c>
      <c r="F2673" s="1218">
        <v>3284.3999999999996</v>
      </c>
      <c r="G2673" s="1210"/>
      <c r="H2673"/>
    </row>
    <row r="2674" spans="1:8">
      <c r="A2674" s="1164">
        <v>27</v>
      </c>
      <c r="B2674" s="1165" t="s">
        <v>4054</v>
      </c>
      <c r="C2674" s="1164">
        <v>358206136736437</v>
      </c>
      <c r="D2674" s="1182"/>
      <c r="E2674" s="1210">
        <v>920</v>
      </c>
      <c r="F2674" s="1218">
        <v>3284.3999999999996</v>
      </c>
      <c r="G2674" s="1210"/>
      <c r="H2674"/>
    </row>
    <row r="2675" spans="1:8">
      <c r="A2675" s="1164">
        <v>28</v>
      </c>
      <c r="B2675" s="1165" t="s">
        <v>4054</v>
      </c>
      <c r="C2675" s="1164">
        <v>359814713596311</v>
      </c>
      <c r="D2675" s="1182"/>
      <c r="E2675" s="1210">
        <v>920</v>
      </c>
      <c r="F2675" s="1218">
        <v>3284.3999999999996</v>
      </c>
      <c r="G2675" s="1210"/>
      <c r="H2675"/>
    </row>
    <row r="2676" spans="1:8">
      <c r="A2676" s="1164">
        <v>29</v>
      </c>
      <c r="B2676" s="1165" t="s">
        <v>4054</v>
      </c>
      <c r="C2676" s="1164">
        <v>359814713932755</v>
      </c>
      <c r="D2676" s="1182"/>
      <c r="E2676" s="1210">
        <v>920</v>
      </c>
      <c r="F2676" s="1218">
        <v>3284.3999999999996</v>
      </c>
      <c r="G2676" s="1210"/>
      <c r="H2676"/>
    </row>
    <row r="2677" spans="1:8">
      <c r="A2677" s="1164">
        <v>30</v>
      </c>
      <c r="B2677" s="1165" t="s">
        <v>4054</v>
      </c>
      <c r="C2677" s="1164">
        <v>356225420186861</v>
      </c>
      <c r="D2677" s="1219"/>
      <c r="E2677" s="1210">
        <v>920</v>
      </c>
      <c r="F2677" s="1218">
        <v>3284.3999999999996</v>
      </c>
      <c r="G2677" s="1210"/>
      <c r="H2677"/>
    </row>
    <row r="2678" spans="1:8">
      <c r="A2678" s="1164">
        <v>31</v>
      </c>
      <c r="B2678" s="1165" t="s">
        <v>4054</v>
      </c>
      <c r="C2678" s="1164">
        <v>359814714049740</v>
      </c>
      <c r="D2678" s="1182"/>
      <c r="E2678" s="1210">
        <v>920</v>
      </c>
      <c r="F2678" s="1218">
        <v>3284.3999999999996</v>
      </c>
      <c r="G2678" s="1210"/>
      <c r="H2678"/>
    </row>
    <row r="2679" spans="1:8">
      <c r="A2679" s="1164">
        <v>32</v>
      </c>
      <c r="B2679" s="1165" t="s">
        <v>4054</v>
      </c>
      <c r="C2679" s="1164">
        <v>358206132521668</v>
      </c>
      <c r="D2679" s="1182"/>
      <c r="E2679" s="1210">
        <v>920</v>
      </c>
      <c r="F2679" s="1218">
        <v>3284.3999999999996</v>
      </c>
      <c r="G2679" s="1210"/>
      <c r="H2679"/>
    </row>
    <row r="2680" spans="1:8">
      <c r="A2680" s="1164">
        <v>33</v>
      </c>
      <c r="B2680" s="1165" t="s">
        <v>4054</v>
      </c>
      <c r="C2680" s="1164">
        <v>359814714137933</v>
      </c>
      <c r="D2680" s="1182"/>
      <c r="E2680" s="1210">
        <v>920</v>
      </c>
      <c r="F2680" s="1218">
        <v>3284.3999999999996</v>
      </c>
      <c r="G2680" s="1210"/>
      <c r="H2680"/>
    </row>
    <row r="2681" spans="1:8">
      <c r="A2681" s="1164">
        <v>34</v>
      </c>
      <c r="B2681" s="1165" t="s">
        <v>4054</v>
      </c>
      <c r="C2681" s="1164">
        <v>358206132512436</v>
      </c>
      <c r="D2681" s="1182"/>
      <c r="E2681" s="1210">
        <v>920</v>
      </c>
      <c r="F2681" s="1218">
        <v>3284.3999999999996</v>
      </c>
      <c r="G2681" s="1210"/>
      <c r="H2681"/>
    </row>
    <row r="2682" spans="1:8">
      <c r="A2682" s="1164">
        <v>35</v>
      </c>
      <c r="B2682" s="1165" t="s">
        <v>4054</v>
      </c>
      <c r="C2682" s="1164">
        <v>359814713965052</v>
      </c>
      <c r="D2682" s="1182"/>
      <c r="E2682" s="1210">
        <v>920</v>
      </c>
      <c r="F2682" s="1218">
        <v>3284.3999999999996</v>
      </c>
      <c r="G2682" s="1210"/>
      <c r="H2682"/>
    </row>
    <row r="2683" spans="1:8">
      <c r="A2683" s="1164">
        <v>36</v>
      </c>
      <c r="B2683" s="1165" t="s">
        <v>4056</v>
      </c>
      <c r="C2683" s="1164">
        <v>355820205154547</v>
      </c>
      <c r="D2683" s="1219"/>
      <c r="E2683" s="1210">
        <v>750</v>
      </c>
      <c r="F2683" s="1218">
        <v>2677.5</v>
      </c>
      <c r="G2683" s="1210"/>
      <c r="H2683"/>
    </row>
    <row r="2684" spans="1:8">
      <c r="A2684" s="1164">
        <v>37</v>
      </c>
      <c r="B2684" s="1165" t="s">
        <v>4056</v>
      </c>
      <c r="C2684" s="1164">
        <v>359477638023728</v>
      </c>
      <c r="D2684" s="1182"/>
      <c r="E2684" s="1210">
        <v>750</v>
      </c>
      <c r="F2684" s="1218">
        <v>2677.5</v>
      </c>
      <c r="G2684" s="1210"/>
      <c r="H2684"/>
    </row>
    <row r="2685" spans="1:8">
      <c r="A2685" s="1164">
        <v>38</v>
      </c>
      <c r="B2685" s="1165" t="s">
        <v>4056</v>
      </c>
      <c r="C2685" s="1164">
        <v>352176456423948</v>
      </c>
      <c r="D2685" s="1220" t="s">
        <v>1121</v>
      </c>
      <c r="E2685" s="1210">
        <v>750</v>
      </c>
      <c r="F2685" s="1218">
        <v>2677.5</v>
      </c>
      <c r="G2685" s="1210"/>
      <c r="H2685"/>
    </row>
    <row r="2686" spans="1:8">
      <c r="A2686" s="1164">
        <v>39</v>
      </c>
      <c r="B2686" s="1165" t="s">
        <v>4056</v>
      </c>
      <c r="C2686" s="1164">
        <v>354956974060332</v>
      </c>
      <c r="D2686" s="1182"/>
      <c r="E2686" s="1210">
        <v>750</v>
      </c>
      <c r="F2686" s="1218">
        <v>2677.5</v>
      </c>
      <c r="G2686" s="1210"/>
      <c r="H2686"/>
    </row>
    <row r="2687" spans="1:8">
      <c r="A2687" s="1164">
        <v>40</v>
      </c>
      <c r="B2687" s="1165" t="s">
        <v>4056</v>
      </c>
      <c r="C2687" s="1164">
        <v>355981559639101</v>
      </c>
      <c r="D2687" s="1182"/>
      <c r="E2687" s="1210">
        <v>750</v>
      </c>
      <c r="F2687" s="1218">
        <v>2677.5</v>
      </c>
      <c r="G2687" s="1210"/>
      <c r="H2687"/>
    </row>
    <row r="2688" spans="1:8">
      <c r="A2688" s="1164">
        <v>41</v>
      </c>
      <c r="B2688" s="1165" t="s">
        <v>4056</v>
      </c>
      <c r="C2688" s="1164">
        <v>352190320767356</v>
      </c>
      <c r="D2688" s="1219"/>
      <c r="E2688" s="1210">
        <v>750</v>
      </c>
      <c r="F2688" s="1218">
        <v>2677.5</v>
      </c>
      <c r="G2688" s="1210"/>
      <c r="H2688"/>
    </row>
    <row r="2689" spans="1:8">
      <c r="A2689" s="1164">
        <v>42</v>
      </c>
      <c r="B2689" s="1165" t="s">
        <v>4056</v>
      </c>
      <c r="C2689" s="1164">
        <v>352176456359761</v>
      </c>
      <c r="D2689" s="1220" t="s">
        <v>1121</v>
      </c>
      <c r="E2689" s="1210">
        <v>750</v>
      </c>
      <c r="F2689" s="1218">
        <v>2677.5</v>
      </c>
      <c r="G2689" s="1210"/>
      <c r="H2689"/>
    </row>
    <row r="2690" spans="1:8">
      <c r="A2690" s="1164">
        <v>43</v>
      </c>
      <c r="B2690" s="1165" t="s">
        <v>4056</v>
      </c>
      <c r="C2690" s="1164">
        <v>359477635863308</v>
      </c>
      <c r="D2690" s="1182"/>
      <c r="E2690" s="1210">
        <v>750</v>
      </c>
      <c r="F2690" s="1218">
        <v>2677.5</v>
      </c>
      <c r="G2690" s="1210"/>
      <c r="H2690"/>
    </row>
    <row r="2691" spans="1:8">
      <c r="A2691" s="1164">
        <v>44</v>
      </c>
      <c r="B2691" s="1165" t="s">
        <v>4056</v>
      </c>
      <c r="C2691" s="1164">
        <v>355981559118304</v>
      </c>
      <c r="D2691" s="1182"/>
      <c r="E2691" s="1210">
        <v>750</v>
      </c>
      <c r="F2691" s="1218">
        <v>2677.5</v>
      </c>
      <c r="G2691" s="1210"/>
      <c r="H2691"/>
    </row>
    <row r="2692" spans="1:8">
      <c r="A2692" s="1164">
        <v>45</v>
      </c>
      <c r="B2692" s="1165" t="s">
        <v>4056</v>
      </c>
      <c r="C2692" s="1164">
        <v>357633132789246</v>
      </c>
      <c r="D2692" s="1220" t="s">
        <v>1121</v>
      </c>
      <c r="E2692" s="1210">
        <v>750</v>
      </c>
      <c r="F2692" s="1218">
        <v>2677.5</v>
      </c>
      <c r="G2692" s="1210"/>
      <c r="H2692"/>
    </row>
    <row r="2693" spans="1:8">
      <c r="A2693" s="1164">
        <v>46</v>
      </c>
      <c r="B2693" s="1165" t="s">
        <v>4056</v>
      </c>
      <c r="C2693" s="1164">
        <v>351030795758160</v>
      </c>
      <c r="D2693" s="1220" t="s">
        <v>1121</v>
      </c>
      <c r="E2693" s="1210">
        <v>750</v>
      </c>
      <c r="F2693" s="1218">
        <v>2677.5</v>
      </c>
      <c r="G2693" s="1210"/>
      <c r="H2693"/>
    </row>
    <row r="2694" spans="1:8">
      <c r="A2694" s="1164">
        <v>47</v>
      </c>
      <c r="B2694" s="1165" t="s">
        <v>4057</v>
      </c>
      <c r="C2694" s="1164">
        <v>355820206992580</v>
      </c>
      <c r="D2694" s="1220" t="s">
        <v>4052</v>
      </c>
      <c r="E2694" s="1210">
        <v>1180</v>
      </c>
      <c r="F2694" s="1218">
        <v>4212.5999999999995</v>
      </c>
      <c r="G2694" s="1210"/>
      <c r="H2694"/>
    </row>
    <row r="2695" spans="1:8">
      <c r="A2695" s="1164">
        <v>48</v>
      </c>
      <c r="B2695" s="1165" t="s">
        <v>4057</v>
      </c>
      <c r="C2695" s="1164">
        <v>356245419462222</v>
      </c>
      <c r="D2695" s="1220" t="s">
        <v>4052</v>
      </c>
      <c r="E2695" s="1210">
        <v>1180</v>
      </c>
      <c r="F2695" s="1218">
        <v>4212.5999999999995</v>
      </c>
      <c r="G2695" s="1210"/>
      <c r="H2695"/>
    </row>
    <row r="2696" spans="1:8">
      <c r="A2696" s="1164">
        <v>49</v>
      </c>
      <c r="B2696" s="1165" t="s">
        <v>4057</v>
      </c>
      <c r="C2696" s="1164">
        <v>357254479390454</v>
      </c>
      <c r="D2696" s="1220" t="s">
        <v>4052</v>
      </c>
      <c r="E2696" s="1210">
        <v>1180</v>
      </c>
      <c r="F2696" s="1218">
        <v>4212.5999999999995</v>
      </c>
      <c r="G2696" s="1210"/>
      <c r="H2696"/>
    </row>
    <row r="2697" spans="1:8">
      <c r="A2697" s="1164">
        <v>50</v>
      </c>
      <c r="B2697" s="1165" t="s">
        <v>4058</v>
      </c>
      <c r="C2697" s="1164">
        <v>355820209403627</v>
      </c>
      <c r="D2697" s="1182"/>
      <c r="E2697" s="1210">
        <v>750</v>
      </c>
      <c r="F2697" s="1218">
        <v>2677.5</v>
      </c>
      <c r="G2697" s="1210"/>
      <c r="H2697"/>
    </row>
    <row r="2698" spans="1:8">
      <c r="A2698" s="1164">
        <v>51</v>
      </c>
      <c r="B2698" s="1165" t="s">
        <v>4058</v>
      </c>
      <c r="C2698" s="1164">
        <v>353748536449801</v>
      </c>
      <c r="D2698" s="1220" t="s">
        <v>3422</v>
      </c>
      <c r="E2698" s="1210">
        <v>1050</v>
      </c>
      <c r="F2698" s="1218">
        <v>3748.5</v>
      </c>
      <c r="G2698" s="1210"/>
      <c r="H2698"/>
    </row>
    <row r="2699" spans="1:8">
      <c r="A2699" s="1164">
        <v>52</v>
      </c>
      <c r="B2699" s="1165" t="s">
        <v>4058</v>
      </c>
      <c r="C2699" s="1164">
        <v>359477637575447</v>
      </c>
      <c r="D2699" s="1219"/>
      <c r="E2699" s="1210">
        <v>750</v>
      </c>
      <c r="F2699" s="1218">
        <v>2677.5</v>
      </c>
      <c r="G2699" s="1210"/>
      <c r="H2699"/>
    </row>
    <row r="2700" spans="1:8">
      <c r="A2700" s="1164">
        <v>53</v>
      </c>
      <c r="B2700" s="1165" t="s">
        <v>4058</v>
      </c>
      <c r="C2700" s="1164">
        <v>356245419857652</v>
      </c>
      <c r="D2700" s="1182"/>
      <c r="E2700" s="1210">
        <v>750</v>
      </c>
      <c r="F2700" s="1218">
        <v>2677.5</v>
      </c>
      <c r="G2700" s="1210"/>
      <c r="H2700"/>
    </row>
    <row r="2701" spans="1:8">
      <c r="A2701" s="1164">
        <v>54</v>
      </c>
      <c r="B2701" s="1165" t="s">
        <v>4058</v>
      </c>
      <c r="C2701" s="1164">
        <v>355500356041160</v>
      </c>
      <c r="D2701" s="1220" t="s">
        <v>4052</v>
      </c>
      <c r="E2701" s="1210">
        <v>1080</v>
      </c>
      <c r="F2701" s="1218">
        <v>3855.6</v>
      </c>
      <c r="G2701" s="1210"/>
      <c r="H2701"/>
    </row>
    <row r="2702" spans="1:8">
      <c r="A2702" s="1164">
        <v>55</v>
      </c>
      <c r="B2702" s="1165" t="s">
        <v>4058</v>
      </c>
      <c r="C2702" s="1164">
        <v>352001993936436</v>
      </c>
      <c r="D2702" s="1220" t="s">
        <v>4052</v>
      </c>
      <c r="E2702" s="1210">
        <v>1080</v>
      </c>
      <c r="F2702" s="1218">
        <v>3855.6</v>
      </c>
      <c r="G2702" s="1210"/>
      <c r="H2702"/>
    </row>
    <row r="2703" spans="1:8">
      <c r="A2703" s="1164">
        <v>56</v>
      </c>
      <c r="B2703" s="1165" t="s">
        <v>4059</v>
      </c>
      <c r="C2703" s="1164">
        <v>359477639163648</v>
      </c>
      <c r="D2703" s="1220" t="s">
        <v>4052</v>
      </c>
      <c r="E2703" s="1210">
        <v>1180</v>
      </c>
      <c r="F2703" s="1218">
        <v>4212.5999999999995</v>
      </c>
      <c r="G2703" s="1210"/>
      <c r="H2703"/>
    </row>
    <row r="2704" spans="1:8">
      <c r="A2704" s="1164">
        <v>57</v>
      </c>
      <c r="B2704" s="1165" t="s">
        <v>4060</v>
      </c>
      <c r="C2704" s="1164">
        <v>352440630597278</v>
      </c>
      <c r="D2704" s="1220" t="s">
        <v>4052</v>
      </c>
      <c r="E2704" s="1210">
        <v>1080</v>
      </c>
      <c r="F2704" s="1218">
        <v>3855.6</v>
      </c>
      <c r="G2704" s="1210"/>
      <c r="H2704"/>
    </row>
    <row r="2705" spans="1:8">
      <c r="A2705" s="1164">
        <v>58</v>
      </c>
      <c r="B2705" s="1165" t="s">
        <v>4060</v>
      </c>
      <c r="C2705" s="1164">
        <v>352001991602402</v>
      </c>
      <c r="D2705" s="1220" t="s">
        <v>4052</v>
      </c>
      <c r="E2705" s="1210">
        <v>1080</v>
      </c>
      <c r="F2705" s="1218">
        <v>3855.6</v>
      </c>
      <c r="G2705" s="1210"/>
      <c r="H2705"/>
    </row>
    <row r="2706" spans="1:8">
      <c r="A2706" s="1164">
        <v>59</v>
      </c>
      <c r="B2706" s="1165" t="s">
        <v>4544</v>
      </c>
      <c r="C2706" s="1164">
        <v>358271523802036</v>
      </c>
      <c r="D2706" s="1220" t="s">
        <v>3422</v>
      </c>
      <c r="E2706" s="1210">
        <v>490</v>
      </c>
      <c r="F2706" s="1218">
        <v>1749.3</v>
      </c>
      <c r="G2706" s="1174" t="s">
        <v>4545</v>
      </c>
      <c r="H2706"/>
    </row>
    <row r="2707" spans="1:8">
      <c r="A2707" s="1164">
        <v>60</v>
      </c>
      <c r="B2707" s="1165" t="s">
        <v>4546</v>
      </c>
      <c r="C2707" s="1164">
        <v>354666654247014</v>
      </c>
      <c r="D2707" s="1220" t="s">
        <v>4052</v>
      </c>
      <c r="E2707" s="1210">
        <v>650</v>
      </c>
      <c r="F2707" s="1218">
        <v>2320.5</v>
      </c>
      <c r="G2707" s="1174" t="s">
        <v>4547</v>
      </c>
      <c r="H2707"/>
    </row>
    <row r="2708" spans="1:8">
      <c r="A2708" s="1164">
        <v>61</v>
      </c>
      <c r="B2708" s="1165" t="s">
        <v>4546</v>
      </c>
      <c r="C2708" s="1164">
        <v>353502588851301</v>
      </c>
      <c r="D2708" s="1182"/>
      <c r="E2708" s="1210">
        <v>700</v>
      </c>
      <c r="F2708" s="1218">
        <v>2499</v>
      </c>
      <c r="G2708" s="1210"/>
      <c r="H2708"/>
    </row>
    <row r="2709" spans="1:8">
      <c r="A2709" s="1164">
        <v>62</v>
      </c>
      <c r="B2709" s="1165" t="s">
        <v>4548</v>
      </c>
      <c r="C2709" s="1164">
        <v>358835894417226</v>
      </c>
      <c r="D2709" s="1182"/>
      <c r="E2709" s="1210">
        <v>320</v>
      </c>
      <c r="F2709" s="1218">
        <v>1142.3999999999999</v>
      </c>
      <c r="G2709" s="1210"/>
      <c r="H2709"/>
    </row>
    <row r="2710" spans="1:8">
      <c r="A2710" s="1164">
        <v>63</v>
      </c>
      <c r="B2710" s="1165" t="s">
        <v>4549</v>
      </c>
      <c r="C2710" s="1164">
        <v>354570354691424</v>
      </c>
      <c r="D2710" s="1220" t="s">
        <v>1121</v>
      </c>
      <c r="E2710" s="1210">
        <v>490</v>
      </c>
      <c r="F2710" s="1218">
        <v>1749.3</v>
      </c>
      <c r="G2710" s="1210"/>
      <c r="H2710"/>
    </row>
    <row r="2711" spans="1:8">
      <c r="A2711" s="1164">
        <v>64</v>
      </c>
      <c r="B2711" s="1165" t="s">
        <v>4550</v>
      </c>
      <c r="C2711" s="1164">
        <v>352355706556117</v>
      </c>
      <c r="D2711" s="1219"/>
      <c r="E2711" s="1210">
        <v>1050</v>
      </c>
      <c r="F2711" s="1218">
        <v>3748.5</v>
      </c>
      <c r="G2711" s="1174" t="s">
        <v>4551</v>
      </c>
      <c r="H2711"/>
    </row>
    <row r="2712" spans="1:8">
      <c r="A2712" s="1164">
        <v>65</v>
      </c>
      <c r="B2712" s="1165" t="s">
        <v>4552</v>
      </c>
      <c r="C2712" s="1164">
        <v>352255850784186</v>
      </c>
      <c r="D2712" s="1182"/>
      <c r="E2712" s="1210">
        <v>750</v>
      </c>
      <c r="F2712" s="1218">
        <v>2677.5</v>
      </c>
      <c r="G2712" s="1210"/>
      <c r="H2712"/>
    </row>
    <row r="2713" spans="1:8">
      <c r="A2713" s="1164">
        <v>66</v>
      </c>
      <c r="B2713" s="1165" t="s">
        <v>4375</v>
      </c>
      <c r="C2713" s="1164">
        <v>350094264077032</v>
      </c>
      <c r="D2713" s="1182"/>
      <c r="E2713" s="1210">
        <v>350</v>
      </c>
      <c r="F2713" s="1218">
        <v>1249.5</v>
      </c>
      <c r="G2713" s="1174" t="s">
        <v>4553</v>
      </c>
      <c r="H2713"/>
    </row>
    <row r="2714" spans="1:8">
      <c r="A2714" s="1164">
        <v>67</v>
      </c>
      <c r="B2714" s="1165" t="s">
        <v>4375</v>
      </c>
      <c r="C2714" s="1164">
        <v>351159024325184</v>
      </c>
      <c r="D2714" s="1182"/>
      <c r="E2714" s="1210">
        <v>350</v>
      </c>
      <c r="F2714" s="1218">
        <v>1249.5</v>
      </c>
      <c r="G2714" s="1210"/>
      <c r="H2714"/>
    </row>
    <row r="2715" spans="1:8">
      <c r="A2715" s="1164">
        <v>68</v>
      </c>
      <c r="B2715" s="1165" t="s">
        <v>4375</v>
      </c>
      <c r="C2715" s="1164">
        <v>350094264606632</v>
      </c>
      <c r="D2715" s="1182"/>
      <c r="E2715" s="1210">
        <v>350</v>
      </c>
      <c r="F2715" s="1218">
        <v>1249.5</v>
      </c>
      <c r="G2715" s="1174" t="s">
        <v>4554</v>
      </c>
      <c r="H2715"/>
    </row>
    <row r="2716" spans="1:8">
      <c r="A2716" s="1164">
        <v>69</v>
      </c>
      <c r="B2716" s="1165" t="s">
        <v>4555</v>
      </c>
      <c r="C2716" s="1164">
        <v>357879853765416</v>
      </c>
      <c r="D2716" s="1182"/>
      <c r="E2716" s="1210">
        <v>480</v>
      </c>
      <c r="F2716" s="1218">
        <v>1713.6</v>
      </c>
      <c r="G2716" s="1210"/>
      <c r="H2716"/>
    </row>
    <row r="2717" spans="1:8">
      <c r="A2717" s="1164">
        <v>70</v>
      </c>
      <c r="B2717" s="1165" t="s">
        <v>4555</v>
      </c>
      <c r="C2717" s="1164">
        <v>357879853903678</v>
      </c>
      <c r="D2717" s="1219"/>
      <c r="E2717" s="1210">
        <v>480</v>
      </c>
      <c r="F2717" s="1218">
        <v>1713.6</v>
      </c>
      <c r="G2717" s="1210"/>
      <c r="H2717"/>
    </row>
    <row r="2718" spans="1:8">
      <c r="A2718" s="1164">
        <v>71</v>
      </c>
      <c r="B2718" s="1165" t="s">
        <v>4387</v>
      </c>
      <c r="C2718" s="1165" t="s">
        <v>4556</v>
      </c>
      <c r="D2718" s="1182"/>
      <c r="E2718" s="1210">
        <v>930</v>
      </c>
      <c r="F2718" s="1218">
        <v>3320.1</v>
      </c>
      <c r="G2718" s="1210"/>
      <c r="H2718"/>
    </row>
    <row r="2719" spans="1:8">
      <c r="A2719" s="1164">
        <v>72</v>
      </c>
      <c r="B2719" s="1165" t="s">
        <v>4387</v>
      </c>
      <c r="C2719" s="1165" t="s">
        <v>4557</v>
      </c>
      <c r="D2719" s="1182"/>
      <c r="E2719" s="1210">
        <v>930</v>
      </c>
      <c r="F2719" s="1218">
        <v>3320.1</v>
      </c>
      <c r="G2719" s="1210"/>
      <c r="H2719"/>
    </row>
    <row r="2720" spans="1:8">
      <c r="A2720" s="1164">
        <v>73</v>
      </c>
      <c r="B2720" s="1165" t="s">
        <v>4394</v>
      </c>
      <c r="C2720" s="1164">
        <v>357324132333306</v>
      </c>
      <c r="D2720" s="1182"/>
      <c r="E2720" s="1210">
        <v>320</v>
      </c>
      <c r="F2720" s="1218">
        <v>1142.3999999999999</v>
      </c>
      <c r="G2720" s="1210"/>
      <c r="H2720"/>
    </row>
    <row r="2721" spans="1:8">
      <c r="A2721" s="1164">
        <v>74</v>
      </c>
      <c r="B2721" s="1165" t="s">
        <v>4454</v>
      </c>
      <c r="C2721" s="1165" t="s">
        <v>4558</v>
      </c>
      <c r="D2721" s="1182"/>
      <c r="E2721" s="1210">
        <v>300</v>
      </c>
      <c r="F2721" s="1218">
        <v>1071</v>
      </c>
      <c r="G2721" s="1210"/>
      <c r="H2721"/>
    </row>
    <row r="2722" spans="1:8">
      <c r="A2722" s="1164">
        <v>75</v>
      </c>
      <c r="B2722" s="1165" t="s">
        <v>4454</v>
      </c>
      <c r="C2722" s="1165" t="s">
        <v>4559</v>
      </c>
      <c r="D2722" s="1219"/>
      <c r="E2722" s="1210">
        <v>300</v>
      </c>
      <c r="F2722" s="1218">
        <v>1071</v>
      </c>
      <c r="G2722" s="1210"/>
      <c r="H2722"/>
    </row>
    <row r="2723" spans="1:8">
      <c r="A2723" s="1164">
        <v>76</v>
      </c>
      <c r="B2723" s="1165" t="s">
        <v>4454</v>
      </c>
      <c r="C2723" s="1165" t="s">
        <v>4560</v>
      </c>
      <c r="D2723" s="1182"/>
      <c r="E2723" s="1210">
        <v>300</v>
      </c>
      <c r="F2723" s="1218">
        <v>1071</v>
      </c>
      <c r="G2723" s="1210"/>
      <c r="H2723"/>
    </row>
    <row r="2724" spans="1:8">
      <c r="A2724" s="1164">
        <v>77</v>
      </c>
      <c r="B2724" s="1165" t="s">
        <v>4454</v>
      </c>
      <c r="C2724" s="1165" t="s">
        <v>4561</v>
      </c>
      <c r="D2724" s="1182"/>
      <c r="E2724" s="1210">
        <v>300</v>
      </c>
      <c r="F2724" s="1218">
        <v>1071</v>
      </c>
      <c r="G2724" s="1210"/>
      <c r="H2724"/>
    </row>
    <row r="2725" spans="1:8">
      <c r="A2725" s="1164">
        <v>78</v>
      </c>
      <c r="B2725" s="1165" t="s">
        <v>4454</v>
      </c>
      <c r="C2725" s="1165" t="s">
        <v>4562</v>
      </c>
      <c r="D2725" s="1182"/>
      <c r="E2725" s="1210">
        <v>300</v>
      </c>
      <c r="F2725" s="1218">
        <v>1071</v>
      </c>
      <c r="G2725" s="1210"/>
      <c r="H2725"/>
    </row>
    <row r="2726" spans="1:8" ht="18.75">
      <c r="B2726" s="1056"/>
      <c r="C2726" s="1056"/>
      <c r="D2726" s="1056"/>
      <c r="E2726" s="1214">
        <v>61860</v>
      </c>
      <c r="F2726" s="1215">
        <v>220840.19999999998</v>
      </c>
      <c r="G2726" s="1216" t="s">
        <v>2994</v>
      </c>
    </row>
    <row r="2727" spans="1:8" ht="18.75">
      <c r="B2727" s="1056"/>
      <c r="C2727" s="1056"/>
      <c r="D2727" s="1056"/>
      <c r="E2727" s="1214">
        <v>64470</v>
      </c>
      <c r="F2727" s="1215">
        <v>230157.9</v>
      </c>
      <c r="G2727" s="1216" t="s">
        <v>4563</v>
      </c>
    </row>
    <row r="2728" spans="1:8" ht="18.75">
      <c r="B2728" s="1056"/>
      <c r="C2728" s="1056"/>
      <c r="D2728" s="1056"/>
      <c r="E2728" s="1214">
        <v>2610</v>
      </c>
      <c r="F2728" s="1215">
        <v>9317.6999999999989</v>
      </c>
      <c r="G2728" s="1216" t="s">
        <v>4564</v>
      </c>
    </row>
    <row r="2738" spans="1:8">
      <c r="A2738" s="1222"/>
      <c r="B2738" s="1222" t="s">
        <v>1</v>
      </c>
      <c r="C2738" s="1223">
        <v>46140</v>
      </c>
      <c r="D2738" s="1224"/>
      <c r="E2738" s="1224"/>
      <c r="F2738" s="1224"/>
      <c r="G2738" s="1224"/>
      <c r="H2738"/>
    </row>
    <row r="2739" spans="1:8">
      <c r="A2739" s="1222" t="s">
        <v>3928</v>
      </c>
      <c r="B2739" s="1222" t="s">
        <v>2416</v>
      </c>
      <c r="C2739" s="1225" t="s">
        <v>4566</v>
      </c>
      <c r="D2739" s="1224" t="s">
        <v>2423</v>
      </c>
      <c r="E2739" s="1224" t="s">
        <v>3734</v>
      </c>
      <c r="F2739" s="1224" t="s">
        <v>3111</v>
      </c>
      <c r="G2739" s="1224" t="s">
        <v>4542</v>
      </c>
      <c r="H2739"/>
    </row>
    <row r="2740" spans="1:8">
      <c r="A2740" s="1164">
        <v>1</v>
      </c>
      <c r="B2740" s="1165" t="s">
        <v>4051</v>
      </c>
      <c r="C2740" s="1164">
        <v>359814718709844</v>
      </c>
      <c r="D2740" s="1182"/>
      <c r="E2740" s="1210">
        <v>850</v>
      </c>
      <c r="F2740" s="1228">
        <v>3034.5</v>
      </c>
      <c r="G2740" s="1184"/>
      <c r="H2740"/>
    </row>
    <row r="2741" spans="1:8">
      <c r="A2741" s="1164">
        <v>2</v>
      </c>
      <c r="B2741" s="1165" t="s">
        <v>4051</v>
      </c>
      <c r="C2741" s="1164">
        <v>359814715589090</v>
      </c>
      <c r="D2741" s="1182"/>
      <c r="E2741" s="1210">
        <v>850</v>
      </c>
      <c r="F2741" s="1228">
        <v>3034.5</v>
      </c>
      <c r="G2741" s="1184"/>
      <c r="H2741"/>
    </row>
    <row r="2742" spans="1:8">
      <c r="A2742" s="1164">
        <v>3</v>
      </c>
      <c r="B2742" s="1165" t="s">
        <v>4051</v>
      </c>
      <c r="C2742" s="1164">
        <v>351668140503961</v>
      </c>
      <c r="D2742" s="1220" t="s">
        <v>4052</v>
      </c>
      <c r="E2742" s="1210">
        <v>1200</v>
      </c>
      <c r="F2742" s="1228">
        <v>4212.5999999999995</v>
      </c>
      <c r="G2742" s="1184"/>
      <c r="H2742"/>
    </row>
    <row r="2743" spans="1:8">
      <c r="A2743" s="1164">
        <v>4</v>
      </c>
      <c r="B2743" s="1165" t="s">
        <v>4051</v>
      </c>
      <c r="C2743" s="1164">
        <v>350552898687138</v>
      </c>
      <c r="D2743" s="1182"/>
      <c r="E2743" s="1210">
        <v>850</v>
      </c>
      <c r="F2743" s="1228">
        <v>3034.5</v>
      </c>
      <c r="G2743" s="1184"/>
      <c r="H2743"/>
    </row>
    <row r="2744" spans="1:8">
      <c r="A2744" s="1164">
        <v>5</v>
      </c>
      <c r="B2744" s="1165" t="s">
        <v>4051</v>
      </c>
      <c r="C2744" s="1164">
        <v>350035237211810</v>
      </c>
      <c r="D2744" s="1182"/>
      <c r="E2744" s="1210">
        <v>850</v>
      </c>
      <c r="F2744" s="1228">
        <v>3034.5</v>
      </c>
      <c r="G2744" s="1184"/>
      <c r="H2744"/>
    </row>
    <row r="2745" spans="1:8">
      <c r="A2745" s="1164">
        <v>6</v>
      </c>
      <c r="B2745" s="1165" t="s">
        <v>4051</v>
      </c>
      <c r="C2745" s="1164">
        <v>358434709056823</v>
      </c>
      <c r="D2745" s="1182"/>
      <c r="E2745" s="1210">
        <v>850</v>
      </c>
      <c r="F2745" s="1228">
        <v>3034.5</v>
      </c>
      <c r="G2745" s="1184"/>
      <c r="H2745"/>
    </row>
    <row r="2746" spans="1:8">
      <c r="A2746" s="1164">
        <v>7</v>
      </c>
      <c r="B2746" s="1165" t="s">
        <v>4051</v>
      </c>
      <c r="C2746" s="1164">
        <v>350035239482591</v>
      </c>
      <c r="D2746" s="1220" t="s">
        <v>1121</v>
      </c>
      <c r="E2746" s="1210">
        <v>850</v>
      </c>
      <c r="F2746" s="1228">
        <v>3034.5</v>
      </c>
      <c r="G2746" s="1184"/>
      <c r="H2746"/>
    </row>
    <row r="2747" spans="1:8">
      <c r="A2747" s="1164">
        <v>8</v>
      </c>
      <c r="B2747" s="1165" t="s">
        <v>4051</v>
      </c>
      <c r="C2747" s="1164">
        <v>350035237175346</v>
      </c>
      <c r="D2747" s="1182"/>
      <c r="E2747" s="1210">
        <v>850</v>
      </c>
      <c r="F2747" s="1228">
        <v>3034.5</v>
      </c>
      <c r="G2747" s="1184"/>
      <c r="H2747"/>
    </row>
    <row r="2748" spans="1:8">
      <c r="A2748" s="1164">
        <v>9</v>
      </c>
      <c r="B2748" s="1165" t="s">
        <v>4051</v>
      </c>
      <c r="C2748" s="1164">
        <v>350035239175179</v>
      </c>
      <c r="D2748" s="1182"/>
      <c r="E2748" s="1210">
        <v>850</v>
      </c>
      <c r="F2748" s="1228">
        <v>3034.5</v>
      </c>
      <c r="G2748" s="1184"/>
      <c r="H2748"/>
    </row>
    <row r="2749" spans="1:8">
      <c r="A2749" s="1164">
        <v>10</v>
      </c>
      <c r="B2749" s="1165" t="s">
        <v>4051</v>
      </c>
      <c r="C2749" s="1164">
        <v>358434704706281</v>
      </c>
      <c r="D2749" s="1182"/>
      <c r="E2749" s="1210">
        <v>850</v>
      </c>
      <c r="F2749" s="1228">
        <v>3034.5</v>
      </c>
      <c r="G2749" s="1184"/>
      <c r="H2749"/>
    </row>
    <row r="2750" spans="1:8">
      <c r="A2750" s="1164">
        <v>11</v>
      </c>
      <c r="B2750" s="1165" t="s">
        <v>4051</v>
      </c>
      <c r="C2750" s="1164">
        <v>357329445756028</v>
      </c>
      <c r="D2750" s="1182"/>
      <c r="E2750" s="1210">
        <v>850</v>
      </c>
      <c r="F2750" s="1228">
        <v>3034.5</v>
      </c>
      <c r="G2750" s="1184"/>
      <c r="H2750"/>
    </row>
    <row r="2751" spans="1:8">
      <c r="A2751" s="1164">
        <v>12</v>
      </c>
      <c r="B2751" s="1165" t="s">
        <v>4051</v>
      </c>
      <c r="C2751" s="1164">
        <v>357329447094428</v>
      </c>
      <c r="D2751" s="1220" t="s">
        <v>1121</v>
      </c>
      <c r="E2751" s="1210">
        <v>850</v>
      </c>
      <c r="F2751" s="1228">
        <v>3034.5</v>
      </c>
      <c r="G2751" s="1229" t="s">
        <v>4567</v>
      </c>
      <c r="H2751"/>
    </row>
    <row r="2752" spans="1:8">
      <c r="A2752" s="1164">
        <v>13</v>
      </c>
      <c r="B2752" s="1165" t="s">
        <v>4051</v>
      </c>
      <c r="C2752" s="1164">
        <v>358434709351851</v>
      </c>
      <c r="D2752" s="1182"/>
      <c r="E2752" s="1210">
        <v>850</v>
      </c>
      <c r="F2752" s="1228">
        <v>3034.5</v>
      </c>
      <c r="G2752" s="1184"/>
      <c r="H2752"/>
    </row>
    <row r="2753" spans="1:8">
      <c r="A2753" s="1164">
        <v>14</v>
      </c>
      <c r="B2753" s="1165" t="s">
        <v>4051</v>
      </c>
      <c r="C2753" s="1164">
        <v>350035239495486</v>
      </c>
      <c r="D2753" s="1220" t="s">
        <v>1121</v>
      </c>
      <c r="E2753" s="1210">
        <v>850</v>
      </c>
      <c r="F2753" s="1228">
        <v>3034.5</v>
      </c>
      <c r="G2753" s="1184"/>
      <c r="H2753"/>
    </row>
    <row r="2754" spans="1:8">
      <c r="A2754" s="1164">
        <v>15</v>
      </c>
      <c r="B2754" s="1165" t="s">
        <v>4051</v>
      </c>
      <c r="C2754" s="1164">
        <v>350035238132544</v>
      </c>
      <c r="D2754" s="1182"/>
      <c r="E2754" s="1210">
        <v>850</v>
      </c>
      <c r="F2754" s="1228">
        <v>3034.5</v>
      </c>
      <c r="G2754" s="1184"/>
      <c r="H2754"/>
    </row>
    <row r="2755" spans="1:8">
      <c r="A2755" s="1164">
        <v>16</v>
      </c>
      <c r="B2755" s="1165" t="s">
        <v>4051</v>
      </c>
      <c r="C2755" s="1164">
        <v>350552898717703</v>
      </c>
      <c r="D2755" s="1182"/>
      <c r="E2755" s="1210">
        <v>850</v>
      </c>
      <c r="F2755" s="1228">
        <v>3034.5</v>
      </c>
      <c r="G2755" s="1184"/>
      <c r="H2755"/>
    </row>
    <row r="2756" spans="1:8">
      <c r="A2756" s="1164">
        <v>17</v>
      </c>
      <c r="B2756" s="1165" t="s">
        <v>4051</v>
      </c>
      <c r="C2756" s="1164">
        <v>358206138447512</v>
      </c>
      <c r="D2756" s="1182"/>
      <c r="E2756" s="1210">
        <v>850</v>
      </c>
      <c r="F2756" s="1228">
        <v>3034.5</v>
      </c>
      <c r="G2756" s="1184"/>
      <c r="H2756"/>
    </row>
    <row r="2757" spans="1:8">
      <c r="A2757" s="1164">
        <v>18</v>
      </c>
      <c r="B2757" s="1165" t="s">
        <v>4051</v>
      </c>
      <c r="C2757" s="1164">
        <v>357329447192883</v>
      </c>
      <c r="D2757" s="1182"/>
      <c r="E2757" s="1210">
        <v>850</v>
      </c>
      <c r="F2757" s="1228">
        <v>3034.5</v>
      </c>
      <c r="G2757" s="1184"/>
      <c r="H2757"/>
    </row>
    <row r="2758" spans="1:8">
      <c r="A2758" s="1164">
        <v>19</v>
      </c>
      <c r="B2758" s="1165" t="s">
        <v>4051</v>
      </c>
      <c r="C2758" s="1164">
        <v>350035237214657</v>
      </c>
      <c r="D2758" s="1182"/>
      <c r="E2758" s="1210">
        <v>850</v>
      </c>
      <c r="F2758" s="1228">
        <v>3034.5</v>
      </c>
      <c r="G2758" s="1184"/>
      <c r="H2758"/>
    </row>
    <row r="2759" spans="1:8">
      <c r="A2759" s="1164">
        <v>20</v>
      </c>
      <c r="B2759" s="1165" t="s">
        <v>4051</v>
      </c>
      <c r="C2759" s="1164">
        <v>350552892486651</v>
      </c>
      <c r="D2759" s="1182"/>
      <c r="E2759" s="1210">
        <v>850</v>
      </c>
      <c r="F2759" s="1228">
        <v>3034.5</v>
      </c>
      <c r="G2759" s="1184"/>
      <c r="H2759"/>
    </row>
    <row r="2760" spans="1:8">
      <c r="A2760" s="1164">
        <v>21</v>
      </c>
      <c r="B2760" s="1165" t="s">
        <v>4051</v>
      </c>
      <c r="C2760" s="1164">
        <v>355101474813224</v>
      </c>
      <c r="D2760" s="1182"/>
      <c r="E2760" s="1210">
        <v>850</v>
      </c>
      <c r="F2760" s="1228">
        <v>3034.5</v>
      </c>
      <c r="G2760" s="1184"/>
      <c r="H2760"/>
    </row>
    <row r="2761" spans="1:8">
      <c r="A2761" s="1164">
        <v>22</v>
      </c>
      <c r="B2761" s="1165" t="s">
        <v>4051</v>
      </c>
      <c r="C2761" s="1164">
        <v>353497856334207</v>
      </c>
      <c r="D2761" s="1220" t="s">
        <v>1121</v>
      </c>
      <c r="E2761" s="1210">
        <v>850</v>
      </c>
      <c r="F2761" s="1228">
        <v>3034.5</v>
      </c>
      <c r="G2761" s="1184"/>
      <c r="H2761"/>
    </row>
    <row r="2762" spans="1:8">
      <c r="A2762" s="1164">
        <v>23</v>
      </c>
      <c r="B2762" s="1165" t="s">
        <v>4051</v>
      </c>
      <c r="C2762" s="1164">
        <v>358206138732582</v>
      </c>
      <c r="D2762" s="1182"/>
      <c r="E2762" s="1210">
        <v>850</v>
      </c>
      <c r="F2762" s="1228">
        <v>3034.5</v>
      </c>
      <c r="G2762" s="1184"/>
      <c r="H2762"/>
    </row>
    <row r="2763" spans="1:8">
      <c r="A2763" s="1164">
        <v>24</v>
      </c>
      <c r="B2763" s="1165" t="s">
        <v>4051</v>
      </c>
      <c r="C2763" s="1164">
        <v>350552898043670</v>
      </c>
      <c r="D2763" s="1182"/>
      <c r="E2763" s="1210">
        <v>850</v>
      </c>
      <c r="F2763" s="1228">
        <v>3034.5</v>
      </c>
      <c r="G2763" s="1184"/>
      <c r="H2763"/>
    </row>
    <row r="2764" spans="1:8">
      <c r="A2764" s="1164">
        <v>25</v>
      </c>
      <c r="B2764" s="1165" t="s">
        <v>4051</v>
      </c>
      <c r="C2764" s="1164">
        <v>357247253272591</v>
      </c>
      <c r="D2764" s="1182"/>
      <c r="E2764" s="1210">
        <v>850</v>
      </c>
      <c r="F2764" s="1228">
        <v>3034.5</v>
      </c>
      <c r="G2764" s="1184"/>
      <c r="H2764"/>
    </row>
    <row r="2765" spans="1:8">
      <c r="A2765" s="1164">
        <v>26</v>
      </c>
      <c r="B2765" s="1165" t="s">
        <v>4051</v>
      </c>
      <c r="C2765" s="1164">
        <v>350035237008760</v>
      </c>
      <c r="D2765" s="1182"/>
      <c r="E2765" s="1210">
        <v>850</v>
      </c>
      <c r="F2765" s="1228">
        <v>3034.5</v>
      </c>
      <c r="G2765" s="1184"/>
      <c r="H2765"/>
    </row>
    <row r="2766" spans="1:8">
      <c r="A2766" s="1164">
        <v>27</v>
      </c>
      <c r="B2766" s="1165" t="s">
        <v>4051</v>
      </c>
      <c r="C2766" s="1164">
        <v>358902514554042</v>
      </c>
      <c r="D2766" s="1220" t="s">
        <v>4052</v>
      </c>
      <c r="E2766" s="1210">
        <v>1200</v>
      </c>
      <c r="F2766" s="1228">
        <v>4212.5999999999995</v>
      </c>
      <c r="G2766" s="1184"/>
      <c r="H2766"/>
    </row>
    <row r="2767" spans="1:8">
      <c r="A2767" s="1164">
        <v>28</v>
      </c>
      <c r="B2767" s="1165" t="s">
        <v>4053</v>
      </c>
      <c r="C2767" s="1164">
        <v>355101470846418</v>
      </c>
      <c r="D2767" s="1182"/>
      <c r="E2767" s="1210">
        <v>800</v>
      </c>
      <c r="F2767" s="1228">
        <v>2856</v>
      </c>
      <c r="G2767" s="1184"/>
      <c r="H2767"/>
    </row>
    <row r="2768" spans="1:8">
      <c r="A2768" s="1164">
        <v>29</v>
      </c>
      <c r="B2768" s="1165" t="s">
        <v>4053</v>
      </c>
      <c r="C2768" s="1164">
        <v>358434708162994</v>
      </c>
      <c r="D2768" s="1220" t="s">
        <v>1121</v>
      </c>
      <c r="E2768" s="1210">
        <v>800</v>
      </c>
      <c r="F2768" s="1228">
        <v>2856</v>
      </c>
      <c r="G2768" s="1184"/>
      <c r="H2768"/>
    </row>
    <row r="2769" spans="1:8">
      <c r="A2769" s="1164">
        <v>30</v>
      </c>
      <c r="B2769" s="1165" t="s">
        <v>4053</v>
      </c>
      <c r="C2769" s="1164">
        <v>350035235795830</v>
      </c>
      <c r="D2769" s="1220" t="s">
        <v>4052</v>
      </c>
      <c r="E2769" s="1210">
        <v>1200</v>
      </c>
      <c r="F2769" s="1228">
        <v>4212.5999999999995</v>
      </c>
      <c r="G2769" s="1184"/>
      <c r="H2769"/>
    </row>
    <row r="2770" spans="1:8">
      <c r="A2770" s="1164">
        <v>31</v>
      </c>
      <c r="B2770" s="1165" t="s">
        <v>4054</v>
      </c>
      <c r="C2770" s="1164">
        <v>359814714159770</v>
      </c>
      <c r="D2770" s="1220" t="s">
        <v>4052</v>
      </c>
      <c r="E2770" s="1210">
        <v>1200</v>
      </c>
      <c r="F2770" s="1228">
        <v>4212.5999999999995</v>
      </c>
      <c r="G2770" s="1184"/>
      <c r="H2770"/>
    </row>
    <row r="2771" spans="1:8">
      <c r="A2771" s="1164">
        <v>32</v>
      </c>
      <c r="B2771" s="1165" t="s">
        <v>4054</v>
      </c>
      <c r="C2771" s="1164">
        <v>357247250003999</v>
      </c>
      <c r="D2771" s="1182"/>
      <c r="E2771" s="1210">
        <v>920</v>
      </c>
      <c r="F2771" s="1228">
        <v>3284.3999999999996</v>
      </c>
      <c r="G2771" s="1184"/>
      <c r="H2771"/>
    </row>
    <row r="2772" spans="1:8">
      <c r="A2772" s="1164">
        <v>33</v>
      </c>
      <c r="B2772" s="1165" t="s">
        <v>4054</v>
      </c>
      <c r="C2772" s="1164">
        <v>350035239452586</v>
      </c>
      <c r="D2772" s="1182"/>
      <c r="E2772" s="1210">
        <v>920</v>
      </c>
      <c r="F2772" s="1228">
        <v>3284.3999999999996</v>
      </c>
      <c r="G2772" s="1184"/>
      <c r="H2772"/>
    </row>
    <row r="2773" spans="1:8">
      <c r="A2773" s="1164">
        <v>34</v>
      </c>
      <c r="B2773" s="1165" t="s">
        <v>4054</v>
      </c>
      <c r="C2773" s="1164">
        <v>350035239236724</v>
      </c>
      <c r="D2773" s="1182"/>
      <c r="E2773" s="1210">
        <v>920</v>
      </c>
      <c r="F2773" s="1228">
        <v>3284.3999999999996</v>
      </c>
      <c r="G2773" s="1184"/>
      <c r="H2773"/>
    </row>
    <row r="2774" spans="1:8">
      <c r="A2774" s="1164">
        <v>35</v>
      </c>
      <c r="B2774" s="1165" t="s">
        <v>4054</v>
      </c>
      <c r="C2774" s="1164">
        <v>357247250488281</v>
      </c>
      <c r="D2774" s="1182"/>
      <c r="E2774" s="1210">
        <v>920</v>
      </c>
      <c r="F2774" s="1228">
        <v>3284.3999999999996</v>
      </c>
      <c r="G2774" s="1184"/>
      <c r="H2774"/>
    </row>
    <row r="2775" spans="1:8">
      <c r="A2775" s="1164">
        <v>36</v>
      </c>
      <c r="B2775" s="1165" t="s">
        <v>4054</v>
      </c>
      <c r="C2775" s="1164">
        <v>357247250352495</v>
      </c>
      <c r="D2775" s="1182"/>
      <c r="E2775" s="1210">
        <v>920</v>
      </c>
      <c r="F2775" s="1228">
        <v>3284.3999999999996</v>
      </c>
      <c r="G2775" s="1184"/>
      <c r="H2775"/>
    </row>
    <row r="2776" spans="1:8">
      <c r="A2776" s="1164">
        <v>37</v>
      </c>
      <c r="B2776" s="1165" t="s">
        <v>4054</v>
      </c>
      <c r="C2776" s="1164">
        <v>356392249884272</v>
      </c>
      <c r="D2776" s="1220" t="s">
        <v>4052</v>
      </c>
      <c r="E2776" s="1210">
        <v>1200</v>
      </c>
      <c r="F2776" s="1228">
        <v>4212.5999999999995</v>
      </c>
      <c r="G2776" s="1184"/>
      <c r="H2776"/>
    </row>
    <row r="2777" spans="1:8">
      <c r="A2777" s="1164">
        <v>38</v>
      </c>
      <c r="B2777" s="1165" t="s">
        <v>4054</v>
      </c>
      <c r="C2777" s="1164">
        <v>350552899043935</v>
      </c>
      <c r="D2777" s="1182"/>
      <c r="E2777" s="1210">
        <v>920</v>
      </c>
      <c r="F2777" s="1228">
        <v>3284.3999999999996</v>
      </c>
      <c r="G2777" s="1184"/>
      <c r="H2777"/>
    </row>
    <row r="2778" spans="1:8">
      <c r="A2778" s="1164">
        <v>39</v>
      </c>
      <c r="B2778" s="1165" t="s">
        <v>4054</v>
      </c>
      <c r="C2778" s="1164">
        <v>350599860860169</v>
      </c>
      <c r="D2778" s="1220" t="s">
        <v>1121</v>
      </c>
      <c r="E2778" s="1210">
        <v>920</v>
      </c>
      <c r="F2778" s="1228">
        <v>3284.3999999999996</v>
      </c>
      <c r="G2778" s="1184"/>
      <c r="H2778"/>
    </row>
    <row r="2779" spans="1:8">
      <c r="A2779" s="1164">
        <v>40</v>
      </c>
      <c r="B2779" s="1165" t="s">
        <v>4054</v>
      </c>
      <c r="C2779" s="1164">
        <v>359814714101855</v>
      </c>
      <c r="D2779" s="1220" t="s">
        <v>4052</v>
      </c>
      <c r="E2779" s="1210">
        <v>1200</v>
      </c>
      <c r="F2779" s="1228">
        <v>4212.5999999999995</v>
      </c>
      <c r="G2779" s="1184"/>
      <c r="H2779"/>
    </row>
    <row r="2780" spans="1:8">
      <c r="A2780" s="1164">
        <v>41</v>
      </c>
      <c r="B2780" s="1165" t="s">
        <v>4054</v>
      </c>
      <c r="C2780" s="1164">
        <v>357063601317313</v>
      </c>
      <c r="D2780" s="1182"/>
      <c r="E2780" s="1210">
        <v>920</v>
      </c>
      <c r="F2780" s="1228">
        <v>3284.3999999999996</v>
      </c>
      <c r="G2780" s="1184"/>
      <c r="H2780"/>
    </row>
    <row r="2781" spans="1:8">
      <c r="A2781" s="1164">
        <v>42</v>
      </c>
      <c r="B2781" s="1165" t="s">
        <v>4054</v>
      </c>
      <c r="C2781" s="1164">
        <v>350035239005848</v>
      </c>
      <c r="D2781" s="1182"/>
      <c r="E2781" s="1210">
        <v>920</v>
      </c>
      <c r="F2781" s="1228">
        <v>3284.3999999999996</v>
      </c>
      <c r="G2781" s="1184"/>
      <c r="H2781"/>
    </row>
    <row r="2782" spans="1:8">
      <c r="A2782" s="1164">
        <v>43</v>
      </c>
      <c r="B2782" s="1165" t="s">
        <v>4056</v>
      </c>
      <c r="C2782" s="1164">
        <v>355079367074833</v>
      </c>
      <c r="D2782" s="1182"/>
      <c r="E2782" s="1210">
        <v>750</v>
      </c>
      <c r="F2782" s="1228">
        <v>2677.5</v>
      </c>
      <c r="G2782" s="1184"/>
      <c r="H2782"/>
    </row>
    <row r="2783" spans="1:8">
      <c r="A2783" s="1164">
        <v>44</v>
      </c>
      <c r="B2783" s="1165" t="s">
        <v>4058</v>
      </c>
      <c r="C2783" s="1164">
        <v>355832519971417</v>
      </c>
      <c r="D2783" s="1220" t="s">
        <v>1121</v>
      </c>
      <c r="E2783" s="1210">
        <v>750</v>
      </c>
      <c r="F2783" s="1228">
        <v>2677.5</v>
      </c>
      <c r="G2783" s="1230" t="s">
        <v>4568</v>
      </c>
      <c r="H2783"/>
    </row>
    <row r="2784" spans="1:8">
      <c r="A2784" s="1164">
        <v>45</v>
      </c>
      <c r="B2784" s="1165" t="s">
        <v>4569</v>
      </c>
      <c r="C2784" s="1164">
        <v>355832516608475</v>
      </c>
      <c r="D2784" s="1220" t="s">
        <v>4052</v>
      </c>
      <c r="E2784" s="1210">
        <v>1370</v>
      </c>
      <c r="F2784" s="1228">
        <v>4890.8999999999996</v>
      </c>
      <c r="G2784" s="1184"/>
      <c r="H2784"/>
    </row>
    <row r="2785" spans="1:8">
      <c r="A2785" s="1164">
        <v>46</v>
      </c>
      <c r="B2785" s="1165" t="s">
        <v>4062</v>
      </c>
      <c r="C2785" s="1164">
        <v>350661235620635</v>
      </c>
      <c r="D2785" s="1220" t="s">
        <v>1121</v>
      </c>
      <c r="E2785" s="1210">
        <v>500</v>
      </c>
      <c r="F2785" s="1228">
        <v>1785</v>
      </c>
      <c r="G2785" s="1184"/>
      <c r="H2785"/>
    </row>
    <row r="2786" spans="1:8">
      <c r="A2786" s="1164">
        <v>47</v>
      </c>
      <c r="B2786" s="1165" t="s">
        <v>4362</v>
      </c>
      <c r="C2786" s="1164">
        <v>353502587632348</v>
      </c>
      <c r="D2786" s="1182"/>
      <c r="E2786" s="1210">
        <v>500</v>
      </c>
      <c r="F2786" s="1228">
        <v>1785</v>
      </c>
      <c r="G2786" s="1184"/>
      <c r="H2786"/>
    </row>
    <row r="2787" spans="1:8">
      <c r="A2787" s="1164">
        <v>48</v>
      </c>
      <c r="B2787" s="1165" t="s">
        <v>4570</v>
      </c>
      <c r="C2787" s="1164">
        <v>351682397269283</v>
      </c>
      <c r="D2787" s="1220" t="s">
        <v>2447</v>
      </c>
      <c r="E2787" s="1210">
        <v>280</v>
      </c>
      <c r="F2787" s="1228">
        <v>999.59999999999991</v>
      </c>
      <c r="G2787" s="1184"/>
      <c r="H2787"/>
    </row>
    <row r="2788" spans="1:8">
      <c r="A2788" s="1164">
        <v>49</v>
      </c>
      <c r="B2788" s="1165" t="s">
        <v>4570</v>
      </c>
      <c r="C2788" s="1164">
        <v>351682397748443</v>
      </c>
      <c r="D2788" s="1220" t="s">
        <v>2447</v>
      </c>
      <c r="E2788" s="1210">
        <v>280</v>
      </c>
      <c r="F2788" s="1228">
        <v>999.59999999999991</v>
      </c>
      <c r="G2788" s="1184"/>
      <c r="H2788"/>
    </row>
    <row r="2789" spans="1:8">
      <c r="A2789" s="1164">
        <v>50</v>
      </c>
      <c r="B2789" s="1165" t="s">
        <v>4341</v>
      </c>
      <c r="C2789" s="1164">
        <v>352355701064042</v>
      </c>
      <c r="D2789" s="1182"/>
      <c r="E2789" s="1210">
        <v>1070</v>
      </c>
      <c r="F2789" s="1228">
        <v>3819.8999999999996</v>
      </c>
      <c r="G2789" s="1184"/>
      <c r="H2789"/>
    </row>
    <row r="2790" spans="1:8">
      <c r="A2790" s="1164">
        <v>51</v>
      </c>
      <c r="B2790" s="1165" t="s">
        <v>4341</v>
      </c>
      <c r="C2790" s="1164">
        <v>352355708798048</v>
      </c>
      <c r="D2790" s="1182"/>
      <c r="E2790" s="1210">
        <v>1070</v>
      </c>
      <c r="F2790" s="1228">
        <v>3819.8999999999996</v>
      </c>
      <c r="G2790" s="1184"/>
      <c r="H2790"/>
    </row>
    <row r="2791" spans="1:8">
      <c r="A2791" s="1164">
        <v>52</v>
      </c>
      <c r="B2791" s="1165" t="s">
        <v>4369</v>
      </c>
      <c r="C2791" s="1164">
        <v>352355706086990</v>
      </c>
      <c r="D2791" s="1182"/>
      <c r="E2791" s="1210">
        <v>1070</v>
      </c>
      <c r="F2791" s="1228">
        <v>3819.8999999999996</v>
      </c>
      <c r="G2791" s="1184"/>
      <c r="H2791"/>
    </row>
    <row r="2792" spans="1:8">
      <c r="A2792" s="1164">
        <v>53</v>
      </c>
      <c r="B2792" s="1165" t="s">
        <v>4571</v>
      </c>
      <c r="C2792" s="1165" t="s">
        <v>4572</v>
      </c>
      <c r="D2792" s="1182"/>
      <c r="E2792" s="1210">
        <v>1435</v>
      </c>
      <c r="F2792" s="1228">
        <v>5122.95</v>
      </c>
      <c r="G2792" s="1184"/>
      <c r="H2792"/>
    </row>
    <row r="2793" spans="1:8">
      <c r="A2793" s="1164">
        <v>54</v>
      </c>
      <c r="B2793" s="1165" t="s">
        <v>4343</v>
      </c>
      <c r="C2793" s="1164">
        <v>358112933315757</v>
      </c>
      <c r="D2793" s="1220" t="s">
        <v>4573</v>
      </c>
      <c r="E2793" s="1210">
        <v>940</v>
      </c>
      <c r="F2793" s="1228">
        <v>3355.7999999999997</v>
      </c>
      <c r="G2793" s="1229" t="s">
        <v>4574</v>
      </c>
      <c r="H2793"/>
    </row>
    <row r="2794" spans="1:8">
      <c r="A2794" s="1164">
        <v>55</v>
      </c>
      <c r="B2794" s="1165" t="s">
        <v>4552</v>
      </c>
      <c r="C2794" s="1164">
        <v>352255851601140</v>
      </c>
      <c r="D2794" s="1220" t="s">
        <v>4573</v>
      </c>
      <c r="E2794" s="1210">
        <v>720</v>
      </c>
      <c r="F2794" s="1228">
        <v>2570.4</v>
      </c>
      <c r="G2794" s="1229" t="s">
        <v>4574</v>
      </c>
      <c r="H2794"/>
    </row>
    <row r="2795" spans="1:8">
      <c r="A2795" s="1164">
        <v>56</v>
      </c>
      <c r="B2795" s="1165" t="s">
        <v>4575</v>
      </c>
      <c r="C2795" s="1165" t="s">
        <v>4576</v>
      </c>
      <c r="D2795" s="1220" t="s">
        <v>1121</v>
      </c>
      <c r="E2795" s="1210">
        <v>1750</v>
      </c>
      <c r="F2795" s="1228">
        <v>6247.5</v>
      </c>
      <c r="G2795" s="1229" t="s">
        <v>4577</v>
      </c>
      <c r="H2795"/>
    </row>
    <row r="2796" spans="1:8">
      <c r="A2796" s="1164">
        <v>57</v>
      </c>
      <c r="B2796" s="1165" t="s">
        <v>4578</v>
      </c>
      <c r="C2796" s="1165" t="s">
        <v>4579</v>
      </c>
      <c r="D2796" s="1182"/>
      <c r="E2796" s="1210">
        <v>1120</v>
      </c>
      <c r="F2796" s="1228">
        <v>3998.3999999999996</v>
      </c>
      <c r="G2796" s="1184"/>
      <c r="H2796"/>
    </row>
    <row r="2797" spans="1:8">
      <c r="A2797" s="1164">
        <v>58</v>
      </c>
      <c r="B2797" s="1165" t="s">
        <v>4387</v>
      </c>
      <c r="C2797" s="1165" t="s">
        <v>4580</v>
      </c>
      <c r="D2797" s="1182"/>
      <c r="E2797" s="1210">
        <v>930</v>
      </c>
      <c r="F2797" s="1228">
        <v>3320.1</v>
      </c>
      <c r="G2797" s="1184"/>
      <c r="H2797"/>
    </row>
    <row r="2798" spans="1:8">
      <c r="A2798" s="1164">
        <v>59</v>
      </c>
      <c r="B2798" s="1165" t="s">
        <v>4300</v>
      </c>
      <c r="C2798" s="1165" t="s">
        <v>4581</v>
      </c>
      <c r="D2798" s="1182"/>
      <c r="E2798" s="1210">
        <v>320</v>
      </c>
      <c r="F2798" s="1228">
        <v>1142.3999999999999</v>
      </c>
      <c r="G2798" s="1184"/>
      <c r="H2798"/>
    </row>
    <row r="2799" spans="1:8">
      <c r="A2799" s="1164">
        <v>60</v>
      </c>
      <c r="B2799" s="1165" t="s">
        <v>4582</v>
      </c>
      <c r="C2799" s="1165" t="s">
        <v>4583</v>
      </c>
      <c r="D2799" s="1182"/>
      <c r="E2799" s="1210">
        <v>320</v>
      </c>
      <c r="F2799" s="1228">
        <v>1142.3999999999999</v>
      </c>
      <c r="G2799" s="1184"/>
      <c r="H2799"/>
    </row>
    <row r="2800" spans="1:8">
      <c r="A2800" s="1164">
        <v>61</v>
      </c>
      <c r="B2800" s="1165" t="s">
        <v>4582</v>
      </c>
      <c r="C2800" s="1165" t="s">
        <v>4584</v>
      </c>
      <c r="D2800" s="1182"/>
      <c r="E2800" s="1210">
        <v>320</v>
      </c>
      <c r="F2800" s="1228">
        <v>1142.3999999999999</v>
      </c>
      <c r="G2800" s="1184"/>
      <c r="H2800"/>
    </row>
    <row r="2801" spans="1:8">
      <c r="A2801" s="1164">
        <v>62</v>
      </c>
      <c r="B2801" s="1165" t="s">
        <v>4348</v>
      </c>
      <c r="C2801" s="1164">
        <v>359132199403468</v>
      </c>
      <c r="D2801" s="1182"/>
      <c r="E2801" s="1210">
        <v>210</v>
      </c>
      <c r="F2801" s="1228">
        <v>749.69999999999993</v>
      </c>
      <c r="G2801" s="1184"/>
      <c r="H2801"/>
    </row>
    <row r="2802" spans="1:8">
      <c r="A2802" s="1164">
        <v>63</v>
      </c>
      <c r="B2802" s="1165" t="s">
        <v>1468</v>
      </c>
      <c r="C2802" s="1165" t="s">
        <v>4585</v>
      </c>
      <c r="D2802" s="1182"/>
      <c r="E2802" s="1210">
        <v>200</v>
      </c>
      <c r="F2802" s="1228">
        <v>714</v>
      </c>
      <c r="G2802" s="1184"/>
      <c r="H2802"/>
    </row>
    <row r="2803" spans="1:8">
      <c r="A2803" s="1164">
        <v>64</v>
      </c>
      <c r="B2803" s="1165" t="s">
        <v>1468</v>
      </c>
      <c r="C2803" s="1165" t="s">
        <v>4586</v>
      </c>
      <c r="D2803" s="1182"/>
      <c r="E2803" s="1210">
        <v>200</v>
      </c>
      <c r="F2803" s="1228">
        <v>714</v>
      </c>
      <c r="G2803" s="1184"/>
      <c r="H2803"/>
    </row>
    <row r="2804" spans="1:8">
      <c r="A2804" s="1164">
        <v>65</v>
      </c>
      <c r="B2804" s="1165" t="s">
        <v>1468</v>
      </c>
      <c r="C2804" s="1165" t="s">
        <v>4587</v>
      </c>
      <c r="D2804" s="1182"/>
      <c r="E2804" s="1210">
        <v>200</v>
      </c>
      <c r="F2804" s="1228">
        <v>714</v>
      </c>
      <c r="G2804" s="1184"/>
      <c r="H2804"/>
    </row>
    <row r="2805" spans="1:8" ht="18.75">
      <c r="B2805" s="1221"/>
      <c r="C2805" s="1221"/>
      <c r="D2805" s="1221"/>
      <c r="E2805" s="1226">
        <v>54515</v>
      </c>
      <c r="F2805" s="1227">
        <v>194618.54999999996</v>
      </c>
      <c r="H2805" s="1221"/>
    </row>
    <row r="2806" spans="1:8" ht="18.75">
      <c r="B2806" s="1221"/>
      <c r="C2806" s="1221"/>
      <c r="D2806" s="1221"/>
      <c r="E2806" s="1226">
        <v>54795</v>
      </c>
      <c r="F2806" s="1221"/>
      <c r="H2806" s="1221"/>
    </row>
    <row r="2807" spans="1:8" ht="18.75">
      <c r="B2807" s="1221"/>
      <c r="C2807" s="1221"/>
      <c r="D2807" s="1221"/>
      <c r="E2807" s="1226" t="s">
        <v>446</v>
      </c>
      <c r="F2807" s="1226">
        <v>280</v>
      </c>
      <c r="G2807" s="1221"/>
      <c r="H2807" s="1221"/>
    </row>
    <row r="2817" spans="1:7">
      <c r="A2817" s="1231"/>
      <c r="B2817" s="1232" t="s">
        <v>3836</v>
      </c>
      <c r="C2817" s="1233">
        <v>46141</v>
      </c>
      <c r="D2817" s="1233"/>
      <c r="E2817" s="1233"/>
      <c r="F2817" s="1233"/>
      <c r="G2817" s="1233"/>
    </row>
    <row r="2818" spans="1:7">
      <c r="A2818" s="1231" t="s">
        <v>3928</v>
      </c>
      <c r="B2818" s="1234" t="s">
        <v>3837</v>
      </c>
      <c r="C2818" s="1242" t="s">
        <v>4661</v>
      </c>
      <c r="D2818" s="1235" t="s">
        <v>2423</v>
      </c>
      <c r="E2818" s="1235" t="s">
        <v>3734</v>
      </c>
      <c r="F2818" s="1235" t="s">
        <v>3111</v>
      </c>
      <c r="G2818" s="1235" t="s">
        <v>4542</v>
      </c>
    </row>
    <row r="2819" spans="1:7">
      <c r="A2819" s="1042">
        <v>1</v>
      </c>
      <c r="B2819" s="1238" t="s">
        <v>4051</v>
      </c>
      <c r="C2819" s="1042">
        <v>359814717308663</v>
      </c>
      <c r="D2819" s="1239"/>
      <c r="E2819" s="941">
        <v>850</v>
      </c>
      <c r="F2819" s="1044">
        <f>E2819*3.57</f>
        <v>3034.5</v>
      </c>
      <c r="G2819" s="941"/>
    </row>
    <row r="2820" spans="1:7">
      <c r="A2820" s="1042">
        <v>2</v>
      </c>
      <c r="B2820" s="1240" t="s">
        <v>4596</v>
      </c>
      <c r="C2820" s="1042">
        <v>357329449588914</v>
      </c>
      <c r="D2820" s="1239"/>
      <c r="E2820" s="941">
        <v>850</v>
      </c>
      <c r="F2820" s="1044">
        <f t="shared" ref="F2820:F2883" si="26">E2820*3.57</f>
        <v>3034.5</v>
      </c>
      <c r="G2820" s="941"/>
    </row>
    <row r="2821" spans="1:7">
      <c r="A2821" s="1042">
        <v>3</v>
      </c>
      <c r="B2821" s="1240" t="s">
        <v>4596</v>
      </c>
      <c r="C2821" s="1042">
        <v>356225420440961</v>
      </c>
      <c r="D2821" s="1239"/>
      <c r="E2821" s="941">
        <v>850</v>
      </c>
      <c r="F2821" s="1044">
        <f t="shared" si="26"/>
        <v>3034.5</v>
      </c>
      <c r="G2821" s="941"/>
    </row>
    <row r="2822" spans="1:7">
      <c r="A2822" s="1042">
        <v>4</v>
      </c>
      <c r="B2822" s="1240" t="s">
        <v>4596</v>
      </c>
      <c r="C2822" s="1042">
        <v>356225420378500</v>
      </c>
      <c r="D2822" s="1239"/>
      <c r="E2822" s="941">
        <v>850</v>
      </c>
      <c r="F2822" s="1044">
        <f t="shared" si="26"/>
        <v>3034.5</v>
      </c>
      <c r="G2822" s="941"/>
    </row>
    <row r="2823" spans="1:7">
      <c r="A2823" s="1042">
        <v>5</v>
      </c>
      <c r="B2823" s="1240" t="s">
        <v>4596</v>
      </c>
      <c r="C2823" s="1042">
        <v>356392246825849</v>
      </c>
      <c r="D2823" s="1239" t="s">
        <v>4597</v>
      </c>
      <c r="E2823" s="941">
        <v>850</v>
      </c>
      <c r="F2823" s="1044">
        <f t="shared" si="26"/>
        <v>3034.5</v>
      </c>
      <c r="G2823" s="941"/>
    </row>
    <row r="2824" spans="1:7">
      <c r="A2824" s="1042">
        <v>6</v>
      </c>
      <c r="B2824" s="1240" t="s">
        <v>4596</v>
      </c>
      <c r="C2824" s="1042">
        <v>351668141101187</v>
      </c>
      <c r="D2824" s="1239"/>
      <c r="E2824" s="941">
        <v>850</v>
      </c>
      <c r="F2824" s="1044">
        <f t="shared" si="26"/>
        <v>3034.5</v>
      </c>
      <c r="G2824" s="941"/>
    </row>
    <row r="2825" spans="1:7">
      <c r="A2825" s="1042">
        <v>7</v>
      </c>
      <c r="B2825" s="1240" t="s">
        <v>4596</v>
      </c>
      <c r="C2825" s="1042">
        <v>351668142676005</v>
      </c>
      <c r="D2825" s="1239"/>
      <c r="E2825" s="941">
        <v>850</v>
      </c>
      <c r="F2825" s="1044">
        <f t="shared" si="26"/>
        <v>3034.5</v>
      </c>
      <c r="G2825" s="941"/>
    </row>
    <row r="2826" spans="1:7">
      <c r="A2826" s="1042">
        <v>8</v>
      </c>
      <c r="B2826" s="1240" t="s">
        <v>4596</v>
      </c>
      <c r="C2826" s="1042">
        <v>356225420155569</v>
      </c>
      <c r="D2826" s="1239"/>
      <c r="E2826" s="941">
        <v>850</v>
      </c>
      <c r="F2826" s="1044">
        <f t="shared" si="26"/>
        <v>3034.5</v>
      </c>
      <c r="G2826" s="941"/>
    </row>
    <row r="2827" spans="1:7">
      <c r="A2827" s="1042">
        <v>9</v>
      </c>
      <c r="B2827" s="1240" t="s">
        <v>4596</v>
      </c>
      <c r="C2827" s="1042">
        <v>351668142202596</v>
      </c>
      <c r="D2827" s="1239"/>
      <c r="E2827" s="941">
        <v>850</v>
      </c>
      <c r="F2827" s="1044">
        <f t="shared" si="26"/>
        <v>3034.5</v>
      </c>
      <c r="G2827" s="941"/>
    </row>
    <row r="2828" spans="1:7">
      <c r="A2828" s="1042">
        <v>10</v>
      </c>
      <c r="B2828" s="1240" t="s">
        <v>4596</v>
      </c>
      <c r="C2828" s="1042">
        <v>358206139328836</v>
      </c>
      <c r="D2828" s="1239"/>
      <c r="E2828" s="941">
        <v>850</v>
      </c>
      <c r="F2828" s="1044">
        <f t="shared" si="26"/>
        <v>3034.5</v>
      </c>
      <c r="G2828" s="941"/>
    </row>
    <row r="2829" spans="1:7">
      <c r="A2829" s="1042">
        <v>11</v>
      </c>
      <c r="B2829" s="1238" t="s">
        <v>4359</v>
      </c>
      <c r="C2829" s="1042">
        <v>357329449610254</v>
      </c>
      <c r="D2829" s="1239"/>
      <c r="E2829" s="941">
        <v>1000</v>
      </c>
      <c r="F2829" s="1044">
        <f t="shared" si="26"/>
        <v>3570</v>
      </c>
      <c r="G2829" s="941"/>
    </row>
    <row r="2830" spans="1:7">
      <c r="A2830" s="1042">
        <v>12</v>
      </c>
      <c r="B2830" s="1238" t="s">
        <v>4053</v>
      </c>
      <c r="C2830" s="1042">
        <v>350035239170766</v>
      </c>
      <c r="D2830" s="1239"/>
      <c r="E2830" s="941">
        <v>800</v>
      </c>
      <c r="F2830" s="1044">
        <f t="shared" si="26"/>
        <v>2856</v>
      </c>
      <c r="G2830" s="941"/>
    </row>
    <row r="2831" spans="1:7">
      <c r="A2831" s="1042">
        <v>13</v>
      </c>
      <c r="B2831" s="1240" t="s">
        <v>4598</v>
      </c>
      <c r="C2831" s="1042">
        <v>351668144233029</v>
      </c>
      <c r="D2831" s="1239"/>
      <c r="E2831" s="941">
        <v>800</v>
      </c>
      <c r="F2831" s="1044">
        <f t="shared" si="26"/>
        <v>2856</v>
      </c>
      <c r="G2831" s="941"/>
    </row>
    <row r="2832" spans="1:7">
      <c r="A2832" s="1042">
        <v>14</v>
      </c>
      <c r="B2832" s="1240" t="s">
        <v>4598</v>
      </c>
      <c r="C2832" s="1042">
        <v>359814713176981</v>
      </c>
      <c r="D2832" s="1239" t="s">
        <v>4597</v>
      </c>
      <c r="E2832" s="941">
        <v>800</v>
      </c>
      <c r="F2832" s="1044">
        <f t="shared" si="26"/>
        <v>2856</v>
      </c>
      <c r="G2832" s="941"/>
    </row>
    <row r="2833" spans="1:7">
      <c r="A2833" s="1042">
        <v>15</v>
      </c>
      <c r="B2833" s="1240" t="s">
        <v>4598</v>
      </c>
      <c r="C2833" s="1042">
        <v>350552899384362</v>
      </c>
      <c r="D2833" s="1239"/>
      <c r="E2833" s="941">
        <v>800</v>
      </c>
      <c r="F2833" s="1044">
        <f t="shared" si="26"/>
        <v>2856</v>
      </c>
      <c r="G2833" s="941"/>
    </row>
    <row r="2834" spans="1:7">
      <c r="A2834" s="1042">
        <v>16</v>
      </c>
      <c r="B2834" s="1240" t="s">
        <v>4598</v>
      </c>
      <c r="C2834" s="1042">
        <v>350035236152296</v>
      </c>
      <c r="D2834" s="1239"/>
      <c r="E2834" s="941">
        <v>800</v>
      </c>
      <c r="F2834" s="1044">
        <f t="shared" si="26"/>
        <v>2856</v>
      </c>
      <c r="G2834" s="941"/>
    </row>
    <row r="2835" spans="1:7">
      <c r="A2835" s="1042">
        <v>17</v>
      </c>
      <c r="B2835" s="1238" t="s">
        <v>4054</v>
      </c>
      <c r="C2835" s="1042">
        <v>351668144797411</v>
      </c>
      <c r="D2835" s="1239"/>
      <c r="E2835" s="941">
        <v>920</v>
      </c>
      <c r="F2835" s="1044">
        <f t="shared" si="26"/>
        <v>3284.3999999999996</v>
      </c>
      <c r="G2835" s="941"/>
    </row>
    <row r="2836" spans="1:7">
      <c r="A2836" s="1042">
        <v>18</v>
      </c>
      <c r="B2836" s="1240" t="s">
        <v>4599</v>
      </c>
      <c r="C2836" s="1042">
        <v>350035238871117</v>
      </c>
      <c r="D2836" s="1239"/>
      <c r="E2836" s="941">
        <v>920</v>
      </c>
      <c r="F2836" s="1044">
        <f t="shared" si="26"/>
        <v>3284.3999999999996</v>
      </c>
      <c r="G2836" s="941"/>
    </row>
    <row r="2837" spans="1:7">
      <c r="A2837" s="1042">
        <v>19</v>
      </c>
      <c r="B2837" s="1240" t="s">
        <v>4599</v>
      </c>
      <c r="C2837" s="1042">
        <v>350035238098323</v>
      </c>
      <c r="D2837" s="1239"/>
      <c r="E2837" s="941">
        <v>920</v>
      </c>
      <c r="F2837" s="1044">
        <f t="shared" si="26"/>
        <v>3284.3999999999996</v>
      </c>
      <c r="G2837" s="941"/>
    </row>
    <row r="2838" spans="1:7">
      <c r="A2838" s="1042">
        <v>20</v>
      </c>
      <c r="B2838" s="1240" t="s">
        <v>4599</v>
      </c>
      <c r="C2838" s="1042">
        <v>358434703956861</v>
      </c>
      <c r="D2838" s="1239"/>
      <c r="E2838" s="941">
        <v>920</v>
      </c>
      <c r="F2838" s="1044">
        <f t="shared" si="26"/>
        <v>3284.3999999999996</v>
      </c>
      <c r="G2838" s="941"/>
    </row>
    <row r="2839" spans="1:7">
      <c r="A2839" s="1042">
        <v>21</v>
      </c>
      <c r="B2839" s="1238" t="s">
        <v>4054</v>
      </c>
      <c r="C2839" s="1042">
        <v>358434707486378</v>
      </c>
      <c r="D2839" s="1239" t="s">
        <v>4600</v>
      </c>
      <c r="E2839" s="941">
        <v>1200</v>
      </c>
      <c r="F2839" s="1044">
        <f t="shared" si="26"/>
        <v>4284</v>
      </c>
      <c r="G2839" s="941"/>
    </row>
    <row r="2840" spans="1:7">
      <c r="A2840" s="1042">
        <v>22</v>
      </c>
      <c r="B2840" s="1240" t="s">
        <v>4599</v>
      </c>
      <c r="C2840" s="1042">
        <v>350035238858098</v>
      </c>
      <c r="D2840" s="1239"/>
      <c r="E2840" s="941">
        <v>920</v>
      </c>
      <c r="F2840" s="1044">
        <f t="shared" si="26"/>
        <v>3284.3999999999996</v>
      </c>
      <c r="G2840" s="941"/>
    </row>
    <row r="2841" spans="1:7">
      <c r="A2841" s="1042">
        <v>23</v>
      </c>
      <c r="B2841" s="1240" t="s">
        <v>4599</v>
      </c>
      <c r="C2841" s="1042">
        <v>353837419684269</v>
      </c>
      <c r="D2841" s="1239" t="s">
        <v>4600</v>
      </c>
      <c r="E2841" s="941">
        <v>1200</v>
      </c>
      <c r="F2841" s="1044">
        <f t="shared" si="26"/>
        <v>4284</v>
      </c>
      <c r="G2841" s="941"/>
    </row>
    <row r="2842" spans="1:7">
      <c r="A2842" s="1042">
        <v>24</v>
      </c>
      <c r="B2842" s="1240" t="s">
        <v>4599</v>
      </c>
      <c r="C2842" s="1042">
        <v>351668144778999</v>
      </c>
      <c r="D2842" s="1239"/>
      <c r="E2842" s="941">
        <v>920</v>
      </c>
      <c r="F2842" s="1044">
        <f t="shared" si="26"/>
        <v>3284.3999999999996</v>
      </c>
      <c r="G2842" s="941"/>
    </row>
    <row r="2843" spans="1:7">
      <c r="A2843" s="1042">
        <v>25</v>
      </c>
      <c r="B2843" s="1238" t="s">
        <v>4055</v>
      </c>
      <c r="C2843" s="1042">
        <v>351668143362647</v>
      </c>
      <c r="D2843" s="1239"/>
      <c r="E2843" s="941">
        <v>1000</v>
      </c>
      <c r="F2843" s="1044">
        <f t="shared" si="26"/>
        <v>3570</v>
      </c>
      <c r="G2843" s="941"/>
    </row>
    <row r="2844" spans="1:7">
      <c r="A2844" s="1042">
        <v>26</v>
      </c>
      <c r="B2844" s="1238" t="s">
        <v>4056</v>
      </c>
      <c r="C2844" s="1042">
        <v>351317527571577</v>
      </c>
      <c r="D2844" s="1239" t="s">
        <v>4601</v>
      </c>
      <c r="E2844" s="941">
        <v>1050</v>
      </c>
      <c r="F2844" s="1044">
        <f t="shared" si="26"/>
        <v>3748.5</v>
      </c>
      <c r="G2844" s="941"/>
    </row>
    <row r="2845" spans="1:7">
      <c r="A2845" s="1042">
        <v>27</v>
      </c>
      <c r="B2845" s="1238" t="s">
        <v>4056</v>
      </c>
      <c r="C2845" s="1042">
        <v>354289634595970</v>
      </c>
      <c r="D2845" s="1239"/>
      <c r="E2845" s="941">
        <v>750</v>
      </c>
      <c r="F2845" s="1044">
        <f t="shared" si="26"/>
        <v>2677.5</v>
      </c>
      <c r="G2845" s="941"/>
    </row>
    <row r="2846" spans="1:7">
      <c r="A2846" s="1042">
        <v>28</v>
      </c>
      <c r="B2846" s="1240" t="s">
        <v>4602</v>
      </c>
      <c r="C2846" s="1042">
        <v>359477636296441</v>
      </c>
      <c r="D2846" s="1239"/>
      <c r="E2846" s="941">
        <v>750</v>
      </c>
      <c r="F2846" s="1044">
        <f t="shared" si="26"/>
        <v>2677.5</v>
      </c>
      <c r="G2846" s="941"/>
    </row>
    <row r="2847" spans="1:7">
      <c r="A2847" s="1042">
        <v>29</v>
      </c>
      <c r="B2847" s="1240" t="s">
        <v>4602</v>
      </c>
      <c r="C2847" s="1042">
        <v>351317527167566</v>
      </c>
      <c r="D2847" s="1239"/>
      <c r="E2847" s="941">
        <v>750</v>
      </c>
      <c r="F2847" s="1044">
        <f t="shared" si="26"/>
        <v>2677.5</v>
      </c>
      <c r="G2847" s="941"/>
    </row>
    <row r="2848" spans="1:7">
      <c r="A2848" s="1042">
        <v>30</v>
      </c>
      <c r="B2848" s="1238" t="s">
        <v>4058</v>
      </c>
      <c r="C2848" s="1042">
        <v>356245419984696</v>
      </c>
      <c r="D2848" s="1239"/>
      <c r="E2848" s="941">
        <v>750</v>
      </c>
      <c r="F2848" s="1044">
        <f t="shared" si="26"/>
        <v>2677.5</v>
      </c>
      <c r="G2848" s="941"/>
    </row>
    <row r="2849" spans="1:7">
      <c r="A2849" s="1042">
        <v>31</v>
      </c>
      <c r="B2849" s="1238" t="s">
        <v>4058</v>
      </c>
      <c r="C2849" s="1042">
        <v>355981558177996</v>
      </c>
      <c r="D2849" s="1239" t="s">
        <v>4601</v>
      </c>
      <c r="E2849" s="941">
        <v>1050</v>
      </c>
      <c r="F2849" s="1044">
        <f t="shared" si="26"/>
        <v>3748.5</v>
      </c>
      <c r="G2849" s="941"/>
    </row>
    <row r="2850" spans="1:7">
      <c r="A2850" s="1042">
        <v>32</v>
      </c>
      <c r="B2850" s="1240" t="s">
        <v>4603</v>
      </c>
      <c r="C2850" s="1042">
        <v>357254479609234</v>
      </c>
      <c r="D2850" s="1239" t="s">
        <v>4601</v>
      </c>
      <c r="E2850" s="941">
        <v>1050</v>
      </c>
      <c r="F2850" s="1044">
        <f t="shared" si="26"/>
        <v>3748.5</v>
      </c>
      <c r="G2850" s="941"/>
    </row>
    <row r="2851" spans="1:7">
      <c r="A2851" s="1042">
        <v>33</v>
      </c>
      <c r="B2851" s="1240" t="s">
        <v>4603</v>
      </c>
      <c r="C2851" s="1042">
        <v>355981558892487</v>
      </c>
      <c r="D2851" s="1239" t="s">
        <v>4601</v>
      </c>
      <c r="E2851" s="941">
        <v>1050</v>
      </c>
      <c r="F2851" s="1044">
        <f t="shared" si="26"/>
        <v>3748.5</v>
      </c>
      <c r="G2851" s="941"/>
    </row>
    <row r="2852" spans="1:7">
      <c r="A2852" s="1042">
        <v>34</v>
      </c>
      <c r="B2852" s="1238" t="s">
        <v>4060</v>
      </c>
      <c r="C2852" s="1042">
        <v>355079366859689</v>
      </c>
      <c r="D2852" s="1239" t="s">
        <v>4601</v>
      </c>
      <c r="E2852" s="941">
        <v>1050</v>
      </c>
      <c r="F2852" s="1044">
        <f t="shared" si="26"/>
        <v>3748.5</v>
      </c>
      <c r="G2852" s="941"/>
    </row>
    <row r="2853" spans="1:7">
      <c r="A2853" s="1042">
        <v>35</v>
      </c>
      <c r="B2853" s="1240" t="s">
        <v>4604</v>
      </c>
      <c r="C2853" s="1042">
        <v>355832514469896</v>
      </c>
      <c r="D2853" s="1239" t="s">
        <v>4601</v>
      </c>
      <c r="E2853" s="941">
        <v>1050</v>
      </c>
      <c r="F2853" s="1044">
        <f t="shared" si="26"/>
        <v>3748.5</v>
      </c>
      <c r="G2853" s="941"/>
    </row>
    <row r="2854" spans="1:7">
      <c r="A2854" s="1042">
        <v>36</v>
      </c>
      <c r="B2854" s="1238" t="s">
        <v>4060</v>
      </c>
      <c r="C2854" s="1042">
        <v>355500355592254</v>
      </c>
      <c r="D2854" s="1239" t="s">
        <v>4600</v>
      </c>
      <c r="E2854" s="941">
        <v>1100</v>
      </c>
      <c r="F2854" s="1044">
        <f t="shared" si="26"/>
        <v>3927</v>
      </c>
      <c r="G2854" s="941"/>
    </row>
    <row r="2855" spans="1:7">
      <c r="A2855" s="1042">
        <v>37</v>
      </c>
      <c r="B2855" s="1240" t="s">
        <v>4604</v>
      </c>
      <c r="C2855" s="1042">
        <v>356839675708912</v>
      </c>
      <c r="D2855" s="1239" t="s">
        <v>4600</v>
      </c>
      <c r="E2855" s="941">
        <v>1100</v>
      </c>
      <c r="F2855" s="1044">
        <f t="shared" si="26"/>
        <v>3927</v>
      </c>
      <c r="G2855" s="941"/>
    </row>
    <row r="2856" spans="1:7">
      <c r="A2856" s="1042">
        <v>38</v>
      </c>
      <c r="B2856" s="1238" t="s">
        <v>4063</v>
      </c>
      <c r="C2856" s="1042">
        <v>355785878509295</v>
      </c>
      <c r="D2856" s="1239" t="s">
        <v>4600</v>
      </c>
      <c r="E2856" s="941">
        <v>700</v>
      </c>
      <c r="F2856" s="1044">
        <f t="shared" si="26"/>
        <v>2499</v>
      </c>
      <c r="G2856" s="941"/>
    </row>
    <row r="2857" spans="1:7">
      <c r="A2857" s="1042">
        <v>39</v>
      </c>
      <c r="B2857" s="1238" t="s">
        <v>4063</v>
      </c>
      <c r="C2857" s="1042">
        <v>351555247807892</v>
      </c>
      <c r="D2857" s="1239" t="s">
        <v>4597</v>
      </c>
      <c r="E2857" s="941">
        <v>500</v>
      </c>
      <c r="F2857" s="1044">
        <f t="shared" si="26"/>
        <v>1785</v>
      </c>
      <c r="G2857" s="941"/>
    </row>
    <row r="2858" spans="1:7">
      <c r="A2858" s="1042">
        <v>40</v>
      </c>
      <c r="B2858" s="1238" t="s">
        <v>4074</v>
      </c>
      <c r="C2858" s="1042">
        <v>351614409967901</v>
      </c>
      <c r="D2858" s="1239" t="s">
        <v>4597</v>
      </c>
      <c r="E2858" s="941">
        <v>590</v>
      </c>
      <c r="F2858" s="1044">
        <f t="shared" si="26"/>
        <v>2106.2999999999997</v>
      </c>
      <c r="G2858" s="1092" t="s">
        <v>4605</v>
      </c>
    </row>
    <row r="2859" spans="1:7">
      <c r="A2859" s="1042">
        <v>41</v>
      </c>
      <c r="B2859" s="1238" t="s">
        <v>4341</v>
      </c>
      <c r="C2859" s="1042">
        <v>352355705514554</v>
      </c>
      <c r="D2859" s="1239" t="s">
        <v>4606</v>
      </c>
      <c r="E2859" s="941">
        <v>1050</v>
      </c>
      <c r="F2859" s="1044">
        <f t="shared" si="26"/>
        <v>3748.5</v>
      </c>
      <c r="G2859" s="1092" t="s">
        <v>4574</v>
      </c>
    </row>
    <row r="2860" spans="1:7">
      <c r="A2860" s="1042">
        <v>42</v>
      </c>
      <c r="B2860" s="1240" t="s">
        <v>4607</v>
      </c>
      <c r="C2860" s="1042">
        <v>352355703561342</v>
      </c>
      <c r="D2860" s="1239" t="s">
        <v>4606</v>
      </c>
      <c r="E2860" s="941">
        <v>1050</v>
      </c>
      <c r="F2860" s="1044">
        <f t="shared" si="26"/>
        <v>3748.5</v>
      </c>
      <c r="G2860" s="1092" t="s">
        <v>4574</v>
      </c>
    </row>
    <row r="2861" spans="1:7">
      <c r="A2861" s="1042">
        <v>43</v>
      </c>
      <c r="B2861" s="1238" t="s">
        <v>4341</v>
      </c>
      <c r="C2861" s="1042">
        <v>352355702450729</v>
      </c>
      <c r="D2861" s="1239"/>
      <c r="E2861" s="941">
        <v>1050</v>
      </c>
      <c r="F2861" s="1044">
        <f t="shared" si="26"/>
        <v>3748.5</v>
      </c>
      <c r="G2861" s="941"/>
    </row>
    <row r="2862" spans="1:7">
      <c r="A2862" s="1042">
        <v>44</v>
      </c>
      <c r="B2862" s="1238" t="s">
        <v>4608</v>
      </c>
      <c r="C2862" s="1042" t="s">
        <v>4609</v>
      </c>
      <c r="D2862" s="1239"/>
      <c r="E2862" s="941">
        <v>1240</v>
      </c>
      <c r="F2862" s="1044">
        <f t="shared" si="26"/>
        <v>4426.8</v>
      </c>
      <c r="G2862" s="941"/>
    </row>
    <row r="2863" spans="1:7">
      <c r="A2863" s="1042">
        <v>45</v>
      </c>
      <c r="B2863" s="1240" t="s">
        <v>4610</v>
      </c>
      <c r="C2863" s="1042" t="s">
        <v>4611</v>
      </c>
      <c r="D2863" s="1239"/>
      <c r="E2863" s="941">
        <v>1240</v>
      </c>
      <c r="F2863" s="1044">
        <f t="shared" si="26"/>
        <v>4426.8</v>
      </c>
      <c r="G2863" s="941"/>
    </row>
    <row r="2864" spans="1:7">
      <c r="A2864" s="1042">
        <v>46</v>
      </c>
      <c r="B2864" s="1238" t="s">
        <v>4343</v>
      </c>
      <c r="C2864" s="1042">
        <v>358112933195803</v>
      </c>
      <c r="D2864" s="1239"/>
      <c r="E2864" s="941">
        <v>940</v>
      </c>
      <c r="F2864" s="1044">
        <f t="shared" si="26"/>
        <v>3355.7999999999997</v>
      </c>
      <c r="G2864" s="941"/>
    </row>
    <row r="2865" spans="1:7">
      <c r="A2865" s="1042">
        <v>47</v>
      </c>
      <c r="B2865" s="1240" t="s">
        <v>4612</v>
      </c>
      <c r="C2865" s="1042">
        <v>358112934612863</v>
      </c>
      <c r="D2865" s="1239"/>
      <c r="E2865" s="941">
        <v>940</v>
      </c>
      <c r="F2865" s="1044">
        <f t="shared" si="26"/>
        <v>3355.7999999999997</v>
      </c>
      <c r="G2865" s="941"/>
    </row>
    <row r="2866" spans="1:7">
      <c r="A2866" s="1042">
        <v>48</v>
      </c>
      <c r="B2866" s="1238" t="s">
        <v>4343</v>
      </c>
      <c r="C2866" s="1042">
        <v>358112933674385</v>
      </c>
      <c r="D2866" s="1239" t="s">
        <v>4606</v>
      </c>
      <c r="E2866" s="941">
        <v>820</v>
      </c>
      <c r="F2866" s="1044">
        <f t="shared" si="26"/>
        <v>2927.4</v>
      </c>
      <c r="G2866" s="1092" t="s">
        <v>4574</v>
      </c>
    </row>
    <row r="2867" spans="1:7">
      <c r="A2867" s="1042">
        <v>49</v>
      </c>
      <c r="B2867" s="1238" t="s">
        <v>4613</v>
      </c>
      <c r="C2867" s="1042" t="s">
        <v>4614</v>
      </c>
      <c r="D2867" s="1239" t="s">
        <v>4615</v>
      </c>
      <c r="E2867" s="941">
        <v>1525</v>
      </c>
      <c r="F2867" s="1044">
        <f t="shared" si="26"/>
        <v>5444.25</v>
      </c>
      <c r="G2867" s="941"/>
    </row>
    <row r="2868" spans="1:7">
      <c r="A2868" s="1042">
        <v>50</v>
      </c>
      <c r="B2868" s="1238" t="s">
        <v>4616</v>
      </c>
      <c r="C2868" s="1042" t="s">
        <v>4617</v>
      </c>
      <c r="D2868" s="1239"/>
      <c r="E2868" s="941">
        <v>600</v>
      </c>
      <c r="F2868" s="1044">
        <f t="shared" si="26"/>
        <v>2142</v>
      </c>
      <c r="G2868" s="941"/>
    </row>
    <row r="2869" spans="1:7">
      <c r="A2869" s="1042">
        <v>51</v>
      </c>
      <c r="B2869" s="1238" t="s">
        <v>4375</v>
      </c>
      <c r="C2869" s="1042">
        <v>350094265527647</v>
      </c>
      <c r="D2869" s="1239" t="s">
        <v>4606</v>
      </c>
      <c r="E2869" s="941">
        <v>285</v>
      </c>
      <c r="F2869" s="1044">
        <f t="shared" si="26"/>
        <v>1017.4499999999999</v>
      </c>
      <c r="G2869" s="1092" t="s">
        <v>4574</v>
      </c>
    </row>
    <row r="2870" spans="1:7">
      <c r="A2870" s="1042">
        <v>52</v>
      </c>
      <c r="B2870" s="1238" t="s">
        <v>4618</v>
      </c>
      <c r="C2870" s="1042" t="s">
        <v>4619</v>
      </c>
      <c r="D2870" s="1239"/>
      <c r="E2870" s="941">
        <v>285</v>
      </c>
      <c r="F2870" s="1044">
        <f t="shared" si="26"/>
        <v>1017.4499999999999</v>
      </c>
      <c r="G2870" s="941"/>
    </row>
    <row r="2871" spans="1:7">
      <c r="A2871" s="1042">
        <v>53</v>
      </c>
      <c r="B2871" s="1238" t="s">
        <v>4620</v>
      </c>
      <c r="C2871" s="1091" t="s">
        <v>4621</v>
      </c>
      <c r="D2871" s="1241" t="s">
        <v>4622</v>
      </c>
      <c r="E2871" s="941">
        <v>175</v>
      </c>
      <c r="F2871" s="1044">
        <f t="shared" si="26"/>
        <v>624.75</v>
      </c>
      <c r="G2871" s="941"/>
    </row>
    <row r="2872" spans="1:7">
      <c r="A2872" s="1042">
        <v>54</v>
      </c>
      <c r="B2872" s="1238" t="s">
        <v>4623</v>
      </c>
      <c r="C2872" s="1042" t="s">
        <v>4624</v>
      </c>
      <c r="D2872" s="1239"/>
      <c r="E2872" s="941">
        <v>3500</v>
      </c>
      <c r="F2872" s="1044">
        <f t="shared" si="26"/>
        <v>12495</v>
      </c>
      <c r="G2872" s="941"/>
    </row>
    <row r="2873" spans="1:7">
      <c r="A2873" s="1042">
        <v>55</v>
      </c>
      <c r="B2873" s="1238" t="s">
        <v>4345</v>
      </c>
      <c r="C2873" s="1042">
        <v>355827875276963</v>
      </c>
      <c r="D2873" s="1239"/>
      <c r="E2873" s="941">
        <v>665</v>
      </c>
      <c r="F2873" s="1044">
        <f t="shared" si="26"/>
        <v>2374.0499999999997</v>
      </c>
      <c r="G2873" s="941"/>
    </row>
    <row r="2874" spans="1:7">
      <c r="A2874" s="1042">
        <v>56</v>
      </c>
      <c r="B2874" s="1238" t="s">
        <v>4392</v>
      </c>
      <c r="C2874" s="1042">
        <v>356187984081401</v>
      </c>
      <c r="D2874" s="1239"/>
      <c r="E2874" s="941">
        <v>665</v>
      </c>
      <c r="F2874" s="1044">
        <f t="shared" si="26"/>
        <v>2374.0499999999997</v>
      </c>
      <c r="G2874" s="941"/>
    </row>
    <row r="2875" spans="1:7">
      <c r="A2875" s="1042">
        <v>57</v>
      </c>
      <c r="B2875" s="1238" t="s">
        <v>4625</v>
      </c>
      <c r="C2875" s="1042" t="s">
        <v>4626</v>
      </c>
      <c r="D2875" s="1239"/>
      <c r="E2875" s="941">
        <v>415</v>
      </c>
      <c r="F2875" s="1044">
        <f t="shared" si="26"/>
        <v>1481.55</v>
      </c>
      <c r="G2875" s="941"/>
    </row>
    <row r="2876" spans="1:7">
      <c r="A2876" s="1042">
        <v>58</v>
      </c>
      <c r="B2876" s="1240" t="s">
        <v>4627</v>
      </c>
      <c r="C2876" s="1042" t="s">
        <v>4628</v>
      </c>
      <c r="D2876" s="1239"/>
      <c r="E2876" s="941">
        <v>415</v>
      </c>
      <c r="F2876" s="1044">
        <f t="shared" si="26"/>
        <v>1481.55</v>
      </c>
      <c r="G2876" s="941"/>
    </row>
    <row r="2877" spans="1:7">
      <c r="A2877" s="1042">
        <v>59</v>
      </c>
      <c r="B2877" s="1240" t="s">
        <v>4627</v>
      </c>
      <c r="C2877" s="1042" t="s">
        <v>4629</v>
      </c>
      <c r="D2877" s="1239"/>
      <c r="E2877" s="941">
        <v>415</v>
      </c>
      <c r="F2877" s="1044">
        <f t="shared" si="26"/>
        <v>1481.55</v>
      </c>
      <c r="G2877" s="941"/>
    </row>
    <row r="2878" spans="1:7">
      <c r="A2878" s="1042">
        <v>60</v>
      </c>
      <c r="B2878" s="1238" t="s">
        <v>4630</v>
      </c>
      <c r="C2878" s="1042" t="s">
        <v>4631</v>
      </c>
      <c r="D2878" s="1239"/>
      <c r="E2878" s="941">
        <v>410</v>
      </c>
      <c r="F2878" s="1044">
        <f t="shared" si="26"/>
        <v>1463.7</v>
      </c>
      <c r="G2878" s="941"/>
    </row>
    <row r="2879" spans="1:7">
      <c r="A2879" s="1042">
        <v>61</v>
      </c>
      <c r="B2879" s="1238" t="s">
        <v>4632</v>
      </c>
      <c r="C2879" s="1042">
        <v>355008321665386</v>
      </c>
      <c r="D2879" s="1239"/>
      <c r="E2879" s="941">
        <v>42</v>
      </c>
      <c r="F2879" s="1044">
        <f t="shared" si="26"/>
        <v>149.94</v>
      </c>
      <c r="G2879" s="941"/>
    </row>
    <row r="2880" spans="1:7">
      <c r="A2880" s="1042">
        <v>62</v>
      </c>
      <c r="B2880" s="1240" t="s">
        <v>4633</v>
      </c>
      <c r="C2880" s="1042">
        <v>355008321735387</v>
      </c>
      <c r="D2880" s="1239"/>
      <c r="E2880" s="941">
        <v>42</v>
      </c>
      <c r="F2880" s="1044">
        <f t="shared" si="26"/>
        <v>149.94</v>
      </c>
      <c r="G2880" s="941"/>
    </row>
    <row r="2881" spans="1:7">
      <c r="A2881" s="1042">
        <v>63</v>
      </c>
      <c r="B2881" s="1238" t="s">
        <v>4634</v>
      </c>
      <c r="C2881" s="1042">
        <v>359542652083740</v>
      </c>
      <c r="D2881" s="1239" t="s">
        <v>4597</v>
      </c>
      <c r="E2881" s="941">
        <v>34</v>
      </c>
      <c r="F2881" s="1044">
        <f t="shared" si="26"/>
        <v>121.38</v>
      </c>
      <c r="G2881" s="1092" t="s">
        <v>4567</v>
      </c>
    </row>
    <row r="2882" spans="1:7">
      <c r="A2882" s="1042">
        <v>64</v>
      </c>
      <c r="B2882" s="1240" t="s">
        <v>4635</v>
      </c>
      <c r="C2882" s="1042">
        <v>353054820697423</v>
      </c>
      <c r="D2882" s="1239"/>
      <c r="E2882" s="941">
        <v>34</v>
      </c>
      <c r="F2882" s="1044">
        <f t="shared" si="26"/>
        <v>121.38</v>
      </c>
      <c r="G2882" s="941"/>
    </row>
    <row r="2883" spans="1:7">
      <c r="A2883" s="1042">
        <v>65</v>
      </c>
      <c r="B2883" s="1238" t="s">
        <v>4636</v>
      </c>
      <c r="C2883" s="1042">
        <v>350803920641415</v>
      </c>
      <c r="D2883" s="1239" t="s">
        <v>4597</v>
      </c>
      <c r="E2883" s="941">
        <v>34</v>
      </c>
      <c r="F2883" s="1044">
        <f t="shared" si="26"/>
        <v>121.38</v>
      </c>
      <c r="G2883" s="1092" t="s">
        <v>4567</v>
      </c>
    </row>
    <row r="2884" spans="1:7">
      <c r="A2884" s="1042">
        <v>66</v>
      </c>
      <c r="B2884" s="1240" t="s">
        <v>4637</v>
      </c>
      <c r="C2884" s="1042">
        <v>350803920643619</v>
      </c>
      <c r="D2884" s="1239"/>
      <c r="E2884" s="941">
        <v>34</v>
      </c>
      <c r="F2884" s="1044">
        <f t="shared" ref="F2884:F2912" si="27">E2884*3.57</f>
        <v>121.38</v>
      </c>
      <c r="G2884" s="941"/>
    </row>
    <row r="2885" spans="1:7">
      <c r="A2885" s="1042">
        <v>67</v>
      </c>
      <c r="B2885" s="1240" t="s">
        <v>4637</v>
      </c>
      <c r="C2885" s="1042">
        <v>350803920641423</v>
      </c>
      <c r="D2885" s="1239"/>
      <c r="E2885" s="941">
        <v>34</v>
      </c>
      <c r="F2885" s="1044">
        <f t="shared" si="27"/>
        <v>121.38</v>
      </c>
      <c r="G2885" s="941"/>
    </row>
    <row r="2886" spans="1:7">
      <c r="A2886" s="1042">
        <v>68</v>
      </c>
      <c r="B2886" s="1240" t="s">
        <v>4637</v>
      </c>
      <c r="C2886" s="1042">
        <v>350803920649194</v>
      </c>
      <c r="D2886" s="1239"/>
      <c r="E2886" s="941">
        <v>34</v>
      </c>
      <c r="F2886" s="1044">
        <f t="shared" si="27"/>
        <v>121.38</v>
      </c>
      <c r="G2886" s="941"/>
    </row>
    <row r="2887" spans="1:7">
      <c r="A2887" s="1042">
        <v>69</v>
      </c>
      <c r="B2887" s="1240" t="s">
        <v>4637</v>
      </c>
      <c r="C2887" s="1042">
        <v>350803920931865</v>
      </c>
      <c r="D2887" s="1239"/>
      <c r="E2887" s="941">
        <v>34</v>
      </c>
      <c r="F2887" s="1044">
        <f t="shared" si="27"/>
        <v>121.38</v>
      </c>
      <c r="G2887" s="941"/>
    </row>
    <row r="2888" spans="1:7">
      <c r="A2888" s="1042">
        <v>70</v>
      </c>
      <c r="B2888" s="1240" t="s">
        <v>4637</v>
      </c>
      <c r="C2888" s="1042">
        <v>350803920918680</v>
      </c>
      <c r="D2888" s="1239"/>
      <c r="E2888" s="941">
        <v>34</v>
      </c>
      <c r="F2888" s="1044">
        <f t="shared" si="27"/>
        <v>121.38</v>
      </c>
      <c r="G2888" s="941"/>
    </row>
    <row r="2889" spans="1:7">
      <c r="A2889" s="1042">
        <v>71</v>
      </c>
      <c r="B2889" s="1240" t="s">
        <v>4637</v>
      </c>
      <c r="C2889" s="1042">
        <v>350803920831081</v>
      </c>
      <c r="D2889" s="1239"/>
      <c r="E2889" s="941">
        <v>34</v>
      </c>
      <c r="F2889" s="1044">
        <f t="shared" si="27"/>
        <v>121.38</v>
      </c>
      <c r="G2889" s="941"/>
    </row>
    <row r="2890" spans="1:7">
      <c r="A2890" s="1042">
        <v>72</v>
      </c>
      <c r="B2890" s="1240" t="s">
        <v>4637</v>
      </c>
      <c r="C2890" s="1042">
        <v>350803920644005</v>
      </c>
      <c r="D2890" s="1239"/>
      <c r="E2890" s="941">
        <v>34</v>
      </c>
      <c r="F2890" s="1044">
        <f t="shared" si="27"/>
        <v>121.38</v>
      </c>
      <c r="G2890" s="941"/>
    </row>
    <row r="2891" spans="1:7">
      <c r="A2891" s="1042">
        <v>73</v>
      </c>
      <c r="B2891" s="1240" t="s">
        <v>4637</v>
      </c>
      <c r="C2891" s="1042">
        <v>350803921283555</v>
      </c>
      <c r="D2891" s="1239"/>
      <c r="E2891" s="941">
        <v>34</v>
      </c>
      <c r="F2891" s="1044">
        <f t="shared" si="27"/>
        <v>121.38</v>
      </c>
      <c r="G2891" s="941"/>
    </row>
    <row r="2892" spans="1:7">
      <c r="A2892" s="1042">
        <v>74</v>
      </c>
      <c r="B2892" s="1240" t="s">
        <v>4637</v>
      </c>
      <c r="C2892" s="1042">
        <v>350803920634865</v>
      </c>
      <c r="D2892" s="1239"/>
      <c r="E2892" s="941">
        <v>34</v>
      </c>
      <c r="F2892" s="1044">
        <f t="shared" si="27"/>
        <v>121.38</v>
      </c>
      <c r="G2892" s="941"/>
    </row>
    <row r="2893" spans="1:7">
      <c r="A2893" s="1042">
        <v>75</v>
      </c>
      <c r="B2893" s="1240" t="s">
        <v>4637</v>
      </c>
      <c r="C2893" s="1042">
        <v>350803920643718</v>
      </c>
      <c r="D2893" s="1239"/>
      <c r="E2893" s="941">
        <v>34</v>
      </c>
      <c r="F2893" s="1044">
        <f t="shared" si="27"/>
        <v>121.38</v>
      </c>
      <c r="G2893" s="941"/>
    </row>
    <row r="2894" spans="1:7">
      <c r="A2894" s="1042">
        <v>76</v>
      </c>
      <c r="B2894" s="1238" t="s">
        <v>4638</v>
      </c>
      <c r="C2894" s="1042">
        <v>358986550911174</v>
      </c>
      <c r="D2894" s="1239"/>
      <c r="E2894" s="941">
        <v>42</v>
      </c>
      <c r="F2894" s="1044">
        <f t="shared" si="27"/>
        <v>149.94</v>
      </c>
      <c r="G2894" s="941"/>
    </row>
    <row r="2895" spans="1:7">
      <c r="A2895" s="1042">
        <v>77</v>
      </c>
      <c r="B2895" s="1240" t="s">
        <v>4639</v>
      </c>
      <c r="C2895" s="1042" t="s">
        <v>4640</v>
      </c>
      <c r="D2895" s="1239"/>
      <c r="E2895" s="941">
        <v>470</v>
      </c>
      <c r="F2895" s="1044">
        <f t="shared" si="27"/>
        <v>1677.8999999999999</v>
      </c>
      <c r="G2895" s="941"/>
    </row>
    <row r="2896" spans="1:7">
      <c r="A2896" s="1042">
        <v>78</v>
      </c>
      <c r="B2896" s="1240" t="s">
        <v>4639</v>
      </c>
      <c r="C2896" s="1042" t="s">
        <v>4641</v>
      </c>
      <c r="D2896" s="1239"/>
      <c r="E2896" s="941">
        <v>470</v>
      </c>
      <c r="F2896" s="1044">
        <f t="shared" si="27"/>
        <v>1677.8999999999999</v>
      </c>
      <c r="G2896" s="941"/>
    </row>
    <row r="2897" spans="1:7">
      <c r="A2897" s="1042">
        <v>79</v>
      </c>
      <c r="B2897" s="1240" t="s">
        <v>4639</v>
      </c>
      <c r="C2897" s="1042" t="s">
        <v>4642</v>
      </c>
      <c r="D2897" s="1239"/>
      <c r="E2897" s="941">
        <v>470</v>
      </c>
      <c r="F2897" s="1044">
        <f t="shared" si="27"/>
        <v>1677.8999999999999</v>
      </c>
      <c r="G2897" s="941"/>
    </row>
    <row r="2898" spans="1:7">
      <c r="A2898" s="1042">
        <v>80</v>
      </c>
      <c r="B2898" s="1240" t="s">
        <v>4639</v>
      </c>
      <c r="C2898" s="1042" t="s">
        <v>4643</v>
      </c>
      <c r="D2898" s="1239"/>
      <c r="E2898" s="941">
        <v>470</v>
      </c>
      <c r="F2898" s="1044">
        <f t="shared" si="27"/>
        <v>1677.8999999999999</v>
      </c>
      <c r="G2898" s="941"/>
    </row>
    <row r="2899" spans="1:7">
      <c r="A2899" s="1042">
        <v>81</v>
      </c>
      <c r="B2899" s="1240" t="s">
        <v>4639</v>
      </c>
      <c r="C2899" s="1042" t="s">
        <v>4644</v>
      </c>
      <c r="D2899" s="1239"/>
      <c r="E2899" s="941">
        <v>470</v>
      </c>
      <c r="F2899" s="1044">
        <f t="shared" si="27"/>
        <v>1677.8999999999999</v>
      </c>
      <c r="G2899" s="941"/>
    </row>
    <row r="2900" spans="1:7">
      <c r="A2900" s="1042">
        <v>82</v>
      </c>
      <c r="B2900" s="1240" t="s">
        <v>4639</v>
      </c>
      <c r="C2900" s="1042" t="s">
        <v>4645</v>
      </c>
      <c r="D2900" s="1239"/>
      <c r="E2900" s="941">
        <v>470</v>
      </c>
      <c r="F2900" s="1044">
        <f t="shared" si="27"/>
        <v>1677.8999999999999</v>
      </c>
      <c r="G2900" s="941"/>
    </row>
    <row r="2901" spans="1:7">
      <c r="A2901" s="1042">
        <v>83</v>
      </c>
      <c r="B2901" s="1240" t="s">
        <v>4639</v>
      </c>
      <c r="C2901" s="1042" t="s">
        <v>4646</v>
      </c>
      <c r="D2901" s="1239"/>
      <c r="E2901" s="941">
        <v>470</v>
      </c>
      <c r="F2901" s="1044">
        <f t="shared" si="27"/>
        <v>1677.8999999999999</v>
      </c>
      <c r="G2901" s="941"/>
    </row>
    <row r="2902" spans="1:7">
      <c r="A2902" s="1042">
        <v>84</v>
      </c>
      <c r="B2902" s="1240" t="s">
        <v>4639</v>
      </c>
      <c r="C2902" s="1042" t="s">
        <v>4647</v>
      </c>
      <c r="D2902" s="1239"/>
      <c r="E2902" s="941">
        <v>470</v>
      </c>
      <c r="F2902" s="1044">
        <f t="shared" si="27"/>
        <v>1677.8999999999999</v>
      </c>
      <c r="G2902" s="941"/>
    </row>
    <row r="2903" spans="1:7">
      <c r="A2903" s="1042">
        <v>85</v>
      </c>
      <c r="B2903" s="1240" t="s">
        <v>4639</v>
      </c>
      <c r="C2903" s="1042" t="s">
        <v>4648</v>
      </c>
      <c r="D2903" s="1239"/>
      <c r="E2903" s="941">
        <v>470</v>
      </c>
      <c r="F2903" s="1044">
        <f t="shared" si="27"/>
        <v>1677.8999999999999</v>
      </c>
      <c r="G2903" s="941"/>
    </row>
    <row r="2904" spans="1:7">
      <c r="A2904" s="1042">
        <v>86</v>
      </c>
      <c r="B2904" s="1240" t="s">
        <v>4639</v>
      </c>
      <c r="C2904" s="1042" t="s">
        <v>4649</v>
      </c>
      <c r="D2904" s="1239"/>
      <c r="E2904" s="941">
        <v>470</v>
      </c>
      <c r="F2904" s="1044">
        <f t="shared" si="27"/>
        <v>1677.8999999999999</v>
      </c>
      <c r="G2904" s="941"/>
    </row>
    <row r="2905" spans="1:7">
      <c r="A2905" s="1042">
        <v>87</v>
      </c>
      <c r="B2905" s="1240" t="s">
        <v>4639</v>
      </c>
      <c r="C2905" s="1042" t="s">
        <v>4650</v>
      </c>
      <c r="D2905" s="1239"/>
      <c r="E2905" s="941">
        <v>470</v>
      </c>
      <c r="F2905" s="1044">
        <f t="shared" si="27"/>
        <v>1677.8999999999999</v>
      </c>
      <c r="G2905" s="941"/>
    </row>
    <row r="2906" spans="1:7">
      <c r="A2906" s="1042">
        <v>88</v>
      </c>
      <c r="B2906" s="1240" t="s">
        <v>4639</v>
      </c>
      <c r="C2906" s="1042" t="s">
        <v>4651</v>
      </c>
      <c r="D2906" s="1239"/>
      <c r="E2906" s="941">
        <v>470</v>
      </c>
      <c r="F2906" s="1044">
        <f t="shared" si="27"/>
        <v>1677.8999999999999</v>
      </c>
      <c r="G2906" s="941"/>
    </row>
    <row r="2907" spans="1:7">
      <c r="A2907" s="1042">
        <v>89</v>
      </c>
      <c r="B2907" s="1240" t="s">
        <v>4639</v>
      </c>
      <c r="C2907" s="1042" t="s">
        <v>4652</v>
      </c>
      <c r="D2907" s="1239"/>
      <c r="E2907" s="941">
        <v>470</v>
      </c>
      <c r="F2907" s="1044">
        <f t="shared" si="27"/>
        <v>1677.8999999999999</v>
      </c>
      <c r="G2907" s="941"/>
    </row>
    <row r="2908" spans="1:7">
      <c r="A2908" s="1042">
        <v>90</v>
      </c>
      <c r="B2908" s="1240" t="s">
        <v>4639</v>
      </c>
      <c r="C2908" s="1042" t="s">
        <v>4653</v>
      </c>
      <c r="D2908" s="1239"/>
      <c r="E2908" s="941">
        <v>470</v>
      </c>
      <c r="F2908" s="1044">
        <f t="shared" si="27"/>
        <v>1677.8999999999999</v>
      </c>
      <c r="G2908" s="941"/>
    </row>
    <row r="2909" spans="1:7">
      <c r="A2909" s="1042">
        <v>91</v>
      </c>
      <c r="B2909" s="1238" t="s">
        <v>4654</v>
      </c>
      <c r="C2909" s="1042" t="s">
        <v>4655</v>
      </c>
      <c r="D2909" s="1239"/>
      <c r="E2909" s="941">
        <v>300</v>
      </c>
      <c r="F2909" s="1044">
        <f t="shared" si="27"/>
        <v>1071</v>
      </c>
      <c r="G2909" s="941"/>
    </row>
    <row r="2910" spans="1:7">
      <c r="A2910" s="1042">
        <v>92</v>
      </c>
      <c r="B2910" s="1238" t="s">
        <v>4656</v>
      </c>
      <c r="C2910" s="1042" t="s">
        <v>4657</v>
      </c>
      <c r="D2910" s="1239"/>
      <c r="E2910" s="941">
        <v>300</v>
      </c>
      <c r="F2910" s="1044">
        <f t="shared" si="27"/>
        <v>1071</v>
      </c>
      <c r="G2910" s="941"/>
    </row>
    <row r="2911" spans="1:7">
      <c r="A2911" s="1042">
        <v>93</v>
      </c>
      <c r="B2911" s="1238" t="s">
        <v>3912</v>
      </c>
      <c r="C2911" s="1042" t="s">
        <v>4658</v>
      </c>
      <c r="D2911" s="1239"/>
      <c r="E2911" s="941">
        <v>300</v>
      </c>
      <c r="F2911" s="1044">
        <f t="shared" si="27"/>
        <v>1071</v>
      </c>
      <c r="G2911" s="941"/>
    </row>
    <row r="2912" spans="1:7">
      <c r="A2912" s="1042">
        <v>94</v>
      </c>
      <c r="B2912" s="1240" t="s">
        <v>4659</v>
      </c>
      <c r="C2912" s="1042" t="s">
        <v>4660</v>
      </c>
      <c r="D2912" s="1239"/>
      <c r="E2912" s="941">
        <v>300</v>
      </c>
      <c r="F2912" s="1044">
        <f t="shared" si="27"/>
        <v>1071</v>
      </c>
      <c r="G2912" s="941"/>
    </row>
    <row r="2913" spans="1:8" ht="18.75">
      <c r="A2913" s="895"/>
      <c r="B2913" s="895"/>
      <c r="C2913" s="895"/>
      <c r="D2913" s="895"/>
      <c r="E2913" s="1236">
        <f>SUM(E2819:E2912)</f>
        <v>61743</v>
      </c>
      <c r="F2913" s="1237">
        <f>SUM(F2819:F2912)</f>
        <v>220422.50999999992</v>
      </c>
      <c r="G2913" s="895"/>
    </row>
    <row r="2922" spans="1:8" ht="15.75" thickBot="1"/>
    <row r="2923" spans="1:8" ht="15.75" thickBot="1">
      <c r="A2923" s="1251"/>
      <c r="B2923" s="1253" t="s">
        <v>1</v>
      </c>
      <c r="C2923" s="1252">
        <v>46208</v>
      </c>
      <c r="D2923" s="1499"/>
      <c r="E2923" s="1500"/>
      <c r="F2923" s="1501"/>
      <c r="G2923" s="731"/>
      <c r="H2923"/>
    </row>
    <row r="2924" spans="1:8">
      <c r="A2924" s="1254" t="s">
        <v>3928</v>
      </c>
      <c r="B2924" s="1254" t="s">
        <v>2416</v>
      </c>
      <c r="C2924" s="1255" t="s">
        <v>2812</v>
      </c>
      <c r="D2924" s="1255" t="s">
        <v>2423</v>
      </c>
      <c r="E2924" s="1255" t="s">
        <v>3734</v>
      </c>
      <c r="F2924" s="1255" t="s">
        <v>3111</v>
      </c>
      <c r="G2924" s="731"/>
      <c r="H2924"/>
    </row>
    <row r="2925" spans="1:8">
      <c r="A2925" s="1042">
        <v>1</v>
      </c>
      <c r="B2925" s="1042" t="s">
        <v>4359</v>
      </c>
      <c r="C2925" s="1042">
        <v>359814715575735</v>
      </c>
      <c r="D2925" s="1042" t="s">
        <v>4686</v>
      </c>
      <c r="E2925" s="940">
        <v>1250</v>
      </c>
      <c r="F2925" s="1044">
        <v>4462.5</v>
      </c>
      <c r="G2925" s="731"/>
      <c r="H2925"/>
    </row>
    <row r="2926" spans="1:8">
      <c r="A2926" s="1042">
        <v>2</v>
      </c>
      <c r="B2926" s="1042" t="s">
        <v>4051</v>
      </c>
      <c r="C2926" s="1042">
        <v>350552898197021</v>
      </c>
      <c r="D2926" s="1042" t="s">
        <v>4686</v>
      </c>
      <c r="E2926" s="940">
        <v>1150</v>
      </c>
      <c r="F2926" s="1044">
        <v>4105.5</v>
      </c>
      <c r="G2926" s="731"/>
      <c r="H2926"/>
    </row>
    <row r="2927" spans="1:8">
      <c r="A2927" s="1042">
        <v>3</v>
      </c>
      <c r="B2927" s="1042" t="s">
        <v>4051</v>
      </c>
      <c r="C2927" s="1042">
        <v>357329446880454</v>
      </c>
      <c r="D2927" s="1042" t="s">
        <v>4686</v>
      </c>
      <c r="E2927" s="940">
        <v>1150</v>
      </c>
      <c r="F2927" s="1044">
        <v>4105.5</v>
      </c>
      <c r="G2927" s="731"/>
      <c r="H2927"/>
    </row>
    <row r="2928" spans="1:8">
      <c r="A2928" s="1042">
        <v>4</v>
      </c>
      <c r="B2928" s="1042" t="s">
        <v>4051</v>
      </c>
      <c r="C2928" s="1042">
        <v>357329447043961</v>
      </c>
      <c r="D2928" s="1042" t="s">
        <v>4686</v>
      </c>
      <c r="E2928" s="940">
        <v>1150</v>
      </c>
      <c r="F2928" s="1044">
        <v>4105.5</v>
      </c>
      <c r="G2928" s="731"/>
      <c r="H2928"/>
    </row>
    <row r="2929" spans="1:8">
      <c r="A2929" s="1042">
        <v>5</v>
      </c>
      <c r="B2929" s="1042" t="s">
        <v>4051</v>
      </c>
      <c r="C2929" s="1042">
        <v>357329446642375</v>
      </c>
      <c r="D2929" s="1042" t="s">
        <v>4686</v>
      </c>
      <c r="E2929" s="940">
        <v>1150</v>
      </c>
      <c r="F2929" s="1044">
        <v>4105.5</v>
      </c>
      <c r="G2929" s="731"/>
      <c r="H2929"/>
    </row>
    <row r="2930" spans="1:8">
      <c r="A2930" s="1042">
        <v>6</v>
      </c>
      <c r="B2930" s="1042" t="s">
        <v>4053</v>
      </c>
      <c r="C2930" s="1042">
        <v>350035236205458</v>
      </c>
      <c r="D2930" s="1042" t="s">
        <v>4686</v>
      </c>
      <c r="E2930" s="940">
        <v>1150</v>
      </c>
      <c r="F2930" s="1044">
        <v>4105.5</v>
      </c>
      <c r="G2930" s="731"/>
      <c r="H2930"/>
    </row>
    <row r="2931" spans="1:8">
      <c r="A2931" s="1042">
        <v>7</v>
      </c>
      <c r="B2931" s="1042" t="s">
        <v>4053</v>
      </c>
      <c r="C2931" s="1042">
        <v>350035236394138</v>
      </c>
      <c r="D2931" s="1042" t="s">
        <v>4686</v>
      </c>
      <c r="E2931" s="940">
        <v>1150</v>
      </c>
      <c r="F2931" s="1044">
        <v>4105.5</v>
      </c>
      <c r="G2931" s="731"/>
      <c r="H2931"/>
    </row>
    <row r="2932" spans="1:8">
      <c r="A2932" s="1042">
        <v>8</v>
      </c>
      <c r="B2932" s="1042" t="s">
        <v>4053</v>
      </c>
      <c r="C2932" s="1042">
        <v>358434708332373</v>
      </c>
      <c r="D2932" s="1042" t="s">
        <v>4686</v>
      </c>
      <c r="E2932" s="940">
        <v>1150</v>
      </c>
      <c r="F2932" s="1044">
        <v>4105.5</v>
      </c>
      <c r="G2932" s="731"/>
      <c r="H2932"/>
    </row>
    <row r="2933" spans="1:8">
      <c r="A2933" s="1042">
        <v>9</v>
      </c>
      <c r="B2933" s="1042" t="s">
        <v>4054</v>
      </c>
      <c r="C2933" s="1042">
        <v>355101473744206</v>
      </c>
      <c r="D2933" s="1042" t="s">
        <v>4052</v>
      </c>
      <c r="E2933" s="940">
        <v>1200</v>
      </c>
      <c r="F2933" s="1044">
        <v>4284</v>
      </c>
      <c r="G2933" s="731"/>
      <c r="H2933"/>
    </row>
    <row r="2934" spans="1:8">
      <c r="A2934" s="1042">
        <v>10</v>
      </c>
      <c r="B2934" s="1042" t="s">
        <v>4054</v>
      </c>
      <c r="C2934" s="1042">
        <v>355101473713730</v>
      </c>
      <c r="D2934" s="1042" t="s">
        <v>4052</v>
      </c>
      <c r="E2934" s="940">
        <v>1200</v>
      </c>
      <c r="F2934" s="1044">
        <v>4284</v>
      </c>
      <c r="G2934" s="731"/>
      <c r="H2934"/>
    </row>
    <row r="2935" spans="1:8">
      <c r="A2935" s="1042">
        <v>11</v>
      </c>
      <c r="B2935" s="1042" t="s">
        <v>4058</v>
      </c>
      <c r="C2935" s="1042">
        <v>355981559424017</v>
      </c>
      <c r="D2935" s="1042" t="s">
        <v>4686</v>
      </c>
      <c r="E2935" s="940">
        <v>1050</v>
      </c>
      <c r="F2935" s="1044">
        <v>3748.5</v>
      </c>
      <c r="G2935" s="731"/>
      <c r="H2935"/>
    </row>
    <row r="2936" spans="1:8">
      <c r="A2936" s="1042">
        <v>12</v>
      </c>
      <c r="B2936" s="1042" t="s">
        <v>4058</v>
      </c>
      <c r="C2936" s="1042">
        <v>354289636495526</v>
      </c>
      <c r="D2936" s="1042" t="s">
        <v>4686</v>
      </c>
      <c r="E2936" s="940">
        <v>1050</v>
      </c>
      <c r="F2936" s="1044">
        <v>3748.5</v>
      </c>
      <c r="G2936" s="731"/>
      <c r="H2936"/>
    </row>
    <row r="2937" spans="1:8">
      <c r="A2937" s="1042">
        <v>13</v>
      </c>
      <c r="B2937" s="1042" t="s">
        <v>4058</v>
      </c>
      <c r="C2937" s="1042">
        <v>356245419596904</v>
      </c>
      <c r="D2937" s="1042" t="s">
        <v>4686</v>
      </c>
      <c r="E2937" s="940">
        <v>1050</v>
      </c>
      <c r="F2937" s="1044">
        <v>3748.5</v>
      </c>
      <c r="G2937" s="731"/>
      <c r="H2937"/>
    </row>
    <row r="2938" spans="1:8">
      <c r="A2938" s="1042">
        <v>14</v>
      </c>
      <c r="B2938" s="1042" t="s">
        <v>4058</v>
      </c>
      <c r="C2938" s="1042">
        <v>355820209823246</v>
      </c>
      <c r="D2938" s="1042" t="s">
        <v>4686</v>
      </c>
      <c r="E2938" s="940">
        <v>1050</v>
      </c>
      <c r="F2938" s="1044">
        <v>3748.5</v>
      </c>
      <c r="G2938" s="731"/>
      <c r="H2938"/>
    </row>
    <row r="2939" spans="1:8">
      <c r="A2939" s="1042">
        <v>15</v>
      </c>
      <c r="B2939" s="1042" t="s">
        <v>4058</v>
      </c>
      <c r="C2939" s="1042">
        <v>357254479279517</v>
      </c>
      <c r="D2939" s="1042" t="s">
        <v>4052</v>
      </c>
      <c r="E2939" s="940">
        <v>1100</v>
      </c>
      <c r="F2939" s="1044">
        <v>3927</v>
      </c>
      <c r="G2939" s="731"/>
      <c r="H2939"/>
    </row>
    <row r="2940" spans="1:8">
      <c r="A2940" s="1042">
        <v>16</v>
      </c>
      <c r="B2940" s="1042" t="s">
        <v>4058</v>
      </c>
      <c r="C2940" s="1042">
        <v>356245419713715</v>
      </c>
      <c r="D2940" s="1042" t="s">
        <v>4052</v>
      </c>
      <c r="E2940" s="940">
        <v>1100</v>
      </c>
      <c r="F2940" s="1044">
        <v>3927</v>
      </c>
      <c r="G2940" s="731"/>
      <c r="H2940"/>
    </row>
    <row r="2941" spans="1:8">
      <c r="A2941" s="1042">
        <v>17</v>
      </c>
      <c r="B2941" s="1042" t="s">
        <v>4056</v>
      </c>
      <c r="C2941" s="1042">
        <v>355820207006000</v>
      </c>
      <c r="D2941" s="1042" t="s">
        <v>4052</v>
      </c>
      <c r="E2941" s="940">
        <v>1100</v>
      </c>
      <c r="F2941" s="1044">
        <v>3927</v>
      </c>
      <c r="G2941" s="731"/>
      <c r="H2941"/>
    </row>
    <row r="2942" spans="1:8">
      <c r="A2942" s="1042">
        <v>18</v>
      </c>
      <c r="B2942" s="1042" t="s">
        <v>4056</v>
      </c>
      <c r="C2942" s="1042">
        <v>355981558630705</v>
      </c>
      <c r="D2942" s="1042" t="s">
        <v>4686</v>
      </c>
      <c r="E2942" s="940">
        <v>1050</v>
      </c>
      <c r="F2942" s="1044">
        <v>3748.5</v>
      </c>
      <c r="G2942" s="731"/>
      <c r="H2942"/>
    </row>
    <row r="2943" spans="1:8">
      <c r="A2943" s="1042">
        <v>19</v>
      </c>
      <c r="B2943" s="1042" t="s">
        <v>4056</v>
      </c>
      <c r="C2943" s="1042">
        <v>355079368421702</v>
      </c>
      <c r="D2943" s="1042" t="s">
        <v>4052</v>
      </c>
      <c r="E2943" s="940">
        <v>1100</v>
      </c>
      <c r="F2943" s="1044">
        <v>3927</v>
      </c>
      <c r="G2943" s="731"/>
      <c r="H2943"/>
    </row>
    <row r="2944" spans="1:8">
      <c r="A2944" s="1042">
        <v>20</v>
      </c>
      <c r="B2944" s="1042" t="s">
        <v>4056</v>
      </c>
      <c r="C2944" s="1042">
        <v>354289631982171</v>
      </c>
      <c r="D2944" s="1042" t="s">
        <v>4052</v>
      </c>
      <c r="E2944" s="940">
        <v>1100</v>
      </c>
      <c r="F2944" s="1044">
        <v>3927</v>
      </c>
      <c r="G2944" s="731"/>
      <c r="H2944"/>
    </row>
    <row r="2945" spans="1:8">
      <c r="A2945" s="1042">
        <v>21</v>
      </c>
      <c r="B2945" s="1042" t="s">
        <v>4056</v>
      </c>
      <c r="C2945" s="1042">
        <v>355079368695065</v>
      </c>
      <c r="D2945" s="1042" t="s">
        <v>4052</v>
      </c>
      <c r="E2945" s="940">
        <v>1100</v>
      </c>
      <c r="F2945" s="1044">
        <v>3927</v>
      </c>
      <c r="G2945" s="731"/>
      <c r="H2945"/>
    </row>
    <row r="2946" spans="1:8">
      <c r="A2946" s="1042">
        <v>22</v>
      </c>
      <c r="B2946" s="1042" t="s">
        <v>4056</v>
      </c>
      <c r="C2946" s="1042">
        <v>355079368754920</v>
      </c>
      <c r="D2946" s="1042" t="s">
        <v>4052</v>
      </c>
      <c r="E2946" s="940">
        <v>1100</v>
      </c>
      <c r="F2946" s="1044">
        <v>3927</v>
      </c>
      <c r="G2946" s="731"/>
      <c r="H2946"/>
    </row>
    <row r="2947" spans="1:8">
      <c r="A2947" s="1042">
        <v>23</v>
      </c>
      <c r="B2947" s="1042" t="s">
        <v>4056</v>
      </c>
      <c r="C2947" s="1042">
        <v>355079368159773</v>
      </c>
      <c r="D2947" s="1042" t="s">
        <v>4686</v>
      </c>
      <c r="E2947" s="940">
        <v>1050</v>
      </c>
      <c r="F2947" s="1044">
        <v>3748.5</v>
      </c>
      <c r="G2947" s="731"/>
      <c r="H2947"/>
    </row>
    <row r="2948" spans="1:8">
      <c r="A2948" s="1042">
        <v>24</v>
      </c>
      <c r="B2948" s="1042" t="s">
        <v>4056</v>
      </c>
      <c r="C2948" s="1042">
        <v>355079367342354</v>
      </c>
      <c r="D2948" s="1042" t="s">
        <v>4052</v>
      </c>
      <c r="E2948" s="940">
        <v>1100</v>
      </c>
      <c r="F2948" s="1044">
        <v>3927</v>
      </c>
      <c r="G2948" s="731"/>
      <c r="H2948"/>
    </row>
    <row r="2949" spans="1:8">
      <c r="A2949" s="1042">
        <v>25</v>
      </c>
      <c r="B2949" s="1042" t="s">
        <v>4056</v>
      </c>
      <c r="C2949" s="1042">
        <v>354289632682978</v>
      </c>
      <c r="D2949" s="1042" t="s">
        <v>4686</v>
      </c>
      <c r="E2949" s="940">
        <v>1050</v>
      </c>
      <c r="F2949" s="1044">
        <v>3748.5</v>
      </c>
      <c r="G2949" s="731"/>
      <c r="H2949"/>
    </row>
    <row r="2950" spans="1:8">
      <c r="A2950" s="1042">
        <v>26</v>
      </c>
      <c r="B2950" s="1042" t="s">
        <v>4056</v>
      </c>
      <c r="C2950" s="1042">
        <v>357254479534788</v>
      </c>
      <c r="D2950" s="1042" t="s">
        <v>4052</v>
      </c>
      <c r="E2950" s="940">
        <v>1100</v>
      </c>
      <c r="F2950" s="1044">
        <v>3927</v>
      </c>
      <c r="G2950" s="731"/>
      <c r="H2950"/>
    </row>
    <row r="2951" spans="1:8">
      <c r="A2951" s="1042">
        <v>27</v>
      </c>
      <c r="B2951" s="1042" t="s">
        <v>4056</v>
      </c>
      <c r="C2951" s="1042">
        <v>354289633060042</v>
      </c>
      <c r="D2951" s="1042" t="s">
        <v>4686</v>
      </c>
      <c r="E2951" s="940">
        <v>1050</v>
      </c>
      <c r="F2951" s="1044">
        <v>3748.5</v>
      </c>
      <c r="G2951" s="731"/>
      <c r="H2951"/>
    </row>
    <row r="2952" spans="1:8">
      <c r="A2952" s="1042">
        <v>28</v>
      </c>
      <c r="B2952" s="1042" t="s">
        <v>4687</v>
      </c>
      <c r="C2952" s="1042">
        <v>355079367360653</v>
      </c>
      <c r="D2952" s="1042" t="s">
        <v>4686</v>
      </c>
      <c r="E2952" s="940">
        <v>1150</v>
      </c>
      <c r="F2952" s="1044">
        <v>4105.5</v>
      </c>
      <c r="G2952" s="731"/>
      <c r="H2952"/>
    </row>
    <row r="2953" spans="1:8">
      <c r="A2953" s="1042">
        <v>29</v>
      </c>
      <c r="B2953" s="1042" t="s">
        <v>4687</v>
      </c>
      <c r="C2953" s="1042">
        <v>355079367876526</v>
      </c>
      <c r="D2953" s="1042" t="s">
        <v>4686</v>
      </c>
      <c r="E2953" s="940">
        <v>1150</v>
      </c>
      <c r="F2953" s="1044">
        <v>4105.5</v>
      </c>
      <c r="G2953" s="731"/>
      <c r="H2953"/>
    </row>
    <row r="2954" spans="1:8">
      <c r="A2954" s="1042">
        <v>30</v>
      </c>
      <c r="B2954" s="1042" t="s">
        <v>4688</v>
      </c>
      <c r="C2954" s="1042">
        <v>350795045818052</v>
      </c>
      <c r="D2954" s="1042" t="s">
        <v>4052</v>
      </c>
      <c r="E2954" s="940">
        <v>770</v>
      </c>
      <c r="F2954" s="1044">
        <v>2748.9</v>
      </c>
      <c r="G2954" s="731"/>
      <c r="H2954"/>
    </row>
    <row r="2955" spans="1:8">
      <c r="A2955" s="1042">
        <v>31</v>
      </c>
      <c r="B2955" s="1042" t="s">
        <v>4069</v>
      </c>
      <c r="C2955" s="1042">
        <v>356339496710312</v>
      </c>
      <c r="D2955" s="1042" t="s">
        <v>4689</v>
      </c>
      <c r="E2955" s="940">
        <v>590</v>
      </c>
      <c r="F2955" s="1044">
        <v>2106.2999999999997</v>
      </c>
      <c r="G2955" s="731"/>
      <c r="H2955"/>
    </row>
    <row r="2956" spans="1:8">
      <c r="A2956" s="1042">
        <v>32</v>
      </c>
      <c r="B2956" s="1042" t="s">
        <v>4345</v>
      </c>
      <c r="C2956" s="1042">
        <v>355827875039627</v>
      </c>
      <c r="D2956" s="1042" t="s">
        <v>4690</v>
      </c>
      <c r="E2956" s="940">
        <v>655</v>
      </c>
      <c r="F2956" s="1044">
        <v>2338.35</v>
      </c>
      <c r="G2956" s="731"/>
      <c r="H2956"/>
    </row>
    <row r="2957" spans="1:8">
      <c r="A2957" s="1042">
        <v>33</v>
      </c>
      <c r="B2957" s="1042" t="s">
        <v>4394</v>
      </c>
      <c r="C2957" s="1042">
        <v>351737751661317</v>
      </c>
      <c r="D2957" s="1042" t="s">
        <v>4690</v>
      </c>
      <c r="E2957" s="940">
        <v>315</v>
      </c>
      <c r="F2957" s="1044">
        <v>1124.55</v>
      </c>
      <c r="G2957" s="731"/>
      <c r="H2957"/>
    </row>
    <row r="2958" spans="1:8">
      <c r="A2958" s="1042">
        <v>34</v>
      </c>
      <c r="B2958" s="1042" t="s">
        <v>4394</v>
      </c>
      <c r="C2958" s="1042">
        <v>351737751743255</v>
      </c>
      <c r="D2958" s="1042" t="s">
        <v>4690</v>
      </c>
      <c r="E2958" s="940">
        <v>315</v>
      </c>
      <c r="F2958" s="1044">
        <v>1124.55</v>
      </c>
      <c r="G2958" s="731"/>
      <c r="H2958"/>
    </row>
    <row r="2959" spans="1:8">
      <c r="A2959" s="1042">
        <v>35</v>
      </c>
      <c r="B2959" s="1042" t="s">
        <v>4402</v>
      </c>
      <c r="C2959" s="1042">
        <v>353660340609191</v>
      </c>
      <c r="D2959" s="1042" t="s">
        <v>4690</v>
      </c>
      <c r="E2959" s="940">
        <v>225</v>
      </c>
      <c r="F2959" s="1044">
        <v>803.25</v>
      </c>
      <c r="G2959" s="731"/>
      <c r="H2959"/>
    </row>
    <row r="2960" spans="1:8">
      <c r="A2960" s="1042">
        <v>36</v>
      </c>
      <c r="B2960" s="1042" t="s">
        <v>4550</v>
      </c>
      <c r="C2960" s="1042" t="s">
        <v>4691</v>
      </c>
      <c r="D2960" s="1042"/>
      <c r="E2960" s="940">
        <v>1000</v>
      </c>
      <c r="F2960" s="1044">
        <v>3570</v>
      </c>
      <c r="G2960" s="731"/>
      <c r="H2960"/>
    </row>
    <row r="2961" spans="1:8">
      <c r="A2961" s="1042">
        <v>37</v>
      </c>
      <c r="B2961" s="1042" t="s">
        <v>4550</v>
      </c>
      <c r="C2961" s="1042" t="s">
        <v>4692</v>
      </c>
      <c r="D2961" s="1042"/>
      <c r="E2961" s="940">
        <v>1000</v>
      </c>
      <c r="F2961" s="1044">
        <v>3570</v>
      </c>
      <c r="G2961" s="731"/>
      <c r="H2961"/>
    </row>
    <row r="2962" spans="1:8">
      <c r="A2962" s="1042">
        <v>38</v>
      </c>
      <c r="B2962" s="1042" t="s">
        <v>4550</v>
      </c>
      <c r="C2962" s="1042" t="s">
        <v>4693</v>
      </c>
      <c r="D2962" s="1042"/>
      <c r="E2962" s="940">
        <v>1000</v>
      </c>
      <c r="F2962" s="1044">
        <v>3570</v>
      </c>
      <c r="G2962" s="731"/>
      <c r="H2962"/>
    </row>
    <row r="2963" spans="1:8">
      <c r="A2963" s="1042">
        <v>39</v>
      </c>
      <c r="B2963" s="1042" t="s">
        <v>4550</v>
      </c>
      <c r="C2963" s="1042" t="s">
        <v>4694</v>
      </c>
      <c r="D2963" s="1042"/>
      <c r="E2963" s="940">
        <v>1000</v>
      </c>
      <c r="F2963" s="1044">
        <v>3570</v>
      </c>
      <c r="G2963" s="731"/>
      <c r="H2963"/>
    </row>
    <row r="2964" spans="1:8">
      <c r="A2964" s="1042">
        <v>40</v>
      </c>
      <c r="B2964" s="1042" t="s">
        <v>4550</v>
      </c>
      <c r="C2964" s="1042" t="s">
        <v>4695</v>
      </c>
      <c r="D2964" s="1042"/>
      <c r="E2964" s="940">
        <v>1000</v>
      </c>
      <c r="F2964" s="1044">
        <v>3570</v>
      </c>
      <c r="G2964" s="731"/>
      <c r="H2964"/>
    </row>
    <row r="2965" spans="1:8">
      <c r="A2965" s="1042">
        <v>41</v>
      </c>
      <c r="B2965" s="1042" t="s">
        <v>4550</v>
      </c>
      <c r="C2965" s="1042" t="s">
        <v>4696</v>
      </c>
      <c r="D2965" s="1042"/>
      <c r="E2965" s="940">
        <v>1000</v>
      </c>
      <c r="F2965" s="1044">
        <v>3570</v>
      </c>
      <c r="G2965" s="731"/>
      <c r="H2965"/>
    </row>
    <row r="2966" spans="1:8">
      <c r="A2966" s="1042">
        <v>42</v>
      </c>
      <c r="B2966" s="1042" t="s">
        <v>4550</v>
      </c>
      <c r="C2966" s="1042" t="s">
        <v>4697</v>
      </c>
      <c r="D2966" s="1042"/>
      <c r="E2966" s="940">
        <v>1000</v>
      </c>
      <c r="F2966" s="1044">
        <v>3570</v>
      </c>
      <c r="G2966" s="731"/>
      <c r="H2966"/>
    </row>
    <row r="2967" spans="1:8">
      <c r="A2967" s="1042">
        <v>43</v>
      </c>
      <c r="B2967" s="1042" t="s">
        <v>4550</v>
      </c>
      <c r="C2967" s="1042" t="s">
        <v>4698</v>
      </c>
      <c r="D2967" s="1042"/>
      <c r="E2967" s="940">
        <v>1000</v>
      </c>
      <c r="F2967" s="1044">
        <v>3570</v>
      </c>
      <c r="G2967" s="731"/>
      <c r="H2967"/>
    </row>
    <row r="2968" spans="1:8">
      <c r="A2968" s="1042">
        <v>44</v>
      </c>
      <c r="B2968" s="1042" t="s">
        <v>4550</v>
      </c>
      <c r="C2968" s="1042" t="s">
        <v>4699</v>
      </c>
      <c r="D2968" s="1042"/>
      <c r="E2968" s="940">
        <v>1000</v>
      </c>
      <c r="F2968" s="1044">
        <v>3570</v>
      </c>
      <c r="G2968" s="731"/>
      <c r="H2968"/>
    </row>
    <row r="2969" spans="1:8">
      <c r="A2969" s="1042">
        <v>45</v>
      </c>
      <c r="B2969" s="1042" t="s">
        <v>4550</v>
      </c>
      <c r="C2969" s="1042" t="s">
        <v>4700</v>
      </c>
      <c r="D2969" s="1042"/>
      <c r="E2969" s="940">
        <v>1000</v>
      </c>
      <c r="F2969" s="1044">
        <v>3570</v>
      </c>
      <c r="G2969" s="731"/>
      <c r="H2969"/>
    </row>
    <row r="2970" spans="1:8">
      <c r="A2970" s="1042">
        <v>46</v>
      </c>
      <c r="B2970" s="1042" t="s">
        <v>4550</v>
      </c>
      <c r="C2970" s="1042" t="s">
        <v>4701</v>
      </c>
      <c r="D2970" s="1042"/>
      <c r="E2970" s="940">
        <v>1000</v>
      </c>
      <c r="F2970" s="1044">
        <v>3570</v>
      </c>
      <c r="G2970" s="731"/>
      <c r="H2970"/>
    </row>
    <row r="2971" spans="1:8">
      <c r="A2971" s="1042">
        <v>47</v>
      </c>
      <c r="B2971" s="1042" t="s">
        <v>4702</v>
      </c>
      <c r="C2971" s="1042" t="s">
        <v>4703</v>
      </c>
      <c r="D2971" s="1042"/>
      <c r="E2971" s="940">
        <v>1000</v>
      </c>
      <c r="F2971" s="1044">
        <v>3570</v>
      </c>
      <c r="G2971" s="731"/>
      <c r="H2971"/>
    </row>
    <row r="2972" spans="1:8">
      <c r="A2972" s="1042">
        <v>48</v>
      </c>
      <c r="B2972" s="1042" t="s">
        <v>4702</v>
      </c>
      <c r="C2972" s="1042" t="s">
        <v>4704</v>
      </c>
      <c r="D2972" s="1042"/>
      <c r="E2972" s="940">
        <v>1000</v>
      </c>
      <c r="F2972" s="1044">
        <v>3570</v>
      </c>
      <c r="G2972" s="731"/>
      <c r="H2972"/>
    </row>
    <row r="2973" spans="1:8">
      <c r="A2973" s="1042">
        <v>49</v>
      </c>
      <c r="B2973" s="1042" t="s">
        <v>4702</v>
      </c>
      <c r="C2973" s="1042" t="s">
        <v>4705</v>
      </c>
      <c r="D2973" s="1042"/>
      <c r="E2973" s="940">
        <v>1000</v>
      </c>
      <c r="F2973" s="1044">
        <v>3570</v>
      </c>
      <c r="G2973" s="731"/>
      <c r="H2973"/>
    </row>
    <row r="2974" spans="1:8">
      <c r="A2974" s="1042">
        <v>50</v>
      </c>
      <c r="B2974" s="1042" t="s">
        <v>4341</v>
      </c>
      <c r="C2974" s="1042">
        <v>352355709883484</v>
      </c>
      <c r="D2974" s="1042"/>
      <c r="E2974" s="1258">
        <v>1030</v>
      </c>
      <c r="F2974" s="1044">
        <v>3677.1</v>
      </c>
      <c r="G2974" s="731"/>
      <c r="H2974"/>
    </row>
    <row r="2975" spans="1:8">
      <c r="A2975" s="1042">
        <v>51</v>
      </c>
      <c r="B2975" s="1042" t="s">
        <v>4341</v>
      </c>
      <c r="C2975" s="1042">
        <v>352355702341779</v>
      </c>
      <c r="D2975" s="1042" t="s">
        <v>4573</v>
      </c>
      <c r="E2975" s="940">
        <v>950</v>
      </c>
      <c r="F2975" s="1044">
        <v>3391.5</v>
      </c>
      <c r="G2975" s="731"/>
      <c r="H2975"/>
    </row>
    <row r="2976" spans="1:8">
      <c r="A2976" s="1042">
        <v>52</v>
      </c>
      <c r="B2976" s="1042" t="s">
        <v>4341</v>
      </c>
      <c r="C2976" s="1042">
        <v>352355700624697</v>
      </c>
      <c r="D2976" s="1042"/>
      <c r="E2976" s="1258">
        <v>1030</v>
      </c>
      <c r="F2976" s="1044">
        <v>3677.1</v>
      </c>
      <c r="G2976" s="731"/>
      <c r="H2976"/>
    </row>
    <row r="2977" spans="1:8">
      <c r="A2977" s="1042">
        <v>53</v>
      </c>
      <c r="B2977" s="1042" t="s">
        <v>4341</v>
      </c>
      <c r="C2977" s="1042">
        <v>352355705337196</v>
      </c>
      <c r="D2977" s="1042"/>
      <c r="E2977" s="940">
        <v>1030</v>
      </c>
      <c r="F2977" s="1044">
        <v>3677.1</v>
      </c>
      <c r="G2977" s="731"/>
      <c r="H2977"/>
    </row>
    <row r="2978" spans="1:8">
      <c r="A2978" s="1042">
        <v>54</v>
      </c>
      <c r="B2978" s="1042" t="s">
        <v>4341</v>
      </c>
      <c r="C2978" s="1042">
        <v>352355707110757</v>
      </c>
      <c r="D2978" s="1042" t="s">
        <v>1121</v>
      </c>
      <c r="E2978" s="940">
        <v>980</v>
      </c>
      <c r="F2978" s="1044">
        <v>3498.6</v>
      </c>
      <c r="G2978" s="731"/>
      <c r="H2978"/>
    </row>
    <row r="2979" spans="1:8">
      <c r="A2979" s="1042">
        <v>55</v>
      </c>
      <c r="B2979" s="1042" t="s">
        <v>4341</v>
      </c>
      <c r="C2979" s="1042">
        <v>352355705295931</v>
      </c>
      <c r="D2979" s="1042"/>
      <c r="E2979" s="940">
        <v>1030</v>
      </c>
      <c r="F2979" s="1044">
        <v>3677.1</v>
      </c>
      <c r="G2979" s="731"/>
      <c r="H2979"/>
    </row>
    <row r="2980" spans="1:8">
      <c r="A2980" s="1042">
        <v>56</v>
      </c>
      <c r="B2980" s="1042" t="s">
        <v>4296</v>
      </c>
      <c r="C2980" s="1042">
        <v>352355704745696</v>
      </c>
      <c r="D2980" s="1042"/>
      <c r="E2980" s="940">
        <v>1300</v>
      </c>
      <c r="F2980" s="1044">
        <v>4641</v>
      </c>
      <c r="G2980" s="731"/>
      <c r="H2980"/>
    </row>
    <row r="2981" spans="1:8">
      <c r="A2981" s="1042">
        <v>57</v>
      </c>
      <c r="B2981" s="1042" t="s">
        <v>4296</v>
      </c>
      <c r="C2981" s="1042">
        <v>352355702253099</v>
      </c>
      <c r="D2981" s="1042"/>
      <c r="E2981" s="940">
        <v>1300</v>
      </c>
      <c r="F2981" s="1044">
        <v>4641</v>
      </c>
      <c r="G2981" s="731"/>
      <c r="H2981"/>
    </row>
    <row r="2982" spans="1:8">
      <c r="A2982" s="1042">
        <v>58</v>
      </c>
      <c r="B2982" s="1042" t="s">
        <v>4107</v>
      </c>
      <c r="C2982" s="1042">
        <v>352255852418742</v>
      </c>
      <c r="D2982" s="1042" t="s">
        <v>4573</v>
      </c>
      <c r="E2982" s="940">
        <v>650</v>
      </c>
      <c r="F2982" s="1044">
        <v>2320.5</v>
      </c>
      <c r="G2982" s="731"/>
      <c r="H2982"/>
    </row>
    <row r="2983" spans="1:8">
      <c r="A2983" s="1042">
        <v>59</v>
      </c>
      <c r="B2983" s="1042" t="s">
        <v>4375</v>
      </c>
      <c r="C2983" s="1042">
        <v>350094263789470</v>
      </c>
      <c r="D2983" s="1042" t="s">
        <v>1121</v>
      </c>
      <c r="E2983" s="940">
        <v>285</v>
      </c>
      <c r="F2983" s="1044">
        <v>1017.4499999999999</v>
      </c>
      <c r="G2983" s="731"/>
      <c r="H2983"/>
    </row>
    <row r="2984" spans="1:8">
      <c r="A2984" s="1042">
        <v>60</v>
      </c>
      <c r="B2984" s="1042" t="s">
        <v>4375</v>
      </c>
      <c r="C2984" s="1042">
        <v>357585652192856</v>
      </c>
      <c r="D2984" s="1042" t="s">
        <v>1121</v>
      </c>
      <c r="E2984" s="940">
        <v>285</v>
      </c>
      <c r="F2984" s="1044">
        <v>1017.4499999999999</v>
      </c>
      <c r="G2984" s="731"/>
      <c r="H2984"/>
    </row>
    <row r="2985" spans="1:8">
      <c r="A2985" s="1042">
        <v>61</v>
      </c>
      <c r="B2985" s="1042" t="s">
        <v>4623</v>
      </c>
      <c r="C2985" s="1042" t="s">
        <v>4706</v>
      </c>
      <c r="D2985" s="1042"/>
      <c r="E2985" s="940">
        <v>3500</v>
      </c>
      <c r="F2985" s="1044">
        <v>12495</v>
      </c>
      <c r="G2985" s="731"/>
      <c r="H2985"/>
    </row>
    <row r="2986" spans="1:8">
      <c r="A2986" s="1042">
        <v>62</v>
      </c>
      <c r="B2986" s="1042" t="s">
        <v>4707</v>
      </c>
      <c r="C2986" s="1042" t="s">
        <v>4708</v>
      </c>
      <c r="D2986" s="1042"/>
      <c r="E2986" s="940">
        <v>925</v>
      </c>
      <c r="F2986" s="1044">
        <v>3302.25</v>
      </c>
      <c r="G2986" s="731"/>
      <c r="H2986"/>
    </row>
    <row r="2987" spans="1:8">
      <c r="A2987" s="1042">
        <v>63</v>
      </c>
      <c r="B2987" s="1042" t="s">
        <v>4709</v>
      </c>
      <c r="C2987" s="1042" t="s">
        <v>4710</v>
      </c>
      <c r="D2987" s="1042"/>
      <c r="E2987" s="940">
        <v>575</v>
      </c>
      <c r="F2987" s="1044">
        <v>2052.75</v>
      </c>
      <c r="G2987" s="731"/>
      <c r="H2987"/>
    </row>
    <row r="2988" spans="1:8">
      <c r="A2988" s="1042">
        <v>64</v>
      </c>
      <c r="B2988" s="1042" t="s">
        <v>4711</v>
      </c>
      <c r="C2988" s="1042" t="s">
        <v>4712</v>
      </c>
      <c r="D2988" s="1042"/>
      <c r="E2988" s="940">
        <v>575</v>
      </c>
      <c r="F2988" s="1044">
        <v>2052.75</v>
      </c>
      <c r="G2988" s="731"/>
      <c r="H2988"/>
    </row>
    <row r="2989" spans="1:8">
      <c r="A2989" s="1042">
        <v>65</v>
      </c>
      <c r="B2989" s="1042" t="s">
        <v>4713</v>
      </c>
      <c r="C2989" s="1042" t="s">
        <v>4714</v>
      </c>
      <c r="D2989" s="1042"/>
      <c r="E2989" s="940">
        <v>575</v>
      </c>
      <c r="F2989" s="1044">
        <v>2052.75</v>
      </c>
      <c r="G2989" s="731"/>
      <c r="H2989"/>
    </row>
    <row r="2990" spans="1:8">
      <c r="A2990" s="1042">
        <v>66</v>
      </c>
      <c r="B2990" s="1042" t="s">
        <v>4715</v>
      </c>
      <c r="C2990" s="1042" t="s">
        <v>4716</v>
      </c>
      <c r="D2990" s="1042"/>
      <c r="E2990" s="940">
        <v>575</v>
      </c>
      <c r="F2990" s="1044">
        <v>2052.75</v>
      </c>
      <c r="G2990" s="731"/>
      <c r="H2990"/>
    </row>
    <row r="2991" spans="1:8">
      <c r="A2991" s="1042">
        <v>67</v>
      </c>
      <c r="B2991" s="1042" t="s">
        <v>4717</v>
      </c>
      <c r="C2991" s="1042" t="s">
        <v>4718</v>
      </c>
      <c r="D2991" s="1042"/>
      <c r="E2991" s="940">
        <v>575</v>
      </c>
      <c r="F2991" s="1044">
        <v>2052.75</v>
      </c>
      <c r="G2991" s="731"/>
      <c r="H2991"/>
    </row>
    <row r="2992" spans="1:8">
      <c r="A2992" s="1042">
        <v>68</v>
      </c>
      <c r="B2992" s="1042" t="s">
        <v>4717</v>
      </c>
      <c r="C2992" s="1042" t="s">
        <v>4719</v>
      </c>
      <c r="D2992" s="1042"/>
      <c r="E2992" s="940">
        <v>575</v>
      </c>
      <c r="F2992" s="1044">
        <v>2052.75</v>
      </c>
      <c r="G2992" s="731"/>
      <c r="H2992"/>
    </row>
    <row r="2993" spans="1:8" ht="18.75">
      <c r="B2993" s="1250"/>
      <c r="C2993" s="1250"/>
      <c r="D2993" s="1250"/>
      <c r="E2993" s="1256">
        <v>66915</v>
      </c>
      <c r="F2993" s="1257">
        <v>238886.55000000008</v>
      </c>
    </row>
    <row r="3003" spans="1:8" ht="15.75" thickBot="1"/>
    <row r="3004" spans="1:8" ht="15.75" thickBot="1">
      <c r="A3004" s="1265"/>
      <c r="B3004" s="1265" t="s">
        <v>1</v>
      </c>
      <c r="C3004" s="1261">
        <v>46147</v>
      </c>
      <c r="D3004" s="1261"/>
      <c r="E3004" s="1261"/>
      <c r="G3004" s="731"/>
      <c r="H3004"/>
    </row>
    <row r="3005" spans="1:8" ht="15.75" thickBot="1">
      <c r="A3005" s="1265" t="s">
        <v>3928</v>
      </c>
      <c r="B3005" s="1266" t="s">
        <v>2416</v>
      </c>
      <c r="C3005" s="1262" t="s">
        <v>4722</v>
      </c>
      <c r="D3005" s="1262" t="s">
        <v>4723</v>
      </c>
      <c r="E3005" s="1262" t="s">
        <v>3111</v>
      </c>
      <c r="G3005" s="731"/>
      <c r="H3005"/>
    </row>
    <row r="3006" spans="1:8">
      <c r="A3006" s="1042">
        <v>1</v>
      </c>
      <c r="B3006" s="1042" t="s">
        <v>4350</v>
      </c>
      <c r="C3006" s="1042">
        <v>350687011306008</v>
      </c>
      <c r="D3006" s="941">
        <v>2450</v>
      </c>
      <c r="E3006" s="941">
        <v>2450</v>
      </c>
      <c r="G3006" s="731"/>
      <c r="H3006"/>
    </row>
    <row r="3007" spans="1:8">
      <c r="A3007" s="1042">
        <v>2</v>
      </c>
      <c r="B3007" s="1042" t="s">
        <v>4350</v>
      </c>
      <c r="C3007" s="1042">
        <v>359090830925630</v>
      </c>
      <c r="D3007" s="941">
        <v>2450</v>
      </c>
      <c r="E3007" s="941">
        <v>2450</v>
      </c>
      <c r="G3007" s="731"/>
      <c r="H3007"/>
    </row>
    <row r="3008" spans="1:8">
      <c r="A3008" s="1042">
        <v>3</v>
      </c>
      <c r="B3008" s="1042" t="s">
        <v>4350</v>
      </c>
      <c r="C3008" s="1042">
        <v>350687011189388</v>
      </c>
      <c r="D3008" s="941">
        <v>2450</v>
      </c>
      <c r="E3008" s="941">
        <v>2450</v>
      </c>
      <c r="G3008" s="731"/>
      <c r="H3008"/>
    </row>
    <row r="3009" spans="1:8">
      <c r="A3009" s="1042">
        <v>4</v>
      </c>
      <c r="B3009" s="1042" t="s">
        <v>4350</v>
      </c>
      <c r="C3009" s="1042">
        <v>359090831282205</v>
      </c>
      <c r="D3009" s="941">
        <v>2450</v>
      </c>
      <c r="E3009" s="941">
        <v>2450</v>
      </c>
      <c r="G3009" s="731"/>
      <c r="H3009"/>
    </row>
    <row r="3010" spans="1:8">
      <c r="A3010" s="1042">
        <v>5</v>
      </c>
      <c r="B3010" s="1042" t="s">
        <v>4350</v>
      </c>
      <c r="C3010" s="1042">
        <v>350687011150638</v>
      </c>
      <c r="D3010" s="941">
        <v>2450</v>
      </c>
      <c r="E3010" s="941">
        <v>2450</v>
      </c>
      <c r="G3010" s="731"/>
      <c r="H3010"/>
    </row>
    <row r="3011" spans="1:8">
      <c r="A3011" s="1042">
        <v>6</v>
      </c>
      <c r="B3011" s="1042" t="s">
        <v>4350</v>
      </c>
      <c r="C3011" s="1042">
        <v>359090831240658</v>
      </c>
      <c r="D3011" s="941">
        <v>2450</v>
      </c>
      <c r="E3011" s="941">
        <v>2450</v>
      </c>
      <c r="G3011" s="731"/>
      <c r="H3011"/>
    </row>
    <row r="3012" spans="1:8">
      <c r="A3012" s="1042">
        <v>7</v>
      </c>
      <c r="B3012" s="1042" t="s">
        <v>4350</v>
      </c>
      <c r="C3012" s="1042">
        <v>359090830872311</v>
      </c>
      <c r="D3012" s="941">
        <v>2450</v>
      </c>
      <c r="E3012" s="941">
        <v>2450</v>
      </c>
      <c r="G3012" s="731"/>
      <c r="H3012"/>
    </row>
    <row r="3013" spans="1:8">
      <c r="A3013" s="1042">
        <v>8</v>
      </c>
      <c r="B3013" s="1042" t="s">
        <v>4350</v>
      </c>
      <c r="C3013" s="1042">
        <v>350687011125911</v>
      </c>
      <c r="D3013" s="941">
        <v>2450</v>
      </c>
      <c r="E3013" s="941">
        <v>2450</v>
      </c>
      <c r="G3013" s="731"/>
      <c r="H3013"/>
    </row>
    <row r="3014" spans="1:8">
      <c r="A3014" s="1042">
        <v>9</v>
      </c>
      <c r="B3014" s="1042" t="s">
        <v>4478</v>
      </c>
      <c r="C3014" s="1042">
        <v>350520605493470</v>
      </c>
      <c r="D3014" s="941">
        <v>2450</v>
      </c>
      <c r="E3014" s="941">
        <v>2450</v>
      </c>
      <c r="G3014" s="731"/>
      <c r="H3014"/>
    </row>
    <row r="3015" spans="1:8">
      <c r="A3015" s="1042">
        <v>10</v>
      </c>
      <c r="B3015" s="1042" t="s">
        <v>4478</v>
      </c>
      <c r="C3015" s="1042">
        <v>359090831421894</v>
      </c>
      <c r="D3015" s="941">
        <v>2450</v>
      </c>
      <c r="E3015" s="941">
        <v>2450</v>
      </c>
      <c r="G3015" s="731"/>
      <c r="H3015"/>
    </row>
    <row r="3016" spans="1:8">
      <c r="A3016" s="1042">
        <v>11</v>
      </c>
      <c r="B3016" s="1042" t="s">
        <v>4478</v>
      </c>
      <c r="C3016" s="1042">
        <v>351235186266844</v>
      </c>
      <c r="D3016" s="941">
        <v>2450</v>
      </c>
      <c r="E3016" s="941">
        <v>2450</v>
      </c>
      <c r="G3016" s="731"/>
      <c r="H3016"/>
    </row>
    <row r="3017" spans="1:8">
      <c r="A3017" s="1042">
        <v>12</v>
      </c>
      <c r="B3017" s="1042" t="s">
        <v>4724</v>
      </c>
      <c r="C3017" s="1042">
        <v>358415310112253</v>
      </c>
      <c r="D3017" s="941">
        <v>3000</v>
      </c>
      <c r="E3017" s="941">
        <v>3000</v>
      </c>
      <c r="G3017" s="731"/>
      <c r="H3017"/>
    </row>
    <row r="3018" spans="1:8">
      <c r="A3018" s="1042">
        <v>13</v>
      </c>
      <c r="B3018" s="1042" t="s">
        <v>4347</v>
      </c>
      <c r="C3018" s="1042">
        <v>356187983726766</v>
      </c>
      <c r="D3018" s="941">
        <v>2380</v>
      </c>
      <c r="E3018" s="941">
        <v>2380</v>
      </c>
      <c r="G3018" s="731"/>
      <c r="H3018"/>
    </row>
    <row r="3019" spans="1:8">
      <c r="A3019" s="1042">
        <v>14</v>
      </c>
      <c r="B3019" s="1042" t="s">
        <v>4347</v>
      </c>
      <c r="C3019" s="1042">
        <v>356187984383492</v>
      </c>
      <c r="D3019" s="941">
        <v>2380</v>
      </c>
      <c r="E3019" s="941">
        <v>2380</v>
      </c>
      <c r="G3019" s="731"/>
      <c r="H3019"/>
    </row>
    <row r="3020" spans="1:8">
      <c r="A3020" s="1042">
        <v>15</v>
      </c>
      <c r="B3020" s="1042" t="s">
        <v>4345</v>
      </c>
      <c r="C3020" s="1042">
        <v>356187984030218</v>
      </c>
      <c r="D3020" s="941">
        <v>2380</v>
      </c>
      <c r="E3020" s="941">
        <v>2380</v>
      </c>
      <c r="G3020" s="731"/>
      <c r="H3020"/>
    </row>
    <row r="3021" spans="1:8">
      <c r="A3021" s="1042">
        <v>16</v>
      </c>
      <c r="B3021" s="1042" t="s">
        <v>4394</v>
      </c>
      <c r="C3021" s="1042">
        <v>359606752151358</v>
      </c>
      <c r="D3021" s="941">
        <v>1100</v>
      </c>
      <c r="E3021" s="941">
        <v>1100</v>
      </c>
      <c r="G3021" s="731"/>
      <c r="H3021"/>
    </row>
    <row r="3022" spans="1:8">
      <c r="A3022" s="1042">
        <v>17</v>
      </c>
      <c r="B3022" s="1042" t="s">
        <v>4341</v>
      </c>
      <c r="C3022" s="1042">
        <v>352355707751782</v>
      </c>
      <c r="D3022" s="941">
        <v>3820</v>
      </c>
      <c r="E3022" s="941">
        <v>3800</v>
      </c>
      <c r="G3022" s="731"/>
      <c r="H3022"/>
    </row>
    <row r="3023" spans="1:8">
      <c r="A3023" s="1042">
        <v>18</v>
      </c>
      <c r="B3023" s="1042" t="s">
        <v>4362</v>
      </c>
      <c r="C3023" s="1042">
        <v>359973610625530</v>
      </c>
      <c r="D3023" s="941">
        <v>1800</v>
      </c>
      <c r="E3023" s="941">
        <v>1800</v>
      </c>
      <c r="G3023" s="731"/>
      <c r="H3023"/>
    </row>
    <row r="3024" spans="1:8">
      <c r="A3024" s="1042">
        <v>19</v>
      </c>
      <c r="B3024" s="1042" t="s">
        <v>4362</v>
      </c>
      <c r="C3024" s="1042">
        <v>359973610625522</v>
      </c>
      <c r="D3024" s="941">
        <v>1800</v>
      </c>
      <c r="E3024" s="941">
        <v>1800</v>
      </c>
      <c r="G3024" s="731"/>
      <c r="H3024"/>
    </row>
    <row r="3025" spans="1:8">
      <c r="A3025" s="1042">
        <v>20</v>
      </c>
      <c r="B3025" s="1042" t="s">
        <v>4061</v>
      </c>
      <c r="C3025" s="1042">
        <v>357247594319119</v>
      </c>
      <c r="D3025" s="941">
        <v>1800</v>
      </c>
      <c r="E3025" s="941">
        <v>1800</v>
      </c>
      <c r="G3025" s="731"/>
      <c r="H3025"/>
    </row>
    <row r="3026" spans="1:8">
      <c r="A3026" s="1042">
        <v>21</v>
      </c>
      <c r="B3026" s="1042" t="s">
        <v>4053</v>
      </c>
      <c r="C3026" s="1042">
        <v>356225421782528</v>
      </c>
      <c r="D3026" s="941">
        <v>3050</v>
      </c>
      <c r="E3026" s="941">
        <v>2960</v>
      </c>
      <c r="G3026" s="731"/>
      <c r="H3026"/>
    </row>
    <row r="3027" spans="1:8">
      <c r="A3027" s="1042">
        <v>22</v>
      </c>
      <c r="B3027" s="1042" t="s">
        <v>4053</v>
      </c>
      <c r="C3027" s="1042">
        <v>356225420706502</v>
      </c>
      <c r="D3027" s="941">
        <v>3050</v>
      </c>
      <c r="E3027" s="941">
        <v>2960</v>
      </c>
      <c r="G3027" s="731"/>
      <c r="H3027"/>
    </row>
    <row r="3028" spans="1:8">
      <c r="A3028" s="1042">
        <v>23</v>
      </c>
      <c r="B3028" s="1042" t="s">
        <v>4053</v>
      </c>
      <c r="C3028" s="1042">
        <v>356225420378641</v>
      </c>
      <c r="D3028" s="941">
        <v>3050</v>
      </c>
      <c r="E3028" s="941">
        <v>2960</v>
      </c>
      <c r="G3028" s="731"/>
      <c r="H3028"/>
    </row>
    <row r="3029" spans="1:8">
      <c r="A3029" s="1042">
        <v>24</v>
      </c>
      <c r="B3029" s="1042" t="s">
        <v>4053</v>
      </c>
      <c r="C3029" s="1042">
        <v>350552896011067</v>
      </c>
      <c r="D3029" s="941">
        <v>3050</v>
      </c>
      <c r="E3029" s="941">
        <v>2960</v>
      </c>
      <c r="G3029" s="731"/>
      <c r="H3029"/>
    </row>
    <row r="3030" spans="1:8">
      <c r="A3030" s="1042">
        <v>25</v>
      </c>
      <c r="B3030" s="1042" t="s">
        <v>4053</v>
      </c>
      <c r="C3030" s="1042">
        <v>350035232798399</v>
      </c>
      <c r="D3030" s="941">
        <v>3050</v>
      </c>
      <c r="E3030" s="941">
        <v>2960</v>
      </c>
      <c r="G3030" s="731"/>
      <c r="H3030"/>
    </row>
    <row r="3031" spans="1:8">
      <c r="A3031" s="1042">
        <v>26</v>
      </c>
      <c r="B3031" s="1042" t="s">
        <v>4488</v>
      </c>
      <c r="C3031" s="1042">
        <v>355101472027660</v>
      </c>
      <c r="D3031" s="941">
        <v>3150</v>
      </c>
      <c r="E3031" s="941">
        <v>3060</v>
      </c>
      <c r="G3031" s="731"/>
      <c r="H3031"/>
    </row>
    <row r="3032" spans="1:8">
      <c r="A3032" s="1042">
        <v>27</v>
      </c>
      <c r="B3032" s="1042" t="s">
        <v>4053</v>
      </c>
      <c r="C3032" s="1042">
        <v>350552890444942</v>
      </c>
      <c r="D3032" s="941">
        <v>3050</v>
      </c>
      <c r="E3032" s="941">
        <v>2960</v>
      </c>
      <c r="G3032" s="731"/>
      <c r="H3032"/>
    </row>
    <row r="3033" spans="1:8">
      <c r="A3033" s="1042">
        <v>28</v>
      </c>
      <c r="B3033" s="1042" t="s">
        <v>4053</v>
      </c>
      <c r="C3033" s="1042">
        <v>350552899011031</v>
      </c>
      <c r="D3033" s="941">
        <v>3050</v>
      </c>
      <c r="E3033" s="941">
        <v>2960</v>
      </c>
      <c r="G3033" s="731"/>
      <c r="H3033"/>
    </row>
    <row r="3034" spans="1:8">
      <c r="A3034" s="1042">
        <v>29</v>
      </c>
      <c r="B3034" s="1042" t="s">
        <v>4051</v>
      </c>
      <c r="C3034" s="1042">
        <v>350035239268594</v>
      </c>
      <c r="D3034" s="941">
        <v>3150</v>
      </c>
      <c r="E3034" s="941">
        <v>3070</v>
      </c>
      <c r="G3034" s="731"/>
      <c r="H3034"/>
    </row>
    <row r="3035" spans="1:8" ht="18.75">
      <c r="B3035" s="1260"/>
      <c r="C3035" s="1260"/>
      <c r="D3035" s="1263">
        <v>75060</v>
      </c>
      <c r="E3035" s="1263">
        <f>SUM(E3006:E3034)</f>
        <v>74240</v>
      </c>
    </row>
    <row r="3036" spans="1:8">
      <c r="B3036" s="1259"/>
      <c r="C3036" s="1259"/>
      <c r="D3036" s="1259"/>
      <c r="F3036" s="1259"/>
    </row>
    <row r="3037" spans="1:8" ht="18.75">
      <c r="B3037" s="1260"/>
      <c r="C3037" s="1264">
        <v>75060</v>
      </c>
      <c r="D3037" s="1264" t="s">
        <v>4725</v>
      </c>
      <c r="F3037" s="1259"/>
    </row>
    <row r="3038" spans="1:8" ht="18.75">
      <c r="B3038" s="1260"/>
      <c r="C3038" s="1264">
        <v>74240</v>
      </c>
      <c r="D3038" s="1264" t="s">
        <v>4726</v>
      </c>
      <c r="F3038" s="1259"/>
    </row>
    <row r="3039" spans="1:8">
      <c r="B3039" s="1260"/>
      <c r="C3039" s="1066"/>
      <c r="D3039" s="1066"/>
      <c r="F3039" s="1259"/>
    </row>
    <row r="3040" spans="1:8">
      <c r="C3040" s="1066"/>
      <c r="D3040" s="1066"/>
    </row>
    <row r="3041" spans="1:8" ht="18.75">
      <c r="C3041" s="1264">
        <f>C3037-C3038</f>
        <v>820</v>
      </c>
      <c r="D3041" s="1264" t="s">
        <v>446</v>
      </c>
    </row>
    <row r="3049" spans="1:8" ht="15.75" thickBot="1"/>
    <row r="3050" spans="1:8" ht="15.75" thickBot="1">
      <c r="A3050" s="1270"/>
      <c r="B3050" s="1270" t="s">
        <v>1</v>
      </c>
      <c r="C3050" s="1268">
        <v>46208</v>
      </c>
      <c r="D3050" s="1268"/>
      <c r="E3050" s="1268"/>
      <c r="G3050" s="731"/>
      <c r="H3050"/>
    </row>
    <row r="3051" spans="1:8">
      <c r="A3051" s="1271" t="s">
        <v>4727</v>
      </c>
      <c r="B3051" s="1271" t="s">
        <v>2416</v>
      </c>
      <c r="C3051" s="1269" t="s">
        <v>2812</v>
      </c>
      <c r="D3051" s="1269" t="s">
        <v>3734</v>
      </c>
      <c r="E3051" s="1269" t="s">
        <v>3111</v>
      </c>
      <c r="G3051" s="731"/>
      <c r="H3051"/>
    </row>
    <row r="3052" spans="1:8">
      <c r="A3052" s="1042">
        <v>1</v>
      </c>
      <c r="B3052" s="1042" t="s">
        <v>4728</v>
      </c>
      <c r="C3052" s="1042" t="s">
        <v>4729</v>
      </c>
      <c r="D3052" s="941">
        <v>470</v>
      </c>
      <c r="E3052" s="1044">
        <v>1677.8999999999999</v>
      </c>
      <c r="G3052" s="731"/>
      <c r="H3052"/>
    </row>
    <row r="3053" spans="1:8">
      <c r="A3053" s="1042">
        <v>2</v>
      </c>
      <c r="B3053" s="1042" t="s">
        <v>4728</v>
      </c>
      <c r="C3053" s="1042" t="s">
        <v>4730</v>
      </c>
      <c r="D3053" s="941">
        <v>470</v>
      </c>
      <c r="E3053" s="1044">
        <v>1677.8999999999999</v>
      </c>
      <c r="G3053" s="731"/>
      <c r="H3053"/>
    </row>
    <row r="3054" spans="1:8">
      <c r="A3054" s="1042">
        <v>3</v>
      </c>
      <c r="B3054" s="1042" t="s">
        <v>4728</v>
      </c>
      <c r="C3054" s="1042" t="s">
        <v>4731</v>
      </c>
      <c r="D3054" s="941">
        <v>470</v>
      </c>
      <c r="E3054" s="1044">
        <v>1677.8999999999999</v>
      </c>
      <c r="G3054" s="731"/>
      <c r="H3054"/>
    </row>
    <row r="3055" spans="1:8">
      <c r="A3055" s="1042">
        <v>4</v>
      </c>
      <c r="B3055" s="1042" t="s">
        <v>4728</v>
      </c>
      <c r="C3055" s="1042" t="s">
        <v>4732</v>
      </c>
      <c r="D3055" s="941">
        <v>470</v>
      </c>
      <c r="E3055" s="1044">
        <v>1677.8999999999999</v>
      </c>
      <c r="G3055" s="731"/>
      <c r="H3055"/>
    </row>
    <row r="3056" spans="1:8">
      <c r="A3056" s="1042">
        <v>5</v>
      </c>
      <c r="B3056" s="1042" t="s">
        <v>4728</v>
      </c>
      <c r="C3056" s="1042" t="s">
        <v>4733</v>
      </c>
      <c r="D3056" s="941">
        <v>470</v>
      </c>
      <c r="E3056" s="1044">
        <v>1677.8999999999999</v>
      </c>
      <c r="G3056" s="731"/>
      <c r="H3056"/>
    </row>
    <row r="3057" spans="1:8">
      <c r="A3057" s="1042">
        <v>6</v>
      </c>
      <c r="B3057" s="1042" t="s">
        <v>4728</v>
      </c>
      <c r="C3057" s="1042" t="s">
        <v>4734</v>
      </c>
      <c r="D3057" s="941">
        <v>470</v>
      </c>
      <c r="E3057" s="1044">
        <v>1677.8999999999999</v>
      </c>
      <c r="G3057" s="731"/>
      <c r="H3057"/>
    </row>
    <row r="3058" spans="1:8">
      <c r="A3058" s="1042">
        <v>7</v>
      </c>
      <c r="B3058" s="1042" t="s">
        <v>4728</v>
      </c>
      <c r="C3058" s="1042" t="s">
        <v>4735</v>
      </c>
      <c r="D3058" s="941">
        <v>470</v>
      </c>
      <c r="E3058" s="1044">
        <v>1677.8999999999999</v>
      </c>
      <c r="G3058" s="731"/>
      <c r="H3058"/>
    </row>
    <row r="3059" spans="1:8">
      <c r="A3059" s="1042">
        <v>8</v>
      </c>
      <c r="B3059" s="1042" t="s">
        <v>4728</v>
      </c>
      <c r="C3059" s="1042" t="s">
        <v>4736</v>
      </c>
      <c r="D3059" s="941">
        <v>470</v>
      </c>
      <c r="E3059" s="1044">
        <v>1677.8999999999999</v>
      </c>
      <c r="G3059" s="731"/>
      <c r="H3059"/>
    </row>
    <row r="3060" spans="1:8">
      <c r="A3060" s="1042">
        <v>9</v>
      </c>
      <c r="B3060" s="1042" t="s">
        <v>4728</v>
      </c>
      <c r="C3060" s="1042" t="s">
        <v>4737</v>
      </c>
      <c r="D3060" s="941">
        <v>470</v>
      </c>
      <c r="E3060" s="1044">
        <v>1677.8999999999999</v>
      </c>
      <c r="G3060" s="731"/>
      <c r="H3060"/>
    </row>
    <row r="3061" spans="1:8">
      <c r="A3061" s="1042">
        <v>10</v>
      </c>
      <c r="B3061" s="1042" t="s">
        <v>4728</v>
      </c>
      <c r="C3061" s="1042" t="s">
        <v>4738</v>
      </c>
      <c r="D3061" s="941">
        <v>470</v>
      </c>
      <c r="E3061" s="1044">
        <v>1677.8999999999999</v>
      </c>
      <c r="G3061" s="731"/>
      <c r="H3061"/>
    </row>
    <row r="3062" spans="1:8">
      <c r="A3062" s="1042">
        <v>11</v>
      </c>
      <c r="B3062" s="1042" t="s">
        <v>4739</v>
      </c>
      <c r="C3062" s="1042" t="s">
        <v>4740</v>
      </c>
      <c r="D3062" s="941">
        <v>470</v>
      </c>
      <c r="E3062" s="1044">
        <v>1677.8999999999999</v>
      </c>
      <c r="G3062" s="731"/>
      <c r="H3062"/>
    </row>
    <row r="3063" spans="1:8">
      <c r="A3063" s="1042">
        <v>12</v>
      </c>
      <c r="B3063" s="1042" t="s">
        <v>4739</v>
      </c>
      <c r="C3063" s="1042" t="s">
        <v>4741</v>
      </c>
      <c r="D3063" s="941">
        <v>470</v>
      </c>
      <c r="E3063" s="1044">
        <v>1677.8999999999999</v>
      </c>
      <c r="G3063" s="731"/>
      <c r="H3063"/>
    </row>
    <row r="3064" spans="1:8">
      <c r="A3064" s="1042">
        <v>13</v>
      </c>
      <c r="B3064" s="1042" t="s">
        <v>4739</v>
      </c>
      <c r="C3064" s="1042" t="s">
        <v>4742</v>
      </c>
      <c r="D3064" s="941">
        <v>470</v>
      </c>
      <c r="E3064" s="1044">
        <v>1677.8999999999999</v>
      </c>
      <c r="G3064" s="731"/>
      <c r="H3064"/>
    </row>
    <row r="3065" spans="1:8">
      <c r="A3065" s="1042">
        <v>14</v>
      </c>
      <c r="B3065" s="1042" t="s">
        <v>4739</v>
      </c>
      <c r="C3065" s="1042" t="s">
        <v>4743</v>
      </c>
      <c r="D3065" s="941">
        <v>470</v>
      </c>
      <c r="E3065" s="1044">
        <v>1677.8999999999999</v>
      </c>
      <c r="G3065" s="731"/>
      <c r="H3065"/>
    </row>
    <row r="3066" spans="1:8">
      <c r="A3066" s="1042">
        <v>15</v>
      </c>
      <c r="B3066" s="1042" t="s">
        <v>4739</v>
      </c>
      <c r="C3066" s="1042" t="s">
        <v>4744</v>
      </c>
      <c r="D3066" s="941">
        <v>470</v>
      </c>
      <c r="E3066" s="1044">
        <v>1677.8999999999999</v>
      </c>
      <c r="G3066" s="731"/>
      <c r="H3066"/>
    </row>
    <row r="3067" spans="1:8">
      <c r="A3067" s="1042">
        <v>16</v>
      </c>
      <c r="B3067" s="1042" t="s">
        <v>4739</v>
      </c>
      <c r="C3067" s="1042" t="s">
        <v>4745</v>
      </c>
      <c r="D3067" s="941">
        <v>470</v>
      </c>
      <c r="E3067" s="1044">
        <v>1677.8999999999999</v>
      </c>
      <c r="G3067" s="731"/>
      <c r="H3067"/>
    </row>
    <row r="3068" spans="1:8">
      <c r="A3068" s="1042">
        <v>17</v>
      </c>
      <c r="B3068" s="1042" t="s">
        <v>4739</v>
      </c>
      <c r="C3068" s="1042" t="s">
        <v>4746</v>
      </c>
      <c r="D3068" s="941">
        <v>470</v>
      </c>
      <c r="E3068" s="1044">
        <v>1677.8999999999999</v>
      </c>
      <c r="G3068" s="731"/>
      <c r="H3068"/>
    </row>
    <row r="3069" spans="1:8">
      <c r="A3069" s="1042">
        <v>18</v>
      </c>
      <c r="B3069" s="1042" t="s">
        <v>4739</v>
      </c>
      <c r="C3069" s="1042" t="s">
        <v>4747</v>
      </c>
      <c r="D3069" s="941">
        <v>470</v>
      </c>
      <c r="E3069" s="1044">
        <v>1677.8999999999999</v>
      </c>
      <c r="G3069" s="731"/>
      <c r="H3069"/>
    </row>
    <row r="3070" spans="1:8">
      <c r="A3070" s="1042">
        <v>19</v>
      </c>
      <c r="B3070" s="1042" t="s">
        <v>1392</v>
      </c>
      <c r="C3070" s="1042" t="s">
        <v>4748</v>
      </c>
      <c r="D3070" s="941">
        <v>370</v>
      </c>
      <c r="E3070" s="1044">
        <v>1320.8999999999999</v>
      </c>
      <c r="G3070" s="731"/>
      <c r="H3070"/>
    </row>
    <row r="3071" spans="1:8">
      <c r="A3071" s="1042">
        <v>20</v>
      </c>
      <c r="B3071" s="1042" t="s">
        <v>1392</v>
      </c>
      <c r="C3071" s="1042" t="s">
        <v>4749</v>
      </c>
      <c r="D3071" s="941">
        <v>370</v>
      </c>
      <c r="E3071" s="1044">
        <v>1320.8999999999999</v>
      </c>
      <c r="G3071" s="731"/>
      <c r="H3071"/>
    </row>
    <row r="3072" spans="1:8">
      <c r="A3072" s="1042">
        <v>21</v>
      </c>
      <c r="B3072" s="1042" t="s">
        <v>4750</v>
      </c>
      <c r="C3072" s="1042">
        <v>9710291865243</v>
      </c>
      <c r="D3072" s="941">
        <v>38</v>
      </c>
      <c r="E3072" s="1044">
        <v>135.66</v>
      </c>
      <c r="G3072" s="731"/>
      <c r="H3072"/>
    </row>
    <row r="3073" spans="1:8">
      <c r="A3073" s="1042">
        <v>22</v>
      </c>
      <c r="B3073" s="1042" t="s">
        <v>4751</v>
      </c>
      <c r="C3073" s="1042">
        <v>9700612063240</v>
      </c>
      <c r="D3073" s="941">
        <v>38</v>
      </c>
      <c r="E3073" s="1044">
        <v>135.66</v>
      </c>
      <c r="G3073" s="731"/>
      <c r="H3073"/>
    </row>
    <row r="3074" spans="1:8">
      <c r="A3074" s="1042">
        <v>23</v>
      </c>
      <c r="B3074" s="1042" t="s">
        <v>4752</v>
      </c>
      <c r="C3074" s="1042" t="s">
        <v>4753</v>
      </c>
      <c r="D3074" s="941">
        <v>350</v>
      </c>
      <c r="E3074" s="1044">
        <v>1249.5</v>
      </c>
      <c r="G3074" s="731"/>
      <c r="H3074"/>
    </row>
    <row r="3075" spans="1:8">
      <c r="A3075" s="1042">
        <v>24</v>
      </c>
      <c r="B3075" s="1042" t="s">
        <v>4752</v>
      </c>
      <c r="C3075" s="1042" t="s">
        <v>4754</v>
      </c>
      <c r="D3075" s="941">
        <v>350</v>
      </c>
      <c r="E3075" s="1044">
        <v>1249.5</v>
      </c>
      <c r="G3075" s="731"/>
      <c r="H3075"/>
    </row>
    <row r="3076" spans="1:8">
      <c r="A3076" s="1042">
        <v>25</v>
      </c>
      <c r="B3076" s="1042" t="s">
        <v>4755</v>
      </c>
      <c r="C3076" s="1042" t="s">
        <v>4756</v>
      </c>
      <c r="D3076" s="941">
        <v>350</v>
      </c>
      <c r="E3076" s="1044">
        <v>1249.5</v>
      </c>
      <c r="G3076" s="731"/>
      <c r="H3076"/>
    </row>
    <row r="3077" spans="1:8">
      <c r="A3077" s="1042">
        <v>26</v>
      </c>
      <c r="B3077" s="1042" t="s">
        <v>4757</v>
      </c>
      <c r="C3077" s="1042" t="s">
        <v>4758</v>
      </c>
      <c r="D3077" s="941">
        <v>710</v>
      </c>
      <c r="E3077" s="1044">
        <v>2534.6999999999998</v>
      </c>
      <c r="G3077" s="731"/>
      <c r="H3077"/>
    </row>
    <row r="3078" spans="1:8">
      <c r="A3078" s="1042">
        <v>27</v>
      </c>
      <c r="B3078" s="1042" t="s">
        <v>4757</v>
      </c>
      <c r="C3078" s="1042" t="s">
        <v>4759</v>
      </c>
      <c r="D3078" s="941">
        <v>710</v>
      </c>
      <c r="E3078" s="1044">
        <v>2534.6999999999998</v>
      </c>
      <c r="G3078" s="731"/>
      <c r="H3078"/>
    </row>
    <row r="3079" spans="1:8" ht="18.75">
      <c r="B3079" s="1267"/>
      <c r="C3079" s="1267"/>
      <c r="D3079" s="1272">
        <v>11746</v>
      </c>
      <c r="E3079" s="1273">
        <v>41933.220000000016</v>
      </c>
    </row>
    <row r="3087" spans="1:8" ht="15.75" thickBot="1"/>
    <row r="3088" spans="1:8" ht="15.75" thickBot="1">
      <c r="A3088" s="1286"/>
      <c r="B3088" s="1286" t="s">
        <v>1</v>
      </c>
      <c r="C3088" s="1285">
        <v>46208</v>
      </c>
      <c r="D3088" s="1288"/>
      <c r="E3088" s="1288"/>
      <c r="G3088" s="731"/>
      <c r="H3088"/>
    </row>
    <row r="3089" spans="1:8">
      <c r="A3089" s="1287" t="s">
        <v>3928</v>
      </c>
      <c r="B3089" s="1287" t="s">
        <v>2416</v>
      </c>
      <c r="C3089" s="1288" t="s">
        <v>4782</v>
      </c>
      <c r="D3089" s="1288" t="s">
        <v>2423</v>
      </c>
      <c r="E3089" s="1288" t="s">
        <v>3111</v>
      </c>
      <c r="G3089" s="731"/>
      <c r="H3089"/>
    </row>
    <row r="3090" spans="1:8">
      <c r="A3090" s="142">
        <v>1</v>
      </c>
      <c r="B3090" s="142" t="s">
        <v>4370</v>
      </c>
      <c r="C3090" s="1290">
        <v>358112933029903</v>
      </c>
      <c r="D3090" s="1258" t="s">
        <v>4573</v>
      </c>
      <c r="E3090" s="941">
        <v>3165</v>
      </c>
      <c r="F3090" s="1292">
        <v>3450</v>
      </c>
      <c r="G3090" s="731"/>
      <c r="H3090"/>
    </row>
    <row r="3091" spans="1:8">
      <c r="A3091" s="142">
        <v>2</v>
      </c>
      <c r="B3091" s="142" t="s">
        <v>4375</v>
      </c>
      <c r="C3091" s="1290">
        <v>357585655786662</v>
      </c>
      <c r="D3091" s="1258" t="s">
        <v>4573</v>
      </c>
      <c r="E3091" s="941">
        <v>930</v>
      </c>
      <c r="F3091" s="1292">
        <v>1200</v>
      </c>
      <c r="G3091" s="731"/>
      <c r="H3091"/>
    </row>
    <row r="3092" spans="1:8">
      <c r="A3092" s="142">
        <v>3</v>
      </c>
      <c r="B3092" s="142" t="s">
        <v>4369</v>
      </c>
      <c r="C3092" s="1290">
        <v>352355709551396</v>
      </c>
      <c r="D3092" s="1258" t="s">
        <v>4573</v>
      </c>
      <c r="E3092" s="941">
        <v>3500</v>
      </c>
      <c r="F3092" s="1292">
        <v>3800</v>
      </c>
      <c r="G3092" s="731"/>
      <c r="H3092"/>
    </row>
    <row r="3093" spans="1:8">
      <c r="A3093" s="142">
        <v>4</v>
      </c>
      <c r="B3093" s="142" t="s">
        <v>4394</v>
      </c>
      <c r="C3093" s="1290">
        <v>355202682220184</v>
      </c>
      <c r="D3093" s="1258"/>
      <c r="E3093" s="941">
        <v>1100</v>
      </c>
      <c r="G3093" s="731"/>
      <c r="H3093"/>
    </row>
    <row r="3094" spans="1:8">
      <c r="A3094" s="142">
        <v>5</v>
      </c>
      <c r="B3094" s="142" t="s">
        <v>4783</v>
      </c>
      <c r="C3094" s="1290">
        <v>356187984983135</v>
      </c>
      <c r="D3094" s="1258"/>
      <c r="E3094" s="941">
        <v>2380</v>
      </c>
      <c r="G3094" s="731"/>
      <c r="H3094"/>
    </row>
    <row r="3095" spans="1:8">
      <c r="A3095" s="142">
        <v>6</v>
      </c>
      <c r="B3095" s="142" t="s">
        <v>4347</v>
      </c>
      <c r="C3095" s="1290">
        <v>356187985385017</v>
      </c>
      <c r="D3095" s="1258"/>
      <c r="E3095" s="941">
        <v>2380</v>
      </c>
      <c r="G3095" s="731"/>
      <c r="H3095"/>
    </row>
    <row r="3096" spans="1:8">
      <c r="A3096" s="174">
        <v>7</v>
      </c>
      <c r="B3096" s="174" t="s">
        <v>4347</v>
      </c>
      <c r="C3096" s="1291">
        <v>353938645104500</v>
      </c>
      <c r="D3096" s="1293" t="s">
        <v>1121</v>
      </c>
      <c r="E3096" s="1294">
        <v>2080</v>
      </c>
      <c r="G3096" s="731"/>
      <c r="H3096"/>
    </row>
    <row r="3097" spans="1:8">
      <c r="A3097" s="142">
        <v>8</v>
      </c>
      <c r="B3097" s="142" t="s">
        <v>4347</v>
      </c>
      <c r="C3097" s="1290">
        <v>356187985118889</v>
      </c>
      <c r="D3097" s="1258"/>
      <c r="E3097" s="941">
        <v>2380</v>
      </c>
      <c r="G3097" s="731"/>
      <c r="H3097"/>
    </row>
    <row r="3098" spans="1:8">
      <c r="A3098" s="142">
        <v>9</v>
      </c>
      <c r="B3098" s="142" t="s">
        <v>4345</v>
      </c>
      <c r="C3098" s="1290">
        <v>358135795542424</v>
      </c>
      <c r="D3098" s="1258"/>
      <c r="E3098" s="941">
        <v>2380</v>
      </c>
      <c r="G3098" s="731"/>
      <c r="H3098"/>
    </row>
    <row r="3099" spans="1:8">
      <c r="A3099" s="142">
        <v>10</v>
      </c>
      <c r="B3099" s="142" t="s">
        <v>4345</v>
      </c>
      <c r="C3099" s="1290">
        <v>356187984749726</v>
      </c>
      <c r="D3099" s="1258"/>
      <c r="E3099" s="941">
        <v>2380</v>
      </c>
      <c r="G3099" s="731"/>
      <c r="H3099"/>
    </row>
    <row r="3100" spans="1:8">
      <c r="A3100" s="142">
        <v>11</v>
      </c>
      <c r="B3100" s="142" t="s">
        <v>4063</v>
      </c>
      <c r="C3100" s="1290">
        <v>359973612181920</v>
      </c>
      <c r="D3100" s="1258"/>
      <c r="E3100" s="941">
        <v>1800</v>
      </c>
      <c r="G3100" s="731"/>
      <c r="H3100"/>
    </row>
    <row r="3101" spans="1:8">
      <c r="A3101" s="142">
        <v>12</v>
      </c>
      <c r="B3101" s="142" t="s">
        <v>4063</v>
      </c>
      <c r="C3101" s="1290">
        <v>356146773095592</v>
      </c>
      <c r="D3101" s="1258"/>
      <c r="E3101" s="941">
        <v>1800</v>
      </c>
      <c r="G3101" s="731"/>
      <c r="H3101"/>
    </row>
    <row r="3102" spans="1:8">
      <c r="A3102" s="142">
        <v>13</v>
      </c>
      <c r="B3102" s="142" t="s">
        <v>4063</v>
      </c>
      <c r="C3102" s="1290">
        <v>359973612020623</v>
      </c>
      <c r="D3102" s="1258"/>
      <c r="E3102" s="941">
        <v>1800</v>
      </c>
      <c r="G3102" s="731"/>
      <c r="H3102"/>
    </row>
    <row r="3103" spans="1:8">
      <c r="A3103" s="142">
        <v>14</v>
      </c>
      <c r="B3103" s="142" t="s">
        <v>4063</v>
      </c>
      <c r="C3103" s="1290">
        <v>359973612191895</v>
      </c>
      <c r="D3103" s="1258"/>
      <c r="E3103" s="941">
        <v>1800</v>
      </c>
      <c r="G3103" s="731"/>
      <c r="H3103"/>
    </row>
    <row r="3104" spans="1:8">
      <c r="A3104" s="142">
        <v>15</v>
      </c>
      <c r="B3104" s="142" t="s">
        <v>4058</v>
      </c>
      <c r="C3104" s="1290">
        <v>354289637004392</v>
      </c>
      <c r="D3104" s="1258"/>
      <c r="E3104" s="941">
        <v>2600</v>
      </c>
      <c r="G3104" s="731"/>
      <c r="H3104"/>
    </row>
    <row r="3105" spans="1:8">
      <c r="A3105" s="142">
        <v>16</v>
      </c>
      <c r="B3105" s="142" t="s">
        <v>4058</v>
      </c>
      <c r="C3105" s="1290">
        <v>356245419193280</v>
      </c>
      <c r="D3105" s="1258"/>
      <c r="E3105" s="941">
        <v>2600</v>
      </c>
      <c r="G3105" s="731"/>
      <c r="H3105"/>
    </row>
    <row r="3106" spans="1:8">
      <c r="A3106" s="142">
        <v>17</v>
      </c>
      <c r="B3106" s="142" t="s">
        <v>4058</v>
      </c>
      <c r="C3106" s="1290">
        <v>354289637357378</v>
      </c>
      <c r="D3106" s="1258"/>
      <c r="E3106" s="941">
        <v>2600</v>
      </c>
      <c r="G3106" s="731"/>
      <c r="H3106"/>
    </row>
    <row r="3107" spans="1:8">
      <c r="A3107" s="142">
        <v>18</v>
      </c>
      <c r="B3107" s="142" t="s">
        <v>4058</v>
      </c>
      <c r="C3107" s="1290">
        <v>354289636906399</v>
      </c>
      <c r="D3107" s="1258"/>
      <c r="E3107" s="941">
        <v>2600</v>
      </c>
      <c r="G3107" s="731"/>
      <c r="H3107"/>
    </row>
    <row r="3108" spans="1:8">
      <c r="A3108" s="142">
        <v>19</v>
      </c>
      <c r="B3108" s="142" t="s">
        <v>4058</v>
      </c>
      <c r="C3108" s="1290">
        <v>354289637149973</v>
      </c>
      <c r="D3108" s="1258"/>
      <c r="E3108" s="941">
        <v>2600</v>
      </c>
      <c r="G3108" s="731"/>
      <c r="H3108"/>
    </row>
    <row r="3109" spans="1:8">
      <c r="A3109" s="142">
        <v>20</v>
      </c>
      <c r="B3109" s="142" t="s">
        <v>4054</v>
      </c>
      <c r="C3109" s="1290">
        <v>351668141347491</v>
      </c>
      <c r="D3109" s="1258"/>
      <c r="E3109" s="941">
        <v>3200</v>
      </c>
      <c r="G3109" s="731"/>
      <c r="H3109"/>
    </row>
    <row r="3110" spans="1:8">
      <c r="A3110" s="142">
        <v>21</v>
      </c>
      <c r="B3110" s="142" t="s">
        <v>4053</v>
      </c>
      <c r="C3110" s="1290">
        <v>351668143770229</v>
      </c>
      <c r="D3110" s="1258"/>
      <c r="E3110" s="941">
        <v>2960</v>
      </c>
      <c r="G3110" s="731"/>
      <c r="H3110"/>
    </row>
    <row r="3111" spans="1:8">
      <c r="A3111" s="142">
        <v>22</v>
      </c>
      <c r="B3111" s="142" t="s">
        <v>4053</v>
      </c>
      <c r="C3111" s="1290">
        <v>350552898933284</v>
      </c>
      <c r="D3111" s="1258" t="s">
        <v>1121</v>
      </c>
      <c r="E3111" s="941">
        <v>2960</v>
      </c>
      <c r="G3111" s="731"/>
      <c r="H3111"/>
    </row>
    <row r="3112" spans="1:8">
      <c r="A3112" s="142">
        <v>23</v>
      </c>
      <c r="B3112" s="142" t="s">
        <v>4053</v>
      </c>
      <c r="C3112" s="1290">
        <v>350552890732981</v>
      </c>
      <c r="D3112" s="1258"/>
      <c r="E3112" s="941">
        <v>2960</v>
      </c>
      <c r="G3112" s="731"/>
      <c r="H3112"/>
    </row>
    <row r="3113" spans="1:8">
      <c r="A3113" s="142">
        <v>24</v>
      </c>
      <c r="B3113" s="142" t="s">
        <v>4478</v>
      </c>
      <c r="C3113" s="1290">
        <v>357731110241774</v>
      </c>
      <c r="D3113" s="1258"/>
      <c r="E3113" s="941">
        <v>2450</v>
      </c>
      <c r="G3113" s="731"/>
      <c r="H3113"/>
    </row>
    <row r="3114" spans="1:8">
      <c r="A3114" s="142">
        <v>25</v>
      </c>
      <c r="B3114" s="142" t="s">
        <v>4478</v>
      </c>
      <c r="C3114" s="1290">
        <v>357731110185799</v>
      </c>
      <c r="D3114" s="1258"/>
      <c r="E3114" s="941">
        <v>2450</v>
      </c>
      <c r="G3114" s="731"/>
      <c r="H3114"/>
    </row>
    <row r="3115" spans="1:8">
      <c r="A3115" s="142">
        <v>26</v>
      </c>
      <c r="B3115" s="142" t="s">
        <v>4350</v>
      </c>
      <c r="C3115" s="1290">
        <v>359090830883607</v>
      </c>
      <c r="D3115" s="1258"/>
      <c r="E3115" s="941">
        <v>2450</v>
      </c>
      <c r="G3115" s="731"/>
      <c r="H3115"/>
    </row>
    <row r="3116" spans="1:8">
      <c r="A3116" s="142">
        <v>27</v>
      </c>
      <c r="B3116" s="142" t="s">
        <v>4350</v>
      </c>
      <c r="C3116" s="1290">
        <v>350687011234044</v>
      </c>
      <c r="D3116" s="1258"/>
      <c r="E3116" s="941">
        <v>2450</v>
      </c>
      <c r="G3116" s="731"/>
      <c r="H3116"/>
    </row>
    <row r="3117" spans="1:8">
      <c r="A3117" s="142">
        <v>28</v>
      </c>
      <c r="B3117" s="142" t="s">
        <v>4350</v>
      </c>
      <c r="C3117" s="1290">
        <v>350520601070009</v>
      </c>
      <c r="D3117" s="1258"/>
      <c r="E3117" s="941">
        <v>2450</v>
      </c>
      <c r="G3117" s="731"/>
      <c r="H3117"/>
    </row>
    <row r="3118" spans="1:8">
      <c r="A3118" s="142">
        <v>29</v>
      </c>
      <c r="B3118" s="142" t="s">
        <v>4350</v>
      </c>
      <c r="C3118" s="1290">
        <v>350687011215787</v>
      </c>
      <c r="D3118" s="1258"/>
      <c r="E3118" s="941">
        <v>2450</v>
      </c>
      <c r="G3118" s="731"/>
      <c r="H3118"/>
    </row>
    <row r="3119" spans="1:8">
      <c r="A3119" s="142">
        <v>30</v>
      </c>
      <c r="B3119" s="142" t="s">
        <v>4350</v>
      </c>
      <c r="C3119" s="1290">
        <v>350687011164522</v>
      </c>
      <c r="D3119" s="1258"/>
      <c r="E3119" s="941">
        <v>2450</v>
      </c>
      <c r="G3119" s="731"/>
      <c r="H3119"/>
    </row>
    <row r="3120" spans="1:8">
      <c r="A3120" s="142">
        <v>31</v>
      </c>
      <c r="B3120" s="142" t="s">
        <v>4350</v>
      </c>
      <c r="C3120" s="1290">
        <v>351235181592970</v>
      </c>
      <c r="D3120" s="1258"/>
      <c r="E3120" s="941">
        <v>2450</v>
      </c>
      <c r="G3120" s="731"/>
      <c r="H3120"/>
    </row>
    <row r="3121" spans="1:8">
      <c r="A3121" s="142">
        <v>32</v>
      </c>
      <c r="B3121" s="142" t="s">
        <v>4496</v>
      </c>
      <c r="C3121" s="1290">
        <v>350687013324181</v>
      </c>
      <c r="D3121" s="1258"/>
      <c r="E3121" s="941">
        <v>2450</v>
      </c>
      <c r="G3121" s="731"/>
      <c r="H3121"/>
    </row>
    <row r="3122" spans="1:8">
      <c r="A3122" s="142">
        <v>33</v>
      </c>
      <c r="B3122" s="142" t="s">
        <v>4496</v>
      </c>
      <c r="C3122" s="1290">
        <v>350687013222047</v>
      </c>
      <c r="D3122" s="1258"/>
      <c r="E3122" s="941">
        <v>2450</v>
      </c>
      <c r="G3122" s="731"/>
      <c r="H3122"/>
    </row>
    <row r="3123" spans="1:8">
      <c r="A3123" s="142">
        <v>34</v>
      </c>
      <c r="B3123" s="142" t="s">
        <v>4784</v>
      </c>
      <c r="C3123" s="1290">
        <v>351042460081299</v>
      </c>
      <c r="D3123" s="1258"/>
      <c r="E3123" s="941">
        <v>2550</v>
      </c>
      <c r="G3123" s="731"/>
      <c r="H3123"/>
    </row>
    <row r="3124" spans="1:8">
      <c r="A3124" s="142">
        <v>35</v>
      </c>
      <c r="B3124" s="142" t="s">
        <v>4784</v>
      </c>
      <c r="C3124" s="1290">
        <v>358161900631613</v>
      </c>
      <c r="D3124" s="1258"/>
      <c r="E3124" s="941">
        <v>2550</v>
      </c>
      <c r="G3124" s="731"/>
      <c r="H3124"/>
    </row>
    <row r="3125" spans="1:8" ht="18.75">
      <c r="B3125" s="1284"/>
      <c r="C3125" s="1284"/>
      <c r="D3125" s="1284"/>
      <c r="E3125" s="1289">
        <v>84555</v>
      </c>
    </row>
    <row r="3137" spans="1:3">
      <c r="A3137" s="1498" t="s">
        <v>1</v>
      </c>
      <c r="B3137" s="1498"/>
      <c r="C3137" s="809" t="s">
        <v>4827</v>
      </c>
    </row>
    <row r="3138" spans="1:3">
      <c r="A3138" s="1498" t="s">
        <v>2416</v>
      </c>
      <c r="B3138" s="1498"/>
      <c r="C3138" s="809" t="s">
        <v>4828</v>
      </c>
    </row>
    <row r="3139" spans="1:3">
      <c r="A3139" s="1298">
        <v>1</v>
      </c>
      <c r="B3139" s="1298" t="s">
        <v>4829</v>
      </c>
      <c r="C3139" s="1298">
        <v>51526041499</v>
      </c>
    </row>
    <row r="3140" spans="1:3">
      <c r="A3140" s="1298">
        <v>2</v>
      </c>
      <c r="B3140" s="1298" t="s">
        <v>4829</v>
      </c>
      <c r="C3140" s="1298">
        <v>99942865042</v>
      </c>
    </row>
    <row r="3141" spans="1:3">
      <c r="A3141" s="1298">
        <v>3</v>
      </c>
      <c r="B3141" s="1298" t="s">
        <v>4829</v>
      </c>
      <c r="C3141" s="1298">
        <v>79007759475</v>
      </c>
    </row>
    <row r="3142" spans="1:3">
      <c r="A3142" s="1298">
        <v>4</v>
      </c>
      <c r="B3142" s="1298" t="s">
        <v>4829</v>
      </c>
      <c r="C3142" s="1298">
        <v>51433099466</v>
      </c>
    </row>
    <row r="3143" spans="1:3">
      <c r="A3143" s="1298">
        <v>5</v>
      </c>
      <c r="B3143" s="1298" t="s">
        <v>4829</v>
      </c>
      <c r="C3143" s="1298">
        <v>61641094478</v>
      </c>
    </row>
    <row r="3144" spans="1:3">
      <c r="A3144" s="1298">
        <v>6</v>
      </c>
      <c r="B3144" s="1298" t="s">
        <v>4829</v>
      </c>
      <c r="C3144" s="1298">
        <v>99035064578</v>
      </c>
    </row>
    <row r="3145" spans="1:3">
      <c r="A3145" s="1298">
        <v>7</v>
      </c>
      <c r="B3145" s="1298" t="s">
        <v>4829</v>
      </c>
      <c r="C3145" s="1298">
        <v>51510071438</v>
      </c>
    </row>
    <row r="3146" spans="1:3">
      <c r="A3146" s="1298">
        <v>8</v>
      </c>
      <c r="B3146" s="1298" t="s">
        <v>4829</v>
      </c>
      <c r="C3146" s="1298">
        <v>99667040367</v>
      </c>
    </row>
    <row r="3147" spans="1:3">
      <c r="A3147" s="1298">
        <v>9</v>
      </c>
      <c r="B3147" s="1298" t="s">
        <v>4829</v>
      </c>
      <c r="C3147" s="1298">
        <v>51619056416</v>
      </c>
    </row>
    <row r="3148" spans="1:3">
      <c r="A3148" s="1298">
        <v>10</v>
      </c>
      <c r="B3148" s="1298" t="s">
        <v>4829</v>
      </c>
      <c r="C3148" s="1298">
        <v>61729004416</v>
      </c>
    </row>
    <row r="3149" spans="1:3">
      <c r="A3149" s="1298">
        <v>11</v>
      </c>
      <c r="B3149" s="1298" t="s">
        <v>4829</v>
      </c>
      <c r="C3149" s="1298">
        <v>51555045434</v>
      </c>
    </row>
    <row r="3150" spans="1:3">
      <c r="A3150" s="1298">
        <v>12</v>
      </c>
      <c r="B3150" s="1298" t="s">
        <v>4829</v>
      </c>
      <c r="C3150" s="1298">
        <v>51516049408</v>
      </c>
    </row>
    <row r="3151" spans="1:3">
      <c r="A3151" s="1298">
        <v>13</v>
      </c>
      <c r="B3151" s="1298" t="s">
        <v>4829</v>
      </c>
      <c r="C3151" s="1298">
        <v>61500045483</v>
      </c>
    </row>
    <row r="3152" spans="1:3">
      <c r="A3152" s="1298">
        <v>14</v>
      </c>
      <c r="B3152" s="1298" t="s">
        <v>4829</v>
      </c>
      <c r="C3152" s="1298">
        <v>51634051471</v>
      </c>
    </row>
    <row r="3153" spans="1:6">
      <c r="A3153" s="1298">
        <v>15</v>
      </c>
      <c r="B3153" s="1298" t="s">
        <v>4829</v>
      </c>
      <c r="C3153" s="1298">
        <v>51577074485</v>
      </c>
    </row>
    <row r="3154" spans="1:6">
      <c r="A3154" s="1298">
        <v>16</v>
      </c>
      <c r="B3154" s="1298" t="s">
        <v>4829</v>
      </c>
      <c r="C3154" s="1298">
        <v>51601058416</v>
      </c>
    </row>
    <row r="3155" spans="1:6">
      <c r="A3155" s="1298">
        <v>17</v>
      </c>
      <c r="B3155" s="1298" t="s">
        <v>4829</v>
      </c>
      <c r="C3155" s="1298">
        <v>51438096475</v>
      </c>
    </row>
    <row r="3156" spans="1:6">
      <c r="A3156" s="1298">
        <v>18</v>
      </c>
      <c r="B3156" s="1298" t="s">
        <v>4829</v>
      </c>
      <c r="C3156" s="1298">
        <v>51699065478</v>
      </c>
    </row>
    <row r="3157" spans="1:6">
      <c r="A3157" s="1298">
        <v>19</v>
      </c>
      <c r="B3157" s="1298" t="s">
        <v>4829</v>
      </c>
      <c r="C3157" s="1298">
        <v>61541030400</v>
      </c>
    </row>
    <row r="3158" spans="1:6">
      <c r="A3158" s="1298">
        <v>20</v>
      </c>
      <c r="B3158" s="1298" t="s">
        <v>4829</v>
      </c>
      <c r="C3158" s="1298">
        <v>51542076491</v>
      </c>
    </row>
    <row r="3166" spans="1:6">
      <c r="A3166" s="1303"/>
      <c r="B3166" s="1303" t="s">
        <v>1</v>
      </c>
      <c r="C3166" s="1304" t="s">
        <v>4832</v>
      </c>
      <c r="D3166" s="1304"/>
      <c r="E3166" s="1304"/>
      <c r="F3166" s="1304"/>
    </row>
    <row r="3167" spans="1:6">
      <c r="A3167" s="1303" t="s">
        <v>3928</v>
      </c>
      <c r="B3167" s="1303" t="s">
        <v>2416</v>
      </c>
      <c r="C3167" s="1304" t="s">
        <v>4833</v>
      </c>
      <c r="D3167" s="1304" t="s">
        <v>2423</v>
      </c>
      <c r="E3167" s="1304" t="s">
        <v>3734</v>
      </c>
      <c r="F3167" s="1304" t="s">
        <v>3111</v>
      </c>
    </row>
    <row r="3168" spans="1:6">
      <c r="A3168" s="941">
        <v>1</v>
      </c>
      <c r="B3168" s="941" t="s">
        <v>4834</v>
      </c>
      <c r="C3168" s="1042" t="s">
        <v>4835</v>
      </c>
      <c r="D3168" s="941"/>
      <c r="E3168" s="1044">
        <v>470</v>
      </c>
      <c r="F3168" s="1044">
        <v>1677.8999999999999</v>
      </c>
    </row>
    <row r="3169" spans="1:6">
      <c r="A3169" s="941">
        <v>2</v>
      </c>
      <c r="B3169" s="941" t="s">
        <v>4834</v>
      </c>
      <c r="C3169" s="1042" t="s">
        <v>4836</v>
      </c>
      <c r="D3169" s="941"/>
      <c r="E3169" s="1044">
        <v>470</v>
      </c>
      <c r="F3169" s="1044">
        <v>1677.8999999999999</v>
      </c>
    </row>
    <row r="3170" spans="1:6">
      <c r="A3170" s="941">
        <v>3</v>
      </c>
      <c r="B3170" s="941" t="s">
        <v>4834</v>
      </c>
      <c r="C3170" s="1042" t="s">
        <v>4837</v>
      </c>
      <c r="D3170" s="941"/>
      <c r="E3170" s="1044">
        <v>470</v>
      </c>
      <c r="F3170" s="1044">
        <v>1677.8999999999999</v>
      </c>
    </row>
    <row r="3171" spans="1:6">
      <c r="A3171" s="941">
        <v>4</v>
      </c>
      <c r="B3171" s="941" t="s">
        <v>4834</v>
      </c>
      <c r="C3171" s="1042" t="s">
        <v>4838</v>
      </c>
      <c r="D3171" s="941"/>
      <c r="E3171" s="1044">
        <v>470</v>
      </c>
      <c r="F3171" s="1044">
        <v>1677.8999999999999</v>
      </c>
    </row>
    <row r="3172" spans="1:6">
      <c r="A3172" s="941">
        <v>5</v>
      </c>
      <c r="B3172" s="941" t="s">
        <v>4834</v>
      </c>
      <c r="C3172" s="1042" t="s">
        <v>4839</v>
      </c>
      <c r="D3172" s="941"/>
      <c r="E3172" s="1044">
        <v>470</v>
      </c>
      <c r="F3172" s="1044">
        <v>1677.8999999999999</v>
      </c>
    </row>
    <row r="3173" spans="1:6">
      <c r="A3173" s="941">
        <v>6</v>
      </c>
      <c r="B3173" s="941" t="s">
        <v>4840</v>
      </c>
      <c r="C3173" s="1042" t="s">
        <v>4841</v>
      </c>
      <c r="D3173" s="941"/>
      <c r="E3173" s="1044">
        <v>350</v>
      </c>
      <c r="F3173" s="1044">
        <v>1249.5</v>
      </c>
    </row>
    <row r="3174" spans="1:6">
      <c r="A3174" s="941">
        <v>7</v>
      </c>
      <c r="B3174" s="941" t="s">
        <v>4840</v>
      </c>
      <c r="C3174" s="1042" t="s">
        <v>4842</v>
      </c>
      <c r="D3174" s="941"/>
      <c r="E3174" s="1044">
        <v>350</v>
      </c>
      <c r="F3174" s="1044">
        <v>1249.5</v>
      </c>
    </row>
    <row r="3175" spans="1:6">
      <c r="A3175" s="941">
        <v>8</v>
      </c>
      <c r="B3175" s="941" t="s">
        <v>4840</v>
      </c>
      <c r="C3175" s="1042" t="s">
        <v>4843</v>
      </c>
      <c r="D3175" s="941"/>
      <c r="E3175" s="1044">
        <v>350</v>
      </c>
      <c r="F3175" s="1044">
        <v>1249.5</v>
      </c>
    </row>
    <row r="3176" spans="1:6">
      <c r="A3176" s="941">
        <v>9</v>
      </c>
      <c r="B3176" s="941" t="s">
        <v>4844</v>
      </c>
      <c r="C3176" s="1042" t="s">
        <v>4845</v>
      </c>
      <c r="D3176" s="941"/>
      <c r="E3176" s="1044">
        <v>370</v>
      </c>
      <c r="F3176" s="1044">
        <v>1320.8999999999999</v>
      </c>
    </row>
    <row r="3177" spans="1:6">
      <c r="A3177" s="941">
        <v>10</v>
      </c>
      <c r="B3177" s="941" t="s">
        <v>4844</v>
      </c>
      <c r="C3177" s="1042" t="s">
        <v>4846</v>
      </c>
      <c r="D3177" s="941"/>
      <c r="E3177" s="1044">
        <v>370</v>
      </c>
      <c r="F3177" s="1044">
        <v>1320.8999999999999</v>
      </c>
    </row>
    <row r="3178" spans="1:6">
      <c r="A3178" s="941">
        <v>11</v>
      </c>
      <c r="B3178" s="941" t="s">
        <v>4844</v>
      </c>
      <c r="C3178" s="1042" t="s">
        <v>4847</v>
      </c>
      <c r="D3178" s="941"/>
      <c r="E3178" s="1044">
        <v>370</v>
      </c>
      <c r="F3178" s="1044">
        <v>1320.8999999999999</v>
      </c>
    </row>
    <row r="3179" spans="1:6">
      <c r="A3179" s="941">
        <v>12</v>
      </c>
      <c r="B3179" s="941" t="s">
        <v>4844</v>
      </c>
      <c r="C3179" s="1042" t="s">
        <v>4848</v>
      </c>
      <c r="D3179" s="941"/>
      <c r="E3179" s="1044">
        <v>370</v>
      </c>
      <c r="F3179" s="1044">
        <v>1320.8999999999999</v>
      </c>
    </row>
    <row r="3180" spans="1:6">
      <c r="A3180" s="941">
        <v>13</v>
      </c>
      <c r="B3180" s="941" t="s">
        <v>4849</v>
      </c>
      <c r="C3180" s="1042" t="s">
        <v>4850</v>
      </c>
      <c r="D3180" s="941"/>
      <c r="E3180" s="1044">
        <v>135</v>
      </c>
      <c r="F3180" s="1044">
        <v>481.95</v>
      </c>
    </row>
    <row r="3181" spans="1:6">
      <c r="A3181" s="941">
        <v>14</v>
      </c>
      <c r="B3181" s="941" t="s">
        <v>4851</v>
      </c>
      <c r="C3181" s="1308" t="s">
        <v>4852</v>
      </c>
      <c r="D3181" s="941"/>
      <c r="E3181" s="1044">
        <v>75</v>
      </c>
      <c r="F3181" s="1044">
        <v>267.75</v>
      </c>
    </row>
    <row r="3182" spans="1:6">
      <c r="A3182" s="941">
        <v>15</v>
      </c>
      <c r="B3182" s="941" t="s">
        <v>4853</v>
      </c>
      <c r="C3182" s="1308" t="s">
        <v>4854</v>
      </c>
      <c r="D3182" s="941"/>
      <c r="E3182" s="1044">
        <v>50</v>
      </c>
      <c r="F3182" s="1044">
        <v>178.5</v>
      </c>
    </row>
    <row r="3183" spans="1:6">
      <c r="A3183" s="941">
        <v>16</v>
      </c>
      <c r="B3183" s="941" t="s">
        <v>4855</v>
      </c>
      <c r="C3183" s="1308" t="s">
        <v>4856</v>
      </c>
      <c r="D3183" s="941"/>
      <c r="E3183" s="1044">
        <v>50</v>
      </c>
      <c r="F3183" s="1044">
        <v>178.5</v>
      </c>
    </row>
    <row r="3184" spans="1:6">
      <c r="A3184" s="1305">
        <v>17</v>
      </c>
      <c r="B3184" s="1305" t="s">
        <v>4857</v>
      </c>
      <c r="C3184" s="1306" t="s">
        <v>4858</v>
      </c>
      <c r="D3184" s="1305"/>
      <c r="E3184" s="1307">
        <v>60</v>
      </c>
      <c r="F3184" s="1307">
        <v>214.2</v>
      </c>
    </row>
    <row r="3185" spans="1:7">
      <c r="A3185" s="941">
        <v>18</v>
      </c>
      <c r="B3185" s="941" t="s">
        <v>4859</v>
      </c>
      <c r="C3185" s="1042" t="s">
        <v>4860</v>
      </c>
      <c r="D3185" s="941" t="s">
        <v>4052</v>
      </c>
      <c r="E3185" s="1044">
        <v>415</v>
      </c>
      <c r="F3185" s="1044">
        <v>1481.55</v>
      </c>
    </row>
    <row r="3186" spans="1:7">
      <c r="A3186" s="941">
        <v>19</v>
      </c>
      <c r="B3186" s="941" t="s">
        <v>4861</v>
      </c>
      <c r="C3186" s="1042" t="s">
        <v>4862</v>
      </c>
      <c r="D3186" s="941" t="s">
        <v>4052</v>
      </c>
      <c r="E3186" s="1044">
        <v>415</v>
      </c>
      <c r="F3186" s="1044">
        <v>1481.55</v>
      </c>
    </row>
    <row r="3187" spans="1:7">
      <c r="A3187" s="941">
        <v>20</v>
      </c>
      <c r="B3187" s="941" t="s">
        <v>4863</v>
      </c>
      <c r="C3187" s="1042">
        <v>358135795306820</v>
      </c>
      <c r="D3187" s="941" t="s">
        <v>4052</v>
      </c>
      <c r="E3187" s="1044">
        <v>665</v>
      </c>
      <c r="F3187" s="1044">
        <v>2374.0499999999997</v>
      </c>
      <c r="G3187" s="1309" t="s">
        <v>4899</v>
      </c>
    </row>
    <row r="3188" spans="1:7">
      <c r="A3188" s="941">
        <v>21</v>
      </c>
      <c r="B3188" s="941" t="s">
        <v>4863</v>
      </c>
      <c r="C3188" s="1042">
        <v>355827875625839</v>
      </c>
      <c r="D3188" s="941" t="s">
        <v>3422</v>
      </c>
      <c r="E3188" s="1044">
        <v>665</v>
      </c>
      <c r="F3188" s="1044">
        <v>2374.0499999999997</v>
      </c>
      <c r="G3188" s="1309" t="s">
        <v>4899</v>
      </c>
    </row>
    <row r="3189" spans="1:7">
      <c r="A3189" s="941">
        <v>22</v>
      </c>
      <c r="B3189" s="941" t="s">
        <v>4864</v>
      </c>
      <c r="C3189" s="1042">
        <v>351205740193198</v>
      </c>
      <c r="D3189" s="941" t="s">
        <v>4052</v>
      </c>
      <c r="E3189" s="1044">
        <v>1200</v>
      </c>
      <c r="F3189" s="1044">
        <v>4284</v>
      </c>
      <c r="G3189" s="1309"/>
    </row>
    <row r="3190" spans="1:7">
      <c r="A3190" s="941">
        <v>23</v>
      </c>
      <c r="B3190" s="941" t="s">
        <v>4864</v>
      </c>
      <c r="C3190" s="1042">
        <v>358902517951922</v>
      </c>
      <c r="D3190" s="941" t="s">
        <v>3422</v>
      </c>
      <c r="E3190" s="1044">
        <v>1150</v>
      </c>
      <c r="F3190" s="1044">
        <v>4105.5</v>
      </c>
      <c r="G3190" s="1309"/>
    </row>
    <row r="3191" spans="1:7">
      <c r="A3191" s="941">
        <v>24</v>
      </c>
      <c r="B3191" s="941" t="s">
        <v>4864</v>
      </c>
      <c r="C3191" s="1042">
        <v>351205740357207</v>
      </c>
      <c r="D3191" s="941" t="s">
        <v>4052</v>
      </c>
      <c r="E3191" s="1044">
        <v>1200</v>
      </c>
      <c r="F3191" s="1044">
        <v>4284</v>
      </c>
      <c r="G3191" s="1309"/>
    </row>
    <row r="3192" spans="1:7">
      <c r="A3192" s="941">
        <v>25</v>
      </c>
      <c r="B3192" s="941" t="s">
        <v>4865</v>
      </c>
      <c r="C3192" s="1042">
        <v>358112936200980</v>
      </c>
      <c r="D3192" s="941" t="s">
        <v>4052</v>
      </c>
      <c r="E3192" s="1044">
        <v>920</v>
      </c>
      <c r="F3192" s="1044">
        <v>3284.3999999999996</v>
      </c>
      <c r="G3192" s="1309"/>
    </row>
    <row r="3193" spans="1:7">
      <c r="A3193" s="941">
        <v>26</v>
      </c>
      <c r="B3193" s="941" t="s">
        <v>4866</v>
      </c>
      <c r="C3193" s="1042" t="s">
        <v>4867</v>
      </c>
      <c r="D3193" s="941" t="s">
        <v>4052</v>
      </c>
      <c r="E3193" s="1044">
        <v>580</v>
      </c>
      <c r="F3193" s="1044">
        <v>2070.6</v>
      </c>
      <c r="G3193" s="1309"/>
    </row>
    <row r="3194" spans="1:7">
      <c r="A3194" s="941">
        <v>27</v>
      </c>
      <c r="B3194" s="941" t="s">
        <v>4868</v>
      </c>
      <c r="C3194" s="1042" t="s">
        <v>4869</v>
      </c>
      <c r="D3194" s="941" t="s">
        <v>4052</v>
      </c>
      <c r="E3194" s="1044">
        <v>1030</v>
      </c>
      <c r="F3194" s="1044">
        <v>3677.1</v>
      </c>
      <c r="G3194" s="1309" t="s">
        <v>4899</v>
      </c>
    </row>
    <row r="3195" spans="1:7">
      <c r="A3195" s="941">
        <v>28</v>
      </c>
      <c r="B3195" s="941" t="s">
        <v>4870</v>
      </c>
      <c r="C3195" s="1042" t="s">
        <v>4871</v>
      </c>
      <c r="D3195" s="941" t="s">
        <v>4052</v>
      </c>
      <c r="E3195" s="1044">
        <v>1030</v>
      </c>
      <c r="F3195" s="1044">
        <v>3677.1</v>
      </c>
      <c r="G3195" s="1309" t="s">
        <v>4899</v>
      </c>
    </row>
    <row r="3196" spans="1:7">
      <c r="A3196" s="941">
        <v>29</v>
      </c>
      <c r="B3196" s="941" t="s">
        <v>4872</v>
      </c>
      <c r="C3196" s="1042">
        <v>352355707872844</v>
      </c>
      <c r="D3196" s="941" t="s">
        <v>4052</v>
      </c>
      <c r="E3196" s="1044">
        <v>1030</v>
      </c>
      <c r="F3196" s="1044">
        <v>3677.1</v>
      </c>
    </row>
    <row r="3197" spans="1:7">
      <c r="A3197" s="941">
        <v>30</v>
      </c>
      <c r="B3197" s="941" t="s">
        <v>4872</v>
      </c>
      <c r="C3197" s="1042">
        <v>352355703294001</v>
      </c>
      <c r="D3197" s="941" t="s">
        <v>4052</v>
      </c>
      <c r="E3197" s="1044">
        <v>1030</v>
      </c>
      <c r="F3197" s="1044">
        <v>3677.1</v>
      </c>
    </row>
    <row r="3198" spans="1:7">
      <c r="A3198" s="941">
        <v>31</v>
      </c>
      <c r="B3198" s="941" t="s">
        <v>4872</v>
      </c>
      <c r="C3198" s="1042">
        <v>352355702222268</v>
      </c>
      <c r="D3198" s="941" t="s">
        <v>4052</v>
      </c>
      <c r="E3198" s="1044">
        <v>1030</v>
      </c>
      <c r="F3198" s="1044">
        <v>3677.1</v>
      </c>
    </row>
    <row r="3199" spans="1:7">
      <c r="A3199" s="941">
        <v>32</v>
      </c>
      <c r="B3199" s="941" t="s">
        <v>4872</v>
      </c>
      <c r="C3199" s="1042">
        <v>352355707399269</v>
      </c>
      <c r="D3199" s="941" t="s">
        <v>4052</v>
      </c>
      <c r="E3199" s="1044">
        <v>1030</v>
      </c>
      <c r="F3199" s="1044">
        <v>3677.1</v>
      </c>
    </row>
    <row r="3200" spans="1:7">
      <c r="A3200" s="941">
        <v>33</v>
      </c>
      <c r="B3200" s="941" t="s">
        <v>4872</v>
      </c>
      <c r="C3200" s="1042">
        <v>352355708437159</v>
      </c>
      <c r="D3200" s="941" t="s">
        <v>4052</v>
      </c>
      <c r="E3200" s="1044">
        <v>1030</v>
      </c>
      <c r="F3200" s="1044">
        <v>3677.1</v>
      </c>
    </row>
    <row r="3201" spans="1:6">
      <c r="A3201" s="941">
        <v>34</v>
      </c>
      <c r="B3201" s="941" t="s">
        <v>4872</v>
      </c>
      <c r="C3201" s="1042">
        <v>352355701407886</v>
      </c>
      <c r="D3201" s="941" t="s">
        <v>4873</v>
      </c>
      <c r="E3201" s="1044">
        <v>1030</v>
      </c>
      <c r="F3201" s="1044">
        <v>3677.1</v>
      </c>
    </row>
    <row r="3202" spans="1:6">
      <c r="A3202" s="941">
        <v>35</v>
      </c>
      <c r="B3202" s="941" t="s">
        <v>4872</v>
      </c>
      <c r="C3202" s="1042">
        <v>352355707925519</v>
      </c>
      <c r="D3202" s="941" t="s">
        <v>4052</v>
      </c>
      <c r="E3202" s="1044">
        <v>1030</v>
      </c>
      <c r="F3202" s="1044">
        <v>3677.1</v>
      </c>
    </row>
    <row r="3203" spans="1:6">
      <c r="A3203" s="941">
        <v>36</v>
      </c>
      <c r="B3203" s="941" t="s">
        <v>4872</v>
      </c>
      <c r="C3203" s="1042">
        <v>352355704514183</v>
      </c>
      <c r="D3203" s="941" t="s">
        <v>4052</v>
      </c>
      <c r="E3203" s="1044">
        <v>1030</v>
      </c>
      <c r="F3203" s="1044">
        <v>3677.1</v>
      </c>
    </row>
    <row r="3204" spans="1:6">
      <c r="A3204" s="941">
        <v>37</v>
      </c>
      <c r="B3204" s="941" t="s">
        <v>4874</v>
      </c>
      <c r="C3204" s="1042" t="s">
        <v>4875</v>
      </c>
      <c r="D3204" s="941" t="s">
        <v>4052</v>
      </c>
      <c r="E3204" s="1044">
        <v>560</v>
      </c>
      <c r="F3204" s="1044">
        <v>1999.1999999999998</v>
      </c>
    </row>
    <row r="3205" spans="1:6">
      <c r="A3205" s="941">
        <v>38</v>
      </c>
      <c r="B3205" s="941" t="s">
        <v>4874</v>
      </c>
      <c r="C3205" s="1042" t="s">
        <v>4876</v>
      </c>
      <c r="D3205" s="941" t="s">
        <v>4052</v>
      </c>
      <c r="E3205" s="1044">
        <v>560</v>
      </c>
      <c r="F3205" s="1044">
        <v>1999.1999999999998</v>
      </c>
    </row>
    <row r="3206" spans="1:6">
      <c r="A3206" s="941">
        <v>39</v>
      </c>
      <c r="B3206" s="941" t="s">
        <v>4874</v>
      </c>
      <c r="C3206" s="1042" t="s">
        <v>4877</v>
      </c>
      <c r="D3206" s="941" t="s">
        <v>4052</v>
      </c>
      <c r="E3206" s="1044">
        <v>560</v>
      </c>
      <c r="F3206" s="1044">
        <v>1999.1999999999998</v>
      </c>
    </row>
    <row r="3207" spans="1:6">
      <c r="A3207" s="941">
        <v>40</v>
      </c>
      <c r="B3207" s="941" t="s">
        <v>4878</v>
      </c>
      <c r="C3207" s="1042" t="s">
        <v>4879</v>
      </c>
      <c r="D3207" s="941" t="s">
        <v>4052</v>
      </c>
      <c r="E3207" s="1044">
        <v>560</v>
      </c>
      <c r="F3207" s="1044">
        <v>1999.1999999999998</v>
      </c>
    </row>
    <row r="3208" spans="1:6">
      <c r="A3208" s="941">
        <v>41</v>
      </c>
      <c r="B3208" s="941" t="s">
        <v>4878</v>
      </c>
      <c r="C3208" s="1042" t="s">
        <v>4880</v>
      </c>
      <c r="D3208" s="941" t="s">
        <v>4052</v>
      </c>
      <c r="E3208" s="1044">
        <v>560</v>
      </c>
      <c r="F3208" s="1044">
        <v>1999.1999999999998</v>
      </c>
    </row>
    <row r="3209" spans="1:6">
      <c r="A3209" s="941">
        <v>42</v>
      </c>
      <c r="B3209" s="941" t="s">
        <v>4881</v>
      </c>
      <c r="C3209" s="1042" t="s">
        <v>4882</v>
      </c>
      <c r="D3209" s="941" t="s">
        <v>4052</v>
      </c>
      <c r="E3209" s="1044">
        <v>1850</v>
      </c>
      <c r="F3209" s="1044">
        <v>6604.5</v>
      </c>
    </row>
    <row r="3210" spans="1:6">
      <c r="A3210" s="941">
        <v>43</v>
      </c>
      <c r="B3210" s="941" t="s">
        <v>4883</v>
      </c>
      <c r="C3210" s="1042" t="s">
        <v>4884</v>
      </c>
      <c r="D3210" s="941"/>
      <c r="E3210" s="1044">
        <v>350</v>
      </c>
      <c r="F3210" s="1044">
        <v>1249.5</v>
      </c>
    </row>
    <row r="3211" spans="1:6">
      <c r="A3211" s="941">
        <v>44</v>
      </c>
      <c r="B3211" s="941" t="s">
        <v>4883</v>
      </c>
      <c r="C3211" s="1042" t="s">
        <v>4885</v>
      </c>
      <c r="D3211" s="941"/>
      <c r="E3211" s="1044">
        <v>350</v>
      </c>
      <c r="F3211" s="1044">
        <v>1249.5</v>
      </c>
    </row>
    <row r="3212" spans="1:6">
      <c r="A3212" s="941">
        <v>45</v>
      </c>
      <c r="B3212" s="941" t="s">
        <v>4883</v>
      </c>
      <c r="C3212" s="1042" t="s">
        <v>4886</v>
      </c>
      <c r="D3212" s="941"/>
      <c r="E3212" s="1044">
        <v>350</v>
      </c>
      <c r="F3212" s="1044">
        <v>1249.5</v>
      </c>
    </row>
    <row r="3213" spans="1:6">
      <c r="A3213" s="941">
        <v>46</v>
      </c>
      <c r="B3213" s="941" t="s">
        <v>4883</v>
      </c>
      <c r="C3213" s="1042" t="s">
        <v>4887</v>
      </c>
      <c r="D3213" s="941"/>
      <c r="E3213" s="1044">
        <v>350</v>
      </c>
      <c r="F3213" s="1044">
        <v>1249.5</v>
      </c>
    </row>
    <row r="3214" spans="1:6">
      <c r="A3214" s="941">
        <v>47</v>
      </c>
      <c r="B3214" s="941" t="s">
        <v>4883</v>
      </c>
      <c r="C3214" s="1042" t="s">
        <v>4888</v>
      </c>
      <c r="D3214" s="941"/>
      <c r="E3214" s="1044">
        <v>350</v>
      </c>
      <c r="F3214" s="1044">
        <v>1249.5</v>
      </c>
    </row>
    <row r="3215" spans="1:6">
      <c r="A3215" s="941">
        <v>48</v>
      </c>
      <c r="B3215" s="941" t="s">
        <v>4883</v>
      </c>
      <c r="C3215" s="1042" t="s">
        <v>4889</v>
      </c>
      <c r="D3215" s="941"/>
      <c r="E3215" s="1044">
        <v>350</v>
      </c>
      <c r="F3215" s="1044">
        <v>1249.5</v>
      </c>
    </row>
    <row r="3216" spans="1:6">
      <c r="A3216" s="941">
        <v>49</v>
      </c>
      <c r="B3216" s="941" t="s">
        <v>4890</v>
      </c>
      <c r="C3216" s="1042" t="s">
        <v>4891</v>
      </c>
      <c r="D3216" s="941"/>
      <c r="E3216" s="1044">
        <v>350</v>
      </c>
      <c r="F3216" s="1044">
        <v>1249.5</v>
      </c>
    </row>
    <row r="3217" spans="1:6">
      <c r="A3217" s="941">
        <v>50</v>
      </c>
      <c r="B3217" s="941" t="s">
        <v>4890</v>
      </c>
      <c r="C3217" s="1042" t="s">
        <v>4892</v>
      </c>
      <c r="D3217" s="941"/>
      <c r="E3217" s="1044">
        <v>350</v>
      </c>
      <c r="F3217" s="1044">
        <v>1249.5</v>
      </c>
    </row>
    <row r="3218" spans="1:6">
      <c r="A3218" s="941">
        <v>51</v>
      </c>
      <c r="B3218" s="941" t="s">
        <v>4890</v>
      </c>
      <c r="C3218" s="1042" t="s">
        <v>4893</v>
      </c>
      <c r="D3218" s="941"/>
      <c r="E3218" s="1044">
        <v>350</v>
      </c>
      <c r="F3218" s="1044">
        <v>1249.5</v>
      </c>
    </row>
    <row r="3219" spans="1:6">
      <c r="A3219" s="941">
        <v>52</v>
      </c>
      <c r="B3219" s="941" t="s">
        <v>4890</v>
      </c>
      <c r="C3219" s="1042" t="s">
        <v>4894</v>
      </c>
      <c r="D3219" s="941"/>
      <c r="E3219" s="1044">
        <v>350</v>
      </c>
      <c r="F3219" s="1044">
        <v>1249.5</v>
      </c>
    </row>
    <row r="3220" spans="1:6">
      <c r="A3220" s="941">
        <v>53</v>
      </c>
      <c r="B3220" s="941" t="s">
        <v>4890</v>
      </c>
      <c r="C3220" s="1042" t="s">
        <v>4895</v>
      </c>
      <c r="D3220" s="941"/>
      <c r="E3220" s="1044">
        <v>350</v>
      </c>
      <c r="F3220" s="1044">
        <v>1249.5</v>
      </c>
    </row>
    <row r="3221" spans="1:6">
      <c r="A3221" s="941">
        <v>54</v>
      </c>
      <c r="B3221" s="941" t="s">
        <v>4890</v>
      </c>
      <c r="C3221" s="1042" t="s">
        <v>4896</v>
      </c>
      <c r="D3221" s="941"/>
      <c r="E3221" s="1044">
        <v>350</v>
      </c>
      <c r="F3221" s="1044">
        <v>1249.5</v>
      </c>
    </row>
    <row r="3222" spans="1:6">
      <c r="A3222" s="941">
        <v>55</v>
      </c>
      <c r="B3222" s="941" t="s">
        <v>4897</v>
      </c>
      <c r="C3222" s="1042" t="s">
        <v>4898</v>
      </c>
      <c r="D3222" s="941"/>
      <c r="E3222" s="1044">
        <v>350</v>
      </c>
      <c r="F3222" s="1044">
        <v>1249.5</v>
      </c>
    </row>
    <row r="3223" spans="1:6" ht="18.75">
      <c r="A3223" s="1300"/>
      <c r="B3223" s="1300"/>
      <c r="C3223" s="1300"/>
      <c r="D3223" s="1300"/>
      <c r="E3223" s="1301">
        <v>31960</v>
      </c>
      <c r="F3223" s="1302">
        <v>114097.2</v>
      </c>
    </row>
    <row r="3229" spans="1:6">
      <c r="A3229" s="1498" t="s">
        <v>1</v>
      </c>
      <c r="B3229" s="1498"/>
      <c r="C3229" s="809" t="s">
        <v>4832</v>
      </c>
      <c r="D3229" s="809"/>
    </row>
    <row r="3230" spans="1:6">
      <c r="A3230" s="1498" t="s">
        <v>2416</v>
      </c>
      <c r="B3230" s="1498"/>
      <c r="C3230" s="809" t="s">
        <v>4902</v>
      </c>
      <c r="D3230" s="809"/>
    </row>
    <row r="3231" spans="1:6">
      <c r="A3231" s="1299">
        <v>1</v>
      </c>
      <c r="B3231" s="1299" t="s">
        <v>4903</v>
      </c>
      <c r="C3231" s="679">
        <v>351042462534725</v>
      </c>
      <c r="D3231" s="143">
        <v>2550</v>
      </c>
    </row>
    <row r="3232" spans="1:6">
      <c r="A3232" s="1299">
        <v>2</v>
      </c>
      <c r="B3232" s="1299" t="s">
        <v>4903</v>
      </c>
      <c r="C3232" s="679">
        <v>351042462578128</v>
      </c>
      <c r="D3232" s="143">
        <v>2550</v>
      </c>
    </row>
    <row r="3233" spans="1:7">
      <c r="A3233" s="1299">
        <v>3</v>
      </c>
      <c r="B3233" s="1299" t="s">
        <v>4904</v>
      </c>
      <c r="C3233" s="679">
        <v>350308855224492</v>
      </c>
      <c r="D3233" s="143">
        <v>2550</v>
      </c>
    </row>
    <row r="3234" spans="1:7">
      <c r="A3234" s="1299">
        <v>4</v>
      </c>
      <c r="B3234" s="1299" t="s">
        <v>4905</v>
      </c>
      <c r="C3234" s="679">
        <v>350687013324116</v>
      </c>
      <c r="D3234" s="143">
        <v>2450</v>
      </c>
    </row>
    <row r="3235" spans="1:7">
      <c r="A3235" s="1299">
        <v>5</v>
      </c>
      <c r="B3235" s="1299" t="s">
        <v>4906</v>
      </c>
      <c r="C3235" s="679">
        <v>350520600682614</v>
      </c>
      <c r="D3235" s="143">
        <v>2450</v>
      </c>
    </row>
    <row r="3236" spans="1:7">
      <c r="A3236" s="1299">
        <v>6</v>
      </c>
      <c r="B3236" s="1299" t="s">
        <v>4906</v>
      </c>
      <c r="C3236" s="679">
        <v>350520600313491</v>
      </c>
      <c r="D3236" s="143">
        <v>2450</v>
      </c>
    </row>
    <row r="3237" spans="1:7">
      <c r="A3237" s="1299">
        <v>7</v>
      </c>
      <c r="B3237" s="1299" t="s">
        <v>4906</v>
      </c>
      <c r="C3237" s="679">
        <v>350520600764388</v>
      </c>
      <c r="D3237" s="143">
        <v>2450</v>
      </c>
    </row>
    <row r="3238" spans="1:7">
      <c r="D3238" s="27">
        <f>SUM(D3231:D3237)</f>
        <v>17450</v>
      </c>
    </row>
    <row r="3244" spans="1:7">
      <c r="A3244" s="1313"/>
      <c r="B3244" s="1313" t="s">
        <v>1</v>
      </c>
      <c r="C3244" s="1314" t="s">
        <v>4827</v>
      </c>
      <c r="D3244" s="1314"/>
      <c r="E3244" s="1314"/>
      <c r="F3244" s="1314"/>
      <c r="G3244" s="1309"/>
    </row>
    <row r="3245" spans="1:7">
      <c r="A3245" s="1313" t="s">
        <v>3928</v>
      </c>
      <c r="B3245" s="1313" t="s">
        <v>2416</v>
      </c>
      <c r="C3245" s="1314" t="s">
        <v>4910</v>
      </c>
      <c r="D3245" s="1314" t="s">
        <v>2423</v>
      </c>
      <c r="E3245" s="1314" t="s">
        <v>3734</v>
      </c>
      <c r="F3245" s="1314" t="s">
        <v>3111</v>
      </c>
      <c r="G3245" s="1309"/>
    </row>
    <row r="3246" spans="1:7">
      <c r="A3246" s="941">
        <v>1</v>
      </c>
      <c r="B3246" s="941" t="s">
        <v>4911</v>
      </c>
      <c r="C3246" s="1042" t="s">
        <v>4912</v>
      </c>
      <c r="D3246" s="940"/>
      <c r="E3246" s="1044">
        <v>370</v>
      </c>
      <c r="F3246" s="1044">
        <v>1320.8999999999999</v>
      </c>
      <c r="G3246" s="1309"/>
    </row>
    <row r="3247" spans="1:7">
      <c r="A3247" s="941">
        <v>2</v>
      </c>
      <c r="B3247" s="941" t="s">
        <v>4911</v>
      </c>
      <c r="C3247" s="1042" t="s">
        <v>4913</v>
      </c>
      <c r="D3247" s="940"/>
      <c r="E3247" s="1044">
        <v>370</v>
      </c>
      <c r="F3247" s="1044">
        <v>1320.8999999999999</v>
      </c>
      <c r="G3247" s="1309"/>
    </row>
    <row r="3248" spans="1:7">
      <c r="A3248" s="941">
        <v>3</v>
      </c>
      <c r="B3248" s="941" t="s">
        <v>4911</v>
      </c>
      <c r="C3248" s="1042" t="s">
        <v>4914</v>
      </c>
      <c r="D3248" s="940"/>
      <c r="E3248" s="1044">
        <v>370</v>
      </c>
      <c r="F3248" s="1044">
        <v>1320.8999999999999</v>
      </c>
      <c r="G3248" s="1309"/>
    </row>
    <row r="3249" spans="1:7">
      <c r="A3249" s="941">
        <v>4</v>
      </c>
      <c r="B3249" s="941" t="s">
        <v>4911</v>
      </c>
      <c r="C3249" s="1042" t="s">
        <v>4915</v>
      </c>
      <c r="D3249" s="940"/>
      <c r="E3249" s="1044">
        <v>370</v>
      </c>
      <c r="F3249" s="1044">
        <v>1320.8999999999999</v>
      </c>
      <c r="G3249" s="1309"/>
    </row>
    <row r="3250" spans="1:7">
      <c r="A3250" s="941">
        <v>5</v>
      </c>
      <c r="B3250" s="941" t="s">
        <v>4911</v>
      </c>
      <c r="C3250" s="1042" t="s">
        <v>4916</v>
      </c>
      <c r="D3250" s="940"/>
      <c r="E3250" s="1044">
        <v>370</v>
      </c>
      <c r="F3250" s="1044">
        <v>1320.8999999999999</v>
      </c>
      <c r="G3250" s="1309"/>
    </row>
    <row r="3251" spans="1:7">
      <c r="A3251" s="941">
        <v>6</v>
      </c>
      <c r="B3251" s="941" t="s">
        <v>4911</v>
      </c>
      <c r="C3251" s="1042" t="s">
        <v>4917</v>
      </c>
      <c r="D3251" s="940"/>
      <c r="E3251" s="1044">
        <v>370</v>
      </c>
      <c r="F3251" s="1044">
        <v>1320.8999999999999</v>
      </c>
      <c r="G3251" s="1309"/>
    </row>
    <row r="3252" spans="1:7">
      <c r="A3252" s="941">
        <v>7</v>
      </c>
      <c r="B3252" s="941" t="s">
        <v>4911</v>
      </c>
      <c r="C3252" s="1042" t="s">
        <v>4918</v>
      </c>
      <c r="D3252" s="940"/>
      <c r="E3252" s="1044">
        <v>370</v>
      </c>
      <c r="F3252" s="1044">
        <v>1320.8999999999999</v>
      </c>
      <c r="G3252" s="1309"/>
    </row>
    <row r="3253" spans="1:7">
      <c r="A3253" s="941">
        <v>8</v>
      </c>
      <c r="B3253" s="941" t="s">
        <v>4911</v>
      </c>
      <c r="C3253" s="1042" t="s">
        <v>4919</v>
      </c>
      <c r="D3253" s="940"/>
      <c r="E3253" s="1044">
        <v>370</v>
      </c>
      <c r="F3253" s="1044">
        <v>1320.8999999999999</v>
      </c>
      <c r="G3253" s="1309"/>
    </row>
    <row r="3254" spans="1:7">
      <c r="A3254" s="941">
        <v>9</v>
      </c>
      <c r="B3254" s="941" t="s">
        <v>4911</v>
      </c>
      <c r="C3254" s="1042" t="s">
        <v>4920</v>
      </c>
      <c r="D3254" s="940"/>
      <c r="E3254" s="1044">
        <v>370</v>
      </c>
      <c r="F3254" s="1044">
        <v>1320.8999999999999</v>
      </c>
      <c r="G3254" s="1309"/>
    </row>
    <row r="3255" spans="1:7">
      <c r="A3255" s="941">
        <v>10</v>
      </c>
      <c r="B3255" s="941" t="s">
        <v>4911</v>
      </c>
      <c r="C3255" s="1042" t="s">
        <v>4921</v>
      </c>
      <c r="D3255" s="940"/>
      <c r="E3255" s="1044">
        <v>370</v>
      </c>
      <c r="F3255" s="1044">
        <v>1320.8999999999999</v>
      </c>
      <c r="G3255" s="1309"/>
    </row>
    <row r="3256" spans="1:7">
      <c r="A3256" s="941">
        <v>11</v>
      </c>
      <c r="B3256" s="941" t="s">
        <v>4911</v>
      </c>
      <c r="C3256" s="1042" t="s">
        <v>4922</v>
      </c>
      <c r="D3256" s="940"/>
      <c r="E3256" s="1044">
        <v>370</v>
      </c>
      <c r="F3256" s="1044">
        <v>1320.8999999999999</v>
      </c>
      <c r="G3256" s="1309"/>
    </row>
    <row r="3257" spans="1:7">
      <c r="A3257" s="941">
        <v>12</v>
      </c>
      <c r="B3257" s="941" t="s">
        <v>4911</v>
      </c>
      <c r="C3257" s="1042" t="s">
        <v>4923</v>
      </c>
      <c r="D3257" s="940"/>
      <c r="E3257" s="1044">
        <v>370</v>
      </c>
      <c r="F3257" s="1044">
        <v>1320.8999999999999</v>
      </c>
      <c r="G3257" s="1309"/>
    </row>
    <row r="3258" spans="1:7">
      <c r="A3258" s="941">
        <v>13</v>
      </c>
      <c r="B3258" s="941" t="s">
        <v>4911</v>
      </c>
      <c r="C3258" s="1042" t="s">
        <v>4924</v>
      </c>
      <c r="D3258" s="940"/>
      <c r="E3258" s="1044">
        <v>370</v>
      </c>
      <c r="F3258" s="1044">
        <v>1320.8999999999999</v>
      </c>
      <c r="G3258" s="1309"/>
    </row>
    <row r="3259" spans="1:7">
      <c r="A3259" s="941">
        <v>14</v>
      </c>
      <c r="B3259" s="941" t="s">
        <v>4911</v>
      </c>
      <c r="C3259" s="1042" t="s">
        <v>4925</v>
      </c>
      <c r="D3259" s="940"/>
      <c r="E3259" s="1044">
        <v>370</v>
      </c>
      <c r="F3259" s="1044">
        <v>1320.8999999999999</v>
      </c>
      <c r="G3259" s="1309"/>
    </row>
    <row r="3260" spans="1:7">
      <c r="A3260" s="941">
        <v>15</v>
      </c>
      <c r="B3260" s="941" t="s">
        <v>4911</v>
      </c>
      <c r="C3260" s="1042" t="s">
        <v>4926</v>
      </c>
      <c r="D3260" s="940"/>
      <c r="E3260" s="1044">
        <v>370</v>
      </c>
      <c r="F3260" s="1044">
        <v>1320.8999999999999</v>
      </c>
      <c r="G3260" s="1309"/>
    </row>
    <row r="3261" spans="1:7">
      <c r="A3261" s="941">
        <v>16</v>
      </c>
      <c r="B3261" s="941" t="s">
        <v>4834</v>
      </c>
      <c r="C3261" s="1042" t="s">
        <v>4927</v>
      </c>
      <c r="D3261" s="940"/>
      <c r="E3261" s="1044">
        <v>470</v>
      </c>
      <c r="F3261" s="1044">
        <v>1677.8999999999999</v>
      </c>
      <c r="G3261" s="1309"/>
    </row>
    <row r="3262" spans="1:7">
      <c r="A3262" s="941">
        <v>17</v>
      </c>
      <c r="B3262" s="941" t="s">
        <v>4834</v>
      </c>
      <c r="C3262" s="1042" t="s">
        <v>4928</v>
      </c>
      <c r="D3262" s="940"/>
      <c r="E3262" s="1044">
        <v>470</v>
      </c>
      <c r="F3262" s="1044">
        <v>1677.8999999999999</v>
      </c>
      <c r="G3262" s="1309"/>
    </row>
    <row r="3263" spans="1:7">
      <c r="A3263" s="941">
        <v>18</v>
      </c>
      <c r="B3263" s="941" t="s">
        <v>4834</v>
      </c>
      <c r="C3263" s="1042" t="s">
        <v>4929</v>
      </c>
      <c r="D3263" s="940"/>
      <c r="E3263" s="1044">
        <v>470</v>
      </c>
      <c r="F3263" s="1044">
        <v>1677.8999999999999</v>
      </c>
      <c r="G3263" s="1309"/>
    </row>
    <row r="3264" spans="1:7">
      <c r="A3264" s="941">
        <v>19</v>
      </c>
      <c r="B3264" s="941" t="s">
        <v>4834</v>
      </c>
      <c r="C3264" s="1042" t="s">
        <v>4930</v>
      </c>
      <c r="D3264" s="940"/>
      <c r="E3264" s="1044">
        <v>470</v>
      </c>
      <c r="F3264" s="1044">
        <v>1677.8999999999999</v>
      </c>
      <c r="G3264" s="1309"/>
    </row>
    <row r="3265" spans="1:7">
      <c r="A3265" s="941">
        <v>20</v>
      </c>
      <c r="B3265" s="941" t="s">
        <v>4834</v>
      </c>
      <c r="C3265" s="1042" t="s">
        <v>4931</v>
      </c>
      <c r="D3265" s="940"/>
      <c r="E3265" s="1044">
        <v>470</v>
      </c>
      <c r="F3265" s="1044">
        <v>1677.8999999999999</v>
      </c>
      <c r="G3265" s="1309"/>
    </row>
    <row r="3266" spans="1:7">
      <c r="A3266" s="941">
        <v>21</v>
      </c>
      <c r="B3266" s="941" t="s">
        <v>4834</v>
      </c>
      <c r="C3266" s="1042" t="s">
        <v>4932</v>
      </c>
      <c r="D3266" s="940"/>
      <c r="E3266" s="1044">
        <v>470</v>
      </c>
      <c r="F3266" s="1044">
        <v>1677.8999999999999</v>
      </c>
      <c r="G3266" s="1309"/>
    </row>
    <row r="3267" spans="1:7">
      <c r="A3267" s="941">
        <v>22</v>
      </c>
      <c r="B3267" s="941" t="s">
        <v>4834</v>
      </c>
      <c r="C3267" s="1042" t="s">
        <v>4933</v>
      </c>
      <c r="D3267" s="940"/>
      <c r="E3267" s="1044">
        <v>470</v>
      </c>
      <c r="F3267" s="1044">
        <v>1677.8999999999999</v>
      </c>
      <c r="G3267" s="1309"/>
    </row>
    <row r="3268" spans="1:7">
      <c r="A3268" s="941">
        <v>23</v>
      </c>
      <c r="B3268" s="941" t="s">
        <v>4834</v>
      </c>
      <c r="C3268" s="1042" t="s">
        <v>4934</v>
      </c>
      <c r="D3268" s="940"/>
      <c r="E3268" s="1044">
        <v>470</v>
      </c>
      <c r="F3268" s="1044">
        <v>1677.8999999999999</v>
      </c>
      <c r="G3268" s="1309"/>
    </row>
    <row r="3269" spans="1:7">
      <c r="A3269" s="941">
        <v>24</v>
      </c>
      <c r="B3269" s="941" t="s">
        <v>4834</v>
      </c>
      <c r="C3269" s="1042" t="s">
        <v>4935</v>
      </c>
      <c r="D3269" s="940"/>
      <c r="E3269" s="1044">
        <v>470</v>
      </c>
      <c r="F3269" s="1044">
        <v>1677.8999999999999</v>
      </c>
      <c r="G3269" s="1309"/>
    </row>
    <row r="3270" spans="1:7">
      <c r="A3270" s="941">
        <v>25</v>
      </c>
      <c r="B3270" s="941" t="s">
        <v>4834</v>
      </c>
      <c r="C3270" s="1042" t="s">
        <v>4936</v>
      </c>
      <c r="D3270" s="940"/>
      <c r="E3270" s="1044">
        <v>470</v>
      </c>
      <c r="F3270" s="1044">
        <v>1677.8999999999999</v>
      </c>
      <c r="G3270" s="1309"/>
    </row>
    <row r="3271" spans="1:7">
      <c r="A3271" s="941">
        <v>26</v>
      </c>
      <c r="B3271" s="941" t="s">
        <v>4834</v>
      </c>
      <c r="C3271" s="1042" t="s">
        <v>4937</v>
      </c>
      <c r="D3271" s="940"/>
      <c r="E3271" s="1044">
        <v>470</v>
      </c>
      <c r="F3271" s="1044">
        <v>1677.8999999999999</v>
      </c>
      <c r="G3271" s="1309"/>
    </row>
    <row r="3272" spans="1:7">
      <c r="A3272" s="941">
        <v>27</v>
      </c>
      <c r="B3272" s="941" t="s">
        <v>4834</v>
      </c>
      <c r="C3272" s="1042" t="s">
        <v>4938</v>
      </c>
      <c r="D3272" s="940"/>
      <c r="E3272" s="1044">
        <v>470</v>
      </c>
      <c r="F3272" s="1044">
        <v>1677.8999999999999</v>
      </c>
      <c r="G3272" s="1309"/>
    </row>
    <row r="3273" spans="1:7">
      <c r="A3273" s="941">
        <v>28</v>
      </c>
      <c r="B3273" s="941" t="s">
        <v>4834</v>
      </c>
      <c r="C3273" s="1042" t="s">
        <v>4939</v>
      </c>
      <c r="D3273" s="940"/>
      <c r="E3273" s="1044">
        <v>470</v>
      </c>
      <c r="F3273" s="1044">
        <v>1677.8999999999999</v>
      </c>
      <c r="G3273" s="1309"/>
    </row>
    <row r="3274" spans="1:7">
      <c r="A3274" s="941">
        <v>29</v>
      </c>
      <c r="B3274" s="941" t="s">
        <v>4834</v>
      </c>
      <c r="C3274" s="1042" t="s">
        <v>4940</v>
      </c>
      <c r="D3274" s="940"/>
      <c r="E3274" s="1044">
        <v>470</v>
      </c>
      <c r="F3274" s="1044">
        <v>1677.8999999999999</v>
      </c>
      <c r="G3274" s="1309"/>
    </row>
    <row r="3275" spans="1:7">
      <c r="A3275" s="941">
        <v>30</v>
      </c>
      <c r="B3275" s="941" t="s">
        <v>4834</v>
      </c>
      <c r="C3275" s="1042" t="s">
        <v>4941</v>
      </c>
      <c r="D3275" s="940"/>
      <c r="E3275" s="1044">
        <v>470</v>
      </c>
      <c r="F3275" s="1044">
        <v>1677.8999999999999</v>
      </c>
      <c r="G3275" s="1309"/>
    </row>
    <row r="3276" spans="1:7">
      <c r="A3276" s="941">
        <v>31</v>
      </c>
      <c r="B3276" s="941" t="s">
        <v>4834</v>
      </c>
      <c r="C3276" s="1042" t="s">
        <v>4942</v>
      </c>
      <c r="D3276" s="940"/>
      <c r="E3276" s="1044">
        <v>470</v>
      </c>
      <c r="F3276" s="1044">
        <v>1677.8999999999999</v>
      </c>
      <c r="G3276" s="1309"/>
    </row>
    <row r="3277" spans="1:7">
      <c r="A3277" s="941">
        <v>32</v>
      </c>
      <c r="B3277" s="941" t="s">
        <v>4834</v>
      </c>
      <c r="C3277" s="1042" t="s">
        <v>4943</v>
      </c>
      <c r="D3277" s="940"/>
      <c r="E3277" s="1044">
        <v>470</v>
      </c>
      <c r="F3277" s="1044">
        <v>1677.8999999999999</v>
      </c>
      <c r="G3277" s="1309"/>
    </row>
    <row r="3278" spans="1:7">
      <c r="A3278" s="941">
        <v>33</v>
      </c>
      <c r="B3278" s="941" t="s">
        <v>4834</v>
      </c>
      <c r="C3278" s="1042" t="s">
        <v>4944</v>
      </c>
      <c r="D3278" s="940"/>
      <c r="E3278" s="1044">
        <v>470</v>
      </c>
      <c r="F3278" s="1044">
        <v>1677.8999999999999</v>
      </c>
      <c r="G3278" s="1309"/>
    </row>
    <row r="3279" spans="1:7">
      <c r="A3279" s="941">
        <v>34</v>
      </c>
      <c r="B3279" s="941" t="s">
        <v>4834</v>
      </c>
      <c r="C3279" s="1042" t="s">
        <v>4945</v>
      </c>
      <c r="D3279" s="940"/>
      <c r="E3279" s="1044">
        <v>470</v>
      </c>
      <c r="F3279" s="1044">
        <v>1677.8999999999999</v>
      </c>
      <c r="G3279" s="1309"/>
    </row>
    <row r="3280" spans="1:7">
      <c r="A3280" s="941">
        <v>35</v>
      </c>
      <c r="B3280" s="941" t="s">
        <v>4834</v>
      </c>
      <c r="C3280" s="1042" t="s">
        <v>4946</v>
      </c>
      <c r="D3280" s="940"/>
      <c r="E3280" s="1044">
        <v>470</v>
      </c>
      <c r="F3280" s="1044">
        <v>1677.8999999999999</v>
      </c>
      <c r="G3280" s="1309"/>
    </row>
    <row r="3281" spans="1:7">
      <c r="A3281" s="941">
        <v>36</v>
      </c>
      <c r="B3281" s="941" t="s">
        <v>4834</v>
      </c>
      <c r="C3281" s="1042" t="s">
        <v>4947</v>
      </c>
      <c r="D3281" s="940"/>
      <c r="E3281" s="1044">
        <v>470</v>
      </c>
      <c r="F3281" s="1044">
        <v>1677.8999999999999</v>
      </c>
      <c r="G3281" s="1309"/>
    </row>
    <row r="3282" spans="1:7">
      <c r="A3282" s="941">
        <v>37</v>
      </c>
      <c r="B3282" s="941" t="s">
        <v>4834</v>
      </c>
      <c r="C3282" s="1042" t="s">
        <v>4948</v>
      </c>
      <c r="D3282" s="940"/>
      <c r="E3282" s="1044">
        <v>470</v>
      </c>
      <c r="F3282" s="1044">
        <v>1677.8999999999999</v>
      </c>
      <c r="G3282" s="1309"/>
    </row>
    <row r="3283" spans="1:7">
      <c r="A3283" s="941">
        <v>38</v>
      </c>
      <c r="B3283" s="941" t="s">
        <v>4834</v>
      </c>
      <c r="C3283" s="1042" t="s">
        <v>4949</v>
      </c>
      <c r="D3283" s="940"/>
      <c r="E3283" s="1044">
        <v>470</v>
      </c>
      <c r="F3283" s="1044">
        <v>1677.8999999999999</v>
      </c>
      <c r="G3283" s="1309"/>
    </row>
    <row r="3284" spans="1:7">
      <c r="A3284" s="941">
        <v>39</v>
      </c>
      <c r="B3284" s="941" t="s">
        <v>4834</v>
      </c>
      <c r="C3284" s="1042" t="s">
        <v>4950</v>
      </c>
      <c r="D3284" s="940"/>
      <c r="E3284" s="1044">
        <v>470</v>
      </c>
      <c r="F3284" s="1044">
        <v>1677.8999999999999</v>
      </c>
      <c r="G3284" s="1309"/>
    </row>
    <row r="3285" spans="1:7">
      <c r="A3285" s="941">
        <v>40</v>
      </c>
      <c r="B3285" s="941" t="s">
        <v>4834</v>
      </c>
      <c r="C3285" s="1042" t="s">
        <v>4951</v>
      </c>
      <c r="D3285" s="940"/>
      <c r="E3285" s="1044">
        <v>470</v>
      </c>
      <c r="F3285" s="1044">
        <v>1677.8999999999999</v>
      </c>
      <c r="G3285" s="1309"/>
    </row>
    <row r="3286" spans="1:7">
      <c r="A3286" s="941">
        <v>41</v>
      </c>
      <c r="B3286" s="941" t="s">
        <v>4834</v>
      </c>
      <c r="C3286" s="1042" t="s">
        <v>4952</v>
      </c>
      <c r="D3286" s="940"/>
      <c r="E3286" s="1044">
        <v>470</v>
      </c>
      <c r="F3286" s="1044">
        <v>1677.8999999999999</v>
      </c>
      <c r="G3286" s="1309"/>
    </row>
    <row r="3287" spans="1:7">
      <c r="A3287" s="941">
        <v>42</v>
      </c>
      <c r="B3287" s="941" t="s">
        <v>4834</v>
      </c>
      <c r="C3287" s="1042" t="s">
        <v>4953</v>
      </c>
      <c r="D3287" s="940"/>
      <c r="E3287" s="1044">
        <v>470</v>
      </c>
      <c r="F3287" s="1044">
        <v>1677.8999999999999</v>
      </c>
      <c r="G3287" s="1309"/>
    </row>
    <row r="3288" spans="1:7">
      <c r="A3288" s="941">
        <v>43</v>
      </c>
      <c r="B3288" s="941" t="s">
        <v>4954</v>
      </c>
      <c r="C3288" s="1042" t="s">
        <v>4955</v>
      </c>
      <c r="D3288" s="940"/>
      <c r="E3288" s="1044">
        <v>350</v>
      </c>
      <c r="F3288" s="1044">
        <v>1249.5</v>
      </c>
      <c r="G3288" s="1309"/>
    </row>
    <row r="3289" spans="1:7">
      <c r="A3289" s="941">
        <v>44</v>
      </c>
      <c r="B3289" s="941" t="s">
        <v>4954</v>
      </c>
      <c r="C3289" s="1042" t="s">
        <v>4956</v>
      </c>
      <c r="D3289" s="940"/>
      <c r="E3289" s="1044">
        <v>350</v>
      </c>
      <c r="F3289" s="1044">
        <v>1249.5</v>
      </c>
      <c r="G3289" s="1309"/>
    </row>
    <row r="3290" spans="1:7">
      <c r="A3290" s="941">
        <v>45</v>
      </c>
      <c r="B3290" s="941" t="s">
        <v>4957</v>
      </c>
      <c r="C3290" s="1042" t="s">
        <v>4958</v>
      </c>
      <c r="D3290" s="940"/>
      <c r="E3290" s="1044">
        <v>375</v>
      </c>
      <c r="F3290" s="1044">
        <v>1338.75</v>
      </c>
      <c r="G3290" s="1309"/>
    </row>
    <row r="3291" spans="1:7">
      <c r="A3291" s="941">
        <v>46</v>
      </c>
      <c r="B3291" s="941" t="s">
        <v>4959</v>
      </c>
      <c r="C3291" s="1042" t="s">
        <v>4960</v>
      </c>
      <c r="D3291" s="940" t="s">
        <v>4961</v>
      </c>
      <c r="E3291" s="1044">
        <v>315</v>
      </c>
      <c r="F3291" s="1044">
        <v>1124.55</v>
      </c>
      <c r="G3291" s="1309"/>
    </row>
    <row r="3292" spans="1:7">
      <c r="A3292" s="941">
        <v>47</v>
      </c>
      <c r="B3292" s="941" t="s">
        <v>4959</v>
      </c>
      <c r="C3292" s="1042" t="s">
        <v>4962</v>
      </c>
      <c r="D3292" s="940" t="s">
        <v>4961</v>
      </c>
      <c r="E3292" s="1044">
        <v>315</v>
      </c>
      <c r="F3292" s="1044">
        <v>1124.55</v>
      </c>
      <c r="G3292" s="1310"/>
    </row>
    <row r="3293" spans="1:7">
      <c r="A3293" s="941">
        <v>48</v>
      </c>
      <c r="B3293" s="941" t="s">
        <v>4963</v>
      </c>
      <c r="C3293" s="1042">
        <v>356187984941489</v>
      </c>
      <c r="D3293" s="940" t="s">
        <v>4961</v>
      </c>
      <c r="E3293" s="1044">
        <v>665</v>
      </c>
      <c r="F3293" s="1044">
        <v>2374.0499999999997</v>
      </c>
      <c r="G3293" s="1310" t="s">
        <v>4964</v>
      </c>
    </row>
    <row r="3294" spans="1:7">
      <c r="A3294" s="941">
        <v>49</v>
      </c>
      <c r="B3294" s="941" t="s">
        <v>4965</v>
      </c>
      <c r="C3294" s="1042">
        <v>358112937062223</v>
      </c>
      <c r="D3294" s="940" t="s">
        <v>4966</v>
      </c>
      <c r="E3294" s="1044">
        <v>800</v>
      </c>
      <c r="F3294" s="1044">
        <v>2856</v>
      </c>
      <c r="G3294" s="1310"/>
    </row>
    <row r="3295" spans="1:7">
      <c r="A3295" s="941">
        <v>50</v>
      </c>
      <c r="B3295" s="941" t="s">
        <v>4967</v>
      </c>
      <c r="C3295" s="1042">
        <v>352355709841441</v>
      </c>
      <c r="D3295" s="940" t="s">
        <v>4966</v>
      </c>
      <c r="E3295" s="1044">
        <v>1030</v>
      </c>
      <c r="F3295" s="1044">
        <v>3677.1</v>
      </c>
      <c r="G3295" s="1310" t="s">
        <v>4964</v>
      </c>
    </row>
    <row r="3296" spans="1:7">
      <c r="A3296" s="941">
        <v>51</v>
      </c>
      <c r="B3296" s="941" t="s">
        <v>4967</v>
      </c>
      <c r="C3296" s="1042">
        <v>352355700586482</v>
      </c>
      <c r="D3296" s="940" t="s">
        <v>4961</v>
      </c>
      <c r="E3296" s="1044">
        <v>1030</v>
      </c>
      <c r="F3296" s="1044">
        <v>3677.1</v>
      </c>
      <c r="G3296" s="1310"/>
    </row>
    <row r="3297" spans="1:7">
      <c r="A3297" s="941">
        <v>52</v>
      </c>
      <c r="B3297" s="941" t="s">
        <v>4967</v>
      </c>
      <c r="C3297" s="1042">
        <v>352355707452027</v>
      </c>
      <c r="D3297" s="940" t="s">
        <v>4961</v>
      </c>
      <c r="E3297" s="1044">
        <v>1030</v>
      </c>
      <c r="F3297" s="1044">
        <v>3677.1</v>
      </c>
      <c r="G3297" s="1310"/>
    </row>
    <row r="3298" spans="1:7">
      <c r="A3298" s="941">
        <v>53</v>
      </c>
      <c r="B3298" s="941" t="s">
        <v>4967</v>
      </c>
      <c r="C3298" s="1042">
        <v>352355701349914</v>
      </c>
      <c r="D3298" s="940" t="s">
        <v>4961</v>
      </c>
      <c r="E3298" s="1044">
        <v>1030</v>
      </c>
      <c r="F3298" s="1044">
        <v>3677.1</v>
      </c>
      <c r="G3298" s="1310"/>
    </row>
    <row r="3299" spans="1:7">
      <c r="A3299" s="941">
        <v>54</v>
      </c>
      <c r="B3299" s="941" t="s">
        <v>4967</v>
      </c>
      <c r="C3299" s="1042">
        <v>352355705236984</v>
      </c>
      <c r="D3299" s="940" t="s">
        <v>4961</v>
      </c>
      <c r="E3299" s="1044">
        <v>1030</v>
      </c>
      <c r="F3299" s="1044">
        <v>3677.1</v>
      </c>
      <c r="G3299" s="1310"/>
    </row>
    <row r="3300" spans="1:7">
      <c r="A3300" s="941">
        <v>55</v>
      </c>
      <c r="B3300" s="941" t="s">
        <v>4968</v>
      </c>
      <c r="C3300" s="1042" t="s">
        <v>4969</v>
      </c>
      <c r="D3300" s="940"/>
      <c r="E3300" s="1044">
        <v>350</v>
      </c>
      <c r="F3300" s="1044">
        <v>1249.5</v>
      </c>
      <c r="G3300" s="1310"/>
    </row>
    <row r="3301" spans="1:7">
      <c r="A3301" s="941">
        <v>56</v>
      </c>
      <c r="B3301" s="941" t="s">
        <v>4968</v>
      </c>
      <c r="C3301" s="1042" t="s">
        <v>4970</v>
      </c>
      <c r="D3301" s="940"/>
      <c r="E3301" s="1044">
        <v>350</v>
      </c>
      <c r="F3301" s="1044">
        <v>1249.5</v>
      </c>
      <c r="G3301" s="1310"/>
    </row>
    <row r="3302" spans="1:7">
      <c r="A3302" s="941">
        <v>57</v>
      </c>
      <c r="B3302" s="941" t="s">
        <v>4968</v>
      </c>
      <c r="C3302" s="1042" t="s">
        <v>4971</v>
      </c>
      <c r="D3302" s="940"/>
      <c r="E3302" s="1044">
        <v>350</v>
      </c>
      <c r="F3302" s="1044">
        <v>1249.5</v>
      </c>
      <c r="G3302" s="1310"/>
    </row>
    <row r="3303" spans="1:7">
      <c r="A3303" s="941">
        <v>58</v>
      </c>
      <c r="B3303" s="941" t="s">
        <v>4968</v>
      </c>
      <c r="C3303" s="1042" t="s">
        <v>4972</v>
      </c>
      <c r="D3303" s="940"/>
      <c r="E3303" s="1044">
        <v>350</v>
      </c>
      <c r="F3303" s="1044">
        <v>1249.5</v>
      </c>
      <c r="G3303" s="1310"/>
    </row>
    <row r="3304" spans="1:7">
      <c r="A3304" s="941">
        <v>59</v>
      </c>
      <c r="B3304" s="941" t="s">
        <v>4968</v>
      </c>
      <c r="C3304" s="1042" t="s">
        <v>4973</v>
      </c>
      <c r="D3304" s="940"/>
      <c r="E3304" s="1044">
        <v>350</v>
      </c>
      <c r="F3304" s="1044">
        <v>1249.5</v>
      </c>
      <c r="G3304" s="1310"/>
    </row>
    <row r="3305" spans="1:7">
      <c r="A3305" s="941">
        <v>60</v>
      </c>
      <c r="B3305" s="941" t="s">
        <v>4968</v>
      </c>
      <c r="C3305" s="1042" t="s">
        <v>4974</v>
      </c>
      <c r="D3305" s="940"/>
      <c r="E3305" s="1044">
        <v>350</v>
      </c>
      <c r="F3305" s="1044">
        <v>1249.5</v>
      </c>
      <c r="G3305" s="1310"/>
    </row>
    <row r="3306" spans="1:7">
      <c r="A3306" s="941">
        <v>61</v>
      </c>
      <c r="B3306" s="941" t="s">
        <v>4968</v>
      </c>
      <c r="C3306" s="1042" t="s">
        <v>4975</v>
      </c>
      <c r="D3306" s="940"/>
      <c r="E3306" s="1044">
        <v>350</v>
      </c>
      <c r="F3306" s="1044">
        <v>1249.5</v>
      </c>
      <c r="G3306" s="1310"/>
    </row>
    <row r="3307" spans="1:7">
      <c r="A3307" s="941">
        <v>62</v>
      </c>
      <c r="B3307" s="941" t="s">
        <v>4968</v>
      </c>
      <c r="C3307" s="1042" t="s">
        <v>4976</v>
      </c>
      <c r="D3307" s="940"/>
      <c r="E3307" s="1044">
        <v>350</v>
      </c>
      <c r="F3307" s="1044">
        <v>1249.5</v>
      </c>
      <c r="G3307" s="1310"/>
    </row>
    <row r="3308" spans="1:7">
      <c r="A3308" s="941">
        <v>63</v>
      </c>
      <c r="B3308" s="941" t="s">
        <v>4968</v>
      </c>
      <c r="C3308" s="1042" t="s">
        <v>4977</v>
      </c>
      <c r="D3308" s="940"/>
      <c r="E3308" s="1044">
        <v>350</v>
      </c>
      <c r="F3308" s="1044">
        <v>1249.5</v>
      </c>
      <c r="G3308" s="1310"/>
    </row>
    <row r="3309" spans="1:7">
      <c r="A3309" s="941">
        <v>64</v>
      </c>
      <c r="B3309" s="941" t="s">
        <v>4968</v>
      </c>
      <c r="C3309" s="1042" t="s">
        <v>4978</v>
      </c>
      <c r="D3309" s="940"/>
      <c r="E3309" s="1044">
        <v>350</v>
      </c>
      <c r="F3309" s="1044">
        <v>1249.5</v>
      </c>
      <c r="G3309" s="1310"/>
    </row>
    <row r="3310" spans="1:7">
      <c r="A3310" s="941">
        <v>65</v>
      </c>
      <c r="B3310" s="941" t="s">
        <v>4979</v>
      </c>
      <c r="C3310" s="1042" t="s">
        <v>4980</v>
      </c>
      <c r="D3310" s="940"/>
      <c r="E3310" s="1044">
        <v>350</v>
      </c>
      <c r="F3310" s="1044">
        <v>1249.5</v>
      </c>
      <c r="G3310" s="1310"/>
    </row>
    <row r="3311" spans="1:7">
      <c r="A3311" s="941">
        <v>66</v>
      </c>
      <c r="B3311" s="941" t="s">
        <v>4981</v>
      </c>
      <c r="C3311" s="1042" t="s">
        <v>4982</v>
      </c>
      <c r="D3311" s="940"/>
      <c r="E3311" s="1044">
        <v>350</v>
      </c>
      <c r="F3311" s="1044">
        <v>1249.5</v>
      </c>
      <c r="G3311" s="1310"/>
    </row>
    <row r="3312" spans="1:7">
      <c r="A3312" s="941">
        <v>67</v>
      </c>
      <c r="B3312" s="941" t="s">
        <v>4981</v>
      </c>
      <c r="C3312" s="1042" t="s">
        <v>4983</v>
      </c>
      <c r="D3312" s="940"/>
      <c r="E3312" s="1044">
        <v>350</v>
      </c>
      <c r="F3312" s="1044">
        <v>1249.5</v>
      </c>
      <c r="G3312" s="1310"/>
    </row>
    <row r="3313" spans="1:7">
      <c r="A3313" s="941">
        <v>68</v>
      </c>
      <c r="B3313" s="941" t="s">
        <v>4981</v>
      </c>
      <c r="C3313" s="1042" t="s">
        <v>4984</v>
      </c>
      <c r="D3313" s="940"/>
      <c r="E3313" s="1044">
        <v>350</v>
      </c>
      <c r="F3313" s="1044">
        <v>1249.5</v>
      </c>
      <c r="G3313" s="1310"/>
    </row>
    <row r="3314" spans="1:7">
      <c r="A3314" s="941">
        <v>69</v>
      </c>
      <c r="B3314" s="941" t="s">
        <v>4981</v>
      </c>
      <c r="C3314" s="1042" t="s">
        <v>4985</v>
      </c>
      <c r="D3314" s="940"/>
      <c r="E3314" s="1044">
        <v>350</v>
      </c>
      <c r="F3314" s="1044">
        <v>1249.5</v>
      </c>
      <c r="G3314" s="1310"/>
    </row>
    <row r="3315" spans="1:7">
      <c r="A3315" s="941">
        <v>70</v>
      </c>
      <c r="B3315" s="941" t="s">
        <v>4981</v>
      </c>
      <c r="C3315" s="1042" t="s">
        <v>4986</v>
      </c>
      <c r="D3315" s="940"/>
      <c r="E3315" s="1044">
        <v>350</v>
      </c>
      <c r="F3315" s="1044">
        <v>1249.5</v>
      </c>
      <c r="G3315" s="1310"/>
    </row>
    <row r="3316" spans="1:7">
      <c r="A3316" s="941">
        <v>71</v>
      </c>
      <c r="B3316" s="941" t="s">
        <v>4981</v>
      </c>
      <c r="C3316" s="1042" t="s">
        <v>4987</v>
      </c>
      <c r="D3316" s="940"/>
      <c r="E3316" s="1044">
        <v>350</v>
      </c>
      <c r="F3316" s="1044">
        <v>1249.5</v>
      </c>
      <c r="G3316" s="1310"/>
    </row>
    <row r="3317" spans="1:7">
      <c r="A3317" s="941">
        <v>72</v>
      </c>
      <c r="B3317" s="941" t="s">
        <v>4981</v>
      </c>
      <c r="C3317" s="1042" t="s">
        <v>4988</v>
      </c>
      <c r="D3317" s="940"/>
      <c r="E3317" s="1044">
        <v>350</v>
      </c>
      <c r="F3317" s="1044">
        <v>1249.5</v>
      </c>
      <c r="G3317" s="1310"/>
    </row>
    <row r="3318" spans="1:7">
      <c r="A3318" s="941">
        <v>73</v>
      </c>
      <c r="B3318" s="941" t="s">
        <v>4989</v>
      </c>
      <c r="C3318" s="1042" t="s">
        <v>4990</v>
      </c>
      <c r="D3318" s="940"/>
      <c r="E3318" s="1044">
        <v>350</v>
      </c>
      <c r="F3318" s="1044">
        <v>1249.5</v>
      </c>
      <c r="G3318" s="1310"/>
    </row>
    <row r="3319" spans="1:7">
      <c r="A3319" s="941">
        <v>74</v>
      </c>
      <c r="B3319" s="941" t="s">
        <v>4991</v>
      </c>
      <c r="C3319" s="1042" t="s">
        <v>4992</v>
      </c>
      <c r="D3319" s="940"/>
      <c r="E3319" s="1044">
        <v>350</v>
      </c>
      <c r="F3319" s="1044">
        <v>1249.5</v>
      </c>
      <c r="G3319" s="1310" t="s">
        <v>4964</v>
      </c>
    </row>
    <row r="3320" spans="1:7">
      <c r="A3320" s="941">
        <v>75</v>
      </c>
      <c r="B3320" s="941" t="s">
        <v>4993</v>
      </c>
      <c r="C3320" s="1042">
        <v>351668140330795</v>
      </c>
      <c r="D3320" s="940" t="s">
        <v>4994</v>
      </c>
      <c r="E3320" s="1044">
        <v>1200</v>
      </c>
      <c r="F3320" s="1044">
        <v>4284</v>
      </c>
      <c r="G3320" s="1310"/>
    </row>
    <row r="3321" spans="1:7">
      <c r="A3321" s="941">
        <v>76</v>
      </c>
      <c r="B3321" s="941" t="s">
        <v>4993</v>
      </c>
      <c r="C3321" s="1042">
        <v>351668140216671</v>
      </c>
      <c r="D3321" s="940" t="s">
        <v>4994</v>
      </c>
      <c r="E3321" s="1044">
        <v>1200</v>
      </c>
      <c r="F3321" s="1044">
        <v>4284</v>
      </c>
      <c r="G3321" s="1310"/>
    </row>
    <row r="3322" spans="1:7">
      <c r="A3322" s="941">
        <v>77</v>
      </c>
      <c r="B3322" s="941" t="s">
        <v>4993</v>
      </c>
      <c r="C3322" s="1042">
        <v>355101476672677</v>
      </c>
      <c r="D3322" s="940" t="s">
        <v>4686</v>
      </c>
      <c r="E3322" s="1044">
        <v>1150</v>
      </c>
      <c r="F3322" s="1044">
        <v>4105.5</v>
      </c>
      <c r="G3322" s="1310"/>
    </row>
    <row r="3323" spans="1:7">
      <c r="A3323" s="941">
        <v>78</v>
      </c>
      <c r="B3323" s="941" t="s">
        <v>4993</v>
      </c>
      <c r="C3323" s="1042">
        <v>350230970982855</v>
      </c>
      <c r="D3323" s="940" t="s">
        <v>4686</v>
      </c>
      <c r="E3323" s="1044">
        <v>1150</v>
      </c>
      <c r="F3323" s="1044">
        <v>4105.5</v>
      </c>
      <c r="G3323" s="1310"/>
    </row>
    <row r="3324" spans="1:7">
      <c r="A3324" s="941">
        <v>79</v>
      </c>
      <c r="B3324" s="941" t="s">
        <v>4995</v>
      </c>
      <c r="C3324" s="1042">
        <v>357247254328418</v>
      </c>
      <c r="D3324" s="940" t="s">
        <v>4996</v>
      </c>
      <c r="E3324" s="1044">
        <v>840</v>
      </c>
      <c r="F3324" s="1044">
        <v>2998.7999999999997</v>
      </c>
      <c r="G3324" s="1310" t="s">
        <v>4964</v>
      </c>
    </row>
    <row r="3325" spans="1:7">
      <c r="A3325" s="941">
        <v>80</v>
      </c>
      <c r="B3325" s="941" t="s">
        <v>4997</v>
      </c>
      <c r="C3325" s="1042">
        <v>354289637506040</v>
      </c>
      <c r="D3325" s="940" t="s">
        <v>4961</v>
      </c>
      <c r="E3325" s="1044">
        <v>1100</v>
      </c>
      <c r="F3325" s="1044">
        <v>3927</v>
      </c>
      <c r="G3325" s="1310"/>
    </row>
    <row r="3326" spans="1:7">
      <c r="A3326" s="941">
        <v>81</v>
      </c>
      <c r="B3326" s="941" t="s">
        <v>4997</v>
      </c>
      <c r="C3326" s="1042">
        <v>354289637785289</v>
      </c>
      <c r="D3326" s="940" t="s">
        <v>4961</v>
      </c>
      <c r="E3326" s="1044">
        <v>1100</v>
      </c>
      <c r="F3326" s="1044">
        <v>3927</v>
      </c>
      <c r="G3326" s="1310"/>
    </row>
    <row r="3327" spans="1:7">
      <c r="A3327" s="941">
        <v>82</v>
      </c>
      <c r="B3327" s="941" t="s">
        <v>4997</v>
      </c>
      <c r="C3327" s="1042">
        <v>354289636526114</v>
      </c>
      <c r="D3327" s="940" t="s">
        <v>4994</v>
      </c>
      <c r="E3327" s="1044">
        <v>1100</v>
      </c>
      <c r="F3327" s="1044">
        <v>3927</v>
      </c>
      <c r="G3327" s="1310"/>
    </row>
    <row r="3328" spans="1:7">
      <c r="A3328" s="941">
        <v>83</v>
      </c>
      <c r="B3328" s="941" t="s">
        <v>4997</v>
      </c>
      <c r="C3328" s="1042">
        <v>354289635237382</v>
      </c>
      <c r="D3328" s="940" t="s">
        <v>4994</v>
      </c>
      <c r="E3328" s="1044">
        <v>1100</v>
      </c>
      <c r="F3328" s="1044">
        <v>3927</v>
      </c>
      <c r="G3328" s="1310"/>
    </row>
    <row r="3329" spans="1:7">
      <c r="A3329" s="941">
        <v>84</v>
      </c>
      <c r="B3329" s="941" t="s">
        <v>4997</v>
      </c>
      <c r="C3329" s="1042">
        <v>354289637791121</v>
      </c>
      <c r="D3329" s="940" t="s">
        <v>4961</v>
      </c>
      <c r="E3329" s="1044">
        <v>1100</v>
      </c>
      <c r="F3329" s="1044">
        <v>3927</v>
      </c>
      <c r="G3329" s="1310"/>
    </row>
    <row r="3330" spans="1:7">
      <c r="A3330" s="941">
        <v>85</v>
      </c>
      <c r="B3330" s="941" t="s">
        <v>4997</v>
      </c>
      <c r="C3330" s="1042">
        <v>352001995904556</v>
      </c>
      <c r="D3330" s="940" t="s">
        <v>4686</v>
      </c>
      <c r="E3330" s="1044">
        <v>1050</v>
      </c>
      <c r="F3330" s="1044">
        <v>3748.5</v>
      </c>
      <c r="G3330" s="1310"/>
    </row>
    <row r="3331" spans="1:7">
      <c r="A3331" s="941">
        <v>86</v>
      </c>
      <c r="B3331" s="941" t="s">
        <v>4997</v>
      </c>
      <c r="C3331" s="1042">
        <v>355832514041596</v>
      </c>
      <c r="D3331" s="940" t="s">
        <v>4686</v>
      </c>
      <c r="E3331" s="1044">
        <v>1050</v>
      </c>
      <c r="F3331" s="1044">
        <v>3748.5</v>
      </c>
      <c r="G3331" s="1310"/>
    </row>
    <row r="3332" spans="1:7">
      <c r="A3332" s="941">
        <v>87</v>
      </c>
      <c r="B3332" s="941" t="s">
        <v>4997</v>
      </c>
      <c r="C3332" s="1042">
        <v>355832514630489</v>
      </c>
      <c r="D3332" s="940" t="s">
        <v>4686</v>
      </c>
      <c r="E3332" s="1044">
        <v>1050</v>
      </c>
      <c r="F3332" s="1044">
        <v>3748.5</v>
      </c>
      <c r="G3332" s="1310"/>
    </row>
    <row r="3333" spans="1:7">
      <c r="A3333" s="941">
        <v>88</v>
      </c>
      <c r="B3333" s="941" t="s">
        <v>4998</v>
      </c>
      <c r="C3333" s="1042">
        <v>355981558956878</v>
      </c>
      <c r="D3333" s="940" t="s">
        <v>4961</v>
      </c>
      <c r="E3333" s="1044">
        <v>1100</v>
      </c>
      <c r="F3333" s="1044">
        <v>3927</v>
      </c>
      <c r="G3333" s="1310"/>
    </row>
    <row r="3334" spans="1:7">
      <c r="A3334" s="941">
        <v>89</v>
      </c>
      <c r="B3334" s="941" t="s">
        <v>4998</v>
      </c>
      <c r="C3334" s="1042">
        <v>354289635992069</v>
      </c>
      <c r="D3334" s="940" t="s">
        <v>4686</v>
      </c>
      <c r="E3334" s="1044">
        <v>1050</v>
      </c>
      <c r="F3334" s="1044">
        <v>3748.5</v>
      </c>
      <c r="G3334" s="1310"/>
    </row>
    <row r="3335" spans="1:7">
      <c r="A3335" s="941">
        <v>90</v>
      </c>
      <c r="B3335" s="941" t="s">
        <v>4999</v>
      </c>
      <c r="C3335" s="1042">
        <v>355832515816186</v>
      </c>
      <c r="D3335" s="940" t="s">
        <v>4686</v>
      </c>
      <c r="E3335" s="1044">
        <v>1050</v>
      </c>
      <c r="F3335" s="1044">
        <v>3748.5</v>
      </c>
      <c r="G3335" s="1310"/>
    </row>
    <row r="3336" spans="1:7">
      <c r="A3336" s="941">
        <v>91</v>
      </c>
      <c r="B3336" s="941" t="s">
        <v>4999</v>
      </c>
      <c r="C3336" s="1042">
        <v>354289637775330</v>
      </c>
      <c r="D3336" s="940" t="s">
        <v>4994</v>
      </c>
      <c r="E3336" s="1044">
        <v>1100</v>
      </c>
      <c r="F3336" s="1044">
        <v>3927</v>
      </c>
      <c r="G3336" s="1310"/>
    </row>
    <row r="3337" spans="1:7">
      <c r="A3337" s="941">
        <v>92</v>
      </c>
      <c r="B3337" s="941" t="s">
        <v>5000</v>
      </c>
      <c r="C3337" s="1042" t="s">
        <v>5001</v>
      </c>
      <c r="D3337" s="940"/>
      <c r="E3337" s="1044">
        <v>710</v>
      </c>
      <c r="F3337" s="1044">
        <v>2534.6999999999998</v>
      </c>
      <c r="G3337" s="1310"/>
    </row>
    <row r="3338" spans="1:7">
      <c r="A3338" s="941">
        <v>93</v>
      </c>
      <c r="B3338" s="941" t="s">
        <v>5000</v>
      </c>
      <c r="C3338" s="1042" t="s">
        <v>5002</v>
      </c>
      <c r="D3338" s="940"/>
      <c r="E3338" s="1044">
        <v>710</v>
      </c>
      <c r="F3338" s="1044">
        <v>2534.6999999999998</v>
      </c>
      <c r="G3338" s="1310"/>
    </row>
    <row r="3339" spans="1:7">
      <c r="A3339" s="941">
        <v>94</v>
      </c>
      <c r="B3339" s="941" t="s">
        <v>5000</v>
      </c>
      <c r="C3339" s="1042" t="s">
        <v>5003</v>
      </c>
      <c r="D3339" s="940"/>
      <c r="E3339" s="1044">
        <v>710</v>
      </c>
      <c r="F3339" s="1044">
        <v>2534.6999999999998</v>
      </c>
      <c r="G3339" s="1310"/>
    </row>
    <row r="3340" spans="1:7">
      <c r="A3340" s="941">
        <v>95</v>
      </c>
      <c r="B3340" s="941" t="s">
        <v>5000</v>
      </c>
      <c r="C3340" s="1042" t="s">
        <v>5004</v>
      </c>
      <c r="D3340" s="940"/>
      <c r="E3340" s="1044">
        <v>710</v>
      </c>
      <c r="F3340" s="1044">
        <v>2534.6999999999998</v>
      </c>
      <c r="G3340" s="1309"/>
    </row>
    <row r="3341" spans="1:7">
      <c r="A3341" s="941">
        <v>96</v>
      </c>
      <c r="B3341" s="941" t="s">
        <v>5000</v>
      </c>
      <c r="C3341" s="1042" t="s">
        <v>5005</v>
      </c>
      <c r="D3341" s="940"/>
      <c r="E3341" s="1044">
        <v>710</v>
      </c>
      <c r="F3341" s="1044">
        <v>2534.6999999999998</v>
      </c>
      <c r="G3341" s="1309"/>
    </row>
    <row r="3342" spans="1:7">
      <c r="A3342" s="941">
        <v>97</v>
      </c>
      <c r="B3342" s="941" t="s">
        <v>5000</v>
      </c>
      <c r="C3342" s="1042" t="s">
        <v>5006</v>
      </c>
      <c r="D3342" s="940"/>
      <c r="E3342" s="1044">
        <v>710</v>
      </c>
      <c r="F3342" s="1044">
        <v>2534.6999999999998</v>
      </c>
      <c r="G3342" s="1309"/>
    </row>
    <row r="3343" spans="1:7">
      <c r="A3343" s="941">
        <v>98</v>
      </c>
      <c r="B3343" s="941" t="s">
        <v>5000</v>
      </c>
      <c r="C3343" s="1042" t="s">
        <v>5007</v>
      </c>
      <c r="D3343" s="940"/>
      <c r="E3343" s="1044">
        <v>710</v>
      </c>
      <c r="F3343" s="1044">
        <v>2534.6999999999998</v>
      </c>
      <c r="G3343" s="1309"/>
    </row>
    <row r="3344" spans="1:7" ht="18.75">
      <c r="A3344" s="1310"/>
      <c r="B3344" s="1310"/>
      <c r="C3344" s="1310"/>
      <c r="D3344" s="1310"/>
      <c r="E3344" s="1311">
        <v>57020</v>
      </c>
      <c r="F3344" s="1312">
        <v>203561.40000000014</v>
      </c>
      <c r="G3344" s="1309"/>
    </row>
    <row r="3355" spans="1:8">
      <c r="A3355" s="1326"/>
      <c r="B3355" s="1326" t="s">
        <v>5046</v>
      </c>
      <c r="C3355" s="1327">
        <v>46167</v>
      </c>
      <c r="D3355" s="1327"/>
      <c r="E3355" s="1327"/>
      <c r="F3355" s="1328"/>
      <c r="G3355" s="1328"/>
      <c r="H3355" s="1327"/>
    </row>
    <row r="3356" spans="1:8">
      <c r="A3356" s="1326" t="s">
        <v>3928</v>
      </c>
      <c r="B3356" s="1326" t="s">
        <v>5047</v>
      </c>
      <c r="C3356" s="1326" t="s">
        <v>5048</v>
      </c>
      <c r="D3356" s="1326" t="s">
        <v>2423</v>
      </c>
      <c r="E3356" s="1326" t="s">
        <v>3734</v>
      </c>
      <c r="F3356" s="1326" t="s">
        <v>5049</v>
      </c>
      <c r="G3356" s="1326" t="s">
        <v>5050</v>
      </c>
      <c r="H3356" s="1326" t="s">
        <v>3111</v>
      </c>
    </row>
    <row r="3357" spans="1:8">
      <c r="A3357" s="1054">
        <v>1</v>
      </c>
      <c r="B3357" s="1054" t="s">
        <v>5051</v>
      </c>
      <c r="C3357" s="1330">
        <v>356187984295779</v>
      </c>
      <c r="D3357" s="1331" t="s">
        <v>4961</v>
      </c>
      <c r="E3357" s="1053">
        <v>665</v>
      </c>
      <c r="F3357" s="1053">
        <v>655</v>
      </c>
      <c r="G3357" s="1053">
        <v>-10</v>
      </c>
      <c r="H3357" s="1044">
        <v>2374.0499999999997</v>
      </c>
    </row>
    <row r="3358" spans="1:8">
      <c r="A3358" s="1042">
        <v>2</v>
      </c>
      <c r="B3358" s="1042" t="s">
        <v>5051</v>
      </c>
      <c r="C3358" s="1332">
        <v>355827875214956</v>
      </c>
      <c r="D3358" s="940" t="s">
        <v>4961</v>
      </c>
      <c r="E3358" s="941">
        <v>665</v>
      </c>
      <c r="F3358" s="941">
        <v>655</v>
      </c>
      <c r="G3358" s="941">
        <v>-10</v>
      </c>
      <c r="H3358" s="1044">
        <v>2374.0499999999997</v>
      </c>
    </row>
    <row r="3359" spans="1:8">
      <c r="A3359" s="1042">
        <v>3</v>
      </c>
      <c r="B3359" s="1042" t="s">
        <v>5051</v>
      </c>
      <c r="C3359" s="1332">
        <v>355827876058352</v>
      </c>
      <c r="D3359" s="940" t="s">
        <v>4961</v>
      </c>
      <c r="E3359" s="941">
        <v>665</v>
      </c>
      <c r="F3359" s="941">
        <v>655</v>
      </c>
      <c r="G3359" s="941">
        <v>-10</v>
      </c>
      <c r="H3359" s="1044">
        <v>2374.0499999999997</v>
      </c>
    </row>
    <row r="3360" spans="1:8">
      <c r="A3360" s="1042">
        <v>4</v>
      </c>
      <c r="B3360" s="1042" t="s">
        <v>5051</v>
      </c>
      <c r="C3360" s="1332">
        <v>353938645417530</v>
      </c>
      <c r="D3360" s="940" t="s">
        <v>4961</v>
      </c>
      <c r="E3360" s="941">
        <v>665</v>
      </c>
      <c r="F3360" s="941">
        <v>655</v>
      </c>
      <c r="G3360" s="941">
        <v>-10</v>
      </c>
      <c r="H3360" s="1044">
        <v>2374.0499999999997</v>
      </c>
    </row>
    <row r="3361" spans="1:8">
      <c r="A3361" s="1042">
        <v>5</v>
      </c>
      <c r="B3361" s="1042" t="s">
        <v>5051</v>
      </c>
      <c r="C3361" s="1332">
        <v>353938646827273</v>
      </c>
      <c r="D3361" s="940" t="s">
        <v>4961</v>
      </c>
      <c r="E3361" s="941">
        <v>665</v>
      </c>
      <c r="F3361" s="941">
        <v>655</v>
      </c>
      <c r="G3361" s="941">
        <v>-10</v>
      </c>
      <c r="H3361" s="1044">
        <v>2374.0499999999997</v>
      </c>
    </row>
    <row r="3362" spans="1:8">
      <c r="A3362" s="1042">
        <v>6</v>
      </c>
      <c r="B3362" s="1042" t="s">
        <v>5051</v>
      </c>
      <c r="C3362" s="1332">
        <v>358135795889312</v>
      </c>
      <c r="D3362" s="940" t="s">
        <v>4961</v>
      </c>
      <c r="E3362" s="941">
        <v>665</v>
      </c>
      <c r="F3362" s="941">
        <v>655</v>
      </c>
      <c r="G3362" s="941">
        <v>-10</v>
      </c>
      <c r="H3362" s="1044">
        <v>2374.0499999999997</v>
      </c>
    </row>
    <row r="3363" spans="1:8">
      <c r="A3363" s="1042">
        <v>7</v>
      </c>
      <c r="B3363" s="1042" t="s">
        <v>5051</v>
      </c>
      <c r="C3363" s="1332">
        <v>358135795248006</v>
      </c>
      <c r="D3363" s="940" t="s">
        <v>4961</v>
      </c>
      <c r="E3363" s="941">
        <v>665</v>
      </c>
      <c r="F3363" s="941">
        <v>655</v>
      </c>
      <c r="G3363" s="941">
        <v>-10</v>
      </c>
      <c r="H3363" s="1044">
        <v>2374.0499999999997</v>
      </c>
    </row>
    <row r="3364" spans="1:8">
      <c r="A3364" s="1042">
        <v>8</v>
      </c>
      <c r="B3364" s="1042" t="s">
        <v>5051</v>
      </c>
      <c r="C3364" s="1332">
        <v>355827875126770</v>
      </c>
      <c r="D3364" s="940" t="s">
        <v>4961</v>
      </c>
      <c r="E3364" s="941">
        <v>665</v>
      </c>
      <c r="F3364" s="941">
        <v>655</v>
      </c>
      <c r="G3364" s="941">
        <v>-10</v>
      </c>
      <c r="H3364" s="1044">
        <v>2374.0499999999997</v>
      </c>
    </row>
    <row r="3365" spans="1:8">
      <c r="A3365" s="1042">
        <v>9</v>
      </c>
      <c r="B3365" s="1042" t="s">
        <v>5051</v>
      </c>
      <c r="C3365" s="1332">
        <v>355827875806827</v>
      </c>
      <c r="D3365" s="940" t="s">
        <v>4961</v>
      </c>
      <c r="E3365" s="941">
        <v>665</v>
      </c>
      <c r="F3365" s="941">
        <v>655</v>
      </c>
      <c r="G3365" s="941">
        <v>-10</v>
      </c>
      <c r="H3365" s="1044">
        <v>2374.0499999999997</v>
      </c>
    </row>
    <row r="3366" spans="1:8">
      <c r="A3366" s="1042">
        <v>10</v>
      </c>
      <c r="B3366" s="1042" t="s">
        <v>5052</v>
      </c>
      <c r="C3366" s="1332">
        <v>358135797262807</v>
      </c>
      <c r="D3366" s="940" t="s">
        <v>4994</v>
      </c>
      <c r="E3366" s="941">
        <v>665</v>
      </c>
      <c r="F3366" s="941">
        <v>655</v>
      </c>
      <c r="G3366" s="941">
        <v>-10</v>
      </c>
      <c r="H3366" s="1044">
        <v>2374.0499999999997</v>
      </c>
    </row>
    <row r="3367" spans="1:8">
      <c r="A3367" s="1042">
        <v>11</v>
      </c>
      <c r="B3367" s="1042" t="s">
        <v>4834</v>
      </c>
      <c r="C3367" s="1332" t="s">
        <v>5053</v>
      </c>
      <c r="D3367" s="940"/>
      <c r="E3367" s="941">
        <v>470</v>
      </c>
      <c r="F3367" s="941">
        <v>470</v>
      </c>
      <c r="G3367" s="941">
        <v>0</v>
      </c>
      <c r="H3367" s="1044">
        <v>1677.8999999999999</v>
      </c>
    </row>
    <row r="3368" spans="1:8">
      <c r="A3368" s="1042">
        <v>12</v>
      </c>
      <c r="B3368" s="1042" t="s">
        <v>4968</v>
      </c>
      <c r="C3368" s="1332" t="s">
        <v>5054</v>
      </c>
      <c r="D3368" s="940"/>
      <c r="E3368" s="941">
        <v>330</v>
      </c>
      <c r="F3368" s="941">
        <v>330</v>
      </c>
      <c r="G3368" s="941">
        <v>0</v>
      </c>
      <c r="H3368" s="1044">
        <v>1178.0999999999999</v>
      </c>
    </row>
    <row r="3369" spans="1:8">
      <c r="A3369" s="1042">
        <v>13</v>
      </c>
      <c r="B3369" s="1042" t="s">
        <v>5055</v>
      </c>
      <c r="C3369" s="1332" t="s">
        <v>5056</v>
      </c>
      <c r="D3369" s="940"/>
      <c r="E3369" s="941">
        <v>330</v>
      </c>
      <c r="F3369" s="941">
        <v>330</v>
      </c>
      <c r="G3369" s="941">
        <v>0</v>
      </c>
      <c r="H3369" s="1044">
        <v>1178.0999999999999</v>
      </c>
    </row>
    <row r="3370" spans="1:8">
      <c r="A3370" s="1042">
        <v>14</v>
      </c>
      <c r="B3370" s="1042" t="s">
        <v>4968</v>
      </c>
      <c r="C3370" s="1332" t="s">
        <v>5057</v>
      </c>
      <c r="D3370" s="940"/>
      <c r="E3370" s="941">
        <v>330</v>
      </c>
      <c r="F3370" s="941">
        <v>330</v>
      </c>
      <c r="G3370" s="941">
        <v>0</v>
      </c>
      <c r="H3370" s="1044">
        <v>1178.0999999999999</v>
      </c>
    </row>
    <row r="3371" spans="1:8">
      <c r="A3371" s="1042">
        <v>15</v>
      </c>
      <c r="B3371" s="1042" t="s">
        <v>4981</v>
      </c>
      <c r="C3371" s="1332" t="s">
        <v>5058</v>
      </c>
      <c r="D3371" s="940"/>
      <c r="E3371" s="941">
        <v>330</v>
      </c>
      <c r="F3371" s="941">
        <v>330</v>
      </c>
      <c r="G3371" s="941">
        <v>0</v>
      </c>
      <c r="H3371" s="1044">
        <v>1178.0999999999999</v>
      </c>
    </row>
    <row r="3372" spans="1:8">
      <c r="A3372" s="1042">
        <v>16</v>
      </c>
      <c r="B3372" s="1042" t="s">
        <v>4981</v>
      </c>
      <c r="C3372" s="1332" t="s">
        <v>5059</v>
      </c>
      <c r="D3372" s="940"/>
      <c r="E3372" s="941">
        <v>330</v>
      </c>
      <c r="F3372" s="941">
        <v>330</v>
      </c>
      <c r="G3372" s="941">
        <v>0</v>
      </c>
      <c r="H3372" s="1044">
        <v>1178.0999999999999</v>
      </c>
    </row>
    <row r="3373" spans="1:8">
      <c r="A3373" s="1042">
        <v>17</v>
      </c>
      <c r="B3373" s="1042" t="s">
        <v>4981</v>
      </c>
      <c r="C3373" s="1332" t="s">
        <v>5060</v>
      </c>
      <c r="D3373" s="940"/>
      <c r="E3373" s="941">
        <v>330</v>
      </c>
      <c r="F3373" s="941">
        <v>330</v>
      </c>
      <c r="G3373" s="941">
        <v>0</v>
      </c>
      <c r="H3373" s="1044">
        <v>1178.0999999999999</v>
      </c>
    </row>
    <row r="3374" spans="1:8">
      <c r="A3374" s="1042">
        <v>18</v>
      </c>
      <c r="B3374" s="1042" t="s">
        <v>4872</v>
      </c>
      <c r="C3374" s="1332">
        <v>352355709591491</v>
      </c>
      <c r="D3374" s="940" t="s">
        <v>4966</v>
      </c>
      <c r="E3374" s="941">
        <v>1025</v>
      </c>
      <c r="F3374" s="941">
        <v>950</v>
      </c>
      <c r="G3374" s="941">
        <v>-75</v>
      </c>
      <c r="H3374" s="1044">
        <v>3659.25</v>
      </c>
    </row>
    <row r="3375" spans="1:8">
      <c r="A3375" s="1042">
        <v>19</v>
      </c>
      <c r="B3375" s="1042" t="s">
        <v>4872</v>
      </c>
      <c r="C3375" s="1332">
        <v>352355708276458</v>
      </c>
      <c r="D3375" s="940" t="s">
        <v>4961</v>
      </c>
      <c r="E3375" s="941">
        <v>1025</v>
      </c>
      <c r="F3375" s="941">
        <v>1025</v>
      </c>
      <c r="G3375" s="941">
        <v>0</v>
      </c>
      <c r="H3375" s="1044">
        <v>3659.25</v>
      </c>
    </row>
    <row r="3376" spans="1:8">
      <c r="A3376" s="1042">
        <v>20</v>
      </c>
      <c r="B3376" s="1042" t="s">
        <v>4872</v>
      </c>
      <c r="C3376" s="1332">
        <v>352355706407881</v>
      </c>
      <c r="D3376" s="940" t="s">
        <v>4961</v>
      </c>
      <c r="E3376" s="941">
        <v>1025</v>
      </c>
      <c r="F3376" s="941">
        <v>1025</v>
      </c>
      <c r="G3376" s="941">
        <v>0</v>
      </c>
      <c r="H3376" s="1044">
        <v>3659.25</v>
      </c>
    </row>
    <row r="3377" spans="1:8">
      <c r="A3377" s="1042">
        <v>21</v>
      </c>
      <c r="B3377" s="1042" t="s">
        <v>4872</v>
      </c>
      <c r="C3377" s="1332">
        <v>352355704171646</v>
      </c>
      <c r="D3377" s="940" t="s">
        <v>4966</v>
      </c>
      <c r="E3377" s="941">
        <v>1025</v>
      </c>
      <c r="F3377" s="941">
        <v>950</v>
      </c>
      <c r="G3377" s="941">
        <v>-75</v>
      </c>
      <c r="H3377" s="1044">
        <v>3659.25</v>
      </c>
    </row>
    <row r="3378" spans="1:8">
      <c r="A3378" s="1042">
        <v>22</v>
      </c>
      <c r="B3378" s="1042" t="s">
        <v>4872</v>
      </c>
      <c r="C3378" s="1332">
        <v>352355706876119</v>
      </c>
      <c r="D3378" s="940" t="s">
        <v>4966</v>
      </c>
      <c r="E3378" s="941">
        <v>1025</v>
      </c>
      <c r="F3378" s="941">
        <v>950</v>
      </c>
      <c r="G3378" s="941">
        <v>-75</v>
      </c>
      <c r="H3378" s="1044">
        <v>3659.25</v>
      </c>
    </row>
    <row r="3379" spans="1:8">
      <c r="A3379" s="1042">
        <v>23</v>
      </c>
      <c r="B3379" s="1042" t="s">
        <v>4872</v>
      </c>
      <c r="C3379" s="1332">
        <v>352355703818866</v>
      </c>
      <c r="D3379" s="940" t="s">
        <v>4961</v>
      </c>
      <c r="E3379" s="941">
        <v>1025</v>
      </c>
      <c r="F3379" s="941">
        <v>1025</v>
      </c>
      <c r="G3379" s="941">
        <v>0</v>
      </c>
      <c r="H3379" s="1044">
        <v>3659.25</v>
      </c>
    </row>
    <row r="3380" spans="1:8">
      <c r="A3380" s="1042">
        <v>24</v>
      </c>
      <c r="B3380" s="1042" t="s">
        <v>4872</v>
      </c>
      <c r="C3380" s="1332">
        <v>352355706487040</v>
      </c>
      <c r="D3380" s="940" t="s">
        <v>4961</v>
      </c>
      <c r="E3380" s="941">
        <v>1025</v>
      </c>
      <c r="F3380" s="941">
        <v>1025</v>
      </c>
      <c r="G3380" s="941">
        <v>0</v>
      </c>
      <c r="H3380" s="1044">
        <v>3659.25</v>
      </c>
    </row>
    <row r="3381" spans="1:8">
      <c r="A3381" s="1042">
        <v>25</v>
      </c>
      <c r="B3381" s="1042" t="s">
        <v>4870</v>
      </c>
      <c r="C3381" s="1332" t="s">
        <v>5061</v>
      </c>
      <c r="D3381" s="940" t="s">
        <v>4961</v>
      </c>
      <c r="E3381" s="941">
        <v>1025</v>
      </c>
      <c r="F3381" s="941">
        <v>1000</v>
      </c>
      <c r="G3381" s="941">
        <v>-25</v>
      </c>
      <c r="H3381" s="1044">
        <v>3659.25</v>
      </c>
    </row>
    <row r="3382" spans="1:8">
      <c r="A3382" s="1042">
        <v>26</v>
      </c>
      <c r="B3382" s="1042" t="s">
        <v>4870</v>
      </c>
      <c r="C3382" s="1332" t="s">
        <v>5062</v>
      </c>
      <c r="D3382" s="940" t="s">
        <v>4961</v>
      </c>
      <c r="E3382" s="941">
        <v>1025</v>
      </c>
      <c r="F3382" s="941">
        <v>1000</v>
      </c>
      <c r="G3382" s="941">
        <v>-25</v>
      </c>
      <c r="H3382" s="1044">
        <v>3659.25</v>
      </c>
    </row>
    <row r="3383" spans="1:8">
      <c r="A3383" s="1042">
        <v>27</v>
      </c>
      <c r="B3383" s="1042" t="s">
        <v>4870</v>
      </c>
      <c r="C3383" s="1332" t="s">
        <v>5063</v>
      </c>
      <c r="D3383" s="940" t="s">
        <v>4961</v>
      </c>
      <c r="E3383" s="941">
        <v>1025</v>
      </c>
      <c r="F3383" s="941">
        <v>1000</v>
      </c>
      <c r="G3383" s="941">
        <v>-25</v>
      </c>
      <c r="H3383" s="1044">
        <v>3659.25</v>
      </c>
    </row>
    <row r="3384" spans="1:8">
      <c r="A3384" s="1042">
        <v>28</v>
      </c>
      <c r="B3384" s="1042" t="s">
        <v>5064</v>
      </c>
      <c r="C3384" s="1332" t="s">
        <v>5065</v>
      </c>
      <c r="D3384" s="940" t="s">
        <v>4961</v>
      </c>
      <c r="E3384" s="941">
        <v>1025</v>
      </c>
      <c r="F3384" s="941">
        <v>1025</v>
      </c>
      <c r="G3384" s="941">
        <v>0</v>
      </c>
      <c r="H3384" s="1044">
        <v>3659.25</v>
      </c>
    </row>
    <row r="3385" spans="1:8">
      <c r="A3385" s="1042">
        <v>29</v>
      </c>
      <c r="B3385" s="1042" t="s">
        <v>4878</v>
      </c>
      <c r="C3385" s="1332" t="s">
        <v>5066</v>
      </c>
      <c r="D3385" s="940" t="s">
        <v>4961</v>
      </c>
      <c r="E3385" s="941">
        <v>560</v>
      </c>
      <c r="F3385" s="941">
        <v>560</v>
      </c>
      <c r="G3385" s="941">
        <v>0</v>
      </c>
      <c r="H3385" s="1044">
        <v>1999.1999999999998</v>
      </c>
    </row>
    <row r="3386" spans="1:8">
      <c r="A3386" s="1042">
        <v>30</v>
      </c>
      <c r="B3386" s="1042" t="s">
        <v>4878</v>
      </c>
      <c r="C3386" s="1332" t="s">
        <v>5067</v>
      </c>
      <c r="D3386" s="940" t="s">
        <v>4961</v>
      </c>
      <c r="E3386" s="941">
        <v>560</v>
      </c>
      <c r="F3386" s="941">
        <v>560</v>
      </c>
      <c r="G3386" s="941">
        <v>0</v>
      </c>
      <c r="H3386" s="1044">
        <v>1999.1999999999998</v>
      </c>
    </row>
    <row r="3387" spans="1:8">
      <c r="A3387" s="1042">
        <v>31</v>
      </c>
      <c r="B3387" s="1042" t="s">
        <v>4878</v>
      </c>
      <c r="C3387" s="1332" t="s">
        <v>5068</v>
      </c>
      <c r="D3387" s="940" t="s">
        <v>4961</v>
      </c>
      <c r="E3387" s="941">
        <v>560</v>
      </c>
      <c r="F3387" s="941">
        <v>560</v>
      </c>
      <c r="G3387" s="941">
        <v>0</v>
      </c>
      <c r="H3387" s="1044">
        <v>1999.1999999999998</v>
      </c>
    </row>
    <row r="3388" spans="1:8">
      <c r="A3388" s="1042">
        <v>32</v>
      </c>
      <c r="B3388" s="1042" t="s">
        <v>4878</v>
      </c>
      <c r="C3388" s="1332" t="s">
        <v>5069</v>
      </c>
      <c r="D3388" s="940" t="s">
        <v>4961</v>
      </c>
      <c r="E3388" s="941">
        <v>560</v>
      </c>
      <c r="F3388" s="941">
        <v>560</v>
      </c>
      <c r="G3388" s="941">
        <v>0</v>
      </c>
      <c r="H3388" s="1044">
        <v>1999.1999999999998</v>
      </c>
    </row>
    <row r="3389" spans="1:8">
      <c r="A3389" s="1042">
        <v>33</v>
      </c>
      <c r="B3389" s="1042" t="s">
        <v>5070</v>
      </c>
      <c r="C3389" s="1332" t="s">
        <v>5071</v>
      </c>
      <c r="D3389" s="940" t="s">
        <v>4686</v>
      </c>
      <c r="E3389" s="941">
        <v>650</v>
      </c>
      <c r="F3389" s="941">
        <v>600</v>
      </c>
      <c r="G3389" s="941">
        <v>-50</v>
      </c>
      <c r="H3389" s="1044">
        <v>2320.5</v>
      </c>
    </row>
    <row r="3390" spans="1:8">
      <c r="A3390" s="1042">
        <v>34</v>
      </c>
      <c r="B3390" s="1042" t="s">
        <v>5070</v>
      </c>
      <c r="C3390" s="1332" t="s">
        <v>5072</v>
      </c>
      <c r="D3390" s="940" t="s">
        <v>4686</v>
      </c>
      <c r="E3390" s="941">
        <v>650</v>
      </c>
      <c r="F3390" s="941">
        <v>600</v>
      </c>
      <c r="G3390" s="941">
        <v>-50</v>
      </c>
      <c r="H3390" s="1044">
        <v>2320.5</v>
      </c>
    </row>
    <row r="3391" spans="1:8">
      <c r="A3391" s="1042">
        <v>35</v>
      </c>
      <c r="B3391" s="1042" t="s">
        <v>5073</v>
      </c>
      <c r="C3391" s="1332" t="s">
        <v>5074</v>
      </c>
      <c r="D3391" s="940" t="s">
        <v>4961</v>
      </c>
      <c r="E3391" s="941">
        <v>920</v>
      </c>
      <c r="F3391" s="941">
        <v>920</v>
      </c>
      <c r="G3391" s="941">
        <v>0</v>
      </c>
      <c r="H3391" s="1044">
        <v>3284.3999999999996</v>
      </c>
    </row>
    <row r="3392" spans="1:8">
      <c r="A3392" s="1042">
        <v>36</v>
      </c>
      <c r="B3392" s="1042" t="s">
        <v>5075</v>
      </c>
      <c r="C3392" s="1332" t="s">
        <v>5076</v>
      </c>
      <c r="D3392" s="940" t="s">
        <v>4961</v>
      </c>
      <c r="E3392" s="941">
        <v>1120</v>
      </c>
      <c r="F3392" s="941">
        <v>1120</v>
      </c>
      <c r="G3392" s="941">
        <v>0</v>
      </c>
      <c r="H3392" s="1044">
        <v>3998.3999999999996</v>
      </c>
    </row>
    <row r="3393" spans="1:8">
      <c r="A3393" s="1042">
        <v>37</v>
      </c>
      <c r="B3393" s="1042" t="s">
        <v>5077</v>
      </c>
      <c r="C3393" s="1332" t="s">
        <v>5078</v>
      </c>
      <c r="D3393" s="940" t="s">
        <v>4961</v>
      </c>
      <c r="E3393" s="941">
        <v>1850</v>
      </c>
      <c r="F3393" s="941">
        <v>1850</v>
      </c>
      <c r="G3393" s="941">
        <v>0</v>
      </c>
      <c r="H3393" s="1044">
        <v>6604.5</v>
      </c>
    </row>
    <row r="3394" spans="1:8">
      <c r="A3394" s="1042">
        <v>38</v>
      </c>
      <c r="B3394" s="1042" t="s">
        <v>4757</v>
      </c>
      <c r="C3394" s="1332" t="s">
        <v>5079</v>
      </c>
      <c r="D3394" s="940"/>
      <c r="E3394" s="941">
        <v>710</v>
      </c>
      <c r="F3394" s="941">
        <v>710</v>
      </c>
      <c r="G3394" s="941">
        <v>0</v>
      </c>
      <c r="H3394" s="1044">
        <v>2534.6999999999998</v>
      </c>
    </row>
    <row r="3395" spans="1:8">
      <c r="A3395" s="1042">
        <v>39</v>
      </c>
      <c r="B3395" s="1042" t="s">
        <v>4757</v>
      </c>
      <c r="C3395" s="1332" t="s">
        <v>5080</v>
      </c>
      <c r="D3395" s="940"/>
      <c r="E3395" s="941">
        <v>710</v>
      </c>
      <c r="F3395" s="941">
        <v>710</v>
      </c>
      <c r="G3395" s="941">
        <v>0</v>
      </c>
      <c r="H3395" s="1044">
        <v>2534.6999999999998</v>
      </c>
    </row>
    <row r="3396" spans="1:8" ht="18.75">
      <c r="A3396" s="1324"/>
      <c r="B3396" s="1324"/>
      <c r="C3396" s="1324"/>
      <c r="D3396" s="1324"/>
      <c r="E3396" s="1325">
        <v>29225</v>
      </c>
      <c r="F3396" s="1324"/>
      <c r="G3396" s="1324"/>
      <c r="H3396" s="1329">
        <v>104333.24999999996</v>
      </c>
    </row>
    <row r="3403" spans="1:8">
      <c r="A3403" s="1369"/>
      <c r="B3403" s="1369" t="s">
        <v>1</v>
      </c>
      <c r="C3403" s="1368" t="s">
        <v>5116</v>
      </c>
      <c r="D3403" s="1368" t="s">
        <v>5137</v>
      </c>
      <c r="E3403" s="1368"/>
    </row>
    <row r="3404" spans="1:8">
      <c r="A3404" s="1369" t="s">
        <v>3928</v>
      </c>
      <c r="B3404" s="1369" t="s">
        <v>2416</v>
      </c>
      <c r="C3404" s="1368" t="s">
        <v>5117</v>
      </c>
      <c r="D3404" s="1368" t="s">
        <v>2423</v>
      </c>
      <c r="E3404" s="1368" t="s">
        <v>4082</v>
      </c>
    </row>
    <row r="3405" spans="1:8">
      <c r="A3405" s="941">
        <v>1</v>
      </c>
      <c r="B3405" s="941" t="s">
        <v>5118</v>
      </c>
      <c r="C3405" s="1332">
        <v>350687011210465</v>
      </c>
      <c r="D3405" s="941"/>
      <c r="E3405" s="941">
        <v>2450</v>
      </c>
    </row>
    <row r="3406" spans="1:8">
      <c r="A3406" s="941">
        <v>2</v>
      </c>
      <c r="B3406" s="941" t="s">
        <v>5118</v>
      </c>
      <c r="C3406" s="1332">
        <v>350687011309069</v>
      </c>
      <c r="D3406" s="941"/>
      <c r="E3406" s="941">
        <v>2450</v>
      </c>
    </row>
    <row r="3407" spans="1:8">
      <c r="A3407" s="941">
        <v>3</v>
      </c>
      <c r="B3407" s="941" t="s">
        <v>5118</v>
      </c>
      <c r="C3407" s="1332">
        <v>350687010566321</v>
      </c>
      <c r="D3407" s="941"/>
      <c r="E3407" s="941">
        <v>2450</v>
      </c>
    </row>
    <row r="3408" spans="1:8">
      <c r="A3408" s="941">
        <v>4</v>
      </c>
      <c r="B3408" s="941" t="s">
        <v>5118</v>
      </c>
      <c r="C3408" s="1332">
        <v>355837670508668</v>
      </c>
      <c r="D3408" s="941"/>
      <c r="E3408" s="941">
        <v>2450</v>
      </c>
    </row>
    <row r="3409" spans="1:5">
      <c r="A3409" s="941">
        <v>5</v>
      </c>
      <c r="B3409" s="941" t="s">
        <v>5119</v>
      </c>
      <c r="C3409" s="1332">
        <v>351235186309172</v>
      </c>
      <c r="D3409" s="941"/>
      <c r="E3409" s="941">
        <v>2450</v>
      </c>
    </row>
    <row r="3410" spans="1:5">
      <c r="A3410" s="941">
        <v>6</v>
      </c>
      <c r="B3410" s="941" t="s">
        <v>5120</v>
      </c>
      <c r="C3410" s="1332">
        <v>351205743804536</v>
      </c>
      <c r="D3410" s="941" t="s">
        <v>5121</v>
      </c>
      <c r="E3410" s="941">
        <v>2960</v>
      </c>
    </row>
    <row r="3411" spans="1:5">
      <c r="A3411" s="941">
        <v>7</v>
      </c>
      <c r="B3411" s="941" t="s">
        <v>5122</v>
      </c>
      <c r="C3411" s="1332">
        <v>350230972375512</v>
      </c>
      <c r="D3411" s="941" t="s">
        <v>5123</v>
      </c>
      <c r="E3411" s="941">
        <v>3200</v>
      </c>
    </row>
    <row r="3412" spans="1:5">
      <c r="A3412" s="941">
        <v>8</v>
      </c>
      <c r="B3412" s="941" t="s">
        <v>5124</v>
      </c>
      <c r="C3412" s="1332">
        <v>350552890635903</v>
      </c>
      <c r="D3412" s="941" t="s">
        <v>5121</v>
      </c>
      <c r="E3412" s="941">
        <v>3000</v>
      </c>
    </row>
    <row r="3413" spans="1:5">
      <c r="A3413" s="941">
        <v>9</v>
      </c>
      <c r="B3413" s="941" t="s">
        <v>5125</v>
      </c>
      <c r="C3413" s="1332">
        <v>359477633235715</v>
      </c>
      <c r="D3413" s="941" t="s">
        <v>5123</v>
      </c>
      <c r="E3413" s="941">
        <v>2600</v>
      </c>
    </row>
    <row r="3414" spans="1:5">
      <c r="A3414" s="941">
        <v>10</v>
      </c>
      <c r="B3414" s="941" t="s">
        <v>5125</v>
      </c>
      <c r="C3414" s="1332">
        <v>359477633630576</v>
      </c>
      <c r="D3414" s="941" t="s">
        <v>5126</v>
      </c>
      <c r="E3414" s="941">
        <v>2600</v>
      </c>
    </row>
    <row r="3415" spans="1:5">
      <c r="A3415" s="941">
        <v>11</v>
      </c>
      <c r="B3415" s="941" t="s">
        <v>5125</v>
      </c>
      <c r="C3415" s="1332">
        <v>359477634049081</v>
      </c>
      <c r="D3415" s="941" t="s">
        <v>5126</v>
      </c>
      <c r="E3415" s="941">
        <v>2600</v>
      </c>
    </row>
    <row r="3416" spans="1:5">
      <c r="A3416" s="941">
        <v>12</v>
      </c>
      <c r="B3416" s="941" t="s">
        <v>5127</v>
      </c>
      <c r="C3416" s="1332">
        <v>358736461553973</v>
      </c>
      <c r="D3416" s="941" t="s">
        <v>5123</v>
      </c>
      <c r="E3416" s="941">
        <v>1800</v>
      </c>
    </row>
    <row r="3417" spans="1:5">
      <c r="A3417" s="941">
        <v>13</v>
      </c>
      <c r="B3417" s="941" t="s">
        <v>5127</v>
      </c>
      <c r="C3417" s="1332">
        <v>356146773028809</v>
      </c>
      <c r="D3417" s="941" t="s">
        <v>5123</v>
      </c>
      <c r="E3417" s="941">
        <v>1800</v>
      </c>
    </row>
    <row r="3418" spans="1:5">
      <c r="A3418" s="941">
        <v>14</v>
      </c>
      <c r="B3418" s="941" t="s">
        <v>5128</v>
      </c>
      <c r="C3418" s="1332">
        <v>352255852525454</v>
      </c>
      <c r="D3418" s="941" t="s">
        <v>5129</v>
      </c>
      <c r="E3418" s="941">
        <v>2600</v>
      </c>
    </row>
    <row r="3419" spans="1:5">
      <c r="A3419" s="941">
        <v>15</v>
      </c>
      <c r="B3419" s="941" t="s">
        <v>5130</v>
      </c>
      <c r="C3419" s="1332">
        <v>351223353366902</v>
      </c>
      <c r="D3419" s="941" t="s">
        <v>3422</v>
      </c>
      <c r="E3419" s="941">
        <v>2050</v>
      </c>
    </row>
    <row r="3420" spans="1:5">
      <c r="A3420" s="941">
        <v>16</v>
      </c>
      <c r="B3420" s="941" t="s">
        <v>5131</v>
      </c>
      <c r="C3420" s="1332">
        <v>356187981369395</v>
      </c>
      <c r="D3420" s="941" t="s">
        <v>5132</v>
      </c>
      <c r="E3420" s="941">
        <v>2200</v>
      </c>
    </row>
    <row r="3421" spans="1:5">
      <c r="A3421" s="941">
        <v>17</v>
      </c>
      <c r="B3421" s="941" t="s">
        <v>5133</v>
      </c>
      <c r="C3421" s="1332">
        <v>358135796236836</v>
      </c>
      <c r="D3421" s="941" t="s">
        <v>5129</v>
      </c>
      <c r="E3421" s="941">
        <v>2380</v>
      </c>
    </row>
    <row r="3422" spans="1:5">
      <c r="A3422" s="941">
        <v>18</v>
      </c>
      <c r="B3422" s="941" t="s">
        <v>5133</v>
      </c>
      <c r="C3422" s="1332">
        <v>358135796129197</v>
      </c>
      <c r="D3422" s="941" t="s">
        <v>5129</v>
      </c>
      <c r="E3422" s="941">
        <v>2380</v>
      </c>
    </row>
    <row r="3423" spans="1:5">
      <c r="A3423" s="941">
        <v>19</v>
      </c>
      <c r="B3423" s="941" t="s">
        <v>5133</v>
      </c>
      <c r="C3423" s="1332">
        <v>358135797480052</v>
      </c>
      <c r="D3423" s="941" t="s">
        <v>5129</v>
      </c>
      <c r="E3423" s="941">
        <v>2380</v>
      </c>
    </row>
    <row r="3424" spans="1:5">
      <c r="A3424" s="941">
        <v>20</v>
      </c>
      <c r="B3424" s="941" t="s">
        <v>5134</v>
      </c>
      <c r="C3424" s="1332">
        <v>356187985067631</v>
      </c>
      <c r="D3424" s="941" t="s">
        <v>5135</v>
      </c>
      <c r="E3424" s="941">
        <v>2380</v>
      </c>
    </row>
    <row r="3425" spans="1:8">
      <c r="A3425" s="941">
        <v>21</v>
      </c>
      <c r="B3425" s="941" t="s">
        <v>5051</v>
      </c>
      <c r="C3425" s="1332">
        <v>356187984446307</v>
      </c>
      <c r="D3425" s="941" t="s">
        <v>5129</v>
      </c>
      <c r="E3425" s="941">
        <v>2380</v>
      </c>
    </row>
    <row r="3426" spans="1:8" ht="18.75">
      <c r="A3426" s="1367"/>
      <c r="B3426" s="1367"/>
      <c r="C3426" s="1367"/>
      <c r="D3426" s="1367"/>
      <c r="E3426" s="1370">
        <f>SUM(E3405:E3425)</f>
        <v>51560</v>
      </c>
    </row>
    <row r="3437" spans="1:8">
      <c r="A3437" s="1378"/>
      <c r="B3437" s="1378" t="s">
        <v>1</v>
      </c>
      <c r="C3437" s="1379">
        <v>46240</v>
      </c>
      <c r="D3437" s="1379"/>
      <c r="E3437" s="1379"/>
      <c r="G3437" s="731"/>
      <c r="H3437"/>
    </row>
    <row r="3438" spans="1:8">
      <c r="A3438" s="1378" t="s">
        <v>3928</v>
      </c>
      <c r="B3438" s="1378" t="s">
        <v>2416</v>
      </c>
      <c r="C3438" s="1380" t="s">
        <v>5151</v>
      </c>
      <c r="D3438" s="1380" t="s">
        <v>5152</v>
      </c>
      <c r="E3438" s="1380" t="s">
        <v>5153</v>
      </c>
      <c r="G3438" s="731"/>
      <c r="H3438"/>
    </row>
    <row r="3439" spans="1:8">
      <c r="A3439" s="941">
        <v>1</v>
      </c>
      <c r="B3439" s="941" t="s">
        <v>4834</v>
      </c>
      <c r="C3439" s="941" t="s">
        <v>5154</v>
      </c>
      <c r="D3439" s="142">
        <v>470</v>
      </c>
      <c r="E3439" s="1044">
        <v>1677.8999999999999</v>
      </c>
      <c r="G3439" s="731"/>
      <c r="H3439"/>
    </row>
    <row r="3440" spans="1:8">
      <c r="A3440" s="941">
        <v>2</v>
      </c>
      <c r="B3440" s="941" t="s">
        <v>4834</v>
      </c>
      <c r="C3440" s="941" t="s">
        <v>5155</v>
      </c>
      <c r="D3440" s="142">
        <v>470</v>
      </c>
      <c r="E3440" s="1044">
        <v>1677.8999999999999</v>
      </c>
      <c r="G3440" s="731"/>
      <c r="H3440"/>
    </row>
    <row r="3441" spans="1:8">
      <c r="A3441" s="941">
        <v>3</v>
      </c>
      <c r="B3441" s="941" t="s">
        <v>4834</v>
      </c>
      <c r="C3441" s="941" t="s">
        <v>5156</v>
      </c>
      <c r="D3441" s="142">
        <v>470</v>
      </c>
      <c r="E3441" s="1044">
        <v>1677.8999999999999</v>
      </c>
      <c r="G3441" s="731"/>
      <c r="H3441"/>
    </row>
    <row r="3442" spans="1:8">
      <c r="A3442" s="941">
        <v>4</v>
      </c>
      <c r="B3442" s="941" t="s">
        <v>4834</v>
      </c>
      <c r="C3442" s="941" t="s">
        <v>5157</v>
      </c>
      <c r="D3442" s="142">
        <v>470</v>
      </c>
      <c r="E3442" s="1044">
        <v>1677.8999999999999</v>
      </c>
      <c r="G3442" s="731"/>
      <c r="H3442"/>
    </row>
    <row r="3443" spans="1:8">
      <c r="A3443" s="941">
        <v>5</v>
      </c>
      <c r="B3443" s="941" t="s">
        <v>4834</v>
      </c>
      <c r="C3443" s="941" t="s">
        <v>5158</v>
      </c>
      <c r="D3443" s="142">
        <v>470</v>
      </c>
      <c r="E3443" s="1044">
        <v>1677.8999999999999</v>
      </c>
      <c r="G3443" s="731"/>
      <c r="H3443"/>
    </row>
    <row r="3444" spans="1:8">
      <c r="A3444" s="941">
        <v>6</v>
      </c>
      <c r="B3444" s="941" t="s">
        <v>4834</v>
      </c>
      <c r="C3444" s="941" t="s">
        <v>5159</v>
      </c>
      <c r="D3444" s="142">
        <v>470</v>
      </c>
      <c r="E3444" s="1044">
        <v>1677.8999999999999</v>
      </c>
      <c r="G3444" s="731"/>
      <c r="H3444"/>
    </row>
    <row r="3445" spans="1:8">
      <c r="A3445" s="941">
        <v>7</v>
      </c>
      <c r="B3445" s="941" t="s">
        <v>4834</v>
      </c>
      <c r="C3445" s="941" t="s">
        <v>5160</v>
      </c>
      <c r="D3445" s="142">
        <v>470</v>
      </c>
      <c r="E3445" s="1044">
        <v>1677.8999999999999</v>
      </c>
      <c r="G3445" s="731"/>
      <c r="H3445"/>
    </row>
    <row r="3446" spans="1:8">
      <c r="A3446" s="941">
        <v>8</v>
      </c>
      <c r="B3446" s="941" t="s">
        <v>4834</v>
      </c>
      <c r="C3446" s="941" t="s">
        <v>5161</v>
      </c>
      <c r="D3446" s="142">
        <v>470</v>
      </c>
      <c r="E3446" s="1044">
        <v>1677.8999999999999</v>
      </c>
      <c r="G3446" s="731"/>
      <c r="H3446"/>
    </row>
    <row r="3447" spans="1:8">
      <c r="A3447" s="941">
        <v>9</v>
      </c>
      <c r="B3447" s="941" t="s">
        <v>4834</v>
      </c>
      <c r="C3447" s="941" t="s">
        <v>5162</v>
      </c>
      <c r="D3447" s="142">
        <v>470</v>
      </c>
      <c r="E3447" s="1044">
        <v>1677.8999999999999</v>
      </c>
      <c r="G3447" s="731"/>
      <c r="H3447"/>
    </row>
    <row r="3448" spans="1:8">
      <c r="A3448" s="941">
        <v>10</v>
      </c>
      <c r="B3448" s="941" t="s">
        <v>4834</v>
      </c>
      <c r="C3448" s="941" t="s">
        <v>5163</v>
      </c>
      <c r="D3448" s="142">
        <v>470</v>
      </c>
      <c r="E3448" s="1044">
        <v>1677.8999999999999</v>
      </c>
      <c r="G3448" s="731"/>
      <c r="H3448"/>
    </row>
    <row r="3449" spans="1:8">
      <c r="A3449" s="941">
        <v>11</v>
      </c>
      <c r="B3449" s="941" t="s">
        <v>4834</v>
      </c>
      <c r="C3449" s="941" t="s">
        <v>5164</v>
      </c>
      <c r="D3449" s="142">
        <v>470</v>
      </c>
      <c r="E3449" s="1044">
        <v>1677.8999999999999</v>
      </c>
      <c r="G3449" s="731"/>
      <c r="H3449"/>
    </row>
    <row r="3450" spans="1:8">
      <c r="A3450" s="941">
        <v>12</v>
      </c>
      <c r="B3450" s="941" t="s">
        <v>4834</v>
      </c>
      <c r="C3450" s="941" t="s">
        <v>5165</v>
      </c>
      <c r="D3450" s="142">
        <v>470</v>
      </c>
      <c r="E3450" s="1044">
        <v>1677.8999999999999</v>
      </c>
      <c r="G3450" s="731"/>
      <c r="H3450"/>
    </row>
    <row r="3451" spans="1:8">
      <c r="A3451" s="941">
        <v>13</v>
      </c>
      <c r="B3451" s="941" t="s">
        <v>4834</v>
      </c>
      <c r="C3451" s="941" t="s">
        <v>5166</v>
      </c>
      <c r="D3451" s="142">
        <v>470</v>
      </c>
      <c r="E3451" s="1044">
        <v>1677.8999999999999</v>
      </c>
      <c r="G3451" s="731"/>
      <c r="H3451"/>
    </row>
    <row r="3452" spans="1:8">
      <c r="A3452" s="941">
        <v>14</v>
      </c>
      <c r="B3452" s="941" t="s">
        <v>4834</v>
      </c>
      <c r="C3452" s="941" t="s">
        <v>5167</v>
      </c>
      <c r="D3452" s="142">
        <v>470</v>
      </c>
      <c r="E3452" s="1044">
        <v>1677.8999999999999</v>
      </c>
      <c r="G3452" s="731"/>
      <c r="H3452"/>
    </row>
    <row r="3453" spans="1:8">
      <c r="A3453" s="941">
        <v>15</v>
      </c>
      <c r="B3453" s="941" t="s">
        <v>4834</v>
      </c>
      <c r="C3453" s="941" t="s">
        <v>5168</v>
      </c>
      <c r="D3453" s="142">
        <v>470</v>
      </c>
      <c r="E3453" s="1044">
        <v>1677.8999999999999</v>
      </c>
      <c r="G3453" s="731"/>
      <c r="H3453"/>
    </row>
    <row r="3454" spans="1:8">
      <c r="A3454" s="941">
        <v>16</v>
      </c>
      <c r="B3454" s="941" t="s">
        <v>4834</v>
      </c>
      <c r="C3454" s="941" t="s">
        <v>5169</v>
      </c>
      <c r="D3454" s="142">
        <v>470</v>
      </c>
      <c r="E3454" s="1044">
        <v>1677.8999999999999</v>
      </c>
      <c r="G3454" s="731"/>
      <c r="H3454"/>
    </row>
    <row r="3455" spans="1:8">
      <c r="A3455" s="941">
        <v>17</v>
      </c>
      <c r="B3455" s="941" t="s">
        <v>4834</v>
      </c>
      <c r="C3455" s="941" t="s">
        <v>5170</v>
      </c>
      <c r="D3455" s="142">
        <v>470</v>
      </c>
      <c r="E3455" s="1044">
        <v>1677.8999999999999</v>
      </c>
      <c r="G3455" s="731"/>
      <c r="H3455"/>
    </row>
    <row r="3456" spans="1:8">
      <c r="A3456" s="941">
        <v>18</v>
      </c>
      <c r="B3456" s="941" t="s">
        <v>4834</v>
      </c>
      <c r="C3456" s="941" t="s">
        <v>5171</v>
      </c>
      <c r="D3456" s="142">
        <v>470</v>
      </c>
      <c r="E3456" s="1044">
        <v>1677.8999999999999</v>
      </c>
      <c r="G3456" s="731"/>
      <c r="H3456"/>
    </row>
    <row r="3457" spans="1:8">
      <c r="A3457" s="941">
        <v>19</v>
      </c>
      <c r="B3457" s="941" t="s">
        <v>4834</v>
      </c>
      <c r="C3457" s="941" t="s">
        <v>5172</v>
      </c>
      <c r="D3457" s="142">
        <v>470</v>
      </c>
      <c r="E3457" s="1044">
        <v>1677.8999999999999</v>
      </c>
      <c r="G3457" s="731"/>
      <c r="H3457"/>
    </row>
    <row r="3458" spans="1:8">
      <c r="A3458" s="941">
        <v>20</v>
      </c>
      <c r="B3458" s="941" t="s">
        <v>4834</v>
      </c>
      <c r="C3458" s="941" t="s">
        <v>5173</v>
      </c>
      <c r="D3458" s="142">
        <v>470</v>
      </c>
      <c r="E3458" s="1044">
        <v>1677.8999999999999</v>
      </c>
      <c r="G3458" s="731"/>
      <c r="H3458"/>
    </row>
    <row r="3459" spans="1:8">
      <c r="A3459" s="941">
        <v>21</v>
      </c>
      <c r="B3459" s="941" t="s">
        <v>4834</v>
      </c>
      <c r="C3459" s="941" t="s">
        <v>5174</v>
      </c>
      <c r="D3459" s="142">
        <v>470</v>
      </c>
      <c r="E3459" s="1044">
        <v>1677.8999999999999</v>
      </c>
      <c r="G3459" s="731"/>
      <c r="H3459"/>
    </row>
    <row r="3460" spans="1:8">
      <c r="A3460" s="941">
        <v>22</v>
      </c>
      <c r="B3460" s="941" t="s">
        <v>4834</v>
      </c>
      <c r="C3460" s="941" t="s">
        <v>5175</v>
      </c>
      <c r="D3460" s="142">
        <v>470</v>
      </c>
      <c r="E3460" s="1044">
        <v>1677.8999999999999</v>
      </c>
      <c r="G3460" s="731"/>
      <c r="H3460"/>
    </row>
    <row r="3461" spans="1:8">
      <c r="A3461" s="941">
        <v>23</v>
      </c>
      <c r="B3461" s="941" t="s">
        <v>4834</v>
      </c>
      <c r="C3461" s="941" t="s">
        <v>5176</v>
      </c>
      <c r="D3461" s="142">
        <v>470</v>
      </c>
      <c r="E3461" s="1044">
        <v>1677.8999999999999</v>
      </c>
      <c r="G3461" s="731"/>
      <c r="H3461"/>
    </row>
    <row r="3462" spans="1:8">
      <c r="A3462" s="941">
        <v>24</v>
      </c>
      <c r="B3462" s="941" t="s">
        <v>4834</v>
      </c>
      <c r="C3462" s="941" t="s">
        <v>5177</v>
      </c>
      <c r="D3462" s="142">
        <v>470</v>
      </c>
      <c r="E3462" s="1044">
        <v>1677.8999999999999</v>
      </c>
      <c r="G3462" s="731"/>
      <c r="H3462"/>
    </row>
    <row r="3463" spans="1:8">
      <c r="A3463" s="941">
        <v>25</v>
      </c>
      <c r="B3463" s="941" t="s">
        <v>4834</v>
      </c>
      <c r="C3463" s="941" t="s">
        <v>5178</v>
      </c>
      <c r="D3463" s="142">
        <v>470</v>
      </c>
      <c r="E3463" s="1044">
        <v>1677.8999999999999</v>
      </c>
      <c r="G3463" s="731"/>
      <c r="H3463"/>
    </row>
    <row r="3464" spans="1:8">
      <c r="A3464" s="941">
        <v>26</v>
      </c>
      <c r="B3464" s="941" t="s">
        <v>4834</v>
      </c>
      <c r="C3464" s="941" t="s">
        <v>5179</v>
      </c>
      <c r="D3464" s="142">
        <v>470</v>
      </c>
      <c r="E3464" s="1044">
        <v>1677.8999999999999</v>
      </c>
      <c r="G3464" s="731"/>
      <c r="H3464"/>
    </row>
    <row r="3465" spans="1:8">
      <c r="A3465" s="941">
        <v>27</v>
      </c>
      <c r="B3465" s="941" t="s">
        <v>4834</v>
      </c>
      <c r="C3465" s="941" t="s">
        <v>5180</v>
      </c>
      <c r="D3465" s="142">
        <v>470</v>
      </c>
      <c r="E3465" s="1044">
        <v>1677.8999999999999</v>
      </c>
      <c r="G3465" s="731"/>
      <c r="H3465"/>
    </row>
    <row r="3466" spans="1:8">
      <c r="A3466" s="941">
        <v>28</v>
      </c>
      <c r="B3466" s="941" t="s">
        <v>4834</v>
      </c>
      <c r="C3466" s="941" t="s">
        <v>5181</v>
      </c>
      <c r="D3466" s="142">
        <v>470</v>
      </c>
      <c r="E3466" s="1044">
        <v>1677.8999999999999</v>
      </c>
      <c r="G3466" s="731"/>
      <c r="H3466"/>
    </row>
    <row r="3467" spans="1:8">
      <c r="A3467" s="941">
        <v>29</v>
      </c>
      <c r="B3467" s="941" t="s">
        <v>4834</v>
      </c>
      <c r="C3467" s="941" t="s">
        <v>5182</v>
      </c>
      <c r="D3467" s="142">
        <v>470</v>
      </c>
      <c r="E3467" s="1044">
        <v>1677.8999999999999</v>
      </c>
      <c r="G3467" s="731"/>
      <c r="H3467"/>
    </row>
    <row r="3468" spans="1:8">
      <c r="A3468" s="941">
        <v>30</v>
      </c>
      <c r="B3468" s="941" t="s">
        <v>4834</v>
      </c>
      <c r="C3468" s="941" t="s">
        <v>5183</v>
      </c>
      <c r="D3468" s="142">
        <v>470</v>
      </c>
      <c r="E3468" s="1044">
        <v>1677.8999999999999</v>
      </c>
      <c r="G3468" s="731"/>
      <c r="H3468"/>
    </row>
    <row r="3469" spans="1:8">
      <c r="A3469" s="941">
        <v>31</v>
      </c>
      <c r="B3469" s="941" t="s">
        <v>4834</v>
      </c>
      <c r="C3469" s="941" t="s">
        <v>5184</v>
      </c>
      <c r="D3469" s="142">
        <v>470</v>
      </c>
      <c r="E3469" s="1044">
        <v>1677.8999999999999</v>
      </c>
      <c r="G3469" s="731"/>
      <c r="H3469"/>
    </row>
    <row r="3470" spans="1:8">
      <c r="A3470" s="941">
        <v>32</v>
      </c>
      <c r="B3470" s="941" t="s">
        <v>4834</v>
      </c>
      <c r="C3470" s="941" t="s">
        <v>5185</v>
      </c>
      <c r="D3470" s="142">
        <v>470</v>
      </c>
      <c r="E3470" s="1044">
        <v>1677.8999999999999</v>
      </c>
      <c r="G3470" s="731"/>
      <c r="H3470"/>
    </row>
    <row r="3471" spans="1:8">
      <c r="A3471" s="941">
        <v>33</v>
      </c>
      <c r="B3471" s="941" t="s">
        <v>4834</v>
      </c>
      <c r="C3471" s="941" t="s">
        <v>5186</v>
      </c>
      <c r="D3471" s="142">
        <v>470</v>
      </c>
      <c r="E3471" s="1044">
        <v>1677.8999999999999</v>
      </c>
      <c r="G3471" s="731"/>
      <c r="H3471"/>
    </row>
    <row r="3472" spans="1:8">
      <c r="A3472" s="941">
        <v>34</v>
      </c>
      <c r="B3472" s="941" t="s">
        <v>4834</v>
      </c>
      <c r="C3472" s="941" t="s">
        <v>5187</v>
      </c>
      <c r="D3472" s="142">
        <v>470</v>
      </c>
      <c r="E3472" s="1044">
        <v>1677.8999999999999</v>
      </c>
      <c r="G3472" s="731"/>
      <c r="H3472"/>
    </row>
    <row r="3473" spans="1:8">
      <c r="A3473" s="941">
        <v>35</v>
      </c>
      <c r="B3473" s="941" t="s">
        <v>4834</v>
      </c>
      <c r="C3473" s="941" t="s">
        <v>5188</v>
      </c>
      <c r="D3473" s="142">
        <v>470</v>
      </c>
      <c r="E3473" s="1044">
        <v>1677.8999999999999</v>
      </c>
      <c r="G3473" s="731"/>
      <c r="H3473"/>
    </row>
    <row r="3474" spans="1:8">
      <c r="A3474" s="941">
        <v>36</v>
      </c>
      <c r="B3474" s="941" t="s">
        <v>4834</v>
      </c>
      <c r="C3474" s="941" t="s">
        <v>5189</v>
      </c>
      <c r="D3474" s="142">
        <v>470</v>
      </c>
      <c r="E3474" s="1044">
        <v>1677.8999999999999</v>
      </c>
      <c r="G3474" s="731"/>
      <c r="H3474"/>
    </row>
    <row r="3475" spans="1:8">
      <c r="A3475" s="941">
        <v>37</v>
      </c>
      <c r="B3475" s="941" t="s">
        <v>4834</v>
      </c>
      <c r="C3475" s="941" t="s">
        <v>5190</v>
      </c>
      <c r="D3475" s="142">
        <v>470</v>
      </c>
      <c r="E3475" s="1044">
        <v>1677.8999999999999</v>
      </c>
      <c r="G3475" s="731"/>
      <c r="H3475"/>
    </row>
    <row r="3476" spans="1:8">
      <c r="A3476" s="941">
        <v>38</v>
      </c>
      <c r="B3476" s="941" t="s">
        <v>4834</v>
      </c>
      <c r="C3476" s="941" t="s">
        <v>5191</v>
      </c>
      <c r="D3476" s="142">
        <v>470</v>
      </c>
      <c r="E3476" s="1044">
        <v>1677.8999999999999</v>
      </c>
      <c r="G3476" s="731"/>
      <c r="H3476"/>
    </row>
    <row r="3477" spans="1:8">
      <c r="A3477" s="941">
        <v>39</v>
      </c>
      <c r="B3477" s="941" t="s">
        <v>4834</v>
      </c>
      <c r="C3477" s="941" t="s">
        <v>5192</v>
      </c>
      <c r="D3477" s="142">
        <v>470</v>
      </c>
      <c r="E3477" s="1044">
        <v>1677.8999999999999</v>
      </c>
      <c r="G3477" s="731"/>
      <c r="H3477"/>
    </row>
    <row r="3478" spans="1:8">
      <c r="A3478" s="941">
        <v>40</v>
      </c>
      <c r="B3478" s="941" t="s">
        <v>4834</v>
      </c>
      <c r="C3478" s="941" t="s">
        <v>5193</v>
      </c>
      <c r="D3478" s="142">
        <v>470</v>
      </c>
      <c r="E3478" s="1044">
        <v>1677.8999999999999</v>
      </c>
      <c r="G3478" s="731"/>
      <c r="H3478"/>
    </row>
    <row r="3479" spans="1:8">
      <c r="A3479" s="941">
        <v>41</v>
      </c>
      <c r="B3479" s="941" t="s">
        <v>4834</v>
      </c>
      <c r="C3479" s="941" t="s">
        <v>5194</v>
      </c>
      <c r="D3479" s="142">
        <v>470</v>
      </c>
      <c r="E3479" s="1044">
        <v>1677.8999999999999</v>
      </c>
      <c r="G3479" s="731"/>
      <c r="H3479"/>
    </row>
    <row r="3480" spans="1:8">
      <c r="A3480" s="941">
        <v>42</v>
      </c>
      <c r="B3480" s="941" t="s">
        <v>4834</v>
      </c>
      <c r="C3480" s="941" t="s">
        <v>5195</v>
      </c>
      <c r="D3480" s="142">
        <v>470</v>
      </c>
      <c r="E3480" s="1044">
        <v>1677.8999999999999</v>
      </c>
      <c r="G3480" s="731"/>
      <c r="H3480"/>
    </row>
    <row r="3481" spans="1:8">
      <c r="A3481" s="941">
        <v>43</v>
      </c>
      <c r="B3481" s="941" t="s">
        <v>4834</v>
      </c>
      <c r="C3481" s="941" t="s">
        <v>5196</v>
      </c>
      <c r="D3481" s="142">
        <v>470</v>
      </c>
      <c r="E3481" s="1044">
        <v>1677.8999999999999</v>
      </c>
      <c r="G3481" s="731"/>
      <c r="H3481"/>
    </row>
    <row r="3482" spans="1:8">
      <c r="A3482" s="941">
        <v>44</v>
      </c>
      <c r="B3482" s="941" t="s">
        <v>4834</v>
      </c>
      <c r="C3482" s="941" t="s">
        <v>5197</v>
      </c>
      <c r="D3482" s="142">
        <v>470</v>
      </c>
      <c r="E3482" s="1044">
        <v>1677.8999999999999</v>
      </c>
      <c r="G3482" s="731"/>
      <c r="H3482"/>
    </row>
    <row r="3483" spans="1:8">
      <c r="A3483" s="941">
        <v>45</v>
      </c>
      <c r="B3483" s="941" t="s">
        <v>4834</v>
      </c>
      <c r="C3483" s="941" t="s">
        <v>5198</v>
      </c>
      <c r="D3483" s="142">
        <v>470</v>
      </c>
      <c r="E3483" s="1044">
        <v>1677.8999999999999</v>
      </c>
      <c r="G3483" s="731"/>
      <c r="H3483"/>
    </row>
    <row r="3484" spans="1:8">
      <c r="A3484" s="941">
        <v>46</v>
      </c>
      <c r="B3484" s="941" t="s">
        <v>4834</v>
      </c>
      <c r="C3484" s="941" t="s">
        <v>5199</v>
      </c>
      <c r="D3484" s="142">
        <v>470</v>
      </c>
      <c r="E3484" s="1044">
        <v>1677.8999999999999</v>
      </c>
      <c r="G3484" s="731"/>
      <c r="H3484"/>
    </row>
    <row r="3485" spans="1:8">
      <c r="A3485" s="941">
        <v>47</v>
      </c>
      <c r="B3485" s="941" t="s">
        <v>4834</v>
      </c>
      <c r="C3485" s="941" t="s">
        <v>5200</v>
      </c>
      <c r="D3485" s="142">
        <v>470</v>
      </c>
      <c r="E3485" s="1044">
        <v>1677.8999999999999</v>
      </c>
      <c r="G3485" s="731"/>
      <c r="H3485"/>
    </row>
    <row r="3486" spans="1:8">
      <c r="A3486" s="941">
        <v>48</v>
      </c>
      <c r="B3486" s="941" t="s">
        <v>4834</v>
      </c>
      <c r="C3486" s="941" t="s">
        <v>5201</v>
      </c>
      <c r="D3486" s="142">
        <v>470</v>
      </c>
      <c r="E3486" s="1044">
        <v>1677.8999999999999</v>
      </c>
      <c r="G3486" s="731"/>
      <c r="H3486"/>
    </row>
    <row r="3487" spans="1:8">
      <c r="A3487" s="941">
        <v>49</v>
      </c>
      <c r="B3487" s="941" t="s">
        <v>4834</v>
      </c>
      <c r="C3487" s="941" t="s">
        <v>5202</v>
      </c>
      <c r="D3487" s="142">
        <v>470</v>
      </c>
      <c r="E3487" s="1044">
        <v>1677.8999999999999</v>
      </c>
      <c r="G3487" s="731"/>
      <c r="H3487"/>
    </row>
    <row r="3488" spans="1:8">
      <c r="A3488" s="941">
        <v>50</v>
      </c>
      <c r="B3488" s="941" t="s">
        <v>4834</v>
      </c>
      <c r="C3488" s="941" t="s">
        <v>5203</v>
      </c>
      <c r="D3488" s="142">
        <v>470</v>
      </c>
      <c r="E3488" s="1044">
        <v>1677.8999999999999</v>
      </c>
      <c r="G3488" s="731"/>
      <c r="H3488"/>
    </row>
    <row r="3489" spans="1:8">
      <c r="A3489" s="941">
        <v>51</v>
      </c>
      <c r="B3489" s="941" t="s">
        <v>4834</v>
      </c>
      <c r="C3489" s="941" t="s">
        <v>5204</v>
      </c>
      <c r="D3489" s="142">
        <v>470</v>
      </c>
      <c r="E3489" s="1044">
        <v>1677.8999999999999</v>
      </c>
      <c r="G3489" s="731"/>
      <c r="H3489"/>
    </row>
    <row r="3490" spans="1:8">
      <c r="A3490" s="941">
        <v>52</v>
      </c>
      <c r="B3490" s="941" t="s">
        <v>4834</v>
      </c>
      <c r="C3490" s="941" t="s">
        <v>5205</v>
      </c>
      <c r="D3490" s="142">
        <v>470</v>
      </c>
      <c r="E3490" s="1044">
        <v>1677.8999999999999</v>
      </c>
      <c r="G3490" s="731"/>
      <c r="H3490"/>
    </row>
    <row r="3491" spans="1:8">
      <c r="A3491" s="941">
        <v>53</v>
      </c>
      <c r="B3491" s="941" t="s">
        <v>4834</v>
      </c>
      <c r="C3491" s="941" t="s">
        <v>5206</v>
      </c>
      <c r="D3491" s="142">
        <v>470</v>
      </c>
      <c r="E3491" s="1044">
        <v>1677.8999999999999</v>
      </c>
      <c r="G3491" s="731"/>
      <c r="H3491"/>
    </row>
    <row r="3492" spans="1:8">
      <c r="A3492" s="941">
        <v>54</v>
      </c>
      <c r="B3492" s="941" t="s">
        <v>4834</v>
      </c>
      <c r="C3492" s="941" t="s">
        <v>5207</v>
      </c>
      <c r="D3492" s="142">
        <v>470</v>
      </c>
      <c r="E3492" s="1044">
        <v>1677.8999999999999</v>
      </c>
      <c r="G3492" s="731"/>
      <c r="H3492"/>
    </row>
    <row r="3493" spans="1:8">
      <c r="A3493" s="941">
        <v>55</v>
      </c>
      <c r="B3493" s="941" t="s">
        <v>4834</v>
      </c>
      <c r="C3493" s="941" t="s">
        <v>5208</v>
      </c>
      <c r="D3493" s="142">
        <v>470</v>
      </c>
      <c r="E3493" s="1044">
        <v>1677.8999999999999</v>
      </c>
      <c r="G3493" s="731"/>
      <c r="H3493"/>
    </row>
    <row r="3494" spans="1:8">
      <c r="A3494" s="941">
        <v>56</v>
      </c>
      <c r="B3494" s="941" t="s">
        <v>4834</v>
      </c>
      <c r="C3494" s="941" t="s">
        <v>5209</v>
      </c>
      <c r="D3494" s="142">
        <v>470</v>
      </c>
      <c r="E3494" s="1044">
        <v>1677.8999999999999</v>
      </c>
      <c r="G3494" s="731"/>
      <c r="H3494"/>
    </row>
    <row r="3495" spans="1:8">
      <c r="A3495" s="941">
        <v>57</v>
      </c>
      <c r="B3495" s="941" t="s">
        <v>4834</v>
      </c>
      <c r="C3495" s="941" t="s">
        <v>5210</v>
      </c>
      <c r="D3495" s="142">
        <v>470</v>
      </c>
      <c r="E3495" s="1044">
        <v>1677.8999999999999</v>
      </c>
      <c r="G3495" s="731"/>
      <c r="H3495"/>
    </row>
    <row r="3496" spans="1:8">
      <c r="A3496" s="941">
        <v>58</v>
      </c>
      <c r="B3496" s="941" t="s">
        <v>4834</v>
      </c>
      <c r="C3496" s="941" t="s">
        <v>5211</v>
      </c>
      <c r="D3496" s="142">
        <v>470</v>
      </c>
      <c r="E3496" s="1044">
        <v>1677.8999999999999</v>
      </c>
      <c r="G3496" s="731"/>
      <c r="H3496"/>
    </row>
    <row r="3497" spans="1:8">
      <c r="A3497" s="941">
        <v>59</v>
      </c>
      <c r="B3497" s="941" t="s">
        <v>4834</v>
      </c>
      <c r="C3497" s="941" t="s">
        <v>5212</v>
      </c>
      <c r="D3497" s="142">
        <v>470</v>
      </c>
      <c r="E3497" s="1044">
        <v>1677.8999999999999</v>
      </c>
      <c r="G3497" s="731"/>
      <c r="H3497"/>
    </row>
    <row r="3498" spans="1:8">
      <c r="A3498" s="941">
        <v>60</v>
      </c>
      <c r="B3498" s="941" t="s">
        <v>4834</v>
      </c>
      <c r="C3498" s="941" t="s">
        <v>5213</v>
      </c>
      <c r="D3498" s="142">
        <v>470</v>
      </c>
      <c r="E3498" s="1044">
        <v>1677.8999999999999</v>
      </c>
      <c r="G3498" s="731"/>
      <c r="H3498"/>
    </row>
    <row r="3499" spans="1:8">
      <c r="A3499" s="941">
        <v>61</v>
      </c>
      <c r="B3499" s="941" t="s">
        <v>5000</v>
      </c>
      <c r="C3499" s="941" t="s">
        <v>5214</v>
      </c>
      <c r="D3499" s="142">
        <v>710</v>
      </c>
      <c r="E3499" s="1044">
        <v>2534.6999999999998</v>
      </c>
      <c r="G3499" s="731"/>
      <c r="H3499"/>
    </row>
    <row r="3500" spans="1:8">
      <c r="A3500" s="941">
        <v>62</v>
      </c>
      <c r="B3500" s="941" t="s">
        <v>5000</v>
      </c>
      <c r="C3500" s="941" t="s">
        <v>5215</v>
      </c>
      <c r="D3500" s="142">
        <v>710</v>
      </c>
      <c r="E3500" s="1044">
        <v>2534.6999999999998</v>
      </c>
      <c r="G3500" s="731"/>
      <c r="H3500"/>
    </row>
    <row r="3501" spans="1:8">
      <c r="A3501" s="941">
        <v>63</v>
      </c>
      <c r="B3501" s="941" t="s">
        <v>5000</v>
      </c>
      <c r="C3501" s="941" t="s">
        <v>5216</v>
      </c>
      <c r="D3501" s="142">
        <v>710</v>
      </c>
      <c r="E3501" s="1044">
        <v>2534.6999999999998</v>
      </c>
      <c r="G3501" s="731"/>
      <c r="H3501"/>
    </row>
    <row r="3502" spans="1:8">
      <c r="A3502" s="941">
        <v>64</v>
      </c>
      <c r="B3502" s="941" t="s">
        <v>5000</v>
      </c>
      <c r="C3502" s="941" t="s">
        <v>5217</v>
      </c>
      <c r="D3502" s="142">
        <v>710</v>
      </c>
      <c r="E3502" s="1044">
        <v>2534.6999999999998</v>
      </c>
      <c r="G3502" s="731"/>
      <c r="H3502"/>
    </row>
    <row r="3503" spans="1:8">
      <c r="A3503" s="941">
        <v>65</v>
      </c>
      <c r="B3503" s="941" t="s">
        <v>5000</v>
      </c>
      <c r="C3503" s="941" t="s">
        <v>5218</v>
      </c>
      <c r="D3503" s="142">
        <v>710</v>
      </c>
      <c r="E3503" s="1044">
        <v>2534.6999999999998</v>
      </c>
      <c r="G3503" s="731"/>
      <c r="H3503"/>
    </row>
    <row r="3504" spans="1:8">
      <c r="A3504" s="941">
        <v>66</v>
      </c>
      <c r="B3504" s="941" t="s">
        <v>5219</v>
      </c>
      <c r="C3504" s="941" t="s">
        <v>5220</v>
      </c>
      <c r="D3504" s="142">
        <v>310</v>
      </c>
      <c r="E3504" s="1044">
        <v>1106.7</v>
      </c>
      <c r="G3504" s="731"/>
      <c r="H3504"/>
    </row>
    <row r="3505" spans="1:8">
      <c r="A3505" s="941">
        <v>67</v>
      </c>
      <c r="B3505" s="941" t="s">
        <v>5219</v>
      </c>
      <c r="C3505" s="941" t="s">
        <v>5221</v>
      </c>
      <c r="D3505" s="142">
        <v>310</v>
      </c>
      <c r="E3505" s="1044">
        <v>1106.7</v>
      </c>
      <c r="G3505" s="731"/>
      <c r="H3505"/>
    </row>
    <row r="3506" spans="1:8">
      <c r="A3506" s="941">
        <v>68</v>
      </c>
      <c r="B3506" s="941" t="s">
        <v>5219</v>
      </c>
      <c r="C3506" s="941" t="s">
        <v>5222</v>
      </c>
      <c r="D3506" s="142">
        <v>310</v>
      </c>
      <c r="E3506" s="1044">
        <v>1106.7</v>
      </c>
      <c r="G3506" s="731"/>
      <c r="H3506"/>
    </row>
    <row r="3507" spans="1:8">
      <c r="A3507" s="941">
        <v>69</v>
      </c>
      <c r="B3507" s="941" t="s">
        <v>5219</v>
      </c>
      <c r="C3507" s="941" t="s">
        <v>5223</v>
      </c>
      <c r="D3507" s="142">
        <v>310</v>
      </c>
      <c r="E3507" s="1044">
        <v>1106.7</v>
      </c>
      <c r="G3507" s="731"/>
      <c r="H3507"/>
    </row>
    <row r="3508" spans="1:8">
      <c r="A3508" s="941">
        <v>70</v>
      </c>
      <c r="B3508" s="941" t="s">
        <v>5224</v>
      </c>
      <c r="C3508" s="941" t="s">
        <v>5225</v>
      </c>
      <c r="D3508" s="142">
        <v>310</v>
      </c>
      <c r="E3508" s="1044">
        <v>1106.7</v>
      </c>
      <c r="G3508" s="731"/>
      <c r="H3508"/>
    </row>
    <row r="3509" spans="1:8">
      <c r="A3509" s="941">
        <v>71</v>
      </c>
      <c r="B3509" s="941" t="s">
        <v>5224</v>
      </c>
      <c r="C3509" s="941" t="s">
        <v>5226</v>
      </c>
      <c r="D3509" s="142">
        <v>310</v>
      </c>
      <c r="E3509" s="1044">
        <v>1106.7</v>
      </c>
      <c r="G3509" s="731"/>
      <c r="H3509"/>
    </row>
    <row r="3510" spans="1:8">
      <c r="A3510" s="941">
        <v>72</v>
      </c>
      <c r="B3510" s="941" t="s">
        <v>5224</v>
      </c>
      <c r="C3510" s="941" t="s">
        <v>5227</v>
      </c>
      <c r="D3510" s="142">
        <v>310</v>
      </c>
      <c r="E3510" s="1044">
        <v>1106.7</v>
      </c>
      <c r="G3510" s="731"/>
      <c r="H3510"/>
    </row>
    <row r="3511" spans="1:8">
      <c r="A3511" s="941">
        <v>73</v>
      </c>
      <c r="B3511" s="941" t="s">
        <v>5228</v>
      </c>
      <c r="C3511" s="941" t="s">
        <v>5229</v>
      </c>
      <c r="D3511" s="142">
        <v>310</v>
      </c>
      <c r="E3511" s="1044">
        <v>1106.7</v>
      </c>
      <c r="G3511" s="731"/>
      <c r="H3511"/>
    </row>
    <row r="3512" spans="1:8" ht="18.75">
      <c r="B3512" s="1375"/>
      <c r="C3512" s="1375"/>
      <c r="D3512" s="1376">
        <v>34230</v>
      </c>
      <c r="E3512" s="1377">
        <v>122201.09999999989</v>
      </c>
    </row>
    <row r="3522" spans="1:9">
      <c r="I3522">
        <v>3.63</v>
      </c>
    </row>
    <row r="3523" spans="1:9">
      <c r="I3523">
        <v>3.61</v>
      </c>
    </row>
    <row r="3524" spans="1:9">
      <c r="I3524">
        <v>3.6</v>
      </c>
    </row>
    <row r="3525" spans="1:9">
      <c r="I3525">
        <v>3.5950000000000002</v>
      </c>
    </row>
    <row r="3526" spans="1:9">
      <c r="I3526">
        <v>3.59</v>
      </c>
    </row>
    <row r="3527" spans="1:9">
      <c r="A3527" s="1395"/>
      <c r="B3527" s="1395" t="s">
        <v>1</v>
      </c>
      <c r="C3527" s="1396" t="s">
        <v>5265</v>
      </c>
      <c r="D3527" s="1396"/>
      <c r="E3527" s="1396"/>
      <c r="F3527" s="1396"/>
      <c r="G3527" s="1396"/>
      <c r="I3527">
        <v>3.585</v>
      </c>
    </row>
    <row r="3528" spans="1:9">
      <c r="A3528" s="1395" t="s">
        <v>3928</v>
      </c>
      <c r="B3528" s="1395" t="s">
        <v>2416</v>
      </c>
      <c r="C3528" s="1396" t="s">
        <v>5266</v>
      </c>
      <c r="D3528" s="1396" t="s">
        <v>2423</v>
      </c>
      <c r="E3528" s="1396" t="s">
        <v>33</v>
      </c>
      <c r="F3528" s="1396" t="s">
        <v>5152</v>
      </c>
      <c r="G3528" s="1396" t="s">
        <v>5153</v>
      </c>
      <c r="I3528">
        <v>3.58</v>
      </c>
    </row>
    <row r="3529" spans="1:9">
      <c r="A3529" s="941">
        <v>1</v>
      </c>
      <c r="B3529" s="941" t="s">
        <v>5267</v>
      </c>
      <c r="C3529" s="1042">
        <v>355101478272518</v>
      </c>
      <c r="D3529" s="941" t="s">
        <v>4686</v>
      </c>
      <c r="E3529" s="941"/>
      <c r="F3529" s="941">
        <v>1070</v>
      </c>
      <c r="G3529" s="1044">
        <v>3819.8999999999996</v>
      </c>
      <c r="I3529">
        <v>3.57</v>
      </c>
    </row>
    <row r="3530" spans="1:9">
      <c r="A3530" s="941">
        <v>2</v>
      </c>
      <c r="B3530" s="941" t="s">
        <v>5267</v>
      </c>
      <c r="C3530" s="1042">
        <v>357329446208730</v>
      </c>
      <c r="D3530" s="941" t="s">
        <v>4961</v>
      </c>
      <c r="E3530" s="941"/>
      <c r="F3530" s="941">
        <v>1100</v>
      </c>
      <c r="G3530" s="1044">
        <v>3927</v>
      </c>
    </row>
    <row r="3531" spans="1:9">
      <c r="A3531" s="941">
        <v>3</v>
      </c>
      <c r="B3531" s="941" t="s">
        <v>5267</v>
      </c>
      <c r="C3531" s="1042">
        <v>351668143301595</v>
      </c>
      <c r="D3531" s="941" t="s">
        <v>4686</v>
      </c>
      <c r="E3531" s="941"/>
      <c r="F3531" s="941">
        <v>1070</v>
      </c>
      <c r="G3531" s="1044">
        <v>3819.8999999999996</v>
      </c>
    </row>
    <row r="3532" spans="1:9">
      <c r="A3532" s="941">
        <v>4</v>
      </c>
      <c r="B3532" s="941" t="s">
        <v>5267</v>
      </c>
      <c r="C3532" s="1042">
        <v>357329446779847</v>
      </c>
      <c r="D3532" s="941" t="s">
        <v>4961</v>
      </c>
      <c r="E3532" s="941"/>
      <c r="F3532" s="941">
        <v>1100</v>
      </c>
      <c r="G3532" s="1044">
        <v>3927</v>
      </c>
    </row>
    <row r="3533" spans="1:9">
      <c r="A3533" s="941">
        <v>5</v>
      </c>
      <c r="B3533" s="941" t="s">
        <v>5267</v>
      </c>
      <c r="C3533" s="1042">
        <v>351668143948874</v>
      </c>
      <c r="D3533" s="941" t="s">
        <v>4686</v>
      </c>
      <c r="E3533" s="941"/>
      <c r="F3533" s="941">
        <v>1070</v>
      </c>
      <c r="G3533" s="1044">
        <v>3819.8999999999996</v>
      </c>
    </row>
    <row r="3534" spans="1:9">
      <c r="A3534" s="941">
        <v>6</v>
      </c>
      <c r="B3534" s="941" t="s">
        <v>5267</v>
      </c>
      <c r="C3534" s="1042">
        <v>351205748322419</v>
      </c>
      <c r="D3534" s="941" t="s">
        <v>4961</v>
      </c>
      <c r="E3534" s="941"/>
      <c r="F3534" s="941">
        <v>1100</v>
      </c>
      <c r="G3534" s="1044">
        <v>3927</v>
      </c>
    </row>
    <row r="3535" spans="1:9">
      <c r="A3535" s="941">
        <v>7</v>
      </c>
      <c r="B3535" s="941" t="s">
        <v>5268</v>
      </c>
      <c r="C3535" s="1042">
        <v>350552892226339</v>
      </c>
      <c r="D3535" s="941" t="s">
        <v>4686</v>
      </c>
      <c r="E3535" s="941"/>
      <c r="F3535" s="941">
        <v>1070</v>
      </c>
      <c r="G3535" s="1044">
        <v>3819.8999999999996</v>
      </c>
    </row>
    <row r="3536" spans="1:9">
      <c r="A3536" s="941">
        <v>8</v>
      </c>
      <c r="B3536" s="941" t="s">
        <v>5268</v>
      </c>
      <c r="C3536" s="1042">
        <v>351668148385429</v>
      </c>
      <c r="D3536" s="941" t="s">
        <v>4686</v>
      </c>
      <c r="E3536" s="941"/>
      <c r="F3536" s="941">
        <v>1070</v>
      </c>
      <c r="G3536" s="1044">
        <v>3819.8999999999996</v>
      </c>
    </row>
    <row r="3537" spans="1:7">
      <c r="A3537" s="941">
        <v>9</v>
      </c>
      <c r="B3537" s="941" t="s">
        <v>5268</v>
      </c>
      <c r="C3537" s="1042">
        <v>359178371528606</v>
      </c>
      <c r="D3537" s="941" t="s">
        <v>4961</v>
      </c>
      <c r="E3537" s="941"/>
      <c r="F3537" s="941">
        <v>1100</v>
      </c>
      <c r="G3537" s="1044">
        <v>3927</v>
      </c>
    </row>
    <row r="3538" spans="1:7">
      <c r="A3538" s="941">
        <v>10</v>
      </c>
      <c r="B3538" s="941" t="s">
        <v>5268</v>
      </c>
      <c r="C3538" s="1042">
        <v>351668149676677</v>
      </c>
      <c r="D3538" s="941" t="s">
        <v>4961</v>
      </c>
      <c r="E3538" s="941"/>
      <c r="F3538" s="941">
        <v>1100</v>
      </c>
      <c r="G3538" s="1044">
        <v>3927</v>
      </c>
    </row>
    <row r="3539" spans="1:7">
      <c r="A3539" s="941">
        <v>11</v>
      </c>
      <c r="B3539" s="941" t="s">
        <v>5268</v>
      </c>
      <c r="C3539" s="1042">
        <v>359178371228405</v>
      </c>
      <c r="D3539" s="941" t="s">
        <v>5269</v>
      </c>
      <c r="E3539" s="941"/>
      <c r="F3539" s="941">
        <v>1070</v>
      </c>
      <c r="G3539" s="1044">
        <v>3819.8999999999996</v>
      </c>
    </row>
    <row r="3540" spans="1:7">
      <c r="A3540" s="941">
        <v>12</v>
      </c>
      <c r="B3540" s="941" t="s">
        <v>5270</v>
      </c>
      <c r="C3540" s="1042">
        <v>359652124236055</v>
      </c>
      <c r="D3540" s="941" t="s">
        <v>4961</v>
      </c>
      <c r="E3540" s="941"/>
      <c r="F3540" s="941">
        <v>1100</v>
      </c>
      <c r="G3540" s="1044">
        <v>3927</v>
      </c>
    </row>
    <row r="3541" spans="1:7">
      <c r="A3541" s="941">
        <v>13</v>
      </c>
      <c r="B3541" s="941" t="s">
        <v>5270</v>
      </c>
      <c r="C3541" s="1042">
        <v>350230972122559</v>
      </c>
      <c r="D3541" s="941" t="s">
        <v>5269</v>
      </c>
      <c r="E3541" s="941"/>
      <c r="F3541" s="941">
        <v>1070</v>
      </c>
      <c r="G3541" s="1044">
        <v>3819.8999999999996</v>
      </c>
    </row>
    <row r="3542" spans="1:7">
      <c r="A3542" s="941">
        <v>14</v>
      </c>
      <c r="B3542" s="941" t="s">
        <v>5270</v>
      </c>
      <c r="C3542" s="1042">
        <v>351205745634691</v>
      </c>
      <c r="D3542" s="941" t="s">
        <v>4961</v>
      </c>
      <c r="E3542" s="941"/>
      <c r="F3542" s="941">
        <v>1100</v>
      </c>
      <c r="G3542" s="1044">
        <v>3927</v>
      </c>
    </row>
    <row r="3543" spans="1:7">
      <c r="A3543" s="941">
        <v>15</v>
      </c>
      <c r="B3543" s="941" t="s">
        <v>5270</v>
      </c>
      <c r="C3543" s="1042">
        <v>359178370656366</v>
      </c>
      <c r="D3543" s="941" t="s">
        <v>4961</v>
      </c>
      <c r="E3543" s="941"/>
      <c r="F3543" s="941">
        <v>1100</v>
      </c>
      <c r="G3543" s="1044">
        <v>3927</v>
      </c>
    </row>
    <row r="3544" spans="1:7">
      <c r="A3544" s="941">
        <v>16</v>
      </c>
      <c r="B3544" s="941" t="s">
        <v>5270</v>
      </c>
      <c r="C3544" s="1042">
        <v>351668149664871</v>
      </c>
      <c r="D3544" s="941" t="s">
        <v>4686</v>
      </c>
      <c r="E3544" s="941"/>
      <c r="F3544" s="941">
        <v>1070</v>
      </c>
      <c r="G3544" s="1044">
        <v>3819.8999999999996</v>
      </c>
    </row>
    <row r="3545" spans="1:7">
      <c r="A3545" s="941">
        <v>17</v>
      </c>
      <c r="B3545" s="941" t="s">
        <v>5270</v>
      </c>
      <c r="C3545" s="1042">
        <v>351668149719659</v>
      </c>
      <c r="D3545" s="941" t="s">
        <v>4686</v>
      </c>
      <c r="E3545" s="941"/>
      <c r="F3545" s="941">
        <v>1070</v>
      </c>
      <c r="G3545" s="1044">
        <v>3819.8999999999996</v>
      </c>
    </row>
    <row r="3546" spans="1:7">
      <c r="A3546" s="941">
        <v>18</v>
      </c>
      <c r="B3546" s="941" t="s">
        <v>5271</v>
      </c>
      <c r="C3546" s="1042">
        <v>352574678451335</v>
      </c>
      <c r="D3546" s="941" t="s">
        <v>4686</v>
      </c>
      <c r="E3546" s="941"/>
      <c r="F3546" s="941">
        <v>930</v>
      </c>
      <c r="G3546" s="1044">
        <v>3320.1</v>
      </c>
    </row>
    <row r="3547" spans="1:7">
      <c r="A3547" s="941">
        <v>19</v>
      </c>
      <c r="B3547" s="941" t="s">
        <v>5272</v>
      </c>
      <c r="C3547" s="1042">
        <v>357679999522063</v>
      </c>
      <c r="D3547" s="941" t="s">
        <v>2427</v>
      </c>
      <c r="E3547" s="941"/>
      <c r="F3547" s="941">
        <v>930</v>
      </c>
      <c r="G3547" s="1044">
        <v>3320.1</v>
      </c>
    </row>
    <row r="3548" spans="1:7">
      <c r="A3548" s="941">
        <v>20</v>
      </c>
      <c r="B3548" s="941" t="s">
        <v>5273</v>
      </c>
      <c r="C3548" s="1042">
        <v>354289636785694</v>
      </c>
      <c r="D3548" s="941" t="s">
        <v>4686</v>
      </c>
      <c r="E3548" s="941"/>
      <c r="F3548" s="941">
        <v>930</v>
      </c>
      <c r="G3548" s="1044">
        <v>3320.1</v>
      </c>
    </row>
    <row r="3549" spans="1:7">
      <c r="A3549" s="941">
        <v>21</v>
      </c>
      <c r="B3549" s="941" t="s">
        <v>5273</v>
      </c>
      <c r="C3549" s="1042">
        <v>354289630615970</v>
      </c>
      <c r="D3549" s="941" t="s">
        <v>4686</v>
      </c>
      <c r="E3549" s="941"/>
      <c r="F3549" s="941">
        <v>930</v>
      </c>
      <c r="G3549" s="1044">
        <v>3320.1</v>
      </c>
    </row>
    <row r="3550" spans="1:7">
      <c r="A3550" s="941">
        <v>22</v>
      </c>
      <c r="B3550" s="941" t="s">
        <v>5273</v>
      </c>
      <c r="C3550" s="1042">
        <v>356245419402590</v>
      </c>
      <c r="D3550" s="941" t="s">
        <v>4961</v>
      </c>
      <c r="E3550" s="941"/>
      <c r="F3550" s="941">
        <v>980</v>
      </c>
      <c r="G3550" s="1044">
        <v>3498.6</v>
      </c>
    </row>
    <row r="3551" spans="1:7">
      <c r="A3551" s="941">
        <v>23</v>
      </c>
      <c r="B3551" s="941" t="s">
        <v>5270</v>
      </c>
      <c r="C3551" s="1042">
        <v>353427330354760</v>
      </c>
      <c r="D3551" s="941" t="s">
        <v>4966</v>
      </c>
      <c r="E3551" s="941" t="s">
        <v>5274</v>
      </c>
      <c r="F3551" s="941">
        <v>870</v>
      </c>
      <c r="G3551" s="1044">
        <v>3105.8999999999996</v>
      </c>
    </row>
    <row r="3552" spans="1:7">
      <c r="A3552" s="941">
        <v>24</v>
      </c>
      <c r="B3552" s="941" t="s">
        <v>5270</v>
      </c>
      <c r="C3552" s="1042">
        <v>353427330419357</v>
      </c>
      <c r="D3552" s="941" t="s">
        <v>4966</v>
      </c>
      <c r="E3552" s="941" t="s">
        <v>5274</v>
      </c>
      <c r="F3552" s="941">
        <v>870</v>
      </c>
      <c r="G3552" s="1044">
        <v>3105.8999999999996</v>
      </c>
    </row>
    <row r="3553" spans="1:7">
      <c r="A3553" s="941">
        <v>25</v>
      </c>
      <c r="B3553" s="941" t="s">
        <v>5270</v>
      </c>
      <c r="C3553" s="1042">
        <v>353427330787076</v>
      </c>
      <c r="D3553" s="941" t="s">
        <v>4966</v>
      </c>
      <c r="E3553" s="941" t="s">
        <v>5274</v>
      </c>
      <c r="F3553" s="941">
        <v>870</v>
      </c>
      <c r="G3553" s="1044">
        <v>3105.8999999999996</v>
      </c>
    </row>
    <row r="3554" spans="1:7">
      <c r="A3554" s="941">
        <v>26</v>
      </c>
      <c r="B3554" s="941" t="s">
        <v>5270</v>
      </c>
      <c r="C3554" s="1042">
        <v>359912583356459</v>
      </c>
      <c r="D3554" s="941" t="s">
        <v>4996</v>
      </c>
      <c r="E3554" s="941" t="s">
        <v>5274</v>
      </c>
      <c r="F3554" s="941">
        <v>870</v>
      </c>
      <c r="G3554" s="1044">
        <v>3105.8999999999996</v>
      </c>
    </row>
    <row r="3555" spans="1:7">
      <c r="A3555" s="941">
        <v>27</v>
      </c>
      <c r="B3555" s="941" t="s">
        <v>5270</v>
      </c>
      <c r="C3555" s="1042">
        <v>359178379455034</v>
      </c>
      <c r="D3555" s="941" t="s">
        <v>4966</v>
      </c>
      <c r="E3555" s="941" t="s">
        <v>5274</v>
      </c>
      <c r="F3555" s="941">
        <v>870</v>
      </c>
      <c r="G3555" s="1044">
        <v>3105.8999999999996</v>
      </c>
    </row>
    <row r="3556" spans="1:7">
      <c r="A3556" s="941">
        <v>28</v>
      </c>
      <c r="B3556" s="941" t="s">
        <v>5270</v>
      </c>
      <c r="C3556" s="1042">
        <v>359652129423732</v>
      </c>
      <c r="D3556" s="941" t="s">
        <v>4966</v>
      </c>
      <c r="E3556" s="941" t="s">
        <v>5274</v>
      </c>
      <c r="F3556" s="941">
        <v>870</v>
      </c>
      <c r="G3556" s="1044">
        <v>3105.8999999999996</v>
      </c>
    </row>
    <row r="3557" spans="1:7">
      <c r="A3557" s="941">
        <v>29</v>
      </c>
      <c r="B3557" s="941" t="s">
        <v>5270</v>
      </c>
      <c r="C3557" s="1042">
        <v>350230974324344</v>
      </c>
      <c r="D3557" s="941" t="s">
        <v>4686</v>
      </c>
      <c r="E3557" s="941"/>
      <c r="F3557" s="941">
        <v>1070</v>
      </c>
      <c r="G3557" s="1044">
        <v>3819.8999999999996</v>
      </c>
    </row>
    <row r="3558" spans="1:7">
      <c r="A3558" s="941">
        <v>30</v>
      </c>
      <c r="B3558" s="941" t="s">
        <v>5270</v>
      </c>
      <c r="C3558" s="1042">
        <v>353427330600147</v>
      </c>
      <c r="D3558" s="941" t="s">
        <v>4966</v>
      </c>
      <c r="E3558" s="941" t="s">
        <v>5274</v>
      </c>
      <c r="F3558" s="941">
        <v>870</v>
      </c>
      <c r="G3558" s="1044">
        <v>3105.8999999999996</v>
      </c>
    </row>
    <row r="3559" spans="1:7">
      <c r="A3559" s="941">
        <v>31</v>
      </c>
      <c r="B3559" s="941" t="s">
        <v>5270</v>
      </c>
      <c r="C3559" s="1042">
        <v>353427330001668</v>
      </c>
      <c r="D3559" s="941" t="s">
        <v>4966</v>
      </c>
      <c r="E3559" s="941" t="s">
        <v>5274</v>
      </c>
      <c r="F3559" s="941">
        <v>870</v>
      </c>
      <c r="G3559" s="1044">
        <v>3105.8999999999996</v>
      </c>
    </row>
    <row r="3560" spans="1:7">
      <c r="A3560" s="941">
        <v>32</v>
      </c>
      <c r="B3560" s="941" t="s">
        <v>5275</v>
      </c>
      <c r="C3560" s="1042">
        <v>353427331869196</v>
      </c>
      <c r="D3560" s="941" t="s">
        <v>4966</v>
      </c>
      <c r="E3560" s="941" t="s">
        <v>5274</v>
      </c>
      <c r="F3560" s="941">
        <v>830</v>
      </c>
      <c r="G3560" s="1044">
        <v>2963.1</v>
      </c>
    </row>
    <row r="3561" spans="1:7">
      <c r="A3561" s="941">
        <v>33</v>
      </c>
      <c r="B3561" s="941" t="s">
        <v>5276</v>
      </c>
      <c r="C3561" s="1042">
        <v>357247259718324</v>
      </c>
      <c r="D3561" s="941" t="s">
        <v>4966</v>
      </c>
      <c r="E3561" s="941" t="s">
        <v>5277</v>
      </c>
      <c r="F3561" s="941">
        <v>815</v>
      </c>
      <c r="G3561" s="1044">
        <v>2909.5499999999997</v>
      </c>
    </row>
    <row r="3562" spans="1:7">
      <c r="A3562" s="941">
        <v>34</v>
      </c>
      <c r="B3562" s="941" t="s">
        <v>5276</v>
      </c>
      <c r="C3562" s="1042">
        <v>359652123995743</v>
      </c>
      <c r="D3562" s="941" t="s">
        <v>4966</v>
      </c>
      <c r="E3562" s="941" t="s">
        <v>5274</v>
      </c>
      <c r="F3562" s="941">
        <v>815</v>
      </c>
      <c r="G3562" s="1044">
        <v>2909.5499999999997</v>
      </c>
    </row>
    <row r="3563" spans="1:7" s="1392" customFormat="1">
      <c r="A3563" s="941"/>
      <c r="B3563" s="941" t="s">
        <v>5276</v>
      </c>
      <c r="C3563" s="1042">
        <v>355101470893469</v>
      </c>
      <c r="D3563" s="941" t="s">
        <v>4996</v>
      </c>
      <c r="E3563" s="941" t="s">
        <v>5277</v>
      </c>
      <c r="F3563" s="941">
        <v>815</v>
      </c>
      <c r="G3563" s="1044">
        <v>2909.5499999999997</v>
      </c>
    </row>
    <row r="3564" spans="1:7">
      <c r="A3564" s="941">
        <v>35</v>
      </c>
      <c r="B3564" s="941" t="s">
        <v>5278</v>
      </c>
      <c r="C3564" s="1042">
        <v>356146771501765</v>
      </c>
      <c r="D3564" s="941" t="s">
        <v>4686</v>
      </c>
      <c r="E3564" s="941"/>
      <c r="F3564" s="941">
        <v>630</v>
      </c>
      <c r="G3564" s="1044">
        <v>2249.1</v>
      </c>
    </row>
    <row r="3565" spans="1:7">
      <c r="A3565" s="941">
        <v>36</v>
      </c>
      <c r="B3565" s="941" t="s">
        <v>5279</v>
      </c>
      <c r="C3565" s="1042">
        <v>358135797097583</v>
      </c>
      <c r="D3565" s="941" t="s">
        <v>3422</v>
      </c>
      <c r="E3565" s="941"/>
      <c r="F3565" s="941">
        <v>665</v>
      </c>
      <c r="G3565" s="1044">
        <v>2374.0499999999997</v>
      </c>
    </row>
    <row r="3566" spans="1:7">
      <c r="A3566" s="941">
        <v>37</v>
      </c>
      <c r="B3566" s="941" t="s">
        <v>5280</v>
      </c>
      <c r="C3566" s="1042" t="s">
        <v>5281</v>
      </c>
      <c r="D3566" s="941" t="s">
        <v>5129</v>
      </c>
      <c r="E3566" s="941"/>
      <c r="F3566" s="941">
        <v>285</v>
      </c>
      <c r="G3566" s="1044">
        <v>1017.4499999999999</v>
      </c>
    </row>
    <row r="3567" spans="1:7">
      <c r="A3567" s="941">
        <v>38</v>
      </c>
      <c r="B3567" s="941" t="s">
        <v>5282</v>
      </c>
      <c r="C3567" s="1042">
        <v>350094267988607</v>
      </c>
      <c r="D3567" s="941" t="s">
        <v>4966</v>
      </c>
      <c r="E3567" s="941"/>
      <c r="F3567" s="941">
        <v>350</v>
      </c>
      <c r="G3567" s="1044">
        <v>1249.5</v>
      </c>
    </row>
    <row r="3568" spans="1:7">
      <c r="A3568" s="941">
        <v>39</v>
      </c>
      <c r="B3568" s="941" t="s">
        <v>5224</v>
      </c>
      <c r="C3568" s="1042" t="s">
        <v>5283</v>
      </c>
      <c r="D3568" s="941"/>
      <c r="E3568" s="941"/>
      <c r="F3568" s="941">
        <v>300</v>
      </c>
      <c r="G3568" s="1044">
        <v>1071</v>
      </c>
    </row>
    <row r="3569" spans="1:7">
      <c r="A3569" s="941">
        <v>40</v>
      </c>
      <c r="B3569" s="941" t="s">
        <v>5224</v>
      </c>
      <c r="C3569" s="1042" t="s">
        <v>5284</v>
      </c>
      <c r="D3569" s="941"/>
      <c r="E3569" s="941"/>
      <c r="F3569" s="941">
        <v>300</v>
      </c>
      <c r="G3569" s="1044">
        <v>1071</v>
      </c>
    </row>
    <row r="3570" spans="1:7">
      <c r="A3570" s="941">
        <v>41</v>
      </c>
      <c r="B3570" s="941" t="s">
        <v>5224</v>
      </c>
      <c r="C3570" s="1042" t="s">
        <v>5285</v>
      </c>
      <c r="D3570" s="941"/>
      <c r="E3570" s="941"/>
      <c r="F3570" s="941">
        <v>300</v>
      </c>
      <c r="G3570" s="1044">
        <v>1071</v>
      </c>
    </row>
    <row r="3571" spans="1:7">
      <c r="A3571" s="941">
        <v>42</v>
      </c>
      <c r="B3571" s="941" t="s">
        <v>5224</v>
      </c>
      <c r="C3571" s="1042" t="s">
        <v>5286</v>
      </c>
      <c r="D3571" s="941"/>
      <c r="E3571" s="941"/>
      <c r="F3571" s="941">
        <v>300</v>
      </c>
      <c r="G3571" s="1044">
        <v>1071</v>
      </c>
    </row>
    <row r="3572" spans="1:7">
      <c r="A3572" s="941">
        <v>43</v>
      </c>
      <c r="B3572" s="941" t="s">
        <v>5219</v>
      </c>
      <c r="C3572" s="1042" t="s">
        <v>5287</v>
      </c>
      <c r="D3572" s="941"/>
      <c r="E3572" s="941"/>
      <c r="F3572" s="941">
        <v>300</v>
      </c>
      <c r="G3572" s="1044">
        <v>1071</v>
      </c>
    </row>
    <row r="3573" spans="1:7">
      <c r="A3573" s="941">
        <v>44</v>
      </c>
      <c r="B3573" s="941" t="s">
        <v>5219</v>
      </c>
      <c r="C3573" s="1042" t="s">
        <v>5288</v>
      </c>
      <c r="D3573" s="941"/>
      <c r="E3573" s="941"/>
      <c r="F3573" s="941">
        <v>300</v>
      </c>
      <c r="G3573" s="1044">
        <v>1071</v>
      </c>
    </row>
    <row r="3574" spans="1:7">
      <c r="A3574" s="941">
        <v>45</v>
      </c>
      <c r="B3574" s="941" t="s">
        <v>5228</v>
      </c>
      <c r="C3574" s="1042" t="s">
        <v>5289</v>
      </c>
      <c r="D3574" s="941"/>
      <c r="E3574" s="941"/>
      <c r="F3574" s="941">
        <v>300</v>
      </c>
      <c r="G3574" s="1044">
        <v>1071</v>
      </c>
    </row>
    <row r="3575" spans="1:7">
      <c r="A3575" s="941">
        <v>46</v>
      </c>
      <c r="B3575" s="941" t="s">
        <v>5290</v>
      </c>
      <c r="C3575" s="1042" t="s">
        <v>5291</v>
      </c>
      <c r="D3575" s="941"/>
      <c r="E3575" s="941"/>
      <c r="F3575" s="941">
        <v>300</v>
      </c>
      <c r="G3575" s="1044">
        <v>1071</v>
      </c>
    </row>
    <row r="3576" spans="1:7">
      <c r="A3576" s="941">
        <v>47</v>
      </c>
      <c r="B3576" s="941" t="s">
        <v>5292</v>
      </c>
      <c r="C3576" s="1042" t="s">
        <v>5293</v>
      </c>
      <c r="D3576" s="941"/>
      <c r="E3576" s="941"/>
      <c r="F3576" s="941">
        <v>300</v>
      </c>
      <c r="G3576" s="1044">
        <v>1071</v>
      </c>
    </row>
    <row r="3577" spans="1:7">
      <c r="A3577" s="941">
        <v>48</v>
      </c>
      <c r="B3577" s="941" t="s">
        <v>5294</v>
      </c>
      <c r="C3577" s="1042" t="s">
        <v>5295</v>
      </c>
      <c r="D3577" s="941"/>
      <c r="E3577" s="941"/>
      <c r="F3577" s="941">
        <v>300</v>
      </c>
      <c r="G3577" s="1044">
        <v>1071</v>
      </c>
    </row>
    <row r="3578" spans="1:7">
      <c r="A3578" s="941">
        <v>49</v>
      </c>
      <c r="B3578" s="941" t="s">
        <v>5296</v>
      </c>
      <c r="C3578" s="1042" t="s">
        <v>5297</v>
      </c>
      <c r="D3578" s="941"/>
      <c r="E3578" s="941"/>
      <c r="F3578" s="941">
        <v>710</v>
      </c>
      <c r="G3578" s="1044">
        <v>2534.6999999999998</v>
      </c>
    </row>
    <row r="3579" spans="1:7">
      <c r="A3579" s="941">
        <v>50</v>
      </c>
      <c r="B3579" s="941" t="s">
        <v>5296</v>
      </c>
      <c r="C3579" s="1042" t="s">
        <v>5298</v>
      </c>
      <c r="D3579" s="941"/>
      <c r="E3579" s="941"/>
      <c r="F3579" s="941">
        <v>710</v>
      </c>
      <c r="G3579" s="1044">
        <v>2534.6999999999998</v>
      </c>
    </row>
    <row r="3580" spans="1:7">
      <c r="A3580" s="941">
        <v>51</v>
      </c>
      <c r="B3580" s="941" t="s">
        <v>5296</v>
      </c>
      <c r="C3580" s="1042" t="s">
        <v>5299</v>
      </c>
      <c r="D3580" s="941"/>
      <c r="E3580" s="941"/>
      <c r="F3580" s="941">
        <v>710</v>
      </c>
      <c r="G3580" s="1044">
        <v>2534.6999999999998</v>
      </c>
    </row>
    <row r="3581" spans="1:7">
      <c r="A3581" s="941">
        <v>52</v>
      </c>
      <c r="B3581" s="941" t="s">
        <v>5296</v>
      </c>
      <c r="C3581" s="1042" t="s">
        <v>5300</v>
      </c>
      <c r="D3581" s="941"/>
      <c r="E3581" s="941"/>
      <c r="F3581" s="941">
        <v>710</v>
      </c>
      <c r="G3581" s="1044">
        <v>2534.6999999999998</v>
      </c>
    </row>
    <row r="3582" spans="1:7" ht="18.75">
      <c r="A3582" s="1392"/>
      <c r="B3582" s="1392"/>
      <c r="C3582" s="1392"/>
      <c r="D3582" s="1392"/>
      <c r="E3582" s="1392"/>
      <c r="F3582" s="1393">
        <f>SUM(F3529:F3581)</f>
        <v>42205</v>
      </c>
      <c r="G3582" s="1394">
        <f>SUM(G3529:G3581)</f>
        <v>150671.85000000003</v>
      </c>
    </row>
    <row r="3592" spans="1:6">
      <c r="A3592" s="1401"/>
      <c r="B3592" s="1401" t="s">
        <v>1</v>
      </c>
      <c r="C3592" s="1399" t="s">
        <v>5308</v>
      </c>
      <c r="D3592" s="1399" t="s">
        <v>1122</v>
      </c>
      <c r="E3592" s="1399"/>
      <c r="F3592" s="1399"/>
    </row>
    <row r="3593" spans="1:6">
      <c r="A3593" s="1401" t="s">
        <v>3928</v>
      </c>
      <c r="B3593" s="1401" t="s">
        <v>2416</v>
      </c>
      <c r="C3593" s="1399"/>
      <c r="D3593" s="1399" t="s">
        <v>2423</v>
      </c>
      <c r="E3593" s="1399" t="s">
        <v>33</v>
      </c>
      <c r="F3593" s="1400" t="s">
        <v>4082</v>
      </c>
    </row>
    <row r="3594" spans="1:6">
      <c r="A3594" s="941">
        <v>1</v>
      </c>
      <c r="B3594" s="941" t="s">
        <v>5309</v>
      </c>
      <c r="C3594" s="1042">
        <v>352255852640766</v>
      </c>
      <c r="D3594" s="941" t="s">
        <v>4966</v>
      </c>
      <c r="E3594" s="940"/>
      <c r="F3594" s="941">
        <v>2450</v>
      </c>
    </row>
    <row r="3595" spans="1:6">
      <c r="A3595" s="941">
        <v>2</v>
      </c>
      <c r="B3595" s="941" t="s">
        <v>5310</v>
      </c>
      <c r="C3595" s="1042">
        <v>355202683600962</v>
      </c>
      <c r="D3595" s="941" t="s">
        <v>4994</v>
      </c>
      <c r="E3595" s="940"/>
      <c r="F3595" s="941">
        <v>1100</v>
      </c>
    </row>
    <row r="3596" spans="1:6">
      <c r="A3596" s="941">
        <v>3</v>
      </c>
      <c r="B3596" s="941" t="s">
        <v>4478</v>
      </c>
      <c r="C3596" s="1042">
        <v>359090831606916</v>
      </c>
      <c r="D3596" s="941"/>
      <c r="E3596" s="940"/>
      <c r="F3596" s="941">
        <v>2400</v>
      </c>
    </row>
    <row r="3597" spans="1:6">
      <c r="A3597" s="941">
        <v>4</v>
      </c>
      <c r="B3597" s="941" t="s">
        <v>5311</v>
      </c>
      <c r="C3597" s="1042">
        <v>351605726088553</v>
      </c>
      <c r="D3597" s="941" t="s">
        <v>4966</v>
      </c>
      <c r="E3597" s="940" t="s">
        <v>5277</v>
      </c>
      <c r="F3597" s="941">
        <v>1800</v>
      </c>
    </row>
    <row r="3598" spans="1:6">
      <c r="A3598" s="941">
        <v>5</v>
      </c>
      <c r="B3598" s="941" t="s">
        <v>5311</v>
      </c>
      <c r="C3598" s="1042">
        <v>357247594592962</v>
      </c>
      <c r="D3598" s="941" t="s">
        <v>4996</v>
      </c>
      <c r="E3598" s="940" t="s">
        <v>5277</v>
      </c>
      <c r="F3598" s="941">
        <v>1800</v>
      </c>
    </row>
    <row r="3599" spans="1:6">
      <c r="A3599" s="941">
        <v>6</v>
      </c>
      <c r="B3599" s="941" t="s">
        <v>5311</v>
      </c>
      <c r="C3599" s="1042">
        <v>358302115950071</v>
      </c>
      <c r="D3599" s="941" t="s">
        <v>5312</v>
      </c>
      <c r="E3599" s="940" t="s">
        <v>5277</v>
      </c>
      <c r="F3599" s="941">
        <v>1800</v>
      </c>
    </row>
    <row r="3600" spans="1:6">
      <c r="A3600" s="941">
        <v>7</v>
      </c>
      <c r="B3600" s="941" t="s">
        <v>5311</v>
      </c>
      <c r="C3600" s="1042">
        <v>358302115817460</v>
      </c>
      <c r="D3600" s="941" t="s">
        <v>5312</v>
      </c>
      <c r="E3600" s="940" t="s">
        <v>5277</v>
      </c>
      <c r="F3600" s="941">
        <v>1800</v>
      </c>
    </row>
    <row r="3601" spans="1:6">
      <c r="A3601" s="941">
        <v>8</v>
      </c>
      <c r="B3601" s="941" t="s">
        <v>5267</v>
      </c>
      <c r="C3601" s="1042">
        <v>359178373435016</v>
      </c>
      <c r="D3601" s="941" t="s">
        <v>4966</v>
      </c>
      <c r="E3601" s="940" t="s">
        <v>5277</v>
      </c>
      <c r="F3601" s="941">
        <v>3000</v>
      </c>
    </row>
    <row r="3602" spans="1:6">
      <c r="A3602" s="941">
        <v>9</v>
      </c>
      <c r="B3602" s="941" t="s">
        <v>5267</v>
      </c>
      <c r="C3602" s="1042">
        <v>351205745111724</v>
      </c>
      <c r="D3602" s="941" t="s">
        <v>4966</v>
      </c>
      <c r="E3602" s="940" t="s">
        <v>5277</v>
      </c>
      <c r="F3602" s="941">
        <v>3000</v>
      </c>
    </row>
    <row r="3603" spans="1:6">
      <c r="A3603" s="941">
        <v>10</v>
      </c>
      <c r="B3603" s="941" t="s">
        <v>5267</v>
      </c>
      <c r="C3603" s="1042">
        <v>359652128477234</v>
      </c>
      <c r="D3603" s="941" t="s">
        <v>4966</v>
      </c>
      <c r="E3603" s="940" t="s">
        <v>5277</v>
      </c>
      <c r="F3603" s="941">
        <v>3000</v>
      </c>
    </row>
    <row r="3604" spans="1:6">
      <c r="A3604" s="941">
        <v>11</v>
      </c>
      <c r="B3604" s="941" t="s">
        <v>5268</v>
      </c>
      <c r="C3604" s="1042">
        <v>351668148475279</v>
      </c>
      <c r="D3604" s="941" t="s">
        <v>4996</v>
      </c>
      <c r="E3604" s="940" t="s">
        <v>5277</v>
      </c>
      <c r="F3604" s="941">
        <v>2900</v>
      </c>
    </row>
    <row r="3605" spans="1:6">
      <c r="A3605" s="941">
        <v>12</v>
      </c>
      <c r="B3605" s="941" t="s">
        <v>5270</v>
      </c>
      <c r="C3605" s="1042">
        <v>359652124265419</v>
      </c>
      <c r="D3605" s="941" t="s">
        <v>4966</v>
      </c>
      <c r="E3605" s="940" t="s">
        <v>5277</v>
      </c>
      <c r="F3605" s="941">
        <v>3200</v>
      </c>
    </row>
    <row r="3606" spans="1:6">
      <c r="A3606" s="941">
        <v>13</v>
      </c>
      <c r="B3606" s="941" t="s">
        <v>5270</v>
      </c>
      <c r="C3606" s="1042">
        <v>351668143468790</v>
      </c>
      <c r="D3606" s="941" t="s">
        <v>4996</v>
      </c>
      <c r="E3606" s="940" t="s">
        <v>5277</v>
      </c>
      <c r="F3606" s="941">
        <v>3200</v>
      </c>
    </row>
    <row r="3607" spans="1:6">
      <c r="A3607" s="941">
        <v>14</v>
      </c>
      <c r="B3607" s="941" t="s">
        <v>5273</v>
      </c>
      <c r="C3607" s="1042">
        <v>357679990942955</v>
      </c>
      <c r="D3607" s="941" t="s">
        <v>4966</v>
      </c>
      <c r="E3607" s="940" t="s">
        <v>5277</v>
      </c>
      <c r="F3607" s="941">
        <v>2600</v>
      </c>
    </row>
    <row r="3608" spans="1:6">
      <c r="A3608" s="941">
        <v>15</v>
      </c>
      <c r="B3608" s="941" t="s">
        <v>5313</v>
      </c>
      <c r="C3608" s="1042">
        <v>359597192856997</v>
      </c>
      <c r="D3608" s="941" t="s">
        <v>4966</v>
      </c>
      <c r="E3608" s="940" t="s">
        <v>5274</v>
      </c>
      <c r="F3608" s="941">
        <v>1780</v>
      </c>
    </row>
    <row r="3609" spans="1:6">
      <c r="A3609" s="941">
        <v>16</v>
      </c>
      <c r="B3609" s="941" t="s">
        <v>5313</v>
      </c>
      <c r="C3609" s="1042">
        <v>359597193144260</v>
      </c>
      <c r="D3609" s="941" t="s">
        <v>4966</v>
      </c>
      <c r="E3609" s="940" t="s">
        <v>5274</v>
      </c>
      <c r="F3609" s="941">
        <v>1780</v>
      </c>
    </row>
    <row r="3610" spans="1:6">
      <c r="A3610" s="941">
        <v>17</v>
      </c>
      <c r="B3610" s="941" t="s">
        <v>5314</v>
      </c>
      <c r="C3610" s="1042">
        <v>358736465436092</v>
      </c>
      <c r="D3610" s="941" t="s">
        <v>4966</v>
      </c>
      <c r="E3610" s="940" t="s">
        <v>5274</v>
      </c>
      <c r="F3610" s="941">
        <v>1780</v>
      </c>
    </row>
    <row r="3611" spans="1:6">
      <c r="A3611" s="941">
        <v>18</v>
      </c>
      <c r="B3611" s="941" t="s">
        <v>5315</v>
      </c>
      <c r="C3611" s="1042">
        <v>352355703231599</v>
      </c>
      <c r="D3611" s="941" t="s">
        <v>4961</v>
      </c>
      <c r="E3611" s="940"/>
      <c r="F3611" s="941">
        <v>3750</v>
      </c>
    </row>
    <row r="3612" spans="1:6">
      <c r="A3612" s="941">
        <v>19</v>
      </c>
      <c r="B3612" s="941" t="s">
        <v>5315</v>
      </c>
      <c r="C3612" s="1042">
        <v>352355709856035</v>
      </c>
      <c r="D3612" s="941" t="s">
        <v>4686</v>
      </c>
      <c r="E3612" s="940"/>
      <c r="F3612" s="941">
        <v>3550</v>
      </c>
    </row>
    <row r="3613" spans="1:6">
      <c r="A3613" s="941">
        <v>20</v>
      </c>
      <c r="B3613" s="941" t="s">
        <v>5315</v>
      </c>
      <c r="C3613" s="1042">
        <v>352355707247807</v>
      </c>
      <c r="D3613" s="941" t="s">
        <v>4961</v>
      </c>
      <c r="E3613" s="940"/>
      <c r="F3613" s="941">
        <v>3750</v>
      </c>
    </row>
    <row r="3614" spans="1:6">
      <c r="A3614" s="941">
        <v>21</v>
      </c>
      <c r="B3614" s="941" t="s">
        <v>5315</v>
      </c>
      <c r="C3614" s="1042">
        <v>352355707695641</v>
      </c>
      <c r="D3614" s="941" t="s">
        <v>5316</v>
      </c>
      <c r="E3614" s="940"/>
      <c r="F3614" s="941">
        <v>1000</v>
      </c>
    </row>
    <row r="3615" spans="1:6">
      <c r="A3615" s="941">
        <v>22</v>
      </c>
      <c r="B3615" s="941" t="s">
        <v>5317</v>
      </c>
      <c r="C3615" s="1042">
        <v>356187983270518</v>
      </c>
      <c r="D3615" s="941" t="s">
        <v>4961</v>
      </c>
      <c r="E3615" s="940"/>
      <c r="F3615" s="941">
        <v>2380</v>
      </c>
    </row>
    <row r="3616" spans="1:6">
      <c r="A3616" s="941">
        <v>23</v>
      </c>
      <c r="B3616" s="941" t="s">
        <v>5317</v>
      </c>
      <c r="C3616" s="1042">
        <v>358135797297837</v>
      </c>
      <c r="D3616" s="941" t="s">
        <v>4961</v>
      </c>
      <c r="E3616" s="940"/>
      <c r="F3616" s="941">
        <v>2380</v>
      </c>
    </row>
    <row r="3617" spans="1:6">
      <c r="A3617" s="941">
        <v>24</v>
      </c>
      <c r="B3617" s="941" t="s">
        <v>5318</v>
      </c>
      <c r="C3617" s="1042">
        <v>358135797167600</v>
      </c>
      <c r="D3617" s="941" t="s">
        <v>4994</v>
      </c>
      <c r="E3617" s="940"/>
      <c r="F3617" s="941">
        <v>2380</v>
      </c>
    </row>
    <row r="3618" spans="1:6">
      <c r="A3618" s="941">
        <v>25</v>
      </c>
      <c r="B3618" s="941" t="s">
        <v>4350</v>
      </c>
      <c r="C3618" s="1042">
        <v>359090831533813</v>
      </c>
      <c r="D3618" s="941"/>
      <c r="E3618" s="940"/>
      <c r="F3618" s="941">
        <v>2400</v>
      </c>
    </row>
    <row r="3619" spans="1:6">
      <c r="A3619" s="941">
        <v>26</v>
      </c>
      <c r="B3619" s="941" t="s">
        <v>4350</v>
      </c>
      <c r="C3619" s="1042">
        <v>359588201549178</v>
      </c>
      <c r="D3619" s="941"/>
      <c r="E3619" s="940"/>
      <c r="F3619" s="941">
        <v>2400</v>
      </c>
    </row>
    <row r="3620" spans="1:6">
      <c r="A3620" s="941">
        <v>27</v>
      </c>
      <c r="B3620" s="941" t="s">
        <v>4350</v>
      </c>
      <c r="C3620" s="1042">
        <v>359090831548258</v>
      </c>
      <c r="D3620" s="941"/>
      <c r="E3620" s="940"/>
      <c r="F3620" s="941">
        <v>2400</v>
      </c>
    </row>
    <row r="3621" spans="1:6">
      <c r="A3621" s="941">
        <v>28</v>
      </c>
      <c r="B3621" s="941" t="s">
        <v>4350</v>
      </c>
      <c r="C3621" s="1042">
        <v>359090832544124</v>
      </c>
      <c r="D3621" s="941"/>
      <c r="E3621" s="940"/>
      <c r="F3621" s="941">
        <v>2400</v>
      </c>
    </row>
    <row r="3622" spans="1:6">
      <c r="A3622" s="941">
        <v>29</v>
      </c>
      <c r="B3622" s="941" t="s">
        <v>4350</v>
      </c>
      <c r="C3622" s="1042">
        <v>359090832479602</v>
      </c>
      <c r="D3622" s="941"/>
      <c r="E3622" s="940"/>
      <c r="F3622" s="941">
        <v>2400</v>
      </c>
    </row>
    <row r="3623" spans="1:6">
      <c r="A3623" s="941">
        <v>30</v>
      </c>
      <c r="B3623" s="941" t="s">
        <v>4478</v>
      </c>
      <c r="C3623" s="1042">
        <v>350520605513202</v>
      </c>
      <c r="D3623" s="941"/>
      <c r="E3623" s="940"/>
      <c r="F3623" s="941">
        <v>2400</v>
      </c>
    </row>
    <row r="3624" spans="1:6">
      <c r="A3624" s="941">
        <v>31</v>
      </c>
      <c r="B3624" s="941" t="s">
        <v>4478</v>
      </c>
      <c r="C3624" s="1042">
        <v>359090832196180</v>
      </c>
      <c r="D3624" s="941"/>
      <c r="E3624" s="940"/>
      <c r="F3624" s="941">
        <v>2400</v>
      </c>
    </row>
    <row r="3625" spans="1:6">
      <c r="A3625" s="941">
        <v>32</v>
      </c>
      <c r="B3625" s="941" t="s">
        <v>4496</v>
      </c>
      <c r="C3625" s="1042">
        <v>359090832438384</v>
      </c>
      <c r="D3625" s="941"/>
      <c r="E3625" s="940"/>
      <c r="F3625" s="941">
        <v>2400</v>
      </c>
    </row>
    <row r="3626" spans="1:6" ht="18.75">
      <c r="A3626" s="1398"/>
      <c r="B3626" s="1398"/>
      <c r="C3626" s="1398"/>
      <c r="D3626" s="1398"/>
      <c r="E3626" s="1398"/>
      <c r="F3626" s="1402">
        <v>77780</v>
      </c>
    </row>
  </sheetData>
  <autoFilter ref="A3528:G3582" xr:uid="{A0D21936-3274-403B-9913-9031316BDDB3}"/>
  <mergeCells count="515">
    <mergeCell ref="A3229:B3229"/>
    <mergeCell ref="A3230:B3230"/>
    <mergeCell ref="A3137:B3137"/>
    <mergeCell ref="A3138:B3138"/>
    <mergeCell ref="D2923:F2923"/>
    <mergeCell ref="A2171:B2171"/>
    <mergeCell ref="A2172:B2172"/>
    <mergeCell ref="D2171:F2171"/>
    <mergeCell ref="A1507:B1508"/>
    <mergeCell ref="C1507:C1508"/>
    <mergeCell ref="D1507:H1507"/>
    <mergeCell ref="A1961:B1961"/>
    <mergeCell ref="A1962:B1962"/>
    <mergeCell ref="A2108:D2108"/>
    <mergeCell ref="A1764:B1764"/>
    <mergeCell ref="A1765:B1765"/>
    <mergeCell ref="D1764:E1764"/>
    <mergeCell ref="A1846:B1846"/>
    <mergeCell ref="A1847:B1847"/>
    <mergeCell ref="A1728:B1728"/>
    <mergeCell ref="B1757:F1757"/>
    <mergeCell ref="A1644:B1644"/>
    <mergeCell ref="A1643:H1643"/>
    <mergeCell ref="A1727:G1727"/>
    <mergeCell ref="A2134:B2134"/>
    <mergeCell ref="A2135:B2135"/>
    <mergeCell ref="D2134:E2134"/>
    <mergeCell ref="D2135:E2135"/>
    <mergeCell ref="A1383:B1383"/>
    <mergeCell ref="D1383:H1383"/>
    <mergeCell ref="A1217:B1217"/>
    <mergeCell ref="D1217:G1217"/>
    <mergeCell ref="A1339:B1339"/>
    <mergeCell ref="A1340:B1340"/>
    <mergeCell ref="D1339:H1339"/>
    <mergeCell ref="D1340:H1340"/>
    <mergeCell ref="A843:B843"/>
    <mergeCell ref="D843:I843"/>
    <mergeCell ref="A944:B944"/>
    <mergeCell ref="A945:B945"/>
    <mergeCell ref="D944:G944"/>
    <mergeCell ref="D945:G945"/>
    <mergeCell ref="A1176:B1176"/>
    <mergeCell ref="D1176:F1176"/>
    <mergeCell ref="A1126:B1126"/>
    <mergeCell ref="A1127:B1127"/>
    <mergeCell ref="D1126:G1126"/>
    <mergeCell ref="D1127:G1127"/>
    <mergeCell ref="A997:B997"/>
    <mergeCell ref="F1117:F1118"/>
    <mergeCell ref="D997:H997"/>
    <mergeCell ref="D714:I714"/>
    <mergeCell ref="A808:B808"/>
    <mergeCell ref="A809:B809"/>
    <mergeCell ref="D808:G808"/>
    <mergeCell ref="D809:G809"/>
    <mergeCell ref="A712:B712"/>
    <mergeCell ref="A713:B713"/>
    <mergeCell ref="F445:G445"/>
    <mergeCell ref="F446:G446"/>
    <mergeCell ref="F447:G447"/>
    <mergeCell ref="F448:G448"/>
    <mergeCell ref="A635:B635"/>
    <mergeCell ref="D635:F636"/>
    <mergeCell ref="D637:F637"/>
    <mergeCell ref="A636:B636"/>
    <mergeCell ref="A662:B662"/>
    <mergeCell ref="A663:B663"/>
    <mergeCell ref="D662:G663"/>
    <mergeCell ref="D664:G664"/>
    <mergeCell ref="A561:B561"/>
    <mergeCell ref="A562:B562"/>
    <mergeCell ref="D561:I562"/>
    <mergeCell ref="D563:I563"/>
    <mergeCell ref="D712:I713"/>
    <mergeCell ref="D412:I413"/>
    <mergeCell ref="D414:I414"/>
    <mergeCell ref="F436:G436"/>
    <mergeCell ref="F437:G437"/>
    <mergeCell ref="F438:G438"/>
    <mergeCell ref="F439:G439"/>
    <mergeCell ref="F440:G440"/>
    <mergeCell ref="F441:G441"/>
    <mergeCell ref="F442:G442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43:G443"/>
    <mergeCell ref="F444:G444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11:G411"/>
    <mergeCell ref="A412:B412"/>
    <mergeCell ref="A413:B413"/>
    <mergeCell ref="F415:G415"/>
    <mergeCell ref="F416:G416"/>
    <mergeCell ref="F417:G417"/>
    <mergeCell ref="F404:G404"/>
    <mergeCell ref="F405:G405"/>
    <mergeCell ref="D298:J299"/>
    <mergeCell ref="D300:J300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279:G279"/>
    <mergeCell ref="F280:G280"/>
    <mergeCell ref="F281:G281"/>
    <mergeCell ref="F282:G282"/>
    <mergeCell ref="F292:G292"/>
    <mergeCell ref="F293:G293"/>
    <mergeCell ref="D273:I274"/>
    <mergeCell ref="D275:I275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64:G264"/>
    <mergeCell ref="F265:G265"/>
    <mergeCell ref="F266:G266"/>
    <mergeCell ref="F267:G267"/>
    <mergeCell ref="A273:B273"/>
    <mergeCell ref="A274:B274"/>
    <mergeCell ref="F276:G276"/>
    <mergeCell ref="F277:G277"/>
    <mergeCell ref="F278:G278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62:G262"/>
    <mergeCell ref="F263:G263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34:G234"/>
    <mergeCell ref="F235:G235"/>
    <mergeCell ref="F236:G236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A212:B212"/>
    <mergeCell ref="A213:B213"/>
    <mergeCell ref="F215:G215"/>
    <mergeCell ref="F216:G216"/>
    <mergeCell ref="F217:G217"/>
    <mergeCell ref="F218:G218"/>
    <mergeCell ref="F201:G201"/>
    <mergeCell ref="F202:G202"/>
    <mergeCell ref="F203:G203"/>
    <mergeCell ref="F204:G204"/>
    <mergeCell ref="F205:G205"/>
    <mergeCell ref="E212:J213"/>
    <mergeCell ref="E214:J214"/>
    <mergeCell ref="F177:G177"/>
    <mergeCell ref="F178:G178"/>
    <mergeCell ref="F179:G179"/>
    <mergeCell ref="F180:G180"/>
    <mergeCell ref="F181:G181"/>
    <mergeCell ref="F182:G182"/>
    <mergeCell ref="F171:G171"/>
    <mergeCell ref="F172:G172"/>
    <mergeCell ref="F173:G173"/>
    <mergeCell ref="F174:G174"/>
    <mergeCell ref="F175:G175"/>
    <mergeCell ref="F176:G176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3:G183"/>
    <mergeCell ref="F184:G184"/>
    <mergeCell ref="F185:G185"/>
    <mergeCell ref="F186:G186"/>
    <mergeCell ref="F187:G187"/>
    <mergeCell ref="F188:G188"/>
    <mergeCell ref="F195:G195"/>
    <mergeCell ref="F196:G196"/>
    <mergeCell ref="F197:G197"/>
    <mergeCell ref="F198:G198"/>
    <mergeCell ref="F169:G169"/>
    <mergeCell ref="F170:G170"/>
    <mergeCell ref="D165:I165"/>
    <mergeCell ref="F154:G154"/>
    <mergeCell ref="F155:G155"/>
    <mergeCell ref="A163:B163"/>
    <mergeCell ref="A164:B164"/>
    <mergeCell ref="F148:G148"/>
    <mergeCell ref="F149:G149"/>
    <mergeCell ref="F150:G150"/>
    <mergeCell ref="F151:G151"/>
    <mergeCell ref="F152:G152"/>
    <mergeCell ref="F153:G153"/>
    <mergeCell ref="F156:G156"/>
    <mergeCell ref="F157:G157"/>
    <mergeCell ref="F158:G158"/>
    <mergeCell ref="F159:G159"/>
    <mergeCell ref="D163:I164"/>
    <mergeCell ref="F166:G166"/>
    <mergeCell ref="F167:G167"/>
    <mergeCell ref="F168:G168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F130:G130"/>
    <mergeCell ref="F131:G131"/>
    <mergeCell ref="F132:G132"/>
    <mergeCell ref="F133:G133"/>
    <mergeCell ref="F134:G134"/>
    <mergeCell ref="F135:G135"/>
    <mergeCell ref="F124:G124"/>
    <mergeCell ref="F125:G125"/>
    <mergeCell ref="F126:G126"/>
    <mergeCell ref="F127:G127"/>
    <mergeCell ref="F128:G128"/>
    <mergeCell ref="F129:G129"/>
    <mergeCell ref="F118:G118"/>
    <mergeCell ref="F119:G119"/>
    <mergeCell ref="F120:G120"/>
    <mergeCell ref="F121:G121"/>
    <mergeCell ref="F122:G122"/>
    <mergeCell ref="F123:G123"/>
    <mergeCell ref="A114:B114"/>
    <mergeCell ref="A115:B115"/>
    <mergeCell ref="F117:G117"/>
    <mergeCell ref="D114:I115"/>
    <mergeCell ref="D116:I116"/>
    <mergeCell ref="F107:G107"/>
    <mergeCell ref="F108:G108"/>
    <mergeCell ref="F109:G109"/>
    <mergeCell ref="D3:J3"/>
    <mergeCell ref="D66:I67"/>
    <mergeCell ref="D68:I68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37:G37"/>
    <mergeCell ref="F48:G48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D1:J2"/>
    <mergeCell ref="F23:G23"/>
    <mergeCell ref="F24:G24"/>
    <mergeCell ref="F49:G49"/>
    <mergeCell ref="F38:G38"/>
    <mergeCell ref="F39:G39"/>
    <mergeCell ref="F40:G40"/>
    <mergeCell ref="F41:G41"/>
    <mergeCell ref="F42:G42"/>
    <mergeCell ref="F43:G43"/>
    <mergeCell ref="F27:G27"/>
    <mergeCell ref="F28:G28"/>
    <mergeCell ref="F29:G29"/>
    <mergeCell ref="F30:G30"/>
    <mergeCell ref="F31:G31"/>
    <mergeCell ref="F44:G44"/>
    <mergeCell ref="F45:G45"/>
    <mergeCell ref="F46:G46"/>
    <mergeCell ref="F47:G47"/>
    <mergeCell ref="F32:G32"/>
    <mergeCell ref="F33:G33"/>
    <mergeCell ref="F34:G34"/>
    <mergeCell ref="F35:G35"/>
    <mergeCell ref="F36:G36"/>
    <mergeCell ref="F324:G324"/>
    <mergeCell ref="F325:G325"/>
    <mergeCell ref="F326:G326"/>
    <mergeCell ref="A1:B1"/>
    <mergeCell ref="A2:B2"/>
    <mergeCell ref="F4:G4"/>
    <mergeCell ref="F5:G5"/>
    <mergeCell ref="F6:G6"/>
    <mergeCell ref="F7:G7"/>
    <mergeCell ref="F20:G20"/>
    <mergeCell ref="F21:G21"/>
    <mergeCell ref="F22:G22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F25:G25"/>
    <mergeCell ref="A486:B486"/>
    <mergeCell ref="D485:I486"/>
    <mergeCell ref="F26:G26"/>
    <mergeCell ref="F71:G71"/>
    <mergeCell ref="F72:G72"/>
    <mergeCell ref="F73:G73"/>
    <mergeCell ref="F74:G74"/>
    <mergeCell ref="F75:G75"/>
    <mergeCell ref="F76:G76"/>
    <mergeCell ref="F62:G62"/>
    <mergeCell ref="A66:B66"/>
    <mergeCell ref="A67:B67"/>
    <mergeCell ref="F69:G69"/>
    <mergeCell ref="F70:G70"/>
    <mergeCell ref="F56:G56"/>
    <mergeCell ref="F57:G57"/>
    <mergeCell ref="F58:G58"/>
    <mergeCell ref="A454:B454"/>
    <mergeCell ref="A455:B455"/>
    <mergeCell ref="A299:B299"/>
    <mergeCell ref="F301:G301"/>
    <mergeCell ref="F302:G302"/>
    <mergeCell ref="F303:G303"/>
    <mergeCell ref="F318:G318"/>
    <mergeCell ref="F319:G319"/>
    <mergeCell ref="F320:G320"/>
    <mergeCell ref="F321:G321"/>
    <mergeCell ref="F322:G322"/>
    <mergeCell ref="F323:G323"/>
    <mergeCell ref="A298:B298"/>
    <mergeCell ref="F315:G315"/>
    <mergeCell ref="F316:G316"/>
    <mergeCell ref="F317:G317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27:G327"/>
    <mergeCell ref="F328:G328"/>
    <mergeCell ref="F329:G329"/>
    <mergeCell ref="F336:G336"/>
    <mergeCell ref="F337:G337"/>
    <mergeCell ref="F338:G338"/>
    <mergeCell ref="F333:G333"/>
    <mergeCell ref="F334:G334"/>
    <mergeCell ref="F335:G335"/>
    <mergeCell ref="F330:G330"/>
    <mergeCell ref="F331:G331"/>
    <mergeCell ref="F332:G332"/>
    <mergeCell ref="D487:I487"/>
    <mergeCell ref="D456:G456"/>
    <mergeCell ref="A485:B485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D454:G455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74:G374"/>
    <mergeCell ref="F375:G375"/>
    <mergeCell ref="F376:G376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D2646:G2646"/>
    <mergeCell ref="A2561:B2561"/>
    <mergeCell ref="A2562:B2562"/>
    <mergeCell ref="D2561:E2561"/>
    <mergeCell ref="D2438:F2438"/>
    <mergeCell ref="A2438:B2438"/>
    <mergeCell ref="A2439:B2439"/>
    <mergeCell ref="A2311:B2311"/>
    <mergeCell ref="A2312:B2312"/>
    <mergeCell ref="D2311:F2311"/>
  </mergeCells>
  <conditionalFormatting sqref="C1764:C1840">
    <cfRule type="duplicateValues" dxfId="59" priority="39"/>
    <cfRule type="duplicateValues" dxfId="58" priority="40"/>
  </conditionalFormatting>
  <conditionalFormatting sqref="C2173:C2302">
    <cfRule type="duplicateValues" dxfId="57" priority="33"/>
    <cfRule type="duplicateValues" dxfId="56" priority="35"/>
    <cfRule type="duplicateValues" dxfId="55" priority="36"/>
  </conditionalFormatting>
  <conditionalFormatting sqref="C2817:C2913">
    <cfRule type="duplicateValues" dxfId="54" priority="21"/>
    <cfRule type="duplicateValues" dxfId="53" priority="22"/>
  </conditionalFormatting>
  <conditionalFormatting sqref="D1952:D1954 C1848:C1951">
    <cfRule type="duplicateValues" dxfId="52" priority="37"/>
    <cfRule type="duplicateValues" dxfId="51" priority="38"/>
  </conditionalFormatting>
  <conditionalFormatting sqref="D2370:D2372 C2311:C2369">
    <cfRule type="duplicateValues" dxfId="50" priority="24"/>
    <cfRule type="duplicateValues" dxfId="49" priority="25"/>
  </conditionalFormatting>
  <conditionalFormatting sqref="D2566:D2606">
    <cfRule type="duplicateValues" dxfId="48" priority="23"/>
  </conditionalFormatting>
  <conditionalFormatting sqref="D2817:G2817">
    <cfRule type="duplicateValues" dxfId="47" priority="1"/>
    <cfRule type="duplicateValues" dxfId="46" priority="2"/>
    <cfRule type="duplicateValues" dxfId="45" priority="3"/>
    <cfRule type="duplicateValues" dxfId="44" priority="4"/>
    <cfRule type="duplicateValues" dxfId="43" priority="5"/>
    <cfRule type="duplicateValues" dxfId="42" priority="6"/>
    <cfRule type="duplicateValues" dxfId="41" priority="7"/>
    <cfRule type="duplicateValues" dxfId="40" priority="8"/>
    <cfRule type="duplicateValues" dxfId="39" priority="9"/>
    <cfRule type="duplicateValues" dxfId="38" priority="10"/>
  </conditionalFormatting>
  <conditionalFormatting sqref="D2818:G2818">
    <cfRule type="duplicateValues" dxfId="37" priority="11"/>
    <cfRule type="duplicateValues" dxfId="36" priority="12"/>
    <cfRule type="duplicateValues" dxfId="35" priority="13"/>
    <cfRule type="duplicateValues" dxfId="34" priority="14"/>
    <cfRule type="duplicateValues" dxfId="33" priority="15"/>
    <cfRule type="duplicateValues" dxfId="32" priority="16"/>
    <cfRule type="duplicateValues" dxfId="31" priority="17"/>
    <cfRule type="duplicateValues" dxfId="30" priority="18"/>
    <cfRule type="duplicateValues" dxfId="29" priority="19"/>
    <cfRule type="duplicateValues" dxfId="28" priority="20"/>
  </conditionalFormatting>
  <conditionalFormatting sqref="E844:E938">
    <cfRule type="duplicateValues" dxfId="27" priority="63"/>
    <cfRule type="duplicateValues" dxfId="26" priority="64"/>
    <cfRule type="duplicateValues" dxfId="25" priority="65"/>
    <cfRule type="duplicateValues" dxfId="24" priority="66"/>
  </conditionalFormatting>
  <conditionalFormatting sqref="E946">
    <cfRule type="duplicateValues" dxfId="23" priority="55"/>
    <cfRule type="duplicateValues" dxfId="22" priority="56"/>
    <cfRule type="duplicateValues" dxfId="21" priority="57"/>
    <cfRule type="duplicateValues" dxfId="20" priority="58"/>
  </conditionalFormatting>
  <conditionalFormatting sqref="E998">
    <cfRule type="duplicateValues" dxfId="19" priority="51"/>
    <cfRule type="duplicateValues" dxfId="18" priority="52"/>
    <cfRule type="duplicateValues" dxfId="17" priority="53"/>
    <cfRule type="duplicateValues" dxfId="16" priority="54"/>
  </conditionalFormatting>
  <conditionalFormatting sqref="E1219:E1330 H1268">
    <cfRule type="duplicateValues" dxfId="15" priority="50"/>
  </conditionalFormatting>
  <conditionalFormatting sqref="E1488:E1506">
    <cfRule type="duplicateValues" dxfId="14" priority="48"/>
    <cfRule type="duplicateValues" dxfId="13" priority="49"/>
  </conditionalFormatting>
  <conditionalFormatting sqref="E1508:E1603 E1607:E1633">
    <cfRule type="duplicateValues" dxfId="12" priority="70"/>
  </conditionalFormatting>
  <conditionalFormatting sqref="E1633 E1508:E1603 E1607">
    <cfRule type="duplicateValues" dxfId="11" priority="72"/>
    <cfRule type="duplicateValues" dxfId="10" priority="73"/>
    <cfRule type="duplicateValues" dxfId="9" priority="74"/>
    <cfRule type="duplicateValues" dxfId="8" priority="75"/>
  </conditionalFormatting>
  <conditionalFormatting sqref="E1634:E1642 E1678:E1709 E1841:E1847 E1728:E1763 E1481:E1506 E1:E836 E839:E1382 E1644:E1647 E1955:E1960 E2104:E2133 E2163:E2170 D2134:D2161 D1961:D2102 E2303:E2310 E2373:E2437 E2439:E2560 D2561:D2565 E2640:E2645 E2729:E2737 E2807:E2816 D2738:D2804 D2646:D2725 D2607:D2638 E2914:E2922 E2994:E3003 E3036:E3049 E3080:E3087 E3126:E3436 E3513:E3562 D3437:D3512 D3088:D3124 D3050:D3079 D3004:D3035 D2923:D2992 E3564:E1048576">
    <cfRule type="duplicateValues" dxfId="7" priority="76"/>
  </conditionalFormatting>
  <conditionalFormatting sqref="F2174:F2176">
    <cfRule type="duplicateValues" dxfId="6" priority="32"/>
  </conditionalFormatting>
  <conditionalFormatting sqref="F2205:F2209">
    <cfRule type="duplicateValues" dxfId="5" priority="34"/>
  </conditionalFormatting>
  <conditionalFormatting sqref="I929">
    <cfRule type="duplicateValues" dxfId="4" priority="61"/>
    <cfRule type="duplicateValues" dxfId="3" priority="62"/>
  </conditionalFormatting>
  <conditionalFormatting sqref="I933">
    <cfRule type="duplicateValues" dxfId="2" priority="59"/>
    <cfRule type="duplicateValues" dxfId="1" priority="6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3:AA3623"/>
  <sheetViews>
    <sheetView topLeftCell="A3583" zoomScale="70" zoomScaleNormal="70" workbookViewId="0">
      <selection activeCell="D3612" sqref="D3612:D3622"/>
    </sheetView>
  </sheetViews>
  <sheetFormatPr defaultRowHeight="15"/>
  <cols>
    <col min="2" max="2" width="17.5703125" style="1" customWidth="1"/>
    <col min="3" max="3" width="79.140625" style="1" customWidth="1"/>
    <col min="4" max="4" width="26.42578125" style="1" customWidth="1"/>
    <col min="5" max="5" width="24.42578125" style="1" customWidth="1"/>
    <col min="6" max="6" width="16.85546875" style="1" customWidth="1"/>
    <col min="7" max="7" width="18.42578125" style="1" customWidth="1"/>
    <col min="8" max="8" width="15.85546875" style="1" customWidth="1"/>
    <col min="9" max="9" width="19.42578125" style="1" customWidth="1"/>
    <col min="10" max="10" width="21" style="25" customWidth="1"/>
    <col min="11" max="12" width="16.42578125" customWidth="1"/>
    <col min="13" max="13" width="21.85546875" customWidth="1"/>
    <col min="14" max="14" width="21.140625" customWidth="1"/>
    <col min="15" max="15" width="14.140625" customWidth="1"/>
  </cols>
  <sheetData>
    <row r="3" spans="1:10" ht="21">
      <c r="A3">
        <v>1</v>
      </c>
      <c r="B3" s="1520" t="s">
        <v>35</v>
      </c>
      <c r="C3" s="1520"/>
      <c r="D3" s="1520"/>
      <c r="E3" s="1520"/>
      <c r="F3" s="1520"/>
      <c r="G3" s="1520"/>
      <c r="H3" s="1520"/>
      <c r="I3" s="1520"/>
      <c r="J3" s="1520"/>
    </row>
    <row r="4" spans="1:10" ht="18.75">
      <c r="B4" s="4" t="s">
        <v>1</v>
      </c>
      <c r="C4" s="4" t="s">
        <v>2</v>
      </c>
      <c r="D4" s="4" t="s">
        <v>3</v>
      </c>
      <c r="E4" s="4" t="s">
        <v>4</v>
      </c>
      <c r="F4" s="4" t="s">
        <v>36</v>
      </c>
      <c r="G4" s="4" t="s">
        <v>5</v>
      </c>
      <c r="H4" s="4" t="s">
        <v>6</v>
      </c>
      <c r="I4" s="4" t="s">
        <v>7</v>
      </c>
      <c r="J4" s="23"/>
    </row>
    <row r="5" spans="1:10">
      <c r="B5" s="20">
        <v>45672</v>
      </c>
      <c r="C5" s="21" t="s">
        <v>34</v>
      </c>
      <c r="D5" s="19">
        <v>19</v>
      </c>
      <c r="E5" s="19">
        <v>580</v>
      </c>
      <c r="F5" s="19">
        <f>E5*D5</f>
        <v>11020</v>
      </c>
      <c r="G5" s="22">
        <v>2.19</v>
      </c>
      <c r="H5" s="19">
        <f t="shared" ref="H5:H13" si="0">E5*G5</f>
        <v>1270.2</v>
      </c>
      <c r="I5" s="19">
        <f t="shared" ref="I5:I13" si="1">H5*D5</f>
        <v>24133.8</v>
      </c>
      <c r="J5" s="24">
        <f>J4+I5</f>
        <v>24133.8</v>
      </c>
    </row>
    <row r="6" spans="1:10">
      <c r="B6" s="19"/>
      <c r="C6" s="19"/>
      <c r="D6" s="19"/>
      <c r="E6" s="19"/>
      <c r="F6" s="19"/>
      <c r="G6" s="19"/>
      <c r="H6" s="19">
        <f t="shared" si="0"/>
        <v>0</v>
      </c>
      <c r="I6" s="19">
        <f t="shared" si="1"/>
        <v>0</v>
      </c>
      <c r="J6" s="24">
        <f t="shared" ref="J6:J13" si="2">J5+I6</f>
        <v>24133.8</v>
      </c>
    </row>
    <row r="7" spans="1:10" ht="15.75" customHeight="1">
      <c r="B7" s="19"/>
      <c r="C7" s="19"/>
      <c r="D7" s="19"/>
      <c r="E7" s="19"/>
      <c r="F7" s="19"/>
      <c r="G7" s="19"/>
      <c r="H7" s="19">
        <f t="shared" si="0"/>
        <v>0</v>
      </c>
      <c r="I7" s="19">
        <f t="shared" si="1"/>
        <v>0</v>
      </c>
      <c r="J7" s="24">
        <f t="shared" si="2"/>
        <v>24133.8</v>
      </c>
    </row>
    <row r="8" spans="1:10">
      <c r="B8" s="19"/>
      <c r="C8" s="19"/>
      <c r="D8" s="19"/>
      <c r="E8" s="19"/>
      <c r="F8" s="19"/>
      <c r="G8" s="19"/>
      <c r="H8" s="19">
        <f t="shared" si="0"/>
        <v>0</v>
      </c>
      <c r="I8" s="19">
        <f t="shared" si="1"/>
        <v>0</v>
      </c>
      <c r="J8" s="24">
        <f t="shared" si="2"/>
        <v>24133.8</v>
      </c>
    </row>
    <row r="9" spans="1:10">
      <c r="B9" s="19"/>
      <c r="C9" s="19"/>
      <c r="D9" s="19"/>
      <c r="E9" s="19"/>
      <c r="F9" s="19"/>
      <c r="G9" s="19"/>
      <c r="H9" s="19">
        <f t="shared" si="0"/>
        <v>0</v>
      </c>
      <c r="I9" s="19">
        <f t="shared" si="1"/>
        <v>0</v>
      </c>
      <c r="J9" s="24">
        <f t="shared" si="2"/>
        <v>24133.8</v>
      </c>
    </row>
    <row r="10" spans="1:10">
      <c r="B10" s="19"/>
      <c r="C10" s="19"/>
      <c r="D10" s="19"/>
      <c r="E10" s="19"/>
      <c r="F10" s="19"/>
      <c r="G10" s="19"/>
      <c r="H10" s="19">
        <f t="shared" si="0"/>
        <v>0</v>
      </c>
      <c r="I10" s="19">
        <f t="shared" si="1"/>
        <v>0</v>
      </c>
      <c r="J10" s="24">
        <f t="shared" si="2"/>
        <v>24133.8</v>
      </c>
    </row>
    <row r="11" spans="1:10">
      <c r="B11" s="19"/>
      <c r="C11" s="19"/>
      <c r="D11" s="19"/>
      <c r="E11" s="19"/>
      <c r="F11" s="19"/>
      <c r="G11" s="19"/>
      <c r="H11" s="19">
        <f t="shared" si="0"/>
        <v>0</v>
      </c>
      <c r="I11" s="19">
        <f t="shared" si="1"/>
        <v>0</v>
      </c>
      <c r="J11" s="24">
        <f t="shared" si="2"/>
        <v>24133.8</v>
      </c>
    </row>
    <row r="12" spans="1:10">
      <c r="B12" s="19"/>
      <c r="C12" s="19"/>
      <c r="D12" s="19"/>
      <c r="E12" s="19"/>
      <c r="F12" s="19"/>
      <c r="G12" s="19"/>
      <c r="H12" s="19">
        <f t="shared" si="0"/>
        <v>0</v>
      </c>
      <c r="I12" s="19">
        <f t="shared" si="1"/>
        <v>0</v>
      </c>
      <c r="J12" s="24">
        <f t="shared" si="2"/>
        <v>24133.8</v>
      </c>
    </row>
    <row r="13" spans="1:10">
      <c r="B13" s="19"/>
      <c r="C13" s="19"/>
      <c r="D13" s="19"/>
      <c r="E13" s="19"/>
      <c r="F13" s="19"/>
      <c r="G13" s="19"/>
      <c r="H13" s="19">
        <f t="shared" si="0"/>
        <v>0</v>
      </c>
      <c r="I13" s="19">
        <f t="shared" si="1"/>
        <v>0</v>
      </c>
      <c r="J13" s="24">
        <f t="shared" si="2"/>
        <v>24133.8</v>
      </c>
    </row>
    <row r="16" spans="1:10" ht="21">
      <c r="A16">
        <v>2</v>
      </c>
      <c r="B16" s="1520" t="s">
        <v>35</v>
      </c>
      <c r="C16" s="1520"/>
      <c r="D16" s="1520"/>
      <c r="E16" s="1520"/>
      <c r="F16" s="1520"/>
      <c r="G16" s="1520"/>
      <c r="H16" s="1520"/>
      <c r="I16" s="1520"/>
      <c r="J16" s="1520"/>
    </row>
    <row r="17" spans="1:27" ht="18.75">
      <c r="B17" s="4" t="s">
        <v>1</v>
      </c>
      <c r="C17" s="4" t="s">
        <v>2</v>
      </c>
      <c r="D17" s="4" t="s">
        <v>3</v>
      </c>
      <c r="E17" s="4" t="s">
        <v>4</v>
      </c>
      <c r="F17" s="4" t="s">
        <v>36</v>
      </c>
      <c r="G17" s="4" t="s">
        <v>5</v>
      </c>
      <c r="H17" s="4" t="s">
        <v>6</v>
      </c>
      <c r="I17" s="4" t="s">
        <v>7</v>
      </c>
      <c r="J17" s="23"/>
      <c r="K17" t="s">
        <v>41</v>
      </c>
    </row>
    <row r="18" spans="1:27" ht="21">
      <c r="B18" s="20">
        <v>45695</v>
      </c>
      <c r="C18" s="21" t="s">
        <v>37</v>
      </c>
      <c r="D18" s="19">
        <v>500</v>
      </c>
      <c r="E18" s="19">
        <v>630</v>
      </c>
      <c r="F18" s="19">
        <f t="shared" ref="F18:F26" si="3">E18*D18</f>
        <v>315000</v>
      </c>
      <c r="G18" s="22">
        <v>2.19</v>
      </c>
      <c r="H18" s="19">
        <f t="shared" ref="H18:H26" si="4">E18*G18</f>
        <v>1379.7</v>
      </c>
      <c r="I18" s="19">
        <f t="shared" ref="I18:I26" si="5">H18*D18</f>
        <v>689850</v>
      </c>
      <c r="J18" s="24">
        <f>J17+I18</f>
        <v>689850</v>
      </c>
      <c r="K18">
        <v>270000</v>
      </c>
      <c r="L18">
        <f>315000-270000</f>
        <v>45000</v>
      </c>
      <c r="N18" s="1520" t="s">
        <v>35</v>
      </c>
      <c r="O18" s="1520"/>
      <c r="P18" s="1520"/>
      <c r="Q18" s="1520"/>
      <c r="R18" s="1520"/>
      <c r="S18" s="1520"/>
      <c r="T18" s="1520"/>
      <c r="U18" s="1520"/>
      <c r="V18" s="1520"/>
    </row>
    <row r="19" spans="1:27" ht="18.75">
      <c r="B19" s="20">
        <v>45695</v>
      </c>
      <c r="C19" s="21" t="s">
        <v>38</v>
      </c>
      <c r="D19" s="19">
        <v>150</v>
      </c>
      <c r="E19" s="19">
        <v>148</v>
      </c>
      <c r="F19" s="19">
        <f t="shared" si="3"/>
        <v>22200</v>
      </c>
      <c r="G19" s="22">
        <v>2.19</v>
      </c>
      <c r="H19" s="19">
        <f t="shared" si="4"/>
        <v>324.12</v>
      </c>
      <c r="I19" s="19">
        <f t="shared" si="5"/>
        <v>48618</v>
      </c>
      <c r="J19" s="24">
        <f t="shared" ref="J19:J26" si="6">J18+I19</f>
        <v>738468</v>
      </c>
      <c r="N19" s="4" t="s">
        <v>1</v>
      </c>
      <c r="O19" s="4" t="s">
        <v>2</v>
      </c>
      <c r="P19" s="4" t="s">
        <v>3</v>
      </c>
      <c r="Q19" s="4" t="s">
        <v>4</v>
      </c>
      <c r="R19" s="4" t="s">
        <v>36</v>
      </c>
      <c r="S19" s="4" t="s">
        <v>5</v>
      </c>
      <c r="T19" s="4" t="s">
        <v>6</v>
      </c>
      <c r="U19" s="4" t="s">
        <v>7</v>
      </c>
      <c r="V19" s="4"/>
    </row>
    <row r="20" spans="1:27">
      <c r="B20" s="20">
        <v>45695</v>
      </c>
      <c r="C20" s="21" t="s">
        <v>39</v>
      </c>
      <c r="D20" s="19">
        <v>50</v>
      </c>
      <c r="E20" s="19">
        <v>145</v>
      </c>
      <c r="F20" s="19">
        <f t="shared" si="3"/>
        <v>7250</v>
      </c>
      <c r="G20" s="22">
        <v>2.19</v>
      </c>
      <c r="H20" s="19">
        <f t="shared" si="4"/>
        <v>317.55</v>
      </c>
      <c r="I20" s="19">
        <f t="shared" si="5"/>
        <v>15877.5</v>
      </c>
      <c r="J20" s="24">
        <f t="shared" si="6"/>
        <v>754345.5</v>
      </c>
      <c r="N20" s="19"/>
      <c r="O20" s="19"/>
      <c r="P20" s="19"/>
      <c r="Q20" s="19"/>
      <c r="R20" s="19">
        <f>Q20*P20</f>
        <v>0</v>
      </c>
      <c r="S20" s="19"/>
      <c r="T20" s="19">
        <f>Q20*S20</f>
        <v>0</v>
      </c>
      <c r="U20" s="19">
        <f>T20*P20</f>
        <v>0</v>
      </c>
      <c r="V20" s="18">
        <f>V19+U20</f>
        <v>0</v>
      </c>
    </row>
    <row r="21" spans="1:27">
      <c r="B21" s="20">
        <v>45695</v>
      </c>
      <c r="C21" s="21" t="s">
        <v>40</v>
      </c>
      <c r="D21" s="19">
        <v>250</v>
      </c>
      <c r="E21" s="19">
        <v>149</v>
      </c>
      <c r="F21" s="19">
        <f t="shared" si="3"/>
        <v>37250</v>
      </c>
      <c r="G21" s="22">
        <v>2.19</v>
      </c>
      <c r="H21" s="19">
        <f t="shared" si="4"/>
        <v>326.31</v>
      </c>
      <c r="I21" s="19">
        <f t="shared" si="5"/>
        <v>81577.5</v>
      </c>
      <c r="J21" s="24">
        <f t="shared" si="6"/>
        <v>835923</v>
      </c>
      <c r="N21" s="19"/>
      <c r="O21" s="19"/>
      <c r="P21" s="19"/>
      <c r="Q21" s="19"/>
      <c r="R21" s="19">
        <f t="shared" ref="R21:R28" si="7">Q21*P21</f>
        <v>0</v>
      </c>
      <c r="S21" s="19"/>
      <c r="T21" s="19">
        <f t="shared" ref="T21:T28" si="8">Q21*S21</f>
        <v>0</v>
      </c>
      <c r="U21" s="19">
        <f t="shared" ref="U21:U28" si="9">T21*P21</f>
        <v>0</v>
      </c>
      <c r="V21" s="18">
        <f t="shared" ref="V21:V28" si="10">V20+U21</f>
        <v>0</v>
      </c>
    </row>
    <row r="22" spans="1:27">
      <c r="B22" s="19"/>
      <c r="C22" s="19"/>
      <c r="D22" s="19"/>
      <c r="E22" s="19"/>
      <c r="F22" s="19">
        <f t="shared" si="3"/>
        <v>0</v>
      </c>
      <c r="G22" s="19"/>
      <c r="H22" s="19">
        <f t="shared" si="4"/>
        <v>0</v>
      </c>
      <c r="I22" s="19">
        <f t="shared" si="5"/>
        <v>0</v>
      </c>
      <c r="J22" s="24">
        <f t="shared" si="6"/>
        <v>835923</v>
      </c>
      <c r="N22" s="19"/>
      <c r="O22" s="19"/>
      <c r="P22" s="19"/>
      <c r="Q22" s="19"/>
      <c r="R22" s="19">
        <f t="shared" si="7"/>
        <v>0</v>
      </c>
      <c r="S22" s="19"/>
      <c r="T22" s="19">
        <f t="shared" si="8"/>
        <v>0</v>
      </c>
      <c r="U22" s="19">
        <f t="shared" si="9"/>
        <v>0</v>
      </c>
      <c r="V22" s="18">
        <f t="shared" si="10"/>
        <v>0</v>
      </c>
    </row>
    <row r="23" spans="1:27">
      <c r="B23" s="19"/>
      <c r="C23" s="19"/>
      <c r="D23" s="19"/>
      <c r="E23" s="19"/>
      <c r="F23" s="19">
        <f t="shared" si="3"/>
        <v>0</v>
      </c>
      <c r="G23" s="19"/>
      <c r="H23" s="19">
        <f t="shared" si="4"/>
        <v>0</v>
      </c>
      <c r="I23" s="19">
        <f t="shared" si="5"/>
        <v>0</v>
      </c>
      <c r="J23" s="24">
        <f t="shared" si="6"/>
        <v>835923</v>
      </c>
      <c r="N23" s="19"/>
      <c r="O23" s="19"/>
      <c r="P23" s="19"/>
      <c r="Q23" s="19"/>
      <c r="R23" s="19">
        <f t="shared" si="7"/>
        <v>0</v>
      </c>
      <c r="S23" s="19"/>
      <c r="T23" s="19">
        <f t="shared" si="8"/>
        <v>0</v>
      </c>
      <c r="U23" s="19">
        <f t="shared" si="9"/>
        <v>0</v>
      </c>
      <c r="V23" s="18">
        <f t="shared" si="10"/>
        <v>0</v>
      </c>
    </row>
    <row r="24" spans="1:27">
      <c r="B24" s="19"/>
      <c r="C24" s="19"/>
      <c r="D24" s="19"/>
      <c r="E24" s="19"/>
      <c r="F24" s="19">
        <f t="shared" si="3"/>
        <v>0</v>
      </c>
      <c r="G24" s="19"/>
      <c r="H24" s="19">
        <f t="shared" si="4"/>
        <v>0</v>
      </c>
      <c r="I24" s="19">
        <f t="shared" si="5"/>
        <v>0</v>
      </c>
      <c r="J24" s="24">
        <f t="shared" si="6"/>
        <v>835923</v>
      </c>
      <c r="N24" s="19"/>
      <c r="O24" s="19"/>
      <c r="P24" s="19"/>
      <c r="Q24" s="19"/>
      <c r="R24" s="19">
        <f t="shared" si="7"/>
        <v>0</v>
      </c>
      <c r="S24" s="19"/>
      <c r="T24" s="19">
        <f t="shared" si="8"/>
        <v>0</v>
      </c>
      <c r="U24" s="19">
        <f t="shared" si="9"/>
        <v>0</v>
      </c>
      <c r="V24" s="18">
        <f t="shared" si="10"/>
        <v>0</v>
      </c>
    </row>
    <row r="25" spans="1:27">
      <c r="B25" s="19"/>
      <c r="C25" s="19"/>
      <c r="D25" s="19"/>
      <c r="E25" s="19"/>
      <c r="F25" s="19">
        <f t="shared" si="3"/>
        <v>0</v>
      </c>
      <c r="G25" s="19"/>
      <c r="H25" s="19">
        <f t="shared" si="4"/>
        <v>0</v>
      </c>
      <c r="I25" s="19">
        <f t="shared" si="5"/>
        <v>0</v>
      </c>
      <c r="J25" s="24">
        <f t="shared" si="6"/>
        <v>835923</v>
      </c>
      <c r="N25" s="19"/>
      <c r="O25" s="19"/>
      <c r="P25" s="19"/>
      <c r="Q25" s="19"/>
      <c r="R25" s="19">
        <f t="shared" si="7"/>
        <v>0</v>
      </c>
      <c r="S25" s="19"/>
      <c r="T25" s="19">
        <f t="shared" si="8"/>
        <v>0</v>
      </c>
      <c r="U25" s="19">
        <f t="shared" si="9"/>
        <v>0</v>
      </c>
      <c r="V25" s="18">
        <f t="shared" si="10"/>
        <v>0</v>
      </c>
    </row>
    <row r="26" spans="1:27">
      <c r="B26" s="19"/>
      <c r="C26" s="19"/>
      <c r="D26" s="19"/>
      <c r="E26" s="19"/>
      <c r="F26" s="19">
        <f t="shared" si="3"/>
        <v>0</v>
      </c>
      <c r="G26" s="19"/>
      <c r="H26" s="19">
        <f t="shared" si="4"/>
        <v>0</v>
      </c>
      <c r="I26" s="19">
        <f t="shared" si="5"/>
        <v>0</v>
      </c>
      <c r="J26" s="24">
        <f t="shared" si="6"/>
        <v>835923</v>
      </c>
      <c r="N26" s="19"/>
      <c r="O26" s="19"/>
      <c r="P26" s="19"/>
      <c r="Q26" s="19"/>
      <c r="R26" s="19">
        <f t="shared" si="7"/>
        <v>0</v>
      </c>
      <c r="S26" s="19"/>
      <c r="T26" s="19">
        <f t="shared" si="8"/>
        <v>0</v>
      </c>
      <c r="U26" s="19">
        <f t="shared" si="9"/>
        <v>0</v>
      </c>
      <c r="V26" s="18">
        <f t="shared" si="10"/>
        <v>0</v>
      </c>
    </row>
    <row r="27" spans="1:27">
      <c r="N27" s="19"/>
      <c r="O27" s="19"/>
      <c r="P27" s="19"/>
      <c r="Q27" s="19"/>
      <c r="R27" s="19">
        <f t="shared" si="7"/>
        <v>0</v>
      </c>
      <c r="S27" s="19"/>
      <c r="T27" s="19">
        <f t="shared" si="8"/>
        <v>0</v>
      </c>
      <c r="U27" s="19">
        <f t="shared" si="9"/>
        <v>0</v>
      </c>
      <c r="V27" s="18">
        <f t="shared" si="10"/>
        <v>0</v>
      </c>
    </row>
    <row r="28" spans="1:27">
      <c r="N28" s="19"/>
      <c r="O28" s="19"/>
      <c r="P28" s="19"/>
      <c r="Q28" s="19"/>
      <c r="R28" s="19">
        <f t="shared" si="7"/>
        <v>0</v>
      </c>
      <c r="S28" s="19"/>
      <c r="T28" s="19">
        <f t="shared" si="8"/>
        <v>0</v>
      </c>
      <c r="U28" s="19">
        <f t="shared" si="9"/>
        <v>0</v>
      </c>
      <c r="V28" s="18">
        <f t="shared" si="10"/>
        <v>0</v>
      </c>
    </row>
    <row r="29" spans="1:27" ht="21">
      <c r="A29">
        <v>3</v>
      </c>
      <c r="B29" s="1520" t="s">
        <v>20</v>
      </c>
      <c r="C29" s="1520"/>
      <c r="D29" s="1520"/>
      <c r="E29" s="1520"/>
      <c r="F29" s="1520"/>
      <c r="G29" s="1520"/>
      <c r="H29" s="1520"/>
      <c r="I29" s="1520"/>
      <c r="J29" s="1520"/>
    </row>
    <row r="30" spans="1:27" ht="18.75">
      <c r="B30" s="4" t="s">
        <v>1</v>
      </c>
      <c r="C30" s="4" t="s">
        <v>2</v>
      </c>
      <c r="D30" s="4" t="s">
        <v>3</v>
      </c>
      <c r="E30" s="4" t="s">
        <v>4</v>
      </c>
      <c r="F30" s="4" t="s">
        <v>36</v>
      </c>
      <c r="G30" s="4" t="s">
        <v>5</v>
      </c>
      <c r="H30" s="4" t="s">
        <v>6</v>
      </c>
      <c r="I30" s="4" t="s">
        <v>7</v>
      </c>
      <c r="J30" s="23"/>
    </row>
    <row r="31" spans="1:27">
      <c r="B31" s="20">
        <v>45701</v>
      </c>
      <c r="C31" s="21" t="s">
        <v>42</v>
      </c>
      <c r="D31" s="19">
        <v>5</v>
      </c>
      <c r="E31" s="19">
        <v>188</v>
      </c>
      <c r="F31" s="19">
        <f t="shared" ref="F31:F39" si="11">E31*D31</f>
        <v>940</v>
      </c>
      <c r="G31" s="22">
        <v>2.3199999999999998</v>
      </c>
      <c r="H31" s="19">
        <f t="shared" ref="H31:H39" si="12">E31*G31</f>
        <v>436.15999999999997</v>
      </c>
      <c r="I31" s="19">
        <f t="shared" ref="I31:I39" si="13">H31*D31</f>
        <v>2180.7999999999997</v>
      </c>
      <c r="J31" s="24">
        <f>J30+I31</f>
        <v>2180.7999999999997</v>
      </c>
    </row>
    <row r="32" spans="1:27" ht="21">
      <c r="B32" s="20">
        <v>45701</v>
      </c>
      <c r="C32" s="21" t="s">
        <v>43</v>
      </c>
      <c r="D32" s="19">
        <v>125</v>
      </c>
      <c r="E32" s="19">
        <v>133.30000000000001</v>
      </c>
      <c r="F32" s="19">
        <f t="shared" si="11"/>
        <v>16662.5</v>
      </c>
      <c r="G32" s="22">
        <v>2.3199999999999998</v>
      </c>
      <c r="H32" s="19">
        <f t="shared" si="12"/>
        <v>309.25600000000003</v>
      </c>
      <c r="I32" s="19">
        <f t="shared" si="13"/>
        <v>38657</v>
      </c>
      <c r="J32" s="24">
        <f t="shared" ref="J32:J39" si="14">J31+I32</f>
        <v>40837.800000000003</v>
      </c>
      <c r="N32" s="1521" t="s">
        <v>20</v>
      </c>
      <c r="O32" s="1521"/>
      <c r="P32" s="1521"/>
      <c r="Q32" s="1521"/>
      <c r="R32" s="1521"/>
      <c r="S32" s="1521"/>
      <c r="T32" s="1521"/>
      <c r="U32" s="1521"/>
      <c r="V32" s="1521"/>
      <c r="W32" s="1521"/>
      <c r="X32" s="1521"/>
      <c r="Y32" s="1521"/>
      <c r="Z32" s="1521"/>
      <c r="AA32" s="1521"/>
    </row>
    <row r="33" spans="1:27" ht="18.75">
      <c r="B33" s="19"/>
      <c r="C33" s="19"/>
      <c r="D33" s="19"/>
      <c r="E33" s="19"/>
      <c r="F33" s="19">
        <f t="shared" si="11"/>
        <v>0</v>
      </c>
      <c r="G33" s="19"/>
      <c r="H33" s="19">
        <f t="shared" si="12"/>
        <v>0</v>
      </c>
      <c r="I33" s="19">
        <f t="shared" si="13"/>
        <v>0</v>
      </c>
      <c r="J33" s="24">
        <f t="shared" si="14"/>
        <v>40837.800000000003</v>
      </c>
      <c r="N33" s="226" t="s">
        <v>1</v>
      </c>
      <c r="O33" s="226" t="s">
        <v>2</v>
      </c>
      <c r="P33" s="226" t="s">
        <v>444</v>
      </c>
      <c r="Q33" s="226" t="s">
        <v>33</v>
      </c>
      <c r="R33" s="226" t="s">
        <v>3</v>
      </c>
      <c r="S33" s="226" t="s">
        <v>445</v>
      </c>
      <c r="T33" s="226" t="s">
        <v>451</v>
      </c>
      <c r="U33" s="226" t="s">
        <v>446</v>
      </c>
      <c r="V33" s="226" t="s">
        <v>447</v>
      </c>
      <c r="W33" s="226" t="s">
        <v>448</v>
      </c>
      <c r="X33" s="226" t="s">
        <v>449</v>
      </c>
      <c r="Y33" s="226" t="s">
        <v>450</v>
      </c>
      <c r="Z33" s="226" t="s">
        <v>7</v>
      </c>
      <c r="AA33" s="29"/>
    </row>
    <row r="34" spans="1:27">
      <c r="B34" s="19"/>
      <c r="C34" s="19"/>
      <c r="D34" s="19"/>
      <c r="E34" s="19"/>
      <c r="F34" s="19">
        <f t="shared" si="11"/>
        <v>0</v>
      </c>
      <c r="G34" s="19"/>
      <c r="H34" s="19">
        <f t="shared" si="12"/>
        <v>0</v>
      </c>
      <c r="I34" s="19">
        <f t="shared" si="13"/>
        <v>0</v>
      </c>
      <c r="J34" s="24">
        <f t="shared" si="14"/>
        <v>40837.800000000003</v>
      </c>
      <c r="N34" s="19"/>
      <c r="O34" s="19"/>
      <c r="P34" s="19"/>
      <c r="Q34" s="19"/>
      <c r="R34" s="19"/>
      <c r="S34" s="19"/>
      <c r="T34" s="19"/>
      <c r="U34" s="19">
        <f>S34*T34%</f>
        <v>0</v>
      </c>
      <c r="V34" s="18">
        <f>S34-U34</f>
        <v>0</v>
      </c>
      <c r="W34" s="18">
        <f>R34*V34</f>
        <v>0</v>
      </c>
      <c r="X34" s="18">
        <v>2.33</v>
      </c>
      <c r="Y34" s="18">
        <f>V34*X34</f>
        <v>0</v>
      </c>
      <c r="Z34" s="18">
        <f>R34*Y34</f>
        <v>0</v>
      </c>
      <c r="AA34" s="18">
        <f>AA33+Z34</f>
        <v>0</v>
      </c>
    </row>
    <row r="35" spans="1:27">
      <c r="B35" s="19"/>
      <c r="C35" s="19"/>
      <c r="D35" s="19"/>
      <c r="E35" s="19"/>
      <c r="F35" s="19">
        <f t="shared" si="11"/>
        <v>0</v>
      </c>
      <c r="G35" s="19"/>
      <c r="H35" s="19">
        <f t="shared" si="12"/>
        <v>0</v>
      </c>
      <c r="I35" s="19">
        <f t="shared" si="13"/>
        <v>0</v>
      </c>
      <c r="J35" s="24">
        <f t="shared" si="14"/>
        <v>40837.800000000003</v>
      </c>
      <c r="N35" s="19"/>
      <c r="O35" s="19"/>
      <c r="P35" s="19"/>
      <c r="Q35" s="19"/>
      <c r="R35" s="19"/>
      <c r="S35" s="19"/>
      <c r="T35" s="19"/>
      <c r="U35" s="19">
        <f t="shared" ref="U35:U43" si="15">S35*T35%</f>
        <v>0</v>
      </c>
      <c r="V35" s="18">
        <f t="shared" ref="V35:V43" si="16">S35-U35</f>
        <v>0</v>
      </c>
      <c r="W35" s="18">
        <f t="shared" ref="W35:W43" si="17">R35*V35</f>
        <v>0</v>
      </c>
      <c r="X35" s="18"/>
      <c r="Y35" s="18">
        <f t="shared" ref="Y35:Y43" si="18">V35*X35</f>
        <v>0</v>
      </c>
      <c r="Z35" s="18">
        <f t="shared" ref="Z35:Z43" si="19">R35*Y35</f>
        <v>0</v>
      </c>
      <c r="AA35" s="18">
        <f t="shared" ref="AA35:AA43" si="20">AA34+Z35</f>
        <v>0</v>
      </c>
    </row>
    <row r="36" spans="1:27">
      <c r="B36" s="19"/>
      <c r="C36" s="19"/>
      <c r="D36" s="19"/>
      <c r="E36" s="19"/>
      <c r="F36" s="19">
        <f t="shared" si="11"/>
        <v>0</v>
      </c>
      <c r="G36" s="19"/>
      <c r="H36" s="19">
        <f t="shared" si="12"/>
        <v>0</v>
      </c>
      <c r="I36" s="19">
        <f t="shared" si="13"/>
        <v>0</v>
      </c>
      <c r="J36" s="24">
        <f t="shared" si="14"/>
        <v>40837.800000000003</v>
      </c>
      <c r="N36" s="19"/>
      <c r="O36" s="19"/>
      <c r="P36" s="19"/>
      <c r="Q36" s="19"/>
      <c r="R36" s="19"/>
      <c r="S36" s="19"/>
      <c r="T36" s="19"/>
      <c r="U36" s="19">
        <f t="shared" si="15"/>
        <v>0</v>
      </c>
      <c r="V36" s="18">
        <f t="shared" si="16"/>
        <v>0</v>
      </c>
      <c r="W36" s="18">
        <f t="shared" si="17"/>
        <v>0</v>
      </c>
      <c r="X36" s="18"/>
      <c r="Y36" s="18">
        <f t="shared" si="18"/>
        <v>0</v>
      </c>
      <c r="Z36" s="18">
        <f t="shared" si="19"/>
        <v>0</v>
      </c>
      <c r="AA36" s="18">
        <f t="shared" si="20"/>
        <v>0</v>
      </c>
    </row>
    <row r="37" spans="1:27">
      <c r="B37" s="19"/>
      <c r="C37" s="19"/>
      <c r="D37" s="19"/>
      <c r="E37" s="19"/>
      <c r="F37" s="19">
        <f t="shared" si="11"/>
        <v>0</v>
      </c>
      <c r="G37" s="19"/>
      <c r="H37" s="19">
        <f t="shared" si="12"/>
        <v>0</v>
      </c>
      <c r="I37" s="19">
        <f t="shared" si="13"/>
        <v>0</v>
      </c>
      <c r="J37" s="24">
        <f t="shared" si="14"/>
        <v>40837.800000000003</v>
      </c>
      <c r="N37" s="19"/>
      <c r="O37" s="19"/>
      <c r="P37" s="19"/>
      <c r="Q37" s="19"/>
      <c r="R37" s="19"/>
      <c r="S37" s="19"/>
      <c r="T37" s="19"/>
      <c r="U37" s="19">
        <f t="shared" si="15"/>
        <v>0</v>
      </c>
      <c r="V37" s="18">
        <f t="shared" si="16"/>
        <v>0</v>
      </c>
      <c r="W37" s="18">
        <f t="shared" si="17"/>
        <v>0</v>
      </c>
      <c r="X37" s="18"/>
      <c r="Y37" s="18">
        <f t="shared" si="18"/>
        <v>0</v>
      </c>
      <c r="Z37" s="18">
        <f t="shared" si="19"/>
        <v>0</v>
      </c>
      <c r="AA37" s="18">
        <f t="shared" si="20"/>
        <v>0</v>
      </c>
    </row>
    <row r="38" spans="1:27">
      <c r="B38" s="19"/>
      <c r="C38" s="19"/>
      <c r="D38" s="19"/>
      <c r="E38" s="19"/>
      <c r="F38" s="19">
        <f t="shared" si="11"/>
        <v>0</v>
      </c>
      <c r="G38" s="19"/>
      <c r="H38" s="19">
        <f t="shared" si="12"/>
        <v>0</v>
      </c>
      <c r="I38" s="19">
        <f t="shared" si="13"/>
        <v>0</v>
      </c>
      <c r="J38" s="24">
        <f t="shared" si="14"/>
        <v>40837.800000000003</v>
      </c>
      <c r="N38" s="19"/>
      <c r="O38" s="19"/>
      <c r="P38" s="19"/>
      <c r="Q38" s="19"/>
      <c r="R38" s="19"/>
      <c r="S38" s="19"/>
      <c r="T38" s="19"/>
      <c r="U38" s="19">
        <f t="shared" si="15"/>
        <v>0</v>
      </c>
      <c r="V38" s="18">
        <f t="shared" si="16"/>
        <v>0</v>
      </c>
      <c r="W38" s="18">
        <f t="shared" si="17"/>
        <v>0</v>
      </c>
      <c r="X38" s="18"/>
      <c r="Y38" s="18">
        <f t="shared" si="18"/>
        <v>0</v>
      </c>
      <c r="Z38" s="18">
        <f t="shared" si="19"/>
        <v>0</v>
      </c>
      <c r="AA38" s="18">
        <f t="shared" si="20"/>
        <v>0</v>
      </c>
    </row>
    <row r="39" spans="1:27">
      <c r="B39" s="19"/>
      <c r="C39" s="19"/>
      <c r="D39" s="19"/>
      <c r="E39" s="19"/>
      <c r="F39" s="19">
        <f t="shared" si="11"/>
        <v>0</v>
      </c>
      <c r="G39" s="19"/>
      <c r="H39" s="19">
        <f t="shared" si="12"/>
        <v>0</v>
      </c>
      <c r="I39" s="19">
        <f t="shared" si="13"/>
        <v>0</v>
      </c>
      <c r="J39" s="24">
        <f t="shared" si="14"/>
        <v>40837.800000000003</v>
      </c>
      <c r="N39" s="19"/>
      <c r="O39" s="19"/>
      <c r="P39" s="19"/>
      <c r="Q39" s="19"/>
      <c r="R39" s="19"/>
      <c r="S39" s="19"/>
      <c r="T39" s="19"/>
      <c r="U39" s="19">
        <f t="shared" si="15"/>
        <v>0</v>
      </c>
      <c r="V39" s="18">
        <f t="shared" si="16"/>
        <v>0</v>
      </c>
      <c r="W39" s="18">
        <f t="shared" si="17"/>
        <v>0</v>
      </c>
      <c r="X39" s="18"/>
      <c r="Y39" s="18">
        <f t="shared" si="18"/>
        <v>0</v>
      </c>
      <c r="Z39" s="18">
        <f t="shared" si="19"/>
        <v>0</v>
      </c>
      <c r="AA39" s="18">
        <f t="shared" si="20"/>
        <v>0</v>
      </c>
    </row>
    <row r="40" spans="1:27">
      <c r="N40" s="19"/>
      <c r="O40" s="19"/>
      <c r="P40" s="19"/>
      <c r="Q40" s="19"/>
      <c r="R40" s="19"/>
      <c r="S40" s="19"/>
      <c r="T40" s="19"/>
      <c r="U40" s="19">
        <f t="shared" si="15"/>
        <v>0</v>
      </c>
      <c r="V40" s="18">
        <f t="shared" si="16"/>
        <v>0</v>
      </c>
      <c r="W40" s="18">
        <f t="shared" si="17"/>
        <v>0</v>
      </c>
      <c r="X40" s="18"/>
      <c r="Y40" s="18">
        <f t="shared" si="18"/>
        <v>0</v>
      </c>
      <c r="Z40" s="18">
        <f t="shared" si="19"/>
        <v>0</v>
      </c>
      <c r="AA40" s="18">
        <f t="shared" si="20"/>
        <v>0</v>
      </c>
    </row>
    <row r="41" spans="1:27">
      <c r="N41" s="19"/>
      <c r="O41" s="19"/>
      <c r="P41" s="19"/>
      <c r="Q41" s="19"/>
      <c r="R41" s="19"/>
      <c r="S41" s="19"/>
      <c r="T41" s="19"/>
      <c r="U41" s="19">
        <f t="shared" si="15"/>
        <v>0</v>
      </c>
      <c r="V41" s="18">
        <f t="shared" si="16"/>
        <v>0</v>
      </c>
      <c r="W41" s="18">
        <f t="shared" si="17"/>
        <v>0</v>
      </c>
      <c r="X41" s="18"/>
      <c r="Y41" s="18">
        <f t="shared" si="18"/>
        <v>0</v>
      </c>
      <c r="Z41" s="18">
        <f t="shared" si="19"/>
        <v>0</v>
      </c>
      <c r="AA41" s="18">
        <f t="shared" si="20"/>
        <v>0</v>
      </c>
    </row>
    <row r="42" spans="1:27" ht="21">
      <c r="A42">
        <v>4</v>
      </c>
      <c r="B42" s="1520" t="s">
        <v>35</v>
      </c>
      <c r="C42" s="1520"/>
      <c r="D42" s="1520"/>
      <c r="E42" s="1520"/>
      <c r="F42" s="1520"/>
      <c r="G42" s="1520"/>
      <c r="H42" s="1520"/>
      <c r="I42" s="1520"/>
      <c r="J42" s="1520"/>
      <c r="N42" s="19"/>
      <c r="O42" s="19"/>
      <c r="P42" s="19"/>
      <c r="Q42" s="19"/>
      <c r="R42" s="19"/>
      <c r="S42" s="19"/>
      <c r="T42" s="19"/>
      <c r="U42" s="19">
        <f t="shared" si="15"/>
        <v>0</v>
      </c>
      <c r="V42" s="18">
        <f t="shared" si="16"/>
        <v>0</v>
      </c>
      <c r="W42" s="18">
        <f t="shared" si="17"/>
        <v>0</v>
      </c>
      <c r="X42" s="18"/>
      <c r="Y42" s="18">
        <f t="shared" si="18"/>
        <v>0</v>
      </c>
      <c r="Z42" s="18">
        <f t="shared" si="19"/>
        <v>0</v>
      </c>
      <c r="AA42" s="18">
        <f t="shared" si="20"/>
        <v>0</v>
      </c>
    </row>
    <row r="43" spans="1:27" ht="18.75">
      <c r="B43" s="4" t="s">
        <v>1</v>
      </c>
      <c r="C43" s="4" t="s">
        <v>2</v>
      </c>
      <c r="D43" s="4" t="s">
        <v>3</v>
      </c>
      <c r="E43" s="4" t="s">
        <v>4</v>
      </c>
      <c r="F43" s="4" t="s">
        <v>36</v>
      </c>
      <c r="G43" s="4" t="s">
        <v>5</v>
      </c>
      <c r="H43" s="4" t="s">
        <v>6</v>
      </c>
      <c r="I43" s="4" t="s">
        <v>7</v>
      </c>
      <c r="J43" s="23"/>
      <c r="N43" s="19"/>
      <c r="O43" s="19"/>
      <c r="P43" s="19"/>
      <c r="Q43" s="19"/>
      <c r="R43" s="19"/>
      <c r="S43" s="19"/>
      <c r="T43" s="19"/>
      <c r="U43" s="19">
        <f t="shared" si="15"/>
        <v>0</v>
      </c>
      <c r="V43" s="18">
        <f t="shared" si="16"/>
        <v>0</v>
      </c>
      <c r="W43" s="18">
        <f t="shared" si="17"/>
        <v>0</v>
      </c>
      <c r="X43" s="18"/>
      <c r="Y43" s="18">
        <f t="shared" si="18"/>
        <v>0</v>
      </c>
      <c r="Z43" s="18">
        <f t="shared" si="19"/>
        <v>0</v>
      </c>
      <c r="AA43" s="18">
        <f t="shared" si="20"/>
        <v>0</v>
      </c>
    </row>
    <row r="44" spans="1:27">
      <c r="B44" s="20">
        <v>45705</v>
      </c>
      <c r="C44" s="21" t="s">
        <v>40</v>
      </c>
      <c r="D44" s="19">
        <v>250</v>
      </c>
      <c r="E44" s="19">
        <v>149</v>
      </c>
      <c r="F44" s="19">
        <f t="shared" ref="F44:F52" si="21">E44*D44</f>
        <v>37250</v>
      </c>
      <c r="G44" s="19">
        <v>2.19</v>
      </c>
      <c r="H44" s="19">
        <f t="shared" ref="H44:H52" si="22">E44*G44</f>
        <v>326.31</v>
      </c>
      <c r="I44" s="19">
        <f t="shared" ref="I44:I52" si="23">H44*D44</f>
        <v>81577.5</v>
      </c>
      <c r="J44" s="24">
        <f t="shared" ref="J44:J52" si="24">J43+I44</f>
        <v>81577.5</v>
      </c>
    </row>
    <row r="45" spans="1:27">
      <c r="B45" s="19"/>
      <c r="C45" s="19"/>
      <c r="D45" s="19"/>
      <c r="E45" s="19"/>
      <c r="F45" s="19">
        <f t="shared" si="21"/>
        <v>0</v>
      </c>
      <c r="G45" s="19"/>
      <c r="H45" s="19">
        <f t="shared" si="22"/>
        <v>0</v>
      </c>
      <c r="I45" s="19">
        <f t="shared" si="23"/>
        <v>0</v>
      </c>
      <c r="J45" s="24">
        <f t="shared" si="24"/>
        <v>81577.5</v>
      </c>
    </row>
    <row r="46" spans="1:27">
      <c r="B46" s="19"/>
      <c r="C46" s="19"/>
      <c r="D46" s="19"/>
      <c r="E46" s="19"/>
      <c r="F46" s="19">
        <f t="shared" si="21"/>
        <v>0</v>
      </c>
      <c r="G46" s="19"/>
      <c r="H46" s="19">
        <f t="shared" si="22"/>
        <v>0</v>
      </c>
      <c r="I46" s="19">
        <f t="shared" si="23"/>
        <v>0</v>
      </c>
      <c r="J46" s="24">
        <f t="shared" si="24"/>
        <v>81577.5</v>
      </c>
    </row>
    <row r="47" spans="1:27">
      <c r="B47" s="19"/>
      <c r="C47" s="19"/>
      <c r="D47" s="19"/>
      <c r="E47" s="19"/>
      <c r="F47" s="19">
        <f t="shared" si="21"/>
        <v>0</v>
      </c>
      <c r="G47" s="19"/>
      <c r="H47" s="19">
        <f t="shared" si="22"/>
        <v>0</v>
      </c>
      <c r="I47" s="19">
        <f t="shared" si="23"/>
        <v>0</v>
      </c>
      <c r="J47" s="24">
        <f t="shared" si="24"/>
        <v>81577.5</v>
      </c>
    </row>
    <row r="48" spans="1:27">
      <c r="B48" s="19"/>
      <c r="C48" s="19"/>
      <c r="D48" s="19"/>
      <c r="E48" s="19"/>
      <c r="F48" s="19">
        <f t="shared" si="21"/>
        <v>0</v>
      </c>
      <c r="G48" s="19"/>
      <c r="H48" s="19">
        <f t="shared" si="22"/>
        <v>0</v>
      </c>
      <c r="I48" s="19">
        <f t="shared" si="23"/>
        <v>0</v>
      </c>
      <c r="J48" s="24">
        <f t="shared" si="24"/>
        <v>81577.5</v>
      </c>
    </row>
    <row r="49" spans="1:10">
      <c r="B49" s="19"/>
      <c r="C49" s="19"/>
      <c r="D49" s="19"/>
      <c r="E49" s="19"/>
      <c r="F49" s="19">
        <f t="shared" si="21"/>
        <v>0</v>
      </c>
      <c r="G49" s="19"/>
      <c r="H49" s="19">
        <f t="shared" si="22"/>
        <v>0</v>
      </c>
      <c r="I49" s="19">
        <f t="shared" si="23"/>
        <v>0</v>
      </c>
      <c r="J49" s="24">
        <f t="shared" si="24"/>
        <v>81577.5</v>
      </c>
    </row>
    <row r="50" spans="1:10">
      <c r="B50" s="19"/>
      <c r="C50" s="19"/>
      <c r="D50" s="19"/>
      <c r="E50" s="19"/>
      <c r="F50" s="19">
        <f t="shared" si="21"/>
        <v>0</v>
      </c>
      <c r="G50" s="19"/>
      <c r="H50" s="19">
        <f t="shared" si="22"/>
        <v>0</v>
      </c>
      <c r="I50" s="19">
        <f t="shared" si="23"/>
        <v>0</v>
      </c>
      <c r="J50" s="24">
        <f t="shared" si="24"/>
        <v>81577.5</v>
      </c>
    </row>
    <row r="51" spans="1:10">
      <c r="B51" s="19"/>
      <c r="C51" s="19"/>
      <c r="D51" s="19"/>
      <c r="E51" s="19"/>
      <c r="F51" s="19">
        <f t="shared" si="21"/>
        <v>0</v>
      </c>
      <c r="G51" s="19"/>
      <c r="H51" s="19">
        <f t="shared" si="22"/>
        <v>0</v>
      </c>
      <c r="I51" s="19">
        <f t="shared" si="23"/>
        <v>0</v>
      </c>
      <c r="J51" s="24">
        <f t="shared" si="24"/>
        <v>81577.5</v>
      </c>
    </row>
    <row r="52" spans="1:10">
      <c r="B52" s="19"/>
      <c r="C52" s="19"/>
      <c r="D52" s="19"/>
      <c r="E52" s="19"/>
      <c r="F52" s="19">
        <f t="shared" si="21"/>
        <v>0</v>
      </c>
      <c r="G52" s="19"/>
      <c r="H52" s="19">
        <f t="shared" si="22"/>
        <v>0</v>
      </c>
      <c r="I52" s="19">
        <f t="shared" si="23"/>
        <v>0</v>
      </c>
      <c r="J52" s="24">
        <f t="shared" si="24"/>
        <v>81577.5</v>
      </c>
    </row>
    <row r="55" spans="1:10" ht="21">
      <c r="A55">
        <v>5</v>
      </c>
      <c r="B55" s="1520" t="s">
        <v>35</v>
      </c>
      <c r="C55" s="1520"/>
      <c r="D55" s="1520"/>
      <c r="E55" s="1520"/>
      <c r="F55" s="1520"/>
      <c r="G55" s="1520"/>
      <c r="H55" s="1520"/>
      <c r="I55" s="1520"/>
      <c r="J55" s="1520"/>
    </row>
    <row r="56" spans="1:10" ht="18.75">
      <c r="B56" s="4" t="s">
        <v>1</v>
      </c>
      <c r="C56" s="4" t="s">
        <v>2</v>
      </c>
      <c r="D56" s="4" t="s">
        <v>3</v>
      </c>
      <c r="E56" s="4" t="s">
        <v>4</v>
      </c>
      <c r="F56" s="4" t="s">
        <v>36</v>
      </c>
      <c r="G56" s="4" t="s">
        <v>5</v>
      </c>
      <c r="H56" s="4" t="s">
        <v>6</v>
      </c>
      <c r="I56" s="4" t="s">
        <v>7</v>
      </c>
      <c r="J56" s="23"/>
    </row>
    <row r="57" spans="1:10">
      <c r="B57" s="20">
        <v>45706</v>
      </c>
      <c r="C57" s="21" t="s">
        <v>44</v>
      </c>
      <c r="D57" s="19">
        <v>200</v>
      </c>
      <c r="E57" s="19">
        <v>549</v>
      </c>
      <c r="F57" s="19">
        <f t="shared" ref="F57:F65" si="25">E57*D57</f>
        <v>109800</v>
      </c>
      <c r="G57" s="22">
        <v>2.19</v>
      </c>
      <c r="H57" s="19">
        <f t="shared" ref="H57:H65" si="26">E57*G57</f>
        <v>1202.31</v>
      </c>
      <c r="I57" s="19">
        <f t="shared" ref="I57:I65" si="27">H57*D57</f>
        <v>240462</v>
      </c>
      <c r="J57" s="24">
        <f t="shared" ref="J57:J65" si="28">J56+I57</f>
        <v>240462</v>
      </c>
    </row>
    <row r="58" spans="1:10">
      <c r="B58" s="20">
        <v>45706</v>
      </c>
      <c r="C58" s="21" t="s">
        <v>45</v>
      </c>
      <c r="D58" s="19">
        <v>6</v>
      </c>
      <c r="E58" s="19">
        <v>145</v>
      </c>
      <c r="F58" s="19">
        <f t="shared" si="25"/>
        <v>870</v>
      </c>
      <c r="G58" s="22">
        <v>2.19</v>
      </c>
      <c r="H58" s="19">
        <f t="shared" si="26"/>
        <v>317.55</v>
      </c>
      <c r="I58" s="19">
        <f t="shared" si="27"/>
        <v>1905.3000000000002</v>
      </c>
      <c r="J58" s="24">
        <f t="shared" si="28"/>
        <v>242367.3</v>
      </c>
    </row>
    <row r="59" spans="1:10">
      <c r="B59" s="20">
        <v>45706</v>
      </c>
      <c r="C59" s="21" t="s">
        <v>46</v>
      </c>
      <c r="D59" s="19">
        <v>15</v>
      </c>
      <c r="E59" s="19">
        <v>695</v>
      </c>
      <c r="F59" s="19">
        <f t="shared" si="25"/>
        <v>10425</v>
      </c>
      <c r="G59" s="22">
        <v>2.19</v>
      </c>
      <c r="H59" s="19">
        <f t="shared" si="26"/>
        <v>1522.05</v>
      </c>
      <c r="I59" s="19">
        <f t="shared" si="27"/>
        <v>22830.75</v>
      </c>
      <c r="J59" s="24">
        <f t="shared" si="28"/>
        <v>265198.05</v>
      </c>
    </row>
    <row r="60" spans="1:10">
      <c r="B60" s="19"/>
      <c r="C60" s="19"/>
      <c r="D60" s="19"/>
      <c r="E60" s="19"/>
      <c r="F60" s="19">
        <f t="shared" si="25"/>
        <v>0</v>
      </c>
      <c r="G60" s="19"/>
      <c r="H60" s="19">
        <f t="shared" si="26"/>
        <v>0</v>
      </c>
      <c r="I60" s="19">
        <f t="shared" si="27"/>
        <v>0</v>
      </c>
      <c r="J60" s="24">
        <f t="shared" si="28"/>
        <v>265198.05</v>
      </c>
    </row>
    <row r="61" spans="1:10">
      <c r="B61" s="19"/>
      <c r="C61" s="19"/>
      <c r="D61" s="19"/>
      <c r="E61" s="19"/>
      <c r="F61" s="19">
        <f t="shared" si="25"/>
        <v>0</v>
      </c>
      <c r="G61" s="19"/>
      <c r="H61" s="19">
        <f t="shared" si="26"/>
        <v>0</v>
      </c>
      <c r="I61" s="19">
        <f t="shared" si="27"/>
        <v>0</v>
      </c>
      <c r="J61" s="24">
        <f t="shared" si="28"/>
        <v>265198.05</v>
      </c>
    </row>
    <row r="62" spans="1:10">
      <c r="B62" s="19"/>
      <c r="C62" s="19"/>
      <c r="D62" s="19"/>
      <c r="E62" s="19"/>
      <c r="F62" s="19">
        <f t="shared" si="25"/>
        <v>0</v>
      </c>
      <c r="G62" s="19"/>
      <c r="H62" s="19">
        <f t="shared" si="26"/>
        <v>0</v>
      </c>
      <c r="I62" s="19">
        <f t="shared" si="27"/>
        <v>0</v>
      </c>
      <c r="J62" s="24">
        <f t="shared" si="28"/>
        <v>265198.05</v>
      </c>
    </row>
    <row r="63" spans="1:10">
      <c r="B63" s="19"/>
      <c r="C63" s="19"/>
      <c r="D63" s="19"/>
      <c r="E63" s="19"/>
      <c r="F63" s="19">
        <f t="shared" si="25"/>
        <v>0</v>
      </c>
      <c r="G63" s="19"/>
      <c r="H63" s="19">
        <f t="shared" si="26"/>
        <v>0</v>
      </c>
      <c r="I63" s="19">
        <f t="shared" si="27"/>
        <v>0</v>
      </c>
      <c r="J63" s="24">
        <f t="shared" si="28"/>
        <v>265198.05</v>
      </c>
    </row>
    <row r="64" spans="1:10">
      <c r="B64" s="19"/>
      <c r="C64" s="19"/>
      <c r="D64" s="19"/>
      <c r="E64" s="19"/>
      <c r="F64" s="19">
        <f t="shared" si="25"/>
        <v>0</v>
      </c>
      <c r="G64" s="19"/>
      <c r="H64" s="19">
        <f t="shared" si="26"/>
        <v>0</v>
      </c>
      <c r="I64" s="19">
        <f t="shared" si="27"/>
        <v>0</v>
      </c>
      <c r="J64" s="24">
        <f t="shared" si="28"/>
        <v>265198.05</v>
      </c>
    </row>
    <row r="65" spans="1:11">
      <c r="B65" s="19"/>
      <c r="C65" s="19"/>
      <c r="D65" s="19"/>
      <c r="E65" s="19"/>
      <c r="F65" s="19">
        <f t="shared" si="25"/>
        <v>0</v>
      </c>
      <c r="G65" s="19"/>
      <c r="H65" s="19">
        <f t="shared" si="26"/>
        <v>0</v>
      </c>
      <c r="I65" s="19">
        <f t="shared" si="27"/>
        <v>0</v>
      </c>
      <c r="J65" s="24">
        <f t="shared" si="28"/>
        <v>265198.05</v>
      </c>
    </row>
    <row r="70" spans="1:11" ht="21">
      <c r="A70">
        <v>6</v>
      </c>
      <c r="B70" s="1520" t="s">
        <v>0</v>
      </c>
      <c r="C70" s="1520"/>
      <c r="D70" s="1520"/>
      <c r="E70" s="1520"/>
      <c r="F70" s="1520"/>
      <c r="G70" s="1520"/>
      <c r="H70" s="1520"/>
      <c r="I70" s="1520"/>
      <c r="J70" s="1520"/>
    </row>
    <row r="71" spans="1:11" ht="18.75">
      <c r="B71" s="4" t="s">
        <v>1</v>
      </c>
      <c r="C71" s="4" t="s">
        <v>2</v>
      </c>
      <c r="D71" s="4" t="s">
        <v>3</v>
      </c>
      <c r="E71" s="4" t="s">
        <v>4</v>
      </c>
      <c r="F71" s="4" t="s">
        <v>36</v>
      </c>
      <c r="G71" s="4" t="s">
        <v>5</v>
      </c>
      <c r="H71" s="4" t="s">
        <v>6</v>
      </c>
      <c r="I71" s="4" t="s">
        <v>7</v>
      </c>
      <c r="J71" s="23"/>
    </row>
    <row r="72" spans="1:11">
      <c r="B72" s="5">
        <v>45709</v>
      </c>
      <c r="C72" s="11" t="s">
        <v>8</v>
      </c>
      <c r="D72" s="2">
        <v>1</v>
      </c>
      <c r="E72" s="2">
        <v>1919</v>
      </c>
      <c r="F72" s="2">
        <f t="shared" ref="F72:F81" si="29">E72*D72</f>
        <v>1919</v>
      </c>
      <c r="G72" s="2">
        <v>2.3250000000000002</v>
      </c>
      <c r="H72" s="2">
        <f t="shared" ref="H72:H81" si="30">E72*G72</f>
        <v>4461.6750000000002</v>
      </c>
      <c r="I72" s="16">
        <f t="shared" ref="I72:I81" si="31">H72*D72</f>
        <v>4461.6750000000002</v>
      </c>
      <c r="J72" s="24">
        <f>J71+I72</f>
        <v>4461.6750000000002</v>
      </c>
    </row>
    <row r="73" spans="1:11">
      <c r="B73" s="5">
        <v>45709</v>
      </c>
      <c r="C73" s="11" t="s">
        <v>8</v>
      </c>
      <c r="D73" s="2">
        <v>1</v>
      </c>
      <c r="E73" s="2">
        <v>1934</v>
      </c>
      <c r="F73" s="2">
        <f t="shared" si="29"/>
        <v>1934</v>
      </c>
      <c r="G73" s="2">
        <v>2.3250000000000002</v>
      </c>
      <c r="H73" s="2">
        <f t="shared" si="30"/>
        <v>4496.55</v>
      </c>
      <c r="I73" s="16">
        <f t="shared" si="31"/>
        <v>4496.55</v>
      </c>
      <c r="J73" s="24">
        <f t="shared" ref="J73:J81" si="32">J72+I73</f>
        <v>8958.2250000000004</v>
      </c>
    </row>
    <row r="74" spans="1:11">
      <c r="B74" s="5">
        <v>45709</v>
      </c>
      <c r="C74" s="11" t="s">
        <v>9</v>
      </c>
      <c r="D74" s="2">
        <v>7</v>
      </c>
      <c r="E74" s="2">
        <v>2349</v>
      </c>
      <c r="F74" s="2">
        <f t="shared" si="29"/>
        <v>16443</v>
      </c>
      <c r="G74" s="2">
        <v>2.3250000000000002</v>
      </c>
      <c r="H74" s="2">
        <f t="shared" si="30"/>
        <v>5461.4250000000002</v>
      </c>
      <c r="I74" s="16">
        <f t="shared" si="31"/>
        <v>38229.974999999999</v>
      </c>
      <c r="J74" s="24">
        <f t="shared" si="32"/>
        <v>47188.2</v>
      </c>
    </row>
    <row r="75" spans="1:11">
      <c r="B75" s="5">
        <v>45709</v>
      </c>
      <c r="C75" s="11" t="s">
        <v>10</v>
      </c>
      <c r="D75" s="8">
        <v>1</v>
      </c>
      <c r="E75" s="8">
        <v>2349</v>
      </c>
      <c r="F75" s="2">
        <f t="shared" si="29"/>
        <v>2349</v>
      </c>
      <c r="G75" s="2">
        <v>2.3250000000000002</v>
      </c>
      <c r="H75" s="2">
        <f t="shared" si="30"/>
        <v>5461.4250000000002</v>
      </c>
      <c r="I75" s="16">
        <f t="shared" si="31"/>
        <v>5461.4250000000002</v>
      </c>
      <c r="J75" s="24">
        <f t="shared" si="32"/>
        <v>52649.625</v>
      </c>
    </row>
    <row r="76" spans="1:11">
      <c r="B76" s="5">
        <v>45709</v>
      </c>
      <c r="C76" s="112" t="s">
        <v>11</v>
      </c>
      <c r="D76" s="2">
        <v>1</v>
      </c>
      <c r="E76" s="2">
        <v>2349</v>
      </c>
      <c r="F76" s="2">
        <f t="shared" si="29"/>
        <v>2349</v>
      </c>
      <c r="G76" s="2">
        <v>2.3250000000000002</v>
      </c>
      <c r="H76" s="3">
        <f t="shared" si="30"/>
        <v>5461.4250000000002</v>
      </c>
      <c r="I76" s="16">
        <f t="shared" si="31"/>
        <v>5461.4250000000002</v>
      </c>
      <c r="J76" s="24">
        <f t="shared" si="32"/>
        <v>58111.05</v>
      </c>
    </row>
    <row r="77" spans="1:11" ht="30">
      <c r="B77" s="12">
        <v>45709</v>
      </c>
      <c r="C77" s="15" t="s">
        <v>12</v>
      </c>
      <c r="D77" s="13">
        <v>10</v>
      </c>
      <c r="E77" s="13">
        <v>188</v>
      </c>
      <c r="F77" s="2">
        <f t="shared" si="29"/>
        <v>1880</v>
      </c>
      <c r="G77" s="13">
        <v>2.3250000000000002</v>
      </c>
      <c r="H77" s="14">
        <f t="shared" si="30"/>
        <v>437.1</v>
      </c>
      <c r="I77" s="17">
        <f t="shared" si="31"/>
        <v>4371</v>
      </c>
      <c r="J77" s="24">
        <f t="shared" si="32"/>
        <v>62482.05</v>
      </c>
      <c r="K77" t="s">
        <v>1340</v>
      </c>
    </row>
    <row r="78" spans="1:11">
      <c r="B78" s="5">
        <v>45709</v>
      </c>
      <c r="C78" s="9" t="s">
        <v>13</v>
      </c>
      <c r="D78" s="8">
        <v>1</v>
      </c>
      <c r="E78" s="8">
        <v>248</v>
      </c>
      <c r="F78" s="2">
        <f t="shared" si="29"/>
        <v>248</v>
      </c>
      <c r="G78" s="2">
        <v>2.3250000000000002</v>
      </c>
      <c r="H78" s="3">
        <f t="shared" si="30"/>
        <v>576.6</v>
      </c>
      <c r="I78" s="16">
        <f t="shared" si="31"/>
        <v>576.6</v>
      </c>
      <c r="J78" s="24">
        <f t="shared" si="32"/>
        <v>63058.65</v>
      </c>
    </row>
    <row r="79" spans="1:11">
      <c r="B79" s="5">
        <v>45709</v>
      </c>
      <c r="C79" s="10" t="s">
        <v>14</v>
      </c>
      <c r="D79" s="2">
        <v>1</v>
      </c>
      <c r="E79" s="2">
        <v>203</v>
      </c>
      <c r="F79" s="2">
        <f t="shared" si="29"/>
        <v>203</v>
      </c>
      <c r="G79" s="2">
        <v>2.3250000000000002</v>
      </c>
      <c r="H79" s="3">
        <f t="shared" si="30"/>
        <v>471.97500000000002</v>
      </c>
      <c r="I79" s="16">
        <f t="shared" si="31"/>
        <v>471.97500000000002</v>
      </c>
      <c r="J79" s="24">
        <f t="shared" si="32"/>
        <v>63530.625</v>
      </c>
    </row>
    <row r="80" spans="1:11">
      <c r="B80" s="5">
        <v>45709</v>
      </c>
      <c r="C80" s="10" t="s">
        <v>15</v>
      </c>
      <c r="D80" s="2">
        <v>1</v>
      </c>
      <c r="E80" s="2">
        <v>143</v>
      </c>
      <c r="F80" s="2">
        <f t="shared" si="29"/>
        <v>143</v>
      </c>
      <c r="G80" s="2">
        <v>2.3250000000000002</v>
      </c>
      <c r="H80" s="3">
        <f t="shared" si="30"/>
        <v>332.47500000000002</v>
      </c>
      <c r="I80" s="16">
        <f t="shared" si="31"/>
        <v>332.47500000000002</v>
      </c>
      <c r="J80" s="24">
        <f t="shared" si="32"/>
        <v>63863.1</v>
      </c>
    </row>
    <row r="81" spans="1:10">
      <c r="A81" t="s">
        <v>125</v>
      </c>
      <c r="B81" s="5">
        <v>45709</v>
      </c>
      <c r="C81" s="10" t="s">
        <v>16</v>
      </c>
      <c r="D81" s="2">
        <v>1</v>
      </c>
      <c r="E81" s="2">
        <v>250</v>
      </c>
      <c r="F81" s="2">
        <f t="shared" si="29"/>
        <v>250</v>
      </c>
      <c r="G81" s="2">
        <v>2.3250000000000002</v>
      </c>
      <c r="H81" s="3">
        <f t="shared" si="30"/>
        <v>581.25</v>
      </c>
      <c r="I81" s="16">
        <f t="shared" si="31"/>
        <v>581.25</v>
      </c>
      <c r="J81" s="24">
        <f t="shared" si="32"/>
        <v>64444.35</v>
      </c>
    </row>
    <row r="83" spans="1:10">
      <c r="B83" s="107"/>
      <c r="C83"/>
      <c r="E83" s="366"/>
      <c r="J83"/>
    </row>
    <row r="84" spans="1:10">
      <c r="B84" s="107"/>
      <c r="C84"/>
      <c r="E84" s="366"/>
      <c r="J84"/>
    </row>
    <row r="85" spans="1:10">
      <c r="B85" s="107"/>
      <c r="C85"/>
      <c r="E85" s="366"/>
      <c r="J85"/>
    </row>
    <row r="86" spans="1:10">
      <c r="B86" s="107"/>
      <c r="C86"/>
      <c r="E86" s="366"/>
      <c r="J86"/>
    </row>
    <row r="87" spans="1:10">
      <c r="B87" s="107"/>
      <c r="C87"/>
      <c r="E87" s="366"/>
      <c r="J87"/>
    </row>
    <row r="88" spans="1:10">
      <c r="B88" s="107"/>
      <c r="C88"/>
      <c r="E88" s="366"/>
      <c r="J88"/>
    </row>
    <row r="92" spans="1:10" ht="21">
      <c r="A92" t="s">
        <v>125</v>
      </c>
      <c r="B92" s="1520" t="s">
        <v>20</v>
      </c>
      <c r="C92" s="1520"/>
      <c r="D92" s="1520"/>
      <c r="E92" s="1520"/>
      <c r="F92" s="1520"/>
      <c r="G92" s="1520"/>
      <c r="H92" s="1520"/>
      <c r="I92" s="1520"/>
      <c r="J92" s="1520"/>
    </row>
    <row r="93" spans="1:10" ht="18.75">
      <c r="B93" s="4" t="s">
        <v>1</v>
      </c>
      <c r="C93" s="4" t="s">
        <v>2</v>
      </c>
      <c r="D93" s="4" t="s">
        <v>3</v>
      </c>
      <c r="E93" s="4" t="s">
        <v>4</v>
      </c>
      <c r="F93" s="4" t="s">
        <v>36</v>
      </c>
      <c r="G93" s="4" t="s">
        <v>5</v>
      </c>
      <c r="H93" s="4" t="s">
        <v>6</v>
      </c>
      <c r="I93" s="4" t="s">
        <v>7</v>
      </c>
      <c r="J93" s="4"/>
    </row>
    <row r="94" spans="1:10">
      <c r="B94" s="81">
        <v>45710</v>
      </c>
      <c r="C94" s="18" t="s">
        <v>109</v>
      </c>
      <c r="D94" s="19">
        <v>1</v>
      </c>
      <c r="E94" s="367">
        <v>2364</v>
      </c>
      <c r="F94" s="19">
        <f t="shared" ref="F94:F110" si="33">E94*D94</f>
        <v>2364</v>
      </c>
      <c r="G94" s="2">
        <v>2.35</v>
      </c>
      <c r="H94" s="19">
        <f t="shared" ref="H94:H110" si="34">E94*G94</f>
        <v>5555.4000000000005</v>
      </c>
      <c r="I94" s="19">
        <f t="shared" ref="I94:I110" si="35">H94*D94</f>
        <v>5555.4000000000005</v>
      </c>
      <c r="J94" s="18">
        <f>J93+I94</f>
        <v>5555.4000000000005</v>
      </c>
    </row>
    <row r="95" spans="1:10">
      <c r="B95" s="81">
        <v>45710</v>
      </c>
      <c r="C95" s="18" t="s">
        <v>110</v>
      </c>
      <c r="D95" s="19">
        <v>1</v>
      </c>
      <c r="E95" s="367">
        <v>2349</v>
      </c>
      <c r="F95" s="19">
        <f t="shared" si="33"/>
        <v>2349</v>
      </c>
      <c r="G95" s="2">
        <v>2.35</v>
      </c>
      <c r="H95" s="19">
        <f t="shared" si="34"/>
        <v>5520.1500000000005</v>
      </c>
      <c r="I95" s="19">
        <f t="shared" si="35"/>
        <v>5520.1500000000005</v>
      </c>
      <c r="J95" s="18">
        <f t="shared" ref="J95:J102" si="36">J94+I95</f>
        <v>11075.550000000001</v>
      </c>
    </row>
    <row r="96" spans="1:10">
      <c r="B96" s="81">
        <v>45710</v>
      </c>
      <c r="C96" s="18" t="s">
        <v>111</v>
      </c>
      <c r="D96" s="19">
        <v>1</v>
      </c>
      <c r="E96" s="367">
        <v>2349</v>
      </c>
      <c r="F96" s="19">
        <f t="shared" si="33"/>
        <v>2349</v>
      </c>
      <c r="G96" s="2">
        <v>2.35</v>
      </c>
      <c r="H96" s="19">
        <f t="shared" si="34"/>
        <v>5520.1500000000005</v>
      </c>
      <c r="I96" s="19">
        <f t="shared" si="35"/>
        <v>5520.1500000000005</v>
      </c>
      <c r="J96" s="18">
        <f t="shared" si="36"/>
        <v>16595.7</v>
      </c>
    </row>
    <row r="97" spans="2:10">
      <c r="B97" s="81">
        <v>45710</v>
      </c>
      <c r="C97" s="18" t="s">
        <v>112</v>
      </c>
      <c r="D97" s="19">
        <v>1</v>
      </c>
      <c r="E97" s="367">
        <v>2349</v>
      </c>
      <c r="F97" s="19">
        <f t="shared" si="33"/>
        <v>2349</v>
      </c>
      <c r="G97" s="2">
        <v>2.35</v>
      </c>
      <c r="H97" s="19">
        <f t="shared" si="34"/>
        <v>5520.1500000000005</v>
      </c>
      <c r="I97" s="19">
        <f t="shared" si="35"/>
        <v>5520.1500000000005</v>
      </c>
      <c r="J97" s="18">
        <f t="shared" si="36"/>
        <v>22115.850000000002</v>
      </c>
    </row>
    <row r="98" spans="2:10">
      <c r="B98" s="81">
        <v>45710</v>
      </c>
      <c r="C98" s="18" t="s">
        <v>113</v>
      </c>
      <c r="D98" s="19">
        <v>1</v>
      </c>
      <c r="E98" s="367">
        <v>2349</v>
      </c>
      <c r="F98" s="19">
        <f t="shared" si="33"/>
        <v>2349</v>
      </c>
      <c r="G98" s="2">
        <v>2.35</v>
      </c>
      <c r="H98" s="19">
        <f t="shared" si="34"/>
        <v>5520.1500000000005</v>
      </c>
      <c r="I98" s="19">
        <f t="shared" si="35"/>
        <v>5520.1500000000005</v>
      </c>
      <c r="J98" s="18">
        <f t="shared" si="36"/>
        <v>27636.000000000004</v>
      </c>
    </row>
    <row r="99" spans="2:10">
      <c r="B99" s="81">
        <v>45710</v>
      </c>
      <c r="C99" s="18" t="s">
        <v>114</v>
      </c>
      <c r="D99" s="19">
        <v>1</v>
      </c>
      <c r="E99" s="367">
        <v>2349</v>
      </c>
      <c r="F99" s="19">
        <f t="shared" si="33"/>
        <v>2349</v>
      </c>
      <c r="G99" s="2">
        <v>2.35</v>
      </c>
      <c r="H99" s="19">
        <f t="shared" si="34"/>
        <v>5520.1500000000005</v>
      </c>
      <c r="I99" s="19">
        <f t="shared" si="35"/>
        <v>5520.1500000000005</v>
      </c>
      <c r="J99" s="18">
        <f t="shared" si="36"/>
        <v>33156.15</v>
      </c>
    </row>
    <row r="100" spans="2:10">
      <c r="B100" s="81">
        <v>45710</v>
      </c>
      <c r="C100" s="18" t="s">
        <v>115</v>
      </c>
      <c r="D100" s="19">
        <v>1</v>
      </c>
      <c r="E100" s="367">
        <v>2349</v>
      </c>
      <c r="F100" s="19">
        <f t="shared" si="33"/>
        <v>2349</v>
      </c>
      <c r="G100" s="2">
        <v>2.35</v>
      </c>
      <c r="H100" s="19">
        <f t="shared" si="34"/>
        <v>5520.1500000000005</v>
      </c>
      <c r="I100" s="19">
        <f t="shared" si="35"/>
        <v>5520.1500000000005</v>
      </c>
      <c r="J100" s="18">
        <f t="shared" si="36"/>
        <v>38676.300000000003</v>
      </c>
    </row>
    <row r="101" spans="2:10">
      <c r="B101" s="81">
        <v>45711</v>
      </c>
      <c r="C101" s="18" t="s">
        <v>115</v>
      </c>
      <c r="D101" s="19">
        <v>1</v>
      </c>
      <c r="E101" s="367">
        <v>2349</v>
      </c>
      <c r="F101" s="19">
        <f t="shared" si="33"/>
        <v>2349</v>
      </c>
      <c r="G101" s="2">
        <v>2.35</v>
      </c>
      <c r="H101" s="19">
        <f t="shared" si="34"/>
        <v>5520.1500000000005</v>
      </c>
      <c r="I101" s="19">
        <f t="shared" si="35"/>
        <v>5520.1500000000005</v>
      </c>
      <c r="J101" s="18">
        <f t="shared" si="36"/>
        <v>44196.450000000004</v>
      </c>
    </row>
    <row r="102" spans="2:10">
      <c r="B102" s="81">
        <v>45711</v>
      </c>
      <c r="C102" s="18" t="s">
        <v>116</v>
      </c>
      <c r="D102" s="19">
        <v>1</v>
      </c>
      <c r="E102" s="367">
        <v>2349</v>
      </c>
      <c r="F102" s="19">
        <f t="shared" si="33"/>
        <v>2349</v>
      </c>
      <c r="G102" s="2">
        <v>2.35</v>
      </c>
      <c r="H102" s="19">
        <f t="shared" si="34"/>
        <v>5520.1500000000005</v>
      </c>
      <c r="I102" s="19">
        <f t="shared" si="35"/>
        <v>5520.1500000000005</v>
      </c>
      <c r="J102" s="18">
        <f t="shared" si="36"/>
        <v>49716.600000000006</v>
      </c>
    </row>
    <row r="103" spans="2:10">
      <c r="B103" s="81">
        <v>45711</v>
      </c>
      <c r="C103" s="18" t="s">
        <v>110</v>
      </c>
      <c r="D103" s="19">
        <v>1</v>
      </c>
      <c r="E103" s="367">
        <v>2349</v>
      </c>
      <c r="F103" s="19">
        <f t="shared" si="33"/>
        <v>2349</v>
      </c>
      <c r="G103" s="2">
        <v>2.35</v>
      </c>
      <c r="H103" s="19">
        <f t="shared" si="34"/>
        <v>5520.1500000000005</v>
      </c>
      <c r="I103" s="19">
        <f t="shared" si="35"/>
        <v>5520.1500000000005</v>
      </c>
      <c r="J103" s="18">
        <f t="shared" ref="J103:J110" si="37">J102+I103</f>
        <v>55236.750000000007</v>
      </c>
    </row>
    <row r="104" spans="2:10">
      <c r="B104" s="81">
        <v>45711</v>
      </c>
      <c r="C104" s="18" t="s">
        <v>111</v>
      </c>
      <c r="D104" s="19">
        <v>1</v>
      </c>
      <c r="E104" s="367">
        <v>2349</v>
      </c>
      <c r="F104" s="19">
        <f t="shared" si="33"/>
        <v>2349</v>
      </c>
      <c r="G104" s="2">
        <v>2.35</v>
      </c>
      <c r="H104" s="19">
        <f t="shared" si="34"/>
        <v>5520.1500000000005</v>
      </c>
      <c r="I104" s="19">
        <f t="shared" si="35"/>
        <v>5520.1500000000005</v>
      </c>
      <c r="J104" s="18">
        <f t="shared" si="37"/>
        <v>60756.900000000009</v>
      </c>
    </row>
    <row r="105" spans="2:10">
      <c r="B105" s="81">
        <v>45711</v>
      </c>
      <c r="C105" s="18" t="s">
        <v>109</v>
      </c>
      <c r="D105" s="19">
        <v>1</v>
      </c>
      <c r="E105" s="367">
        <v>2364</v>
      </c>
      <c r="F105" s="19">
        <f t="shared" si="33"/>
        <v>2364</v>
      </c>
      <c r="G105" s="2">
        <v>2.35</v>
      </c>
      <c r="H105" s="19">
        <f t="shared" si="34"/>
        <v>5555.4000000000005</v>
      </c>
      <c r="I105" s="19">
        <f t="shared" si="35"/>
        <v>5555.4000000000005</v>
      </c>
      <c r="J105" s="18">
        <f t="shared" si="37"/>
        <v>66312.3</v>
      </c>
    </row>
    <row r="106" spans="2:10">
      <c r="B106" s="81">
        <v>45711</v>
      </c>
      <c r="C106" s="18" t="s">
        <v>117</v>
      </c>
      <c r="D106" s="19">
        <v>1</v>
      </c>
      <c r="E106" s="367">
        <v>2364</v>
      </c>
      <c r="F106" s="19">
        <f t="shared" si="33"/>
        <v>2364</v>
      </c>
      <c r="G106" s="2">
        <v>2.35</v>
      </c>
      <c r="H106" s="19">
        <f t="shared" si="34"/>
        <v>5555.4000000000005</v>
      </c>
      <c r="I106" s="19">
        <f t="shared" si="35"/>
        <v>5555.4000000000005</v>
      </c>
      <c r="J106" s="18">
        <f t="shared" si="37"/>
        <v>71867.7</v>
      </c>
    </row>
    <row r="107" spans="2:10">
      <c r="F107" s="19">
        <f t="shared" si="33"/>
        <v>0</v>
      </c>
      <c r="H107" s="19">
        <f t="shared" si="34"/>
        <v>0</v>
      </c>
      <c r="I107" s="19">
        <f t="shared" si="35"/>
        <v>0</v>
      </c>
      <c r="J107" s="18">
        <f t="shared" si="37"/>
        <v>71867.7</v>
      </c>
    </row>
    <row r="108" spans="2:10">
      <c r="B108" s="81">
        <v>45711</v>
      </c>
      <c r="C108" s="18" t="s">
        <v>108</v>
      </c>
      <c r="D108" s="19">
        <v>1</v>
      </c>
      <c r="E108" s="367">
        <v>2349</v>
      </c>
      <c r="F108" s="19">
        <f t="shared" si="33"/>
        <v>2349</v>
      </c>
      <c r="G108" s="2">
        <v>2.35</v>
      </c>
      <c r="H108" s="19">
        <f t="shared" si="34"/>
        <v>5520.1500000000005</v>
      </c>
      <c r="I108" s="19">
        <f t="shared" si="35"/>
        <v>5520.1500000000005</v>
      </c>
      <c r="J108" s="18">
        <f t="shared" si="37"/>
        <v>77387.849999999991</v>
      </c>
    </row>
    <row r="109" spans="2:10">
      <c r="B109" s="81">
        <v>45711</v>
      </c>
      <c r="C109" s="18" t="s">
        <v>108</v>
      </c>
      <c r="D109" s="19">
        <v>1</v>
      </c>
      <c r="E109" s="368">
        <v>2349</v>
      </c>
      <c r="F109" s="75">
        <f t="shared" si="33"/>
        <v>2349</v>
      </c>
      <c r="G109" s="8">
        <v>2.35</v>
      </c>
      <c r="H109" s="75">
        <f t="shared" si="34"/>
        <v>5520.1500000000005</v>
      </c>
      <c r="I109" s="75">
        <f t="shared" si="35"/>
        <v>5520.1500000000005</v>
      </c>
      <c r="J109" s="76">
        <f t="shared" si="37"/>
        <v>82907.999999999985</v>
      </c>
    </row>
    <row r="110" spans="2:10">
      <c r="B110" s="81">
        <v>45711</v>
      </c>
      <c r="C110" s="18" t="s">
        <v>118</v>
      </c>
      <c r="D110" s="19">
        <v>1</v>
      </c>
      <c r="E110" s="367">
        <v>1919</v>
      </c>
      <c r="F110" s="19">
        <f t="shared" si="33"/>
        <v>1919</v>
      </c>
      <c r="G110" s="19">
        <v>2.35</v>
      </c>
      <c r="H110" s="19">
        <f t="shared" si="34"/>
        <v>4509.6500000000005</v>
      </c>
      <c r="I110" s="19">
        <f t="shared" si="35"/>
        <v>4509.6500000000005</v>
      </c>
      <c r="J110" s="18">
        <f t="shared" si="37"/>
        <v>87417.64999999998</v>
      </c>
    </row>
    <row r="111" spans="2:10">
      <c r="J111"/>
    </row>
    <row r="112" spans="2:10">
      <c r="J112"/>
    </row>
    <row r="114" spans="1:10" ht="21">
      <c r="A114" t="s">
        <v>125</v>
      </c>
      <c r="B114" s="1520" t="s">
        <v>20</v>
      </c>
      <c r="C114" s="1520"/>
      <c r="D114" s="1520"/>
      <c r="E114" s="1520"/>
      <c r="F114" s="1520"/>
      <c r="G114" s="1520"/>
      <c r="H114" s="1520"/>
      <c r="I114" s="1520"/>
      <c r="J114" s="1520"/>
    </row>
    <row r="115" spans="1:10" ht="18.75"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36</v>
      </c>
      <c r="G115" s="4" t="s">
        <v>5</v>
      </c>
      <c r="H115" s="4" t="s">
        <v>6</v>
      </c>
      <c r="I115" s="4" t="s">
        <v>7</v>
      </c>
      <c r="J115" s="4"/>
    </row>
    <row r="116" spans="1:10">
      <c r="B116" s="81">
        <v>45714</v>
      </c>
      <c r="C116" s="18" t="s">
        <v>112</v>
      </c>
      <c r="D116" s="19">
        <v>1</v>
      </c>
      <c r="E116" s="19">
        <v>2349</v>
      </c>
      <c r="F116" s="19">
        <f t="shared" ref="F116:F122" si="38">E116*D116</f>
        <v>2349</v>
      </c>
      <c r="G116" s="19">
        <v>2.35</v>
      </c>
      <c r="H116" s="19">
        <f t="shared" ref="H116:H122" si="39">E116*G116</f>
        <v>5520.1500000000005</v>
      </c>
      <c r="I116" s="19">
        <f t="shared" ref="I116:I122" si="40">H116*D116</f>
        <v>5520.1500000000005</v>
      </c>
      <c r="J116" s="18">
        <f>J115+I116</f>
        <v>5520.1500000000005</v>
      </c>
    </row>
    <row r="117" spans="1:10">
      <c r="B117" s="81">
        <v>45714</v>
      </c>
      <c r="C117" s="18" t="s">
        <v>110</v>
      </c>
      <c r="D117" s="19">
        <v>1</v>
      </c>
      <c r="E117" s="19">
        <v>2349</v>
      </c>
      <c r="F117" s="19">
        <f t="shared" si="38"/>
        <v>2349</v>
      </c>
      <c r="G117" s="19">
        <v>2.35</v>
      </c>
      <c r="H117" s="19">
        <f t="shared" si="39"/>
        <v>5520.1500000000005</v>
      </c>
      <c r="I117" s="19">
        <f t="shared" si="40"/>
        <v>5520.1500000000005</v>
      </c>
      <c r="J117" s="18">
        <f t="shared" ref="J117:J122" si="41">J116+I117</f>
        <v>11040.300000000001</v>
      </c>
    </row>
    <row r="118" spans="1:10">
      <c r="B118" s="81">
        <v>45714</v>
      </c>
      <c r="C118" s="18" t="s">
        <v>109</v>
      </c>
      <c r="D118" s="19">
        <v>1</v>
      </c>
      <c r="E118" s="19">
        <v>2349</v>
      </c>
      <c r="F118" s="19">
        <f t="shared" si="38"/>
        <v>2349</v>
      </c>
      <c r="G118" s="19">
        <v>2.35</v>
      </c>
      <c r="H118" s="19">
        <f t="shared" si="39"/>
        <v>5520.1500000000005</v>
      </c>
      <c r="I118" s="19">
        <f t="shared" si="40"/>
        <v>5520.1500000000005</v>
      </c>
      <c r="J118" s="18">
        <f t="shared" si="41"/>
        <v>16560.45</v>
      </c>
    </row>
    <row r="119" spans="1:10">
      <c r="B119" s="81">
        <v>45714</v>
      </c>
      <c r="C119" s="18" t="s">
        <v>111</v>
      </c>
      <c r="D119" s="19">
        <v>1</v>
      </c>
      <c r="E119" s="19">
        <v>2349</v>
      </c>
      <c r="F119" s="19">
        <f t="shared" si="38"/>
        <v>2349</v>
      </c>
      <c r="G119" s="19">
        <v>2.35</v>
      </c>
      <c r="H119" s="19">
        <f t="shared" si="39"/>
        <v>5520.1500000000005</v>
      </c>
      <c r="I119" s="19">
        <f t="shared" si="40"/>
        <v>5520.1500000000005</v>
      </c>
      <c r="J119" s="18">
        <f t="shared" si="41"/>
        <v>22080.600000000002</v>
      </c>
    </row>
    <row r="120" spans="1:10">
      <c r="B120" s="81">
        <v>45714</v>
      </c>
      <c r="C120" s="18" t="s">
        <v>108</v>
      </c>
      <c r="D120" s="19">
        <v>1</v>
      </c>
      <c r="E120" s="19">
        <v>2349</v>
      </c>
      <c r="F120" s="19">
        <f t="shared" si="38"/>
        <v>2349</v>
      </c>
      <c r="G120" s="19">
        <v>2.35</v>
      </c>
      <c r="H120" s="19">
        <f t="shared" si="39"/>
        <v>5520.1500000000005</v>
      </c>
      <c r="I120" s="19">
        <f t="shared" si="40"/>
        <v>5520.1500000000005</v>
      </c>
      <c r="J120" s="18">
        <f t="shared" si="41"/>
        <v>27600.750000000004</v>
      </c>
    </row>
    <row r="121" spans="1:10">
      <c r="B121" s="153">
        <v>45714</v>
      </c>
      <c r="C121" s="76" t="s">
        <v>108</v>
      </c>
      <c r="D121" s="75">
        <v>1</v>
      </c>
      <c r="E121" s="75">
        <v>2349</v>
      </c>
      <c r="F121" s="75">
        <f t="shared" si="38"/>
        <v>2349</v>
      </c>
      <c r="G121" s="19">
        <v>2.35</v>
      </c>
      <c r="H121" s="75">
        <f t="shared" si="39"/>
        <v>5520.1500000000005</v>
      </c>
      <c r="I121" s="75">
        <f t="shared" si="40"/>
        <v>5520.1500000000005</v>
      </c>
      <c r="J121" s="76">
        <f t="shared" si="41"/>
        <v>33120.9</v>
      </c>
    </row>
    <row r="122" spans="1:10">
      <c r="B122" s="81">
        <v>45714</v>
      </c>
      <c r="C122" s="18" t="s">
        <v>108</v>
      </c>
      <c r="D122" s="19">
        <v>1</v>
      </c>
      <c r="E122" s="19">
        <v>2349</v>
      </c>
      <c r="F122" s="19">
        <f t="shared" si="38"/>
        <v>2349</v>
      </c>
      <c r="G122" s="19">
        <v>2.35</v>
      </c>
      <c r="H122" s="19">
        <f t="shared" si="39"/>
        <v>5520.1500000000005</v>
      </c>
      <c r="I122" s="19">
        <f t="shared" si="40"/>
        <v>5520.1500000000005</v>
      </c>
      <c r="J122" s="18">
        <f t="shared" si="41"/>
        <v>38641.050000000003</v>
      </c>
    </row>
    <row r="123" spans="1:10">
      <c r="J123"/>
    </row>
    <row r="124" spans="1:10">
      <c r="J124"/>
    </row>
    <row r="125" spans="1:10">
      <c r="J125"/>
    </row>
    <row r="126" spans="1:10" ht="21">
      <c r="A126" t="s">
        <v>26</v>
      </c>
      <c r="B126" s="1520" t="s">
        <v>20</v>
      </c>
      <c r="C126" s="1520"/>
      <c r="D126" s="1520"/>
      <c r="E126" s="1520"/>
      <c r="F126" s="1520"/>
      <c r="G126" s="1520"/>
      <c r="H126" s="1520"/>
      <c r="I126" s="1520"/>
      <c r="J126" s="1520"/>
    </row>
    <row r="127" spans="1:10" ht="18.75">
      <c r="A127" t="s">
        <v>125</v>
      </c>
      <c r="B127" s="4" t="s">
        <v>1</v>
      </c>
      <c r="C127" s="4" t="s">
        <v>2</v>
      </c>
      <c r="D127" s="4" t="s">
        <v>3</v>
      </c>
      <c r="E127" s="4" t="s">
        <v>4</v>
      </c>
      <c r="F127" s="4" t="s">
        <v>36</v>
      </c>
      <c r="G127" s="4" t="s">
        <v>5</v>
      </c>
      <c r="H127" s="4" t="s">
        <v>6</v>
      </c>
      <c r="I127" s="4" t="s">
        <v>7</v>
      </c>
      <c r="J127" s="4"/>
    </row>
    <row r="128" spans="1:10">
      <c r="B128" s="81">
        <v>45715</v>
      </c>
      <c r="C128" s="18" t="s">
        <v>109</v>
      </c>
      <c r="D128" s="19">
        <v>1</v>
      </c>
      <c r="E128" s="19">
        <v>2349</v>
      </c>
      <c r="F128" s="19">
        <f t="shared" ref="F128:F140" si="42">E128*D128</f>
        <v>2349</v>
      </c>
      <c r="G128" s="19">
        <v>2.35</v>
      </c>
      <c r="H128" s="19">
        <f t="shared" ref="H128:H140" si="43">E128*G128</f>
        <v>5520.1500000000005</v>
      </c>
      <c r="I128" s="19">
        <f t="shared" ref="I128:I140" si="44">H128*D128</f>
        <v>5520.1500000000005</v>
      </c>
      <c r="J128" s="18">
        <f>J127+I128</f>
        <v>5520.1500000000005</v>
      </c>
    </row>
    <row r="129" spans="1:10">
      <c r="B129" s="81">
        <v>45715</v>
      </c>
      <c r="C129" s="18" t="s">
        <v>111</v>
      </c>
      <c r="D129" s="19">
        <v>1</v>
      </c>
      <c r="E129" s="19">
        <v>2349</v>
      </c>
      <c r="F129" s="19">
        <f t="shared" si="42"/>
        <v>2349</v>
      </c>
      <c r="G129" s="19">
        <v>2.35</v>
      </c>
      <c r="H129" s="19">
        <f t="shared" si="43"/>
        <v>5520.1500000000005</v>
      </c>
      <c r="I129" s="19">
        <f t="shared" si="44"/>
        <v>5520.1500000000005</v>
      </c>
      <c r="J129" s="18">
        <f t="shared" ref="J129:J140" si="45">J128+I129</f>
        <v>11040.300000000001</v>
      </c>
    </row>
    <row r="130" spans="1:10">
      <c r="B130" s="81">
        <v>45715</v>
      </c>
      <c r="C130" s="18" t="s">
        <v>112</v>
      </c>
      <c r="D130" s="19">
        <v>1</v>
      </c>
      <c r="E130" s="19">
        <v>2349</v>
      </c>
      <c r="F130" s="19">
        <f t="shared" si="42"/>
        <v>2349</v>
      </c>
      <c r="G130" s="19">
        <v>2.35</v>
      </c>
      <c r="H130" s="19">
        <f t="shared" si="43"/>
        <v>5520.1500000000005</v>
      </c>
      <c r="I130" s="19">
        <f t="shared" si="44"/>
        <v>5520.1500000000005</v>
      </c>
      <c r="J130" s="18">
        <f t="shared" si="45"/>
        <v>16560.45</v>
      </c>
    </row>
    <row r="131" spans="1:10">
      <c r="B131" s="81">
        <v>45715</v>
      </c>
      <c r="C131" s="76" t="s">
        <v>108</v>
      </c>
      <c r="D131" s="19">
        <v>1</v>
      </c>
      <c r="E131" s="19">
        <v>2349</v>
      </c>
      <c r="F131" s="19">
        <f t="shared" si="42"/>
        <v>2349</v>
      </c>
      <c r="G131" s="19">
        <v>2.35</v>
      </c>
      <c r="H131" s="19">
        <f t="shared" si="43"/>
        <v>5520.1500000000005</v>
      </c>
      <c r="I131" s="19">
        <f t="shared" si="44"/>
        <v>5520.1500000000005</v>
      </c>
      <c r="J131" s="18">
        <f t="shared" si="45"/>
        <v>22080.600000000002</v>
      </c>
    </row>
    <row r="132" spans="1:10">
      <c r="B132" s="81">
        <v>45715</v>
      </c>
      <c r="C132" s="76" t="s">
        <v>108</v>
      </c>
      <c r="D132" s="19">
        <v>1</v>
      </c>
      <c r="E132" s="19">
        <v>2349</v>
      </c>
      <c r="F132" s="19">
        <f t="shared" si="42"/>
        <v>2349</v>
      </c>
      <c r="G132" s="19">
        <v>2.35</v>
      </c>
      <c r="H132" s="19">
        <f t="shared" si="43"/>
        <v>5520.1500000000005</v>
      </c>
      <c r="I132" s="19">
        <f t="shared" si="44"/>
        <v>5520.1500000000005</v>
      </c>
      <c r="J132" s="18">
        <f t="shared" si="45"/>
        <v>27600.750000000004</v>
      </c>
    </row>
    <row r="133" spans="1:10">
      <c r="B133" s="81">
        <v>45715</v>
      </c>
      <c r="C133" s="76" t="s">
        <v>108</v>
      </c>
      <c r="D133" s="19">
        <v>1</v>
      </c>
      <c r="E133" s="19">
        <v>2349</v>
      </c>
      <c r="F133" s="19">
        <f t="shared" si="42"/>
        <v>2349</v>
      </c>
      <c r="G133" s="19">
        <v>2.35</v>
      </c>
      <c r="H133" s="19">
        <f t="shared" si="43"/>
        <v>5520.1500000000005</v>
      </c>
      <c r="I133" s="19">
        <f t="shared" si="44"/>
        <v>5520.1500000000005</v>
      </c>
      <c r="J133" s="18">
        <f t="shared" si="45"/>
        <v>33120.9</v>
      </c>
    </row>
    <row r="134" spans="1:10">
      <c r="B134" s="81">
        <v>45715</v>
      </c>
      <c r="C134" s="76" t="s">
        <v>108</v>
      </c>
      <c r="D134" s="19">
        <v>1</v>
      </c>
      <c r="E134" s="19">
        <v>2349</v>
      </c>
      <c r="F134" s="19">
        <f t="shared" si="42"/>
        <v>2349</v>
      </c>
      <c r="G134" s="19">
        <v>2.35</v>
      </c>
      <c r="H134" s="19">
        <f t="shared" si="43"/>
        <v>5520.1500000000005</v>
      </c>
      <c r="I134" s="19">
        <f t="shared" si="44"/>
        <v>5520.1500000000005</v>
      </c>
      <c r="J134" s="18">
        <f t="shared" si="45"/>
        <v>38641.050000000003</v>
      </c>
    </row>
    <row r="135" spans="1:10">
      <c r="B135" s="81">
        <v>45715</v>
      </c>
      <c r="C135" s="76" t="s">
        <v>108</v>
      </c>
      <c r="D135" s="19">
        <v>1</v>
      </c>
      <c r="E135" s="19">
        <v>2349</v>
      </c>
      <c r="F135" s="19">
        <f t="shared" si="42"/>
        <v>2349</v>
      </c>
      <c r="G135" s="19">
        <v>2.35</v>
      </c>
      <c r="H135" s="19">
        <f t="shared" si="43"/>
        <v>5520.1500000000005</v>
      </c>
      <c r="I135" s="19">
        <f t="shared" si="44"/>
        <v>5520.1500000000005</v>
      </c>
      <c r="J135" s="18">
        <f t="shared" si="45"/>
        <v>44161.200000000004</v>
      </c>
    </row>
    <row r="136" spans="1:10">
      <c r="B136" s="81">
        <v>45715</v>
      </c>
      <c r="C136" s="18" t="s">
        <v>108</v>
      </c>
      <c r="D136" s="19">
        <v>1</v>
      </c>
      <c r="E136" s="19">
        <v>2349</v>
      </c>
      <c r="F136" s="19">
        <f t="shared" si="42"/>
        <v>2349</v>
      </c>
      <c r="G136" s="19">
        <v>2.35</v>
      </c>
      <c r="H136" s="19">
        <f t="shared" si="43"/>
        <v>5520.1500000000005</v>
      </c>
      <c r="I136" s="19">
        <f t="shared" si="44"/>
        <v>5520.1500000000005</v>
      </c>
      <c r="J136" s="18">
        <f t="shared" si="45"/>
        <v>49681.350000000006</v>
      </c>
    </row>
    <row r="137" spans="1:10">
      <c r="B137" s="81">
        <v>45715</v>
      </c>
      <c r="C137" s="18" t="s">
        <v>108</v>
      </c>
      <c r="D137" s="19">
        <v>1</v>
      </c>
      <c r="E137" s="19">
        <v>2349</v>
      </c>
      <c r="F137" s="19">
        <f t="shared" si="42"/>
        <v>2349</v>
      </c>
      <c r="G137" s="19">
        <v>2.35</v>
      </c>
      <c r="H137" s="19">
        <f t="shared" si="43"/>
        <v>5520.1500000000005</v>
      </c>
      <c r="I137" s="19">
        <f t="shared" si="44"/>
        <v>5520.1500000000005</v>
      </c>
      <c r="J137" s="18">
        <f t="shared" si="45"/>
        <v>55201.500000000007</v>
      </c>
    </row>
    <row r="138" spans="1:10">
      <c r="B138" s="81">
        <v>45715</v>
      </c>
      <c r="C138" s="18" t="s">
        <v>108</v>
      </c>
      <c r="D138" s="19">
        <v>1</v>
      </c>
      <c r="E138" s="19">
        <v>2349</v>
      </c>
      <c r="F138" s="19">
        <f t="shared" si="42"/>
        <v>2349</v>
      </c>
      <c r="G138" s="19">
        <v>2.35</v>
      </c>
      <c r="H138" s="19">
        <f t="shared" si="43"/>
        <v>5520.1500000000005</v>
      </c>
      <c r="I138" s="19">
        <f t="shared" si="44"/>
        <v>5520.1500000000005</v>
      </c>
      <c r="J138" s="18">
        <f t="shared" si="45"/>
        <v>60721.650000000009</v>
      </c>
    </row>
    <row r="139" spans="1:10">
      <c r="B139" s="81">
        <v>45715</v>
      </c>
      <c r="C139" s="18" t="s">
        <v>108</v>
      </c>
      <c r="D139" s="19">
        <v>1</v>
      </c>
      <c r="E139" s="19">
        <v>2349</v>
      </c>
      <c r="F139" s="19">
        <f t="shared" si="42"/>
        <v>2349</v>
      </c>
      <c r="G139" s="19">
        <v>2.35</v>
      </c>
      <c r="H139" s="19">
        <f t="shared" si="43"/>
        <v>5520.1500000000005</v>
      </c>
      <c r="I139" s="19">
        <f t="shared" si="44"/>
        <v>5520.1500000000005</v>
      </c>
      <c r="J139" s="18">
        <f t="shared" si="45"/>
        <v>66241.8</v>
      </c>
    </row>
    <row r="140" spans="1:10">
      <c r="B140" s="81">
        <v>45715</v>
      </c>
      <c r="C140" s="18" t="s">
        <v>127</v>
      </c>
      <c r="D140" s="19">
        <v>1</v>
      </c>
      <c r="E140" s="19">
        <v>2349</v>
      </c>
      <c r="F140" s="19">
        <f t="shared" si="42"/>
        <v>2349</v>
      </c>
      <c r="G140" s="19">
        <v>2.35</v>
      </c>
      <c r="H140" s="19">
        <f t="shared" si="43"/>
        <v>5520.1500000000005</v>
      </c>
      <c r="I140" s="19">
        <f t="shared" si="44"/>
        <v>5520.1500000000005</v>
      </c>
      <c r="J140" s="18">
        <f t="shared" si="45"/>
        <v>71761.95</v>
      </c>
    </row>
    <row r="141" spans="1:10">
      <c r="B141" s="107"/>
    </row>
    <row r="144" spans="1:10" ht="21">
      <c r="A144" t="s">
        <v>125</v>
      </c>
      <c r="B144" s="1520" t="s">
        <v>140</v>
      </c>
      <c r="C144" s="1520"/>
      <c r="D144" s="1520"/>
      <c r="E144" s="1520"/>
      <c r="F144" s="1520"/>
      <c r="G144" s="1520"/>
      <c r="H144" s="1520"/>
      <c r="I144" s="1520"/>
      <c r="J144" s="1520"/>
    </row>
    <row r="145" spans="1:10" ht="18.75">
      <c r="B145" s="4" t="s">
        <v>1</v>
      </c>
      <c r="C145" s="4" t="s">
        <v>2</v>
      </c>
      <c r="D145" s="4" t="s">
        <v>3</v>
      </c>
      <c r="E145" s="4" t="s">
        <v>132</v>
      </c>
      <c r="F145" s="4" t="s">
        <v>133</v>
      </c>
      <c r="G145" s="4" t="s">
        <v>5</v>
      </c>
      <c r="H145" s="4" t="s">
        <v>6</v>
      </c>
      <c r="I145" s="4" t="s">
        <v>7</v>
      </c>
      <c r="J145" s="4"/>
    </row>
    <row r="146" spans="1:10">
      <c r="B146" s="81">
        <v>45719</v>
      </c>
      <c r="C146" s="18" t="s">
        <v>165</v>
      </c>
      <c r="D146" s="19">
        <v>13</v>
      </c>
      <c r="E146" s="19">
        <v>425</v>
      </c>
      <c r="F146" s="19">
        <f t="shared" ref="F146:F154" si="46">E146*D146</f>
        <v>5525</v>
      </c>
      <c r="G146" s="19">
        <v>3.63</v>
      </c>
      <c r="H146" s="19">
        <f t="shared" ref="H146:H154" si="47">E146*G146</f>
        <v>1542.75</v>
      </c>
      <c r="I146" s="19">
        <f t="shared" ref="I146:I154" si="48">H146*D146</f>
        <v>20055.75</v>
      </c>
      <c r="J146" s="18">
        <f>J145+I146</f>
        <v>20055.75</v>
      </c>
    </row>
    <row r="147" spans="1:10">
      <c r="B147" s="81">
        <v>45719</v>
      </c>
      <c r="C147" s="18" t="s">
        <v>134</v>
      </c>
      <c r="D147" s="19">
        <v>17</v>
      </c>
      <c r="E147" s="19">
        <v>762</v>
      </c>
      <c r="F147" s="19">
        <f t="shared" si="46"/>
        <v>12954</v>
      </c>
      <c r="G147" s="19">
        <v>3.63</v>
      </c>
      <c r="H147" s="19">
        <f t="shared" si="47"/>
        <v>2766.06</v>
      </c>
      <c r="I147" s="19">
        <f t="shared" si="48"/>
        <v>47023.02</v>
      </c>
      <c r="J147" s="18">
        <f t="shared" ref="J147:J154" si="49">J146+I147</f>
        <v>67078.76999999999</v>
      </c>
    </row>
    <row r="148" spans="1:10">
      <c r="B148" s="81">
        <v>45719</v>
      </c>
      <c r="C148" s="18" t="s">
        <v>135</v>
      </c>
      <c r="D148" s="19">
        <v>4</v>
      </c>
      <c r="E148" s="19">
        <v>1000</v>
      </c>
      <c r="F148" s="19">
        <f t="shared" si="46"/>
        <v>4000</v>
      </c>
      <c r="G148" s="19">
        <v>3.63</v>
      </c>
      <c r="H148" s="19">
        <f t="shared" si="47"/>
        <v>3630</v>
      </c>
      <c r="I148" s="19">
        <f t="shared" si="48"/>
        <v>14520</v>
      </c>
      <c r="J148" s="18">
        <f t="shared" si="49"/>
        <v>81598.76999999999</v>
      </c>
    </row>
    <row r="149" spans="1:10">
      <c r="B149" s="81">
        <v>45719</v>
      </c>
      <c r="C149" s="18" t="s">
        <v>136</v>
      </c>
      <c r="D149" s="19">
        <v>4</v>
      </c>
      <c r="E149" s="19">
        <v>130</v>
      </c>
      <c r="F149" s="19">
        <f t="shared" si="46"/>
        <v>520</v>
      </c>
      <c r="G149" s="19">
        <v>3.63</v>
      </c>
      <c r="H149" s="19">
        <f t="shared" si="47"/>
        <v>471.9</v>
      </c>
      <c r="I149" s="19">
        <f t="shared" si="48"/>
        <v>1887.6</v>
      </c>
      <c r="J149" s="18">
        <f t="shared" si="49"/>
        <v>83486.37</v>
      </c>
    </row>
    <row r="150" spans="1:10">
      <c r="B150" s="81">
        <v>45719</v>
      </c>
      <c r="C150" s="18" t="s">
        <v>137</v>
      </c>
      <c r="D150" s="19">
        <v>14</v>
      </c>
      <c r="E150" s="19">
        <v>810</v>
      </c>
      <c r="F150" s="19">
        <f t="shared" si="46"/>
        <v>11340</v>
      </c>
      <c r="G150" s="19">
        <v>3.63</v>
      </c>
      <c r="H150" s="19">
        <f t="shared" si="47"/>
        <v>2940.2999999999997</v>
      </c>
      <c r="I150" s="19">
        <f t="shared" si="48"/>
        <v>41164.199999999997</v>
      </c>
      <c r="J150" s="18">
        <f t="shared" si="49"/>
        <v>124650.56999999999</v>
      </c>
    </row>
    <row r="151" spans="1:10">
      <c r="B151" s="81">
        <v>45719</v>
      </c>
      <c r="C151" s="80" t="s">
        <v>138</v>
      </c>
      <c r="D151" s="19">
        <v>2</v>
      </c>
      <c r="E151" s="19">
        <v>650</v>
      </c>
      <c r="F151" s="19">
        <f t="shared" si="46"/>
        <v>1300</v>
      </c>
      <c r="G151" s="19">
        <v>3.63</v>
      </c>
      <c r="H151" s="19">
        <f t="shared" si="47"/>
        <v>2359.5</v>
      </c>
      <c r="I151" s="19">
        <f t="shared" si="48"/>
        <v>4719</v>
      </c>
      <c r="J151" s="18">
        <f t="shared" si="49"/>
        <v>129369.56999999999</v>
      </c>
    </row>
    <row r="152" spans="1:10">
      <c r="B152" s="81">
        <v>45719</v>
      </c>
      <c r="C152" s="80" t="s">
        <v>139</v>
      </c>
      <c r="D152" s="19">
        <v>1</v>
      </c>
      <c r="E152" s="19">
        <v>750</v>
      </c>
      <c r="F152" s="19">
        <f t="shared" si="46"/>
        <v>750</v>
      </c>
      <c r="G152" s="19">
        <v>3.63</v>
      </c>
      <c r="H152" s="19">
        <f t="shared" si="47"/>
        <v>2722.5</v>
      </c>
      <c r="I152" s="19">
        <f t="shared" si="48"/>
        <v>2722.5</v>
      </c>
      <c r="J152" s="18">
        <f t="shared" si="49"/>
        <v>132092.07</v>
      </c>
    </row>
    <row r="153" spans="1:10">
      <c r="B153" s="81">
        <v>45719</v>
      </c>
      <c r="C153" s="18" t="s">
        <v>173</v>
      </c>
      <c r="D153" s="19">
        <v>3</v>
      </c>
      <c r="E153" s="19">
        <v>747</v>
      </c>
      <c r="F153" s="19">
        <f t="shared" si="46"/>
        <v>2241</v>
      </c>
      <c r="G153" s="19">
        <v>3.63</v>
      </c>
      <c r="H153" s="19">
        <f t="shared" si="47"/>
        <v>2711.61</v>
      </c>
      <c r="I153" s="19">
        <f t="shared" si="48"/>
        <v>8134.83</v>
      </c>
      <c r="J153" s="18">
        <f t="shared" si="49"/>
        <v>140226.9</v>
      </c>
    </row>
    <row r="154" spans="1:10">
      <c r="B154" s="19"/>
      <c r="C154" s="19"/>
      <c r="D154" s="19"/>
      <c r="E154" s="19"/>
      <c r="F154" s="19">
        <f t="shared" si="46"/>
        <v>0</v>
      </c>
      <c r="G154" s="19"/>
      <c r="H154" s="19">
        <f t="shared" si="47"/>
        <v>0</v>
      </c>
      <c r="I154" s="19">
        <f t="shared" si="48"/>
        <v>0</v>
      </c>
      <c r="J154" s="18">
        <f t="shared" si="49"/>
        <v>140226.9</v>
      </c>
    </row>
    <row r="157" spans="1:10" ht="21">
      <c r="B157" s="1520" t="s">
        <v>35</v>
      </c>
      <c r="C157" s="1520"/>
      <c r="D157" s="1520"/>
      <c r="E157" s="1520"/>
      <c r="F157" s="1520"/>
      <c r="G157" s="1520"/>
      <c r="H157" s="1520"/>
      <c r="I157" s="1520"/>
      <c r="J157" s="1520"/>
    </row>
    <row r="158" spans="1:10" ht="18.75">
      <c r="A158" t="s">
        <v>125</v>
      </c>
      <c r="B158" s="4" t="s">
        <v>1</v>
      </c>
      <c r="C158" s="4" t="s">
        <v>2</v>
      </c>
      <c r="D158" s="4" t="s">
        <v>3</v>
      </c>
      <c r="E158" s="4" t="s">
        <v>146</v>
      </c>
      <c r="F158" s="4" t="s">
        <v>145</v>
      </c>
      <c r="G158" s="4" t="s">
        <v>5</v>
      </c>
      <c r="H158" s="4" t="s">
        <v>6</v>
      </c>
      <c r="I158" s="4" t="s">
        <v>7</v>
      </c>
      <c r="J158" s="4"/>
    </row>
    <row r="159" spans="1:10">
      <c r="A159" t="s">
        <v>26</v>
      </c>
      <c r="B159" s="81">
        <v>45727</v>
      </c>
      <c r="C159" s="80" t="s">
        <v>147</v>
      </c>
      <c r="D159" s="19">
        <v>153</v>
      </c>
      <c r="E159" s="19">
        <f xml:space="preserve"> 520</f>
        <v>520</v>
      </c>
      <c r="F159" s="19">
        <f>E159*D159</f>
        <v>79560</v>
      </c>
      <c r="G159" s="19">
        <v>2.14</v>
      </c>
      <c r="H159" s="19">
        <f>E159*G159</f>
        <v>1112.8</v>
      </c>
      <c r="I159" s="19">
        <f>H159*D159</f>
        <v>170258.4</v>
      </c>
      <c r="J159" s="18">
        <f>J158+I159</f>
        <v>170258.4</v>
      </c>
    </row>
    <row r="160" spans="1:10">
      <c r="B160" s="81">
        <v>45727</v>
      </c>
      <c r="C160" s="80" t="s">
        <v>148</v>
      </c>
      <c r="D160" s="19">
        <v>250</v>
      </c>
      <c r="E160" s="19">
        <f>149</f>
        <v>149</v>
      </c>
      <c r="F160" s="19">
        <f>E160*D160</f>
        <v>37250</v>
      </c>
      <c r="G160" s="19">
        <v>2.14</v>
      </c>
      <c r="H160" s="19">
        <f>E160*G160</f>
        <v>318.86</v>
      </c>
      <c r="I160" s="19">
        <f>H160*D160</f>
        <v>79715</v>
      </c>
      <c r="J160" s="18">
        <f>J159+I160</f>
        <v>249973.4</v>
      </c>
    </row>
    <row r="161" spans="1:10">
      <c r="B161" s="81">
        <v>45727</v>
      </c>
      <c r="C161" s="80" t="s">
        <v>149</v>
      </c>
      <c r="D161" s="19">
        <v>1</v>
      </c>
      <c r="E161" s="19">
        <v>178</v>
      </c>
      <c r="F161" s="19">
        <f>E161*D161</f>
        <v>178</v>
      </c>
      <c r="G161" s="19">
        <v>2.14</v>
      </c>
      <c r="H161" s="19">
        <f>E161*G161</f>
        <v>380.92</v>
      </c>
      <c r="I161" s="19">
        <f>H161*D161</f>
        <v>380.92</v>
      </c>
      <c r="J161" s="18">
        <f>J160+I161</f>
        <v>250354.32</v>
      </c>
    </row>
    <row r="162" spans="1:10">
      <c r="J162"/>
    </row>
    <row r="163" spans="1:10">
      <c r="J163"/>
    </row>
    <row r="164" spans="1:10">
      <c r="J164"/>
    </row>
    <row r="165" spans="1:10" ht="21">
      <c r="A165" t="s">
        <v>125</v>
      </c>
      <c r="B165" s="1520" t="s">
        <v>152</v>
      </c>
      <c r="C165" s="1520"/>
      <c r="D165" s="1520"/>
      <c r="E165" s="1520"/>
      <c r="F165" s="1520"/>
      <c r="G165" s="1520"/>
      <c r="H165" s="1520"/>
      <c r="I165" s="1520"/>
      <c r="J165" s="1520"/>
    </row>
    <row r="166" spans="1:10" ht="18.75">
      <c r="B166" s="4" t="s">
        <v>1</v>
      </c>
      <c r="C166" s="4" t="s">
        <v>2</v>
      </c>
      <c r="D166" s="4" t="s">
        <v>3</v>
      </c>
      <c r="E166" s="4" t="s">
        <v>132</v>
      </c>
      <c r="F166" s="4" t="s">
        <v>133</v>
      </c>
      <c r="G166" s="4" t="s">
        <v>5</v>
      </c>
      <c r="H166" s="4" t="s">
        <v>6</v>
      </c>
      <c r="I166" s="4" t="s">
        <v>7</v>
      </c>
      <c r="J166" s="4"/>
    </row>
    <row r="167" spans="1:10">
      <c r="B167" s="81">
        <v>45728</v>
      </c>
      <c r="C167" s="18" t="s">
        <v>156</v>
      </c>
      <c r="D167" s="19">
        <v>1</v>
      </c>
      <c r="E167" s="19">
        <v>630</v>
      </c>
      <c r="F167" s="19">
        <f>E167*D167</f>
        <v>630</v>
      </c>
      <c r="G167" s="19">
        <v>3.63</v>
      </c>
      <c r="H167" s="19">
        <f>E167*G167</f>
        <v>2286.9</v>
      </c>
      <c r="I167" s="19">
        <f>H167*D167</f>
        <v>2286.9</v>
      </c>
      <c r="J167" s="18">
        <f>J166+I167</f>
        <v>2286.9</v>
      </c>
    </row>
    <row r="168" spans="1:10">
      <c r="B168" s="81">
        <v>45728</v>
      </c>
      <c r="C168" s="18" t="s">
        <v>157</v>
      </c>
      <c r="D168" s="19">
        <v>1</v>
      </c>
      <c r="E168" s="19">
        <v>630</v>
      </c>
      <c r="F168" s="19">
        <f t="shared" ref="F168:F179" si="50">E168*D168</f>
        <v>630</v>
      </c>
      <c r="G168" s="19">
        <v>3.63</v>
      </c>
      <c r="H168" s="19">
        <f t="shared" ref="H168:H175" si="51">E168*G168</f>
        <v>2286.9</v>
      </c>
      <c r="I168" s="19">
        <f t="shared" ref="I168:I175" si="52">H168*D168</f>
        <v>2286.9</v>
      </c>
      <c r="J168" s="18">
        <f t="shared" ref="J168:J175" si="53">J167+I168</f>
        <v>4573.8</v>
      </c>
    </row>
    <row r="169" spans="1:10">
      <c r="B169" s="81">
        <v>45728</v>
      </c>
      <c r="C169" s="18" t="s">
        <v>158</v>
      </c>
      <c r="D169" s="19">
        <v>1</v>
      </c>
      <c r="E169" s="19">
        <v>550</v>
      </c>
      <c r="F169" s="19">
        <f t="shared" si="50"/>
        <v>550</v>
      </c>
      <c r="G169" s="19">
        <v>3.63</v>
      </c>
      <c r="H169" s="19">
        <f t="shared" si="51"/>
        <v>1996.5</v>
      </c>
      <c r="I169" s="19">
        <f t="shared" si="52"/>
        <v>1996.5</v>
      </c>
      <c r="J169" s="18">
        <f t="shared" si="53"/>
        <v>6570.3</v>
      </c>
    </row>
    <row r="170" spans="1:10">
      <c r="B170" s="81">
        <v>45728</v>
      </c>
      <c r="C170" s="18" t="s">
        <v>153</v>
      </c>
      <c r="D170" s="19">
        <v>2</v>
      </c>
      <c r="E170" s="19">
        <v>420</v>
      </c>
      <c r="F170" s="19">
        <f t="shared" si="50"/>
        <v>840</v>
      </c>
      <c r="G170" s="19">
        <v>3.63</v>
      </c>
      <c r="H170" s="19">
        <f t="shared" si="51"/>
        <v>1524.6</v>
      </c>
      <c r="I170" s="19">
        <f t="shared" si="52"/>
        <v>3049.2</v>
      </c>
      <c r="J170" s="18">
        <f t="shared" si="53"/>
        <v>9619.5</v>
      </c>
    </row>
    <row r="171" spans="1:10">
      <c r="B171" s="81">
        <v>45728</v>
      </c>
      <c r="C171" s="18" t="s">
        <v>452</v>
      </c>
      <c r="D171" s="19">
        <v>12</v>
      </c>
      <c r="E171" s="19">
        <v>45</v>
      </c>
      <c r="F171" s="19">
        <f t="shared" si="50"/>
        <v>540</v>
      </c>
      <c r="G171" s="19">
        <v>3.63</v>
      </c>
      <c r="H171" s="19">
        <f t="shared" si="51"/>
        <v>163.35</v>
      </c>
      <c r="I171" s="19">
        <f t="shared" si="52"/>
        <v>1960.1999999999998</v>
      </c>
      <c r="J171" s="18">
        <f t="shared" si="53"/>
        <v>11579.7</v>
      </c>
    </row>
    <row r="172" spans="1:10">
      <c r="B172" s="81">
        <v>45728</v>
      </c>
      <c r="C172" s="80" t="s">
        <v>155</v>
      </c>
      <c r="D172" s="19">
        <v>17</v>
      </c>
      <c r="E172" s="19">
        <v>78</v>
      </c>
      <c r="F172" s="19">
        <f t="shared" si="50"/>
        <v>1326</v>
      </c>
      <c r="G172" s="19">
        <v>3.63</v>
      </c>
      <c r="H172" s="19">
        <f t="shared" si="51"/>
        <v>283.14</v>
      </c>
      <c r="I172" s="19">
        <f t="shared" si="52"/>
        <v>4813.38</v>
      </c>
      <c r="J172" s="18">
        <f t="shared" si="53"/>
        <v>16393.080000000002</v>
      </c>
    </row>
    <row r="173" spans="1:10">
      <c r="B173" s="81">
        <v>45728</v>
      </c>
      <c r="C173" s="80" t="s">
        <v>159</v>
      </c>
      <c r="D173" s="19">
        <v>7</v>
      </c>
      <c r="E173" s="19">
        <v>48</v>
      </c>
      <c r="F173" s="19">
        <f t="shared" si="50"/>
        <v>336</v>
      </c>
      <c r="G173" s="19">
        <v>3.63</v>
      </c>
      <c r="H173" s="19">
        <f t="shared" si="51"/>
        <v>174.24</v>
      </c>
      <c r="I173" s="19">
        <f t="shared" si="52"/>
        <v>1219.68</v>
      </c>
      <c r="J173" s="18">
        <f t="shared" si="53"/>
        <v>17612.760000000002</v>
      </c>
    </row>
    <row r="174" spans="1:10">
      <c r="B174" s="19"/>
      <c r="C174" s="19"/>
      <c r="D174" s="19"/>
      <c r="E174" s="19"/>
      <c r="F174" s="19">
        <f t="shared" si="50"/>
        <v>0</v>
      </c>
      <c r="G174" s="19"/>
      <c r="H174" s="19">
        <f t="shared" si="51"/>
        <v>0</v>
      </c>
      <c r="I174" s="19">
        <f t="shared" si="52"/>
        <v>0</v>
      </c>
      <c r="J174" s="18">
        <f t="shared" si="53"/>
        <v>17612.760000000002</v>
      </c>
    </row>
    <row r="175" spans="1:10">
      <c r="B175" s="81">
        <v>45728</v>
      </c>
      <c r="C175" s="80" t="s">
        <v>160</v>
      </c>
      <c r="D175" s="19">
        <v>1</v>
      </c>
      <c r="E175" s="19">
        <v>400</v>
      </c>
      <c r="F175" s="19">
        <f t="shared" si="50"/>
        <v>400</v>
      </c>
      <c r="G175" s="19">
        <v>3.63</v>
      </c>
      <c r="H175" s="19">
        <f t="shared" si="51"/>
        <v>1452</v>
      </c>
      <c r="I175" s="19">
        <f t="shared" si="52"/>
        <v>1452</v>
      </c>
      <c r="J175" s="18">
        <f t="shared" si="53"/>
        <v>19064.760000000002</v>
      </c>
    </row>
    <row r="176" spans="1:10">
      <c r="B176" s="81">
        <v>45728</v>
      </c>
      <c r="C176" s="80" t="s">
        <v>161</v>
      </c>
      <c r="D176" s="19">
        <v>1</v>
      </c>
      <c r="E176" s="19">
        <v>295</v>
      </c>
      <c r="F176" s="19">
        <f t="shared" si="50"/>
        <v>295</v>
      </c>
      <c r="G176" s="19">
        <v>3.63</v>
      </c>
      <c r="H176" s="19">
        <f>E176*G176</f>
        <v>1070.8499999999999</v>
      </c>
      <c r="I176" s="19">
        <f>H176*D176</f>
        <v>1070.8499999999999</v>
      </c>
      <c r="J176" s="18">
        <f>J175+I176</f>
        <v>20135.61</v>
      </c>
    </row>
    <row r="177" spans="1:10">
      <c r="B177" s="81">
        <v>45728</v>
      </c>
      <c r="C177" s="80" t="s">
        <v>162</v>
      </c>
      <c r="D177" s="19">
        <v>1</v>
      </c>
      <c r="E177" s="19">
        <v>635</v>
      </c>
      <c r="F177" s="19">
        <f t="shared" si="50"/>
        <v>635</v>
      </c>
      <c r="G177" s="19">
        <v>3.63</v>
      </c>
      <c r="H177" s="19">
        <f>E177*G177</f>
        <v>2305.0499999999997</v>
      </c>
      <c r="I177" s="19">
        <f>H177*D177</f>
        <v>2305.0499999999997</v>
      </c>
      <c r="J177" s="18">
        <f>J176+I177</f>
        <v>22440.66</v>
      </c>
    </row>
    <row r="178" spans="1:10">
      <c r="B178" s="81">
        <v>45728</v>
      </c>
      <c r="C178" s="80" t="s">
        <v>163</v>
      </c>
      <c r="D178" s="19">
        <v>1</v>
      </c>
      <c r="E178" s="19">
        <v>400</v>
      </c>
      <c r="F178" s="19">
        <f t="shared" si="50"/>
        <v>400</v>
      </c>
      <c r="G178" s="19">
        <v>3.63</v>
      </c>
      <c r="H178" s="19">
        <f>E178*G178</f>
        <v>1452</v>
      </c>
      <c r="I178" s="19">
        <f>H178*D178</f>
        <v>1452</v>
      </c>
      <c r="J178" s="18">
        <f>J177+I178</f>
        <v>23892.66</v>
      </c>
    </row>
    <row r="179" spans="1:10">
      <c r="B179" s="81">
        <v>45728</v>
      </c>
      <c r="C179" s="80" t="s">
        <v>164</v>
      </c>
      <c r="D179" s="19">
        <v>1</v>
      </c>
      <c r="E179" s="19">
        <v>320</v>
      </c>
      <c r="F179" s="19">
        <f t="shared" si="50"/>
        <v>320</v>
      </c>
      <c r="G179" s="19">
        <v>3.63</v>
      </c>
      <c r="H179" s="19">
        <f>E179*G179</f>
        <v>1161.5999999999999</v>
      </c>
      <c r="I179" s="19">
        <f>H179*D179</f>
        <v>1161.5999999999999</v>
      </c>
      <c r="J179" s="18">
        <f>J178+I179</f>
        <v>25054.26</v>
      </c>
    </row>
    <row r="180" spans="1:10">
      <c r="C180" s="100"/>
    </row>
    <row r="184" spans="1:10" ht="21">
      <c r="A184" t="s">
        <v>125</v>
      </c>
      <c r="B184" s="1520" t="s">
        <v>20</v>
      </c>
      <c r="C184" s="1520"/>
      <c r="D184" s="1520"/>
      <c r="E184" s="1520"/>
      <c r="F184" s="1520"/>
      <c r="G184" s="1520"/>
      <c r="H184" s="1520"/>
      <c r="I184" s="1520"/>
      <c r="J184" s="1520"/>
    </row>
    <row r="185" spans="1:10" ht="18.75">
      <c r="A185" t="s">
        <v>212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36</v>
      </c>
      <c r="G185" s="4" t="s">
        <v>5</v>
      </c>
      <c r="H185" s="4" t="s">
        <v>6</v>
      </c>
      <c r="I185" s="4" t="s">
        <v>7</v>
      </c>
      <c r="J185" s="4"/>
    </row>
    <row r="186" spans="1:10">
      <c r="B186" s="395">
        <v>45718</v>
      </c>
      <c r="C186" s="114" t="s">
        <v>209</v>
      </c>
      <c r="D186" s="115">
        <v>1</v>
      </c>
      <c r="E186" s="115">
        <v>2349</v>
      </c>
      <c r="F186" s="115">
        <f>E186*D186</f>
        <v>2349</v>
      </c>
      <c r="G186" s="115">
        <v>2.35</v>
      </c>
      <c r="H186" s="115">
        <f>E186*G186</f>
        <v>5520.1500000000005</v>
      </c>
      <c r="I186" s="115">
        <f>H186*D186</f>
        <v>5520.1500000000005</v>
      </c>
      <c r="J186" s="114">
        <f>J185+I186</f>
        <v>5520.1500000000005</v>
      </c>
    </row>
    <row r="187" spans="1:10">
      <c r="B187" s="395">
        <v>45718</v>
      </c>
      <c r="C187" s="114" t="s">
        <v>209</v>
      </c>
      <c r="D187" s="115">
        <v>1</v>
      </c>
      <c r="E187" s="115">
        <v>2364</v>
      </c>
      <c r="F187" s="115">
        <f t="shared" ref="F187:F192" si="54">E187*D187</f>
        <v>2364</v>
      </c>
      <c r="G187" s="115">
        <v>2.35</v>
      </c>
      <c r="H187" s="115">
        <f t="shared" ref="H187:H192" si="55">E187*G187</f>
        <v>5555.4000000000005</v>
      </c>
      <c r="I187" s="115">
        <f t="shared" ref="I187:I192" si="56">H187*D187</f>
        <v>5555.4000000000005</v>
      </c>
      <c r="J187" s="114">
        <f t="shared" ref="J187:J194" si="57">J186+I187</f>
        <v>11075.550000000001</v>
      </c>
    </row>
    <row r="188" spans="1:10">
      <c r="B188" s="395">
        <v>45719</v>
      </c>
      <c r="C188" s="114" t="s">
        <v>209</v>
      </c>
      <c r="D188" s="115">
        <v>1</v>
      </c>
      <c r="E188" s="115">
        <v>2349</v>
      </c>
      <c r="F188" s="115">
        <f t="shared" si="54"/>
        <v>2349</v>
      </c>
      <c r="G188" s="115">
        <v>2.35</v>
      </c>
      <c r="H188" s="115">
        <f t="shared" si="55"/>
        <v>5520.1500000000005</v>
      </c>
      <c r="I188" s="115">
        <f t="shared" si="56"/>
        <v>5520.1500000000005</v>
      </c>
      <c r="J188" s="114">
        <f t="shared" si="57"/>
        <v>16595.7</v>
      </c>
    </row>
    <row r="189" spans="1:10">
      <c r="B189" s="395">
        <v>45719</v>
      </c>
      <c r="C189" s="114" t="s">
        <v>209</v>
      </c>
      <c r="D189" s="115">
        <v>1</v>
      </c>
      <c r="E189" s="115">
        <v>2364</v>
      </c>
      <c r="F189" s="115">
        <f t="shared" si="54"/>
        <v>2364</v>
      </c>
      <c r="G189" s="115">
        <v>2.35</v>
      </c>
      <c r="H189" s="115">
        <f t="shared" si="55"/>
        <v>5555.4000000000005</v>
      </c>
      <c r="I189" s="115">
        <f t="shared" si="56"/>
        <v>5555.4000000000005</v>
      </c>
      <c r="J189" s="114">
        <f t="shared" si="57"/>
        <v>22151.100000000002</v>
      </c>
    </row>
    <row r="190" spans="1:10">
      <c r="B190" s="395">
        <v>45720</v>
      </c>
      <c r="C190" s="114" t="s">
        <v>209</v>
      </c>
      <c r="D190" s="115">
        <v>2</v>
      </c>
      <c r="E190" s="115">
        <v>2349</v>
      </c>
      <c r="F190" s="115">
        <f t="shared" si="54"/>
        <v>4698</v>
      </c>
      <c r="G190" s="115">
        <v>2.35</v>
      </c>
      <c r="H190" s="115">
        <f t="shared" si="55"/>
        <v>5520.1500000000005</v>
      </c>
      <c r="I190" s="115">
        <f t="shared" si="56"/>
        <v>11040.300000000001</v>
      </c>
      <c r="J190" s="114">
        <f t="shared" si="57"/>
        <v>33191.4</v>
      </c>
    </row>
    <row r="191" spans="1:10">
      <c r="B191" s="395">
        <v>45720</v>
      </c>
      <c r="C191" s="114" t="s">
        <v>209</v>
      </c>
      <c r="D191" s="115">
        <v>1</v>
      </c>
      <c r="E191" s="115">
        <v>2364</v>
      </c>
      <c r="F191" s="115">
        <f t="shared" si="54"/>
        <v>2364</v>
      </c>
      <c r="G191" s="115">
        <v>2.35</v>
      </c>
      <c r="H191" s="115">
        <f t="shared" si="55"/>
        <v>5555.4000000000005</v>
      </c>
      <c r="I191" s="115">
        <f t="shared" si="56"/>
        <v>5555.4000000000005</v>
      </c>
      <c r="J191" s="114">
        <f t="shared" si="57"/>
        <v>38746.800000000003</v>
      </c>
    </row>
    <row r="192" spans="1:10">
      <c r="B192" s="395"/>
      <c r="C192" s="114"/>
      <c r="D192" s="115"/>
      <c r="E192" s="115"/>
      <c r="F192" s="115">
        <f t="shared" si="54"/>
        <v>0</v>
      </c>
      <c r="G192" s="115">
        <v>2.35</v>
      </c>
      <c r="H192" s="115">
        <f t="shared" si="55"/>
        <v>0</v>
      </c>
      <c r="I192" s="115">
        <f t="shared" si="56"/>
        <v>0</v>
      </c>
      <c r="J192" s="114">
        <f>J191+I192</f>
        <v>38746.800000000003</v>
      </c>
    </row>
    <row r="193" spans="2:10">
      <c r="B193" s="395">
        <v>45720</v>
      </c>
      <c r="C193" s="114" t="s">
        <v>210</v>
      </c>
      <c r="D193" s="115">
        <v>5</v>
      </c>
      <c r="E193" s="115">
        <v>2349</v>
      </c>
      <c r="F193" s="115">
        <f>E193*D193</f>
        <v>11745</v>
      </c>
      <c r="G193" s="115">
        <v>2.35</v>
      </c>
      <c r="H193" s="115">
        <f>E193*G193</f>
        <v>5520.1500000000005</v>
      </c>
      <c r="I193" s="115">
        <f>H193*D193</f>
        <v>27600.750000000004</v>
      </c>
      <c r="J193" s="114">
        <f t="shared" si="57"/>
        <v>66347.55</v>
      </c>
    </row>
    <row r="194" spans="2:10">
      <c r="B194" s="395"/>
      <c r="C194" s="114"/>
      <c r="D194" s="115"/>
      <c r="E194" s="115"/>
      <c r="F194" s="115">
        <f>E194*D194</f>
        <v>0</v>
      </c>
      <c r="G194" s="115">
        <v>2.35</v>
      </c>
      <c r="H194" s="115">
        <f>E194*G194</f>
        <v>0</v>
      </c>
      <c r="I194" s="115">
        <f>H194*D194</f>
        <v>0</v>
      </c>
      <c r="J194" s="114">
        <f t="shared" si="57"/>
        <v>66347.55</v>
      </c>
    </row>
    <row r="195" spans="2:10">
      <c r="B195" s="395"/>
      <c r="C195" s="114"/>
      <c r="D195" s="115"/>
      <c r="E195" s="115"/>
      <c r="F195" s="115">
        <f>E195*D195</f>
        <v>0</v>
      </c>
      <c r="G195" s="115">
        <v>2.35</v>
      </c>
      <c r="H195" s="115">
        <f>E195*G195</f>
        <v>0</v>
      </c>
      <c r="I195" s="115">
        <f>H195*D195</f>
        <v>0</v>
      </c>
      <c r="J195" s="114">
        <f t="shared" ref="J195:J224" si="58">J194+I195</f>
        <v>66347.55</v>
      </c>
    </row>
    <row r="196" spans="2:10">
      <c r="B196" s="395"/>
      <c r="C196" s="114"/>
      <c r="D196" s="115"/>
      <c r="E196" s="115"/>
      <c r="F196" s="115">
        <f>E196*D196</f>
        <v>0</v>
      </c>
      <c r="G196" s="115">
        <v>2.35</v>
      </c>
      <c r="H196" s="115">
        <f>E196*G196</f>
        <v>0</v>
      </c>
      <c r="I196" s="115">
        <f>H196*D196</f>
        <v>0</v>
      </c>
      <c r="J196" s="114">
        <f t="shared" si="58"/>
        <v>66347.55</v>
      </c>
    </row>
    <row r="197" spans="2:10">
      <c r="B197" s="395"/>
      <c r="C197" s="114"/>
      <c r="D197" s="115"/>
      <c r="E197" s="115"/>
      <c r="F197" s="115">
        <f>E197*D197</f>
        <v>0</v>
      </c>
      <c r="G197" s="115">
        <v>2.35</v>
      </c>
      <c r="H197" s="115">
        <f>E197*G197</f>
        <v>0</v>
      </c>
      <c r="I197" s="115">
        <f>H197*D197</f>
        <v>0</v>
      </c>
      <c r="J197" s="114">
        <f t="shared" si="58"/>
        <v>66347.55</v>
      </c>
    </row>
    <row r="198" spans="2:10" ht="18.75">
      <c r="B198" s="395">
        <v>45721</v>
      </c>
      <c r="C198" s="116" t="s">
        <v>181</v>
      </c>
      <c r="D198" s="115">
        <v>1</v>
      </c>
      <c r="E198" s="115">
        <v>2349</v>
      </c>
      <c r="F198" s="115">
        <f t="shared" ref="F198:F224" si="59">E198*D198</f>
        <v>2349</v>
      </c>
      <c r="G198" s="115">
        <v>2.35</v>
      </c>
      <c r="H198" s="115">
        <f t="shared" ref="H198:H224" si="60">E198*G198</f>
        <v>5520.1500000000005</v>
      </c>
      <c r="I198" s="115">
        <f t="shared" ref="I198:I224" si="61">H198*D198</f>
        <v>5520.1500000000005</v>
      </c>
      <c r="J198" s="114">
        <f t="shared" si="58"/>
        <v>71867.7</v>
      </c>
    </row>
    <row r="199" spans="2:10">
      <c r="B199" s="395">
        <v>45721</v>
      </c>
      <c r="C199" s="114" t="s">
        <v>209</v>
      </c>
      <c r="D199" s="115">
        <v>3</v>
      </c>
      <c r="E199" s="115">
        <v>2349</v>
      </c>
      <c r="F199" s="115">
        <f t="shared" si="59"/>
        <v>7047</v>
      </c>
      <c r="G199" s="115">
        <v>2.35</v>
      </c>
      <c r="H199" s="115">
        <f t="shared" si="60"/>
        <v>5520.1500000000005</v>
      </c>
      <c r="I199" s="115">
        <f t="shared" si="61"/>
        <v>16560.45</v>
      </c>
      <c r="J199" s="114">
        <f t="shared" si="58"/>
        <v>88428.15</v>
      </c>
    </row>
    <row r="200" spans="2:10">
      <c r="B200" s="395"/>
      <c r="C200" s="114"/>
      <c r="D200" s="115"/>
      <c r="E200" s="115"/>
      <c r="F200" s="115">
        <f>E200*D200</f>
        <v>0</v>
      </c>
      <c r="G200" s="115">
        <v>2.35</v>
      </c>
      <c r="H200" s="115">
        <f>E200*G200</f>
        <v>0</v>
      </c>
      <c r="I200" s="115">
        <f>H200*D200</f>
        <v>0</v>
      </c>
      <c r="J200" s="114">
        <f t="shared" si="58"/>
        <v>88428.15</v>
      </c>
    </row>
    <row r="201" spans="2:10">
      <c r="B201" s="395"/>
      <c r="C201" s="114"/>
      <c r="D201" s="115"/>
      <c r="E201" s="115"/>
      <c r="F201" s="115">
        <f>E201*D201</f>
        <v>0</v>
      </c>
      <c r="G201" s="115">
        <v>2.35</v>
      </c>
      <c r="H201" s="115">
        <f>E201*G201</f>
        <v>0</v>
      </c>
      <c r="I201" s="115">
        <f>H201*D201</f>
        <v>0</v>
      </c>
      <c r="J201" s="114">
        <f t="shared" si="58"/>
        <v>88428.15</v>
      </c>
    </row>
    <row r="202" spans="2:10">
      <c r="B202" s="395">
        <v>45722</v>
      </c>
      <c r="C202" s="114" t="s">
        <v>209</v>
      </c>
      <c r="D202" s="115">
        <v>3</v>
      </c>
      <c r="E202" s="115">
        <v>2364</v>
      </c>
      <c r="F202" s="115">
        <f>E202*D202</f>
        <v>7092</v>
      </c>
      <c r="G202" s="115">
        <v>2.35</v>
      </c>
      <c r="H202" s="115">
        <f>E202*G202</f>
        <v>5555.4000000000005</v>
      </c>
      <c r="I202" s="115">
        <f>H202*D202</f>
        <v>16666.2</v>
      </c>
      <c r="J202" s="114">
        <f t="shared" si="58"/>
        <v>105094.34999999999</v>
      </c>
    </row>
    <row r="203" spans="2:10">
      <c r="B203" s="395"/>
      <c r="C203" s="114"/>
      <c r="D203" s="115"/>
      <c r="E203" s="115"/>
      <c r="F203" s="115">
        <f>E203*D203</f>
        <v>0</v>
      </c>
      <c r="G203" s="115">
        <v>2.35</v>
      </c>
      <c r="H203" s="115">
        <f>E203*G203</f>
        <v>0</v>
      </c>
      <c r="I203" s="115">
        <f>H203*D203</f>
        <v>0</v>
      </c>
      <c r="J203" s="114">
        <f t="shared" si="58"/>
        <v>105094.34999999999</v>
      </c>
    </row>
    <row r="204" spans="2:10">
      <c r="B204" s="395"/>
      <c r="C204" s="114"/>
      <c r="D204" s="115"/>
      <c r="E204" s="115"/>
      <c r="F204" s="115">
        <f>E204*D204</f>
        <v>0</v>
      </c>
      <c r="G204" s="115">
        <v>2.35</v>
      </c>
      <c r="H204" s="115">
        <f>E204*G204</f>
        <v>0</v>
      </c>
      <c r="I204" s="115">
        <f>H204*D204</f>
        <v>0</v>
      </c>
      <c r="J204" s="114">
        <f t="shared" si="58"/>
        <v>105094.34999999999</v>
      </c>
    </row>
    <row r="205" spans="2:10">
      <c r="B205" s="395">
        <v>45722</v>
      </c>
      <c r="C205" s="114" t="s">
        <v>210</v>
      </c>
      <c r="D205" s="115">
        <v>1</v>
      </c>
      <c r="E205" s="115">
        <v>2349</v>
      </c>
      <c r="F205" s="115">
        <f t="shared" si="59"/>
        <v>2349</v>
      </c>
      <c r="G205" s="115">
        <v>2.35</v>
      </c>
      <c r="H205" s="115">
        <f t="shared" si="60"/>
        <v>5520.1500000000005</v>
      </c>
      <c r="I205" s="115">
        <f t="shared" si="61"/>
        <v>5520.1500000000005</v>
      </c>
      <c r="J205" s="114">
        <f t="shared" si="58"/>
        <v>110614.49999999999</v>
      </c>
    </row>
    <row r="206" spans="2:10">
      <c r="B206" s="395">
        <v>45723</v>
      </c>
      <c r="C206" s="114" t="s">
        <v>209</v>
      </c>
      <c r="D206" s="115">
        <v>2</v>
      </c>
      <c r="E206" s="115">
        <v>2364</v>
      </c>
      <c r="F206" s="115">
        <f t="shared" si="59"/>
        <v>4728</v>
      </c>
      <c r="G206" s="115">
        <v>2.35</v>
      </c>
      <c r="H206" s="115">
        <f t="shared" si="60"/>
        <v>5555.4000000000005</v>
      </c>
      <c r="I206" s="115">
        <f t="shared" si="61"/>
        <v>11110.800000000001</v>
      </c>
      <c r="J206" s="114">
        <f t="shared" si="58"/>
        <v>121725.29999999999</v>
      </c>
    </row>
    <row r="207" spans="2:10">
      <c r="B207" s="395"/>
      <c r="C207" s="114"/>
      <c r="D207" s="115"/>
      <c r="E207" s="115"/>
      <c r="F207" s="115">
        <f t="shared" si="59"/>
        <v>0</v>
      </c>
      <c r="G207" s="115">
        <v>2.35</v>
      </c>
      <c r="H207" s="115">
        <f t="shared" si="60"/>
        <v>0</v>
      </c>
      <c r="I207" s="115">
        <f t="shared" si="61"/>
        <v>0</v>
      </c>
      <c r="J207" s="114">
        <f t="shared" si="58"/>
        <v>121725.29999999999</v>
      </c>
    </row>
    <row r="208" spans="2:10" ht="18.75">
      <c r="B208" s="395">
        <v>45724</v>
      </c>
      <c r="C208" s="116" t="s">
        <v>182</v>
      </c>
      <c r="D208" s="115">
        <v>1</v>
      </c>
      <c r="E208" s="115">
        <v>2349</v>
      </c>
      <c r="F208" s="115">
        <f t="shared" si="59"/>
        <v>2349</v>
      </c>
      <c r="G208" s="115">
        <v>2.35</v>
      </c>
      <c r="H208" s="115">
        <f t="shared" si="60"/>
        <v>5520.1500000000005</v>
      </c>
      <c r="I208" s="115">
        <f t="shared" si="61"/>
        <v>5520.1500000000005</v>
      </c>
      <c r="J208" s="114">
        <f t="shared" si="58"/>
        <v>127245.44999999998</v>
      </c>
    </row>
    <row r="209" spans="2:10">
      <c r="B209" s="395">
        <v>45724</v>
      </c>
      <c r="C209" s="114" t="s">
        <v>210</v>
      </c>
      <c r="D209" s="115">
        <v>5</v>
      </c>
      <c r="E209" s="115">
        <v>2349</v>
      </c>
      <c r="F209" s="115">
        <f t="shared" si="59"/>
        <v>11745</v>
      </c>
      <c r="G209" s="115">
        <v>2.35</v>
      </c>
      <c r="H209" s="115">
        <f t="shared" si="60"/>
        <v>5520.1500000000005</v>
      </c>
      <c r="I209" s="115">
        <f t="shared" si="61"/>
        <v>27600.750000000004</v>
      </c>
      <c r="J209" s="114">
        <f t="shared" si="58"/>
        <v>154846.19999999998</v>
      </c>
    </row>
    <row r="210" spans="2:10">
      <c r="B210" s="395"/>
      <c r="C210" s="114"/>
      <c r="D210" s="115"/>
      <c r="E210" s="115"/>
      <c r="F210" s="115">
        <f t="shared" si="59"/>
        <v>0</v>
      </c>
      <c r="G210" s="115">
        <v>2.35</v>
      </c>
      <c r="H210" s="115">
        <f t="shared" si="60"/>
        <v>0</v>
      </c>
      <c r="I210" s="115">
        <f t="shared" si="61"/>
        <v>0</v>
      </c>
      <c r="J210" s="114">
        <f t="shared" si="58"/>
        <v>154846.19999999998</v>
      </c>
    </row>
    <row r="211" spans="2:10">
      <c r="B211" s="395"/>
      <c r="C211" s="114"/>
      <c r="D211" s="115"/>
      <c r="E211" s="115"/>
      <c r="F211" s="115">
        <f t="shared" si="59"/>
        <v>0</v>
      </c>
      <c r="G211" s="115">
        <v>2.35</v>
      </c>
      <c r="H211" s="115">
        <f t="shared" si="60"/>
        <v>0</v>
      </c>
      <c r="I211" s="115">
        <f t="shared" si="61"/>
        <v>0</v>
      </c>
      <c r="J211" s="114">
        <f t="shared" si="58"/>
        <v>154846.19999999998</v>
      </c>
    </row>
    <row r="212" spans="2:10">
      <c r="B212" s="395"/>
      <c r="C212" s="114"/>
      <c r="D212" s="115"/>
      <c r="E212" s="115"/>
      <c r="F212" s="115">
        <f t="shared" si="59"/>
        <v>0</v>
      </c>
      <c r="G212" s="115">
        <v>2.35</v>
      </c>
      <c r="H212" s="115">
        <f t="shared" si="60"/>
        <v>0</v>
      </c>
      <c r="I212" s="115">
        <f t="shared" si="61"/>
        <v>0</v>
      </c>
      <c r="J212" s="114">
        <f t="shared" si="58"/>
        <v>154846.19999999998</v>
      </c>
    </row>
    <row r="213" spans="2:10">
      <c r="B213" s="395"/>
      <c r="C213" s="114"/>
      <c r="D213" s="115"/>
      <c r="E213" s="115"/>
      <c r="F213" s="115">
        <f t="shared" si="59"/>
        <v>0</v>
      </c>
      <c r="G213" s="115">
        <v>2.35</v>
      </c>
      <c r="H213" s="115">
        <f t="shared" si="60"/>
        <v>0</v>
      </c>
      <c r="I213" s="115">
        <f t="shared" si="61"/>
        <v>0</v>
      </c>
      <c r="J213" s="114">
        <f t="shared" si="58"/>
        <v>154846.19999999998</v>
      </c>
    </row>
    <row r="214" spans="2:10">
      <c r="B214" s="395">
        <v>45727</v>
      </c>
      <c r="C214" s="114" t="s">
        <v>209</v>
      </c>
      <c r="D214" s="115">
        <v>2</v>
      </c>
      <c r="E214" s="115">
        <v>2349</v>
      </c>
      <c r="F214" s="115">
        <f t="shared" si="59"/>
        <v>4698</v>
      </c>
      <c r="G214" s="115">
        <v>2.35</v>
      </c>
      <c r="H214" s="115">
        <f t="shared" si="60"/>
        <v>5520.1500000000005</v>
      </c>
      <c r="I214" s="115">
        <f t="shared" si="61"/>
        <v>11040.300000000001</v>
      </c>
      <c r="J214" s="114">
        <f t="shared" si="58"/>
        <v>165886.49999999997</v>
      </c>
    </row>
    <row r="215" spans="2:10">
      <c r="B215" s="395"/>
      <c r="C215" s="114"/>
      <c r="D215" s="115"/>
      <c r="E215" s="115"/>
      <c r="F215" s="115">
        <f t="shared" si="59"/>
        <v>0</v>
      </c>
      <c r="G215" s="115">
        <v>2.35</v>
      </c>
      <c r="H215" s="115">
        <f t="shared" si="60"/>
        <v>0</v>
      </c>
      <c r="I215" s="115">
        <f t="shared" si="61"/>
        <v>0</v>
      </c>
      <c r="J215" s="114">
        <f t="shared" si="58"/>
        <v>165886.49999999997</v>
      </c>
    </row>
    <row r="216" spans="2:10">
      <c r="B216" s="395">
        <v>45727</v>
      </c>
      <c r="C216" s="114" t="s">
        <v>210</v>
      </c>
      <c r="D216" s="115">
        <v>2</v>
      </c>
      <c r="E216" s="115">
        <v>2349</v>
      </c>
      <c r="F216" s="115">
        <f t="shared" si="59"/>
        <v>4698</v>
      </c>
      <c r="G216" s="115">
        <v>2.35</v>
      </c>
      <c r="H216" s="115">
        <f t="shared" si="60"/>
        <v>5520.1500000000005</v>
      </c>
      <c r="I216" s="115">
        <f t="shared" si="61"/>
        <v>11040.300000000001</v>
      </c>
      <c r="J216" s="114">
        <f t="shared" si="58"/>
        <v>176926.79999999996</v>
      </c>
    </row>
    <row r="217" spans="2:10">
      <c r="B217" s="395"/>
      <c r="C217" s="114"/>
      <c r="D217" s="115"/>
      <c r="E217" s="115"/>
      <c r="F217" s="115">
        <f t="shared" si="59"/>
        <v>0</v>
      </c>
      <c r="G217" s="115">
        <v>2.35</v>
      </c>
      <c r="H217" s="115">
        <f t="shared" si="60"/>
        <v>0</v>
      </c>
      <c r="I217" s="115">
        <f t="shared" si="61"/>
        <v>0</v>
      </c>
      <c r="J217" s="114">
        <f t="shared" si="58"/>
        <v>176926.79999999996</v>
      </c>
    </row>
    <row r="218" spans="2:10">
      <c r="B218" s="395">
        <v>45728</v>
      </c>
      <c r="C218" s="114" t="s">
        <v>209</v>
      </c>
      <c r="D218" s="115">
        <v>2</v>
      </c>
      <c r="E218" s="115">
        <v>2349</v>
      </c>
      <c r="F218" s="115">
        <f t="shared" si="59"/>
        <v>4698</v>
      </c>
      <c r="G218" s="115">
        <v>2.35</v>
      </c>
      <c r="H218" s="115">
        <f t="shared" si="60"/>
        <v>5520.1500000000005</v>
      </c>
      <c r="I218" s="115">
        <f t="shared" si="61"/>
        <v>11040.300000000001</v>
      </c>
      <c r="J218" s="114">
        <f t="shared" si="58"/>
        <v>187967.09999999995</v>
      </c>
    </row>
    <row r="219" spans="2:10">
      <c r="B219" s="395"/>
      <c r="C219" s="114"/>
      <c r="D219" s="115"/>
      <c r="E219" s="115"/>
      <c r="F219" s="115">
        <f t="shared" si="59"/>
        <v>0</v>
      </c>
      <c r="G219" s="115">
        <v>2.35</v>
      </c>
      <c r="H219" s="115">
        <f t="shared" si="60"/>
        <v>0</v>
      </c>
      <c r="I219" s="115">
        <f t="shared" si="61"/>
        <v>0</v>
      </c>
      <c r="J219" s="114">
        <f t="shared" si="58"/>
        <v>187967.09999999995</v>
      </c>
    </row>
    <row r="220" spans="2:10">
      <c r="B220" s="395">
        <v>45729</v>
      </c>
      <c r="C220" s="114" t="s">
        <v>183</v>
      </c>
      <c r="D220" s="115">
        <v>9</v>
      </c>
      <c r="E220" s="115">
        <v>1549</v>
      </c>
      <c r="F220" s="115">
        <f t="shared" si="59"/>
        <v>13941</v>
      </c>
      <c r="G220" s="115">
        <v>2.35</v>
      </c>
      <c r="H220" s="115">
        <f t="shared" si="60"/>
        <v>3640.15</v>
      </c>
      <c r="I220" s="115">
        <f t="shared" si="61"/>
        <v>32761.350000000002</v>
      </c>
      <c r="J220" s="114">
        <f t="shared" si="58"/>
        <v>220728.44999999995</v>
      </c>
    </row>
    <row r="221" spans="2:10">
      <c r="B221" s="395"/>
      <c r="C221" s="114"/>
      <c r="D221" s="115"/>
      <c r="E221" s="115"/>
      <c r="F221" s="115">
        <f t="shared" si="59"/>
        <v>0</v>
      </c>
      <c r="G221" s="115">
        <v>2.35</v>
      </c>
      <c r="H221" s="115">
        <f t="shared" si="60"/>
        <v>0</v>
      </c>
      <c r="I221" s="115">
        <f t="shared" si="61"/>
        <v>0</v>
      </c>
      <c r="J221" s="114">
        <f t="shared" si="58"/>
        <v>220728.44999999995</v>
      </c>
    </row>
    <row r="222" spans="2:10">
      <c r="B222" s="395"/>
      <c r="C222" s="114"/>
      <c r="D222" s="115"/>
      <c r="E222" s="115"/>
      <c r="F222" s="115">
        <f t="shared" si="59"/>
        <v>0</v>
      </c>
      <c r="G222" s="115">
        <v>2.35</v>
      </c>
      <c r="H222" s="115">
        <f t="shared" si="60"/>
        <v>0</v>
      </c>
      <c r="I222" s="115">
        <f t="shared" si="61"/>
        <v>0</v>
      </c>
      <c r="J222" s="114">
        <f t="shared" si="58"/>
        <v>220728.44999999995</v>
      </c>
    </row>
    <row r="223" spans="2:10">
      <c r="B223" s="395"/>
      <c r="C223" s="114"/>
      <c r="D223" s="115"/>
      <c r="E223" s="115"/>
      <c r="F223" s="115">
        <f t="shared" si="59"/>
        <v>0</v>
      </c>
      <c r="G223" s="115">
        <v>2.35</v>
      </c>
      <c r="H223" s="115">
        <f t="shared" si="60"/>
        <v>0</v>
      </c>
      <c r="I223" s="115">
        <f t="shared" si="61"/>
        <v>0</v>
      </c>
      <c r="J223" s="114">
        <f t="shared" si="58"/>
        <v>220728.44999999995</v>
      </c>
    </row>
    <row r="224" spans="2:10">
      <c r="B224" s="395"/>
      <c r="C224" s="114"/>
      <c r="D224" s="115"/>
      <c r="E224" s="115"/>
      <c r="F224" s="115">
        <f t="shared" si="59"/>
        <v>0</v>
      </c>
      <c r="G224" s="115">
        <v>2.35</v>
      </c>
      <c r="H224" s="115">
        <f t="shared" si="60"/>
        <v>0</v>
      </c>
      <c r="I224" s="115">
        <f t="shared" si="61"/>
        <v>0</v>
      </c>
      <c r="J224" s="114">
        <f t="shared" si="58"/>
        <v>220728.44999999995</v>
      </c>
    </row>
    <row r="225" spans="1:10">
      <c r="B225" s="395"/>
      <c r="C225" s="114"/>
      <c r="D225" s="115"/>
      <c r="E225" s="115"/>
      <c r="F225" s="115">
        <f t="shared" ref="F225:F231" si="62">E225*D225</f>
        <v>0</v>
      </c>
      <c r="G225" s="115">
        <v>2.35</v>
      </c>
      <c r="H225" s="115">
        <f t="shared" ref="H225:H230" si="63">E225*G225</f>
        <v>0</v>
      </c>
      <c r="I225" s="115">
        <f t="shared" ref="I225:I230" si="64">H225*D225</f>
        <v>0</v>
      </c>
      <c r="J225" s="114">
        <f t="shared" ref="J225:J230" si="65">J224+I225</f>
        <v>220728.44999999995</v>
      </c>
    </row>
    <row r="226" spans="1:10" ht="18.75">
      <c r="B226" s="395">
        <v>45729</v>
      </c>
      <c r="C226" s="116" t="s">
        <v>184</v>
      </c>
      <c r="D226" s="115">
        <v>2</v>
      </c>
      <c r="E226" s="115">
        <v>1549</v>
      </c>
      <c r="F226" s="115">
        <f t="shared" si="62"/>
        <v>3098</v>
      </c>
      <c r="G226" s="115">
        <v>2.35</v>
      </c>
      <c r="H226" s="115">
        <f t="shared" si="63"/>
        <v>3640.15</v>
      </c>
      <c r="I226" s="115">
        <f t="shared" si="64"/>
        <v>7280.3</v>
      </c>
      <c r="J226" s="114">
        <f t="shared" si="65"/>
        <v>228008.74999999994</v>
      </c>
    </row>
    <row r="227" spans="1:10" ht="18.75">
      <c r="B227" s="395"/>
      <c r="C227" s="116"/>
      <c r="D227" s="115"/>
      <c r="E227" s="115"/>
      <c r="F227" s="115">
        <f t="shared" si="62"/>
        <v>0</v>
      </c>
      <c r="G227" s="115">
        <v>2.35</v>
      </c>
      <c r="H227" s="115">
        <f t="shared" si="63"/>
        <v>0</v>
      </c>
      <c r="I227" s="115">
        <f t="shared" si="64"/>
        <v>0</v>
      </c>
      <c r="J227" s="114">
        <f t="shared" si="65"/>
        <v>228008.74999999994</v>
      </c>
    </row>
    <row r="228" spans="1:10">
      <c r="B228" s="395"/>
      <c r="C228" s="114"/>
      <c r="D228" s="115"/>
      <c r="E228" s="115"/>
      <c r="F228" s="115">
        <f t="shared" si="62"/>
        <v>0</v>
      </c>
      <c r="G228" s="115">
        <v>2.35</v>
      </c>
      <c r="H228" s="115">
        <f t="shared" si="63"/>
        <v>0</v>
      </c>
      <c r="I228" s="115">
        <f t="shared" si="64"/>
        <v>0</v>
      </c>
      <c r="J228" s="114">
        <f t="shared" si="65"/>
        <v>228008.74999999994</v>
      </c>
    </row>
    <row r="229" spans="1:10">
      <c r="B229" s="395"/>
      <c r="C229" s="114"/>
      <c r="D229" s="115"/>
      <c r="E229" s="115"/>
      <c r="F229" s="115">
        <f t="shared" si="62"/>
        <v>0</v>
      </c>
      <c r="G229" s="115">
        <v>2.35</v>
      </c>
      <c r="H229" s="115">
        <f t="shared" si="63"/>
        <v>0</v>
      </c>
      <c r="I229" s="115">
        <f t="shared" si="64"/>
        <v>0</v>
      </c>
      <c r="J229" s="114">
        <f t="shared" si="65"/>
        <v>228008.74999999994</v>
      </c>
    </row>
    <row r="230" spans="1:10">
      <c r="B230" s="395"/>
      <c r="C230" s="114"/>
      <c r="D230" s="115"/>
      <c r="E230" s="115"/>
      <c r="F230" s="115">
        <f t="shared" si="62"/>
        <v>0</v>
      </c>
      <c r="G230" s="115">
        <v>2.35</v>
      </c>
      <c r="H230" s="115">
        <f t="shared" si="63"/>
        <v>0</v>
      </c>
      <c r="I230" s="115">
        <f t="shared" si="64"/>
        <v>0</v>
      </c>
      <c r="J230" s="114">
        <f t="shared" si="65"/>
        <v>228008.74999999994</v>
      </c>
    </row>
    <row r="231" spans="1:10">
      <c r="B231" s="395">
        <v>45731</v>
      </c>
      <c r="C231" s="114" t="s">
        <v>211</v>
      </c>
      <c r="D231" s="115"/>
      <c r="E231" s="115"/>
      <c r="F231" s="115">
        <f t="shared" si="62"/>
        <v>0</v>
      </c>
      <c r="G231" s="115">
        <v>2.35</v>
      </c>
      <c r="H231" s="115">
        <f>E231*G231</f>
        <v>0</v>
      </c>
      <c r="I231" s="115">
        <f>H231*D231</f>
        <v>0</v>
      </c>
      <c r="J231" s="114">
        <f>J230+I231</f>
        <v>228008.74999999994</v>
      </c>
    </row>
    <row r="232" spans="1:10">
      <c r="B232" s="19"/>
      <c r="C232" s="19"/>
      <c r="D232" s="19"/>
      <c r="E232" s="19"/>
      <c r="F232" s="19"/>
      <c r="G232" s="19"/>
      <c r="H232" s="19"/>
      <c r="I232" s="19"/>
      <c r="J232" s="24"/>
    </row>
    <row r="233" spans="1:10">
      <c r="B233" s="19"/>
      <c r="C233" s="101" t="s">
        <v>190</v>
      </c>
      <c r="D233" s="19"/>
      <c r="E233" s="19"/>
      <c r="F233" s="19"/>
      <c r="G233" s="19"/>
      <c r="H233" s="19"/>
      <c r="I233" s="19"/>
      <c r="J233" s="24"/>
    </row>
    <row r="234" spans="1:10">
      <c r="B234" s="19"/>
      <c r="C234" s="19"/>
      <c r="D234" s="19"/>
      <c r="E234" s="19"/>
      <c r="F234" s="19"/>
      <c r="G234" s="19"/>
      <c r="H234" s="19"/>
      <c r="I234" s="19"/>
      <c r="J234" s="24"/>
    </row>
    <row r="239" spans="1:10" ht="21">
      <c r="A239" t="s">
        <v>125</v>
      </c>
      <c r="B239" s="1520" t="s">
        <v>20</v>
      </c>
      <c r="C239" s="1520"/>
      <c r="D239" s="1520"/>
      <c r="E239" s="1520"/>
      <c r="F239" s="1520"/>
      <c r="G239" s="1520"/>
      <c r="H239" s="1520"/>
      <c r="I239" s="1520"/>
      <c r="J239" s="1520"/>
    </row>
    <row r="240" spans="1:10" ht="18.75">
      <c r="A240" t="s">
        <v>212</v>
      </c>
      <c r="B240" s="4" t="s">
        <v>1</v>
      </c>
      <c r="C240" s="4" t="s">
        <v>2</v>
      </c>
      <c r="D240" s="4" t="s">
        <v>3</v>
      </c>
      <c r="E240" s="4" t="s">
        <v>4</v>
      </c>
      <c r="F240" s="4" t="s">
        <v>36</v>
      </c>
      <c r="G240" s="4" t="s">
        <v>5</v>
      </c>
      <c r="H240" s="4" t="s">
        <v>6</v>
      </c>
      <c r="I240" s="4" t="s">
        <v>7</v>
      </c>
      <c r="J240" s="4"/>
    </row>
    <row r="241" spans="1:10">
      <c r="B241" s="81">
        <v>45730</v>
      </c>
      <c r="C241" s="19" t="s">
        <v>191</v>
      </c>
      <c r="D241" s="19">
        <v>5</v>
      </c>
      <c r="E241" s="19">
        <v>679</v>
      </c>
      <c r="F241" s="19">
        <f>E241*D241</f>
        <v>3395</v>
      </c>
      <c r="G241" s="19">
        <v>2.35</v>
      </c>
      <c r="H241" s="19">
        <f>E241*G241</f>
        <v>1595.65</v>
      </c>
      <c r="I241" s="19">
        <f>H241*D241</f>
        <v>7978.25</v>
      </c>
      <c r="J241" s="18">
        <f>J240+I241</f>
        <v>7978.25</v>
      </c>
    </row>
    <row r="242" spans="1:10">
      <c r="B242" s="81">
        <v>45730</v>
      </c>
      <c r="C242" s="19" t="s">
        <v>206</v>
      </c>
      <c r="D242" s="19">
        <v>8</v>
      </c>
      <c r="E242" s="19">
        <v>229</v>
      </c>
      <c r="F242" s="19">
        <f t="shared" ref="F242:F249" si="66">E242*D242</f>
        <v>1832</v>
      </c>
      <c r="G242" s="19">
        <v>2.35</v>
      </c>
      <c r="H242" s="19">
        <f t="shared" ref="H242:H249" si="67">E242*G242</f>
        <v>538.15</v>
      </c>
      <c r="I242" s="19">
        <f t="shared" ref="I242:I249" si="68">H242*D242</f>
        <v>4305.2</v>
      </c>
      <c r="J242" s="18">
        <f t="shared" ref="J242:J249" si="69">J241+I242</f>
        <v>12283.45</v>
      </c>
    </row>
    <row r="243" spans="1:10">
      <c r="B243" s="81">
        <v>45730</v>
      </c>
      <c r="C243" s="19" t="s">
        <v>192</v>
      </c>
      <c r="D243" s="19">
        <v>2</v>
      </c>
      <c r="E243" s="19">
        <v>679</v>
      </c>
      <c r="F243" s="19">
        <f t="shared" si="66"/>
        <v>1358</v>
      </c>
      <c r="G243" s="19">
        <v>2.35</v>
      </c>
      <c r="H243" s="19">
        <f t="shared" si="67"/>
        <v>1595.65</v>
      </c>
      <c r="I243" s="19">
        <f t="shared" si="68"/>
        <v>3191.3</v>
      </c>
      <c r="J243" s="18">
        <f t="shared" si="69"/>
        <v>15474.75</v>
      </c>
    </row>
    <row r="244" spans="1:10">
      <c r="B244" s="81">
        <v>45730</v>
      </c>
      <c r="C244" s="19" t="s">
        <v>207</v>
      </c>
      <c r="D244" s="19">
        <v>6</v>
      </c>
      <c r="E244" s="19">
        <v>235</v>
      </c>
      <c r="F244" s="19">
        <f t="shared" si="66"/>
        <v>1410</v>
      </c>
      <c r="G244" s="19">
        <v>2.35</v>
      </c>
      <c r="H244" s="19">
        <f t="shared" si="67"/>
        <v>552.25</v>
      </c>
      <c r="I244" s="19">
        <f t="shared" si="68"/>
        <v>3313.5</v>
      </c>
      <c r="J244" s="18">
        <f t="shared" si="69"/>
        <v>18788.25</v>
      </c>
    </row>
    <row r="245" spans="1:10">
      <c r="B245" s="81">
        <v>45731</v>
      </c>
      <c r="C245" s="19" t="s">
        <v>188</v>
      </c>
      <c r="D245" s="19">
        <v>3</v>
      </c>
      <c r="E245" s="19">
        <v>679</v>
      </c>
      <c r="F245" s="19">
        <f t="shared" si="66"/>
        <v>2037</v>
      </c>
      <c r="G245" s="19">
        <v>2.35</v>
      </c>
      <c r="H245" s="19">
        <f t="shared" si="67"/>
        <v>1595.65</v>
      </c>
      <c r="I245" s="19">
        <f t="shared" si="68"/>
        <v>4786.9500000000007</v>
      </c>
      <c r="J245" s="18">
        <f t="shared" si="69"/>
        <v>23575.200000000001</v>
      </c>
    </row>
    <row r="246" spans="1:10">
      <c r="B246" s="81">
        <v>45731</v>
      </c>
      <c r="C246" s="19" t="s">
        <v>189</v>
      </c>
      <c r="D246" s="19">
        <v>2</v>
      </c>
      <c r="E246" s="19">
        <v>679</v>
      </c>
      <c r="F246" s="19">
        <f t="shared" si="66"/>
        <v>1358</v>
      </c>
      <c r="G246" s="19">
        <v>2.35</v>
      </c>
      <c r="H246" s="19">
        <f t="shared" si="67"/>
        <v>1595.65</v>
      </c>
      <c r="I246" s="19">
        <f t="shared" si="68"/>
        <v>3191.3</v>
      </c>
      <c r="J246" s="18">
        <f t="shared" si="69"/>
        <v>26766.5</v>
      </c>
    </row>
    <row r="247" spans="1:10">
      <c r="B247" s="19"/>
      <c r="C247" s="19"/>
      <c r="D247" s="19"/>
      <c r="E247" s="19"/>
      <c r="F247" s="19">
        <f t="shared" si="66"/>
        <v>0</v>
      </c>
      <c r="G247" s="19">
        <v>2.35</v>
      </c>
      <c r="H247" s="19">
        <f t="shared" si="67"/>
        <v>0</v>
      </c>
      <c r="I247" s="19">
        <f t="shared" si="68"/>
        <v>0</v>
      </c>
      <c r="J247" s="18">
        <f t="shared" si="69"/>
        <v>26766.5</v>
      </c>
    </row>
    <row r="248" spans="1:10">
      <c r="B248" s="19"/>
      <c r="C248" s="19"/>
      <c r="D248" s="19"/>
      <c r="E248" s="19"/>
      <c r="F248" s="19">
        <f t="shared" si="66"/>
        <v>0</v>
      </c>
      <c r="G248" s="19">
        <v>2.35</v>
      </c>
      <c r="H248" s="19">
        <f t="shared" si="67"/>
        <v>0</v>
      </c>
      <c r="I248" s="19">
        <f t="shared" si="68"/>
        <v>0</v>
      </c>
      <c r="J248" s="18">
        <f t="shared" si="69"/>
        <v>26766.5</v>
      </c>
    </row>
    <row r="249" spans="1:10">
      <c r="B249" s="19"/>
      <c r="C249" s="19"/>
      <c r="D249" s="19"/>
      <c r="E249" s="19"/>
      <c r="F249" s="19">
        <f t="shared" si="66"/>
        <v>0</v>
      </c>
      <c r="G249" s="19">
        <v>2.35</v>
      </c>
      <c r="H249" s="19">
        <f t="shared" si="67"/>
        <v>0</v>
      </c>
      <c r="I249" s="19">
        <f t="shared" si="68"/>
        <v>0</v>
      </c>
      <c r="J249" s="18">
        <f t="shared" si="69"/>
        <v>26766.5</v>
      </c>
    </row>
    <row r="252" spans="1:10" ht="21">
      <c r="A252" t="s">
        <v>125</v>
      </c>
      <c r="B252" s="1520" t="s">
        <v>20</v>
      </c>
      <c r="C252" s="1520"/>
      <c r="D252" s="1520"/>
      <c r="E252" s="1520"/>
      <c r="F252" s="1520"/>
      <c r="G252" s="1520"/>
      <c r="H252" s="1520"/>
      <c r="I252" s="1520"/>
      <c r="J252" s="1520"/>
    </row>
    <row r="253" spans="1:10" ht="18.75">
      <c r="A253" t="s">
        <v>212</v>
      </c>
      <c r="B253" s="4" t="s">
        <v>1</v>
      </c>
      <c r="C253" s="4" t="s">
        <v>2</v>
      </c>
      <c r="D253" s="4" t="s">
        <v>3</v>
      </c>
      <c r="E253" s="4" t="s">
        <v>4</v>
      </c>
      <c r="F253" s="4" t="s">
        <v>36</v>
      </c>
      <c r="G253" s="4" t="s">
        <v>5</v>
      </c>
      <c r="H253" s="4" t="s">
        <v>6</v>
      </c>
      <c r="I253" s="4" t="s">
        <v>7</v>
      </c>
      <c r="J253" s="4"/>
    </row>
    <row r="254" spans="1:10">
      <c r="B254" s="81">
        <v>45733</v>
      </c>
      <c r="C254" s="19" t="s">
        <v>193</v>
      </c>
      <c r="D254" s="19">
        <v>5</v>
      </c>
      <c r="E254" s="19">
        <v>679</v>
      </c>
      <c r="F254" s="19">
        <f>E254*D254</f>
        <v>3395</v>
      </c>
      <c r="G254" s="19">
        <v>2.35</v>
      </c>
      <c r="H254" s="19">
        <f>E254*G254</f>
        <v>1595.65</v>
      </c>
      <c r="I254" s="19">
        <f>H254*D254</f>
        <v>7978.25</v>
      </c>
      <c r="J254" s="18">
        <f>J253+I254</f>
        <v>7978.25</v>
      </c>
    </row>
    <row r="255" spans="1:10">
      <c r="B255" s="81">
        <v>45733</v>
      </c>
      <c r="C255" s="102" t="s">
        <v>194</v>
      </c>
      <c r="D255" s="102">
        <v>3</v>
      </c>
      <c r="E255" s="102">
        <v>235</v>
      </c>
      <c r="F255" s="102">
        <f t="shared" ref="F255:F262" si="70">E255*D255</f>
        <v>705</v>
      </c>
      <c r="G255" s="102">
        <v>2.35</v>
      </c>
      <c r="H255" s="102">
        <f t="shared" ref="H255:H262" si="71">E255*G255</f>
        <v>552.25</v>
      </c>
      <c r="I255" s="102">
        <f t="shared" ref="I255:I262" si="72">H255*D255</f>
        <v>1656.75</v>
      </c>
      <c r="J255" s="103">
        <f t="shared" ref="J255:J262" si="73">J254+I255</f>
        <v>9635</v>
      </c>
    </row>
    <row r="256" spans="1:10">
      <c r="B256" s="81">
        <v>45733</v>
      </c>
      <c r="C256" s="19" t="s">
        <v>195</v>
      </c>
      <c r="D256" s="19">
        <v>1</v>
      </c>
      <c r="E256" s="19">
        <v>190</v>
      </c>
      <c r="F256" s="19">
        <f t="shared" si="70"/>
        <v>190</v>
      </c>
      <c r="G256" s="19">
        <v>2.35</v>
      </c>
      <c r="H256" s="19">
        <f t="shared" si="71"/>
        <v>446.5</v>
      </c>
      <c r="I256" s="19">
        <f t="shared" si="72"/>
        <v>446.5</v>
      </c>
      <c r="J256" s="18">
        <f t="shared" si="73"/>
        <v>10081.5</v>
      </c>
    </row>
    <row r="257" spans="1:10">
      <c r="B257" s="81">
        <v>45733</v>
      </c>
      <c r="C257" s="19" t="s">
        <v>196</v>
      </c>
      <c r="D257" s="19">
        <v>3</v>
      </c>
      <c r="E257" s="19">
        <v>679</v>
      </c>
      <c r="F257" s="19">
        <f t="shared" si="70"/>
        <v>2037</v>
      </c>
      <c r="G257" s="19">
        <v>2.35</v>
      </c>
      <c r="H257" s="19">
        <f t="shared" si="71"/>
        <v>1595.65</v>
      </c>
      <c r="I257" s="19">
        <f t="shared" si="72"/>
        <v>4786.9500000000007</v>
      </c>
      <c r="J257" s="18">
        <f t="shared" si="73"/>
        <v>14868.45</v>
      </c>
    </row>
    <row r="258" spans="1:10">
      <c r="B258" s="81">
        <v>45733</v>
      </c>
      <c r="C258" s="19" t="s">
        <v>197</v>
      </c>
      <c r="D258" s="19">
        <v>2</v>
      </c>
      <c r="E258" s="19">
        <v>229</v>
      </c>
      <c r="F258" s="19">
        <f t="shared" si="70"/>
        <v>458</v>
      </c>
      <c r="G258" s="19">
        <v>2.35</v>
      </c>
      <c r="H258" s="19">
        <f t="shared" si="71"/>
        <v>538.15</v>
      </c>
      <c r="I258" s="19">
        <f t="shared" si="72"/>
        <v>1076.3</v>
      </c>
      <c r="J258" s="18">
        <f t="shared" si="73"/>
        <v>15944.75</v>
      </c>
    </row>
    <row r="259" spans="1:10">
      <c r="B259" s="81">
        <v>45733</v>
      </c>
      <c r="C259" s="19" t="s">
        <v>198</v>
      </c>
      <c r="D259" s="19">
        <v>17</v>
      </c>
      <c r="E259" s="19">
        <v>575</v>
      </c>
      <c r="F259" s="19">
        <f t="shared" si="70"/>
        <v>9775</v>
      </c>
      <c r="G259" s="19">
        <v>2.35</v>
      </c>
      <c r="H259" s="19">
        <f t="shared" si="71"/>
        <v>1351.25</v>
      </c>
      <c r="I259" s="19">
        <f t="shared" si="72"/>
        <v>22971.25</v>
      </c>
      <c r="J259" s="18">
        <f t="shared" si="73"/>
        <v>38916</v>
      </c>
    </row>
    <row r="260" spans="1:10">
      <c r="B260" s="81">
        <v>45733</v>
      </c>
      <c r="C260" s="19" t="s">
        <v>195</v>
      </c>
      <c r="D260" s="19">
        <v>1</v>
      </c>
      <c r="E260" s="19">
        <v>190</v>
      </c>
      <c r="F260" s="19">
        <f t="shared" si="70"/>
        <v>190</v>
      </c>
      <c r="G260" s="19">
        <v>2.35</v>
      </c>
      <c r="H260" s="19">
        <f t="shared" si="71"/>
        <v>446.5</v>
      </c>
      <c r="I260" s="19">
        <f t="shared" si="72"/>
        <v>446.5</v>
      </c>
      <c r="J260" s="18">
        <f t="shared" si="73"/>
        <v>39362.5</v>
      </c>
    </row>
    <row r="261" spans="1:10">
      <c r="B261" s="19"/>
      <c r="C261" s="19"/>
      <c r="D261" s="19"/>
      <c r="E261" s="19"/>
      <c r="F261" s="19">
        <f t="shared" si="70"/>
        <v>0</v>
      </c>
      <c r="G261" s="19"/>
      <c r="H261" s="19">
        <f t="shared" si="71"/>
        <v>0</v>
      </c>
      <c r="I261" s="19">
        <f t="shared" si="72"/>
        <v>0</v>
      </c>
      <c r="J261" s="18">
        <f t="shared" si="73"/>
        <v>39362.5</v>
      </c>
    </row>
    <row r="262" spans="1:10">
      <c r="B262" s="19"/>
      <c r="C262" s="19"/>
      <c r="D262" s="19"/>
      <c r="E262" s="19"/>
      <c r="F262" s="19">
        <f t="shared" si="70"/>
        <v>0</v>
      </c>
      <c r="G262" s="19"/>
      <c r="H262" s="19">
        <f t="shared" si="71"/>
        <v>0</v>
      </c>
      <c r="I262" s="19">
        <f t="shared" si="72"/>
        <v>0</v>
      </c>
      <c r="J262" s="18">
        <f t="shared" si="73"/>
        <v>39362.5</v>
      </c>
    </row>
    <row r="265" spans="1:10" ht="21">
      <c r="A265" t="s">
        <v>125</v>
      </c>
      <c r="B265" s="1520" t="s">
        <v>20</v>
      </c>
      <c r="C265" s="1520"/>
      <c r="D265" s="1520"/>
      <c r="E265" s="1520"/>
      <c r="F265" s="1520"/>
      <c r="G265" s="1520"/>
      <c r="H265" s="1520"/>
      <c r="I265" s="1520"/>
      <c r="J265" s="1520"/>
    </row>
    <row r="266" spans="1:10" ht="18.75">
      <c r="A266" t="s">
        <v>212</v>
      </c>
      <c r="B266" s="4" t="s">
        <v>1</v>
      </c>
      <c r="C266" s="4" t="s">
        <v>2</v>
      </c>
      <c r="D266" s="4" t="s">
        <v>3</v>
      </c>
      <c r="E266" s="4" t="s">
        <v>4</v>
      </c>
      <c r="F266" s="4" t="s">
        <v>36</v>
      </c>
      <c r="G266" s="4" t="s">
        <v>5</v>
      </c>
      <c r="H266" s="4" t="s">
        <v>6</v>
      </c>
      <c r="I266" s="4" t="s">
        <v>7</v>
      </c>
      <c r="J266" s="4"/>
    </row>
    <row r="267" spans="1:10">
      <c r="B267" s="81">
        <v>45734</v>
      </c>
      <c r="C267" s="19" t="s">
        <v>208</v>
      </c>
      <c r="D267" s="19">
        <v>3</v>
      </c>
      <c r="E267" s="19">
        <v>679</v>
      </c>
      <c r="F267" s="19">
        <f>E267*D267</f>
        <v>2037</v>
      </c>
      <c r="G267" s="19">
        <v>2.35</v>
      </c>
      <c r="H267" s="19">
        <f>E267*G267</f>
        <v>1595.65</v>
      </c>
      <c r="I267" s="19">
        <f>H267*D267</f>
        <v>4786.9500000000007</v>
      </c>
      <c r="J267" s="18">
        <f>J266+I267</f>
        <v>4786.9500000000007</v>
      </c>
    </row>
    <row r="268" spans="1:10">
      <c r="B268" s="19"/>
      <c r="C268" s="19"/>
      <c r="D268" s="19"/>
      <c r="E268" s="19"/>
      <c r="F268" s="19">
        <f>E268*D268</f>
        <v>0</v>
      </c>
      <c r="G268" s="19"/>
      <c r="H268" s="19">
        <f>E268*G268</f>
        <v>0</v>
      </c>
      <c r="I268" s="19">
        <f>H268*D268</f>
        <v>0</v>
      </c>
      <c r="J268" s="18">
        <f>J267+I268</f>
        <v>4786.9500000000007</v>
      </c>
    </row>
    <row r="269" spans="1:10">
      <c r="B269" s="19"/>
      <c r="C269" s="19"/>
      <c r="D269" s="19"/>
      <c r="E269" s="19"/>
      <c r="F269" s="19">
        <f>E269*D269</f>
        <v>0</v>
      </c>
      <c r="G269" s="19"/>
      <c r="H269" s="19">
        <f>E269*G269</f>
        <v>0</v>
      </c>
      <c r="I269" s="19">
        <f>H269*D269</f>
        <v>0</v>
      </c>
      <c r="J269" s="18">
        <f>J268+I269</f>
        <v>4786.9500000000007</v>
      </c>
    </row>
    <row r="270" spans="1:10">
      <c r="J270"/>
    </row>
    <row r="271" spans="1:10">
      <c r="J271"/>
    </row>
    <row r="272" spans="1:10" ht="21">
      <c r="A272" t="s">
        <v>125</v>
      </c>
      <c r="B272" s="1520" t="s">
        <v>20</v>
      </c>
      <c r="C272" s="1520"/>
      <c r="D272" s="1520"/>
      <c r="E272" s="1520"/>
      <c r="F272" s="1520"/>
      <c r="G272" s="1520"/>
      <c r="H272" s="1520"/>
      <c r="I272" s="1520"/>
      <c r="J272" s="1520"/>
    </row>
    <row r="273" spans="1:10" ht="18.75">
      <c r="A273" t="s">
        <v>212</v>
      </c>
      <c r="B273" s="4" t="s">
        <v>1</v>
      </c>
      <c r="C273" s="4" t="s">
        <v>2</v>
      </c>
      <c r="D273" s="4" t="s">
        <v>3</v>
      </c>
      <c r="E273" s="4" t="s">
        <v>4</v>
      </c>
      <c r="F273" s="4" t="s">
        <v>36</v>
      </c>
      <c r="G273" s="4" t="s">
        <v>5</v>
      </c>
      <c r="H273" s="4" t="s">
        <v>6</v>
      </c>
      <c r="I273" s="4" t="s">
        <v>7</v>
      </c>
      <c r="J273" s="4"/>
    </row>
    <row r="274" spans="1:10">
      <c r="B274" s="81">
        <v>45735</v>
      </c>
      <c r="C274" s="19" t="s">
        <v>216</v>
      </c>
      <c r="D274" s="19">
        <v>2</v>
      </c>
      <c r="E274" s="19">
        <v>679</v>
      </c>
      <c r="F274" s="19">
        <f>E274*D274</f>
        <v>1358</v>
      </c>
      <c r="G274" s="19">
        <v>2.33</v>
      </c>
      <c r="H274" s="19">
        <f>E274*G274</f>
        <v>1582.07</v>
      </c>
      <c r="I274" s="19">
        <f>H274*D274</f>
        <v>3164.14</v>
      </c>
      <c r="J274" s="18">
        <f>J273+I274</f>
        <v>3164.14</v>
      </c>
    </row>
    <row r="275" spans="1:10">
      <c r="B275" s="81">
        <v>45735</v>
      </c>
      <c r="C275" s="19" t="s">
        <v>217</v>
      </c>
      <c r="D275" s="19">
        <v>3</v>
      </c>
      <c r="E275" s="19">
        <v>679</v>
      </c>
      <c r="F275" s="19">
        <f t="shared" ref="F275:F282" si="74">E275*D275</f>
        <v>2037</v>
      </c>
      <c r="G275" s="19">
        <v>2.33</v>
      </c>
      <c r="H275" s="19">
        <f t="shared" ref="H275:H282" si="75">E275*G275</f>
        <v>1582.07</v>
      </c>
      <c r="I275" s="19">
        <f t="shared" ref="I275:I282" si="76">H275*D275</f>
        <v>4746.21</v>
      </c>
      <c r="J275" s="18">
        <f t="shared" ref="J275:J282" si="77">J274+I275</f>
        <v>7910.35</v>
      </c>
    </row>
    <row r="276" spans="1:10">
      <c r="B276" s="81">
        <v>45735</v>
      </c>
      <c r="C276" s="19" t="s">
        <v>218</v>
      </c>
      <c r="D276" s="19">
        <v>3</v>
      </c>
      <c r="E276" s="19">
        <v>229</v>
      </c>
      <c r="F276" s="19">
        <f t="shared" si="74"/>
        <v>687</v>
      </c>
      <c r="G276" s="19">
        <v>2.33</v>
      </c>
      <c r="H276" s="19">
        <f t="shared" si="75"/>
        <v>533.57000000000005</v>
      </c>
      <c r="I276" s="19">
        <f t="shared" si="76"/>
        <v>1600.71</v>
      </c>
      <c r="J276" s="18">
        <f t="shared" si="77"/>
        <v>9511.0600000000013</v>
      </c>
    </row>
    <row r="277" spans="1:10">
      <c r="B277" s="81">
        <v>45735</v>
      </c>
      <c r="C277" s="19" t="s">
        <v>219</v>
      </c>
      <c r="D277" s="19">
        <v>3</v>
      </c>
      <c r="E277" s="19">
        <v>679</v>
      </c>
      <c r="F277" s="19">
        <f t="shared" si="74"/>
        <v>2037</v>
      </c>
      <c r="G277" s="19">
        <v>2.33</v>
      </c>
      <c r="H277" s="19">
        <f t="shared" si="75"/>
        <v>1582.07</v>
      </c>
      <c r="I277" s="19">
        <f t="shared" si="76"/>
        <v>4746.21</v>
      </c>
      <c r="J277" s="18">
        <f t="shared" si="77"/>
        <v>14257.27</v>
      </c>
    </row>
    <row r="278" spans="1:10">
      <c r="B278" s="81">
        <v>45735</v>
      </c>
      <c r="C278" s="19" t="s">
        <v>220</v>
      </c>
      <c r="D278" s="19">
        <v>2</v>
      </c>
      <c r="E278" s="19">
        <v>679</v>
      </c>
      <c r="F278" s="19">
        <f t="shared" si="74"/>
        <v>1358</v>
      </c>
      <c r="G278" s="19">
        <v>2.33</v>
      </c>
      <c r="H278" s="19">
        <f t="shared" si="75"/>
        <v>1582.07</v>
      </c>
      <c r="I278" s="19">
        <f t="shared" si="76"/>
        <v>3164.14</v>
      </c>
      <c r="J278" s="18">
        <f t="shared" si="77"/>
        <v>17421.41</v>
      </c>
    </row>
    <row r="279" spans="1:10">
      <c r="B279" s="81">
        <v>45735</v>
      </c>
      <c r="C279" s="19" t="s">
        <v>218</v>
      </c>
      <c r="D279" s="19">
        <v>1</v>
      </c>
      <c r="E279" s="19">
        <v>229</v>
      </c>
      <c r="F279" s="19">
        <f t="shared" si="74"/>
        <v>229</v>
      </c>
      <c r="G279" s="19">
        <v>2.33</v>
      </c>
      <c r="H279" s="19">
        <f t="shared" si="75"/>
        <v>533.57000000000005</v>
      </c>
      <c r="I279" s="19">
        <f t="shared" si="76"/>
        <v>533.57000000000005</v>
      </c>
      <c r="J279" s="18">
        <f t="shared" si="77"/>
        <v>17954.98</v>
      </c>
    </row>
    <row r="280" spans="1:10">
      <c r="B280" s="19"/>
      <c r="C280" s="19"/>
      <c r="D280" s="19"/>
      <c r="E280" s="19"/>
      <c r="F280" s="19">
        <f t="shared" si="74"/>
        <v>0</v>
      </c>
      <c r="G280" s="19"/>
      <c r="H280" s="19">
        <f t="shared" si="75"/>
        <v>0</v>
      </c>
      <c r="I280" s="19">
        <f t="shared" si="76"/>
        <v>0</v>
      </c>
      <c r="J280" s="18">
        <f t="shared" si="77"/>
        <v>17954.98</v>
      </c>
    </row>
    <row r="281" spans="1:10">
      <c r="B281" s="19"/>
      <c r="C281" s="19"/>
      <c r="D281" s="19"/>
      <c r="E281" s="19"/>
      <c r="F281" s="19">
        <f t="shared" si="74"/>
        <v>0</v>
      </c>
      <c r="G281" s="19"/>
      <c r="H281" s="19">
        <f t="shared" si="75"/>
        <v>0</v>
      </c>
      <c r="I281" s="19">
        <f t="shared" si="76"/>
        <v>0</v>
      </c>
      <c r="J281" s="18">
        <f t="shared" si="77"/>
        <v>17954.98</v>
      </c>
    </row>
    <row r="282" spans="1:10">
      <c r="B282" s="19"/>
      <c r="C282" s="19"/>
      <c r="D282" s="19"/>
      <c r="E282" s="19"/>
      <c r="F282" s="19">
        <f t="shared" si="74"/>
        <v>0</v>
      </c>
      <c r="G282" s="19"/>
      <c r="H282" s="19">
        <f t="shared" si="75"/>
        <v>0</v>
      </c>
      <c r="I282" s="19">
        <f t="shared" si="76"/>
        <v>0</v>
      </c>
      <c r="J282" s="18">
        <f t="shared" si="77"/>
        <v>17954.98</v>
      </c>
    </row>
    <row r="284" spans="1:10" ht="21">
      <c r="A284" t="s">
        <v>125</v>
      </c>
      <c r="B284" s="1520" t="s">
        <v>20</v>
      </c>
      <c r="C284" s="1520"/>
      <c r="D284" s="1520"/>
      <c r="E284" s="1520"/>
      <c r="F284" s="1520"/>
      <c r="G284" s="1520"/>
      <c r="H284" s="1520"/>
      <c r="I284" s="1520"/>
      <c r="J284" s="1520"/>
    </row>
    <row r="285" spans="1:10" ht="18.75">
      <c r="A285" t="s">
        <v>212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36</v>
      </c>
      <c r="G285" s="4" t="s">
        <v>5</v>
      </c>
      <c r="H285" s="4" t="s">
        <v>6</v>
      </c>
      <c r="I285" s="4" t="s">
        <v>7</v>
      </c>
      <c r="J285" s="4"/>
    </row>
    <row r="286" spans="1:10">
      <c r="B286" s="81">
        <v>45736</v>
      </c>
      <c r="C286" s="19" t="s">
        <v>221</v>
      </c>
      <c r="D286" s="19">
        <v>1</v>
      </c>
      <c r="E286" s="19">
        <v>679</v>
      </c>
      <c r="F286" s="19">
        <f>E286*D286</f>
        <v>679</v>
      </c>
      <c r="G286" s="19">
        <v>2.33</v>
      </c>
      <c r="H286" s="19">
        <f>E286*G286</f>
        <v>1582.07</v>
      </c>
      <c r="I286" s="19">
        <f>H286*D286</f>
        <v>1582.07</v>
      </c>
      <c r="J286" s="18">
        <f>J285+I286</f>
        <v>1582.07</v>
      </c>
    </row>
    <row r="287" spans="1:10">
      <c r="B287" s="81">
        <v>45736</v>
      </c>
      <c r="C287" s="19" t="s">
        <v>222</v>
      </c>
      <c r="D287" s="19">
        <v>1</v>
      </c>
      <c r="E287" s="19">
        <v>163</v>
      </c>
      <c r="F287" s="19">
        <f>E287*D287</f>
        <v>163</v>
      </c>
      <c r="G287" s="19">
        <v>2.33</v>
      </c>
      <c r="H287" s="19">
        <f>E287*G287</f>
        <v>379.79</v>
      </c>
      <c r="I287" s="19">
        <f>H287*D287</f>
        <v>379.79</v>
      </c>
      <c r="J287" s="18">
        <f>J286+I287</f>
        <v>1961.86</v>
      </c>
    </row>
    <row r="288" spans="1:10">
      <c r="B288" s="96">
        <v>45736</v>
      </c>
      <c r="C288" s="127" t="s">
        <v>257</v>
      </c>
      <c r="D288" s="127"/>
      <c r="E288" s="127"/>
      <c r="F288" s="127">
        <f>E288*D288</f>
        <v>0</v>
      </c>
      <c r="G288" s="127"/>
      <c r="H288" s="127">
        <f>E288*G288</f>
        <v>0</v>
      </c>
      <c r="I288" s="127">
        <f>H288*D288</f>
        <v>0</v>
      </c>
      <c r="J288" s="110">
        <f>J287+I288</f>
        <v>1961.86</v>
      </c>
    </row>
    <row r="289" spans="1:11">
      <c r="B289" s="19"/>
      <c r="C289" s="19"/>
      <c r="D289" s="19"/>
      <c r="E289" s="19"/>
      <c r="F289" s="19">
        <f>E289*D289</f>
        <v>0</v>
      </c>
      <c r="G289" s="19"/>
      <c r="H289" s="19">
        <f>E289*G289</f>
        <v>0</v>
      </c>
      <c r="I289" s="19">
        <f>H289*D289</f>
        <v>0</v>
      </c>
      <c r="J289" s="18">
        <f>J288+I289</f>
        <v>1961.86</v>
      </c>
    </row>
    <row r="290" spans="1:11">
      <c r="J290"/>
    </row>
    <row r="291" spans="1:11">
      <c r="J291"/>
    </row>
    <row r="292" spans="1:11">
      <c r="J292"/>
    </row>
    <row r="293" spans="1:11" ht="21">
      <c r="A293" t="s">
        <v>125</v>
      </c>
      <c r="B293" s="1520" t="s">
        <v>20</v>
      </c>
      <c r="C293" s="1520"/>
      <c r="D293" s="1520"/>
      <c r="E293" s="1520"/>
      <c r="F293" s="1520"/>
      <c r="G293" s="1520"/>
      <c r="H293" s="1520"/>
      <c r="I293" s="1520"/>
      <c r="J293" s="1520"/>
    </row>
    <row r="294" spans="1:11" ht="18.75">
      <c r="A294" t="s">
        <v>212</v>
      </c>
      <c r="B294" s="4" t="s">
        <v>1</v>
      </c>
      <c r="C294" s="4" t="s">
        <v>2</v>
      </c>
      <c r="D294" s="4" t="s">
        <v>3</v>
      </c>
      <c r="E294" s="4" t="s">
        <v>4</v>
      </c>
      <c r="F294" s="4" t="s">
        <v>36</v>
      </c>
      <c r="G294" s="4" t="s">
        <v>5</v>
      </c>
      <c r="H294" s="4" t="s">
        <v>6</v>
      </c>
      <c r="I294" s="4" t="s">
        <v>7</v>
      </c>
      <c r="J294" s="4"/>
    </row>
    <row r="295" spans="1:11">
      <c r="B295" s="81">
        <v>45739</v>
      </c>
      <c r="C295" s="80" t="s">
        <v>259</v>
      </c>
      <c r="D295" s="19">
        <v>1</v>
      </c>
      <c r="E295" s="19">
        <v>2149</v>
      </c>
      <c r="F295" s="19">
        <f>E295*D295</f>
        <v>2149</v>
      </c>
      <c r="G295" s="19">
        <v>2.33</v>
      </c>
      <c r="H295" s="19">
        <f>E295*G295</f>
        <v>5007.17</v>
      </c>
      <c r="I295" s="19">
        <f>H295*D295</f>
        <v>5007.17</v>
      </c>
      <c r="J295" s="18">
        <f>J294+I295</f>
        <v>5007.17</v>
      </c>
    </row>
    <row r="296" spans="1:11">
      <c r="B296" s="81">
        <v>45739</v>
      </c>
      <c r="C296" s="80" t="s">
        <v>262</v>
      </c>
      <c r="D296" s="19">
        <v>1</v>
      </c>
      <c r="E296" s="19">
        <v>2042</v>
      </c>
      <c r="F296" s="19">
        <f t="shared" ref="F296:F303" si="78">E296*D296</f>
        <v>2042</v>
      </c>
      <c r="G296" s="19">
        <v>2.33</v>
      </c>
      <c r="H296" s="19">
        <f t="shared" ref="H296:H303" si="79">E296*G296</f>
        <v>4757.8600000000006</v>
      </c>
      <c r="I296" s="19">
        <f t="shared" ref="I296:I303" si="80">H296*D296</f>
        <v>4757.8600000000006</v>
      </c>
      <c r="J296" s="18">
        <f t="shared" ref="J296:J303" si="81">J295+I296</f>
        <v>9765.0300000000007</v>
      </c>
      <c r="K296" t="s">
        <v>305</v>
      </c>
    </row>
    <row r="297" spans="1:11">
      <c r="B297" s="140">
        <v>45739</v>
      </c>
      <c r="C297" s="141" t="s">
        <v>260</v>
      </c>
      <c r="D297" s="142">
        <v>2</v>
      </c>
      <c r="E297" s="142">
        <v>2090</v>
      </c>
      <c r="F297" s="142">
        <f t="shared" si="78"/>
        <v>4180</v>
      </c>
      <c r="G297" s="142">
        <v>2.33</v>
      </c>
      <c r="H297" s="142">
        <f t="shared" si="79"/>
        <v>4869.7</v>
      </c>
      <c r="I297" s="142">
        <f t="shared" si="80"/>
        <v>9739.4</v>
      </c>
      <c r="J297" s="143">
        <f t="shared" si="81"/>
        <v>19504.43</v>
      </c>
    </row>
    <row r="298" spans="1:11">
      <c r="B298" s="81">
        <v>45739</v>
      </c>
      <c r="C298" s="80" t="s">
        <v>261</v>
      </c>
      <c r="D298" s="19">
        <v>1</v>
      </c>
      <c r="E298" s="19">
        <v>275</v>
      </c>
      <c r="F298" s="19">
        <f t="shared" si="78"/>
        <v>275</v>
      </c>
      <c r="G298" s="19">
        <v>2.33</v>
      </c>
      <c r="H298" s="19">
        <f t="shared" si="79"/>
        <v>640.75</v>
      </c>
      <c r="I298" s="19">
        <f t="shared" si="80"/>
        <v>640.75</v>
      </c>
      <c r="J298" s="18">
        <f t="shared" si="81"/>
        <v>20145.18</v>
      </c>
    </row>
    <row r="299" spans="1:11">
      <c r="B299" s="19"/>
      <c r="C299" s="19"/>
      <c r="D299" s="19"/>
      <c r="E299" s="19"/>
      <c r="F299" s="19">
        <f t="shared" si="78"/>
        <v>0</v>
      </c>
      <c r="G299" s="19"/>
      <c r="H299" s="19">
        <f t="shared" si="79"/>
        <v>0</v>
      </c>
      <c r="I299" s="19">
        <f t="shared" si="80"/>
        <v>0</v>
      </c>
      <c r="J299" s="18">
        <f t="shared" si="81"/>
        <v>20145.18</v>
      </c>
    </row>
    <row r="300" spans="1:11">
      <c r="B300" s="140">
        <v>45740</v>
      </c>
      <c r="C300" s="141" t="s">
        <v>263</v>
      </c>
      <c r="D300" s="142">
        <v>2</v>
      </c>
      <c r="E300" s="142">
        <v>2090</v>
      </c>
      <c r="F300" s="142">
        <f t="shared" si="78"/>
        <v>4180</v>
      </c>
      <c r="G300" s="142">
        <v>2.33</v>
      </c>
      <c r="H300" s="142">
        <f t="shared" si="79"/>
        <v>4869.7</v>
      </c>
      <c r="I300" s="142">
        <f t="shared" si="80"/>
        <v>9739.4</v>
      </c>
      <c r="J300" s="143">
        <f t="shared" si="81"/>
        <v>29884.58</v>
      </c>
    </row>
    <row r="301" spans="1:11">
      <c r="B301" s="140">
        <v>45740</v>
      </c>
      <c r="C301" s="141" t="s">
        <v>264</v>
      </c>
      <c r="D301" s="142">
        <v>2</v>
      </c>
      <c r="E301" s="142">
        <v>2090</v>
      </c>
      <c r="F301" s="142">
        <f t="shared" si="78"/>
        <v>4180</v>
      </c>
      <c r="G301" s="142">
        <v>2.33</v>
      </c>
      <c r="H301" s="142">
        <f t="shared" si="79"/>
        <v>4869.7</v>
      </c>
      <c r="I301" s="142">
        <f t="shared" si="80"/>
        <v>9739.4</v>
      </c>
      <c r="J301" s="143">
        <f t="shared" si="81"/>
        <v>39623.980000000003</v>
      </c>
    </row>
    <row r="302" spans="1:11">
      <c r="B302" s="81">
        <v>45740</v>
      </c>
      <c r="C302" s="80" t="s">
        <v>265</v>
      </c>
      <c r="D302" s="19">
        <v>2</v>
      </c>
      <c r="E302" s="19">
        <v>695</v>
      </c>
      <c r="F302" s="19">
        <f t="shared" si="78"/>
        <v>1390</v>
      </c>
      <c r="G302" s="19">
        <v>2.33</v>
      </c>
      <c r="H302" s="19">
        <f t="shared" si="79"/>
        <v>1619.3500000000001</v>
      </c>
      <c r="I302" s="19">
        <f t="shared" si="80"/>
        <v>3238.7000000000003</v>
      </c>
      <c r="J302" s="18">
        <f t="shared" si="81"/>
        <v>42862.68</v>
      </c>
    </row>
    <row r="303" spans="1:11">
      <c r="B303" s="19"/>
      <c r="C303" s="19"/>
      <c r="D303" s="19"/>
      <c r="E303" s="19"/>
      <c r="F303" s="19">
        <f t="shared" si="78"/>
        <v>0</v>
      </c>
      <c r="G303" s="19"/>
      <c r="H303" s="19">
        <f t="shared" si="79"/>
        <v>0</v>
      </c>
      <c r="I303" s="19">
        <f t="shared" si="80"/>
        <v>0</v>
      </c>
      <c r="J303" s="18">
        <f t="shared" si="81"/>
        <v>42862.68</v>
      </c>
    </row>
    <row r="306" spans="1:11" ht="21">
      <c r="A306" t="s">
        <v>125</v>
      </c>
      <c r="B306" s="1520" t="s">
        <v>20</v>
      </c>
      <c r="C306" s="1520"/>
      <c r="D306" s="1520"/>
      <c r="E306" s="1520"/>
      <c r="F306" s="1520"/>
      <c r="G306" s="1520"/>
      <c r="H306" s="1520"/>
      <c r="I306" s="1520"/>
      <c r="J306" s="1520"/>
    </row>
    <row r="307" spans="1:11" ht="18.75">
      <c r="A307" t="s">
        <v>212</v>
      </c>
      <c r="B307" s="4" t="s">
        <v>1</v>
      </c>
      <c r="C307" s="4" t="s">
        <v>2</v>
      </c>
      <c r="D307" s="4" t="s">
        <v>3</v>
      </c>
      <c r="E307" s="4" t="s">
        <v>4</v>
      </c>
      <c r="F307" s="4" t="s">
        <v>36</v>
      </c>
      <c r="G307" s="4" t="s">
        <v>5</v>
      </c>
      <c r="H307" s="4" t="s">
        <v>6</v>
      </c>
      <c r="I307" s="4" t="s">
        <v>7</v>
      </c>
      <c r="J307" s="4"/>
    </row>
    <row r="308" spans="1:11">
      <c r="B308" s="81">
        <v>45742</v>
      </c>
      <c r="C308" s="80" t="s">
        <v>260</v>
      </c>
      <c r="D308" s="19">
        <v>2</v>
      </c>
      <c r="E308" s="19">
        <v>2090</v>
      </c>
      <c r="F308" s="19">
        <f>E308*D308</f>
        <v>4180</v>
      </c>
      <c r="G308" s="19">
        <v>2.33</v>
      </c>
      <c r="H308" s="19">
        <f>E308*G308</f>
        <v>4869.7</v>
      </c>
      <c r="I308" s="19">
        <f>H308*D308</f>
        <v>9739.4</v>
      </c>
      <c r="J308" s="18">
        <f>J307+I308</f>
        <v>9739.4</v>
      </c>
    </row>
    <row r="309" spans="1:11">
      <c r="B309" s="81">
        <v>45742</v>
      </c>
      <c r="C309" s="80" t="s">
        <v>268</v>
      </c>
      <c r="D309" s="19">
        <v>1</v>
      </c>
      <c r="E309" s="19">
        <v>2090</v>
      </c>
      <c r="F309" s="19">
        <f t="shared" ref="F309:F316" si="82">E309*D309</f>
        <v>2090</v>
      </c>
      <c r="G309" s="19">
        <v>2.33</v>
      </c>
      <c r="H309" s="19">
        <f t="shared" ref="H309:H316" si="83">E309*G309</f>
        <v>4869.7</v>
      </c>
      <c r="I309" s="19">
        <f t="shared" ref="I309:I316" si="84">H309*D309</f>
        <v>4869.7</v>
      </c>
      <c r="J309" s="18">
        <f t="shared" ref="J309:J316" si="85">J308+I309</f>
        <v>14609.099999999999</v>
      </c>
    </row>
    <row r="310" spans="1:11">
      <c r="B310" s="81">
        <v>45742</v>
      </c>
      <c r="C310" s="80" t="s">
        <v>269</v>
      </c>
      <c r="D310" s="19">
        <v>1</v>
      </c>
      <c r="E310" s="19">
        <v>2090</v>
      </c>
      <c r="F310" s="19">
        <f t="shared" si="82"/>
        <v>2090</v>
      </c>
      <c r="G310" s="19">
        <v>2.33</v>
      </c>
      <c r="H310" s="19">
        <f t="shared" si="83"/>
        <v>4869.7</v>
      </c>
      <c r="I310" s="19">
        <f t="shared" si="84"/>
        <v>4869.7</v>
      </c>
      <c r="J310" s="18">
        <f t="shared" si="85"/>
        <v>19478.8</v>
      </c>
    </row>
    <row r="311" spans="1:11">
      <c r="B311" s="81">
        <v>45742</v>
      </c>
      <c r="C311" s="80" t="s">
        <v>270</v>
      </c>
      <c r="D311" s="19">
        <v>2</v>
      </c>
      <c r="E311" s="19">
        <v>2090</v>
      </c>
      <c r="F311" s="19">
        <f t="shared" si="82"/>
        <v>4180</v>
      </c>
      <c r="G311" s="19">
        <v>2.33</v>
      </c>
      <c r="H311" s="19">
        <f t="shared" si="83"/>
        <v>4869.7</v>
      </c>
      <c r="I311" s="19">
        <f t="shared" si="84"/>
        <v>9739.4</v>
      </c>
      <c r="J311" s="18">
        <f t="shared" si="85"/>
        <v>29218.199999999997</v>
      </c>
    </row>
    <row r="312" spans="1:11">
      <c r="B312" s="81">
        <v>45742</v>
      </c>
      <c r="C312" s="80" t="s">
        <v>271</v>
      </c>
      <c r="D312" s="19">
        <v>2</v>
      </c>
      <c r="E312" s="19">
        <v>2090</v>
      </c>
      <c r="F312" s="19">
        <f t="shared" si="82"/>
        <v>4180</v>
      </c>
      <c r="G312" s="19">
        <v>2.33</v>
      </c>
      <c r="H312" s="19">
        <f t="shared" si="83"/>
        <v>4869.7</v>
      </c>
      <c r="I312" s="19">
        <f t="shared" si="84"/>
        <v>9739.4</v>
      </c>
      <c r="J312" s="18">
        <f t="shared" si="85"/>
        <v>38957.599999999999</v>
      </c>
    </row>
    <row r="313" spans="1:11">
      <c r="B313" s="81">
        <v>45742</v>
      </c>
      <c r="C313" s="80" t="s">
        <v>263</v>
      </c>
      <c r="D313" s="19">
        <v>2</v>
      </c>
      <c r="E313" s="19">
        <v>2090</v>
      </c>
      <c r="F313" s="19">
        <f t="shared" si="82"/>
        <v>4180</v>
      </c>
      <c r="G313" s="19">
        <v>2.33</v>
      </c>
      <c r="H313" s="19">
        <f t="shared" si="83"/>
        <v>4869.7</v>
      </c>
      <c r="I313" s="19">
        <f t="shared" si="84"/>
        <v>9739.4</v>
      </c>
      <c r="J313" s="18">
        <f t="shared" si="85"/>
        <v>48697</v>
      </c>
      <c r="K313" t="s">
        <v>305</v>
      </c>
    </row>
    <row r="314" spans="1:11">
      <c r="B314" s="195">
        <v>45742</v>
      </c>
      <c r="C314" s="196" t="s">
        <v>371</v>
      </c>
      <c r="D314" s="197">
        <v>2</v>
      </c>
      <c r="E314" s="197">
        <v>669</v>
      </c>
      <c r="F314" s="197">
        <f t="shared" si="82"/>
        <v>1338</v>
      </c>
      <c r="G314" s="197">
        <v>2.33</v>
      </c>
      <c r="H314" s="197">
        <f t="shared" si="83"/>
        <v>1558.77</v>
      </c>
      <c r="I314" s="197">
        <f t="shared" si="84"/>
        <v>3117.54</v>
      </c>
      <c r="J314" s="198">
        <f t="shared" si="85"/>
        <v>51814.54</v>
      </c>
      <c r="K314" t="s">
        <v>306</v>
      </c>
    </row>
    <row r="315" spans="1:11">
      <c r="B315" s="19"/>
      <c r="C315" s="19"/>
      <c r="D315" s="19"/>
      <c r="E315" s="19"/>
      <c r="F315" s="19">
        <f t="shared" si="82"/>
        <v>0</v>
      </c>
      <c r="G315" s="19"/>
      <c r="H315" s="19">
        <f t="shared" si="83"/>
        <v>0</v>
      </c>
      <c r="I315" s="19">
        <f t="shared" si="84"/>
        <v>0</v>
      </c>
      <c r="J315" s="18">
        <f t="shared" si="85"/>
        <v>51814.54</v>
      </c>
    </row>
    <row r="316" spans="1:11">
      <c r="B316" s="19"/>
      <c r="C316" s="19"/>
      <c r="D316" s="19"/>
      <c r="E316" s="19"/>
      <c r="F316" s="19">
        <f t="shared" si="82"/>
        <v>0</v>
      </c>
      <c r="G316" s="19"/>
      <c r="H316" s="19">
        <f t="shared" si="83"/>
        <v>0</v>
      </c>
      <c r="I316" s="19">
        <f t="shared" si="84"/>
        <v>0</v>
      </c>
      <c r="J316" s="18">
        <f t="shared" si="85"/>
        <v>51814.54</v>
      </c>
    </row>
    <row r="320" spans="1:11" ht="21">
      <c r="A320" t="s">
        <v>125</v>
      </c>
      <c r="B320" s="1520" t="s">
        <v>20</v>
      </c>
      <c r="C320" s="1520"/>
      <c r="D320" s="1520"/>
      <c r="E320" s="1520"/>
      <c r="F320" s="1520"/>
      <c r="G320" s="1520"/>
      <c r="H320" s="1520"/>
      <c r="I320" s="1520"/>
      <c r="J320" s="1520"/>
    </row>
    <row r="321" spans="1:11" ht="18.75">
      <c r="A321" t="s">
        <v>212</v>
      </c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36</v>
      </c>
      <c r="G321" s="4" t="s">
        <v>5</v>
      </c>
      <c r="H321" s="4" t="s">
        <v>6</v>
      </c>
      <c r="I321" s="4" t="s">
        <v>7</v>
      </c>
      <c r="J321" s="4"/>
    </row>
    <row r="322" spans="1:11">
      <c r="B322" s="81">
        <v>45742</v>
      </c>
      <c r="C322" s="18" t="s">
        <v>278</v>
      </c>
      <c r="D322" s="19">
        <v>1</v>
      </c>
      <c r="E322" s="19">
        <v>699</v>
      </c>
      <c r="F322" s="19">
        <f>E322*D322</f>
        <v>699</v>
      </c>
      <c r="G322" s="19">
        <v>2.33</v>
      </c>
      <c r="H322" s="19">
        <f>E322*G322</f>
        <v>1628.67</v>
      </c>
      <c r="I322" s="19">
        <f>H322*D322</f>
        <v>1628.67</v>
      </c>
      <c r="J322" s="18">
        <f>J321+I322</f>
        <v>1628.67</v>
      </c>
    </row>
    <row r="323" spans="1:11">
      <c r="B323" s="81">
        <v>45742</v>
      </c>
      <c r="C323" s="18" t="s">
        <v>280</v>
      </c>
      <c r="D323" s="19">
        <v>1</v>
      </c>
      <c r="E323" s="19">
        <v>2149</v>
      </c>
      <c r="F323" s="19">
        <f>E323*D323</f>
        <v>2149</v>
      </c>
      <c r="G323" s="19">
        <v>2.33</v>
      </c>
      <c r="H323" s="19">
        <f>E323*G323</f>
        <v>5007.17</v>
      </c>
      <c r="I323" s="19">
        <f>H323*D323</f>
        <v>5007.17</v>
      </c>
      <c r="J323" s="18">
        <f>J322+I323</f>
        <v>6635.84</v>
      </c>
    </row>
    <row r="324" spans="1:11">
      <c r="B324" s="81">
        <v>45742</v>
      </c>
      <c r="C324" s="18" t="s">
        <v>279</v>
      </c>
      <c r="D324" s="19">
        <v>5</v>
      </c>
      <c r="E324" s="19">
        <v>2199</v>
      </c>
      <c r="F324" s="19">
        <f>E324*D324</f>
        <v>10995</v>
      </c>
      <c r="G324" s="19">
        <v>2.33</v>
      </c>
      <c r="H324" s="19">
        <f>E324*G324</f>
        <v>5123.67</v>
      </c>
      <c r="I324" s="19">
        <f>H324*D324</f>
        <v>25618.35</v>
      </c>
      <c r="J324" s="18">
        <f>J323+I324</f>
        <v>32254.19</v>
      </c>
    </row>
    <row r="325" spans="1:11">
      <c r="B325" s="81">
        <v>45742</v>
      </c>
      <c r="C325" s="18" t="s">
        <v>281</v>
      </c>
      <c r="D325" s="19">
        <v>2</v>
      </c>
      <c r="E325" s="19">
        <v>1880.99</v>
      </c>
      <c r="F325" s="19">
        <f>E325*D325</f>
        <v>3761.98</v>
      </c>
      <c r="G325" s="19">
        <v>2.33</v>
      </c>
      <c r="H325" s="19">
        <f>E325*G325</f>
        <v>4382.7066999999997</v>
      </c>
      <c r="I325" s="19">
        <f>H325*D325</f>
        <v>8765.4133999999995</v>
      </c>
      <c r="J325" s="18">
        <f>J324+I325</f>
        <v>41019.6034</v>
      </c>
    </row>
    <row r="326" spans="1:11">
      <c r="B326" s="19"/>
      <c r="C326" s="19"/>
      <c r="D326" s="19"/>
      <c r="E326" s="19"/>
      <c r="F326" s="19">
        <f>E326*D326</f>
        <v>0</v>
      </c>
      <c r="G326" s="19"/>
      <c r="H326" s="19">
        <f>E326*G326</f>
        <v>0</v>
      </c>
      <c r="I326" s="19">
        <f>H326*D326</f>
        <v>0</v>
      </c>
      <c r="J326" s="18">
        <f>J325+I326</f>
        <v>41019.6034</v>
      </c>
    </row>
    <row r="327" spans="1:11">
      <c r="J327"/>
    </row>
    <row r="328" spans="1:11">
      <c r="J328"/>
    </row>
    <row r="329" spans="1:11" ht="21">
      <c r="A329" t="s">
        <v>125</v>
      </c>
      <c r="B329" s="1520" t="s">
        <v>20</v>
      </c>
      <c r="C329" s="1520"/>
      <c r="D329" s="1520"/>
      <c r="E329" s="1520"/>
      <c r="F329" s="1520"/>
      <c r="G329" s="1520"/>
      <c r="H329" s="1520"/>
      <c r="I329" s="1520"/>
      <c r="J329" s="1520"/>
    </row>
    <row r="330" spans="1:11" ht="18.75">
      <c r="A330" t="s">
        <v>212</v>
      </c>
      <c r="B330" s="4" t="s">
        <v>1</v>
      </c>
      <c r="C330" s="4" t="s">
        <v>2</v>
      </c>
      <c r="D330" s="4" t="s">
        <v>3</v>
      </c>
      <c r="E330" s="4" t="s">
        <v>4</v>
      </c>
      <c r="F330" s="4" t="s">
        <v>36</v>
      </c>
      <c r="G330" s="4" t="s">
        <v>5</v>
      </c>
      <c r="H330" s="4" t="s">
        <v>6</v>
      </c>
      <c r="I330" s="4" t="s">
        <v>7</v>
      </c>
      <c r="J330" s="4"/>
    </row>
    <row r="331" spans="1:11">
      <c r="B331" s="149">
        <v>45743</v>
      </c>
      <c r="C331" s="152" t="s">
        <v>282</v>
      </c>
      <c r="D331" s="151">
        <v>2</v>
      </c>
      <c r="E331" s="151">
        <v>2089.4899999999998</v>
      </c>
      <c r="F331" s="151">
        <f>E331*D331</f>
        <v>4178.9799999999996</v>
      </c>
      <c r="G331" s="151">
        <v>2.33</v>
      </c>
      <c r="H331" s="151">
        <f>E331*G331</f>
        <v>4868.5117</v>
      </c>
      <c r="I331" s="151">
        <f>H331*D331</f>
        <v>9737.0234</v>
      </c>
      <c r="J331" s="152">
        <f>J330+I331</f>
        <v>9737.0234</v>
      </c>
      <c r="K331" t="s">
        <v>307</v>
      </c>
    </row>
    <row r="332" spans="1:11">
      <c r="B332" s="149">
        <v>45743</v>
      </c>
      <c r="C332" s="152" t="s">
        <v>283</v>
      </c>
      <c r="D332" s="151">
        <v>2</v>
      </c>
      <c r="E332" s="151">
        <v>2089.4899999999998</v>
      </c>
      <c r="F332" s="151">
        <f t="shared" ref="F332:F339" si="86">E332*D332</f>
        <v>4178.9799999999996</v>
      </c>
      <c r="G332" s="151">
        <v>2.33</v>
      </c>
      <c r="H332" s="151">
        <f t="shared" ref="H332:H339" si="87">E332*G332</f>
        <v>4868.5117</v>
      </c>
      <c r="I332" s="151">
        <f t="shared" ref="I332:I339" si="88">H332*D332</f>
        <v>9737.0234</v>
      </c>
      <c r="J332" s="152">
        <f t="shared" ref="J332:J339" si="89">J331+I332</f>
        <v>19474.0468</v>
      </c>
    </row>
    <row r="333" spans="1:11">
      <c r="B333" s="149">
        <v>45743</v>
      </c>
      <c r="C333" s="152" t="s">
        <v>284</v>
      </c>
      <c r="D333" s="151">
        <v>2</v>
      </c>
      <c r="E333" s="151">
        <v>2089.4899999999998</v>
      </c>
      <c r="F333" s="151">
        <f t="shared" si="86"/>
        <v>4178.9799999999996</v>
      </c>
      <c r="G333" s="151">
        <v>2.33</v>
      </c>
      <c r="H333" s="151">
        <f t="shared" si="87"/>
        <v>4868.5117</v>
      </c>
      <c r="I333" s="151">
        <f t="shared" si="88"/>
        <v>9737.0234</v>
      </c>
      <c r="J333" s="152">
        <f t="shared" si="89"/>
        <v>29211.070200000002</v>
      </c>
    </row>
    <row r="334" spans="1:11">
      <c r="B334" s="149">
        <v>45743</v>
      </c>
      <c r="C334" s="152" t="s">
        <v>285</v>
      </c>
      <c r="D334" s="151">
        <v>2</v>
      </c>
      <c r="E334" s="151">
        <v>2089.4899999999998</v>
      </c>
      <c r="F334" s="151">
        <f t="shared" si="86"/>
        <v>4178.9799999999996</v>
      </c>
      <c r="G334" s="151">
        <v>2.33</v>
      </c>
      <c r="H334" s="151">
        <f t="shared" si="87"/>
        <v>4868.5117</v>
      </c>
      <c r="I334" s="151">
        <f t="shared" si="88"/>
        <v>9737.0234</v>
      </c>
      <c r="J334" s="152">
        <f t="shared" si="89"/>
        <v>38948.0936</v>
      </c>
    </row>
    <row r="335" spans="1:11">
      <c r="B335" s="149">
        <v>45743</v>
      </c>
      <c r="C335" s="152" t="s">
        <v>286</v>
      </c>
      <c r="D335" s="151">
        <v>2</v>
      </c>
      <c r="E335" s="151">
        <v>2089.4899999999998</v>
      </c>
      <c r="F335" s="151">
        <f t="shared" si="86"/>
        <v>4178.9799999999996</v>
      </c>
      <c r="G335" s="151">
        <v>2.33</v>
      </c>
      <c r="H335" s="151">
        <f t="shared" si="87"/>
        <v>4868.5117</v>
      </c>
      <c r="I335" s="151">
        <f t="shared" si="88"/>
        <v>9737.0234</v>
      </c>
      <c r="J335" s="152">
        <f t="shared" si="89"/>
        <v>48685.116999999998</v>
      </c>
    </row>
    <row r="336" spans="1:11">
      <c r="B336" s="19"/>
      <c r="C336" s="19"/>
      <c r="D336" s="19"/>
      <c r="E336" s="19"/>
      <c r="F336" s="19">
        <f t="shared" si="86"/>
        <v>0</v>
      </c>
      <c r="G336" s="19"/>
      <c r="H336" s="19">
        <f t="shared" si="87"/>
        <v>0</v>
      </c>
      <c r="I336" s="19">
        <f t="shared" si="88"/>
        <v>0</v>
      </c>
      <c r="J336" s="18">
        <f t="shared" si="89"/>
        <v>48685.116999999998</v>
      </c>
    </row>
    <row r="337" spans="1:11">
      <c r="B337" s="149">
        <v>45743</v>
      </c>
      <c r="C337" s="152" t="s">
        <v>287</v>
      </c>
      <c r="D337" s="151">
        <v>2</v>
      </c>
      <c r="E337" s="151">
        <v>2204</v>
      </c>
      <c r="F337" s="151">
        <f t="shared" si="86"/>
        <v>4408</v>
      </c>
      <c r="G337" s="151">
        <v>2.33</v>
      </c>
      <c r="H337" s="151">
        <f t="shared" si="87"/>
        <v>5135.32</v>
      </c>
      <c r="I337" s="151">
        <f t="shared" si="88"/>
        <v>10270.64</v>
      </c>
      <c r="J337" s="152">
        <f t="shared" si="89"/>
        <v>58955.756999999998</v>
      </c>
      <c r="K337" t="s">
        <v>307</v>
      </c>
    </row>
    <row r="338" spans="1:11">
      <c r="B338" s="19"/>
      <c r="C338" s="19"/>
      <c r="D338" s="19"/>
      <c r="E338" s="19"/>
      <c r="F338" s="19">
        <f t="shared" si="86"/>
        <v>0</v>
      </c>
      <c r="G338" s="19"/>
      <c r="H338" s="19">
        <f t="shared" si="87"/>
        <v>0</v>
      </c>
      <c r="I338" s="19">
        <f t="shared" si="88"/>
        <v>0</v>
      </c>
      <c r="J338" s="18">
        <f t="shared" si="89"/>
        <v>58955.756999999998</v>
      </c>
    </row>
    <row r="339" spans="1:11">
      <c r="B339" s="19"/>
      <c r="C339" s="19"/>
      <c r="D339" s="19"/>
      <c r="E339" s="19"/>
      <c r="F339" s="19">
        <f t="shared" si="86"/>
        <v>0</v>
      </c>
      <c r="G339" s="19"/>
      <c r="H339" s="19">
        <f t="shared" si="87"/>
        <v>0</v>
      </c>
      <c r="I339" s="19">
        <f t="shared" si="88"/>
        <v>0</v>
      </c>
      <c r="J339" s="18">
        <f t="shared" si="89"/>
        <v>58955.756999999998</v>
      </c>
    </row>
    <row r="342" spans="1:11" ht="21">
      <c r="A342" t="s">
        <v>125</v>
      </c>
      <c r="B342" s="1520" t="s">
        <v>20</v>
      </c>
      <c r="C342" s="1520"/>
      <c r="D342" s="1520"/>
      <c r="E342" s="1520"/>
      <c r="F342" s="1520"/>
      <c r="G342" s="1520"/>
      <c r="H342" s="1520"/>
      <c r="I342" s="1520"/>
      <c r="J342" s="1520"/>
    </row>
    <row r="343" spans="1:11" ht="18.75">
      <c r="A343" t="s">
        <v>212</v>
      </c>
      <c r="B343" s="4" t="s">
        <v>1</v>
      </c>
      <c r="C343" s="4" t="s">
        <v>2</v>
      </c>
      <c r="D343" s="4" t="s">
        <v>3</v>
      </c>
      <c r="E343" s="4" t="s">
        <v>4</v>
      </c>
      <c r="F343" s="4" t="s">
        <v>36</v>
      </c>
      <c r="G343" s="4" t="s">
        <v>5</v>
      </c>
      <c r="H343" s="4" t="s">
        <v>6</v>
      </c>
      <c r="I343" s="4" t="s">
        <v>7</v>
      </c>
      <c r="J343" s="4"/>
    </row>
    <row r="344" spans="1:11">
      <c r="B344" s="149">
        <v>45744</v>
      </c>
      <c r="C344" s="152" t="s">
        <v>288</v>
      </c>
      <c r="D344" s="151">
        <v>2</v>
      </c>
      <c r="E344" s="151">
        <v>2089.4899999999998</v>
      </c>
      <c r="F344" s="151">
        <f>E344*D344</f>
        <v>4178.9799999999996</v>
      </c>
      <c r="G344" s="151">
        <v>2.33</v>
      </c>
      <c r="H344" s="151">
        <f>E344*G344</f>
        <v>4868.5117</v>
      </c>
      <c r="I344" s="151">
        <f>H344*D344</f>
        <v>9737.0234</v>
      </c>
      <c r="J344" s="152">
        <f>J343+I344</f>
        <v>9737.0234</v>
      </c>
      <c r="K344" t="s">
        <v>307</v>
      </c>
    </row>
    <row r="345" spans="1:11">
      <c r="B345" s="149">
        <v>45744</v>
      </c>
      <c r="C345" s="152" t="s">
        <v>289</v>
      </c>
      <c r="D345" s="151">
        <v>1</v>
      </c>
      <c r="E345" s="151">
        <v>2204</v>
      </c>
      <c r="F345" s="151">
        <f t="shared" ref="F345:F358" si="90">E345*D345</f>
        <v>2204</v>
      </c>
      <c r="G345" s="151">
        <v>2.33</v>
      </c>
      <c r="H345" s="151">
        <f t="shared" ref="H345:H352" si="91">E345*G345</f>
        <v>5135.32</v>
      </c>
      <c r="I345" s="151">
        <f t="shared" ref="I345:I352" si="92">H345*D345</f>
        <v>5135.32</v>
      </c>
      <c r="J345" s="152">
        <f t="shared" ref="J345:J352" si="93">J344+I345</f>
        <v>14872.3434</v>
      </c>
      <c r="K345" t="s">
        <v>307</v>
      </c>
    </row>
    <row r="346" spans="1:11">
      <c r="B346" s="19"/>
      <c r="C346" s="19"/>
      <c r="D346" s="19"/>
      <c r="E346" s="19"/>
      <c r="F346" s="19">
        <f t="shared" si="90"/>
        <v>0</v>
      </c>
      <c r="G346" s="19"/>
      <c r="H346" s="19">
        <f t="shared" si="91"/>
        <v>0</v>
      </c>
      <c r="I346" s="19">
        <f t="shared" si="92"/>
        <v>0</v>
      </c>
      <c r="J346" s="18">
        <f t="shared" si="93"/>
        <v>14872.3434</v>
      </c>
    </row>
    <row r="347" spans="1:11">
      <c r="B347" s="81">
        <v>45744</v>
      </c>
      <c r="C347" s="18" t="s">
        <v>290</v>
      </c>
      <c r="D347" s="19">
        <v>2</v>
      </c>
      <c r="E347" s="145">
        <v>220</v>
      </c>
      <c r="F347" s="19">
        <f t="shared" si="90"/>
        <v>440</v>
      </c>
      <c r="G347" s="19">
        <v>2.33</v>
      </c>
      <c r="H347" s="19">
        <f t="shared" si="91"/>
        <v>512.6</v>
      </c>
      <c r="I347" s="19">
        <f t="shared" si="92"/>
        <v>1025.2</v>
      </c>
      <c r="J347" s="18">
        <f t="shared" si="93"/>
        <v>15897.5434</v>
      </c>
    </row>
    <row r="348" spans="1:11">
      <c r="B348" s="81">
        <v>45744</v>
      </c>
      <c r="C348" s="18" t="s">
        <v>291</v>
      </c>
      <c r="D348" s="19">
        <v>2</v>
      </c>
      <c r="E348" s="145">
        <v>89</v>
      </c>
      <c r="F348" s="19">
        <f t="shared" si="90"/>
        <v>178</v>
      </c>
      <c r="G348" s="19">
        <v>2.33</v>
      </c>
      <c r="H348" s="19">
        <f t="shared" si="91"/>
        <v>207.37</v>
      </c>
      <c r="I348" s="19">
        <f t="shared" si="92"/>
        <v>414.74</v>
      </c>
      <c r="J348" s="18">
        <f t="shared" si="93"/>
        <v>16312.2834</v>
      </c>
    </row>
    <row r="349" spans="1:11">
      <c r="B349" s="81">
        <v>45744</v>
      </c>
      <c r="C349" s="18" t="s">
        <v>292</v>
      </c>
      <c r="D349" s="19">
        <v>2</v>
      </c>
      <c r="E349" s="145">
        <v>89</v>
      </c>
      <c r="F349" s="19">
        <f t="shared" si="90"/>
        <v>178</v>
      </c>
      <c r="G349" s="19">
        <v>2.33</v>
      </c>
      <c r="H349" s="19">
        <f t="shared" si="91"/>
        <v>207.37</v>
      </c>
      <c r="I349" s="19">
        <f t="shared" si="92"/>
        <v>414.74</v>
      </c>
      <c r="J349" s="18">
        <f t="shared" si="93"/>
        <v>16727.023400000002</v>
      </c>
    </row>
    <row r="350" spans="1:11">
      <c r="B350" s="81">
        <v>45744</v>
      </c>
      <c r="C350" s="18" t="s">
        <v>293</v>
      </c>
      <c r="D350" s="19">
        <v>2</v>
      </c>
      <c r="E350" s="145">
        <v>89</v>
      </c>
      <c r="F350" s="19">
        <f t="shared" si="90"/>
        <v>178</v>
      </c>
      <c r="G350" s="19">
        <v>2.33</v>
      </c>
      <c r="H350" s="19">
        <f t="shared" si="91"/>
        <v>207.37</v>
      </c>
      <c r="I350" s="19">
        <f t="shared" si="92"/>
        <v>414.74</v>
      </c>
      <c r="J350" s="18">
        <f t="shared" si="93"/>
        <v>17141.763400000003</v>
      </c>
    </row>
    <row r="351" spans="1:11">
      <c r="B351" s="81">
        <v>45744</v>
      </c>
      <c r="C351" s="18" t="s">
        <v>294</v>
      </c>
      <c r="D351" s="19">
        <v>2</v>
      </c>
      <c r="E351" s="145">
        <v>55</v>
      </c>
      <c r="F351" s="19">
        <f t="shared" si="90"/>
        <v>110</v>
      </c>
      <c r="G351" s="19">
        <v>2.33</v>
      </c>
      <c r="H351" s="19">
        <f t="shared" si="91"/>
        <v>128.15</v>
      </c>
      <c r="I351" s="19">
        <f t="shared" si="92"/>
        <v>256.3</v>
      </c>
      <c r="J351" s="18">
        <f t="shared" si="93"/>
        <v>17398.063400000003</v>
      </c>
    </row>
    <row r="352" spans="1:11">
      <c r="B352" s="19"/>
      <c r="C352" s="19"/>
      <c r="D352" s="19"/>
      <c r="E352" s="19"/>
      <c r="F352" s="19">
        <f t="shared" si="90"/>
        <v>0</v>
      </c>
      <c r="G352" s="19"/>
      <c r="H352" s="19">
        <f t="shared" si="91"/>
        <v>0</v>
      </c>
      <c r="I352" s="19">
        <f t="shared" si="92"/>
        <v>0</v>
      </c>
      <c r="J352" s="18">
        <f t="shared" si="93"/>
        <v>17398.063400000003</v>
      </c>
    </row>
    <row r="353" spans="1:10">
      <c r="B353" s="149">
        <v>45744</v>
      </c>
      <c r="C353" s="152" t="s">
        <v>295</v>
      </c>
      <c r="D353" s="151">
        <v>2</v>
      </c>
      <c r="E353" s="155">
        <v>220</v>
      </c>
      <c r="F353" s="151">
        <f t="shared" si="90"/>
        <v>440</v>
      </c>
      <c r="G353" s="151">
        <v>2.33</v>
      </c>
      <c r="H353" s="151">
        <f t="shared" ref="H353:H358" si="94">E353*G353</f>
        <v>512.6</v>
      </c>
      <c r="I353" s="151">
        <f t="shared" ref="I353:I358" si="95">H353*D353</f>
        <v>1025.2</v>
      </c>
      <c r="J353" s="152">
        <f t="shared" ref="J353:J358" si="96">J352+I353</f>
        <v>18423.263400000003</v>
      </c>
    </row>
    <row r="354" spans="1:10">
      <c r="B354" s="149">
        <v>45744</v>
      </c>
      <c r="C354" s="152" t="s">
        <v>308</v>
      </c>
      <c r="D354" s="151">
        <v>2</v>
      </c>
      <c r="E354" s="155">
        <v>220</v>
      </c>
      <c r="F354" s="151">
        <f t="shared" si="90"/>
        <v>440</v>
      </c>
      <c r="G354" s="151">
        <v>2.33</v>
      </c>
      <c r="H354" s="151">
        <f t="shared" si="94"/>
        <v>512.6</v>
      </c>
      <c r="I354" s="151">
        <f t="shared" si="95"/>
        <v>1025.2</v>
      </c>
      <c r="J354" s="152">
        <f t="shared" si="96"/>
        <v>19448.463400000004</v>
      </c>
    </row>
    <row r="355" spans="1:10">
      <c r="B355" s="149">
        <v>45744</v>
      </c>
      <c r="C355" s="152" t="s">
        <v>309</v>
      </c>
      <c r="D355" s="151">
        <v>2</v>
      </c>
      <c r="E355" s="155">
        <v>89</v>
      </c>
      <c r="F355" s="151">
        <f t="shared" si="90"/>
        <v>178</v>
      </c>
      <c r="G355" s="151">
        <v>2.33</v>
      </c>
      <c r="H355" s="151">
        <f t="shared" si="94"/>
        <v>207.37</v>
      </c>
      <c r="I355" s="151">
        <f t="shared" si="95"/>
        <v>414.74</v>
      </c>
      <c r="J355" s="152">
        <f t="shared" si="96"/>
        <v>19863.203400000006</v>
      </c>
    </row>
    <row r="356" spans="1:10">
      <c r="B356" s="149">
        <v>45744</v>
      </c>
      <c r="C356" s="152" t="s">
        <v>311</v>
      </c>
      <c r="D356" s="151">
        <v>1</v>
      </c>
      <c r="E356" s="155">
        <v>89</v>
      </c>
      <c r="F356" s="151">
        <f t="shared" si="90"/>
        <v>89</v>
      </c>
      <c r="G356" s="151">
        <v>2.33</v>
      </c>
      <c r="H356" s="151">
        <f t="shared" si="94"/>
        <v>207.37</v>
      </c>
      <c r="I356" s="151">
        <f t="shared" si="95"/>
        <v>207.37</v>
      </c>
      <c r="J356" s="152">
        <f t="shared" si="96"/>
        <v>20070.573400000005</v>
      </c>
    </row>
    <row r="357" spans="1:10">
      <c r="B357" s="19"/>
      <c r="C357" s="19"/>
      <c r="D357" s="19"/>
      <c r="E357" s="19"/>
      <c r="F357" s="19">
        <f t="shared" si="90"/>
        <v>0</v>
      </c>
      <c r="G357" s="19"/>
      <c r="H357" s="19">
        <f t="shared" si="94"/>
        <v>0</v>
      </c>
      <c r="I357" s="19">
        <f t="shared" si="95"/>
        <v>0</v>
      </c>
      <c r="J357" s="18">
        <f t="shared" si="96"/>
        <v>20070.573400000005</v>
      </c>
    </row>
    <row r="358" spans="1:10">
      <c r="B358" s="19"/>
      <c r="C358" s="19"/>
      <c r="D358" s="19"/>
      <c r="E358" s="19"/>
      <c r="F358" s="19">
        <f t="shared" si="90"/>
        <v>0</v>
      </c>
      <c r="G358" s="19"/>
      <c r="H358" s="19">
        <f t="shared" si="94"/>
        <v>0</v>
      </c>
      <c r="I358" s="19">
        <f t="shared" si="95"/>
        <v>0</v>
      </c>
      <c r="J358" s="18">
        <f t="shared" si="96"/>
        <v>20070.573400000005</v>
      </c>
    </row>
    <row r="361" spans="1:10" ht="21">
      <c r="A361" t="s">
        <v>125</v>
      </c>
      <c r="B361" s="1520" t="s">
        <v>20</v>
      </c>
      <c r="C361" s="1520"/>
      <c r="D361" s="1520"/>
      <c r="E361" s="1520"/>
      <c r="F361" s="1520"/>
      <c r="G361" s="1520"/>
      <c r="H361" s="1520"/>
      <c r="I361" s="1520"/>
      <c r="J361" s="1520"/>
    </row>
    <row r="362" spans="1:10" ht="18.75">
      <c r="A362" t="s">
        <v>212</v>
      </c>
      <c r="B362" s="4" t="s">
        <v>1</v>
      </c>
      <c r="C362" s="4" t="s">
        <v>2</v>
      </c>
      <c r="D362" s="4" t="s">
        <v>3</v>
      </c>
      <c r="E362" s="4" t="s">
        <v>4</v>
      </c>
      <c r="F362" s="4" t="s">
        <v>36</v>
      </c>
      <c r="G362" s="4" t="s">
        <v>5</v>
      </c>
      <c r="H362" s="4" t="s">
        <v>6</v>
      </c>
      <c r="I362" s="4" t="s">
        <v>7</v>
      </c>
      <c r="J362" s="4"/>
    </row>
    <row r="363" spans="1:10">
      <c r="B363" s="149">
        <v>45745</v>
      </c>
      <c r="C363" s="152" t="s">
        <v>310</v>
      </c>
      <c r="D363" s="151">
        <v>2</v>
      </c>
      <c r="E363" s="151">
        <v>2089.4899999999998</v>
      </c>
      <c r="F363" s="151">
        <f>E363*D363</f>
        <v>4178.9799999999996</v>
      </c>
      <c r="G363" s="151">
        <v>2.33</v>
      </c>
      <c r="H363" s="151">
        <f>E363*G363</f>
        <v>4868.5117</v>
      </c>
      <c r="I363" s="151">
        <f>H363*D363</f>
        <v>9737.0234</v>
      </c>
      <c r="J363" s="152">
        <f>J362+I363</f>
        <v>9737.0234</v>
      </c>
    </row>
    <row r="364" spans="1:10">
      <c r="B364" s="149">
        <v>45745</v>
      </c>
      <c r="C364" s="150" t="s">
        <v>313</v>
      </c>
      <c r="D364" s="151">
        <v>2</v>
      </c>
      <c r="E364" s="151">
        <v>2204</v>
      </c>
      <c r="F364" s="151">
        <f>E364*D364</f>
        <v>4408</v>
      </c>
      <c r="G364" s="151">
        <v>2.33</v>
      </c>
      <c r="H364" s="151">
        <f>E364*G364</f>
        <v>5135.32</v>
      </c>
      <c r="I364" s="151">
        <f>H364*D364</f>
        <v>10270.64</v>
      </c>
      <c r="J364" s="152">
        <f>J363+I364</f>
        <v>20007.663399999998</v>
      </c>
    </row>
    <row r="365" spans="1:10">
      <c r="B365" s="149">
        <v>45745</v>
      </c>
      <c r="C365" s="150" t="s">
        <v>312</v>
      </c>
      <c r="D365" s="151">
        <v>1</v>
      </c>
      <c r="E365" s="151">
        <v>669</v>
      </c>
      <c r="F365" s="151">
        <f>E365*D365</f>
        <v>669</v>
      </c>
      <c r="G365" s="151">
        <v>2.33</v>
      </c>
      <c r="H365" s="151">
        <f>E365*G365</f>
        <v>1558.77</v>
      </c>
      <c r="I365" s="151">
        <f>H365*D365</f>
        <v>1558.77</v>
      </c>
      <c r="J365" s="152">
        <f>J364+I365</f>
        <v>21566.433399999998</v>
      </c>
    </row>
    <row r="366" spans="1:10">
      <c r="B366" s="19"/>
      <c r="C366" s="19"/>
      <c r="D366" s="19"/>
      <c r="E366" s="19"/>
      <c r="F366" s="19">
        <f>E366*D366</f>
        <v>0</v>
      </c>
      <c r="G366" s="19"/>
      <c r="H366" s="19">
        <f>E366*G366</f>
        <v>0</v>
      </c>
      <c r="I366" s="19">
        <f>H366*D366</f>
        <v>0</v>
      </c>
      <c r="J366" s="18">
        <f>J365+I366</f>
        <v>21566.433399999998</v>
      </c>
    </row>
    <row r="369" spans="1:10" ht="21">
      <c r="A369" t="s">
        <v>125</v>
      </c>
      <c r="B369" s="1520" t="s">
        <v>20</v>
      </c>
      <c r="C369" s="1520"/>
      <c r="D369" s="1520"/>
      <c r="E369" s="1520"/>
      <c r="F369" s="1520"/>
      <c r="G369" s="1520"/>
      <c r="H369" s="1520"/>
      <c r="I369" s="1520"/>
      <c r="J369" s="1520"/>
    </row>
    <row r="370" spans="1:10" ht="18.75">
      <c r="A370" t="s">
        <v>212</v>
      </c>
      <c r="B370" s="4" t="s">
        <v>1</v>
      </c>
      <c r="C370" s="4" t="s">
        <v>2</v>
      </c>
      <c r="D370" s="4" t="s">
        <v>3</v>
      </c>
      <c r="E370" s="4" t="s">
        <v>4</v>
      </c>
      <c r="F370" s="4" t="s">
        <v>36</v>
      </c>
      <c r="G370" s="4" t="s">
        <v>5</v>
      </c>
      <c r="H370" s="4" t="s">
        <v>6</v>
      </c>
      <c r="I370" s="4" t="s">
        <v>7</v>
      </c>
      <c r="J370" s="4"/>
    </row>
    <row r="371" spans="1:10">
      <c r="B371" s="81">
        <v>45747</v>
      </c>
      <c r="C371" s="80" t="s">
        <v>338</v>
      </c>
      <c r="D371" s="19">
        <v>2</v>
      </c>
      <c r="E371" s="19">
        <v>2089.9899999999998</v>
      </c>
      <c r="F371" s="19">
        <f t="shared" ref="F371:F376" si="97">E371*D371</f>
        <v>4179.9799999999996</v>
      </c>
      <c r="G371" s="19">
        <v>2.33</v>
      </c>
      <c r="H371" s="19">
        <f t="shared" ref="H371:H376" si="98">E371*G371</f>
        <v>4869.6767</v>
      </c>
      <c r="I371" s="19">
        <f t="shared" ref="I371:I376" si="99">H371*D371</f>
        <v>9739.3534</v>
      </c>
      <c r="J371" s="18">
        <f t="shared" ref="J371:J376" si="100">J370+I371</f>
        <v>9739.3534</v>
      </c>
    </row>
    <row r="372" spans="1:10">
      <c r="B372" s="81">
        <v>45747</v>
      </c>
      <c r="C372" s="80" t="s">
        <v>339</v>
      </c>
      <c r="D372" s="19">
        <v>2</v>
      </c>
      <c r="E372" s="19">
        <v>2460.9899999999998</v>
      </c>
      <c r="F372" s="19">
        <f t="shared" si="97"/>
        <v>4921.9799999999996</v>
      </c>
      <c r="G372" s="19">
        <v>2.33</v>
      </c>
      <c r="H372" s="19">
        <f t="shared" si="98"/>
        <v>5734.1066999999994</v>
      </c>
      <c r="I372" s="19">
        <f t="shared" si="99"/>
        <v>11468.213399999999</v>
      </c>
      <c r="J372" s="18">
        <f t="shared" si="100"/>
        <v>21207.566800000001</v>
      </c>
    </row>
    <row r="373" spans="1:10">
      <c r="B373" s="81">
        <v>45747</v>
      </c>
      <c r="C373" s="80" t="s">
        <v>340</v>
      </c>
      <c r="D373" s="19">
        <v>2</v>
      </c>
      <c r="E373" s="19">
        <v>2460.9899999999998</v>
      </c>
      <c r="F373" s="19">
        <f t="shared" si="97"/>
        <v>4921.9799999999996</v>
      </c>
      <c r="G373" s="19">
        <v>2.33</v>
      </c>
      <c r="H373" s="19">
        <f t="shared" si="98"/>
        <v>5734.1066999999994</v>
      </c>
      <c r="I373" s="19">
        <f t="shared" si="99"/>
        <v>11468.213399999999</v>
      </c>
      <c r="J373" s="18">
        <f t="shared" si="100"/>
        <v>32675.780200000001</v>
      </c>
    </row>
    <row r="374" spans="1:10">
      <c r="B374" s="81">
        <v>45747</v>
      </c>
      <c r="C374" s="80" t="s">
        <v>341</v>
      </c>
      <c r="D374" s="19">
        <v>10</v>
      </c>
      <c r="E374" s="19">
        <v>213</v>
      </c>
      <c r="F374" s="19">
        <f t="shared" si="97"/>
        <v>2130</v>
      </c>
      <c r="G374" s="19">
        <v>2.33</v>
      </c>
      <c r="H374" s="19">
        <f t="shared" si="98"/>
        <v>496.29</v>
      </c>
      <c r="I374" s="19">
        <f t="shared" si="99"/>
        <v>4962.9000000000005</v>
      </c>
      <c r="J374" s="18">
        <f t="shared" si="100"/>
        <v>37638.680200000003</v>
      </c>
    </row>
    <row r="375" spans="1:10">
      <c r="B375" s="81">
        <v>45747</v>
      </c>
      <c r="C375" s="80" t="s">
        <v>342</v>
      </c>
      <c r="D375" s="19">
        <v>10</v>
      </c>
      <c r="E375" s="19">
        <v>87</v>
      </c>
      <c r="F375" s="19">
        <f t="shared" si="97"/>
        <v>870</v>
      </c>
      <c r="G375" s="19">
        <v>2.33</v>
      </c>
      <c r="H375" s="19">
        <f t="shared" si="98"/>
        <v>202.71</v>
      </c>
      <c r="I375" s="19">
        <f t="shared" si="99"/>
        <v>2027.1000000000001</v>
      </c>
      <c r="J375" s="18">
        <f t="shared" si="100"/>
        <v>39665.780200000001</v>
      </c>
    </row>
    <row r="376" spans="1:10">
      <c r="B376" s="19"/>
      <c r="C376" s="19"/>
      <c r="D376" s="19"/>
      <c r="E376" s="19"/>
      <c r="F376" s="19">
        <f t="shared" si="97"/>
        <v>0</v>
      </c>
      <c r="G376" s="19"/>
      <c r="H376" s="19">
        <f t="shared" si="98"/>
        <v>0</v>
      </c>
      <c r="I376" s="19">
        <f t="shared" si="99"/>
        <v>0</v>
      </c>
      <c r="J376" s="18">
        <f t="shared" si="100"/>
        <v>39665.780200000001</v>
      </c>
    </row>
    <row r="377" spans="1:10">
      <c r="J377"/>
    </row>
    <row r="378" spans="1:10">
      <c r="J378"/>
    </row>
    <row r="379" spans="1:10">
      <c r="J379"/>
    </row>
    <row r="380" spans="1:10" ht="21">
      <c r="A380" t="s">
        <v>125</v>
      </c>
      <c r="B380" s="1520" t="s">
        <v>35</v>
      </c>
      <c r="C380" s="1520"/>
      <c r="D380" s="1520"/>
      <c r="E380" s="1520"/>
      <c r="F380" s="1520"/>
      <c r="G380" s="1520"/>
      <c r="H380" s="1520"/>
      <c r="I380" s="1520"/>
      <c r="J380" s="1520"/>
    </row>
    <row r="381" spans="1:10" ht="18.75">
      <c r="A381" t="s">
        <v>212</v>
      </c>
      <c r="B381" s="4" t="s">
        <v>1</v>
      </c>
      <c r="C381" s="4" t="s">
        <v>2</v>
      </c>
      <c r="D381" s="4" t="s">
        <v>3</v>
      </c>
      <c r="E381" s="4" t="s">
        <v>146</v>
      </c>
      <c r="F381" s="4" t="s">
        <v>145</v>
      </c>
      <c r="G381" s="4" t="s">
        <v>5</v>
      </c>
      <c r="H381" s="4" t="s">
        <v>6</v>
      </c>
      <c r="I381" s="4" t="s">
        <v>7</v>
      </c>
      <c r="J381" s="4"/>
    </row>
    <row r="382" spans="1:10">
      <c r="B382" s="81">
        <v>45750</v>
      </c>
      <c r="C382" s="19" t="s">
        <v>319</v>
      </c>
      <c r="D382" s="19">
        <v>10</v>
      </c>
      <c r="E382" s="19">
        <v>759</v>
      </c>
      <c r="F382" s="19">
        <f>E382*D382</f>
        <v>7590</v>
      </c>
      <c r="G382" s="19">
        <v>2.16</v>
      </c>
      <c r="H382" s="19">
        <f>E382*G382</f>
        <v>1639.44</v>
      </c>
      <c r="I382" s="19">
        <f>H382*D382</f>
        <v>16394.400000000001</v>
      </c>
      <c r="J382" s="18">
        <f>J381+I382</f>
        <v>16394.400000000001</v>
      </c>
    </row>
    <row r="383" spans="1:10">
      <c r="B383" s="19"/>
      <c r="C383" s="19"/>
      <c r="D383" s="19"/>
      <c r="E383" s="19"/>
      <c r="F383" s="19">
        <f>E383*D383</f>
        <v>0</v>
      </c>
      <c r="G383" s="19"/>
      <c r="H383" s="19">
        <f>E383*G383</f>
        <v>0</v>
      </c>
      <c r="I383" s="19">
        <f>H383*D383</f>
        <v>0</v>
      </c>
      <c r="J383" s="18">
        <f>J382+I383</f>
        <v>16394.400000000001</v>
      </c>
    </row>
    <row r="384" spans="1:10">
      <c r="J384"/>
    </row>
    <row r="385" spans="1:10">
      <c r="J385"/>
    </row>
    <row r="386" spans="1:10" ht="21">
      <c r="A386" t="s">
        <v>125</v>
      </c>
      <c r="B386" s="1520" t="s">
        <v>20</v>
      </c>
      <c r="C386" s="1520"/>
      <c r="D386" s="1520"/>
      <c r="E386" s="1520"/>
      <c r="F386" s="1520"/>
      <c r="G386" s="1520"/>
      <c r="H386" s="1520"/>
      <c r="I386" s="1520"/>
      <c r="J386" s="1520"/>
    </row>
    <row r="387" spans="1:10" ht="18.75">
      <c r="A387" t="s">
        <v>212</v>
      </c>
      <c r="B387" s="4" t="s">
        <v>1</v>
      </c>
      <c r="C387" s="4" t="s">
        <v>2</v>
      </c>
      <c r="D387" s="4" t="s">
        <v>3</v>
      </c>
      <c r="E387" s="4" t="s">
        <v>4</v>
      </c>
      <c r="F387" s="4" t="s">
        <v>36</v>
      </c>
      <c r="G387" s="4" t="s">
        <v>5</v>
      </c>
      <c r="H387" s="4" t="s">
        <v>6</v>
      </c>
      <c r="I387" s="4" t="s">
        <v>7</v>
      </c>
      <c r="J387" s="4"/>
    </row>
    <row r="388" spans="1:10">
      <c r="B388" s="149">
        <v>45748</v>
      </c>
      <c r="C388" s="150" t="s">
        <v>322</v>
      </c>
      <c r="D388" s="151">
        <v>2</v>
      </c>
      <c r="E388" s="151">
        <v>2089.4899999999998</v>
      </c>
      <c r="F388" s="151">
        <f t="shared" ref="F388:F408" si="101">E388*D388</f>
        <v>4178.9799999999996</v>
      </c>
      <c r="G388" s="151">
        <v>2.33</v>
      </c>
      <c r="H388" s="151">
        <f t="shared" ref="H388:H408" si="102">E388*G388</f>
        <v>4868.5117</v>
      </c>
      <c r="I388" s="151">
        <f t="shared" ref="I388:I408" si="103">H388*D388</f>
        <v>9737.0234</v>
      </c>
      <c r="J388" s="152">
        <f>J387+I388</f>
        <v>9737.0234</v>
      </c>
    </row>
    <row r="389" spans="1:10">
      <c r="B389" s="149">
        <v>45748</v>
      </c>
      <c r="C389" s="150" t="s">
        <v>323</v>
      </c>
      <c r="D389" s="151">
        <v>2</v>
      </c>
      <c r="E389" s="151">
        <v>2460.4899999999998</v>
      </c>
      <c r="F389" s="151">
        <f t="shared" si="101"/>
        <v>4920.9799999999996</v>
      </c>
      <c r="G389" s="151">
        <v>2.33</v>
      </c>
      <c r="H389" s="151">
        <f t="shared" si="102"/>
        <v>5732.9416999999994</v>
      </c>
      <c r="I389" s="151">
        <f t="shared" si="103"/>
        <v>11465.883399999999</v>
      </c>
      <c r="J389" s="152">
        <f t="shared" ref="J389:J396" si="104">J388+I389</f>
        <v>21202.906799999997</v>
      </c>
    </row>
    <row r="390" spans="1:10">
      <c r="B390" s="19"/>
      <c r="C390" s="80"/>
      <c r="D390" s="19"/>
      <c r="E390" s="19"/>
      <c r="F390" s="19">
        <f t="shared" si="101"/>
        <v>0</v>
      </c>
      <c r="G390" s="19"/>
      <c r="H390" s="19">
        <f t="shared" si="102"/>
        <v>0</v>
      </c>
      <c r="I390" s="19">
        <f t="shared" si="103"/>
        <v>0</v>
      </c>
      <c r="J390" s="18">
        <f t="shared" si="104"/>
        <v>21202.906799999997</v>
      </c>
    </row>
    <row r="391" spans="1:10">
      <c r="B391" s="149">
        <v>45749</v>
      </c>
      <c r="C391" s="150" t="s">
        <v>326</v>
      </c>
      <c r="D391" s="151">
        <v>2</v>
      </c>
      <c r="E391" s="151">
        <v>2517.4899999999998</v>
      </c>
      <c r="F391" s="151">
        <f t="shared" si="101"/>
        <v>5034.9799999999996</v>
      </c>
      <c r="G391" s="151">
        <v>2.33</v>
      </c>
      <c r="H391" s="151">
        <f t="shared" si="102"/>
        <v>5865.7516999999998</v>
      </c>
      <c r="I391" s="151">
        <f t="shared" si="103"/>
        <v>11731.5034</v>
      </c>
      <c r="J391" s="152">
        <f t="shared" si="104"/>
        <v>32934.410199999998</v>
      </c>
    </row>
    <row r="392" spans="1:10">
      <c r="B392" s="149">
        <v>45749</v>
      </c>
      <c r="C392" s="150" t="s">
        <v>324</v>
      </c>
      <c r="D392" s="151">
        <v>2</v>
      </c>
      <c r="E392" s="151">
        <v>2089.4899999999998</v>
      </c>
      <c r="F392" s="151">
        <f t="shared" si="101"/>
        <v>4178.9799999999996</v>
      </c>
      <c r="G392" s="151">
        <v>2.33</v>
      </c>
      <c r="H392" s="151">
        <f t="shared" si="102"/>
        <v>4868.5117</v>
      </c>
      <c r="I392" s="151">
        <f t="shared" si="103"/>
        <v>9737.0234</v>
      </c>
      <c r="J392" s="152">
        <f t="shared" si="104"/>
        <v>42671.433599999997</v>
      </c>
    </row>
    <row r="393" spans="1:10">
      <c r="B393" s="149">
        <v>45749</v>
      </c>
      <c r="C393" s="150" t="s">
        <v>325</v>
      </c>
      <c r="D393" s="151">
        <v>2</v>
      </c>
      <c r="E393" s="151">
        <v>2089.4899999999998</v>
      </c>
      <c r="F393" s="151">
        <f t="shared" si="101"/>
        <v>4178.9799999999996</v>
      </c>
      <c r="G393" s="151">
        <v>2.33</v>
      </c>
      <c r="H393" s="151">
        <f t="shared" si="102"/>
        <v>4868.5117</v>
      </c>
      <c r="I393" s="151">
        <f t="shared" si="103"/>
        <v>9737.0234</v>
      </c>
      <c r="J393" s="152">
        <f t="shared" si="104"/>
        <v>52408.456999999995</v>
      </c>
    </row>
    <row r="394" spans="1:10">
      <c r="B394" s="149">
        <v>45749</v>
      </c>
      <c r="C394" s="150" t="s">
        <v>335</v>
      </c>
      <c r="D394" s="151">
        <v>1</v>
      </c>
      <c r="E394" s="151">
        <v>2089.9899999999998</v>
      </c>
      <c r="F394" s="151">
        <f t="shared" si="101"/>
        <v>2089.9899999999998</v>
      </c>
      <c r="G394" s="151">
        <v>2.33</v>
      </c>
      <c r="H394" s="151">
        <f t="shared" si="102"/>
        <v>4869.6767</v>
      </c>
      <c r="I394" s="151">
        <f t="shared" si="103"/>
        <v>4869.6767</v>
      </c>
      <c r="J394" s="152">
        <f t="shared" si="104"/>
        <v>57278.133699999991</v>
      </c>
    </row>
    <row r="395" spans="1:10">
      <c r="B395" s="149">
        <v>45749</v>
      </c>
      <c r="C395" s="150" t="s">
        <v>336</v>
      </c>
      <c r="D395" s="151">
        <v>1</v>
      </c>
      <c r="E395" s="151">
        <v>2089.9899999999998</v>
      </c>
      <c r="F395" s="151">
        <f t="shared" si="101"/>
        <v>2089.9899999999998</v>
      </c>
      <c r="G395" s="151">
        <v>2.33</v>
      </c>
      <c r="H395" s="151">
        <f t="shared" si="102"/>
        <v>4869.6767</v>
      </c>
      <c r="I395" s="151">
        <f t="shared" si="103"/>
        <v>4869.6767</v>
      </c>
      <c r="J395" s="152">
        <f t="shared" si="104"/>
        <v>62147.810399999988</v>
      </c>
    </row>
    <row r="396" spans="1:10">
      <c r="B396" s="19"/>
      <c r="C396" s="19"/>
      <c r="D396" s="19"/>
      <c r="E396" s="19"/>
      <c r="F396" s="19">
        <f t="shared" si="101"/>
        <v>0</v>
      </c>
      <c r="G396" s="19"/>
      <c r="H396" s="19">
        <f t="shared" si="102"/>
        <v>0</v>
      </c>
      <c r="I396" s="19">
        <f t="shared" si="103"/>
        <v>0</v>
      </c>
      <c r="J396" s="18">
        <f t="shared" si="104"/>
        <v>62147.810399999988</v>
      </c>
    </row>
    <row r="397" spans="1:10">
      <c r="B397" s="149">
        <v>45749</v>
      </c>
      <c r="C397" s="151" t="s">
        <v>327</v>
      </c>
      <c r="D397" s="151">
        <v>8</v>
      </c>
      <c r="E397" s="151">
        <v>229</v>
      </c>
      <c r="F397" s="151">
        <f t="shared" si="101"/>
        <v>1832</v>
      </c>
      <c r="G397" s="151">
        <v>2.33</v>
      </c>
      <c r="H397" s="151">
        <f t="shared" si="102"/>
        <v>533.57000000000005</v>
      </c>
      <c r="I397" s="151">
        <f t="shared" si="103"/>
        <v>4268.5600000000004</v>
      </c>
      <c r="J397" s="152">
        <f t="shared" ref="J397:J408" si="105">J396+I397</f>
        <v>66416.370399999985</v>
      </c>
    </row>
    <row r="398" spans="1:10">
      <c r="B398" s="149">
        <v>45749</v>
      </c>
      <c r="C398" s="151" t="s">
        <v>328</v>
      </c>
      <c r="D398" s="151">
        <v>1</v>
      </c>
      <c r="E398" s="151">
        <v>699</v>
      </c>
      <c r="F398" s="151">
        <f t="shared" si="101"/>
        <v>699</v>
      </c>
      <c r="G398" s="151">
        <v>2.33</v>
      </c>
      <c r="H398" s="151">
        <f t="shared" si="102"/>
        <v>1628.67</v>
      </c>
      <c r="I398" s="151">
        <f t="shared" si="103"/>
        <v>1628.67</v>
      </c>
      <c r="J398" s="152">
        <f t="shared" si="105"/>
        <v>68045.040399999983</v>
      </c>
    </row>
    <row r="399" spans="1:10">
      <c r="B399" s="149">
        <v>45749</v>
      </c>
      <c r="C399" s="151" t="s">
        <v>329</v>
      </c>
      <c r="D399" s="151">
        <v>1</v>
      </c>
      <c r="E399" s="151">
        <v>799</v>
      </c>
      <c r="F399" s="151">
        <f t="shared" si="101"/>
        <v>799</v>
      </c>
      <c r="G399" s="151">
        <v>2.33</v>
      </c>
      <c r="H399" s="151">
        <f t="shared" si="102"/>
        <v>1861.67</v>
      </c>
      <c r="I399" s="151">
        <f t="shared" si="103"/>
        <v>1861.67</v>
      </c>
      <c r="J399" s="152">
        <f t="shared" si="105"/>
        <v>69906.710399999982</v>
      </c>
    </row>
    <row r="400" spans="1:10">
      <c r="B400" s="19"/>
      <c r="C400" s="19"/>
      <c r="D400" s="19"/>
      <c r="E400" s="19"/>
      <c r="F400" s="19">
        <f t="shared" si="101"/>
        <v>0</v>
      </c>
      <c r="G400" s="19"/>
      <c r="H400" s="19">
        <f t="shared" si="102"/>
        <v>0</v>
      </c>
      <c r="I400" s="19">
        <f t="shared" si="103"/>
        <v>0</v>
      </c>
      <c r="J400" s="18">
        <f t="shared" si="105"/>
        <v>69906.710399999982</v>
      </c>
    </row>
    <row r="401" spans="1:10">
      <c r="B401" s="149">
        <v>45749</v>
      </c>
      <c r="C401" s="150" t="s">
        <v>330</v>
      </c>
      <c r="D401" s="151">
        <v>1</v>
      </c>
      <c r="E401" s="151">
        <v>2149</v>
      </c>
      <c r="F401" s="151">
        <f t="shared" si="101"/>
        <v>2149</v>
      </c>
      <c r="G401" s="151">
        <v>2.33</v>
      </c>
      <c r="H401" s="151">
        <f t="shared" si="102"/>
        <v>5007.17</v>
      </c>
      <c r="I401" s="151">
        <f t="shared" si="103"/>
        <v>5007.17</v>
      </c>
      <c r="J401" s="152">
        <f t="shared" si="105"/>
        <v>74913.88039999998</v>
      </c>
    </row>
    <row r="402" spans="1:10">
      <c r="B402" s="180">
        <v>45749</v>
      </c>
      <c r="C402" s="181" t="s">
        <v>359</v>
      </c>
      <c r="D402" s="182">
        <v>1</v>
      </c>
      <c r="E402" s="182">
        <v>2089.9899999999998</v>
      </c>
      <c r="F402" s="182">
        <f t="shared" si="101"/>
        <v>2089.9899999999998</v>
      </c>
      <c r="G402" s="182">
        <v>2.33</v>
      </c>
      <c r="H402" s="182">
        <f t="shared" si="102"/>
        <v>4869.6767</v>
      </c>
      <c r="I402" s="182">
        <f t="shared" si="103"/>
        <v>4869.6767</v>
      </c>
      <c r="J402" s="183">
        <f t="shared" si="105"/>
        <v>79783.557099999976</v>
      </c>
    </row>
    <row r="403" spans="1:10">
      <c r="B403" s="180">
        <v>45749</v>
      </c>
      <c r="C403" s="181" t="s">
        <v>360</v>
      </c>
      <c r="D403" s="182">
        <v>2</v>
      </c>
      <c r="E403" s="182">
        <v>2089.9899999999998</v>
      </c>
      <c r="F403" s="182">
        <f t="shared" si="101"/>
        <v>4179.9799999999996</v>
      </c>
      <c r="G403" s="182">
        <v>2.33</v>
      </c>
      <c r="H403" s="182">
        <f t="shared" si="102"/>
        <v>4869.6767</v>
      </c>
      <c r="I403" s="182">
        <f t="shared" si="103"/>
        <v>9739.3534</v>
      </c>
      <c r="J403" s="183">
        <f t="shared" si="105"/>
        <v>89522.910499999969</v>
      </c>
    </row>
    <row r="404" spans="1:10">
      <c r="B404" s="149">
        <v>45749</v>
      </c>
      <c r="C404" s="150" t="s">
        <v>331</v>
      </c>
      <c r="D404" s="151">
        <v>1</v>
      </c>
      <c r="E404" s="151">
        <v>2089.9899999999998</v>
      </c>
      <c r="F404" s="151">
        <f t="shared" si="101"/>
        <v>2089.9899999999998</v>
      </c>
      <c r="G404" s="151">
        <v>2.33</v>
      </c>
      <c r="H404" s="151">
        <f t="shared" si="102"/>
        <v>4869.6767</v>
      </c>
      <c r="I404" s="151">
        <f t="shared" si="103"/>
        <v>4869.6767</v>
      </c>
      <c r="J404" s="152">
        <f t="shared" si="105"/>
        <v>94392.587199999965</v>
      </c>
    </row>
    <row r="405" spans="1:10">
      <c r="B405" s="149">
        <v>45749</v>
      </c>
      <c r="C405" s="150" t="s">
        <v>332</v>
      </c>
      <c r="D405" s="151">
        <v>1</v>
      </c>
      <c r="E405" s="151">
        <v>2089.9899999999998</v>
      </c>
      <c r="F405" s="151">
        <f t="shared" si="101"/>
        <v>2089.9899999999998</v>
      </c>
      <c r="G405" s="151">
        <v>2.33</v>
      </c>
      <c r="H405" s="151">
        <f t="shared" si="102"/>
        <v>4869.6767</v>
      </c>
      <c r="I405" s="151">
        <f t="shared" si="103"/>
        <v>4869.6767</v>
      </c>
      <c r="J405" s="152">
        <f t="shared" si="105"/>
        <v>99262.263899999962</v>
      </c>
    </row>
    <row r="406" spans="1:10">
      <c r="B406" s="19"/>
      <c r="C406" s="19"/>
      <c r="D406" s="19"/>
      <c r="E406" s="19"/>
      <c r="F406" s="19">
        <f t="shared" si="101"/>
        <v>0</v>
      </c>
      <c r="G406" s="19"/>
      <c r="H406" s="19">
        <f t="shared" si="102"/>
        <v>0</v>
      </c>
      <c r="I406" s="19">
        <f t="shared" si="103"/>
        <v>0</v>
      </c>
      <c r="J406" s="18">
        <f t="shared" si="105"/>
        <v>99262.263899999962</v>
      </c>
    </row>
    <row r="407" spans="1:10">
      <c r="B407" s="149">
        <v>45749</v>
      </c>
      <c r="C407" s="151" t="s">
        <v>333</v>
      </c>
      <c r="D407" s="151">
        <v>1</v>
      </c>
      <c r="E407" s="151">
        <v>39</v>
      </c>
      <c r="F407" s="151">
        <f t="shared" si="101"/>
        <v>39</v>
      </c>
      <c r="G407" s="151">
        <v>2.33</v>
      </c>
      <c r="H407" s="151">
        <f t="shared" si="102"/>
        <v>90.87</v>
      </c>
      <c r="I407" s="151">
        <f t="shared" si="103"/>
        <v>90.87</v>
      </c>
      <c r="J407" s="152">
        <f t="shared" si="105"/>
        <v>99353.133899999957</v>
      </c>
    </row>
    <row r="408" spans="1:10">
      <c r="B408" s="19"/>
      <c r="C408" s="19"/>
      <c r="D408" s="19"/>
      <c r="E408" s="19"/>
      <c r="F408" s="19">
        <f t="shared" si="101"/>
        <v>0</v>
      </c>
      <c r="G408" s="19"/>
      <c r="H408" s="19">
        <f t="shared" si="102"/>
        <v>0</v>
      </c>
      <c r="I408" s="19">
        <f t="shared" si="103"/>
        <v>0</v>
      </c>
      <c r="J408" s="18">
        <f t="shared" si="105"/>
        <v>99353.133899999957</v>
      </c>
    </row>
    <row r="409" spans="1:10">
      <c r="J409"/>
    </row>
    <row r="410" spans="1:10">
      <c r="J410"/>
    </row>
    <row r="411" spans="1:10" ht="21">
      <c r="A411" t="s">
        <v>125</v>
      </c>
      <c r="B411" s="1520" t="s">
        <v>20</v>
      </c>
      <c r="C411" s="1520"/>
      <c r="D411" s="1520"/>
      <c r="E411" s="1520"/>
      <c r="F411" s="1520"/>
      <c r="G411" s="1520"/>
      <c r="H411" s="1520"/>
      <c r="I411" s="1520"/>
      <c r="J411" s="1520"/>
    </row>
    <row r="412" spans="1:10" ht="18.75">
      <c r="A412" t="s">
        <v>212</v>
      </c>
      <c r="B412" s="4" t="s">
        <v>1</v>
      </c>
      <c r="C412" s="4" t="s">
        <v>2</v>
      </c>
      <c r="D412" s="4" t="s">
        <v>3</v>
      </c>
      <c r="E412" s="4" t="s">
        <v>4</v>
      </c>
      <c r="F412" s="4" t="s">
        <v>36</v>
      </c>
      <c r="G412" s="4" t="s">
        <v>5</v>
      </c>
      <c r="H412" s="4" t="s">
        <v>6</v>
      </c>
      <c r="I412" s="4" t="s">
        <v>7</v>
      </c>
      <c r="J412" s="4"/>
    </row>
    <row r="413" spans="1:10">
      <c r="B413" s="81">
        <v>45750</v>
      </c>
      <c r="C413" s="19" t="s">
        <v>343</v>
      </c>
      <c r="D413" s="19">
        <v>1</v>
      </c>
      <c r="E413" s="19">
        <v>799</v>
      </c>
      <c r="F413" s="19">
        <f>E413*D413</f>
        <v>799</v>
      </c>
      <c r="G413" s="19">
        <v>2.33</v>
      </c>
      <c r="H413" s="19">
        <f>E413*G413</f>
        <v>1861.67</v>
      </c>
      <c r="I413" s="19">
        <f>H413*D413</f>
        <v>1861.67</v>
      </c>
      <c r="J413" s="18">
        <f>J412+I413</f>
        <v>1861.67</v>
      </c>
    </row>
    <row r="414" spans="1:10">
      <c r="B414" s="195">
        <v>45750</v>
      </c>
      <c r="C414" s="197" t="s">
        <v>344</v>
      </c>
      <c r="D414" s="197">
        <v>1</v>
      </c>
      <c r="E414" s="197">
        <v>669</v>
      </c>
      <c r="F414" s="197">
        <f>E414*D414</f>
        <v>669</v>
      </c>
      <c r="G414" s="197">
        <v>2.33</v>
      </c>
      <c r="H414" s="197">
        <f>E414*G414</f>
        <v>1558.77</v>
      </c>
      <c r="I414" s="197">
        <f>H414*D414</f>
        <v>1558.77</v>
      </c>
      <c r="J414" s="198">
        <f>J413+I414</f>
        <v>3420.44</v>
      </c>
    </row>
    <row r="415" spans="1:10">
      <c r="B415" s="19"/>
      <c r="C415" s="19"/>
      <c r="D415" s="19"/>
      <c r="E415" s="19"/>
      <c r="F415" s="19">
        <f>E415*D415</f>
        <v>0</v>
      </c>
      <c r="G415" s="19"/>
      <c r="H415" s="19">
        <f>E415*G415</f>
        <v>0</v>
      </c>
      <c r="I415" s="19">
        <f>H415*D415</f>
        <v>0</v>
      </c>
      <c r="J415" s="18">
        <f>J414+I415</f>
        <v>3420.44</v>
      </c>
    </row>
    <row r="416" spans="1:10">
      <c r="J416"/>
    </row>
    <row r="417" spans="1:10">
      <c r="J417"/>
    </row>
    <row r="418" spans="1:10" ht="21">
      <c r="A418" t="s">
        <v>125</v>
      </c>
      <c r="B418" s="1520" t="s">
        <v>20</v>
      </c>
      <c r="C418" s="1520"/>
      <c r="D418" s="1520"/>
      <c r="E418" s="1520"/>
      <c r="F418" s="1520"/>
      <c r="G418" s="1520"/>
      <c r="H418" s="1520"/>
      <c r="I418" s="1520"/>
      <c r="J418" s="1520"/>
    </row>
    <row r="419" spans="1:10" ht="18.75">
      <c r="A419" t="s">
        <v>212</v>
      </c>
      <c r="B419" s="4" t="s">
        <v>1</v>
      </c>
      <c r="C419" s="4" t="s">
        <v>2</v>
      </c>
      <c r="D419" s="4" t="s">
        <v>3</v>
      </c>
      <c r="E419" s="4" t="s">
        <v>4</v>
      </c>
      <c r="F419" s="4" t="s">
        <v>36</v>
      </c>
      <c r="G419" s="4" t="s">
        <v>5</v>
      </c>
      <c r="H419" s="4" t="s">
        <v>6</v>
      </c>
      <c r="I419" s="4" t="s">
        <v>7</v>
      </c>
      <c r="J419" s="4"/>
    </row>
    <row r="420" spans="1:10">
      <c r="B420" s="81">
        <v>45751</v>
      </c>
      <c r="C420" s="80" t="s">
        <v>345</v>
      </c>
      <c r="D420" s="19">
        <v>6</v>
      </c>
      <c r="E420" s="19">
        <v>87</v>
      </c>
      <c r="F420" s="19">
        <f>E420*D420</f>
        <v>522</v>
      </c>
      <c r="G420" s="19">
        <v>2.33</v>
      </c>
      <c r="H420" s="19">
        <f>E420*G420</f>
        <v>202.71</v>
      </c>
      <c r="I420" s="19">
        <f>H420*D420</f>
        <v>1216.26</v>
      </c>
      <c r="J420" s="18">
        <f>J419+I420</f>
        <v>1216.26</v>
      </c>
    </row>
    <row r="421" spans="1:10">
      <c r="B421" s="149">
        <v>45751</v>
      </c>
      <c r="C421" s="150" t="s">
        <v>346</v>
      </c>
      <c r="D421" s="151">
        <v>1</v>
      </c>
      <c r="E421" s="151">
        <v>2204</v>
      </c>
      <c r="F421" s="151">
        <f>E421*D421</f>
        <v>2204</v>
      </c>
      <c r="G421" s="151">
        <v>2.33</v>
      </c>
      <c r="H421" s="151">
        <f>E421*G421</f>
        <v>5135.32</v>
      </c>
      <c r="I421" s="151">
        <f>H421*D421</f>
        <v>5135.32</v>
      </c>
      <c r="J421" s="152">
        <f>J420+I421</f>
        <v>6351.58</v>
      </c>
    </row>
    <row r="422" spans="1:10">
      <c r="B422" s="81">
        <v>45751</v>
      </c>
      <c r="C422" s="80" t="s">
        <v>347</v>
      </c>
      <c r="D422" s="19">
        <v>1</v>
      </c>
      <c r="E422" s="19">
        <v>2089.9899999999998</v>
      </c>
      <c r="F422" s="19">
        <f>E422*D422</f>
        <v>2089.9899999999998</v>
      </c>
      <c r="G422" s="19">
        <v>2.33</v>
      </c>
      <c r="H422" s="19">
        <f>E422*G422</f>
        <v>4869.6767</v>
      </c>
      <c r="I422" s="19">
        <f>H422*D422</f>
        <v>4869.6767</v>
      </c>
      <c r="J422" s="18">
        <f>J421+I422</f>
        <v>11221.2567</v>
      </c>
    </row>
    <row r="423" spans="1:10">
      <c r="B423" s="180">
        <v>45751</v>
      </c>
      <c r="C423" s="181" t="s">
        <v>374</v>
      </c>
      <c r="D423" s="182">
        <v>1</v>
      </c>
      <c r="E423" s="182">
        <v>2089.9899999999998</v>
      </c>
      <c r="F423" s="182">
        <f>E423*D423</f>
        <v>2089.9899999999998</v>
      </c>
      <c r="G423" s="182">
        <v>2.33</v>
      </c>
      <c r="H423" s="182">
        <f>E423*G423</f>
        <v>4869.6767</v>
      </c>
      <c r="I423" s="182">
        <f>H423*D423</f>
        <v>4869.6767</v>
      </c>
      <c r="J423" s="183">
        <f>J422+I423</f>
        <v>16090.9334</v>
      </c>
    </row>
    <row r="424" spans="1:10">
      <c r="B424" s="19"/>
      <c r="C424" s="19"/>
      <c r="D424" s="19"/>
      <c r="E424" s="19"/>
      <c r="F424" s="19">
        <f>E424*D424</f>
        <v>0</v>
      </c>
      <c r="G424" s="19"/>
      <c r="H424" s="19">
        <f>E424*G424</f>
        <v>0</v>
      </c>
      <c r="I424" s="19">
        <f>H424*D424</f>
        <v>0</v>
      </c>
      <c r="J424" s="18">
        <f>J423+I424</f>
        <v>16090.9334</v>
      </c>
    </row>
    <row r="425" spans="1:10">
      <c r="J425"/>
    </row>
    <row r="426" spans="1:10">
      <c r="J426"/>
    </row>
    <row r="427" spans="1:10" ht="21">
      <c r="A427" t="s">
        <v>125</v>
      </c>
      <c r="B427" s="1520" t="s">
        <v>20</v>
      </c>
      <c r="C427" s="1520"/>
      <c r="D427" s="1520"/>
      <c r="E427" s="1520"/>
      <c r="F427" s="1520"/>
      <c r="G427" s="1520"/>
      <c r="H427" s="1520"/>
      <c r="I427" s="1520"/>
      <c r="J427" s="1520"/>
    </row>
    <row r="428" spans="1:10" ht="18.75">
      <c r="A428" t="s">
        <v>212</v>
      </c>
      <c r="B428" s="4" t="s">
        <v>1</v>
      </c>
      <c r="C428" s="4" t="s">
        <v>2</v>
      </c>
      <c r="D428" s="4" t="s">
        <v>3</v>
      </c>
      <c r="E428" s="4" t="s">
        <v>4</v>
      </c>
      <c r="F428" s="4" t="s">
        <v>36</v>
      </c>
      <c r="G428" s="4" t="s">
        <v>5</v>
      </c>
      <c r="H428" s="4" t="s">
        <v>6</v>
      </c>
      <c r="I428" s="4" t="s">
        <v>7</v>
      </c>
      <c r="J428" s="4"/>
    </row>
    <row r="429" spans="1:10">
      <c r="B429" s="81">
        <v>45752</v>
      </c>
      <c r="C429" s="18" t="s">
        <v>361</v>
      </c>
      <c r="D429" s="19">
        <v>1</v>
      </c>
      <c r="E429" s="19">
        <v>2089.9899999999998</v>
      </c>
      <c r="F429" s="19">
        <f>E429*D429</f>
        <v>2089.9899999999998</v>
      </c>
      <c r="G429" s="19">
        <v>2.33</v>
      </c>
      <c r="H429" s="19">
        <f>E429*G429</f>
        <v>4869.6767</v>
      </c>
      <c r="I429" s="19">
        <f>H429*D429</f>
        <v>4869.6767</v>
      </c>
      <c r="J429" s="18">
        <f>J428+I429</f>
        <v>4869.6767</v>
      </c>
    </row>
    <row r="430" spans="1:10">
      <c r="B430" s="81">
        <v>45752</v>
      </c>
      <c r="C430" s="18" t="s">
        <v>362</v>
      </c>
      <c r="D430" s="19">
        <v>1</v>
      </c>
      <c r="E430" s="19">
        <v>149</v>
      </c>
      <c r="F430" s="19">
        <f>E430*D430</f>
        <v>149</v>
      </c>
      <c r="G430" s="19">
        <v>2.33</v>
      </c>
      <c r="H430" s="19">
        <f>E430*G430</f>
        <v>347.17</v>
      </c>
      <c r="I430" s="19">
        <f>H430*D430</f>
        <v>347.17</v>
      </c>
      <c r="J430" s="18">
        <f>J429+I430</f>
        <v>5216.8467000000001</v>
      </c>
    </row>
    <row r="431" spans="1:10">
      <c r="B431" s="81">
        <v>45752</v>
      </c>
      <c r="C431" s="18" t="s">
        <v>363</v>
      </c>
      <c r="D431" s="19">
        <v>1</v>
      </c>
      <c r="E431" s="19">
        <v>2549</v>
      </c>
      <c r="F431" s="19">
        <f>E431*D431</f>
        <v>2549</v>
      </c>
      <c r="G431" s="19">
        <v>2.33</v>
      </c>
      <c r="H431" s="19">
        <f>E431*G431</f>
        <v>5939.17</v>
      </c>
      <c r="I431" s="19">
        <f>H431*D431</f>
        <v>5939.17</v>
      </c>
      <c r="J431" s="18">
        <f>J430+I431</f>
        <v>11156.0167</v>
      </c>
    </row>
    <row r="432" spans="1:10">
      <c r="B432" s="19"/>
      <c r="C432" s="19"/>
      <c r="D432" s="19"/>
      <c r="E432" s="19"/>
      <c r="F432" s="19">
        <f>E432*D432</f>
        <v>0</v>
      </c>
      <c r="G432" s="19"/>
      <c r="H432" s="19">
        <f>E432*G432</f>
        <v>0</v>
      </c>
      <c r="I432" s="19">
        <f>H432*D432</f>
        <v>0</v>
      </c>
      <c r="J432" s="18">
        <f>J431+I432</f>
        <v>11156.0167</v>
      </c>
    </row>
    <row r="433" spans="1:10">
      <c r="J433"/>
    </row>
    <row r="434" spans="1:10">
      <c r="J434"/>
    </row>
    <row r="435" spans="1:10" ht="21">
      <c r="B435" s="1524" t="s">
        <v>372</v>
      </c>
      <c r="C435" s="1524"/>
      <c r="D435" s="1524"/>
      <c r="E435" s="1524"/>
      <c r="F435" s="1524"/>
      <c r="G435" s="1524"/>
      <c r="H435" s="1524"/>
      <c r="I435" s="1524"/>
      <c r="J435" s="1524"/>
    </row>
    <row r="436" spans="1:10" ht="18.75">
      <c r="B436" s="199" t="s">
        <v>1</v>
      </c>
      <c r="C436" s="199" t="s">
        <v>2</v>
      </c>
      <c r="D436" s="199" t="s">
        <v>3</v>
      </c>
      <c r="E436" s="199" t="s">
        <v>4</v>
      </c>
      <c r="F436" s="199" t="s">
        <v>36</v>
      </c>
      <c r="G436" s="199" t="s">
        <v>5</v>
      </c>
      <c r="H436" s="199" t="s">
        <v>6</v>
      </c>
      <c r="I436" s="199" t="s">
        <v>7</v>
      </c>
      <c r="J436" s="199"/>
    </row>
    <row r="437" spans="1:10">
      <c r="B437" s="200">
        <v>45755</v>
      </c>
      <c r="C437" s="201" t="s">
        <v>364</v>
      </c>
      <c r="D437" s="202">
        <v>1</v>
      </c>
      <c r="E437" s="369">
        <v>2089.9899999999998</v>
      </c>
      <c r="F437" s="202">
        <f>E437*D437</f>
        <v>2089.9899999999998</v>
      </c>
      <c r="G437" s="202">
        <v>2.33</v>
      </c>
      <c r="H437" s="202">
        <f>E437*G437</f>
        <v>4869.6767</v>
      </c>
      <c r="I437" s="202">
        <f>H437*D437</f>
        <v>4869.6767</v>
      </c>
      <c r="J437" s="201">
        <f>J436+I437</f>
        <v>4869.6767</v>
      </c>
    </row>
    <row r="438" spans="1:10">
      <c r="B438" s="200">
        <v>45755</v>
      </c>
      <c r="C438" s="201" t="s">
        <v>365</v>
      </c>
      <c r="D438" s="202">
        <v>1</v>
      </c>
      <c r="E438" s="369">
        <v>2089.9899999999998</v>
      </c>
      <c r="F438" s="202">
        <f>E438*D438</f>
        <v>2089.9899999999998</v>
      </c>
      <c r="G438" s="202">
        <v>2.33</v>
      </c>
      <c r="H438" s="202">
        <f>E438*G438</f>
        <v>4869.6767</v>
      </c>
      <c r="I438" s="202">
        <f>H438*D438</f>
        <v>4869.6767</v>
      </c>
      <c r="J438" s="201">
        <f>J437+I438</f>
        <v>9739.3534</v>
      </c>
    </row>
    <row r="439" spans="1:10">
      <c r="B439" s="200">
        <v>45755</v>
      </c>
      <c r="C439" s="201" t="s">
        <v>365</v>
      </c>
      <c r="D439" s="202">
        <v>1</v>
      </c>
      <c r="E439" s="369">
        <v>2089.9899999999998</v>
      </c>
      <c r="F439" s="202">
        <f>E439*D439</f>
        <v>2089.9899999999998</v>
      </c>
      <c r="G439" s="202">
        <v>2.33</v>
      </c>
      <c r="H439" s="202">
        <f>E439*G439</f>
        <v>4869.6767</v>
      </c>
      <c r="I439" s="202">
        <f>H439*D439</f>
        <v>4869.6767</v>
      </c>
      <c r="J439" s="201">
        <f>J438+I439</f>
        <v>14609.0301</v>
      </c>
    </row>
    <row r="440" spans="1:10">
      <c r="B440" s="203"/>
      <c r="C440" s="203"/>
      <c r="D440" s="203"/>
      <c r="E440" s="203"/>
      <c r="F440" s="203">
        <f>E440*D440</f>
        <v>0</v>
      </c>
      <c r="G440" s="203"/>
      <c r="H440" s="203">
        <f>E440*G440</f>
        <v>0</v>
      </c>
      <c r="I440" s="203">
        <f>H440*D440</f>
        <v>0</v>
      </c>
      <c r="J440" s="204">
        <f>J439+I440</f>
        <v>14609.0301</v>
      </c>
    </row>
    <row r="441" spans="1:10">
      <c r="B441" s="205"/>
      <c r="C441" s="205"/>
      <c r="D441" s="205"/>
      <c r="E441" s="205"/>
      <c r="F441" s="205"/>
      <c r="G441" s="205"/>
      <c r="H441" s="205"/>
      <c r="I441" s="205"/>
      <c r="J441" s="206"/>
    </row>
    <row r="443" spans="1:10" ht="21">
      <c r="A443" t="s">
        <v>125</v>
      </c>
      <c r="B443" s="1520" t="s">
        <v>20</v>
      </c>
      <c r="C443" s="1520"/>
      <c r="D443" s="1520"/>
      <c r="E443" s="1520"/>
      <c r="F443" s="1520"/>
      <c r="G443" s="1520"/>
      <c r="H443" s="1520"/>
      <c r="I443" s="1520"/>
      <c r="J443" s="1520"/>
    </row>
    <row r="444" spans="1:10" ht="18.75">
      <c r="A444" t="s">
        <v>212</v>
      </c>
      <c r="B444" s="4" t="s">
        <v>1</v>
      </c>
      <c r="C444" s="4" t="s">
        <v>2</v>
      </c>
      <c r="D444" s="4" t="s">
        <v>3</v>
      </c>
      <c r="E444" s="4" t="s">
        <v>4</v>
      </c>
      <c r="F444" s="4" t="s">
        <v>36</v>
      </c>
      <c r="G444" s="4" t="s">
        <v>5</v>
      </c>
      <c r="H444" s="4" t="s">
        <v>6</v>
      </c>
      <c r="I444" s="4" t="s">
        <v>7</v>
      </c>
      <c r="J444" s="4"/>
    </row>
    <row r="445" spans="1:10">
      <c r="B445" s="81">
        <v>45756</v>
      </c>
      <c r="C445" s="80" t="s">
        <v>390</v>
      </c>
      <c r="D445" s="19">
        <v>10</v>
      </c>
      <c r="E445" s="19">
        <v>724</v>
      </c>
      <c r="F445" s="19">
        <f>E445*D445</f>
        <v>7240</v>
      </c>
      <c r="G445" s="19">
        <v>2.29</v>
      </c>
      <c r="H445" s="19">
        <f>E445*G445</f>
        <v>1657.96</v>
      </c>
      <c r="I445" s="19">
        <f>H445*D445</f>
        <v>16579.599999999999</v>
      </c>
      <c r="J445" s="18">
        <f>J444+I445</f>
        <v>16579.599999999999</v>
      </c>
    </row>
    <row r="446" spans="1:10">
      <c r="B446" s="81">
        <v>45756</v>
      </c>
      <c r="C446" s="80" t="s">
        <v>391</v>
      </c>
      <c r="D446" s="19">
        <v>2</v>
      </c>
      <c r="E446" s="19">
        <v>1749.99</v>
      </c>
      <c r="F446" s="19">
        <f t="shared" ref="F446:F453" si="106">E446*D446</f>
        <v>3499.98</v>
      </c>
      <c r="G446" s="19">
        <v>2.29</v>
      </c>
      <c r="H446" s="19">
        <f t="shared" ref="H446:H453" si="107">E446*G446</f>
        <v>4007.4771000000001</v>
      </c>
      <c r="I446" s="19">
        <f t="shared" ref="I446:I453" si="108">H446*D446</f>
        <v>8014.9542000000001</v>
      </c>
      <c r="J446" s="18">
        <f t="shared" ref="J446:J453" si="109">J445+I446</f>
        <v>24594.554199999999</v>
      </c>
    </row>
    <row r="447" spans="1:10">
      <c r="B447" s="81">
        <v>45756</v>
      </c>
      <c r="C447" s="80" t="s">
        <v>392</v>
      </c>
      <c r="D447" s="19">
        <v>2</v>
      </c>
      <c r="E447" s="19">
        <v>1749.99</v>
      </c>
      <c r="F447" s="19">
        <f t="shared" si="106"/>
        <v>3499.98</v>
      </c>
      <c r="G447" s="19">
        <v>2.29</v>
      </c>
      <c r="H447" s="19">
        <f t="shared" si="107"/>
        <v>4007.4771000000001</v>
      </c>
      <c r="I447" s="19">
        <f t="shared" si="108"/>
        <v>8014.9542000000001</v>
      </c>
      <c r="J447" s="18">
        <f t="shared" si="109"/>
        <v>32609.508399999999</v>
      </c>
    </row>
    <row r="448" spans="1:10">
      <c r="B448" s="81">
        <v>45756</v>
      </c>
      <c r="C448" s="80" t="s">
        <v>391</v>
      </c>
      <c r="D448" s="19">
        <v>3</v>
      </c>
      <c r="E448" s="19">
        <v>1749.99</v>
      </c>
      <c r="F448" s="19">
        <f t="shared" si="106"/>
        <v>5249.97</v>
      </c>
      <c r="G448" s="19">
        <v>2.29</v>
      </c>
      <c r="H448" s="19">
        <f t="shared" si="107"/>
        <v>4007.4771000000001</v>
      </c>
      <c r="I448" s="19">
        <f t="shared" si="108"/>
        <v>12022.4313</v>
      </c>
      <c r="J448" s="18">
        <f t="shared" si="109"/>
        <v>44631.939700000003</v>
      </c>
    </row>
    <row r="449" spans="1:10">
      <c r="B449" s="81">
        <v>45756</v>
      </c>
      <c r="C449" s="80" t="s">
        <v>393</v>
      </c>
      <c r="D449" s="19">
        <v>6</v>
      </c>
      <c r="E449" s="19">
        <v>1749.99</v>
      </c>
      <c r="F449" s="19">
        <f t="shared" si="106"/>
        <v>10499.94</v>
      </c>
      <c r="G449" s="19">
        <v>2.29</v>
      </c>
      <c r="H449" s="19">
        <f t="shared" si="107"/>
        <v>4007.4771000000001</v>
      </c>
      <c r="I449" s="19">
        <f t="shared" si="108"/>
        <v>24044.8626</v>
      </c>
      <c r="J449" s="18">
        <f t="shared" si="109"/>
        <v>68676.80230000001</v>
      </c>
    </row>
    <row r="450" spans="1:10">
      <c r="B450" s="19"/>
      <c r="C450" s="95"/>
      <c r="D450" s="19"/>
      <c r="E450" s="19"/>
      <c r="F450" s="19">
        <f t="shared" si="106"/>
        <v>0</v>
      </c>
      <c r="G450" s="19"/>
      <c r="H450" s="19">
        <f t="shared" si="107"/>
        <v>0</v>
      </c>
      <c r="I450" s="19">
        <f t="shared" si="108"/>
        <v>0</v>
      </c>
      <c r="J450" s="18">
        <f t="shared" si="109"/>
        <v>68676.80230000001</v>
      </c>
    </row>
    <row r="451" spans="1:10">
      <c r="B451" s="81">
        <v>45756</v>
      </c>
      <c r="C451" s="253" t="s">
        <v>595</v>
      </c>
      <c r="D451" s="19">
        <v>5</v>
      </c>
      <c r="E451" s="19">
        <v>2199</v>
      </c>
      <c r="F451" s="19">
        <f t="shared" si="106"/>
        <v>10995</v>
      </c>
      <c r="G451" s="19">
        <v>2.29</v>
      </c>
      <c r="H451" s="19">
        <f t="shared" si="107"/>
        <v>5035.71</v>
      </c>
      <c r="I451" s="19">
        <f t="shared" si="108"/>
        <v>25178.55</v>
      </c>
      <c r="J451" s="18">
        <f t="shared" si="109"/>
        <v>93855.352300000013</v>
      </c>
    </row>
    <row r="452" spans="1:10">
      <c r="B452" s="214">
        <v>45756</v>
      </c>
      <c r="C452" s="215" t="s">
        <v>508</v>
      </c>
      <c r="D452" s="216"/>
      <c r="E452" s="216"/>
      <c r="F452" s="216">
        <f t="shared" si="106"/>
        <v>0</v>
      </c>
      <c r="G452" s="216"/>
      <c r="H452" s="216">
        <f t="shared" si="107"/>
        <v>0</v>
      </c>
      <c r="I452" s="216">
        <f t="shared" si="108"/>
        <v>0</v>
      </c>
      <c r="J452" s="217">
        <f t="shared" si="109"/>
        <v>93855.352300000013</v>
      </c>
    </row>
    <row r="453" spans="1:10">
      <c r="B453" s="19"/>
      <c r="C453" s="19"/>
      <c r="D453" s="19"/>
      <c r="E453" s="19"/>
      <c r="F453" s="19">
        <f t="shared" si="106"/>
        <v>0</v>
      </c>
      <c r="G453" s="19"/>
      <c r="H453" s="19">
        <f t="shared" si="107"/>
        <v>0</v>
      </c>
      <c r="I453" s="19">
        <f t="shared" si="108"/>
        <v>0</v>
      </c>
      <c r="J453" s="18">
        <f t="shared" si="109"/>
        <v>93855.352300000013</v>
      </c>
    </row>
    <row r="456" spans="1:10" ht="21">
      <c r="A456" t="s">
        <v>125</v>
      </c>
      <c r="B456" s="1520" t="s">
        <v>20</v>
      </c>
      <c r="C456" s="1520"/>
      <c r="D456" s="1520"/>
      <c r="E456" s="1520"/>
      <c r="F456" s="1520"/>
      <c r="G456" s="1520"/>
      <c r="H456" s="1520"/>
      <c r="I456" s="1520"/>
      <c r="J456" s="1520"/>
    </row>
    <row r="457" spans="1:10" ht="18.75">
      <c r="A457" t="s">
        <v>212</v>
      </c>
      <c r="B457" s="4" t="s">
        <v>1</v>
      </c>
      <c r="C457" s="4" t="s">
        <v>2</v>
      </c>
      <c r="D457" s="4" t="s">
        <v>3</v>
      </c>
      <c r="E457" s="4" t="s">
        <v>4</v>
      </c>
      <c r="F457" s="4" t="s">
        <v>36</v>
      </c>
      <c r="G457" s="4" t="s">
        <v>5</v>
      </c>
      <c r="H457" s="4" t="s">
        <v>6</v>
      </c>
      <c r="I457" s="4" t="s">
        <v>7</v>
      </c>
      <c r="J457" s="4"/>
    </row>
    <row r="458" spans="1:10">
      <c r="B458" s="81">
        <v>45757</v>
      </c>
      <c r="C458" s="18" t="s">
        <v>395</v>
      </c>
      <c r="D458" s="19">
        <v>1</v>
      </c>
      <c r="E458" s="145">
        <v>449</v>
      </c>
      <c r="F458" s="19">
        <f>E458*D458</f>
        <v>449</v>
      </c>
      <c r="G458" s="19">
        <v>2.29</v>
      </c>
      <c r="H458" s="19">
        <f>E458*G458</f>
        <v>1028.21</v>
      </c>
      <c r="I458" s="19">
        <f>H458*D458</f>
        <v>1028.21</v>
      </c>
      <c r="J458" s="18">
        <f>J457+I458</f>
        <v>1028.21</v>
      </c>
    </row>
    <row r="459" spans="1:10">
      <c r="B459" s="96">
        <v>45757</v>
      </c>
      <c r="C459" s="110" t="s">
        <v>396</v>
      </c>
      <c r="D459" s="127">
        <v>2</v>
      </c>
      <c r="E459" s="146">
        <v>689</v>
      </c>
      <c r="F459" s="127">
        <f>E459*D459</f>
        <v>1378</v>
      </c>
      <c r="G459" s="19">
        <v>2.29</v>
      </c>
      <c r="H459" s="127">
        <f>E459*G459</f>
        <v>1577.81</v>
      </c>
      <c r="I459" s="127">
        <f>H459*D459</f>
        <v>3155.62</v>
      </c>
      <c r="J459" s="110">
        <f>J458+I459</f>
        <v>4183.83</v>
      </c>
    </row>
    <row r="460" spans="1:10">
      <c r="B460" s="81">
        <v>45757</v>
      </c>
      <c r="C460" s="18" t="s">
        <v>397</v>
      </c>
      <c r="D460" s="19">
        <v>8</v>
      </c>
      <c r="E460" s="145">
        <v>724</v>
      </c>
      <c r="F460" s="19">
        <f>E460*D460</f>
        <v>5792</v>
      </c>
      <c r="G460" s="19">
        <v>2.29</v>
      </c>
      <c r="H460" s="19">
        <f>E460*G460</f>
        <v>1657.96</v>
      </c>
      <c r="I460" s="19">
        <f>H460*D460</f>
        <v>13263.68</v>
      </c>
      <c r="J460" s="18">
        <f>J459+I460</f>
        <v>17447.510000000002</v>
      </c>
    </row>
    <row r="461" spans="1:10">
      <c r="B461" s="81">
        <v>45757</v>
      </c>
      <c r="C461" s="18" t="s">
        <v>398</v>
      </c>
      <c r="D461" s="19">
        <v>5</v>
      </c>
      <c r="E461" s="145">
        <v>724</v>
      </c>
      <c r="F461" s="19">
        <f>E461*D461</f>
        <v>3620</v>
      </c>
      <c r="G461" s="19">
        <v>2.29</v>
      </c>
      <c r="H461" s="19">
        <f>E461*G461</f>
        <v>1657.96</v>
      </c>
      <c r="I461" s="19">
        <f>H461*D461</f>
        <v>8289.7999999999993</v>
      </c>
      <c r="J461" s="18">
        <f>J460+I461</f>
        <v>25737.31</v>
      </c>
    </row>
    <row r="462" spans="1:10">
      <c r="B462" s="19"/>
      <c r="C462" s="19"/>
      <c r="D462" s="19"/>
      <c r="E462" s="19"/>
      <c r="F462" s="19">
        <f>E462*D462</f>
        <v>0</v>
      </c>
      <c r="G462" s="19"/>
      <c r="H462" s="19">
        <f>E462*G462</f>
        <v>0</v>
      </c>
      <c r="I462" s="19">
        <f>H462*D462</f>
        <v>0</v>
      </c>
      <c r="J462" s="18">
        <f>J461+I462</f>
        <v>25737.31</v>
      </c>
    </row>
    <row r="463" spans="1:10">
      <c r="J463"/>
    </row>
    <row r="464" spans="1:10">
      <c r="J464"/>
    </row>
    <row r="465" spans="1:10" ht="21">
      <c r="A465" t="s">
        <v>125</v>
      </c>
      <c r="B465" s="1520" t="s">
        <v>20</v>
      </c>
      <c r="C465" s="1520"/>
      <c r="D465" s="1520"/>
      <c r="E465" s="1520"/>
      <c r="F465" s="1520"/>
      <c r="G465" s="1520"/>
      <c r="H465" s="1520"/>
      <c r="I465" s="1520"/>
      <c r="J465" s="1520"/>
    </row>
    <row r="466" spans="1:10" ht="18.75">
      <c r="A466" t="s">
        <v>212</v>
      </c>
      <c r="B466" s="4" t="s">
        <v>1</v>
      </c>
      <c r="C466" s="4" t="s">
        <v>2</v>
      </c>
      <c r="D466" s="4" t="s">
        <v>3</v>
      </c>
      <c r="E466" s="4" t="s">
        <v>4</v>
      </c>
      <c r="F466" s="4" t="s">
        <v>36</v>
      </c>
      <c r="G466" s="4" t="s">
        <v>5</v>
      </c>
      <c r="H466" s="4" t="s">
        <v>6</v>
      </c>
      <c r="I466" s="4" t="s">
        <v>7</v>
      </c>
      <c r="J466" s="4"/>
    </row>
    <row r="467" spans="1:10">
      <c r="B467" s="81">
        <v>45758</v>
      </c>
      <c r="C467" s="18" t="s">
        <v>398</v>
      </c>
      <c r="D467" s="19">
        <v>11</v>
      </c>
      <c r="E467" s="145">
        <v>724</v>
      </c>
      <c r="F467" s="19">
        <f>E467*D467</f>
        <v>7964</v>
      </c>
      <c r="G467" s="19">
        <v>2.29</v>
      </c>
      <c r="H467" s="19">
        <f>E467*G467</f>
        <v>1657.96</v>
      </c>
      <c r="I467" s="19">
        <f>H467*D467</f>
        <v>18237.560000000001</v>
      </c>
      <c r="J467" s="18">
        <f>J466+I467</f>
        <v>18237.560000000001</v>
      </c>
    </row>
    <row r="468" spans="1:10">
      <c r="B468" s="81">
        <v>45758</v>
      </c>
      <c r="C468" s="18" t="s">
        <v>399</v>
      </c>
      <c r="D468" s="19">
        <v>3</v>
      </c>
      <c r="E468" s="145">
        <v>2549.9899999999998</v>
      </c>
      <c r="F468" s="19">
        <f>E468*D468</f>
        <v>7649.9699999999993</v>
      </c>
      <c r="G468" s="19">
        <v>2.29</v>
      </c>
      <c r="H468" s="19">
        <f>E468*G468</f>
        <v>5839.4770999999992</v>
      </c>
      <c r="I468" s="19">
        <f>H468*D468</f>
        <v>17518.431299999997</v>
      </c>
      <c r="J468" s="18">
        <f>J467+I468</f>
        <v>35755.991299999994</v>
      </c>
    </row>
    <row r="469" spans="1:10">
      <c r="B469" s="81">
        <v>45758</v>
      </c>
      <c r="C469" s="18" t="s">
        <v>400</v>
      </c>
      <c r="D469" s="19">
        <v>1</v>
      </c>
      <c r="E469" s="145">
        <v>2549.9899999999998</v>
      </c>
      <c r="F469" s="19">
        <f>E469*D469</f>
        <v>2549.9899999999998</v>
      </c>
      <c r="G469" s="19">
        <v>2.29</v>
      </c>
      <c r="H469" s="19">
        <f>E469*G469</f>
        <v>5839.4770999999992</v>
      </c>
      <c r="I469" s="19">
        <f>H469*D469</f>
        <v>5839.4770999999992</v>
      </c>
      <c r="J469" s="18">
        <f>J468+I469</f>
        <v>41595.468399999991</v>
      </c>
    </row>
    <row r="470" spans="1:10">
      <c r="B470" s="19"/>
      <c r="C470" s="19"/>
      <c r="D470" s="19"/>
      <c r="E470" s="19"/>
      <c r="F470" s="19">
        <f>E470*D470</f>
        <v>0</v>
      </c>
      <c r="G470" s="19"/>
      <c r="H470" s="19">
        <f>E470*G470</f>
        <v>0</v>
      </c>
      <c r="I470" s="19">
        <f>H470*D470</f>
        <v>0</v>
      </c>
      <c r="J470" s="18">
        <f>J469+I470</f>
        <v>41595.468399999991</v>
      </c>
    </row>
    <row r="471" spans="1:10">
      <c r="J471"/>
    </row>
    <row r="472" spans="1:10" ht="21">
      <c r="A472" t="s">
        <v>125</v>
      </c>
      <c r="B472" s="1520" t="s">
        <v>405</v>
      </c>
      <c r="C472" s="1520"/>
      <c r="D472" s="1520"/>
      <c r="E472" s="1520"/>
      <c r="F472" s="1520"/>
      <c r="G472" s="1520"/>
      <c r="H472" s="1520"/>
      <c r="I472" s="1520"/>
      <c r="J472" s="1520"/>
    </row>
    <row r="473" spans="1:10" ht="18.75">
      <c r="A473" t="s">
        <v>212</v>
      </c>
      <c r="B473" s="4" t="s">
        <v>1</v>
      </c>
      <c r="C473" s="4" t="s">
        <v>2</v>
      </c>
      <c r="D473" s="4" t="s">
        <v>3</v>
      </c>
      <c r="E473" s="4" t="s">
        <v>4</v>
      </c>
      <c r="F473" s="4" t="s">
        <v>36</v>
      </c>
      <c r="G473" s="4" t="s">
        <v>5</v>
      </c>
      <c r="H473" s="4" t="s">
        <v>6</v>
      </c>
      <c r="I473" s="4" t="s">
        <v>7</v>
      </c>
      <c r="J473" s="4"/>
    </row>
    <row r="474" spans="1:10" s="1" customFormat="1">
      <c r="B474" s="81">
        <v>45752</v>
      </c>
      <c r="C474" s="19" t="s">
        <v>406</v>
      </c>
      <c r="D474" s="19">
        <v>6</v>
      </c>
      <c r="E474" s="19">
        <v>2089.9899999999998</v>
      </c>
      <c r="F474" s="19">
        <f>E474*D474</f>
        <v>12539.939999999999</v>
      </c>
      <c r="G474" s="19">
        <v>2.33</v>
      </c>
      <c r="H474" s="19">
        <f>E474*G474</f>
        <v>4869.6767</v>
      </c>
      <c r="I474" s="19">
        <f>H474*D474</f>
        <v>29218.0602</v>
      </c>
      <c r="J474" s="18">
        <f>J473+I474</f>
        <v>29218.0602</v>
      </c>
    </row>
    <row r="475" spans="1:10" s="1" customFormat="1">
      <c r="B475" s="19"/>
      <c r="C475" s="19"/>
      <c r="D475" s="19"/>
      <c r="E475" s="19"/>
      <c r="F475" s="19">
        <f>E475*D475</f>
        <v>0</v>
      </c>
      <c r="G475" s="19"/>
      <c r="H475" s="19">
        <f>E475*G475</f>
        <v>0</v>
      </c>
      <c r="I475" s="19">
        <f>H475*D475</f>
        <v>0</v>
      </c>
      <c r="J475" s="18">
        <f>J474+I475</f>
        <v>29218.0602</v>
      </c>
    </row>
    <row r="476" spans="1:10" s="1" customFormat="1">
      <c r="J476"/>
    </row>
    <row r="477" spans="1:10">
      <c r="J477"/>
    </row>
    <row r="478" spans="1:10">
      <c r="J478"/>
    </row>
    <row r="479" spans="1:10" ht="21">
      <c r="A479" t="s">
        <v>125</v>
      </c>
      <c r="B479" s="1520" t="s">
        <v>376</v>
      </c>
      <c r="C479" s="1520"/>
      <c r="D479" s="1520"/>
      <c r="E479" s="1520"/>
      <c r="F479" s="1520"/>
      <c r="G479" s="1520"/>
      <c r="H479" s="1520"/>
      <c r="I479" s="1520"/>
      <c r="J479" s="1520"/>
    </row>
    <row r="480" spans="1:10" ht="18.75">
      <c r="B480" s="4" t="s">
        <v>1</v>
      </c>
      <c r="C480" s="4" t="s">
        <v>2</v>
      </c>
      <c r="D480" s="4" t="s">
        <v>3</v>
      </c>
      <c r="E480" s="4" t="s">
        <v>132</v>
      </c>
      <c r="F480" s="4" t="s">
        <v>133</v>
      </c>
      <c r="G480" s="4" t="s">
        <v>5</v>
      </c>
      <c r="H480" s="4" t="s">
        <v>6</v>
      </c>
      <c r="I480" s="4" t="s">
        <v>7</v>
      </c>
      <c r="J480" s="4"/>
    </row>
    <row r="481" spans="1:15">
      <c r="B481" s="214">
        <v>45758</v>
      </c>
      <c r="C481" s="215" t="s">
        <v>601</v>
      </c>
      <c r="D481" s="216">
        <v>9</v>
      </c>
      <c r="E481" s="216">
        <v>425</v>
      </c>
      <c r="F481" s="216">
        <f t="shared" ref="F481:F489" si="110">E481*D481</f>
        <v>3825</v>
      </c>
      <c r="G481" s="216">
        <v>3.63</v>
      </c>
      <c r="H481" s="216">
        <f t="shared" ref="H481:H489" si="111">E481*G481</f>
        <v>1542.75</v>
      </c>
      <c r="I481" s="216">
        <f t="shared" ref="I481:I489" si="112">H481*D481</f>
        <v>13884.75</v>
      </c>
      <c r="J481" s="217">
        <f t="shared" ref="J481:J489" si="113">J480+I481</f>
        <v>13884.75</v>
      </c>
    </row>
    <row r="482" spans="1:15">
      <c r="B482" s="19"/>
      <c r="C482" s="80"/>
      <c r="D482" s="19"/>
      <c r="E482" s="19"/>
      <c r="F482" s="19">
        <f t="shared" si="110"/>
        <v>0</v>
      </c>
      <c r="G482" s="19"/>
      <c r="H482" s="19">
        <f t="shared" si="111"/>
        <v>0</v>
      </c>
      <c r="I482" s="19">
        <f t="shared" si="112"/>
        <v>0</v>
      </c>
      <c r="J482" s="18">
        <f t="shared" si="113"/>
        <v>13884.75</v>
      </c>
    </row>
    <row r="483" spans="1:15">
      <c r="B483" s="81">
        <v>45758</v>
      </c>
      <c r="C483" s="80" t="s">
        <v>377</v>
      </c>
      <c r="D483" s="19">
        <v>18</v>
      </c>
      <c r="E483" s="19">
        <v>133</v>
      </c>
      <c r="F483" s="19">
        <f t="shared" si="110"/>
        <v>2394</v>
      </c>
      <c r="G483" s="19">
        <v>3.63</v>
      </c>
      <c r="H483" s="19">
        <f t="shared" si="111"/>
        <v>482.78999999999996</v>
      </c>
      <c r="I483" s="19">
        <f t="shared" si="112"/>
        <v>8690.2199999999993</v>
      </c>
      <c r="J483" s="18">
        <f t="shared" si="113"/>
        <v>22574.97</v>
      </c>
    </row>
    <row r="484" spans="1:15">
      <c r="B484" s="96">
        <v>45758</v>
      </c>
      <c r="C484" s="138" t="s">
        <v>381</v>
      </c>
      <c r="D484" s="127">
        <v>1</v>
      </c>
      <c r="E484" s="127"/>
      <c r="F484" s="127">
        <f t="shared" si="110"/>
        <v>0</v>
      </c>
      <c r="G484" s="127"/>
      <c r="H484" s="127">
        <f t="shared" si="111"/>
        <v>0</v>
      </c>
      <c r="I484" s="127">
        <f t="shared" si="112"/>
        <v>0</v>
      </c>
      <c r="J484" s="110">
        <f t="shared" si="113"/>
        <v>22574.97</v>
      </c>
    </row>
    <row r="485" spans="1:15">
      <c r="B485" s="81">
        <v>45758</v>
      </c>
      <c r="C485" s="80" t="s">
        <v>378</v>
      </c>
      <c r="D485" s="19">
        <v>30</v>
      </c>
      <c r="E485" s="19">
        <v>143</v>
      </c>
      <c r="F485" s="19">
        <f t="shared" si="110"/>
        <v>4290</v>
      </c>
      <c r="G485" s="19">
        <v>3.63</v>
      </c>
      <c r="H485" s="19">
        <f t="shared" si="111"/>
        <v>519.09</v>
      </c>
      <c r="I485" s="19">
        <f t="shared" si="112"/>
        <v>15572.7</v>
      </c>
      <c r="J485" s="18">
        <f t="shared" si="113"/>
        <v>38147.67</v>
      </c>
    </row>
    <row r="486" spans="1:15">
      <c r="B486" s="81">
        <v>45758</v>
      </c>
      <c r="C486" s="80" t="s">
        <v>379</v>
      </c>
      <c r="D486" s="19">
        <v>12</v>
      </c>
      <c r="E486" s="19">
        <v>160</v>
      </c>
      <c r="F486" s="19">
        <f t="shared" si="110"/>
        <v>1920</v>
      </c>
      <c r="G486" s="19">
        <v>3.63</v>
      </c>
      <c r="H486" s="19">
        <f t="shared" si="111"/>
        <v>580.79999999999995</v>
      </c>
      <c r="I486" s="19">
        <f t="shared" si="112"/>
        <v>6969.5999999999995</v>
      </c>
      <c r="J486" s="18">
        <f t="shared" si="113"/>
        <v>45117.27</v>
      </c>
    </row>
    <row r="487" spans="1:15">
      <c r="B487" s="81">
        <v>45758</v>
      </c>
      <c r="C487" s="80" t="s">
        <v>380</v>
      </c>
      <c r="D487" s="19">
        <v>19</v>
      </c>
      <c r="E487" s="19">
        <v>144</v>
      </c>
      <c r="F487" s="19">
        <f t="shared" si="110"/>
        <v>2736</v>
      </c>
      <c r="G487" s="19">
        <v>3.63</v>
      </c>
      <c r="H487" s="19">
        <f t="shared" si="111"/>
        <v>522.72</v>
      </c>
      <c r="I487" s="19">
        <f t="shared" si="112"/>
        <v>9931.68</v>
      </c>
      <c r="J487" s="18">
        <f t="shared" si="113"/>
        <v>55048.95</v>
      </c>
    </row>
    <row r="488" spans="1:15">
      <c r="B488" s="81">
        <v>45758</v>
      </c>
      <c r="C488" s="80" t="s">
        <v>411</v>
      </c>
      <c r="D488" s="19">
        <v>3</v>
      </c>
      <c r="E488" s="19">
        <v>100</v>
      </c>
      <c r="F488" s="19">
        <f t="shared" si="110"/>
        <v>300</v>
      </c>
      <c r="G488" s="19">
        <v>3.63</v>
      </c>
      <c r="H488" s="19">
        <f t="shared" si="111"/>
        <v>363</v>
      </c>
      <c r="I488" s="19">
        <f t="shared" si="112"/>
        <v>1089</v>
      </c>
      <c r="J488" s="18">
        <f t="shared" si="113"/>
        <v>56137.95</v>
      </c>
    </row>
    <row r="489" spans="1:15">
      <c r="B489" s="19"/>
      <c r="C489" s="19" t="s">
        <v>412</v>
      </c>
      <c r="D489" s="19">
        <v>1</v>
      </c>
      <c r="E489" s="19">
        <v>480</v>
      </c>
      <c r="F489" s="19">
        <f t="shared" si="110"/>
        <v>480</v>
      </c>
      <c r="G489" s="19">
        <v>3.63</v>
      </c>
      <c r="H489" s="19">
        <f t="shared" si="111"/>
        <v>1742.3999999999999</v>
      </c>
      <c r="I489" s="19">
        <f t="shared" si="112"/>
        <v>1742.3999999999999</v>
      </c>
      <c r="J489" s="18">
        <f t="shared" si="113"/>
        <v>57880.35</v>
      </c>
    </row>
    <row r="493" spans="1:15" ht="21">
      <c r="B493" s="225"/>
      <c r="C493" s="225"/>
      <c r="D493" s="225"/>
      <c r="E493" s="225"/>
      <c r="F493" s="225"/>
      <c r="G493" s="225"/>
      <c r="H493" s="225"/>
      <c r="I493" s="225" t="s">
        <v>499</v>
      </c>
      <c r="J493" s="225"/>
    </row>
    <row r="494" spans="1:15" ht="21">
      <c r="B494" s="1521" t="s">
        <v>20</v>
      </c>
      <c r="C494" s="1521"/>
      <c r="D494" s="1521"/>
      <c r="E494" s="1521"/>
      <c r="F494" s="1521"/>
      <c r="G494" s="1521"/>
      <c r="H494" s="1521"/>
      <c r="I494" s="1521"/>
      <c r="J494" s="1521"/>
      <c r="K494" s="1521"/>
      <c r="L494" s="1521"/>
      <c r="M494" s="1521"/>
      <c r="N494" s="1521"/>
      <c r="O494" s="1521"/>
    </row>
    <row r="495" spans="1:15" ht="18.75">
      <c r="B495" s="226" t="s">
        <v>1</v>
      </c>
      <c r="C495" s="226" t="s">
        <v>2</v>
      </c>
      <c r="D495" s="226" t="s">
        <v>444</v>
      </c>
      <c r="E495" s="226" t="s">
        <v>33</v>
      </c>
      <c r="F495" s="226" t="s">
        <v>3</v>
      </c>
      <c r="G495" s="226" t="s">
        <v>445</v>
      </c>
      <c r="H495" s="226" t="s">
        <v>451</v>
      </c>
      <c r="I495" s="226" t="s">
        <v>446</v>
      </c>
      <c r="J495" s="226" t="s">
        <v>447</v>
      </c>
      <c r="K495" s="226" t="s">
        <v>448</v>
      </c>
      <c r="L495" s="226" t="s">
        <v>449</v>
      </c>
      <c r="M495" s="226" t="s">
        <v>450</v>
      </c>
      <c r="N495" s="226" t="s">
        <v>7</v>
      </c>
      <c r="O495" s="29"/>
    </row>
    <row r="496" spans="1:15">
      <c r="A496" t="s">
        <v>125</v>
      </c>
      <c r="B496" s="96">
        <v>45759</v>
      </c>
      <c r="C496" s="110" t="s">
        <v>443</v>
      </c>
      <c r="D496" s="127" t="s">
        <v>453</v>
      </c>
      <c r="E496" s="127" t="s">
        <v>455</v>
      </c>
      <c r="F496" s="127">
        <v>1</v>
      </c>
      <c r="G496" s="184">
        <v>2299</v>
      </c>
      <c r="H496" s="127">
        <v>10</v>
      </c>
      <c r="I496" s="127">
        <f>G496*H496%</f>
        <v>229.9</v>
      </c>
      <c r="J496" s="127">
        <f>G496-I496</f>
        <v>2069.1</v>
      </c>
      <c r="K496" s="110">
        <f>F496*J496</f>
        <v>2069.1</v>
      </c>
      <c r="L496" s="110">
        <v>2.29</v>
      </c>
      <c r="M496" s="110">
        <f>J496*L496</f>
        <v>4738.2389999999996</v>
      </c>
      <c r="N496" s="110">
        <f>F496*M496</f>
        <v>4738.2389999999996</v>
      </c>
      <c r="O496" s="110">
        <f>O495+N496</f>
        <v>4738.2389999999996</v>
      </c>
    </row>
    <row r="497" spans="1:19">
      <c r="A497" t="s">
        <v>125</v>
      </c>
      <c r="B497" s="96">
        <v>45759</v>
      </c>
      <c r="C497" s="110" t="s">
        <v>454</v>
      </c>
      <c r="D497" s="127" t="s">
        <v>453</v>
      </c>
      <c r="E497" s="127" t="s">
        <v>455</v>
      </c>
      <c r="F497" s="127">
        <v>1</v>
      </c>
      <c r="G497" s="184">
        <v>2299</v>
      </c>
      <c r="H497" s="127">
        <v>10</v>
      </c>
      <c r="I497" s="127">
        <f t="shared" ref="I497:I505" si="114">G497*H497%</f>
        <v>229.9</v>
      </c>
      <c r="J497" s="127">
        <f t="shared" ref="J497:J505" si="115">G497-I497</f>
        <v>2069.1</v>
      </c>
      <c r="K497" s="110">
        <f t="shared" ref="K497:K505" si="116">F497*J497</f>
        <v>2069.1</v>
      </c>
      <c r="L497" s="110">
        <v>2.29</v>
      </c>
      <c r="M497" s="110">
        <f t="shared" ref="M497:M505" si="117">J497*L497</f>
        <v>4738.2389999999996</v>
      </c>
      <c r="N497" s="110">
        <f t="shared" ref="N497:N505" si="118">F497*M497</f>
        <v>4738.2389999999996</v>
      </c>
      <c r="O497" s="110">
        <f t="shared" ref="O497:O505" si="119">O496+N497</f>
        <v>9476.4779999999992</v>
      </c>
    </row>
    <row r="498" spans="1:19">
      <c r="A498" t="s">
        <v>125</v>
      </c>
      <c r="B498" s="96">
        <v>45759</v>
      </c>
      <c r="C498" s="110" t="s">
        <v>456</v>
      </c>
      <c r="D498" s="127" t="s">
        <v>453</v>
      </c>
      <c r="E498" s="127" t="s">
        <v>455</v>
      </c>
      <c r="F498" s="127">
        <v>1</v>
      </c>
      <c r="G498" s="184">
        <v>724</v>
      </c>
      <c r="H498" s="127">
        <v>10</v>
      </c>
      <c r="I498" s="127">
        <f t="shared" si="114"/>
        <v>72.400000000000006</v>
      </c>
      <c r="J498" s="127">
        <f t="shared" si="115"/>
        <v>651.6</v>
      </c>
      <c r="K498" s="110">
        <f t="shared" si="116"/>
        <v>651.6</v>
      </c>
      <c r="L498" s="110">
        <v>2.29</v>
      </c>
      <c r="M498" s="110">
        <f t="shared" si="117"/>
        <v>1492.164</v>
      </c>
      <c r="N498" s="110">
        <f t="shared" si="118"/>
        <v>1492.164</v>
      </c>
      <c r="O498" s="110">
        <f t="shared" si="119"/>
        <v>10968.642</v>
      </c>
    </row>
    <row r="499" spans="1:19">
      <c r="A499" t="s">
        <v>125</v>
      </c>
      <c r="B499" s="96">
        <v>45759</v>
      </c>
      <c r="C499" s="110" t="s">
        <v>457</v>
      </c>
      <c r="D499" s="127" t="s">
        <v>453</v>
      </c>
      <c r="E499" s="127" t="s">
        <v>455</v>
      </c>
      <c r="F499" s="127">
        <v>3</v>
      </c>
      <c r="G499" s="184">
        <v>328</v>
      </c>
      <c r="H499" s="127">
        <v>10</v>
      </c>
      <c r="I499" s="127">
        <f t="shared" si="114"/>
        <v>32.800000000000004</v>
      </c>
      <c r="J499" s="127">
        <f t="shared" si="115"/>
        <v>295.2</v>
      </c>
      <c r="K499" s="110">
        <f t="shared" si="116"/>
        <v>885.59999999999991</v>
      </c>
      <c r="L499" s="110">
        <v>2.29</v>
      </c>
      <c r="M499" s="110">
        <f t="shared" si="117"/>
        <v>676.00800000000004</v>
      </c>
      <c r="N499" s="110">
        <f t="shared" si="118"/>
        <v>2028.0240000000001</v>
      </c>
      <c r="O499" s="110">
        <f t="shared" si="119"/>
        <v>12996.665999999999</v>
      </c>
    </row>
    <row r="500" spans="1:19">
      <c r="B500" s="19"/>
      <c r="C500" s="19"/>
      <c r="D500" s="19"/>
      <c r="E500" s="19"/>
      <c r="F500" s="19"/>
      <c r="G500" s="19"/>
      <c r="H500" s="19"/>
      <c r="I500" s="19">
        <f t="shared" si="114"/>
        <v>0</v>
      </c>
      <c r="J500" s="19">
        <f t="shared" si="115"/>
        <v>0</v>
      </c>
      <c r="K500" s="18">
        <f t="shared" si="116"/>
        <v>0</v>
      </c>
      <c r="L500" s="18"/>
      <c r="M500" s="18">
        <f t="shared" si="117"/>
        <v>0</v>
      </c>
      <c r="N500" s="18">
        <f t="shared" si="118"/>
        <v>0</v>
      </c>
      <c r="O500" s="18">
        <f t="shared" si="119"/>
        <v>12996.665999999999</v>
      </c>
    </row>
    <row r="501" spans="1:19">
      <c r="A501" t="s">
        <v>125</v>
      </c>
      <c r="B501" s="96">
        <v>45759</v>
      </c>
      <c r="C501" s="110" t="s">
        <v>454</v>
      </c>
      <c r="D501" s="127" t="s">
        <v>461</v>
      </c>
      <c r="E501" s="127" t="s">
        <v>455</v>
      </c>
      <c r="F501" s="127">
        <v>15</v>
      </c>
      <c r="G501" s="184">
        <v>2299</v>
      </c>
      <c r="H501" s="127">
        <v>10</v>
      </c>
      <c r="I501" s="127">
        <f t="shared" si="114"/>
        <v>229.9</v>
      </c>
      <c r="J501" s="127">
        <f t="shared" si="115"/>
        <v>2069.1</v>
      </c>
      <c r="K501" s="110">
        <f t="shared" si="116"/>
        <v>31036.5</v>
      </c>
      <c r="L501" s="110">
        <v>2.29</v>
      </c>
      <c r="M501" s="110">
        <f t="shared" si="117"/>
        <v>4738.2389999999996</v>
      </c>
      <c r="N501" s="110">
        <f t="shared" si="118"/>
        <v>71073.584999999992</v>
      </c>
      <c r="O501" s="110">
        <f t="shared" si="119"/>
        <v>84070.250999999989</v>
      </c>
    </row>
    <row r="502" spans="1:19">
      <c r="A502" t="s">
        <v>125</v>
      </c>
      <c r="B502" s="96">
        <v>45759</v>
      </c>
      <c r="C502" s="110" t="s">
        <v>443</v>
      </c>
      <c r="D502" s="127" t="s">
        <v>461</v>
      </c>
      <c r="E502" s="127" t="s">
        <v>455</v>
      </c>
      <c r="F502" s="127">
        <v>10</v>
      </c>
      <c r="G502" s="184">
        <v>2299</v>
      </c>
      <c r="H502" s="127">
        <v>10</v>
      </c>
      <c r="I502" s="127">
        <f t="shared" si="114"/>
        <v>229.9</v>
      </c>
      <c r="J502" s="127">
        <f t="shared" si="115"/>
        <v>2069.1</v>
      </c>
      <c r="K502" s="110">
        <f t="shared" si="116"/>
        <v>20691</v>
      </c>
      <c r="L502" s="110">
        <v>2.29</v>
      </c>
      <c r="M502" s="110">
        <f t="shared" si="117"/>
        <v>4738.2389999999996</v>
      </c>
      <c r="N502" s="110">
        <f t="shared" si="118"/>
        <v>47382.39</v>
      </c>
      <c r="O502" s="110">
        <f t="shared" si="119"/>
        <v>131452.641</v>
      </c>
    </row>
    <row r="503" spans="1:19">
      <c r="A503" t="s">
        <v>125</v>
      </c>
      <c r="B503" s="96">
        <v>45759</v>
      </c>
      <c r="C503" s="110" t="s">
        <v>460</v>
      </c>
      <c r="D503" s="127" t="s">
        <v>461</v>
      </c>
      <c r="E503" s="127" t="s">
        <v>455</v>
      </c>
      <c r="F503" s="127">
        <v>5</v>
      </c>
      <c r="G503" s="184">
        <v>2299</v>
      </c>
      <c r="H503" s="127">
        <v>10</v>
      </c>
      <c r="I503" s="127">
        <f t="shared" si="114"/>
        <v>229.9</v>
      </c>
      <c r="J503" s="127">
        <f t="shared" si="115"/>
        <v>2069.1</v>
      </c>
      <c r="K503" s="110">
        <f t="shared" si="116"/>
        <v>10345.5</v>
      </c>
      <c r="L503" s="110">
        <v>2.29</v>
      </c>
      <c r="M503" s="110">
        <f t="shared" si="117"/>
        <v>4738.2389999999996</v>
      </c>
      <c r="N503" s="110">
        <f t="shared" si="118"/>
        <v>23691.195</v>
      </c>
      <c r="O503" s="110">
        <f t="shared" si="119"/>
        <v>155143.83600000001</v>
      </c>
    </row>
    <row r="504" spans="1:19">
      <c r="B504" s="19"/>
      <c r="C504" s="19"/>
      <c r="D504" s="19"/>
      <c r="E504" s="19"/>
      <c r="F504" s="19"/>
      <c r="G504" s="19"/>
      <c r="H504" s="19"/>
      <c r="I504" s="19">
        <f t="shared" si="114"/>
        <v>0</v>
      </c>
      <c r="J504" s="19">
        <f t="shared" si="115"/>
        <v>0</v>
      </c>
      <c r="K504" s="18">
        <f t="shared" si="116"/>
        <v>0</v>
      </c>
      <c r="L504" s="18"/>
      <c r="M504" s="18">
        <f t="shared" si="117"/>
        <v>0</v>
      </c>
      <c r="N504" s="18">
        <f t="shared" si="118"/>
        <v>0</v>
      </c>
      <c r="O504" s="18">
        <f t="shared" si="119"/>
        <v>155143.83600000001</v>
      </c>
    </row>
    <row r="505" spans="1:19">
      <c r="A505" t="s">
        <v>125</v>
      </c>
      <c r="B505" s="96">
        <v>45759</v>
      </c>
      <c r="C505" s="110" t="s">
        <v>462</v>
      </c>
      <c r="D505" s="127" t="s">
        <v>461</v>
      </c>
      <c r="E505" s="127" t="s">
        <v>455</v>
      </c>
      <c r="F505" s="127">
        <v>5</v>
      </c>
      <c r="G505" s="184">
        <v>2699</v>
      </c>
      <c r="H505" s="127">
        <v>10</v>
      </c>
      <c r="I505" s="127">
        <f t="shared" si="114"/>
        <v>269.90000000000003</v>
      </c>
      <c r="J505" s="127">
        <f t="shared" si="115"/>
        <v>2429.1</v>
      </c>
      <c r="K505" s="110">
        <f t="shared" si="116"/>
        <v>12145.5</v>
      </c>
      <c r="L505" s="110">
        <v>2.29</v>
      </c>
      <c r="M505" s="110">
        <f t="shared" si="117"/>
        <v>5562.6390000000001</v>
      </c>
      <c r="N505" s="110">
        <f t="shared" si="118"/>
        <v>27813.195</v>
      </c>
      <c r="O505" s="110">
        <f t="shared" si="119"/>
        <v>182957.03100000002</v>
      </c>
    </row>
    <row r="506" spans="1:19">
      <c r="A506" t="s">
        <v>125</v>
      </c>
      <c r="B506" s="96">
        <v>45759</v>
      </c>
      <c r="C506" s="110" t="s">
        <v>463</v>
      </c>
      <c r="D506" s="127" t="s">
        <v>461</v>
      </c>
      <c r="E506" s="127" t="s">
        <v>455</v>
      </c>
      <c r="F506" s="127">
        <v>5</v>
      </c>
      <c r="G506" s="184">
        <v>2699</v>
      </c>
      <c r="H506" s="127">
        <v>10</v>
      </c>
      <c r="I506" s="127">
        <f t="shared" ref="I506:I525" si="120">G506*H506%</f>
        <v>269.90000000000003</v>
      </c>
      <c r="J506" s="127">
        <f t="shared" ref="J506:J517" si="121">G506-I506</f>
        <v>2429.1</v>
      </c>
      <c r="K506" s="110">
        <f t="shared" ref="K506:K517" si="122">F506*J506</f>
        <v>12145.5</v>
      </c>
      <c r="L506" s="110">
        <v>2.29</v>
      </c>
      <c r="M506" s="110">
        <f t="shared" ref="M506:M517" si="123">J506*L506</f>
        <v>5562.6390000000001</v>
      </c>
      <c r="N506" s="110">
        <f t="shared" ref="N506:N517" si="124">F506*M506</f>
        <v>27813.195</v>
      </c>
      <c r="O506" s="110">
        <f t="shared" ref="O506:O517" si="125">O505+N506</f>
        <v>210770.22600000002</v>
      </c>
    </row>
    <row r="507" spans="1:19">
      <c r="B507" s="19"/>
      <c r="C507" s="19"/>
      <c r="D507" s="19"/>
      <c r="E507" s="19"/>
      <c r="F507" s="19"/>
      <c r="G507" s="19"/>
      <c r="H507" s="19"/>
      <c r="I507" s="19">
        <f t="shared" si="120"/>
        <v>0</v>
      </c>
      <c r="J507" s="19">
        <f t="shared" si="121"/>
        <v>0</v>
      </c>
      <c r="K507" s="18">
        <f t="shared" si="122"/>
        <v>0</v>
      </c>
      <c r="L507" s="18"/>
      <c r="M507" s="18">
        <f t="shared" si="123"/>
        <v>0</v>
      </c>
      <c r="N507" s="18">
        <f t="shared" si="124"/>
        <v>0</v>
      </c>
      <c r="O507" s="18">
        <f t="shared" si="125"/>
        <v>210770.22600000002</v>
      </c>
    </row>
    <row r="508" spans="1:19">
      <c r="A508" t="s">
        <v>125</v>
      </c>
      <c r="B508" s="81">
        <v>45759</v>
      </c>
      <c r="C508" s="18" t="s">
        <v>443</v>
      </c>
      <c r="D508" s="19" t="s">
        <v>464</v>
      </c>
      <c r="E508" s="19" t="s">
        <v>465</v>
      </c>
      <c r="F508" s="19">
        <v>2</v>
      </c>
      <c r="G508" s="210">
        <v>2299</v>
      </c>
      <c r="H508" s="19">
        <v>10</v>
      </c>
      <c r="I508" s="19">
        <f t="shared" si="120"/>
        <v>229.9</v>
      </c>
      <c r="J508" s="19">
        <f t="shared" si="121"/>
        <v>2069.1</v>
      </c>
      <c r="K508" s="18">
        <f t="shared" si="122"/>
        <v>4138.2</v>
      </c>
      <c r="L508" s="18">
        <v>2.29</v>
      </c>
      <c r="M508" s="18">
        <f t="shared" si="123"/>
        <v>4738.2389999999996</v>
      </c>
      <c r="N508" s="18">
        <f t="shared" si="124"/>
        <v>9476.4779999999992</v>
      </c>
      <c r="O508" s="18">
        <f t="shared" si="125"/>
        <v>220246.70400000003</v>
      </c>
    </row>
    <row r="509" spans="1:19">
      <c r="A509" t="s">
        <v>125</v>
      </c>
      <c r="B509" s="81">
        <v>45759</v>
      </c>
      <c r="C509" s="18" t="s">
        <v>454</v>
      </c>
      <c r="D509" s="19" t="s">
        <v>464</v>
      </c>
      <c r="E509" s="19" t="s">
        <v>465</v>
      </c>
      <c r="F509" s="19">
        <v>2</v>
      </c>
      <c r="G509" s="210">
        <v>2299</v>
      </c>
      <c r="H509" s="19">
        <v>10</v>
      </c>
      <c r="I509" s="19">
        <f t="shared" si="120"/>
        <v>229.9</v>
      </c>
      <c r="J509" s="19">
        <f t="shared" si="121"/>
        <v>2069.1</v>
      </c>
      <c r="K509" s="18">
        <f t="shared" si="122"/>
        <v>4138.2</v>
      </c>
      <c r="L509" s="18">
        <v>2.29</v>
      </c>
      <c r="M509" s="18">
        <f t="shared" si="123"/>
        <v>4738.2389999999996</v>
      </c>
      <c r="N509" s="18">
        <f t="shared" si="124"/>
        <v>9476.4779999999992</v>
      </c>
      <c r="O509" s="18">
        <f t="shared" si="125"/>
        <v>229723.18200000003</v>
      </c>
      <c r="Q509">
        <v>5562.6390000000001</v>
      </c>
      <c r="R509">
        <f>Q509/11</f>
        <v>505.69445454545456</v>
      </c>
      <c r="S509">
        <f>Q509-R509</f>
        <v>5056.9445454545457</v>
      </c>
    </row>
    <row r="510" spans="1:19">
      <c r="A510" t="s">
        <v>125</v>
      </c>
      <c r="B510" s="81">
        <v>45759</v>
      </c>
      <c r="C510" s="18" t="s">
        <v>462</v>
      </c>
      <c r="D510" s="19" t="s">
        <v>464</v>
      </c>
      <c r="E510" s="19" t="s">
        <v>465</v>
      </c>
      <c r="F510" s="19">
        <v>1</v>
      </c>
      <c r="G510" s="210">
        <v>2699</v>
      </c>
      <c r="H510" s="19">
        <v>10</v>
      </c>
      <c r="I510" s="19">
        <f t="shared" si="120"/>
        <v>269.90000000000003</v>
      </c>
      <c r="J510" s="19">
        <f t="shared" si="121"/>
        <v>2429.1</v>
      </c>
      <c r="K510" s="18">
        <f t="shared" si="122"/>
        <v>2429.1</v>
      </c>
      <c r="L510" s="18">
        <v>2.29</v>
      </c>
      <c r="M510" s="18">
        <f t="shared" si="123"/>
        <v>5562.6390000000001</v>
      </c>
      <c r="N510" s="18">
        <f t="shared" si="124"/>
        <v>5562.6390000000001</v>
      </c>
      <c r="O510" s="18">
        <f t="shared" si="125"/>
        <v>235285.82100000003</v>
      </c>
      <c r="Q510" s="1">
        <v>5839.4769999999999</v>
      </c>
      <c r="R510">
        <f>Q510/11</f>
        <v>530.86154545454542</v>
      </c>
      <c r="S510">
        <f>Q510-R510</f>
        <v>5308.6154545454547</v>
      </c>
    </row>
    <row r="511" spans="1:19">
      <c r="A511" t="s">
        <v>125</v>
      </c>
      <c r="B511" s="81">
        <v>45759</v>
      </c>
      <c r="C511" s="18" t="s">
        <v>463</v>
      </c>
      <c r="D511" s="19" t="s">
        <v>464</v>
      </c>
      <c r="E511" s="19" t="s">
        <v>465</v>
      </c>
      <c r="F511" s="19">
        <v>2</v>
      </c>
      <c r="G511" s="210">
        <v>2699</v>
      </c>
      <c r="H511" s="19">
        <v>10</v>
      </c>
      <c r="I511" s="19">
        <f t="shared" si="120"/>
        <v>269.90000000000003</v>
      </c>
      <c r="J511" s="19">
        <f t="shared" si="121"/>
        <v>2429.1</v>
      </c>
      <c r="K511" s="18">
        <f t="shared" si="122"/>
        <v>4858.2</v>
      </c>
      <c r="L511" s="18">
        <v>2.29</v>
      </c>
      <c r="M511" s="18">
        <f t="shared" si="123"/>
        <v>5562.6390000000001</v>
      </c>
      <c r="N511" s="18">
        <f t="shared" si="124"/>
        <v>11125.278</v>
      </c>
      <c r="O511" s="18">
        <f t="shared" si="125"/>
        <v>246411.09900000002</v>
      </c>
    </row>
    <row r="512" spans="1:19">
      <c r="B512" s="19"/>
      <c r="C512" s="19"/>
      <c r="D512" s="19"/>
      <c r="E512" s="19"/>
      <c r="F512" s="19"/>
      <c r="G512" s="19"/>
      <c r="H512" s="19"/>
      <c r="I512" s="19">
        <f t="shared" si="120"/>
        <v>0</v>
      </c>
      <c r="J512" s="19">
        <f t="shared" si="121"/>
        <v>0</v>
      </c>
      <c r="K512" s="18">
        <f t="shared" si="122"/>
        <v>0</v>
      </c>
      <c r="L512" s="18"/>
      <c r="M512" s="18">
        <f t="shared" si="123"/>
        <v>0</v>
      </c>
      <c r="N512" s="18">
        <f t="shared" si="124"/>
        <v>0</v>
      </c>
      <c r="O512" s="18">
        <f t="shared" si="125"/>
        <v>246411.09900000002</v>
      </c>
    </row>
    <row r="513" spans="1:15">
      <c r="A513" t="s">
        <v>125</v>
      </c>
      <c r="B513" s="81">
        <v>45759</v>
      </c>
      <c r="C513" s="18" t="s">
        <v>466</v>
      </c>
      <c r="D513" s="19" t="s">
        <v>464</v>
      </c>
      <c r="E513" s="19" t="s">
        <v>465</v>
      </c>
      <c r="F513" s="19">
        <v>5</v>
      </c>
      <c r="G513" s="210">
        <v>143</v>
      </c>
      <c r="H513" s="19">
        <v>10</v>
      </c>
      <c r="I513" s="19">
        <f t="shared" si="120"/>
        <v>14.3</v>
      </c>
      <c r="J513" s="19">
        <f t="shared" si="121"/>
        <v>128.69999999999999</v>
      </c>
      <c r="K513" s="18">
        <f t="shared" si="122"/>
        <v>643.5</v>
      </c>
      <c r="L513" s="18">
        <v>2.29</v>
      </c>
      <c r="M513" s="18">
        <f t="shared" si="123"/>
        <v>294.72299999999996</v>
      </c>
      <c r="N513" s="18">
        <f t="shared" si="124"/>
        <v>1473.6149999999998</v>
      </c>
      <c r="O513" s="18">
        <f t="shared" si="125"/>
        <v>247884.71400000001</v>
      </c>
    </row>
    <row r="514" spans="1:15">
      <c r="A514" t="s">
        <v>125</v>
      </c>
      <c r="B514" s="81">
        <v>45759</v>
      </c>
      <c r="C514" s="18" t="s">
        <v>467</v>
      </c>
      <c r="D514" s="19" t="s">
        <v>464</v>
      </c>
      <c r="E514" s="19" t="s">
        <v>465</v>
      </c>
      <c r="F514" s="19">
        <v>6</v>
      </c>
      <c r="G514" s="210">
        <v>30</v>
      </c>
      <c r="H514" s="19">
        <v>10</v>
      </c>
      <c r="I514" s="19">
        <f t="shared" si="120"/>
        <v>3</v>
      </c>
      <c r="J514" s="19">
        <f t="shared" si="121"/>
        <v>27</v>
      </c>
      <c r="K514" s="18">
        <f t="shared" si="122"/>
        <v>162</v>
      </c>
      <c r="L514" s="18">
        <v>2.29</v>
      </c>
      <c r="M514" s="18">
        <f t="shared" si="123"/>
        <v>61.83</v>
      </c>
      <c r="N514" s="18">
        <f t="shared" si="124"/>
        <v>370.98</v>
      </c>
      <c r="O514" s="18">
        <f t="shared" si="125"/>
        <v>248255.69400000002</v>
      </c>
    </row>
    <row r="515" spans="1:15">
      <c r="B515" s="19"/>
      <c r="C515" s="19"/>
      <c r="D515" s="19"/>
      <c r="E515" s="19"/>
      <c r="F515" s="19"/>
      <c r="G515" s="19"/>
      <c r="H515" s="19"/>
      <c r="I515" s="19">
        <f t="shared" si="120"/>
        <v>0</v>
      </c>
      <c r="J515" s="19">
        <f t="shared" si="121"/>
        <v>0</v>
      </c>
      <c r="K515" s="18">
        <f t="shared" si="122"/>
        <v>0</v>
      </c>
      <c r="L515" s="18"/>
      <c r="M515" s="18">
        <f t="shared" si="123"/>
        <v>0</v>
      </c>
      <c r="N515" s="18">
        <f t="shared" si="124"/>
        <v>0</v>
      </c>
      <c r="O515" s="18">
        <f t="shared" si="125"/>
        <v>248255.69400000002</v>
      </c>
    </row>
    <row r="516" spans="1:15">
      <c r="A516" t="s">
        <v>125</v>
      </c>
      <c r="B516" s="96">
        <v>45759</v>
      </c>
      <c r="C516" s="110" t="s">
        <v>467</v>
      </c>
      <c r="D516" s="127" t="s">
        <v>464</v>
      </c>
      <c r="E516" s="127" t="s">
        <v>455</v>
      </c>
      <c r="F516" s="127">
        <v>20</v>
      </c>
      <c r="G516" s="184">
        <v>30</v>
      </c>
      <c r="H516" s="127">
        <v>10</v>
      </c>
      <c r="I516" s="127">
        <f t="shared" si="120"/>
        <v>3</v>
      </c>
      <c r="J516" s="127">
        <f t="shared" si="121"/>
        <v>27</v>
      </c>
      <c r="K516" s="110">
        <f t="shared" si="122"/>
        <v>540</v>
      </c>
      <c r="L516" s="110">
        <v>2.29</v>
      </c>
      <c r="M516" s="110">
        <f t="shared" si="123"/>
        <v>61.83</v>
      </c>
      <c r="N516" s="110">
        <f t="shared" si="124"/>
        <v>1236.5999999999999</v>
      </c>
      <c r="O516" s="110">
        <f t="shared" si="125"/>
        <v>249492.29400000002</v>
      </c>
    </row>
    <row r="517" spans="1:15">
      <c r="B517" s="19"/>
      <c r="C517" s="19"/>
      <c r="D517" s="19"/>
      <c r="E517" s="19"/>
      <c r="F517" s="19"/>
      <c r="G517" s="19"/>
      <c r="H517" s="19"/>
      <c r="I517" s="19">
        <f t="shared" si="120"/>
        <v>0</v>
      </c>
      <c r="J517" s="19">
        <f t="shared" si="121"/>
        <v>0</v>
      </c>
      <c r="K517" s="18">
        <f t="shared" si="122"/>
        <v>0</v>
      </c>
      <c r="L517" s="18"/>
      <c r="M517" s="18">
        <f t="shared" si="123"/>
        <v>0</v>
      </c>
      <c r="N517" s="18">
        <f t="shared" si="124"/>
        <v>0</v>
      </c>
      <c r="O517" s="18">
        <f t="shared" si="125"/>
        <v>249492.29400000002</v>
      </c>
    </row>
    <row r="518" spans="1:15">
      <c r="A518" t="s">
        <v>125</v>
      </c>
      <c r="B518" s="81">
        <v>45759</v>
      </c>
      <c r="C518" s="18" t="s">
        <v>467</v>
      </c>
      <c r="D518" s="19" t="s">
        <v>468</v>
      </c>
      <c r="E518" s="19" t="s">
        <v>465</v>
      </c>
      <c r="F518" s="19">
        <v>6</v>
      </c>
      <c r="G518" s="210">
        <v>30</v>
      </c>
      <c r="H518" s="19">
        <v>10</v>
      </c>
      <c r="I518" s="19">
        <f t="shared" si="120"/>
        <v>3</v>
      </c>
      <c r="J518" s="19">
        <f t="shared" ref="J518:J525" si="126">G518-I518</f>
        <v>27</v>
      </c>
      <c r="K518" s="18">
        <f t="shared" ref="K518:K525" si="127">F518*J518</f>
        <v>162</v>
      </c>
      <c r="L518" s="18">
        <v>2.29</v>
      </c>
      <c r="M518" s="18">
        <f t="shared" ref="M518:M525" si="128">J518*L518</f>
        <v>61.83</v>
      </c>
      <c r="N518" s="18">
        <f t="shared" ref="N518:N525" si="129">F518*M518</f>
        <v>370.98</v>
      </c>
      <c r="O518" s="18">
        <f t="shared" ref="O518:O525" si="130">O517+N518</f>
        <v>249863.27400000003</v>
      </c>
    </row>
    <row r="519" spans="1:15">
      <c r="A519" t="s">
        <v>125</v>
      </c>
      <c r="B519" s="81">
        <v>45759</v>
      </c>
      <c r="C519" s="18" t="s">
        <v>456</v>
      </c>
      <c r="D519" s="19" t="s">
        <v>468</v>
      </c>
      <c r="E519" s="19" t="s">
        <v>465</v>
      </c>
      <c r="F519" s="19">
        <v>5</v>
      </c>
      <c r="G519" s="210">
        <v>715</v>
      </c>
      <c r="H519" s="19">
        <v>10</v>
      </c>
      <c r="I519" s="19">
        <f t="shared" si="120"/>
        <v>71.5</v>
      </c>
      <c r="J519" s="19">
        <f t="shared" si="126"/>
        <v>643.5</v>
      </c>
      <c r="K519" s="18">
        <f t="shared" si="127"/>
        <v>3217.5</v>
      </c>
      <c r="L519" s="18">
        <v>2.29</v>
      </c>
      <c r="M519" s="18">
        <f t="shared" si="128"/>
        <v>1473.615</v>
      </c>
      <c r="N519" s="18">
        <f t="shared" si="129"/>
        <v>7368.0749999999998</v>
      </c>
      <c r="O519" s="18">
        <f t="shared" si="130"/>
        <v>257231.34900000005</v>
      </c>
    </row>
    <row r="520" spans="1:15">
      <c r="B520" s="19"/>
      <c r="C520" s="19"/>
      <c r="D520" s="19"/>
      <c r="E520" s="19"/>
      <c r="F520" s="19"/>
      <c r="G520" s="19"/>
      <c r="H520" s="19"/>
      <c r="I520" s="19">
        <f t="shared" si="120"/>
        <v>0</v>
      </c>
      <c r="J520" s="19">
        <f t="shared" si="126"/>
        <v>0</v>
      </c>
      <c r="K520" s="18">
        <f t="shared" si="127"/>
        <v>0</v>
      </c>
      <c r="L520" s="18"/>
      <c r="M520" s="18">
        <f t="shared" si="128"/>
        <v>0</v>
      </c>
      <c r="N520" s="18">
        <f t="shared" si="129"/>
        <v>0</v>
      </c>
      <c r="O520" s="18">
        <f t="shared" si="130"/>
        <v>257231.34900000005</v>
      </c>
    </row>
    <row r="521" spans="1:15">
      <c r="A521" t="s">
        <v>125</v>
      </c>
      <c r="B521" s="81">
        <v>45759</v>
      </c>
      <c r="C521" s="18" t="s">
        <v>443</v>
      </c>
      <c r="D521" s="19" t="s">
        <v>468</v>
      </c>
      <c r="E521" s="19" t="s">
        <v>465</v>
      </c>
      <c r="F521" s="19">
        <v>1</v>
      </c>
      <c r="G521" s="210">
        <v>2299</v>
      </c>
      <c r="H521" s="19">
        <v>10</v>
      </c>
      <c r="I521" s="19">
        <f t="shared" si="120"/>
        <v>229.9</v>
      </c>
      <c r="J521" s="19">
        <f t="shared" si="126"/>
        <v>2069.1</v>
      </c>
      <c r="K521" s="18">
        <f t="shared" si="127"/>
        <v>2069.1</v>
      </c>
      <c r="L521" s="18">
        <v>2.29</v>
      </c>
      <c r="M521" s="18">
        <f t="shared" si="128"/>
        <v>4738.2389999999996</v>
      </c>
      <c r="N521" s="18">
        <f t="shared" si="129"/>
        <v>4738.2389999999996</v>
      </c>
      <c r="O521" s="18">
        <f t="shared" si="130"/>
        <v>261969.58800000005</v>
      </c>
    </row>
    <row r="522" spans="1:15">
      <c r="A522" t="s">
        <v>125</v>
      </c>
      <c r="B522" s="81">
        <v>45759</v>
      </c>
      <c r="C522" s="18" t="s">
        <v>462</v>
      </c>
      <c r="D522" s="19" t="s">
        <v>468</v>
      </c>
      <c r="E522" s="19" t="s">
        <v>465</v>
      </c>
      <c r="F522" s="19">
        <v>1</v>
      </c>
      <c r="G522" s="210">
        <v>2699</v>
      </c>
      <c r="H522" s="19">
        <v>10</v>
      </c>
      <c r="I522" s="19">
        <f t="shared" si="120"/>
        <v>269.90000000000003</v>
      </c>
      <c r="J522" s="19">
        <f t="shared" si="126"/>
        <v>2429.1</v>
      </c>
      <c r="K522" s="18">
        <f t="shared" si="127"/>
        <v>2429.1</v>
      </c>
      <c r="L522" s="18">
        <v>2.29</v>
      </c>
      <c r="M522" s="18">
        <f t="shared" si="128"/>
        <v>5562.6390000000001</v>
      </c>
      <c r="N522" s="18">
        <f t="shared" si="129"/>
        <v>5562.6390000000001</v>
      </c>
      <c r="O522" s="18">
        <f t="shared" si="130"/>
        <v>267532.22700000007</v>
      </c>
    </row>
    <row r="523" spans="1:15">
      <c r="B523" s="19"/>
      <c r="C523" s="19"/>
      <c r="D523" s="19"/>
      <c r="E523" s="19"/>
      <c r="F523" s="19"/>
      <c r="G523" s="19"/>
      <c r="H523" s="19"/>
      <c r="I523" s="19">
        <f t="shared" si="120"/>
        <v>0</v>
      </c>
      <c r="J523" s="19">
        <f t="shared" si="126"/>
        <v>0</v>
      </c>
      <c r="K523" s="18">
        <f t="shared" si="127"/>
        <v>0</v>
      </c>
      <c r="L523" s="18"/>
      <c r="M523" s="18">
        <f t="shared" si="128"/>
        <v>0</v>
      </c>
      <c r="N523" s="18">
        <f t="shared" si="129"/>
        <v>0</v>
      </c>
      <c r="O523" s="18">
        <f t="shared" si="130"/>
        <v>267532.22700000007</v>
      </c>
    </row>
    <row r="524" spans="1:15">
      <c r="B524" s="19"/>
      <c r="C524" s="19"/>
      <c r="D524" s="19"/>
      <c r="E524" s="19"/>
      <c r="F524" s="19"/>
      <c r="G524" s="19"/>
      <c r="H524" s="19"/>
      <c r="I524" s="19">
        <f t="shared" si="120"/>
        <v>0</v>
      </c>
      <c r="J524" s="19">
        <f t="shared" si="126"/>
        <v>0</v>
      </c>
      <c r="K524" s="18">
        <f t="shared" si="127"/>
        <v>0</v>
      </c>
      <c r="L524" s="18"/>
      <c r="M524" s="18">
        <f t="shared" si="128"/>
        <v>0</v>
      </c>
      <c r="N524" s="18">
        <f t="shared" si="129"/>
        <v>0</v>
      </c>
      <c r="O524" s="18">
        <f t="shared" si="130"/>
        <v>267532.22700000007</v>
      </c>
    </row>
    <row r="525" spans="1:15">
      <c r="B525" s="19"/>
      <c r="C525" s="19"/>
      <c r="D525" s="19"/>
      <c r="E525" s="19"/>
      <c r="F525" s="19"/>
      <c r="G525" s="19"/>
      <c r="H525" s="19"/>
      <c r="I525" s="19">
        <f t="shared" si="120"/>
        <v>0</v>
      </c>
      <c r="J525" s="19">
        <f t="shared" si="126"/>
        <v>0</v>
      </c>
      <c r="K525" s="18">
        <f t="shared" si="127"/>
        <v>0</v>
      </c>
      <c r="L525" s="18"/>
      <c r="M525" s="18">
        <f t="shared" si="128"/>
        <v>0</v>
      </c>
      <c r="N525" s="18">
        <f t="shared" si="129"/>
        <v>0</v>
      </c>
      <c r="O525" s="18">
        <f t="shared" si="130"/>
        <v>267532.22700000007</v>
      </c>
    </row>
    <row r="529" spans="1:15" ht="21">
      <c r="B529" s="1521" t="s">
        <v>20</v>
      </c>
      <c r="C529" s="1521"/>
      <c r="D529" s="1521"/>
      <c r="E529" s="1521"/>
      <c r="F529" s="1521"/>
      <c r="G529" s="1521"/>
      <c r="H529" s="1521"/>
      <c r="I529" s="1521"/>
      <c r="J529" s="1521"/>
      <c r="K529" s="1521"/>
      <c r="L529" s="1521"/>
      <c r="M529" s="1521"/>
      <c r="N529" s="1521"/>
      <c r="O529" s="1521"/>
    </row>
    <row r="530" spans="1:15" ht="18.75">
      <c r="B530" s="226" t="s">
        <v>1</v>
      </c>
      <c r="C530" s="226" t="s">
        <v>2</v>
      </c>
      <c r="D530" s="226" t="s">
        <v>444</v>
      </c>
      <c r="E530" s="226" t="s">
        <v>33</v>
      </c>
      <c r="F530" s="226" t="s">
        <v>3</v>
      </c>
      <c r="G530" s="226" t="s">
        <v>445</v>
      </c>
      <c r="H530" s="226" t="s">
        <v>451</v>
      </c>
      <c r="I530" s="226" t="s">
        <v>446</v>
      </c>
      <c r="J530" s="226" t="s">
        <v>447</v>
      </c>
      <c r="K530" s="226" t="s">
        <v>448</v>
      </c>
      <c r="L530" s="226" t="s">
        <v>449</v>
      </c>
      <c r="M530" s="226" t="s">
        <v>450</v>
      </c>
      <c r="N530" s="226" t="s">
        <v>7</v>
      </c>
      <c r="O530" s="29"/>
    </row>
    <row r="531" spans="1:15">
      <c r="A531" t="s">
        <v>125</v>
      </c>
      <c r="B531" s="81">
        <v>45760</v>
      </c>
      <c r="C531" s="18" t="s">
        <v>456</v>
      </c>
      <c r="D531" s="19" t="s">
        <v>469</v>
      </c>
      <c r="E531" s="19" t="s">
        <v>470</v>
      </c>
      <c r="F531" s="19">
        <v>17</v>
      </c>
      <c r="G531" s="210">
        <v>699.99</v>
      </c>
      <c r="H531" s="19">
        <v>0</v>
      </c>
      <c r="I531" s="19">
        <f>G531*H531%</f>
        <v>0</v>
      </c>
      <c r="J531" s="19">
        <f>G531-I531</f>
        <v>699.99</v>
      </c>
      <c r="K531" s="18">
        <f>F531*J531</f>
        <v>11899.83</v>
      </c>
      <c r="L531" s="18">
        <v>2.29</v>
      </c>
      <c r="M531" s="18">
        <f>J531*L531</f>
        <v>1602.9771000000001</v>
      </c>
      <c r="N531" s="18">
        <f>F531*M531</f>
        <v>27250.610700000001</v>
      </c>
      <c r="O531" s="18">
        <f>O530+N531</f>
        <v>27250.610700000001</v>
      </c>
    </row>
    <row r="532" spans="1:15">
      <c r="A532" t="s">
        <v>125</v>
      </c>
      <c r="B532" s="81">
        <v>45760</v>
      </c>
      <c r="C532" s="18" t="s">
        <v>456</v>
      </c>
      <c r="D532" s="19" t="s">
        <v>469</v>
      </c>
      <c r="E532" s="19" t="s">
        <v>470</v>
      </c>
      <c r="F532" s="19">
        <v>1</v>
      </c>
      <c r="G532" s="210">
        <v>699.99</v>
      </c>
      <c r="H532" s="19">
        <v>0</v>
      </c>
      <c r="I532" s="19">
        <f t="shared" ref="I532:I555" si="131">G532*H532%</f>
        <v>0</v>
      </c>
      <c r="J532" s="19">
        <f t="shared" ref="J532:J540" si="132">G532-I532</f>
        <v>699.99</v>
      </c>
      <c r="K532" s="18">
        <f t="shared" ref="K532:K540" si="133">F532*J532</f>
        <v>699.99</v>
      </c>
      <c r="L532" s="18">
        <v>2.29</v>
      </c>
      <c r="M532" s="18">
        <f t="shared" ref="M532:M540" si="134">J532*L532</f>
        <v>1602.9771000000001</v>
      </c>
      <c r="N532" s="18">
        <f t="shared" ref="N532:N540" si="135">F532*M532</f>
        <v>1602.9771000000001</v>
      </c>
      <c r="O532" s="18">
        <f t="shared" ref="O532:O540" si="136">O531+N532</f>
        <v>28853.587800000001</v>
      </c>
    </row>
    <row r="533" spans="1:15">
      <c r="B533" s="19"/>
      <c r="C533" s="19"/>
      <c r="D533" s="19"/>
      <c r="E533" s="19"/>
      <c r="F533" s="19"/>
      <c r="G533" s="19"/>
      <c r="H533" s="19"/>
      <c r="I533" s="19">
        <f t="shared" si="131"/>
        <v>0</v>
      </c>
      <c r="J533" s="19">
        <f t="shared" si="132"/>
        <v>0</v>
      </c>
      <c r="K533" s="18">
        <f t="shared" si="133"/>
        <v>0</v>
      </c>
      <c r="L533" s="18"/>
      <c r="M533" s="18">
        <f t="shared" si="134"/>
        <v>0</v>
      </c>
      <c r="N533" s="18">
        <f t="shared" si="135"/>
        <v>0</v>
      </c>
      <c r="O533" s="18">
        <f t="shared" si="136"/>
        <v>28853.587800000001</v>
      </c>
    </row>
    <row r="534" spans="1:15">
      <c r="A534" t="s">
        <v>125</v>
      </c>
      <c r="B534" s="96">
        <v>45760</v>
      </c>
      <c r="C534" s="110" t="s">
        <v>462</v>
      </c>
      <c r="D534" s="127" t="s">
        <v>469</v>
      </c>
      <c r="E534" s="127" t="s">
        <v>470</v>
      </c>
      <c r="F534" s="127">
        <v>3</v>
      </c>
      <c r="G534" s="184">
        <v>2549.9899999999998</v>
      </c>
      <c r="H534" s="127">
        <v>0</v>
      </c>
      <c r="I534" s="127">
        <f t="shared" si="131"/>
        <v>0</v>
      </c>
      <c r="J534" s="127">
        <f t="shared" si="132"/>
        <v>2549.9899999999998</v>
      </c>
      <c r="K534" s="110">
        <f t="shared" si="133"/>
        <v>7649.9699999999993</v>
      </c>
      <c r="L534" s="110">
        <v>2.29</v>
      </c>
      <c r="M534" s="110">
        <f t="shared" si="134"/>
        <v>5839.4770999999992</v>
      </c>
      <c r="N534" s="110">
        <f t="shared" si="135"/>
        <v>17518.431299999997</v>
      </c>
      <c r="O534" s="110">
        <f t="shared" si="136"/>
        <v>46372.019099999998</v>
      </c>
    </row>
    <row r="535" spans="1:15">
      <c r="A535" t="s">
        <v>125</v>
      </c>
      <c r="B535" s="96">
        <v>45760</v>
      </c>
      <c r="C535" s="110" t="s">
        <v>471</v>
      </c>
      <c r="D535" s="127" t="s">
        <v>469</v>
      </c>
      <c r="E535" s="127" t="s">
        <v>470</v>
      </c>
      <c r="F535" s="127">
        <v>2</v>
      </c>
      <c r="G535" s="184">
        <v>2549.9899999999998</v>
      </c>
      <c r="H535" s="127">
        <v>0</v>
      </c>
      <c r="I535" s="127">
        <f t="shared" si="131"/>
        <v>0</v>
      </c>
      <c r="J535" s="127">
        <f t="shared" si="132"/>
        <v>2549.9899999999998</v>
      </c>
      <c r="K535" s="110">
        <f t="shared" si="133"/>
        <v>5099.9799999999996</v>
      </c>
      <c r="L535" s="110">
        <v>2.29</v>
      </c>
      <c r="M535" s="110">
        <f t="shared" si="134"/>
        <v>5839.4770999999992</v>
      </c>
      <c r="N535" s="110">
        <f t="shared" si="135"/>
        <v>11678.954199999998</v>
      </c>
      <c r="O535" s="110">
        <f t="shared" si="136"/>
        <v>58050.973299999998</v>
      </c>
    </row>
    <row r="536" spans="1:15">
      <c r="B536" s="19"/>
      <c r="C536" s="19"/>
      <c r="D536" s="19"/>
      <c r="E536" s="19"/>
      <c r="F536" s="19"/>
      <c r="G536" s="19"/>
      <c r="H536" s="19"/>
      <c r="I536" s="19">
        <f t="shared" si="131"/>
        <v>0</v>
      </c>
      <c r="J536" s="19">
        <f t="shared" si="132"/>
        <v>0</v>
      </c>
      <c r="K536" s="18">
        <f t="shared" si="133"/>
        <v>0</v>
      </c>
      <c r="L536" s="18"/>
      <c r="M536" s="18">
        <f t="shared" si="134"/>
        <v>0</v>
      </c>
      <c r="N536" s="18">
        <f t="shared" si="135"/>
        <v>0</v>
      </c>
      <c r="O536" s="18">
        <f t="shared" si="136"/>
        <v>58050.973299999998</v>
      </c>
    </row>
    <row r="537" spans="1:15">
      <c r="A537" t="s">
        <v>125</v>
      </c>
      <c r="B537" s="81">
        <v>45760</v>
      </c>
      <c r="C537" s="18" t="s">
        <v>472</v>
      </c>
      <c r="D537" s="19" t="s">
        <v>473</v>
      </c>
      <c r="E537" s="19" t="s">
        <v>465</v>
      </c>
      <c r="F537" s="19">
        <v>10</v>
      </c>
      <c r="G537" s="210">
        <v>724</v>
      </c>
      <c r="H537" s="19">
        <v>0</v>
      </c>
      <c r="I537" s="19">
        <f t="shared" si="131"/>
        <v>0</v>
      </c>
      <c r="J537" s="19">
        <f t="shared" si="132"/>
        <v>724</v>
      </c>
      <c r="K537" s="18">
        <f t="shared" si="133"/>
        <v>7240</v>
      </c>
      <c r="L537" s="18">
        <v>2.29</v>
      </c>
      <c r="M537" s="18">
        <f t="shared" si="134"/>
        <v>1657.96</v>
      </c>
      <c r="N537" s="18">
        <f t="shared" si="135"/>
        <v>16579.599999999999</v>
      </c>
      <c r="O537" s="18">
        <f t="shared" si="136"/>
        <v>74630.573299999989</v>
      </c>
    </row>
    <row r="538" spans="1:15">
      <c r="B538" s="19"/>
      <c r="C538" s="19"/>
      <c r="D538" s="19"/>
      <c r="E538" s="19"/>
      <c r="F538" s="19"/>
      <c r="G538" s="19"/>
      <c r="H538" s="19"/>
      <c r="I538" s="19">
        <f t="shared" si="131"/>
        <v>0</v>
      </c>
      <c r="J538" s="19">
        <f t="shared" si="132"/>
        <v>0</v>
      </c>
      <c r="K538" s="18">
        <f t="shared" si="133"/>
        <v>0</v>
      </c>
      <c r="L538" s="18"/>
      <c r="M538" s="18">
        <f t="shared" si="134"/>
        <v>0</v>
      </c>
      <c r="N538" s="18">
        <f t="shared" si="135"/>
        <v>0</v>
      </c>
      <c r="O538" s="18">
        <f t="shared" si="136"/>
        <v>74630.573299999989</v>
      </c>
    </row>
    <row r="539" spans="1:15">
      <c r="A539" t="s">
        <v>125</v>
      </c>
      <c r="B539" s="81">
        <v>45760</v>
      </c>
      <c r="C539" s="18" t="s">
        <v>474</v>
      </c>
      <c r="D539" s="19" t="s">
        <v>475</v>
      </c>
      <c r="E539" s="19" t="s">
        <v>465</v>
      </c>
      <c r="F539" s="19">
        <v>1</v>
      </c>
      <c r="G539" s="210">
        <v>713</v>
      </c>
      <c r="H539" s="19">
        <v>0</v>
      </c>
      <c r="I539" s="19">
        <f t="shared" si="131"/>
        <v>0</v>
      </c>
      <c r="J539" s="19">
        <f t="shared" si="132"/>
        <v>713</v>
      </c>
      <c r="K539" s="18">
        <f t="shared" si="133"/>
        <v>713</v>
      </c>
      <c r="L539" s="18">
        <v>2.29</v>
      </c>
      <c r="M539" s="18">
        <f t="shared" si="134"/>
        <v>1632.77</v>
      </c>
      <c r="N539" s="18">
        <f t="shared" si="135"/>
        <v>1632.77</v>
      </c>
      <c r="O539" s="18">
        <f t="shared" si="136"/>
        <v>76263.343299999993</v>
      </c>
    </row>
    <row r="540" spans="1:15">
      <c r="B540" s="19"/>
      <c r="C540" s="19"/>
      <c r="D540" s="19"/>
      <c r="E540" s="19"/>
      <c r="F540" s="19"/>
      <c r="G540" s="19"/>
      <c r="H540" s="19"/>
      <c r="I540" s="19">
        <f t="shared" si="131"/>
        <v>0</v>
      </c>
      <c r="J540" s="19">
        <f t="shared" si="132"/>
        <v>0</v>
      </c>
      <c r="K540" s="18">
        <f t="shared" si="133"/>
        <v>0</v>
      </c>
      <c r="L540" s="18"/>
      <c r="M540" s="18">
        <f t="shared" si="134"/>
        <v>0</v>
      </c>
      <c r="N540" s="18">
        <f t="shared" si="135"/>
        <v>0</v>
      </c>
      <c r="O540" s="18">
        <f t="shared" si="136"/>
        <v>76263.343299999993</v>
      </c>
    </row>
    <row r="541" spans="1:15">
      <c r="A541" t="s">
        <v>125</v>
      </c>
      <c r="B541" s="81">
        <v>45760</v>
      </c>
      <c r="C541" s="18" t="s">
        <v>478</v>
      </c>
      <c r="D541" s="19" t="s">
        <v>479</v>
      </c>
      <c r="E541" s="19" t="s">
        <v>465</v>
      </c>
      <c r="F541" s="19">
        <v>3</v>
      </c>
      <c r="G541" s="210">
        <v>213</v>
      </c>
      <c r="H541" s="19">
        <v>0</v>
      </c>
      <c r="I541" s="19">
        <f t="shared" si="131"/>
        <v>0</v>
      </c>
      <c r="J541" s="19">
        <f t="shared" ref="J541:J555" si="137">G541-I541</f>
        <v>213</v>
      </c>
      <c r="K541" s="18">
        <f t="shared" ref="K541:K555" si="138">F541*J541</f>
        <v>639</v>
      </c>
      <c r="L541" s="18">
        <v>2.29</v>
      </c>
      <c r="M541" s="18">
        <f t="shared" ref="M541:M555" si="139">J541*L541</f>
        <v>487.77</v>
      </c>
      <c r="N541" s="18">
        <f t="shared" ref="N541:N555" si="140">F541*M541</f>
        <v>1463.31</v>
      </c>
      <c r="O541" s="18">
        <f t="shared" ref="O541:O555" si="141">O540+N541</f>
        <v>77726.653299999991</v>
      </c>
    </row>
    <row r="542" spans="1:15">
      <c r="A542" t="s">
        <v>125</v>
      </c>
      <c r="B542" s="81">
        <v>45760</v>
      </c>
      <c r="C542" s="18" t="s">
        <v>480</v>
      </c>
      <c r="D542" s="19" t="s">
        <v>479</v>
      </c>
      <c r="E542" s="19" t="s">
        <v>465</v>
      </c>
      <c r="F542" s="19">
        <v>2</v>
      </c>
      <c r="G542" s="210">
        <v>87</v>
      </c>
      <c r="H542" s="19">
        <v>0</v>
      </c>
      <c r="I542" s="19">
        <f t="shared" si="131"/>
        <v>0</v>
      </c>
      <c r="J542" s="19">
        <f t="shared" si="137"/>
        <v>87</v>
      </c>
      <c r="K542" s="18">
        <f t="shared" si="138"/>
        <v>174</v>
      </c>
      <c r="L542" s="18">
        <v>2.29</v>
      </c>
      <c r="M542" s="18">
        <f t="shared" si="139"/>
        <v>199.23</v>
      </c>
      <c r="N542" s="18">
        <f t="shared" si="140"/>
        <v>398.46</v>
      </c>
      <c r="O542" s="18">
        <f t="shared" si="141"/>
        <v>78125.113299999997</v>
      </c>
    </row>
    <row r="543" spans="1:15">
      <c r="A543" t="s">
        <v>125</v>
      </c>
      <c r="B543" s="81">
        <v>45760</v>
      </c>
      <c r="C543" s="18" t="s">
        <v>481</v>
      </c>
      <c r="D543" s="19" t="s">
        <v>479</v>
      </c>
      <c r="E543" s="19" t="s">
        <v>465</v>
      </c>
      <c r="F543" s="19">
        <v>8</v>
      </c>
      <c r="G543" s="210">
        <v>19</v>
      </c>
      <c r="H543" s="19">
        <v>0</v>
      </c>
      <c r="I543" s="19">
        <f t="shared" si="131"/>
        <v>0</v>
      </c>
      <c r="J543" s="19">
        <f t="shared" si="137"/>
        <v>19</v>
      </c>
      <c r="K543" s="18">
        <f t="shared" si="138"/>
        <v>152</v>
      </c>
      <c r="L543" s="18">
        <v>2.29</v>
      </c>
      <c r="M543" s="18">
        <f t="shared" si="139"/>
        <v>43.51</v>
      </c>
      <c r="N543" s="18">
        <f t="shared" si="140"/>
        <v>348.08</v>
      </c>
      <c r="O543" s="18">
        <f t="shared" si="141"/>
        <v>78473.193299999999</v>
      </c>
    </row>
    <row r="544" spans="1:15">
      <c r="B544" s="19"/>
      <c r="C544" s="19"/>
      <c r="D544" s="19"/>
      <c r="E544" s="19"/>
      <c r="F544" s="19"/>
      <c r="G544" s="19"/>
      <c r="H544" s="19"/>
      <c r="I544" s="19">
        <f t="shared" si="131"/>
        <v>0</v>
      </c>
      <c r="J544" s="19">
        <f t="shared" si="137"/>
        <v>0</v>
      </c>
      <c r="K544" s="18">
        <f t="shared" si="138"/>
        <v>0</v>
      </c>
      <c r="L544" s="18"/>
      <c r="M544" s="18">
        <f t="shared" si="139"/>
        <v>0</v>
      </c>
      <c r="N544" s="18">
        <f t="shared" si="140"/>
        <v>0</v>
      </c>
      <c r="O544" s="18">
        <f t="shared" si="141"/>
        <v>78473.193299999999</v>
      </c>
    </row>
    <row r="545" spans="1:15">
      <c r="A545" t="s">
        <v>125</v>
      </c>
      <c r="B545" s="81">
        <v>45760</v>
      </c>
      <c r="C545" s="18" t="s">
        <v>467</v>
      </c>
      <c r="D545" s="19" t="s">
        <v>453</v>
      </c>
      <c r="E545" s="19" t="s">
        <v>465</v>
      </c>
      <c r="F545" s="19">
        <v>20</v>
      </c>
      <c r="G545" s="210">
        <v>30</v>
      </c>
      <c r="H545" s="19">
        <v>10</v>
      </c>
      <c r="I545" s="19">
        <f t="shared" si="131"/>
        <v>3</v>
      </c>
      <c r="J545" s="19">
        <f t="shared" si="137"/>
        <v>27</v>
      </c>
      <c r="K545" s="18">
        <f t="shared" si="138"/>
        <v>540</v>
      </c>
      <c r="L545" s="18">
        <v>2.29</v>
      </c>
      <c r="M545" s="18">
        <f t="shared" si="139"/>
        <v>61.83</v>
      </c>
      <c r="N545" s="18">
        <f t="shared" si="140"/>
        <v>1236.5999999999999</v>
      </c>
      <c r="O545" s="18">
        <f t="shared" si="141"/>
        <v>79709.793300000005</v>
      </c>
    </row>
    <row r="546" spans="1:15">
      <c r="B546" s="19"/>
      <c r="C546" s="19"/>
      <c r="D546" s="19"/>
      <c r="E546" s="19"/>
      <c r="F546" s="19"/>
      <c r="G546" s="19"/>
      <c r="H546" s="19"/>
      <c r="I546" s="19">
        <f t="shared" si="131"/>
        <v>0</v>
      </c>
      <c r="J546" s="19">
        <f t="shared" si="137"/>
        <v>0</v>
      </c>
      <c r="K546" s="18">
        <f t="shared" si="138"/>
        <v>0</v>
      </c>
      <c r="L546" s="18"/>
      <c r="M546" s="18">
        <f t="shared" si="139"/>
        <v>0</v>
      </c>
      <c r="N546" s="18">
        <f t="shared" si="140"/>
        <v>0</v>
      </c>
      <c r="O546" s="18">
        <f t="shared" si="141"/>
        <v>79709.793300000005</v>
      </c>
    </row>
    <row r="547" spans="1:15">
      <c r="A547" t="s">
        <v>125</v>
      </c>
      <c r="B547" s="81">
        <v>45760</v>
      </c>
      <c r="C547" s="18" t="s">
        <v>456</v>
      </c>
      <c r="D547" s="19" t="s">
        <v>484</v>
      </c>
      <c r="E547" s="19" t="s">
        <v>465</v>
      </c>
      <c r="F547" s="19">
        <v>4</v>
      </c>
      <c r="G547" s="210">
        <v>724</v>
      </c>
      <c r="H547" s="19">
        <v>10</v>
      </c>
      <c r="I547" s="19">
        <f t="shared" si="131"/>
        <v>72.400000000000006</v>
      </c>
      <c r="J547" s="19">
        <f t="shared" si="137"/>
        <v>651.6</v>
      </c>
      <c r="K547" s="18">
        <f t="shared" si="138"/>
        <v>2606.4</v>
      </c>
      <c r="L547" s="18">
        <v>2.29</v>
      </c>
      <c r="M547" s="18">
        <f t="shared" si="139"/>
        <v>1492.164</v>
      </c>
      <c r="N547" s="18">
        <f t="shared" si="140"/>
        <v>5968.6559999999999</v>
      </c>
      <c r="O547" s="18">
        <f t="shared" si="141"/>
        <v>85678.449300000007</v>
      </c>
    </row>
    <row r="548" spans="1:15">
      <c r="B548" s="19"/>
      <c r="C548" s="19"/>
      <c r="D548" s="19"/>
      <c r="E548" s="19"/>
      <c r="F548" s="19"/>
      <c r="G548" s="19"/>
      <c r="H548" s="19"/>
      <c r="I548" s="19">
        <f t="shared" si="131"/>
        <v>0</v>
      </c>
      <c r="J548" s="19">
        <f t="shared" si="137"/>
        <v>0</v>
      </c>
      <c r="K548" s="18">
        <f t="shared" si="138"/>
        <v>0</v>
      </c>
      <c r="L548" s="18"/>
      <c r="M548" s="18">
        <f t="shared" si="139"/>
        <v>0</v>
      </c>
      <c r="N548" s="18">
        <f t="shared" si="140"/>
        <v>0</v>
      </c>
      <c r="O548" s="18">
        <f t="shared" si="141"/>
        <v>85678.449300000007</v>
      </c>
    </row>
    <row r="549" spans="1:15">
      <c r="A549" t="s">
        <v>125</v>
      </c>
      <c r="B549" s="81">
        <v>45760</v>
      </c>
      <c r="C549" s="18" t="s">
        <v>596</v>
      </c>
      <c r="D549" s="19" t="s">
        <v>486</v>
      </c>
      <c r="E549" s="19" t="s">
        <v>465</v>
      </c>
      <c r="F549" s="19">
        <v>1</v>
      </c>
      <c r="G549" s="210">
        <v>2249</v>
      </c>
      <c r="H549" s="19">
        <v>10</v>
      </c>
      <c r="I549" s="19">
        <f t="shared" si="131"/>
        <v>224.9</v>
      </c>
      <c r="J549" s="19">
        <f t="shared" si="137"/>
        <v>2024.1</v>
      </c>
      <c r="K549" s="18">
        <f t="shared" si="138"/>
        <v>2024.1</v>
      </c>
      <c r="L549" s="18">
        <v>2.29</v>
      </c>
      <c r="M549" s="18">
        <f t="shared" si="139"/>
        <v>4635.1890000000003</v>
      </c>
      <c r="N549" s="18">
        <f t="shared" si="140"/>
        <v>4635.1890000000003</v>
      </c>
      <c r="O549" s="18">
        <f t="shared" si="141"/>
        <v>90313.638300000006</v>
      </c>
    </row>
    <row r="550" spans="1:15">
      <c r="A550" t="s">
        <v>125</v>
      </c>
      <c r="B550" s="81">
        <v>45760</v>
      </c>
      <c r="C550" s="18" t="s">
        <v>462</v>
      </c>
      <c r="D550" s="19" t="s">
        <v>486</v>
      </c>
      <c r="E550" s="19" t="s">
        <v>465</v>
      </c>
      <c r="F550" s="19">
        <v>1</v>
      </c>
      <c r="G550" s="210">
        <v>2699</v>
      </c>
      <c r="H550" s="19">
        <v>10</v>
      </c>
      <c r="I550" s="19">
        <f t="shared" si="131"/>
        <v>269.90000000000003</v>
      </c>
      <c r="J550" s="19">
        <f t="shared" si="137"/>
        <v>2429.1</v>
      </c>
      <c r="K550" s="18">
        <f t="shared" si="138"/>
        <v>2429.1</v>
      </c>
      <c r="L550" s="18">
        <v>2.29</v>
      </c>
      <c r="M550" s="18">
        <f t="shared" si="139"/>
        <v>5562.6390000000001</v>
      </c>
      <c r="N550" s="18">
        <f t="shared" si="140"/>
        <v>5562.6390000000001</v>
      </c>
      <c r="O550" s="18">
        <f t="shared" si="141"/>
        <v>95876.277300000002</v>
      </c>
    </row>
    <row r="551" spans="1:15">
      <c r="B551" s="19"/>
      <c r="C551" s="19"/>
      <c r="D551" s="19"/>
      <c r="E551" s="19"/>
      <c r="F551" s="19"/>
      <c r="G551" s="19"/>
      <c r="H551" s="19"/>
      <c r="I551" s="19">
        <f t="shared" si="131"/>
        <v>0</v>
      </c>
      <c r="J551" s="19">
        <f t="shared" si="137"/>
        <v>0</v>
      </c>
      <c r="K551" s="18">
        <f t="shared" si="138"/>
        <v>0</v>
      </c>
      <c r="L551" s="18"/>
      <c r="M551" s="18">
        <f t="shared" si="139"/>
        <v>0</v>
      </c>
      <c r="N551" s="18">
        <f t="shared" si="140"/>
        <v>0</v>
      </c>
      <c r="O551" s="18">
        <f t="shared" si="141"/>
        <v>95876.277300000002</v>
      </c>
    </row>
    <row r="552" spans="1:15">
      <c r="A552" t="s">
        <v>125</v>
      </c>
      <c r="B552" s="81">
        <v>45760</v>
      </c>
      <c r="C552" s="18" t="s">
        <v>457</v>
      </c>
      <c r="D552" s="19" t="s">
        <v>490</v>
      </c>
      <c r="E552" s="19" t="s">
        <v>465</v>
      </c>
      <c r="F552" s="19">
        <v>2</v>
      </c>
      <c r="G552" s="210">
        <v>299</v>
      </c>
      <c r="H552" s="19">
        <v>10</v>
      </c>
      <c r="I552" s="19">
        <f t="shared" si="131"/>
        <v>29.900000000000002</v>
      </c>
      <c r="J552" s="19">
        <f t="shared" si="137"/>
        <v>269.10000000000002</v>
      </c>
      <c r="K552" s="18">
        <f t="shared" si="138"/>
        <v>538.20000000000005</v>
      </c>
      <c r="L552" s="18">
        <v>2.29</v>
      </c>
      <c r="M552" s="18">
        <f t="shared" si="139"/>
        <v>616.23900000000003</v>
      </c>
      <c r="N552" s="18">
        <f t="shared" si="140"/>
        <v>1232.4780000000001</v>
      </c>
      <c r="O552" s="18">
        <f t="shared" si="141"/>
        <v>97108.755300000004</v>
      </c>
    </row>
    <row r="553" spans="1:15">
      <c r="B553" s="19"/>
      <c r="C553" s="19"/>
      <c r="D553" s="19"/>
      <c r="E553" s="19"/>
      <c r="F553" s="19"/>
      <c r="G553" s="19"/>
      <c r="H553" s="19"/>
      <c r="I553" s="19">
        <f t="shared" si="131"/>
        <v>0</v>
      </c>
      <c r="J553" s="19">
        <f t="shared" si="137"/>
        <v>0</v>
      </c>
      <c r="K553" s="18">
        <f t="shared" si="138"/>
        <v>0</v>
      </c>
      <c r="L553" s="18"/>
      <c r="M553" s="18">
        <f t="shared" si="139"/>
        <v>0</v>
      </c>
      <c r="N553" s="18">
        <f t="shared" si="140"/>
        <v>0</v>
      </c>
      <c r="O553" s="18">
        <f t="shared" si="141"/>
        <v>97108.755300000004</v>
      </c>
    </row>
    <row r="554" spans="1:15">
      <c r="A554" t="s">
        <v>125</v>
      </c>
      <c r="B554" s="81">
        <v>45760</v>
      </c>
      <c r="C554" s="18" t="s">
        <v>481</v>
      </c>
      <c r="D554" s="19" t="s">
        <v>491</v>
      </c>
      <c r="E554" s="19" t="s">
        <v>465</v>
      </c>
      <c r="F554" s="19">
        <v>12</v>
      </c>
      <c r="G554" s="210">
        <v>19</v>
      </c>
      <c r="H554" s="19">
        <v>0</v>
      </c>
      <c r="I554" s="19">
        <f t="shared" si="131"/>
        <v>0</v>
      </c>
      <c r="J554" s="19">
        <f t="shared" si="137"/>
        <v>19</v>
      </c>
      <c r="K554" s="18">
        <f t="shared" si="138"/>
        <v>228</v>
      </c>
      <c r="L554" s="18">
        <v>2.29</v>
      </c>
      <c r="M554" s="18">
        <f t="shared" si="139"/>
        <v>43.51</v>
      </c>
      <c r="N554" s="18">
        <f t="shared" si="140"/>
        <v>522.12</v>
      </c>
      <c r="O554" s="18">
        <f t="shared" si="141"/>
        <v>97630.8753</v>
      </c>
    </row>
    <row r="555" spans="1:15">
      <c r="A555" t="s">
        <v>125</v>
      </c>
      <c r="B555" s="81">
        <v>45760</v>
      </c>
      <c r="C555" s="18" t="s">
        <v>478</v>
      </c>
      <c r="D555" s="19" t="s">
        <v>491</v>
      </c>
      <c r="E555" s="19" t="s">
        <v>465</v>
      </c>
      <c r="F555" s="19">
        <v>1</v>
      </c>
      <c r="G555" s="210">
        <v>213</v>
      </c>
      <c r="H555" s="19">
        <v>0</v>
      </c>
      <c r="I555" s="19">
        <f t="shared" si="131"/>
        <v>0</v>
      </c>
      <c r="J555" s="19">
        <f t="shared" si="137"/>
        <v>213</v>
      </c>
      <c r="K555" s="18">
        <f t="shared" si="138"/>
        <v>213</v>
      </c>
      <c r="L555" s="18">
        <v>2.29</v>
      </c>
      <c r="M555" s="18">
        <f t="shared" si="139"/>
        <v>487.77</v>
      </c>
      <c r="N555" s="18">
        <f t="shared" si="140"/>
        <v>487.77</v>
      </c>
      <c r="O555" s="18">
        <f t="shared" si="141"/>
        <v>98118.645300000004</v>
      </c>
    </row>
    <row r="556" spans="1:15">
      <c r="A556" t="s">
        <v>125</v>
      </c>
      <c r="B556" s="81">
        <v>45760</v>
      </c>
      <c r="C556" s="18" t="s">
        <v>480</v>
      </c>
      <c r="D556" s="19" t="s">
        <v>491</v>
      </c>
      <c r="E556" s="19" t="s">
        <v>465</v>
      </c>
      <c r="F556" s="19">
        <v>3</v>
      </c>
      <c r="G556" s="210">
        <v>87</v>
      </c>
      <c r="H556" s="19">
        <v>0</v>
      </c>
      <c r="I556" s="19">
        <f t="shared" ref="I556:I565" si="142">G556*H556%</f>
        <v>0</v>
      </c>
      <c r="J556" s="19">
        <f t="shared" ref="J556:J565" si="143">G556-I556</f>
        <v>87</v>
      </c>
      <c r="K556" s="18">
        <f t="shared" ref="K556:K565" si="144">F556*J556</f>
        <v>261</v>
      </c>
      <c r="L556" s="18">
        <v>2.29</v>
      </c>
      <c r="M556" s="18">
        <f t="shared" ref="M556:M565" si="145">J556*L556</f>
        <v>199.23</v>
      </c>
      <c r="N556" s="18">
        <f t="shared" ref="N556:N565" si="146">F556*M556</f>
        <v>597.68999999999994</v>
      </c>
      <c r="O556" s="18">
        <f t="shared" ref="O556:O565" si="147">O555+N556</f>
        <v>98716.335300000006</v>
      </c>
    </row>
    <row r="557" spans="1:15">
      <c r="B557" s="19"/>
      <c r="C557" s="19"/>
      <c r="D557" s="19"/>
      <c r="E557" s="19"/>
      <c r="F557" s="19"/>
      <c r="G557" s="19"/>
      <c r="H557" s="19"/>
      <c r="I557" s="19">
        <f t="shared" si="142"/>
        <v>0</v>
      </c>
      <c r="J557" s="19">
        <f t="shared" si="143"/>
        <v>0</v>
      </c>
      <c r="K557" s="18">
        <f t="shared" si="144"/>
        <v>0</v>
      </c>
      <c r="L557" s="18"/>
      <c r="M557" s="18">
        <f t="shared" si="145"/>
        <v>0</v>
      </c>
      <c r="N557" s="18">
        <f t="shared" si="146"/>
        <v>0</v>
      </c>
      <c r="O557" s="18">
        <f t="shared" si="147"/>
        <v>98716.335300000006</v>
      </c>
    </row>
    <row r="558" spans="1:15">
      <c r="A558" t="s">
        <v>125</v>
      </c>
      <c r="B558" s="81">
        <v>45760</v>
      </c>
      <c r="C558" s="18" t="s">
        <v>494</v>
      </c>
      <c r="D558" s="19" t="s">
        <v>464</v>
      </c>
      <c r="E558" s="19" t="s">
        <v>465</v>
      </c>
      <c r="F558" s="19">
        <v>6</v>
      </c>
      <c r="G558" s="210">
        <v>204</v>
      </c>
      <c r="H558" s="19">
        <v>10</v>
      </c>
      <c r="I558" s="19">
        <f t="shared" si="142"/>
        <v>20.400000000000002</v>
      </c>
      <c r="J558" s="19">
        <f t="shared" si="143"/>
        <v>183.6</v>
      </c>
      <c r="K558" s="18">
        <f t="shared" si="144"/>
        <v>1101.5999999999999</v>
      </c>
      <c r="L558" s="18">
        <v>2.29</v>
      </c>
      <c r="M558" s="18">
        <f t="shared" si="145"/>
        <v>420.44400000000002</v>
      </c>
      <c r="N558" s="18">
        <f t="shared" si="146"/>
        <v>2522.6640000000002</v>
      </c>
      <c r="O558" s="18">
        <f t="shared" si="147"/>
        <v>101238.99930000001</v>
      </c>
    </row>
    <row r="559" spans="1:15">
      <c r="A559" t="s">
        <v>125</v>
      </c>
      <c r="B559" s="81">
        <v>45760</v>
      </c>
      <c r="C559" s="18" t="s">
        <v>495</v>
      </c>
      <c r="D559" s="19" t="s">
        <v>464</v>
      </c>
      <c r="E559" s="19" t="s">
        <v>465</v>
      </c>
      <c r="F559" s="19">
        <v>3</v>
      </c>
      <c r="G559" s="210">
        <v>200</v>
      </c>
      <c r="H559" s="19">
        <v>10</v>
      </c>
      <c r="I559" s="19">
        <f t="shared" si="142"/>
        <v>20</v>
      </c>
      <c r="J559" s="19">
        <f t="shared" si="143"/>
        <v>180</v>
      </c>
      <c r="K559" s="18">
        <f t="shared" si="144"/>
        <v>540</v>
      </c>
      <c r="L559" s="18">
        <v>2.29</v>
      </c>
      <c r="M559" s="18">
        <f t="shared" si="145"/>
        <v>412.2</v>
      </c>
      <c r="N559" s="18">
        <f t="shared" si="146"/>
        <v>1236.5999999999999</v>
      </c>
      <c r="O559" s="18">
        <f t="shared" si="147"/>
        <v>102475.59930000002</v>
      </c>
    </row>
    <row r="560" spans="1:15">
      <c r="A560" t="s">
        <v>125</v>
      </c>
      <c r="B560" s="81">
        <v>45760</v>
      </c>
      <c r="C560" s="18" t="s">
        <v>481</v>
      </c>
      <c r="D560" s="19" t="s">
        <v>464</v>
      </c>
      <c r="E560" s="19" t="s">
        <v>465</v>
      </c>
      <c r="F560" s="19">
        <v>11</v>
      </c>
      <c r="G560" s="210">
        <v>21</v>
      </c>
      <c r="H560" s="19">
        <v>10</v>
      </c>
      <c r="I560" s="19">
        <f t="shared" si="142"/>
        <v>2.1</v>
      </c>
      <c r="J560" s="19">
        <f t="shared" si="143"/>
        <v>18.899999999999999</v>
      </c>
      <c r="K560" s="18">
        <f t="shared" si="144"/>
        <v>207.89999999999998</v>
      </c>
      <c r="L560" s="18">
        <v>2.29</v>
      </c>
      <c r="M560" s="18">
        <f t="shared" si="145"/>
        <v>43.280999999999999</v>
      </c>
      <c r="N560" s="18">
        <f t="shared" si="146"/>
        <v>476.09100000000001</v>
      </c>
      <c r="O560" s="18">
        <f t="shared" si="147"/>
        <v>102951.69030000002</v>
      </c>
    </row>
    <row r="561" spans="1:15">
      <c r="B561" s="19"/>
      <c r="C561" s="19"/>
      <c r="D561" s="19"/>
      <c r="E561" s="19"/>
      <c r="F561" s="19"/>
      <c r="G561" s="19"/>
      <c r="H561" s="19"/>
      <c r="I561" s="19">
        <f t="shared" si="142"/>
        <v>0</v>
      </c>
      <c r="J561" s="19">
        <f t="shared" si="143"/>
        <v>0</v>
      </c>
      <c r="K561" s="18">
        <f t="shared" si="144"/>
        <v>0</v>
      </c>
      <c r="L561" s="18"/>
      <c r="M561" s="18">
        <f t="shared" si="145"/>
        <v>0</v>
      </c>
      <c r="N561" s="18">
        <f t="shared" si="146"/>
        <v>0</v>
      </c>
      <c r="O561" s="18">
        <f t="shared" si="147"/>
        <v>102951.69030000002</v>
      </c>
    </row>
    <row r="562" spans="1:15">
      <c r="A562" t="s">
        <v>125</v>
      </c>
      <c r="B562" s="81">
        <v>45760</v>
      </c>
      <c r="C562" s="18" t="s">
        <v>492</v>
      </c>
      <c r="D562" s="19" t="s">
        <v>464</v>
      </c>
      <c r="E562" s="19" t="s">
        <v>465</v>
      </c>
      <c r="F562" s="19">
        <v>5</v>
      </c>
      <c r="G562" s="210">
        <v>2605</v>
      </c>
      <c r="H562" s="19">
        <v>10</v>
      </c>
      <c r="I562" s="19">
        <f t="shared" si="142"/>
        <v>260.5</v>
      </c>
      <c r="J562" s="227">
        <f>G562-I562-200</f>
        <v>2144.5</v>
      </c>
      <c r="K562" s="18">
        <f t="shared" si="144"/>
        <v>10722.5</v>
      </c>
      <c r="L562" s="18">
        <v>2.29</v>
      </c>
      <c r="M562" s="18">
        <f t="shared" si="145"/>
        <v>4910.9049999999997</v>
      </c>
      <c r="N562" s="18">
        <f t="shared" si="146"/>
        <v>24554.524999999998</v>
      </c>
      <c r="O562" s="18">
        <f t="shared" si="147"/>
        <v>127506.21530000001</v>
      </c>
    </row>
    <row r="563" spans="1:15">
      <c r="A563" t="s">
        <v>125</v>
      </c>
      <c r="B563" s="81">
        <v>45760</v>
      </c>
      <c r="C563" s="18" t="s">
        <v>493</v>
      </c>
      <c r="D563" s="19" t="s">
        <v>464</v>
      </c>
      <c r="E563" s="19" t="s">
        <v>465</v>
      </c>
      <c r="F563" s="19">
        <v>1</v>
      </c>
      <c r="G563" s="210">
        <v>3535</v>
      </c>
      <c r="H563" s="19">
        <v>10</v>
      </c>
      <c r="I563" s="19">
        <f t="shared" si="142"/>
        <v>353.5</v>
      </c>
      <c r="J563" s="227">
        <f>G563-I563-200</f>
        <v>2981.5</v>
      </c>
      <c r="K563" s="18">
        <f t="shared" si="144"/>
        <v>2981.5</v>
      </c>
      <c r="L563" s="18">
        <v>2.29</v>
      </c>
      <c r="M563" s="18">
        <f t="shared" si="145"/>
        <v>6827.6350000000002</v>
      </c>
      <c r="N563" s="18">
        <f t="shared" si="146"/>
        <v>6827.6350000000002</v>
      </c>
      <c r="O563" s="18">
        <f t="shared" si="147"/>
        <v>134333.85030000002</v>
      </c>
    </row>
    <row r="564" spans="1:15">
      <c r="B564" s="19"/>
      <c r="C564" s="19"/>
      <c r="D564" s="19"/>
      <c r="E564" s="19"/>
      <c r="F564" s="19"/>
      <c r="G564" s="19"/>
      <c r="H564" s="19"/>
      <c r="I564" s="19">
        <f t="shared" si="142"/>
        <v>0</v>
      </c>
      <c r="J564" s="19">
        <f t="shared" si="143"/>
        <v>0</v>
      </c>
      <c r="K564" s="18">
        <f t="shared" si="144"/>
        <v>0</v>
      </c>
      <c r="L564" s="18"/>
      <c r="M564" s="18">
        <f t="shared" si="145"/>
        <v>0</v>
      </c>
      <c r="N564" s="18">
        <f t="shared" si="146"/>
        <v>0</v>
      </c>
      <c r="O564" s="18">
        <f t="shared" si="147"/>
        <v>134333.85030000002</v>
      </c>
    </row>
    <row r="565" spans="1:15">
      <c r="B565" s="19"/>
      <c r="C565" s="19"/>
      <c r="D565" s="19"/>
      <c r="E565" s="19"/>
      <c r="F565" s="19"/>
      <c r="G565" s="19"/>
      <c r="H565" s="19"/>
      <c r="I565" s="19">
        <f t="shared" si="142"/>
        <v>0</v>
      </c>
      <c r="J565" s="19">
        <f t="shared" si="143"/>
        <v>0</v>
      </c>
      <c r="K565" s="18">
        <f t="shared" si="144"/>
        <v>0</v>
      </c>
      <c r="L565" s="18"/>
      <c r="M565" s="18">
        <f t="shared" si="145"/>
        <v>0</v>
      </c>
      <c r="N565" s="18">
        <f t="shared" si="146"/>
        <v>0</v>
      </c>
      <c r="O565" s="18">
        <f t="shared" si="147"/>
        <v>134333.85030000002</v>
      </c>
    </row>
    <row r="569" spans="1:15" ht="21">
      <c r="A569" t="s">
        <v>125</v>
      </c>
      <c r="B569" s="1520" t="s">
        <v>20</v>
      </c>
      <c r="C569" s="1520"/>
      <c r="D569" s="1520"/>
      <c r="E569" s="1520"/>
      <c r="F569" s="1520"/>
      <c r="G569" s="1520"/>
      <c r="H569" s="1520"/>
      <c r="I569" s="1520"/>
      <c r="J569" s="1520"/>
    </row>
    <row r="570" spans="1:15" ht="18.75">
      <c r="A570" t="s">
        <v>212</v>
      </c>
      <c r="B570" s="4" t="s">
        <v>1</v>
      </c>
      <c r="C570" s="4" t="s">
        <v>2</v>
      </c>
      <c r="D570" s="4" t="s">
        <v>3</v>
      </c>
      <c r="E570" s="4" t="s">
        <v>4</v>
      </c>
      <c r="F570" s="4" t="s">
        <v>36</v>
      </c>
      <c r="G570" s="4" t="s">
        <v>5</v>
      </c>
      <c r="H570" s="4" t="s">
        <v>6</v>
      </c>
      <c r="I570" s="4" t="s">
        <v>7</v>
      </c>
      <c r="J570" s="4"/>
    </row>
    <row r="571" spans="1:15">
      <c r="B571" s="81">
        <v>45761</v>
      </c>
      <c r="C571" s="18" t="s">
        <v>516</v>
      </c>
      <c r="D571" s="19">
        <v>6</v>
      </c>
      <c r="E571" s="145">
        <v>724</v>
      </c>
      <c r="F571" s="19">
        <f>E571*D571</f>
        <v>4344</v>
      </c>
      <c r="G571" s="19">
        <v>2.33</v>
      </c>
      <c r="H571" s="19">
        <f>E571*G571</f>
        <v>1686.92</v>
      </c>
      <c r="I571" s="19">
        <f>H571*D571</f>
        <v>10121.52</v>
      </c>
      <c r="J571" s="18">
        <f>J570+I571</f>
        <v>10121.52</v>
      </c>
    </row>
    <row r="572" spans="1:15">
      <c r="B572" s="81">
        <v>45762</v>
      </c>
      <c r="C572" s="18" t="s">
        <v>517</v>
      </c>
      <c r="D572" s="19">
        <v>2</v>
      </c>
      <c r="E572" s="145">
        <v>2549</v>
      </c>
      <c r="F572" s="19">
        <f t="shared" ref="F572:F592" si="148">E572*D572</f>
        <v>5098</v>
      </c>
      <c r="G572" s="19">
        <v>2.33</v>
      </c>
      <c r="H572" s="19">
        <f t="shared" ref="H572:H579" si="149">E572*G572</f>
        <v>5939.17</v>
      </c>
      <c r="I572" s="19">
        <f t="shared" ref="I572:I579" si="150">H572*D572</f>
        <v>11878.34</v>
      </c>
      <c r="J572" s="18">
        <f t="shared" ref="J572:J579" si="151">J571+I572</f>
        <v>21999.86</v>
      </c>
    </row>
    <row r="573" spans="1:15">
      <c r="B573" s="81">
        <v>45762</v>
      </c>
      <c r="C573" s="18" t="s">
        <v>518</v>
      </c>
      <c r="D573" s="19">
        <v>1</v>
      </c>
      <c r="E573" s="145">
        <v>2549</v>
      </c>
      <c r="F573" s="19">
        <f t="shared" si="148"/>
        <v>2549</v>
      </c>
      <c r="G573" s="19">
        <v>2.33</v>
      </c>
      <c r="H573" s="19">
        <f t="shared" si="149"/>
        <v>5939.17</v>
      </c>
      <c r="I573" s="19">
        <f t="shared" si="150"/>
        <v>5939.17</v>
      </c>
      <c r="J573" s="18">
        <f t="shared" si="151"/>
        <v>27939.03</v>
      </c>
    </row>
    <row r="574" spans="1:15">
      <c r="B574" s="81">
        <v>45762</v>
      </c>
      <c r="C574" s="18" t="s">
        <v>519</v>
      </c>
      <c r="D574" s="19">
        <v>2</v>
      </c>
      <c r="E574" s="145">
        <v>2199</v>
      </c>
      <c r="F574" s="19">
        <f t="shared" si="148"/>
        <v>4398</v>
      </c>
      <c r="G574" s="19">
        <v>2.33</v>
      </c>
      <c r="H574" s="19">
        <f t="shared" si="149"/>
        <v>5123.67</v>
      </c>
      <c r="I574" s="19">
        <f t="shared" si="150"/>
        <v>10247.34</v>
      </c>
      <c r="J574" s="18">
        <f t="shared" si="151"/>
        <v>38186.369999999995</v>
      </c>
    </row>
    <row r="575" spans="1:15">
      <c r="B575" s="19"/>
      <c r="C575" s="19"/>
      <c r="D575" s="19"/>
      <c r="E575" s="19"/>
      <c r="F575" s="19">
        <f t="shared" si="148"/>
        <v>0</v>
      </c>
      <c r="G575" s="19"/>
      <c r="H575" s="19">
        <f t="shared" si="149"/>
        <v>0</v>
      </c>
      <c r="I575" s="19">
        <f t="shared" si="150"/>
        <v>0</v>
      </c>
      <c r="J575" s="18">
        <f t="shared" si="151"/>
        <v>38186.369999999995</v>
      </c>
    </row>
    <row r="576" spans="1:15">
      <c r="B576" s="81">
        <v>45763</v>
      </c>
      <c r="C576" s="228" t="s">
        <v>520</v>
      </c>
      <c r="D576" s="19">
        <v>2</v>
      </c>
      <c r="E576" s="229">
        <v>539</v>
      </c>
      <c r="F576" s="19">
        <f t="shared" si="148"/>
        <v>1078</v>
      </c>
      <c r="G576" s="19">
        <v>2.33</v>
      </c>
      <c r="H576" s="19">
        <f t="shared" si="149"/>
        <v>1255.8700000000001</v>
      </c>
      <c r="I576" s="19">
        <f t="shared" si="150"/>
        <v>2511.7400000000002</v>
      </c>
      <c r="J576" s="18">
        <f t="shared" si="151"/>
        <v>40698.109999999993</v>
      </c>
    </row>
    <row r="577" spans="2:11">
      <c r="B577" s="19"/>
      <c r="C577" s="19"/>
      <c r="D577" s="19"/>
      <c r="E577" s="19"/>
      <c r="F577" s="19">
        <f t="shared" si="148"/>
        <v>0</v>
      </c>
      <c r="G577" s="19"/>
      <c r="H577" s="19">
        <f t="shared" si="149"/>
        <v>0</v>
      </c>
      <c r="I577" s="19">
        <f t="shared" si="150"/>
        <v>0</v>
      </c>
      <c r="J577" s="18">
        <f t="shared" si="151"/>
        <v>40698.109999999993</v>
      </c>
    </row>
    <row r="578" spans="2:11">
      <c r="B578" s="81">
        <v>45763</v>
      </c>
      <c r="C578" s="18" t="s">
        <v>290</v>
      </c>
      <c r="D578" s="19">
        <v>2</v>
      </c>
      <c r="E578" s="145">
        <v>213</v>
      </c>
      <c r="F578" s="19">
        <f t="shared" si="148"/>
        <v>426</v>
      </c>
      <c r="G578" s="19">
        <v>2.33</v>
      </c>
      <c r="H578" s="19">
        <f t="shared" si="149"/>
        <v>496.29</v>
      </c>
      <c r="I578" s="19">
        <f t="shared" si="150"/>
        <v>992.58</v>
      </c>
      <c r="J578" s="18">
        <f t="shared" si="151"/>
        <v>41690.689999999995</v>
      </c>
    </row>
    <row r="579" spans="2:11">
      <c r="B579" s="81">
        <v>45763</v>
      </c>
      <c r="C579" s="18" t="s">
        <v>521</v>
      </c>
      <c r="D579" s="19">
        <v>6</v>
      </c>
      <c r="E579" s="145">
        <v>19</v>
      </c>
      <c r="F579" s="19">
        <f t="shared" si="148"/>
        <v>114</v>
      </c>
      <c r="G579" s="19">
        <v>2.33</v>
      </c>
      <c r="H579" s="19">
        <f t="shared" si="149"/>
        <v>44.27</v>
      </c>
      <c r="I579" s="19">
        <f t="shared" si="150"/>
        <v>265.62</v>
      </c>
      <c r="J579" s="18">
        <f t="shared" si="151"/>
        <v>41956.31</v>
      </c>
    </row>
    <row r="580" spans="2:11">
      <c r="B580" s="19"/>
      <c r="C580" s="19"/>
      <c r="D580" s="19"/>
      <c r="E580" s="19"/>
      <c r="F580" s="19">
        <f t="shared" si="148"/>
        <v>0</v>
      </c>
      <c r="G580" s="19"/>
      <c r="H580" s="19">
        <f t="shared" ref="H580:H589" si="152">E580*G580</f>
        <v>0</v>
      </c>
      <c r="I580" s="19">
        <f t="shared" ref="I580:I589" si="153">H580*D580</f>
        <v>0</v>
      </c>
      <c r="J580" s="18">
        <f t="shared" ref="J580:J589" si="154">J579+I580</f>
        <v>41956.31</v>
      </c>
    </row>
    <row r="581" spans="2:11">
      <c r="B581" s="96">
        <v>45763</v>
      </c>
      <c r="C581" s="110" t="s">
        <v>522</v>
      </c>
      <c r="D581" s="127">
        <v>2</v>
      </c>
      <c r="E581" s="146">
        <v>646</v>
      </c>
      <c r="F581" s="127">
        <f t="shared" si="148"/>
        <v>1292</v>
      </c>
      <c r="G581" s="127">
        <v>2.33</v>
      </c>
      <c r="H581" s="127">
        <f t="shared" si="152"/>
        <v>1505.18</v>
      </c>
      <c r="I581" s="127">
        <f t="shared" si="153"/>
        <v>3010.36</v>
      </c>
      <c r="J581" s="110">
        <f t="shared" si="154"/>
        <v>44966.67</v>
      </c>
      <c r="K581" t="s">
        <v>1340</v>
      </c>
    </row>
    <row r="582" spans="2:11">
      <c r="B582" s="96">
        <v>45763</v>
      </c>
      <c r="C582" s="110" t="s">
        <v>523</v>
      </c>
      <c r="D582" s="127">
        <v>4</v>
      </c>
      <c r="E582" s="146">
        <v>713</v>
      </c>
      <c r="F582" s="127">
        <f t="shared" si="148"/>
        <v>2852</v>
      </c>
      <c r="G582" s="127">
        <v>2.33</v>
      </c>
      <c r="H582" s="127">
        <f t="shared" si="152"/>
        <v>1661.29</v>
      </c>
      <c r="I582" s="127">
        <f t="shared" si="153"/>
        <v>6645.16</v>
      </c>
      <c r="J582" s="110">
        <f t="shared" si="154"/>
        <v>51611.83</v>
      </c>
    </row>
    <row r="583" spans="2:11">
      <c r="B583" s="96">
        <v>45763</v>
      </c>
      <c r="C583" s="110" t="s">
        <v>524</v>
      </c>
      <c r="D583" s="127">
        <v>2</v>
      </c>
      <c r="E583" s="146">
        <v>184</v>
      </c>
      <c r="F583" s="127">
        <f t="shared" si="148"/>
        <v>368</v>
      </c>
      <c r="G583" s="127">
        <v>2.33</v>
      </c>
      <c r="H583" s="127">
        <f t="shared" si="152"/>
        <v>428.72</v>
      </c>
      <c r="I583" s="127">
        <f t="shared" si="153"/>
        <v>857.44</v>
      </c>
      <c r="J583" s="110">
        <f t="shared" si="154"/>
        <v>52469.270000000004</v>
      </c>
      <c r="K583" t="s">
        <v>1340</v>
      </c>
    </row>
    <row r="584" spans="2:11">
      <c r="B584" s="19"/>
      <c r="C584" s="19"/>
      <c r="D584" s="19"/>
      <c r="E584" s="19"/>
      <c r="F584" s="19">
        <f t="shared" si="148"/>
        <v>0</v>
      </c>
      <c r="G584" s="19"/>
      <c r="H584" s="19">
        <f t="shared" si="152"/>
        <v>0</v>
      </c>
      <c r="I584" s="19">
        <f t="shared" si="153"/>
        <v>0</v>
      </c>
      <c r="J584" s="18">
        <f t="shared" si="154"/>
        <v>52469.270000000004</v>
      </c>
    </row>
    <row r="585" spans="2:11">
      <c r="B585" s="81">
        <v>45764</v>
      </c>
      <c r="C585" s="18" t="s">
        <v>525</v>
      </c>
      <c r="D585" s="19">
        <v>1</v>
      </c>
      <c r="E585" s="145">
        <v>489</v>
      </c>
      <c r="F585" s="19">
        <f t="shared" si="148"/>
        <v>489</v>
      </c>
      <c r="G585" s="19">
        <v>2.33</v>
      </c>
      <c r="H585" s="19">
        <f t="shared" si="152"/>
        <v>1139.3700000000001</v>
      </c>
      <c r="I585" s="19">
        <f t="shared" si="153"/>
        <v>1139.3700000000001</v>
      </c>
      <c r="J585" s="18">
        <f t="shared" si="154"/>
        <v>53608.640000000007</v>
      </c>
    </row>
    <row r="586" spans="2:11">
      <c r="B586" s="81">
        <v>45764</v>
      </c>
      <c r="C586" s="18" t="s">
        <v>526</v>
      </c>
      <c r="D586" s="19">
        <v>1</v>
      </c>
      <c r="E586" s="145">
        <v>489</v>
      </c>
      <c r="F586" s="19">
        <f t="shared" si="148"/>
        <v>489</v>
      </c>
      <c r="G586" s="19">
        <v>2.33</v>
      </c>
      <c r="H586" s="19">
        <f t="shared" si="152"/>
        <v>1139.3700000000001</v>
      </c>
      <c r="I586" s="19">
        <f t="shared" si="153"/>
        <v>1139.3700000000001</v>
      </c>
      <c r="J586" s="18">
        <f t="shared" si="154"/>
        <v>54748.010000000009</v>
      </c>
    </row>
    <row r="587" spans="2:11">
      <c r="B587" s="81">
        <v>45764</v>
      </c>
      <c r="C587" s="18" t="s">
        <v>527</v>
      </c>
      <c r="D587" s="19">
        <v>1</v>
      </c>
      <c r="E587" s="145">
        <v>539</v>
      </c>
      <c r="F587" s="19">
        <f t="shared" si="148"/>
        <v>539</v>
      </c>
      <c r="G587" s="19">
        <v>2.33</v>
      </c>
      <c r="H587" s="19">
        <f t="shared" si="152"/>
        <v>1255.8700000000001</v>
      </c>
      <c r="I587" s="19">
        <f t="shared" si="153"/>
        <v>1255.8700000000001</v>
      </c>
      <c r="J587" s="18">
        <f t="shared" si="154"/>
        <v>56003.880000000012</v>
      </c>
    </row>
    <row r="588" spans="2:11">
      <c r="B588" s="81">
        <v>45764</v>
      </c>
      <c r="C588" s="18" t="s">
        <v>528</v>
      </c>
      <c r="D588" s="19">
        <v>1</v>
      </c>
      <c r="E588" s="145">
        <v>539</v>
      </c>
      <c r="F588" s="19">
        <f t="shared" si="148"/>
        <v>539</v>
      </c>
      <c r="G588" s="19">
        <v>2.33</v>
      </c>
      <c r="H588" s="19">
        <f t="shared" si="152"/>
        <v>1255.8700000000001</v>
      </c>
      <c r="I588" s="19">
        <f t="shared" si="153"/>
        <v>1255.8700000000001</v>
      </c>
      <c r="J588" s="18">
        <f t="shared" si="154"/>
        <v>57259.750000000015</v>
      </c>
    </row>
    <row r="589" spans="2:11">
      <c r="B589" s="81">
        <v>45764</v>
      </c>
      <c r="C589" s="230" t="s">
        <v>529</v>
      </c>
      <c r="D589" s="19">
        <v>1</v>
      </c>
      <c r="E589" s="145">
        <v>539</v>
      </c>
      <c r="F589" s="19">
        <f t="shared" si="148"/>
        <v>539</v>
      </c>
      <c r="G589" s="19">
        <v>2.33</v>
      </c>
      <c r="H589" s="19">
        <f t="shared" si="152"/>
        <v>1255.8700000000001</v>
      </c>
      <c r="I589" s="19">
        <f t="shared" si="153"/>
        <v>1255.8700000000001</v>
      </c>
      <c r="J589" s="18">
        <f t="shared" si="154"/>
        <v>58515.620000000017</v>
      </c>
    </row>
    <row r="590" spans="2:11">
      <c r="B590" s="81">
        <v>45764</v>
      </c>
      <c r="C590" s="230" t="s">
        <v>530</v>
      </c>
      <c r="D590" s="19">
        <v>1</v>
      </c>
      <c r="E590" s="145">
        <v>489</v>
      </c>
      <c r="F590" s="19">
        <f t="shared" si="148"/>
        <v>489</v>
      </c>
      <c r="G590" s="19">
        <v>2.33</v>
      </c>
      <c r="H590" s="19">
        <f>E590*G590</f>
        <v>1139.3700000000001</v>
      </c>
      <c r="I590" s="19">
        <f>H590*D590</f>
        <v>1139.3700000000001</v>
      </c>
      <c r="J590" s="18">
        <f>J589+I590</f>
        <v>59654.99000000002</v>
      </c>
    </row>
    <row r="591" spans="2:11">
      <c r="B591" s="81">
        <v>45764</v>
      </c>
      <c r="C591" s="230" t="s">
        <v>531</v>
      </c>
      <c r="D591" s="19">
        <v>5</v>
      </c>
      <c r="E591" s="145">
        <v>539</v>
      </c>
      <c r="F591" s="19">
        <f t="shared" si="148"/>
        <v>2695</v>
      </c>
      <c r="G591" s="19">
        <v>2.33</v>
      </c>
      <c r="H591" s="19">
        <f>E591*G591</f>
        <v>1255.8700000000001</v>
      </c>
      <c r="I591" s="19">
        <f>H591*D591</f>
        <v>6279.35</v>
      </c>
      <c r="J591" s="18">
        <f>J590+I591</f>
        <v>65934.340000000026</v>
      </c>
    </row>
    <row r="592" spans="2:11">
      <c r="B592" s="81">
        <v>45764</v>
      </c>
      <c r="C592" s="18" t="s">
        <v>532</v>
      </c>
      <c r="D592" s="19">
        <v>4</v>
      </c>
      <c r="E592" s="145">
        <v>539</v>
      </c>
      <c r="F592" s="19">
        <f t="shared" si="148"/>
        <v>2156</v>
      </c>
      <c r="G592" s="19">
        <v>2.33</v>
      </c>
      <c r="H592" s="19">
        <f>E592*G592</f>
        <v>1255.8700000000001</v>
      </c>
      <c r="I592" s="19">
        <f>H592*D592</f>
        <v>5023.4800000000005</v>
      </c>
      <c r="J592" s="18">
        <f>J591+I592</f>
        <v>70957.820000000022</v>
      </c>
    </row>
    <row r="596" spans="1:10" ht="21">
      <c r="A596" t="s">
        <v>125</v>
      </c>
      <c r="B596" s="1520" t="s">
        <v>20</v>
      </c>
      <c r="C596" s="1520"/>
      <c r="D596" s="1520"/>
      <c r="E596" s="1520"/>
      <c r="F596" s="1520"/>
      <c r="G596" s="1520"/>
      <c r="H596" s="1520"/>
      <c r="I596" s="1520"/>
      <c r="J596" s="1520"/>
    </row>
    <row r="597" spans="1:10" ht="18.75">
      <c r="A597" t="s">
        <v>212</v>
      </c>
      <c r="B597" s="4" t="s">
        <v>1</v>
      </c>
      <c r="C597" s="4" t="s">
        <v>2</v>
      </c>
      <c r="D597" s="4" t="s">
        <v>3</v>
      </c>
      <c r="E597" s="4" t="s">
        <v>4</v>
      </c>
      <c r="F597" s="4" t="s">
        <v>36</v>
      </c>
      <c r="G597" s="4" t="s">
        <v>5</v>
      </c>
      <c r="H597" s="4" t="s">
        <v>6</v>
      </c>
      <c r="I597" s="4" t="s">
        <v>7</v>
      </c>
      <c r="J597" s="4"/>
    </row>
    <row r="598" spans="1:10">
      <c r="B598" s="81">
        <v>45767</v>
      </c>
      <c r="C598" s="230" t="s">
        <v>541</v>
      </c>
      <c r="D598" s="19">
        <v>9</v>
      </c>
      <c r="E598" s="145">
        <v>539</v>
      </c>
      <c r="F598" s="19">
        <f>E598*D598</f>
        <v>4851</v>
      </c>
      <c r="G598" s="19">
        <v>2.33</v>
      </c>
      <c r="H598" s="19">
        <f>E598*G598</f>
        <v>1255.8700000000001</v>
      </c>
      <c r="I598" s="19">
        <f>H598*D598</f>
        <v>11302.830000000002</v>
      </c>
      <c r="J598" s="18">
        <f>J597+I598</f>
        <v>11302.830000000002</v>
      </c>
    </row>
    <row r="599" spans="1:10">
      <c r="B599" s="96">
        <v>45767</v>
      </c>
      <c r="C599" s="110" t="s">
        <v>542</v>
      </c>
      <c r="D599" s="127">
        <v>5</v>
      </c>
      <c r="E599" s="146">
        <v>489</v>
      </c>
      <c r="F599" s="127">
        <f t="shared" ref="F599:F613" si="155">E599*D599</f>
        <v>2445</v>
      </c>
      <c r="G599" s="127">
        <v>2.33</v>
      </c>
      <c r="H599" s="127">
        <f t="shared" ref="H599:H606" si="156">E599*G599</f>
        <v>1139.3700000000001</v>
      </c>
      <c r="I599" s="127">
        <f t="shared" ref="I599:I606" si="157">H599*D599</f>
        <v>5696.85</v>
      </c>
      <c r="J599" s="110">
        <f t="shared" ref="J599:J606" si="158">J598+I599</f>
        <v>16999.68</v>
      </c>
    </row>
    <row r="600" spans="1:10">
      <c r="B600" s="19"/>
      <c r="C600" s="19"/>
      <c r="D600" s="19"/>
      <c r="E600" s="19"/>
      <c r="F600" s="19">
        <f t="shared" si="155"/>
        <v>0</v>
      </c>
      <c r="G600" s="19"/>
      <c r="H600" s="19">
        <f t="shared" si="156"/>
        <v>0</v>
      </c>
      <c r="I600" s="19">
        <f t="shared" si="157"/>
        <v>0</v>
      </c>
      <c r="J600" s="18">
        <f t="shared" si="158"/>
        <v>16999.68</v>
      </c>
    </row>
    <row r="601" spans="1:10">
      <c r="B601" s="81">
        <v>45768</v>
      </c>
      <c r="C601" s="18" t="s">
        <v>543</v>
      </c>
      <c r="D601" s="19">
        <v>1</v>
      </c>
      <c r="E601" s="19">
        <v>184</v>
      </c>
      <c r="F601" s="19">
        <f t="shared" si="155"/>
        <v>184</v>
      </c>
      <c r="G601" s="19">
        <v>2.33</v>
      </c>
      <c r="H601" s="19">
        <f t="shared" si="156"/>
        <v>428.72</v>
      </c>
      <c r="I601" s="19">
        <f t="shared" si="157"/>
        <v>428.72</v>
      </c>
      <c r="J601" s="18">
        <f t="shared" si="158"/>
        <v>17428.400000000001</v>
      </c>
    </row>
    <row r="602" spans="1:10">
      <c r="B602" s="81">
        <v>45768</v>
      </c>
      <c r="C602" s="18" t="s">
        <v>544</v>
      </c>
      <c r="D602" s="19">
        <v>6</v>
      </c>
      <c r="E602" s="19">
        <v>2390</v>
      </c>
      <c r="F602" s="19">
        <f t="shared" si="155"/>
        <v>14340</v>
      </c>
      <c r="G602" s="19">
        <v>2.33</v>
      </c>
      <c r="H602" s="19">
        <f t="shared" si="156"/>
        <v>5568.7</v>
      </c>
      <c r="I602" s="19">
        <f t="shared" si="157"/>
        <v>33412.199999999997</v>
      </c>
      <c r="J602" s="18">
        <f t="shared" si="158"/>
        <v>50840.6</v>
      </c>
    </row>
    <row r="603" spans="1:10">
      <c r="B603" s="19"/>
      <c r="C603" s="19"/>
      <c r="D603" s="19"/>
      <c r="E603" s="19"/>
      <c r="F603" s="19">
        <f t="shared" si="155"/>
        <v>0</v>
      </c>
      <c r="G603" s="19"/>
      <c r="H603" s="19">
        <f t="shared" si="156"/>
        <v>0</v>
      </c>
      <c r="I603" s="19">
        <f t="shared" si="157"/>
        <v>0</v>
      </c>
      <c r="J603" s="18">
        <f t="shared" si="158"/>
        <v>50840.6</v>
      </c>
    </row>
    <row r="604" spans="1:10">
      <c r="B604" s="81">
        <v>45768</v>
      </c>
      <c r="C604" s="18" t="s">
        <v>545</v>
      </c>
      <c r="D604" s="19">
        <v>5</v>
      </c>
      <c r="E604" s="19">
        <v>21</v>
      </c>
      <c r="F604" s="19">
        <f t="shared" si="155"/>
        <v>105</v>
      </c>
      <c r="G604" s="19">
        <v>2.33</v>
      </c>
      <c r="H604" s="19">
        <f t="shared" si="156"/>
        <v>48.93</v>
      </c>
      <c r="I604" s="19">
        <f t="shared" si="157"/>
        <v>244.65</v>
      </c>
      <c r="J604" s="18">
        <f t="shared" si="158"/>
        <v>51085.25</v>
      </c>
    </row>
    <row r="605" spans="1:10">
      <c r="B605" s="19"/>
      <c r="C605" s="19"/>
      <c r="D605" s="19"/>
      <c r="E605" s="19"/>
      <c r="F605" s="19">
        <f t="shared" si="155"/>
        <v>0</v>
      </c>
      <c r="G605" s="19"/>
      <c r="H605" s="19">
        <f t="shared" si="156"/>
        <v>0</v>
      </c>
      <c r="I605" s="19">
        <f t="shared" si="157"/>
        <v>0</v>
      </c>
      <c r="J605" s="18">
        <f t="shared" si="158"/>
        <v>51085.25</v>
      </c>
    </row>
    <row r="606" spans="1:10">
      <c r="B606" s="81">
        <v>45768</v>
      </c>
      <c r="C606" s="230" t="s">
        <v>546</v>
      </c>
      <c r="D606" s="19">
        <v>6</v>
      </c>
      <c r="E606" s="19">
        <v>539</v>
      </c>
      <c r="F606" s="19">
        <f t="shared" si="155"/>
        <v>3234</v>
      </c>
      <c r="G606" s="19">
        <v>2.33</v>
      </c>
      <c r="H606" s="19">
        <f t="shared" si="156"/>
        <v>1255.8700000000001</v>
      </c>
      <c r="I606" s="19">
        <f t="shared" si="157"/>
        <v>7535.2200000000012</v>
      </c>
      <c r="J606" s="18">
        <f t="shared" si="158"/>
        <v>58620.47</v>
      </c>
    </row>
    <row r="607" spans="1:10">
      <c r="B607" s="269">
        <v>45768</v>
      </c>
      <c r="C607" s="133" t="s">
        <v>643</v>
      </c>
      <c r="D607" s="270">
        <v>1</v>
      </c>
      <c r="E607" s="370">
        <v>489</v>
      </c>
      <c r="F607" s="270">
        <f t="shared" si="155"/>
        <v>489</v>
      </c>
      <c r="G607" s="270">
        <v>2.33</v>
      </c>
      <c r="H607" s="270">
        <f t="shared" ref="H607:H613" si="159">E607*G607</f>
        <v>1139.3700000000001</v>
      </c>
      <c r="I607" s="270">
        <f t="shared" ref="I607:I613" si="160">H607*D607</f>
        <v>1139.3700000000001</v>
      </c>
      <c r="J607" s="133">
        <f t="shared" ref="J607:J613" si="161">J606+I607</f>
        <v>59759.840000000004</v>
      </c>
    </row>
    <row r="608" spans="1:10">
      <c r="B608" s="81">
        <v>45768</v>
      </c>
      <c r="C608" s="230" t="s">
        <v>548</v>
      </c>
      <c r="D608" s="19">
        <v>4</v>
      </c>
      <c r="E608" s="19">
        <v>539</v>
      </c>
      <c r="F608" s="19">
        <f t="shared" si="155"/>
        <v>2156</v>
      </c>
      <c r="G608" s="19">
        <v>2.33</v>
      </c>
      <c r="H608" s="19">
        <f t="shared" si="159"/>
        <v>1255.8700000000001</v>
      </c>
      <c r="I608" s="19">
        <f t="shared" si="160"/>
        <v>5023.4800000000005</v>
      </c>
      <c r="J608" s="18">
        <f t="shared" si="161"/>
        <v>64783.320000000007</v>
      </c>
    </row>
    <row r="609" spans="1:10">
      <c r="B609" s="81">
        <v>45768</v>
      </c>
      <c r="C609" s="230" t="s">
        <v>549</v>
      </c>
      <c r="D609" s="19">
        <v>4</v>
      </c>
      <c r="E609" s="19">
        <v>539</v>
      </c>
      <c r="F609" s="19">
        <f t="shared" si="155"/>
        <v>2156</v>
      </c>
      <c r="G609" s="19">
        <v>2.33</v>
      </c>
      <c r="H609" s="19">
        <f t="shared" si="159"/>
        <v>1255.8700000000001</v>
      </c>
      <c r="I609" s="19">
        <f t="shared" si="160"/>
        <v>5023.4800000000005</v>
      </c>
      <c r="J609" s="18">
        <f t="shared" si="161"/>
        <v>69806.8</v>
      </c>
    </row>
    <row r="610" spans="1:10">
      <c r="B610" s="19"/>
      <c r="D610" s="19"/>
      <c r="E610" s="19"/>
      <c r="F610" s="19">
        <f t="shared" si="155"/>
        <v>0</v>
      </c>
      <c r="G610" s="19"/>
      <c r="H610" s="19">
        <f t="shared" si="159"/>
        <v>0</v>
      </c>
      <c r="I610" s="19">
        <f t="shared" si="160"/>
        <v>0</v>
      </c>
      <c r="J610" s="18">
        <f t="shared" si="161"/>
        <v>69806.8</v>
      </c>
    </row>
    <row r="611" spans="1:10">
      <c r="B611" s="81">
        <v>45768</v>
      </c>
      <c r="C611" s="18" t="s">
        <v>550</v>
      </c>
      <c r="D611" s="19">
        <v>3</v>
      </c>
      <c r="E611" s="145">
        <v>2199</v>
      </c>
      <c r="F611" s="19">
        <f t="shared" si="155"/>
        <v>6597</v>
      </c>
      <c r="G611" s="19">
        <v>2.33</v>
      </c>
      <c r="H611" s="19">
        <f t="shared" si="159"/>
        <v>5123.67</v>
      </c>
      <c r="I611" s="19">
        <f t="shared" si="160"/>
        <v>15371.01</v>
      </c>
      <c r="J611" s="18">
        <f t="shared" si="161"/>
        <v>85177.81</v>
      </c>
    </row>
    <row r="612" spans="1:10">
      <c r="B612" s="153">
        <v>45768</v>
      </c>
      <c r="C612" s="76" t="s">
        <v>551</v>
      </c>
      <c r="D612" s="75">
        <v>6</v>
      </c>
      <c r="E612" s="371">
        <v>2199</v>
      </c>
      <c r="F612" s="75">
        <f t="shared" si="155"/>
        <v>13194</v>
      </c>
      <c r="G612" s="75">
        <v>2.33</v>
      </c>
      <c r="H612" s="75">
        <f t="shared" si="159"/>
        <v>5123.67</v>
      </c>
      <c r="I612" s="75">
        <f t="shared" si="160"/>
        <v>30742.02</v>
      </c>
      <c r="J612" s="76">
        <f t="shared" si="161"/>
        <v>115919.83</v>
      </c>
    </row>
    <row r="613" spans="1:10">
      <c r="B613" s="19"/>
      <c r="C613" s="19"/>
      <c r="D613" s="19"/>
      <c r="E613" s="19"/>
      <c r="F613" s="19">
        <f t="shared" si="155"/>
        <v>0</v>
      </c>
      <c r="G613" s="19"/>
      <c r="H613" s="19">
        <f t="shared" si="159"/>
        <v>0</v>
      </c>
      <c r="I613" s="19">
        <f t="shared" si="160"/>
        <v>0</v>
      </c>
      <c r="J613" s="18">
        <f t="shared" si="161"/>
        <v>115919.83</v>
      </c>
    </row>
    <row r="614" spans="1:10">
      <c r="J614"/>
    </row>
    <row r="615" spans="1:10">
      <c r="J615"/>
    </row>
    <row r="616" spans="1:10">
      <c r="J616"/>
    </row>
    <row r="617" spans="1:10" ht="21">
      <c r="A617" t="s">
        <v>125</v>
      </c>
      <c r="B617" s="1520" t="s">
        <v>20</v>
      </c>
      <c r="C617" s="1520"/>
      <c r="D617" s="1520"/>
      <c r="E617" s="1520"/>
      <c r="F617" s="1520"/>
      <c r="G617" s="1520"/>
      <c r="H617" s="1520"/>
      <c r="I617" s="1520"/>
      <c r="J617" s="1520"/>
    </row>
    <row r="618" spans="1:10" ht="18.75">
      <c r="A618" t="s">
        <v>212</v>
      </c>
      <c r="B618" s="4" t="s">
        <v>1</v>
      </c>
      <c r="C618" s="4" t="s">
        <v>2</v>
      </c>
      <c r="D618" s="4" t="s">
        <v>3</v>
      </c>
      <c r="E618" s="4" t="s">
        <v>4</v>
      </c>
      <c r="F618" s="4" t="s">
        <v>36</v>
      </c>
      <c r="G618" s="4" t="s">
        <v>5</v>
      </c>
      <c r="H618" s="4" t="s">
        <v>6</v>
      </c>
      <c r="I618" s="4" t="s">
        <v>7</v>
      </c>
      <c r="J618" s="4"/>
    </row>
    <row r="619" spans="1:10">
      <c r="B619" s="81">
        <v>45769</v>
      </c>
      <c r="C619" s="80" t="s">
        <v>552</v>
      </c>
      <c r="D619" s="19">
        <v>2</v>
      </c>
      <c r="E619" s="19">
        <v>254.6</v>
      </c>
      <c r="F619" s="19">
        <f>E619*D619</f>
        <v>509.2</v>
      </c>
      <c r="G619" s="19">
        <v>2.33</v>
      </c>
      <c r="H619" s="19">
        <f>E619*G619</f>
        <v>593.21799999999996</v>
      </c>
      <c r="I619" s="19">
        <f>H619*D619</f>
        <v>1186.4359999999999</v>
      </c>
      <c r="J619" s="18">
        <f>J618+I619</f>
        <v>1186.4359999999999</v>
      </c>
    </row>
    <row r="620" spans="1:10">
      <c r="B620" s="81">
        <v>45769</v>
      </c>
      <c r="C620" s="80" t="s">
        <v>553</v>
      </c>
      <c r="D620" s="19">
        <v>17</v>
      </c>
      <c r="E620" s="19">
        <v>98</v>
      </c>
      <c r="F620" s="19">
        <f t="shared" ref="F620:F631" si="162">E620*D620</f>
        <v>1666</v>
      </c>
      <c r="G620" s="19">
        <v>2.33</v>
      </c>
      <c r="H620" s="19">
        <f t="shared" ref="H620:H627" si="163">E620*G620</f>
        <v>228.34</v>
      </c>
      <c r="I620" s="19">
        <f t="shared" ref="I620:I627" si="164">H620*D620</f>
        <v>3881.78</v>
      </c>
      <c r="J620" s="18">
        <f t="shared" ref="J620:J627" si="165">J619+I620</f>
        <v>5068.2160000000003</v>
      </c>
    </row>
    <row r="621" spans="1:10">
      <c r="B621" s="81">
        <v>45769</v>
      </c>
      <c r="C621" s="80" t="s">
        <v>560</v>
      </c>
      <c r="D621" s="19">
        <v>1</v>
      </c>
      <c r="E621" s="19">
        <v>2388</v>
      </c>
      <c r="F621" s="19">
        <f t="shared" si="162"/>
        <v>2388</v>
      </c>
      <c r="G621" s="19">
        <v>2.33</v>
      </c>
      <c r="H621" s="19">
        <f t="shared" si="163"/>
        <v>5564.04</v>
      </c>
      <c r="I621" s="19">
        <f t="shared" si="164"/>
        <v>5564.04</v>
      </c>
      <c r="J621" s="18">
        <f t="shared" si="165"/>
        <v>10632.256000000001</v>
      </c>
    </row>
    <row r="622" spans="1:10">
      <c r="B622" s="81">
        <v>45769</v>
      </c>
      <c r="C622" s="80" t="s">
        <v>561</v>
      </c>
      <c r="D622" s="19">
        <v>1</v>
      </c>
      <c r="E622" s="19">
        <v>3318</v>
      </c>
      <c r="F622" s="19">
        <f t="shared" si="162"/>
        <v>3318</v>
      </c>
      <c r="G622" s="19">
        <v>2.33</v>
      </c>
      <c r="H622" s="19">
        <f t="shared" si="163"/>
        <v>7730.9400000000005</v>
      </c>
      <c r="I622" s="19">
        <f t="shared" si="164"/>
        <v>7730.9400000000005</v>
      </c>
      <c r="J622" s="18">
        <f t="shared" si="165"/>
        <v>18363.196000000004</v>
      </c>
    </row>
    <row r="623" spans="1:10">
      <c r="B623" s="19"/>
      <c r="C623" s="80"/>
      <c r="D623" s="19"/>
      <c r="E623" s="19"/>
      <c r="F623" s="19">
        <f t="shared" si="162"/>
        <v>0</v>
      </c>
      <c r="G623" s="19"/>
      <c r="H623" s="19">
        <f t="shared" si="163"/>
        <v>0</v>
      </c>
      <c r="I623" s="19">
        <f t="shared" si="164"/>
        <v>0</v>
      </c>
      <c r="J623" s="18">
        <f t="shared" si="165"/>
        <v>18363.196000000004</v>
      </c>
    </row>
    <row r="624" spans="1:10">
      <c r="B624" s="214">
        <v>45769</v>
      </c>
      <c r="C624" s="215" t="s">
        <v>644</v>
      </c>
      <c r="D624" s="216"/>
      <c r="E624" s="216"/>
      <c r="F624" s="216">
        <f t="shared" si="162"/>
        <v>0</v>
      </c>
      <c r="G624" s="216"/>
      <c r="H624" s="216">
        <f t="shared" si="163"/>
        <v>0</v>
      </c>
      <c r="I624" s="216">
        <f t="shared" si="164"/>
        <v>0</v>
      </c>
      <c r="J624" s="217">
        <f t="shared" si="165"/>
        <v>18363.196000000004</v>
      </c>
    </row>
    <row r="625" spans="1:10">
      <c r="B625" s="214">
        <v>45769</v>
      </c>
      <c r="C625" s="215" t="s">
        <v>645</v>
      </c>
      <c r="D625" s="216"/>
      <c r="E625" s="216"/>
      <c r="F625" s="216">
        <f t="shared" si="162"/>
        <v>0</v>
      </c>
      <c r="G625" s="216"/>
      <c r="H625" s="216">
        <f t="shared" si="163"/>
        <v>0</v>
      </c>
      <c r="I625" s="216">
        <f t="shared" si="164"/>
        <v>0</v>
      </c>
      <c r="J625" s="217">
        <f t="shared" si="165"/>
        <v>18363.196000000004</v>
      </c>
    </row>
    <row r="626" spans="1:10">
      <c r="B626" s="81">
        <v>45769</v>
      </c>
      <c r="C626" s="80" t="s">
        <v>556</v>
      </c>
      <c r="D626" s="19">
        <v>1</v>
      </c>
      <c r="E626" s="19">
        <v>2549</v>
      </c>
      <c r="F626" s="19">
        <f t="shared" si="162"/>
        <v>2549</v>
      </c>
      <c r="G626" s="19">
        <v>2.33</v>
      </c>
      <c r="H626" s="19">
        <f t="shared" si="163"/>
        <v>5939.17</v>
      </c>
      <c r="I626" s="19">
        <f t="shared" si="164"/>
        <v>5939.17</v>
      </c>
      <c r="J626" s="18">
        <f t="shared" si="165"/>
        <v>24302.366000000002</v>
      </c>
    </row>
    <row r="627" spans="1:10">
      <c r="B627" s="81">
        <v>45769</v>
      </c>
      <c r="C627" s="80" t="s">
        <v>557</v>
      </c>
      <c r="D627" s="19">
        <v>3</v>
      </c>
      <c r="E627" s="19">
        <v>2197</v>
      </c>
      <c r="F627" s="19">
        <f t="shared" si="162"/>
        <v>6591</v>
      </c>
      <c r="G627" s="19">
        <v>2.33</v>
      </c>
      <c r="H627" s="19">
        <f t="shared" si="163"/>
        <v>5119.01</v>
      </c>
      <c r="I627" s="19">
        <f t="shared" si="164"/>
        <v>15357.03</v>
      </c>
      <c r="J627" s="18">
        <f t="shared" si="165"/>
        <v>39659.396000000001</v>
      </c>
    </row>
    <row r="628" spans="1:10">
      <c r="B628" s="19"/>
      <c r="C628" s="19"/>
      <c r="D628" s="19"/>
      <c r="E628" s="19"/>
      <c r="F628" s="19">
        <f t="shared" si="162"/>
        <v>0</v>
      </c>
      <c r="G628" s="19"/>
      <c r="H628" s="19">
        <f>E628*G628</f>
        <v>0</v>
      </c>
      <c r="I628" s="19">
        <f>H628*D628</f>
        <v>0</v>
      </c>
      <c r="J628" s="18">
        <f>J627+I628</f>
        <v>39659.396000000001</v>
      </c>
    </row>
    <row r="629" spans="1:10">
      <c r="B629" s="81">
        <v>45769</v>
      </c>
      <c r="C629" s="80" t="s">
        <v>558</v>
      </c>
      <c r="D629" s="19">
        <v>3</v>
      </c>
      <c r="E629" s="19">
        <v>254.6</v>
      </c>
      <c r="F629" s="19">
        <f t="shared" si="162"/>
        <v>763.8</v>
      </c>
      <c r="G629" s="19">
        <v>2.33</v>
      </c>
      <c r="H629" s="19">
        <f>E629*G629</f>
        <v>593.21799999999996</v>
      </c>
      <c r="I629" s="19">
        <f>H629*D629</f>
        <v>1779.654</v>
      </c>
      <c r="J629" s="18">
        <f>J628+I629</f>
        <v>41439.050000000003</v>
      </c>
    </row>
    <row r="630" spans="1:10">
      <c r="B630" s="19"/>
      <c r="C630" s="19"/>
      <c r="D630" s="19"/>
      <c r="E630" s="19"/>
      <c r="F630" s="19">
        <f t="shared" si="162"/>
        <v>0</v>
      </c>
      <c r="G630" s="19"/>
      <c r="H630" s="19">
        <f>E630*G630</f>
        <v>0</v>
      </c>
      <c r="I630" s="19">
        <f>H630*D630</f>
        <v>0</v>
      </c>
      <c r="J630" s="18">
        <f>J629+I630</f>
        <v>41439.050000000003</v>
      </c>
    </row>
    <row r="631" spans="1:10">
      <c r="B631" s="81">
        <v>45769</v>
      </c>
      <c r="C631" s="80" t="s">
        <v>559</v>
      </c>
      <c r="D631" s="19">
        <v>1</v>
      </c>
      <c r="E631" s="19">
        <v>98</v>
      </c>
      <c r="F631" s="19">
        <f t="shared" si="162"/>
        <v>98</v>
      </c>
      <c r="G631" s="19">
        <v>2.33</v>
      </c>
      <c r="H631" s="19">
        <f>E631*G631</f>
        <v>228.34</v>
      </c>
      <c r="I631" s="19">
        <f>H631*D631</f>
        <v>228.34</v>
      </c>
      <c r="J631" s="18">
        <f>J630+I631</f>
        <v>41667.39</v>
      </c>
    </row>
    <row r="634" spans="1:10" ht="21">
      <c r="A634" t="s">
        <v>125</v>
      </c>
      <c r="B634" s="1520" t="s">
        <v>20</v>
      </c>
      <c r="C634" s="1520"/>
      <c r="D634" s="1520"/>
      <c r="E634" s="1520"/>
      <c r="F634" s="1520"/>
      <c r="G634" s="1520"/>
      <c r="H634" s="1520"/>
      <c r="I634" s="1520"/>
      <c r="J634" s="1520"/>
    </row>
    <row r="635" spans="1:10" ht="18.75">
      <c r="A635" t="s">
        <v>212</v>
      </c>
      <c r="B635" s="4" t="s">
        <v>1</v>
      </c>
      <c r="C635" s="4" t="s">
        <v>2</v>
      </c>
      <c r="D635" s="4" t="s">
        <v>3</v>
      </c>
      <c r="E635" s="4" t="s">
        <v>4</v>
      </c>
      <c r="F635" s="4" t="s">
        <v>36</v>
      </c>
      <c r="G635" s="4" t="s">
        <v>5</v>
      </c>
      <c r="H635" s="4" t="s">
        <v>6</v>
      </c>
      <c r="I635" s="4" t="s">
        <v>7</v>
      </c>
      <c r="J635" s="4"/>
    </row>
    <row r="636" spans="1:10">
      <c r="B636" s="81">
        <v>45771</v>
      </c>
      <c r="C636" s="18" t="s">
        <v>563</v>
      </c>
      <c r="D636" s="19">
        <v>4</v>
      </c>
      <c r="E636" s="145">
        <v>2330</v>
      </c>
      <c r="F636" s="19">
        <f>E636*D636</f>
        <v>9320</v>
      </c>
      <c r="G636" s="19">
        <v>2.33</v>
      </c>
      <c r="H636" s="19">
        <f>E636*G636</f>
        <v>5428.9000000000005</v>
      </c>
      <c r="I636" s="19">
        <f>H636*D636</f>
        <v>21715.600000000002</v>
      </c>
      <c r="J636" s="18">
        <f>J635+I636</f>
        <v>21715.600000000002</v>
      </c>
    </row>
    <row r="637" spans="1:10">
      <c r="B637" s="81">
        <v>45771</v>
      </c>
      <c r="C637" s="18" t="s">
        <v>564</v>
      </c>
      <c r="D637" s="19">
        <v>4</v>
      </c>
      <c r="E637" s="145">
        <v>3250</v>
      </c>
      <c r="F637" s="19">
        <f t="shared" ref="F637:F656" si="166">E637*D637</f>
        <v>13000</v>
      </c>
      <c r="G637" s="19">
        <v>2.33</v>
      </c>
      <c r="H637" s="19">
        <f t="shared" ref="H637:H644" si="167">E637*G637</f>
        <v>7572.5</v>
      </c>
      <c r="I637" s="19">
        <f t="shared" ref="I637:I644" si="168">H637*D637</f>
        <v>30290</v>
      </c>
      <c r="J637" s="18">
        <f t="shared" ref="J637:J644" si="169">J636+I637</f>
        <v>52005.600000000006</v>
      </c>
    </row>
    <row r="638" spans="1:10">
      <c r="B638" s="81">
        <v>45771</v>
      </c>
      <c r="C638" s="18" t="s">
        <v>565</v>
      </c>
      <c r="D638" s="19">
        <v>3</v>
      </c>
      <c r="E638" s="145">
        <v>521</v>
      </c>
      <c r="F638" s="19">
        <f t="shared" si="166"/>
        <v>1563</v>
      </c>
      <c r="G638" s="19">
        <v>2.33</v>
      </c>
      <c r="H638" s="19">
        <f t="shared" si="167"/>
        <v>1213.93</v>
      </c>
      <c r="I638" s="19">
        <f t="shared" si="168"/>
        <v>3641.79</v>
      </c>
      <c r="J638" s="18">
        <f t="shared" si="169"/>
        <v>55647.390000000007</v>
      </c>
    </row>
    <row r="639" spans="1:10">
      <c r="B639" s="81">
        <v>45771</v>
      </c>
      <c r="C639" s="18" t="s">
        <v>566</v>
      </c>
      <c r="D639" s="19">
        <v>12</v>
      </c>
      <c r="E639" s="145">
        <v>14.5</v>
      </c>
      <c r="F639" s="19">
        <f t="shared" si="166"/>
        <v>174</v>
      </c>
      <c r="G639" s="19">
        <v>2.33</v>
      </c>
      <c r="H639" s="19">
        <f t="shared" si="167"/>
        <v>33.785000000000004</v>
      </c>
      <c r="I639" s="19">
        <f t="shared" si="168"/>
        <v>405.42000000000007</v>
      </c>
      <c r="J639" s="18">
        <f t="shared" si="169"/>
        <v>56052.810000000005</v>
      </c>
    </row>
    <row r="640" spans="1:10">
      <c r="B640" s="81">
        <v>45771</v>
      </c>
      <c r="C640" s="18" t="s">
        <v>567</v>
      </c>
      <c r="D640" s="19">
        <v>15</v>
      </c>
      <c r="E640" s="145">
        <v>26.5</v>
      </c>
      <c r="F640" s="19">
        <f t="shared" si="166"/>
        <v>397.5</v>
      </c>
      <c r="G640" s="19">
        <v>2.33</v>
      </c>
      <c r="H640" s="19">
        <f t="shared" si="167"/>
        <v>61.745000000000005</v>
      </c>
      <c r="I640" s="19">
        <f t="shared" si="168"/>
        <v>926.17500000000007</v>
      </c>
      <c r="J640" s="18">
        <f t="shared" si="169"/>
        <v>56978.985000000008</v>
      </c>
    </row>
    <row r="641" spans="2:10">
      <c r="B641" s="81">
        <v>45771</v>
      </c>
      <c r="C641" s="18" t="s">
        <v>568</v>
      </c>
      <c r="D641" s="19">
        <v>23</v>
      </c>
      <c r="E641" s="145">
        <v>12</v>
      </c>
      <c r="F641" s="19">
        <f t="shared" si="166"/>
        <v>276</v>
      </c>
      <c r="G641" s="19">
        <v>2.33</v>
      </c>
      <c r="H641" s="19">
        <f t="shared" si="167"/>
        <v>27.96</v>
      </c>
      <c r="I641" s="19">
        <f t="shared" si="168"/>
        <v>643.08000000000004</v>
      </c>
      <c r="J641" s="18">
        <f t="shared" si="169"/>
        <v>57622.06500000001</v>
      </c>
    </row>
    <row r="642" spans="2:10">
      <c r="B642" s="81">
        <v>45771</v>
      </c>
      <c r="C642" s="18" t="s">
        <v>569</v>
      </c>
      <c r="D642" s="19">
        <v>3</v>
      </c>
      <c r="E642" s="145">
        <v>18</v>
      </c>
      <c r="F642" s="19">
        <f t="shared" si="166"/>
        <v>54</v>
      </c>
      <c r="G642" s="19">
        <v>2.33</v>
      </c>
      <c r="H642" s="19">
        <f t="shared" si="167"/>
        <v>41.94</v>
      </c>
      <c r="I642" s="19">
        <f t="shared" si="168"/>
        <v>125.82</v>
      </c>
      <c r="J642" s="18">
        <f t="shared" si="169"/>
        <v>57747.885000000009</v>
      </c>
    </row>
    <row r="643" spans="2:10">
      <c r="B643" s="81">
        <v>45771</v>
      </c>
      <c r="C643" s="18" t="s">
        <v>570</v>
      </c>
      <c r="D643" s="19">
        <v>3</v>
      </c>
      <c r="E643" s="145">
        <v>18</v>
      </c>
      <c r="F643" s="19">
        <f t="shared" si="166"/>
        <v>54</v>
      </c>
      <c r="G643" s="19">
        <v>2.33</v>
      </c>
      <c r="H643" s="19">
        <f t="shared" si="167"/>
        <v>41.94</v>
      </c>
      <c r="I643" s="19">
        <f t="shared" si="168"/>
        <v>125.82</v>
      </c>
      <c r="J643" s="18">
        <f t="shared" si="169"/>
        <v>57873.705000000009</v>
      </c>
    </row>
    <row r="644" spans="2:10">
      <c r="B644" s="81">
        <v>45771</v>
      </c>
      <c r="C644" s="18" t="s">
        <v>571</v>
      </c>
      <c r="D644" s="19">
        <v>2</v>
      </c>
      <c r="E644" s="145">
        <v>18</v>
      </c>
      <c r="F644" s="19">
        <f t="shared" si="166"/>
        <v>36</v>
      </c>
      <c r="G644" s="19">
        <v>2.33</v>
      </c>
      <c r="H644" s="19">
        <f t="shared" si="167"/>
        <v>41.94</v>
      </c>
      <c r="I644" s="19">
        <f t="shared" si="168"/>
        <v>83.88</v>
      </c>
      <c r="J644" s="18">
        <f t="shared" si="169"/>
        <v>57957.585000000006</v>
      </c>
    </row>
    <row r="645" spans="2:10">
      <c r="B645" s="81">
        <v>45771</v>
      </c>
      <c r="C645" s="18" t="s">
        <v>572</v>
      </c>
      <c r="D645" s="19">
        <v>2</v>
      </c>
      <c r="E645" s="145">
        <v>18</v>
      </c>
      <c r="F645" s="19">
        <f t="shared" si="166"/>
        <v>36</v>
      </c>
      <c r="G645" s="19">
        <v>2.33</v>
      </c>
      <c r="H645" s="19">
        <f t="shared" ref="H645:H656" si="170">E645*G645</f>
        <v>41.94</v>
      </c>
      <c r="I645" s="19">
        <f t="shared" ref="I645:I656" si="171">H645*D645</f>
        <v>83.88</v>
      </c>
      <c r="J645" s="18">
        <f t="shared" ref="J645:J656" si="172">J644+I645</f>
        <v>58041.465000000004</v>
      </c>
    </row>
    <row r="646" spans="2:10">
      <c r="B646" s="81">
        <v>45771</v>
      </c>
      <c r="C646" s="18" t="s">
        <v>573</v>
      </c>
      <c r="D646" s="19">
        <v>2</v>
      </c>
      <c r="E646" s="145">
        <v>18</v>
      </c>
      <c r="F646" s="19">
        <f t="shared" si="166"/>
        <v>36</v>
      </c>
      <c r="G646" s="19">
        <v>2.33</v>
      </c>
      <c r="H646" s="19">
        <f t="shared" si="170"/>
        <v>41.94</v>
      </c>
      <c r="I646" s="19">
        <f t="shared" si="171"/>
        <v>83.88</v>
      </c>
      <c r="J646" s="18">
        <f t="shared" si="172"/>
        <v>58125.345000000001</v>
      </c>
    </row>
    <row r="647" spans="2:10">
      <c r="B647" s="81">
        <v>45771</v>
      </c>
      <c r="C647" s="18" t="s">
        <v>574</v>
      </c>
      <c r="D647" s="19">
        <v>1</v>
      </c>
      <c r="E647" s="145">
        <v>136</v>
      </c>
      <c r="F647" s="19">
        <f t="shared" si="166"/>
        <v>136</v>
      </c>
      <c r="G647" s="19">
        <v>2.33</v>
      </c>
      <c r="H647" s="19">
        <f t="shared" si="170"/>
        <v>316.88</v>
      </c>
      <c r="I647" s="19">
        <f t="shared" si="171"/>
        <v>316.88</v>
      </c>
      <c r="J647" s="18">
        <f t="shared" si="172"/>
        <v>58442.224999999999</v>
      </c>
    </row>
    <row r="648" spans="2:10">
      <c r="B648" s="81">
        <v>45771</v>
      </c>
      <c r="C648" s="18" t="s">
        <v>575</v>
      </c>
      <c r="D648" s="19">
        <v>2</v>
      </c>
      <c r="E648" s="145">
        <v>191</v>
      </c>
      <c r="F648" s="19">
        <f t="shared" si="166"/>
        <v>382</v>
      </c>
      <c r="G648" s="19">
        <v>2.33</v>
      </c>
      <c r="H648" s="19">
        <f t="shared" si="170"/>
        <v>445.03000000000003</v>
      </c>
      <c r="I648" s="19">
        <f t="shared" si="171"/>
        <v>890.06000000000006</v>
      </c>
      <c r="J648" s="18">
        <f t="shared" si="172"/>
        <v>59332.284999999996</v>
      </c>
    </row>
    <row r="649" spans="2:10">
      <c r="B649" s="81">
        <v>45771</v>
      </c>
      <c r="C649" s="18" t="s">
        <v>576</v>
      </c>
      <c r="D649" s="19">
        <v>4</v>
      </c>
      <c r="E649" s="145">
        <v>184</v>
      </c>
      <c r="F649" s="19">
        <f t="shared" si="166"/>
        <v>736</v>
      </c>
      <c r="G649" s="19">
        <v>2.33</v>
      </c>
      <c r="H649" s="19">
        <f t="shared" si="170"/>
        <v>428.72</v>
      </c>
      <c r="I649" s="19">
        <f t="shared" si="171"/>
        <v>1714.88</v>
      </c>
      <c r="J649" s="18">
        <f t="shared" si="172"/>
        <v>61047.164999999994</v>
      </c>
    </row>
    <row r="650" spans="2:10">
      <c r="B650" s="81">
        <v>45771</v>
      </c>
      <c r="C650" s="18" t="s">
        <v>577</v>
      </c>
      <c r="D650" s="19">
        <v>4</v>
      </c>
      <c r="E650" s="145">
        <v>238</v>
      </c>
      <c r="F650" s="19">
        <f t="shared" si="166"/>
        <v>952</v>
      </c>
      <c r="G650" s="19">
        <v>2.33</v>
      </c>
      <c r="H650" s="19">
        <f t="shared" si="170"/>
        <v>554.54</v>
      </c>
      <c r="I650" s="19">
        <f t="shared" si="171"/>
        <v>2218.16</v>
      </c>
      <c r="J650" s="18">
        <f t="shared" si="172"/>
        <v>63265.324999999997</v>
      </c>
    </row>
    <row r="651" spans="2:10">
      <c r="B651" s="81">
        <v>45771</v>
      </c>
      <c r="C651" s="18" t="s">
        <v>578</v>
      </c>
      <c r="D651" s="19">
        <v>3</v>
      </c>
      <c r="E651" s="145">
        <v>510</v>
      </c>
      <c r="F651" s="19">
        <f t="shared" si="166"/>
        <v>1530</v>
      </c>
      <c r="G651" s="19">
        <v>2.33</v>
      </c>
      <c r="H651" s="19">
        <f t="shared" si="170"/>
        <v>1188.3</v>
      </c>
      <c r="I651" s="19">
        <f t="shared" si="171"/>
        <v>3564.8999999999996</v>
      </c>
      <c r="J651" s="18">
        <f t="shared" si="172"/>
        <v>66830.224999999991</v>
      </c>
    </row>
    <row r="652" spans="2:10">
      <c r="B652" s="81">
        <v>45771</v>
      </c>
      <c r="C652" s="18" t="s">
        <v>579</v>
      </c>
      <c r="D652" s="19">
        <v>2</v>
      </c>
      <c r="E652" s="145">
        <v>3300</v>
      </c>
      <c r="F652" s="19">
        <f t="shared" si="166"/>
        <v>6600</v>
      </c>
      <c r="G652" s="19">
        <v>2.33</v>
      </c>
      <c r="H652" s="19">
        <f t="shared" si="170"/>
        <v>7689</v>
      </c>
      <c r="I652" s="19">
        <f t="shared" si="171"/>
        <v>15378</v>
      </c>
      <c r="J652" s="18">
        <f t="shared" si="172"/>
        <v>82208.224999999991</v>
      </c>
    </row>
    <row r="653" spans="2:10">
      <c r="B653" s="81">
        <v>45771</v>
      </c>
      <c r="C653" s="18" t="s">
        <v>580</v>
      </c>
      <c r="D653" s="19">
        <v>2</v>
      </c>
      <c r="E653" s="145">
        <v>2149</v>
      </c>
      <c r="F653" s="19">
        <f t="shared" si="166"/>
        <v>4298</v>
      </c>
      <c r="G653" s="19">
        <v>2.33</v>
      </c>
      <c r="H653" s="19">
        <f t="shared" si="170"/>
        <v>5007.17</v>
      </c>
      <c r="I653" s="19">
        <f t="shared" si="171"/>
        <v>10014.34</v>
      </c>
      <c r="J653" s="18">
        <f t="shared" si="172"/>
        <v>92222.564999999988</v>
      </c>
    </row>
    <row r="654" spans="2:10">
      <c r="B654" s="19"/>
      <c r="C654" s="19"/>
      <c r="D654" s="19"/>
      <c r="E654" s="19"/>
      <c r="F654" s="19">
        <f t="shared" si="166"/>
        <v>0</v>
      </c>
      <c r="G654" s="19"/>
      <c r="H654" s="19">
        <f t="shared" si="170"/>
        <v>0</v>
      </c>
      <c r="I654" s="19">
        <f t="shared" si="171"/>
        <v>0</v>
      </c>
      <c r="J654" s="18">
        <f t="shared" si="172"/>
        <v>92222.564999999988</v>
      </c>
    </row>
    <row r="655" spans="2:10">
      <c r="B655" s="19"/>
      <c r="C655" s="19"/>
      <c r="D655" s="19"/>
      <c r="E655" s="19"/>
      <c r="F655" s="19">
        <f t="shared" si="166"/>
        <v>0</v>
      </c>
      <c r="G655" s="19"/>
      <c r="H655" s="19">
        <f t="shared" si="170"/>
        <v>0</v>
      </c>
      <c r="I655" s="19">
        <f t="shared" si="171"/>
        <v>0</v>
      </c>
      <c r="J655" s="18">
        <f t="shared" si="172"/>
        <v>92222.564999999988</v>
      </c>
    </row>
    <row r="656" spans="2:10">
      <c r="B656" s="19"/>
      <c r="C656" s="19"/>
      <c r="D656" s="19"/>
      <c r="E656" s="19"/>
      <c r="F656" s="19">
        <f t="shared" si="166"/>
        <v>0</v>
      </c>
      <c r="G656" s="19"/>
      <c r="H656" s="19">
        <f t="shared" si="170"/>
        <v>0</v>
      </c>
      <c r="I656" s="19">
        <f t="shared" si="171"/>
        <v>0</v>
      </c>
      <c r="J656" s="18">
        <f t="shared" si="172"/>
        <v>92222.564999999988</v>
      </c>
    </row>
    <row r="661" spans="1:10" ht="21">
      <c r="A661" t="s">
        <v>125</v>
      </c>
      <c r="B661" s="1520" t="s">
        <v>20</v>
      </c>
      <c r="C661" s="1520"/>
      <c r="D661" s="1520"/>
      <c r="E661" s="1520"/>
      <c r="F661" s="1520"/>
      <c r="G661" s="1520"/>
      <c r="H661" s="1520"/>
      <c r="I661" s="1520"/>
      <c r="J661" s="1520"/>
    </row>
    <row r="662" spans="1:10" ht="18.75">
      <c r="A662" t="s">
        <v>212</v>
      </c>
      <c r="B662" s="4" t="s">
        <v>1</v>
      </c>
      <c r="C662" s="4" t="s">
        <v>2</v>
      </c>
      <c r="D662" s="4" t="s">
        <v>3</v>
      </c>
      <c r="E662" s="4" t="s">
        <v>4</v>
      </c>
      <c r="F662" s="4" t="s">
        <v>36</v>
      </c>
      <c r="G662" s="4" t="s">
        <v>5</v>
      </c>
      <c r="H662" s="4" t="s">
        <v>6</v>
      </c>
      <c r="I662" s="4" t="s">
        <v>7</v>
      </c>
      <c r="J662" s="4"/>
    </row>
    <row r="663" spans="1:10">
      <c r="B663" s="81">
        <v>45773</v>
      </c>
      <c r="C663" s="18" t="s">
        <v>583</v>
      </c>
      <c r="D663" s="19">
        <v>3</v>
      </c>
      <c r="E663" s="145">
        <v>520</v>
      </c>
      <c r="F663" s="19">
        <f>E663*D663</f>
        <v>1560</v>
      </c>
      <c r="G663" s="19">
        <v>2.33</v>
      </c>
      <c r="H663" s="19">
        <f>E663*G663</f>
        <v>1211.6000000000001</v>
      </c>
      <c r="I663" s="19">
        <f>H663*D663</f>
        <v>3634.8</v>
      </c>
      <c r="J663" s="18">
        <f>J662+I663</f>
        <v>3634.8</v>
      </c>
    </row>
    <row r="664" spans="1:10">
      <c r="B664" s="81">
        <v>45774</v>
      </c>
      <c r="C664" s="18" t="s">
        <v>584</v>
      </c>
      <c r="D664" s="19">
        <v>2</v>
      </c>
      <c r="E664" s="145">
        <v>3220</v>
      </c>
      <c r="F664" s="19">
        <f t="shared" ref="F664:F671" si="173">E664*D664</f>
        <v>6440</v>
      </c>
      <c r="G664" s="19">
        <v>2.33</v>
      </c>
      <c r="H664" s="19">
        <f t="shared" ref="H664:H671" si="174">E664*G664</f>
        <v>7502.6</v>
      </c>
      <c r="I664" s="19">
        <f t="shared" ref="I664:I671" si="175">H664*D664</f>
        <v>15005.2</v>
      </c>
      <c r="J664" s="18">
        <f t="shared" ref="J664:J671" si="176">J663+I664</f>
        <v>18640</v>
      </c>
    </row>
    <row r="665" spans="1:10">
      <c r="B665" s="81">
        <v>45774</v>
      </c>
      <c r="C665" s="18" t="s">
        <v>585</v>
      </c>
      <c r="D665" s="19">
        <v>1</v>
      </c>
      <c r="E665" s="145">
        <v>2315</v>
      </c>
      <c r="F665" s="19">
        <f t="shared" si="173"/>
        <v>2315</v>
      </c>
      <c r="G665" s="19">
        <v>2.33</v>
      </c>
      <c r="H665" s="19">
        <f t="shared" si="174"/>
        <v>5393.95</v>
      </c>
      <c r="I665" s="19">
        <f t="shared" si="175"/>
        <v>5393.95</v>
      </c>
      <c r="J665" s="18">
        <f t="shared" si="176"/>
        <v>24033.95</v>
      </c>
    </row>
    <row r="666" spans="1:10">
      <c r="B666" s="81">
        <v>45774</v>
      </c>
      <c r="C666" s="18" t="s">
        <v>586</v>
      </c>
      <c r="D666" s="19">
        <v>2</v>
      </c>
      <c r="E666" s="145">
        <v>3300</v>
      </c>
      <c r="F666" s="19">
        <f t="shared" si="173"/>
        <v>6600</v>
      </c>
      <c r="G666" s="19">
        <v>2.33</v>
      </c>
      <c r="H666" s="19">
        <f t="shared" si="174"/>
        <v>7689</v>
      </c>
      <c r="I666" s="19">
        <f t="shared" si="175"/>
        <v>15378</v>
      </c>
      <c r="J666" s="18">
        <f t="shared" si="176"/>
        <v>39411.949999999997</v>
      </c>
    </row>
    <row r="667" spans="1:10">
      <c r="B667" s="81">
        <v>45774</v>
      </c>
      <c r="C667" s="18" t="s">
        <v>587</v>
      </c>
      <c r="D667" s="19">
        <v>2</v>
      </c>
      <c r="E667" s="145">
        <v>2380</v>
      </c>
      <c r="F667" s="19">
        <f t="shared" si="173"/>
        <v>4760</v>
      </c>
      <c r="G667" s="19">
        <v>2.33</v>
      </c>
      <c r="H667" s="19">
        <f t="shared" si="174"/>
        <v>5545.4000000000005</v>
      </c>
      <c r="I667" s="19">
        <f t="shared" si="175"/>
        <v>11090.800000000001</v>
      </c>
      <c r="J667" s="18">
        <f t="shared" si="176"/>
        <v>50502.75</v>
      </c>
    </row>
    <row r="668" spans="1:10">
      <c r="B668" s="81">
        <v>45774</v>
      </c>
      <c r="C668" s="18" t="s">
        <v>588</v>
      </c>
      <c r="D668" s="19">
        <v>1</v>
      </c>
      <c r="E668" s="145">
        <v>520</v>
      </c>
      <c r="F668" s="19">
        <f t="shared" si="173"/>
        <v>520</v>
      </c>
      <c r="G668" s="19">
        <v>2.33</v>
      </c>
      <c r="H668" s="19">
        <f t="shared" si="174"/>
        <v>1211.6000000000001</v>
      </c>
      <c r="I668" s="19">
        <f t="shared" si="175"/>
        <v>1211.6000000000001</v>
      </c>
      <c r="J668" s="18">
        <f t="shared" si="176"/>
        <v>51714.35</v>
      </c>
    </row>
    <row r="669" spans="1:10">
      <c r="B669" s="19"/>
      <c r="C669" s="19"/>
      <c r="D669" s="19"/>
      <c r="E669" s="19"/>
      <c r="F669" s="19">
        <f t="shared" si="173"/>
        <v>0</v>
      </c>
      <c r="G669" s="19"/>
      <c r="H669" s="19">
        <f t="shared" si="174"/>
        <v>0</v>
      </c>
      <c r="I669" s="19">
        <f t="shared" si="175"/>
        <v>0</v>
      </c>
      <c r="J669" s="18">
        <f t="shared" si="176"/>
        <v>51714.35</v>
      </c>
    </row>
    <row r="670" spans="1:10">
      <c r="B670" s="19"/>
      <c r="C670" s="19"/>
      <c r="D670" s="19"/>
      <c r="E670" s="19"/>
      <c r="F670" s="19">
        <f t="shared" si="173"/>
        <v>0</v>
      </c>
      <c r="G670" s="19"/>
      <c r="H670" s="19">
        <f t="shared" si="174"/>
        <v>0</v>
      </c>
      <c r="I670" s="19">
        <f t="shared" si="175"/>
        <v>0</v>
      </c>
      <c r="J670" s="18">
        <f t="shared" si="176"/>
        <v>51714.35</v>
      </c>
    </row>
    <row r="671" spans="1:10">
      <c r="B671" s="19"/>
      <c r="C671" s="19"/>
      <c r="D671" s="19"/>
      <c r="E671" s="19"/>
      <c r="F671" s="19">
        <f t="shared" si="173"/>
        <v>0</v>
      </c>
      <c r="G671" s="19"/>
      <c r="H671" s="19">
        <f t="shared" si="174"/>
        <v>0</v>
      </c>
      <c r="I671" s="19">
        <f t="shared" si="175"/>
        <v>0</v>
      </c>
      <c r="J671" s="18">
        <f t="shared" si="176"/>
        <v>51714.35</v>
      </c>
    </row>
    <row r="674" spans="1:10" ht="21">
      <c r="A674" t="s">
        <v>125</v>
      </c>
      <c r="B674" s="1520" t="s">
        <v>20</v>
      </c>
      <c r="C674" s="1520"/>
      <c r="D674" s="1520"/>
      <c r="E674" s="1520"/>
      <c r="F674" s="1520"/>
      <c r="G674" s="1520"/>
      <c r="H674" s="1520"/>
      <c r="I674" s="1520"/>
      <c r="J674" s="1520"/>
    </row>
    <row r="675" spans="1:10" ht="18.75">
      <c r="A675" t="s">
        <v>212</v>
      </c>
      <c r="B675" s="4" t="s">
        <v>1</v>
      </c>
      <c r="C675" s="4" t="s">
        <v>2</v>
      </c>
      <c r="D675" s="4" t="s">
        <v>3</v>
      </c>
      <c r="E675" s="4" t="s">
        <v>4</v>
      </c>
      <c r="F675" s="4" t="s">
        <v>36</v>
      </c>
      <c r="G675" s="4" t="s">
        <v>5</v>
      </c>
      <c r="H675" s="4" t="s">
        <v>6</v>
      </c>
      <c r="I675" s="4" t="s">
        <v>7</v>
      </c>
      <c r="J675" s="4"/>
    </row>
    <row r="676" spans="1:10">
      <c r="B676" s="81">
        <v>45776</v>
      </c>
      <c r="C676" s="80" t="s">
        <v>603</v>
      </c>
      <c r="D676" s="19">
        <v>4</v>
      </c>
      <c r="E676" s="19">
        <v>2159</v>
      </c>
      <c r="F676" s="19">
        <f>E676*D676</f>
        <v>8636</v>
      </c>
      <c r="G676" s="19">
        <v>2.33</v>
      </c>
      <c r="H676" s="19">
        <f>E676*G676</f>
        <v>5030.47</v>
      </c>
      <c r="I676" s="19">
        <f>H676*D676</f>
        <v>20121.88</v>
      </c>
      <c r="J676" s="18">
        <f>J675+I676</f>
        <v>20121.88</v>
      </c>
    </row>
    <row r="677" spans="1:10">
      <c r="B677" s="19"/>
      <c r="C677" s="80" t="s">
        <v>604</v>
      </c>
      <c r="D677" s="19"/>
      <c r="E677" s="19"/>
      <c r="F677" s="19">
        <f>E677*D677</f>
        <v>0</v>
      </c>
      <c r="G677" s="19"/>
      <c r="H677" s="19">
        <f>E677*G677</f>
        <v>0</v>
      </c>
      <c r="I677" s="19">
        <f>H677*D677</f>
        <v>0</v>
      </c>
      <c r="J677" s="18">
        <f>J676+I677</f>
        <v>20121.88</v>
      </c>
    </row>
    <row r="678" spans="1:10">
      <c r="B678" s="19"/>
      <c r="C678" s="80" t="s">
        <v>605</v>
      </c>
      <c r="D678" s="19"/>
      <c r="E678" s="19"/>
      <c r="F678" s="19">
        <f>E678*D678</f>
        <v>0</v>
      </c>
      <c r="G678" s="19"/>
      <c r="H678" s="19">
        <f>E678*G678</f>
        <v>0</v>
      </c>
      <c r="I678" s="19">
        <f>H678*D678</f>
        <v>0</v>
      </c>
      <c r="J678" s="18">
        <f>J677+I678</f>
        <v>20121.88</v>
      </c>
    </row>
    <row r="679" spans="1:10">
      <c r="B679" s="19"/>
      <c r="C679" s="80"/>
      <c r="D679" s="19"/>
      <c r="E679" s="19"/>
      <c r="F679" s="19">
        <f>E679*D679</f>
        <v>0</v>
      </c>
      <c r="G679" s="19"/>
      <c r="H679" s="19">
        <f>E679*G679</f>
        <v>0</v>
      </c>
      <c r="I679" s="19">
        <f>H679*D679</f>
        <v>0</v>
      </c>
      <c r="J679" s="18">
        <f>J678+I679</f>
        <v>20121.88</v>
      </c>
    </row>
    <row r="680" spans="1:10">
      <c r="J680"/>
    </row>
    <row r="681" spans="1:10" ht="21">
      <c r="A681" t="s">
        <v>125</v>
      </c>
      <c r="B681" s="1520" t="s">
        <v>20</v>
      </c>
      <c r="C681" s="1520"/>
      <c r="D681" s="1520"/>
      <c r="E681" s="1520"/>
      <c r="F681" s="1520"/>
      <c r="G681" s="1520"/>
      <c r="H681" s="1520"/>
      <c r="I681" s="1520"/>
      <c r="J681" s="1520"/>
    </row>
    <row r="682" spans="1:10" ht="18.75">
      <c r="A682" t="s">
        <v>212</v>
      </c>
      <c r="B682" s="4" t="s">
        <v>1</v>
      </c>
      <c r="C682" s="4" t="s">
        <v>2</v>
      </c>
      <c r="D682" s="4" t="s">
        <v>3</v>
      </c>
      <c r="E682" s="4" t="s">
        <v>4</v>
      </c>
      <c r="F682" s="4" t="s">
        <v>36</v>
      </c>
      <c r="G682" s="4" t="s">
        <v>5</v>
      </c>
      <c r="H682" s="4" t="s">
        <v>6</v>
      </c>
      <c r="I682" s="4" t="s">
        <v>7</v>
      </c>
      <c r="J682" s="4"/>
    </row>
    <row r="683" spans="1:10">
      <c r="B683" s="81">
        <v>45775</v>
      </c>
      <c r="C683" s="19" t="s">
        <v>607</v>
      </c>
      <c r="D683" s="19">
        <v>2</v>
      </c>
      <c r="E683" s="19">
        <v>539</v>
      </c>
      <c r="F683" s="19">
        <f>E683*D683</f>
        <v>1078</v>
      </c>
      <c r="G683" s="19">
        <v>2.33</v>
      </c>
      <c r="H683" s="19">
        <f>E683*G683</f>
        <v>1255.8700000000001</v>
      </c>
      <c r="I683" s="19">
        <f>H683*D683</f>
        <v>2511.7400000000002</v>
      </c>
      <c r="J683" s="18">
        <f>J682+I683</f>
        <v>2511.7400000000002</v>
      </c>
    </row>
    <row r="684" spans="1:10">
      <c r="B684" s="19"/>
      <c r="C684" s="19"/>
      <c r="D684" s="19"/>
      <c r="E684" s="19"/>
      <c r="F684" s="19">
        <f>E684*D684</f>
        <v>0</v>
      </c>
      <c r="G684" s="19"/>
      <c r="H684" s="19">
        <f>E684*G684</f>
        <v>0</v>
      </c>
      <c r="I684" s="19">
        <f>H684*D684</f>
        <v>0</v>
      </c>
      <c r="J684" s="18">
        <f>J683+I684</f>
        <v>2511.7400000000002</v>
      </c>
    </row>
    <row r="685" spans="1:10">
      <c r="J685"/>
    </row>
    <row r="686" spans="1:10">
      <c r="J686"/>
    </row>
    <row r="687" spans="1:10" ht="21">
      <c r="A687" t="s">
        <v>125</v>
      </c>
      <c r="B687" s="1520" t="s">
        <v>20</v>
      </c>
      <c r="C687" s="1520"/>
      <c r="D687" s="1520"/>
      <c r="E687" s="1520"/>
      <c r="F687" s="1520"/>
      <c r="G687" s="1520"/>
      <c r="H687" s="1520"/>
      <c r="I687" s="1520"/>
      <c r="J687" s="1520"/>
    </row>
    <row r="688" spans="1:10" ht="18.75">
      <c r="A688" t="s">
        <v>212</v>
      </c>
      <c r="B688" s="4" t="s">
        <v>1</v>
      </c>
      <c r="C688" s="4" t="s">
        <v>2</v>
      </c>
      <c r="D688" s="4" t="s">
        <v>3</v>
      </c>
      <c r="E688" s="4" t="s">
        <v>4</v>
      </c>
      <c r="F688" s="4" t="s">
        <v>36</v>
      </c>
      <c r="G688" s="4" t="s">
        <v>5</v>
      </c>
      <c r="H688" s="4" t="s">
        <v>6</v>
      </c>
      <c r="I688" s="4" t="s">
        <v>7</v>
      </c>
      <c r="J688" s="4"/>
    </row>
    <row r="689" spans="1:10">
      <c r="B689" s="81">
        <v>45778</v>
      </c>
      <c r="C689" s="80" t="s">
        <v>615</v>
      </c>
      <c r="D689" s="19">
        <v>2</v>
      </c>
      <c r="E689" s="19">
        <v>489</v>
      </c>
      <c r="F689" s="19">
        <f>E689*D689</f>
        <v>978</v>
      </c>
      <c r="G689" s="19">
        <v>2.33</v>
      </c>
      <c r="H689" s="19">
        <f>E689*G689</f>
        <v>1139.3700000000001</v>
      </c>
      <c r="I689" s="19">
        <f>H689*D689</f>
        <v>2278.7400000000002</v>
      </c>
      <c r="J689" s="18">
        <f>J688+I689</f>
        <v>2278.7400000000002</v>
      </c>
    </row>
    <row r="690" spans="1:10">
      <c r="B690" s="81">
        <v>45778</v>
      </c>
      <c r="C690" s="80" t="s">
        <v>616</v>
      </c>
      <c r="D690" s="19">
        <v>2</v>
      </c>
      <c r="E690" s="19">
        <v>539</v>
      </c>
      <c r="F690" s="19">
        <f>E690*D690</f>
        <v>1078</v>
      </c>
      <c r="G690" s="19">
        <v>2.33</v>
      </c>
      <c r="H690" s="19">
        <f>E690*G690</f>
        <v>1255.8700000000001</v>
      </c>
      <c r="I690" s="19">
        <f>H690*D690</f>
        <v>2511.7400000000002</v>
      </c>
      <c r="J690" s="18">
        <f>J689+I690</f>
        <v>4790.4800000000005</v>
      </c>
    </row>
    <row r="691" spans="1:10">
      <c r="B691" s="81">
        <v>45778</v>
      </c>
      <c r="C691" s="80" t="s">
        <v>617</v>
      </c>
      <c r="D691" s="19">
        <v>2</v>
      </c>
      <c r="E691" s="19">
        <v>489</v>
      </c>
      <c r="F691" s="19">
        <f>E691*D691</f>
        <v>978</v>
      </c>
      <c r="G691" s="19">
        <v>2.33</v>
      </c>
      <c r="H691" s="19">
        <f>E691*G691</f>
        <v>1139.3700000000001</v>
      </c>
      <c r="I691" s="19">
        <f>H691*D691</f>
        <v>2278.7400000000002</v>
      </c>
      <c r="J691" s="18">
        <f>J690+I691</f>
        <v>7069.2200000000012</v>
      </c>
    </row>
    <row r="692" spans="1:10">
      <c r="B692" s="81">
        <v>45778</v>
      </c>
      <c r="C692" s="80" t="s">
        <v>618</v>
      </c>
      <c r="D692" s="19">
        <v>3</v>
      </c>
      <c r="E692" s="19">
        <v>449</v>
      </c>
      <c r="F692" s="19">
        <f>E692*D692</f>
        <v>1347</v>
      </c>
      <c r="G692" s="19">
        <v>2.33</v>
      </c>
      <c r="H692" s="19">
        <f>E692*G692</f>
        <v>1046.17</v>
      </c>
      <c r="I692" s="19">
        <f>H692*D692</f>
        <v>3138.51</v>
      </c>
      <c r="J692" s="18">
        <f>J691+I692</f>
        <v>10207.730000000001</v>
      </c>
    </row>
    <row r="693" spans="1:10">
      <c r="B693" s="19"/>
      <c r="C693" s="19"/>
      <c r="D693" s="19"/>
      <c r="E693" s="19"/>
      <c r="F693" s="19">
        <f>E693*D693</f>
        <v>0</v>
      </c>
      <c r="G693" s="19"/>
      <c r="H693" s="19">
        <f>E693*G693</f>
        <v>0</v>
      </c>
      <c r="I693" s="19">
        <f>H693*D693</f>
        <v>0</v>
      </c>
      <c r="J693" s="18">
        <f>J692+I693</f>
        <v>10207.730000000001</v>
      </c>
    </row>
    <row r="694" spans="1:10">
      <c r="J694"/>
    </row>
    <row r="695" spans="1:10">
      <c r="J695"/>
    </row>
    <row r="696" spans="1:10" ht="21">
      <c r="A696" t="s">
        <v>125</v>
      </c>
      <c r="B696" s="1520" t="s">
        <v>35</v>
      </c>
      <c r="C696" s="1520"/>
      <c r="D696" s="1520"/>
      <c r="E696" s="1520"/>
      <c r="F696" s="1520"/>
      <c r="G696" s="1520"/>
      <c r="H696" s="1520"/>
      <c r="I696" s="1520"/>
      <c r="J696" s="1520"/>
    </row>
    <row r="697" spans="1:10" ht="18.75">
      <c r="A697" t="s">
        <v>212</v>
      </c>
      <c r="B697" s="4" t="s">
        <v>1</v>
      </c>
      <c r="C697" s="4" t="s">
        <v>2</v>
      </c>
      <c r="D697" s="4" t="s">
        <v>3</v>
      </c>
      <c r="E697" s="4" t="s">
        <v>146</v>
      </c>
      <c r="F697" s="4" t="s">
        <v>145</v>
      </c>
      <c r="G697" s="4" t="s">
        <v>5</v>
      </c>
      <c r="H697" s="4" t="s">
        <v>6</v>
      </c>
      <c r="I697" s="4" t="s">
        <v>7</v>
      </c>
      <c r="J697" s="4"/>
    </row>
    <row r="698" spans="1:10">
      <c r="B698" s="81">
        <v>45784</v>
      </c>
      <c r="C698" s="80" t="s">
        <v>629</v>
      </c>
      <c r="D698" s="19">
        <v>147</v>
      </c>
      <c r="E698" s="19">
        <v>520</v>
      </c>
      <c r="F698" s="19">
        <f>E698*D698</f>
        <v>76440</v>
      </c>
      <c r="G698" s="19">
        <v>2.13</v>
      </c>
      <c r="H698" s="19">
        <f>E698*G698</f>
        <v>1107.5999999999999</v>
      </c>
      <c r="I698" s="19">
        <f>H698*D698</f>
        <v>162817.19999999998</v>
      </c>
      <c r="J698" s="18">
        <f>J697+I698</f>
        <v>162817.19999999998</v>
      </c>
    </row>
    <row r="699" spans="1:10">
      <c r="B699" s="81">
        <v>45784</v>
      </c>
      <c r="C699" s="80" t="s">
        <v>630</v>
      </c>
      <c r="D699" s="19">
        <v>500</v>
      </c>
      <c r="E699" s="19">
        <v>28.99</v>
      </c>
      <c r="F699" s="19">
        <f t="shared" ref="F699:F710" si="177">E699*D699</f>
        <v>14495</v>
      </c>
      <c r="G699" s="19">
        <v>2.13</v>
      </c>
      <c r="H699" s="19">
        <f t="shared" ref="H699:H706" si="178">E699*G699</f>
        <v>61.748699999999992</v>
      </c>
      <c r="I699" s="19">
        <f t="shared" ref="I699:I706" si="179">H699*D699</f>
        <v>30874.349999999995</v>
      </c>
      <c r="J699" s="18">
        <f t="shared" ref="J699:J706" si="180">J698+I699</f>
        <v>193691.55</v>
      </c>
    </row>
    <row r="700" spans="1:10">
      <c r="B700" s="81">
        <v>45784</v>
      </c>
      <c r="C700" s="80" t="s">
        <v>631</v>
      </c>
      <c r="D700" s="19">
        <v>200</v>
      </c>
      <c r="E700" s="19">
        <v>328.99</v>
      </c>
      <c r="F700" s="19">
        <f t="shared" si="177"/>
        <v>65798</v>
      </c>
      <c r="G700" s="19">
        <v>2.13</v>
      </c>
      <c r="H700" s="19">
        <f t="shared" si="178"/>
        <v>700.74869999999999</v>
      </c>
      <c r="I700" s="19">
        <f t="shared" si="179"/>
        <v>140149.74</v>
      </c>
      <c r="J700" s="18">
        <f t="shared" si="180"/>
        <v>333841.28999999998</v>
      </c>
    </row>
    <row r="701" spans="1:10">
      <c r="B701" s="81">
        <v>45784</v>
      </c>
      <c r="C701" s="80" t="s">
        <v>632</v>
      </c>
      <c r="D701" s="19">
        <v>10</v>
      </c>
      <c r="E701" s="19">
        <v>759</v>
      </c>
      <c r="F701" s="19">
        <f t="shared" si="177"/>
        <v>7590</v>
      </c>
      <c r="G701" s="19">
        <v>2.13</v>
      </c>
      <c r="H701" s="19">
        <f t="shared" si="178"/>
        <v>1616.6699999999998</v>
      </c>
      <c r="I701" s="19">
        <f t="shared" si="179"/>
        <v>16166.699999999999</v>
      </c>
      <c r="J701" s="18">
        <f t="shared" si="180"/>
        <v>350007.99</v>
      </c>
    </row>
    <row r="702" spans="1:10">
      <c r="B702" s="81">
        <v>45784</v>
      </c>
      <c r="C702" s="80" t="s">
        <v>632</v>
      </c>
      <c r="D702" s="19">
        <v>10</v>
      </c>
      <c r="E702" s="19">
        <v>759</v>
      </c>
      <c r="F702" s="19">
        <f t="shared" si="177"/>
        <v>7590</v>
      </c>
      <c r="G702" s="19">
        <v>2.13</v>
      </c>
      <c r="H702" s="19">
        <f t="shared" si="178"/>
        <v>1616.6699999999998</v>
      </c>
      <c r="I702" s="19">
        <f t="shared" si="179"/>
        <v>16166.699999999999</v>
      </c>
      <c r="J702" s="18">
        <f t="shared" si="180"/>
        <v>366174.69</v>
      </c>
    </row>
    <row r="703" spans="1:10">
      <c r="B703" s="81">
        <v>45784</v>
      </c>
      <c r="C703" s="80" t="s">
        <v>632</v>
      </c>
      <c r="D703" s="19">
        <v>2</v>
      </c>
      <c r="E703" s="19">
        <v>759</v>
      </c>
      <c r="F703" s="19">
        <f t="shared" si="177"/>
        <v>1518</v>
      </c>
      <c r="G703" s="19">
        <v>2.13</v>
      </c>
      <c r="H703" s="19">
        <f t="shared" si="178"/>
        <v>1616.6699999999998</v>
      </c>
      <c r="I703" s="19">
        <f t="shared" si="179"/>
        <v>3233.3399999999997</v>
      </c>
      <c r="J703" s="18">
        <f t="shared" si="180"/>
        <v>369408.03</v>
      </c>
    </row>
    <row r="704" spans="1:10">
      <c r="B704" s="81">
        <v>45784</v>
      </c>
      <c r="C704" s="80" t="s">
        <v>632</v>
      </c>
      <c r="D704" s="19">
        <v>2</v>
      </c>
      <c r="E704" s="19">
        <v>759</v>
      </c>
      <c r="F704" s="19">
        <f t="shared" si="177"/>
        <v>1518</v>
      </c>
      <c r="G704" s="19">
        <v>2.13</v>
      </c>
      <c r="H704" s="19">
        <f t="shared" si="178"/>
        <v>1616.6699999999998</v>
      </c>
      <c r="I704" s="19">
        <f t="shared" si="179"/>
        <v>3233.3399999999997</v>
      </c>
      <c r="J704" s="18">
        <f t="shared" si="180"/>
        <v>372641.37000000005</v>
      </c>
    </row>
    <row r="705" spans="1:10">
      <c r="B705" s="81">
        <v>45784</v>
      </c>
      <c r="C705" s="80" t="s">
        <v>632</v>
      </c>
      <c r="D705" s="19">
        <v>10</v>
      </c>
      <c r="E705" s="19">
        <v>759</v>
      </c>
      <c r="F705" s="19">
        <f t="shared" si="177"/>
        <v>7590</v>
      </c>
      <c r="G705" s="19">
        <v>2.13</v>
      </c>
      <c r="H705" s="19">
        <f t="shared" si="178"/>
        <v>1616.6699999999998</v>
      </c>
      <c r="I705" s="19">
        <f t="shared" si="179"/>
        <v>16166.699999999999</v>
      </c>
      <c r="J705" s="18">
        <f t="shared" si="180"/>
        <v>388808.07000000007</v>
      </c>
    </row>
    <row r="706" spans="1:10">
      <c r="B706" s="81">
        <v>45784</v>
      </c>
      <c r="C706" s="80" t="s">
        <v>633</v>
      </c>
      <c r="D706" s="19">
        <v>250</v>
      </c>
      <c r="E706" s="19">
        <v>149</v>
      </c>
      <c r="F706" s="19">
        <f t="shared" si="177"/>
        <v>37250</v>
      </c>
      <c r="G706" s="19">
        <v>2.13</v>
      </c>
      <c r="H706" s="19">
        <f t="shared" si="178"/>
        <v>317.37</v>
      </c>
      <c r="I706" s="19">
        <f t="shared" si="179"/>
        <v>79342.5</v>
      </c>
      <c r="J706" s="18">
        <f t="shared" si="180"/>
        <v>468150.57000000007</v>
      </c>
    </row>
    <row r="707" spans="1:10">
      <c r="B707" s="81">
        <v>45784</v>
      </c>
      <c r="C707" s="80" t="s">
        <v>630</v>
      </c>
      <c r="D707" s="19">
        <v>200</v>
      </c>
      <c r="E707" s="19">
        <v>28.99</v>
      </c>
      <c r="F707" s="19">
        <f t="shared" si="177"/>
        <v>5798</v>
      </c>
      <c r="G707" s="19">
        <v>2.13</v>
      </c>
      <c r="H707" s="19">
        <f>E707*G707</f>
        <v>61.748699999999992</v>
      </c>
      <c r="I707" s="19">
        <f>H707*D707</f>
        <v>12349.739999999998</v>
      </c>
      <c r="J707" s="18">
        <f>J706+I707</f>
        <v>480500.31000000006</v>
      </c>
    </row>
    <row r="708" spans="1:10">
      <c r="B708" s="19"/>
      <c r="C708" s="80"/>
      <c r="D708" s="19"/>
      <c r="E708" s="19"/>
      <c r="F708" s="19">
        <f t="shared" si="177"/>
        <v>0</v>
      </c>
      <c r="G708" s="19"/>
      <c r="H708" s="19">
        <f>E708*G708</f>
        <v>0</v>
      </c>
      <c r="I708" s="19">
        <f>H708*D708</f>
        <v>0</v>
      </c>
      <c r="J708" s="18">
        <f>J707+I708</f>
        <v>480500.31000000006</v>
      </c>
    </row>
    <row r="709" spans="1:10">
      <c r="B709" s="81">
        <v>45784</v>
      </c>
      <c r="C709" s="80" t="s">
        <v>149</v>
      </c>
      <c r="D709" s="19">
        <v>2</v>
      </c>
      <c r="E709" s="19">
        <v>89</v>
      </c>
      <c r="F709" s="19">
        <f t="shared" si="177"/>
        <v>178</v>
      </c>
      <c r="G709" s="19">
        <v>2.13</v>
      </c>
      <c r="H709" s="19">
        <f>E709*G709</f>
        <v>189.57</v>
      </c>
      <c r="I709" s="19">
        <f>H709*D709</f>
        <v>379.14</v>
      </c>
      <c r="J709" s="18">
        <f>J708+I709</f>
        <v>480879.45000000007</v>
      </c>
    </row>
    <row r="710" spans="1:10">
      <c r="B710" s="19"/>
      <c r="C710" s="80"/>
      <c r="D710" s="19"/>
      <c r="E710" s="19"/>
      <c r="F710" s="19">
        <f t="shared" si="177"/>
        <v>0</v>
      </c>
      <c r="G710" s="19"/>
      <c r="H710" s="19">
        <f>E710*G710</f>
        <v>0</v>
      </c>
      <c r="I710" s="19">
        <f>H710*D710</f>
        <v>0</v>
      </c>
      <c r="J710" s="18">
        <f>J709+I710</f>
        <v>480879.45000000007</v>
      </c>
    </row>
    <row r="713" spans="1:10" ht="21">
      <c r="A713" t="s">
        <v>125</v>
      </c>
      <c r="B713" s="1520" t="s">
        <v>35</v>
      </c>
      <c r="C713" s="1520"/>
      <c r="D713" s="1520"/>
      <c r="E713" s="1520"/>
      <c r="F713" s="1520"/>
      <c r="G713" s="1520"/>
      <c r="H713" s="1520"/>
      <c r="I713" s="1520"/>
      <c r="J713" s="1520"/>
    </row>
    <row r="714" spans="1:10" ht="18.75">
      <c r="A714" t="s">
        <v>212</v>
      </c>
      <c r="B714" s="4" t="s">
        <v>1</v>
      </c>
      <c r="C714" s="4" t="s">
        <v>2</v>
      </c>
      <c r="D714" s="4" t="s">
        <v>3</v>
      </c>
      <c r="E714" s="4" t="s">
        <v>4</v>
      </c>
      <c r="F714" s="4" t="s">
        <v>36</v>
      </c>
      <c r="G714" s="4" t="s">
        <v>5</v>
      </c>
      <c r="H714" s="4" t="s">
        <v>6</v>
      </c>
      <c r="I714" s="4" t="s">
        <v>7</v>
      </c>
      <c r="J714" s="4"/>
    </row>
    <row r="715" spans="1:10">
      <c r="B715" s="81">
        <v>45785</v>
      </c>
      <c r="C715" s="80" t="s">
        <v>638</v>
      </c>
      <c r="D715" s="19">
        <v>5</v>
      </c>
      <c r="E715" s="19">
        <v>755</v>
      </c>
      <c r="F715" s="19">
        <f>E715*D715</f>
        <v>3775</v>
      </c>
      <c r="G715" s="19">
        <v>2.13</v>
      </c>
      <c r="H715" s="19">
        <f>E715*G715</f>
        <v>1608.1499999999999</v>
      </c>
      <c r="I715" s="19">
        <f>H715*D715</f>
        <v>8040.7499999999991</v>
      </c>
      <c r="J715" s="18">
        <f>J714+I715</f>
        <v>8040.7499999999991</v>
      </c>
    </row>
    <row r="716" spans="1:10">
      <c r="B716" s="81">
        <v>45785</v>
      </c>
      <c r="C716" s="80" t="s">
        <v>639</v>
      </c>
      <c r="D716" s="19">
        <v>5</v>
      </c>
      <c r="E716" s="19">
        <v>965</v>
      </c>
      <c r="F716" s="19">
        <f t="shared" ref="F716:F723" si="181">E716*D716</f>
        <v>4825</v>
      </c>
      <c r="G716" s="19">
        <v>2.13</v>
      </c>
      <c r="H716" s="19">
        <f t="shared" ref="H716:H723" si="182">E716*G716</f>
        <v>2055.4499999999998</v>
      </c>
      <c r="I716" s="19">
        <f t="shared" ref="I716:I723" si="183">H716*D716</f>
        <v>10277.25</v>
      </c>
      <c r="J716" s="18">
        <f t="shared" ref="J716:J723" si="184">J715+I716</f>
        <v>18318</v>
      </c>
    </row>
    <row r="717" spans="1:10">
      <c r="B717" s="81">
        <v>45785</v>
      </c>
      <c r="C717" s="80" t="s">
        <v>640</v>
      </c>
      <c r="D717" s="19">
        <v>5</v>
      </c>
      <c r="E717" s="19">
        <v>1205</v>
      </c>
      <c r="F717" s="19">
        <f t="shared" si="181"/>
        <v>6025</v>
      </c>
      <c r="G717" s="19">
        <v>2.13</v>
      </c>
      <c r="H717" s="19">
        <f t="shared" si="182"/>
        <v>2566.65</v>
      </c>
      <c r="I717" s="19">
        <f t="shared" si="183"/>
        <v>12833.25</v>
      </c>
      <c r="J717" s="18">
        <f t="shared" si="184"/>
        <v>31151.25</v>
      </c>
    </row>
    <row r="718" spans="1:10">
      <c r="B718" s="19"/>
      <c r="C718" s="80"/>
      <c r="D718" s="19"/>
      <c r="E718" s="19"/>
      <c r="F718" s="19">
        <f t="shared" si="181"/>
        <v>0</v>
      </c>
      <c r="G718" s="19"/>
      <c r="H718" s="19">
        <f t="shared" si="182"/>
        <v>0</v>
      </c>
      <c r="I718" s="19">
        <f t="shared" si="183"/>
        <v>0</v>
      </c>
      <c r="J718" s="18">
        <f t="shared" si="184"/>
        <v>31151.25</v>
      </c>
    </row>
    <row r="719" spans="1:10">
      <c r="B719" s="19"/>
      <c r="C719" s="19"/>
      <c r="D719" s="19"/>
      <c r="E719" s="19"/>
      <c r="F719" s="19">
        <f t="shared" si="181"/>
        <v>0</v>
      </c>
      <c r="G719" s="19"/>
      <c r="H719" s="19">
        <f t="shared" si="182"/>
        <v>0</v>
      </c>
      <c r="I719" s="19">
        <f t="shared" si="183"/>
        <v>0</v>
      </c>
      <c r="J719" s="18">
        <f t="shared" si="184"/>
        <v>31151.25</v>
      </c>
    </row>
    <row r="720" spans="1:10">
      <c r="B720" s="19"/>
      <c r="C720" s="19"/>
      <c r="D720" s="19"/>
      <c r="E720" s="19"/>
      <c r="F720" s="19">
        <f t="shared" si="181"/>
        <v>0</v>
      </c>
      <c r="G720" s="19"/>
      <c r="H720" s="19">
        <f t="shared" si="182"/>
        <v>0</v>
      </c>
      <c r="I720" s="19">
        <f t="shared" si="183"/>
        <v>0</v>
      </c>
      <c r="J720" s="18">
        <f t="shared" si="184"/>
        <v>31151.25</v>
      </c>
    </row>
    <row r="721" spans="1:10">
      <c r="B721" s="19"/>
      <c r="C721" s="19"/>
      <c r="D721" s="19"/>
      <c r="E721" s="19"/>
      <c r="F721" s="19">
        <f t="shared" si="181"/>
        <v>0</v>
      </c>
      <c r="G721" s="19"/>
      <c r="H721" s="19">
        <f t="shared" si="182"/>
        <v>0</v>
      </c>
      <c r="I721" s="19">
        <f t="shared" si="183"/>
        <v>0</v>
      </c>
      <c r="J721" s="18">
        <f t="shared" si="184"/>
        <v>31151.25</v>
      </c>
    </row>
    <row r="722" spans="1:10">
      <c r="B722" s="19"/>
      <c r="C722" s="19"/>
      <c r="D722" s="19"/>
      <c r="E722" s="19"/>
      <c r="F722" s="19">
        <f t="shared" si="181"/>
        <v>0</v>
      </c>
      <c r="G722" s="19"/>
      <c r="H722" s="19">
        <f t="shared" si="182"/>
        <v>0</v>
      </c>
      <c r="I722" s="19">
        <f t="shared" si="183"/>
        <v>0</v>
      </c>
      <c r="J722" s="18">
        <f t="shared" si="184"/>
        <v>31151.25</v>
      </c>
    </row>
    <row r="723" spans="1:10">
      <c r="B723" s="19"/>
      <c r="C723" s="19"/>
      <c r="D723" s="19"/>
      <c r="E723" s="19"/>
      <c r="F723" s="19">
        <f t="shared" si="181"/>
        <v>0</v>
      </c>
      <c r="G723" s="19"/>
      <c r="H723" s="19">
        <f t="shared" si="182"/>
        <v>0</v>
      </c>
      <c r="I723" s="19">
        <f t="shared" si="183"/>
        <v>0</v>
      </c>
      <c r="J723" s="18">
        <f t="shared" si="184"/>
        <v>31151.25</v>
      </c>
    </row>
    <row r="727" spans="1:10" ht="21">
      <c r="A727" t="s">
        <v>125</v>
      </c>
      <c r="B727" s="1520" t="s">
        <v>20</v>
      </c>
      <c r="C727" s="1520"/>
      <c r="D727" s="1520"/>
      <c r="E727" s="1520"/>
      <c r="F727" s="1520"/>
      <c r="G727" s="1520"/>
      <c r="H727" s="1520"/>
      <c r="I727" s="1520"/>
      <c r="J727" s="1520"/>
    </row>
    <row r="728" spans="1:10" ht="18.75">
      <c r="A728" t="s">
        <v>212</v>
      </c>
      <c r="B728" s="4" t="s">
        <v>1</v>
      </c>
      <c r="C728" s="4" t="s">
        <v>2</v>
      </c>
      <c r="D728" s="4" t="s">
        <v>3</v>
      </c>
      <c r="E728" s="4" t="s">
        <v>4</v>
      </c>
      <c r="F728" s="4" t="s">
        <v>36</v>
      </c>
      <c r="G728" s="4" t="s">
        <v>5</v>
      </c>
      <c r="H728" s="4" t="s">
        <v>6</v>
      </c>
      <c r="I728" s="4" t="s">
        <v>7</v>
      </c>
      <c r="J728" s="4"/>
    </row>
    <row r="729" spans="1:10">
      <c r="B729" s="81">
        <v>45780</v>
      </c>
      <c r="C729" s="230" t="s">
        <v>646</v>
      </c>
      <c r="D729" s="19">
        <v>3</v>
      </c>
      <c r="E729" s="145">
        <v>539</v>
      </c>
      <c r="F729" s="19">
        <f>E729*D729</f>
        <v>1617</v>
      </c>
      <c r="G729" s="19">
        <v>2.33</v>
      </c>
      <c r="H729" s="19">
        <f>E729*G729</f>
        <v>1255.8700000000001</v>
      </c>
      <c r="I729" s="19">
        <f>H729*D729</f>
        <v>3767.6100000000006</v>
      </c>
      <c r="J729" s="18">
        <f>J728+I729</f>
        <v>3767.6100000000006</v>
      </c>
    </row>
    <row r="730" spans="1:10">
      <c r="B730" s="81">
        <v>45780</v>
      </c>
      <c r="C730" s="230" t="s">
        <v>647</v>
      </c>
      <c r="D730" s="19">
        <v>2</v>
      </c>
      <c r="E730" s="145">
        <v>520</v>
      </c>
      <c r="F730" s="19">
        <f t="shared" ref="F730:F762" si="185">E730*D730</f>
        <v>1040</v>
      </c>
      <c r="G730" s="19">
        <v>2.33</v>
      </c>
      <c r="H730" s="19">
        <f t="shared" ref="H730:H737" si="186">E730*G730</f>
        <v>1211.6000000000001</v>
      </c>
      <c r="I730" s="19">
        <f t="shared" ref="I730:I737" si="187">H730*D730</f>
        <v>2423.2000000000003</v>
      </c>
      <c r="J730" s="18">
        <f t="shared" ref="J730:J737" si="188">J729+I730</f>
        <v>6190.8100000000013</v>
      </c>
    </row>
    <row r="731" spans="1:10">
      <c r="B731" s="19"/>
      <c r="C731" s="18"/>
      <c r="D731" s="19"/>
      <c r="E731" s="145"/>
      <c r="F731" s="19">
        <f>E731*D731</f>
        <v>0</v>
      </c>
      <c r="G731" s="19"/>
      <c r="H731" s="19">
        <f>E731*G731</f>
        <v>0</v>
      </c>
      <c r="I731" s="19">
        <f>H731*D731</f>
        <v>0</v>
      </c>
      <c r="J731" s="18">
        <f t="shared" si="188"/>
        <v>6190.8100000000013</v>
      </c>
    </row>
    <row r="732" spans="1:10">
      <c r="B732" s="81">
        <v>45785</v>
      </c>
      <c r="C732" s="18" t="s">
        <v>648</v>
      </c>
      <c r="D732" s="19">
        <v>22</v>
      </c>
      <c r="E732" s="145">
        <v>539</v>
      </c>
      <c r="F732" s="19">
        <f>E732*D732</f>
        <v>11858</v>
      </c>
      <c r="G732" s="19">
        <v>2.33</v>
      </c>
      <c r="H732" s="19">
        <f>E732*G732</f>
        <v>1255.8700000000001</v>
      </c>
      <c r="I732" s="19">
        <f>H732*D732</f>
        <v>27629.140000000003</v>
      </c>
      <c r="J732" s="18">
        <f t="shared" si="188"/>
        <v>33819.950000000004</v>
      </c>
    </row>
    <row r="733" spans="1:10">
      <c r="B733" s="19"/>
      <c r="C733" s="19"/>
      <c r="D733" s="19"/>
      <c r="E733" s="19"/>
      <c r="F733" s="19">
        <f t="shared" si="185"/>
        <v>0</v>
      </c>
      <c r="G733" s="19"/>
      <c r="H733" s="19">
        <f t="shared" si="186"/>
        <v>0</v>
      </c>
      <c r="I733" s="19">
        <f t="shared" si="187"/>
        <v>0</v>
      </c>
      <c r="J733" s="18">
        <f t="shared" si="188"/>
        <v>33819.950000000004</v>
      </c>
    </row>
    <row r="734" spans="1:10">
      <c r="B734" s="81">
        <v>45790</v>
      </c>
      <c r="C734" s="230" t="s">
        <v>649</v>
      </c>
      <c r="D734" s="19">
        <v>4</v>
      </c>
      <c r="E734" s="145">
        <v>539</v>
      </c>
      <c r="F734" s="19">
        <f t="shared" si="185"/>
        <v>2156</v>
      </c>
      <c r="G734" s="19">
        <v>2.33</v>
      </c>
      <c r="H734" s="19">
        <f t="shared" si="186"/>
        <v>1255.8700000000001</v>
      </c>
      <c r="I734" s="19">
        <f t="shared" si="187"/>
        <v>5023.4800000000005</v>
      </c>
      <c r="J734" s="18">
        <f t="shared" si="188"/>
        <v>38843.430000000008</v>
      </c>
    </row>
    <row r="735" spans="1:10">
      <c r="B735" s="19"/>
      <c r="C735" s="19"/>
      <c r="D735" s="19"/>
      <c r="E735" s="19"/>
      <c r="F735" s="19">
        <f t="shared" si="185"/>
        <v>0</v>
      </c>
      <c r="G735" s="19"/>
      <c r="H735" s="19">
        <f t="shared" si="186"/>
        <v>0</v>
      </c>
      <c r="I735" s="19">
        <f t="shared" si="187"/>
        <v>0</v>
      </c>
      <c r="J735" s="18">
        <f t="shared" si="188"/>
        <v>38843.430000000008</v>
      </c>
    </row>
    <row r="736" spans="1:10">
      <c r="B736" s="81">
        <v>45793</v>
      </c>
      <c r="C736" s="18" t="s">
        <v>650</v>
      </c>
      <c r="D736" s="19">
        <v>2</v>
      </c>
      <c r="E736" s="145">
        <v>699</v>
      </c>
      <c r="F736" s="19">
        <f t="shared" si="185"/>
        <v>1398</v>
      </c>
      <c r="G736" s="19">
        <v>2.33</v>
      </c>
      <c r="H736" s="19">
        <f t="shared" si="186"/>
        <v>1628.67</v>
      </c>
      <c r="I736" s="19">
        <f t="shared" si="187"/>
        <v>3257.34</v>
      </c>
      <c r="J736" s="18">
        <f t="shared" si="188"/>
        <v>42100.770000000004</v>
      </c>
    </row>
    <row r="737" spans="2:11">
      <c r="B737" s="19"/>
      <c r="C737" s="19"/>
      <c r="D737" s="19"/>
      <c r="E737" s="19"/>
      <c r="F737" s="19">
        <f t="shared" si="185"/>
        <v>0</v>
      </c>
      <c r="G737" s="19"/>
      <c r="H737" s="19">
        <f t="shared" si="186"/>
        <v>0</v>
      </c>
      <c r="I737" s="19">
        <f t="shared" si="187"/>
        <v>0</v>
      </c>
      <c r="J737" s="18">
        <f t="shared" si="188"/>
        <v>42100.770000000004</v>
      </c>
    </row>
    <row r="738" spans="2:11">
      <c r="B738" s="81">
        <v>45793</v>
      </c>
      <c r="C738" s="18" t="s">
        <v>651</v>
      </c>
      <c r="D738" s="19">
        <v>4</v>
      </c>
      <c r="E738" s="145">
        <v>679</v>
      </c>
      <c r="F738" s="19">
        <f t="shared" si="185"/>
        <v>2716</v>
      </c>
      <c r="G738" s="19">
        <v>2.33</v>
      </c>
      <c r="H738" s="19">
        <f t="shared" ref="H738:H743" si="189">E738*G738</f>
        <v>1582.07</v>
      </c>
      <c r="I738" s="19">
        <f t="shared" ref="I738:I743" si="190">H738*D738</f>
        <v>6328.28</v>
      </c>
      <c r="J738" s="18">
        <f t="shared" ref="J738:J743" si="191">J737+I738</f>
        <v>48429.05</v>
      </c>
    </row>
    <row r="739" spans="2:11">
      <c r="B739" s="81">
        <v>45793</v>
      </c>
      <c r="C739" s="18" t="s">
        <v>652</v>
      </c>
      <c r="D739" s="19">
        <v>1</v>
      </c>
      <c r="E739" s="145">
        <v>3748</v>
      </c>
      <c r="F739" s="19">
        <f t="shared" si="185"/>
        <v>3748</v>
      </c>
      <c r="G739" s="19">
        <v>2.33</v>
      </c>
      <c r="H739" s="19">
        <f t="shared" si="189"/>
        <v>8732.84</v>
      </c>
      <c r="I739" s="19">
        <f t="shared" si="190"/>
        <v>8732.84</v>
      </c>
      <c r="J739" s="18">
        <f t="shared" si="191"/>
        <v>57161.89</v>
      </c>
    </row>
    <row r="740" spans="2:11">
      <c r="B740" s="96">
        <v>45793</v>
      </c>
      <c r="C740" s="110" t="s">
        <v>653</v>
      </c>
      <c r="D740" s="127">
        <v>12</v>
      </c>
      <c r="E740" s="146">
        <v>3478</v>
      </c>
      <c r="F740" s="127">
        <f t="shared" si="185"/>
        <v>41736</v>
      </c>
      <c r="G740" s="127">
        <v>2.33</v>
      </c>
      <c r="H740" s="127">
        <f t="shared" si="189"/>
        <v>8103.7400000000007</v>
      </c>
      <c r="I740" s="127">
        <f t="shared" si="190"/>
        <v>97244.88</v>
      </c>
      <c r="J740" s="110">
        <f t="shared" si="191"/>
        <v>154406.77000000002</v>
      </c>
      <c r="K740" t="s">
        <v>656</v>
      </c>
    </row>
    <row r="741" spans="2:11">
      <c r="B741" s="96">
        <v>45793</v>
      </c>
      <c r="C741" s="110" t="s">
        <v>654</v>
      </c>
      <c r="D741" s="127">
        <v>10</v>
      </c>
      <c r="E741" s="146">
        <v>2558</v>
      </c>
      <c r="F741" s="127">
        <f t="shared" si="185"/>
        <v>25580</v>
      </c>
      <c r="G741" s="127">
        <v>2.33</v>
      </c>
      <c r="H741" s="127">
        <f t="shared" si="189"/>
        <v>5960.14</v>
      </c>
      <c r="I741" s="127">
        <f t="shared" si="190"/>
        <v>59601.4</v>
      </c>
      <c r="J741" s="110">
        <f t="shared" si="191"/>
        <v>214008.17</v>
      </c>
      <c r="K741" t="s">
        <v>656</v>
      </c>
    </row>
    <row r="742" spans="2:11">
      <c r="B742" s="81">
        <v>45793</v>
      </c>
      <c r="C742" s="18" t="s">
        <v>655</v>
      </c>
      <c r="D742" s="19">
        <v>3</v>
      </c>
      <c r="E742" s="145">
        <v>98</v>
      </c>
      <c r="F742" s="19">
        <f t="shared" si="185"/>
        <v>294</v>
      </c>
      <c r="G742" s="19">
        <v>2.33</v>
      </c>
      <c r="H742" s="19">
        <f t="shared" si="189"/>
        <v>228.34</v>
      </c>
      <c r="I742" s="19">
        <f t="shared" si="190"/>
        <v>685.02</v>
      </c>
      <c r="J742" s="18">
        <f t="shared" si="191"/>
        <v>214693.19</v>
      </c>
    </row>
    <row r="743" spans="2:11">
      <c r="B743" s="19"/>
      <c r="C743" s="19"/>
      <c r="D743" s="19"/>
      <c r="E743" s="19"/>
      <c r="F743" s="19">
        <f t="shared" si="185"/>
        <v>0</v>
      </c>
      <c r="G743" s="19"/>
      <c r="H743" s="19">
        <f t="shared" si="189"/>
        <v>0</v>
      </c>
      <c r="I743" s="19">
        <f t="shared" si="190"/>
        <v>0</v>
      </c>
      <c r="J743" s="18">
        <f t="shared" si="191"/>
        <v>214693.19</v>
      </c>
    </row>
    <row r="744" spans="2:11">
      <c r="B744" s="81">
        <v>45794</v>
      </c>
      <c r="C744" s="18" t="s">
        <v>657</v>
      </c>
      <c r="D744" s="19">
        <v>3</v>
      </c>
      <c r="E744" s="145">
        <v>355</v>
      </c>
      <c r="F744" s="19">
        <f t="shared" si="185"/>
        <v>1065</v>
      </c>
      <c r="G744" s="19">
        <v>2.33</v>
      </c>
      <c r="H744" s="19">
        <f t="shared" ref="H744:H762" si="192">E744*G744</f>
        <v>827.15</v>
      </c>
      <c r="I744" s="19">
        <f t="shared" ref="I744:I762" si="193">H744*D744</f>
        <v>2481.4499999999998</v>
      </c>
      <c r="J744" s="18">
        <f t="shared" ref="J744:J762" si="194">J743+I744</f>
        <v>217174.64</v>
      </c>
    </row>
    <row r="745" spans="2:11">
      <c r="B745" s="81">
        <v>45794</v>
      </c>
      <c r="C745" s="18" t="s">
        <v>658</v>
      </c>
      <c r="D745" s="19">
        <v>3</v>
      </c>
      <c r="E745" s="145">
        <v>351</v>
      </c>
      <c r="F745" s="19">
        <f t="shared" si="185"/>
        <v>1053</v>
      </c>
      <c r="G745" s="19">
        <v>2.33</v>
      </c>
      <c r="H745" s="19">
        <f t="shared" si="192"/>
        <v>817.83</v>
      </c>
      <c r="I745" s="19">
        <f t="shared" si="193"/>
        <v>2453.4900000000002</v>
      </c>
      <c r="J745" s="18">
        <f t="shared" si="194"/>
        <v>219628.13</v>
      </c>
    </row>
    <row r="746" spans="2:11">
      <c r="B746" s="81">
        <v>45794</v>
      </c>
      <c r="C746" s="18" t="s">
        <v>660</v>
      </c>
      <c r="D746" s="19">
        <v>4</v>
      </c>
      <c r="E746" s="145">
        <v>539</v>
      </c>
      <c r="F746" s="19">
        <f t="shared" si="185"/>
        <v>2156</v>
      </c>
      <c r="G746" s="19">
        <v>2.33</v>
      </c>
      <c r="H746" s="19">
        <f t="shared" si="192"/>
        <v>1255.8700000000001</v>
      </c>
      <c r="I746" s="19">
        <f t="shared" si="193"/>
        <v>5023.4800000000005</v>
      </c>
      <c r="J746" s="18">
        <f t="shared" si="194"/>
        <v>224651.61000000002</v>
      </c>
      <c r="K746" t="s">
        <v>683</v>
      </c>
    </row>
    <row r="747" spans="2:11">
      <c r="B747" s="81">
        <v>45794</v>
      </c>
      <c r="C747" s="18" t="s">
        <v>661</v>
      </c>
      <c r="D747" s="19">
        <v>2</v>
      </c>
      <c r="E747" s="145">
        <v>117</v>
      </c>
      <c r="F747" s="19">
        <f t="shared" si="185"/>
        <v>234</v>
      </c>
      <c r="G747" s="19">
        <v>2.33</v>
      </c>
      <c r="H747" s="19">
        <f t="shared" si="192"/>
        <v>272.61</v>
      </c>
      <c r="I747" s="19">
        <f t="shared" si="193"/>
        <v>545.22</v>
      </c>
      <c r="J747" s="18">
        <f t="shared" si="194"/>
        <v>225196.83000000002</v>
      </c>
    </row>
    <row r="748" spans="2:11">
      <c r="B748" s="81">
        <v>45794</v>
      </c>
      <c r="C748" s="18" t="s">
        <v>659</v>
      </c>
      <c r="D748" s="19">
        <v>1</v>
      </c>
      <c r="E748" s="145">
        <v>377</v>
      </c>
      <c r="F748" s="19">
        <f t="shared" si="185"/>
        <v>377</v>
      </c>
      <c r="G748" s="19">
        <v>2.33</v>
      </c>
      <c r="H748" s="19">
        <f t="shared" si="192"/>
        <v>878.41000000000008</v>
      </c>
      <c r="I748" s="19">
        <f t="shared" si="193"/>
        <v>878.41000000000008</v>
      </c>
      <c r="J748" s="18">
        <f t="shared" si="194"/>
        <v>226075.24000000002</v>
      </c>
    </row>
    <row r="749" spans="2:11">
      <c r="B749" s="19"/>
      <c r="C749" s="80"/>
      <c r="D749" s="19"/>
      <c r="E749" s="19"/>
      <c r="F749" s="19">
        <f t="shared" si="185"/>
        <v>0</v>
      </c>
      <c r="G749" s="19"/>
      <c r="H749" s="19">
        <f t="shared" si="192"/>
        <v>0</v>
      </c>
      <c r="I749" s="19">
        <f t="shared" si="193"/>
        <v>0</v>
      </c>
      <c r="J749" s="18">
        <f t="shared" si="194"/>
        <v>226075.24000000002</v>
      </c>
    </row>
    <row r="750" spans="2:11">
      <c r="B750" s="81">
        <v>45794</v>
      </c>
      <c r="C750" s="80" t="s">
        <v>663</v>
      </c>
      <c r="D750" s="19">
        <v>4</v>
      </c>
      <c r="E750" s="19">
        <v>615</v>
      </c>
      <c r="F750" s="19">
        <f t="shared" si="185"/>
        <v>2460</v>
      </c>
      <c r="G750" s="19">
        <v>2.33</v>
      </c>
      <c r="H750" s="19">
        <f t="shared" si="192"/>
        <v>1432.95</v>
      </c>
      <c r="I750" s="19">
        <f t="shared" si="193"/>
        <v>5731.8</v>
      </c>
      <c r="J750" s="18">
        <f t="shared" si="194"/>
        <v>231807.04</v>
      </c>
    </row>
    <row r="751" spans="2:11">
      <c r="B751" s="81">
        <v>45794</v>
      </c>
      <c r="C751" s="80" t="s">
        <v>664</v>
      </c>
      <c r="D751" s="19">
        <v>2</v>
      </c>
      <c r="E751" s="19">
        <v>351</v>
      </c>
      <c r="F751" s="19">
        <f t="shared" si="185"/>
        <v>702</v>
      </c>
      <c r="G751" s="19">
        <v>2.33</v>
      </c>
      <c r="H751" s="19">
        <f t="shared" si="192"/>
        <v>817.83</v>
      </c>
      <c r="I751" s="19">
        <f t="shared" si="193"/>
        <v>1635.66</v>
      </c>
      <c r="J751" s="18">
        <f t="shared" si="194"/>
        <v>233442.7</v>
      </c>
    </row>
    <row r="752" spans="2:11">
      <c r="B752" s="81">
        <v>45795</v>
      </c>
      <c r="C752" s="80" t="s">
        <v>665</v>
      </c>
      <c r="D752" s="19">
        <v>2</v>
      </c>
      <c r="E752" s="19">
        <v>351</v>
      </c>
      <c r="F752" s="19">
        <f t="shared" si="185"/>
        <v>702</v>
      </c>
      <c r="G752" s="19">
        <v>2.33</v>
      </c>
      <c r="H752" s="19">
        <f t="shared" si="192"/>
        <v>817.83</v>
      </c>
      <c r="I752" s="19">
        <f t="shared" si="193"/>
        <v>1635.66</v>
      </c>
      <c r="J752" s="18">
        <f t="shared" si="194"/>
        <v>235078.36000000002</v>
      </c>
    </row>
    <row r="753" spans="1:10">
      <c r="B753" s="81">
        <v>45795</v>
      </c>
      <c r="C753" s="80" t="s">
        <v>666</v>
      </c>
      <c r="D753" s="19">
        <v>50</v>
      </c>
      <c r="E753" s="19">
        <v>359</v>
      </c>
      <c r="F753" s="19">
        <f t="shared" si="185"/>
        <v>17950</v>
      </c>
      <c r="G753" s="19">
        <v>2.33</v>
      </c>
      <c r="H753" s="19">
        <f t="shared" si="192"/>
        <v>836.47</v>
      </c>
      <c r="I753" s="19">
        <f t="shared" si="193"/>
        <v>41823.5</v>
      </c>
      <c r="J753" s="18">
        <f t="shared" si="194"/>
        <v>276901.86</v>
      </c>
    </row>
    <row r="754" spans="1:10">
      <c r="B754" s="81">
        <v>45795</v>
      </c>
      <c r="C754" s="80" t="s">
        <v>667</v>
      </c>
      <c r="D754" s="19">
        <v>5</v>
      </c>
      <c r="E754" s="19">
        <v>1050</v>
      </c>
      <c r="F754" s="19">
        <f t="shared" si="185"/>
        <v>5250</v>
      </c>
      <c r="G754" s="19">
        <v>2.33</v>
      </c>
      <c r="H754" s="19">
        <f t="shared" si="192"/>
        <v>2446.5</v>
      </c>
      <c r="I754" s="19">
        <f t="shared" si="193"/>
        <v>12232.5</v>
      </c>
      <c r="J754" s="18">
        <f t="shared" si="194"/>
        <v>289134.36</v>
      </c>
    </row>
    <row r="755" spans="1:10">
      <c r="B755" s="81">
        <v>45795</v>
      </c>
      <c r="C755" s="80" t="s">
        <v>668</v>
      </c>
      <c r="D755" s="19">
        <v>5</v>
      </c>
      <c r="E755" s="19">
        <v>1030</v>
      </c>
      <c r="F755" s="19">
        <f t="shared" si="185"/>
        <v>5150</v>
      </c>
      <c r="G755" s="19">
        <v>2.33</v>
      </c>
      <c r="H755" s="19">
        <f t="shared" si="192"/>
        <v>2399.9</v>
      </c>
      <c r="I755" s="19">
        <f t="shared" si="193"/>
        <v>11999.5</v>
      </c>
      <c r="J755" s="18">
        <f t="shared" si="194"/>
        <v>301133.86</v>
      </c>
    </row>
    <row r="756" spans="1:10">
      <c r="B756" s="81">
        <v>45795</v>
      </c>
      <c r="C756" s="80" t="s">
        <v>669</v>
      </c>
      <c r="D756" s="19">
        <v>30</v>
      </c>
      <c r="E756" s="19">
        <v>340</v>
      </c>
      <c r="F756" s="19">
        <f t="shared" si="185"/>
        <v>10200</v>
      </c>
      <c r="G756" s="19">
        <v>2.33</v>
      </c>
      <c r="H756" s="19">
        <f t="shared" si="192"/>
        <v>792.2</v>
      </c>
      <c r="I756" s="19">
        <f t="shared" si="193"/>
        <v>23766</v>
      </c>
      <c r="J756" s="18">
        <f t="shared" si="194"/>
        <v>324899.86</v>
      </c>
    </row>
    <row r="757" spans="1:10">
      <c r="B757" s="19"/>
      <c r="C757" s="80"/>
      <c r="D757" s="19"/>
      <c r="E757" s="19"/>
      <c r="F757" s="19">
        <f t="shared" si="185"/>
        <v>0</v>
      </c>
      <c r="G757" s="19"/>
      <c r="H757" s="19">
        <f t="shared" si="192"/>
        <v>0</v>
      </c>
      <c r="I757" s="19">
        <f t="shared" si="193"/>
        <v>0</v>
      </c>
      <c r="J757" s="18">
        <f t="shared" si="194"/>
        <v>324899.86</v>
      </c>
    </row>
    <row r="758" spans="1:10">
      <c r="B758" s="19"/>
      <c r="C758" s="80"/>
      <c r="D758" s="19"/>
      <c r="E758" s="19"/>
      <c r="F758" s="19">
        <f t="shared" si="185"/>
        <v>0</v>
      </c>
      <c r="G758" s="19"/>
      <c r="H758" s="19">
        <f t="shared" si="192"/>
        <v>0</v>
      </c>
      <c r="I758" s="19">
        <f t="shared" si="193"/>
        <v>0</v>
      </c>
      <c r="J758" s="18">
        <f t="shared" si="194"/>
        <v>324899.86</v>
      </c>
    </row>
    <row r="759" spans="1:10">
      <c r="B759" s="19"/>
      <c r="C759" s="19"/>
      <c r="D759" s="19"/>
      <c r="E759" s="19"/>
      <c r="F759" s="19">
        <f t="shared" si="185"/>
        <v>0</v>
      </c>
      <c r="G759" s="19"/>
      <c r="H759" s="19">
        <f t="shared" si="192"/>
        <v>0</v>
      </c>
      <c r="I759" s="19">
        <f t="shared" si="193"/>
        <v>0</v>
      </c>
      <c r="J759" s="18">
        <f t="shared" si="194"/>
        <v>324899.86</v>
      </c>
    </row>
    <row r="760" spans="1:10">
      <c r="B760" s="19"/>
      <c r="C760" s="19"/>
      <c r="D760" s="19"/>
      <c r="E760" s="19"/>
      <c r="F760" s="19">
        <f t="shared" si="185"/>
        <v>0</v>
      </c>
      <c r="G760" s="19"/>
      <c r="H760" s="19">
        <f t="shared" si="192"/>
        <v>0</v>
      </c>
      <c r="I760" s="19">
        <f t="shared" si="193"/>
        <v>0</v>
      </c>
      <c r="J760" s="18">
        <f t="shared" si="194"/>
        <v>324899.86</v>
      </c>
    </row>
    <row r="761" spans="1:10">
      <c r="B761" s="19"/>
      <c r="C761" s="19"/>
      <c r="D761" s="19"/>
      <c r="E761" s="19"/>
      <c r="F761" s="19">
        <f t="shared" si="185"/>
        <v>0</v>
      </c>
      <c r="G761" s="19"/>
      <c r="H761" s="19">
        <f t="shared" si="192"/>
        <v>0</v>
      </c>
      <c r="I761" s="19">
        <f t="shared" si="193"/>
        <v>0</v>
      </c>
      <c r="J761" s="18">
        <f t="shared" si="194"/>
        <v>324899.86</v>
      </c>
    </row>
    <row r="762" spans="1:10">
      <c r="B762" s="19"/>
      <c r="C762" s="19"/>
      <c r="D762" s="19"/>
      <c r="E762" s="19"/>
      <c r="F762" s="19">
        <f t="shared" si="185"/>
        <v>0</v>
      </c>
      <c r="G762" s="19"/>
      <c r="H762" s="19">
        <f t="shared" si="192"/>
        <v>0</v>
      </c>
      <c r="I762" s="19">
        <f t="shared" si="193"/>
        <v>0</v>
      </c>
      <c r="J762" s="18">
        <f t="shared" si="194"/>
        <v>324899.86</v>
      </c>
    </row>
    <row r="765" spans="1:10" ht="21">
      <c r="A765" t="s">
        <v>125</v>
      </c>
      <c r="B765" s="1520" t="s">
        <v>376</v>
      </c>
      <c r="C765" s="1520"/>
      <c r="D765" s="1520"/>
      <c r="E765" s="1520"/>
      <c r="F765" s="1520"/>
      <c r="G765" s="1520"/>
      <c r="H765" s="1520"/>
      <c r="I765" s="1520"/>
      <c r="J765" s="1520"/>
    </row>
    <row r="766" spans="1:10" ht="18.75">
      <c r="B766" s="4" t="s">
        <v>1</v>
      </c>
      <c r="C766" s="4" t="s">
        <v>2</v>
      </c>
      <c r="D766" s="4" t="s">
        <v>3</v>
      </c>
      <c r="E766" s="4" t="s">
        <v>132</v>
      </c>
      <c r="F766" s="4" t="s">
        <v>133</v>
      </c>
      <c r="G766" s="4" t="s">
        <v>5</v>
      </c>
      <c r="H766" s="4" t="s">
        <v>6</v>
      </c>
      <c r="I766" s="4" t="s">
        <v>7</v>
      </c>
      <c r="J766" s="4"/>
    </row>
    <row r="767" spans="1:10">
      <c r="B767" s="81">
        <v>45806</v>
      </c>
      <c r="C767" s="80" t="s">
        <v>679</v>
      </c>
      <c r="D767" s="19">
        <v>5</v>
      </c>
      <c r="E767" s="19">
        <v>760</v>
      </c>
      <c r="F767" s="19">
        <f>E767*D767</f>
        <v>3800</v>
      </c>
      <c r="G767" s="19">
        <v>3.63</v>
      </c>
      <c r="H767" s="19">
        <f>E767*G767</f>
        <v>2758.7999999999997</v>
      </c>
      <c r="I767" s="19">
        <f>H767*D767</f>
        <v>13793.999999999998</v>
      </c>
      <c r="J767" s="18">
        <f>J766+I767</f>
        <v>13793.999999999998</v>
      </c>
    </row>
    <row r="768" spans="1:10">
      <c r="B768" s="81">
        <v>45806</v>
      </c>
      <c r="C768" s="80" t="s">
        <v>680</v>
      </c>
      <c r="D768" s="19">
        <v>8</v>
      </c>
      <c r="E768" s="19">
        <v>425</v>
      </c>
      <c r="F768" s="19">
        <f t="shared" ref="F768:F775" si="195">E768*D768</f>
        <v>3400</v>
      </c>
      <c r="G768" s="19">
        <v>3.63</v>
      </c>
      <c r="H768" s="19">
        <f t="shared" ref="H768:H775" si="196">E768*G768</f>
        <v>1542.75</v>
      </c>
      <c r="I768" s="19">
        <f t="shared" ref="I768:I775" si="197">H768*D768</f>
        <v>12342</v>
      </c>
      <c r="J768" s="18">
        <f t="shared" ref="J768:J775" si="198">J767+I768</f>
        <v>26136</v>
      </c>
    </row>
    <row r="769" spans="1:10">
      <c r="B769" s="81">
        <v>45806</v>
      </c>
      <c r="C769" s="80" t="s">
        <v>681</v>
      </c>
      <c r="D769" s="19">
        <v>11</v>
      </c>
      <c r="E769" s="19">
        <v>155</v>
      </c>
      <c r="F769" s="19">
        <f t="shared" si="195"/>
        <v>1705</v>
      </c>
      <c r="G769" s="19">
        <v>3.63</v>
      </c>
      <c r="H769" s="19">
        <f t="shared" si="196"/>
        <v>562.65</v>
      </c>
      <c r="I769" s="19">
        <f t="shared" si="197"/>
        <v>6189.15</v>
      </c>
      <c r="J769" s="18">
        <f t="shared" si="198"/>
        <v>32325.15</v>
      </c>
    </row>
    <row r="770" spans="1:10">
      <c r="B770" s="81">
        <v>45806</v>
      </c>
      <c r="C770" s="80" t="s">
        <v>382</v>
      </c>
      <c r="D770" s="19">
        <v>11</v>
      </c>
      <c r="E770" s="19">
        <v>133</v>
      </c>
      <c r="F770" s="19">
        <f t="shared" si="195"/>
        <v>1463</v>
      </c>
      <c r="G770" s="19">
        <v>3.63</v>
      </c>
      <c r="H770" s="19">
        <f t="shared" si="196"/>
        <v>482.78999999999996</v>
      </c>
      <c r="I770" s="19">
        <f t="shared" si="197"/>
        <v>5310.69</v>
      </c>
      <c r="J770" s="18">
        <f t="shared" si="198"/>
        <v>37635.840000000004</v>
      </c>
    </row>
    <row r="771" spans="1:10">
      <c r="B771" s="81">
        <v>45806</v>
      </c>
      <c r="C771" s="80" t="s">
        <v>375</v>
      </c>
      <c r="D771" s="19">
        <v>7</v>
      </c>
      <c r="E771" s="19">
        <v>180</v>
      </c>
      <c r="F771" s="19">
        <f t="shared" si="195"/>
        <v>1260</v>
      </c>
      <c r="G771" s="19">
        <v>3.63</v>
      </c>
      <c r="H771" s="19">
        <f t="shared" si="196"/>
        <v>653.4</v>
      </c>
      <c r="I771" s="19">
        <f t="shared" si="197"/>
        <v>4573.8</v>
      </c>
      <c r="J771" s="18">
        <f t="shared" si="198"/>
        <v>42209.640000000007</v>
      </c>
    </row>
    <row r="772" spans="1:10">
      <c r="B772" s="19"/>
      <c r="C772" s="19"/>
      <c r="D772" s="19"/>
      <c r="E772" s="19"/>
      <c r="F772" s="19">
        <f t="shared" si="195"/>
        <v>0</v>
      </c>
      <c r="G772" s="19"/>
      <c r="H772" s="19">
        <f t="shared" si="196"/>
        <v>0</v>
      </c>
      <c r="I772" s="19">
        <f t="shared" si="197"/>
        <v>0</v>
      </c>
      <c r="J772" s="18">
        <f t="shared" si="198"/>
        <v>42209.640000000007</v>
      </c>
    </row>
    <row r="773" spans="1:10">
      <c r="B773" s="19"/>
      <c r="C773" s="19"/>
      <c r="D773" s="19"/>
      <c r="E773" s="19"/>
      <c r="F773" s="19">
        <f t="shared" si="195"/>
        <v>0</v>
      </c>
      <c r="G773" s="19"/>
      <c r="H773" s="19">
        <f t="shared" si="196"/>
        <v>0</v>
      </c>
      <c r="I773" s="19">
        <f t="shared" si="197"/>
        <v>0</v>
      </c>
      <c r="J773" s="18">
        <f t="shared" si="198"/>
        <v>42209.640000000007</v>
      </c>
    </row>
    <row r="774" spans="1:10">
      <c r="B774" s="19"/>
      <c r="C774" s="19"/>
      <c r="D774" s="19"/>
      <c r="E774" s="19"/>
      <c r="F774" s="19">
        <f t="shared" si="195"/>
        <v>0</v>
      </c>
      <c r="G774" s="19"/>
      <c r="H774" s="19">
        <f t="shared" si="196"/>
        <v>0</v>
      </c>
      <c r="I774" s="19">
        <f t="shared" si="197"/>
        <v>0</v>
      </c>
      <c r="J774" s="18">
        <f t="shared" si="198"/>
        <v>42209.640000000007</v>
      </c>
    </row>
    <row r="775" spans="1:10">
      <c r="B775" s="19"/>
      <c r="C775" s="19"/>
      <c r="D775" s="19"/>
      <c r="E775" s="19"/>
      <c r="F775" s="19">
        <f t="shared" si="195"/>
        <v>0</v>
      </c>
      <c r="G775" s="19"/>
      <c r="H775" s="19">
        <f t="shared" si="196"/>
        <v>0</v>
      </c>
      <c r="I775" s="19">
        <f t="shared" si="197"/>
        <v>0</v>
      </c>
      <c r="J775" s="18">
        <f t="shared" si="198"/>
        <v>42209.640000000007</v>
      </c>
    </row>
    <row r="779" spans="1:10" ht="21">
      <c r="A779" t="s">
        <v>125</v>
      </c>
      <c r="B779" s="1520" t="s">
        <v>35</v>
      </c>
      <c r="C779" s="1520"/>
      <c r="D779" s="1520"/>
      <c r="E779" s="1520"/>
      <c r="F779" s="1520"/>
      <c r="G779" s="1520"/>
      <c r="H779" s="1520"/>
      <c r="I779" s="1520"/>
      <c r="J779" s="1520"/>
    </row>
    <row r="780" spans="1:10" ht="18.75">
      <c r="A780" t="s">
        <v>212</v>
      </c>
      <c r="B780" s="4" t="s">
        <v>1</v>
      </c>
      <c r="C780" s="4" t="s">
        <v>2</v>
      </c>
      <c r="D780" s="4" t="s">
        <v>3</v>
      </c>
      <c r="E780" s="4" t="s">
        <v>146</v>
      </c>
      <c r="F780" s="4" t="s">
        <v>145</v>
      </c>
      <c r="G780" s="4" t="s">
        <v>5</v>
      </c>
      <c r="H780" s="4" t="s">
        <v>6</v>
      </c>
      <c r="I780" s="4" t="s">
        <v>7</v>
      </c>
      <c r="J780" s="4"/>
    </row>
    <row r="781" spans="1:10">
      <c r="B781" s="81">
        <v>45805</v>
      </c>
      <c r="C781" s="80" t="s">
        <v>722</v>
      </c>
      <c r="D781" s="19">
        <v>200</v>
      </c>
      <c r="E781" s="19">
        <v>492</v>
      </c>
      <c r="F781" s="19">
        <f>E781*D781</f>
        <v>98400</v>
      </c>
      <c r="G781" s="19">
        <v>2.13</v>
      </c>
      <c r="H781" s="19">
        <f>E781*G781</f>
        <v>1047.96</v>
      </c>
      <c r="I781" s="19">
        <f>H781*D781</f>
        <v>209592</v>
      </c>
      <c r="J781" s="18">
        <f>J780+I781</f>
        <v>209592</v>
      </c>
    </row>
    <row r="782" spans="1:10">
      <c r="B782" s="81">
        <v>45805</v>
      </c>
      <c r="C782" s="80" t="s">
        <v>723</v>
      </c>
      <c r="D782" s="19">
        <v>100</v>
      </c>
      <c r="E782" s="19">
        <v>329</v>
      </c>
      <c r="F782" s="19">
        <f t="shared" ref="F782:F789" si="199">E782*D782</f>
        <v>32900</v>
      </c>
      <c r="G782" s="19">
        <v>2.13</v>
      </c>
      <c r="H782" s="19">
        <f t="shared" ref="H782:H789" si="200">E782*G782</f>
        <v>700.77</v>
      </c>
      <c r="I782" s="19">
        <f t="shared" ref="I782:I789" si="201">H782*D782</f>
        <v>70077</v>
      </c>
      <c r="J782" s="18">
        <f t="shared" ref="J782:J789" si="202">J781+I782</f>
        <v>279669</v>
      </c>
    </row>
    <row r="783" spans="1:10">
      <c r="B783" s="81">
        <v>45805</v>
      </c>
      <c r="C783" s="80" t="s">
        <v>724</v>
      </c>
      <c r="D783" s="19">
        <v>20</v>
      </c>
      <c r="E783" s="19">
        <v>745</v>
      </c>
      <c r="F783" s="19">
        <f t="shared" si="199"/>
        <v>14900</v>
      </c>
      <c r="G783" s="19">
        <v>2.13</v>
      </c>
      <c r="H783" s="19">
        <f t="shared" si="200"/>
        <v>1586.85</v>
      </c>
      <c r="I783" s="19">
        <f t="shared" si="201"/>
        <v>31737</v>
      </c>
      <c r="J783" s="18">
        <f t="shared" si="202"/>
        <v>311406</v>
      </c>
    </row>
    <row r="784" spans="1:10">
      <c r="B784" s="19"/>
      <c r="C784" s="19"/>
      <c r="D784" s="19"/>
      <c r="E784" s="19"/>
      <c r="F784" s="19">
        <f t="shared" si="199"/>
        <v>0</v>
      </c>
      <c r="G784" s="19"/>
      <c r="H784" s="19">
        <f t="shared" si="200"/>
        <v>0</v>
      </c>
      <c r="I784" s="19">
        <f t="shared" si="201"/>
        <v>0</v>
      </c>
      <c r="J784" s="18">
        <f t="shared" si="202"/>
        <v>311406</v>
      </c>
    </row>
    <row r="785" spans="1:10">
      <c r="B785" s="19"/>
      <c r="C785" s="19"/>
      <c r="D785" s="19"/>
      <c r="E785" s="19"/>
      <c r="F785" s="19">
        <f t="shared" si="199"/>
        <v>0</v>
      </c>
      <c r="G785" s="19"/>
      <c r="H785" s="19">
        <f t="shared" si="200"/>
        <v>0</v>
      </c>
      <c r="I785" s="19">
        <f t="shared" si="201"/>
        <v>0</v>
      </c>
      <c r="J785" s="18">
        <f t="shared" si="202"/>
        <v>311406</v>
      </c>
    </row>
    <row r="786" spans="1:10">
      <c r="B786" s="19"/>
      <c r="C786" s="19"/>
      <c r="D786" s="19"/>
      <c r="E786" s="19"/>
      <c r="F786" s="19">
        <f t="shared" si="199"/>
        <v>0</v>
      </c>
      <c r="G786" s="19"/>
      <c r="H786" s="19">
        <f t="shared" si="200"/>
        <v>0</v>
      </c>
      <c r="I786" s="19">
        <f t="shared" si="201"/>
        <v>0</v>
      </c>
      <c r="J786" s="18">
        <f t="shared" si="202"/>
        <v>311406</v>
      </c>
    </row>
    <row r="787" spans="1:10">
      <c r="B787" s="19"/>
      <c r="C787" s="19"/>
      <c r="D787" s="19"/>
      <c r="E787" s="19"/>
      <c r="F787" s="19">
        <f t="shared" si="199"/>
        <v>0</v>
      </c>
      <c r="G787" s="19"/>
      <c r="H787" s="19">
        <f t="shared" si="200"/>
        <v>0</v>
      </c>
      <c r="I787" s="19">
        <f t="shared" si="201"/>
        <v>0</v>
      </c>
      <c r="J787" s="18">
        <f t="shared" si="202"/>
        <v>311406</v>
      </c>
    </row>
    <row r="788" spans="1:10">
      <c r="B788" s="19"/>
      <c r="C788" s="19"/>
      <c r="D788" s="19"/>
      <c r="E788" s="19"/>
      <c r="F788" s="19">
        <f t="shared" si="199"/>
        <v>0</v>
      </c>
      <c r="G788" s="19"/>
      <c r="H788" s="19">
        <f t="shared" si="200"/>
        <v>0</v>
      </c>
      <c r="I788" s="19">
        <f t="shared" si="201"/>
        <v>0</v>
      </c>
      <c r="J788" s="18">
        <f t="shared" si="202"/>
        <v>311406</v>
      </c>
    </row>
    <row r="789" spans="1:10">
      <c r="B789" s="19"/>
      <c r="C789" s="19"/>
      <c r="D789" s="19"/>
      <c r="E789" s="19"/>
      <c r="F789" s="19">
        <f t="shared" si="199"/>
        <v>0</v>
      </c>
      <c r="G789" s="19"/>
      <c r="H789" s="19">
        <f t="shared" si="200"/>
        <v>0</v>
      </c>
      <c r="I789" s="19">
        <f t="shared" si="201"/>
        <v>0</v>
      </c>
      <c r="J789" s="18">
        <f t="shared" si="202"/>
        <v>311406</v>
      </c>
    </row>
    <row r="792" spans="1:10" ht="21">
      <c r="A792" t="s">
        <v>125</v>
      </c>
      <c r="B792" s="1520" t="s">
        <v>20</v>
      </c>
      <c r="C792" s="1520"/>
      <c r="D792" s="1520"/>
      <c r="E792" s="1520"/>
      <c r="F792" s="1520"/>
      <c r="G792" s="1520"/>
      <c r="H792" s="1520"/>
      <c r="I792" s="1520"/>
      <c r="J792" s="1520"/>
    </row>
    <row r="793" spans="1:10" ht="18.75">
      <c r="A793" t="s">
        <v>212</v>
      </c>
      <c r="B793" s="4" t="s">
        <v>1</v>
      </c>
      <c r="C793" s="4" t="s">
        <v>2</v>
      </c>
      <c r="D793" s="4" t="s">
        <v>3</v>
      </c>
      <c r="E793" s="4" t="s">
        <v>4</v>
      </c>
      <c r="F793" s="4" t="s">
        <v>36</v>
      </c>
      <c r="G793" s="4" t="s">
        <v>5</v>
      </c>
      <c r="H793" s="4" t="s">
        <v>6</v>
      </c>
      <c r="I793" s="4" t="s">
        <v>7</v>
      </c>
      <c r="J793" s="4"/>
    </row>
    <row r="794" spans="1:10">
      <c r="B794" s="81">
        <v>45810</v>
      </c>
      <c r="C794" s="18" t="s">
        <v>725</v>
      </c>
      <c r="D794" s="19">
        <v>200</v>
      </c>
      <c r="E794" s="19">
        <v>330</v>
      </c>
      <c r="F794" s="19">
        <f>E794*D794</f>
        <v>66000</v>
      </c>
      <c r="G794" s="18">
        <v>2.3538999999999999</v>
      </c>
      <c r="H794" s="19">
        <f>E794*G794</f>
        <v>776.78699999999992</v>
      </c>
      <c r="I794" s="19">
        <f>H794*D794</f>
        <v>155357.4</v>
      </c>
      <c r="J794" s="18">
        <f>J793+I794</f>
        <v>155357.4</v>
      </c>
    </row>
    <row r="795" spans="1:10">
      <c r="B795" s="19"/>
      <c r="C795" s="19"/>
      <c r="D795" s="19"/>
      <c r="E795" s="19"/>
      <c r="F795" s="19">
        <f>E795*D795</f>
        <v>0</v>
      </c>
      <c r="G795" s="19"/>
      <c r="H795" s="19">
        <f>E795*G795</f>
        <v>0</v>
      </c>
      <c r="I795" s="19">
        <f>H795*D795</f>
        <v>0</v>
      </c>
      <c r="J795" s="18">
        <f>J794+I795</f>
        <v>155357.4</v>
      </c>
    </row>
    <row r="796" spans="1:10">
      <c r="J796"/>
    </row>
    <row r="797" spans="1:10">
      <c r="J797"/>
    </row>
    <row r="798" spans="1:10">
      <c r="J798"/>
    </row>
    <row r="799" spans="1:10">
      <c r="J799"/>
    </row>
    <row r="800" spans="1:10">
      <c r="J800"/>
    </row>
    <row r="801" spans="1:10">
      <c r="J801"/>
    </row>
    <row r="802" spans="1:10">
      <c r="J802"/>
    </row>
    <row r="806" spans="1:10" ht="21">
      <c r="A806" t="s">
        <v>125</v>
      </c>
      <c r="B806" s="1520" t="s">
        <v>376</v>
      </c>
      <c r="C806" s="1520"/>
      <c r="D806" s="1520"/>
      <c r="E806" s="1520"/>
      <c r="F806" s="1520"/>
      <c r="G806" s="1520"/>
      <c r="H806" s="1520"/>
      <c r="I806" s="1520"/>
      <c r="J806" s="1520"/>
    </row>
    <row r="807" spans="1:10" ht="18.75">
      <c r="B807" s="4" t="s">
        <v>1</v>
      </c>
      <c r="C807" s="4" t="s">
        <v>2</v>
      </c>
      <c r="D807" s="4" t="s">
        <v>3</v>
      </c>
      <c r="E807" s="4" t="s">
        <v>132</v>
      </c>
      <c r="F807" s="4" t="s">
        <v>133</v>
      </c>
      <c r="G807" s="4" t="s">
        <v>5</v>
      </c>
      <c r="H807" s="4" t="s">
        <v>6</v>
      </c>
      <c r="I807" s="4" t="s">
        <v>7</v>
      </c>
      <c r="J807" s="4"/>
    </row>
    <row r="808" spans="1:10">
      <c r="B808" s="81">
        <v>45818</v>
      </c>
      <c r="C808" s="80" t="s">
        <v>727</v>
      </c>
      <c r="D808" s="19">
        <v>76</v>
      </c>
      <c r="E808" s="19">
        <v>220</v>
      </c>
      <c r="F808" s="19">
        <f>E808*D808</f>
        <v>16720</v>
      </c>
      <c r="G808" s="19">
        <v>3.61</v>
      </c>
      <c r="H808" s="19">
        <f>E808*G808</f>
        <v>794.19999999999993</v>
      </c>
      <c r="I808" s="19">
        <f>H808*D808</f>
        <v>60359.199999999997</v>
      </c>
      <c r="J808" s="18">
        <f>J807+I808</f>
        <v>60359.199999999997</v>
      </c>
    </row>
    <row r="809" spans="1:10">
      <c r="B809" s="81"/>
      <c r="C809" s="80"/>
      <c r="D809" s="19"/>
      <c r="E809" s="19"/>
      <c r="F809" s="19">
        <f>E809*D809</f>
        <v>0</v>
      </c>
      <c r="G809" s="19"/>
      <c r="H809" s="19">
        <f>E809*G809</f>
        <v>0</v>
      </c>
      <c r="I809" s="19">
        <f>H809*D809</f>
        <v>0</v>
      </c>
      <c r="J809" s="18">
        <f>J808+I809</f>
        <v>60359.199999999997</v>
      </c>
    </row>
    <row r="810" spans="1:10">
      <c r="B810" s="107"/>
      <c r="C810" s="95"/>
      <c r="J810"/>
    </row>
    <row r="811" spans="1:10">
      <c r="B811" s="107"/>
      <c r="C811" s="95"/>
      <c r="J811"/>
    </row>
    <row r="812" spans="1:10">
      <c r="B812" s="107"/>
      <c r="C812" s="95"/>
      <c r="J812"/>
    </row>
    <row r="813" spans="1:10">
      <c r="J813"/>
    </row>
    <row r="814" spans="1:10">
      <c r="J814"/>
    </row>
    <row r="815" spans="1:10">
      <c r="J815"/>
    </row>
    <row r="816" spans="1:10">
      <c r="J816"/>
    </row>
    <row r="820" spans="1:10" ht="21">
      <c r="A820" t="s">
        <v>125</v>
      </c>
      <c r="B820" s="1520" t="s">
        <v>35</v>
      </c>
      <c r="C820" s="1520"/>
      <c r="D820" s="1520"/>
      <c r="E820" s="1520"/>
      <c r="F820" s="1520"/>
      <c r="G820" s="1520"/>
      <c r="H820" s="1520"/>
      <c r="I820" s="1520"/>
      <c r="J820" s="1520"/>
    </row>
    <row r="821" spans="1:10" ht="18.75">
      <c r="A821" t="s">
        <v>212</v>
      </c>
      <c r="B821" s="4" t="s">
        <v>1</v>
      </c>
      <c r="C821" s="4" t="s">
        <v>2</v>
      </c>
      <c r="D821" s="4" t="s">
        <v>3</v>
      </c>
      <c r="E821" s="4" t="s">
        <v>146</v>
      </c>
      <c r="F821" s="4" t="s">
        <v>145</v>
      </c>
      <c r="G821" s="4" t="s">
        <v>5</v>
      </c>
      <c r="H821" s="4" t="s">
        <v>6</v>
      </c>
      <c r="I821" s="4" t="s">
        <v>7</v>
      </c>
      <c r="J821" s="4"/>
    </row>
    <row r="822" spans="1:10">
      <c r="B822" s="81">
        <v>45813</v>
      </c>
      <c r="C822" s="80" t="s">
        <v>722</v>
      </c>
      <c r="D822" s="19">
        <v>300</v>
      </c>
      <c r="E822" s="19">
        <v>492</v>
      </c>
      <c r="F822" s="19">
        <f>E822*D822</f>
        <v>147600</v>
      </c>
      <c r="G822" s="19">
        <v>2.13</v>
      </c>
      <c r="H822" s="19">
        <f>E822*G822</f>
        <v>1047.96</v>
      </c>
      <c r="I822" s="19">
        <f>H822*D822</f>
        <v>314388</v>
      </c>
      <c r="J822" s="18">
        <f>J821+I822</f>
        <v>314388</v>
      </c>
    </row>
    <row r="823" spans="1:10">
      <c r="B823" s="81">
        <v>45813</v>
      </c>
      <c r="C823" s="80" t="s">
        <v>728</v>
      </c>
      <c r="D823" s="19">
        <v>250</v>
      </c>
      <c r="E823" s="19">
        <v>149</v>
      </c>
      <c r="F823" s="19">
        <f>E823*D823</f>
        <v>37250</v>
      </c>
      <c r="G823" s="19">
        <v>2.13</v>
      </c>
      <c r="H823" s="19">
        <f>E823*G823</f>
        <v>317.37</v>
      </c>
      <c r="I823" s="19">
        <f>H823*D823</f>
        <v>79342.5</v>
      </c>
      <c r="J823" s="18">
        <f>J822+I823</f>
        <v>393730.5</v>
      </c>
    </row>
    <row r="824" spans="1:10">
      <c r="B824" s="81"/>
      <c r="C824" s="80"/>
      <c r="D824" s="19"/>
      <c r="E824" s="19"/>
      <c r="F824" s="19">
        <f>E824*D824</f>
        <v>0</v>
      </c>
      <c r="G824" s="19"/>
      <c r="H824" s="19">
        <f>E824*G824</f>
        <v>0</v>
      </c>
      <c r="I824" s="19">
        <f>H824*D824</f>
        <v>0</v>
      </c>
      <c r="J824" s="18">
        <f>J823+I824</f>
        <v>393730.5</v>
      </c>
    </row>
    <row r="825" spans="1:10">
      <c r="J825"/>
    </row>
    <row r="826" spans="1:10" ht="21">
      <c r="B826" s="1520" t="s">
        <v>903</v>
      </c>
      <c r="C826" s="1520"/>
      <c r="D826" s="1520"/>
      <c r="E826" s="1520"/>
      <c r="F826" s="1520"/>
      <c r="G826" s="1520"/>
      <c r="H826" s="1520"/>
      <c r="I826" s="1520"/>
      <c r="J826" s="1520"/>
    </row>
    <row r="827" spans="1:10" ht="18.75">
      <c r="A827" t="s">
        <v>212</v>
      </c>
      <c r="B827" s="4" t="s">
        <v>1</v>
      </c>
      <c r="C827" s="4" t="s">
        <v>2</v>
      </c>
      <c r="D827" s="4" t="s">
        <v>3</v>
      </c>
      <c r="E827" s="4" t="s">
        <v>146</v>
      </c>
      <c r="F827" s="4" t="s">
        <v>145</v>
      </c>
      <c r="G827" s="4" t="s">
        <v>5</v>
      </c>
      <c r="H827" s="4" t="s">
        <v>6</v>
      </c>
      <c r="I827" s="4" t="s">
        <v>7</v>
      </c>
      <c r="J827" s="4"/>
    </row>
    <row r="828" spans="1:10">
      <c r="B828" s="81">
        <v>45831</v>
      </c>
      <c r="C828" s="80" t="s">
        <v>902</v>
      </c>
      <c r="D828" s="19">
        <v>3</v>
      </c>
      <c r="E828" s="19">
        <v>550</v>
      </c>
      <c r="F828" s="19">
        <f>E828*D828</f>
        <v>1650</v>
      </c>
      <c r="G828" s="19">
        <v>2.12</v>
      </c>
      <c r="H828" s="19">
        <f>E828*G828</f>
        <v>1166</v>
      </c>
      <c r="I828" s="19">
        <f>H828*D828</f>
        <v>3498</v>
      </c>
      <c r="J828" s="18">
        <f>J827+I828</f>
        <v>3498</v>
      </c>
    </row>
    <row r="829" spans="1:10">
      <c r="B829" s="81"/>
      <c r="C829" s="80"/>
      <c r="D829" s="19"/>
      <c r="E829" s="19"/>
      <c r="F829" s="19">
        <f>E829*D829</f>
        <v>0</v>
      </c>
      <c r="G829" s="19">
        <v>2.13</v>
      </c>
      <c r="H829" s="19">
        <f>E829*G829</f>
        <v>0</v>
      </c>
      <c r="I829" s="19">
        <f>H829*D829</f>
        <v>0</v>
      </c>
      <c r="J829" s="18">
        <f>J828+I829</f>
        <v>3498</v>
      </c>
    </row>
    <row r="830" spans="1:10">
      <c r="J830"/>
    </row>
    <row r="832" spans="1:10" ht="21">
      <c r="A832" t="s">
        <v>125</v>
      </c>
      <c r="B832" s="1520" t="s">
        <v>35</v>
      </c>
      <c r="C832" s="1520"/>
      <c r="D832" s="1520"/>
      <c r="E832" s="1520"/>
      <c r="F832" s="1520"/>
      <c r="G832" s="1520"/>
      <c r="H832" s="1520"/>
      <c r="I832" s="1520"/>
      <c r="J832" s="1520"/>
    </row>
    <row r="833" spans="1:10" ht="18.75">
      <c r="A833" t="s">
        <v>212</v>
      </c>
      <c r="B833" s="4" t="s">
        <v>1</v>
      </c>
      <c r="C833" s="4" t="s">
        <v>2</v>
      </c>
      <c r="D833" s="4" t="s">
        <v>3</v>
      </c>
      <c r="E833" s="4" t="s">
        <v>146</v>
      </c>
      <c r="F833" s="4" t="s">
        <v>145</v>
      </c>
      <c r="G833" s="4" t="s">
        <v>5</v>
      </c>
      <c r="H833" s="4" t="s">
        <v>6</v>
      </c>
      <c r="I833" s="4" t="s">
        <v>7</v>
      </c>
      <c r="J833" s="4"/>
    </row>
    <row r="834" spans="1:10">
      <c r="B834" s="81">
        <v>45831</v>
      </c>
      <c r="C834" s="80" t="s">
        <v>778</v>
      </c>
      <c r="D834" s="19">
        <v>4</v>
      </c>
      <c r="E834" s="19">
        <v>775</v>
      </c>
      <c r="F834" s="19">
        <f>E834*D834</f>
        <v>3100</v>
      </c>
      <c r="G834" s="19">
        <v>2.23</v>
      </c>
      <c r="H834" s="19">
        <f>E834*G834</f>
        <v>1728.25</v>
      </c>
      <c r="I834" s="19">
        <f>H834*D834</f>
        <v>6913</v>
      </c>
      <c r="J834" s="18">
        <f>J833+I834</f>
        <v>6913</v>
      </c>
    </row>
    <row r="835" spans="1:10">
      <c r="B835" s="81"/>
      <c r="C835" s="80"/>
      <c r="D835" s="19"/>
      <c r="E835" s="19"/>
      <c r="F835" s="19">
        <f>E835*D835</f>
        <v>0</v>
      </c>
      <c r="G835" s="19">
        <v>2.13</v>
      </c>
      <c r="H835" s="19">
        <f>E835*G835</f>
        <v>0</v>
      </c>
      <c r="I835" s="19">
        <f>H835*D835</f>
        <v>0</v>
      </c>
      <c r="J835" s="18">
        <f>J834+I835</f>
        <v>6913</v>
      </c>
    </row>
    <row r="836" spans="1:10">
      <c r="B836" s="107"/>
      <c r="C836" s="95"/>
      <c r="J836"/>
    </row>
    <row r="837" spans="1:10">
      <c r="J837"/>
    </row>
    <row r="838" spans="1:10" ht="21">
      <c r="A838" t="s">
        <v>125</v>
      </c>
      <c r="B838" s="1520" t="s">
        <v>20</v>
      </c>
      <c r="C838" s="1520"/>
      <c r="D838" s="1520"/>
      <c r="E838" s="1520"/>
      <c r="F838" s="1520"/>
      <c r="G838" s="1520"/>
      <c r="H838" s="1520"/>
      <c r="I838" s="1520"/>
      <c r="J838" s="1520"/>
    </row>
    <row r="839" spans="1:10" ht="18.75">
      <c r="A839" t="s">
        <v>212</v>
      </c>
      <c r="B839" s="4" t="s">
        <v>1</v>
      </c>
      <c r="C839" s="4" t="s">
        <v>2</v>
      </c>
      <c r="D839" s="4" t="s">
        <v>3</v>
      </c>
      <c r="E839" s="4" t="s">
        <v>4</v>
      </c>
      <c r="F839" s="4" t="s">
        <v>36</v>
      </c>
      <c r="G839" s="4" t="s">
        <v>5</v>
      </c>
      <c r="H839" s="4" t="s">
        <v>6</v>
      </c>
      <c r="I839" s="4" t="s">
        <v>7</v>
      </c>
      <c r="J839" s="4"/>
    </row>
    <row r="840" spans="1:10">
      <c r="B840" s="81">
        <v>45830</v>
      </c>
      <c r="C840" s="230" t="s">
        <v>779</v>
      </c>
      <c r="D840" s="19">
        <v>3</v>
      </c>
      <c r="E840" s="145">
        <v>1129</v>
      </c>
      <c r="F840" s="19">
        <f>E840*D840</f>
        <v>3387</v>
      </c>
      <c r="G840" s="19">
        <v>2.3614999999999999</v>
      </c>
      <c r="H840" s="19">
        <f>E840*G840</f>
        <v>2666.1334999999999</v>
      </c>
      <c r="I840" s="19">
        <f>H840*D840</f>
        <v>7998.4004999999997</v>
      </c>
      <c r="J840" s="18">
        <f>J839+I840</f>
        <v>7998.4004999999997</v>
      </c>
    </row>
    <row r="841" spans="1:10">
      <c r="B841" s="81">
        <v>45830</v>
      </c>
      <c r="C841" s="230" t="s">
        <v>779</v>
      </c>
      <c r="D841" s="19">
        <v>3</v>
      </c>
      <c r="E841" s="145">
        <v>1033</v>
      </c>
      <c r="F841" s="19">
        <f t="shared" ref="F841:F850" si="203">E841*D841</f>
        <v>3099</v>
      </c>
      <c r="G841" s="19">
        <v>2.3614999999999999</v>
      </c>
      <c r="H841" s="19">
        <f t="shared" ref="H841:H848" si="204">E841*G841</f>
        <v>2439.4294999999997</v>
      </c>
      <c r="I841" s="19">
        <f t="shared" ref="I841:I848" si="205">H841*D841</f>
        <v>7318.2884999999987</v>
      </c>
      <c r="J841" s="18">
        <f t="shared" ref="J841:J848" si="206">J840+I841</f>
        <v>15316.688999999998</v>
      </c>
    </row>
    <row r="842" spans="1:10">
      <c r="B842" s="81">
        <v>45830</v>
      </c>
      <c r="C842" s="230" t="s">
        <v>780</v>
      </c>
      <c r="D842" s="19">
        <v>3</v>
      </c>
      <c r="E842" s="145">
        <v>751</v>
      </c>
      <c r="F842" s="19">
        <f t="shared" si="203"/>
        <v>2253</v>
      </c>
      <c r="G842" s="19">
        <v>2.3614999999999999</v>
      </c>
      <c r="H842" s="19">
        <f t="shared" si="204"/>
        <v>1773.4865</v>
      </c>
      <c r="I842" s="19">
        <f t="shared" si="205"/>
        <v>5320.4594999999999</v>
      </c>
      <c r="J842" s="18">
        <f t="shared" si="206"/>
        <v>20637.148499999999</v>
      </c>
    </row>
    <row r="843" spans="1:10">
      <c r="B843" s="81">
        <v>45830</v>
      </c>
      <c r="C843" s="18" t="s">
        <v>781</v>
      </c>
      <c r="D843" s="305">
        <v>5</v>
      </c>
      <c r="E843" s="145">
        <v>679</v>
      </c>
      <c r="F843" s="19">
        <f t="shared" si="203"/>
        <v>3395</v>
      </c>
      <c r="G843" s="19">
        <v>2.3614999999999999</v>
      </c>
      <c r="H843" s="19">
        <f t="shared" si="204"/>
        <v>1603.4585</v>
      </c>
      <c r="I843" s="19">
        <f t="shared" si="205"/>
        <v>8017.2924999999996</v>
      </c>
      <c r="J843" s="18">
        <f t="shared" si="206"/>
        <v>28654.440999999999</v>
      </c>
    </row>
    <row r="844" spans="1:10">
      <c r="B844" s="81">
        <v>45830</v>
      </c>
      <c r="C844" s="18" t="s">
        <v>782</v>
      </c>
      <c r="D844" s="19">
        <v>3</v>
      </c>
      <c r="E844" s="145">
        <v>348</v>
      </c>
      <c r="F844" s="19">
        <f t="shared" si="203"/>
        <v>1044</v>
      </c>
      <c r="G844" s="19">
        <v>2.3614999999999999</v>
      </c>
      <c r="H844" s="19">
        <f t="shared" si="204"/>
        <v>821.80200000000002</v>
      </c>
      <c r="I844" s="19">
        <f t="shared" si="205"/>
        <v>2465.4059999999999</v>
      </c>
      <c r="J844" s="18">
        <f t="shared" si="206"/>
        <v>31119.846999999998</v>
      </c>
    </row>
    <row r="845" spans="1:10">
      <c r="B845" s="81">
        <v>45830</v>
      </c>
      <c r="C845" s="18" t="s">
        <v>783</v>
      </c>
      <c r="D845" s="305">
        <v>3</v>
      </c>
      <c r="E845" s="145">
        <v>2834</v>
      </c>
      <c r="F845" s="19">
        <f t="shared" si="203"/>
        <v>8502</v>
      </c>
      <c r="G845" s="19">
        <v>2.3614999999999999</v>
      </c>
      <c r="H845" s="19">
        <f t="shared" si="204"/>
        <v>6692.491</v>
      </c>
      <c r="I845" s="19">
        <f t="shared" si="205"/>
        <v>20077.472999999998</v>
      </c>
      <c r="J845" s="18">
        <f t="shared" si="206"/>
        <v>51197.319999999992</v>
      </c>
    </row>
    <row r="846" spans="1:10">
      <c r="B846" s="81">
        <v>45830</v>
      </c>
      <c r="C846" s="18" t="s">
        <v>784</v>
      </c>
      <c r="D846" s="19">
        <v>2</v>
      </c>
      <c r="E846" s="145">
        <v>3694</v>
      </c>
      <c r="F846" s="19">
        <f t="shared" si="203"/>
        <v>7388</v>
      </c>
      <c r="G846" s="19">
        <v>2.3614999999999999</v>
      </c>
      <c r="H846" s="19">
        <f t="shared" si="204"/>
        <v>8723.3809999999994</v>
      </c>
      <c r="I846" s="19">
        <f t="shared" si="205"/>
        <v>17446.761999999999</v>
      </c>
      <c r="J846" s="18">
        <f t="shared" si="206"/>
        <v>68644.081999999995</v>
      </c>
    </row>
    <row r="847" spans="1:10">
      <c r="B847" s="81">
        <v>45830</v>
      </c>
      <c r="C847" s="18" t="s">
        <v>785</v>
      </c>
      <c r="D847" s="19">
        <v>6</v>
      </c>
      <c r="E847" s="145">
        <v>2558</v>
      </c>
      <c r="F847" s="19">
        <f t="shared" si="203"/>
        <v>15348</v>
      </c>
      <c r="G847" s="19">
        <v>2.3614999999999999</v>
      </c>
      <c r="H847" s="19">
        <f t="shared" si="204"/>
        <v>6040.7169999999996</v>
      </c>
      <c r="I847" s="19">
        <f t="shared" si="205"/>
        <v>36244.301999999996</v>
      </c>
      <c r="J847" s="18">
        <f t="shared" si="206"/>
        <v>104888.38399999999</v>
      </c>
    </row>
    <row r="848" spans="1:10">
      <c r="B848" s="81">
        <v>45830</v>
      </c>
      <c r="C848" s="18" t="s">
        <v>786</v>
      </c>
      <c r="D848" s="19">
        <v>6</v>
      </c>
      <c r="E848" s="145">
        <v>3478</v>
      </c>
      <c r="F848" s="19">
        <f t="shared" si="203"/>
        <v>20868</v>
      </c>
      <c r="G848" s="19">
        <v>2.3614999999999999</v>
      </c>
      <c r="H848" s="19">
        <f t="shared" si="204"/>
        <v>8213.2970000000005</v>
      </c>
      <c r="I848" s="19">
        <f t="shared" si="205"/>
        <v>49279.782000000007</v>
      </c>
      <c r="J848" s="18">
        <f t="shared" si="206"/>
        <v>154168.166</v>
      </c>
    </row>
    <row r="849" spans="1:10">
      <c r="B849" s="81">
        <v>45830</v>
      </c>
      <c r="C849" s="18" t="s">
        <v>787</v>
      </c>
      <c r="D849" s="19">
        <v>6</v>
      </c>
      <c r="E849" s="145">
        <v>3750</v>
      </c>
      <c r="F849" s="19">
        <f t="shared" si="203"/>
        <v>22500</v>
      </c>
      <c r="G849" s="19">
        <v>2.3614999999999999</v>
      </c>
      <c r="H849" s="19">
        <f>E849*G849</f>
        <v>8855.625</v>
      </c>
      <c r="I849" s="19">
        <f>H849*D849</f>
        <v>53133.75</v>
      </c>
      <c r="J849" s="18">
        <f>J848+I849</f>
        <v>207301.916</v>
      </c>
    </row>
    <row r="850" spans="1:10">
      <c r="B850" s="81">
        <v>45830</v>
      </c>
      <c r="C850" s="18" t="s">
        <v>788</v>
      </c>
      <c r="D850" s="19">
        <v>8</v>
      </c>
      <c r="E850" s="145">
        <v>2885</v>
      </c>
      <c r="F850" s="19">
        <f t="shared" si="203"/>
        <v>23080</v>
      </c>
      <c r="G850" s="19">
        <v>2.3614999999999999</v>
      </c>
      <c r="H850" s="19">
        <f>E850*G850</f>
        <v>6812.9274999999998</v>
      </c>
      <c r="I850" s="19">
        <f>H850*D850</f>
        <v>54503.42</v>
      </c>
      <c r="J850" s="18">
        <f>J849+I850</f>
        <v>261805.33600000001</v>
      </c>
    </row>
    <row r="852" spans="1:10" ht="21">
      <c r="A852" t="s">
        <v>125</v>
      </c>
      <c r="B852" s="1520" t="s">
        <v>20</v>
      </c>
      <c r="C852" s="1520"/>
      <c r="D852" s="1520"/>
      <c r="E852" s="1520"/>
      <c r="F852" s="1520"/>
      <c r="G852" s="1520"/>
      <c r="H852" s="1520"/>
      <c r="I852" s="1520"/>
      <c r="J852" s="1520"/>
    </row>
    <row r="853" spans="1:10" ht="18.75">
      <c r="A853" t="s">
        <v>212</v>
      </c>
      <c r="B853" s="4" t="s">
        <v>1</v>
      </c>
      <c r="C853" s="4" t="s">
        <v>2</v>
      </c>
      <c r="D853" s="4" t="s">
        <v>3</v>
      </c>
      <c r="E853" s="4" t="s">
        <v>4</v>
      </c>
      <c r="F853" s="4" t="s">
        <v>36</v>
      </c>
      <c r="G853" s="4" t="s">
        <v>5</v>
      </c>
      <c r="H853" s="4" t="s">
        <v>6</v>
      </c>
      <c r="I853" s="4" t="s">
        <v>7</v>
      </c>
      <c r="J853" s="4"/>
    </row>
    <row r="854" spans="1:10">
      <c r="B854" s="81">
        <v>45826</v>
      </c>
      <c r="C854" s="18" t="s">
        <v>790</v>
      </c>
      <c r="D854" s="19">
        <v>32</v>
      </c>
      <c r="E854" s="145">
        <v>629</v>
      </c>
      <c r="F854" s="19">
        <f>E854*D854</f>
        <v>20128</v>
      </c>
      <c r="G854" s="19">
        <v>2.3614999999999999</v>
      </c>
      <c r="H854" s="19">
        <f>E854*G854</f>
        <v>1485.3834999999999</v>
      </c>
      <c r="I854" s="19">
        <f>H854*D854</f>
        <v>47532.271999999997</v>
      </c>
      <c r="J854" s="18">
        <f>J853+I854</f>
        <v>47532.271999999997</v>
      </c>
    </row>
    <row r="855" spans="1:10">
      <c r="B855" s="81">
        <v>45826</v>
      </c>
      <c r="C855" s="18" t="s">
        <v>791</v>
      </c>
      <c r="D855" s="19">
        <v>1</v>
      </c>
      <c r="E855" s="145">
        <v>75</v>
      </c>
      <c r="F855" s="19">
        <f t="shared" ref="F855:F862" si="207">E855*D855</f>
        <v>75</v>
      </c>
      <c r="G855" s="19">
        <v>2.3614999999999999</v>
      </c>
      <c r="H855" s="19">
        <f t="shared" ref="H855:H862" si="208">E855*G855</f>
        <v>177.11249999999998</v>
      </c>
      <c r="I855" s="19">
        <f t="shared" ref="I855:I862" si="209">H855*D855</f>
        <v>177.11249999999998</v>
      </c>
      <c r="J855" s="18">
        <f t="shared" ref="J855:J862" si="210">J854+I855</f>
        <v>47709.3845</v>
      </c>
    </row>
    <row r="856" spans="1:10">
      <c r="B856" s="96">
        <v>45826</v>
      </c>
      <c r="C856" s="110" t="s">
        <v>792</v>
      </c>
      <c r="D856" s="127">
        <v>1</v>
      </c>
      <c r="E856" s="146">
        <v>615</v>
      </c>
      <c r="F856" s="127">
        <f t="shared" si="207"/>
        <v>615</v>
      </c>
      <c r="G856" s="127">
        <v>2.3614999999999999</v>
      </c>
      <c r="H856" s="127">
        <f t="shared" si="208"/>
        <v>1452.3225</v>
      </c>
      <c r="I856" s="127">
        <f t="shared" si="209"/>
        <v>1452.3225</v>
      </c>
      <c r="J856" s="110">
        <f t="shared" si="210"/>
        <v>49161.707000000002</v>
      </c>
    </row>
    <row r="857" spans="1:10">
      <c r="B857" s="81">
        <v>45826</v>
      </c>
      <c r="C857" s="18" t="s">
        <v>793</v>
      </c>
      <c r="D857" s="19">
        <v>2</v>
      </c>
      <c r="E857" s="145">
        <v>629</v>
      </c>
      <c r="F857" s="19">
        <f t="shared" si="207"/>
        <v>1258</v>
      </c>
      <c r="G857" s="19">
        <v>2.3614999999999999</v>
      </c>
      <c r="H857" s="19">
        <f t="shared" si="208"/>
        <v>1485.3834999999999</v>
      </c>
      <c r="I857" s="19">
        <f t="shared" si="209"/>
        <v>2970.7669999999998</v>
      </c>
      <c r="J857" s="18">
        <f t="shared" si="210"/>
        <v>52132.474000000002</v>
      </c>
    </row>
    <row r="858" spans="1:10">
      <c r="B858" s="81">
        <v>45826</v>
      </c>
      <c r="C858" s="18" t="s">
        <v>794</v>
      </c>
      <c r="D858" s="19">
        <v>1</v>
      </c>
      <c r="E858" s="145">
        <v>615</v>
      </c>
      <c r="F858" s="19">
        <f t="shared" si="207"/>
        <v>615</v>
      </c>
      <c r="G858" s="19">
        <v>2.3614999999999999</v>
      </c>
      <c r="H858" s="19">
        <f t="shared" si="208"/>
        <v>1452.3225</v>
      </c>
      <c r="I858" s="19">
        <f t="shared" si="209"/>
        <v>1452.3225</v>
      </c>
      <c r="J858" s="18">
        <f t="shared" si="210"/>
        <v>53584.796500000004</v>
      </c>
    </row>
    <row r="859" spans="1:10">
      <c r="B859" s="81">
        <v>45826</v>
      </c>
      <c r="C859" s="18" t="s">
        <v>795</v>
      </c>
      <c r="D859" s="19">
        <v>4</v>
      </c>
      <c r="E859" s="145">
        <v>648</v>
      </c>
      <c r="F859" s="19">
        <f t="shared" si="207"/>
        <v>2592</v>
      </c>
      <c r="G859" s="19">
        <v>2.3614999999999999</v>
      </c>
      <c r="H859" s="19">
        <f t="shared" si="208"/>
        <v>1530.252</v>
      </c>
      <c r="I859" s="19">
        <f t="shared" si="209"/>
        <v>6121.0079999999998</v>
      </c>
      <c r="J859" s="18">
        <f t="shared" si="210"/>
        <v>59705.804500000006</v>
      </c>
    </row>
    <row r="860" spans="1:10">
      <c r="B860" s="96">
        <v>45826</v>
      </c>
      <c r="C860" s="110" t="s">
        <v>796</v>
      </c>
      <c r="D860" s="127">
        <v>1</v>
      </c>
      <c r="E860" s="146">
        <v>2799</v>
      </c>
      <c r="F860" s="127">
        <f t="shared" si="207"/>
        <v>2799</v>
      </c>
      <c r="G860" s="127">
        <v>2.3614999999999999</v>
      </c>
      <c r="H860" s="127">
        <f t="shared" si="208"/>
        <v>6609.8384999999998</v>
      </c>
      <c r="I860" s="127">
        <f t="shared" si="209"/>
        <v>6609.8384999999998</v>
      </c>
      <c r="J860" s="110">
        <f t="shared" si="210"/>
        <v>66315.643000000011</v>
      </c>
    </row>
    <row r="861" spans="1:10">
      <c r="B861" s="19"/>
      <c r="C861" s="19"/>
      <c r="D861" s="19"/>
      <c r="E861" s="19"/>
      <c r="F861" s="19">
        <f t="shared" si="207"/>
        <v>0</v>
      </c>
      <c r="G861" s="19"/>
      <c r="H861" s="19">
        <f t="shared" si="208"/>
        <v>0</v>
      </c>
      <c r="I861" s="19">
        <f t="shared" si="209"/>
        <v>0</v>
      </c>
      <c r="J861" s="18">
        <f t="shared" si="210"/>
        <v>66315.643000000011</v>
      </c>
    </row>
    <row r="862" spans="1:10">
      <c r="B862" s="19"/>
      <c r="C862" s="19"/>
      <c r="D862" s="19"/>
      <c r="E862" s="19"/>
      <c r="F862" s="19">
        <f t="shared" si="207"/>
        <v>0</v>
      </c>
      <c r="G862" s="19"/>
      <c r="H862" s="19">
        <f t="shared" si="208"/>
        <v>0</v>
      </c>
      <c r="I862" s="19">
        <f t="shared" si="209"/>
        <v>0</v>
      </c>
      <c r="J862" s="18">
        <f t="shared" si="210"/>
        <v>66315.643000000011</v>
      </c>
    </row>
    <row r="864" spans="1:10" ht="21">
      <c r="A864" t="s">
        <v>125</v>
      </c>
      <c r="B864" s="1520" t="s">
        <v>20</v>
      </c>
      <c r="C864" s="1520"/>
      <c r="D864" s="1520"/>
      <c r="E864" s="1520"/>
      <c r="F864" s="1520"/>
      <c r="G864" s="1520"/>
      <c r="H864" s="1520"/>
      <c r="I864" s="1520"/>
      <c r="J864" s="1520"/>
    </row>
    <row r="865" spans="1:10" ht="18.75">
      <c r="A865" t="s">
        <v>212</v>
      </c>
      <c r="B865" s="4" t="s">
        <v>1</v>
      </c>
      <c r="C865" s="4" t="s">
        <v>2</v>
      </c>
      <c r="D865" s="4" t="s">
        <v>3</v>
      </c>
      <c r="E865" s="4" t="s">
        <v>4</v>
      </c>
      <c r="F865" s="4" t="s">
        <v>36</v>
      </c>
      <c r="G865" s="4" t="s">
        <v>5</v>
      </c>
      <c r="H865" s="4" t="s">
        <v>6</v>
      </c>
      <c r="I865" s="4" t="s">
        <v>7</v>
      </c>
      <c r="J865" s="4"/>
    </row>
    <row r="866" spans="1:10">
      <c r="B866" s="81">
        <v>45832</v>
      </c>
      <c r="C866" s="18" t="s">
        <v>794</v>
      </c>
      <c r="D866" s="19">
        <v>2</v>
      </c>
      <c r="E866" s="145">
        <v>615</v>
      </c>
      <c r="F866" s="19">
        <f t="shared" ref="F866:F871" si="211">E866*D866</f>
        <v>1230</v>
      </c>
      <c r="G866" s="19">
        <v>2.3614999999999999</v>
      </c>
      <c r="H866" s="19">
        <f t="shared" ref="H866:H871" si="212">E866*G866</f>
        <v>1452.3225</v>
      </c>
      <c r="I866" s="19">
        <f t="shared" ref="I866:I871" si="213">H866*D866</f>
        <v>2904.645</v>
      </c>
      <c r="J866" s="18">
        <f t="shared" ref="J866:J871" si="214">J865+I866</f>
        <v>2904.645</v>
      </c>
    </row>
    <row r="867" spans="1:10">
      <c r="B867" s="81">
        <v>45832</v>
      </c>
      <c r="C867" s="18" t="s">
        <v>799</v>
      </c>
      <c r="D867" s="19">
        <v>2</v>
      </c>
      <c r="E867" s="145">
        <v>615</v>
      </c>
      <c r="F867" s="19">
        <f t="shared" si="211"/>
        <v>1230</v>
      </c>
      <c r="G867" s="19">
        <v>2.3614999999999999</v>
      </c>
      <c r="H867" s="19">
        <f t="shared" si="212"/>
        <v>1452.3225</v>
      </c>
      <c r="I867" s="19">
        <f t="shared" si="213"/>
        <v>2904.645</v>
      </c>
      <c r="J867" s="18">
        <f t="shared" si="214"/>
        <v>5809.29</v>
      </c>
    </row>
    <row r="868" spans="1:10">
      <c r="B868" s="96">
        <v>45832</v>
      </c>
      <c r="C868" s="110" t="s">
        <v>800</v>
      </c>
      <c r="D868" s="127">
        <v>2</v>
      </c>
      <c r="E868" s="146">
        <v>629</v>
      </c>
      <c r="F868" s="127">
        <f t="shared" si="211"/>
        <v>1258</v>
      </c>
      <c r="G868" s="127">
        <v>2.3614999999999999</v>
      </c>
      <c r="H868" s="127">
        <f t="shared" si="212"/>
        <v>1485.3834999999999</v>
      </c>
      <c r="I868" s="127">
        <f t="shared" si="213"/>
        <v>2970.7669999999998</v>
      </c>
      <c r="J868" s="110">
        <f t="shared" si="214"/>
        <v>8780.0570000000007</v>
      </c>
    </row>
    <row r="869" spans="1:10">
      <c r="B869" s="81"/>
      <c r="C869" s="18"/>
      <c r="D869" s="19"/>
      <c r="E869" s="145"/>
      <c r="F869" s="19">
        <f t="shared" si="211"/>
        <v>0</v>
      </c>
      <c r="G869" s="19">
        <v>2.3614999999999999</v>
      </c>
      <c r="H869" s="19">
        <f t="shared" si="212"/>
        <v>0</v>
      </c>
      <c r="I869" s="19">
        <f t="shared" si="213"/>
        <v>0</v>
      </c>
      <c r="J869" s="18">
        <f t="shared" si="214"/>
        <v>8780.0570000000007</v>
      </c>
    </row>
    <row r="870" spans="1:10">
      <c r="B870" s="81">
        <v>45833</v>
      </c>
      <c r="C870" s="18" t="s">
        <v>798</v>
      </c>
      <c r="D870" s="19">
        <v>40</v>
      </c>
      <c r="E870" s="145">
        <v>340</v>
      </c>
      <c r="F870" s="19">
        <f t="shared" si="211"/>
        <v>13600</v>
      </c>
      <c r="G870" s="19">
        <v>2.3614999999999999</v>
      </c>
      <c r="H870" s="19">
        <f t="shared" si="212"/>
        <v>802.91</v>
      </c>
      <c r="I870" s="19">
        <f t="shared" si="213"/>
        <v>32116.399999999998</v>
      </c>
      <c r="J870" s="18">
        <f t="shared" si="214"/>
        <v>40896.456999999995</v>
      </c>
    </row>
    <row r="871" spans="1:10">
      <c r="B871" s="19"/>
      <c r="C871" s="19"/>
      <c r="D871" s="19"/>
      <c r="E871" s="19"/>
      <c r="F871" s="19">
        <f t="shared" si="211"/>
        <v>0</v>
      </c>
      <c r="G871" s="19"/>
      <c r="H871" s="19">
        <f t="shared" si="212"/>
        <v>0</v>
      </c>
      <c r="I871" s="19">
        <f t="shared" si="213"/>
        <v>0</v>
      </c>
      <c r="J871" s="18">
        <f t="shared" si="214"/>
        <v>40896.456999999995</v>
      </c>
    </row>
    <row r="872" spans="1:10">
      <c r="J872"/>
    </row>
    <row r="873" spans="1:10">
      <c r="J873"/>
    </row>
    <row r="874" spans="1:10" ht="21">
      <c r="A874" t="s">
        <v>125</v>
      </c>
      <c r="B874" s="1520" t="s">
        <v>376</v>
      </c>
      <c r="C874" s="1520"/>
      <c r="D874" s="1520"/>
      <c r="E874" s="1520"/>
      <c r="F874" s="1520"/>
      <c r="G874" s="1520"/>
      <c r="H874" s="1520"/>
      <c r="I874" s="1520"/>
      <c r="J874" s="1520"/>
    </row>
    <row r="875" spans="1:10" ht="18.75">
      <c r="B875" s="4" t="s">
        <v>1</v>
      </c>
      <c r="C875" s="4" t="s">
        <v>2</v>
      </c>
      <c r="D875" s="4" t="s">
        <v>3</v>
      </c>
      <c r="E875" s="4" t="s">
        <v>132</v>
      </c>
      <c r="F875" s="4" t="s">
        <v>133</v>
      </c>
      <c r="G875" s="4" t="s">
        <v>5</v>
      </c>
      <c r="H875" s="4" t="s">
        <v>6</v>
      </c>
      <c r="I875" s="4" t="s">
        <v>7</v>
      </c>
      <c r="J875" s="4"/>
    </row>
    <row r="876" spans="1:10">
      <c r="B876" s="81">
        <v>45845</v>
      </c>
      <c r="C876" s="80" t="s">
        <v>804</v>
      </c>
      <c r="D876" s="19">
        <v>8</v>
      </c>
      <c r="E876" s="19">
        <v>425</v>
      </c>
      <c r="F876" s="19">
        <f>E876*D876</f>
        <v>3400</v>
      </c>
      <c r="G876" s="19">
        <v>3.61</v>
      </c>
      <c r="H876" s="19">
        <f>E876*G876</f>
        <v>1534.25</v>
      </c>
      <c r="I876" s="19">
        <f>H876*D876</f>
        <v>12274</v>
      </c>
      <c r="J876" s="18">
        <f>J875+I876</f>
        <v>12274</v>
      </c>
    </row>
    <row r="877" spans="1:10">
      <c r="B877" s="81">
        <v>45845</v>
      </c>
      <c r="C877" s="80" t="s">
        <v>805</v>
      </c>
      <c r="D877" s="19">
        <v>2</v>
      </c>
      <c r="E877" s="19">
        <v>320</v>
      </c>
      <c r="F877" s="19">
        <f>E877*D877</f>
        <v>640</v>
      </c>
      <c r="G877" s="19">
        <v>3.61</v>
      </c>
      <c r="H877" s="19">
        <f>E877*G877</f>
        <v>1155.2</v>
      </c>
      <c r="I877" s="19">
        <f>H877*D877</f>
        <v>2310.4</v>
      </c>
      <c r="J877" s="18">
        <f>J876+I877</f>
        <v>14584.4</v>
      </c>
    </row>
    <row r="878" spans="1:10">
      <c r="B878" s="81">
        <v>45845</v>
      </c>
      <c r="C878" s="80" t="s">
        <v>806</v>
      </c>
      <c r="D878" s="19">
        <v>23</v>
      </c>
      <c r="E878" s="19">
        <v>590</v>
      </c>
      <c r="F878" s="19">
        <f>E878*D878</f>
        <v>13570</v>
      </c>
      <c r="G878" s="19">
        <v>3.61</v>
      </c>
      <c r="H878" s="19">
        <f>E878*G878</f>
        <v>2129.9</v>
      </c>
      <c r="I878" s="19">
        <f>H878*D878</f>
        <v>48987.700000000004</v>
      </c>
      <c r="J878" s="18">
        <f>J877+I878</f>
        <v>63572.100000000006</v>
      </c>
    </row>
    <row r="879" spans="1:10">
      <c r="B879" s="81">
        <v>45845</v>
      </c>
      <c r="C879" s="80" t="s">
        <v>807</v>
      </c>
      <c r="D879" s="19">
        <v>8</v>
      </c>
      <c r="E879" s="19">
        <v>390</v>
      </c>
      <c r="F879" s="19">
        <f>E879*D879</f>
        <v>3120</v>
      </c>
      <c r="G879" s="19">
        <v>3.61</v>
      </c>
      <c r="H879" s="19">
        <f>E879*G879</f>
        <v>1407.8999999999999</v>
      </c>
      <c r="I879" s="19">
        <f>H879*D879</f>
        <v>11263.199999999999</v>
      </c>
      <c r="J879" s="18">
        <f>J878+I879</f>
        <v>74835.3</v>
      </c>
    </row>
    <row r="880" spans="1:10">
      <c r="B880" s="81">
        <v>45845</v>
      </c>
      <c r="C880" s="80" t="s">
        <v>808</v>
      </c>
      <c r="D880" s="19">
        <v>1</v>
      </c>
      <c r="E880" s="19">
        <v>340</v>
      </c>
      <c r="F880" s="19">
        <f>E880*D880</f>
        <v>340</v>
      </c>
      <c r="G880" s="19">
        <v>3.61</v>
      </c>
      <c r="H880" s="19">
        <f>E880*G880</f>
        <v>1227.3999999999999</v>
      </c>
      <c r="I880" s="19">
        <f>H880*D880</f>
        <v>1227.3999999999999</v>
      </c>
      <c r="J880" s="18">
        <f>J879+I880</f>
        <v>76062.7</v>
      </c>
    </row>
    <row r="884" spans="1:10" ht="21">
      <c r="A884" t="s">
        <v>125</v>
      </c>
      <c r="B884" s="1520" t="s">
        <v>20</v>
      </c>
      <c r="C884" s="1520"/>
      <c r="D884" s="1520"/>
      <c r="E884" s="1520"/>
      <c r="F884" s="1520"/>
      <c r="G884" s="1520"/>
      <c r="H884" s="1520"/>
      <c r="I884" s="1520"/>
      <c r="J884" s="1520"/>
    </row>
    <row r="885" spans="1:10" ht="18.75">
      <c r="A885" t="s">
        <v>212</v>
      </c>
      <c r="B885" s="4" t="s">
        <v>1</v>
      </c>
      <c r="C885" s="4" t="s">
        <v>2</v>
      </c>
      <c r="D885" s="4" t="s">
        <v>3</v>
      </c>
      <c r="E885" s="4" t="s">
        <v>4</v>
      </c>
      <c r="F885" s="4" t="s">
        <v>36</v>
      </c>
      <c r="G885" s="4" t="s">
        <v>5</v>
      </c>
      <c r="H885" s="4" t="s">
        <v>6</v>
      </c>
      <c r="I885" s="4" t="s">
        <v>7</v>
      </c>
      <c r="J885" s="4"/>
    </row>
    <row r="886" spans="1:10">
      <c r="B886" s="81">
        <v>45837</v>
      </c>
      <c r="C886" s="18" t="s">
        <v>810</v>
      </c>
      <c r="D886" s="19">
        <v>2</v>
      </c>
      <c r="E886" s="19">
        <v>707</v>
      </c>
      <c r="F886" s="19">
        <f>E886*D886</f>
        <v>1414</v>
      </c>
      <c r="G886" s="19">
        <v>2.3614999999999999</v>
      </c>
      <c r="H886" s="19">
        <f>E886*G886</f>
        <v>1669.5805</v>
      </c>
      <c r="I886" s="19">
        <f>H886*D886</f>
        <v>3339.1610000000001</v>
      </c>
      <c r="J886" s="18">
        <f>J885+I886</f>
        <v>3339.1610000000001</v>
      </c>
    </row>
    <row r="887" spans="1:10">
      <c r="B887" s="19"/>
      <c r="C887" s="19"/>
      <c r="D887" s="19"/>
      <c r="E887" s="19"/>
      <c r="F887" s="19">
        <f>E887*D887</f>
        <v>0</v>
      </c>
      <c r="G887" s="19"/>
      <c r="H887" s="19">
        <f>E887*G887</f>
        <v>0</v>
      </c>
      <c r="I887" s="19">
        <f>H887*D887</f>
        <v>0</v>
      </c>
      <c r="J887" s="18">
        <f>J886+I887</f>
        <v>3339.1610000000001</v>
      </c>
    </row>
    <row r="888" spans="1:10">
      <c r="J888"/>
    </row>
    <row r="889" spans="1:10">
      <c r="J889"/>
    </row>
    <row r="890" spans="1:10">
      <c r="J890"/>
    </row>
    <row r="891" spans="1:10" ht="21">
      <c r="A891" t="s">
        <v>125</v>
      </c>
      <c r="B891" s="1520" t="s">
        <v>35</v>
      </c>
      <c r="C891" s="1520"/>
      <c r="D891" s="1520"/>
      <c r="E891" s="1520"/>
      <c r="F891" s="1520"/>
      <c r="G891" s="1520"/>
      <c r="H891" s="1520"/>
      <c r="I891" s="1520"/>
      <c r="J891" s="1520"/>
    </row>
    <row r="892" spans="1:10" ht="18.75">
      <c r="A892" t="s">
        <v>212</v>
      </c>
      <c r="B892" s="4" t="s">
        <v>1</v>
      </c>
      <c r="C892" s="4" t="s">
        <v>2</v>
      </c>
      <c r="D892" s="4" t="s">
        <v>3</v>
      </c>
      <c r="E892" s="4" t="s">
        <v>146</v>
      </c>
      <c r="F892" s="4" t="s">
        <v>145</v>
      </c>
      <c r="G892" s="4" t="s">
        <v>5</v>
      </c>
      <c r="H892" s="4" t="s">
        <v>6</v>
      </c>
      <c r="I892" s="4" t="s">
        <v>7</v>
      </c>
      <c r="J892" s="4"/>
    </row>
    <row r="893" spans="1:10">
      <c r="B893" s="81">
        <v>45836</v>
      </c>
      <c r="C893" s="80" t="s">
        <v>841</v>
      </c>
      <c r="D893" s="19">
        <v>4</v>
      </c>
      <c r="E893" s="19">
        <v>775</v>
      </c>
      <c r="F893" s="19">
        <f>E893*D893</f>
        <v>3100</v>
      </c>
      <c r="G893" s="19">
        <v>2.21</v>
      </c>
      <c r="H893" s="19">
        <f>E893*G893</f>
        <v>1712.75</v>
      </c>
      <c r="I893" s="19">
        <f>H893*D893</f>
        <v>6851</v>
      </c>
      <c r="J893" s="18">
        <f>J892+I893</f>
        <v>6851</v>
      </c>
    </row>
    <row r="894" spans="1:10">
      <c r="B894" s="81"/>
      <c r="C894" s="80"/>
      <c r="D894" s="19"/>
      <c r="E894" s="19"/>
      <c r="F894" s="19">
        <f>E894*D894</f>
        <v>0</v>
      </c>
      <c r="G894" s="19">
        <v>2.23</v>
      </c>
      <c r="H894" s="19">
        <f>E894*G894</f>
        <v>0</v>
      </c>
      <c r="I894" s="19">
        <f>H894*D894</f>
        <v>0</v>
      </c>
      <c r="J894" s="18">
        <f>J893+I894</f>
        <v>6851</v>
      </c>
    </row>
    <row r="897" spans="1:10" ht="21">
      <c r="A897" t="s">
        <v>212</v>
      </c>
      <c r="B897" s="1520" t="s">
        <v>35</v>
      </c>
      <c r="C897" s="1520"/>
      <c r="D897" s="1520"/>
      <c r="E897" s="1520"/>
      <c r="F897" s="1520"/>
      <c r="G897" s="1520"/>
      <c r="H897" s="1520"/>
      <c r="I897" s="1520"/>
      <c r="J897" s="1520"/>
    </row>
    <row r="898" spans="1:10" ht="18.75">
      <c r="B898" s="4" t="s">
        <v>1</v>
      </c>
      <c r="C898" s="4" t="s">
        <v>2</v>
      </c>
      <c r="D898" s="4" t="s">
        <v>3</v>
      </c>
      <c r="E898" s="4" t="s">
        <v>146</v>
      </c>
      <c r="F898" s="4" t="s">
        <v>145</v>
      </c>
      <c r="G898" s="4" t="s">
        <v>5</v>
      </c>
      <c r="H898" s="4" t="s">
        <v>6</v>
      </c>
      <c r="I898" s="4" t="s">
        <v>7</v>
      </c>
      <c r="J898" s="4"/>
    </row>
    <row r="899" spans="1:10">
      <c r="A899" t="s">
        <v>125</v>
      </c>
      <c r="B899" s="81">
        <v>45839</v>
      </c>
      <c r="C899" s="18" t="s">
        <v>811</v>
      </c>
      <c r="D899" s="19">
        <v>5</v>
      </c>
      <c r="E899" s="19">
        <v>1380</v>
      </c>
      <c r="F899" s="19">
        <f>E899*D899</f>
        <v>6900</v>
      </c>
      <c r="G899" s="19">
        <v>2.21</v>
      </c>
      <c r="H899" s="19">
        <f>E899*G899</f>
        <v>3049.7999999999997</v>
      </c>
      <c r="I899" s="19">
        <f>H899*D899</f>
        <v>15248.999999999998</v>
      </c>
      <c r="J899" s="18">
        <f>J898+I899</f>
        <v>15248.999999999998</v>
      </c>
    </row>
    <row r="900" spans="1:10">
      <c r="A900" t="s">
        <v>125</v>
      </c>
      <c r="B900" s="81">
        <v>45839</v>
      </c>
      <c r="C900" s="18" t="s">
        <v>812</v>
      </c>
      <c r="D900" s="19">
        <v>1</v>
      </c>
      <c r="E900" s="19">
        <v>1295</v>
      </c>
      <c r="F900" s="19">
        <f t="shared" ref="F900:F930" si="215">E900*D900</f>
        <v>1295</v>
      </c>
      <c r="G900" s="19">
        <v>2.23</v>
      </c>
      <c r="H900" s="19">
        <f>E900*G900</f>
        <v>2887.85</v>
      </c>
      <c r="I900" s="19">
        <f>H900*D900</f>
        <v>2887.85</v>
      </c>
      <c r="J900" s="18">
        <f>J899+I900</f>
        <v>18136.849999999999</v>
      </c>
    </row>
    <row r="901" spans="1:10">
      <c r="A901" t="s">
        <v>125</v>
      </c>
      <c r="B901" s="81">
        <v>45839</v>
      </c>
      <c r="C901" s="18" t="s">
        <v>813</v>
      </c>
      <c r="D901" s="19">
        <v>1</v>
      </c>
      <c r="E901" s="19">
        <v>1375</v>
      </c>
      <c r="F901" s="19">
        <f t="shared" si="215"/>
        <v>1375</v>
      </c>
      <c r="G901" s="19">
        <v>2.21</v>
      </c>
      <c r="H901" s="19">
        <f>E901*G901</f>
        <v>3038.75</v>
      </c>
      <c r="I901" s="19">
        <f>H901*D901</f>
        <v>3038.75</v>
      </c>
      <c r="J901" s="18">
        <f>J900+I901</f>
        <v>21175.599999999999</v>
      </c>
    </row>
    <row r="902" spans="1:10">
      <c r="A902" t="s">
        <v>125</v>
      </c>
      <c r="B902" s="81">
        <v>45839</v>
      </c>
      <c r="C902" s="18" t="s">
        <v>814</v>
      </c>
      <c r="D902" s="19">
        <v>1</v>
      </c>
      <c r="E902" s="19">
        <v>852</v>
      </c>
      <c r="F902" s="19">
        <f t="shared" si="215"/>
        <v>852</v>
      </c>
      <c r="G902" s="19">
        <v>2.21</v>
      </c>
      <c r="H902" s="19">
        <f>E902*G902</f>
        <v>1882.92</v>
      </c>
      <c r="I902" s="19">
        <f>H902*D902</f>
        <v>1882.92</v>
      </c>
      <c r="J902" s="18">
        <f>J901+I902</f>
        <v>23058.519999999997</v>
      </c>
    </row>
    <row r="903" spans="1:10">
      <c r="A903" t="s">
        <v>125</v>
      </c>
      <c r="B903" s="81">
        <v>45839</v>
      </c>
      <c r="C903" s="18" t="s">
        <v>815</v>
      </c>
      <c r="D903" s="19">
        <v>4</v>
      </c>
      <c r="E903" s="19">
        <v>679</v>
      </c>
      <c r="F903" s="19">
        <f t="shared" si="215"/>
        <v>2716</v>
      </c>
      <c r="G903" s="19">
        <v>2.21</v>
      </c>
      <c r="H903" s="19">
        <f>E903*G903</f>
        <v>1500.59</v>
      </c>
      <c r="I903" s="19">
        <f>H903*D903</f>
        <v>6002.36</v>
      </c>
      <c r="J903" s="18">
        <f>J902+I903</f>
        <v>29060.879999999997</v>
      </c>
    </row>
    <row r="904" spans="1:10">
      <c r="B904" s="19"/>
      <c r="C904" s="19"/>
      <c r="D904" s="19"/>
      <c r="E904" s="19"/>
      <c r="F904" s="19">
        <f t="shared" si="215"/>
        <v>0</v>
      </c>
      <c r="G904" s="19">
        <v>2.21</v>
      </c>
      <c r="H904" s="19">
        <f t="shared" ref="H904:H919" si="216">E904*G904</f>
        <v>0</v>
      </c>
      <c r="I904" s="19">
        <f t="shared" ref="I904:I919" si="217">H904*D904</f>
        <v>0</v>
      </c>
      <c r="J904" s="18">
        <f t="shared" ref="J904:J919" si="218">J903+I904</f>
        <v>29060.879999999997</v>
      </c>
    </row>
    <row r="905" spans="1:10">
      <c r="A905" t="s">
        <v>125</v>
      </c>
      <c r="B905" s="81">
        <v>45840</v>
      </c>
      <c r="C905" s="18" t="s">
        <v>816</v>
      </c>
      <c r="D905" s="19">
        <v>2</v>
      </c>
      <c r="E905" s="19">
        <v>1229</v>
      </c>
      <c r="F905" s="19">
        <f t="shared" si="215"/>
        <v>2458</v>
      </c>
      <c r="G905" s="19">
        <v>2.21</v>
      </c>
      <c r="H905" s="19">
        <f t="shared" si="216"/>
        <v>2716.09</v>
      </c>
      <c r="I905" s="19">
        <f t="shared" si="217"/>
        <v>5432.18</v>
      </c>
      <c r="J905" s="18">
        <f t="shared" si="218"/>
        <v>34493.06</v>
      </c>
    </row>
    <row r="906" spans="1:10">
      <c r="A906" t="s">
        <v>125</v>
      </c>
      <c r="B906" s="81">
        <v>45840</v>
      </c>
      <c r="C906" s="18" t="s">
        <v>817</v>
      </c>
      <c r="D906" s="19">
        <v>1</v>
      </c>
      <c r="E906" s="19">
        <v>852</v>
      </c>
      <c r="F906" s="19">
        <f t="shared" si="215"/>
        <v>852</v>
      </c>
      <c r="G906" s="19">
        <v>2.21</v>
      </c>
      <c r="H906" s="19">
        <f t="shared" si="216"/>
        <v>1882.92</v>
      </c>
      <c r="I906" s="19">
        <f t="shared" si="217"/>
        <v>1882.92</v>
      </c>
      <c r="J906" s="18">
        <f t="shared" si="218"/>
        <v>36375.979999999996</v>
      </c>
    </row>
    <row r="907" spans="1:10">
      <c r="A907" t="s">
        <v>125</v>
      </c>
      <c r="B907" s="81">
        <v>45840</v>
      </c>
      <c r="C907" s="18" t="s">
        <v>818</v>
      </c>
      <c r="D907" s="19">
        <v>3</v>
      </c>
      <c r="E907" s="19">
        <v>765.71</v>
      </c>
      <c r="F907" s="19">
        <f t="shared" si="215"/>
        <v>2297.13</v>
      </c>
      <c r="G907" s="19">
        <v>2.21</v>
      </c>
      <c r="H907" s="19">
        <f t="shared" si="216"/>
        <v>1692.2191</v>
      </c>
      <c r="I907" s="19">
        <f t="shared" si="217"/>
        <v>5076.6572999999999</v>
      </c>
      <c r="J907" s="18">
        <f t="shared" si="218"/>
        <v>41452.637299999995</v>
      </c>
    </row>
    <row r="908" spans="1:10">
      <c r="A908" t="s">
        <v>125</v>
      </c>
      <c r="B908" s="81">
        <v>45840</v>
      </c>
      <c r="C908" s="18" t="s">
        <v>819</v>
      </c>
      <c r="D908" s="19">
        <v>1</v>
      </c>
      <c r="E908" s="19">
        <v>1345</v>
      </c>
      <c r="F908" s="19">
        <f t="shared" si="215"/>
        <v>1345</v>
      </c>
      <c r="G908" s="19">
        <v>2.21</v>
      </c>
      <c r="H908" s="19">
        <f t="shared" si="216"/>
        <v>2972.45</v>
      </c>
      <c r="I908" s="19">
        <f t="shared" si="217"/>
        <v>2972.45</v>
      </c>
      <c r="J908" s="18">
        <f t="shared" si="218"/>
        <v>44425.087299999992</v>
      </c>
    </row>
    <row r="909" spans="1:10">
      <c r="A909" t="s">
        <v>125</v>
      </c>
      <c r="B909" s="81">
        <v>45840</v>
      </c>
      <c r="C909" s="18" t="s">
        <v>818</v>
      </c>
      <c r="D909" s="19">
        <v>3</v>
      </c>
      <c r="E909" s="19">
        <v>738</v>
      </c>
      <c r="F909" s="19">
        <f t="shared" si="215"/>
        <v>2214</v>
      </c>
      <c r="G909" s="19">
        <v>2.21</v>
      </c>
      <c r="H909" s="19">
        <f t="shared" si="216"/>
        <v>1630.98</v>
      </c>
      <c r="I909" s="19">
        <f t="shared" si="217"/>
        <v>4892.9400000000005</v>
      </c>
      <c r="J909" s="18">
        <f t="shared" si="218"/>
        <v>49318.027299999994</v>
      </c>
    </row>
    <row r="910" spans="1:10">
      <c r="A910" t="s">
        <v>125</v>
      </c>
      <c r="B910" s="81">
        <v>45840</v>
      </c>
      <c r="C910" s="18" t="s">
        <v>820</v>
      </c>
      <c r="D910" s="19">
        <v>1</v>
      </c>
      <c r="E910" s="19">
        <v>852</v>
      </c>
      <c r="F910" s="19">
        <f t="shared" si="215"/>
        <v>852</v>
      </c>
      <c r="G910" s="19">
        <v>2.21</v>
      </c>
      <c r="H910" s="19">
        <f t="shared" si="216"/>
        <v>1882.92</v>
      </c>
      <c r="I910" s="19">
        <f t="shared" si="217"/>
        <v>1882.92</v>
      </c>
      <c r="J910" s="18">
        <f t="shared" si="218"/>
        <v>51200.947299999993</v>
      </c>
    </row>
    <row r="911" spans="1:10">
      <c r="A911" t="s">
        <v>125</v>
      </c>
      <c r="B911" s="81">
        <v>45840</v>
      </c>
      <c r="C911" s="18" t="s">
        <v>821</v>
      </c>
      <c r="D911" s="19">
        <v>1</v>
      </c>
      <c r="E911" s="19">
        <v>775</v>
      </c>
      <c r="F911" s="19">
        <f t="shared" si="215"/>
        <v>775</v>
      </c>
      <c r="G911" s="19">
        <v>2.21</v>
      </c>
      <c r="H911" s="19">
        <f t="shared" si="216"/>
        <v>1712.75</v>
      </c>
      <c r="I911" s="19">
        <f t="shared" si="217"/>
        <v>1712.75</v>
      </c>
      <c r="J911" s="18">
        <f t="shared" si="218"/>
        <v>52913.697299999993</v>
      </c>
    </row>
    <row r="912" spans="1:10">
      <c r="A912" t="s">
        <v>125</v>
      </c>
      <c r="B912" s="81">
        <v>45840</v>
      </c>
      <c r="C912" s="18" t="s">
        <v>822</v>
      </c>
      <c r="D912" s="19">
        <v>1</v>
      </c>
      <c r="E912" s="19">
        <v>1295</v>
      </c>
      <c r="F912" s="19">
        <f t="shared" si="215"/>
        <v>1295</v>
      </c>
      <c r="G912" s="19">
        <v>2.21</v>
      </c>
      <c r="H912" s="19">
        <f t="shared" si="216"/>
        <v>2861.95</v>
      </c>
      <c r="I912" s="19">
        <f t="shared" si="217"/>
        <v>2861.95</v>
      </c>
      <c r="J912" s="18">
        <f t="shared" si="218"/>
        <v>55775.64729999999</v>
      </c>
    </row>
    <row r="913" spans="1:10">
      <c r="A913" t="s">
        <v>125</v>
      </c>
      <c r="B913" s="81">
        <v>45840</v>
      </c>
      <c r="C913" s="18" t="s">
        <v>823</v>
      </c>
      <c r="D913" s="19">
        <v>1</v>
      </c>
      <c r="E913" s="19">
        <v>1375</v>
      </c>
      <c r="F913" s="19">
        <f t="shared" si="215"/>
        <v>1375</v>
      </c>
      <c r="G913" s="19">
        <v>2.21</v>
      </c>
      <c r="H913" s="19">
        <f t="shared" si="216"/>
        <v>3038.75</v>
      </c>
      <c r="I913" s="19">
        <f t="shared" si="217"/>
        <v>3038.75</v>
      </c>
      <c r="J913" s="18">
        <f t="shared" si="218"/>
        <v>58814.39729999999</v>
      </c>
    </row>
    <row r="914" spans="1:10">
      <c r="A914" t="s">
        <v>125</v>
      </c>
      <c r="B914" s="81">
        <v>45840</v>
      </c>
      <c r="C914" s="18" t="s">
        <v>824</v>
      </c>
      <c r="D914" s="19">
        <v>1</v>
      </c>
      <c r="E914" s="19">
        <v>852</v>
      </c>
      <c r="F914" s="19">
        <f t="shared" si="215"/>
        <v>852</v>
      </c>
      <c r="G914" s="19">
        <v>2.21</v>
      </c>
      <c r="H914" s="19">
        <f t="shared" si="216"/>
        <v>1882.92</v>
      </c>
      <c r="I914" s="19">
        <f t="shared" si="217"/>
        <v>1882.92</v>
      </c>
      <c r="J914" s="18">
        <f t="shared" si="218"/>
        <v>60697.317299999988</v>
      </c>
    </row>
    <row r="915" spans="1:10">
      <c r="A915" t="s">
        <v>125</v>
      </c>
      <c r="B915" s="376">
        <v>45840</v>
      </c>
      <c r="C915" s="103" t="s">
        <v>825</v>
      </c>
      <c r="D915" s="102">
        <v>1</v>
      </c>
      <c r="E915" s="102">
        <v>1228</v>
      </c>
      <c r="F915" s="102">
        <f t="shared" si="215"/>
        <v>1228</v>
      </c>
      <c r="G915" s="102">
        <v>2.21</v>
      </c>
      <c r="H915" s="102">
        <f t="shared" si="216"/>
        <v>2713.88</v>
      </c>
      <c r="I915" s="102">
        <f t="shared" si="217"/>
        <v>2713.88</v>
      </c>
      <c r="J915" s="103">
        <f t="shared" si="218"/>
        <v>63411.197299999985</v>
      </c>
    </row>
    <row r="916" spans="1:10">
      <c r="A916" t="s">
        <v>125</v>
      </c>
      <c r="B916" s="376">
        <v>45840</v>
      </c>
      <c r="C916" s="103" t="s">
        <v>826</v>
      </c>
      <c r="D916" s="102">
        <v>1</v>
      </c>
      <c r="E916" s="102">
        <v>750</v>
      </c>
      <c r="F916" s="102">
        <f t="shared" si="215"/>
        <v>750</v>
      </c>
      <c r="G916" s="102">
        <v>2.21</v>
      </c>
      <c r="H916" s="102">
        <f t="shared" si="216"/>
        <v>1657.5</v>
      </c>
      <c r="I916" s="102">
        <f t="shared" si="217"/>
        <v>1657.5</v>
      </c>
      <c r="J916" s="103">
        <f t="shared" si="218"/>
        <v>65068.697299999985</v>
      </c>
    </row>
    <row r="917" spans="1:10">
      <c r="B917" s="19"/>
      <c r="C917" s="19"/>
      <c r="D917" s="19"/>
      <c r="E917" s="19"/>
      <c r="F917" s="19">
        <f t="shared" si="215"/>
        <v>0</v>
      </c>
      <c r="G917" s="19">
        <v>2.21</v>
      </c>
      <c r="H917" s="19">
        <f t="shared" si="216"/>
        <v>0</v>
      </c>
      <c r="I917" s="19">
        <f t="shared" si="217"/>
        <v>0</v>
      </c>
      <c r="J917" s="18">
        <f t="shared" si="218"/>
        <v>65068.697299999985</v>
      </c>
    </row>
    <row r="918" spans="1:10">
      <c r="A918" t="s">
        <v>125</v>
      </c>
      <c r="B918" s="81">
        <v>45841</v>
      </c>
      <c r="C918" s="18" t="s">
        <v>827</v>
      </c>
      <c r="D918" s="19">
        <v>4</v>
      </c>
      <c r="E918" s="19">
        <v>1197</v>
      </c>
      <c r="F918" s="19">
        <f t="shared" si="215"/>
        <v>4788</v>
      </c>
      <c r="G918" s="19">
        <v>2.21</v>
      </c>
      <c r="H918" s="19">
        <f t="shared" si="216"/>
        <v>2645.37</v>
      </c>
      <c r="I918" s="19">
        <f t="shared" si="217"/>
        <v>10581.48</v>
      </c>
      <c r="J918" s="18">
        <f t="shared" si="218"/>
        <v>75650.177299999981</v>
      </c>
    </row>
    <row r="919" spans="1:10">
      <c r="A919" t="s">
        <v>125</v>
      </c>
      <c r="B919" s="81">
        <v>45841</v>
      </c>
      <c r="C919" s="18" t="s">
        <v>828</v>
      </c>
      <c r="D919" s="19">
        <v>1</v>
      </c>
      <c r="E919" s="19">
        <v>852</v>
      </c>
      <c r="F919" s="19">
        <f t="shared" si="215"/>
        <v>852</v>
      </c>
      <c r="G919" s="19">
        <v>2.21</v>
      </c>
      <c r="H919" s="19">
        <f t="shared" si="216"/>
        <v>1882.92</v>
      </c>
      <c r="I919" s="19">
        <f t="shared" si="217"/>
        <v>1882.92</v>
      </c>
      <c r="J919" s="18">
        <f t="shared" si="218"/>
        <v>77533.097299999979</v>
      </c>
    </row>
    <row r="920" spans="1:10">
      <c r="A920" t="s">
        <v>125</v>
      </c>
      <c r="B920" s="81">
        <v>45841</v>
      </c>
      <c r="C920" s="18" t="s">
        <v>829</v>
      </c>
      <c r="D920" s="19">
        <v>1</v>
      </c>
      <c r="E920" s="19">
        <v>338</v>
      </c>
      <c r="F920" s="19">
        <f t="shared" si="215"/>
        <v>338</v>
      </c>
      <c r="G920" s="19">
        <v>2.21</v>
      </c>
      <c r="H920" s="19">
        <f t="shared" ref="H920:H927" si="219">E920*G920</f>
        <v>746.98</v>
      </c>
      <c r="I920" s="19">
        <f t="shared" ref="I920:I927" si="220">H920*D920</f>
        <v>746.98</v>
      </c>
      <c r="J920" s="18">
        <f t="shared" ref="J920:J927" si="221">J919+I920</f>
        <v>78280.077299999975</v>
      </c>
    </row>
    <row r="921" spans="1:10">
      <c r="A921" t="s">
        <v>125</v>
      </c>
      <c r="B921" s="81">
        <v>45840</v>
      </c>
      <c r="C921" s="18" t="s">
        <v>830</v>
      </c>
      <c r="D921" s="19">
        <v>1</v>
      </c>
      <c r="E921" s="19">
        <v>1375</v>
      </c>
      <c r="F921" s="19">
        <f t="shared" si="215"/>
        <v>1375</v>
      </c>
      <c r="G921" s="19">
        <v>2.21</v>
      </c>
      <c r="H921" s="19">
        <f t="shared" si="219"/>
        <v>3038.75</v>
      </c>
      <c r="I921" s="19">
        <f t="shared" si="220"/>
        <v>3038.75</v>
      </c>
      <c r="J921" s="18">
        <f t="shared" si="221"/>
        <v>81318.827299999975</v>
      </c>
    </row>
    <row r="922" spans="1:10">
      <c r="A922" t="s">
        <v>125</v>
      </c>
      <c r="B922" s="81">
        <v>45840</v>
      </c>
      <c r="C922" s="18" t="s">
        <v>831</v>
      </c>
      <c r="D922" s="19">
        <v>1</v>
      </c>
      <c r="E922" s="19">
        <v>775</v>
      </c>
      <c r="F922" s="19">
        <f t="shared" si="215"/>
        <v>775</v>
      </c>
      <c r="G922" s="19">
        <v>2.21</v>
      </c>
      <c r="H922" s="19">
        <f t="shared" si="219"/>
        <v>1712.75</v>
      </c>
      <c r="I922" s="19">
        <f t="shared" si="220"/>
        <v>1712.75</v>
      </c>
      <c r="J922" s="18">
        <f t="shared" si="221"/>
        <v>83031.577299999975</v>
      </c>
    </row>
    <row r="923" spans="1:10">
      <c r="A923" t="s">
        <v>125</v>
      </c>
      <c r="B923" s="376">
        <v>45841</v>
      </c>
      <c r="C923" s="103" t="s">
        <v>832</v>
      </c>
      <c r="D923" s="102">
        <v>4</v>
      </c>
      <c r="E923" s="102">
        <v>766</v>
      </c>
      <c r="F923" s="102">
        <f t="shared" si="215"/>
        <v>3064</v>
      </c>
      <c r="G923" s="102">
        <v>2.21</v>
      </c>
      <c r="H923" s="102">
        <f t="shared" si="219"/>
        <v>1692.86</v>
      </c>
      <c r="I923" s="102">
        <f t="shared" si="220"/>
        <v>6771.44</v>
      </c>
      <c r="J923" s="103">
        <f t="shared" si="221"/>
        <v>89803.017299999978</v>
      </c>
    </row>
    <row r="924" spans="1:10">
      <c r="F924" s="19">
        <f t="shared" si="215"/>
        <v>0</v>
      </c>
      <c r="G924" s="19">
        <v>2.21</v>
      </c>
      <c r="H924" s="19">
        <f t="shared" si="219"/>
        <v>0</v>
      </c>
      <c r="I924" s="19">
        <f t="shared" si="220"/>
        <v>0</v>
      </c>
      <c r="J924" s="18">
        <f t="shared" si="221"/>
        <v>89803.017299999978</v>
      </c>
    </row>
    <row r="925" spans="1:10">
      <c r="B925" s="377">
        <v>45844</v>
      </c>
      <c r="C925" s="308" t="s">
        <v>837</v>
      </c>
      <c r="D925" s="309">
        <v>2</v>
      </c>
      <c r="E925" s="309">
        <v>89</v>
      </c>
      <c r="F925" s="309">
        <f t="shared" si="215"/>
        <v>178</v>
      </c>
      <c r="G925" s="309">
        <v>2.21</v>
      </c>
      <c r="H925" s="309">
        <f t="shared" si="219"/>
        <v>196.69</v>
      </c>
      <c r="I925" s="309">
        <f t="shared" si="220"/>
        <v>393.38</v>
      </c>
      <c r="J925" s="308">
        <f t="shared" si="221"/>
        <v>90196.397299999982</v>
      </c>
    </row>
    <row r="926" spans="1:10">
      <c r="A926" t="s">
        <v>125</v>
      </c>
      <c r="B926" s="81">
        <v>45844</v>
      </c>
      <c r="C926" s="18" t="s">
        <v>833</v>
      </c>
      <c r="D926" s="19">
        <v>150</v>
      </c>
      <c r="E926" s="19">
        <v>494</v>
      </c>
      <c r="F926" s="19">
        <f t="shared" si="215"/>
        <v>74100</v>
      </c>
      <c r="G926" s="19">
        <v>2.21</v>
      </c>
      <c r="H926" s="19">
        <f t="shared" si="219"/>
        <v>1091.74</v>
      </c>
      <c r="I926" s="19">
        <f t="shared" si="220"/>
        <v>163761</v>
      </c>
      <c r="J926" s="18">
        <f t="shared" si="221"/>
        <v>253957.39729999998</v>
      </c>
    </row>
    <row r="927" spans="1:10">
      <c r="B927" s="377">
        <v>45842</v>
      </c>
      <c r="C927" s="308" t="s">
        <v>834</v>
      </c>
      <c r="D927" s="309">
        <v>1</v>
      </c>
      <c r="E927" s="309">
        <v>1900</v>
      </c>
      <c r="F927" s="309">
        <f t="shared" si="215"/>
        <v>1900</v>
      </c>
      <c r="G927" s="309">
        <v>2.21</v>
      </c>
      <c r="H927" s="309">
        <f t="shared" si="219"/>
        <v>4199</v>
      </c>
      <c r="I927" s="309">
        <f t="shared" si="220"/>
        <v>4199</v>
      </c>
      <c r="J927" s="308">
        <f t="shared" si="221"/>
        <v>258156.39729999998</v>
      </c>
    </row>
    <row r="928" spans="1:10">
      <c r="A928" t="s">
        <v>125</v>
      </c>
      <c r="B928" s="81">
        <v>45846</v>
      </c>
      <c r="C928" s="18" t="s">
        <v>835</v>
      </c>
      <c r="D928" s="19">
        <v>100</v>
      </c>
      <c r="E928" s="19">
        <v>494</v>
      </c>
      <c r="F928" s="19">
        <f t="shared" si="215"/>
        <v>49400</v>
      </c>
      <c r="G928" s="19">
        <v>2.21</v>
      </c>
      <c r="H928" s="19">
        <f>E928*G928</f>
        <v>1091.74</v>
      </c>
      <c r="I928" s="19">
        <f>H928*D928</f>
        <v>109174</v>
      </c>
      <c r="J928" s="18">
        <f>J927+I928</f>
        <v>367330.39729999995</v>
      </c>
    </row>
    <row r="929" spans="1:10">
      <c r="A929" t="s">
        <v>125</v>
      </c>
      <c r="B929" s="81">
        <v>45848</v>
      </c>
      <c r="C929" s="18" t="s">
        <v>836</v>
      </c>
      <c r="D929" s="19">
        <v>100</v>
      </c>
      <c r="E929" s="19">
        <v>229</v>
      </c>
      <c r="F929" s="19">
        <f t="shared" si="215"/>
        <v>22900</v>
      </c>
      <c r="G929" s="19">
        <v>2.21</v>
      </c>
      <c r="H929" s="19">
        <f>E929*G929</f>
        <v>506.09</v>
      </c>
      <c r="I929" s="19">
        <f>H929*D929</f>
        <v>50609</v>
      </c>
      <c r="J929" s="18">
        <f>J928+I929</f>
        <v>417939.39729999995</v>
      </c>
    </row>
    <row r="930" spans="1:10">
      <c r="B930" s="81"/>
      <c r="C930" s="18"/>
      <c r="D930" s="19"/>
      <c r="E930" s="19"/>
      <c r="F930" s="19">
        <f t="shared" si="215"/>
        <v>0</v>
      </c>
      <c r="G930" s="19"/>
      <c r="H930" s="19">
        <f>E930*G930</f>
        <v>0</v>
      </c>
      <c r="I930" s="19">
        <f>H930*D930</f>
        <v>0</v>
      </c>
      <c r="J930" s="18">
        <f>J929+I930</f>
        <v>417939.39729999995</v>
      </c>
    </row>
    <row r="934" spans="1:10" ht="21">
      <c r="A934" t="s">
        <v>125</v>
      </c>
      <c r="B934" s="1520" t="s">
        <v>376</v>
      </c>
      <c r="C934" s="1520"/>
      <c r="D934" s="1520"/>
      <c r="E934" s="1520"/>
      <c r="F934" s="1520"/>
      <c r="G934" s="1520"/>
      <c r="H934" s="1520"/>
      <c r="I934" s="1520"/>
      <c r="J934" s="1520"/>
    </row>
    <row r="935" spans="1:10" ht="18.75">
      <c r="B935" s="4" t="s">
        <v>1</v>
      </c>
      <c r="C935" s="4" t="s">
        <v>2</v>
      </c>
      <c r="D935" s="4" t="s">
        <v>3</v>
      </c>
      <c r="E935" s="4" t="s">
        <v>132</v>
      </c>
      <c r="F935" s="4" t="s">
        <v>133</v>
      </c>
      <c r="G935" s="4" t="s">
        <v>5</v>
      </c>
      <c r="H935" s="4" t="s">
        <v>6</v>
      </c>
      <c r="I935" s="4" t="s">
        <v>7</v>
      </c>
      <c r="J935" s="4"/>
    </row>
    <row r="936" spans="1:10">
      <c r="B936" s="81">
        <v>45850</v>
      </c>
      <c r="C936" s="80" t="s">
        <v>846</v>
      </c>
      <c r="D936" s="19">
        <v>112</v>
      </c>
      <c r="E936" s="19">
        <v>220</v>
      </c>
      <c r="F936" s="19">
        <f>E936*D936</f>
        <v>24640</v>
      </c>
      <c r="G936" s="19">
        <v>3.61</v>
      </c>
      <c r="H936" s="19">
        <f>E936*G936</f>
        <v>794.19999999999993</v>
      </c>
      <c r="I936" s="19">
        <f>H936*D936</f>
        <v>88950.399999999994</v>
      </c>
      <c r="J936" s="18">
        <f>J935+I936</f>
        <v>88950.399999999994</v>
      </c>
    </row>
    <row r="937" spans="1:10">
      <c r="B937" s="81">
        <v>45850</v>
      </c>
      <c r="C937" s="80" t="s">
        <v>847</v>
      </c>
      <c r="D937" s="19">
        <v>24</v>
      </c>
      <c r="E937" s="19">
        <v>590</v>
      </c>
      <c r="F937" s="19">
        <f>E937*D937</f>
        <v>14160</v>
      </c>
      <c r="G937" s="19">
        <v>3.61</v>
      </c>
      <c r="H937" s="19">
        <f>E937*G937</f>
        <v>2129.9</v>
      </c>
      <c r="I937" s="19">
        <f>H937*D937</f>
        <v>51117.600000000006</v>
      </c>
      <c r="J937" s="18">
        <f>J936+I937</f>
        <v>140068</v>
      </c>
    </row>
    <row r="938" spans="1:10">
      <c r="B938" s="81">
        <v>45850</v>
      </c>
      <c r="C938" s="80" t="s">
        <v>848</v>
      </c>
      <c r="D938" s="19">
        <v>1</v>
      </c>
      <c r="E938" s="19">
        <v>390</v>
      </c>
      <c r="F938" s="19">
        <f>E938*D938</f>
        <v>390</v>
      </c>
      <c r="G938" s="19">
        <v>3.61</v>
      </c>
      <c r="H938" s="19">
        <f>E938*G938</f>
        <v>1407.8999999999999</v>
      </c>
      <c r="I938" s="19">
        <f>H938*D938</f>
        <v>1407.8999999999999</v>
      </c>
      <c r="J938" s="18">
        <f>J937+I938</f>
        <v>141475.9</v>
      </c>
    </row>
    <row r="939" spans="1:10">
      <c r="B939" s="81"/>
      <c r="C939" s="80"/>
      <c r="D939" s="19"/>
      <c r="E939" s="19"/>
      <c r="F939" s="19">
        <f>E939*D939</f>
        <v>0</v>
      </c>
      <c r="G939" s="19">
        <v>3.61</v>
      </c>
      <c r="H939" s="19">
        <f>E939*G939</f>
        <v>0</v>
      </c>
      <c r="I939" s="19">
        <f>H939*D939</f>
        <v>0</v>
      </c>
      <c r="J939" s="18">
        <f>J938+I939</f>
        <v>141475.9</v>
      </c>
    </row>
    <row r="940" spans="1:10">
      <c r="B940" s="81"/>
      <c r="C940" s="80"/>
      <c r="D940" s="19"/>
      <c r="E940" s="19"/>
      <c r="F940" s="19">
        <f>E940*D940</f>
        <v>0</v>
      </c>
      <c r="G940" s="19">
        <v>3.61</v>
      </c>
      <c r="H940" s="19">
        <f>E940*G940</f>
        <v>0</v>
      </c>
      <c r="I940" s="19">
        <f>H940*D940</f>
        <v>0</v>
      </c>
      <c r="J940" s="18">
        <f>J939+I940</f>
        <v>141475.9</v>
      </c>
    </row>
    <row r="943" spans="1:10" ht="21">
      <c r="A943" t="s">
        <v>125</v>
      </c>
      <c r="B943" s="1520" t="s">
        <v>855</v>
      </c>
      <c r="C943" s="1520"/>
      <c r="D943" s="1520"/>
      <c r="E943" s="1520"/>
      <c r="F943" s="1520"/>
      <c r="G943" s="1520"/>
      <c r="H943" s="1520"/>
      <c r="I943" s="1520"/>
      <c r="J943" s="1520"/>
    </row>
    <row r="944" spans="1:10" ht="18.75">
      <c r="B944" s="4" t="s">
        <v>1</v>
      </c>
      <c r="C944" s="4" t="s">
        <v>2</v>
      </c>
      <c r="D944" s="4" t="s">
        <v>3</v>
      </c>
      <c r="E944" s="4" t="s">
        <v>132</v>
      </c>
      <c r="F944" s="4" t="s">
        <v>133</v>
      </c>
      <c r="G944" s="4" t="s">
        <v>5</v>
      </c>
      <c r="H944" s="4" t="s">
        <v>6</v>
      </c>
      <c r="I944" s="4" t="s">
        <v>7</v>
      </c>
      <c r="J944" s="4"/>
    </row>
    <row r="945" spans="1:10">
      <c r="B945" s="81">
        <v>45859</v>
      </c>
      <c r="C945" s="80" t="s">
        <v>846</v>
      </c>
      <c r="D945" s="19">
        <v>9</v>
      </c>
      <c r="E945" s="19">
        <v>220</v>
      </c>
      <c r="F945" s="19">
        <f>E945*D945</f>
        <v>1980</v>
      </c>
      <c r="G945" s="19">
        <v>3.61</v>
      </c>
      <c r="H945" s="19">
        <f>E945*G945</f>
        <v>794.19999999999993</v>
      </c>
      <c r="I945" s="19">
        <f>H945*D945</f>
        <v>7147.7999999999993</v>
      </c>
      <c r="J945" s="18">
        <f>J944+I945</f>
        <v>7147.7999999999993</v>
      </c>
    </row>
    <row r="946" spans="1:10">
      <c r="B946" s="81">
        <v>45859</v>
      </c>
      <c r="C946" s="80" t="s">
        <v>854</v>
      </c>
      <c r="D946" s="19">
        <v>38</v>
      </c>
      <c r="E946" s="19">
        <v>425</v>
      </c>
      <c r="F946" s="19">
        <f>E946*D946</f>
        <v>16150</v>
      </c>
      <c r="G946" s="19">
        <v>3.61</v>
      </c>
      <c r="H946" s="19">
        <f>E946*G946</f>
        <v>1534.25</v>
      </c>
      <c r="I946" s="19">
        <f>H946*D946</f>
        <v>58301.5</v>
      </c>
      <c r="J946" s="18">
        <f>J945+I946</f>
        <v>65449.3</v>
      </c>
    </row>
    <row r="947" spans="1:10">
      <c r="B947" s="81">
        <v>45859</v>
      </c>
      <c r="C947" s="80" t="s">
        <v>806</v>
      </c>
      <c r="D947" s="19">
        <v>35</v>
      </c>
      <c r="E947" s="19">
        <v>590</v>
      </c>
      <c r="F947" s="19">
        <f>E947*D947</f>
        <v>20650</v>
      </c>
      <c r="G947" s="19">
        <v>3.61</v>
      </c>
      <c r="H947" s="19">
        <f>E947*G947</f>
        <v>2129.9</v>
      </c>
      <c r="I947" s="19">
        <f>H947*D947</f>
        <v>74546.5</v>
      </c>
      <c r="J947" s="18">
        <f>J946+I947</f>
        <v>139995.79999999999</v>
      </c>
    </row>
    <row r="948" spans="1:10">
      <c r="B948" s="81">
        <v>45859</v>
      </c>
      <c r="C948" s="80" t="s">
        <v>807</v>
      </c>
      <c r="D948" s="19">
        <v>15</v>
      </c>
      <c r="E948" s="19">
        <v>390</v>
      </c>
      <c r="F948" s="19">
        <f>E948*D948</f>
        <v>5850</v>
      </c>
      <c r="G948" s="19">
        <v>3.61</v>
      </c>
      <c r="H948" s="19">
        <f>E948*G948</f>
        <v>1407.8999999999999</v>
      </c>
      <c r="I948" s="19">
        <f>H948*D948</f>
        <v>21118.499999999996</v>
      </c>
      <c r="J948" s="18">
        <f>J947+I948</f>
        <v>161114.29999999999</v>
      </c>
    </row>
    <row r="949" spans="1:10">
      <c r="B949" s="81">
        <v>45859</v>
      </c>
      <c r="C949" s="80" t="s">
        <v>808</v>
      </c>
      <c r="D949" s="19">
        <v>7</v>
      </c>
      <c r="E949" s="19">
        <v>330</v>
      </c>
      <c r="F949" s="19">
        <f>E949*D949</f>
        <v>2310</v>
      </c>
      <c r="G949" s="19">
        <v>3.61</v>
      </c>
      <c r="H949" s="19">
        <f>E949*G949</f>
        <v>1191.3</v>
      </c>
      <c r="I949" s="19">
        <f>H949*D949</f>
        <v>8339.1</v>
      </c>
      <c r="J949" s="18">
        <f>J948+I949</f>
        <v>169453.4</v>
      </c>
    </row>
    <row r="952" spans="1:10" ht="21">
      <c r="A952" t="s">
        <v>125</v>
      </c>
      <c r="B952" s="1520" t="s">
        <v>376</v>
      </c>
      <c r="C952" s="1520"/>
      <c r="D952" s="1520"/>
      <c r="E952" s="1520"/>
      <c r="F952" s="1520"/>
      <c r="G952" s="1520"/>
      <c r="H952" s="1520"/>
      <c r="I952" s="1520"/>
      <c r="J952" s="1520"/>
    </row>
    <row r="953" spans="1:10" ht="18.75">
      <c r="B953" s="4" t="s">
        <v>1</v>
      </c>
      <c r="C953" s="4" t="s">
        <v>2</v>
      </c>
      <c r="D953" s="4" t="s">
        <v>3</v>
      </c>
      <c r="E953" s="4" t="s">
        <v>132</v>
      </c>
      <c r="F953" s="4" t="s">
        <v>133</v>
      </c>
      <c r="G953" s="4" t="s">
        <v>5</v>
      </c>
      <c r="H953" s="4" t="s">
        <v>6</v>
      </c>
      <c r="I953" s="4" t="s">
        <v>7</v>
      </c>
      <c r="J953" s="4"/>
    </row>
    <row r="954" spans="1:10">
      <c r="B954" s="81"/>
      <c r="C954" s="80"/>
      <c r="D954" s="19"/>
      <c r="E954" s="19"/>
      <c r="F954" s="19">
        <f>E954*D954</f>
        <v>0</v>
      </c>
      <c r="G954" s="19"/>
      <c r="H954" s="19">
        <f>E954*G954</f>
        <v>0</v>
      </c>
      <c r="I954" s="19">
        <f>H954*D954</f>
        <v>0</v>
      </c>
      <c r="J954" s="18">
        <f>J953+I954</f>
        <v>0</v>
      </c>
    </row>
    <row r="955" spans="1:10">
      <c r="B955" s="81">
        <v>45863</v>
      </c>
      <c r="C955" s="80" t="s">
        <v>858</v>
      </c>
      <c r="D955" s="19">
        <v>15</v>
      </c>
      <c r="E955" s="19">
        <v>425</v>
      </c>
      <c r="F955" s="19">
        <f>E955*D955</f>
        <v>6375</v>
      </c>
      <c r="G955" s="19">
        <v>3.61</v>
      </c>
      <c r="H955" s="19">
        <f>E955*G955</f>
        <v>1534.25</v>
      </c>
      <c r="I955" s="19">
        <f>H955*D955</f>
        <v>23013.75</v>
      </c>
      <c r="J955" s="18">
        <f>J954+I955</f>
        <v>23013.75</v>
      </c>
    </row>
    <row r="956" spans="1:10">
      <c r="B956" s="81">
        <v>45863</v>
      </c>
      <c r="C956" s="80" t="s">
        <v>806</v>
      </c>
      <c r="D956" s="19">
        <v>21</v>
      </c>
      <c r="E956" s="19">
        <v>590</v>
      </c>
      <c r="F956" s="19">
        <f>E956*D956</f>
        <v>12390</v>
      </c>
      <c r="G956" s="19">
        <v>3.61</v>
      </c>
      <c r="H956" s="19">
        <f>E956*G956</f>
        <v>2129.9</v>
      </c>
      <c r="I956" s="19">
        <f>H956*D956</f>
        <v>44727.9</v>
      </c>
      <c r="J956" s="18">
        <f>J955+I956</f>
        <v>67741.649999999994</v>
      </c>
    </row>
    <row r="957" spans="1:10">
      <c r="B957" s="81">
        <v>45863</v>
      </c>
      <c r="C957" s="80" t="s">
        <v>807</v>
      </c>
      <c r="D957" s="19">
        <v>3</v>
      </c>
      <c r="E957" s="19">
        <v>390</v>
      </c>
      <c r="F957" s="19">
        <f>E957*D957</f>
        <v>1170</v>
      </c>
      <c r="G957" s="19">
        <v>3.61</v>
      </c>
      <c r="H957" s="19">
        <f>E957*G957</f>
        <v>1407.8999999999999</v>
      </c>
      <c r="I957" s="19">
        <f>H957*D957</f>
        <v>4223.7</v>
      </c>
      <c r="J957" s="18">
        <f>J956+I957</f>
        <v>71965.349999999991</v>
      </c>
    </row>
    <row r="958" spans="1:10">
      <c r="B958" s="81">
        <v>45863</v>
      </c>
      <c r="C958" s="80" t="s">
        <v>808</v>
      </c>
      <c r="D958" s="19">
        <v>6</v>
      </c>
      <c r="E958" s="19">
        <v>340</v>
      </c>
      <c r="F958" s="19">
        <f>E958*D958</f>
        <v>2040</v>
      </c>
      <c r="G958" s="19">
        <v>3.61</v>
      </c>
      <c r="H958" s="19">
        <f>E958*G958</f>
        <v>1227.3999999999999</v>
      </c>
      <c r="I958" s="19">
        <f>H958*D958</f>
        <v>7364.4</v>
      </c>
      <c r="J958" s="18">
        <f>J957+I958</f>
        <v>79329.749999999985</v>
      </c>
    </row>
    <row r="961" spans="1:10" ht="21">
      <c r="A961" t="s">
        <v>125</v>
      </c>
      <c r="B961" s="1520" t="s">
        <v>20</v>
      </c>
      <c r="C961" s="1520"/>
      <c r="D961" s="1520"/>
      <c r="E961" s="1520"/>
      <c r="F961" s="1520"/>
      <c r="G961" s="1520"/>
      <c r="H961" s="1520"/>
      <c r="I961" s="1520"/>
      <c r="J961" s="1520"/>
    </row>
    <row r="962" spans="1:10" ht="18.75">
      <c r="A962" t="s">
        <v>212</v>
      </c>
      <c r="B962" s="4" t="s">
        <v>1</v>
      </c>
      <c r="C962" s="4" t="s">
        <v>2</v>
      </c>
      <c r="D962" s="4" t="s">
        <v>3</v>
      </c>
      <c r="E962" s="4" t="s">
        <v>4</v>
      </c>
      <c r="F962" s="4" t="s">
        <v>36</v>
      </c>
      <c r="G962" s="4" t="s">
        <v>5</v>
      </c>
      <c r="H962" s="4" t="s">
        <v>6</v>
      </c>
      <c r="I962" s="4" t="s">
        <v>7</v>
      </c>
      <c r="J962" s="4"/>
    </row>
    <row r="963" spans="1:10">
      <c r="B963" s="81">
        <v>45832</v>
      </c>
      <c r="C963" s="80" t="s">
        <v>859</v>
      </c>
      <c r="D963" s="19">
        <v>4</v>
      </c>
      <c r="E963" s="19">
        <v>648</v>
      </c>
      <c r="F963" s="19">
        <f>E963*D963</f>
        <v>2592</v>
      </c>
      <c r="G963" s="19">
        <v>2.3805999999999998</v>
      </c>
      <c r="H963" s="19">
        <f>E963*G963</f>
        <v>1542.6288</v>
      </c>
      <c r="I963" s="19">
        <f>H963*D963</f>
        <v>6170.5151999999998</v>
      </c>
      <c r="J963" s="18">
        <f>J962+I963</f>
        <v>6170.5151999999998</v>
      </c>
    </row>
    <row r="964" spans="1:10">
      <c r="B964" s="19"/>
      <c r="C964" s="80"/>
      <c r="D964" s="19"/>
      <c r="E964" s="19"/>
      <c r="F964" s="19">
        <f t="shared" ref="F964:F972" si="222">E964*D964</f>
        <v>0</v>
      </c>
      <c r="G964" s="19"/>
      <c r="H964" s="19">
        <f t="shared" ref="H964:H971" si="223">E964*G964</f>
        <v>0</v>
      </c>
      <c r="I964" s="19">
        <f t="shared" ref="I964:I971" si="224">H964*D964</f>
        <v>0</v>
      </c>
      <c r="J964" s="18">
        <f t="shared" ref="J964:J971" si="225">J963+I964</f>
        <v>6170.5151999999998</v>
      </c>
    </row>
    <row r="965" spans="1:10">
      <c r="B965" s="81">
        <v>45860</v>
      </c>
      <c r="C965" s="80" t="s">
        <v>788</v>
      </c>
      <c r="D965" s="19">
        <v>3</v>
      </c>
      <c r="E965" s="145">
        <v>2885</v>
      </c>
      <c r="F965" s="19">
        <f t="shared" si="222"/>
        <v>8655</v>
      </c>
      <c r="G965" s="19">
        <v>2.3805999999999998</v>
      </c>
      <c r="H965" s="19">
        <f t="shared" si="223"/>
        <v>6868.0309999999999</v>
      </c>
      <c r="I965" s="19">
        <f t="shared" si="224"/>
        <v>20604.093000000001</v>
      </c>
      <c r="J965" s="18">
        <f t="shared" si="225"/>
        <v>26774.608200000002</v>
      </c>
    </row>
    <row r="966" spans="1:10">
      <c r="B966" s="81">
        <v>45860</v>
      </c>
      <c r="C966" s="80" t="s">
        <v>866</v>
      </c>
      <c r="D966" s="19">
        <v>10</v>
      </c>
      <c r="E966" s="145">
        <v>2288</v>
      </c>
      <c r="F966" s="19">
        <f t="shared" si="222"/>
        <v>22880</v>
      </c>
      <c r="G966" s="19">
        <v>2.3805999999999998</v>
      </c>
      <c r="H966" s="19">
        <f t="shared" si="223"/>
        <v>5446.8127999999997</v>
      </c>
      <c r="I966" s="19">
        <f t="shared" si="224"/>
        <v>54468.127999999997</v>
      </c>
      <c r="J966" s="18">
        <f t="shared" si="225"/>
        <v>81242.736199999999</v>
      </c>
    </row>
    <row r="967" spans="1:10">
      <c r="B967" s="81">
        <v>45860</v>
      </c>
      <c r="C967" s="80" t="s">
        <v>867</v>
      </c>
      <c r="D967" s="19">
        <v>30</v>
      </c>
      <c r="E967" s="19">
        <v>560</v>
      </c>
      <c r="F967" s="19">
        <f t="shared" si="222"/>
        <v>16800</v>
      </c>
      <c r="G967" s="19">
        <v>2.3805999999999998</v>
      </c>
      <c r="H967" s="19">
        <f t="shared" si="223"/>
        <v>1333.136</v>
      </c>
      <c r="I967" s="19">
        <f t="shared" si="224"/>
        <v>39994.080000000002</v>
      </c>
      <c r="J967" s="18">
        <f t="shared" si="225"/>
        <v>121236.8162</v>
      </c>
    </row>
    <row r="968" spans="1:10">
      <c r="B968" s="81">
        <v>45860</v>
      </c>
      <c r="C968" s="80" t="s">
        <v>868</v>
      </c>
      <c r="D968" s="19">
        <v>28</v>
      </c>
      <c r="E968" s="19">
        <v>1063</v>
      </c>
      <c r="F968" s="19">
        <f t="shared" si="222"/>
        <v>29764</v>
      </c>
      <c r="G968" s="19">
        <v>2.3805999999999998</v>
      </c>
      <c r="H968" s="19">
        <f t="shared" si="223"/>
        <v>2530.5778</v>
      </c>
      <c r="I968" s="19">
        <f t="shared" si="224"/>
        <v>70856.178400000004</v>
      </c>
      <c r="J968" s="18">
        <f t="shared" si="225"/>
        <v>192092.99460000001</v>
      </c>
    </row>
    <row r="969" spans="1:10">
      <c r="B969" s="81">
        <v>45860</v>
      </c>
      <c r="C969" s="80" t="s">
        <v>869</v>
      </c>
      <c r="D969" s="19">
        <v>1</v>
      </c>
      <c r="E969" s="19">
        <v>433</v>
      </c>
      <c r="F969" s="19">
        <f t="shared" si="222"/>
        <v>433</v>
      </c>
      <c r="G969" s="19">
        <v>2.3805999999999998</v>
      </c>
      <c r="H969" s="19">
        <f t="shared" si="223"/>
        <v>1030.7998</v>
      </c>
      <c r="I969" s="19">
        <f t="shared" si="224"/>
        <v>1030.7998</v>
      </c>
      <c r="J969" s="18">
        <f t="shared" si="225"/>
        <v>193123.79440000001</v>
      </c>
    </row>
    <row r="970" spans="1:10">
      <c r="B970" s="81">
        <v>45860</v>
      </c>
      <c r="C970" s="80" t="s">
        <v>870</v>
      </c>
      <c r="D970" s="19">
        <v>6</v>
      </c>
      <c r="E970" s="19">
        <v>655</v>
      </c>
      <c r="F970" s="19">
        <f t="shared" si="222"/>
        <v>3930</v>
      </c>
      <c r="G970" s="19">
        <v>2.3805999999999998</v>
      </c>
      <c r="H970" s="19">
        <f t="shared" si="223"/>
        <v>1559.2929999999999</v>
      </c>
      <c r="I970" s="19">
        <f t="shared" si="224"/>
        <v>9355.7579999999998</v>
      </c>
      <c r="J970" s="18">
        <f t="shared" si="225"/>
        <v>202479.55240000002</v>
      </c>
    </row>
    <row r="971" spans="1:10">
      <c r="B971" s="81">
        <v>45860</v>
      </c>
      <c r="C971" s="18" t="s">
        <v>871</v>
      </c>
      <c r="D971" s="19">
        <v>3</v>
      </c>
      <c r="E971" s="19">
        <v>679</v>
      </c>
      <c r="F971" s="19">
        <f t="shared" si="222"/>
        <v>2037</v>
      </c>
      <c r="G971" s="19">
        <v>2.3805999999999998</v>
      </c>
      <c r="H971" s="19">
        <f t="shared" si="223"/>
        <v>1616.4273999999998</v>
      </c>
      <c r="I971" s="19">
        <f t="shared" si="224"/>
        <v>4849.2821999999996</v>
      </c>
      <c r="J971" s="18">
        <f t="shared" si="225"/>
        <v>207328.8346</v>
      </c>
    </row>
    <row r="972" spans="1:10">
      <c r="B972" s="81">
        <v>45860</v>
      </c>
      <c r="C972" s="18" t="s">
        <v>872</v>
      </c>
      <c r="D972" s="19">
        <v>1</v>
      </c>
      <c r="E972" s="19">
        <v>1069</v>
      </c>
      <c r="F972" s="19">
        <f t="shared" si="222"/>
        <v>1069</v>
      </c>
      <c r="G972" s="19">
        <v>2.3805999999999998</v>
      </c>
      <c r="H972" s="19">
        <f>E972*G972</f>
        <v>2544.8613999999998</v>
      </c>
      <c r="I972" s="19">
        <f>H972*D972</f>
        <v>2544.8613999999998</v>
      </c>
      <c r="J972" s="18">
        <f>J971+I972</f>
        <v>209873.696</v>
      </c>
    </row>
    <row r="975" spans="1:10" ht="21">
      <c r="A975" t="s">
        <v>125</v>
      </c>
      <c r="B975" s="1520" t="s">
        <v>35</v>
      </c>
      <c r="C975" s="1520"/>
      <c r="D975" s="1520"/>
      <c r="E975" s="1520"/>
      <c r="F975" s="1520"/>
      <c r="G975" s="1520"/>
      <c r="H975" s="1520"/>
      <c r="I975" s="1520"/>
      <c r="J975" s="1520"/>
    </row>
    <row r="976" spans="1:10" ht="18.75">
      <c r="A976" t="s">
        <v>212</v>
      </c>
      <c r="B976" s="4" t="s">
        <v>1</v>
      </c>
      <c r="C976" s="4" t="s">
        <v>2</v>
      </c>
      <c r="D976" s="4" t="s">
        <v>3</v>
      </c>
      <c r="E976" s="4" t="s">
        <v>146</v>
      </c>
      <c r="F976" s="4" t="s">
        <v>145</v>
      </c>
      <c r="G976" s="4" t="s">
        <v>5</v>
      </c>
      <c r="H976" s="4" t="s">
        <v>6</v>
      </c>
      <c r="I976" s="4" t="s">
        <v>7</v>
      </c>
      <c r="J976" s="4"/>
    </row>
    <row r="977" spans="1:10">
      <c r="B977" s="81">
        <v>45854</v>
      </c>
      <c r="C977" s="80" t="s">
        <v>863</v>
      </c>
      <c r="D977" s="19">
        <v>200</v>
      </c>
      <c r="E977" s="19">
        <v>728</v>
      </c>
      <c r="F977" s="19">
        <f>E977*D977</f>
        <v>145600</v>
      </c>
      <c r="G977" s="19">
        <v>2.23</v>
      </c>
      <c r="H977" s="19">
        <f>E977*G977</f>
        <v>1623.44</v>
      </c>
      <c r="I977" s="19">
        <f>H977*D977</f>
        <v>324688</v>
      </c>
      <c r="J977" s="18">
        <f>J976+I977</f>
        <v>324688</v>
      </c>
    </row>
    <row r="978" spans="1:10">
      <c r="B978" s="81">
        <v>45854</v>
      </c>
      <c r="C978" s="80" t="s">
        <v>864</v>
      </c>
      <c r="D978" s="19">
        <v>80</v>
      </c>
      <c r="E978" s="19">
        <v>85</v>
      </c>
      <c r="F978" s="19">
        <f t="shared" ref="F978:F985" si="226">E978*D978</f>
        <v>6800</v>
      </c>
      <c r="G978" s="19">
        <v>2.23</v>
      </c>
      <c r="H978" s="19">
        <f>E978*G978</f>
        <v>189.55</v>
      </c>
      <c r="I978" s="19">
        <f>H978*D978</f>
        <v>15164</v>
      </c>
      <c r="J978" s="18">
        <f>J977+I978</f>
        <v>339852</v>
      </c>
    </row>
    <row r="979" spans="1:10">
      <c r="B979" s="142" t="s">
        <v>305</v>
      </c>
      <c r="C979" s="143" t="s">
        <v>149</v>
      </c>
      <c r="D979" s="142">
        <v>2</v>
      </c>
      <c r="E979" s="142">
        <v>89</v>
      </c>
      <c r="F979" s="142">
        <f t="shared" si="226"/>
        <v>178</v>
      </c>
      <c r="G979" s="142">
        <v>2.23</v>
      </c>
      <c r="H979" s="142">
        <f t="shared" ref="H979:H985" si="227">E979*G979</f>
        <v>198.47</v>
      </c>
      <c r="I979" s="142">
        <f t="shared" ref="I979:I985" si="228">H979*D979</f>
        <v>396.94</v>
      </c>
      <c r="J979" s="143">
        <f t="shared" ref="J979:J985" si="229">J978+I979</f>
        <v>340248.94</v>
      </c>
    </row>
    <row r="980" spans="1:10">
      <c r="B980" s="19"/>
      <c r="C980" s="19"/>
      <c r="D980" s="19"/>
      <c r="E980" s="19"/>
      <c r="F980" s="19">
        <f t="shared" si="226"/>
        <v>0</v>
      </c>
      <c r="G980" s="19">
        <v>2.23</v>
      </c>
      <c r="H980" s="19">
        <f t="shared" si="227"/>
        <v>0</v>
      </c>
      <c r="I980" s="19">
        <f t="shared" si="228"/>
        <v>0</v>
      </c>
      <c r="J980" s="18">
        <f t="shared" si="229"/>
        <v>340248.94</v>
      </c>
    </row>
    <row r="981" spans="1:10">
      <c r="B981" s="19"/>
      <c r="C981" s="19"/>
      <c r="D981" s="19"/>
      <c r="E981" s="19"/>
      <c r="F981" s="19">
        <f t="shared" si="226"/>
        <v>0</v>
      </c>
      <c r="G981" s="19">
        <v>2.23</v>
      </c>
      <c r="H981" s="19">
        <f t="shared" si="227"/>
        <v>0</v>
      </c>
      <c r="I981" s="19">
        <f t="shared" si="228"/>
        <v>0</v>
      </c>
      <c r="J981" s="18">
        <f t="shared" si="229"/>
        <v>340248.94</v>
      </c>
    </row>
    <row r="982" spans="1:10">
      <c r="B982" s="19"/>
      <c r="C982" s="19"/>
      <c r="D982" s="19"/>
      <c r="E982" s="19"/>
      <c r="F982" s="19">
        <f t="shared" si="226"/>
        <v>0</v>
      </c>
      <c r="G982" s="19"/>
      <c r="H982" s="19">
        <f t="shared" si="227"/>
        <v>0</v>
      </c>
      <c r="I982" s="19">
        <f t="shared" si="228"/>
        <v>0</v>
      </c>
      <c r="J982" s="18">
        <f t="shared" si="229"/>
        <v>340248.94</v>
      </c>
    </row>
    <row r="983" spans="1:10">
      <c r="B983" s="19"/>
      <c r="C983" s="19"/>
      <c r="D983" s="19"/>
      <c r="E983" s="19"/>
      <c r="F983" s="19">
        <f t="shared" si="226"/>
        <v>0</v>
      </c>
      <c r="G983" s="19"/>
      <c r="H983" s="19">
        <f t="shared" si="227"/>
        <v>0</v>
      </c>
      <c r="I983" s="19">
        <f t="shared" si="228"/>
        <v>0</v>
      </c>
      <c r="J983" s="18">
        <f t="shared" si="229"/>
        <v>340248.94</v>
      </c>
    </row>
    <row r="984" spans="1:10">
      <c r="B984" s="19"/>
      <c r="C984" s="19"/>
      <c r="D984" s="19"/>
      <c r="E984" s="19"/>
      <c r="F984" s="19">
        <f t="shared" si="226"/>
        <v>0</v>
      </c>
      <c r="G984" s="19"/>
      <c r="H984" s="19">
        <f t="shared" si="227"/>
        <v>0</v>
      </c>
      <c r="I984" s="19">
        <f t="shared" si="228"/>
        <v>0</v>
      </c>
      <c r="J984" s="18">
        <f t="shared" si="229"/>
        <v>340248.94</v>
      </c>
    </row>
    <row r="985" spans="1:10">
      <c r="B985" s="19"/>
      <c r="C985" s="19"/>
      <c r="D985" s="19"/>
      <c r="E985" s="19"/>
      <c r="F985" s="19">
        <f t="shared" si="226"/>
        <v>0</v>
      </c>
      <c r="G985" s="19"/>
      <c r="H985" s="19">
        <f t="shared" si="227"/>
        <v>0</v>
      </c>
      <c r="I985" s="19">
        <f t="shared" si="228"/>
        <v>0</v>
      </c>
      <c r="J985" s="18">
        <f t="shared" si="229"/>
        <v>340248.94</v>
      </c>
    </row>
    <row r="988" spans="1:10" ht="21">
      <c r="A988" t="s">
        <v>125</v>
      </c>
      <c r="B988" s="1520" t="s">
        <v>20</v>
      </c>
      <c r="C988" s="1520"/>
      <c r="D988" s="1520"/>
      <c r="E988" s="1520"/>
      <c r="F988" s="1520"/>
      <c r="G988" s="1520"/>
      <c r="H988" s="1520"/>
      <c r="I988" s="1520"/>
      <c r="J988" s="1520"/>
    </row>
    <row r="989" spans="1:10" ht="18.75">
      <c r="A989" t="s">
        <v>212</v>
      </c>
      <c r="B989" s="4" t="s">
        <v>1</v>
      </c>
      <c r="C989" s="4" t="s">
        <v>2</v>
      </c>
      <c r="D989" s="4" t="s">
        <v>3</v>
      </c>
      <c r="E989" s="4" t="s">
        <v>4</v>
      </c>
      <c r="F989" s="4" t="s">
        <v>36</v>
      </c>
      <c r="G989" s="4" t="s">
        <v>5</v>
      </c>
      <c r="H989" s="4" t="s">
        <v>6</v>
      </c>
      <c r="I989" s="4" t="s">
        <v>7</v>
      </c>
      <c r="J989" s="4"/>
    </row>
    <row r="990" spans="1:10">
      <c r="B990" s="81">
        <v>45862</v>
      </c>
      <c r="C990" s="18" t="s">
        <v>873</v>
      </c>
      <c r="D990" s="19">
        <v>2</v>
      </c>
      <c r="E990" s="19">
        <v>679</v>
      </c>
      <c r="F990" s="19">
        <f>E990*D990</f>
        <v>1358</v>
      </c>
      <c r="G990" s="19">
        <v>2.3805999999999998</v>
      </c>
      <c r="H990" s="19">
        <f>E990*G990</f>
        <v>1616.4273999999998</v>
      </c>
      <c r="I990" s="19">
        <f>H990*D990</f>
        <v>3232.8547999999996</v>
      </c>
      <c r="J990" s="18">
        <f>J989+I990</f>
        <v>3232.8547999999996</v>
      </c>
    </row>
    <row r="991" spans="1:10">
      <c r="B991" s="81">
        <v>45862</v>
      </c>
      <c r="C991" s="18" t="s">
        <v>874</v>
      </c>
      <c r="D991" s="19">
        <v>1</v>
      </c>
      <c r="E991" s="19">
        <v>645</v>
      </c>
      <c r="F991" s="19">
        <f t="shared" ref="F991:F998" si="230">E991*D991</f>
        <v>645</v>
      </c>
      <c r="G991" s="19">
        <v>2.3805999999999998</v>
      </c>
      <c r="H991" s="19">
        <f>E991*G991</f>
        <v>1535.4869999999999</v>
      </c>
      <c r="I991" s="19">
        <f>H991*D991</f>
        <v>1535.4869999999999</v>
      </c>
      <c r="J991" s="18">
        <f>J990+I991</f>
        <v>4768.3417999999992</v>
      </c>
    </row>
    <row r="992" spans="1:10">
      <c r="B992" s="81">
        <v>45866</v>
      </c>
      <c r="C992" s="18" t="s">
        <v>875</v>
      </c>
      <c r="D992" s="19">
        <v>1</v>
      </c>
      <c r="E992" s="19">
        <v>549</v>
      </c>
      <c r="F992" s="19">
        <f t="shared" si="230"/>
        <v>549</v>
      </c>
      <c r="G992" s="19">
        <v>2.3805999999999998</v>
      </c>
      <c r="H992" s="19">
        <f t="shared" ref="H992:H998" si="231">E992*G992</f>
        <v>1306.9494</v>
      </c>
      <c r="I992" s="19">
        <f t="shared" ref="I992:I998" si="232">H992*D992</f>
        <v>1306.9494</v>
      </c>
      <c r="J992" s="18">
        <f t="shared" ref="J992:J998" si="233">J991+I992</f>
        <v>6075.2911999999997</v>
      </c>
    </row>
    <row r="993" spans="1:10">
      <c r="B993" s="81">
        <v>45866</v>
      </c>
      <c r="C993" s="18" t="s">
        <v>876</v>
      </c>
      <c r="D993" s="19">
        <v>1</v>
      </c>
      <c r="E993" s="19">
        <v>684</v>
      </c>
      <c r="F993" s="19">
        <f t="shared" si="230"/>
        <v>684</v>
      </c>
      <c r="G993" s="19">
        <v>2.3805999999999998</v>
      </c>
      <c r="H993" s="19">
        <f t="shared" si="231"/>
        <v>1628.3303999999998</v>
      </c>
      <c r="I993" s="19">
        <f t="shared" si="232"/>
        <v>1628.3303999999998</v>
      </c>
      <c r="J993" s="18">
        <f t="shared" si="233"/>
        <v>7703.6215999999995</v>
      </c>
    </row>
    <row r="994" spans="1:10">
      <c r="B994" s="81">
        <v>45866</v>
      </c>
      <c r="C994" s="18" t="s">
        <v>877</v>
      </c>
      <c r="D994" s="19">
        <v>2</v>
      </c>
      <c r="E994" s="19">
        <v>80</v>
      </c>
      <c r="F994" s="19">
        <f t="shared" si="230"/>
        <v>160</v>
      </c>
      <c r="G994" s="19">
        <v>2.3805999999999998</v>
      </c>
      <c r="H994" s="19">
        <f t="shared" si="231"/>
        <v>190.44799999999998</v>
      </c>
      <c r="I994" s="19">
        <f t="shared" si="232"/>
        <v>380.89599999999996</v>
      </c>
      <c r="J994" s="18">
        <f t="shared" si="233"/>
        <v>8084.5175999999992</v>
      </c>
    </row>
    <row r="995" spans="1:10">
      <c r="B995" s="81">
        <v>45866</v>
      </c>
      <c r="C995" s="18" t="s">
        <v>878</v>
      </c>
      <c r="D995" s="19">
        <v>1</v>
      </c>
      <c r="E995" s="19">
        <v>714</v>
      </c>
      <c r="F995" s="19">
        <f t="shared" si="230"/>
        <v>714</v>
      </c>
      <c r="G995" s="19">
        <v>2.3805999999999998</v>
      </c>
      <c r="H995" s="19">
        <f t="shared" si="231"/>
        <v>1699.7483999999999</v>
      </c>
      <c r="I995" s="19">
        <f t="shared" si="232"/>
        <v>1699.7483999999999</v>
      </c>
      <c r="J995" s="18">
        <f t="shared" si="233"/>
        <v>9784.2659999999996</v>
      </c>
    </row>
    <row r="996" spans="1:10">
      <c r="B996" s="81">
        <v>45866</v>
      </c>
      <c r="C996" s="18" t="s">
        <v>879</v>
      </c>
      <c r="D996" s="19">
        <v>1</v>
      </c>
      <c r="E996" s="19">
        <v>714</v>
      </c>
      <c r="F996" s="19">
        <f t="shared" si="230"/>
        <v>714</v>
      </c>
      <c r="G996" s="19">
        <v>2.3805999999999998</v>
      </c>
      <c r="H996" s="19">
        <f t="shared" si="231"/>
        <v>1699.7483999999999</v>
      </c>
      <c r="I996" s="19">
        <f t="shared" si="232"/>
        <v>1699.7483999999999</v>
      </c>
      <c r="J996" s="18">
        <f t="shared" si="233"/>
        <v>11484.0144</v>
      </c>
    </row>
    <row r="997" spans="1:10">
      <c r="B997" s="96">
        <v>45866</v>
      </c>
      <c r="C997" s="110" t="s">
        <v>880</v>
      </c>
      <c r="D997" s="127">
        <v>2</v>
      </c>
      <c r="E997" s="127">
        <v>574</v>
      </c>
      <c r="F997" s="127">
        <f t="shared" si="230"/>
        <v>1148</v>
      </c>
      <c r="G997" s="127">
        <v>2.3805999999999998</v>
      </c>
      <c r="H997" s="127">
        <f t="shared" si="231"/>
        <v>1366.4643999999998</v>
      </c>
      <c r="I997" s="127">
        <f t="shared" si="232"/>
        <v>2732.9287999999997</v>
      </c>
      <c r="J997" s="110">
        <f t="shared" si="233"/>
        <v>14216.9432</v>
      </c>
    </row>
    <row r="998" spans="1:10">
      <c r="B998" s="19"/>
      <c r="C998" s="19"/>
      <c r="D998" s="19"/>
      <c r="E998" s="19"/>
      <c r="F998" s="19">
        <f t="shared" si="230"/>
        <v>0</v>
      </c>
      <c r="G998" s="19"/>
      <c r="H998" s="19">
        <f t="shared" si="231"/>
        <v>0</v>
      </c>
      <c r="I998" s="19">
        <f t="shared" si="232"/>
        <v>0</v>
      </c>
      <c r="J998" s="18">
        <f t="shared" si="233"/>
        <v>14216.9432</v>
      </c>
    </row>
    <row r="1001" spans="1:10" ht="21">
      <c r="A1001" t="s">
        <v>125</v>
      </c>
      <c r="B1001" s="1520" t="s">
        <v>20</v>
      </c>
      <c r="C1001" s="1520"/>
      <c r="D1001" s="1520"/>
      <c r="E1001" s="1520"/>
      <c r="F1001" s="1520"/>
      <c r="G1001" s="1520"/>
      <c r="H1001" s="1520"/>
      <c r="I1001" s="1520"/>
      <c r="J1001" s="1520"/>
    </row>
    <row r="1002" spans="1:10" ht="18.75">
      <c r="A1002" t="s">
        <v>212</v>
      </c>
      <c r="B1002" s="4" t="s">
        <v>1</v>
      </c>
      <c r="C1002" s="4" t="s">
        <v>2</v>
      </c>
      <c r="D1002" s="4" t="s">
        <v>3</v>
      </c>
      <c r="E1002" s="4" t="s">
        <v>4</v>
      </c>
      <c r="F1002" s="4" t="s">
        <v>36</v>
      </c>
      <c r="G1002" s="4" t="s">
        <v>5</v>
      </c>
      <c r="H1002" s="4" t="s">
        <v>6</v>
      </c>
      <c r="I1002" s="4" t="s">
        <v>7</v>
      </c>
      <c r="J1002" s="4"/>
    </row>
    <row r="1003" spans="1:10">
      <c r="B1003" s="81">
        <v>45867</v>
      </c>
      <c r="C1003" s="80" t="s">
        <v>884</v>
      </c>
      <c r="D1003" s="19">
        <v>2</v>
      </c>
      <c r="E1003" s="19">
        <v>574</v>
      </c>
      <c r="F1003" s="19">
        <f>E1003*D1003</f>
        <v>1148</v>
      </c>
      <c r="G1003" s="19">
        <v>2.37805</v>
      </c>
      <c r="H1003" s="19">
        <f>E1003*G1003</f>
        <v>1365.0007000000001</v>
      </c>
      <c r="I1003" s="19">
        <f>H1003*D1003</f>
        <v>2730.0014000000001</v>
      </c>
      <c r="J1003" s="18">
        <f>J1002+I1003</f>
        <v>2730.0014000000001</v>
      </c>
    </row>
    <row r="1004" spans="1:10">
      <c r="B1004" s="81">
        <v>45867</v>
      </c>
      <c r="C1004" s="80" t="s">
        <v>885</v>
      </c>
      <c r="D1004" s="19">
        <v>2</v>
      </c>
      <c r="E1004" s="19">
        <v>549</v>
      </c>
      <c r="F1004" s="19">
        <f t="shared" ref="F1004:F1011" si="234">E1004*D1004</f>
        <v>1098</v>
      </c>
      <c r="G1004" s="19">
        <v>2.37805</v>
      </c>
      <c r="H1004" s="19">
        <f t="shared" ref="H1004:H1011" si="235">E1004*G1004</f>
        <v>1305.54945</v>
      </c>
      <c r="I1004" s="19">
        <f t="shared" ref="I1004:I1011" si="236">H1004*D1004</f>
        <v>2611.0989</v>
      </c>
      <c r="J1004" s="18">
        <f t="shared" ref="J1004:J1011" si="237">J1003+I1004</f>
        <v>5341.1003000000001</v>
      </c>
    </row>
    <row r="1005" spans="1:10">
      <c r="B1005" s="96">
        <v>45867</v>
      </c>
      <c r="C1005" s="138" t="s">
        <v>891</v>
      </c>
      <c r="D1005" s="127">
        <v>1</v>
      </c>
      <c r="E1005" s="127">
        <v>549</v>
      </c>
      <c r="F1005" s="127">
        <f t="shared" si="234"/>
        <v>549</v>
      </c>
      <c r="G1005" s="127">
        <v>2.37805</v>
      </c>
      <c r="H1005" s="127">
        <f t="shared" si="235"/>
        <v>1305.54945</v>
      </c>
      <c r="I1005" s="127">
        <f t="shared" si="236"/>
        <v>1305.54945</v>
      </c>
      <c r="J1005" s="110">
        <f t="shared" si="237"/>
        <v>6646.6497500000005</v>
      </c>
    </row>
    <row r="1006" spans="1:10">
      <c r="B1006" s="96">
        <v>45867</v>
      </c>
      <c r="C1006" s="138" t="s">
        <v>890</v>
      </c>
      <c r="D1006" s="127">
        <v>1</v>
      </c>
      <c r="E1006" s="127">
        <v>549</v>
      </c>
      <c r="F1006" s="127">
        <f t="shared" si="234"/>
        <v>549</v>
      </c>
      <c r="G1006" s="127">
        <v>2.37805</v>
      </c>
      <c r="H1006" s="127">
        <f t="shared" si="235"/>
        <v>1305.54945</v>
      </c>
      <c r="I1006" s="127">
        <f t="shared" si="236"/>
        <v>1305.54945</v>
      </c>
      <c r="J1006" s="110">
        <f t="shared" si="237"/>
        <v>7952.1992000000009</v>
      </c>
    </row>
    <row r="1007" spans="1:10">
      <c r="B1007" s="81">
        <v>45867</v>
      </c>
      <c r="C1007" s="80" t="s">
        <v>886</v>
      </c>
      <c r="D1007" s="19">
        <v>1</v>
      </c>
      <c r="E1007" s="19">
        <v>549</v>
      </c>
      <c r="F1007" s="19">
        <f t="shared" si="234"/>
        <v>549</v>
      </c>
      <c r="G1007" s="19">
        <v>2.37805</v>
      </c>
      <c r="H1007" s="19">
        <f t="shared" si="235"/>
        <v>1305.54945</v>
      </c>
      <c r="I1007" s="19">
        <f t="shared" si="236"/>
        <v>1305.54945</v>
      </c>
      <c r="J1007" s="18">
        <f t="shared" si="237"/>
        <v>9257.7486500000014</v>
      </c>
    </row>
    <row r="1008" spans="1:10">
      <c r="B1008" s="81">
        <v>45867</v>
      </c>
      <c r="C1008" s="80" t="s">
        <v>887</v>
      </c>
      <c r="D1008" s="19">
        <v>2</v>
      </c>
      <c r="E1008" s="19">
        <v>574</v>
      </c>
      <c r="F1008" s="19">
        <f t="shared" si="234"/>
        <v>1148</v>
      </c>
      <c r="G1008" s="19">
        <v>2.37805</v>
      </c>
      <c r="H1008" s="19">
        <f t="shared" si="235"/>
        <v>1365.0007000000001</v>
      </c>
      <c r="I1008" s="19">
        <f t="shared" si="236"/>
        <v>2730.0014000000001</v>
      </c>
      <c r="J1008" s="18">
        <f t="shared" si="237"/>
        <v>11987.750050000002</v>
      </c>
    </row>
    <row r="1009" spans="1:12">
      <c r="B1009" s="81">
        <v>45867</v>
      </c>
      <c r="C1009" s="80" t="s">
        <v>888</v>
      </c>
      <c r="D1009" s="19">
        <v>2</v>
      </c>
      <c r="E1009" s="19">
        <v>574</v>
      </c>
      <c r="F1009" s="19">
        <f t="shared" si="234"/>
        <v>1148</v>
      </c>
      <c r="G1009" s="19">
        <v>2.37805</v>
      </c>
      <c r="H1009" s="19">
        <f t="shared" si="235"/>
        <v>1365.0007000000001</v>
      </c>
      <c r="I1009" s="19">
        <f t="shared" si="236"/>
        <v>2730.0014000000001</v>
      </c>
      <c r="J1009" s="18">
        <f t="shared" si="237"/>
        <v>14717.751450000003</v>
      </c>
    </row>
    <row r="1010" spans="1:12">
      <c r="B1010" s="180">
        <v>45867</v>
      </c>
      <c r="C1010" s="379" t="s">
        <v>1011</v>
      </c>
      <c r="D1010" s="182"/>
      <c r="E1010" s="182"/>
      <c r="F1010" s="182">
        <f t="shared" si="234"/>
        <v>0</v>
      </c>
      <c r="G1010" s="182">
        <v>2.37805</v>
      </c>
      <c r="H1010" s="182">
        <f t="shared" si="235"/>
        <v>0</v>
      </c>
      <c r="I1010" s="182">
        <f t="shared" si="236"/>
        <v>0</v>
      </c>
      <c r="J1010" s="183">
        <f t="shared" si="237"/>
        <v>14717.751450000003</v>
      </c>
    </row>
    <row r="1011" spans="1:12">
      <c r="B1011" s="81">
        <v>45867</v>
      </c>
      <c r="C1011" s="80" t="s">
        <v>889</v>
      </c>
      <c r="D1011" s="19">
        <v>2</v>
      </c>
      <c r="E1011" s="19">
        <v>574</v>
      </c>
      <c r="F1011" s="19">
        <f t="shared" si="234"/>
        <v>1148</v>
      </c>
      <c r="G1011" s="19">
        <v>2.37805</v>
      </c>
      <c r="H1011" s="19">
        <f t="shared" si="235"/>
        <v>1365.0007000000001</v>
      </c>
      <c r="I1011" s="19">
        <f t="shared" si="236"/>
        <v>2730.0014000000001</v>
      </c>
      <c r="J1011" s="18">
        <f t="shared" si="237"/>
        <v>17447.752850000004</v>
      </c>
      <c r="L1011">
        <v>1521.5</v>
      </c>
    </row>
    <row r="1012" spans="1:12">
      <c r="L1012">
        <v>1620</v>
      </c>
    </row>
    <row r="1013" spans="1:12">
      <c r="L1013">
        <v>1635</v>
      </c>
    </row>
    <row r="1014" spans="1:12" ht="21">
      <c r="A1014" t="s">
        <v>125</v>
      </c>
      <c r="B1014" s="1520" t="s">
        <v>35</v>
      </c>
      <c r="C1014" s="1520"/>
      <c r="D1014" s="1520"/>
      <c r="E1014" s="1520"/>
      <c r="F1014" s="1520"/>
      <c r="G1014" s="1520"/>
      <c r="H1014" s="1520"/>
      <c r="I1014" s="1520"/>
      <c r="J1014" s="1520"/>
      <c r="L1014">
        <v>1586.75</v>
      </c>
    </row>
    <row r="1015" spans="1:12" ht="18.75">
      <c r="A1015" t="s">
        <v>212</v>
      </c>
      <c r="B1015" s="4" t="s">
        <v>1</v>
      </c>
      <c r="C1015" s="4" t="s">
        <v>2</v>
      </c>
      <c r="D1015" s="4" t="s">
        <v>3</v>
      </c>
      <c r="E1015" s="4" t="s">
        <v>146</v>
      </c>
      <c r="F1015" s="4" t="s">
        <v>145</v>
      </c>
      <c r="G1015" s="4" t="s">
        <v>5</v>
      </c>
      <c r="H1015" s="4" t="s">
        <v>6</v>
      </c>
      <c r="I1015" s="4" t="s">
        <v>7</v>
      </c>
      <c r="J1015" s="4"/>
    </row>
    <row r="1016" spans="1:12">
      <c r="B1016" s="96">
        <v>45861</v>
      </c>
      <c r="C1016" s="110" t="s">
        <v>897</v>
      </c>
      <c r="D1016" s="127">
        <v>10</v>
      </c>
      <c r="E1016" s="127">
        <v>1448.98</v>
      </c>
      <c r="F1016" s="127">
        <f t="shared" ref="F1016:F1024" si="238">E1016*D1016</f>
        <v>14489.8</v>
      </c>
      <c r="G1016" s="127">
        <v>2.23</v>
      </c>
      <c r="H1016" s="127">
        <f t="shared" ref="H1016:H1024" si="239">E1016*G1016</f>
        <v>3231.2253999999998</v>
      </c>
      <c r="I1016" s="127">
        <f t="shared" ref="I1016:I1024" si="240">H1016*D1016</f>
        <v>32312.253999999997</v>
      </c>
      <c r="J1016" s="110">
        <f>J1015+I1016</f>
        <v>32312.253999999997</v>
      </c>
    </row>
    <row r="1017" spans="1:12">
      <c r="B1017" s="96">
        <v>45862</v>
      </c>
      <c r="C1017" s="110" t="s">
        <v>898</v>
      </c>
      <c r="D1017" s="127">
        <v>5</v>
      </c>
      <c r="E1017" s="127">
        <v>1448.98</v>
      </c>
      <c r="F1017" s="127">
        <f t="shared" si="238"/>
        <v>7244.9</v>
      </c>
      <c r="G1017" s="127">
        <v>2.23</v>
      </c>
      <c r="H1017" s="127">
        <f t="shared" si="239"/>
        <v>3231.2253999999998</v>
      </c>
      <c r="I1017" s="127">
        <f t="shared" si="240"/>
        <v>16156.126999999999</v>
      </c>
      <c r="J1017" s="110">
        <f t="shared" ref="J1017:J1024" si="241">J1016+I1017</f>
        <v>48468.380999999994</v>
      </c>
    </row>
    <row r="1018" spans="1:12">
      <c r="B1018" s="96">
        <v>45863</v>
      </c>
      <c r="C1018" s="110" t="s">
        <v>894</v>
      </c>
      <c r="D1018" s="127">
        <v>2</v>
      </c>
      <c r="E1018" s="127">
        <v>852</v>
      </c>
      <c r="F1018" s="127">
        <f t="shared" si="238"/>
        <v>1704</v>
      </c>
      <c r="G1018" s="127">
        <v>2.23</v>
      </c>
      <c r="H1018" s="127">
        <f t="shared" si="239"/>
        <v>1899.96</v>
      </c>
      <c r="I1018" s="127">
        <f t="shared" si="240"/>
        <v>3799.92</v>
      </c>
      <c r="J1018" s="110">
        <f t="shared" si="241"/>
        <v>52268.300999999992</v>
      </c>
    </row>
    <row r="1019" spans="1:12">
      <c r="B1019" s="96">
        <v>45862</v>
      </c>
      <c r="C1019" s="110" t="s">
        <v>895</v>
      </c>
      <c r="D1019" s="127">
        <v>1</v>
      </c>
      <c r="E1019" s="127">
        <v>1359</v>
      </c>
      <c r="F1019" s="127">
        <f t="shared" si="238"/>
        <v>1359</v>
      </c>
      <c r="G1019" s="127">
        <v>2.23</v>
      </c>
      <c r="H1019" s="127">
        <f t="shared" si="239"/>
        <v>3030.57</v>
      </c>
      <c r="I1019" s="127">
        <f t="shared" si="240"/>
        <v>3030.57</v>
      </c>
      <c r="J1019" s="110">
        <f t="shared" si="241"/>
        <v>55298.870999999992</v>
      </c>
    </row>
    <row r="1020" spans="1:12">
      <c r="B1020" s="96">
        <v>45865</v>
      </c>
      <c r="C1020" s="110" t="s">
        <v>896</v>
      </c>
      <c r="D1020" s="337">
        <v>20</v>
      </c>
      <c r="E1020" s="337">
        <v>720</v>
      </c>
      <c r="F1020" s="127">
        <f t="shared" si="238"/>
        <v>14400</v>
      </c>
      <c r="G1020" s="127">
        <v>2.23</v>
      </c>
      <c r="H1020" s="127">
        <f t="shared" si="239"/>
        <v>1605.6</v>
      </c>
      <c r="I1020" s="127">
        <f t="shared" si="240"/>
        <v>32112</v>
      </c>
      <c r="J1020" s="110">
        <f t="shared" si="241"/>
        <v>87410.870999999985</v>
      </c>
    </row>
    <row r="1021" spans="1:12">
      <c r="B1021" s="127" t="s">
        <v>899</v>
      </c>
      <c r="C1021" s="138" t="s">
        <v>900</v>
      </c>
      <c r="D1021" s="127">
        <v>1</v>
      </c>
      <c r="E1021" s="127">
        <v>1359</v>
      </c>
      <c r="F1021" s="127">
        <f t="shared" si="238"/>
        <v>1359</v>
      </c>
      <c r="G1021" s="127">
        <v>2.23</v>
      </c>
      <c r="H1021" s="127">
        <f t="shared" si="239"/>
        <v>3030.57</v>
      </c>
      <c r="I1021" s="127">
        <f t="shared" si="240"/>
        <v>3030.57</v>
      </c>
      <c r="J1021" s="110">
        <f t="shared" si="241"/>
        <v>90441.440999999992</v>
      </c>
    </row>
    <row r="1022" spans="1:12">
      <c r="B1022" s="19"/>
      <c r="C1022" s="19"/>
      <c r="D1022" s="19"/>
      <c r="E1022" s="19"/>
      <c r="F1022" s="19">
        <f t="shared" si="238"/>
        <v>0</v>
      </c>
      <c r="G1022" s="19"/>
      <c r="H1022" s="19">
        <f t="shared" si="239"/>
        <v>0</v>
      </c>
      <c r="I1022" s="19">
        <f t="shared" si="240"/>
        <v>0</v>
      </c>
      <c r="J1022" s="18">
        <f t="shared" si="241"/>
        <v>90441.440999999992</v>
      </c>
    </row>
    <row r="1023" spans="1:12">
      <c r="B1023" s="19"/>
      <c r="C1023" s="19"/>
      <c r="D1023" s="19"/>
      <c r="E1023" s="19"/>
      <c r="F1023" s="19">
        <f t="shared" si="238"/>
        <v>0</v>
      </c>
      <c r="G1023" s="19"/>
      <c r="H1023" s="19">
        <f t="shared" si="239"/>
        <v>0</v>
      </c>
      <c r="I1023" s="19">
        <f t="shared" si="240"/>
        <v>0</v>
      </c>
      <c r="J1023" s="18">
        <f t="shared" si="241"/>
        <v>90441.440999999992</v>
      </c>
    </row>
    <row r="1024" spans="1:12">
      <c r="B1024" s="19"/>
      <c r="C1024" s="19"/>
      <c r="D1024" s="19"/>
      <c r="E1024" s="19"/>
      <c r="F1024" s="19">
        <f t="shared" si="238"/>
        <v>0</v>
      </c>
      <c r="G1024" s="19"/>
      <c r="H1024" s="19">
        <f t="shared" si="239"/>
        <v>0</v>
      </c>
      <c r="I1024" s="19">
        <f t="shared" si="240"/>
        <v>0</v>
      </c>
      <c r="J1024" s="18">
        <f t="shared" si="241"/>
        <v>90441.440999999992</v>
      </c>
    </row>
    <row r="1026" spans="1:11" ht="21">
      <c r="A1026" t="s">
        <v>125</v>
      </c>
      <c r="B1026" s="1520" t="s">
        <v>376</v>
      </c>
      <c r="C1026" s="1520"/>
      <c r="D1026" s="1520"/>
      <c r="E1026" s="1520"/>
      <c r="F1026" s="1520"/>
      <c r="G1026" s="1520"/>
      <c r="H1026" s="1520"/>
      <c r="I1026" s="1520"/>
      <c r="J1026" s="1520"/>
      <c r="K1026" t="s">
        <v>1611</v>
      </c>
    </row>
    <row r="1027" spans="1:11" ht="18.75">
      <c r="B1027" s="4" t="s">
        <v>1</v>
      </c>
      <c r="C1027" s="4" t="s">
        <v>2</v>
      </c>
      <c r="D1027" s="4" t="s">
        <v>3</v>
      </c>
      <c r="E1027" s="4" t="s">
        <v>132</v>
      </c>
      <c r="F1027" s="4" t="s">
        <v>133</v>
      </c>
      <c r="G1027" s="4" t="s">
        <v>5</v>
      </c>
      <c r="H1027" s="4" t="s">
        <v>6</v>
      </c>
      <c r="I1027" s="4" t="s">
        <v>7</v>
      </c>
      <c r="J1027" s="4"/>
    </row>
    <row r="1028" spans="1:11">
      <c r="B1028" s="140">
        <v>45871</v>
      </c>
      <c r="C1028" s="141" t="s">
        <v>806</v>
      </c>
      <c r="D1028" s="142">
        <v>24</v>
      </c>
      <c r="E1028" s="19">
        <v>590</v>
      </c>
      <c r="F1028" s="19">
        <f>E1028*D1028</f>
        <v>14160</v>
      </c>
      <c r="G1028" s="19">
        <v>3.61</v>
      </c>
      <c r="H1028" s="19">
        <f>E1028*G1028</f>
        <v>2129.9</v>
      </c>
      <c r="I1028" s="19">
        <f>F1028*G1028</f>
        <v>51117.599999999999</v>
      </c>
      <c r="J1028" s="18">
        <f>J1027+I1028</f>
        <v>51117.599999999999</v>
      </c>
    </row>
    <row r="1029" spans="1:11">
      <c r="B1029" s="140">
        <v>45871</v>
      </c>
      <c r="C1029" s="141" t="s">
        <v>807</v>
      </c>
      <c r="D1029" s="142">
        <v>30</v>
      </c>
      <c r="E1029" s="19">
        <v>390</v>
      </c>
      <c r="F1029" s="19">
        <f t="shared" ref="F1029:F1036" si="242">E1029*D1029</f>
        <v>11700</v>
      </c>
      <c r="G1029" s="19">
        <v>3.61</v>
      </c>
      <c r="H1029" s="19">
        <f t="shared" ref="H1029:H1036" si="243">E1029*G1029</f>
        <v>1407.8999999999999</v>
      </c>
      <c r="I1029" s="19">
        <f t="shared" ref="I1029:I1036" si="244">F1029*G1029</f>
        <v>42237</v>
      </c>
      <c r="J1029" s="18">
        <f t="shared" ref="J1029:J1036" si="245">J1028+I1029</f>
        <v>93354.6</v>
      </c>
    </row>
    <row r="1030" spans="1:11">
      <c r="B1030" s="140">
        <v>45871</v>
      </c>
      <c r="C1030" s="141" t="s">
        <v>808</v>
      </c>
      <c r="D1030" s="142">
        <v>13</v>
      </c>
      <c r="E1030" s="19">
        <v>330</v>
      </c>
      <c r="F1030" s="19">
        <f t="shared" si="242"/>
        <v>4290</v>
      </c>
      <c r="G1030" s="19">
        <v>3.61</v>
      </c>
      <c r="H1030" s="19">
        <f t="shared" si="243"/>
        <v>1191.3</v>
      </c>
      <c r="I1030" s="19">
        <f t="shared" si="244"/>
        <v>15486.9</v>
      </c>
      <c r="J1030" s="18">
        <f t="shared" si="245"/>
        <v>108841.5</v>
      </c>
    </row>
    <row r="1031" spans="1:11">
      <c r="B1031" s="140">
        <v>45871</v>
      </c>
      <c r="C1031" s="141" t="s">
        <v>858</v>
      </c>
      <c r="D1031" s="142">
        <v>5</v>
      </c>
      <c r="E1031" s="19">
        <v>425</v>
      </c>
      <c r="F1031" s="19">
        <f t="shared" si="242"/>
        <v>2125</v>
      </c>
      <c r="G1031" s="19">
        <v>3.61</v>
      </c>
      <c r="H1031" s="19">
        <f t="shared" si="243"/>
        <v>1534.25</v>
      </c>
      <c r="I1031" s="19">
        <f t="shared" si="244"/>
        <v>7671.25</v>
      </c>
      <c r="J1031" s="18">
        <f t="shared" si="245"/>
        <v>116512.75</v>
      </c>
    </row>
    <row r="1032" spans="1:11">
      <c r="B1032" s="140">
        <v>45871</v>
      </c>
      <c r="C1032" s="141" t="s">
        <v>383</v>
      </c>
      <c r="D1032" s="142">
        <v>2</v>
      </c>
      <c r="E1032" s="19">
        <v>140</v>
      </c>
      <c r="F1032" s="19">
        <f t="shared" si="242"/>
        <v>280</v>
      </c>
      <c r="G1032" s="19">
        <v>3.61</v>
      </c>
      <c r="H1032" s="19">
        <f t="shared" si="243"/>
        <v>505.4</v>
      </c>
      <c r="I1032" s="19">
        <f t="shared" si="244"/>
        <v>1010.8</v>
      </c>
      <c r="J1032" s="18">
        <f t="shared" si="245"/>
        <v>117523.55</v>
      </c>
    </row>
    <row r="1033" spans="1:11">
      <c r="B1033" s="140">
        <v>45871</v>
      </c>
      <c r="C1033" s="141" t="s">
        <v>964</v>
      </c>
      <c r="D1033" s="142">
        <v>2</v>
      </c>
      <c r="E1033" s="19">
        <v>445</v>
      </c>
      <c r="F1033" s="19">
        <f t="shared" si="242"/>
        <v>890</v>
      </c>
      <c r="G1033" s="19">
        <v>3.61</v>
      </c>
      <c r="H1033" s="19">
        <f t="shared" si="243"/>
        <v>1606.45</v>
      </c>
      <c r="I1033" s="19">
        <f t="shared" si="244"/>
        <v>3212.9</v>
      </c>
      <c r="J1033" s="18">
        <f t="shared" si="245"/>
        <v>120736.45</v>
      </c>
    </row>
    <row r="1034" spans="1:11">
      <c r="B1034" s="218">
        <v>45871</v>
      </c>
      <c r="C1034" s="141" t="s">
        <v>134</v>
      </c>
      <c r="D1034" s="359">
        <v>4</v>
      </c>
      <c r="E1034" s="19">
        <v>710</v>
      </c>
      <c r="F1034" s="19">
        <f t="shared" si="242"/>
        <v>2840</v>
      </c>
      <c r="G1034" s="19">
        <v>3.61</v>
      </c>
      <c r="H1034" s="19">
        <f t="shared" si="243"/>
        <v>2563.1</v>
      </c>
      <c r="I1034" s="19">
        <f t="shared" si="244"/>
        <v>10252.4</v>
      </c>
      <c r="J1034" s="18">
        <f t="shared" si="245"/>
        <v>130988.84999999999</v>
      </c>
    </row>
    <row r="1035" spans="1:11">
      <c r="B1035" s="218">
        <v>45871</v>
      </c>
      <c r="C1035" s="571" t="s">
        <v>919</v>
      </c>
      <c r="D1035" s="359">
        <v>3</v>
      </c>
      <c r="E1035" s="19">
        <v>1040</v>
      </c>
      <c r="F1035" s="19">
        <f t="shared" si="242"/>
        <v>3120</v>
      </c>
      <c r="G1035" s="19">
        <v>3.61</v>
      </c>
      <c r="H1035" s="19">
        <f t="shared" si="243"/>
        <v>3754.4</v>
      </c>
      <c r="I1035" s="19">
        <f t="shared" si="244"/>
        <v>11263.199999999999</v>
      </c>
      <c r="J1035" s="18">
        <f t="shared" si="245"/>
        <v>142252.04999999999</v>
      </c>
    </row>
    <row r="1036" spans="1:11">
      <c r="B1036" s="218">
        <v>45871</v>
      </c>
      <c r="C1036" s="571" t="s">
        <v>961</v>
      </c>
      <c r="D1036" s="359">
        <v>14</v>
      </c>
      <c r="E1036" s="19">
        <v>35</v>
      </c>
      <c r="F1036" s="19">
        <f t="shared" si="242"/>
        <v>490</v>
      </c>
      <c r="G1036" s="19">
        <v>3.61</v>
      </c>
      <c r="H1036" s="19">
        <f t="shared" si="243"/>
        <v>126.35</v>
      </c>
      <c r="I1036" s="19">
        <f t="shared" si="244"/>
        <v>1768.8999999999999</v>
      </c>
      <c r="J1036" s="18">
        <f t="shared" si="245"/>
        <v>144020.94999999998</v>
      </c>
    </row>
    <row r="1038" spans="1:11" ht="21">
      <c r="A1038" t="s">
        <v>125</v>
      </c>
      <c r="B1038" s="1523" t="s">
        <v>376</v>
      </c>
      <c r="C1038" s="1523"/>
      <c r="D1038" s="1523"/>
      <c r="E1038" s="1523"/>
      <c r="F1038" s="1523"/>
      <c r="G1038" s="1523"/>
      <c r="H1038" s="1523"/>
      <c r="I1038" s="1523"/>
      <c r="J1038" s="1523"/>
      <c r="K1038" t="s">
        <v>1610</v>
      </c>
    </row>
    <row r="1039" spans="1:11" ht="18.75">
      <c r="B1039" s="365" t="s">
        <v>1</v>
      </c>
      <c r="C1039" s="365" t="s">
        <v>2</v>
      </c>
      <c r="D1039" s="365" t="s">
        <v>3</v>
      </c>
      <c r="E1039" s="365" t="s">
        <v>132</v>
      </c>
      <c r="F1039" s="365" t="s">
        <v>133</v>
      </c>
      <c r="G1039" s="365" t="s">
        <v>5</v>
      </c>
      <c r="H1039" s="365" t="s">
        <v>6</v>
      </c>
      <c r="I1039" s="365" t="s">
        <v>7</v>
      </c>
      <c r="J1039" s="365"/>
    </row>
    <row r="1040" spans="1:11">
      <c r="B1040" s="81"/>
      <c r="C1040" s="80"/>
      <c r="D1040" s="19"/>
      <c r="E1040" s="19"/>
      <c r="F1040" s="19">
        <f>E1040*D1040</f>
        <v>0</v>
      </c>
      <c r="G1040" s="19"/>
      <c r="H1040" s="19">
        <f t="shared" ref="H1040:H1047" si="246">E1040*G1040</f>
        <v>0</v>
      </c>
      <c r="I1040" s="19">
        <f t="shared" ref="I1040:I1047" si="247">H1040*D1040</f>
        <v>0</v>
      </c>
      <c r="J1040" s="18"/>
    </row>
    <row r="1041" spans="1:10">
      <c r="B1041" s="81">
        <v>45863</v>
      </c>
      <c r="C1041" s="141" t="s">
        <v>808</v>
      </c>
      <c r="D1041" s="19">
        <v>12</v>
      </c>
      <c r="E1041" s="19">
        <v>330</v>
      </c>
      <c r="F1041" s="19">
        <f t="shared" ref="F1041:F1053" si="248">E1041*D1041</f>
        <v>3960</v>
      </c>
      <c r="G1041" s="19">
        <v>3.61</v>
      </c>
      <c r="H1041" s="19">
        <f t="shared" si="246"/>
        <v>1191.3</v>
      </c>
      <c r="I1041" s="19">
        <f t="shared" si="247"/>
        <v>14295.599999999999</v>
      </c>
      <c r="J1041" s="18">
        <f>J1040+I1041</f>
        <v>14295.599999999999</v>
      </c>
    </row>
    <row r="1042" spans="1:10">
      <c r="B1042" s="81">
        <v>45863</v>
      </c>
      <c r="C1042" s="141" t="s">
        <v>808</v>
      </c>
      <c r="D1042" s="19">
        <v>6</v>
      </c>
      <c r="E1042" s="19">
        <v>330</v>
      </c>
      <c r="F1042" s="19">
        <f t="shared" si="248"/>
        <v>1980</v>
      </c>
      <c r="G1042" s="19">
        <v>3.61</v>
      </c>
      <c r="H1042" s="19">
        <f t="shared" si="246"/>
        <v>1191.3</v>
      </c>
      <c r="I1042" s="19">
        <f t="shared" si="247"/>
        <v>7147.7999999999993</v>
      </c>
      <c r="J1042" s="18">
        <f t="shared" ref="J1042:J1053" si="249">J1041+I1042</f>
        <v>21443.399999999998</v>
      </c>
    </row>
    <row r="1043" spans="1:10">
      <c r="B1043" s="81">
        <v>45863</v>
      </c>
      <c r="C1043" s="141" t="s">
        <v>806</v>
      </c>
      <c r="D1043" s="19">
        <v>14</v>
      </c>
      <c r="E1043" s="19">
        <v>590</v>
      </c>
      <c r="F1043" s="19">
        <f t="shared" si="248"/>
        <v>8260</v>
      </c>
      <c r="G1043" s="19">
        <v>3.61</v>
      </c>
      <c r="H1043" s="19">
        <f t="shared" si="246"/>
        <v>2129.9</v>
      </c>
      <c r="I1043" s="19">
        <f t="shared" si="247"/>
        <v>29818.600000000002</v>
      </c>
      <c r="J1043" s="18">
        <f t="shared" si="249"/>
        <v>51262</v>
      </c>
    </row>
    <row r="1044" spans="1:10">
      <c r="B1044" s="81">
        <v>45863</v>
      </c>
      <c r="C1044" s="141" t="s">
        <v>807</v>
      </c>
      <c r="D1044" s="19">
        <v>21</v>
      </c>
      <c r="E1044" s="19">
        <v>390</v>
      </c>
      <c r="F1044" s="19">
        <f t="shared" si="248"/>
        <v>8190</v>
      </c>
      <c r="G1044" s="19">
        <v>3.61</v>
      </c>
      <c r="H1044" s="19">
        <f t="shared" si="246"/>
        <v>1407.8999999999999</v>
      </c>
      <c r="I1044" s="19">
        <f t="shared" si="247"/>
        <v>29565.899999999998</v>
      </c>
      <c r="J1044" s="18">
        <f t="shared" si="249"/>
        <v>80827.899999999994</v>
      </c>
    </row>
    <row r="1045" spans="1:10">
      <c r="B1045" s="81">
        <v>45863</v>
      </c>
      <c r="C1045" s="141" t="s">
        <v>858</v>
      </c>
      <c r="D1045" s="19">
        <v>14</v>
      </c>
      <c r="E1045" s="19">
        <v>425</v>
      </c>
      <c r="F1045" s="19">
        <f t="shared" si="248"/>
        <v>5950</v>
      </c>
      <c r="G1045" s="19">
        <v>3.61</v>
      </c>
      <c r="H1045" s="19">
        <f t="shared" si="246"/>
        <v>1534.25</v>
      </c>
      <c r="I1045" s="19">
        <f t="shared" si="247"/>
        <v>21479.5</v>
      </c>
      <c r="J1045" s="18">
        <f t="shared" si="249"/>
        <v>102307.4</v>
      </c>
    </row>
    <row r="1046" spans="1:10">
      <c r="B1046" s="81">
        <v>45863</v>
      </c>
      <c r="C1046" s="141" t="s">
        <v>963</v>
      </c>
      <c r="D1046" s="19">
        <v>5</v>
      </c>
      <c r="E1046" s="19">
        <v>470</v>
      </c>
      <c r="F1046" s="19">
        <f t="shared" si="248"/>
        <v>2350</v>
      </c>
      <c r="G1046" s="19">
        <v>3.61</v>
      </c>
      <c r="H1046" s="19">
        <f t="shared" si="246"/>
        <v>1696.7</v>
      </c>
      <c r="I1046" s="19">
        <f t="shared" si="247"/>
        <v>8483.5</v>
      </c>
      <c r="J1046" s="18">
        <f t="shared" si="249"/>
        <v>110790.9</v>
      </c>
    </row>
    <row r="1047" spans="1:10">
      <c r="B1047" s="81">
        <v>45863</v>
      </c>
      <c r="C1047" s="141" t="s">
        <v>964</v>
      </c>
      <c r="D1047" s="19">
        <v>6</v>
      </c>
      <c r="E1047" s="19">
        <v>445</v>
      </c>
      <c r="F1047" s="19">
        <f t="shared" si="248"/>
        <v>2670</v>
      </c>
      <c r="G1047" s="19">
        <v>3.61</v>
      </c>
      <c r="H1047" s="19">
        <f t="shared" si="246"/>
        <v>1606.45</v>
      </c>
      <c r="I1047" s="19">
        <f t="shared" si="247"/>
        <v>9638.7000000000007</v>
      </c>
      <c r="J1047" s="18">
        <f t="shared" si="249"/>
        <v>120429.59999999999</v>
      </c>
    </row>
    <row r="1048" spans="1:10">
      <c r="B1048" s="81">
        <v>45863</v>
      </c>
      <c r="C1048" s="141" t="s">
        <v>965</v>
      </c>
      <c r="D1048" s="19">
        <v>3</v>
      </c>
      <c r="E1048" s="19">
        <v>1000</v>
      </c>
      <c r="F1048" s="19">
        <f t="shared" si="248"/>
        <v>3000</v>
      </c>
      <c r="G1048" s="19">
        <v>3.61</v>
      </c>
      <c r="H1048" s="19">
        <f t="shared" ref="H1048:H1053" si="250">E1048*G1048</f>
        <v>3610</v>
      </c>
      <c r="I1048" s="19">
        <f t="shared" ref="I1048:I1053" si="251">H1048*D1048</f>
        <v>10830</v>
      </c>
      <c r="J1048" s="18">
        <f t="shared" si="249"/>
        <v>131259.59999999998</v>
      </c>
    </row>
    <row r="1049" spans="1:10">
      <c r="B1049" s="81">
        <v>45863</v>
      </c>
      <c r="C1049" s="141" t="s">
        <v>966</v>
      </c>
      <c r="D1049" s="19">
        <v>1</v>
      </c>
      <c r="E1049" s="19">
        <v>470</v>
      </c>
      <c r="F1049" s="19">
        <f t="shared" si="248"/>
        <v>470</v>
      </c>
      <c r="G1049" s="19">
        <v>3.61</v>
      </c>
      <c r="H1049" s="19">
        <f t="shared" si="250"/>
        <v>1696.7</v>
      </c>
      <c r="I1049" s="19">
        <f t="shared" si="251"/>
        <v>1696.7</v>
      </c>
      <c r="J1049" s="18">
        <f t="shared" si="249"/>
        <v>132956.29999999999</v>
      </c>
    </row>
    <row r="1050" spans="1:10">
      <c r="B1050" s="81">
        <v>45863</v>
      </c>
      <c r="C1050" s="141" t="s">
        <v>967</v>
      </c>
      <c r="D1050" s="19">
        <v>1</v>
      </c>
      <c r="E1050" s="19">
        <v>420</v>
      </c>
      <c r="F1050" s="19">
        <f t="shared" si="248"/>
        <v>420</v>
      </c>
      <c r="G1050" s="19">
        <v>3.61</v>
      </c>
      <c r="H1050" s="19">
        <f t="shared" si="250"/>
        <v>1516.2</v>
      </c>
      <c r="I1050" s="19">
        <f t="shared" si="251"/>
        <v>1516.2</v>
      </c>
      <c r="J1050" s="18">
        <f t="shared" si="249"/>
        <v>134472.5</v>
      </c>
    </row>
    <row r="1051" spans="1:10">
      <c r="B1051" s="81">
        <v>45863</v>
      </c>
      <c r="C1051" s="141" t="s">
        <v>134</v>
      </c>
      <c r="D1051" s="19">
        <v>4</v>
      </c>
      <c r="E1051" s="19">
        <v>685</v>
      </c>
      <c r="F1051" s="19">
        <f t="shared" si="248"/>
        <v>2740</v>
      </c>
      <c r="G1051" s="19">
        <v>3.61</v>
      </c>
      <c r="H1051" s="19">
        <f t="shared" si="250"/>
        <v>2472.85</v>
      </c>
      <c r="I1051" s="19">
        <f t="shared" si="251"/>
        <v>9891.4</v>
      </c>
      <c r="J1051" s="18">
        <f t="shared" si="249"/>
        <v>144363.9</v>
      </c>
    </row>
    <row r="1052" spans="1:10">
      <c r="B1052" s="81">
        <v>45863</v>
      </c>
      <c r="C1052" s="141" t="s">
        <v>978</v>
      </c>
      <c r="D1052" s="19">
        <v>2</v>
      </c>
      <c r="E1052" s="19">
        <v>550</v>
      </c>
      <c r="F1052" s="19">
        <f t="shared" si="248"/>
        <v>1100</v>
      </c>
      <c r="G1052" s="19">
        <v>3.61</v>
      </c>
      <c r="H1052" s="19">
        <f t="shared" si="250"/>
        <v>1985.5</v>
      </c>
      <c r="I1052" s="19">
        <f t="shared" si="251"/>
        <v>3971</v>
      </c>
      <c r="J1052" s="18">
        <f t="shared" si="249"/>
        <v>148334.9</v>
      </c>
    </row>
    <row r="1053" spans="1:10">
      <c r="B1053" s="81">
        <v>45863</v>
      </c>
      <c r="C1053" s="141" t="s">
        <v>979</v>
      </c>
      <c r="D1053" s="19">
        <v>2</v>
      </c>
      <c r="E1053" s="19">
        <v>635</v>
      </c>
      <c r="F1053" s="19">
        <f t="shared" si="248"/>
        <v>1270</v>
      </c>
      <c r="G1053" s="19">
        <v>3.61</v>
      </c>
      <c r="H1053" s="19">
        <f t="shared" si="250"/>
        <v>2292.35</v>
      </c>
      <c r="I1053" s="19">
        <f t="shared" si="251"/>
        <v>4584.7</v>
      </c>
      <c r="J1053" s="18">
        <f t="shared" si="249"/>
        <v>152919.6</v>
      </c>
    </row>
    <row r="1054" spans="1:10">
      <c r="J1054" s="18">
        <f>J1053+I1054</f>
        <v>152919.6</v>
      </c>
    </row>
    <row r="1056" spans="1:10" ht="21">
      <c r="A1056" t="s">
        <v>125</v>
      </c>
      <c r="B1056" s="1520" t="s">
        <v>20</v>
      </c>
      <c r="C1056" s="1520"/>
      <c r="D1056" s="1520"/>
      <c r="E1056" s="1520"/>
      <c r="F1056" s="1520"/>
      <c r="G1056" s="1520"/>
      <c r="H1056" s="1520"/>
      <c r="I1056" s="1520"/>
      <c r="J1056" s="1520"/>
    </row>
    <row r="1057" spans="1:10" ht="18.75">
      <c r="A1057" t="s">
        <v>26</v>
      </c>
      <c r="B1057" s="4" t="s">
        <v>1</v>
      </c>
      <c r="C1057" s="4" t="s">
        <v>2</v>
      </c>
      <c r="D1057" s="4" t="s">
        <v>3</v>
      </c>
      <c r="E1057" s="4" t="s">
        <v>4</v>
      </c>
      <c r="F1057" s="4" t="s">
        <v>36</v>
      </c>
      <c r="G1057" s="4" t="s">
        <v>5</v>
      </c>
      <c r="H1057" s="4" t="s">
        <v>6</v>
      </c>
      <c r="I1057" s="4" t="s">
        <v>7</v>
      </c>
      <c r="J1057" s="4"/>
    </row>
    <row r="1058" spans="1:10">
      <c r="B1058" s="81">
        <v>45869</v>
      </c>
      <c r="C1058" s="230" t="s">
        <v>1000</v>
      </c>
      <c r="D1058" s="19">
        <v>4</v>
      </c>
      <c r="E1058" s="374">
        <v>574</v>
      </c>
      <c r="F1058" s="19">
        <f>E1058*D1058</f>
        <v>2296</v>
      </c>
      <c r="G1058" s="19">
        <v>2.3774000000000002</v>
      </c>
      <c r="H1058" s="19">
        <f>E1058*G1058</f>
        <v>1364.6276</v>
      </c>
      <c r="I1058" s="19">
        <f>H1058*D1058</f>
        <v>5458.5104000000001</v>
      </c>
      <c r="J1058" s="18">
        <f>J1057+I1058</f>
        <v>5458.5104000000001</v>
      </c>
    </row>
    <row r="1059" spans="1:10">
      <c r="B1059" s="105">
        <v>45869</v>
      </c>
      <c r="C1059" s="373" t="s">
        <v>1007</v>
      </c>
      <c r="D1059" s="304">
        <v>2</v>
      </c>
      <c r="E1059" s="304">
        <v>640</v>
      </c>
      <c r="F1059" s="304">
        <f t="shared" ref="F1059:F1066" si="252">E1059*D1059</f>
        <v>1280</v>
      </c>
      <c r="G1059" s="304">
        <v>2.3774000000000002</v>
      </c>
      <c r="H1059" s="304">
        <f t="shared" ref="H1059:H1066" si="253">E1059*G1059</f>
        <v>1521.5360000000001</v>
      </c>
      <c r="I1059" s="304">
        <f t="shared" ref="I1059:I1066" si="254">H1059*D1059</f>
        <v>3043.0720000000001</v>
      </c>
      <c r="J1059" s="94">
        <f t="shared" ref="J1059:J1066" si="255">J1058+I1059</f>
        <v>8501.5823999999993</v>
      </c>
    </row>
    <row r="1060" spans="1:10">
      <c r="B1060" s="81">
        <v>45869</v>
      </c>
      <c r="C1060" s="230" t="s">
        <v>1001</v>
      </c>
      <c r="D1060" s="19">
        <v>2</v>
      </c>
      <c r="E1060" s="374">
        <v>714</v>
      </c>
      <c r="F1060" s="19">
        <f t="shared" si="252"/>
        <v>1428</v>
      </c>
      <c r="G1060" s="19">
        <v>2.3774000000000002</v>
      </c>
      <c r="H1060" s="19">
        <f t="shared" si="253"/>
        <v>1697.4636</v>
      </c>
      <c r="I1060" s="19">
        <f t="shared" si="254"/>
        <v>3394.9272000000001</v>
      </c>
      <c r="J1060" s="18">
        <f t="shared" si="255"/>
        <v>11896.509599999999</v>
      </c>
    </row>
    <row r="1061" spans="1:10">
      <c r="B1061" s="81">
        <v>45869</v>
      </c>
      <c r="C1061" s="230" t="s">
        <v>1002</v>
      </c>
      <c r="D1061" s="19">
        <v>2</v>
      </c>
      <c r="E1061" s="374">
        <v>574</v>
      </c>
      <c r="F1061" s="19">
        <f t="shared" si="252"/>
        <v>1148</v>
      </c>
      <c r="G1061" s="19">
        <v>2.3774000000000002</v>
      </c>
      <c r="H1061" s="19">
        <f t="shared" si="253"/>
        <v>1364.6276</v>
      </c>
      <c r="I1061" s="19">
        <f t="shared" si="254"/>
        <v>2729.2552000000001</v>
      </c>
      <c r="J1061" s="18">
        <f t="shared" si="255"/>
        <v>14625.764799999999</v>
      </c>
    </row>
    <row r="1062" spans="1:10">
      <c r="B1062" s="81">
        <v>45869</v>
      </c>
      <c r="C1062" s="230" t="s">
        <v>1003</v>
      </c>
      <c r="D1062" s="19">
        <v>2</v>
      </c>
      <c r="E1062" s="374">
        <v>549</v>
      </c>
      <c r="F1062" s="19">
        <f t="shared" si="252"/>
        <v>1098</v>
      </c>
      <c r="G1062" s="19">
        <v>2.3774000000000002</v>
      </c>
      <c r="H1062" s="19">
        <f t="shared" si="253"/>
        <v>1305.1926000000001</v>
      </c>
      <c r="I1062" s="19">
        <f t="shared" si="254"/>
        <v>2610.3852000000002</v>
      </c>
      <c r="J1062" s="18">
        <f t="shared" si="255"/>
        <v>17236.149999999998</v>
      </c>
    </row>
    <row r="1063" spans="1:10">
      <c r="B1063" s="81">
        <v>45869</v>
      </c>
      <c r="C1063" s="230" t="s">
        <v>1008</v>
      </c>
      <c r="D1063" s="19">
        <v>6</v>
      </c>
      <c r="E1063" s="374">
        <v>87</v>
      </c>
      <c r="F1063" s="19">
        <f t="shared" si="252"/>
        <v>522</v>
      </c>
      <c r="G1063" s="19">
        <v>2.3774000000000002</v>
      </c>
      <c r="H1063" s="19">
        <f t="shared" si="253"/>
        <v>206.83380000000002</v>
      </c>
      <c r="I1063" s="19">
        <f t="shared" si="254"/>
        <v>1241.0028000000002</v>
      </c>
      <c r="J1063" s="18">
        <f t="shared" si="255"/>
        <v>18477.152799999996</v>
      </c>
    </row>
    <row r="1064" spans="1:10">
      <c r="B1064" s="81">
        <v>45869</v>
      </c>
      <c r="C1064" s="230" t="s">
        <v>1005</v>
      </c>
      <c r="D1064" s="19">
        <v>4</v>
      </c>
      <c r="E1064" s="374">
        <v>51</v>
      </c>
      <c r="F1064" s="19">
        <f t="shared" si="252"/>
        <v>204</v>
      </c>
      <c r="G1064" s="19">
        <v>2.3774000000000002</v>
      </c>
      <c r="H1064" s="19">
        <f t="shared" si="253"/>
        <v>121.24740000000001</v>
      </c>
      <c r="I1064" s="19">
        <f t="shared" si="254"/>
        <v>484.98960000000005</v>
      </c>
      <c r="J1064" s="18">
        <f t="shared" si="255"/>
        <v>18962.142399999997</v>
      </c>
    </row>
    <row r="1065" spans="1:10">
      <c r="B1065" s="81">
        <v>45869</v>
      </c>
      <c r="C1065" s="230" t="s">
        <v>1006</v>
      </c>
      <c r="D1065" s="19">
        <v>7</v>
      </c>
      <c r="E1065" s="374">
        <v>19</v>
      </c>
      <c r="F1065" s="19">
        <f t="shared" si="252"/>
        <v>133</v>
      </c>
      <c r="G1065" s="19">
        <v>2.3774000000000002</v>
      </c>
      <c r="H1065" s="19">
        <f t="shared" si="253"/>
        <v>45.1706</v>
      </c>
      <c r="I1065" s="19">
        <f t="shared" si="254"/>
        <v>316.19420000000002</v>
      </c>
      <c r="J1065" s="18">
        <f t="shared" si="255"/>
        <v>19278.336599999999</v>
      </c>
    </row>
    <row r="1066" spans="1:10">
      <c r="B1066" s="19"/>
      <c r="C1066" s="19"/>
      <c r="D1066" s="19"/>
      <c r="E1066" s="19"/>
      <c r="F1066" s="19">
        <f t="shared" si="252"/>
        <v>0</v>
      </c>
      <c r="G1066" s="19"/>
      <c r="H1066" s="19">
        <f t="shared" si="253"/>
        <v>0</v>
      </c>
      <c r="I1066" s="19">
        <f t="shared" si="254"/>
        <v>0</v>
      </c>
      <c r="J1066" s="18">
        <f t="shared" si="255"/>
        <v>19278.336599999999</v>
      </c>
    </row>
    <row r="1069" spans="1:10" ht="21">
      <c r="A1069" t="s">
        <v>125</v>
      </c>
      <c r="B1069" s="1520" t="s">
        <v>35</v>
      </c>
      <c r="C1069" s="1520"/>
      <c r="D1069" s="1520"/>
      <c r="E1069" s="1520"/>
      <c r="F1069" s="1520"/>
      <c r="G1069" s="1520"/>
      <c r="H1069" s="1520"/>
      <c r="I1069" s="1520"/>
      <c r="J1069" s="1520"/>
    </row>
    <row r="1070" spans="1:10" ht="18.75">
      <c r="A1070" t="s">
        <v>26</v>
      </c>
      <c r="B1070" s="4" t="s">
        <v>1</v>
      </c>
      <c r="C1070" s="4" t="s">
        <v>2</v>
      </c>
      <c r="D1070" s="4" t="s">
        <v>3</v>
      </c>
      <c r="E1070" s="4" t="s">
        <v>146</v>
      </c>
      <c r="F1070" s="4" t="s">
        <v>145</v>
      </c>
      <c r="G1070" s="4" t="s">
        <v>5</v>
      </c>
      <c r="H1070" s="4" t="s">
        <v>6</v>
      </c>
      <c r="I1070" s="4" t="s">
        <v>7</v>
      </c>
      <c r="J1070" s="4"/>
    </row>
    <row r="1071" spans="1:10">
      <c r="B1071" s="96">
        <v>45864</v>
      </c>
      <c r="C1071" s="110" t="s">
        <v>1009</v>
      </c>
      <c r="D1071" s="127">
        <v>10</v>
      </c>
      <c r="E1071" s="127">
        <v>738</v>
      </c>
      <c r="F1071" s="127">
        <f t="shared" ref="F1071:F1078" si="256">E1071*D1071</f>
        <v>7380</v>
      </c>
      <c r="G1071" s="127">
        <v>2.23</v>
      </c>
      <c r="H1071" s="127">
        <f t="shared" ref="H1071:H1078" si="257">E1071*G1071</f>
        <v>1645.74</v>
      </c>
      <c r="I1071" s="127">
        <f t="shared" ref="I1071:I1078" si="258">H1071*D1071</f>
        <v>16457.400000000001</v>
      </c>
      <c r="J1071" s="110">
        <f>J1070+I1071</f>
        <v>16457.400000000001</v>
      </c>
    </row>
    <row r="1072" spans="1:10">
      <c r="B1072" s="96">
        <v>45864</v>
      </c>
      <c r="C1072" s="110" t="s">
        <v>1010</v>
      </c>
      <c r="D1072" s="127">
        <v>10</v>
      </c>
      <c r="E1072" s="127">
        <v>738</v>
      </c>
      <c r="F1072" s="127">
        <f t="shared" si="256"/>
        <v>7380</v>
      </c>
      <c r="G1072" s="127">
        <v>2.23</v>
      </c>
      <c r="H1072" s="127">
        <f t="shared" si="257"/>
        <v>1645.74</v>
      </c>
      <c r="I1072" s="127">
        <f t="shared" si="258"/>
        <v>16457.400000000001</v>
      </c>
      <c r="J1072" s="110">
        <f t="shared" ref="J1072:J1078" si="259">J1071+I1072</f>
        <v>32914.800000000003</v>
      </c>
    </row>
    <row r="1073" spans="1:10">
      <c r="B1073" s="81"/>
      <c r="C1073" s="18"/>
      <c r="D1073" s="19"/>
      <c r="E1073" s="19"/>
      <c r="F1073" s="19">
        <f t="shared" si="256"/>
        <v>0</v>
      </c>
      <c r="G1073" s="19">
        <v>2.23</v>
      </c>
      <c r="H1073" s="19">
        <f t="shared" si="257"/>
        <v>0</v>
      </c>
      <c r="I1073" s="19">
        <f t="shared" si="258"/>
        <v>0</v>
      </c>
      <c r="J1073" s="18">
        <f t="shared" si="259"/>
        <v>32914.800000000003</v>
      </c>
    </row>
    <row r="1074" spans="1:10">
      <c r="B1074" s="81"/>
      <c r="C1074" s="18"/>
      <c r="D1074" s="19"/>
      <c r="E1074" s="19"/>
      <c r="F1074" s="19">
        <f t="shared" si="256"/>
        <v>0</v>
      </c>
      <c r="G1074" s="19">
        <v>2.23</v>
      </c>
      <c r="H1074" s="19">
        <f t="shared" si="257"/>
        <v>0</v>
      </c>
      <c r="I1074" s="19">
        <f t="shared" si="258"/>
        <v>0</v>
      </c>
      <c r="J1074" s="18">
        <f t="shared" si="259"/>
        <v>32914.800000000003</v>
      </c>
    </row>
    <row r="1075" spans="1:10">
      <c r="B1075" s="81"/>
      <c r="C1075" s="18"/>
      <c r="D1075" s="375"/>
      <c r="E1075" s="375"/>
      <c r="F1075" s="19">
        <f t="shared" si="256"/>
        <v>0</v>
      </c>
      <c r="G1075" s="19">
        <v>2.23</v>
      </c>
      <c r="H1075" s="19">
        <f t="shared" si="257"/>
        <v>0</v>
      </c>
      <c r="I1075" s="19">
        <f t="shared" si="258"/>
        <v>0</v>
      </c>
      <c r="J1075" s="18">
        <f t="shared" si="259"/>
        <v>32914.800000000003</v>
      </c>
    </row>
    <row r="1076" spans="1:10">
      <c r="B1076" s="19"/>
      <c r="C1076" s="80"/>
      <c r="D1076" s="19"/>
      <c r="E1076" s="19"/>
      <c r="F1076" s="19">
        <f t="shared" si="256"/>
        <v>0</v>
      </c>
      <c r="G1076" s="19">
        <v>2.23</v>
      </c>
      <c r="H1076" s="19">
        <f t="shared" si="257"/>
        <v>0</v>
      </c>
      <c r="I1076" s="19">
        <f t="shared" si="258"/>
        <v>0</v>
      </c>
      <c r="J1076" s="18">
        <f t="shared" si="259"/>
        <v>32914.800000000003</v>
      </c>
    </row>
    <row r="1077" spans="1:10">
      <c r="B1077" s="19"/>
      <c r="C1077" s="19"/>
      <c r="D1077" s="19"/>
      <c r="E1077" s="19"/>
      <c r="F1077" s="19">
        <f t="shared" si="256"/>
        <v>0</v>
      </c>
      <c r="G1077" s="19"/>
      <c r="H1077" s="19">
        <f t="shared" si="257"/>
        <v>0</v>
      </c>
      <c r="I1077" s="19">
        <f t="shared" si="258"/>
        <v>0</v>
      </c>
      <c r="J1077" s="18">
        <f t="shared" si="259"/>
        <v>32914.800000000003</v>
      </c>
    </row>
    <row r="1078" spans="1:10">
      <c r="B1078" s="19"/>
      <c r="C1078" s="19"/>
      <c r="D1078" s="19"/>
      <c r="E1078" s="19"/>
      <c r="F1078" s="19">
        <f t="shared" si="256"/>
        <v>0</v>
      </c>
      <c r="G1078" s="19"/>
      <c r="H1078" s="19">
        <f t="shared" si="257"/>
        <v>0</v>
      </c>
      <c r="I1078" s="19">
        <f t="shared" si="258"/>
        <v>0</v>
      </c>
      <c r="J1078" s="18">
        <f t="shared" si="259"/>
        <v>32914.800000000003</v>
      </c>
    </row>
    <row r="1082" spans="1:10" ht="21">
      <c r="A1082" t="s">
        <v>125</v>
      </c>
      <c r="B1082" s="1520" t="s">
        <v>20</v>
      </c>
      <c r="C1082" s="1520"/>
      <c r="D1082" s="1520"/>
      <c r="E1082" s="1520"/>
      <c r="F1082" s="1520"/>
      <c r="G1082" s="1520"/>
      <c r="H1082" s="1520"/>
      <c r="I1082" s="1520"/>
      <c r="J1082" s="1520"/>
    </row>
    <row r="1083" spans="1:10" ht="18.75">
      <c r="A1083" t="s">
        <v>26</v>
      </c>
      <c r="B1083" s="4" t="s">
        <v>1</v>
      </c>
      <c r="C1083" s="4" t="s">
        <v>2</v>
      </c>
      <c r="D1083" s="4" t="s">
        <v>3</v>
      </c>
      <c r="E1083" s="4" t="s">
        <v>4</v>
      </c>
      <c r="F1083" s="4" t="s">
        <v>36</v>
      </c>
      <c r="G1083" s="4" t="s">
        <v>5</v>
      </c>
      <c r="H1083" s="4" t="s">
        <v>6</v>
      </c>
      <c r="I1083" s="4" t="s">
        <v>7</v>
      </c>
      <c r="J1083" s="4"/>
    </row>
    <row r="1084" spans="1:10">
      <c r="B1084" s="81">
        <v>45873</v>
      </c>
      <c r="C1084" s="18" t="s">
        <v>1015</v>
      </c>
      <c r="D1084" s="19">
        <v>1</v>
      </c>
      <c r="E1084" s="19">
        <v>285</v>
      </c>
      <c r="F1084" s="19">
        <f>E1084*D1084</f>
        <v>285</v>
      </c>
      <c r="G1084" s="19">
        <v>2.3774000000000002</v>
      </c>
      <c r="H1084" s="19">
        <f>E1084*G1084</f>
        <v>677.55900000000008</v>
      </c>
      <c r="I1084" s="19">
        <f>H1084*D1084</f>
        <v>677.55900000000008</v>
      </c>
      <c r="J1084" s="18">
        <f>J1083+I1084</f>
        <v>677.55900000000008</v>
      </c>
    </row>
    <row r="1085" spans="1:10">
      <c r="B1085" s="81">
        <v>45873</v>
      </c>
      <c r="C1085" s="18" t="s">
        <v>1015</v>
      </c>
      <c r="D1085" s="19">
        <v>2</v>
      </c>
      <c r="E1085" s="19">
        <v>285</v>
      </c>
      <c r="F1085" s="19">
        <f t="shared" ref="F1085:F1092" si="260">E1085*D1085</f>
        <v>570</v>
      </c>
      <c r="G1085" s="19">
        <v>2.3774000000000002</v>
      </c>
      <c r="H1085" s="19">
        <f t="shared" ref="H1085:H1092" si="261">E1085*G1085</f>
        <v>677.55900000000008</v>
      </c>
      <c r="I1085" s="19">
        <f t="shared" ref="I1085:I1092" si="262">H1085*D1085</f>
        <v>1355.1180000000002</v>
      </c>
      <c r="J1085" s="18">
        <f t="shared" ref="J1085:J1092" si="263">J1084+I1085</f>
        <v>2032.6770000000001</v>
      </c>
    </row>
    <row r="1086" spans="1:10">
      <c r="B1086" s="81">
        <v>45875</v>
      </c>
      <c r="C1086" s="18" t="s">
        <v>1016</v>
      </c>
      <c r="D1086" s="19">
        <v>1</v>
      </c>
      <c r="E1086" s="19">
        <v>274</v>
      </c>
      <c r="F1086" s="19">
        <f t="shared" si="260"/>
        <v>274</v>
      </c>
      <c r="G1086" s="19">
        <v>2.3774000000000002</v>
      </c>
      <c r="H1086" s="19">
        <f t="shared" si="261"/>
        <v>651.4076</v>
      </c>
      <c r="I1086" s="19">
        <f t="shared" si="262"/>
        <v>651.4076</v>
      </c>
      <c r="J1086" s="18">
        <f t="shared" si="263"/>
        <v>2684.0846000000001</v>
      </c>
    </row>
    <row r="1087" spans="1:10">
      <c r="B1087" s="96">
        <v>45876</v>
      </c>
      <c r="C1087" s="110" t="s">
        <v>1020</v>
      </c>
      <c r="D1087" s="127">
        <v>30</v>
      </c>
      <c r="E1087" s="127">
        <v>274</v>
      </c>
      <c r="F1087" s="127">
        <f t="shared" si="260"/>
        <v>8220</v>
      </c>
      <c r="G1087" s="127">
        <v>2.3774000000000002</v>
      </c>
      <c r="H1087" s="127">
        <f t="shared" si="261"/>
        <v>651.4076</v>
      </c>
      <c r="I1087" s="127">
        <f t="shared" si="262"/>
        <v>19542.227999999999</v>
      </c>
      <c r="J1087" s="110">
        <f t="shared" si="263"/>
        <v>22226.312599999997</v>
      </c>
    </row>
    <row r="1088" spans="1:10">
      <c r="B1088" s="81">
        <v>45880</v>
      </c>
      <c r="C1088" s="18" t="s">
        <v>1017</v>
      </c>
      <c r="D1088" s="19">
        <v>4</v>
      </c>
      <c r="E1088" s="19">
        <v>274</v>
      </c>
      <c r="F1088" s="19">
        <f t="shared" si="260"/>
        <v>1096</v>
      </c>
      <c r="G1088" s="19">
        <v>2.3774000000000002</v>
      </c>
      <c r="H1088" s="19">
        <f t="shared" si="261"/>
        <v>651.4076</v>
      </c>
      <c r="I1088" s="19">
        <f t="shared" si="262"/>
        <v>2605.6304</v>
      </c>
      <c r="J1088" s="18">
        <f t="shared" si="263"/>
        <v>24831.942999999999</v>
      </c>
    </row>
    <row r="1089" spans="1:10">
      <c r="B1089" s="81">
        <v>45880</v>
      </c>
      <c r="C1089" s="18" t="s">
        <v>1018</v>
      </c>
      <c r="D1089" s="19">
        <v>4</v>
      </c>
      <c r="E1089" s="19">
        <v>274</v>
      </c>
      <c r="F1089" s="19">
        <f t="shared" si="260"/>
        <v>1096</v>
      </c>
      <c r="G1089" s="19">
        <v>2.3774000000000002</v>
      </c>
      <c r="H1089" s="19">
        <f t="shared" si="261"/>
        <v>651.4076</v>
      </c>
      <c r="I1089" s="19">
        <f t="shared" si="262"/>
        <v>2605.6304</v>
      </c>
      <c r="J1089" s="18">
        <f t="shared" si="263"/>
        <v>27437.573400000001</v>
      </c>
    </row>
    <row r="1090" spans="1:10">
      <c r="B1090" s="81">
        <v>45880</v>
      </c>
      <c r="C1090" s="18" t="s">
        <v>1019</v>
      </c>
      <c r="D1090" s="19">
        <v>2</v>
      </c>
      <c r="E1090" s="19">
        <v>274</v>
      </c>
      <c r="F1090" s="19">
        <f t="shared" si="260"/>
        <v>548</v>
      </c>
      <c r="G1090" s="19">
        <v>2.3774000000000002</v>
      </c>
      <c r="H1090" s="19">
        <f t="shared" si="261"/>
        <v>651.4076</v>
      </c>
      <c r="I1090" s="19">
        <f t="shared" si="262"/>
        <v>1302.8152</v>
      </c>
      <c r="J1090" s="18">
        <f t="shared" si="263"/>
        <v>28740.388600000002</v>
      </c>
    </row>
    <row r="1091" spans="1:10">
      <c r="B1091" s="19"/>
      <c r="C1091" s="19"/>
      <c r="D1091" s="19"/>
      <c r="E1091" s="19"/>
      <c r="F1091" s="19">
        <f t="shared" si="260"/>
        <v>0</v>
      </c>
      <c r="G1091" s="19"/>
      <c r="H1091" s="19">
        <f t="shared" si="261"/>
        <v>0</v>
      </c>
      <c r="I1091" s="19">
        <f t="shared" si="262"/>
        <v>0</v>
      </c>
      <c r="J1091" s="18">
        <f t="shared" si="263"/>
        <v>28740.388600000002</v>
      </c>
    </row>
    <row r="1092" spans="1:10">
      <c r="B1092" s="19"/>
      <c r="C1092" s="19"/>
      <c r="D1092" s="19"/>
      <c r="E1092" s="19"/>
      <c r="F1092" s="19">
        <f t="shared" si="260"/>
        <v>0</v>
      </c>
      <c r="G1092" s="19"/>
      <c r="H1092" s="19">
        <f t="shared" si="261"/>
        <v>0</v>
      </c>
      <c r="I1092" s="19">
        <f t="shared" si="262"/>
        <v>0</v>
      </c>
      <c r="J1092" s="18">
        <f t="shared" si="263"/>
        <v>28740.388600000002</v>
      </c>
    </row>
    <row r="1095" spans="1:10" ht="21">
      <c r="A1095" t="s">
        <v>125</v>
      </c>
      <c r="B1095" s="1520" t="s">
        <v>35</v>
      </c>
      <c r="C1095" s="1520"/>
      <c r="D1095" s="1520"/>
      <c r="E1095" s="1520"/>
      <c r="F1095" s="1520"/>
      <c r="G1095" s="1520"/>
      <c r="H1095" s="1520"/>
      <c r="I1095" s="1520"/>
      <c r="J1095" s="1520"/>
    </row>
    <row r="1096" spans="1:10" ht="18.75">
      <c r="A1096" t="s">
        <v>26</v>
      </c>
      <c r="B1096" s="4" t="s">
        <v>1</v>
      </c>
      <c r="C1096" s="4" t="s">
        <v>2</v>
      </c>
      <c r="D1096" s="4" t="s">
        <v>3</v>
      </c>
      <c r="E1096" s="4" t="s">
        <v>4</v>
      </c>
      <c r="F1096" s="4" t="s">
        <v>36</v>
      </c>
      <c r="G1096" s="4" t="s">
        <v>5</v>
      </c>
      <c r="H1096" s="4" t="s">
        <v>6</v>
      </c>
      <c r="I1096" s="4" t="s">
        <v>7</v>
      </c>
      <c r="J1096" s="4"/>
    </row>
    <row r="1097" spans="1:10">
      <c r="B1097" s="96">
        <v>45873</v>
      </c>
      <c r="C1097" s="110" t="s">
        <v>1034</v>
      </c>
      <c r="D1097" s="127">
        <v>50</v>
      </c>
      <c r="E1097" s="146">
        <v>329</v>
      </c>
      <c r="F1097" s="127">
        <f>E1097*D1097</f>
        <v>16450</v>
      </c>
      <c r="G1097" s="127">
        <v>2.23</v>
      </c>
      <c r="H1097" s="127">
        <f>E1097*G1097</f>
        <v>733.67</v>
      </c>
      <c r="I1097" s="127">
        <f>H1097*D1097</f>
        <v>36683.5</v>
      </c>
      <c r="J1097" s="110">
        <f>J1096+I1097</f>
        <v>36683.5</v>
      </c>
    </row>
    <row r="1098" spans="1:10">
      <c r="B1098" s="81">
        <v>45874</v>
      </c>
      <c r="C1098" s="18" t="s">
        <v>1022</v>
      </c>
      <c r="D1098" s="19">
        <v>1</v>
      </c>
      <c r="E1098" s="145">
        <v>1449</v>
      </c>
      <c r="F1098" s="19">
        <f t="shared" ref="F1098:F1112" si="264">E1098*D1098</f>
        <v>1449</v>
      </c>
      <c r="G1098" s="19">
        <v>2.23</v>
      </c>
      <c r="H1098" s="19">
        <f t="shared" ref="H1098:H1105" si="265">E1098*G1098</f>
        <v>3231.27</v>
      </c>
      <c r="I1098" s="19">
        <f t="shared" ref="I1098:I1105" si="266">H1098*D1098</f>
        <v>3231.27</v>
      </c>
      <c r="J1098" s="18">
        <f t="shared" ref="J1098:J1105" si="267">J1097+I1098</f>
        <v>39914.769999999997</v>
      </c>
    </row>
    <row r="1099" spans="1:10">
      <c r="B1099" s="81">
        <v>45874</v>
      </c>
      <c r="C1099" s="18" t="s">
        <v>1023</v>
      </c>
      <c r="D1099" s="19">
        <v>1</v>
      </c>
      <c r="E1099" s="145">
        <v>1449</v>
      </c>
      <c r="F1099" s="19">
        <f t="shared" si="264"/>
        <v>1449</v>
      </c>
      <c r="G1099" s="19">
        <v>2.23</v>
      </c>
      <c r="H1099" s="19">
        <f t="shared" si="265"/>
        <v>3231.27</v>
      </c>
      <c r="I1099" s="19">
        <f t="shared" si="266"/>
        <v>3231.27</v>
      </c>
      <c r="J1099" s="18">
        <f t="shared" si="267"/>
        <v>43146.039999999994</v>
      </c>
    </row>
    <row r="1100" spans="1:10">
      <c r="B1100" s="81">
        <v>45874</v>
      </c>
      <c r="C1100" s="18" t="s">
        <v>1024</v>
      </c>
      <c r="D1100" s="19">
        <v>2</v>
      </c>
      <c r="E1100" s="145">
        <v>1449</v>
      </c>
      <c r="F1100" s="19">
        <f t="shared" si="264"/>
        <v>2898</v>
      </c>
      <c r="G1100" s="19">
        <v>2.23</v>
      </c>
      <c r="H1100" s="19">
        <f t="shared" si="265"/>
        <v>3231.27</v>
      </c>
      <c r="I1100" s="19">
        <f t="shared" si="266"/>
        <v>6462.54</v>
      </c>
      <c r="J1100" s="18">
        <f t="shared" si="267"/>
        <v>49608.579999999994</v>
      </c>
    </row>
    <row r="1101" spans="1:10">
      <c r="B1101" s="81">
        <v>45876</v>
      </c>
      <c r="C1101" s="18" t="s">
        <v>1025</v>
      </c>
      <c r="D1101" s="19">
        <v>4</v>
      </c>
      <c r="E1101" s="19">
        <v>299</v>
      </c>
      <c r="F1101" s="19">
        <f t="shared" si="264"/>
        <v>1196</v>
      </c>
      <c r="G1101" s="19">
        <v>2.23</v>
      </c>
      <c r="H1101" s="19">
        <f t="shared" si="265"/>
        <v>666.77</v>
      </c>
      <c r="I1101" s="19">
        <f t="shared" si="266"/>
        <v>2667.08</v>
      </c>
      <c r="J1101" s="18">
        <f t="shared" si="267"/>
        <v>52275.659999999996</v>
      </c>
    </row>
    <row r="1102" spans="1:10">
      <c r="B1102" s="81">
        <v>45876</v>
      </c>
      <c r="C1102" s="18" t="s">
        <v>1026</v>
      </c>
      <c r="D1102" s="19">
        <v>2</v>
      </c>
      <c r="E1102" s="19">
        <v>299</v>
      </c>
      <c r="F1102" s="19">
        <f t="shared" si="264"/>
        <v>598</v>
      </c>
      <c r="G1102" s="19">
        <v>2.23</v>
      </c>
      <c r="H1102" s="19">
        <f t="shared" si="265"/>
        <v>666.77</v>
      </c>
      <c r="I1102" s="19">
        <f t="shared" si="266"/>
        <v>1333.54</v>
      </c>
      <c r="J1102" s="18">
        <f t="shared" si="267"/>
        <v>53609.2</v>
      </c>
    </row>
    <row r="1103" spans="1:10">
      <c r="B1103" s="81">
        <v>45876</v>
      </c>
      <c r="C1103" s="18" t="s">
        <v>1027</v>
      </c>
      <c r="D1103" s="19">
        <v>2</v>
      </c>
      <c r="E1103" s="19">
        <v>299</v>
      </c>
      <c r="F1103" s="19">
        <f t="shared" si="264"/>
        <v>598</v>
      </c>
      <c r="G1103" s="19">
        <v>2.23</v>
      </c>
      <c r="H1103" s="19">
        <f t="shared" si="265"/>
        <v>666.77</v>
      </c>
      <c r="I1103" s="19">
        <f t="shared" si="266"/>
        <v>1333.54</v>
      </c>
      <c r="J1103" s="18">
        <f t="shared" si="267"/>
        <v>54942.74</v>
      </c>
    </row>
    <row r="1104" spans="1:10">
      <c r="B1104" s="81">
        <v>45876</v>
      </c>
      <c r="C1104" s="18" t="s">
        <v>1028</v>
      </c>
      <c r="D1104" s="19">
        <v>7</v>
      </c>
      <c r="E1104" s="19">
        <v>299</v>
      </c>
      <c r="F1104" s="19">
        <f t="shared" si="264"/>
        <v>2093</v>
      </c>
      <c r="G1104" s="19">
        <v>2.23</v>
      </c>
      <c r="H1104" s="19">
        <f t="shared" si="265"/>
        <v>666.77</v>
      </c>
      <c r="I1104" s="19">
        <f t="shared" si="266"/>
        <v>4667.3899999999994</v>
      </c>
      <c r="J1104" s="18">
        <f t="shared" si="267"/>
        <v>59610.13</v>
      </c>
    </row>
    <row r="1105" spans="1:10">
      <c r="B1105" s="81">
        <v>45876</v>
      </c>
      <c r="C1105" s="18" t="s">
        <v>1029</v>
      </c>
      <c r="D1105" s="19">
        <v>8</v>
      </c>
      <c r="E1105" s="19">
        <v>299</v>
      </c>
      <c r="F1105" s="19">
        <f t="shared" si="264"/>
        <v>2392</v>
      </c>
      <c r="G1105" s="19">
        <v>2.23</v>
      </c>
      <c r="H1105" s="19">
        <f t="shared" si="265"/>
        <v>666.77</v>
      </c>
      <c r="I1105" s="19">
        <f t="shared" si="266"/>
        <v>5334.16</v>
      </c>
      <c r="J1105" s="18">
        <f t="shared" si="267"/>
        <v>64944.289999999994</v>
      </c>
    </row>
    <row r="1106" spans="1:10">
      <c r="B1106" s="81">
        <v>45876</v>
      </c>
      <c r="C1106" s="18" t="s">
        <v>1030</v>
      </c>
      <c r="D1106" s="19">
        <v>20</v>
      </c>
      <c r="E1106" s="19">
        <v>299</v>
      </c>
      <c r="F1106" s="19">
        <f t="shared" si="264"/>
        <v>5980</v>
      </c>
      <c r="G1106" s="19">
        <v>2.23</v>
      </c>
      <c r="H1106" s="19">
        <f t="shared" ref="H1106:H1112" si="268">E1106*G1106</f>
        <v>666.77</v>
      </c>
      <c r="I1106" s="19">
        <f t="shared" ref="I1106:I1112" si="269">H1106*D1106</f>
        <v>13335.4</v>
      </c>
      <c r="J1106" s="18">
        <f t="shared" ref="J1106:J1112" si="270">J1105+I1106</f>
        <v>78279.689999999988</v>
      </c>
    </row>
    <row r="1107" spans="1:10">
      <c r="B1107" s="81">
        <v>45876</v>
      </c>
      <c r="C1107" s="18" t="s">
        <v>1031</v>
      </c>
      <c r="D1107" s="19">
        <v>26</v>
      </c>
      <c r="E1107" s="19">
        <v>299</v>
      </c>
      <c r="F1107" s="19">
        <f t="shared" si="264"/>
        <v>7774</v>
      </c>
      <c r="G1107" s="19">
        <v>2.23</v>
      </c>
      <c r="H1107" s="19">
        <f t="shared" si="268"/>
        <v>666.77</v>
      </c>
      <c r="I1107" s="19">
        <f t="shared" si="269"/>
        <v>17336.02</v>
      </c>
      <c r="J1107" s="18">
        <f t="shared" si="270"/>
        <v>95615.709999999992</v>
      </c>
    </row>
    <row r="1108" spans="1:10">
      <c r="B1108" s="81">
        <v>45876</v>
      </c>
      <c r="C1108" s="18" t="s">
        <v>1032</v>
      </c>
      <c r="D1108" s="19">
        <v>40</v>
      </c>
      <c r="E1108" s="19">
        <v>299</v>
      </c>
      <c r="F1108" s="19">
        <f t="shared" si="264"/>
        <v>11960</v>
      </c>
      <c r="G1108" s="19">
        <v>2.23</v>
      </c>
      <c r="H1108" s="19">
        <f t="shared" si="268"/>
        <v>666.77</v>
      </c>
      <c r="I1108" s="19">
        <f t="shared" si="269"/>
        <v>26670.799999999999</v>
      </c>
      <c r="J1108" s="18">
        <f t="shared" si="270"/>
        <v>122286.51</v>
      </c>
    </row>
    <row r="1109" spans="1:10">
      <c r="B1109" s="81">
        <v>45877</v>
      </c>
      <c r="C1109" s="18" t="s">
        <v>1033</v>
      </c>
      <c r="D1109" s="19">
        <v>2</v>
      </c>
      <c r="E1109" s="19">
        <v>299</v>
      </c>
      <c r="F1109" s="19">
        <f t="shared" si="264"/>
        <v>598</v>
      </c>
      <c r="G1109" s="19">
        <v>2.23</v>
      </c>
      <c r="H1109" s="19">
        <f t="shared" si="268"/>
        <v>666.77</v>
      </c>
      <c r="I1109" s="19">
        <f t="shared" si="269"/>
        <v>1333.54</v>
      </c>
      <c r="J1109" s="18">
        <f t="shared" si="270"/>
        <v>123620.04999999999</v>
      </c>
    </row>
    <row r="1110" spans="1:10">
      <c r="B1110" s="81">
        <v>45877</v>
      </c>
      <c r="C1110" s="313" t="s">
        <v>1021</v>
      </c>
      <c r="D1110" s="19">
        <v>1</v>
      </c>
      <c r="E1110" s="19">
        <v>1600</v>
      </c>
      <c r="F1110" s="19">
        <f t="shared" si="264"/>
        <v>1600</v>
      </c>
      <c r="G1110" s="19">
        <v>2.23</v>
      </c>
      <c r="H1110" s="19">
        <f t="shared" si="268"/>
        <v>3568</v>
      </c>
      <c r="I1110" s="19">
        <f t="shared" si="269"/>
        <v>3568</v>
      </c>
      <c r="J1110" s="18">
        <f t="shared" si="270"/>
        <v>127188.04999999999</v>
      </c>
    </row>
    <row r="1111" spans="1:10">
      <c r="B1111" s="19"/>
      <c r="C1111" s="19"/>
      <c r="D1111" s="19"/>
      <c r="E1111" s="19"/>
      <c r="F1111" s="19">
        <f t="shared" si="264"/>
        <v>0</v>
      </c>
      <c r="G1111" s="19"/>
      <c r="H1111" s="19">
        <f t="shared" si="268"/>
        <v>0</v>
      </c>
      <c r="I1111" s="19">
        <f t="shared" si="269"/>
        <v>0</v>
      </c>
      <c r="J1111" s="18">
        <f t="shared" si="270"/>
        <v>127188.04999999999</v>
      </c>
    </row>
    <row r="1112" spans="1:10">
      <c r="B1112" s="19"/>
      <c r="C1112" s="19"/>
      <c r="D1112" s="19"/>
      <c r="E1112" s="19"/>
      <c r="F1112" s="19">
        <f t="shared" si="264"/>
        <v>0</v>
      </c>
      <c r="G1112" s="19"/>
      <c r="H1112" s="19">
        <f t="shared" si="268"/>
        <v>0</v>
      </c>
      <c r="I1112" s="19">
        <f t="shared" si="269"/>
        <v>0</v>
      </c>
      <c r="J1112" s="18">
        <f t="shared" si="270"/>
        <v>127188.04999999999</v>
      </c>
    </row>
    <row r="1115" spans="1:10" ht="21">
      <c r="A1115" t="s">
        <v>125</v>
      </c>
      <c r="B1115" s="1523" t="s">
        <v>20</v>
      </c>
      <c r="C1115" s="1523"/>
      <c r="D1115" s="1523"/>
      <c r="E1115" s="1523"/>
      <c r="F1115" s="1523"/>
      <c r="G1115" s="1523"/>
      <c r="H1115" s="1523"/>
      <c r="I1115" s="1523"/>
      <c r="J1115" s="1523"/>
    </row>
    <row r="1116" spans="1:10" ht="18.75">
      <c r="A1116" t="s">
        <v>212</v>
      </c>
      <c r="B1116" s="365" t="s">
        <v>1</v>
      </c>
      <c r="C1116" s="365" t="s">
        <v>2</v>
      </c>
      <c r="D1116" s="365" t="s">
        <v>3</v>
      </c>
      <c r="E1116" s="365" t="s">
        <v>4</v>
      </c>
      <c r="F1116" s="365" t="s">
        <v>36</v>
      </c>
      <c r="G1116" s="365" t="s">
        <v>5</v>
      </c>
      <c r="H1116" s="365" t="s">
        <v>6</v>
      </c>
      <c r="I1116" s="365" t="s">
        <v>7</v>
      </c>
      <c r="J1116" s="365"/>
    </row>
    <row r="1117" spans="1:10">
      <c r="B1117" s="81">
        <v>45881</v>
      </c>
      <c r="C1117" s="18" t="s">
        <v>1080</v>
      </c>
      <c r="D1117" s="19">
        <v>4</v>
      </c>
      <c r="E1117" s="145">
        <v>274</v>
      </c>
      <c r="F1117" s="19">
        <f>E1117*D1117</f>
        <v>1096</v>
      </c>
      <c r="G1117" s="19">
        <v>2.3774000000000002</v>
      </c>
      <c r="H1117" s="19">
        <f>E1117*G1117</f>
        <v>651.4076</v>
      </c>
      <c r="I1117" s="19">
        <f>H1117*D1117</f>
        <v>2605.6304</v>
      </c>
      <c r="J1117" s="18">
        <f>J1116+I1117</f>
        <v>2605.6304</v>
      </c>
    </row>
    <row r="1118" spans="1:10">
      <c r="B1118" s="81">
        <v>45881</v>
      </c>
      <c r="C1118" s="18" t="s">
        <v>1080</v>
      </c>
      <c r="D1118" s="19">
        <v>8</v>
      </c>
      <c r="E1118" s="145">
        <v>274</v>
      </c>
      <c r="F1118" s="19">
        <f t="shared" ref="F1118:F1136" si="271">E1118*D1118</f>
        <v>2192</v>
      </c>
      <c r="G1118" s="19">
        <v>2.3774000000000002</v>
      </c>
      <c r="H1118" s="19">
        <f t="shared" ref="H1118:H1136" si="272">E1118*G1118</f>
        <v>651.4076</v>
      </c>
      <c r="I1118" s="19">
        <f t="shared" ref="I1118:I1136" si="273">H1118*D1118</f>
        <v>5211.2608</v>
      </c>
      <c r="J1118" s="18">
        <f>J1117+I1118</f>
        <v>7816.8912</v>
      </c>
    </row>
    <row r="1119" spans="1:10">
      <c r="B1119" s="81">
        <v>45881</v>
      </c>
      <c r="C1119" s="18" t="s">
        <v>1081</v>
      </c>
      <c r="D1119" s="19">
        <v>4</v>
      </c>
      <c r="E1119" s="145">
        <v>274</v>
      </c>
      <c r="F1119" s="19">
        <f t="shared" si="271"/>
        <v>1096</v>
      </c>
      <c r="G1119" s="19">
        <v>2.3774000000000002</v>
      </c>
      <c r="H1119" s="19">
        <f t="shared" si="272"/>
        <v>651.4076</v>
      </c>
      <c r="I1119" s="19">
        <f t="shared" si="273"/>
        <v>2605.6304</v>
      </c>
      <c r="J1119" s="18">
        <f t="shared" ref="J1119:J1125" si="274">J1118+I1119</f>
        <v>10422.5216</v>
      </c>
    </row>
    <row r="1120" spans="1:10">
      <c r="B1120" s="81">
        <v>45881</v>
      </c>
      <c r="C1120" s="18" t="s">
        <v>1082</v>
      </c>
      <c r="D1120" s="19">
        <v>4</v>
      </c>
      <c r="E1120" s="145">
        <v>274</v>
      </c>
      <c r="F1120" s="19">
        <f t="shared" si="271"/>
        <v>1096</v>
      </c>
      <c r="G1120" s="19">
        <v>2.3774000000000002</v>
      </c>
      <c r="H1120" s="19">
        <f t="shared" si="272"/>
        <v>651.4076</v>
      </c>
      <c r="I1120" s="19">
        <f t="shared" si="273"/>
        <v>2605.6304</v>
      </c>
      <c r="J1120" s="18">
        <f t="shared" si="274"/>
        <v>13028.152</v>
      </c>
    </row>
    <row r="1121" spans="2:11">
      <c r="B1121" s="81">
        <v>45881</v>
      </c>
      <c r="C1121" s="18" t="s">
        <v>1082</v>
      </c>
      <c r="D1121" s="19">
        <v>12</v>
      </c>
      <c r="E1121" s="145">
        <v>274</v>
      </c>
      <c r="F1121" s="19">
        <f t="shared" si="271"/>
        <v>3288</v>
      </c>
      <c r="G1121" s="19">
        <v>2.3774000000000002</v>
      </c>
      <c r="H1121" s="19">
        <f t="shared" si="272"/>
        <v>651.4076</v>
      </c>
      <c r="I1121" s="19">
        <f t="shared" si="273"/>
        <v>7816.8912</v>
      </c>
      <c r="J1121" s="18">
        <f t="shared" si="274"/>
        <v>20845.0432</v>
      </c>
    </row>
    <row r="1122" spans="2:11">
      <c r="B1122" s="81">
        <v>45881</v>
      </c>
      <c r="C1122" s="18" t="s">
        <v>1018</v>
      </c>
      <c r="D1122" s="19">
        <v>4</v>
      </c>
      <c r="E1122" s="145">
        <v>274</v>
      </c>
      <c r="F1122" s="19">
        <f t="shared" si="271"/>
        <v>1096</v>
      </c>
      <c r="G1122" s="19">
        <v>2.3774000000000002</v>
      </c>
      <c r="H1122" s="19">
        <f t="shared" si="272"/>
        <v>651.4076</v>
      </c>
      <c r="I1122" s="19">
        <f t="shared" si="273"/>
        <v>2605.6304</v>
      </c>
      <c r="J1122" s="18">
        <f t="shared" si="274"/>
        <v>23450.673600000002</v>
      </c>
    </row>
    <row r="1123" spans="2:11">
      <c r="B1123" s="81">
        <v>45882</v>
      </c>
      <c r="C1123" s="18" t="s">
        <v>1018</v>
      </c>
      <c r="D1123" s="19">
        <v>2</v>
      </c>
      <c r="E1123" s="145">
        <v>274</v>
      </c>
      <c r="F1123" s="19">
        <f t="shared" si="271"/>
        <v>548</v>
      </c>
      <c r="G1123" s="19">
        <v>2.3774000000000002</v>
      </c>
      <c r="H1123" s="19">
        <f t="shared" si="272"/>
        <v>651.4076</v>
      </c>
      <c r="I1123" s="19">
        <f t="shared" si="273"/>
        <v>1302.8152</v>
      </c>
      <c r="J1123" s="18">
        <f t="shared" si="274"/>
        <v>24753.488800000003</v>
      </c>
    </row>
    <row r="1124" spans="2:11">
      <c r="B1124" s="81">
        <v>45882</v>
      </c>
      <c r="C1124" s="18" t="s">
        <v>1018</v>
      </c>
      <c r="D1124" s="19">
        <v>2</v>
      </c>
      <c r="E1124" s="145">
        <v>274</v>
      </c>
      <c r="F1124" s="19">
        <f t="shared" si="271"/>
        <v>548</v>
      </c>
      <c r="G1124" s="19">
        <v>2.3774000000000002</v>
      </c>
      <c r="H1124" s="19">
        <f t="shared" si="272"/>
        <v>651.4076</v>
      </c>
      <c r="I1124" s="19">
        <f t="shared" si="273"/>
        <v>1302.8152</v>
      </c>
      <c r="J1124" s="18">
        <f t="shared" si="274"/>
        <v>26056.304000000004</v>
      </c>
    </row>
    <row r="1125" spans="2:11">
      <c r="B1125" s="81">
        <v>45882</v>
      </c>
      <c r="C1125" s="18" t="s">
        <v>1083</v>
      </c>
      <c r="D1125" s="19">
        <v>2</v>
      </c>
      <c r="E1125" s="145">
        <v>274</v>
      </c>
      <c r="F1125" s="19">
        <f t="shared" si="271"/>
        <v>548</v>
      </c>
      <c r="G1125" s="19">
        <v>2.3774000000000002</v>
      </c>
      <c r="H1125" s="19">
        <f t="shared" si="272"/>
        <v>651.4076</v>
      </c>
      <c r="I1125" s="19">
        <f t="shared" si="273"/>
        <v>1302.8152</v>
      </c>
      <c r="J1125" s="18">
        <f t="shared" si="274"/>
        <v>27359.119200000005</v>
      </c>
    </row>
    <row r="1126" spans="2:11">
      <c r="B1126" s="81">
        <v>45882</v>
      </c>
      <c r="C1126" s="18" t="s">
        <v>1084</v>
      </c>
      <c r="D1126" s="19">
        <v>4</v>
      </c>
      <c r="E1126" s="145">
        <v>274</v>
      </c>
      <c r="F1126" s="19">
        <f t="shared" si="271"/>
        <v>1096</v>
      </c>
      <c r="G1126" s="19">
        <v>2.3774000000000002</v>
      </c>
      <c r="H1126" s="19">
        <f t="shared" si="272"/>
        <v>651.4076</v>
      </c>
      <c r="I1126" s="19">
        <f t="shared" si="273"/>
        <v>2605.6304</v>
      </c>
      <c r="J1126" s="18">
        <f t="shared" ref="J1126:J1136" si="275">J1125+I1126</f>
        <v>29964.749600000003</v>
      </c>
    </row>
    <row r="1127" spans="2:11">
      <c r="B1127" s="81">
        <v>45882</v>
      </c>
      <c r="C1127" s="18" t="s">
        <v>1085</v>
      </c>
      <c r="D1127" s="19">
        <v>6</v>
      </c>
      <c r="E1127" s="145">
        <v>274</v>
      </c>
      <c r="F1127" s="19">
        <f t="shared" si="271"/>
        <v>1644</v>
      </c>
      <c r="G1127" s="19">
        <v>2.3774000000000002</v>
      </c>
      <c r="H1127" s="19">
        <f t="shared" si="272"/>
        <v>651.4076</v>
      </c>
      <c r="I1127" s="19">
        <f t="shared" si="273"/>
        <v>3908.4456</v>
      </c>
      <c r="J1127" s="18">
        <f t="shared" si="275"/>
        <v>33873.195200000002</v>
      </c>
    </row>
    <row r="1128" spans="2:11">
      <c r="B1128" s="81">
        <v>45882</v>
      </c>
      <c r="C1128" s="18" t="s">
        <v>1086</v>
      </c>
      <c r="D1128" s="19">
        <v>2</v>
      </c>
      <c r="E1128" s="145">
        <v>274</v>
      </c>
      <c r="F1128" s="19">
        <f t="shared" si="271"/>
        <v>548</v>
      </c>
      <c r="G1128" s="19">
        <v>2.3774000000000002</v>
      </c>
      <c r="H1128" s="19">
        <f t="shared" si="272"/>
        <v>651.4076</v>
      </c>
      <c r="I1128" s="19">
        <f t="shared" si="273"/>
        <v>1302.8152</v>
      </c>
      <c r="J1128" s="18">
        <f t="shared" si="275"/>
        <v>35176.010399999999</v>
      </c>
    </row>
    <row r="1129" spans="2:11">
      <c r="B1129" s="81">
        <v>45882</v>
      </c>
      <c r="C1129" s="18" t="s">
        <v>1087</v>
      </c>
      <c r="D1129" s="19">
        <v>4</v>
      </c>
      <c r="E1129" s="145">
        <v>274</v>
      </c>
      <c r="F1129" s="19">
        <f t="shared" si="271"/>
        <v>1096</v>
      </c>
      <c r="G1129" s="19">
        <v>2.3774000000000002</v>
      </c>
      <c r="H1129" s="19">
        <f t="shared" si="272"/>
        <v>651.4076</v>
      </c>
      <c r="I1129" s="19">
        <f t="shared" si="273"/>
        <v>2605.6304</v>
      </c>
      <c r="J1129" s="18">
        <f t="shared" si="275"/>
        <v>37781.640800000001</v>
      </c>
    </row>
    <row r="1130" spans="2:11">
      <c r="B1130" s="81">
        <v>45882</v>
      </c>
      <c r="C1130" s="18" t="s">
        <v>1088</v>
      </c>
      <c r="D1130" s="19">
        <v>6</v>
      </c>
      <c r="E1130" s="145">
        <v>274</v>
      </c>
      <c r="F1130" s="19">
        <f t="shared" si="271"/>
        <v>1644</v>
      </c>
      <c r="G1130" s="19">
        <v>2.3774000000000002</v>
      </c>
      <c r="H1130" s="19">
        <f t="shared" si="272"/>
        <v>651.4076</v>
      </c>
      <c r="I1130" s="19">
        <f t="shared" si="273"/>
        <v>3908.4456</v>
      </c>
      <c r="J1130" s="18">
        <f t="shared" si="275"/>
        <v>41690.0864</v>
      </c>
    </row>
    <row r="1131" spans="2:11">
      <c r="B1131" s="81">
        <v>45882</v>
      </c>
      <c r="C1131" s="18" t="s">
        <v>1088</v>
      </c>
      <c r="D1131" s="19">
        <v>2</v>
      </c>
      <c r="E1131" s="145">
        <v>274</v>
      </c>
      <c r="F1131" s="19">
        <f t="shared" si="271"/>
        <v>548</v>
      </c>
      <c r="G1131" s="19">
        <v>2.3774000000000002</v>
      </c>
      <c r="H1131" s="19">
        <f t="shared" si="272"/>
        <v>651.4076</v>
      </c>
      <c r="I1131" s="19">
        <f t="shared" si="273"/>
        <v>1302.8152</v>
      </c>
      <c r="J1131" s="18">
        <f t="shared" si="275"/>
        <v>42992.901599999997</v>
      </c>
    </row>
    <row r="1132" spans="2:11">
      <c r="B1132" s="81">
        <v>45882</v>
      </c>
      <c r="C1132" s="18" t="s">
        <v>1089</v>
      </c>
      <c r="D1132" s="19">
        <v>7</v>
      </c>
      <c r="E1132" s="145">
        <v>274</v>
      </c>
      <c r="F1132" s="19">
        <f t="shared" si="271"/>
        <v>1918</v>
      </c>
      <c r="G1132" s="19">
        <v>2.3774000000000002</v>
      </c>
      <c r="H1132" s="19">
        <f t="shared" si="272"/>
        <v>651.4076</v>
      </c>
      <c r="I1132" s="19">
        <f t="shared" si="273"/>
        <v>4559.8531999999996</v>
      </c>
      <c r="J1132" s="18">
        <f t="shared" si="275"/>
        <v>47552.754799999995</v>
      </c>
    </row>
    <row r="1133" spans="2:11">
      <c r="B1133" s="81">
        <v>45883</v>
      </c>
      <c r="C1133" s="18" t="s">
        <v>1090</v>
      </c>
      <c r="D1133" s="19">
        <v>8</v>
      </c>
      <c r="E1133" s="145">
        <v>274</v>
      </c>
      <c r="F1133" s="19">
        <f t="shared" si="271"/>
        <v>2192</v>
      </c>
      <c r="G1133" s="19">
        <v>2.3774000000000002</v>
      </c>
      <c r="H1133" s="19">
        <f t="shared" si="272"/>
        <v>651.4076</v>
      </c>
      <c r="I1133" s="19">
        <f t="shared" si="273"/>
        <v>5211.2608</v>
      </c>
      <c r="J1133" s="18">
        <f t="shared" si="275"/>
        <v>52764.015599999999</v>
      </c>
    </row>
    <row r="1134" spans="2:11">
      <c r="B1134" s="140">
        <v>45883</v>
      </c>
      <c r="C1134" s="143" t="s">
        <v>1171</v>
      </c>
      <c r="D1134" s="142">
        <v>24</v>
      </c>
      <c r="E1134" s="436">
        <v>274</v>
      </c>
      <c r="F1134" s="142">
        <f t="shared" si="271"/>
        <v>6576</v>
      </c>
      <c r="G1134" s="142">
        <v>2.3774000000000002</v>
      </c>
      <c r="H1134" s="142">
        <f t="shared" si="272"/>
        <v>651.4076</v>
      </c>
      <c r="I1134" s="142">
        <f t="shared" si="273"/>
        <v>15633.7824</v>
      </c>
      <c r="J1134" s="143">
        <f t="shared" si="275"/>
        <v>68397.797999999995</v>
      </c>
    </row>
    <row r="1135" spans="2:11">
      <c r="B1135" s="140">
        <v>45883</v>
      </c>
      <c r="C1135" s="143" t="s">
        <v>1172</v>
      </c>
      <c r="D1135" s="142">
        <v>20</v>
      </c>
      <c r="E1135" s="436">
        <v>274</v>
      </c>
      <c r="F1135" s="142">
        <f t="shared" si="271"/>
        <v>5480</v>
      </c>
      <c r="G1135" s="142">
        <v>2.3774000000000002</v>
      </c>
      <c r="H1135" s="142">
        <f t="shared" si="272"/>
        <v>651.4076</v>
      </c>
      <c r="I1135" s="142">
        <f t="shared" si="273"/>
        <v>13028.152</v>
      </c>
      <c r="J1135" s="143">
        <f t="shared" si="275"/>
        <v>81425.95</v>
      </c>
    </row>
    <row r="1136" spans="2:11">
      <c r="B1136" s="165">
        <v>45883</v>
      </c>
      <c r="C1136" s="417" t="s">
        <v>1093</v>
      </c>
      <c r="D1136" s="174">
        <v>20</v>
      </c>
      <c r="E1136" s="418">
        <v>274</v>
      </c>
      <c r="F1136" s="174">
        <f t="shared" si="271"/>
        <v>5480</v>
      </c>
      <c r="G1136" s="174">
        <v>2.3774000000000002</v>
      </c>
      <c r="H1136" s="174">
        <f t="shared" si="272"/>
        <v>651.4076</v>
      </c>
      <c r="I1136" s="174">
        <f t="shared" si="273"/>
        <v>13028.152</v>
      </c>
      <c r="J1136" s="417">
        <f t="shared" si="275"/>
        <v>94454.101999999999</v>
      </c>
      <c r="K1136" t="s">
        <v>1133</v>
      </c>
    </row>
    <row r="1139" spans="1:10" ht="21">
      <c r="A1139" t="s">
        <v>125</v>
      </c>
      <c r="B1139" s="1523" t="s">
        <v>20</v>
      </c>
      <c r="C1139" s="1523"/>
      <c r="D1139" s="1523"/>
      <c r="E1139" s="1523"/>
      <c r="F1139" s="1523"/>
      <c r="G1139" s="1523"/>
      <c r="H1139" s="1523"/>
      <c r="I1139" s="1523"/>
      <c r="J1139" s="1523"/>
    </row>
    <row r="1140" spans="1:10" ht="18.75">
      <c r="A1140" t="s">
        <v>212</v>
      </c>
      <c r="B1140" s="365" t="s">
        <v>1</v>
      </c>
      <c r="C1140" s="365" t="s">
        <v>2</v>
      </c>
      <c r="D1140" s="365" t="s">
        <v>3</v>
      </c>
      <c r="E1140" s="365" t="s">
        <v>4</v>
      </c>
      <c r="F1140" s="365" t="s">
        <v>36</v>
      </c>
      <c r="G1140" s="365" t="s">
        <v>5</v>
      </c>
      <c r="H1140" s="365" t="s">
        <v>6</v>
      </c>
      <c r="I1140" s="365" t="s">
        <v>7</v>
      </c>
      <c r="J1140" s="365"/>
    </row>
    <row r="1141" spans="1:10">
      <c r="B1141" s="102" t="s">
        <v>1135</v>
      </c>
      <c r="C1141" s="103" t="s">
        <v>1141</v>
      </c>
      <c r="D1141" s="102">
        <v>5</v>
      </c>
      <c r="E1141" s="421">
        <v>274</v>
      </c>
      <c r="F1141" s="102">
        <f>E1141*D1141</f>
        <v>1370</v>
      </c>
      <c r="G1141" s="102">
        <v>2.3477000000000001</v>
      </c>
      <c r="H1141" s="102">
        <f>E1141*G1141</f>
        <v>643.26980000000003</v>
      </c>
      <c r="I1141" s="102">
        <f>H1141*D1141</f>
        <v>3216.3490000000002</v>
      </c>
      <c r="J1141" s="103">
        <f>J1140+I1141</f>
        <v>3216.3490000000002</v>
      </c>
    </row>
    <row r="1142" spans="1:10">
      <c r="B1142" s="374" t="s">
        <v>1135</v>
      </c>
      <c r="C1142" s="230" t="s">
        <v>1136</v>
      </c>
      <c r="D1142" s="374">
        <v>8</v>
      </c>
      <c r="E1142" s="422">
        <v>3750</v>
      </c>
      <c r="F1142" s="19">
        <f t="shared" ref="F1142:F1154" si="276">E1142*D1142</f>
        <v>30000</v>
      </c>
      <c r="G1142" s="19">
        <v>2.3477000000000001</v>
      </c>
      <c r="H1142" s="19">
        <f t="shared" ref="H1142:H1149" si="277">E1142*G1142</f>
        <v>8803.875</v>
      </c>
      <c r="I1142" s="19">
        <f t="shared" ref="I1142:I1149" si="278">H1142*D1142</f>
        <v>70431</v>
      </c>
      <c r="J1142" s="18">
        <f t="shared" ref="J1142:J1149" si="279">J1141+I1142</f>
        <v>73647.349000000002</v>
      </c>
    </row>
    <row r="1143" spans="1:10">
      <c r="B1143" s="19" t="s">
        <v>1135</v>
      </c>
      <c r="C1143" s="18" t="s">
        <v>870</v>
      </c>
      <c r="D1143" s="19">
        <v>2</v>
      </c>
      <c r="E1143" s="145">
        <v>655</v>
      </c>
      <c r="F1143" s="19">
        <f t="shared" si="276"/>
        <v>1310</v>
      </c>
      <c r="G1143" s="19">
        <v>2.3477000000000001</v>
      </c>
      <c r="H1143" s="19">
        <f t="shared" si="277"/>
        <v>1537.7435</v>
      </c>
      <c r="I1143" s="19">
        <f t="shared" si="278"/>
        <v>3075.4870000000001</v>
      </c>
      <c r="J1143" s="18">
        <f t="shared" si="279"/>
        <v>76722.835999999996</v>
      </c>
    </row>
    <row r="1144" spans="1:10">
      <c r="B1144" s="19" t="s">
        <v>1135</v>
      </c>
      <c r="C1144" s="18" t="s">
        <v>1137</v>
      </c>
      <c r="D1144" s="19">
        <v>5</v>
      </c>
      <c r="E1144" s="145">
        <v>433</v>
      </c>
      <c r="F1144" s="19">
        <f t="shared" si="276"/>
        <v>2165</v>
      </c>
      <c r="G1144" s="19">
        <v>2.3477000000000001</v>
      </c>
      <c r="H1144" s="19">
        <f t="shared" si="277"/>
        <v>1016.5541000000001</v>
      </c>
      <c r="I1144" s="19">
        <f t="shared" si="278"/>
        <v>5082.7705000000005</v>
      </c>
      <c r="J1144" s="18">
        <f t="shared" si="279"/>
        <v>81805.606499999994</v>
      </c>
    </row>
    <row r="1145" spans="1:10">
      <c r="B1145" s="19" t="s">
        <v>1135</v>
      </c>
      <c r="C1145" s="18" t="s">
        <v>1138</v>
      </c>
      <c r="D1145" s="19">
        <v>2</v>
      </c>
      <c r="E1145" s="145">
        <v>573</v>
      </c>
      <c r="F1145" s="19">
        <f t="shared" si="276"/>
        <v>1146</v>
      </c>
      <c r="G1145" s="19">
        <v>2.3477000000000001</v>
      </c>
      <c r="H1145" s="19">
        <f t="shared" si="277"/>
        <v>1345.2321000000002</v>
      </c>
      <c r="I1145" s="19">
        <f t="shared" si="278"/>
        <v>2690.4642000000003</v>
      </c>
      <c r="J1145" s="18">
        <f t="shared" si="279"/>
        <v>84496.070699999997</v>
      </c>
    </row>
    <row r="1146" spans="1:10">
      <c r="B1146" s="19" t="s">
        <v>1135</v>
      </c>
      <c r="C1146" s="18" t="s">
        <v>1139</v>
      </c>
      <c r="D1146" s="19">
        <v>15</v>
      </c>
      <c r="E1146" s="145">
        <v>560</v>
      </c>
      <c r="F1146" s="19">
        <f t="shared" si="276"/>
        <v>8400</v>
      </c>
      <c r="G1146" s="19">
        <v>2.3477000000000001</v>
      </c>
      <c r="H1146" s="19">
        <f t="shared" si="277"/>
        <v>1314.712</v>
      </c>
      <c r="I1146" s="19">
        <f t="shared" si="278"/>
        <v>19720.68</v>
      </c>
      <c r="J1146" s="18">
        <f t="shared" si="279"/>
        <v>104216.7507</v>
      </c>
    </row>
    <row r="1147" spans="1:10">
      <c r="B1147" s="19" t="s">
        <v>1135</v>
      </c>
      <c r="C1147" s="18" t="s">
        <v>1140</v>
      </c>
      <c r="D1147" s="19">
        <v>1</v>
      </c>
      <c r="E1147" s="145">
        <v>713</v>
      </c>
      <c r="F1147" s="19">
        <f t="shared" si="276"/>
        <v>713</v>
      </c>
      <c r="G1147" s="19">
        <v>2.3477000000000001</v>
      </c>
      <c r="H1147" s="19">
        <f t="shared" si="277"/>
        <v>1673.9101000000001</v>
      </c>
      <c r="I1147" s="19">
        <f t="shared" si="278"/>
        <v>1673.9101000000001</v>
      </c>
      <c r="J1147" s="18">
        <f t="shared" si="279"/>
        <v>105890.6608</v>
      </c>
    </row>
    <row r="1148" spans="1:10">
      <c r="B1148" s="19"/>
      <c r="C1148" s="19"/>
      <c r="D1148" s="19"/>
      <c r="E1148" s="19"/>
      <c r="F1148" s="19">
        <f t="shared" si="276"/>
        <v>0</v>
      </c>
      <c r="G1148" s="19">
        <v>2.3477000000000001</v>
      </c>
      <c r="H1148" s="19">
        <f t="shared" si="277"/>
        <v>0</v>
      </c>
      <c r="I1148" s="19">
        <f t="shared" si="278"/>
        <v>0</v>
      </c>
      <c r="J1148" s="18">
        <f t="shared" si="279"/>
        <v>105890.6608</v>
      </c>
    </row>
    <row r="1149" spans="1:10">
      <c r="B1149" s="81">
        <v>45860</v>
      </c>
      <c r="C1149" s="230" t="s">
        <v>1142</v>
      </c>
      <c r="D1149" s="374">
        <v>5</v>
      </c>
      <c r="E1149" s="422">
        <v>751</v>
      </c>
      <c r="F1149" s="19">
        <f t="shared" si="276"/>
        <v>3755</v>
      </c>
      <c r="G1149" s="19">
        <v>2.3477000000000001</v>
      </c>
      <c r="H1149" s="19">
        <f t="shared" si="277"/>
        <v>1763.1227000000001</v>
      </c>
      <c r="I1149" s="19">
        <f t="shared" si="278"/>
        <v>8815.6135000000013</v>
      </c>
      <c r="J1149" s="18">
        <f t="shared" si="279"/>
        <v>114706.2743</v>
      </c>
    </row>
    <row r="1150" spans="1:10">
      <c r="B1150" s="81">
        <v>45860</v>
      </c>
      <c r="C1150" s="230" t="s">
        <v>1143</v>
      </c>
      <c r="D1150" s="374">
        <v>2</v>
      </c>
      <c r="E1150" s="422">
        <v>2288</v>
      </c>
      <c r="F1150" s="19">
        <f t="shared" si="276"/>
        <v>4576</v>
      </c>
      <c r="G1150" s="19">
        <v>2.3477000000000001</v>
      </c>
      <c r="H1150" s="19">
        <f>E1150*G1150</f>
        <v>5371.5376000000006</v>
      </c>
      <c r="I1150" s="19">
        <f>H1150*D1150</f>
        <v>10743.075200000001</v>
      </c>
      <c r="J1150" s="18">
        <f>J1149+I1150</f>
        <v>125449.34950000001</v>
      </c>
    </row>
    <row r="1151" spans="1:10">
      <c r="B1151" s="81">
        <v>45860</v>
      </c>
      <c r="C1151" s="230" t="s">
        <v>1144</v>
      </c>
      <c r="D1151" s="374">
        <v>12</v>
      </c>
      <c r="E1151" s="422">
        <v>1063</v>
      </c>
      <c r="F1151" s="19">
        <f t="shared" si="276"/>
        <v>12756</v>
      </c>
      <c r="G1151" s="19">
        <v>2.3477000000000001</v>
      </c>
      <c r="H1151" s="19">
        <f>E1151*G1151</f>
        <v>2495.6051000000002</v>
      </c>
      <c r="I1151" s="19">
        <f>H1151*D1151</f>
        <v>29947.261200000001</v>
      </c>
      <c r="J1151" s="18">
        <f>J1150+I1151</f>
        <v>155396.61070000002</v>
      </c>
    </row>
    <row r="1152" spans="1:10">
      <c r="B1152" s="19"/>
      <c r="C1152" s="19"/>
      <c r="D1152" s="19"/>
      <c r="E1152" s="19"/>
      <c r="F1152" s="19">
        <f t="shared" si="276"/>
        <v>0</v>
      </c>
      <c r="G1152" s="19"/>
      <c r="H1152" s="19">
        <f>E1152*G1152</f>
        <v>0</v>
      </c>
      <c r="I1152" s="19">
        <f>H1152*D1152</f>
        <v>0</v>
      </c>
      <c r="J1152" s="18">
        <f>J1151+I1152</f>
        <v>155396.61070000002</v>
      </c>
    </row>
    <row r="1153" spans="1:11">
      <c r="B1153" s="19"/>
      <c r="C1153" s="19"/>
      <c r="D1153" s="19"/>
      <c r="E1153" s="19"/>
      <c r="F1153" s="19">
        <f t="shared" si="276"/>
        <v>0</v>
      </c>
      <c r="G1153" s="19"/>
      <c r="H1153" s="19">
        <f>E1153*G1153</f>
        <v>0</v>
      </c>
      <c r="I1153" s="19">
        <f>H1153*D1153</f>
        <v>0</v>
      </c>
      <c r="J1153" s="18">
        <f>J1152+I1153</f>
        <v>155396.61070000002</v>
      </c>
    </row>
    <row r="1154" spans="1:11">
      <c r="B1154" s="19"/>
      <c r="C1154" s="19"/>
      <c r="D1154" s="19"/>
      <c r="E1154" s="19"/>
      <c r="F1154" s="19">
        <f t="shared" si="276"/>
        <v>0</v>
      </c>
      <c r="G1154" s="19"/>
      <c r="H1154" s="19">
        <f>E1154*G1154</f>
        <v>0</v>
      </c>
      <c r="I1154" s="19">
        <f>H1154*D1154</f>
        <v>0</v>
      </c>
      <c r="J1154" s="18">
        <f>J1153+I1154</f>
        <v>155396.61070000002</v>
      </c>
    </row>
    <row r="1158" spans="1:11" ht="21">
      <c r="A1158" t="s">
        <v>125</v>
      </c>
      <c r="B1158" s="1523" t="s">
        <v>376</v>
      </c>
      <c r="C1158" s="1523"/>
      <c r="D1158" s="1523"/>
      <c r="E1158" s="1523"/>
      <c r="F1158" s="1523"/>
      <c r="G1158" s="1523"/>
      <c r="H1158" s="1523"/>
      <c r="I1158" s="1523"/>
      <c r="J1158" s="1523"/>
      <c r="K1158" t="s">
        <v>1518</v>
      </c>
    </row>
    <row r="1159" spans="1:11" ht="18.75">
      <c r="B1159" s="365" t="s">
        <v>1</v>
      </c>
      <c r="C1159" s="365" t="s">
        <v>2</v>
      </c>
      <c r="D1159" s="365" t="s">
        <v>3</v>
      </c>
      <c r="E1159" s="365" t="s">
        <v>132</v>
      </c>
      <c r="F1159" s="365" t="s">
        <v>133</v>
      </c>
      <c r="G1159" s="365" t="s">
        <v>5</v>
      </c>
      <c r="H1159" s="365" t="s">
        <v>6</v>
      </c>
      <c r="I1159" s="365" t="s">
        <v>7</v>
      </c>
      <c r="J1159" s="365"/>
    </row>
    <row r="1160" spans="1:11">
      <c r="B1160" s="81">
        <v>45894</v>
      </c>
      <c r="C1160" s="18" t="s">
        <v>808</v>
      </c>
      <c r="D1160" s="19">
        <v>3</v>
      </c>
      <c r="E1160" s="19">
        <v>330</v>
      </c>
      <c r="F1160" s="19">
        <f>E1160*D1160</f>
        <v>990</v>
      </c>
      <c r="G1160" s="19">
        <v>3.6</v>
      </c>
      <c r="H1160" s="19">
        <f>E1160*G1160</f>
        <v>1188</v>
      </c>
      <c r="I1160" s="19">
        <f>H1160*D1160</f>
        <v>3564</v>
      </c>
      <c r="J1160" s="18">
        <f>J1159+I1160</f>
        <v>3564</v>
      </c>
    </row>
    <row r="1161" spans="1:11">
      <c r="B1161" s="81">
        <v>45894</v>
      </c>
      <c r="C1161" s="18" t="s">
        <v>806</v>
      </c>
      <c r="D1161" s="19">
        <v>11</v>
      </c>
      <c r="E1161" s="19">
        <v>600</v>
      </c>
      <c r="F1161" s="19">
        <f t="shared" ref="F1161:F1169" si="280">E1161*D1161</f>
        <v>6600</v>
      </c>
      <c r="G1161" s="19">
        <v>3.6</v>
      </c>
      <c r="H1161" s="19">
        <f t="shared" ref="H1161:H1169" si="281">E1161*G1161</f>
        <v>2160</v>
      </c>
      <c r="I1161" s="19">
        <f t="shared" ref="I1161:I1169" si="282">H1161*D1161</f>
        <v>23760</v>
      </c>
      <c r="J1161" s="18">
        <f t="shared" ref="J1161:J1182" si="283">J1160+I1161</f>
        <v>27324</v>
      </c>
    </row>
    <row r="1162" spans="1:11">
      <c r="B1162" s="81">
        <v>45894</v>
      </c>
      <c r="C1162" s="18" t="s">
        <v>807</v>
      </c>
      <c r="D1162" s="19">
        <v>4</v>
      </c>
      <c r="E1162" s="19">
        <v>390</v>
      </c>
      <c r="F1162" s="19">
        <f t="shared" si="280"/>
        <v>1560</v>
      </c>
      <c r="G1162" s="19">
        <v>3.6</v>
      </c>
      <c r="H1162" s="19">
        <f t="shared" si="281"/>
        <v>1404</v>
      </c>
      <c r="I1162" s="19">
        <f t="shared" si="282"/>
        <v>5616</v>
      </c>
      <c r="J1162" s="18">
        <f t="shared" si="283"/>
        <v>32940</v>
      </c>
    </row>
    <row r="1163" spans="1:11">
      <c r="B1163" s="81">
        <v>45894</v>
      </c>
      <c r="C1163" s="18" t="s">
        <v>858</v>
      </c>
      <c r="D1163" s="19">
        <v>7</v>
      </c>
      <c r="E1163" s="19">
        <v>425</v>
      </c>
      <c r="F1163" s="19">
        <f t="shared" si="280"/>
        <v>2975</v>
      </c>
      <c r="G1163" s="19">
        <v>3.6</v>
      </c>
      <c r="H1163" s="19">
        <f t="shared" si="281"/>
        <v>1530</v>
      </c>
      <c r="I1163" s="19">
        <f t="shared" si="282"/>
        <v>10710</v>
      </c>
      <c r="J1163" s="18">
        <f t="shared" si="283"/>
        <v>43650</v>
      </c>
    </row>
    <row r="1164" spans="1:11">
      <c r="B1164" s="81">
        <v>45894</v>
      </c>
      <c r="C1164" s="18" t="s">
        <v>1145</v>
      </c>
      <c r="D1164" s="19">
        <v>1</v>
      </c>
      <c r="E1164" s="19">
        <v>220</v>
      </c>
      <c r="F1164" s="19">
        <f t="shared" si="280"/>
        <v>220</v>
      </c>
      <c r="G1164" s="19">
        <v>3.6</v>
      </c>
      <c r="H1164" s="19">
        <f t="shared" si="281"/>
        <v>792</v>
      </c>
      <c r="I1164" s="19">
        <f t="shared" si="282"/>
        <v>792</v>
      </c>
      <c r="J1164" s="18">
        <f t="shared" si="283"/>
        <v>44442</v>
      </c>
    </row>
    <row r="1165" spans="1:11">
      <c r="B1165" s="81">
        <v>45894</v>
      </c>
      <c r="C1165" s="18" t="s">
        <v>1146</v>
      </c>
      <c r="D1165" s="19">
        <v>2</v>
      </c>
      <c r="E1165" s="19"/>
      <c r="F1165" s="19">
        <f t="shared" si="280"/>
        <v>0</v>
      </c>
      <c r="G1165" s="19">
        <v>3.6</v>
      </c>
      <c r="H1165" s="19">
        <f t="shared" si="281"/>
        <v>0</v>
      </c>
      <c r="I1165" s="19">
        <f t="shared" si="282"/>
        <v>0</v>
      </c>
      <c r="J1165" s="18">
        <f t="shared" si="283"/>
        <v>44442</v>
      </c>
    </row>
    <row r="1166" spans="1:11">
      <c r="B1166" s="81">
        <v>45894</v>
      </c>
      <c r="C1166" s="18" t="s">
        <v>1147</v>
      </c>
      <c r="D1166" s="19">
        <v>4</v>
      </c>
      <c r="E1166" s="19">
        <v>1900</v>
      </c>
      <c r="F1166" s="19">
        <f t="shared" si="280"/>
        <v>7600</v>
      </c>
      <c r="G1166" s="19">
        <v>3.6</v>
      </c>
      <c r="H1166" s="19">
        <f t="shared" si="281"/>
        <v>6840</v>
      </c>
      <c r="I1166" s="19">
        <f t="shared" si="282"/>
        <v>27360</v>
      </c>
      <c r="J1166" s="18">
        <f t="shared" si="283"/>
        <v>71802</v>
      </c>
    </row>
    <row r="1167" spans="1:11">
      <c r="B1167" s="81">
        <v>45894</v>
      </c>
      <c r="C1167" s="18" t="s">
        <v>1147</v>
      </c>
      <c r="D1167" s="19">
        <v>4</v>
      </c>
      <c r="E1167" s="19">
        <v>2020</v>
      </c>
      <c r="F1167" s="19">
        <f t="shared" si="280"/>
        <v>8080</v>
      </c>
      <c r="G1167" s="19">
        <v>3.6</v>
      </c>
      <c r="H1167" s="19">
        <f t="shared" si="281"/>
        <v>7272</v>
      </c>
      <c r="I1167" s="19">
        <f t="shared" si="282"/>
        <v>29088</v>
      </c>
      <c r="J1167" s="18">
        <f t="shared" si="283"/>
        <v>100890</v>
      </c>
    </row>
    <row r="1168" spans="1:11">
      <c r="B1168" s="81">
        <v>45894</v>
      </c>
      <c r="C1168" s="18" t="s">
        <v>1148</v>
      </c>
      <c r="D1168" s="19">
        <v>2</v>
      </c>
      <c r="E1168" s="19">
        <v>1320</v>
      </c>
      <c r="F1168" s="19">
        <f t="shared" si="280"/>
        <v>2640</v>
      </c>
      <c r="G1168" s="19">
        <v>3.6</v>
      </c>
      <c r="H1168" s="19">
        <f t="shared" si="281"/>
        <v>4752</v>
      </c>
      <c r="I1168" s="19">
        <f t="shared" si="282"/>
        <v>9504</v>
      </c>
      <c r="J1168" s="18">
        <f t="shared" si="283"/>
        <v>110394</v>
      </c>
    </row>
    <row r="1169" spans="2:10">
      <c r="B1169" s="81">
        <v>45894</v>
      </c>
      <c r="C1169" s="18" t="s">
        <v>1149</v>
      </c>
      <c r="D1169" s="19">
        <v>1</v>
      </c>
      <c r="E1169" s="19">
        <v>1680</v>
      </c>
      <c r="F1169" s="19">
        <f t="shared" si="280"/>
        <v>1680</v>
      </c>
      <c r="G1169" s="19">
        <v>3.6</v>
      </c>
      <c r="H1169" s="19">
        <f t="shared" si="281"/>
        <v>6048</v>
      </c>
      <c r="I1169" s="19">
        <f t="shared" si="282"/>
        <v>6048</v>
      </c>
      <c r="J1169" s="18">
        <f t="shared" si="283"/>
        <v>116442</v>
      </c>
    </row>
    <row r="1170" spans="2:10">
      <c r="B1170" s="81">
        <v>45894</v>
      </c>
      <c r="C1170" s="410" t="s">
        <v>919</v>
      </c>
      <c r="D1170" s="19">
        <v>2</v>
      </c>
      <c r="E1170" s="19">
        <v>1030</v>
      </c>
      <c r="F1170" s="19">
        <f t="shared" ref="F1170:F1182" si="284">E1170*D1170</f>
        <v>2060</v>
      </c>
      <c r="G1170" s="19">
        <v>3.6</v>
      </c>
      <c r="H1170" s="19">
        <f t="shared" ref="H1170:H1182" si="285">E1170*G1170</f>
        <v>3708</v>
      </c>
      <c r="I1170" s="19">
        <f t="shared" ref="I1170:I1182" si="286">H1170*D1170</f>
        <v>7416</v>
      </c>
      <c r="J1170" s="18">
        <f t="shared" si="283"/>
        <v>123858</v>
      </c>
    </row>
    <row r="1171" spans="2:10">
      <c r="B1171" s="81">
        <v>45894</v>
      </c>
      <c r="C1171" s="410" t="s">
        <v>923</v>
      </c>
      <c r="D1171" s="19">
        <v>2</v>
      </c>
      <c r="E1171" s="19">
        <v>1180</v>
      </c>
      <c r="F1171" s="19">
        <f t="shared" si="284"/>
        <v>2360</v>
      </c>
      <c r="G1171" s="19">
        <v>3.6</v>
      </c>
      <c r="H1171" s="19">
        <f t="shared" si="285"/>
        <v>4248</v>
      </c>
      <c r="I1171" s="19">
        <f t="shared" si="286"/>
        <v>8496</v>
      </c>
      <c r="J1171" s="18">
        <f t="shared" si="283"/>
        <v>132354</v>
      </c>
    </row>
    <row r="1172" spans="2:10">
      <c r="B1172" s="81">
        <v>45894</v>
      </c>
      <c r="C1172" s="410" t="s">
        <v>1150</v>
      </c>
      <c r="D1172" s="19">
        <v>1</v>
      </c>
      <c r="E1172" s="19">
        <v>1325</v>
      </c>
      <c r="F1172" s="19">
        <f t="shared" si="284"/>
        <v>1325</v>
      </c>
      <c r="G1172" s="19">
        <v>3.6</v>
      </c>
      <c r="H1172" s="19">
        <f t="shared" si="285"/>
        <v>4770</v>
      </c>
      <c r="I1172" s="19">
        <f t="shared" si="286"/>
        <v>4770</v>
      </c>
      <c r="J1172" s="18">
        <f t="shared" si="283"/>
        <v>137124</v>
      </c>
    </row>
    <row r="1173" spans="2:10">
      <c r="B1173" s="81">
        <v>45894</v>
      </c>
      <c r="C1173" s="18" t="s">
        <v>976</v>
      </c>
      <c r="D1173" s="19">
        <v>2</v>
      </c>
      <c r="E1173" s="19">
        <v>440</v>
      </c>
      <c r="F1173" s="19">
        <f t="shared" si="284"/>
        <v>880</v>
      </c>
      <c r="G1173" s="19">
        <v>3.6</v>
      </c>
      <c r="H1173" s="19">
        <f t="shared" si="285"/>
        <v>1584</v>
      </c>
      <c r="I1173" s="19">
        <f t="shared" si="286"/>
        <v>3168</v>
      </c>
      <c r="J1173" s="18">
        <f t="shared" si="283"/>
        <v>140292</v>
      </c>
    </row>
    <row r="1174" spans="2:10">
      <c r="B1174" s="81">
        <v>45894</v>
      </c>
      <c r="C1174" s="18" t="s">
        <v>920</v>
      </c>
      <c r="D1174" s="19">
        <v>1</v>
      </c>
      <c r="E1174" s="19">
        <v>630</v>
      </c>
      <c r="F1174" s="19">
        <f t="shared" si="284"/>
        <v>630</v>
      </c>
      <c r="G1174" s="19">
        <v>3.6</v>
      </c>
      <c r="H1174" s="19">
        <f t="shared" si="285"/>
        <v>2268</v>
      </c>
      <c r="I1174" s="19">
        <f t="shared" si="286"/>
        <v>2268</v>
      </c>
      <c r="J1174" s="18">
        <f t="shared" si="283"/>
        <v>142560</v>
      </c>
    </row>
    <row r="1175" spans="2:10">
      <c r="B1175" s="81">
        <v>45894</v>
      </c>
      <c r="C1175" s="410" t="s">
        <v>928</v>
      </c>
      <c r="D1175" s="19">
        <v>1</v>
      </c>
      <c r="E1175" s="305">
        <v>1160</v>
      </c>
      <c r="F1175" s="19">
        <f t="shared" si="284"/>
        <v>1160</v>
      </c>
      <c r="G1175" s="19">
        <v>3.6</v>
      </c>
      <c r="H1175" s="19">
        <f t="shared" si="285"/>
        <v>4176</v>
      </c>
      <c r="I1175" s="19">
        <f t="shared" si="286"/>
        <v>4176</v>
      </c>
      <c r="J1175" s="18">
        <f t="shared" si="283"/>
        <v>146736</v>
      </c>
    </row>
    <row r="1176" spans="2:10">
      <c r="B1176" s="81">
        <v>45894</v>
      </c>
      <c r="C1176" s="410" t="s">
        <v>134</v>
      </c>
      <c r="D1176" s="19">
        <v>2</v>
      </c>
      <c r="E1176" s="305">
        <v>1000</v>
      </c>
      <c r="F1176" s="19">
        <f t="shared" si="284"/>
        <v>2000</v>
      </c>
      <c r="G1176" s="19">
        <v>3.6</v>
      </c>
      <c r="H1176" s="19">
        <f t="shared" si="285"/>
        <v>3600</v>
      </c>
      <c r="I1176" s="19">
        <f t="shared" si="286"/>
        <v>7200</v>
      </c>
      <c r="J1176" s="18">
        <f t="shared" si="283"/>
        <v>153936</v>
      </c>
    </row>
    <row r="1177" spans="2:10">
      <c r="B1177" s="81">
        <v>45894</v>
      </c>
      <c r="C1177" s="410" t="s">
        <v>134</v>
      </c>
      <c r="D1177" s="19">
        <v>4</v>
      </c>
      <c r="E1177" s="19">
        <v>710</v>
      </c>
      <c r="F1177" s="19">
        <f t="shared" si="284"/>
        <v>2840</v>
      </c>
      <c r="G1177" s="19">
        <v>3.6</v>
      </c>
      <c r="H1177" s="19">
        <f t="shared" si="285"/>
        <v>2556</v>
      </c>
      <c r="I1177" s="19">
        <f t="shared" si="286"/>
        <v>10224</v>
      </c>
      <c r="J1177" s="18">
        <f t="shared" si="283"/>
        <v>164160</v>
      </c>
    </row>
    <row r="1178" spans="2:10">
      <c r="B1178" s="81">
        <v>45894</v>
      </c>
      <c r="C1178" s="410" t="s">
        <v>134</v>
      </c>
      <c r="D1178" s="19">
        <v>3</v>
      </c>
      <c r="E1178" s="19">
        <v>710</v>
      </c>
      <c r="F1178" s="19">
        <f t="shared" si="284"/>
        <v>2130</v>
      </c>
      <c r="G1178" s="19">
        <v>3.6</v>
      </c>
      <c r="H1178" s="19">
        <f t="shared" si="285"/>
        <v>2556</v>
      </c>
      <c r="I1178" s="19">
        <f t="shared" si="286"/>
        <v>7668</v>
      </c>
      <c r="J1178" s="18">
        <f t="shared" si="283"/>
        <v>171828</v>
      </c>
    </row>
    <row r="1179" spans="2:10">
      <c r="B1179" s="81">
        <v>45894</v>
      </c>
      <c r="C1179" s="410" t="s">
        <v>134</v>
      </c>
      <c r="D1179" s="19">
        <v>4</v>
      </c>
      <c r="E1179" s="19">
        <v>710</v>
      </c>
      <c r="F1179" s="19">
        <f t="shared" si="284"/>
        <v>2840</v>
      </c>
      <c r="G1179" s="19">
        <v>3.6</v>
      </c>
      <c r="H1179" s="19">
        <f t="shared" si="285"/>
        <v>2556</v>
      </c>
      <c r="I1179" s="19">
        <f t="shared" si="286"/>
        <v>10224</v>
      </c>
      <c r="J1179" s="18">
        <f t="shared" si="283"/>
        <v>182052</v>
      </c>
    </row>
    <row r="1180" spans="2:10">
      <c r="B1180" s="81">
        <v>45894</v>
      </c>
      <c r="C1180" s="18" t="s">
        <v>1151</v>
      </c>
      <c r="D1180" s="19">
        <v>4</v>
      </c>
      <c r="E1180" s="19">
        <v>240</v>
      </c>
      <c r="F1180" s="19">
        <f t="shared" si="284"/>
        <v>960</v>
      </c>
      <c r="G1180" s="19">
        <v>3.6</v>
      </c>
      <c r="H1180" s="19">
        <f t="shared" si="285"/>
        <v>864</v>
      </c>
      <c r="I1180" s="19">
        <f t="shared" si="286"/>
        <v>3456</v>
      </c>
      <c r="J1180" s="18">
        <f t="shared" si="283"/>
        <v>185508</v>
      </c>
    </row>
    <row r="1181" spans="2:10">
      <c r="B1181" s="81">
        <v>45894</v>
      </c>
      <c r="C1181" s="18" t="s">
        <v>167</v>
      </c>
      <c r="D1181" s="19">
        <v>1</v>
      </c>
      <c r="E1181" s="305">
        <v>830</v>
      </c>
      <c r="F1181" s="19">
        <f t="shared" si="284"/>
        <v>830</v>
      </c>
      <c r="G1181" s="19">
        <v>3.6</v>
      </c>
      <c r="H1181" s="19">
        <f t="shared" si="285"/>
        <v>2988</v>
      </c>
      <c r="I1181" s="19">
        <f t="shared" si="286"/>
        <v>2988</v>
      </c>
      <c r="J1181" s="18">
        <f t="shared" si="283"/>
        <v>188496</v>
      </c>
    </row>
    <row r="1182" spans="2:10">
      <c r="B1182" s="81">
        <v>45894</v>
      </c>
      <c r="C1182" s="410" t="s">
        <v>134</v>
      </c>
      <c r="D1182" s="19">
        <v>1</v>
      </c>
      <c r="E1182" s="19">
        <v>600</v>
      </c>
      <c r="F1182" s="19">
        <f t="shared" si="284"/>
        <v>600</v>
      </c>
      <c r="G1182" s="19">
        <v>3.6</v>
      </c>
      <c r="H1182" s="19">
        <f t="shared" si="285"/>
        <v>2160</v>
      </c>
      <c r="I1182" s="19">
        <f t="shared" si="286"/>
        <v>2160</v>
      </c>
      <c r="J1182" s="18">
        <f t="shared" si="283"/>
        <v>190656</v>
      </c>
    </row>
    <row r="1186" spans="1:10" ht="21">
      <c r="A1186" t="s">
        <v>125</v>
      </c>
      <c r="B1186" s="1520" t="s">
        <v>20</v>
      </c>
      <c r="C1186" s="1520"/>
      <c r="D1186" s="1520"/>
      <c r="E1186" s="1520"/>
      <c r="F1186" s="1520"/>
      <c r="G1186" s="1520"/>
      <c r="H1186" s="1520"/>
      <c r="I1186" s="1520"/>
      <c r="J1186" s="1520"/>
    </row>
    <row r="1187" spans="1:10" ht="18.75">
      <c r="A1187" t="s">
        <v>212</v>
      </c>
      <c r="B1187" s="4" t="s">
        <v>1</v>
      </c>
      <c r="C1187" s="4" t="s">
        <v>2</v>
      </c>
      <c r="D1187" s="4" t="s">
        <v>3</v>
      </c>
      <c r="E1187" s="4" t="s">
        <v>4</v>
      </c>
      <c r="F1187" s="4" t="s">
        <v>36</v>
      </c>
      <c r="G1187" s="4" t="s">
        <v>5</v>
      </c>
      <c r="H1187" s="4" t="s">
        <v>6</v>
      </c>
      <c r="I1187" s="4" t="s">
        <v>7</v>
      </c>
      <c r="J1187" s="4"/>
    </row>
    <row r="1188" spans="1:10">
      <c r="B1188" s="428">
        <v>45889</v>
      </c>
      <c r="C1188" s="230" t="s">
        <v>1153</v>
      </c>
      <c r="D1188" s="374">
        <v>5</v>
      </c>
      <c r="E1188" s="422">
        <v>690</v>
      </c>
      <c r="F1188" s="19">
        <f>E1188*D1188</f>
        <v>3450</v>
      </c>
      <c r="G1188" s="19">
        <v>2.3477000000000001</v>
      </c>
      <c r="H1188" s="19">
        <f>E1188*G1188</f>
        <v>1619.913</v>
      </c>
      <c r="I1188" s="19">
        <f>H1188*D1188</f>
        <v>8099.5650000000005</v>
      </c>
      <c r="J1188" s="18">
        <f>J1187+I1188</f>
        <v>8099.5650000000005</v>
      </c>
    </row>
    <row r="1189" spans="1:10">
      <c r="B1189" s="428">
        <v>45891</v>
      </c>
      <c r="C1189" s="230" t="s">
        <v>1154</v>
      </c>
      <c r="D1189" s="374">
        <v>400</v>
      </c>
      <c r="E1189" s="422">
        <v>274</v>
      </c>
      <c r="F1189" s="19">
        <f t="shared" ref="F1189:F1196" si="287">E1189*D1189</f>
        <v>109600</v>
      </c>
      <c r="G1189" s="19">
        <v>2.3477000000000001</v>
      </c>
      <c r="H1189" s="19">
        <f t="shared" ref="H1189:H1196" si="288">E1189*G1189</f>
        <v>643.26980000000003</v>
      </c>
      <c r="I1189" s="19">
        <f t="shared" ref="I1189:I1196" si="289">H1189*D1189</f>
        <v>257307.92</v>
      </c>
      <c r="J1189" s="18">
        <f t="shared" ref="J1189:J1196" si="290">J1188+I1189</f>
        <v>265407.48499999999</v>
      </c>
    </row>
    <row r="1190" spans="1:10">
      <c r="B1190" s="492">
        <v>45895</v>
      </c>
      <c r="C1190" s="467" t="s">
        <v>1156</v>
      </c>
      <c r="D1190" s="493">
        <v>60</v>
      </c>
      <c r="E1190" s="495">
        <v>274</v>
      </c>
      <c r="F1190" s="493">
        <f t="shared" si="287"/>
        <v>16440</v>
      </c>
      <c r="G1190" s="493">
        <v>2.3477000000000001</v>
      </c>
      <c r="H1190" s="493">
        <f t="shared" si="288"/>
        <v>643.26980000000003</v>
      </c>
      <c r="I1190" s="493">
        <f t="shared" si="289"/>
        <v>38596.188000000002</v>
      </c>
      <c r="J1190" s="467">
        <f t="shared" si="290"/>
        <v>304003.67300000001</v>
      </c>
    </row>
    <row r="1191" spans="1:10">
      <c r="B1191" s="492">
        <v>45891</v>
      </c>
      <c r="C1191" s="467" t="s">
        <v>1155</v>
      </c>
      <c r="D1191" s="493">
        <v>57</v>
      </c>
      <c r="E1191" s="495">
        <v>300</v>
      </c>
      <c r="F1191" s="493">
        <f t="shared" si="287"/>
        <v>17100</v>
      </c>
      <c r="G1191" s="493">
        <v>2.3477000000000001</v>
      </c>
      <c r="H1191" s="493">
        <f t="shared" si="288"/>
        <v>704.31000000000006</v>
      </c>
      <c r="I1191" s="493">
        <f t="shared" si="289"/>
        <v>40145.670000000006</v>
      </c>
      <c r="J1191" s="467">
        <f t="shared" si="290"/>
        <v>344149.34299999999</v>
      </c>
    </row>
    <row r="1192" spans="1:10">
      <c r="B1192" s="428">
        <v>45883</v>
      </c>
      <c r="C1192" s="230" t="s">
        <v>1158</v>
      </c>
      <c r="D1192" s="374">
        <v>56</v>
      </c>
      <c r="E1192" s="422">
        <v>274</v>
      </c>
      <c r="F1192" s="374">
        <f t="shared" si="287"/>
        <v>15344</v>
      </c>
      <c r="G1192" s="374">
        <v>2.3477000000000001</v>
      </c>
      <c r="H1192" s="374">
        <f t="shared" si="288"/>
        <v>643.26980000000003</v>
      </c>
      <c r="I1192" s="374">
        <f t="shared" si="289"/>
        <v>36023.108800000002</v>
      </c>
      <c r="J1192" s="230">
        <f t="shared" si="290"/>
        <v>380172.45179999998</v>
      </c>
    </row>
    <row r="1193" spans="1:10">
      <c r="B1193" s="374"/>
      <c r="C1193" s="374"/>
      <c r="D1193" s="374"/>
      <c r="E1193" s="374"/>
      <c r="F1193" s="19">
        <f t="shared" si="287"/>
        <v>0</v>
      </c>
      <c r="G1193" s="19"/>
      <c r="H1193" s="19">
        <f t="shared" si="288"/>
        <v>0</v>
      </c>
      <c r="I1193" s="19">
        <f t="shared" si="289"/>
        <v>0</v>
      </c>
      <c r="J1193" s="18">
        <f t="shared" si="290"/>
        <v>380172.45179999998</v>
      </c>
    </row>
    <row r="1194" spans="1:10">
      <c r="B1194" s="19"/>
      <c r="C1194" s="19"/>
      <c r="D1194" s="19"/>
      <c r="E1194" s="19"/>
      <c r="F1194" s="19">
        <f t="shared" si="287"/>
        <v>0</v>
      </c>
      <c r="G1194" s="19"/>
      <c r="H1194" s="19">
        <f t="shared" si="288"/>
        <v>0</v>
      </c>
      <c r="I1194" s="19">
        <f t="shared" si="289"/>
        <v>0</v>
      </c>
      <c r="J1194" s="18">
        <f t="shared" si="290"/>
        <v>380172.45179999998</v>
      </c>
    </row>
    <row r="1195" spans="1:10">
      <c r="B1195" s="19"/>
      <c r="C1195" s="19"/>
      <c r="D1195" s="19"/>
      <c r="E1195" s="19"/>
      <c r="F1195" s="19">
        <f t="shared" si="287"/>
        <v>0</v>
      </c>
      <c r="G1195" s="19"/>
      <c r="H1195" s="19">
        <f t="shared" si="288"/>
        <v>0</v>
      </c>
      <c r="I1195" s="19">
        <f t="shared" si="289"/>
        <v>0</v>
      </c>
      <c r="J1195" s="18">
        <f t="shared" si="290"/>
        <v>380172.45179999998</v>
      </c>
    </row>
    <row r="1196" spans="1:10">
      <c r="B1196" s="19"/>
      <c r="C1196" s="19"/>
      <c r="D1196" s="19"/>
      <c r="E1196" s="19"/>
      <c r="F1196" s="19">
        <f t="shared" si="287"/>
        <v>0</v>
      </c>
      <c r="G1196" s="19"/>
      <c r="H1196" s="19">
        <f t="shared" si="288"/>
        <v>0</v>
      </c>
      <c r="I1196" s="19">
        <f t="shared" si="289"/>
        <v>0</v>
      </c>
      <c r="J1196" s="18">
        <f t="shared" si="290"/>
        <v>380172.45179999998</v>
      </c>
    </row>
    <row r="1200" spans="1:10" ht="21">
      <c r="A1200" t="s">
        <v>125</v>
      </c>
      <c r="B1200" s="1520" t="s">
        <v>35</v>
      </c>
      <c r="C1200" s="1520"/>
      <c r="D1200" s="1520"/>
      <c r="E1200" s="1520"/>
      <c r="F1200" s="1520"/>
      <c r="G1200" s="1520"/>
      <c r="H1200" s="1520"/>
      <c r="I1200" s="1520"/>
      <c r="J1200" s="1520"/>
    </row>
    <row r="1201" spans="1:11" ht="18.75">
      <c r="A1201" t="s">
        <v>212</v>
      </c>
      <c r="B1201" s="4" t="s">
        <v>1</v>
      </c>
      <c r="C1201" s="4" t="s">
        <v>2</v>
      </c>
      <c r="D1201" s="4" t="s">
        <v>3</v>
      </c>
      <c r="E1201" s="4" t="s">
        <v>4</v>
      </c>
      <c r="F1201" s="4" t="s">
        <v>36</v>
      </c>
      <c r="G1201" s="4" t="s">
        <v>5</v>
      </c>
      <c r="H1201" s="4" t="s">
        <v>6</v>
      </c>
      <c r="I1201" s="4" t="s">
        <v>7</v>
      </c>
      <c r="J1201" s="4"/>
    </row>
    <row r="1202" spans="1:11">
      <c r="B1202" s="96">
        <v>45889</v>
      </c>
      <c r="C1202" s="110" t="s">
        <v>1159</v>
      </c>
      <c r="D1202" s="127">
        <v>0</v>
      </c>
      <c r="E1202" s="127">
        <v>779.9</v>
      </c>
      <c r="F1202" s="127">
        <f>E1202*D1202</f>
        <v>0</v>
      </c>
      <c r="G1202" s="127">
        <v>2.1800000000000002</v>
      </c>
      <c r="H1202" s="127">
        <f>E1202*G1202</f>
        <v>1700.182</v>
      </c>
      <c r="I1202" s="127">
        <f>H1202*D1202</f>
        <v>0</v>
      </c>
      <c r="J1202" s="110">
        <f>J1201+I1202</f>
        <v>0</v>
      </c>
    </row>
    <row r="1203" spans="1:11">
      <c r="B1203" s="140">
        <v>45889</v>
      </c>
      <c r="C1203" s="143" t="s">
        <v>1167</v>
      </c>
      <c r="D1203" s="142">
        <v>0</v>
      </c>
      <c r="E1203" s="142">
        <v>779.9</v>
      </c>
      <c r="F1203" s="142">
        <f t="shared" ref="F1203:F1210" si="291">E1203*D1203</f>
        <v>0</v>
      </c>
      <c r="G1203" s="142">
        <v>2.1800000000000002</v>
      </c>
      <c r="H1203" s="142">
        <f t="shared" ref="H1203:H1210" si="292">E1203*G1203</f>
        <v>1700.182</v>
      </c>
      <c r="I1203" s="142">
        <f t="shared" ref="I1203:I1210" si="293">H1203*D1203</f>
        <v>0</v>
      </c>
      <c r="J1203" s="143">
        <f t="shared" ref="J1203:J1210" si="294">J1202+I1203</f>
        <v>0</v>
      </c>
    </row>
    <row r="1204" spans="1:11">
      <c r="B1204" s="140">
        <v>45889</v>
      </c>
      <c r="C1204" s="143" t="s">
        <v>1166</v>
      </c>
      <c r="D1204" s="142">
        <v>1</v>
      </c>
      <c r="E1204" s="142">
        <v>775</v>
      </c>
      <c r="F1204" s="142">
        <f t="shared" si="291"/>
        <v>775</v>
      </c>
      <c r="G1204" s="142">
        <v>2.1800000000000002</v>
      </c>
      <c r="H1204" s="142">
        <f t="shared" si="292"/>
        <v>1689.5000000000002</v>
      </c>
      <c r="I1204" s="142">
        <f t="shared" si="293"/>
        <v>1689.5000000000002</v>
      </c>
      <c r="J1204" s="143">
        <f t="shared" si="294"/>
        <v>1689.5000000000002</v>
      </c>
    </row>
    <row r="1205" spans="1:11">
      <c r="B1205" s="96">
        <v>45889</v>
      </c>
      <c r="C1205" s="110" t="s">
        <v>1162</v>
      </c>
      <c r="D1205" s="127">
        <v>4</v>
      </c>
      <c r="E1205" s="127">
        <v>750</v>
      </c>
      <c r="F1205" s="127">
        <f t="shared" si="291"/>
        <v>3000</v>
      </c>
      <c r="G1205" s="127">
        <v>2.1800000000000002</v>
      </c>
      <c r="H1205" s="127">
        <f t="shared" si="292"/>
        <v>1635.0000000000002</v>
      </c>
      <c r="I1205" s="127">
        <f t="shared" si="293"/>
        <v>6540.0000000000009</v>
      </c>
      <c r="J1205" s="110">
        <f t="shared" si="294"/>
        <v>8229.5000000000018</v>
      </c>
    </row>
    <row r="1206" spans="1:11">
      <c r="B1206" s="96">
        <v>45895</v>
      </c>
      <c r="C1206" s="110" t="s">
        <v>1163</v>
      </c>
      <c r="D1206" s="127">
        <v>50</v>
      </c>
      <c r="E1206" s="127">
        <v>329</v>
      </c>
      <c r="F1206" s="127">
        <f t="shared" si="291"/>
        <v>16450</v>
      </c>
      <c r="G1206" s="127">
        <v>2.1800000000000002</v>
      </c>
      <c r="H1206" s="127">
        <f t="shared" si="292"/>
        <v>717.22</v>
      </c>
      <c r="I1206" s="127">
        <f t="shared" si="293"/>
        <v>35861</v>
      </c>
      <c r="J1206" s="110">
        <f t="shared" si="294"/>
        <v>44090.5</v>
      </c>
    </row>
    <row r="1207" spans="1:11">
      <c r="B1207" s="96">
        <v>45895</v>
      </c>
      <c r="C1207" s="110" t="s">
        <v>1164</v>
      </c>
      <c r="D1207" s="337">
        <v>50</v>
      </c>
      <c r="E1207" s="337">
        <v>329</v>
      </c>
      <c r="F1207" s="127">
        <f t="shared" si="291"/>
        <v>16450</v>
      </c>
      <c r="G1207" s="127">
        <v>2.1800000000000002</v>
      </c>
      <c r="H1207" s="127">
        <f t="shared" si="292"/>
        <v>717.22</v>
      </c>
      <c r="I1207" s="127">
        <f t="shared" si="293"/>
        <v>35861</v>
      </c>
      <c r="J1207" s="110">
        <f t="shared" si="294"/>
        <v>79951.5</v>
      </c>
    </row>
    <row r="1208" spans="1:11">
      <c r="B1208" s="19"/>
      <c r="C1208" s="19"/>
      <c r="D1208" s="19"/>
      <c r="E1208" s="19"/>
      <c r="F1208" s="19">
        <f t="shared" si="291"/>
        <v>0</v>
      </c>
      <c r="G1208" s="374"/>
      <c r="H1208" s="19">
        <f t="shared" si="292"/>
        <v>0</v>
      </c>
      <c r="I1208" s="19">
        <f t="shared" si="293"/>
        <v>0</v>
      </c>
      <c r="J1208" s="18">
        <f t="shared" si="294"/>
        <v>79951.5</v>
      </c>
    </row>
    <row r="1209" spans="1:11">
      <c r="B1209" s="19"/>
      <c r="C1209" s="19"/>
      <c r="D1209" s="19"/>
      <c r="E1209" s="19"/>
      <c r="F1209" s="19">
        <f t="shared" si="291"/>
        <v>0</v>
      </c>
      <c r="G1209" s="374"/>
      <c r="H1209" s="19">
        <f t="shared" si="292"/>
        <v>0</v>
      </c>
      <c r="I1209" s="19">
        <f t="shared" si="293"/>
        <v>0</v>
      </c>
      <c r="J1209" s="18">
        <f t="shared" si="294"/>
        <v>79951.5</v>
      </c>
    </row>
    <row r="1210" spans="1:11">
      <c r="B1210" s="19"/>
      <c r="C1210" s="19"/>
      <c r="D1210" s="19"/>
      <c r="E1210" s="19"/>
      <c r="F1210" s="19">
        <f t="shared" si="291"/>
        <v>0</v>
      </c>
      <c r="G1210" s="374"/>
      <c r="H1210" s="19">
        <f t="shared" si="292"/>
        <v>0</v>
      </c>
      <c r="I1210" s="19">
        <f t="shared" si="293"/>
        <v>0</v>
      </c>
      <c r="J1210" s="18">
        <f t="shared" si="294"/>
        <v>79951.5</v>
      </c>
    </row>
    <row r="1214" spans="1:11" ht="21">
      <c r="A1214" t="s">
        <v>125</v>
      </c>
      <c r="B1214" s="1523" t="s">
        <v>376</v>
      </c>
      <c r="C1214" s="1523"/>
      <c r="D1214" s="1523"/>
      <c r="E1214" s="1523"/>
      <c r="F1214" s="1523"/>
      <c r="G1214" s="1523"/>
      <c r="H1214" s="1523"/>
      <c r="I1214" s="1523"/>
      <c r="J1214" s="1523"/>
      <c r="K1214" t="s">
        <v>1482</v>
      </c>
    </row>
    <row r="1215" spans="1:11" ht="18.75">
      <c r="B1215" s="4" t="s">
        <v>1</v>
      </c>
      <c r="C1215" s="4" t="s">
        <v>2</v>
      </c>
      <c r="D1215" s="4" t="s">
        <v>3</v>
      </c>
      <c r="E1215" s="365" t="s">
        <v>132</v>
      </c>
      <c r="F1215" s="365" t="s">
        <v>133</v>
      </c>
      <c r="G1215" s="4" t="s">
        <v>5</v>
      </c>
      <c r="H1215" s="4" t="s">
        <v>6</v>
      </c>
      <c r="I1215" s="4" t="s">
        <v>7</v>
      </c>
      <c r="J1215" s="4"/>
    </row>
    <row r="1216" spans="1:11">
      <c r="B1216" s="81">
        <v>45902</v>
      </c>
      <c r="C1216" s="143" t="s">
        <v>1145</v>
      </c>
      <c r="D1216" s="19">
        <v>116</v>
      </c>
      <c r="E1216" s="19">
        <v>220</v>
      </c>
      <c r="F1216" s="19">
        <f>E1216*D1216</f>
        <v>25520</v>
      </c>
      <c r="G1216" s="19">
        <v>3.58</v>
      </c>
      <c r="H1216" s="19">
        <f>E1216*G1216</f>
        <v>787.6</v>
      </c>
      <c r="I1216" s="19">
        <f>H1216*D1216</f>
        <v>91361.600000000006</v>
      </c>
      <c r="J1216" s="18">
        <f>J1215+I1216</f>
        <v>91361.600000000006</v>
      </c>
    </row>
    <row r="1217" spans="1:10">
      <c r="B1217" s="81">
        <v>45902</v>
      </c>
      <c r="C1217" s="143" t="s">
        <v>1182</v>
      </c>
      <c r="D1217" s="19">
        <v>1</v>
      </c>
      <c r="E1217" s="19">
        <v>750</v>
      </c>
      <c r="F1217" s="19">
        <f t="shared" ref="F1217:F1228" si="295">E1217*D1217</f>
        <v>750</v>
      </c>
      <c r="G1217" s="19">
        <v>3.58</v>
      </c>
      <c r="H1217" s="19">
        <f t="shared" ref="H1217:H1228" si="296">E1217*G1217</f>
        <v>2685</v>
      </c>
      <c r="I1217" s="19">
        <f t="shared" ref="I1217:I1228" si="297">H1217*D1217</f>
        <v>2685</v>
      </c>
      <c r="J1217" s="18">
        <f t="shared" ref="J1217:J1228" si="298">J1216+I1217</f>
        <v>94046.6</v>
      </c>
    </row>
    <row r="1218" spans="1:10">
      <c r="B1218" s="81">
        <v>45902</v>
      </c>
      <c r="C1218" s="143" t="s">
        <v>1183</v>
      </c>
      <c r="D1218" s="19">
        <v>1</v>
      </c>
      <c r="E1218" s="19">
        <v>300</v>
      </c>
      <c r="F1218" s="19">
        <f t="shared" si="295"/>
        <v>300</v>
      </c>
      <c r="G1218" s="19">
        <v>3.58</v>
      </c>
      <c r="H1218" s="19">
        <f t="shared" si="296"/>
        <v>1074</v>
      </c>
      <c r="I1218" s="19">
        <f t="shared" si="297"/>
        <v>1074</v>
      </c>
      <c r="J1218" s="18">
        <f t="shared" si="298"/>
        <v>95120.6</v>
      </c>
    </row>
    <row r="1219" spans="1:10">
      <c r="B1219" s="81">
        <v>45902</v>
      </c>
      <c r="C1219" s="143" t="s">
        <v>1184</v>
      </c>
      <c r="D1219" s="19">
        <v>7</v>
      </c>
      <c r="E1219" s="19">
        <v>425</v>
      </c>
      <c r="F1219" s="19">
        <f t="shared" si="295"/>
        <v>2975</v>
      </c>
      <c r="G1219" s="19">
        <v>3.58</v>
      </c>
      <c r="H1219" s="19">
        <f t="shared" si="296"/>
        <v>1521.5</v>
      </c>
      <c r="I1219" s="19">
        <f t="shared" si="297"/>
        <v>10650.5</v>
      </c>
      <c r="J1219" s="18">
        <f t="shared" si="298"/>
        <v>105771.1</v>
      </c>
    </row>
    <row r="1220" spans="1:10">
      <c r="B1220" s="81">
        <v>45902</v>
      </c>
      <c r="C1220" s="627" t="s">
        <v>1975</v>
      </c>
      <c r="D1220" s="19">
        <v>1</v>
      </c>
      <c r="E1220" s="19">
        <v>160</v>
      </c>
      <c r="F1220" s="19">
        <f t="shared" si="295"/>
        <v>160</v>
      </c>
      <c r="G1220" s="19">
        <v>3.58</v>
      </c>
      <c r="H1220" s="19">
        <f t="shared" si="296"/>
        <v>572.79999999999995</v>
      </c>
      <c r="I1220" s="19">
        <f t="shared" si="297"/>
        <v>572.79999999999995</v>
      </c>
      <c r="J1220" s="18">
        <f t="shared" si="298"/>
        <v>106343.90000000001</v>
      </c>
    </row>
    <row r="1221" spans="1:10">
      <c r="B1221" s="81">
        <v>45902</v>
      </c>
      <c r="C1221" s="143" t="s">
        <v>806</v>
      </c>
      <c r="D1221" s="19">
        <v>3</v>
      </c>
      <c r="E1221" s="19">
        <v>590</v>
      </c>
      <c r="F1221" s="19">
        <f t="shared" si="295"/>
        <v>1770</v>
      </c>
      <c r="G1221" s="19">
        <v>3.58</v>
      </c>
      <c r="H1221" s="19">
        <f t="shared" si="296"/>
        <v>2112.1999999999998</v>
      </c>
      <c r="I1221" s="19">
        <f t="shared" si="297"/>
        <v>6336.5999999999995</v>
      </c>
      <c r="J1221" s="18">
        <f t="shared" si="298"/>
        <v>112680.50000000001</v>
      </c>
    </row>
    <row r="1222" spans="1:10">
      <c r="B1222" s="81">
        <v>45902</v>
      </c>
      <c r="C1222" s="143" t="s">
        <v>807</v>
      </c>
      <c r="D1222" s="19">
        <v>1</v>
      </c>
      <c r="E1222" s="19">
        <v>390</v>
      </c>
      <c r="F1222" s="19">
        <f t="shared" si="295"/>
        <v>390</v>
      </c>
      <c r="G1222" s="19">
        <v>3.58</v>
      </c>
      <c r="H1222" s="19">
        <f t="shared" si="296"/>
        <v>1396.2</v>
      </c>
      <c r="I1222" s="19">
        <f t="shared" si="297"/>
        <v>1396.2</v>
      </c>
      <c r="J1222" s="18">
        <f t="shared" si="298"/>
        <v>114076.70000000001</v>
      </c>
    </row>
    <row r="1223" spans="1:10">
      <c r="B1223" s="81">
        <v>45902</v>
      </c>
      <c r="C1223" s="141" t="s">
        <v>154</v>
      </c>
      <c r="D1223" s="19">
        <v>6</v>
      </c>
      <c r="E1223" s="19">
        <v>0</v>
      </c>
      <c r="F1223" s="19">
        <f t="shared" si="295"/>
        <v>0</v>
      </c>
      <c r="G1223" s="19">
        <v>3.58</v>
      </c>
      <c r="H1223" s="19">
        <f t="shared" si="296"/>
        <v>0</v>
      </c>
      <c r="I1223" s="19">
        <f t="shared" si="297"/>
        <v>0</v>
      </c>
      <c r="J1223" s="18">
        <f t="shared" si="298"/>
        <v>114076.70000000001</v>
      </c>
    </row>
    <row r="1224" spans="1:10">
      <c r="B1224" s="81">
        <v>45902</v>
      </c>
      <c r="C1224" s="571" t="s">
        <v>135</v>
      </c>
      <c r="D1224" s="19">
        <v>3</v>
      </c>
      <c r="E1224" s="19">
        <v>820</v>
      </c>
      <c r="F1224" s="19">
        <f t="shared" si="295"/>
        <v>2460</v>
      </c>
      <c r="G1224" s="19">
        <v>3.58</v>
      </c>
      <c r="H1224" s="19">
        <f t="shared" si="296"/>
        <v>2935.6</v>
      </c>
      <c r="I1224" s="19">
        <f t="shared" si="297"/>
        <v>8806.7999999999993</v>
      </c>
      <c r="J1224" s="18">
        <f t="shared" si="298"/>
        <v>122883.50000000001</v>
      </c>
    </row>
    <row r="1225" spans="1:10">
      <c r="B1225" s="81">
        <v>45902</v>
      </c>
      <c r="C1225" s="571" t="s">
        <v>919</v>
      </c>
      <c r="D1225" s="19">
        <v>3</v>
      </c>
      <c r="E1225" s="19">
        <v>1000</v>
      </c>
      <c r="F1225" s="19">
        <f t="shared" si="295"/>
        <v>3000</v>
      </c>
      <c r="G1225" s="19">
        <v>3.58</v>
      </c>
      <c r="H1225" s="19">
        <f t="shared" si="296"/>
        <v>3580</v>
      </c>
      <c r="I1225" s="19">
        <f t="shared" si="297"/>
        <v>10740</v>
      </c>
      <c r="J1225" s="18">
        <f t="shared" si="298"/>
        <v>133623.5</v>
      </c>
    </row>
    <row r="1226" spans="1:10">
      <c r="B1226" s="81">
        <v>45902</v>
      </c>
      <c r="C1226" s="571" t="s">
        <v>923</v>
      </c>
      <c r="D1226" s="19">
        <v>1</v>
      </c>
      <c r="E1226" s="19">
        <v>1180</v>
      </c>
      <c r="F1226" s="19">
        <f t="shared" si="295"/>
        <v>1180</v>
      </c>
      <c r="G1226" s="19">
        <v>3.58</v>
      </c>
      <c r="H1226" s="19">
        <f t="shared" si="296"/>
        <v>4224.3999999999996</v>
      </c>
      <c r="I1226" s="19">
        <f t="shared" si="297"/>
        <v>4224.3999999999996</v>
      </c>
      <c r="J1226" s="18">
        <f t="shared" si="298"/>
        <v>137847.9</v>
      </c>
    </row>
    <row r="1227" spans="1:10">
      <c r="B1227" s="81">
        <v>45902</v>
      </c>
      <c r="C1227" s="571" t="s">
        <v>1186</v>
      </c>
      <c r="D1227" s="19">
        <v>1</v>
      </c>
      <c r="E1227" s="19">
        <v>1275</v>
      </c>
      <c r="F1227" s="19">
        <f t="shared" si="295"/>
        <v>1275</v>
      </c>
      <c r="G1227" s="19">
        <v>3.58</v>
      </c>
      <c r="H1227" s="19">
        <f t="shared" si="296"/>
        <v>4564.5</v>
      </c>
      <c r="I1227" s="19">
        <f t="shared" si="297"/>
        <v>4564.5</v>
      </c>
      <c r="J1227" s="18">
        <f t="shared" si="298"/>
        <v>142412.4</v>
      </c>
    </row>
    <row r="1228" spans="1:10">
      <c r="B1228" s="81">
        <v>45902</v>
      </c>
      <c r="C1228" s="143" t="s">
        <v>1148</v>
      </c>
      <c r="D1228" s="19">
        <v>1</v>
      </c>
      <c r="E1228" s="19">
        <v>1250</v>
      </c>
      <c r="F1228" s="19">
        <f t="shared" si="295"/>
        <v>1250</v>
      </c>
      <c r="G1228" s="19">
        <v>3.58</v>
      </c>
      <c r="H1228" s="19">
        <f t="shared" si="296"/>
        <v>4475</v>
      </c>
      <c r="I1228" s="19">
        <f t="shared" si="297"/>
        <v>4475</v>
      </c>
      <c r="J1228" s="18">
        <f t="shared" si="298"/>
        <v>146887.4</v>
      </c>
    </row>
    <row r="1231" spans="1:10" ht="21">
      <c r="A1231" t="s">
        <v>125</v>
      </c>
      <c r="B1231" s="1520" t="s">
        <v>20</v>
      </c>
      <c r="C1231" s="1520"/>
      <c r="D1231" s="1520"/>
      <c r="E1231" s="1520"/>
      <c r="F1231" s="1520"/>
      <c r="G1231" s="1520"/>
      <c r="H1231" s="1520"/>
      <c r="I1231" s="1520"/>
      <c r="J1231" s="1520"/>
    </row>
    <row r="1232" spans="1:10" ht="18.75">
      <c r="A1232" t="s">
        <v>212</v>
      </c>
      <c r="B1232" s="4" t="s">
        <v>1</v>
      </c>
      <c r="C1232" s="4" t="s">
        <v>2</v>
      </c>
      <c r="D1232" s="4" t="s">
        <v>3</v>
      </c>
      <c r="E1232" s="4" t="s">
        <v>4</v>
      </c>
      <c r="F1232" s="4" t="s">
        <v>36</v>
      </c>
      <c r="G1232" s="4" t="s">
        <v>5</v>
      </c>
      <c r="H1232" s="4" t="s">
        <v>6</v>
      </c>
      <c r="I1232" s="4" t="s">
        <v>7</v>
      </c>
      <c r="J1232" s="4"/>
    </row>
    <row r="1233" spans="1:11">
      <c r="B1233" s="428">
        <v>45883</v>
      </c>
      <c r="C1233" s="80" t="s">
        <v>1080</v>
      </c>
      <c r="D1233" s="19">
        <v>56</v>
      </c>
      <c r="E1233" s="19">
        <v>274</v>
      </c>
      <c r="F1233" s="19">
        <f>E1233*D1233</f>
        <v>15344</v>
      </c>
      <c r="G1233" s="374">
        <v>2.3793000000000002</v>
      </c>
      <c r="H1233" s="19">
        <f>E1233*G1233</f>
        <v>651.92820000000006</v>
      </c>
      <c r="I1233" s="19">
        <f>H1233*D1233</f>
        <v>36507.979200000002</v>
      </c>
      <c r="J1233" s="18">
        <f>J1232+I1233</f>
        <v>36507.979200000002</v>
      </c>
    </row>
    <row r="1234" spans="1:11">
      <c r="B1234" s="96">
        <v>45897</v>
      </c>
      <c r="C1234" s="138" t="s">
        <v>1188</v>
      </c>
      <c r="D1234" s="127">
        <v>10</v>
      </c>
      <c r="E1234" s="127">
        <v>2600</v>
      </c>
      <c r="F1234" s="127">
        <f t="shared" ref="F1234:F1241" si="299">E1234*D1234</f>
        <v>26000</v>
      </c>
      <c r="G1234" s="127">
        <v>2.3793000000000002</v>
      </c>
      <c r="H1234" s="127">
        <f t="shared" ref="H1234:H1241" si="300">E1234*G1234</f>
        <v>6186.18</v>
      </c>
      <c r="I1234" s="127">
        <f t="shared" ref="I1234:I1241" si="301">H1234*D1234</f>
        <v>61861.8</v>
      </c>
      <c r="J1234" s="110">
        <f t="shared" ref="J1234:J1241" si="302">J1233+I1234</f>
        <v>98369.779200000004</v>
      </c>
    </row>
    <row r="1235" spans="1:11">
      <c r="B1235" s="428">
        <v>45898</v>
      </c>
      <c r="C1235" s="80" t="s">
        <v>1187</v>
      </c>
      <c r="D1235" s="19">
        <v>30</v>
      </c>
      <c r="E1235" s="19">
        <v>274</v>
      </c>
      <c r="F1235" s="19">
        <f t="shared" si="299"/>
        <v>8220</v>
      </c>
      <c r="G1235" s="374">
        <v>2.3793000000000002</v>
      </c>
      <c r="H1235" s="19">
        <f t="shared" si="300"/>
        <v>651.92820000000006</v>
      </c>
      <c r="I1235" s="19">
        <f t="shared" si="301"/>
        <v>19557.846000000001</v>
      </c>
      <c r="J1235" s="18">
        <f t="shared" si="302"/>
        <v>117927.62520000001</v>
      </c>
    </row>
    <row r="1236" spans="1:11">
      <c r="B1236" s="165">
        <v>45899</v>
      </c>
      <c r="C1236" s="502" t="s">
        <v>1189</v>
      </c>
      <c r="D1236" s="174">
        <v>20</v>
      </c>
      <c r="E1236" s="174">
        <v>560</v>
      </c>
      <c r="F1236" s="174">
        <f t="shared" si="299"/>
        <v>11200</v>
      </c>
      <c r="G1236" s="174">
        <v>2.3793000000000002</v>
      </c>
      <c r="H1236" s="174">
        <f t="shared" si="300"/>
        <v>1332.4080000000001</v>
      </c>
      <c r="I1236" s="174">
        <f t="shared" si="301"/>
        <v>26648.160000000003</v>
      </c>
      <c r="J1236" s="417">
        <f t="shared" si="302"/>
        <v>144575.78520000001</v>
      </c>
      <c r="K1236" s="441" t="s">
        <v>1341</v>
      </c>
    </row>
    <row r="1237" spans="1:11">
      <c r="B1237" s="19"/>
      <c r="C1237" s="80"/>
      <c r="D1237" s="19"/>
      <c r="E1237" s="19"/>
      <c r="F1237" s="19">
        <f t="shared" si="299"/>
        <v>0</v>
      </c>
      <c r="G1237" s="374">
        <v>2.3793000000000002</v>
      </c>
      <c r="H1237" s="19">
        <f t="shared" si="300"/>
        <v>0</v>
      </c>
      <c r="I1237" s="19">
        <f t="shared" si="301"/>
        <v>0</v>
      </c>
      <c r="J1237" s="18">
        <f t="shared" si="302"/>
        <v>144575.78520000001</v>
      </c>
    </row>
    <row r="1238" spans="1:11">
      <c r="B1238" s="19"/>
      <c r="C1238" s="80"/>
      <c r="D1238" s="19"/>
      <c r="E1238" s="19"/>
      <c r="F1238" s="19">
        <f t="shared" si="299"/>
        <v>0</v>
      </c>
      <c r="G1238" s="374">
        <v>2.3793000000000002</v>
      </c>
      <c r="H1238" s="19">
        <f t="shared" si="300"/>
        <v>0</v>
      </c>
      <c r="I1238" s="19">
        <f t="shared" si="301"/>
        <v>0</v>
      </c>
      <c r="J1238" s="18">
        <f t="shared" si="302"/>
        <v>144575.78520000001</v>
      </c>
    </row>
    <row r="1239" spans="1:11">
      <c r="B1239" s="19"/>
      <c r="C1239" s="80"/>
      <c r="D1239" s="19"/>
      <c r="E1239" s="19"/>
      <c r="F1239" s="19">
        <f t="shared" si="299"/>
        <v>0</v>
      </c>
      <c r="G1239" s="374">
        <v>2.3793000000000002</v>
      </c>
      <c r="H1239" s="19">
        <f t="shared" si="300"/>
        <v>0</v>
      </c>
      <c r="I1239" s="19">
        <f t="shared" si="301"/>
        <v>0</v>
      </c>
      <c r="J1239" s="18">
        <f t="shared" si="302"/>
        <v>144575.78520000001</v>
      </c>
    </row>
    <row r="1240" spans="1:11">
      <c r="B1240" s="19"/>
      <c r="C1240" s="80"/>
      <c r="D1240" s="19"/>
      <c r="E1240" s="19"/>
      <c r="F1240" s="19">
        <f t="shared" si="299"/>
        <v>0</v>
      </c>
      <c r="G1240" s="374">
        <v>2.3793000000000002</v>
      </c>
      <c r="H1240" s="19">
        <f t="shared" si="300"/>
        <v>0</v>
      </c>
      <c r="I1240" s="19">
        <f t="shared" si="301"/>
        <v>0</v>
      </c>
      <c r="J1240" s="18">
        <f t="shared" si="302"/>
        <v>144575.78520000001</v>
      </c>
    </row>
    <row r="1241" spans="1:11">
      <c r="B1241" s="19"/>
      <c r="C1241" s="80"/>
      <c r="D1241" s="19"/>
      <c r="E1241" s="19"/>
      <c r="F1241" s="19">
        <f t="shared" si="299"/>
        <v>0</v>
      </c>
      <c r="G1241" s="374">
        <v>2.3793000000000002</v>
      </c>
      <c r="H1241" s="19">
        <f t="shared" si="300"/>
        <v>0</v>
      </c>
      <c r="I1241" s="19">
        <f t="shared" si="301"/>
        <v>0</v>
      </c>
      <c r="J1241" s="18">
        <f t="shared" si="302"/>
        <v>144575.78520000001</v>
      </c>
    </row>
    <row r="1245" spans="1:11" ht="21">
      <c r="A1245" t="s">
        <v>125</v>
      </c>
      <c r="B1245" s="1523" t="s">
        <v>376</v>
      </c>
      <c r="C1245" s="1523"/>
      <c r="D1245" s="1523"/>
      <c r="E1245" s="1523"/>
      <c r="F1245" s="1523"/>
      <c r="G1245" s="1523"/>
      <c r="H1245" s="1523"/>
      <c r="I1245" s="1523"/>
      <c r="J1245" s="1523"/>
      <c r="K1245" t="s">
        <v>1483</v>
      </c>
    </row>
    <row r="1246" spans="1:11" ht="18.75">
      <c r="B1246" s="4" t="s">
        <v>1</v>
      </c>
      <c r="C1246" s="4" t="s">
        <v>2</v>
      </c>
      <c r="D1246" s="4" t="s">
        <v>3</v>
      </c>
      <c r="E1246" s="365" t="s">
        <v>132</v>
      </c>
      <c r="F1246" s="365" t="s">
        <v>133</v>
      </c>
      <c r="G1246" s="4" t="s">
        <v>5</v>
      </c>
      <c r="H1246" s="4" t="s">
        <v>6</v>
      </c>
      <c r="I1246" s="4" t="s">
        <v>7</v>
      </c>
      <c r="J1246" s="4"/>
    </row>
    <row r="1247" spans="1:11">
      <c r="B1247" s="81">
        <v>45908</v>
      </c>
      <c r="C1247" s="18" t="s">
        <v>806</v>
      </c>
      <c r="D1247" s="19">
        <v>0</v>
      </c>
      <c r="E1247" s="19">
        <v>0</v>
      </c>
      <c r="F1247" s="19">
        <f>E1247*D1247</f>
        <v>0</v>
      </c>
      <c r="G1247" s="19"/>
      <c r="H1247" s="19">
        <f>E1247*G1247</f>
        <v>0</v>
      </c>
      <c r="I1247" s="19">
        <f>H1247*D1247</f>
        <v>0</v>
      </c>
      <c r="J1247" s="18">
        <f>J1246+I1247</f>
        <v>0</v>
      </c>
    </row>
    <row r="1248" spans="1:11">
      <c r="B1248" s="81">
        <v>45908</v>
      </c>
      <c r="C1248" s="18" t="s">
        <v>807</v>
      </c>
      <c r="D1248" s="19">
        <v>2</v>
      </c>
      <c r="E1248" s="19">
        <v>390</v>
      </c>
      <c r="F1248" s="19">
        <f t="shared" ref="F1248:F1264" si="303">E1248*D1248</f>
        <v>780</v>
      </c>
      <c r="G1248" s="19">
        <v>3.58</v>
      </c>
      <c r="H1248" s="19">
        <f t="shared" ref="H1248:H1264" si="304">E1248*G1248</f>
        <v>1396.2</v>
      </c>
      <c r="I1248" s="19">
        <f t="shared" ref="I1248:I1264" si="305">H1248*D1248</f>
        <v>2792.4</v>
      </c>
      <c r="J1248" s="18">
        <f>J1247+I1248</f>
        <v>2792.4</v>
      </c>
    </row>
    <row r="1249" spans="2:10">
      <c r="B1249" s="81">
        <v>45908</v>
      </c>
      <c r="C1249" s="230" t="s">
        <v>1182</v>
      </c>
      <c r="D1249" s="19">
        <v>1</v>
      </c>
      <c r="E1249" s="19">
        <v>750</v>
      </c>
      <c r="F1249" s="19">
        <f t="shared" si="303"/>
        <v>750</v>
      </c>
      <c r="G1249" s="19">
        <v>3.58</v>
      </c>
      <c r="H1249" s="19">
        <f t="shared" si="304"/>
        <v>2685</v>
      </c>
      <c r="I1249" s="19">
        <f t="shared" si="305"/>
        <v>2685</v>
      </c>
      <c r="J1249" s="18">
        <f t="shared" ref="J1249:J1264" si="306">J1248+I1249</f>
        <v>5477.4</v>
      </c>
    </row>
    <row r="1250" spans="2:10">
      <c r="B1250" s="81">
        <v>45908</v>
      </c>
      <c r="C1250" s="230" t="s">
        <v>1145</v>
      </c>
      <c r="D1250" s="19">
        <v>4</v>
      </c>
      <c r="E1250" s="19">
        <v>220</v>
      </c>
      <c r="F1250" s="19">
        <f t="shared" si="303"/>
        <v>880</v>
      </c>
      <c r="G1250" s="19">
        <v>3.58</v>
      </c>
      <c r="H1250" s="19">
        <f t="shared" si="304"/>
        <v>787.6</v>
      </c>
      <c r="I1250" s="19">
        <f t="shared" si="305"/>
        <v>3150.4</v>
      </c>
      <c r="J1250" s="18">
        <f t="shared" si="306"/>
        <v>8627.7999999999993</v>
      </c>
    </row>
    <row r="1251" spans="2:10">
      <c r="B1251" s="81">
        <v>45908</v>
      </c>
      <c r="C1251" s="490" t="s">
        <v>131</v>
      </c>
      <c r="D1251" s="19">
        <v>12</v>
      </c>
      <c r="E1251" s="19">
        <v>425</v>
      </c>
      <c r="F1251" s="19">
        <f t="shared" si="303"/>
        <v>5100</v>
      </c>
      <c r="G1251" s="19">
        <v>3.58</v>
      </c>
      <c r="H1251" s="19">
        <f t="shared" si="304"/>
        <v>1521.5</v>
      </c>
      <c r="I1251" s="19">
        <f t="shared" si="305"/>
        <v>18258</v>
      </c>
      <c r="J1251" s="18">
        <f t="shared" si="306"/>
        <v>26885.8</v>
      </c>
    </row>
    <row r="1252" spans="2:10">
      <c r="B1252" s="81">
        <v>45908</v>
      </c>
      <c r="C1252" s="490" t="s">
        <v>919</v>
      </c>
      <c r="D1252" s="19">
        <v>4</v>
      </c>
      <c r="E1252" s="19">
        <v>1030</v>
      </c>
      <c r="F1252" s="19">
        <f t="shared" si="303"/>
        <v>4120</v>
      </c>
      <c r="G1252" s="19">
        <v>3.58</v>
      </c>
      <c r="H1252" s="19">
        <f t="shared" si="304"/>
        <v>3687.4</v>
      </c>
      <c r="I1252" s="19">
        <f t="shared" si="305"/>
        <v>14749.6</v>
      </c>
      <c r="J1252" s="18">
        <f t="shared" si="306"/>
        <v>41635.4</v>
      </c>
    </row>
    <row r="1253" spans="2:10">
      <c r="B1253" s="81">
        <v>45908</v>
      </c>
      <c r="C1253" s="490" t="s">
        <v>919</v>
      </c>
      <c r="D1253" s="19">
        <v>4</v>
      </c>
      <c r="E1253" s="19">
        <v>1000</v>
      </c>
      <c r="F1253" s="19">
        <f t="shared" si="303"/>
        <v>4000</v>
      </c>
      <c r="G1253" s="19">
        <v>3.58</v>
      </c>
      <c r="H1253" s="19">
        <f t="shared" si="304"/>
        <v>3580</v>
      </c>
      <c r="I1253" s="19">
        <f t="shared" si="305"/>
        <v>14320</v>
      </c>
      <c r="J1253" s="18">
        <f t="shared" si="306"/>
        <v>55955.4</v>
      </c>
    </row>
    <row r="1254" spans="2:10">
      <c r="B1254" s="81">
        <v>45908</v>
      </c>
      <c r="C1254" s="490" t="s">
        <v>135</v>
      </c>
      <c r="D1254" s="19">
        <v>1</v>
      </c>
      <c r="E1254" s="305">
        <v>1030</v>
      </c>
      <c r="F1254" s="19">
        <f t="shared" si="303"/>
        <v>1030</v>
      </c>
      <c r="G1254" s="19">
        <v>3.58</v>
      </c>
      <c r="H1254" s="19">
        <f t="shared" si="304"/>
        <v>3687.4</v>
      </c>
      <c r="I1254" s="19">
        <f t="shared" si="305"/>
        <v>3687.4</v>
      </c>
      <c r="J1254" s="18">
        <f t="shared" si="306"/>
        <v>59642.8</v>
      </c>
    </row>
    <row r="1255" spans="2:10">
      <c r="B1255" s="81">
        <v>45908</v>
      </c>
      <c r="C1255" s="490" t="s">
        <v>135</v>
      </c>
      <c r="D1255" s="19">
        <v>1</v>
      </c>
      <c r="E1255" s="19">
        <v>830</v>
      </c>
      <c r="F1255" s="19">
        <f t="shared" si="303"/>
        <v>830</v>
      </c>
      <c r="G1255" s="19">
        <v>3.58</v>
      </c>
      <c r="H1255" s="19">
        <f t="shared" si="304"/>
        <v>2971.4</v>
      </c>
      <c r="I1255" s="19">
        <f t="shared" si="305"/>
        <v>2971.4</v>
      </c>
      <c r="J1255" s="18">
        <f t="shared" si="306"/>
        <v>62614.200000000004</v>
      </c>
    </row>
    <row r="1256" spans="2:10">
      <c r="B1256" s="81">
        <v>45908</v>
      </c>
      <c r="C1256" s="490" t="s">
        <v>137</v>
      </c>
      <c r="D1256" s="19">
        <v>1</v>
      </c>
      <c r="E1256" s="305">
        <v>830</v>
      </c>
      <c r="F1256" s="19">
        <f t="shared" si="303"/>
        <v>830</v>
      </c>
      <c r="G1256" s="19">
        <v>3.58</v>
      </c>
      <c r="H1256" s="19">
        <f t="shared" si="304"/>
        <v>2971.4</v>
      </c>
      <c r="I1256" s="19">
        <f t="shared" si="305"/>
        <v>2971.4</v>
      </c>
      <c r="J1256" s="18">
        <f t="shared" si="306"/>
        <v>65585.600000000006</v>
      </c>
    </row>
    <row r="1257" spans="2:10">
      <c r="B1257" s="81">
        <v>45908</v>
      </c>
      <c r="C1257" s="444" t="s">
        <v>1152</v>
      </c>
      <c r="D1257" s="19">
        <v>1</v>
      </c>
      <c r="E1257" s="19">
        <v>620</v>
      </c>
      <c r="F1257" s="19">
        <f t="shared" si="303"/>
        <v>620</v>
      </c>
      <c r="G1257" s="19">
        <v>3.58</v>
      </c>
      <c r="H1257" s="19">
        <f t="shared" si="304"/>
        <v>2219.6</v>
      </c>
      <c r="I1257" s="19">
        <f t="shared" si="305"/>
        <v>2219.6</v>
      </c>
      <c r="J1257" s="18">
        <f t="shared" si="306"/>
        <v>67805.200000000012</v>
      </c>
    </row>
    <row r="1258" spans="2:10">
      <c r="B1258" s="81">
        <v>45908</v>
      </c>
      <c r="C1258" s="444" t="s">
        <v>1095</v>
      </c>
      <c r="D1258" s="19">
        <v>1</v>
      </c>
      <c r="E1258" s="19">
        <v>330</v>
      </c>
      <c r="F1258" s="19">
        <f t="shared" si="303"/>
        <v>330</v>
      </c>
      <c r="G1258" s="19">
        <v>3.58</v>
      </c>
      <c r="H1258" s="19">
        <f t="shared" si="304"/>
        <v>1181.4000000000001</v>
      </c>
      <c r="I1258" s="19">
        <f t="shared" si="305"/>
        <v>1181.4000000000001</v>
      </c>
      <c r="J1258" s="18">
        <f t="shared" si="306"/>
        <v>68986.600000000006</v>
      </c>
    </row>
    <row r="1259" spans="2:10">
      <c r="B1259" s="81">
        <v>45908</v>
      </c>
      <c r="C1259" s="444" t="s">
        <v>1202</v>
      </c>
      <c r="D1259" s="19">
        <v>1</v>
      </c>
      <c r="E1259" s="19">
        <v>440</v>
      </c>
      <c r="F1259" s="19">
        <f t="shared" si="303"/>
        <v>440</v>
      </c>
      <c r="G1259" s="19">
        <v>3.58</v>
      </c>
      <c r="H1259" s="19">
        <f t="shared" si="304"/>
        <v>1575.2</v>
      </c>
      <c r="I1259" s="19">
        <f t="shared" si="305"/>
        <v>1575.2</v>
      </c>
      <c r="J1259" s="18">
        <f t="shared" si="306"/>
        <v>70561.8</v>
      </c>
    </row>
    <row r="1260" spans="2:10">
      <c r="B1260" s="81">
        <v>45908</v>
      </c>
      <c r="C1260" s="572" t="s">
        <v>134</v>
      </c>
      <c r="D1260" s="19">
        <v>9</v>
      </c>
      <c r="E1260" s="19">
        <v>720</v>
      </c>
      <c r="F1260" s="19">
        <f t="shared" si="303"/>
        <v>6480</v>
      </c>
      <c r="G1260" s="19">
        <v>3.58</v>
      </c>
      <c r="H1260" s="19">
        <f t="shared" si="304"/>
        <v>2577.6</v>
      </c>
      <c r="I1260" s="19">
        <f t="shared" si="305"/>
        <v>23198.399999999998</v>
      </c>
      <c r="J1260" s="18">
        <f t="shared" si="306"/>
        <v>93760.2</v>
      </c>
    </row>
    <row r="1261" spans="2:10">
      <c r="B1261" s="81">
        <v>45908</v>
      </c>
      <c r="C1261" s="572" t="s">
        <v>928</v>
      </c>
      <c r="D1261" s="19">
        <v>2</v>
      </c>
      <c r="E1261" s="19">
        <v>840</v>
      </c>
      <c r="F1261" s="19">
        <f t="shared" si="303"/>
        <v>1680</v>
      </c>
      <c r="G1261" s="19">
        <v>3.58</v>
      </c>
      <c r="H1261" s="19">
        <f t="shared" si="304"/>
        <v>3007.2000000000003</v>
      </c>
      <c r="I1261" s="19">
        <f t="shared" si="305"/>
        <v>6014.4000000000005</v>
      </c>
      <c r="J1261" s="18">
        <f t="shared" si="306"/>
        <v>99774.599999999991</v>
      </c>
    </row>
    <row r="1262" spans="2:10">
      <c r="B1262" s="81">
        <v>45908</v>
      </c>
      <c r="C1262" s="572" t="s">
        <v>134</v>
      </c>
      <c r="D1262" s="19">
        <v>1</v>
      </c>
      <c r="E1262" s="19">
        <v>710</v>
      </c>
      <c r="F1262" s="19">
        <f t="shared" si="303"/>
        <v>710</v>
      </c>
      <c r="G1262" s="19">
        <v>3.58</v>
      </c>
      <c r="H1262" s="19">
        <f t="shared" si="304"/>
        <v>2541.8000000000002</v>
      </c>
      <c r="I1262" s="19">
        <f t="shared" si="305"/>
        <v>2541.8000000000002</v>
      </c>
      <c r="J1262" s="18">
        <f t="shared" si="306"/>
        <v>102316.4</v>
      </c>
    </row>
    <row r="1263" spans="2:10">
      <c r="B1263" s="81">
        <v>45908</v>
      </c>
      <c r="C1263" s="230" t="s">
        <v>167</v>
      </c>
      <c r="D1263" s="19">
        <v>1</v>
      </c>
      <c r="E1263" s="19">
        <v>560</v>
      </c>
      <c r="F1263" s="19">
        <f t="shared" si="303"/>
        <v>560</v>
      </c>
      <c r="G1263" s="19">
        <v>3.58</v>
      </c>
      <c r="H1263" s="19">
        <f t="shared" si="304"/>
        <v>2004.8</v>
      </c>
      <c r="I1263" s="19">
        <f t="shared" si="305"/>
        <v>2004.8</v>
      </c>
      <c r="J1263" s="18">
        <f t="shared" si="306"/>
        <v>104321.2</v>
      </c>
    </row>
    <row r="1264" spans="2:10">
      <c r="B1264" s="81">
        <v>45908</v>
      </c>
      <c r="C1264" s="444" t="s">
        <v>169</v>
      </c>
      <c r="D1264" s="19">
        <v>2</v>
      </c>
      <c r="E1264" s="19">
        <v>390</v>
      </c>
      <c r="F1264" s="19">
        <f t="shared" si="303"/>
        <v>780</v>
      </c>
      <c r="G1264" s="19">
        <v>3.58</v>
      </c>
      <c r="H1264" s="19">
        <f t="shared" si="304"/>
        <v>1396.2</v>
      </c>
      <c r="I1264" s="19">
        <f t="shared" si="305"/>
        <v>2792.4</v>
      </c>
      <c r="J1264" s="18">
        <f t="shared" si="306"/>
        <v>107113.59999999999</v>
      </c>
    </row>
    <row r="1268" spans="1:10" ht="21">
      <c r="A1268" t="s">
        <v>125</v>
      </c>
      <c r="B1268" s="1520" t="s">
        <v>35</v>
      </c>
      <c r="C1268" s="1520"/>
      <c r="D1268" s="1520"/>
      <c r="E1268" s="1520"/>
      <c r="F1268" s="1520"/>
      <c r="G1268" s="1520"/>
      <c r="H1268" s="1520"/>
      <c r="I1268" s="1520"/>
      <c r="J1268" s="1520"/>
    </row>
    <row r="1269" spans="1:10" ht="18.75">
      <c r="A1269" t="s">
        <v>212</v>
      </c>
      <c r="B1269" s="4" t="s">
        <v>1</v>
      </c>
      <c r="C1269" s="4" t="s">
        <v>2</v>
      </c>
      <c r="D1269" s="4" t="s">
        <v>3</v>
      </c>
      <c r="E1269" s="4" t="s">
        <v>4</v>
      </c>
      <c r="F1269" s="4" t="s">
        <v>36</v>
      </c>
      <c r="G1269" s="4" t="s">
        <v>5</v>
      </c>
      <c r="H1269" s="4" t="s">
        <v>6</v>
      </c>
      <c r="I1269" s="4" t="s">
        <v>7</v>
      </c>
      <c r="J1269" s="4"/>
    </row>
    <row r="1270" spans="1:10">
      <c r="B1270" s="445">
        <v>45909</v>
      </c>
      <c r="C1270" s="143" t="s">
        <v>1203</v>
      </c>
      <c r="D1270" s="142">
        <v>50</v>
      </c>
      <c r="E1270" s="142">
        <v>329</v>
      </c>
      <c r="F1270" s="142">
        <f>D1270*E1270</f>
        <v>16450</v>
      </c>
      <c r="G1270" s="142">
        <v>2.1800000000000002</v>
      </c>
      <c r="H1270" s="142">
        <f>E1270*G1270</f>
        <v>717.22</v>
      </c>
      <c r="I1270" s="142">
        <f>H1270*D1270</f>
        <v>35861</v>
      </c>
      <c r="J1270" s="143">
        <f>J1269+I1270</f>
        <v>35861</v>
      </c>
    </row>
    <row r="1271" spans="1:10">
      <c r="B1271" s="445">
        <v>45909</v>
      </c>
      <c r="C1271" s="143" t="s">
        <v>1204</v>
      </c>
      <c r="D1271" s="142">
        <v>400</v>
      </c>
      <c r="E1271" s="142">
        <v>299</v>
      </c>
      <c r="F1271" s="142">
        <f>D1271*E1271</f>
        <v>119600</v>
      </c>
      <c r="G1271" s="142">
        <v>2.1800000000000002</v>
      </c>
      <c r="H1271" s="142">
        <f>E1271*G1271</f>
        <v>651.82000000000005</v>
      </c>
      <c r="I1271" s="142">
        <f>H1271*D1271</f>
        <v>260728.00000000003</v>
      </c>
      <c r="J1271" s="143">
        <f>J1270+I1271</f>
        <v>296589</v>
      </c>
    </row>
    <row r="1272" spans="1:10">
      <c r="B1272" s="19"/>
      <c r="C1272" s="19"/>
      <c r="D1272" s="19"/>
      <c r="E1272" s="19"/>
      <c r="F1272" s="19">
        <f>D1272*E1272</f>
        <v>0</v>
      </c>
      <c r="G1272" s="19"/>
      <c r="H1272" s="19">
        <f>E1272*G1272</f>
        <v>0</v>
      </c>
      <c r="I1272" s="19">
        <f>H1272*D1272</f>
        <v>0</v>
      </c>
      <c r="J1272" s="18">
        <f>J1271+I1272</f>
        <v>296589</v>
      </c>
    </row>
    <row r="1273" spans="1:10">
      <c r="B1273" s="19"/>
      <c r="C1273" s="19"/>
      <c r="D1273" s="19"/>
      <c r="E1273" s="19"/>
      <c r="F1273" s="19">
        <f>D1273*E1273</f>
        <v>0</v>
      </c>
      <c r="G1273" s="19"/>
      <c r="H1273" s="19">
        <f>E1273*G1273</f>
        <v>0</v>
      </c>
      <c r="I1273" s="19">
        <f>H1273*D1273</f>
        <v>0</v>
      </c>
      <c r="J1273" s="18">
        <f>J1272+I1273</f>
        <v>296589</v>
      </c>
    </row>
    <row r="1274" spans="1:10">
      <c r="B1274" s="19"/>
      <c r="C1274" s="19"/>
      <c r="D1274" s="19"/>
      <c r="E1274" s="19"/>
      <c r="F1274" s="19">
        <f>D1274*E1274</f>
        <v>0</v>
      </c>
      <c r="G1274" s="19"/>
      <c r="H1274" s="19">
        <f>E1274*G1274</f>
        <v>0</v>
      </c>
      <c r="I1274" s="19">
        <f>H1274*D1274</f>
        <v>0</v>
      </c>
      <c r="J1274" s="18">
        <f>J1273+I1274</f>
        <v>296589</v>
      </c>
    </row>
    <row r="1278" spans="1:10" ht="21">
      <c r="A1278" t="s">
        <v>125</v>
      </c>
      <c r="B1278" s="1520" t="s">
        <v>20</v>
      </c>
      <c r="C1278" s="1520"/>
      <c r="D1278" s="1520"/>
      <c r="E1278" s="1520"/>
      <c r="F1278" s="1520"/>
      <c r="G1278" s="1520"/>
      <c r="H1278" s="1520"/>
      <c r="I1278" s="1520"/>
      <c r="J1278" s="1520"/>
    </row>
    <row r="1279" spans="1:10" ht="18.75">
      <c r="A1279" t="s">
        <v>212</v>
      </c>
      <c r="B1279" s="4" t="s">
        <v>1</v>
      </c>
      <c r="C1279" s="4" t="s">
        <v>2</v>
      </c>
      <c r="D1279" s="4" t="s">
        <v>3</v>
      </c>
      <c r="E1279" s="4" t="s">
        <v>4</v>
      </c>
      <c r="F1279" s="4" t="s">
        <v>36</v>
      </c>
      <c r="G1279" s="4" t="s">
        <v>5</v>
      </c>
      <c r="H1279" s="4" t="s">
        <v>6</v>
      </c>
      <c r="I1279" s="4" t="s">
        <v>7</v>
      </c>
      <c r="J1279" s="4"/>
    </row>
    <row r="1280" spans="1:10">
      <c r="B1280" s="428">
        <v>45909</v>
      </c>
      <c r="C1280" s="230" t="s">
        <v>1205</v>
      </c>
      <c r="D1280" s="374">
        <v>10</v>
      </c>
      <c r="E1280" s="422">
        <v>397</v>
      </c>
      <c r="F1280" s="374">
        <f>E1280*D1280</f>
        <v>3970</v>
      </c>
      <c r="G1280" s="374">
        <v>2.3839000000000001</v>
      </c>
      <c r="H1280" s="374">
        <f>E1280*G1280</f>
        <v>946.40830000000005</v>
      </c>
      <c r="I1280" s="374">
        <f>H1280*D1280</f>
        <v>9464.0830000000005</v>
      </c>
      <c r="J1280" s="230">
        <f>J1279+I1280</f>
        <v>9464.0830000000005</v>
      </c>
    </row>
    <row r="1281" spans="1:15">
      <c r="B1281" s="428">
        <v>45909</v>
      </c>
      <c r="C1281" s="230" t="s">
        <v>1206</v>
      </c>
      <c r="D1281" s="374">
        <v>10</v>
      </c>
      <c r="E1281" s="446">
        <v>353</v>
      </c>
      <c r="F1281" s="374">
        <f t="shared" ref="F1281:F1289" si="307">E1281*D1281</f>
        <v>3530</v>
      </c>
      <c r="G1281" s="374">
        <v>2.3839000000000001</v>
      </c>
      <c r="H1281" s="374">
        <f t="shared" ref="H1281:H1289" si="308">E1281*G1281</f>
        <v>841.51670000000001</v>
      </c>
      <c r="I1281" s="374">
        <f t="shared" ref="I1281:I1290" si="309">H1281*D1281</f>
        <v>8415.1669999999995</v>
      </c>
      <c r="J1281" s="230">
        <f t="shared" ref="J1281:J1291" si="310">J1280+I1281</f>
        <v>17879.25</v>
      </c>
    </row>
    <row r="1282" spans="1:15">
      <c r="B1282" s="492">
        <v>45910</v>
      </c>
      <c r="C1282" s="467" t="s">
        <v>1207</v>
      </c>
      <c r="D1282" s="493">
        <v>5</v>
      </c>
      <c r="E1282" s="494">
        <v>999</v>
      </c>
      <c r="F1282" s="493">
        <f t="shared" si="307"/>
        <v>4995</v>
      </c>
      <c r="G1282" s="493">
        <v>2.3839000000000001</v>
      </c>
      <c r="H1282" s="493">
        <f t="shared" si="308"/>
        <v>2381.5161000000003</v>
      </c>
      <c r="I1282" s="493">
        <f t="shared" si="309"/>
        <v>11907.580500000002</v>
      </c>
      <c r="J1282" s="467">
        <f t="shared" si="310"/>
        <v>29786.830500000004</v>
      </c>
    </row>
    <row r="1283" spans="1:15">
      <c r="B1283" s="428">
        <v>45910</v>
      </c>
      <c r="C1283" s="230" t="s">
        <v>1208</v>
      </c>
      <c r="D1283" s="374">
        <v>15</v>
      </c>
      <c r="E1283" s="446">
        <v>1150</v>
      </c>
      <c r="F1283" s="374">
        <f t="shared" si="307"/>
        <v>17250</v>
      </c>
      <c r="G1283" s="374">
        <v>2.3839000000000001</v>
      </c>
      <c r="H1283" s="374">
        <f t="shared" si="308"/>
        <v>2741.4850000000001</v>
      </c>
      <c r="I1283" s="374">
        <f t="shared" si="309"/>
        <v>41122.275000000001</v>
      </c>
      <c r="J1283" s="230">
        <f t="shared" si="310"/>
        <v>70909.105500000005</v>
      </c>
    </row>
    <row r="1284" spans="1:15">
      <c r="B1284" s="428">
        <v>45910</v>
      </c>
      <c r="C1284" s="230" t="s">
        <v>1209</v>
      </c>
      <c r="D1284" s="374">
        <v>10</v>
      </c>
      <c r="E1284" s="446">
        <v>1260</v>
      </c>
      <c r="F1284" s="374">
        <f t="shared" si="307"/>
        <v>12600</v>
      </c>
      <c r="G1284" s="374">
        <v>2.3839000000000001</v>
      </c>
      <c r="H1284" s="374">
        <f t="shared" si="308"/>
        <v>3003.7139999999999</v>
      </c>
      <c r="I1284" s="374">
        <f t="shared" si="309"/>
        <v>30037.14</v>
      </c>
      <c r="J1284" s="230">
        <f t="shared" si="310"/>
        <v>100946.2455</v>
      </c>
    </row>
    <row r="1285" spans="1:15">
      <c r="B1285" s="428">
        <v>45910</v>
      </c>
      <c r="C1285" s="230" t="s">
        <v>1210</v>
      </c>
      <c r="D1285" s="374">
        <v>5</v>
      </c>
      <c r="E1285" s="446">
        <v>3300</v>
      </c>
      <c r="F1285" s="374">
        <f t="shared" si="307"/>
        <v>16500</v>
      </c>
      <c r="G1285" s="374">
        <v>2.3839000000000001</v>
      </c>
      <c r="H1285" s="374">
        <f t="shared" si="308"/>
        <v>7866.8700000000008</v>
      </c>
      <c r="I1285" s="374">
        <f t="shared" si="309"/>
        <v>39334.350000000006</v>
      </c>
      <c r="J1285" s="230">
        <f t="shared" si="310"/>
        <v>140280.5955</v>
      </c>
    </row>
    <row r="1286" spans="1:15">
      <c r="B1286" s="492">
        <v>45910</v>
      </c>
      <c r="C1286" s="467" t="s">
        <v>1211</v>
      </c>
      <c r="D1286" s="493">
        <v>9</v>
      </c>
      <c r="E1286" s="494">
        <v>1063</v>
      </c>
      <c r="F1286" s="493">
        <f t="shared" si="307"/>
        <v>9567</v>
      </c>
      <c r="G1286" s="493">
        <v>2.3839000000000001</v>
      </c>
      <c r="H1286" s="493">
        <f t="shared" si="308"/>
        <v>2534.0857000000001</v>
      </c>
      <c r="I1286" s="493">
        <f t="shared" si="309"/>
        <v>22806.7713</v>
      </c>
      <c r="J1286" s="467">
        <f t="shared" si="310"/>
        <v>163087.36679999999</v>
      </c>
    </row>
    <row r="1287" spans="1:15">
      <c r="B1287" s="428">
        <v>45910</v>
      </c>
      <c r="C1287" s="230" t="s">
        <v>1212</v>
      </c>
      <c r="D1287" s="374">
        <v>9</v>
      </c>
      <c r="E1287" s="446">
        <v>433</v>
      </c>
      <c r="F1287" s="374">
        <f t="shared" si="307"/>
        <v>3897</v>
      </c>
      <c r="G1287" s="374">
        <v>2.3839000000000001</v>
      </c>
      <c r="H1287" s="374">
        <f t="shared" si="308"/>
        <v>1032.2287000000001</v>
      </c>
      <c r="I1287" s="374">
        <f t="shared" si="309"/>
        <v>9290.0583000000006</v>
      </c>
      <c r="J1287" s="230">
        <f t="shared" si="310"/>
        <v>172377.42509999999</v>
      </c>
    </row>
    <row r="1288" spans="1:15">
      <c r="B1288" s="428">
        <v>45910</v>
      </c>
      <c r="C1288" s="230" t="s">
        <v>781</v>
      </c>
      <c r="D1288" s="374">
        <v>1</v>
      </c>
      <c r="E1288" s="446">
        <v>655</v>
      </c>
      <c r="F1288" s="374">
        <f t="shared" si="307"/>
        <v>655</v>
      </c>
      <c r="G1288" s="374">
        <v>2.3839000000000001</v>
      </c>
      <c r="H1288" s="374">
        <f t="shared" si="308"/>
        <v>1561.4545000000001</v>
      </c>
      <c r="I1288" s="374">
        <f t="shared" si="309"/>
        <v>1561.4545000000001</v>
      </c>
      <c r="J1288" s="230">
        <f t="shared" si="310"/>
        <v>173938.87959999999</v>
      </c>
    </row>
    <row r="1289" spans="1:15">
      <c r="B1289" s="81">
        <v>45910</v>
      </c>
      <c r="C1289" s="18" t="s">
        <v>1213</v>
      </c>
      <c r="D1289" s="19">
        <v>50</v>
      </c>
      <c r="E1289" s="446">
        <v>49</v>
      </c>
      <c r="F1289" s="19">
        <f t="shared" si="307"/>
        <v>2450</v>
      </c>
      <c r="G1289" s="374">
        <v>2.3839000000000001</v>
      </c>
      <c r="H1289" s="374">
        <f t="shared" si="308"/>
        <v>116.81110000000001</v>
      </c>
      <c r="I1289" s="374">
        <f t="shared" si="309"/>
        <v>5840.5550000000003</v>
      </c>
      <c r="J1289" s="230">
        <f t="shared" si="310"/>
        <v>179779.43459999998</v>
      </c>
    </row>
    <row r="1290" spans="1:15">
      <c r="B1290" s="19"/>
      <c r="C1290" s="19"/>
      <c r="D1290" s="19"/>
      <c r="E1290" s="19"/>
      <c r="F1290" s="19">
        <f>E1290*D1290</f>
        <v>0</v>
      </c>
      <c r="G1290" s="374">
        <v>2.3839000000000001</v>
      </c>
      <c r="H1290" s="374">
        <f>E1290*G1290</f>
        <v>0</v>
      </c>
      <c r="I1290" s="374">
        <f t="shared" si="309"/>
        <v>0</v>
      </c>
      <c r="J1290" s="230">
        <f t="shared" si="310"/>
        <v>179779.43459999998</v>
      </c>
    </row>
    <row r="1291" spans="1:15">
      <c r="B1291" s="447">
        <v>45910</v>
      </c>
      <c r="C1291" s="313" t="s">
        <v>1214</v>
      </c>
      <c r="D1291" s="374">
        <v>4</v>
      </c>
      <c r="E1291" s="448">
        <v>679</v>
      </c>
      <c r="F1291" s="19">
        <f>E1291*D1291</f>
        <v>2716</v>
      </c>
      <c r="G1291" s="374">
        <v>2.3839000000000001</v>
      </c>
      <c r="H1291" s="374">
        <f>E1291*G1291</f>
        <v>1618.6681000000001</v>
      </c>
      <c r="I1291" s="374">
        <f>H1291*D1291</f>
        <v>6474.6724000000004</v>
      </c>
      <c r="J1291" s="230">
        <f t="shared" si="310"/>
        <v>186254.10699999999</v>
      </c>
    </row>
    <row r="1295" spans="1:15" ht="21">
      <c r="A1295" t="s">
        <v>125</v>
      </c>
      <c r="B1295" s="1521" t="s">
        <v>20</v>
      </c>
      <c r="C1295" s="1521"/>
      <c r="D1295" s="1521"/>
      <c r="E1295" s="1521"/>
      <c r="F1295" s="1521"/>
      <c r="G1295" s="1521"/>
      <c r="H1295" s="1521"/>
      <c r="I1295" s="1521"/>
      <c r="J1295" s="1521"/>
      <c r="K1295" s="1521"/>
      <c r="L1295" s="1521"/>
      <c r="M1295" s="1521"/>
      <c r="N1295" s="1521"/>
      <c r="O1295" s="1521"/>
    </row>
    <row r="1296" spans="1:15" ht="18.75">
      <c r="A1296" t="s">
        <v>212</v>
      </c>
      <c r="B1296" s="226" t="s">
        <v>1</v>
      </c>
      <c r="C1296" s="226" t="s">
        <v>2</v>
      </c>
      <c r="D1296" s="226" t="s">
        <v>444</v>
      </c>
      <c r="E1296" s="226" t="s">
        <v>33</v>
      </c>
      <c r="F1296" s="226" t="s">
        <v>3</v>
      </c>
      <c r="G1296" s="226" t="s">
        <v>445</v>
      </c>
      <c r="H1296" s="226" t="s">
        <v>451</v>
      </c>
      <c r="I1296" s="226" t="s">
        <v>446</v>
      </c>
      <c r="J1296" s="226" t="s">
        <v>447</v>
      </c>
      <c r="K1296" s="226" t="s">
        <v>448</v>
      </c>
      <c r="L1296" s="226" t="s">
        <v>449</v>
      </c>
      <c r="M1296" s="226" t="s">
        <v>450</v>
      </c>
      <c r="N1296" s="226" t="s">
        <v>7</v>
      </c>
      <c r="O1296" s="29"/>
    </row>
    <row r="1297" spans="1:15">
      <c r="B1297" s="81">
        <v>45910</v>
      </c>
      <c r="C1297" s="18" t="s">
        <v>1215</v>
      </c>
      <c r="D1297" s="19"/>
      <c r="E1297" s="19"/>
      <c r="F1297" s="19">
        <v>5</v>
      </c>
      <c r="G1297" s="449">
        <v>751</v>
      </c>
      <c r="H1297" s="450">
        <v>10</v>
      </c>
      <c r="I1297" s="19">
        <f>G1297*H1297%</f>
        <v>75.100000000000009</v>
      </c>
      <c r="J1297" s="18">
        <f>G1297-I1297</f>
        <v>675.9</v>
      </c>
      <c r="K1297" s="18">
        <f>F1297*J1297</f>
        <v>3379.5</v>
      </c>
      <c r="L1297" s="374">
        <v>2.3839000000000001</v>
      </c>
      <c r="M1297" s="18">
        <f>J1297*L1297</f>
        <v>1611.27801</v>
      </c>
      <c r="N1297" s="18">
        <f>F1297*M1297</f>
        <v>8056.39005</v>
      </c>
      <c r="O1297" s="18">
        <f>O1296+N1297</f>
        <v>8056.39005</v>
      </c>
    </row>
    <row r="1298" spans="1:15">
      <c r="B1298" s="81">
        <v>45910</v>
      </c>
      <c r="C1298" s="18" t="s">
        <v>1216</v>
      </c>
      <c r="D1298" s="197"/>
      <c r="E1298" s="197"/>
      <c r="F1298" s="197">
        <v>2</v>
      </c>
      <c r="G1298" s="497">
        <v>2800</v>
      </c>
      <c r="H1298" s="498">
        <v>10</v>
      </c>
      <c r="I1298" s="197">
        <f>G1298*H1298%</f>
        <v>280</v>
      </c>
      <c r="J1298" s="198">
        <f>G1298-I1298</f>
        <v>2520</v>
      </c>
      <c r="K1298" s="198">
        <f>F1298*J1298</f>
        <v>5040</v>
      </c>
      <c r="L1298" s="197">
        <v>2.3839000000000001</v>
      </c>
      <c r="M1298" s="198">
        <f>J1298*L1298</f>
        <v>6007.4279999999999</v>
      </c>
      <c r="N1298" s="198">
        <f>F1298*M1298</f>
        <v>12014.856</v>
      </c>
      <c r="O1298" s="198">
        <f>O1297+N1298</f>
        <v>20071.246050000002</v>
      </c>
    </row>
    <row r="1299" spans="1:15">
      <c r="B1299" s="81">
        <v>45910</v>
      </c>
      <c r="C1299" s="230" t="s">
        <v>1217</v>
      </c>
      <c r="D1299" s="19"/>
      <c r="E1299" s="19"/>
      <c r="F1299" s="19">
        <v>20</v>
      </c>
      <c r="G1299" s="449">
        <v>560</v>
      </c>
      <c r="H1299" s="450">
        <v>10</v>
      </c>
      <c r="I1299" s="19">
        <f>G1299*H1299%</f>
        <v>56</v>
      </c>
      <c r="J1299" s="18">
        <f>G1299-I1299</f>
        <v>504</v>
      </c>
      <c r="K1299" s="18">
        <f>F1299*J1299</f>
        <v>10080</v>
      </c>
      <c r="L1299" s="374">
        <v>2.3839000000000001</v>
      </c>
      <c r="M1299" s="18">
        <f>J1299*L1299</f>
        <v>1201.4856</v>
      </c>
      <c r="N1299" s="18">
        <f>F1299*M1299</f>
        <v>24029.712</v>
      </c>
      <c r="O1299" s="18">
        <f>O1298+N1299</f>
        <v>44100.958050000001</v>
      </c>
    </row>
    <row r="1300" spans="1:15">
      <c r="B1300" s="81">
        <v>45910</v>
      </c>
      <c r="C1300" s="18" t="s">
        <v>1218</v>
      </c>
      <c r="D1300" s="19"/>
      <c r="E1300" s="19"/>
      <c r="F1300" s="19">
        <v>1</v>
      </c>
      <c r="G1300" s="449">
        <v>3690</v>
      </c>
      <c r="H1300" s="450">
        <v>10</v>
      </c>
      <c r="I1300" s="19">
        <f>G1300*H1300%</f>
        <v>369</v>
      </c>
      <c r="J1300" s="18">
        <f>G1300-I1300</f>
        <v>3321</v>
      </c>
      <c r="K1300" s="18">
        <f>F1300*J1300</f>
        <v>3321</v>
      </c>
      <c r="L1300" s="374">
        <v>2.3839000000000001</v>
      </c>
      <c r="M1300" s="18">
        <f>J1300*L1300</f>
        <v>7916.9319000000005</v>
      </c>
      <c r="N1300" s="18">
        <f>F1300*M1300</f>
        <v>7916.9319000000005</v>
      </c>
      <c r="O1300" s="18">
        <f>O1299+N1300</f>
        <v>52017.889950000004</v>
      </c>
    </row>
    <row r="1301" spans="1:15">
      <c r="B1301" s="19"/>
      <c r="C1301" s="19"/>
      <c r="D1301" s="19"/>
      <c r="E1301" s="19"/>
      <c r="F1301" s="19"/>
      <c r="G1301" s="19"/>
      <c r="H1301" s="19"/>
      <c r="I1301" s="19">
        <f>G1301*H1301%</f>
        <v>0</v>
      </c>
      <c r="J1301" s="18">
        <f>G1301-I1301</f>
        <v>0</v>
      </c>
      <c r="K1301" s="18">
        <f>F1301*J1301</f>
        <v>0</v>
      </c>
      <c r="L1301" s="18"/>
      <c r="M1301" s="18">
        <f>J1301*L1301</f>
        <v>0</v>
      </c>
      <c r="N1301" s="18">
        <f>F1301*M1301</f>
        <v>0</v>
      </c>
      <c r="O1301" s="18">
        <f>O1300+N1301</f>
        <v>52017.889950000004</v>
      </c>
    </row>
    <row r="1305" spans="1:15" ht="21">
      <c r="A1305" t="s">
        <v>125</v>
      </c>
      <c r="B1305" s="1520" t="s">
        <v>1228</v>
      </c>
      <c r="C1305" s="1520"/>
      <c r="D1305" s="1520"/>
      <c r="E1305" s="1520"/>
      <c r="F1305" s="1520"/>
      <c r="G1305" s="1520"/>
      <c r="H1305" s="1520"/>
      <c r="I1305" s="1520"/>
      <c r="J1305" s="1520"/>
    </row>
    <row r="1306" spans="1:15" ht="18.75">
      <c r="B1306" s="4" t="s">
        <v>1</v>
      </c>
      <c r="C1306" s="4" t="s">
        <v>2</v>
      </c>
      <c r="D1306" s="4" t="s">
        <v>3</v>
      </c>
      <c r="E1306" s="365" t="s">
        <v>132</v>
      </c>
      <c r="F1306" s="365" t="s">
        <v>133</v>
      </c>
      <c r="G1306" s="4" t="s">
        <v>5</v>
      </c>
      <c r="H1306" s="4" t="s">
        <v>6</v>
      </c>
      <c r="I1306" s="4" t="s">
        <v>7</v>
      </c>
      <c r="J1306" s="4"/>
    </row>
    <row r="1307" spans="1:15">
      <c r="B1307" s="81">
        <v>45910</v>
      </c>
      <c r="C1307" s="80" t="s">
        <v>154</v>
      </c>
      <c r="D1307" s="19">
        <v>1</v>
      </c>
      <c r="E1307" s="463">
        <v>42</v>
      </c>
      <c r="F1307" s="19">
        <f t="shared" ref="F1307:F1312" si="311">E1307*D1307</f>
        <v>42</v>
      </c>
      <c r="G1307" s="19">
        <v>3.58</v>
      </c>
      <c r="H1307" s="19">
        <f t="shared" ref="H1307:H1312" si="312">E1307*G1307</f>
        <v>150.36000000000001</v>
      </c>
      <c r="I1307" s="19">
        <f t="shared" ref="I1307:I1312" si="313">H1307*D1307</f>
        <v>150.36000000000001</v>
      </c>
      <c r="J1307" s="18">
        <f t="shared" ref="J1307:J1312" si="314">J1306+I1307</f>
        <v>150.36000000000001</v>
      </c>
    </row>
    <row r="1308" spans="1:15">
      <c r="B1308" s="81">
        <v>45910</v>
      </c>
      <c r="C1308" s="410" t="s">
        <v>134</v>
      </c>
      <c r="D1308" s="19">
        <v>5</v>
      </c>
      <c r="E1308" s="463">
        <v>690</v>
      </c>
      <c r="F1308" s="19">
        <f t="shared" si="311"/>
        <v>3450</v>
      </c>
      <c r="G1308" s="19">
        <v>3.58</v>
      </c>
      <c r="H1308" s="19">
        <f t="shared" si="312"/>
        <v>2470.2000000000003</v>
      </c>
      <c r="I1308" s="19">
        <f t="shared" si="313"/>
        <v>12351.000000000002</v>
      </c>
      <c r="J1308" s="18">
        <f t="shared" si="314"/>
        <v>12501.360000000002</v>
      </c>
    </row>
    <row r="1309" spans="1:15">
      <c r="B1309" s="81">
        <v>45910</v>
      </c>
      <c r="C1309" s="410" t="s">
        <v>134</v>
      </c>
      <c r="D1309" s="19">
        <v>1</v>
      </c>
      <c r="E1309" s="463">
        <v>710</v>
      </c>
      <c r="F1309" s="19">
        <f t="shared" si="311"/>
        <v>710</v>
      </c>
      <c r="G1309" s="19">
        <v>3.58</v>
      </c>
      <c r="H1309" s="19">
        <f t="shared" si="312"/>
        <v>2541.8000000000002</v>
      </c>
      <c r="I1309" s="19">
        <f t="shared" si="313"/>
        <v>2541.8000000000002</v>
      </c>
      <c r="J1309" s="18">
        <f t="shared" si="314"/>
        <v>15043.160000000003</v>
      </c>
    </row>
    <row r="1310" spans="1:15">
      <c r="B1310" s="81">
        <v>45910</v>
      </c>
      <c r="C1310" s="410" t="s">
        <v>134</v>
      </c>
      <c r="D1310" s="19">
        <v>2</v>
      </c>
      <c r="E1310" s="463">
        <v>725</v>
      </c>
      <c r="F1310" s="19">
        <f t="shared" si="311"/>
        <v>1450</v>
      </c>
      <c r="G1310" s="19">
        <v>3.58</v>
      </c>
      <c r="H1310" s="19">
        <f t="shared" si="312"/>
        <v>2595.5</v>
      </c>
      <c r="I1310" s="19">
        <f t="shared" si="313"/>
        <v>5191</v>
      </c>
      <c r="J1310" s="18">
        <f t="shared" si="314"/>
        <v>20234.160000000003</v>
      </c>
    </row>
    <row r="1311" spans="1:15">
      <c r="B1311" s="81">
        <v>45910</v>
      </c>
      <c r="C1311" s="410" t="s">
        <v>134</v>
      </c>
      <c r="D1311" s="19">
        <v>1</v>
      </c>
      <c r="E1311" s="463">
        <v>710</v>
      </c>
      <c r="F1311" s="19">
        <f t="shared" si="311"/>
        <v>710</v>
      </c>
      <c r="G1311" s="19">
        <v>3.58</v>
      </c>
      <c r="H1311" s="19">
        <f t="shared" si="312"/>
        <v>2541.8000000000002</v>
      </c>
      <c r="I1311" s="19">
        <f t="shared" si="313"/>
        <v>2541.8000000000002</v>
      </c>
      <c r="J1311" s="18">
        <f t="shared" si="314"/>
        <v>22775.960000000003</v>
      </c>
    </row>
    <row r="1312" spans="1:15">
      <c r="B1312" s="81">
        <v>45910</v>
      </c>
      <c r="C1312" s="80" t="s">
        <v>920</v>
      </c>
      <c r="D1312" s="19">
        <v>1</v>
      </c>
      <c r="E1312" s="463">
        <v>620</v>
      </c>
      <c r="F1312" s="19">
        <f t="shared" si="311"/>
        <v>620</v>
      </c>
      <c r="G1312" s="19">
        <v>3.58</v>
      </c>
      <c r="H1312" s="19">
        <f t="shared" si="312"/>
        <v>2219.6</v>
      </c>
      <c r="I1312" s="19">
        <f t="shared" si="313"/>
        <v>2219.6</v>
      </c>
      <c r="J1312" s="18">
        <f t="shared" si="314"/>
        <v>24995.56</v>
      </c>
    </row>
    <row r="1313" spans="1:10">
      <c r="B1313" s="81">
        <v>45910</v>
      </c>
      <c r="C1313" s="442" t="s">
        <v>919</v>
      </c>
      <c r="D1313" s="19">
        <v>6</v>
      </c>
      <c r="E1313" s="463">
        <v>1030</v>
      </c>
      <c r="F1313" s="19">
        <f t="shared" ref="F1313:F1319" si="315">E1313*D1313</f>
        <v>6180</v>
      </c>
      <c r="G1313" s="19">
        <v>3.58</v>
      </c>
      <c r="H1313" s="19">
        <f t="shared" ref="H1313:H1319" si="316">E1313*G1313</f>
        <v>3687.4</v>
      </c>
      <c r="I1313" s="19">
        <f t="shared" ref="I1313:I1319" si="317">H1313*D1313</f>
        <v>22124.400000000001</v>
      </c>
      <c r="J1313" s="18">
        <f t="shared" ref="J1313:J1319" si="318">J1312+I1313</f>
        <v>47119.960000000006</v>
      </c>
    </row>
    <row r="1314" spans="1:10">
      <c r="B1314" s="81">
        <v>45910</v>
      </c>
      <c r="C1314" s="442" t="s">
        <v>135</v>
      </c>
      <c r="D1314" s="19">
        <v>10</v>
      </c>
      <c r="E1314" s="463">
        <v>1020</v>
      </c>
      <c r="F1314" s="19">
        <f t="shared" si="315"/>
        <v>10200</v>
      </c>
      <c r="G1314" s="19">
        <v>3.58</v>
      </c>
      <c r="H1314" s="19">
        <f t="shared" si="316"/>
        <v>3651.6</v>
      </c>
      <c r="I1314" s="19">
        <f t="shared" si="317"/>
        <v>36516</v>
      </c>
      <c r="J1314" s="18">
        <f t="shared" si="318"/>
        <v>83635.960000000006</v>
      </c>
    </row>
    <row r="1315" spans="1:10">
      <c r="B1315" s="81">
        <v>45910</v>
      </c>
      <c r="C1315" s="18" t="s">
        <v>806</v>
      </c>
      <c r="D1315" s="19">
        <v>1</v>
      </c>
      <c r="E1315" s="463">
        <v>590</v>
      </c>
      <c r="F1315" s="19">
        <f t="shared" si="315"/>
        <v>590</v>
      </c>
      <c r="G1315" s="19">
        <v>3.58</v>
      </c>
      <c r="H1315" s="19">
        <f t="shared" si="316"/>
        <v>2112.1999999999998</v>
      </c>
      <c r="I1315" s="19">
        <f t="shared" si="317"/>
        <v>2112.1999999999998</v>
      </c>
      <c r="J1315" s="18">
        <f t="shared" si="318"/>
        <v>85748.160000000003</v>
      </c>
    </row>
    <row r="1316" spans="1:10">
      <c r="B1316" s="81">
        <v>45910</v>
      </c>
      <c r="C1316" s="80" t="s">
        <v>1229</v>
      </c>
      <c r="D1316" s="19">
        <v>1</v>
      </c>
      <c r="E1316" s="463">
        <v>270</v>
      </c>
      <c r="F1316" s="19">
        <f t="shared" si="315"/>
        <v>270</v>
      </c>
      <c r="G1316" s="19">
        <v>3.58</v>
      </c>
      <c r="H1316" s="19">
        <f t="shared" si="316"/>
        <v>966.6</v>
      </c>
      <c r="I1316" s="19">
        <f t="shared" si="317"/>
        <v>966.6</v>
      </c>
      <c r="J1316" s="18">
        <f t="shared" si="318"/>
        <v>86714.760000000009</v>
      </c>
    </row>
    <row r="1317" spans="1:10">
      <c r="B1317" s="81">
        <v>45910</v>
      </c>
      <c r="C1317" s="80" t="s">
        <v>1230</v>
      </c>
      <c r="D1317" s="19">
        <v>2</v>
      </c>
      <c r="E1317" s="463">
        <v>350</v>
      </c>
      <c r="F1317" s="19">
        <f t="shared" si="315"/>
        <v>700</v>
      </c>
      <c r="G1317" s="19">
        <v>3.58</v>
      </c>
      <c r="H1317" s="19">
        <f t="shared" si="316"/>
        <v>1253</v>
      </c>
      <c r="I1317" s="19">
        <f t="shared" si="317"/>
        <v>2506</v>
      </c>
      <c r="J1317" s="18">
        <f t="shared" si="318"/>
        <v>89220.760000000009</v>
      </c>
    </row>
    <row r="1318" spans="1:10">
      <c r="B1318" s="19"/>
      <c r="C1318" s="80"/>
      <c r="D1318" s="19"/>
      <c r="E1318" s="463"/>
      <c r="F1318" s="19">
        <f t="shared" si="315"/>
        <v>0</v>
      </c>
      <c r="G1318" s="19"/>
      <c r="H1318" s="19">
        <f t="shared" si="316"/>
        <v>0</v>
      </c>
      <c r="I1318" s="19">
        <f t="shared" si="317"/>
        <v>0</v>
      </c>
      <c r="J1318" s="18">
        <f t="shared" si="318"/>
        <v>89220.760000000009</v>
      </c>
    </row>
    <row r="1319" spans="1:10">
      <c r="B1319" s="19"/>
      <c r="C1319" s="80"/>
      <c r="D1319" s="19"/>
      <c r="E1319" s="463"/>
      <c r="F1319" s="19">
        <f t="shared" si="315"/>
        <v>0</v>
      </c>
      <c r="G1319" s="19"/>
      <c r="H1319" s="19">
        <f t="shared" si="316"/>
        <v>0</v>
      </c>
      <c r="I1319" s="19">
        <f t="shared" si="317"/>
        <v>0</v>
      </c>
      <c r="J1319" s="18">
        <f t="shared" si="318"/>
        <v>89220.760000000009</v>
      </c>
    </row>
    <row r="1322" spans="1:10" ht="21">
      <c r="A1322" t="s">
        <v>125</v>
      </c>
      <c r="B1322" s="1520" t="s">
        <v>1234</v>
      </c>
      <c r="C1322" s="1520"/>
      <c r="D1322" s="1520"/>
      <c r="E1322" s="1520"/>
      <c r="F1322" s="1520"/>
      <c r="G1322" s="1520"/>
      <c r="H1322" s="1520"/>
      <c r="I1322" s="1520"/>
      <c r="J1322" s="1520"/>
    </row>
    <row r="1323" spans="1:10" ht="18.75">
      <c r="B1323" s="4" t="s">
        <v>1</v>
      </c>
      <c r="C1323" s="4" t="s">
        <v>2</v>
      </c>
      <c r="D1323" s="4" t="s">
        <v>3</v>
      </c>
      <c r="E1323" s="365" t="s">
        <v>132</v>
      </c>
      <c r="F1323" s="365" t="s">
        <v>133</v>
      </c>
      <c r="G1323" s="4" t="s">
        <v>5</v>
      </c>
      <c r="H1323" s="4" t="s">
        <v>6</v>
      </c>
      <c r="I1323" s="4" t="s">
        <v>7</v>
      </c>
      <c r="J1323" s="4"/>
    </row>
    <row r="1324" spans="1:10">
      <c r="B1324" s="81">
        <v>45906</v>
      </c>
      <c r="C1324" s="18" t="s">
        <v>806</v>
      </c>
      <c r="D1324" s="19">
        <v>3</v>
      </c>
      <c r="E1324" s="19">
        <v>590</v>
      </c>
      <c r="F1324" s="19">
        <f>E1324*D1324</f>
        <v>1770</v>
      </c>
      <c r="G1324" s="19">
        <v>3.58</v>
      </c>
      <c r="H1324" s="19">
        <f>E1324*G1324</f>
        <v>2112.1999999999998</v>
      </c>
      <c r="I1324" s="19">
        <f>H1324*D1324</f>
        <v>6336.5999999999995</v>
      </c>
      <c r="J1324" s="18">
        <f>J1323+I1324</f>
        <v>6336.5999999999995</v>
      </c>
    </row>
    <row r="1325" spans="1:10">
      <c r="B1325" s="81">
        <v>45906</v>
      </c>
      <c r="C1325" s="442" t="s">
        <v>131</v>
      </c>
      <c r="D1325" s="19">
        <v>2</v>
      </c>
      <c r="E1325" s="19">
        <v>410</v>
      </c>
      <c r="F1325" s="19">
        <f>E1325*D1325</f>
        <v>820</v>
      </c>
      <c r="G1325" s="19">
        <v>3.58</v>
      </c>
      <c r="H1325" s="19">
        <f>E1325*G1325</f>
        <v>1467.8</v>
      </c>
      <c r="I1325" s="19">
        <f>H1325*D1325</f>
        <v>2935.6</v>
      </c>
      <c r="J1325" s="18">
        <f>J1324+I1325</f>
        <v>9272.1999999999989</v>
      </c>
    </row>
    <row r="1326" spans="1:10">
      <c r="B1326" s="81">
        <v>45906</v>
      </c>
      <c r="C1326" s="410" t="s">
        <v>134</v>
      </c>
      <c r="D1326" s="19">
        <v>1</v>
      </c>
      <c r="E1326" s="19">
        <v>500</v>
      </c>
      <c r="F1326" s="19">
        <f>E1326*D1326</f>
        <v>500</v>
      </c>
      <c r="G1326" s="19">
        <v>3.58</v>
      </c>
      <c r="H1326" s="19">
        <f>E1326*G1326</f>
        <v>1790</v>
      </c>
      <c r="I1326" s="19">
        <f>H1326*D1326</f>
        <v>1790</v>
      </c>
      <c r="J1326" s="18">
        <f>J1325+I1326</f>
        <v>11062.199999999999</v>
      </c>
    </row>
    <row r="1327" spans="1:10">
      <c r="B1327" s="81">
        <v>45906</v>
      </c>
      <c r="C1327" s="80" t="s">
        <v>1232</v>
      </c>
      <c r="D1327" s="19">
        <v>1</v>
      </c>
      <c r="E1327" s="19">
        <v>400</v>
      </c>
      <c r="F1327" s="19">
        <f>E1327*D1327</f>
        <v>400</v>
      </c>
      <c r="G1327" s="19">
        <v>3.58</v>
      </c>
      <c r="H1327" s="19">
        <f>E1327*G1327</f>
        <v>1432</v>
      </c>
      <c r="I1327" s="19">
        <f>H1327*D1327</f>
        <v>1432</v>
      </c>
      <c r="J1327" s="18">
        <f>J1326+I1327</f>
        <v>12494.199999999999</v>
      </c>
    </row>
    <row r="1328" spans="1:10">
      <c r="B1328" s="19"/>
      <c r="C1328" s="19"/>
      <c r="D1328" s="19"/>
      <c r="E1328" s="19"/>
      <c r="F1328" s="19">
        <f>E1328*D1328</f>
        <v>0</v>
      </c>
      <c r="G1328" s="19"/>
      <c r="H1328" s="19">
        <f>E1328*G1328</f>
        <v>0</v>
      </c>
      <c r="I1328" s="19">
        <f>H1328*D1328</f>
        <v>0</v>
      </c>
      <c r="J1328" s="18">
        <f>J1327+I1328</f>
        <v>12494.199999999999</v>
      </c>
    </row>
    <row r="1331" spans="1:10" ht="21">
      <c r="A1331" t="s">
        <v>125</v>
      </c>
      <c r="B1331" s="1520" t="s">
        <v>1250</v>
      </c>
      <c r="C1331" s="1520"/>
      <c r="D1331" s="1520"/>
      <c r="E1331" s="1520"/>
      <c r="F1331" s="1520"/>
      <c r="G1331" s="1520"/>
      <c r="H1331" s="1520"/>
      <c r="I1331" s="1520"/>
      <c r="J1331" s="1520"/>
    </row>
    <row r="1332" spans="1:10" ht="18.75">
      <c r="B1332" s="4" t="s">
        <v>1</v>
      </c>
      <c r="C1332" s="4" t="s">
        <v>2</v>
      </c>
      <c r="D1332" s="4" t="s">
        <v>3</v>
      </c>
      <c r="E1332" s="365" t="s">
        <v>132</v>
      </c>
      <c r="F1332" s="365" t="s">
        <v>133</v>
      </c>
      <c r="G1332" s="4" t="s">
        <v>5</v>
      </c>
      <c r="H1332" s="4" t="s">
        <v>6</v>
      </c>
      <c r="I1332" s="4" t="s">
        <v>7</v>
      </c>
      <c r="J1332" s="4"/>
    </row>
    <row r="1333" spans="1:10">
      <c r="B1333" s="81">
        <v>45914</v>
      </c>
      <c r="C1333" s="442" t="s">
        <v>919</v>
      </c>
      <c r="D1333" s="19">
        <v>1</v>
      </c>
      <c r="E1333" s="19">
        <v>1030</v>
      </c>
      <c r="F1333" s="19">
        <f>E1333*D1333</f>
        <v>1030</v>
      </c>
      <c r="G1333" s="19">
        <v>3.58</v>
      </c>
      <c r="H1333" s="19">
        <f>E1333*G1333</f>
        <v>3687.4</v>
      </c>
      <c r="I1333" s="19">
        <f>H1333*D1333</f>
        <v>3687.4</v>
      </c>
      <c r="J1333" s="18">
        <f>J1332+I1333</f>
        <v>3687.4</v>
      </c>
    </row>
    <row r="1334" spans="1:10">
      <c r="B1334" s="81">
        <v>45914</v>
      </c>
      <c r="C1334" s="410" t="s">
        <v>134</v>
      </c>
      <c r="D1334" s="19">
        <v>5</v>
      </c>
      <c r="E1334" s="19">
        <v>690</v>
      </c>
      <c r="F1334" s="19">
        <f>E1334*D1334</f>
        <v>3450</v>
      </c>
      <c r="G1334" s="19">
        <v>3.58</v>
      </c>
      <c r="H1334" s="19">
        <f>E1334*G1334</f>
        <v>2470.2000000000003</v>
      </c>
      <c r="I1334" s="19">
        <f>H1334*D1334</f>
        <v>12351.000000000002</v>
      </c>
      <c r="J1334" s="18">
        <f>J1333+I1334</f>
        <v>16038.400000000001</v>
      </c>
    </row>
    <row r="1335" spans="1:10">
      <c r="B1335" s="81">
        <v>45914</v>
      </c>
      <c r="C1335" s="410" t="s">
        <v>134</v>
      </c>
      <c r="D1335" s="19">
        <v>4</v>
      </c>
      <c r="E1335" s="19">
        <v>700</v>
      </c>
      <c r="F1335" s="19">
        <f>E1335*D1335</f>
        <v>2800</v>
      </c>
      <c r="G1335" s="19">
        <v>3.58</v>
      </c>
      <c r="H1335" s="19">
        <f>E1335*G1335</f>
        <v>2506</v>
      </c>
      <c r="I1335" s="19">
        <f>H1335*D1335</f>
        <v>10024</v>
      </c>
      <c r="J1335" s="18">
        <f>J1334+I1335</f>
        <v>26062.400000000001</v>
      </c>
    </row>
    <row r="1336" spans="1:10">
      <c r="B1336" s="81">
        <v>45914</v>
      </c>
      <c r="C1336" s="80" t="s">
        <v>169</v>
      </c>
      <c r="D1336" s="19">
        <v>1</v>
      </c>
      <c r="E1336" s="19">
        <v>390</v>
      </c>
      <c r="F1336" s="19">
        <f>E1336*D1336</f>
        <v>390</v>
      </c>
      <c r="G1336" s="19">
        <v>3.58</v>
      </c>
      <c r="H1336" s="19">
        <f>E1336*G1336</f>
        <v>1396.2</v>
      </c>
      <c r="I1336" s="19">
        <f>H1336*D1336</f>
        <v>1396.2</v>
      </c>
      <c r="J1336" s="18">
        <f>J1335+I1336</f>
        <v>27458.600000000002</v>
      </c>
    </row>
    <row r="1337" spans="1:10">
      <c r="B1337" s="19"/>
      <c r="C1337" s="19"/>
      <c r="D1337" s="19"/>
      <c r="E1337" s="19"/>
      <c r="F1337" s="19">
        <f>E1337*D1337</f>
        <v>0</v>
      </c>
      <c r="G1337" s="19"/>
      <c r="H1337" s="19">
        <f>E1337*G1337</f>
        <v>0</v>
      </c>
      <c r="I1337" s="19">
        <f>H1337*D1337</f>
        <v>0</v>
      </c>
      <c r="J1337" s="18">
        <f>J1336+I1337</f>
        <v>27458.600000000002</v>
      </c>
    </row>
    <row r="1341" spans="1:10" ht="21">
      <c r="A1341" t="s">
        <v>125</v>
      </c>
      <c r="B1341" s="1520" t="s">
        <v>1237</v>
      </c>
      <c r="C1341" s="1520"/>
      <c r="D1341" s="1520"/>
      <c r="E1341" s="1520"/>
      <c r="F1341" s="1520"/>
      <c r="G1341" s="1520"/>
      <c r="H1341" s="1520"/>
      <c r="I1341" s="1520"/>
      <c r="J1341" s="1520"/>
    </row>
    <row r="1342" spans="1:10" ht="18.75">
      <c r="B1342" s="4" t="s">
        <v>1</v>
      </c>
      <c r="C1342" s="4" t="s">
        <v>2</v>
      </c>
      <c r="D1342" s="4" t="s">
        <v>3</v>
      </c>
      <c r="E1342" s="365" t="s">
        <v>132</v>
      </c>
      <c r="F1342" s="365" t="s">
        <v>133</v>
      </c>
      <c r="G1342" s="4" t="s">
        <v>5</v>
      </c>
      <c r="H1342" s="4" t="s">
        <v>6</v>
      </c>
      <c r="I1342" s="4" t="s">
        <v>7</v>
      </c>
      <c r="J1342" s="4"/>
    </row>
    <row r="1343" spans="1:10">
      <c r="B1343" s="81">
        <v>45916</v>
      </c>
      <c r="C1343" s="410" t="s">
        <v>134</v>
      </c>
      <c r="D1343" s="19">
        <v>21</v>
      </c>
      <c r="E1343" s="19">
        <v>680</v>
      </c>
      <c r="F1343" s="19">
        <f t="shared" ref="F1343:F1348" si="319">E1343*D1343</f>
        <v>14280</v>
      </c>
      <c r="G1343" s="19">
        <v>3.59</v>
      </c>
      <c r="H1343" s="19">
        <f t="shared" ref="H1343:H1348" si="320">E1343*G1343</f>
        <v>2441.1999999999998</v>
      </c>
      <c r="I1343" s="19">
        <f t="shared" ref="I1343:I1348" si="321">H1343*D1343</f>
        <v>51265.2</v>
      </c>
      <c r="J1343" s="18">
        <f t="shared" ref="J1343:J1348" si="322">J1342+I1343</f>
        <v>51265.2</v>
      </c>
    </row>
    <row r="1344" spans="1:10">
      <c r="B1344" s="81">
        <v>45916</v>
      </c>
      <c r="C1344" s="410" t="s">
        <v>134</v>
      </c>
      <c r="D1344" s="19">
        <v>7</v>
      </c>
      <c r="E1344" s="19">
        <v>670</v>
      </c>
      <c r="F1344" s="19">
        <f t="shared" si="319"/>
        <v>4690</v>
      </c>
      <c r="G1344" s="19">
        <v>3.59</v>
      </c>
      <c r="H1344" s="19">
        <f t="shared" si="320"/>
        <v>2405.2999999999997</v>
      </c>
      <c r="I1344" s="19">
        <f t="shared" si="321"/>
        <v>16837.099999999999</v>
      </c>
      <c r="J1344" s="18">
        <f t="shared" si="322"/>
        <v>68102.299999999988</v>
      </c>
    </row>
    <row r="1345" spans="1:10">
      <c r="B1345" s="81">
        <v>45916</v>
      </c>
      <c r="C1345" s="80" t="s">
        <v>166</v>
      </c>
      <c r="D1345" s="19">
        <v>19</v>
      </c>
      <c r="E1345" s="19">
        <v>610</v>
      </c>
      <c r="F1345" s="19">
        <f t="shared" si="319"/>
        <v>11590</v>
      </c>
      <c r="G1345" s="19">
        <v>3.59</v>
      </c>
      <c r="H1345" s="19">
        <f t="shared" si="320"/>
        <v>2189.9</v>
      </c>
      <c r="I1345" s="19">
        <f t="shared" si="321"/>
        <v>41608.1</v>
      </c>
      <c r="J1345" s="18">
        <f t="shared" si="322"/>
        <v>109710.39999999999</v>
      </c>
    </row>
    <row r="1346" spans="1:10">
      <c r="B1346" s="81">
        <v>45916</v>
      </c>
      <c r="C1346" s="80" t="s">
        <v>166</v>
      </c>
      <c r="D1346" s="19">
        <v>1</v>
      </c>
      <c r="E1346" s="19">
        <v>610</v>
      </c>
      <c r="F1346" s="19">
        <f t="shared" si="319"/>
        <v>610</v>
      </c>
      <c r="G1346" s="19">
        <v>3.59</v>
      </c>
      <c r="H1346" s="19">
        <f t="shared" si="320"/>
        <v>2189.9</v>
      </c>
      <c r="I1346" s="19">
        <f t="shared" si="321"/>
        <v>2189.9</v>
      </c>
      <c r="J1346" s="18">
        <f t="shared" si="322"/>
        <v>111900.29999999999</v>
      </c>
    </row>
    <row r="1347" spans="1:10">
      <c r="B1347" s="81">
        <v>45916</v>
      </c>
      <c r="C1347" s="442" t="s">
        <v>135</v>
      </c>
      <c r="D1347" s="19">
        <v>2</v>
      </c>
      <c r="E1347" s="19">
        <v>1000</v>
      </c>
      <c r="F1347" s="19">
        <f t="shared" si="319"/>
        <v>2000</v>
      </c>
      <c r="G1347" s="19">
        <v>3.59</v>
      </c>
      <c r="H1347" s="19">
        <f t="shared" si="320"/>
        <v>3590</v>
      </c>
      <c r="I1347" s="19">
        <f t="shared" si="321"/>
        <v>7180</v>
      </c>
      <c r="J1347" s="18">
        <f t="shared" si="322"/>
        <v>119080.29999999999</v>
      </c>
    </row>
    <row r="1348" spans="1:10">
      <c r="B1348" s="19"/>
      <c r="C1348" s="19"/>
      <c r="D1348" s="19"/>
      <c r="E1348" s="19"/>
      <c r="F1348" s="19">
        <f t="shared" si="319"/>
        <v>0</v>
      </c>
      <c r="G1348" s="19"/>
      <c r="H1348" s="19">
        <f t="shared" si="320"/>
        <v>0</v>
      </c>
      <c r="I1348" s="19">
        <f t="shared" si="321"/>
        <v>0</v>
      </c>
      <c r="J1348" s="18">
        <f t="shared" si="322"/>
        <v>119080.29999999999</v>
      </c>
    </row>
    <row r="1351" spans="1:10" ht="21">
      <c r="A1351" t="s">
        <v>125</v>
      </c>
      <c r="B1351" s="1520" t="s">
        <v>1245</v>
      </c>
      <c r="C1351" s="1520"/>
      <c r="D1351" s="1520"/>
      <c r="E1351" s="1520"/>
      <c r="F1351" s="1520"/>
      <c r="G1351" s="1520"/>
      <c r="H1351" s="1520"/>
      <c r="I1351" s="1520"/>
      <c r="J1351" s="1520"/>
    </row>
    <row r="1352" spans="1:10" ht="18.75">
      <c r="A1352" t="s">
        <v>212</v>
      </c>
      <c r="B1352" s="4" t="s">
        <v>1</v>
      </c>
      <c r="C1352" s="4" t="s">
        <v>2</v>
      </c>
      <c r="D1352" s="4" t="s">
        <v>3</v>
      </c>
      <c r="E1352" s="4" t="s">
        <v>4</v>
      </c>
      <c r="F1352" s="4" t="s">
        <v>36</v>
      </c>
      <c r="G1352" s="4" t="s">
        <v>5</v>
      </c>
      <c r="H1352" s="4" t="s">
        <v>6</v>
      </c>
      <c r="I1352" s="4" t="s">
        <v>7</v>
      </c>
      <c r="J1352" s="4"/>
    </row>
    <row r="1353" spans="1:10">
      <c r="B1353" s="81">
        <v>45918</v>
      </c>
      <c r="C1353" s="80" t="s">
        <v>1246</v>
      </c>
      <c r="D1353" s="19">
        <v>2</v>
      </c>
      <c r="E1353" s="19">
        <v>2199</v>
      </c>
      <c r="F1353" s="19">
        <f>E1353*D1353</f>
        <v>4398</v>
      </c>
      <c r="G1353" s="19">
        <v>2.415</v>
      </c>
      <c r="H1353" s="19">
        <f>E1353*G1353</f>
        <v>5310.585</v>
      </c>
      <c r="I1353" s="19">
        <f>H1353*D1353</f>
        <v>10621.17</v>
      </c>
      <c r="J1353" s="18">
        <f>J1352+I1353</f>
        <v>10621.17</v>
      </c>
    </row>
    <row r="1354" spans="1:10">
      <c r="B1354" s="81">
        <v>45918</v>
      </c>
      <c r="C1354" s="80" t="s">
        <v>1246</v>
      </c>
      <c r="D1354" s="19">
        <v>4</v>
      </c>
      <c r="E1354" s="19">
        <v>2199</v>
      </c>
      <c r="F1354" s="19">
        <f>E1354*D1354</f>
        <v>8796</v>
      </c>
      <c r="G1354" s="19">
        <v>2.415</v>
      </c>
      <c r="H1354" s="19">
        <f>E1354*G1354</f>
        <v>5310.585</v>
      </c>
      <c r="I1354" s="19">
        <f>H1354*D1354</f>
        <v>21242.34</v>
      </c>
      <c r="J1354" s="18">
        <f>J1353+I1354</f>
        <v>31863.510000000002</v>
      </c>
    </row>
    <row r="1355" spans="1:10">
      <c r="B1355" s="81">
        <v>45920</v>
      </c>
      <c r="C1355" s="80" t="s">
        <v>1246</v>
      </c>
      <c r="D1355" s="19">
        <v>4</v>
      </c>
      <c r="E1355" s="19">
        <v>2199</v>
      </c>
      <c r="F1355" s="19">
        <f>E1355*D1355</f>
        <v>8796</v>
      </c>
      <c r="G1355" s="19">
        <v>2.415</v>
      </c>
      <c r="H1355" s="19">
        <f>E1355*G1355</f>
        <v>5310.585</v>
      </c>
      <c r="I1355" s="19">
        <f>H1355*D1355</f>
        <v>21242.34</v>
      </c>
      <c r="J1355" s="18">
        <f>J1354+I1355</f>
        <v>53105.850000000006</v>
      </c>
    </row>
    <row r="1359" spans="1:10" ht="21">
      <c r="A1359" t="s">
        <v>125</v>
      </c>
      <c r="B1359" s="1520" t="s">
        <v>20</v>
      </c>
      <c r="C1359" s="1520"/>
      <c r="D1359" s="1520"/>
      <c r="E1359" s="1520"/>
      <c r="F1359" s="1520"/>
      <c r="G1359" s="1520"/>
      <c r="H1359" s="1520"/>
      <c r="I1359" s="1520"/>
      <c r="J1359" s="1520"/>
    </row>
    <row r="1360" spans="1:10" ht="18.75">
      <c r="A1360" t="s">
        <v>212</v>
      </c>
      <c r="B1360" s="4" t="s">
        <v>1</v>
      </c>
      <c r="C1360" s="4" t="s">
        <v>2</v>
      </c>
      <c r="D1360" s="4" t="s">
        <v>3</v>
      </c>
      <c r="E1360" s="4" t="s">
        <v>4</v>
      </c>
      <c r="F1360" s="4" t="s">
        <v>36</v>
      </c>
      <c r="G1360" s="4" t="s">
        <v>5</v>
      </c>
      <c r="H1360" s="4" t="s">
        <v>6</v>
      </c>
      <c r="I1360" s="4" t="s">
        <v>7</v>
      </c>
      <c r="J1360" s="4"/>
    </row>
    <row r="1361" spans="1:10">
      <c r="B1361" s="81">
        <v>45920</v>
      </c>
      <c r="C1361" s="80" t="s">
        <v>1246</v>
      </c>
      <c r="D1361" s="19">
        <v>28</v>
      </c>
      <c r="E1361" s="19">
        <v>2199</v>
      </c>
      <c r="F1361" s="19">
        <f>E1361*D1361</f>
        <v>61572</v>
      </c>
      <c r="G1361" s="19">
        <v>2.415</v>
      </c>
      <c r="H1361" s="19">
        <f>E1361*G1361</f>
        <v>5310.585</v>
      </c>
      <c r="I1361" s="19">
        <f>H1361*D1361</f>
        <v>148696.38</v>
      </c>
      <c r="J1361" s="18">
        <f>J1360+I1361</f>
        <v>148696.38</v>
      </c>
    </row>
    <row r="1362" spans="1:10">
      <c r="B1362" s="81">
        <v>45920</v>
      </c>
      <c r="C1362" s="80" t="s">
        <v>1249</v>
      </c>
      <c r="D1362" s="19">
        <v>6</v>
      </c>
      <c r="E1362" s="19">
        <v>2599</v>
      </c>
      <c r="F1362" s="19">
        <f>E1362*D1362</f>
        <v>15594</v>
      </c>
      <c r="G1362" s="19">
        <v>2.415</v>
      </c>
      <c r="H1362" s="19">
        <f>E1362*G1362</f>
        <v>6276.585</v>
      </c>
      <c r="I1362" s="19">
        <f>H1362*D1362</f>
        <v>37659.51</v>
      </c>
      <c r="J1362" s="18">
        <f>J1361+I1362</f>
        <v>186355.89</v>
      </c>
    </row>
    <row r="1363" spans="1:10">
      <c r="B1363" s="19"/>
      <c r="C1363" s="19"/>
      <c r="D1363" s="19"/>
      <c r="E1363" s="19"/>
      <c r="F1363" s="19">
        <f>E1363*D1363</f>
        <v>0</v>
      </c>
      <c r="G1363" s="19"/>
      <c r="H1363" s="19">
        <f>E1363*G1363</f>
        <v>0</v>
      </c>
      <c r="I1363" s="19">
        <f>H1363*D1363</f>
        <v>0</v>
      </c>
      <c r="J1363" s="18">
        <f>J1362+I1363</f>
        <v>186355.89</v>
      </c>
    </row>
    <row r="1367" spans="1:10" ht="21">
      <c r="A1367" t="s">
        <v>125</v>
      </c>
      <c r="B1367" s="1520" t="s">
        <v>20</v>
      </c>
      <c r="C1367" s="1520"/>
      <c r="D1367" s="1520"/>
      <c r="E1367" s="1520"/>
      <c r="F1367" s="1520"/>
      <c r="G1367" s="1520"/>
      <c r="H1367" s="1520"/>
      <c r="I1367" s="1520"/>
      <c r="J1367" s="1520"/>
    </row>
    <row r="1368" spans="1:10" ht="18.75">
      <c r="A1368" t="s">
        <v>212</v>
      </c>
      <c r="B1368" s="4" t="s">
        <v>1</v>
      </c>
      <c r="C1368" s="4" t="s">
        <v>2</v>
      </c>
      <c r="D1368" s="4" t="s">
        <v>3</v>
      </c>
      <c r="E1368" s="4" t="s">
        <v>4</v>
      </c>
      <c r="F1368" s="4" t="s">
        <v>36</v>
      </c>
      <c r="G1368" s="4" t="s">
        <v>5</v>
      </c>
      <c r="H1368" s="4" t="s">
        <v>6</v>
      </c>
      <c r="I1368" s="4" t="s">
        <v>7</v>
      </c>
      <c r="J1368" s="4"/>
    </row>
    <row r="1369" spans="1:10">
      <c r="B1369" s="81">
        <v>45925</v>
      </c>
      <c r="C1369" s="18" t="s">
        <v>1261</v>
      </c>
      <c r="D1369" s="19">
        <v>5</v>
      </c>
      <c r="E1369" s="449">
        <v>1449</v>
      </c>
      <c r="F1369" s="19">
        <f>E1369*D1369</f>
        <v>7245</v>
      </c>
      <c r="G1369" s="19">
        <v>2.3956</v>
      </c>
      <c r="H1369" s="19">
        <f>E1369*G1369</f>
        <v>3471.2244000000001</v>
      </c>
      <c r="I1369" s="19">
        <f>H1369*D1369</f>
        <v>17356.121999999999</v>
      </c>
      <c r="J1369" s="18">
        <f>J1368+I1369</f>
        <v>17356.121999999999</v>
      </c>
    </row>
    <row r="1370" spans="1:10">
      <c r="B1370" s="96">
        <v>45925</v>
      </c>
      <c r="C1370" s="110" t="s">
        <v>1269</v>
      </c>
      <c r="D1370" s="127">
        <v>5</v>
      </c>
      <c r="E1370" s="496">
        <v>4400</v>
      </c>
      <c r="F1370" s="127">
        <f t="shared" ref="F1370:F1375" si="323">E1370*D1370</f>
        <v>22000</v>
      </c>
      <c r="G1370" s="127">
        <v>2.3956</v>
      </c>
      <c r="H1370" s="127">
        <f t="shared" ref="H1370:H1375" si="324">E1370*G1370</f>
        <v>10540.64</v>
      </c>
      <c r="I1370" s="127">
        <f t="shared" ref="I1370:I1375" si="325">H1370*D1370</f>
        <v>52703.199999999997</v>
      </c>
      <c r="J1370" s="18">
        <f t="shared" ref="J1370:J1376" si="326">J1369+I1370</f>
        <v>70059.322</v>
      </c>
    </row>
    <row r="1371" spans="1:10">
      <c r="B1371" s="81">
        <v>45925</v>
      </c>
      <c r="C1371" s="18" t="s">
        <v>1262</v>
      </c>
      <c r="D1371" s="19">
        <v>5</v>
      </c>
      <c r="E1371" s="449">
        <v>645</v>
      </c>
      <c r="F1371" s="19">
        <f t="shared" si="323"/>
        <v>3225</v>
      </c>
      <c r="G1371" s="19">
        <v>2.3956</v>
      </c>
      <c r="H1371" s="19">
        <f t="shared" si="324"/>
        <v>1545.162</v>
      </c>
      <c r="I1371" s="19">
        <f t="shared" si="325"/>
        <v>7725.81</v>
      </c>
      <c r="J1371" s="18">
        <f t="shared" si="326"/>
        <v>77785.131999999998</v>
      </c>
    </row>
    <row r="1372" spans="1:10">
      <c r="B1372" s="81">
        <v>45925</v>
      </c>
      <c r="C1372" s="18" t="s">
        <v>1263</v>
      </c>
      <c r="D1372" s="19">
        <v>5</v>
      </c>
      <c r="E1372" s="449">
        <v>860</v>
      </c>
      <c r="F1372" s="19">
        <f t="shared" si="323"/>
        <v>4300</v>
      </c>
      <c r="G1372" s="19">
        <v>2.3956</v>
      </c>
      <c r="H1372" s="19">
        <f t="shared" si="324"/>
        <v>2060.2159999999999</v>
      </c>
      <c r="I1372" s="19">
        <f t="shared" si="325"/>
        <v>10301.08</v>
      </c>
      <c r="J1372" s="18">
        <f t="shared" si="326"/>
        <v>88086.212</v>
      </c>
    </row>
    <row r="1373" spans="1:10">
      <c r="B1373" s="81">
        <v>45925</v>
      </c>
      <c r="C1373" s="18" t="s">
        <v>1264</v>
      </c>
      <c r="D1373" s="19">
        <v>5</v>
      </c>
      <c r="E1373" s="449">
        <v>999</v>
      </c>
      <c r="F1373" s="19">
        <f t="shared" si="323"/>
        <v>4995</v>
      </c>
      <c r="G1373" s="19">
        <v>2.3956</v>
      </c>
      <c r="H1373" s="19">
        <f t="shared" si="324"/>
        <v>2393.2044000000001</v>
      </c>
      <c r="I1373" s="19">
        <f t="shared" si="325"/>
        <v>11966.022000000001</v>
      </c>
      <c r="J1373" s="18">
        <f t="shared" si="326"/>
        <v>100052.234</v>
      </c>
    </row>
    <row r="1374" spans="1:10">
      <c r="B1374" s="81">
        <v>45925</v>
      </c>
      <c r="C1374" s="18" t="s">
        <v>1265</v>
      </c>
      <c r="D1374" s="19">
        <v>5</v>
      </c>
      <c r="E1374" s="449">
        <v>1150</v>
      </c>
      <c r="F1374" s="19">
        <f t="shared" si="323"/>
        <v>5750</v>
      </c>
      <c r="G1374" s="19">
        <v>2.3956</v>
      </c>
      <c r="H1374" s="19">
        <f t="shared" si="324"/>
        <v>2754.94</v>
      </c>
      <c r="I1374" s="19">
        <f t="shared" si="325"/>
        <v>13774.7</v>
      </c>
      <c r="J1374" s="18">
        <f t="shared" si="326"/>
        <v>113826.93399999999</v>
      </c>
    </row>
    <row r="1375" spans="1:10">
      <c r="B1375" s="81">
        <v>45926</v>
      </c>
      <c r="C1375" s="18" t="s">
        <v>1266</v>
      </c>
      <c r="D1375" s="19">
        <v>23</v>
      </c>
      <c r="E1375" s="449">
        <v>2199</v>
      </c>
      <c r="F1375" s="19">
        <f t="shared" si="323"/>
        <v>50577</v>
      </c>
      <c r="G1375" s="19">
        <v>2.3956</v>
      </c>
      <c r="H1375" s="19">
        <f t="shared" si="324"/>
        <v>5267.9243999999999</v>
      </c>
      <c r="I1375" s="19">
        <f t="shared" si="325"/>
        <v>121162.26119999999</v>
      </c>
      <c r="J1375" s="18">
        <f t="shared" si="326"/>
        <v>234989.19519999999</v>
      </c>
    </row>
    <row r="1376" spans="1:10">
      <c r="B1376" s="81">
        <v>45926</v>
      </c>
      <c r="C1376" s="18" t="s">
        <v>1268</v>
      </c>
      <c r="D1376" s="19">
        <v>2</v>
      </c>
      <c r="E1376" s="449">
        <v>1999</v>
      </c>
      <c r="F1376" s="19">
        <f>E1376*D1376</f>
        <v>3998</v>
      </c>
      <c r="G1376" s="19">
        <v>2.3956</v>
      </c>
      <c r="H1376" s="19">
        <f>E1376*G1376</f>
        <v>4788.8044</v>
      </c>
      <c r="I1376" s="19">
        <f>H1376*D1376</f>
        <v>9577.6088</v>
      </c>
      <c r="J1376" s="18">
        <f t="shared" si="326"/>
        <v>244566.80399999997</v>
      </c>
    </row>
    <row r="1380" spans="1:10" ht="21">
      <c r="A1380" t="s">
        <v>125</v>
      </c>
      <c r="B1380" s="1520" t="s">
        <v>1245</v>
      </c>
      <c r="C1380" s="1520"/>
      <c r="D1380" s="1520"/>
      <c r="E1380" s="1520"/>
      <c r="F1380" s="1520"/>
      <c r="G1380" s="1520"/>
      <c r="H1380" s="1520"/>
      <c r="I1380" s="1520"/>
      <c r="J1380" s="1520"/>
    </row>
    <row r="1381" spans="1:10" ht="18.75">
      <c r="A1381" t="s">
        <v>212</v>
      </c>
      <c r="B1381" s="4" t="s">
        <v>1</v>
      </c>
      <c r="C1381" s="4" t="s">
        <v>2</v>
      </c>
      <c r="D1381" s="4" t="s">
        <v>3</v>
      </c>
      <c r="E1381" s="4" t="s">
        <v>4</v>
      </c>
      <c r="F1381" s="4" t="s">
        <v>36</v>
      </c>
      <c r="G1381" s="4" t="s">
        <v>5</v>
      </c>
      <c r="H1381" s="4" t="s">
        <v>6</v>
      </c>
      <c r="I1381" s="4" t="s">
        <v>7</v>
      </c>
      <c r="J1381" s="4"/>
    </row>
    <row r="1382" spans="1:10">
      <c r="B1382" s="81">
        <v>45926</v>
      </c>
      <c r="C1382" s="18" t="s">
        <v>1266</v>
      </c>
      <c r="D1382" s="19">
        <v>2</v>
      </c>
      <c r="E1382" s="449">
        <v>2199</v>
      </c>
      <c r="F1382" s="19">
        <f>E1382*D1382</f>
        <v>4398</v>
      </c>
      <c r="G1382" s="19">
        <v>2.3956</v>
      </c>
      <c r="H1382" s="19">
        <f>E1382*G1382</f>
        <v>5267.9243999999999</v>
      </c>
      <c r="I1382" s="19">
        <f>H1382*D1382</f>
        <v>10535.8488</v>
      </c>
      <c r="J1382" s="18">
        <f>I1382+J1381</f>
        <v>10535.8488</v>
      </c>
    </row>
    <row r="1383" spans="1:10">
      <c r="B1383" s="428">
        <v>45926</v>
      </c>
      <c r="C1383" s="230" t="s">
        <v>1267</v>
      </c>
      <c r="D1383" s="529">
        <v>2</v>
      </c>
      <c r="E1383" s="446">
        <v>2199</v>
      </c>
      <c r="F1383" s="529">
        <f>E1383*D1383</f>
        <v>4398</v>
      </c>
      <c r="G1383" s="19">
        <v>2.3956</v>
      </c>
      <c r="H1383" s="19">
        <f>E1383*G1383</f>
        <v>5267.9243999999999</v>
      </c>
      <c r="I1383" s="19">
        <f>H1383*D1383</f>
        <v>10535.8488</v>
      </c>
      <c r="J1383" s="18">
        <f>J1382+I1383</f>
        <v>21071.6976</v>
      </c>
    </row>
    <row r="1386" spans="1:10" ht="21">
      <c r="A1386" t="s">
        <v>125</v>
      </c>
      <c r="B1386" s="1520" t="s">
        <v>35</v>
      </c>
      <c r="C1386" s="1520"/>
      <c r="D1386" s="1520"/>
      <c r="E1386" s="1520"/>
      <c r="F1386" s="1520"/>
      <c r="G1386" s="1520"/>
      <c r="H1386" s="1520"/>
      <c r="I1386" s="1520"/>
      <c r="J1386" s="1520"/>
    </row>
    <row r="1387" spans="1:10" ht="18.75">
      <c r="A1387" t="s">
        <v>212</v>
      </c>
      <c r="B1387" s="4" t="s">
        <v>1</v>
      </c>
      <c r="C1387" s="4" t="s">
        <v>2</v>
      </c>
      <c r="D1387" s="4" t="s">
        <v>3</v>
      </c>
      <c r="E1387" s="4" t="s">
        <v>4</v>
      </c>
      <c r="F1387" s="4" t="s">
        <v>36</v>
      </c>
      <c r="G1387" s="4" t="s">
        <v>5</v>
      </c>
      <c r="H1387" s="4" t="s">
        <v>6</v>
      </c>
      <c r="I1387" s="4" t="s">
        <v>7</v>
      </c>
      <c r="J1387" s="4"/>
    </row>
    <row r="1388" spans="1:10">
      <c r="B1388" s="81">
        <v>45925</v>
      </c>
      <c r="C1388" s="18" t="s">
        <v>1273</v>
      </c>
      <c r="D1388" s="19">
        <v>2</v>
      </c>
      <c r="E1388" s="145">
        <v>1449</v>
      </c>
      <c r="F1388" s="19">
        <f t="shared" ref="F1388:F1393" si="327">E1388*D1388</f>
        <v>2898</v>
      </c>
      <c r="G1388" s="19">
        <v>2.15</v>
      </c>
      <c r="H1388" s="19">
        <f t="shared" ref="H1388:H1393" si="328">E1388*G1388</f>
        <v>3115.35</v>
      </c>
      <c r="I1388" s="19">
        <f t="shared" ref="I1388:I1393" si="329">H1388*D1388</f>
        <v>6230.7</v>
      </c>
      <c r="J1388" s="18">
        <f t="shared" ref="J1388:J1393" si="330">J1387+I1388</f>
        <v>6230.7</v>
      </c>
    </row>
    <row r="1389" spans="1:10">
      <c r="B1389" s="81">
        <v>45926</v>
      </c>
      <c r="C1389" s="18" t="s">
        <v>1273</v>
      </c>
      <c r="D1389" s="19">
        <v>4</v>
      </c>
      <c r="E1389" s="145">
        <v>1348</v>
      </c>
      <c r="F1389" s="19">
        <f t="shared" si="327"/>
        <v>5392</v>
      </c>
      <c r="G1389" s="19">
        <v>2.15</v>
      </c>
      <c r="H1389" s="19">
        <f t="shared" si="328"/>
        <v>2898.2</v>
      </c>
      <c r="I1389" s="19">
        <f t="shared" si="329"/>
        <v>11592.8</v>
      </c>
      <c r="J1389" s="18">
        <f t="shared" si="330"/>
        <v>17823.5</v>
      </c>
    </row>
    <row r="1390" spans="1:10">
      <c r="B1390" s="81">
        <v>45926</v>
      </c>
      <c r="C1390" s="18" t="s">
        <v>1274</v>
      </c>
      <c r="D1390" s="19">
        <v>1</v>
      </c>
      <c r="E1390" s="145">
        <v>1348</v>
      </c>
      <c r="F1390" s="19">
        <f t="shared" si="327"/>
        <v>1348</v>
      </c>
      <c r="G1390" s="19">
        <v>2.15</v>
      </c>
      <c r="H1390" s="19">
        <f t="shared" si="328"/>
        <v>2898.2</v>
      </c>
      <c r="I1390" s="19">
        <f t="shared" si="329"/>
        <v>2898.2</v>
      </c>
      <c r="J1390" s="18">
        <f t="shared" si="330"/>
        <v>20721.7</v>
      </c>
    </row>
    <row r="1391" spans="1:10">
      <c r="B1391" s="81">
        <v>45926</v>
      </c>
      <c r="C1391" s="18" t="s">
        <v>1275</v>
      </c>
      <c r="D1391" s="19">
        <v>4</v>
      </c>
      <c r="E1391" s="145">
        <v>738</v>
      </c>
      <c r="F1391" s="19">
        <f t="shared" si="327"/>
        <v>2952</v>
      </c>
      <c r="G1391" s="19">
        <v>2.15</v>
      </c>
      <c r="H1391" s="19">
        <f t="shared" si="328"/>
        <v>1586.7</v>
      </c>
      <c r="I1391" s="19">
        <f t="shared" si="329"/>
        <v>6346.8</v>
      </c>
      <c r="J1391" s="18">
        <f t="shared" si="330"/>
        <v>27068.5</v>
      </c>
    </row>
    <row r="1392" spans="1:10">
      <c r="B1392" s="81">
        <v>45926</v>
      </c>
      <c r="C1392" s="18" t="s">
        <v>1273</v>
      </c>
      <c r="D1392" s="19">
        <v>5</v>
      </c>
      <c r="E1392" s="145">
        <v>1449</v>
      </c>
      <c r="F1392" s="19">
        <f t="shared" si="327"/>
        <v>7245</v>
      </c>
      <c r="G1392" s="19">
        <v>2.15</v>
      </c>
      <c r="H1392" s="19">
        <f t="shared" si="328"/>
        <v>3115.35</v>
      </c>
      <c r="I1392" s="19">
        <f t="shared" si="329"/>
        <v>15576.75</v>
      </c>
      <c r="J1392" s="18">
        <f t="shared" si="330"/>
        <v>42645.25</v>
      </c>
    </row>
    <row r="1393" spans="1:11">
      <c r="B1393" s="19"/>
      <c r="C1393" s="19"/>
      <c r="D1393" s="19"/>
      <c r="E1393" s="19"/>
      <c r="F1393" s="19">
        <f t="shared" si="327"/>
        <v>0</v>
      </c>
      <c r="G1393" s="19"/>
      <c r="H1393" s="19">
        <f t="shared" si="328"/>
        <v>0</v>
      </c>
      <c r="I1393" s="19">
        <f t="shared" si="329"/>
        <v>0</v>
      </c>
      <c r="J1393" s="18">
        <f t="shared" si="330"/>
        <v>42645.25</v>
      </c>
    </row>
    <row r="1397" spans="1:11" ht="21">
      <c r="A1397" t="s">
        <v>125</v>
      </c>
      <c r="B1397" s="1523" t="s">
        <v>376</v>
      </c>
      <c r="C1397" s="1523"/>
      <c r="D1397" s="1523"/>
      <c r="E1397" s="1523"/>
      <c r="F1397" s="1523"/>
      <c r="G1397" s="1523"/>
      <c r="H1397" s="1523"/>
      <c r="I1397" s="1523"/>
      <c r="J1397" s="1523"/>
      <c r="K1397" t="s">
        <v>1486</v>
      </c>
    </row>
    <row r="1398" spans="1:11" ht="18.75">
      <c r="B1398" s="365" t="s">
        <v>1</v>
      </c>
      <c r="C1398" s="365" t="s">
        <v>2</v>
      </c>
      <c r="D1398" s="365" t="s">
        <v>3</v>
      </c>
      <c r="E1398" s="365" t="s">
        <v>132</v>
      </c>
      <c r="F1398" s="365" t="s">
        <v>133</v>
      </c>
      <c r="G1398" s="365" t="s">
        <v>5</v>
      </c>
      <c r="H1398" s="365" t="s">
        <v>6</v>
      </c>
      <c r="I1398" s="365" t="s">
        <v>7</v>
      </c>
      <c r="J1398" s="365"/>
    </row>
    <row r="1399" spans="1:11">
      <c r="B1399" s="81">
        <v>45932</v>
      </c>
      <c r="C1399" s="80" t="s">
        <v>1285</v>
      </c>
      <c r="D1399" s="19">
        <v>8</v>
      </c>
      <c r="E1399" s="19">
        <v>400</v>
      </c>
      <c r="F1399" s="19">
        <f>E1399*D1399</f>
        <v>3200</v>
      </c>
      <c r="G1399" s="19">
        <v>3.58</v>
      </c>
      <c r="H1399" s="19">
        <f>E1399*G1399</f>
        <v>1432</v>
      </c>
      <c r="I1399" s="19">
        <f>H1399*D1399</f>
        <v>11456</v>
      </c>
      <c r="J1399" s="18">
        <f>J1398+I1399</f>
        <v>11456</v>
      </c>
    </row>
    <row r="1400" spans="1:11">
      <c r="B1400" s="81">
        <v>45932</v>
      </c>
      <c r="C1400" s="80" t="s">
        <v>1286</v>
      </c>
      <c r="D1400" s="19">
        <v>1</v>
      </c>
      <c r="E1400" s="19">
        <v>800</v>
      </c>
      <c r="F1400" s="19">
        <f t="shared" ref="F1400:F1419" si="331">E1400*D1400</f>
        <v>800</v>
      </c>
      <c r="G1400" s="19">
        <v>3.58</v>
      </c>
      <c r="H1400" s="19">
        <f t="shared" ref="H1400:H1407" si="332">E1400*G1400</f>
        <v>2864</v>
      </c>
      <c r="I1400" s="19">
        <f t="shared" ref="I1400:I1407" si="333">H1400*D1400</f>
        <v>2864</v>
      </c>
      <c r="J1400" s="18">
        <f t="shared" ref="J1400:J1407" si="334">J1399+I1400</f>
        <v>14320</v>
      </c>
    </row>
    <row r="1401" spans="1:11">
      <c r="B1401" s="81">
        <v>45932</v>
      </c>
      <c r="C1401" s="80" t="s">
        <v>1301</v>
      </c>
      <c r="D1401" s="19">
        <v>2</v>
      </c>
      <c r="E1401" s="19">
        <v>850</v>
      </c>
      <c r="F1401" s="19">
        <f t="shared" si="331"/>
        <v>1700</v>
      </c>
      <c r="G1401" s="19">
        <v>3.58</v>
      </c>
      <c r="H1401" s="19">
        <f t="shared" si="332"/>
        <v>3043</v>
      </c>
      <c r="I1401" s="19">
        <f t="shared" si="333"/>
        <v>6086</v>
      </c>
      <c r="J1401" s="18">
        <f t="shared" si="334"/>
        <v>20406</v>
      </c>
    </row>
    <row r="1402" spans="1:11">
      <c r="B1402" s="81">
        <v>45932</v>
      </c>
      <c r="C1402" s="80" t="s">
        <v>1301</v>
      </c>
      <c r="D1402" s="19">
        <v>4</v>
      </c>
      <c r="E1402" s="19">
        <v>860</v>
      </c>
      <c r="F1402" s="19">
        <f t="shared" si="331"/>
        <v>3440</v>
      </c>
      <c r="G1402" s="19">
        <v>3.58</v>
      </c>
      <c r="H1402" s="19">
        <f t="shared" si="332"/>
        <v>3078.8</v>
      </c>
      <c r="I1402" s="19">
        <f t="shared" si="333"/>
        <v>12315.2</v>
      </c>
      <c r="J1402" s="18">
        <f t="shared" si="334"/>
        <v>32721.200000000001</v>
      </c>
    </row>
    <row r="1403" spans="1:11">
      <c r="B1403" s="81">
        <v>45932</v>
      </c>
      <c r="C1403" s="80" t="s">
        <v>1287</v>
      </c>
      <c r="D1403" s="19">
        <v>5</v>
      </c>
      <c r="E1403" s="19">
        <v>940</v>
      </c>
      <c r="F1403" s="19">
        <f t="shared" si="331"/>
        <v>4700</v>
      </c>
      <c r="G1403" s="19">
        <v>3.58</v>
      </c>
      <c r="H1403" s="19">
        <f t="shared" si="332"/>
        <v>3365.2000000000003</v>
      </c>
      <c r="I1403" s="19">
        <f t="shared" si="333"/>
        <v>16826</v>
      </c>
      <c r="J1403" s="18">
        <f t="shared" si="334"/>
        <v>49547.199999999997</v>
      </c>
    </row>
    <row r="1404" spans="1:11">
      <c r="B1404" s="81">
        <v>45932</v>
      </c>
      <c r="C1404" s="80" t="s">
        <v>1287</v>
      </c>
      <c r="D1404" s="19">
        <v>1</v>
      </c>
      <c r="E1404" s="19">
        <v>1300</v>
      </c>
      <c r="F1404" s="19">
        <f t="shared" si="331"/>
        <v>1300</v>
      </c>
      <c r="G1404" s="19">
        <v>3.58</v>
      </c>
      <c r="H1404" s="19">
        <f t="shared" si="332"/>
        <v>4654</v>
      </c>
      <c r="I1404" s="19">
        <f t="shared" si="333"/>
        <v>4654</v>
      </c>
      <c r="J1404" s="18">
        <f t="shared" si="334"/>
        <v>54201.2</v>
      </c>
    </row>
    <row r="1405" spans="1:11">
      <c r="B1405" s="81">
        <v>45932</v>
      </c>
      <c r="C1405" s="80" t="s">
        <v>1288</v>
      </c>
      <c r="D1405" s="19">
        <v>2</v>
      </c>
      <c r="E1405" s="19">
        <v>1500</v>
      </c>
      <c r="F1405" s="19">
        <f t="shared" si="331"/>
        <v>3000</v>
      </c>
      <c r="G1405" s="19">
        <v>3.58</v>
      </c>
      <c r="H1405" s="19">
        <f t="shared" si="332"/>
        <v>5370</v>
      </c>
      <c r="I1405" s="19">
        <f t="shared" si="333"/>
        <v>10740</v>
      </c>
      <c r="J1405" s="18">
        <f t="shared" si="334"/>
        <v>64941.2</v>
      </c>
    </row>
    <row r="1406" spans="1:11">
      <c r="B1406" s="81">
        <v>45932</v>
      </c>
      <c r="C1406" s="80" t="s">
        <v>1288</v>
      </c>
      <c r="D1406" s="19">
        <v>4</v>
      </c>
      <c r="E1406" s="19">
        <v>1030</v>
      </c>
      <c r="F1406" s="19">
        <f t="shared" si="331"/>
        <v>4120</v>
      </c>
      <c r="G1406" s="19">
        <v>3.58</v>
      </c>
      <c r="H1406" s="19">
        <f t="shared" si="332"/>
        <v>3687.4</v>
      </c>
      <c r="I1406" s="19">
        <f t="shared" si="333"/>
        <v>14749.6</v>
      </c>
      <c r="J1406" s="18">
        <f t="shared" si="334"/>
        <v>79690.8</v>
      </c>
    </row>
    <row r="1407" spans="1:11">
      <c r="B1407" s="81">
        <v>45932</v>
      </c>
      <c r="C1407" s="80" t="s">
        <v>1289</v>
      </c>
      <c r="D1407" s="19">
        <v>1</v>
      </c>
      <c r="E1407" s="19">
        <v>1050</v>
      </c>
      <c r="F1407" s="19">
        <f t="shared" si="331"/>
        <v>1050</v>
      </c>
      <c r="G1407" s="19">
        <v>3.58</v>
      </c>
      <c r="H1407" s="19">
        <f t="shared" si="332"/>
        <v>3759</v>
      </c>
      <c r="I1407" s="19">
        <f t="shared" si="333"/>
        <v>3759</v>
      </c>
      <c r="J1407" s="18">
        <f t="shared" si="334"/>
        <v>83449.8</v>
      </c>
    </row>
    <row r="1408" spans="1:11">
      <c r="B1408" s="81">
        <v>45932</v>
      </c>
      <c r="C1408" s="80" t="s">
        <v>1290</v>
      </c>
      <c r="D1408" s="19">
        <v>1</v>
      </c>
      <c r="E1408" s="19">
        <v>2100</v>
      </c>
      <c r="F1408" s="19">
        <f t="shared" si="331"/>
        <v>2100</v>
      </c>
      <c r="G1408" s="19">
        <v>3.58</v>
      </c>
      <c r="H1408" s="19">
        <f t="shared" ref="H1408:H1419" si="335">E1408*G1408</f>
        <v>7518</v>
      </c>
      <c r="I1408" s="19">
        <f t="shared" ref="I1408:I1419" si="336">H1408*D1408</f>
        <v>7518</v>
      </c>
      <c r="J1408" s="18">
        <f t="shared" ref="J1408:J1419" si="337">J1407+I1408</f>
        <v>90967.8</v>
      </c>
    </row>
    <row r="1409" spans="1:10">
      <c r="B1409" s="81">
        <v>45932</v>
      </c>
      <c r="C1409" s="80" t="s">
        <v>1291</v>
      </c>
      <c r="D1409" s="19">
        <v>2</v>
      </c>
      <c r="E1409" s="19">
        <v>720</v>
      </c>
      <c r="F1409" s="19">
        <f t="shared" si="331"/>
        <v>1440</v>
      </c>
      <c r="G1409" s="19">
        <v>3.58</v>
      </c>
      <c r="H1409" s="19">
        <f t="shared" si="335"/>
        <v>2577.6</v>
      </c>
      <c r="I1409" s="19">
        <f t="shared" si="336"/>
        <v>5155.2</v>
      </c>
      <c r="J1409" s="18">
        <f t="shared" si="337"/>
        <v>96123</v>
      </c>
    </row>
    <row r="1410" spans="1:10">
      <c r="B1410" s="81">
        <v>45932</v>
      </c>
      <c r="C1410" s="80" t="s">
        <v>1292</v>
      </c>
      <c r="D1410" s="19">
        <v>8</v>
      </c>
      <c r="E1410" s="19">
        <v>425</v>
      </c>
      <c r="F1410" s="19">
        <f t="shared" si="331"/>
        <v>3400</v>
      </c>
      <c r="G1410" s="19">
        <v>3.58</v>
      </c>
      <c r="H1410" s="19">
        <f t="shared" si="335"/>
        <v>1521.5</v>
      </c>
      <c r="I1410" s="19">
        <f t="shared" si="336"/>
        <v>12172</v>
      </c>
      <c r="J1410" s="18">
        <f t="shared" si="337"/>
        <v>108295</v>
      </c>
    </row>
    <row r="1411" spans="1:10">
      <c r="B1411" s="81">
        <v>45932</v>
      </c>
      <c r="C1411" s="80" t="s">
        <v>1293</v>
      </c>
      <c r="D1411" s="19">
        <v>4</v>
      </c>
      <c r="E1411" s="19">
        <v>410</v>
      </c>
      <c r="F1411" s="19">
        <f t="shared" si="331"/>
        <v>1640</v>
      </c>
      <c r="G1411" s="19">
        <v>3.58</v>
      </c>
      <c r="H1411" s="19">
        <f t="shared" si="335"/>
        <v>1467.8</v>
      </c>
      <c r="I1411" s="19">
        <f t="shared" si="336"/>
        <v>5871.2</v>
      </c>
      <c r="J1411" s="18">
        <f t="shared" si="337"/>
        <v>114166.2</v>
      </c>
    </row>
    <row r="1412" spans="1:10">
      <c r="B1412" s="81">
        <v>45932</v>
      </c>
      <c r="C1412" s="80" t="s">
        <v>1294</v>
      </c>
      <c r="D1412" s="19">
        <v>1</v>
      </c>
      <c r="E1412" s="19">
        <v>155</v>
      </c>
      <c r="F1412" s="19">
        <f t="shared" si="331"/>
        <v>155</v>
      </c>
      <c r="G1412" s="19">
        <v>3.58</v>
      </c>
      <c r="H1412" s="19">
        <f t="shared" si="335"/>
        <v>554.9</v>
      </c>
      <c r="I1412" s="19">
        <f t="shared" si="336"/>
        <v>554.9</v>
      </c>
      <c r="J1412" s="18">
        <f t="shared" si="337"/>
        <v>114721.09999999999</v>
      </c>
    </row>
    <row r="1413" spans="1:10">
      <c r="B1413" s="81">
        <v>45932</v>
      </c>
      <c r="C1413" s="80" t="s">
        <v>1295</v>
      </c>
      <c r="D1413" s="19">
        <v>1</v>
      </c>
      <c r="E1413" s="19">
        <v>1000</v>
      </c>
      <c r="F1413" s="19">
        <f t="shared" si="331"/>
        <v>1000</v>
      </c>
      <c r="G1413" s="19">
        <v>3.58</v>
      </c>
      <c r="H1413" s="19">
        <f t="shared" si="335"/>
        <v>3580</v>
      </c>
      <c r="I1413" s="19">
        <f t="shared" si="336"/>
        <v>3580</v>
      </c>
      <c r="J1413" s="18">
        <f t="shared" si="337"/>
        <v>118301.09999999999</v>
      </c>
    </row>
    <row r="1414" spans="1:10">
      <c r="B1414" s="81">
        <v>45932</v>
      </c>
      <c r="C1414" s="80" t="s">
        <v>1296</v>
      </c>
      <c r="D1414" s="19">
        <v>1</v>
      </c>
      <c r="E1414" s="19">
        <v>780</v>
      </c>
      <c r="F1414" s="19">
        <f t="shared" si="331"/>
        <v>780</v>
      </c>
      <c r="G1414" s="19">
        <v>3.58</v>
      </c>
      <c r="H1414" s="19">
        <f t="shared" si="335"/>
        <v>2792.4</v>
      </c>
      <c r="I1414" s="19">
        <f t="shared" si="336"/>
        <v>2792.4</v>
      </c>
      <c r="J1414" s="18">
        <f t="shared" si="337"/>
        <v>121093.49999999999</v>
      </c>
    </row>
    <row r="1415" spans="1:10">
      <c r="B1415" s="81">
        <v>45932</v>
      </c>
      <c r="C1415" s="80" t="s">
        <v>1297</v>
      </c>
      <c r="D1415" s="19">
        <v>2</v>
      </c>
      <c r="E1415" s="19">
        <v>1400</v>
      </c>
      <c r="F1415" s="19">
        <f t="shared" si="331"/>
        <v>2800</v>
      </c>
      <c r="G1415" s="19">
        <v>3.58</v>
      </c>
      <c r="H1415" s="19">
        <f t="shared" si="335"/>
        <v>5012</v>
      </c>
      <c r="I1415" s="19">
        <f t="shared" si="336"/>
        <v>10024</v>
      </c>
      <c r="J1415" s="18">
        <f t="shared" si="337"/>
        <v>131117.5</v>
      </c>
    </row>
    <row r="1416" spans="1:10">
      <c r="B1416" s="81">
        <v>45932</v>
      </c>
      <c r="C1416" s="444" t="s">
        <v>1298</v>
      </c>
      <c r="D1416" s="19">
        <v>1</v>
      </c>
      <c r="E1416" s="19">
        <v>1240</v>
      </c>
      <c r="F1416" s="19">
        <f t="shared" si="331"/>
        <v>1240</v>
      </c>
      <c r="G1416" s="19">
        <v>3.58</v>
      </c>
      <c r="H1416" s="19">
        <f t="shared" si="335"/>
        <v>4439.2</v>
      </c>
      <c r="I1416" s="19">
        <f t="shared" si="336"/>
        <v>4439.2</v>
      </c>
      <c r="J1416" s="18">
        <f t="shared" si="337"/>
        <v>135556.70000000001</v>
      </c>
    </row>
    <row r="1417" spans="1:10">
      <c r="B1417" s="81">
        <v>45932</v>
      </c>
      <c r="C1417" s="444" t="s">
        <v>1147</v>
      </c>
      <c r="D1417" s="19">
        <v>1</v>
      </c>
      <c r="E1417" s="19">
        <v>1900</v>
      </c>
      <c r="F1417" s="19">
        <f t="shared" si="331"/>
        <v>1900</v>
      </c>
      <c r="G1417" s="19">
        <v>3.58</v>
      </c>
      <c r="H1417" s="19">
        <f t="shared" si="335"/>
        <v>6802</v>
      </c>
      <c r="I1417" s="19">
        <f t="shared" si="336"/>
        <v>6802</v>
      </c>
      <c r="J1417" s="18">
        <f t="shared" si="337"/>
        <v>142358.70000000001</v>
      </c>
    </row>
    <row r="1418" spans="1:10">
      <c r="B1418" s="81">
        <v>45932</v>
      </c>
      <c r="C1418" s="80" t="s">
        <v>1299</v>
      </c>
      <c r="D1418" s="19">
        <v>1</v>
      </c>
      <c r="E1418" s="19">
        <v>3100</v>
      </c>
      <c r="F1418" s="19">
        <f t="shared" si="331"/>
        <v>3100</v>
      </c>
      <c r="G1418" s="19">
        <v>3.58</v>
      </c>
      <c r="H1418" s="19">
        <f t="shared" si="335"/>
        <v>11098</v>
      </c>
      <c r="I1418" s="19">
        <f t="shared" si="336"/>
        <v>11098</v>
      </c>
      <c r="J1418" s="18">
        <f t="shared" si="337"/>
        <v>153456.70000000001</v>
      </c>
    </row>
    <row r="1419" spans="1:10">
      <c r="B1419" s="81">
        <v>45932</v>
      </c>
      <c r="C1419" s="80" t="s">
        <v>1300</v>
      </c>
      <c r="D1419" s="19">
        <v>1</v>
      </c>
      <c r="E1419" s="19">
        <v>750</v>
      </c>
      <c r="F1419" s="19">
        <f t="shared" si="331"/>
        <v>750</v>
      </c>
      <c r="G1419" s="19">
        <v>3.58</v>
      </c>
      <c r="H1419" s="19">
        <f t="shared" si="335"/>
        <v>2685</v>
      </c>
      <c r="I1419" s="19">
        <f t="shared" si="336"/>
        <v>2685</v>
      </c>
      <c r="J1419" s="18">
        <f t="shared" si="337"/>
        <v>156141.70000000001</v>
      </c>
    </row>
    <row r="1423" spans="1:10" ht="21">
      <c r="A1423" t="s">
        <v>125</v>
      </c>
      <c r="B1423" s="1523" t="s">
        <v>1237</v>
      </c>
      <c r="C1423" s="1523"/>
      <c r="D1423" s="1523"/>
      <c r="E1423" s="1523"/>
      <c r="F1423" s="1523"/>
      <c r="G1423" s="1523"/>
      <c r="H1423" s="1523"/>
      <c r="I1423" s="1523"/>
      <c r="J1423" s="1523"/>
    </row>
    <row r="1424" spans="1:10" ht="18.75">
      <c r="B1424" s="365" t="s">
        <v>1</v>
      </c>
      <c r="C1424" s="365" t="s">
        <v>2</v>
      </c>
      <c r="D1424" s="365" t="s">
        <v>3</v>
      </c>
      <c r="E1424" s="365" t="s">
        <v>132</v>
      </c>
      <c r="F1424" s="365" t="s">
        <v>133</v>
      </c>
      <c r="G1424" s="365" t="s">
        <v>5</v>
      </c>
      <c r="H1424" s="365" t="s">
        <v>6</v>
      </c>
      <c r="I1424" s="365" t="s">
        <v>7</v>
      </c>
      <c r="J1424" s="365"/>
    </row>
    <row r="1425" spans="1:11">
      <c r="B1425" s="81">
        <v>45932</v>
      </c>
      <c r="C1425" s="18" t="s">
        <v>1095</v>
      </c>
      <c r="D1425" s="19">
        <v>3</v>
      </c>
      <c r="E1425" s="19">
        <v>375</v>
      </c>
      <c r="F1425" s="19">
        <f>E1425*D1425</f>
        <v>1125</v>
      </c>
      <c r="G1425" s="19">
        <v>3.58</v>
      </c>
      <c r="H1425" s="19">
        <f>E1425*G1425</f>
        <v>1342.5</v>
      </c>
      <c r="I1425" s="19">
        <f>H1425*D1425</f>
        <v>4027.5</v>
      </c>
      <c r="J1425" s="18">
        <f>J1424+I1425</f>
        <v>4027.5</v>
      </c>
    </row>
    <row r="1426" spans="1:11">
      <c r="B1426" s="81">
        <v>45932</v>
      </c>
      <c r="C1426" s="18" t="s">
        <v>167</v>
      </c>
      <c r="D1426" s="19">
        <v>1</v>
      </c>
      <c r="E1426" s="19">
        <v>510</v>
      </c>
      <c r="F1426" s="19">
        <f t="shared" ref="F1426:F1435" si="338">E1426*D1426</f>
        <v>510</v>
      </c>
      <c r="G1426" s="19">
        <v>3.58</v>
      </c>
      <c r="H1426" s="19">
        <f t="shared" ref="H1426:H1433" si="339">E1426*G1426</f>
        <v>1825.8</v>
      </c>
      <c r="I1426" s="19">
        <f t="shared" ref="I1426:I1433" si="340">H1426*D1426</f>
        <v>1825.8</v>
      </c>
      <c r="J1426" s="18">
        <f t="shared" ref="J1426:J1433" si="341">J1425+I1426</f>
        <v>5853.3</v>
      </c>
    </row>
    <row r="1427" spans="1:11">
      <c r="B1427" s="81">
        <v>45932</v>
      </c>
      <c r="C1427" s="18" t="s">
        <v>166</v>
      </c>
      <c r="D1427" s="19">
        <v>1</v>
      </c>
      <c r="E1427" s="19">
        <v>610</v>
      </c>
      <c r="F1427" s="19">
        <f t="shared" si="338"/>
        <v>610</v>
      </c>
      <c r="G1427" s="19">
        <v>3.58</v>
      </c>
      <c r="H1427" s="19">
        <f t="shared" si="339"/>
        <v>2183.8000000000002</v>
      </c>
      <c r="I1427" s="19">
        <f t="shared" si="340"/>
        <v>2183.8000000000002</v>
      </c>
      <c r="J1427" s="18">
        <f t="shared" si="341"/>
        <v>8037.1</v>
      </c>
    </row>
    <row r="1428" spans="1:11">
      <c r="B1428" s="81">
        <v>45932</v>
      </c>
      <c r="C1428" s="410" t="s">
        <v>134</v>
      </c>
      <c r="D1428" s="19">
        <v>6</v>
      </c>
      <c r="E1428" s="19">
        <v>680</v>
      </c>
      <c r="F1428" s="19">
        <f t="shared" si="338"/>
        <v>4080</v>
      </c>
      <c r="G1428" s="19">
        <v>3.58</v>
      </c>
      <c r="H1428" s="19">
        <f t="shared" si="339"/>
        <v>2434.4</v>
      </c>
      <c r="I1428" s="19">
        <f t="shared" si="340"/>
        <v>14606.400000000001</v>
      </c>
      <c r="J1428" s="18">
        <f t="shared" si="341"/>
        <v>22643.5</v>
      </c>
    </row>
    <row r="1429" spans="1:11">
      <c r="B1429" s="81">
        <v>45932</v>
      </c>
      <c r="C1429" s="410" t="s">
        <v>134</v>
      </c>
      <c r="D1429" s="19">
        <v>2</v>
      </c>
      <c r="E1429" s="19">
        <v>670</v>
      </c>
      <c r="F1429" s="19">
        <f t="shared" si="338"/>
        <v>1340</v>
      </c>
      <c r="G1429" s="19">
        <v>3.58</v>
      </c>
      <c r="H1429" s="19">
        <f t="shared" si="339"/>
        <v>2398.6</v>
      </c>
      <c r="I1429" s="19">
        <f t="shared" si="340"/>
        <v>4797.2</v>
      </c>
      <c r="J1429" s="18">
        <f t="shared" si="341"/>
        <v>27440.7</v>
      </c>
    </row>
    <row r="1430" spans="1:11">
      <c r="B1430" s="81">
        <v>45932</v>
      </c>
      <c r="C1430" s="410" t="s">
        <v>134</v>
      </c>
      <c r="D1430" s="19">
        <v>2</v>
      </c>
      <c r="E1430" s="19">
        <v>680</v>
      </c>
      <c r="F1430" s="19">
        <f t="shared" si="338"/>
        <v>1360</v>
      </c>
      <c r="G1430" s="19">
        <v>3.58</v>
      </c>
      <c r="H1430" s="19">
        <f t="shared" si="339"/>
        <v>2434.4</v>
      </c>
      <c r="I1430" s="19">
        <f t="shared" si="340"/>
        <v>4868.8</v>
      </c>
      <c r="J1430" s="18">
        <f t="shared" si="341"/>
        <v>32309.5</v>
      </c>
    </row>
    <row r="1431" spans="1:11">
      <c r="B1431" s="81">
        <v>45932</v>
      </c>
      <c r="C1431" s="18" t="s">
        <v>1303</v>
      </c>
      <c r="D1431" s="19">
        <v>6</v>
      </c>
      <c r="E1431" s="19">
        <v>160</v>
      </c>
      <c r="F1431" s="19">
        <f t="shared" si="338"/>
        <v>960</v>
      </c>
      <c r="G1431" s="19">
        <v>3.58</v>
      </c>
      <c r="H1431" s="19">
        <f t="shared" si="339"/>
        <v>572.79999999999995</v>
      </c>
      <c r="I1431" s="19">
        <f t="shared" si="340"/>
        <v>3436.7999999999997</v>
      </c>
      <c r="J1431" s="18">
        <f t="shared" si="341"/>
        <v>35746.300000000003</v>
      </c>
    </row>
    <row r="1432" spans="1:11">
      <c r="B1432" s="81">
        <v>45932</v>
      </c>
      <c r="C1432" s="410" t="s">
        <v>931</v>
      </c>
      <c r="D1432" s="19">
        <v>5</v>
      </c>
      <c r="E1432" s="19">
        <v>290</v>
      </c>
      <c r="F1432" s="19">
        <f t="shared" si="338"/>
        <v>1450</v>
      </c>
      <c r="G1432" s="19">
        <v>3.58</v>
      </c>
      <c r="H1432" s="19">
        <f t="shared" si="339"/>
        <v>1038.2</v>
      </c>
      <c r="I1432" s="19">
        <f t="shared" si="340"/>
        <v>5191</v>
      </c>
      <c r="J1432" s="18">
        <f t="shared" si="341"/>
        <v>40937.300000000003</v>
      </c>
    </row>
    <row r="1433" spans="1:11">
      <c r="B1433" s="81">
        <v>45932</v>
      </c>
      <c r="C1433" s="410" t="s">
        <v>930</v>
      </c>
      <c r="D1433" s="19">
        <v>4</v>
      </c>
      <c r="E1433" s="19">
        <v>270</v>
      </c>
      <c r="F1433" s="19">
        <f t="shared" si="338"/>
        <v>1080</v>
      </c>
      <c r="G1433" s="19">
        <v>3.58</v>
      </c>
      <c r="H1433" s="19">
        <f t="shared" si="339"/>
        <v>966.6</v>
      </c>
      <c r="I1433" s="19">
        <f t="shared" si="340"/>
        <v>3866.4</v>
      </c>
      <c r="J1433" s="18">
        <f t="shared" si="341"/>
        <v>44803.700000000004</v>
      </c>
    </row>
    <row r="1434" spans="1:11">
      <c r="B1434" s="81">
        <v>45932</v>
      </c>
      <c r="C1434" s="18" t="s">
        <v>920</v>
      </c>
      <c r="D1434" s="19">
        <v>2</v>
      </c>
      <c r="E1434" s="19">
        <v>580</v>
      </c>
      <c r="F1434" s="19">
        <f t="shared" si="338"/>
        <v>1160</v>
      </c>
      <c r="G1434" s="19">
        <v>3.58</v>
      </c>
      <c r="H1434" s="19">
        <f>E1434*G1434</f>
        <v>2076.4</v>
      </c>
      <c r="I1434" s="19">
        <f>H1434*D1434</f>
        <v>4152.8</v>
      </c>
      <c r="J1434" s="18">
        <f>J1433+I1434</f>
        <v>48956.500000000007</v>
      </c>
    </row>
    <row r="1435" spans="1:11">
      <c r="B1435" s="81">
        <v>45932</v>
      </c>
      <c r="C1435" s="18" t="s">
        <v>1096</v>
      </c>
      <c r="D1435" s="19">
        <v>2</v>
      </c>
      <c r="E1435" s="19">
        <v>170</v>
      </c>
      <c r="F1435" s="19">
        <f t="shared" si="338"/>
        <v>340</v>
      </c>
      <c r="G1435" s="19">
        <v>3.58</v>
      </c>
      <c r="H1435" s="19">
        <f>E1435*G1435</f>
        <v>608.6</v>
      </c>
      <c r="I1435" s="19">
        <f>H1435*D1435</f>
        <v>1217.2</v>
      </c>
      <c r="J1435" s="18">
        <f>J1434+I1435</f>
        <v>50173.700000000004</v>
      </c>
    </row>
    <row r="1439" spans="1:11" ht="21">
      <c r="A1439" t="s">
        <v>125</v>
      </c>
      <c r="B1439" s="1523" t="s">
        <v>376</v>
      </c>
      <c r="C1439" s="1523"/>
      <c r="D1439" s="1523"/>
      <c r="E1439" s="1523"/>
      <c r="F1439" s="1523"/>
      <c r="G1439" s="1523"/>
      <c r="H1439" s="1523"/>
      <c r="I1439" s="1523"/>
      <c r="J1439" s="1523"/>
      <c r="K1439" t="s">
        <v>1485</v>
      </c>
    </row>
    <row r="1440" spans="1:11" ht="18.75">
      <c r="B1440" s="4" t="s">
        <v>1</v>
      </c>
      <c r="C1440" s="4" t="s">
        <v>2</v>
      </c>
      <c r="D1440" s="4" t="s">
        <v>3</v>
      </c>
      <c r="E1440" s="365" t="s">
        <v>132</v>
      </c>
      <c r="F1440" s="365" t="s">
        <v>133</v>
      </c>
      <c r="G1440" s="4" t="s">
        <v>5</v>
      </c>
      <c r="H1440" s="4" t="s">
        <v>6</v>
      </c>
      <c r="I1440" s="4" t="s">
        <v>7</v>
      </c>
      <c r="J1440" s="4"/>
    </row>
    <row r="1441" spans="1:11">
      <c r="B1441" s="81">
        <v>45933</v>
      </c>
      <c r="C1441" s="80" t="s">
        <v>975</v>
      </c>
      <c r="D1441" s="19">
        <v>13</v>
      </c>
      <c r="E1441" s="19">
        <v>480</v>
      </c>
      <c r="F1441" s="19">
        <f>E1441*D1441</f>
        <v>6240</v>
      </c>
      <c r="G1441" s="19">
        <v>3.58</v>
      </c>
      <c r="H1441" s="19">
        <f t="shared" ref="H1441:H1449" si="342">E1441*G1441</f>
        <v>1718.4</v>
      </c>
      <c r="I1441" s="19">
        <f t="shared" ref="I1441:I1449" si="343">H1441*D1441</f>
        <v>22339.200000000001</v>
      </c>
      <c r="J1441" s="18">
        <f t="shared" ref="J1441:J1449" si="344">J1440+I1441</f>
        <v>22339.200000000001</v>
      </c>
    </row>
    <row r="1442" spans="1:11">
      <c r="B1442" s="81">
        <v>45933</v>
      </c>
      <c r="C1442" s="80" t="s">
        <v>807</v>
      </c>
      <c r="D1442" s="19">
        <v>4</v>
      </c>
      <c r="E1442" s="19">
        <v>415</v>
      </c>
      <c r="F1442" s="19">
        <f t="shared" ref="F1442:F1449" si="345">E1442*D1442</f>
        <v>1660</v>
      </c>
      <c r="G1442" s="19">
        <v>3.58</v>
      </c>
      <c r="H1442" s="19">
        <f t="shared" si="342"/>
        <v>1485.7</v>
      </c>
      <c r="I1442" s="19">
        <f t="shared" si="343"/>
        <v>5942.8</v>
      </c>
      <c r="J1442" s="18">
        <f t="shared" si="344"/>
        <v>28282</v>
      </c>
    </row>
    <row r="1443" spans="1:11">
      <c r="B1443" s="81">
        <v>45933</v>
      </c>
      <c r="C1443" s="80" t="s">
        <v>806</v>
      </c>
      <c r="D1443" s="19">
        <v>9</v>
      </c>
      <c r="E1443" s="19">
        <v>615</v>
      </c>
      <c r="F1443" s="19">
        <f t="shared" si="345"/>
        <v>5535</v>
      </c>
      <c r="G1443" s="19">
        <v>3.58</v>
      </c>
      <c r="H1443" s="19">
        <f t="shared" si="342"/>
        <v>2201.6999999999998</v>
      </c>
      <c r="I1443" s="19">
        <f t="shared" si="343"/>
        <v>19815.3</v>
      </c>
      <c r="J1443" s="18">
        <f t="shared" si="344"/>
        <v>48097.3</v>
      </c>
    </row>
    <row r="1444" spans="1:11">
      <c r="B1444" s="428">
        <v>45933</v>
      </c>
      <c r="C1444" s="490" t="s">
        <v>960</v>
      </c>
      <c r="D1444" s="374">
        <v>16</v>
      </c>
      <c r="E1444" s="374">
        <v>410</v>
      </c>
      <c r="F1444" s="374">
        <f t="shared" si="345"/>
        <v>6560</v>
      </c>
      <c r="G1444" s="374">
        <v>3.58</v>
      </c>
      <c r="H1444" s="374">
        <f t="shared" si="342"/>
        <v>1467.8</v>
      </c>
      <c r="I1444" s="374">
        <f t="shared" si="343"/>
        <v>23484.799999999999</v>
      </c>
      <c r="J1444" s="230">
        <f t="shared" si="344"/>
        <v>71582.100000000006</v>
      </c>
    </row>
    <row r="1445" spans="1:11">
      <c r="B1445" s="428">
        <v>45933</v>
      </c>
      <c r="C1445" s="490" t="s">
        <v>960</v>
      </c>
      <c r="D1445" s="374">
        <v>9</v>
      </c>
      <c r="E1445" s="374">
        <v>375</v>
      </c>
      <c r="F1445" s="374">
        <f t="shared" si="345"/>
        <v>3375</v>
      </c>
      <c r="G1445" s="374">
        <v>3.58</v>
      </c>
      <c r="H1445" s="374">
        <f t="shared" si="342"/>
        <v>1342.5</v>
      </c>
      <c r="I1445" s="374">
        <f t="shared" si="343"/>
        <v>12082.5</v>
      </c>
      <c r="J1445" s="230">
        <f t="shared" si="344"/>
        <v>83664.600000000006</v>
      </c>
    </row>
    <row r="1446" spans="1:11">
      <c r="B1446" s="428">
        <v>45933</v>
      </c>
      <c r="C1446" s="444" t="s">
        <v>808</v>
      </c>
      <c r="D1446" s="374">
        <v>2</v>
      </c>
      <c r="E1446" s="374">
        <v>330</v>
      </c>
      <c r="F1446" s="374">
        <f t="shared" si="345"/>
        <v>660</v>
      </c>
      <c r="G1446" s="374">
        <v>3.58</v>
      </c>
      <c r="H1446" s="374">
        <f t="shared" si="342"/>
        <v>1181.4000000000001</v>
      </c>
      <c r="I1446" s="374">
        <f t="shared" si="343"/>
        <v>2362.8000000000002</v>
      </c>
      <c r="J1446" s="230">
        <f t="shared" si="344"/>
        <v>86027.400000000009</v>
      </c>
    </row>
    <row r="1447" spans="1:11">
      <c r="B1447" s="428">
        <v>45933</v>
      </c>
      <c r="C1447" s="490" t="s">
        <v>131</v>
      </c>
      <c r="D1447" s="374">
        <v>2</v>
      </c>
      <c r="E1447" s="374">
        <v>410</v>
      </c>
      <c r="F1447" s="374">
        <f t="shared" si="345"/>
        <v>820</v>
      </c>
      <c r="G1447" s="374">
        <v>3.58</v>
      </c>
      <c r="H1447" s="374">
        <f t="shared" si="342"/>
        <v>1467.8</v>
      </c>
      <c r="I1447" s="374">
        <f t="shared" si="343"/>
        <v>2935.6</v>
      </c>
      <c r="J1447" s="230">
        <f t="shared" si="344"/>
        <v>88963.000000000015</v>
      </c>
    </row>
    <row r="1448" spans="1:11">
      <c r="B1448" s="428">
        <v>45933</v>
      </c>
      <c r="C1448" s="490" t="s">
        <v>131</v>
      </c>
      <c r="D1448" s="374">
        <v>13</v>
      </c>
      <c r="E1448" s="374">
        <v>425</v>
      </c>
      <c r="F1448" s="374">
        <f t="shared" si="345"/>
        <v>5525</v>
      </c>
      <c r="G1448" s="374">
        <v>3.58</v>
      </c>
      <c r="H1448" s="374">
        <f t="shared" si="342"/>
        <v>1521.5</v>
      </c>
      <c r="I1448" s="374">
        <f t="shared" si="343"/>
        <v>19779.5</v>
      </c>
      <c r="J1448" s="230">
        <f t="shared" si="344"/>
        <v>108742.50000000001</v>
      </c>
    </row>
    <row r="1449" spans="1:11">
      <c r="B1449" s="428">
        <v>45933</v>
      </c>
      <c r="C1449" s="230" t="s">
        <v>1183</v>
      </c>
      <c r="D1449" s="374">
        <v>6</v>
      </c>
      <c r="E1449" s="374">
        <v>300</v>
      </c>
      <c r="F1449" s="374">
        <f t="shared" si="345"/>
        <v>1800</v>
      </c>
      <c r="G1449" s="374">
        <v>3.58</v>
      </c>
      <c r="H1449" s="374">
        <f t="shared" si="342"/>
        <v>1074</v>
      </c>
      <c r="I1449" s="374">
        <f t="shared" si="343"/>
        <v>6444</v>
      </c>
      <c r="J1449" s="230">
        <f t="shared" si="344"/>
        <v>115186.50000000001</v>
      </c>
    </row>
    <row r="1450" spans="1:11">
      <c r="B1450" s="19"/>
      <c r="C1450" s="19"/>
      <c r="D1450" s="19"/>
      <c r="E1450" s="19"/>
      <c r="F1450" s="19"/>
      <c r="G1450" s="19"/>
      <c r="H1450" s="19"/>
      <c r="I1450" s="19"/>
      <c r="J1450" s="18"/>
    </row>
    <row r="1454" spans="1:11" ht="21">
      <c r="A1454" t="s">
        <v>125</v>
      </c>
      <c r="B1454" s="1523" t="s">
        <v>376</v>
      </c>
      <c r="C1454" s="1523"/>
      <c r="D1454" s="1523"/>
      <c r="E1454" s="1523"/>
      <c r="F1454" s="1523"/>
      <c r="G1454" s="1523"/>
      <c r="H1454" s="1523"/>
      <c r="I1454" s="1523"/>
      <c r="J1454" s="1523"/>
      <c r="K1454" t="s">
        <v>1484</v>
      </c>
    </row>
    <row r="1455" spans="1:11" ht="18.75">
      <c r="B1455" s="4" t="s">
        <v>1</v>
      </c>
      <c r="C1455" s="4" t="s">
        <v>2</v>
      </c>
      <c r="D1455" s="4" t="s">
        <v>3</v>
      </c>
      <c r="E1455" s="365" t="s">
        <v>132</v>
      </c>
      <c r="F1455" s="365" t="s">
        <v>133</v>
      </c>
      <c r="G1455" s="4" t="s">
        <v>5</v>
      </c>
      <c r="H1455" s="4" t="s">
        <v>6</v>
      </c>
      <c r="I1455" s="4" t="s">
        <v>7</v>
      </c>
      <c r="J1455" s="4"/>
    </row>
    <row r="1456" spans="1:11">
      <c r="B1456" s="81">
        <v>45936</v>
      </c>
      <c r="C1456" s="80" t="s">
        <v>1308</v>
      </c>
      <c r="D1456" s="19">
        <v>1</v>
      </c>
      <c r="E1456" s="19">
        <v>300</v>
      </c>
      <c r="F1456" s="19">
        <f>E1456*D1456</f>
        <v>300</v>
      </c>
      <c r="G1456" s="19">
        <v>3.58</v>
      </c>
      <c r="H1456" s="19">
        <f t="shared" ref="H1456:H1461" si="346">E1456*G1456</f>
        <v>1074</v>
      </c>
      <c r="I1456" s="19">
        <f t="shared" ref="I1456:I1461" si="347">H1456*D1456</f>
        <v>1074</v>
      </c>
      <c r="J1456" s="18">
        <f>J1455+I1456</f>
        <v>1074</v>
      </c>
    </row>
    <row r="1457" spans="2:10">
      <c r="B1457" s="81">
        <v>45936</v>
      </c>
      <c r="C1457" s="80" t="s">
        <v>1309</v>
      </c>
      <c r="D1457" s="19">
        <v>1</v>
      </c>
      <c r="E1457" s="19">
        <v>390</v>
      </c>
      <c r="F1457" s="19">
        <f t="shared" ref="F1457:F1465" si="348">E1457*D1457</f>
        <v>390</v>
      </c>
      <c r="G1457" s="19">
        <v>3.58</v>
      </c>
      <c r="H1457" s="19">
        <f t="shared" si="346"/>
        <v>1396.2</v>
      </c>
      <c r="I1457" s="19">
        <f t="shared" si="347"/>
        <v>1396.2</v>
      </c>
      <c r="J1457" s="18">
        <f t="shared" ref="J1457:J1480" si="349">J1456+I1457</f>
        <v>2470.1999999999998</v>
      </c>
    </row>
    <row r="1458" spans="2:10">
      <c r="B1458" s="81">
        <v>45936</v>
      </c>
      <c r="C1458" s="80" t="s">
        <v>167</v>
      </c>
      <c r="D1458" s="19">
        <v>1</v>
      </c>
      <c r="E1458" s="19">
        <v>550</v>
      </c>
      <c r="F1458" s="19">
        <f t="shared" si="348"/>
        <v>550</v>
      </c>
      <c r="G1458" s="19">
        <v>3.58</v>
      </c>
      <c r="H1458" s="19">
        <f t="shared" si="346"/>
        <v>1969</v>
      </c>
      <c r="I1458" s="19">
        <f t="shared" si="347"/>
        <v>1969</v>
      </c>
      <c r="J1458" s="18">
        <f t="shared" si="349"/>
        <v>4439.2</v>
      </c>
    </row>
    <row r="1459" spans="2:10">
      <c r="B1459" s="81">
        <v>45936</v>
      </c>
      <c r="C1459" s="442" t="s">
        <v>134</v>
      </c>
      <c r="D1459" s="19">
        <v>12</v>
      </c>
      <c r="E1459" s="19">
        <v>720</v>
      </c>
      <c r="F1459" s="19">
        <f t="shared" si="348"/>
        <v>8640</v>
      </c>
      <c r="G1459" s="19">
        <v>3.58</v>
      </c>
      <c r="H1459" s="19">
        <f t="shared" si="346"/>
        <v>2577.6</v>
      </c>
      <c r="I1459" s="19">
        <f t="shared" si="347"/>
        <v>30931.199999999997</v>
      </c>
      <c r="J1459" s="18">
        <f t="shared" si="349"/>
        <v>35370.399999999994</v>
      </c>
    </row>
    <row r="1460" spans="2:10">
      <c r="B1460" s="81">
        <v>45936</v>
      </c>
      <c r="C1460" s="442" t="s">
        <v>134</v>
      </c>
      <c r="D1460" s="19">
        <v>5</v>
      </c>
      <c r="E1460" s="19">
        <v>710</v>
      </c>
      <c r="F1460" s="19">
        <f t="shared" si="348"/>
        <v>3550</v>
      </c>
      <c r="G1460" s="19">
        <v>3.58</v>
      </c>
      <c r="H1460" s="19">
        <f t="shared" si="346"/>
        <v>2541.8000000000002</v>
      </c>
      <c r="I1460" s="19">
        <f t="shared" si="347"/>
        <v>12709</v>
      </c>
      <c r="J1460" s="18">
        <f t="shared" si="349"/>
        <v>48079.399999999994</v>
      </c>
    </row>
    <row r="1461" spans="2:10">
      <c r="B1461" s="81">
        <v>45936</v>
      </c>
      <c r="C1461" s="80" t="s">
        <v>1310</v>
      </c>
      <c r="D1461" s="19">
        <v>1</v>
      </c>
      <c r="E1461" s="19">
        <v>215</v>
      </c>
      <c r="F1461" s="19">
        <f t="shared" si="348"/>
        <v>215</v>
      </c>
      <c r="G1461" s="19">
        <v>3.58</v>
      </c>
      <c r="H1461" s="19">
        <f t="shared" si="346"/>
        <v>769.7</v>
      </c>
      <c r="I1461" s="19">
        <f t="shared" si="347"/>
        <v>769.7</v>
      </c>
      <c r="J1461" s="18">
        <f t="shared" si="349"/>
        <v>48849.099999999991</v>
      </c>
    </row>
    <row r="1462" spans="2:10">
      <c r="B1462" s="81">
        <v>45936</v>
      </c>
      <c r="C1462" s="80" t="s">
        <v>1095</v>
      </c>
      <c r="D1462" s="19">
        <v>1</v>
      </c>
      <c r="E1462" s="19">
        <v>340</v>
      </c>
      <c r="F1462" s="19">
        <f t="shared" si="348"/>
        <v>340</v>
      </c>
      <c r="G1462" s="19">
        <v>3.58</v>
      </c>
      <c r="H1462" s="19">
        <f t="shared" ref="H1462:H1480" si="350">E1462*G1462</f>
        <v>1217.2</v>
      </c>
      <c r="I1462" s="19">
        <f t="shared" ref="I1462:I1480" si="351">H1462*D1462</f>
        <v>1217.2</v>
      </c>
      <c r="J1462" s="18">
        <f t="shared" si="349"/>
        <v>50066.299999999988</v>
      </c>
    </row>
    <row r="1463" spans="2:10">
      <c r="B1463" s="81">
        <v>45936</v>
      </c>
      <c r="C1463" s="80" t="s">
        <v>1307</v>
      </c>
      <c r="D1463" s="19">
        <v>4</v>
      </c>
      <c r="E1463" s="19">
        <v>385</v>
      </c>
      <c r="F1463" s="19">
        <f t="shared" si="348"/>
        <v>1540</v>
      </c>
      <c r="G1463" s="19">
        <v>3.58</v>
      </c>
      <c r="H1463" s="19">
        <f t="shared" si="350"/>
        <v>1378.3</v>
      </c>
      <c r="I1463" s="19">
        <f t="shared" si="351"/>
        <v>5513.2</v>
      </c>
      <c r="J1463" s="18">
        <f t="shared" si="349"/>
        <v>55579.499999999985</v>
      </c>
    </row>
    <row r="1464" spans="2:10">
      <c r="B1464" s="81">
        <v>45936</v>
      </c>
      <c r="C1464" s="80" t="s">
        <v>976</v>
      </c>
      <c r="D1464" s="19">
        <v>2</v>
      </c>
      <c r="E1464" s="19">
        <v>440</v>
      </c>
      <c r="F1464" s="19">
        <f t="shared" si="348"/>
        <v>880</v>
      </c>
      <c r="G1464" s="19">
        <v>3.58</v>
      </c>
      <c r="H1464" s="19">
        <f t="shared" si="350"/>
        <v>1575.2</v>
      </c>
      <c r="I1464" s="19">
        <f t="shared" si="351"/>
        <v>3150.4</v>
      </c>
      <c r="J1464" s="18">
        <f t="shared" si="349"/>
        <v>58729.899999999987</v>
      </c>
    </row>
    <row r="1465" spans="2:10">
      <c r="B1465" s="81">
        <v>45936</v>
      </c>
      <c r="C1465" s="442" t="s">
        <v>131</v>
      </c>
      <c r="D1465" s="19">
        <v>13</v>
      </c>
      <c r="E1465" s="19">
        <v>425</v>
      </c>
      <c r="F1465" s="19">
        <f t="shared" si="348"/>
        <v>5525</v>
      </c>
      <c r="G1465" s="19">
        <v>3.58</v>
      </c>
      <c r="H1465" s="19">
        <f t="shared" si="350"/>
        <v>1521.5</v>
      </c>
      <c r="I1465" s="19">
        <f t="shared" si="351"/>
        <v>19779.5</v>
      </c>
      <c r="J1465" s="18">
        <f t="shared" si="349"/>
        <v>78509.399999999994</v>
      </c>
    </row>
    <row r="1466" spans="2:10">
      <c r="B1466" s="81">
        <v>45936</v>
      </c>
      <c r="C1466" s="80" t="s">
        <v>1311</v>
      </c>
      <c r="D1466" s="19">
        <v>15</v>
      </c>
      <c r="E1466" s="19">
        <v>160</v>
      </c>
      <c r="F1466" s="19">
        <f t="shared" ref="F1466:F1477" si="352">E1466*D1466</f>
        <v>2400</v>
      </c>
      <c r="G1466" s="19">
        <v>3.58</v>
      </c>
      <c r="H1466" s="19">
        <f t="shared" si="350"/>
        <v>572.79999999999995</v>
      </c>
      <c r="I1466" s="19">
        <f t="shared" si="351"/>
        <v>8592</v>
      </c>
      <c r="J1466" s="18">
        <f t="shared" si="349"/>
        <v>87101.4</v>
      </c>
    </row>
    <row r="1467" spans="2:10">
      <c r="B1467" s="81">
        <v>45936</v>
      </c>
      <c r="C1467" s="444" t="s">
        <v>1296</v>
      </c>
      <c r="D1467" s="19">
        <v>1</v>
      </c>
      <c r="E1467" s="19">
        <v>760</v>
      </c>
      <c r="F1467" s="19">
        <f t="shared" si="352"/>
        <v>760</v>
      </c>
      <c r="G1467" s="19">
        <v>3.58</v>
      </c>
      <c r="H1467" s="19">
        <f t="shared" si="350"/>
        <v>2720.8</v>
      </c>
      <c r="I1467" s="19">
        <f t="shared" si="351"/>
        <v>2720.8</v>
      </c>
      <c r="J1467" s="18">
        <f t="shared" si="349"/>
        <v>89822.2</v>
      </c>
    </row>
    <row r="1468" spans="2:10">
      <c r="B1468" s="81">
        <v>45936</v>
      </c>
      <c r="C1468" s="444" t="s">
        <v>1148</v>
      </c>
      <c r="D1468" s="19">
        <v>1</v>
      </c>
      <c r="E1468" s="19">
        <v>1210</v>
      </c>
      <c r="F1468" s="19">
        <f t="shared" si="352"/>
        <v>1210</v>
      </c>
      <c r="G1468" s="19">
        <v>3.58</v>
      </c>
      <c r="H1468" s="19">
        <f t="shared" si="350"/>
        <v>4331.8</v>
      </c>
      <c r="I1468" s="19">
        <f t="shared" si="351"/>
        <v>4331.8</v>
      </c>
      <c r="J1468" s="18">
        <f t="shared" si="349"/>
        <v>94154</v>
      </c>
    </row>
    <row r="1469" spans="2:10">
      <c r="B1469" s="81">
        <v>45936</v>
      </c>
      <c r="C1469" s="444" t="s">
        <v>1147</v>
      </c>
      <c r="D1469" s="19">
        <v>2</v>
      </c>
      <c r="E1469" s="19">
        <v>1880</v>
      </c>
      <c r="F1469" s="19">
        <f t="shared" si="352"/>
        <v>3760</v>
      </c>
      <c r="G1469" s="19">
        <v>3.58</v>
      </c>
      <c r="H1469" s="19">
        <f t="shared" si="350"/>
        <v>6730.4000000000005</v>
      </c>
      <c r="I1469" s="19">
        <f t="shared" si="351"/>
        <v>13460.800000000001</v>
      </c>
      <c r="J1469" s="18">
        <f t="shared" si="349"/>
        <v>107614.8</v>
      </c>
    </row>
    <row r="1470" spans="2:10">
      <c r="B1470" s="81">
        <v>45936</v>
      </c>
      <c r="C1470" s="80" t="s">
        <v>136</v>
      </c>
      <c r="D1470" s="19">
        <v>9</v>
      </c>
      <c r="E1470" s="19">
        <v>95</v>
      </c>
      <c r="F1470" s="19">
        <f t="shared" si="352"/>
        <v>855</v>
      </c>
      <c r="G1470" s="19">
        <v>3.58</v>
      </c>
      <c r="H1470" s="19">
        <f t="shared" si="350"/>
        <v>340.1</v>
      </c>
      <c r="I1470" s="19">
        <f t="shared" si="351"/>
        <v>3060.9</v>
      </c>
      <c r="J1470" s="18">
        <f t="shared" si="349"/>
        <v>110675.7</v>
      </c>
    </row>
    <row r="1471" spans="2:10">
      <c r="B1471" s="81">
        <v>45936</v>
      </c>
      <c r="C1471" s="80" t="s">
        <v>1312</v>
      </c>
      <c r="D1471" s="19">
        <v>14</v>
      </c>
      <c r="E1471" s="19">
        <v>125</v>
      </c>
      <c r="F1471" s="19">
        <f t="shared" si="352"/>
        <v>1750</v>
      </c>
      <c r="G1471" s="19">
        <v>3.58</v>
      </c>
      <c r="H1471" s="19">
        <f t="shared" si="350"/>
        <v>447.5</v>
      </c>
      <c r="I1471" s="19">
        <f t="shared" si="351"/>
        <v>6265</v>
      </c>
      <c r="J1471" s="18">
        <f t="shared" si="349"/>
        <v>116940.7</v>
      </c>
    </row>
    <row r="1472" spans="2:10">
      <c r="B1472" s="81">
        <v>45936</v>
      </c>
      <c r="C1472" s="442" t="s">
        <v>135</v>
      </c>
      <c r="D1472" s="19">
        <v>2</v>
      </c>
      <c r="E1472" s="19">
        <v>1030</v>
      </c>
      <c r="F1472" s="19">
        <f t="shared" si="352"/>
        <v>2060</v>
      </c>
      <c r="G1472" s="19">
        <v>3.58</v>
      </c>
      <c r="H1472" s="19">
        <f t="shared" si="350"/>
        <v>3687.4</v>
      </c>
      <c r="I1472" s="19">
        <f t="shared" si="351"/>
        <v>7374.8</v>
      </c>
      <c r="J1472" s="18">
        <f t="shared" si="349"/>
        <v>124315.5</v>
      </c>
    </row>
    <row r="1473" spans="1:11">
      <c r="B1473" s="81">
        <v>45936</v>
      </c>
      <c r="C1473" s="80" t="s">
        <v>1295</v>
      </c>
      <c r="D1473" s="19">
        <v>3</v>
      </c>
      <c r="E1473" s="19">
        <v>1030</v>
      </c>
      <c r="F1473" s="19">
        <f t="shared" si="352"/>
        <v>3090</v>
      </c>
      <c r="G1473" s="19">
        <v>3.58</v>
      </c>
      <c r="H1473" s="19">
        <f t="shared" si="350"/>
        <v>3687.4</v>
      </c>
      <c r="I1473" s="19">
        <f t="shared" si="351"/>
        <v>11062.2</v>
      </c>
      <c r="J1473" s="18">
        <f t="shared" si="349"/>
        <v>135377.70000000001</v>
      </c>
    </row>
    <row r="1474" spans="1:11">
      <c r="B1474" s="81">
        <v>45936</v>
      </c>
      <c r="C1474" s="80" t="s">
        <v>1295</v>
      </c>
      <c r="D1474" s="19">
        <v>1</v>
      </c>
      <c r="E1474" s="19">
        <v>1000</v>
      </c>
      <c r="F1474" s="19">
        <f t="shared" si="352"/>
        <v>1000</v>
      </c>
      <c r="G1474" s="19">
        <v>3.58</v>
      </c>
      <c r="H1474" s="19">
        <f t="shared" si="350"/>
        <v>3580</v>
      </c>
      <c r="I1474" s="19">
        <f t="shared" si="351"/>
        <v>3580</v>
      </c>
      <c r="J1474" s="18">
        <f t="shared" si="349"/>
        <v>138957.70000000001</v>
      </c>
    </row>
    <row r="1475" spans="1:11">
      <c r="B1475" s="81">
        <v>45936</v>
      </c>
      <c r="C1475" s="80" t="s">
        <v>1313</v>
      </c>
      <c r="D1475" s="19">
        <v>1</v>
      </c>
      <c r="E1475" s="19">
        <v>950</v>
      </c>
      <c r="F1475" s="19">
        <f t="shared" si="352"/>
        <v>950</v>
      </c>
      <c r="G1475" s="19">
        <v>3.58</v>
      </c>
      <c r="H1475" s="19">
        <f t="shared" si="350"/>
        <v>3401</v>
      </c>
      <c r="I1475" s="19">
        <f t="shared" si="351"/>
        <v>3401</v>
      </c>
      <c r="J1475" s="18">
        <f t="shared" si="349"/>
        <v>142358.70000000001</v>
      </c>
    </row>
    <row r="1476" spans="1:11">
      <c r="B1476" s="428">
        <v>45936</v>
      </c>
      <c r="C1476" s="444" t="s">
        <v>1315</v>
      </c>
      <c r="D1476" s="374">
        <v>2</v>
      </c>
      <c r="E1476" s="374">
        <v>420</v>
      </c>
      <c r="F1476" s="374">
        <f t="shared" si="352"/>
        <v>840</v>
      </c>
      <c r="G1476" s="374">
        <v>3.58</v>
      </c>
      <c r="H1476" s="374">
        <f t="shared" si="350"/>
        <v>1503.6000000000001</v>
      </c>
      <c r="I1476" s="374">
        <f t="shared" si="351"/>
        <v>3007.2000000000003</v>
      </c>
      <c r="J1476" s="18">
        <f t="shared" si="349"/>
        <v>145365.90000000002</v>
      </c>
    </row>
    <row r="1477" spans="1:11">
      <c r="B1477" s="428">
        <v>45936</v>
      </c>
      <c r="C1477" s="444" t="s">
        <v>1316</v>
      </c>
      <c r="D1477" s="374">
        <v>1</v>
      </c>
      <c r="E1477" s="374">
        <v>610</v>
      </c>
      <c r="F1477" s="374">
        <f t="shared" si="352"/>
        <v>610</v>
      </c>
      <c r="G1477" s="374">
        <v>3.58</v>
      </c>
      <c r="H1477" s="374">
        <f t="shared" si="350"/>
        <v>2183.8000000000002</v>
      </c>
      <c r="I1477" s="374">
        <f t="shared" si="351"/>
        <v>2183.8000000000002</v>
      </c>
      <c r="J1477" s="18">
        <f t="shared" si="349"/>
        <v>147549.70000000001</v>
      </c>
    </row>
    <row r="1478" spans="1:11">
      <c r="B1478" s="81">
        <v>45936</v>
      </c>
      <c r="C1478" s="80" t="s">
        <v>932</v>
      </c>
      <c r="D1478" s="19">
        <v>1</v>
      </c>
      <c r="E1478" s="19">
        <v>500</v>
      </c>
      <c r="F1478" s="19">
        <f>E1478*D1478</f>
        <v>500</v>
      </c>
      <c r="G1478" s="19">
        <v>3.58</v>
      </c>
      <c r="H1478" s="19">
        <f t="shared" si="350"/>
        <v>1790</v>
      </c>
      <c r="I1478" s="19">
        <f t="shared" si="351"/>
        <v>1790</v>
      </c>
      <c r="J1478" s="18">
        <f t="shared" si="349"/>
        <v>149339.70000000001</v>
      </c>
    </row>
    <row r="1479" spans="1:11">
      <c r="B1479" s="428">
        <v>45936</v>
      </c>
      <c r="C1479" s="444" t="s">
        <v>1317</v>
      </c>
      <c r="D1479" s="374">
        <v>12</v>
      </c>
      <c r="E1479" s="374">
        <v>165</v>
      </c>
      <c r="F1479" s="374">
        <f>E1479*D1479</f>
        <v>1980</v>
      </c>
      <c r="G1479" s="374">
        <v>3.58</v>
      </c>
      <c r="H1479" s="374">
        <f t="shared" si="350"/>
        <v>590.70000000000005</v>
      </c>
      <c r="I1479" s="374">
        <f t="shared" si="351"/>
        <v>7088.4000000000005</v>
      </c>
      <c r="J1479" s="18">
        <f t="shared" si="349"/>
        <v>156428.1</v>
      </c>
    </row>
    <row r="1480" spans="1:11">
      <c r="B1480" s="81">
        <v>45936</v>
      </c>
      <c r="C1480" s="80" t="s">
        <v>975</v>
      </c>
      <c r="D1480" s="19">
        <v>6</v>
      </c>
      <c r="E1480" s="19">
        <v>480</v>
      </c>
      <c r="F1480" s="19">
        <f>E1480*D1480</f>
        <v>2880</v>
      </c>
      <c r="G1480" s="19">
        <v>3.58</v>
      </c>
      <c r="H1480" s="19">
        <f t="shared" si="350"/>
        <v>1718.4</v>
      </c>
      <c r="I1480" s="19">
        <f t="shared" si="351"/>
        <v>10310.400000000001</v>
      </c>
      <c r="J1480" s="18">
        <f t="shared" si="349"/>
        <v>166738.5</v>
      </c>
    </row>
    <row r="1481" spans="1:11">
      <c r="B1481" s="19"/>
      <c r="C1481" s="19"/>
      <c r="D1481" s="19"/>
      <c r="E1481" s="19"/>
      <c r="F1481" s="19"/>
      <c r="G1481" s="19"/>
      <c r="H1481" s="19"/>
      <c r="I1481" s="19"/>
      <c r="J1481" s="18"/>
    </row>
    <row r="1485" spans="1:11" ht="21">
      <c r="A1485" t="s">
        <v>125</v>
      </c>
      <c r="B1485" s="1523" t="s">
        <v>376</v>
      </c>
      <c r="C1485" s="1523"/>
      <c r="D1485" s="1523"/>
      <c r="E1485" s="1523"/>
      <c r="F1485" s="1523"/>
      <c r="G1485" s="1523"/>
      <c r="H1485" s="1523"/>
      <c r="I1485" s="1523"/>
      <c r="J1485" s="1523"/>
      <c r="K1485" t="s">
        <v>1489</v>
      </c>
    </row>
    <row r="1486" spans="1:11" ht="18.75">
      <c r="B1486" s="4" t="s">
        <v>1</v>
      </c>
      <c r="C1486" s="4" t="s">
        <v>2</v>
      </c>
      <c r="D1486" s="4" t="s">
        <v>3</v>
      </c>
      <c r="E1486" s="514" t="s">
        <v>132</v>
      </c>
      <c r="F1486" s="514" t="s">
        <v>133</v>
      </c>
      <c r="G1486" s="4" t="s">
        <v>5</v>
      </c>
      <c r="H1486" s="4" t="s">
        <v>6</v>
      </c>
      <c r="I1486" s="4" t="s">
        <v>7</v>
      </c>
      <c r="J1486" s="4"/>
    </row>
    <row r="1487" spans="1:11">
      <c r="B1487" s="81">
        <v>45944</v>
      </c>
      <c r="C1487" s="18" t="s">
        <v>1389</v>
      </c>
      <c r="D1487" s="19">
        <v>6</v>
      </c>
      <c r="E1487" s="19">
        <v>650</v>
      </c>
      <c r="F1487" s="19">
        <f>E1487*D1487</f>
        <v>3900</v>
      </c>
      <c r="G1487" s="19">
        <v>3.585</v>
      </c>
      <c r="H1487" s="19">
        <f>E1487*G1487</f>
        <v>2330.25</v>
      </c>
      <c r="I1487" s="19">
        <f>H1487*D1487</f>
        <v>13981.5</v>
      </c>
      <c r="J1487" s="18">
        <f>J1486+I1487</f>
        <v>13981.5</v>
      </c>
    </row>
    <row r="1488" spans="1:11">
      <c r="B1488" s="81">
        <v>45944</v>
      </c>
      <c r="C1488" s="18" t="s">
        <v>1390</v>
      </c>
      <c r="D1488" s="19">
        <v>4</v>
      </c>
      <c r="E1488" s="19">
        <v>220</v>
      </c>
      <c r="F1488" s="19">
        <f t="shared" ref="F1488:F1497" si="353">E1488*D1488</f>
        <v>880</v>
      </c>
      <c r="G1488" s="19">
        <v>3.585</v>
      </c>
      <c r="H1488" s="19">
        <f t="shared" ref="H1488:H1497" si="354">E1488*G1488</f>
        <v>788.7</v>
      </c>
      <c r="I1488" s="19">
        <f t="shared" ref="I1488:I1497" si="355">H1488*D1488</f>
        <v>3154.8</v>
      </c>
      <c r="J1488" s="18">
        <f t="shared" ref="J1488:J1513" si="356">J1487+I1488</f>
        <v>17136.3</v>
      </c>
    </row>
    <row r="1489" spans="2:10">
      <c r="B1489" s="81">
        <v>45944</v>
      </c>
      <c r="C1489" s="18" t="s">
        <v>1391</v>
      </c>
      <c r="D1489" s="19">
        <v>10</v>
      </c>
      <c r="E1489" s="19">
        <v>300</v>
      </c>
      <c r="F1489" s="19">
        <f t="shared" si="353"/>
        <v>3000</v>
      </c>
      <c r="G1489" s="19">
        <v>3.585</v>
      </c>
      <c r="H1489" s="19">
        <f t="shared" si="354"/>
        <v>1075.5</v>
      </c>
      <c r="I1489" s="19">
        <f t="shared" si="355"/>
        <v>10755</v>
      </c>
      <c r="J1489" s="18">
        <f t="shared" si="356"/>
        <v>27891.3</v>
      </c>
    </row>
    <row r="1490" spans="2:10">
      <c r="B1490" s="81">
        <v>45944</v>
      </c>
      <c r="C1490" s="18" t="s">
        <v>131</v>
      </c>
      <c r="D1490" s="19">
        <v>19</v>
      </c>
      <c r="E1490" s="19">
        <v>425</v>
      </c>
      <c r="F1490" s="19">
        <f t="shared" si="353"/>
        <v>8075</v>
      </c>
      <c r="G1490" s="19">
        <v>3.585</v>
      </c>
      <c r="H1490" s="19">
        <f t="shared" si="354"/>
        <v>1523.625</v>
      </c>
      <c r="I1490" s="19">
        <f t="shared" si="355"/>
        <v>28948.875</v>
      </c>
      <c r="J1490" s="18">
        <f t="shared" si="356"/>
        <v>56840.175000000003</v>
      </c>
    </row>
    <row r="1491" spans="2:10">
      <c r="B1491" s="81">
        <v>45944</v>
      </c>
      <c r="C1491" s="18" t="s">
        <v>1392</v>
      </c>
      <c r="D1491" s="19">
        <v>12</v>
      </c>
      <c r="E1491" s="19">
        <v>410</v>
      </c>
      <c r="F1491" s="19">
        <f t="shared" si="353"/>
        <v>4920</v>
      </c>
      <c r="G1491" s="19">
        <v>3.585</v>
      </c>
      <c r="H1491" s="19">
        <f t="shared" si="354"/>
        <v>1469.85</v>
      </c>
      <c r="I1491" s="19">
        <f t="shared" si="355"/>
        <v>17638.199999999997</v>
      </c>
      <c r="J1491" s="18">
        <f t="shared" si="356"/>
        <v>74478.375</v>
      </c>
    </row>
    <row r="1492" spans="2:10">
      <c r="B1492" s="81">
        <v>45944</v>
      </c>
      <c r="C1492" s="18" t="s">
        <v>1392</v>
      </c>
      <c r="D1492" s="19">
        <v>1</v>
      </c>
      <c r="E1492" s="19">
        <v>375</v>
      </c>
      <c r="F1492" s="19">
        <f>E1492*D1492</f>
        <v>375</v>
      </c>
      <c r="G1492" s="19">
        <v>3.585</v>
      </c>
      <c r="H1492" s="19">
        <f>E1492*G1492</f>
        <v>1344.375</v>
      </c>
      <c r="I1492" s="19">
        <f>H1492*D1492</f>
        <v>1344.375</v>
      </c>
      <c r="J1492" s="18">
        <f t="shared" si="356"/>
        <v>75822.75</v>
      </c>
    </row>
    <row r="1493" spans="2:10">
      <c r="B1493" s="81">
        <v>45944</v>
      </c>
      <c r="C1493" s="444" t="s">
        <v>1327</v>
      </c>
      <c r="D1493" s="19">
        <v>9</v>
      </c>
      <c r="E1493" s="19">
        <v>620</v>
      </c>
      <c r="F1493" s="19">
        <f t="shared" si="353"/>
        <v>5580</v>
      </c>
      <c r="G1493" s="19">
        <v>3.585</v>
      </c>
      <c r="H1493" s="19">
        <f t="shared" si="354"/>
        <v>2222.6999999999998</v>
      </c>
      <c r="I1493" s="19">
        <f t="shared" si="355"/>
        <v>20004.3</v>
      </c>
      <c r="J1493" s="18">
        <f t="shared" si="356"/>
        <v>95827.05</v>
      </c>
    </row>
    <row r="1494" spans="2:10">
      <c r="B1494" s="81">
        <v>45944</v>
      </c>
      <c r="C1494" s="444" t="s">
        <v>1271</v>
      </c>
      <c r="D1494" s="19">
        <v>2</v>
      </c>
      <c r="E1494" s="19">
        <v>775</v>
      </c>
      <c r="F1494" s="19">
        <f t="shared" si="353"/>
        <v>1550</v>
      </c>
      <c r="G1494" s="19">
        <v>3.585</v>
      </c>
      <c r="H1494" s="19">
        <f t="shared" si="354"/>
        <v>2778.375</v>
      </c>
      <c r="I1494" s="19">
        <f t="shared" si="355"/>
        <v>5556.75</v>
      </c>
      <c r="J1494" s="18">
        <f t="shared" si="356"/>
        <v>101383.8</v>
      </c>
    </row>
    <row r="1495" spans="2:10">
      <c r="B1495" s="81">
        <v>45944</v>
      </c>
      <c r="C1495" s="444" t="s">
        <v>1301</v>
      </c>
      <c r="D1495" s="19">
        <v>3</v>
      </c>
      <c r="E1495" s="19">
        <v>785</v>
      </c>
      <c r="F1495" s="19">
        <f t="shared" si="353"/>
        <v>2355</v>
      </c>
      <c r="G1495" s="19">
        <v>3.585</v>
      </c>
      <c r="H1495" s="19">
        <f t="shared" si="354"/>
        <v>2814.2249999999999</v>
      </c>
      <c r="I1495" s="19">
        <f t="shared" si="355"/>
        <v>8442.6749999999993</v>
      </c>
      <c r="J1495" s="18">
        <f t="shared" si="356"/>
        <v>109826.47500000001</v>
      </c>
    </row>
    <row r="1496" spans="2:10">
      <c r="B1496" s="81">
        <v>45944</v>
      </c>
      <c r="C1496" s="444" t="s">
        <v>1301</v>
      </c>
      <c r="D1496" s="19">
        <v>1</v>
      </c>
      <c r="E1496" s="19">
        <v>835</v>
      </c>
      <c r="F1496" s="19">
        <f t="shared" si="353"/>
        <v>835</v>
      </c>
      <c r="G1496" s="19">
        <v>3.585</v>
      </c>
      <c r="H1496" s="19">
        <f t="shared" si="354"/>
        <v>2993.4749999999999</v>
      </c>
      <c r="I1496" s="19">
        <f t="shared" si="355"/>
        <v>2993.4749999999999</v>
      </c>
      <c r="J1496" s="18">
        <f t="shared" si="356"/>
        <v>112819.95000000001</v>
      </c>
    </row>
    <row r="1497" spans="2:10">
      <c r="B1497" s="81">
        <v>45944</v>
      </c>
      <c r="C1497" s="444" t="s">
        <v>1271</v>
      </c>
      <c r="D1497" s="19">
        <v>1</v>
      </c>
      <c r="E1497" s="19">
        <v>1100</v>
      </c>
      <c r="F1497" s="19">
        <f t="shared" si="353"/>
        <v>1100</v>
      </c>
      <c r="G1497" s="19">
        <v>3.585</v>
      </c>
      <c r="H1497" s="19">
        <f t="shared" si="354"/>
        <v>3943.5</v>
      </c>
      <c r="I1497" s="19">
        <f t="shared" si="355"/>
        <v>3943.5</v>
      </c>
      <c r="J1497" s="18">
        <f t="shared" si="356"/>
        <v>116763.45000000001</v>
      </c>
    </row>
    <row r="1498" spans="2:10">
      <c r="B1498" s="81">
        <v>45944</v>
      </c>
      <c r="C1498" s="444" t="s">
        <v>1289</v>
      </c>
      <c r="D1498" s="19">
        <v>1</v>
      </c>
      <c r="E1498" s="19">
        <v>1700</v>
      </c>
      <c r="F1498" s="19">
        <f t="shared" ref="F1498:F1507" si="357">E1498*D1498</f>
        <v>1700</v>
      </c>
      <c r="G1498" s="19">
        <v>3.585</v>
      </c>
      <c r="H1498" s="19">
        <f t="shared" ref="H1498:H1507" si="358">E1498*G1498</f>
        <v>6094.5</v>
      </c>
      <c r="I1498" s="19">
        <f t="shared" ref="I1498:I1507" si="359">H1498*D1498</f>
        <v>6094.5</v>
      </c>
      <c r="J1498" s="18">
        <f t="shared" si="356"/>
        <v>122857.95000000001</v>
      </c>
    </row>
    <row r="1499" spans="2:10">
      <c r="B1499" s="81">
        <v>45944</v>
      </c>
      <c r="C1499" s="444" t="s">
        <v>1246</v>
      </c>
      <c r="D1499" s="19">
        <v>1</v>
      </c>
      <c r="E1499" s="19">
        <v>940</v>
      </c>
      <c r="F1499" s="19">
        <f t="shared" si="357"/>
        <v>940</v>
      </c>
      <c r="G1499" s="19">
        <v>3.585</v>
      </c>
      <c r="H1499" s="19">
        <f t="shared" si="358"/>
        <v>3369.9</v>
      </c>
      <c r="I1499" s="19">
        <f t="shared" si="359"/>
        <v>3369.9</v>
      </c>
      <c r="J1499" s="18">
        <f t="shared" si="356"/>
        <v>126227.85</v>
      </c>
    </row>
    <row r="1500" spans="2:10">
      <c r="B1500" s="81">
        <v>45944</v>
      </c>
      <c r="C1500" s="444" t="s">
        <v>1246</v>
      </c>
      <c r="D1500" s="19">
        <v>6</v>
      </c>
      <c r="E1500" s="19">
        <v>960</v>
      </c>
      <c r="F1500" s="19">
        <f t="shared" si="357"/>
        <v>5760</v>
      </c>
      <c r="G1500" s="19">
        <v>3.585</v>
      </c>
      <c r="H1500" s="19">
        <f t="shared" si="358"/>
        <v>3441.6</v>
      </c>
      <c r="I1500" s="19">
        <f t="shared" si="359"/>
        <v>20649.599999999999</v>
      </c>
      <c r="J1500" s="18">
        <f t="shared" si="356"/>
        <v>146877.45000000001</v>
      </c>
    </row>
    <row r="1501" spans="2:10">
      <c r="B1501" s="81">
        <v>45944</v>
      </c>
      <c r="C1501" s="444" t="s">
        <v>1249</v>
      </c>
      <c r="D1501" s="19">
        <v>1</v>
      </c>
      <c r="E1501" s="19">
        <v>1030</v>
      </c>
      <c r="F1501" s="19">
        <f t="shared" si="357"/>
        <v>1030</v>
      </c>
      <c r="G1501" s="19">
        <v>3.585</v>
      </c>
      <c r="H1501" s="19">
        <f t="shared" si="358"/>
        <v>3692.55</v>
      </c>
      <c r="I1501" s="19">
        <f t="shared" si="359"/>
        <v>3692.55</v>
      </c>
      <c r="J1501" s="18">
        <f t="shared" si="356"/>
        <v>150570</v>
      </c>
    </row>
    <row r="1502" spans="2:10">
      <c r="B1502" s="81">
        <v>45944</v>
      </c>
      <c r="C1502" s="444" t="s">
        <v>1249</v>
      </c>
      <c r="D1502" s="19">
        <v>2</v>
      </c>
      <c r="E1502" s="19">
        <v>1000</v>
      </c>
      <c r="F1502" s="19">
        <f t="shared" si="357"/>
        <v>2000</v>
      </c>
      <c r="G1502" s="19">
        <v>3.585</v>
      </c>
      <c r="H1502" s="19">
        <f t="shared" si="358"/>
        <v>3585</v>
      </c>
      <c r="I1502" s="19">
        <f t="shared" si="359"/>
        <v>7170</v>
      </c>
      <c r="J1502" s="18">
        <f t="shared" si="356"/>
        <v>157740</v>
      </c>
    </row>
    <row r="1503" spans="2:10">
      <c r="B1503" s="81">
        <v>45944</v>
      </c>
      <c r="C1503" s="444" t="s">
        <v>1246</v>
      </c>
      <c r="D1503" s="19">
        <v>1</v>
      </c>
      <c r="E1503" s="19">
        <v>940</v>
      </c>
      <c r="F1503" s="19">
        <f t="shared" si="357"/>
        <v>940</v>
      </c>
      <c r="G1503" s="19">
        <v>3.585</v>
      </c>
      <c r="H1503" s="19">
        <f t="shared" si="358"/>
        <v>3369.9</v>
      </c>
      <c r="I1503" s="19">
        <f t="shared" si="359"/>
        <v>3369.9</v>
      </c>
      <c r="J1503" s="18">
        <f t="shared" si="356"/>
        <v>161109.9</v>
      </c>
    </row>
    <row r="1504" spans="2:10">
      <c r="B1504" s="81">
        <v>45944</v>
      </c>
      <c r="C1504" s="442" t="s">
        <v>134</v>
      </c>
      <c r="D1504" s="19">
        <v>4</v>
      </c>
      <c r="E1504" s="19">
        <v>725</v>
      </c>
      <c r="F1504" s="19">
        <f t="shared" si="357"/>
        <v>2900</v>
      </c>
      <c r="G1504" s="19">
        <v>3.585</v>
      </c>
      <c r="H1504" s="19">
        <f t="shared" si="358"/>
        <v>2599.125</v>
      </c>
      <c r="I1504" s="19">
        <f t="shared" si="359"/>
        <v>10396.5</v>
      </c>
      <c r="J1504" s="18">
        <f t="shared" si="356"/>
        <v>171506.4</v>
      </c>
    </row>
    <row r="1505" spans="1:11">
      <c r="B1505" s="81">
        <v>45944</v>
      </c>
      <c r="C1505" s="444" t="s">
        <v>1311</v>
      </c>
      <c r="D1505" s="19">
        <v>1</v>
      </c>
      <c r="E1505" s="19">
        <v>160</v>
      </c>
      <c r="F1505" s="19">
        <f t="shared" si="357"/>
        <v>160</v>
      </c>
      <c r="G1505" s="19">
        <v>3.585</v>
      </c>
      <c r="H1505" s="19">
        <f t="shared" si="358"/>
        <v>573.6</v>
      </c>
      <c r="I1505" s="19">
        <f t="shared" si="359"/>
        <v>573.6</v>
      </c>
      <c r="J1505" s="18">
        <f t="shared" si="356"/>
        <v>172080</v>
      </c>
    </row>
    <row r="1506" spans="1:11">
      <c r="B1506" s="81">
        <v>45944</v>
      </c>
      <c r="C1506" s="80" t="s">
        <v>1096</v>
      </c>
      <c r="D1506" s="19">
        <v>1</v>
      </c>
      <c r="E1506" s="19">
        <v>200</v>
      </c>
      <c r="F1506" s="19">
        <f t="shared" si="357"/>
        <v>200</v>
      </c>
      <c r="G1506" s="19">
        <v>3.585</v>
      </c>
      <c r="H1506" s="19">
        <f t="shared" si="358"/>
        <v>717</v>
      </c>
      <c r="I1506" s="19">
        <f t="shared" si="359"/>
        <v>717</v>
      </c>
      <c r="J1506" s="18">
        <f t="shared" si="356"/>
        <v>172797</v>
      </c>
    </row>
    <row r="1507" spans="1:11">
      <c r="B1507" s="81">
        <v>45944</v>
      </c>
      <c r="C1507" s="80" t="s">
        <v>1096</v>
      </c>
      <c r="D1507" s="19">
        <v>1</v>
      </c>
      <c r="E1507" s="19">
        <v>200</v>
      </c>
      <c r="F1507" s="19">
        <f t="shared" si="357"/>
        <v>200</v>
      </c>
      <c r="G1507" s="19">
        <v>3.585</v>
      </c>
      <c r="H1507" s="19">
        <f t="shared" si="358"/>
        <v>717</v>
      </c>
      <c r="I1507" s="19">
        <f t="shared" si="359"/>
        <v>717</v>
      </c>
      <c r="J1507" s="18">
        <f t="shared" si="356"/>
        <v>173514</v>
      </c>
    </row>
    <row r="1508" spans="1:11">
      <c r="B1508" s="81">
        <v>45944</v>
      </c>
      <c r="C1508" s="442" t="s">
        <v>1387</v>
      </c>
      <c r="D1508" s="19">
        <v>1</v>
      </c>
      <c r="E1508" s="19">
        <v>345</v>
      </c>
      <c r="F1508" s="19">
        <f t="shared" ref="F1508:F1513" si="360">E1508*D1508</f>
        <v>345</v>
      </c>
      <c r="G1508" s="19">
        <v>3.585</v>
      </c>
      <c r="H1508" s="19">
        <f t="shared" ref="H1508:H1513" si="361">E1508*G1508</f>
        <v>1236.825</v>
      </c>
      <c r="I1508" s="19">
        <f t="shared" ref="I1508:I1513" si="362">H1508*D1508</f>
        <v>1236.825</v>
      </c>
      <c r="J1508" s="18">
        <f t="shared" si="356"/>
        <v>174750.82500000001</v>
      </c>
    </row>
    <row r="1509" spans="1:11">
      <c r="B1509" s="81">
        <v>45944</v>
      </c>
      <c r="C1509" s="444" t="s">
        <v>1291</v>
      </c>
      <c r="D1509" s="19">
        <v>1</v>
      </c>
      <c r="E1509" s="19">
        <v>730</v>
      </c>
      <c r="F1509" s="19">
        <f t="shared" si="360"/>
        <v>730</v>
      </c>
      <c r="G1509" s="19">
        <v>3.585</v>
      </c>
      <c r="H1509" s="19">
        <f t="shared" si="361"/>
        <v>2617.0500000000002</v>
      </c>
      <c r="I1509" s="19">
        <f t="shared" si="362"/>
        <v>2617.0500000000002</v>
      </c>
      <c r="J1509" s="18">
        <f t="shared" si="356"/>
        <v>177367.875</v>
      </c>
    </row>
    <row r="1510" spans="1:11">
      <c r="B1510" s="81">
        <v>45944</v>
      </c>
      <c r="C1510" s="80" t="s">
        <v>806</v>
      </c>
      <c r="D1510" s="19">
        <v>1</v>
      </c>
      <c r="E1510" s="19">
        <v>620</v>
      </c>
      <c r="F1510" s="19">
        <f t="shared" si="360"/>
        <v>620</v>
      </c>
      <c r="G1510" s="19">
        <v>3.585</v>
      </c>
      <c r="H1510" s="19">
        <f t="shared" si="361"/>
        <v>2222.6999999999998</v>
      </c>
      <c r="I1510" s="19">
        <f t="shared" si="362"/>
        <v>2222.6999999999998</v>
      </c>
      <c r="J1510" s="18">
        <f t="shared" si="356"/>
        <v>179590.57500000001</v>
      </c>
    </row>
    <row r="1511" spans="1:11">
      <c r="B1511" s="81">
        <v>45944</v>
      </c>
      <c r="C1511" s="230" t="s">
        <v>1148</v>
      </c>
      <c r="D1511" s="19">
        <v>1</v>
      </c>
      <c r="E1511" s="19">
        <v>1250</v>
      </c>
      <c r="F1511" s="19">
        <f t="shared" si="360"/>
        <v>1250</v>
      </c>
      <c r="G1511" s="19">
        <v>3.585</v>
      </c>
      <c r="H1511" s="19">
        <f t="shared" si="361"/>
        <v>4481.25</v>
      </c>
      <c r="I1511" s="19">
        <f t="shared" si="362"/>
        <v>4481.25</v>
      </c>
      <c r="J1511" s="18">
        <f t="shared" si="356"/>
        <v>184071.82500000001</v>
      </c>
    </row>
    <row r="1512" spans="1:11">
      <c r="B1512" s="81">
        <v>45944</v>
      </c>
      <c r="C1512" s="230" t="s">
        <v>1149</v>
      </c>
      <c r="D1512" s="19">
        <v>1</v>
      </c>
      <c r="E1512" s="19">
        <v>2020</v>
      </c>
      <c r="F1512" s="19">
        <f t="shared" si="360"/>
        <v>2020</v>
      </c>
      <c r="G1512" s="19">
        <v>3.585</v>
      </c>
      <c r="H1512" s="19">
        <f t="shared" si="361"/>
        <v>7241.7</v>
      </c>
      <c r="I1512" s="19">
        <f t="shared" si="362"/>
        <v>7241.7</v>
      </c>
      <c r="J1512" s="18">
        <f t="shared" si="356"/>
        <v>191313.52500000002</v>
      </c>
    </row>
    <row r="1513" spans="1:11">
      <c r="B1513" s="81">
        <v>45944</v>
      </c>
      <c r="C1513" s="230" t="s">
        <v>1147</v>
      </c>
      <c r="D1513" s="19">
        <v>1</v>
      </c>
      <c r="E1513" s="19">
        <v>2000</v>
      </c>
      <c r="F1513" s="19">
        <f t="shared" si="360"/>
        <v>2000</v>
      </c>
      <c r="G1513" s="19">
        <v>3.585</v>
      </c>
      <c r="H1513" s="19">
        <f t="shared" si="361"/>
        <v>7170</v>
      </c>
      <c r="I1513" s="19">
        <f t="shared" si="362"/>
        <v>7170</v>
      </c>
      <c r="J1513" s="18">
        <f t="shared" si="356"/>
        <v>198483.52500000002</v>
      </c>
    </row>
    <row r="1517" spans="1:11" ht="21">
      <c r="A1517" t="s">
        <v>125</v>
      </c>
      <c r="B1517" s="1523" t="s">
        <v>376</v>
      </c>
      <c r="C1517" s="1523"/>
      <c r="D1517" s="1523"/>
      <c r="E1517" s="1523"/>
      <c r="F1517" s="1523"/>
      <c r="G1517" s="1523"/>
      <c r="H1517" s="1523"/>
      <c r="I1517" s="1523"/>
      <c r="J1517" s="1523"/>
      <c r="K1517" t="s">
        <v>1487</v>
      </c>
    </row>
    <row r="1518" spans="1:11" ht="18.75">
      <c r="B1518" s="4" t="s">
        <v>1</v>
      </c>
      <c r="C1518" s="4" t="s">
        <v>2</v>
      </c>
      <c r="D1518" s="4" t="s">
        <v>3</v>
      </c>
      <c r="E1518" s="514" t="s">
        <v>132</v>
      </c>
      <c r="F1518" s="514" t="s">
        <v>133</v>
      </c>
      <c r="G1518" s="4" t="s">
        <v>5</v>
      </c>
      <c r="H1518" s="4" t="s">
        <v>6</v>
      </c>
      <c r="I1518" s="4" t="s">
        <v>7</v>
      </c>
      <c r="J1518" s="4"/>
    </row>
    <row r="1519" spans="1:11">
      <c r="B1519" s="81">
        <v>45946</v>
      </c>
      <c r="C1519" s="444" t="s">
        <v>1399</v>
      </c>
      <c r="D1519" s="19">
        <v>1</v>
      </c>
      <c r="E1519" s="19">
        <v>1520</v>
      </c>
      <c r="F1519" s="19">
        <f>E1519*D1519</f>
        <v>1520</v>
      </c>
      <c r="G1519" s="19">
        <v>3.59</v>
      </c>
      <c r="H1519" s="19">
        <f>E1519*G1519</f>
        <v>5456.8</v>
      </c>
      <c r="I1519" s="19">
        <f>H1519*D1519</f>
        <v>5456.8</v>
      </c>
      <c r="J1519" s="18">
        <f>J1518+I1519</f>
        <v>5456.8</v>
      </c>
    </row>
    <row r="1520" spans="1:11">
      <c r="B1520" s="81">
        <v>45946</v>
      </c>
      <c r="C1520" s="444" t="s">
        <v>1246</v>
      </c>
      <c r="D1520" s="19">
        <v>3</v>
      </c>
      <c r="E1520" s="19">
        <v>960</v>
      </c>
      <c r="F1520" s="19">
        <f t="shared" ref="F1520:F1527" si="363">E1520*D1520</f>
        <v>2880</v>
      </c>
      <c r="G1520" s="19">
        <v>3.59</v>
      </c>
      <c r="H1520" s="19">
        <f t="shared" ref="H1520:H1527" si="364">E1520*G1520</f>
        <v>3446.3999999999996</v>
      </c>
      <c r="I1520" s="19">
        <f t="shared" ref="I1520:I1527" si="365">H1520*D1520</f>
        <v>10339.199999999999</v>
      </c>
      <c r="J1520" s="18">
        <f t="shared" ref="J1520:J1527" si="366">J1519+I1520</f>
        <v>15796</v>
      </c>
    </row>
    <row r="1521" spans="2:10">
      <c r="B1521" s="81">
        <v>45946</v>
      </c>
      <c r="C1521" s="516" t="s">
        <v>1290</v>
      </c>
      <c r="D1521" s="19">
        <v>1</v>
      </c>
      <c r="E1521" s="19">
        <v>1100</v>
      </c>
      <c r="F1521" s="19">
        <f t="shared" si="363"/>
        <v>1100</v>
      </c>
      <c r="G1521" s="19">
        <v>3.59</v>
      </c>
      <c r="H1521" s="19">
        <f t="shared" si="364"/>
        <v>3949</v>
      </c>
      <c r="I1521" s="19">
        <f t="shared" si="365"/>
        <v>3949</v>
      </c>
      <c r="J1521" s="18">
        <f t="shared" si="366"/>
        <v>19745</v>
      </c>
    </row>
    <row r="1522" spans="2:10">
      <c r="B1522" s="81">
        <v>45946</v>
      </c>
      <c r="C1522" s="444" t="s">
        <v>1249</v>
      </c>
      <c r="D1522" s="19">
        <v>2</v>
      </c>
      <c r="E1522" s="19">
        <v>1000</v>
      </c>
      <c r="F1522" s="19">
        <f t="shared" si="363"/>
        <v>2000</v>
      </c>
      <c r="G1522" s="19">
        <v>3.59</v>
      </c>
      <c r="H1522" s="19">
        <f t="shared" si="364"/>
        <v>3590</v>
      </c>
      <c r="I1522" s="19">
        <f t="shared" si="365"/>
        <v>7180</v>
      </c>
      <c r="J1522" s="18">
        <f t="shared" si="366"/>
        <v>26925</v>
      </c>
    </row>
    <row r="1523" spans="2:10">
      <c r="B1523" s="81">
        <v>45946</v>
      </c>
      <c r="C1523" s="444" t="s">
        <v>1246</v>
      </c>
      <c r="D1523" s="19">
        <v>3</v>
      </c>
      <c r="E1523" s="19">
        <v>940</v>
      </c>
      <c r="F1523" s="19">
        <f t="shared" si="363"/>
        <v>2820</v>
      </c>
      <c r="G1523" s="19">
        <v>3.59</v>
      </c>
      <c r="H1523" s="19">
        <f t="shared" si="364"/>
        <v>3374.6</v>
      </c>
      <c r="I1523" s="19">
        <f t="shared" si="365"/>
        <v>10123.799999999999</v>
      </c>
      <c r="J1523" s="18">
        <f t="shared" si="366"/>
        <v>37048.800000000003</v>
      </c>
    </row>
    <row r="1524" spans="2:10">
      <c r="B1524" s="81">
        <v>45946</v>
      </c>
      <c r="C1524" s="516" t="s">
        <v>1400</v>
      </c>
      <c r="D1524" s="19">
        <v>1</v>
      </c>
      <c r="E1524" s="19">
        <v>900</v>
      </c>
      <c r="F1524" s="19">
        <f t="shared" si="363"/>
        <v>900</v>
      </c>
      <c r="G1524" s="19">
        <v>3.59</v>
      </c>
      <c r="H1524" s="19">
        <f t="shared" si="364"/>
        <v>3231</v>
      </c>
      <c r="I1524" s="19">
        <f t="shared" si="365"/>
        <v>3231</v>
      </c>
      <c r="J1524" s="18">
        <f t="shared" si="366"/>
        <v>40279.800000000003</v>
      </c>
    </row>
    <row r="1525" spans="2:10">
      <c r="B1525" s="81">
        <v>45946</v>
      </c>
      <c r="C1525" s="516" t="s">
        <v>1301</v>
      </c>
      <c r="D1525" s="19">
        <v>3</v>
      </c>
      <c r="E1525" s="19">
        <v>850</v>
      </c>
      <c r="F1525" s="19">
        <f t="shared" si="363"/>
        <v>2550</v>
      </c>
      <c r="G1525" s="19">
        <v>3.59</v>
      </c>
      <c r="H1525" s="19">
        <f t="shared" si="364"/>
        <v>3051.5</v>
      </c>
      <c r="I1525" s="19">
        <f t="shared" si="365"/>
        <v>9154.5</v>
      </c>
      <c r="J1525" s="18">
        <f t="shared" si="366"/>
        <v>49434.3</v>
      </c>
    </row>
    <row r="1526" spans="2:10">
      <c r="B1526" s="81">
        <v>45946</v>
      </c>
      <c r="C1526" s="516" t="s">
        <v>1271</v>
      </c>
      <c r="D1526" s="19">
        <v>7</v>
      </c>
      <c r="E1526" s="19">
        <v>785</v>
      </c>
      <c r="F1526" s="19">
        <f t="shared" si="363"/>
        <v>5495</v>
      </c>
      <c r="G1526" s="19">
        <v>3.59</v>
      </c>
      <c r="H1526" s="19">
        <f t="shared" si="364"/>
        <v>2818.15</v>
      </c>
      <c r="I1526" s="19">
        <f t="shared" si="365"/>
        <v>19727.05</v>
      </c>
      <c r="J1526" s="18">
        <f t="shared" si="366"/>
        <v>69161.350000000006</v>
      </c>
    </row>
    <row r="1527" spans="2:10">
      <c r="B1527" s="81">
        <v>45946</v>
      </c>
      <c r="C1527" s="516" t="s">
        <v>1401</v>
      </c>
      <c r="D1527" s="19">
        <v>1</v>
      </c>
      <c r="E1527" s="19">
        <v>1100</v>
      </c>
      <c r="F1527" s="19">
        <f t="shared" si="363"/>
        <v>1100</v>
      </c>
      <c r="G1527" s="19">
        <v>3.59</v>
      </c>
      <c r="H1527" s="19">
        <f t="shared" si="364"/>
        <v>3949</v>
      </c>
      <c r="I1527" s="19">
        <f t="shared" si="365"/>
        <v>3949</v>
      </c>
      <c r="J1527" s="18">
        <f t="shared" si="366"/>
        <v>73110.350000000006</v>
      </c>
    </row>
    <row r="1528" spans="2:10">
      <c r="B1528" s="81">
        <v>45946</v>
      </c>
      <c r="C1528" s="516" t="s">
        <v>1400</v>
      </c>
      <c r="D1528" s="19">
        <v>1</v>
      </c>
      <c r="E1528" s="19">
        <v>880</v>
      </c>
      <c r="F1528" s="19">
        <f>E1528*D1528</f>
        <v>880</v>
      </c>
      <c r="G1528" s="19">
        <v>3.59</v>
      </c>
      <c r="H1528" s="19">
        <f t="shared" ref="H1528:H1537" si="367">E1528*G1528</f>
        <v>3159.2</v>
      </c>
      <c r="I1528" s="19">
        <f t="shared" ref="I1528:I1537" si="368">H1528*D1528</f>
        <v>3159.2</v>
      </c>
      <c r="J1528" s="18">
        <f t="shared" ref="J1528:J1537" si="369">J1527+I1528</f>
        <v>76269.55</v>
      </c>
    </row>
    <row r="1529" spans="2:10">
      <c r="B1529" s="81">
        <v>45946</v>
      </c>
      <c r="C1529" s="516" t="s">
        <v>1301</v>
      </c>
      <c r="D1529" s="19">
        <v>3</v>
      </c>
      <c r="E1529" s="19">
        <v>850</v>
      </c>
      <c r="F1529" s="19">
        <f>E1529*D1529</f>
        <v>2550</v>
      </c>
      <c r="G1529" s="19">
        <v>3.59</v>
      </c>
      <c r="H1529" s="19">
        <f t="shared" si="367"/>
        <v>3051.5</v>
      </c>
      <c r="I1529" s="19">
        <f t="shared" si="368"/>
        <v>9154.5</v>
      </c>
      <c r="J1529" s="18">
        <f t="shared" si="369"/>
        <v>85424.05</v>
      </c>
    </row>
    <row r="1530" spans="2:10">
      <c r="B1530" s="81">
        <v>45946</v>
      </c>
      <c r="C1530" s="516" t="s">
        <v>1271</v>
      </c>
      <c r="D1530" s="19">
        <v>4</v>
      </c>
      <c r="E1530" s="19">
        <v>775</v>
      </c>
      <c r="F1530" s="19">
        <f>E1530*D1530</f>
        <v>3100</v>
      </c>
      <c r="G1530" s="19">
        <v>3.59</v>
      </c>
      <c r="H1530" s="19">
        <f t="shared" si="367"/>
        <v>2782.25</v>
      </c>
      <c r="I1530" s="19">
        <f t="shared" si="368"/>
        <v>11129</v>
      </c>
      <c r="J1530" s="18">
        <f t="shared" si="369"/>
        <v>96553.05</v>
      </c>
    </row>
    <row r="1531" spans="2:10">
      <c r="B1531" s="81">
        <v>45946</v>
      </c>
      <c r="C1531" s="80" t="s">
        <v>1402</v>
      </c>
      <c r="D1531" s="19">
        <v>1</v>
      </c>
      <c r="E1531" s="19">
        <v>1150</v>
      </c>
      <c r="F1531" s="19">
        <f>E1531*D1531</f>
        <v>1150</v>
      </c>
      <c r="G1531" s="19">
        <v>3.59</v>
      </c>
      <c r="H1531" s="19">
        <f t="shared" si="367"/>
        <v>4128.5</v>
      </c>
      <c r="I1531" s="19">
        <f t="shared" si="368"/>
        <v>4128.5</v>
      </c>
      <c r="J1531" s="18">
        <f t="shared" si="369"/>
        <v>100681.55</v>
      </c>
    </row>
    <row r="1532" spans="2:10">
      <c r="B1532" s="81">
        <v>45946</v>
      </c>
      <c r="C1532" s="516" t="s">
        <v>1327</v>
      </c>
      <c r="D1532" s="19">
        <v>4</v>
      </c>
      <c r="E1532" s="19">
        <v>630</v>
      </c>
      <c r="F1532" s="19">
        <f>E1532*D1532</f>
        <v>2520</v>
      </c>
      <c r="G1532" s="19">
        <v>3.59</v>
      </c>
      <c r="H1532" s="19">
        <f t="shared" si="367"/>
        <v>2261.6999999999998</v>
      </c>
      <c r="I1532" s="19">
        <f t="shared" si="368"/>
        <v>9046.7999999999993</v>
      </c>
      <c r="J1532" s="18">
        <f t="shared" si="369"/>
        <v>109728.35</v>
      </c>
    </row>
    <row r="1533" spans="2:10">
      <c r="B1533" s="81">
        <v>45946</v>
      </c>
      <c r="C1533" s="517" t="s">
        <v>928</v>
      </c>
      <c r="D1533" s="19">
        <v>1</v>
      </c>
      <c r="E1533" s="19">
        <v>780</v>
      </c>
      <c r="F1533" s="19">
        <f t="shared" ref="F1533:F1550" si="370">E1533*D1533</f>
        <v>780</v>
      </c>
      <c r="G1533" s="19">
        <v>3.59</v>
      </c>
      <c r="H1533" s="19">
        <f t="shared" si="367"/>
        <v>2800.2</v>
      </c>
      <c r="I1533" s="19">
        <f t="shared" si="368"/>
        <v>2800.2</v>
      </c>
      <c r="J1533" s="18">
        <f t="shared" si="369"/>
        <v>112528.55</v>
      </c>
    </row>
    <row r="1534" spans="2:10">
      <c r="B1534" s="81">
        <v>45946</v>
      </c>
      <c r="C1534" s="516" t="s">
        <v>973</v>
      </c>
      <c r="D1534" s="19">
        <v>1</v>
      </c>
      <c r="E1534" s="19">
        <v>720</v>
      </c>
      <c r="F1534" s="19">
        <f t="shared" si="370"/>
        <v>720</v>
      </c>
      <c r="G1534" s="19">
        <v>3.59</v>
      </c>
      <c r="H1534" s="19">
        <f t="shared" si="367"/>
        <v>2584.7999999999997</v>
      </c>
      <c r="I1534" s="19">
        <f t="shared" si="368"/>
        <v>2584.7999999999997</v>
      </c>
      <c r="J1534" s="18">
        <f t="shared" si="369"/>
        <v>115113.35</v>
      </c>
    </row>
    <row r="1535" spans="2:10">
      <c r="B1535" s="81">
        <v>45946</v>
      </c>
      <c r="C1535" s="517" t="s">
        <v>1403</v>
      </c>
      <c r="D1535" s="19">
        <v>1</v>
      </c>
      <c r="E1535" s="19">
        <v>1100</v>
      </c>
      <c r="F1535" s="19">
        <f t="shared" si="370"/>
        <v>1100</v>
      </c>
      <c r="G1535" s="19">
        <v>3.59</v>
      </c>
      <c r="H1535" s="19">
        <f t="shared" si="367"/>
        <v>3949</v>
      </c>
      <c r="I1535" s="19">
        <f t="shared" si="368"/>
        <v>3949</v>
      </c>
      <c r="J1535" s="18">
        <f t="shared" si="369"/>
        <v>119062.35</v>
      </c>
    </row>
    <row r="1536" spans="2:10">
      <c r="B1536" s="81">
        <v>45946</v>
      </c>
      <c r="C1536" s="518" t="s">
        <v>134</v>
      </c>
      <c r="D1536" s="19">
        <v>4</v>
      </c>
      <c r="E1536" s="19">
        <v>710</v>
      </c>
      <c r="F1536" s="19">
        <f t="shared" si="370"/>
        <v>2840</v>
      </c>
      <c r="G1536" s="19">
        <v>3.59</v>
      </c>
      <c r="H1536" s="19">
        <f t="shared" si="367"/>
        <v>2548.9</v>
      </c>
      <c r="I1536" s="19">
        <f t="shared" si="368"/>
        <v>10195.6</v>
      </c>
      <c r="J1536" s="18">
        <f t="shared" si="369"/>
        <v>129257.95000000001</v>
      </c>
    </row>
    <row r="1537" spans="2:10">
      <c r="B1537" s="81">
        <v>45946</v>
      </c>
      <c r="C1537" s="517" t="s">
        <v>928</v>
      </c>
      <c r="D1537" s="19">
        <v>1</v>
      </c>
      <c r="E1537" s="19">
        <v>840</v>
      </c>
      <c r="F1537" s="19">
        <f t="shared" si="370"/>
        <v>840</v>
      </c>
      <c r="G1537" s="19">
        <v>3.59</v>
      </c>
      <c r="H1537" s="19">
        <f t="shared" si="367"/>
        <v>3015.6</v>
      </c>
      <c r="I1537" s="19">
        <f t="shared" si="368"/>
        <v>3015.6</v>
      </c>
      <c r="J1537" s="18">
        <f t="shared" si="369"/>
        <v>132273.55000000002</v>
      </c>
    </row>
    <row r="1538" spans="2:10">
      <c r="B1538" s="81">
        <v>45946</v>
      </c>
      <c r="C1538" s="518" t="s">
        <v>919</v>
      </c>
      <c r="D1538" s="19">
        <v>2</v>
      </c>
      <c r="E1538" s="19">
        <v>1000</v>
      </c>
      <c r="F1538" s="19">
        <f t="shared" si="370"/>
        <v>2000</v>
      </c>
      <c r="G1538" s="19">
        <v>3.59</v>
      </c>
      <c r="H1538" s="19">
        <f t="shared" ref="H1538:H1550" si="371">E1538*G1538</f>
        <v>3590</v>
      </c>
      <c r="I1538" s="19">
        <f t="shared" ref="I1538:I1550" si="372">H1538*D1538</f>
        <v>7180</v>
      </c>
      <c r="J1538" s="18">
        <f t="shared" ref="J1538:J1550" si="373">J1537+I1538</f>
        <v>139453.55000000002</v>
      </c>
    </row>
    <row r="1539" spans="2:10">
      <c r="B1539" s="81">
        <v>45946</v>
      </c>
      <c r="C1539" s="518" t="s">
        <v>919</v>
      </c>
      <c r="D1539" s="19">
        <v>2</v>
      </c>
      <c r="E1539" s="19">
        <v>1030</v>
      </c>
      <c r="F1539" s="19">
        <f t="shared" si="370"/>
        <v>2060</v>
      </c>
      <c r="G1539" s="19">
        <v>3.59</v>
      </c>
      <c r="H1539" s="19">
        <f t="shared" si="371"/>
        <v>3697.7</v>
      </c>
      <c r="I1539" s="19">
        <f t="shared" si="372"/>
        <v>7395.4</v>
      </c>
      <c r="J1539" s="18">
        <f t="shared" si="373"/>
        <v>146848.95000000001</v>
      </c>
    </row>
    <row r="1540" spans="2:10">
      <c r="B1540" s="81">
        <v>45946</v>
      </c>
      <c r="C1540" s="516" t="s">
        <v>1152</v>
      </c>
      <c r="D1540" s="19">
        <v>2</v>
      </c>
      <c r="E1540" s="19">
        <v>610</v>
      </c>
      <c r="F1540" s="19">
        <f t="shared" si="370"/>
        <v>1220</v>
      </c>
      <c r="G1540" s="19">
        <v>3.59</v>
      </c>
      <c r="H1540" s="19">
        <f t="shared" si="371"/>
        <v>2189.9</v>
      </c>
      <c r="I1540" s="19">
        <f t="shared" si="372"/>
        <v>4379.8</v>
      </c>
      <c r="J1540" s="18">
        <f t="shared" si="373"/>
        <v>151228.75</v>
      </c>
    </row>
    <row r="1541" spans="2:10">
      <c r="B1541" s="81">
        <v>45946</v>
      </c>
      <c r="C1541" s="519" t="s">
        <v>1095</v>
      </c>
      <c r="D1541" s="19">
        <v>2</v>
      </c>
      <c r="E1541" s="19">
        <v>290</v>
      </c>
      <c r="F1541" s="19">
        <f t="shared" si="370"/>
        <v>580</v>
      </c>
      <c r="G1541" s="19">
        <v>3.59</v>
      </c>
      <c r="H1541" s="19">
        <f t="shared" si="371"/>
        <v>1041.0999999999999</v>
      </c>
      <c r="I1541" s="19">
        <f t="shared" si="372"/>
        <v>2082.1999999999998</v>
      </c>
      <c r="J1541" s="18">
        <f t="shared" si="373"/>
        <v>153310.95000000001</v>
      </c>
    </row>
    <row r="1542" spans="2:10">
      <c r="B1542" s="81">
        <v>45946</v>
      </c>
      <c r="C1542" s="522" t="s">
        <v>1404</v>
      </c>
      <c r="D1542" s="19">
        <v>3</v>
      </c>
      <c r="E1542" s="19">
        <v>2700</v>
      </c>
      <c r="F1542" s="19">
        <f t="shared" si="370"/>
        <v>8100</v>
      </c>
      <c r="G1542" s="19">
        <v>3.59</v>
      </c>
      <c r="H1542" s="19">
        <f t="shared" si="371"/>
        <v>9693</v>
      </c>
      <c r="I1542" s="19">
        <f t="shared" si="372"/>
        <v>29079</v>
      </c>
      <c r="J1542" s="18">
        <f t="shared" si="373"/>
        <v>182389.95</v>
      </c>
    </row>
    <row r="1543" spans="2:10">
      <c r="B1543" s="81">
        <v>45946</v>
      </c>
      <c r="C1543" s="520" t="s">
        <v>1148</v>
      </c>
      <c r="D1543" s="19">
        <v>1</v>
      </c>
      <c r="E1543" s="19">
        <v>1250</v>
      </c>
      <c r="F1543" s="19">
        <f t="shared" si="370"/>
        <v>1250</v>
      </c>
      <c r="G1543" s="19">
        <v>3.59</v>
      </c>
      <c r="H1543" s="19">
        <f t="shared" si="371"/>
        <v>4487.5</v>
      </c>
      <c r="I1543" s="19">
        <f t="shared" si="372"/>
        <v>4487.5</v>
      </c>
      <c r="J1543" s="18">
        <f t="shared" si="373"/>
        <v>186877.45</v>
      </c>
    </row>
    <row r="1544" spans="2:10">
      <c r="B1544" s="81">
        <v>45946</v>
      </c>
      <c r="C1544" s="522" t="s">
        <v>1405</v>
      </c>
      <c r="D1544" s="19">
        <v>4</v>
      </c>
      <c r="E1544" s="19">
        <v>220</v>
      </c>
      <c r="F1544" s="19">
        <f t="shared" si="370"/>
        <v>880</v>
      </c>
      <c r="G1544" s="19">
        <v>3.59</v>
      </c>
      <c r="H1544" s="19">
        <f t="shared" si="371"/>
        <v>789.8</v>
      </c>
      <c r="I1544" s="19">
        <f t="shared" si="372"/>
        <v>3159.2</v>
      </c>
      <c r="J1544" s="18">
        <f t="shared" si="373"/>
        <v>190036.65000000002</v>
      </c>
    </row>
    <row r="1545" spans="2:10">
      <c r="B1545" s="81">
        <v>45946</v>
      </c>
      <c r="C1545" s="520" t="s">
        <v>1311</v>
      </c>
      <c r="D1545" s="19">
        <v>1</v>
      </c>
      <c r="E1545" s="19">
        <v>160</v>
      </c>
      <c r="F1545" s="19">
        <f t="shared" si="370"/>
        <v>160</v>
      </c>
      <c r="G1545" s="19">
        <v>3.59</v>
      </c>
      <c r="H1545" s="19">
        <f t="shared" si="371"/>
        <v>574.4</v>
      </c>
      <c r="I1545" s="19">
        <f t="shared" si="372"/>
        <v>574.4</v>
      </c>
      <c r="J1545" s="18">
        <f t="shared" si="373"/>
        <v>190611.05000000002</v>
      </c>
    </row>
    <row r="1546" spans="2:10">
      <c r="B1546" s="81">
        <v>45946</v>
      </c>
      <c r="C1546" s="520" t="s">
        <v>1291</v>
      </c>
      <c r="D1546" s="19">
        <v>2</v>
      </c>
      <c r="E1546" s="19">
        <v>730</v>
      </c>
      <c r="F1546" s="19">
        <f t="shared" si="370"/>
        <v>1460</v>
      </c>
      <c r="G1546" s="19">
        <v>3.59</v>
      </c>
      <c r="H1546" s="19">
        <f t="shared" si="371"/>
        <v>2620.6999999999998</v>
      </c>
      <c r="I1546" s="19">
        <f t="shared" si="372"/>
        <v>5241.3999999999996</v>
      </c>
      <c r="J1546" s="18">
        <f t="shared" si="373"/>
        <v>195852.45</v>
      </c>
    </row>
    <row r="1547" spans="2:10">
      <c r="B1547" s="81">
        <v>45946</v>
      </c>
      <c r="C1547" s="520" t="s">
        <v>1334</v>
      </c>
      <c r="D1547" s="19">
        <v>1</v>
      </c>
      <c r="E1547" s="19">
        <v>400</v>
      </c>
      <c r="F1547" s="19">
        <f t="shared" si="370"/>
        <v>400</v>
      </c>
      <c r="G1547" s="19">
        <v>3.59</v>
      </c>
      <c r="H1547" s="19">
        <f t="shared" si="371"/>
        <v>1436</v>
      </c>
      <c r="I1547" s="19">
        <f t="shared" si="372"/>
        <v>1436</v>
      </c>
      <c r="J1547" s="18">
        <f t="shared" si="373"/>
        <v>197288.45</v>
      </c>
    </row>
    <row r="1548" spans="2:10">
      <c r="B1548" s="81">
        <v>45946</v>
      </c>
      <c r="C1548" s="522" t="s">
        <v>1406</v>
      </c>
      <c r="D1548" s="19">
        <v>1</v>
      </c>
      <c r="E1548" s="19">
        <v>100</v>
      </c>
      <c r="F1548" s="19">
        <f t="shared" si="370"/>
        <v>100</v>
      </c>
      <c r="G1548" s="19">
        <v>3.59</v>
      </c>
      <c r="H1548" s="19">
        <f t="shared" si="371"/>
        <v>359</v>
      </c>
      <c r="I1548" s="19">
        <f t="shared" si="372"/>
        <v>359</v>
      </c>
      <c r="J1548" s="18">
        <f t="shared" si="373"/>
        <v>197647.45</v>
      </c>
    </row>
    <row r="1549" spans="2:10">
      <c r="B1549" s="81">
        <v>45946</v>
      </c>
      <c r="C1549" s="517" t="s">
        <v>131</v>
      </c>
      <c r="D1549" s="19">
        <v>3</v>
      </c>
      <c r="E1549" s="19">
        <v>425</v>
      </c>
      <c r="F1549" s="19">
        <f t="shared" si="370"/>
        <v>1275</v>
      </c>
      <c r="G1549" s="19">
        <v>3.59</v>
      </c>
      <c r="H1549" s="19">
        <f t="shared" si="371"/>
        <v>1525.75</v>
      </c>
      <c r="I1549" s="19">
        <f t="shared" si="372"/>
        <v>4577.25</v>
      </c>
      <c r="J1549" s="18">
        <f t="shared" si="373"/>
        <v>202224.7</v>
      </c>
    </row>
    <row r="1550" spans="2:10">
      <c r="B1550" s="81">
        <v>45946</v>
      </c>
      <c r="C1550" s="521" t="s">
        <v>960</v>
      </c>
      <c r="D1550" s="19">
        <v>14</v>
      </c>
      <c r="E1550" s="19">
        <v>410</v>
      </c>
      <c r="F1550" s="19">
        <f t="shared" si="370"/>
        <v>5740</v>
      </c>
      <c r="G1550" s="19">
        <v>3.59</v>
      </c>
      <c r="H1550" s="19">
        <f t="shared" si="371"/>
        <v>1471.8999999999999</v>
      </c>
      <c r="I1550" s="19">
        <f t="shared" si="372"/>
        <v>20606.599999999999</v>
      </c>
      <c r="J1550" s="18">
        <f t="shared" si="373"/>
        <v>222831.30000000002</v>
      </c>
    </row>
    <row r="1554" spans="1:10" ht="21">
      <c r="A1554" t="s">
        <v>125</v>
      </c>
      <c r="B1554" s="1520" t="s">
        <v>1228</v>
      </c>
      <c r="C1554" s="1520"/>
      <c r="D1554" s="1520"/>
      <c r="E1554" s="1520"/>
      <c r="F1554" s="1520"/>
      <c r="G1554" s="1520"/>
      <c r="H1554" s="1520"/>
      <c r="I1554" s="1520"/>
      <c r="J1554" s="1520"/>
    </row>
    <row r="1555" spans="1:10" ht="18.75">
      <c r="B1555" s="4" t="s">
        <v>1</v>
      </c>
      <c r="C1555" s="4" t="s">
        <v>2</v>
      </c>
      <c r="D1555" s="4" t="s">
        <v>3</v>
      </c>
      <c r="E1555" s="514" t="s">
        <v>132</v>
      </c>
      <c r="F1555" s="514" t="s">
        <v>133</v>
      </c>
      <c r="G1555" s="4" t="s">
        <v>5</v>
      </c>
      <c r="H1555" s="4" t="s">
        <v>6</v>
      </c>
      <c r="I1555" s="4" t="s">
        <v>7</v>
      </c>
      <c r="J1555" s="4"/>
    </row>
    <row r="1556" spans="1:10">
      <c r="B1556" s="81">
        <v>45948</v>
      </c>
      <c r="C1556" s="18" t="s">
        <v>1412</v>
      </c>
      <c r="D1556" s="19">
        <v>1</v>
      </c>
      <c r="E1556" s="19">
        <v>875</v>
      </c>
      <c r="F1556" s="19">
        <f>E1556*D1556</f>
        <v>875</v>
      </c>
      <c r="G1556" s="19">
        <v>3.59</v>
      </c>
      <c r="H1556" s="19">
        <f>E1556*G1556</f>
        <v>3141.25</v>
      </c>
      <c r="I1556" s="19">
        <f>H1556*D1556</f>
        <v>3141.25</v>
      </c>
      <c r="J1556" s="18">
        <f>J1555+I1556</f>
        <v>3141.25</v>
      </c>
    </row>
    <row r="1557" spans="1:10">
      <c r="B1557" s="81">
        <v>45948</v>
      </c>
      <c r="C1557" s="18" t="s">
        <v>1413</v>
      </c>
      <c r="D1557" s="19">
        <v>2</v>
      </c>
      <c r="E1557" s="19">
        <v>1000</v>
      </c>
      <c r="F1557" s="19">
        <f t="shared" ref="F1557:F1564" si="374">E1557*D1557</f>
        <v>2000</v>
      </c>
      <c r="G1557" s="19">
        <v>3.59</v>
      </c>
      <c r="H1557" s="19">
        <f t="shared" ref="H1557:H1564" si="375">E1557*G1557</f>
        <v>3590</v>
      </c>
      <c r="I1557" s="19">
        <f t="shared" ref="I1557:I1564" si="376">H1557*D1557</f>
        <v>7180</v>
      </c>
      <c r="J1557" s="18">
        <f t="shared" ref="J1557:J1564" si="377">J1556+I1557</f>
        <v>10321.25</v>
      </c>
    </row>
    <row r="1558" spans="1:10">
      <c r="B1558" s="81">
        <v>45948</v>
      </c>
      <c r="C1558" s="18" t="s">
        <v>1414</v>
      </c>
      <c r="D1558" s="19">
        <v>2</v>
      </c>
      <c r="E1558" s="19">
        <v>835</v>
      </c>
      <c r="F1558" s="19">
        <f t="shared" si="374"/>
        <v>1670</v>
      </c>
      <c r="G1558" s="19">
        <v>3.59</v>
      </c>
      <c r="H1558" s="19">
        <f t="shared" si="375"/>
        <v>2997.65</v>
      </c>
      <c r="I1558" s="19">
        <f t="shared" si="376"/>
        <v>5995.3</v>
      </c>
      <c r="J1558" s="18">
        <f t="shared" si="377"/>
        <v>16316.55</v>
      </c>
    </row>
    <row r="1559" spans="1:10">
      <c r="B1559" s="81">
        <v>45948</v>
      </c>
      <c r="C1559" s="18" t="s">
        <v>1415</v>
      </c>
      <c r="D1559" s="19">
        <v>1</v>
      </c>
      <c r="E1559" s="19">
        <v>1025</v>
      </c>
      <c r="F1559" s="19">
        <f t="shared" si="374"/>
        <v>1025</v>
      </c>
      <c r="G1559" s="19">
        <v>3.59</v>
      </c>
      <c r="H1559" s="19">
        <f t="shared" si="375"/>
        <v>3679.75</v>
      </c>
      <c r="I1559" s="19">
        <f t="shared" si="376"/>
        <v>3679.75</v>
      </c>
      <c r="J1559" s="18">
        <f t="shared" si="377"/>
        <v>19996.3</v>
      </c>
    </row>
    <row r="1560" spans="1:10">
      <c r="B1560" s="81">
        <v>45948</v>
      </c>
      <c r="C1560" s="18" t="s">
        <v>1416</v>
      </c>
      <c r="D1560" s="19">
        <v>9</v>
      </c>
      <c r="E1560" s="19">
        <v>785</v>
      </c>
      <c r="F1560" s="19">
        <f t="shared" si="374"/>
        <v>7065</v>
      </c>
      <c r="G1560" s="19">
        <v>3.59</v>
      </c>
      <c r="H1560" s="19">
        <f t="shared" si="375"/>
        <v>2818.15</v>
      </c>
      <c r="I1560" s="19">
        <f t="shared" si="376"/>
        <v>25363.350000000002</v>
      </c>
      <c r="J1560" s="18">
        <f t="shared" si="377"/>
        <v>45359.65</v>
      </c>
    </row>
    <row r="1561" spans="1:10">
      <c r="B1561" s="81">
        <v>45948</v>
      </c>
      <c r="C1561" s="18" t="s">
        <v>1414</v>
      </c>
      <c r="D1561" s="19">
        <v>1</v>
      </c>
      <c r="E1561" s="19">
        <v>835</v>
      </c>
      <c r="F1561" s="19">
        <f t="shared" si="374"/>
        <v>835</v>
      </c>
      <c r="G1561" s="19">
        <v>3.59</v>
      </c>
      <c r="H1561" s="19">
        <f t="shared" si="375"/>
        <v>2997.65</v>
      </c>
      <c r="I1561" s="19">
        <f t="shared" si="376"/>
        <v>2997.65</v>
      </c>
      <c r="J1561" s="18">
        <f t="shared" si="377"/>
        <v>48357.3</v>
      </c>
    </row>
    <row r="1562" spans="1:10">
      <c r="B1562" s="81">
        <v>45948</v>
      </c>
      <c r="C1562" s="18" t="s">
        <v>1417</v>
      </c>
      <c r="D1562" s="19">
        <v>1</v>
      </c>
      <c r="E1562" s="19">
        <v>540</v>
      </c>
      <c r="F1562" s="19">
        <f t="shared" si="374"/>
        <v>540</v>
      </c>
      <c r="G1562" s="19">
        <v>3.59</v>
      </c>
      <c r="H1562" s="19">
        <f t="shared" si="375"/>
        <v>1938.6</v>
      </c>
      <c r="I1562" s="19">
        <f t="shared" si="376"/>
        <v>1938.6</v>
      </c>
      <c r="J1562" s="18">
        <f t="shared" si="377"/>
        <v>50295.9</v>
      </c>
    </row>
    <row r="1563" spans="1:10">
      <c r="B1563" s="81">
        <v>45948</v>
      </c>
      <c r="C1563" s="18" t="s">
        <v>1417</v>
      </c>
      <c r="D1563" s="19">
        <v>1</v>
      </c>
      <c r="E1563" s="19">
        <v>540</v>
      </c>
      <c r="F1563" s="19">
        <f t="shared" si="374"/>
        <v>540</v>
      </c>
      <c r="G1563" s="19">
        <v>3.59</v>
      </c>
      <c r="H1563" s="19">
        <f t="shared" si="375"/>
        <v>1938.6</v>
      </c>
      <c r="I1563" s="19">
        <f t="shared" si="376"/>
        <v>1938.6</v>
      </c>
      <c r="J1563" s="18">
        <f t="shared" si="377"/>
        <v>52234.5</v>
      </c>
    </row>
    <row r="1564" spans="1:10">
      <c r="B1564" s="81">
        <v>45948</v>
      </c>
      <c r="C1564" s="18" t="s">
        <v>1418</v>
      </c>
      <c r="D1564" s="19">
        <v>1</v>
      </c>
      <c r="E1564" s="19">
        <v>540</v>
      </c>
      <c r="F1564" s="19">
        <f t="shared" si="374"/>
        <v>540</v>
      </c>
      <c r="G1564" s="19">
        <v>3.59</v>
      </c>
      <c r="H1564" s="19">
        <f t="shared" si="375"/>
        <v>1938.6</v>
      </c>
      <c r="I1564" s="19">
        <f t="shared" si="376"/>
        <v>1938.6</v>
      </c>
      <c r="J1564" s="18">
        <f t="shared" si="377"/>
        <v>54173.1</v>
      </c>
    </row>
    <row r="1565" spans="1:10">
      <c r="B1565" s="81">
        <v>45948</v>
      </c>
      <c r="C1565" s="321" t="s">
        <v>1419</v>
      </c>
      <c r="D1565" s="19">
        <v>1</v>
      </c>
      <c r="E1565" s="19">
        <v>690</v>
      </c>
      <c r="F1565" s="19">
        <f t="shared" ref="F1565:F1570" si="378">E1565*D1565</f>
        <v>690</v>
      </c>
      <c r="G1565" s="19">
        <v>3.59</v>
      </c>
      <c r="H1565" s="19">
        <f t="shared" ref="H1565:H1570" si="379">E1565*G1565</f>
        <v>2477.1</v>
      </c>
      <c r="I1565" s="19">
        <f t="shared" ref="I1565:I1570" si="380">H1565*D1565</f>
        <v>2477.1</v>
      </c>
      <c r="J1565" s="18">
        <f t="shared" ref="J1565:J1570" si="381">J1564+I1565</f>
        <v>56650.2</v>
      </c>
    </row>
    <row r="1566" spans="1:10">
      <c r="B1566" s="81">
        <v>45948</v>
      </c>
      <c r="C1566" s="321" t="s">
        <v>1420</v>
      </c>
      <c r="D1566" s="19">
        <v>2</v>
      </c>
      <c r="E1566" s="19">
        <v>700</v>
      </c>
      <c r="F1566" s="19">
        <f t="shared" si="378"/>
        <v>1400</v>
      </c>
      <c r="G1566" s="19">
        <v>3.59</v>
      </c>
      <c r="H1566" s="19">
        <f t="shared" si="379"/>
        <v>2513</v>
      </c>
      <c r="I1566" s="19">
        <f t="shared" si="380"/>
        <v>5026</v>
      </c>
      <c r="J1566" s="18">
        <f t="shared" si="381"/>
        <v>61676.2</v>
      </c>
    </row>
    <row r="1567" spans="1:10">
      <c r="B1567" s="81">
        <v>45948</v>
      </c>
      <c r="C1567" s="18" t="s">
        <v>1421</v>
      </c>
      <c r="D1567" s="19">
        <v>3</v>
      </c>
      <c r="E1567" s="19">
        <v>690</v>
      </c>
      <c r="F1567" s="19">
        <f t="shared" si="378"/>
        <v>2070</v>
      </c>
      <c r="G1567" s="19">
        <v>3.59</v>
      </c>
      <c r="H1567" s="19">
        <f t="shared" si="379"/>
        <v>2477.1</v>
      </c>
      <c r="I1567" s="19">
        <f t="shared" si="380"/>
        <v>7431.2999999999993</v>
      </c>
      <c r="J1567" s="18">
        <f t="shared" si="381"/>
        <v>69107.5</v>
      </c>
    </row>
    <row r="1568" spans="1:10">
      <c r="B1568" s="81">
        <v>45948</v>
      </c>
      <c r="C1568" s="18" t="s">
        <v>1422</v>
      </c>
      <c r="D1568" s="19">
        <v>3</v>
      </c>
      <c r="E1568" s="19">
        <v>620</v>
      </c>
      <c r="F1568" s="19">
        <f t="shared" si="378"/>
        <v>1860</v>
      </c>
      <c r="G1568" s="19">
        <v>3.59</v>
      </c>
      <c r="H1568" s="19">
        <f t="shared" si="379"/>
        <v>2225.7999999999997</v>
      </c>
      <c r="I1568" s="19">
        <f t="shared" si="380"/>
        <v>6677.4</v>
      </c>
      <c r="J1568" s="18">
        <f t="shared" si="381"/>
        <v>75784.899999999994</v>
      </c>
    </row>
    <row r="1569" spans="1:11">
      <c r="B1569" s="81">
        <v>45948</v>
      </c>
      <c r="C1569" s="18" t="s">
        <v>1418</v>
      </c>
      <c r="D1569" s="19">
        <v>1</v>
      </c>
      <c r="E1569" s="19">
        <v>540</v>
      </c>
      <c r="F1569" s="19">
        <f t="shared" si="378"/>
        <v>540</v>
      </c>
      <c r="G1569" s="19">
        <v>3.59</v>
      </c>
      <c r="H1569" s="19">
        <f t="shared" si="379"/>
        <v>1938.6</v>
      </c>
      <c r="I1569" s="19">
        <f t="shared" si="380"/>
        <v>1938.6</v>
      </c>
      <c r="J1569" s="18">
        <f t="shared" si="381"/>
        <v>77723.5</v>
      </c>
    </row>
    <row r="1570" spans="1:11">
      <c r="B1570" s="81">
        <v>45948</v>
      </c>
      <c r="C1570" s="18" t="s">
        <v>1423</v>
      </c>
      <c r="D1570" s="19">
        <v>4</v>
      </c>
      <c r="E1570" s="19">
        <v>620</v>
      </c>
      <c r="F1570" s="19">
        <f t="shared" si="378"/>
        <v>2480</v>
      </c>
      <c r="G1570" s="19">
        <v>3.59</v>
      </c>
      <c r="H1570" s="19">
        <f t="shared" si="379"/>
        <v>2225.7999999999997</v>
      </c>
      <c r="I1570" s="19">
        <f t="shared" si="380"/>
        <v>8903.1999999999989</v>
      </c>
      <c r="J1570" s="18">
        <f t="shared" si="381"/>
        <v>86626.7</v>
      </c>
    </row>
    <row r="1571" spans="1:11">
      <c r="B1571" s="81">
        <v>45948</v>
      </c>
      <c r="C1571" s="18" t="s">
        <v>1424</v>
      </c>
      <c r="D1571" s="19">
        <v>5</v>
      </c>
      <c r="E1571" s="19">
        <v>390</v>
      </c>
      <c r="F1571" s="19">
        <f t="shared" ref="F1571:F1577" si="382">E1571*D1571</f>
        <v>1950</v>
      </c>
      <c r="G1571" s="19">
        <v>3.59</v>
      </c>
      <c r="H1571" s="19">
        <f t="shared" ref="H1571:H1577" si="383">E1571*G1571</f>
        <v>1400.1</v>
      </c>
      <c r="I1571" s="19">
        <f t="shared" ref="I1571:I1577" si="384">H1571*D1571</f>
        <v>7000.5</v>
      </c>
      <c r="J1571" s="18">
        <f t="shared" ref="J1571:J1577" si="385">J1570+I1571</f>
        <v>93627.199999999997</v>
      </c>
    </row>
    <row r="1572" spans="1:11">
      <c r="B1572" s="81">
        <v>45948</v>
      </c>
      <c r="C1572" s="18" t="s">
        <v>1425</v>
      </c>
      <c r="D1572" s="19">
        <v>3</v>
      </c>
      <c r="E1572" s="19">
        <v>540</v>
      </c>
      <c r="F1572" s="19">
        <f t="shared" si="382"/>
        <v>1620</v>
      </c>
      <c r="G1572" s="19">
        <v>3.59</v>
      </c>
      <c r="H1572" s="19">
        <f t="shared" si="383"/>
        <v>1938.6</v>
      </c>
      <c r="I1572" s="19">
        <f t="shared" si="384"/>
        <v>5815.7999999999993</v>
      </c>
      <c r="J1572" s="18">
        <f t="shared" si="385"/>
        <v>99443</v>
      </c>
    </row>
    <row r="1573" spans="1:11">
      <c r="B1573" s="81">
        <v>45948</v>
      </c>
      <c r="C1573" s="230" t="s">
        <v>1426</v>
      </c>
      <c r="D1573" s="524">
        <v>1</v>
      </c>
      <c r="E1573" s="524">
        <v>710</v>
      </c>
      <c r="F1573" s="19">
        <f t="shared" si="382"/>
        <v>710</v>
      </c>
      <c r="G1573" s="19">
        <v>3.59</v>
      </c>
      <c r="H1573" s="19">
        <f t="shared" si="383"/>
        <v>2548.9</v>
      </c>
      <c r="I1573" s="19">
        <f t="shared" si="384"/>
        <v>2548.9</v>
      </c>
      <c r="J1573" s="18">
        <f t="shared" si="385"/>
        <v>101991.9</v>
      </c>
    </row>
    <row r="1574" spans="1:11">
      <c r="B1574" s="81">
        <v>45948</v>
      </c>
      <c r="C1574" s="230" t="s">
        <v>1427</v>
      </c>
      <c r="D1574" s="524">
        <v>1</v>
      </c>
      <c r="E1574" s="524">
        <v>825</v>
      </c>
      <c r="F1574" s="19">
        <f t="shared" si="382"/>
        <v>825</v>
      </c>
      <c r="G1574" s="19">
        <v>3.59</v>
      </c>
      <c r="H1574" s="19">
        <f t="shared" si="383"/>
        <v>2961.75</v>
      </c>
      <c r="I1574" s="19">
        <f t="shared" si="384"/>
        <v>2961.75</v>
      </c>
      <c r="J1574" s="18">
        <f t="shared" si="385"/>
        <v>104953.65</v>
      </c>
    </row>
    <row r="1575" spans="1:11">
      <c r="B1575" s="81">
        <v>45948</v>
      </c>
      <c r="C1575" s="18" t="s">
        <v>1428</v>
      </c>
      <c r="D1575" s="19">
        <v>2</v>
      </c>
      <c r="E1575" s="19">
        <v>300</v>
      </c>
      <c r="F1575" s="19">
        <f t="shared" si="382"/>
        <v>600</v>
      </c>
      <c r="G1575" s="19">
        <v>3.59</v>
      </c>
      <c r="H1575" s="19">
        <f t="shared" si="383"/>
        <v>1077</v>
      </c>
      <c r="I1575" s="19">
        <f t="shared" si="384"/>
        <v>2154</v>
      </c>
      <c r="J1575" s="18">
        <f t="shared" si="385"/>
        <v>107107.65</v>
      </c>
    </row>
    <row r="1576" spans="1:11">
      <c r="B1576" s="81">
        <v>45948</v>
      </c>
      <c r="C1576" s="523" t="s">
        <v>1429</v>
      </c>
      <c r="D1576" s="19">
        <v>1</v>
      </c>
      <c r="E1576" s="19">
        <v>960</v>
      </c>
      <c r="F1576" s="19">
        <f t="shared" si="382"/>
        <v>960</v>
      </c>
      <c r="G1576" s="19">
        <v>3.59</v>
      </c>
      <c r="H1576" s="19">
        <f t="shared" si="383"/>
        <v>3446.3999999999996</v>
      </c>
      <c r="I1576" s="19">
        <f t="shared" si="384"/>
        <v>3446.3999999999996</v>
      </c>
      <c r="J1576" s="18">
        <f t="shared" si="385"/>
        <v>110554.04999999999</v>
      </c>
    </row>
    <row r="1577" spans="1:11">
      <c r="B1577" s="81">
        <v>45948</v>
      </c>
      <c r="C1577" s="18" t="s">
        <v>1430</v>
      </c>
      <c r="D1577" s="19">
        <v>4</v>
      </c>
      <c r="E1577" s="19">
        <v>215</v>
      </c>
      <c r="F1577" s="19">
        <f t="shared" si="382"/>
        <v>860</v>
      </c>
      <c r="G1577" s="19">
        <v>3.59</v>
      </c>
      <c r="H1577" s="19">
        <f t="shared" si="383"/>
        <v>771.85</v>
      </c>
      <c r="I1577" s="19">
        <f t="shared" si="384"/>
        <v>3087.4</v>
      </c>
      <c r="J1577" s="18">
        <f t="shared" si="385"/>
        <v>113641.44999999998</v>
      </c>
    </row>
    <row r="1578" spans="1:11">
      <c r="C1578" s="95"/>
    </row>
    <row r="1581" spans="1:11" ht="21">
      <c r="A1581" t="s">
        <v>125</v>
      </c>
      <c r="B1581" s="1523" t="s">
        <v>376</v>
      </c>
      <c r="C1581" s="1523"/>
      <c r="D1581" s="1523"/>
      <c r="E1581" s="1523"/>
      <c r="F1581" s="1523"/>
      <c r="G1581" s="1523"/>
      <c r="H1581" s="1523"/>
      <c r="I1581" s="1523"/>
      <c r="J1581" s="1523"/>
      <c r="K1581" t="s">
        <v>1488</v>
      </c>
    </row>
    <row r="1582" spans="1:11" ht="18.75">
      <c r="B1582" s="4" t="s">
        <v>1</v>
      </c>
      <c r="C1582" s="4" t="s">
        <v>2</v>
      </c>
      <c r="D1582" s="4" t="s">
        <v>3</v>
      </c>
      <c r="E1582" s="514" t="s">
        <v>132</v>
      </c>
      <c r="F1582" s="514" t="s">
        <v>133</v>
      </c>
      <c r="G1582" s="4" t="s">
        <v>5</v>
      </c>
      <c r="H1582" s="4" t="s">
        <v>6</v>
      </c>
      <c r="I1582" s="4" t="s">
        <v>7</v>
      </c>
      <c r="J1582" s="4"/>
    </row>
    <row r="1583" spans="1:11">
      <c r="B1583" s="81">
        <v>45948</v>
      </c>
      <c r="C1583" s="18" t="s">
        <v>1435</v>
      </c>
      <c r="D1583" s="19">
        <v>1</v>
      </c>
      <c r="E1583" s="19">
        <v>960</v>
      </c>
      <c r="F1583" s="19">
        <f>E1583*D1583</f>
        <v>960</v>
      </c>
      <c r="G1583" s="19">
        <v>3.59</v>
      </c>
      <c r="H1583" s="19">
        <f>E1583*G1583</f>
        <v>3446.3999999999996</v>
      </c>
      <c r="I1583" s="19">
        <f>H1583*D1583</f>
        <v>3446.3999999999996</v>
      </c>
      <c r="J1583" s="18">
        <f>J1582+I1583</f>
        <v>3446.3999999999996</v>
      </c>
    </row>
    <row r="1584" spans="1:11">
      <c r="B1584" s="81">
        <v>45948</v>
      </c>
      <c r="C1584" s="18" t="s">
        <v>1436</v>
      </c>
      <c r="D1584" s="19">
        <v>1</v>
      </c>
      <c r="E1584" s="19">
        <v>1360</v>
      </c>
      <c r="F1584" s="19">
        <f t="shared" ref="F1584:F1591" si="386">E1584*D1584</f>
        <v>1360</v>
      </c>
      <c r="G1584" s="19">
        <v>3.59</v>
      </c>
      <c r="H1584" s="19">
        <f t="shared" ref="H1584:H1591" si="387">E1584*G1584</f>
        <v>4882.3999999999996</v>
      </c>
      <c r="I1584" s="19">
        <f t="shared" ref="I1584:I1591" si="388">H1584*D1584</f>
        <v>4882.3999999999996</v>
      </c>
      <c r="J1584" s="18">
        <f t="shared" ref="J1584:J1591" si="389">J1583+I1584</f>
        <v>8328.7999999999993</v>
      </c>
    </row>
    <row r="1585" spans="2:10">
      <c r="B1585" s="81">
        <v>45948</v>
      </c>
      <c r="C1585" s="18" t="s">
        <v>1437</v>
      </c>
      <c r="D1585" s="19">
        <v>3</v>
      </c>
      <c r="E1585" s="19">
        <v>1050</v>
      </c>
      <c r="F1585" s="19">
        <f t="shared" si="386"/>
        <v>3150</v>
      </c>
      <c r="G1585" s="19">
        <v>3.59</v>
      </c>
      <c r="H1585" s="19">
        <f t="shared" si="387"/>
        <v>3769.5</v>
      </c>
      <c r="I1585" s="19">
        <f t="shared" si="388"/>
        <v>11308.5</v>
      </c>
      <c r="J1585" s="18">
        <f t="shared" si="389"/>
        <v>19637.3</v>
      </c>
    </row>
    <row r="1586" spans="2:10">
      <c r="B1586" s="81">
        <v>45948</v>
      </c>
      <c r="C1586" s="18" t="s">
        <v>1438</v>
      </c>
      <c r="D1586" s="19">
        <v>5</v>
      </c>
      <c r="E1586" s="19">
        <v>940</v>
      </c>
      <c r="F1586" s="19">
        <f t="shared" si="386"/>
        <v>4700</v>
      </c>
      <c r="G1586" s="19">
        <v>3.59</v>
      </c>
      <c r="H1586" s="19">
        <f t="shared" si="387"/>
        <v>3374.6</v>
      </c>
      <c r="I1586" s="19">
        <f t="shared" si="388"/>
        <v>16873</v>
      </c>
      <c r="J1586" s="18">
        <f t="shared" si="389"/>
        <v>36510.300000000003</v>
      </c>
    </row>
    <row r="1587" spans="2:10">
      <c r="B1587" s="81">
        <v>45948</v>
      </c>
      <c r="C1587" s="18" t="s">
        <v>1439</v>
      </c>
      <c r="D1587" s="19">
        <v>2</v>
      </c>
      <c r="E1587" s="19">
        <v>1015</v>
      </c>
      <c r="F1587" s="19">
        <f t="shared" si="386"/>
        <v>2030</v>
      </c>
      <c r="G1587" s="19">
        <v>3.59</v>
      </c>
      <c r="H1587" s="19">
        <f t="shared" si="387"/>
        <v>3643.85</v>
      </c>
      <c r="I1587" s="19">
        <f t="shared" si="388"/>
        <v>7287.7</v>
      </c>
      <c r="J1587" s="18">
        <f t="shared" si="389"/>
        <v>43798</v>
      </c>
    </row>
    <row r="1588" spans="2:10">
      <c r="B1588" s="81">
        <v>45948</v>
      </c>
      <c r="C1588" s="18" t="s">
        <v>1440</v>
      </c>
      <c r="D1588" s="19">
        <v>1</v>
      </c>
      <c r="E1588" s="19">
        <v>1520</v>
      </c>
      <c r="F1588" s="19">
        <f t="shared" si="386"/>
        <v>1520</v>
      </c>
      <c r="G1588" s="19">
        <v>3.59</v>
      </c>
      <c r="H1588" s="19">
        <f t="shared" si="387"/>
        <v>5456.8</v>
      </c>
      <c r="I1588" s="19">
        <f t="shared" si="388"/>
        <v>5456.8</v>
      </c>
      <c r="J1588" s="18">
        <f t="shared" si="389"/>
        <v>49254.8</v>
      </c>
    </row>
    <row r="1589" spans="2:10">
      <c r="B1589" s="81">
        <v>45948</v>
      </c>
      <c r="C1589" s="18" t="s">
        <v>1441</v>
      </c>
      <c r="D1589" s="19">
        <v>3</v>
      </c>
      <c r="E1589" s="19">
        <v>940</v>
      </c>
      <c r="F1589" s="19">
        <f t="shared" si="386"/>
        <v>2820</v>
      </c>
      <c r="G1589" s="19">
        <v>3.59</v>
      </c>
      <c r="H1589" s="19">
        <f t="shared" si="387"/>
        <v>3374.6</v>
      </c>
      <c r="I1589" s="19">
        <f t="shared" si="388"/>
        <v>10123.799999999999</v>
      </c>
      <c r="J1589" s="18">
        <f t="shared" si="389"/>
        <v>59378.600000000006</v>
      </c>
    </row>
    <row r="1590" spans="2:10">
      <c r="B1590" s="81">
        <v>45948</v>
      </c>
      <c r="C1590" s="18" t="s">
        <v>1443</v>
      </c>
      <c r="D1590" s="19">
        <v>1</v>
      </c>
      <c r="E1590" s="19">
        <v>1100</v>
      </c>
      <c r="F1590" s="19">
        <f t="shared" si="386"/>
        <v>1100</v>
      </c>
      <c r="G1590" s="19">
        <v>3.59</v>
      </c>
      <c r="H1590" s="19">
        <f t="shared" si="387"/>
        <v>3949</v>
      </c>
      <c r="I1590" s="19">
        <f t="shared" si="388"/>
        <v>3949</v>
      </c>
      <c r="J1590" s="18">
        <f t="shared" si="389"/>
        <v>63327.600000000006</v>
      </c>
    </row>
    <row r="1591" spans="2:10">
      <c r="B1591" s="81">
        <v>45948</v>
      </c>
      <c r="C1591" s="18" t="s">
        <v>1442</v>
      </c>
      <c r="D1591" s="19">
        <v>20</v>
      </c>
      <c r="E1591" s="19">
        <v>785</v>
      </c>
      <c r="F1591" s="19">
        <f t="shared" si="386"/>
        <v>15700</v>
      </c>
      <c r="G1591" s="19">
        <v>3.59</v>
      </c>
      <c r="H1591" s="19">
        <f t="shared" si="387"/>
        <v>2818.15</v>
      </c>
      <c r="I1591" s="19">
        <f t="shared" si="388"/>
        <v>56363</v>
      </c>
      <c r="J1591" s="18">
        <f t="shared" si="389"/>
        <v>119690.6</v>
      </c>
    </row>
    <row r="1592" spans="2:10">
      <c r="B1592" s="81">
        <v>45948</v>
      </c>
      <c r="C1592" s="18" t="s">
        <v>1444</v>
      </c>
      <c r="D1592" s="19">
        <v>5</v>
      </c>
      <c r="E1592" s="19">
        <v>840</v>
      </c>
      <c r="F1592" s="19">
        <f t="shared" ref="F1592:F1623" si="390">E1592*D1592</f>
        <v>4200</v>
      </c>
      <c r="G1592" s="19">
        <v>3.59</v>
      </c>
      <c r="H1592" s="19">
        <f t="shared" ref="H1592:H1623" si="391">E1592*G1592</f>
        <v>3015.6</v>
      </c>
      <c r="I1592" s="19">
        <f t="shared" ref="I1592:I1623" si="392">H1592*D1592</f>
        <v>15078</v>
      </c>
      <c r="J1592" s="18">
        <f t="shared" ref="J1592:J1623" si="393">J1591+I1592</f>
        <v>134768.6</v>
      </c>
    </row>
    <row r="1593" spans="2:10">
      <c r="B1593" s="81">
        <v>45948</v>
      </c>
      <c r="C1593" s="18" t="s">
        <v>1445</v>
      </c>
      <c r="D1593" s="19">
        <v>2</v>
      </c>
      <c r="E1593" s="19">
        <v>775</v>
      </c>
      <c r="F1593" s="19">
        <f t="shared" si="390"/>
        <v>1550</v>
      </c>
      <c r="G1593" s="19">
        <v>3.59</v>
      </c>
      <c r="H1593" s="19">
        <f t="shared" si="391"/>
        <v>2782.25</v>
      </c>
      <c r="I1593" s="19">
        <f t="shared" si="392"/>
        <v>5564.5</v>
      </c>
      <c r="J1593" s="18">
        <f t="shared" si="393"/>
        <v>140333.1</v>
      </c>
    </row>
    <row r="1594" spans="2:10">
      <c r="B1594" s="81">
        <v>45948</v>
      </c>
      <c r="C1594" s="18" t="s">
        <v>1447</v>
      </c>
      <c r="D1594" s="19">
        <v>1</v>
      </c>
      <c r="E1594" s="19">
        <v>1270</v>
      </c>
      <c r="F1594" s="19">
        <f t="shared" si="390"/>
        <v>1270</v>
      </c>
      <c r="G1594" s="19">
        <v>3.59</v>
      </c>
      <c r="H1594" s="19">
        <f t="shared" si="391"/>
        <v>4559.3</v>
      </c>
      <c r="I1594" s="19">
        <f t="shared" si="392"/>
        <v>4559.3</v>
      </c>
      <c r="J1594" s="18">
        <f t="shared" si="393"/>
        <v>144892.4</v>
      </c>
    </row>
    <row r="1595" spans="2:10">
      <c r="B1595" s="81">
        <v>45948</v>
      </c>
      <c r="C1595" s="18" t="s">
        <v>1446</v>
      </c>
      <c r="D1595" s="19">
        <v>1</v>
      </c>
      <c r="E1595" s="19">
        <v>830</v>
      </c>
      <c r="F1595" s="19">
        <f t="shared" si="390"/>
        <v>830</v>
      </c>
      <c r="G1595" s="19">
        <v>3.59</v>
      </c>
      <c r="H1595" s="19">
        <f t="shared" si="391"/>
        <v>2979.7</v>
      </c>
      <c r="I1595" s="19">
        <f t="shared" si="392"/>
        <v>2979.7</v>
      </c>
      <c r="J1595" s="18">
        <f t="shared" si="393"/>
        <v>147872.1</v>
      </c>
    </row>
    <row r="1596" spans="2:10">
      <c r="B1596" s="81">
        <v>45948</v>
      </c>
      <c r="C1596" s="18" t="s">
        <v>1448</v>
      </c>
      <c r="D1596" s="19">
        <v>1</v>
      </c>
      <c r="E1596" s="19">
        <v>875</v>
      </c>
      <c r="F1596" s="19">
        <f t="shared" si="390"/>
        <v>875</v>
      </c>
      <c r="G1596" s="19">
        <v>3.59</v>
      </c>
      <c r="H1596" s="19">
        <f t="shared" si="391"/>
        <v>3141.25</v>
      </c>
      <c r="I1596" s="19">
        <f t="shared" si="392"/>
        <v>3141.25</v>
      </c>
      <c r="J1596" s="18">
        <f t="shared" si="393"/>
        <v>151013.35</v>
      </c>
    </row>
    <row r="1597" spans="2:10">
      <c r="B1597" s="81">
        <v>45948</v>
      </c>
      <c r="C1597" s="18" t="s">
        <v>1449</v>
      </c>
      <c r="D1597" s="19">
        <v>3</v>
      </c>
      <c r="E1597" s="19">
        <v>630</v>
      </c>
      <c r="F1597" s="19">
        <f t="shared" si="390"/>
        <v>1890</v>
      </c>
      <c r="G1597" s="19">
        <v>3.59</v>
      </c>
      <c r="H1597" s="19">
        <f t="shared" si="391"/>
        <v>2261.6999999999998</v>
      </c>
      <c r="I1597" s="19">
        <f t="shared" si="392"/>
        <v>6785.0999999999995</v>
      </c>
      <c r="J1597" s="18">
        <f t="shared" si="393"/>
        <v>157798.45000000001</v>
      </c>
    </row>
    <row r="1598" spans="2:10">
      <c r="B1598" s="81">
        <v>45948</v>
      </c>
      <c r="C1598" s="18" t="s">
        <v>1450</v>
      </c>
      <c r="D1598" s="19">
        <v>3</v>
      </c>
      <c r="E1598" s="19">
        <v>630</v>
      </c>
      <c r="F1598" s="19">
        <f t="shared" si="390"/>
        <v>1890</v>
      </c>
      <c r="G1598" s="19">
        <v>3.59</v>
      </c>
      <c r="H1598" s="19">
        <f t="shared" si="391"/>
        <v>2261.6999999999998</v>
      </c>
      <c r="I1598" s="19">
        <f t="shared" si="392"/>
        <v>6785.0999999999995</v>
      </c>
      <c r="J1598" s="18">
        <f t="shared" si="393"/>
        <v>164583.55000000002</v>
      </c>
    </row>
    <row r="1599" spans="2:10">
      <c r="B1599" s="81">
        <v>45948</v>
      </c>
      <c r="C1599" s="18" t="s">
        <v>1451</v>
      </c>
      <c r="D1599" s="19">
        <v>1</v>
      </c>
      <c r="E1599" s="19">
        <v>550</v>
      </c>
      <c r="F1599" s="19">
        <f t="shared" si="390"/>
        <v>550</v>
      </c>
      <c r="G1599" s="19">
        <v>3.59</v>
      </c>
      <c r="H1599" s="19">
        <f t="shared" si="391"/>
        <v>1974.5</v>
      </c>
      <c r="I1599" s="19">
        <f t="shared" si="392"/>
        <v>1974.5</v>
      </c>
      <c r="J1599" s="18">
        <f t="shared" si="393"/>
        <v>166558.05000000002</v>
      </c>
    </row>
    <row r="1600" spans="2:10">
      <c r="B1600" s="81">
        <v>45948</v>
      </c>
      <c r="C1600" s="18" t="s">
        <v>1452</v>
      </c>
      <c r="D1600" s="19">
        <v>1</v>
      </c>
      <c r="E1600" s="19">
        <v>550</v>
      </c>
      <c r="F1600" s="19">
        <f t="shared" si="390"/>
        <v>550</v>
      </c>
      <c r="G1600" s="19">
        <v>3.59</v>
      </c>
      <c r="H1600" s="19">
        <f t="shared" si="391"/>
        <v>1974.5</v>
      </c>
      <c r="I1600" s="19">
        <f t="shared" si="392"/>
        <v>1974.5</v>
      </c>
      <c r="J1600" s="18">
        <f t="shared" si="393"/>
        <v>168532.55000000002</v>
      </c>
    </row>
    <row r="1601" spans="2:10">
      <c r="B1601" s="81">
        <v>45948</v>
      </c>
      <c r="C1601" s="18" t="s">
        <v>1453</v>
      </c>
      <c r="D1601" s="19">
        <v>1</v>
      </c>
      <c r="E1601" s="19">
        <v>650</v>
      </c>
      <c r="F1601" s="19">
        <f t="shared" si="390"/>
        <v>650</v>
      </c>
      <c r="G1601" s="19">
        <v>3.59</v>
      </c>
      <c r="H1601" s="19">
        <f t="shared" si="391"/>
        <v>2333.5</v>
      </c>
      <c r="I1601" s="19">
        <f t="shared" si="392"/>
        <v>2333.5</v>
      </c>
      <c r="J1601" s="18">
        <f t="shared" si="393"/>
        <v>170866.05000000002</v>
      </c>
    </row>
    <row r="1602" spans="2:10">
      <c r="B1602" s="81">
        <v>45948</v>
      </c>
      <c r="C1602" s="18" t="s">
        <v>1454</v>
      </c>
      <c r="D1602" s="19">
        <v>1</v>
      </c>
      <c r="E1602" s="19">
        <v>650</v>
      </c>
      <c r="F1602" s="19">
        <f t="shared" si="390"/>
        <v>650</v>
      </c>
      <c r="G1602" s="19">
        <v>3.59</v>
      </c>
      <c r="H1602" s="19">
        <f t="shared" si="391"/>
        <v>2333.5</v>
      </c>
      <c r="I1602" s="19">
        <f t="shared" si="392"/>
        <v>2333.5</v>
      </c>
      <c r="J1602" s="18">
        <f t="shared" si="393"/>
        <v>173199.55000000002</v>
      </c>
    </row>
    <row r="1603" spans="2:10">
      <c r="B1603" s="81">
        <v>45948</v>
      </c>
      <c r="C1603" s="18" t="s">
        <v>1455</v>
      </c>
      <c r="D1603" s="19">
        <v>1</v>
      </c>
      <c r="E1603" s="19">
        <v>650</v>
      </c>
      <c r="F1603" s="19">
        <f t="shared" si="390"/>
        <v>650</v>
      </c>
      <c r="G1603" s="19">
        <v>3.59</v>
      </c>
      <c r="H1603" s="19">
        <f t="shared" si="391"/>
        <v>2333.5</v>
      </c>
      <c r="I1603" s="19">
        <f t="shared" si="392"/>
        <v>2333.5</v>
      </c>
      <c r="J1603" s="18">
        <f t="shared" si="393"/>
        <v>175533.05000000002</v>
      </c>
    </row>
    <row r="1604" spans="2:10">
      <c r="B1604" s="81">
        <v>45948</v>
      </c>
      <c r="C1604" s="18" t="s">
        <v>1456</v>
      </c>
      <c r="D1604" s="19">
        <v>1</v>
      </c>
      <c r="E1604" s="19">
        <v>215</v>
      </c>
      <c r="F1604" s="19">
        <f t="shared" si="390"/>
        <v>215</v>
      </c>
      <c r="G1604" s="19">
        <v>3.59</v>
      </c>
      <c r="H1604" s="19">
        <f t="shared" si="391"/>
        <v>771.85</v>
      </c>
      <c r="I1604" s="19">
        <f t="shared" si="392"/>
        <v>771.85</v>
      </c>
      <c r="J1604" s="18">
        <f t="shared" si="393"/>
        <v>176304.90000000002</v>
      </c>
    </row>
    <row r="1605" spans="2:10">
      <c r="B1605" s="81">
        <v>45948</v>
      </c>
      <c r="C1605" s="18" t="s">
        <v>1457</v>
      </c>
      <c r="D1605" s="19">
        <v>1</v>
      </c>
      <c r="E1605" s="19">
        <v>650</v>
      </c>
      <c r="F1605" s="19">
        <f t="shared" si="390"/>
        <v>650</v>
      </c>
      <c r="G1605" s="19">
        <v>3.59</v>
      </c>
      <c r="H1605" s="19">
        <f t="shared" si="391"/>
        <v>2333.5</v>
      </c>
      <c r="I1605" s="19">
        <f t="shared" si="392"/>
        <v>2333.5</v>
      </c>
      <c r="J1605" s="18">
        <f t="shared" si="393"/>
        <v>178638.40000000002</v>
      </c>
    </row>
    <row r="1606" spans="2:10">
      <c r="B1606" s="81">
        <v>45948</v>
      </c>
      <c r="C1606" s="18" t="s">
        <v>1458</v>
      </c>
      <c r="D1606" s="19">
        <v>1</v>
      </c>
      <c r="E1606" s="19">
        <v>450</v>
      </c>
      <c r="F1606" s="19">
        <f t="shared" si="390"/>
        <v>450</v>
      </c>
      <c r="G1606" s="19">
        <v>3.59</v>
      </c>
      <c r="H1606" s="19">
        <f t="shared" si="391"/>
        <v>1615.5</v>
      </c>
      <c r="I1606" s="19">
        <f t="shared" si="392"/>
        <v>1615.5</v>
      </c>
      <c r="J1606" s="18">
        <f t="shared" si="393"/>
        <v>180253.90000000002</v>
      </c>
    </row>
    <row r="1607" spans="2:10">
      <c r="B1607" s="81">
        <v>45948</v>
      </c>
      <c r="C1607" s="18" t="s">
        <v>1459</v>
      </c>
      <c r="D1607" s="19">
        <v>8</v>
      </c>
      <c r="E1607" s="19">
        <v>400</v>
      </c>
      <c r="F1607" s="19">
        <f t="shared" si="390"/>
        <v>3200</v>
      </c>
      <c r="G1607" s="19">
        <v>3.59</v>
      </c>
      <c r="H1607" s="19">
        <f t="shared" si="391"/>
        <v>1436</v>
      </c>
      <c r="I1607" s="19">
        <f t="shared" si="392"/>
        <v>11488</v>
      </c>
      <c r="J1607" s="18">
        <f t="shared" si="393"/>
        <v>191741.90000000002</v>
      </c>
    </row>
    <row r="1608" spans="2:10">
      <c r="B1608" s="81">
        <v>45948</v>
      </c>
      <c r="C1608" s="18" t="s">
        <v>1460</v>
      </c>
      <c r="D1608" s="19">
        <v>2</v>
      </c>
      <c r="E1608" s="19">
        <v>1000</v>
      </c>
      <c r="F1608" s="19">
        <f t="shared" si="390"/>
        <v>2000</v>
      </c>
      <c r="G1608" s="19">
        <v>3.59</v>
      </c>
      <c r="H1608" s="19">
        <f t="shared" si="391"/>
        <v>3590</v>
      </c>
      <c r="I1608" s="19">
        <f t="shared" si="392"/>
        <v>7180</v>
      </c>
      <c r="J1608" s="18">
        <f t="shared" si="393"/>
        <v>198921.90000000002</v>
      </c>
    </row>
    <row r="1609" spans="2:10">
      <c r="B1609" s="81">
        <v>45948</v>
      </c>
      <c r="C1609" s="18" t="s">
        <v>1460</v>
      </c>
      <c r="D1609" s="19">
        <v>1</v>
      </c>
      <c r="E1609" s="19">
        <v>1030</v>
      </c>
      <c r="F1609" s="19">
        <f t="shared" si="390"/>
        <v>1030</v>
      </c>
      <c r="G1609" s="19">
        <v>3.59</v>
      </c>
      <c r="H1609" s="19">
        <f t="shared" si="391"/>
        <v>3697.7</v>
      </c>
      <c r="I1609" s="19">
        <f t="shared" si="392"/>
        <v>3697.7</v>
      </c>
      <c r="J1609" s="18">
        <f t="shared" si="393"/>
        <v>202619.60000000003</v>
      </c>
    </row>
    <row r="1610" spans="2:10">
      <c r="B1610" s="81">
        <v>45948</v>
      </c>
      <c r="C1610" s="18" t="s">
        <v>1461</v>
      </c>
      <c r="D1610" s="19">
        <v>4</v>
      </c>
      <c r="E1610" s="19">
        <v>990</v>
      </c>
      <c r="F1610" s="19">
        <f t="shared" si="390"/>
        <v>3960</v>
      </c>
      <c r="G1610" s="19">
        <v>3.59</v>
      </c>
      <c r="H1610" s="19">
        <f t="shared" si="391"/>
        <v>3554.1</v>
      </c>
      <c r="I1610" s="19">
        <f t="shared" si="392"/>
        <v>14216.4</v>
      </c>
      <c r="J1610" s="18">
        <f t="shared" si="393"/>
        <v>216836.00000000003</v>
      </c>
    </row>
    <row r="1611" spans="2:10">
      <c r="B1611" s="81">
        <v>45948</v>
      </c>
      <c r="C1611" s="18" t="s">
        <v>1462</v>
      </c>
      <c r="D1611" s="19">
        <v>3</v>
      </c>
      <c r="E1611" s="19">
        <v>600</v>
      </c>
      <c r="F1611" s="19">
        <f t="shared" si="390"/>
        <v>1800</v>
      </c>
      <c r="G1611" s="19">
        <v>3.59</v>
      </c>
      <c r="H1611" s="19">
        <f t="shared" si="391"/>
        <v>2154</v>
      </c>
      <c r="I1611" s="19">
        <f t="shared" si="392"/>
        <v>6462</v>
      </c>
      <c r="J1611" s="18">
        <f t="shared" si="393"/>
        <v>223298.00000000003</v>
      </c>
    </row>
    <row r="1612" spans="2:10">
      <c r="B1612" s="81">
        <v>45948</v>
      </c>
      <c r="C1612" s="18" t="s">
        <v>1463</v>
      </c>
      <c r="D1612" s="19">
        <v>3</v>
      </c>
      <c r="E1612" s="19">
        <v>600</v>
      </c>
      <c r="F1612" s="19">
        <f t="shared" si="390"/>
        <v>1800</v>
      </c>
      <c r="G1612" s="19">
        <v>3.59</v>
      </c>
      <c r="H1612" s="19">
        <f t="shared" si="391"/>
        <v>2154</v>
      </c>
      <c r="I1612" s="19">
        <f t="shared" si="392"/>
        <v>6462</v>
      </c>
      <c r="J1612" s="18">
        <f t="shared" si="393"/>
        <v>229760.00000000003</v>
      </c>
    </row>
    <row r="1613" spans="2:10">
      <c r="B1613" s="81">
        <v>45948</v>
      </c>
      <c r="C1613" s="18" t="s">
        <v>1464</v>
      </c>
      <c r="D1613" s="19">
        <v>1</v>
      </c>
      <c r="E1613" s="19">
        <v>290</v>
      </c>
      <c r="F1613" s="19">
        <f t="shared" si="390"/>
        <v>290</v>
      </c>
      <c r="G1613" s="19">
        <v>3.59</v>
      </c>
      <c r="H1613" s="19">
        <f t="shared" si="391"/>
        <v>1041.0999999999999</v>
      </c>
      <c r="I1613" s="19">
        <f t="shared" si="392"/>
        <v>1041.0999999999999</v>
      </c>
      <c r="J1613" s="18">
        <f t="shared" si="393"/>
        <v>230801.10000000003</v>
      </c>
    </row>
    <row r="1614" spans="2:10">
      <c r="B1614" s="81">
        <v>45948</v>
      </c>
      <c r="C1614" s="18" t="s">
        <v>1465</v>
      </c>
      <c r="D1614" s="19">
        <v>1</v>
      </c>
      <c r="E1614" s="19">
        <v>290</v>
      </c>
      <c r="F1614" s="19">
        <f t="shared" si="390"/>
        <v>290</v>
      </c>
      <c r="G1614" s="19">
        <v>3.59</v>
      </c>
      <c r="H1614" s="19">
        <f t="shared" si="391"/>
        <v>1041.0999999999999</v>
      </c>
      <c r="I1614" s="19">
        <f t="shared" si="392"/>
        <v>1041.0999999999999</v>
      </c>
      <c r="J1614" s="18">
        <f t="shared" si="393"/>
        <v>231842.20000000004</v>
      </c>
    </row>
    <row r="1615" spans="2:10">
      <c r="B1615" s="81">
        <v>45948</v>
      </c>
      <c r="C1615" s="18" t="s">
        <v>1466</v>
      </c>
      <c r="D1615" s="19">
        <v>2</v>
      </c>
      <c r="E1615" s="19">
        <v>730</v>
      </c>
      <c r="F1615" s="19">
        <f t="shared" si="390"/>
        <v>1460</v>
      </c>
      <c r="G1615" s="19">
        <v>3.59</v>
      </c>
      <c r="H1615" s="19">
        <f t="shared" si="391"/>
        <v>2620.6999999999998</v>
      </c>
      <c r="I1615" s="19">
        <f t="shared" si="392"/>
        <v>5241.3999999999996</v>
      </c>
      <c r="J1615" s="18">
        <f t="shared" si="393"/>
        <v>237083.60000000003</v>
      </c>
    </row>
    <row r="1616" spans="2:10">
      <c r="B1616" s="81">
        <v>45948</v>
      </c>
      <c r="C1616" s="18" t="s">
        <v>1467</v>
      </c>
      <c r="D1616" s="19">
        <v>1</v>
      </c>
      <c r="E1616" s="19">
        <v>380</v>
      </c>
      <c r="F1616" s="19">
        <f t="shared" si="390"/>
        <v>380</v>
      </c>
      <c r="G1616" s="19">
        <v>3.59</v>
      </c>
      <c r="H1616" s="19">
        <f t="shared" si="391"/>
        <v>1364.2</v>
      </c>
      <c r="I1616" s="19">
        <f t="shared" si="392"/>
        <v>1364.2</v>
      </c>
      <c r="J1616" s="18">
        <f t="shared" si="393"/>
        <v>238447.80000000005</v>
      </c>
    </row>
    <row r="1617" spans="1:10">
      <c r="B1617" s="81">
        <v>45948</v>
      </c>
      <c r="C1617" s="18" t="s">
        <v>1468</v>
      </c>
      <c r="D1617" s="19">
        <v>2</v>
      </c>
      <c r="E1617" s="19">
        <v>220</v>
      </c>
      <c r="F1617" s="19">
        <f t="shared" si="390"/>
        <v>440</v>
      </c>
      <c r="G1617" s="19">
        <v>3.59</v>
      </c>
      <c r="H1617" s="19">
        <f t="shared" si="391"/>
        <v>789.8</v>
      </c>
      <c r="I1617" s="19">
        <f t="shared" si="392"/>
        <v>1579.6</v>
      </c>
      <c r="J1617" s="18">
        <f t="shared" si="393"/>
        <v>240027.40000000005</v>
      </c>
    </row>
    <row r="1618" spans="1:10">
      <c r="B1618" s="81">
        <v>45948</v>
      </c>
      <c r="C1618" s="18" t="s">
        <v>1469</v>
      </c>
      <c r="D1618" s="19">
        <v>12</v>
      </c>
      <c r="E1618" s="19">
        <v>95</v>
      </c>
      <c r="F1618" s="19">
        <f t="shared" si="390"/>
        <v>1140</v>
      </c>
      <c r="G1618" s="19">
        <v>3.59</v>
      </c>
      <c r="H1618" s="19">
        <f t="shared" si="391"/>
        <v>341.05</v>
      </c>
      <c r="I1618" s="19">
        <f t="shared" si="392"/>
        <v>4092.6000000000004</v>
      </c>
      <c r="J1618" s="18">
        <f t="shared" si="393"/>
        <v>244120.00000000006</v>
      </c>
    </row>
    <row r="1619" spans="1:10">
      <c r="B1619" s="81">
        <v>45948</v>
      </c>
      <c r="C1619" s="18" t="s">
        <v>1470</v>
      </c>
      <c r="D1619" s="19">
        <v>2</v>
      </c>
      <c r="E1619" s="19">
        <v>127.5</v>
      </c>
      <c r="F1619" s="19">
        <f t="shared" si="390"/>
        <v>255</v>
      </c>
      <c r="G1619" s="19">
        <v>3.59</v>
      </c>
      <c r="H1619" s="19">
        <f t="shared" si="391"/>
        <v>457.72499999999997</v>
      </c>
      <c r="I1619" s="19">
        <f t="shared" si="392"/>
        <v>915.44999999999993</v>
      </c>
      <c r="J1619" s="18">
        <f t="shared" si="393"/>
        <v>245035.45000000007</v>
      </c>
    </row>
    <row r="1620" spans="1:10">
      <c r="B1620" s="81">
        <v>45948</v>
      </c>
      <c r="C1620" s="18" t="s">
        <v>1471</v>
      </c>
      <c r="D1620" s="19">
        <v>1</v>
      </c>
      <c r="E1620" s="19">
        <v>2770</v>
      </c>
      <c r="F1620" s="19">
        <f t="shared" si="390"/>
        <v>2770</v>
      </c>
      <c r="G1620" s="19">
        <v>3.59</v>
      </c>
      <c r="H1620" s="19">
        <f t="shared" si="391"/>
        <v>9944.2999999999993</v>
      </c>
      <c r="I1620" s="19">
        <f t="shared" si="392"/>
        <v>9944.2999999999993</v>
      </c>
      <c r="J1620" s="18">
        <f t="shared" si="393"/>
        <v>254979.75000000006</v>
      </c>
    </row>
    <row r="1621" spans="1:10">
      <c r="B1621" s="447">
        <v>45948</v>
      </c>
      <c r="C1621" s="313" t="s">
        <v>2340</v>
      </c>
      <c r="D1621" s="305">
        <v>1</v>
      </c>
      <c r="E1621" s="305">
        <v>557</v>
      </c>
      <c r="F1621" s="305">
        <f t="shared" si="390"/>
        <v>557</v>
      </c>
      <c r="G1621" s="305">
        <v>3.59</v>
      </c>
      <c r="H1621" s="305">
        <f t="shared" si="391"/>
        <v>1999.6299999999999</v>
      </c>
      <c r="I1621" s="305">
        <f t="shared" si="392"/>
        <v>1999.6299999999999</v>
      </c>
      <c r="J1621" s="313">
        <f t="shared" si="393"/>
        <v>256979.38000000006</v>
      </c>
    </row>
    <row r="1622" spans="1:10">
      <c r="B1622" s="81">
        <v>45948</v>
      </c>
      <c r="C1622" s="18" t="s">
        <v>1472</v>
      </c>
      <c r="D1622" s="19">
        <v>6</v>
      </c>
      <c r="E1622" s="19">
        <v>410</v>
      </c>
      <c r="F1622" s="19">
        <f t="shared" si="390"/>
        <v>2460</v>
      </c>
      <c r="G1622" s="19">
        <v>3.59</v>
      </c>
      <c r="H1622" s="19">
        <f t="shared" si="391"/>
        <v>1471.8999999999999</v>
      </c>
      <c r="I1622" s="19">
        <f t="shared" si="392"/>
        <v>8831.4</v>
      </c>
      <c r="J1622" s="18">
        <f t="shared" si="393"/>
        <v>265810.78000000009</v>
      </c>
    </row>
    <row r="1623" spans="1:10">
      <c r="B1623" s="81">
        <v>45948</v>
      </c>
      <c r="C1623" s="18" t="s">
        <v>1473</v>
      </c>
      <c r="D1623" s="19">
        <v>1</v>
      </c>
      <c r="E1623" s="19">
        <v>375</v>
      </c>
      <c r="F1623" s="19">
        <f t="shared" si="390"/>
        <v>375</v>
      </c>
      <c r="G1623" s="19">
        <v>3.59</v>
      </c>
      <c r="H1623" s="19">
        <f t="shared" si="391"/>
        <v>1346.25</v>
      </c>
      <c r="I1623" s="19">
        <f t="shared" si="392"/>
        <v>1346.25</v>
      </c>
      <c r="J1623" s="18">
        <f t="shared" si="393"/>
        <v>267157.03000000009</v>
      </c>
    </row>
    <row r="1627" spans="1:10" ht="21">
      <c r="A1627" t="s">
        <v>125</v>
      </c>
      <c r="B1627" s="1520" t="s">
        <v>20</v>
      </c>
      <c r="C1627" s="1520"/>
      <c r="D1627" s="1520"/>
      <c r="E1627" s="1520"/>
      <c r="F1627" s="1520"/>
      <c r="G1627" s="1520"/>
      <c r="H1627" s="1520"/>
      <c r="I1627" s="1520"/>
      <c r="J1627" s="1520"/>
    </row>
    <row r="1628" spans="1:10" ht="18.75">
      <c r="A1628" t="s">
        <v>212</v>
      </c>
      <c r="B1628" s="4" t="s">
        <v>1</v>
      </c>
      <c r="C1628" s="4" t="s">
        <v>2</v>
      </c>
      <c r="D1628" s="4" t="s">
        <v>3</v>
      </c>
      <c r="E1628" s="4" t="s">
        <v>4</v>
      </c>
      <c r="F1628" s="4" t="s">
        <v>36</v>
      </c>
      <c r="G1628" s="4" t="s">
        <v>5</v>
      </c>
      <c r="H1628" s="4" t="s">
        <v>6</v>
      </c>
      <c r="I1628" s="4" t="s">
        <v>7</v>
      </c>
      <c r="J1628" s="4"/>
    </row>
    <row r="1629" spans="1:10">
      <c r="B1629" s="81">
        <v>45952</v>
      </c>
      <c r="C1629" s="80" t="s">
        <v>1479</v>
      </c>
      <c r="D1629" s="19">
        <v>6</v>
      </c>
      <c r="E1629" s="19">
        <v>539</v>
      </c>
      <c r="F1629" s="19">
        <f>E1629*D1629</f>
        <v>3234</v>
      </c>
      <c r="G1629" s="19">
        <v>2.3361000000000001</v>
      </c>
      <c r="H1629" s="19">
        <f>E1629*G1629</f>
        <v>1259.1578999999999</v>
      </c>
      <c r="I1629" s="19">
        <f>H1629*D1629</f>
        <v>7554.9473999999991</v>
      </c>
      <c r="J1629" s="18">
        <f>J1628+I1629</f>
        <v>7554.9473999999991</v>
      </c>
    </row>
    <row r="1630" spans="1:10">
      <c r="B1630" s="81">
        <v>45952</v>
      </c>
      <c r="C1630" s="80" t="s">
        <v>1480</v>
      </c>
      <c r="D1630" s="19">
        <v>2</v>
      </c>
      <c r="E1630" s="19">
        <v>539</v>
      </c>
      <c r="F1630" s="19">
        <f>E1630*D1630</f>
        <v>1078</v>
      </c>
      <c r="G1630" s="19">
        <v>2.3361000000000001</v>
      </c>
      <c r="H1630" s="19">
        <f>E1630*G1630</f>
        <v>1259.1578999999999</v>
      </c>
      <c r="I1630" s="19">
        <f>H1630*D1629</f>
        <v>7554.9473999999991</v>
      </c>
      <c r="J1630" s="18">
        <f>J1629+I1630</f>
        <v>15109.894799999998</v>
      </c>
    </row>
    <row r="1631" spans="1:10">
      <c r="B1631" s="81">
        <v>45952</v>
      </c>
      <c r="C1631" s="80" t="s">
        <v>1481</v>
      </c>
      <c r="D1631" s="19">
        <v>1</v>
      </c>
      <c r="E1631" s="19">
        <v>539</v>
      </c>
      <c r="F1631" s="19">
        <f>E1631*D1631</f>
        <v>539</v>
      </c>
      <c r="G1631" s="19">
        <v>2.3361000000000001</v>
      </c>
      <c r="H1631" s="19">
        <f>E1631*G1631</f>
        <v>1259.1578999999999</v>
      </c>
      <c r="I1631" s="19">
        <f>H1631*D1630</f>
        <v>2518.3157999999999</v>
      </c>
      <c r="J1631" s="18">
        <f>J1630+I1631</f>
        <v>17628.210599999999</v>
      </c>
    </row>
    <row r="1632" spans="1:10">
      <c r="B1632" s="19"/>
      <c r="C1632" s="19"/>
      <c r="D1632" s="19"/>
      <c r="E1632" s="19"/>
      <c r="F1632" s="19">
        <f>E1632*D1632</f>
        <v>0</v>
      </c>
      <c r="G1632" s="19">
        <v>0</v>
      </c>
      <c r="H1632" s="19">
        <f>E1632*G1632</f>
        <v>0</v>
      </c>
      <c r="I1632" s="19">
        <f>H1632*D1631</f>
        <v>0</v>
      </c>
      <c r="J1632" s="18">
        <f>J1631+I1632</f>
        <v>17628.210599999999</v>
      </c>
    </row>
    <row r="1636" spans="1:11" ht="21">
      <c r="A1636" t="s">
        <v>125</v>
      </c>
      <c r="B1636" s="1520" t="s">
        <v>20</v>
      </c>
      <c r="C1636" s="1520"/>
      <c r="D1636" s="1520"/>
      <c r="E1636" s="1520"/>
      <c r="F1636" s="1520"/>
      <c r="G1636" s="1520"/>
      <c r="H1636" s="1520"/>
      <c r="I1636" s="1520"/>
      <c r="J1636" s="1520"/>
    </row>
    <row r="1637" spans="1:11" ht="18.75">
      <c r="A1637" t="s">
        <v>212</v>
      </c>
      <c r="B1637" s="4" t="s">
        <v>1</v>
      </c>
      <c r="C1637" s="4" t="s">
        <v>2</v>
      </c>
      <c r="D1637" s="4" t="s">
        <v>3</v>
      </c>
      <c r="E1637" s="4" t="s">
        <v>4</v>
      </c>
      <c r="F1637" s="4" t="s">
        <v>36</v>
      </c>
      <c r="G1637" s="4" t="s">
        <v>5</v>
      </c>
      <c r="H1637" s="4" t="s">
        <v>6</v>
      </c>
      <c r="I1637" s="4" t="s">
        <v>7</v>
      </c>
      <c r="J1637" s="4"/>
    </row>
    <row r="1638" spans="1:11">
      <c r="B1638" s="532">
        <v>45946</v>
      </c>
      <c r="C1638" s="230" t="s">
        <v>1495</v>
      </c>
      <c r="D1638" s="230">
        <v>100</v>
      </c>
      <c r="E1638" s="533">
        <v>274</v>
      </c>
      <c r="F1638" s="19">
        <f>E1638*D1638</f>
        <v>27400</v>
      </c>
      <c r="G1638" s="19">
        <v>2.3454999999999999</v>
      </c>
      <c r="H1638" s="19">
        <f>E1638*G1638</f>
        <v>642.66700000000003</v>
      </c>
      <c r="I1638" s="19">
        <f>H1638*D1638</f>
        <v>64266.700000000004</v>
      </c>
      <c r="J1638" s="18">
        <f>J1637+I1638</f>
        <v>64266.700000000004</v>
      </c>
    </row>
    <row r="1639" spans="1:11">
      <c r="B1639" s="532">
        <v>45946</v>
      </c>
      <c r="C1639" s="230" t="s">
        <v>1507</v>
      </c>
      <c r="D1639" s="230">
        <v>0</v>
      </c>
      <c r="E1639" s="533">
        <v>120</v>
      </c>
      <c r="F1639" s="19">
        <f t="shared" ref="F1639:F1646" si="394">E1639*D1639</f>
        <v>0</v>
      </c>
      <c r="G1639" s="19">
        <v>2.3454999999999999</v>
      </c>
      <c r="H1639" s="19">
        <f t="shared" ref="H1639:H1646" si="395">E1639*G1639</f>
        <v>281.45999999999998</v>
      </c>
      <c r="I1639" s="19">
        <f t="shared" ref="I1639:I1646" si="396">H1639*D1639</f>
        <v>0</v>
      </c>
      <c r="J1639" s="18">
        <f t="shared" ref="J1639:J1646" si="397">J1638+I1639</f>
        <v>64266.700000000004</v>
      </c>
    </row>
    <row r="1640" spans="1:11">
      <c r="B1640" s="532">
        <v>45950</v>
      </c>
      <c r="C1640" s="230" t="s">
        <v>1496</v>
      </c>
      <c r="D1640" s="230">
        <v>2</v>
      </c>
      <c r="E1640" s="533">
        <v>699</v>
      </c>
      <c r="F1640" s="19">
        <f t="shared" si="394"/>
        <v>1398</v>
      </c>
      <c r="G1640" s="19">
        <v>2.3454999999999999</v>
      </c>
      <c r="H1640" s="19">
        <f t="shared" si="395"/>
        <v>1639.5045</v>
      </c>
      <c r="I1640" s="19">
        <f t="shared" si="396"/>
        <v>3279.009</v>
      </c>
      <c r="J1640" s="18">
        <f t="shared" si="397"/>
        <v>67545.709000000003</v>
      </c>
    </row>
    <row r="1641" spans="1:11">
      <c r="B1641" s="532">
        <v>45950</v>
      </c>
      <c r="C1641" s="230" t="s">
        <v>1497</v>
      </c>
      <c r="D1641" s="230">
        <v>4</v>
      </c>
      <c r="E1641" s="533">
        <v>1239</v>
      </c>
      <c r="F1641" s="19">
        <f t="shared" si="394"/>
        <v>4956</v>
      </c>
      <c r="G1641" s="19">
        <v>2.3454999999999999</v>
      </c>
      <c r="H1641" s="19">
        <f t="shared" si="395"/>
        <v>2906.0744999999997</v>
      </c>
      <c r="I1641" s="19">
        <f t="shared" si="396"/>
        <v>11624.297999999999</v>
      </c>
      <c r="J1641" s="18">
        <f t="shared" si="397"/>
        <v>79170.006999999998</v>
      </c>
    </row>
    <row r="1642" spans="1:11">
      <c r="B1642" s="209">
        <v>45948</v>
      </c>
      <c r="C1642" s="110" t="s">
        <v>1498</v>
      </c>
      <c r="D1642" s="110">
        <v>2</v>
      </c>
      <c r="E1642" s="184">
        <v>2999</v>
      </c>
      <c r="F1642" s="19">
        <f t="shared" si="394"/>
        <v>5998</v>
      </c>
      <c r="G1642" s="19">
        <v>2.3454999999999999</v>
      </c>
      <c r="H1642" s="19">
        <f t="shared" si="395"/>
        <v>7034.1544999999996</v>
      </c>
      <c r="I1642" s="19">
        <f t="shared" si="396"/>
        <v>14068.308999999999</v>
      </c>
      <c r="J1642" s="18">
        <f t="shared" si="397"/>
        <v>93238.315999999992</v>
      </c>
    </row>
    <row r="1643" spans="1:11">
      <c r="B1643" s="209">
        <v>45948</v>
      </c>
      <c r="C1643" s="110" t="s">
        <v>1498</v>
      </c>
      <c r="D1643" s="110">
        <v>2</v>
      </c>
      <c r="E1643" s="184">
        <v>2999</v>
      </c>
      <c r="F1643" s="19">
        <f t="shared" si="394"/>
        <v>5998</v>
      </c>
      <c r="G1643" s="19">
        <v>2.3454999999999999</v>
      </c>
      <c r="H1643" s="19">
        <f t="shared" si="395"/>
        <v>7034.1544999999996</v>
      </c>
      <c r="I1643" s="19">
        <f t="shared" si="396"/>
        <v>14068.308999999999</v>
      </c>
      <c r="J1643" s="18">
        <f t="shared" si="397"/>
        <v>107306.62499999999</v>
      </c>
    </row>
    <row r="1644" spans="1:11">
      <c r="B1644" s="209">
        <v>45948</v>
      </c>
      <c r="C1644" s="110" t="s">
        <v>1498</v>
      </c>
      <c r="D1644" s="110">
        <v>1</v>
      </c>
      <c r="E1644" s="184">
        <v>2999</v>
      </c>
      <c r="F1644" s="19">
        <f t="shared" si="394"/>
        <v>2999</v>
      </c>
      <c r="G1644" s="19">
        <v>2.3454999999999999</v>
      </c>
      <c r="H1644" s="19">
        <f t="shared" si="395"/>
        <v>7034.1544999999996</v>
      </c>
      <c r="I1644" s="19">
        <f t="shared" si="396"/>
        <v>7034.1544999999996</v>
      </c>
      <c r="J1644" s="18">
        <f t="shared" si="397"/>
        <v>114340.77949999999</v>
      </c>
    </row>
    <row r="1645" spans="1:11">
      <c r="B1645" s="209">
        <v>45949</v>
      </c>
      <c r="C1645" s="110" t="s">
        <v>1499</v>
      </c>
      <c r="D1645" s="110">
        <v>0</v>
      </c>
      <c r="E1645" s="184">
        <v>2199</v>
      </c>
      <c r="F1645" s="19">
        <f t="shared" si="394"/>
        <v>0</v>
      </c>
      <c r="G1645" s="19">
        <v>2.3454999999999999</v>
      </c>
      <c r="H1645" s="19">
        <f t="shared" si="395"/>
        <v>5157.7545</v>
      </c>
      <c r="I1645" s="19">
        <f t="shared" si="396"/>
        <v>0</v>
      </c>
      <c r="J1645" s="18">
        <f t="shared" si="397"/>
        <v>114340.77949999999</v>
      </c>
      <c r="K1645" s="206" t="s">
        <v>1340</v>
      </c>
    </row>
    <row r="1646" spans="1:11">
      <c r="B1646" s="209">
        <v>45950</v>
      </c>
      <c r="C1646" s="110" t="s">
        <v>1499</v>
      </c>
      <c r="D1646" s="110">
        <v>0</v>
      </c>
      <c r="E1646" s="184">
        <v>2199</v>
      </c>
      <c r="F1646" s="19">
        <f t="shared" si="394"/>
        <v>0</v>
      </c>
      <c r="G1646" s="19">
        <v>2.3454999999999999</v>
      </c>
      <c r="H1646" s="19">
        <f t="shared" si="395"/>
        <v>5157.7545</v>
      </c>
      <c r="I1646" s="19">
        <f t="shared" si="396"/>
        <v>0</v>
      </c>
      <c r="J1646" s="18">
        <f t="shared" si="397"/>
        <v>114340.77949999999</v>
      </c>
      <c r="K1646" s="206" t="s">
        <v>1340</v>
      </c>
    </row>
    <row r="1647" spans="1:11">
      <c r="B1647" s="209">
        <v>45950</v>
      </c>
      <c r="C1647" s="110" t="s">
        <v>1499</v>
      </c>
      <c r="D1647" s="110">
        <v>0</v>
      </c>
      <c r="E1647" s="184">
        <v>2199</v>
      </c>
      <c r="F1647" s="19">
        <f t="shared" ref="F1647:F1657" si="398">E1647*D1647</f>
        <v>0</v>
      </c>
      <c r="G1647" s="19">
        <v>2.3454999999999999</v>
      </c>
      <c r="H1647" s="19">
        <f t="shared" ref="H1647:H1657" si="399">E1647*G1647</f>
        <v>5157.7545</v>
      </c>
      <c r="I1647" s="19">
        <f t="shared" ref="I1647:I1657" si="400">H1647*D1647</f>
        <v>0</v>
      </c>
      <c r="J1647" s="18">
        <f t="shared" ref="J1647:J1657" si="401">J1646+I1647</f>
        <v>114340.77949999999</v>
      </c>
      <c r="K1647" s="206" t="s">
        <v>1340</v>
      </c>
    </row>
    <row r="1648" spans="1:11">
      <c r="B1648" s="532">
        <v>45950</v>
      </c>
      <c r="C1648" s="230" t="s">
        <v>1501</v>
      </c>
      <c r="D1648" s="230">
        <v>2</v>
      </c>
      <c r="E1648" s="533">
        <v>2999</v>
      </c>
      <c r="F1648" s="19">
        <f t="shared" si="398"/>
        <v>5998</v>
      </c>
      <c r="G1648" s="19">
        <v>2.3454999999999999</v>
      </c>
      <c r="H1648" s="19">
        <f t="shared" si="399"/>
        <v>7034.1544999999996</v>
      </c>
      <c r="I1648" s="19">
        <f t="shared" si="400"/>
        <v>14068.308999999999</v>
      </c>
      <c r="J1648" s="18">
        <f t="shared" si="401"/>
        <v>128409.08849999998</v>
      </c>
    </row>
    <row r="1649" spans="1:11">
      <c r="B1649" s="209">
        <v>45950</v>
      </c>
      <c r="C1649" s="110" t="s">
        <v>1500</v>
      </c>
      <c r="D1649" s="110">
        <v>0</v>
      </c>
      <c r="E1649" s="184">
        <v>2599</v>
      </c>
      <c r="F1649" s="19">
        <f t="shared" si="398"/>
        <v>0</v>
      </c>
      <c r="G1649" s="19">
        <v>2.3454999999999999</v>
      </c>
      <c r="H1649" s="19">
        <f t="shared" si="399"/>
        <v>6095.9544999999998</v>
      </c>
      <c r="I1649" s="19">
        <f t="shared" si="400"/>
        <v>0</v>
      </c>
      <c r="J1649" s="18">
        <f t="shared" si="401"/>
        <v>128409.08849999998</v>
      </c>
      <c r="K1649" s="206" t="s">
        <v>1340</v>
      </c>
    </row>
    <row r="1650" spans="1:11">
      <c r="B1650" s="532">
        <v>45950</v>
      </c>
      <c r="C1650" s="230" t="s">
        <v>1501</v>
      </c>
      <c r="D1650" s="230">
        <v>2</v>
      </c>
      <c r="E1650" s="533">
        <v>2999</v>
      </c>
      <c r="F1650" s="19">
        <f t="shared" si="398"/>
        <v>5998</v>
      </c>
      <c r="G1650" s="19">
        <v>2.3454999999999999</v>
      </c>
      <c r="H1650" s="19">
        <f t="shared" si="399"/>
        <v>7034.1544999999996</v>
      </c>
      <c r="I1650" s="19">
        <f t="shared" si="400"/>
        <v>14068.308999999999</v>
      </c>
      <c r="J1650" s="18">
        <f t="shared" si="401"/>
        <v>142477.39749999999</v>
      </c>
    </row>
    <row r="1651" spans="1:11">
      <c r="B1651" s="532">
        <v>45950</v>
      </c>
      <c r="C1651" s="230" t="s">
        <v>1501</v>
      </c>
      <c r="D1651" s="230">
        <v>2</v>
      </c>
      <c r="E1651" s="533">
        <v>2999</v>
      </c>
      <c r="F1651" s="19">
        <f t="shared" si="398"/>
        <v>5998</v>
      </c>
      <c r="G1651" s="19">
        <v>2.3454999999999999</v>
      </c>
      <c r="H1651" s="19">
        <f t="shared" si="399"/>
        <v>7034.1544999999996</v>
      </c>
      <c r="I1651" s="19">
        <f t="shared" si="400"/>
        <v>14068.308999999999</v>
      </c>
      <c r="J1651" s="18">
        <f t="shared" si="401"/>
        <v>156545.7065</v>
      </c>
    </row>
    <row r="1652" spans="1:11">
      <c r="B1652" s="532">
        <v>45950</v>
      </c>
      <c r="C1652" s="230" t="s">
        <v>1501</v>
      </c>
      <c r="D1652" s="230">
        <v>2</v>
      </c>
      <c r="E1652" s="533">
        <v>2999</v>
      </c>
      <c r="F1652" s="19">
        <f t="shared" si="398"/>
        <v>5998</v>
      </c>
      <c r="G1652" s="19">
        <v>2.3454999999999999</v>
      </c>
      <c r="H1652" s="19">
        <f t="shared" si="399"/>
        <v>7034.1544999999996</v>
      </c>
      <c r="I1652" s="19">
        <f t="shared" si="400"/>
        <v>14068.308999999999</v>
      </c>
      <c r="J1652" s="18">
        <f t="shared" si="401"/>
        <v>170614.01550000001</v>
      </c>
    </row>
    <row r="1653" spans="1:11">
      <c r="B1653" s="532">
        <v>45950</v>
      </c>
      <c r="C1653" s="230" t="s">
        <v>1501</v>
      </c>
      <c r="D1653" s="230">
        <v>2</v>
      </c>
      <c r="E1653" s="533">
        <v>2999</v>
      </c>
      <c r="F1653" s="19">
        <f t="shared" si="398"/>
        <v>5998</v>
      </c>
      <c r="G1653" s="19">
        <v>2.3454999999999999</v>
      </c>
      <c r="H1653" s="19">
        <f t="shared" si="399"/>
        <v>7034.1544999999996</v>
      </c>
      <c r="I1653" s="19">
        <f t="shared" si="400"/>
        <v>14068.308999999999</v>
      </c>
      <c r="J1653" s="18">
        <f t="shared" si="401"/>
        <v>184682.32450000002</v>
      </c>
    </row>
    <row r="1654" spans="1:11">
      <c r="B1654" s="532">
        <v>45950</v>
      </c>
      <c r="C1654" s="230" t="s">
        <v>1501</v>
      </c>
      <c r="D1654" s="230">
        <v>2</v>
      </c>
      <c r="E1654" s="533">
        <v>2999</v>
      </c>
      <c r="F1654" s="19">
        <f t="shared" si="398"/>
        <v>5998</v>
      </c>
      <c r="G1654" s="19">
        <v>2.3454999999999999</v>
      </c>
      <c r="H1654" s="19">
        <f t="shared" si="399"/>
        <v>7034.1544999999996</v>
      </c>
      <c r="I1654" s="19">
        <f t="shared" si="400"/>
        <v>14068.308999999999</v>
      </c>
      <c r="J1654" s="18">
        <f t="shared" si="401"/>
        <v>198750.63350000003</v>
      </c>
    </row>
    <row r="1655" spans="1:11">
      <c r="B1655" s="209">
        <v>45950</v>
      </c>
      <c r="C1655" s="110" t="s">
        <v>1502</v>
      </c>
      <c r="D1655" s="110">
        <v>2</v>
      </c>
      <c r="E1655" s="184">
        <v>2999</v>
      </c>
      <c r="F1655" s="19">
        <f t="shared" si="398"/>
        <v>5998</v>
      </c>
      <c r="G1655" s="19">
        <v>2.3454999999999999</v>
      </c>
      <c r="H1655" s="19">
        <f t="shared" si="399"/>
        <v>7034.1544999999996</v>
      </c>
      <c r="I1655" s="19">
        <f t="shared" si="400"/>
        <v>14068.308999999999</v>
      </c>
      <c r="J1655" s="18">
        <f t="shared" si="401"/>
        <v>212818.94250000003</v>
      </c>
    </row>
    <row r="1656" spans="1:11">
      <c r="B1656" s="209">
        <v>45951</v>
      </c>
      <c r="C1656" s="110" t="s">
        <v>1502</v>
      </c>
      <c r="D1656" s="110">
        <v>2</v>
      </c>
      <c r="E1656" s="184">
        <v>2999</v>
      </c>
      <c r="F1656" s="19">
        <f t="shared" si="398"/>
        <v>5998</v>
      </c>
      <c r="G1656" s="19">
        <v>2.3454999999999999</v>
      </c>
      <c r="H1656" s="19">
        <f t="shared" si="399"/>
        <v>7034.1544999999996</v>
      </c>
      <c r="I1656" s="19">
        <f t="shared" si="400"/>
        <v>14068.308999999999</v>
      </c>
      <c r="J1656" s="18">
        <f t="shared" si="401"/>
        <v>226887.25150000004</v>
      </c>
    </row>
    <row r="1657" spans="1:11">
      <c r="B1657" s="209">
        <v>45950</v>
      </c>
      <c r="C1657" s="110" t="s">
        <v>1503</v>
      </c>
      <c r="D1657" s="110">
        <v>1</v>
      </c>
      <c r="E1657" s="184">
        <v>3006</v>
      </c>
      <c r="F1657" s="19">
        <f t="shared" si="398"/>
        <v>3006</v>
      </c>
      <c r="G1657" s="19">
        <v>2.3454999999999999</v>
      </c>
      <c r="H1657" s="19">
        <f t="shared" si="399"/>
        <v>7050.5729999999994</v>
      </c>
      <c r="I1657" s="19">
        <f t="shared" si="400"/>
        <v>7050.5729999999994</v>
      </c>
      <c r="J1657" s="18">
        <f t="shared" si="401"/>
        <v>233937.82450000005</v>
      </c>
    </row>
    <row r="1658" spans="1:11">
      <c r="B1658" s="531">
        <v>45952</v>
      </c>
      <c r="C1658" s="18" t="s">
        <v>1504</v>
      </c>
      <c r="D1658" s="18">
        <v>1</v>
      </c>
      <c r="E1658" s="18" t="s">
        <v>1505</v>
      </c>
      <c r="F1658" s="210">
        <v>9442.8799999999992</v>
      </c>
      <c r="G1658" s="18" t="s">
        <v>1506</v>
      </c>
      <c r="H1658" s="18"/>
      <c r="I1658" s="19"/>
      <c r="J1658" s="24"/>
    </row>
    <row r="1662" spans="1:11" ht="21">
      <c r="A1662" t="s">
        <v>125</v>
      </c>
      <c r="B1662" s="1520" t="s">
        <v>1516</v>
      </c>
      <c r="C1662" s="1520"/>
      <c r="D1662" s="1520"/>
      <c r="E1662" s="1520"/>
      <c r="F1662" s="1520"/>
      <c r="G1662" s="1520"/>
      <c r="H1662" s="1520"/>
      <c r="I1662" s="1520"/>
      <c r="J1662" s="1520"/>
    </row>
    <row r="1663" spans="1:11" ht="18.75">
      <c r="B1663" s="4" t="s">
        <v>1</v>
      </c>
      <c r="C1663" s="4" t="s">
        <v>2</v>
      </c>
      <c r="D1663" s="4" t="s">
        <v>3</v>
      </c>
      <c r="E1663" s="514" t="s">
        <v>132</v>
      </c>
      <c r="F1663" s="514" t="s">
        <v>133</v>
      </c>
      <c r="G1663" s="4" t="s">
        <v>5</v>
      </c>
      <c r="H1663" s="4" t="s">
        <v>6</v>
      </c>
      <c r="I1663" s="4" t="s">
        <v>7</v>
      </c>
      <c r="J1663" s="4"/>
    </row>
    <row r="1664" spans="1:11">
      <c r="B1664" s="447">
        <v>45948</v>
      </c>
      <c r="C1664" s="525" t="s">
        <v>1431</v>
      </c>
      <c r="D1664" s="305">
        <v>1</v>
      </c>
      <c r="E1664" s="305">
        <v>910</v>
      </c>
      <c r="F1664" s="19">
        <f>E1664*D1664</f>
        <v>910</v>
      </c>
      <c r="G1664" s="19">
        <v>3.59</v>
      </c>
      <c r="H1664" s="19">
        <f>E1664*G1664</f>
        <v>3266.9</v>
      </c>
      <c r="I1664" s="19">
        <f>H1664*D1664</f>
        <v>3266.9</v>
      </c>
      <c r="J1664" s="18">
        <f>J1663+I1664</f>
        <v>3266.9</v>
      </c>
    </row>
    <row r="1665" spans="1:10">
      <c r="B1665" s="447">
        <v>45948</v>
      </c>
      <c r="C1665" s="525" t="s">
        <v>1432</v>
      </c>
      <c r="D1665" s="305">
        <v>1</v>
      </c>
      <c r="E1665" s="305">
        <v>705</v>
      </c>
      <c r="F1665" s="19">
        <f t="shared" ref="F1665:F1672" si="402">E1665*D1665</f>
        <v>705</v>
      </c>
      <c r="G1665" s="19">
        <v>3.59</v>
      </c>
      <c r="H1665" s="19">
        <f t="shared" ref="H1665:H1672" si="403">E1665*G1665</f>
        <v>2530.9499999999998</v>
      </c>
      <c r="I1665" s="19">
        <f t="shared" ref="I1665:I1672" si="404">H1665*D1665</f>
        <v>2530.9499999999998</v>
      </c>
      <c r="J1665" s="18">
        <f t="shared" ref="J1665:J1672" si="405">J1664+I1665</f>
        <v>5797.85</v>
      </c>
    </row>
    <row r="1666" spans="1:10">
      <c r="B1666" s="447">
        <v>45948</v>
      </c>
      <c r="C1666" s="525" t="s">
        <v>1433</v>
      </c>
      <c r="D1666" s="305">
        <v>2</v>
      </c>
      <c r="E1666" s="305">
        <v>690</v>
      </c>
      <c r="F1666" s="19">
        <f t="shared" si="402"/>
        <v>1380</v>
      </c>
      <c r="G1666" s="19">
        <v>3.59</v>
      </c>
      <c r="H1666" s="19">
        <f t="shared" si="403"/>
        <v>2477.1</v>
      </c>
      <c r="I1666" s="19">
        <f t="shared" si="404"/>
        <v>4954.2</v>
      </c>
      <c r="J1666" s="18">
        <f t="shared" si="405"/>
        <v>10752.05</v>
      </c>
    </row>
    <row r="1667" spans="1:10">
      <c r="B1667" s="447">
        <v>45948</v>
      </c>
      <c r="C1667" s="525" t="s">
        <v>1434</v>
      </c>
      <c r="D1667" s="305">
        <v>1</v>
      </c>
      <c r="E1667" s="305">
        <v>500</v>
      </c>
      <c r="F1667" s="19">
        <f t="shared" si="402"/>
        <v>500</v>
      </c>
      <c r="G1667" s="19">
        <v>3.59</v>
      </c>
      <c r="H1667" s="19">
        <f t="shared" si="403"/>
        <v>1795</v>
      </c>
      <c r="I1667" s="19">
        <f t="shared" si="404"/>
        <v>1795</v>
      </c>
      <c r="J1667" s="18">
        <f t="shared" si="405"/>
        <v>12547.05</v>
      </c>
    </row>
    <row r="1668" spans="1:10">
      <c r="B1668" s="447">
        <v>45948</v>
      </c>
      <c r="C1668" s="525" t="s">
        <v>1334</v>
      </c>
      <c r="D1668" s="305">
        <v>2</v>
      </c>
      <c r="E1668" s="305">
        <v>400</v>
      </c>
      <c r="F1668" s="19">
        <f t="shared" si="402"/>
        <v>800</v>
      </c>
      <c r="G1668" s="19">
        <v>3.59</v>
      </c>
      <c r="H1668" s="19">
        <f t="shared" si="403"/>
        <v>1436</v>
      </c>
      <c r="I1668" s="19">
        <f t="shared" si="404"/>
        <v>2872</v>
      </c>
      <c r="J1668" s="18">
        <f t="shared" si="405"/>
        <v>15419.05</v>
      </c>
    </row>
    <row r="1669" spans="1:10">
      <c r="B1669" s="447">
        <v>45948</v>
      </c>
      <c r="C1669" s="525" t="s">
        <v>1387</v>
      </c>
      <c r="D1669" s="305">
        <v>1</v>
      </c>
      <c r="E1669" s="305">
        <v>365</v>
      </c>
      <c r="F1669" s="19">
        <f t="shared" si="402"/>
        <v>365</v>
      </c>
      <c r="G1669" s="19">
        <v>3.59</v>
      </c>
      <c r="H1669" s="19">
        <f t="shared" si="403"/>
        <v>1310.3499999999999</v>
      </c>
      <c r="I1669" s="19">
        <f t="shared" si="404"/>
        <v>1310.3499999999999</v>
      </c>
      <c r="J1669" s="18">
        <f t="shared" si="405"/>
        <v>16729.399999999998</v>
      </c>
    </row>
    <row r="1670" spans="1:10">
      <c r="B1670" s="447">
        <v>45948</v>
      </c>
      <c r="C1670" s="525" t="s">
        <v>1511</v>
      </c>
      <c r="D1670" s="305">
        <v>1</v>
      </c>
      <c r="E1670" s="305">
        <v>270</v>
      </c>
      <c r="F1670" s="19">
        <f t="shared" si="402"/>
        <v>270</v>
      </c>
      <c r="G1670" s="19">
        <v>3.59</v>
      </c>
      <c r="H1670" s="19">
        <f t="shared" si="403"/>
        <v>969.3</v>
      </c>
      <c r="I1670" s="19">
        <f t="shared" si="404"/>
        <v>969.3</v>
      </c>
      <c r="J1670" s="18">
        <f t="shared" si="405"/>
        <v>17698.699999999997</v>
      </c>
    </row>
    <row r="1671" spans="1:10">
      <c r="B1671" s="447">
        <v>45948</v>
      </c>
      <c r="C1671" s="313" t="s">
        <v>1474</v>
      </c>
      <c r="D1671" s="305">
        <v>1</v>
      </c>
      <c r="E1671" s="305">
        <v>730</v>
      </c>
      <c r="F1671" s="19">
        <f t="shared" si="402"/>
        <v>730</v>
      </c>
      <c r="G1671" s="19">
        <v>3.59</v>
      </c>
      <c r="H1671" s="19">
        <f t="shared" si="403"/>
        <v>2620.6999999999998</v>
      </c>
      <c r="I1671" s="19">
        <f t="shared" si="404"/>
        <v>2620.6999999999998</v>
      </c>
      <c r="J1671" s="18">
        <f t="shared" si="405"/>
        <v>20319.399999999998</v>
      </c>
    </row>
    <row r="1672" spans="1:10">
      <c r="B1672" s="447">
        <v>45948</v>
      </c>
      <c r="C1672" s="313" t="s">
        <v>1475</v>
      </c>
      <c r="D1672" s="305">
        <v>1</v>
      </c>
      <c r="E1672" s="305">
        <v>360</v>
      </c>
      <c r="F1672" s="19">
        <f t="shared" si="402"/>
        <v>360</v>
      </c>
      <c r="G1672" s="19">
        <v>3.59</v>
      </c>
      <c r="H1672" s="19">
        <f t="shared" si="403"/>
        <v>1292.3999999999999</v>
      </c>
      <c r="I1672" s="19">
        <f t="shared" si="404"/>
        <v>1292.3999999999999</v>
      </c>
      <c r="J1672" s="18">
        <f t="shared" si="405"/>
        <v>21611.8</v>
      </c>
    </row>
    <row r="1673" spans="1:10">
      <c r="B1673" s="447">
        <v>45948</v>
      </c>
      <c r="C1673" s="313" t="s">
        <v>1476</v>
      </c>
      <c r="D1673" s="305">
        <v>4</v>
      </c>
      <c r="E1673" s="305">
        <v>690</v>
      </c>
      <c r="F1673" s="19">
        <f>E1673*D1673</f>
        <v>2760</v>
      </c>
      <c r="G1673" s="19">
        <v>3.59</v>
      </c>
      <c r="H1673" s="19">
        <f>E1673*G1673</f>
        <v>2477.1</v>
      </c>
      <c r="I1673" s="19">
        <f>H1673*D1673</f>
        <v>9908.4</v>
      </c>
      <c r="J1673" s="18">
        <f>J1672+I1673</f>
        <v>31520.199999999997</v>
      </c>
    </row>
    <row r="1674" spans="1:10">
      <c r="B1674" s="447">
        <v>45948</v>
      </c>
      <c r="C1674" s="313" t="s">
        <v>1453</v>
      </c>
      <c r="D1674" s="305">
        <v>3</v>
      </c>
      <c r="E1674" s="305">
        <v>705</v>
      </c>
      <c r="F1674" s="19">
        <f>E1674*D1674</f>
        <v>2115</v>
      </c>
      <c r="G1674" s="19">
        <v>3.59</v>
      </c>
      <c r="H1674" s="19">
        <f>E1674*G1674</f>
        <v>2530.9499999999998</v>
      </c>
      <c r="I1674" s="19">
        <f>H1674*D1674</f>
        <v>7592.8499999999995</v>
      </c>
      <c r="J1674" s="18">
        <f>J1673+I1674</f>
        <v>39113.049999999996</v>
      </c>
    </row>
    <row r="1675" spans="1:10">
      <c r="B1675" s="447">
        <v>45948</v>
      </c>
      <c r="C1675" s="313" t="s">
        <v>1442</v>
      </c>
      <c r="D1675" s="305">
        <v>1</v>
      </c>
      <c r="E1675" s="305">
        <v>750</v>
      </c>
      <c r="F1675" s="19">
        <f>E1675*D1675</f>
        <v>750</v>
      </c>
      <c r="G1675" s="19">
        <v>3.59</v>
      </c>
      <c r="H1675" s="19">
        <f>E1675*G1675</f>
        <v>2692.5</v>
      </c>
      <c r="I1675" s="19">
        <f>H1675*D1675</f>
        <v>2692.5</v>
      </c>
      <c r="J1675" s="18">
        <f>J1674+I1675</f>
        <v>41805.549999999996</v>
      </c>
    </row>
    <row r="1676" spans="1:10">
      <c r="B1676" s="19"/>
      <c r="C1676" s="19"/>
      <c r="D1676" s="19"/>
      <c r="E1676" s="19"/>
      <c r="F1676" s="19">
        <f>E1676*D1676</f>
        <v>0</v>
      </c>
      <c r="G1676" s="19"/>
      <c r="H1676" s="19">
        <f>E1676*G1676</f>
        <v>0</v>
      </c>
      <c r="I1676" s="19">
        <f>H1676*D1676</f>
        <v>0</v>
      </c>
      <c r="J1676" s="18">
        <f>J1675+I1676</f>
        <v>41805.549999999996</v>
      </c>
    </row>
    <row r="1680" spans="1:10" ht="21">
      <c r="A1680" t="s">
        <v>125</v>
      </c>
      <c r="B1680" s="1520" t="s">
        <v>20</v>
      </c>
      <c r="C1680" s="1520"/>
      <c r="D1680" s="1520"/>
      <c r="E1680" s="1520"/>
      <c r="F1680" s="1520"/>
      <c r="G1680" s="1520"/>
      <c r="H1680" s="1520"/>
      <c r="I1680" s="1520"/>
      <c r="J1680" s="1520"/>
    </row>
    <row r="1681" spans="1:11" ht="18.75">
      <c r="A1681" t="s">
        <v>212</v>
      </c>
      <c r="B1681" s="4" t="s">
        <v>1</v>
      </c>
      <c r="C1681" s="4" t="s">
        <v>2</v>
      </c>
      <c r="D1681" s="4" t="s">
        <v>3</v>
      </c>
      <c r="E1681" s="4" t="s">
        <v>4</v>
      </c>
      <c r="F1681" s="4" t="s">
        <v>36</v>
      </c>
      <c r="G1681" s="4" t="s">
        <v>5</v>
      </c>
      <c r="H1681" s="4" t="s">
        <v>6</v>
      </c>
      <c r="I1681" s="4" t="s">
        <v>7</v>
      </c>
      <c r="J1681" s="4"/>
    </row>
    <row r="1682" spans="1:11">
      <c r="B1682" s="81">
        <v>45953</v>
      </c>
      <c r="C1682" s="230" t="s">
        <v>1498</v>
      </c>
      <c r="D1682" s="19">
        <v>8</v>
      </c>
      <c r="E1682" s="19">
        <v>2199</v>
      </c>
      <c r="F1682" s="19">
        <f>E1682*D1682</f>
        <v>17592</v>
      </c>
      <c r="G1682" s="19">
        <v>2.3450000000000002</v>
      </c>
      <c r="H1682" s="19">
        <f>E1682*G1682</f>
        <v>5156.6550000000007</v>
      </c>
      <c r="I1682" s="19">
        <f>H1682*D1682</f>
        <v>41253.240000000005</v>
      </c>
      <c r="J1682" s="18">
        <f>J1681+I1682</f>
        <v>41253.240000000005</v>
      </c>
    </row>
    <row r="1683" spans="1:11">
      <c r="B1683" s="81">
        <v>45953</v>
      </c>
      <c r="C1683" s="230" t="s">
        <v>1523</v>
      </c>
      <c r="D1683" s="19">
        <v>4</v>
      </c>
      <c r="E1683" s="19">
        <v>2199</v>
      </c>
      <c r="F1683" s="19">
        <f>E1683*D1683</f>
        <v>8796</v>
      </c>
      <c r="G1683" s="19">
        <v>2.3450000000000002</v>
      </c>
      <c r="H1683" s="19">
        <f>E1683*G1683</f>
        <v>5156.6550000000007</v>
      </c>
      <c r="I1683" s="19">
        <f>H1683*D1683</f>
        <v>20626.620000000003</v>
      </c>
      <c r="J1683" s="18">
        <f>J1682+I1683</f>
        <v>61879.860000000008</v>
      </c>
    </row>
    <row r="1684" spans="1:11">
      <c r="B1684" s="19"/>
      <c r="C1684" s="19"/>
      <c r="D1684" s="19"/>
      <c r="E1684" s="19"/>
      <c r="F1684" s="19">
        <f>E1684*D1684</f>
        <v>0</v>
      </c>
      <c r="G1684" s="19"/>
      <c r="H1684" s="19">
        <f>E1684*G1684</f>
        <v>0</v>
      </c>
      <c r="I1684" s="19">
        <f>H1684*D1684</f>
        <v>0</v>
      </c>
      <c r="J1684" s="18">
        <f>J1683+I1684</f>
        <v>61879.860000000008</v>
      </c>
    </row>
    <row r="1687" spans="1:11" ht="21">
      <c r="A1687" t="s">
        <v>125</v>
      </c>
      <c r="B1687" s="1520" t="s">
        <v>35</v>
      </c>
      <c r="C1687" s="1520"/>
      <c r="D1687" s="1520"/>
      <c r="E1687" s="1520"/>
      <c r="F1687" s="1520"/>
      <c r="G1687" s="1520"/>
      <c r="H1687" s="1520"/>
      <c r="I1687" s="1520"/>
      <c r="J1687" s="1520"/>
    </row>
    <row r="1688" spans="1:11" ht="18.75">
      <c r="A1688" t="s">
        <v>212</v>
      </c>
      <c r="B1688" s="4" t="s">
        <v>1</v>
      </c>
      <c r="C1688" s="4" t="s">
        <v>2</v>
      </c>
      <c r="D1688" s="4" t="s">
        <v>3</v>
      </c>
      <c r="E1688" s="4" t="s">
        <v>4</v>
      </c>
      <c r="F1688" s="4" t="s">
        <v>36</v>
      </c>
      <c r="G1688" s="4" t="s">
        <v>5</v>
      </c>
      <c r="H1688" s="4" t="s">
        <v>6</v>
      </c>
      <c r="I1688" s="4" t="s">
        <v>7</v>
      </c>
      <c r="J1688" s="4"/>
    </row>
    <row r="1689" spans="1:11">
      <c r="B1689" s="209">
        <v>45957</v>
      </c>
      <c r="C1689" s="110" t="s">
        <v>1524</v>
      </c>
      <c r="D1689" s="127">
        <v>1</v>
      </c>
      <c r="E1689" s="127">
        <v>1449</v>
      </c>
      <c r="F1689" s="127">
        <f>E1689*D1689</f>
        <v>1449</v>
      </c>
      <c r="G1689" s="127">
        <v>2.15</v>
      </c>
      <c r="H1689" s="127">
        <f>E1689*G1689</f>
        <v>3115.35</v>
      </c>
      <c r="I1689" s="127">
        <f>H1689*D1689</f>
        <v>3115.35</v>
      </c>
      <c r="J1689" s="110">
        <f>J1688+I1689</f>
        <v>3115.35</v>
      </c>
    </row>
    <row r="1690" spans="1:11">
      <c r="B1690" s="209">
        <v>45957</v>
      </c>
      <c r="C1690" s="110" t="s">
        <v>1525</v>
      </c>
      <c r="D1690" s="127">
        <v>2</v>
      </c>
      <c r="E1690" s="127">
        <v>1445</v>
      </c>
      <c r="F1690" s="127">
        <f>E1690*D1690</f>
        <v>2890</v>
      </c>
      <c r="G1690" s="127">
        <v>2.15</v>
      </c>
      <c r="H1690" s="127">
        <f>E1690*G1690</f>
        <v>3106.75</v>
      </c>
      <c r="I1690" s="127">
        <f>H1690*D1690</f>
        <v>6213.5</v>
      </c>
      <c r="J1690" s="110">
        <f>J1689+I1690</f>
        <v>9328.85</v>
      </c>
    </row>
    <row r="1691" spans="1:11">
      <c r="B1691" s="543"/>
      <c r="C1691" s="19"/>
      <c r="D1691" s="19"/>
      <c r="E1691" s="19"/>
      <c r="F1691" s="19">
        <f>E1691*D1691</f>
        <v>0</v>
      </c>
      <c r="G1691" s="19"/>
      <c r="H1691" s="19">
        <f>E1691*G1691</f>
        <v>0</v>
      </c>
      <c r="I1691" s="19">
        <f>H1691*D1691</f>
        <v>0</v>
      </c>
      <c r="J1691" s="18">
        <f>J1690+I1691</f>
        <v>9328.85</v>
      </c>
    </row>
    <row r="1695" spans="1:11" ht="21">
      <c r="A1695" t="s">
        <v>125</v>
      </c>
      <c r="B1695" s="1523" t="s">
        <v>376</v>
      </c>
      <c r="C1695" s="1523"/>
      <c r="D1695" s="1523"/>
      <c r="E1695" s="1523"/>
      <c r="F1695" s="1523"/>
      <c r="G1695" s="1523"/>
      <c r="H1695" s="1523"/>
      <c r="I1695" s="1523"/>
      <c r="J1695" s="1523"/>
      <c r="K1695" t="s">
        <v>1570</v>
      </c>
    </row>
    <row r="1696" spans="1:11" ht="18.75">
      <c r="B1696" s="4" t="s">
        <v>1</v>
      </c>
      <c r="C1696" s="4" t="s">
        <v>2</v>
      </c>
      <c r="D1696" s="4" t="s">
        <v>3</v>
      </c>
      <c r="E1696" s="514" t="s">
        <v>132</v>
      </c>
      <c r="F1696" s="514" t="s">
        <v>133</v>
      </c>
      <c r="G1696" s="4" t="s">
        <v>5</v>
      </c>
      <c r="H1696" s="4" t="s">
        <v>6</v>
      </c>
      <c r="I1696" s="4" t="s">
        <v>7</v>
      </c>
      <c r="J1696" s="4"/>
    </row>
    <row r="1697" spans="2:10">
      <c r="B1697" s="81">
        <v>45959</v>
      </c>
      <c r="C1697" s="80" t="s">
        <v>1293</v>
      </c>
      <c r="D1697" s="19">
        <v>42</v>
      </c>
      <c r="E1697" s="556">
        <v>410</v>
      </c>
      <c r="F1697" s="556">
        <f t="shared" ref="F1697:F1731" si="406">E1697*D1697</f>
        <v>17220</v>
      </c>
      <c r="G1697" s="19">
        <v>3.59</v>
      </c>
      <c r="H1697" s="19">
        <f t="shared" ref="H1697:H1731" si="407">E1697*G1697</f>
        <v>1471.8999999999999</v>
      </c>
      <c r="I1697" s="19">
        <f t="shared" ref="I1697:I1731" si="408">H1697*D1697</f>
        <v>61819.799999999996</v>
      </c>
      <c r="J1697" s="18">
        <f t="shared" ref="J1697:J1731" si="409">J1696+I1697</f>
        <v>61819.799999999996</v>
      </c>
    </row>
    <row r="1698" spans="2:10">
      <c r="B1698" s="81">
        <v>45959</v>
      </c>
      <c r="C1698" s="80" t="s">
        <v>1292</v>
      </c>
      <c r="D1698" s="19">
        <v>16</v>
      </c>
      <c r="E1698" s="556">
        <v>425</v>
      </c>
      <c r="F1698" s="556">
        <f t="shared" si="406"/>
        <v>6800</v>
      </c>
      <c r="G1698" s="19">
        <v>3.59</v>
      </c>
      <c r="H1698" s="19">
        <f t="shared" si="407"/>
        <v>1525.75</v>
      </c>
      <c r="I1698" s="19">
        <f t="shared" si="408"/>
        <v>24412</v>
      </c>
      <c r="J1698" s="18">
        <f t="shared" si="409"/>
        <v>86231.799999999988</v>
      </c>
    </row>
    <row r="1699" spans="2:10">
      <c r="B1699" s="81">
        <v>45959</v>
      </c>
      <c r="C1699" s="80" t="s">
        <v>1552</v>
      </c>
      <c r="D1699" s="19">
        <v>12</v>
      </c>
      <c r="E1699" s="556">
        <v>730</v>
      </c>
      <c r="F1699" s="556">
        <f t="shared" si="406"/>
        <v>8760</v>
      </c>
      <c r="G1699" s="19">
        <v>3.59</v>
      </c>
      <c r="H1699" s="19">
        <f t="shared" si="407"/>
        <v>2620.6999999999998</v>
      </c>
      <c r="I1699" s="19">
        <f t="shared" si="408"/>
        <v>31448.399999999998</v>
      </c>
      <c r="J1699" s="18">
        <f t="shared" si="409"/>
        <v>117680.19999999998</v>
      </c>
    </row>
    <row r="1700" spans="2:10">
      <c r="B1700" s="81">
        <v>45959</v>
      </c>
      <c r="C1700" s="80" t="s">
        <v>1563</v>
      </c>
      <c r="D1700" s="19">
        <v>10</v>
      </c>
      <c r="E1700" s="556">
        <v>230</v>
      </c>
      <c r="F1700" s="556">
        <f t="shared" si="406"/>
        <v>2300</v>
      </c>
      <c r="G1700" s="19">
        <v>3.59</v>
      </c>
      <c r="H1700" s="19">
        <f t="shared" si="407"/>
        <v>825.69999999999993</v>
      </c>
      <c r="I1700" s="19">
        <f t="shared" si="408"/>
        <v>8257</v>
      </c>
      <c r="J1700" s="18">
        <f t="shared" si="409"/>
        <v>125937.19999999998</v>
      </c>
    </row>
    <row r="1701" spans="2:10">
      <c r="B1701" s="81">
        <v>45959</v>
      </c>
      <c r="C1701" s="80" t="s">
        <v>1182</v>
      </c>
      <c r="D1701" s="19">
        <v>6</v>
      </c>
      <c r="E1701" s="556">
        <v>600</v>
      </c>
      <c r="F1701" s="556">
        <f t="shared" si="406"/>
        <v>3600</v>
      </c>
      <c r="G1701" s="19">
        <v>3.59</v>
      </c>
      <c r="H1701" s="19">
        <f t="shared" si="407"/>
        <v>2154</v>
      </c>
      <c r="I1701" s="19">
        <f t="shared" si="408"/>
        <v>12924</v>
      </c>
      <c r="J1701" s="18">
        <f t="shared" si="409"/>
        <v>138861.19999999998</v>
      </c>
    </row>
    <row r="1702" spans="2:10">
      <c r="B1702" s="81">
        <v>45959</v>
      </c>
      <c r="C1702" s="80" t="s">
        <v>1151</v>
      </c>
      <c r="D1702" s="19">
        <v>5</v>
      </c>
      <c r="E1702" s="556">
        <v>400</v>
      </c>
      <c r="F1702" s="556">
        <f t="shared" si="406"/>
        <v>2000</v>
      </c>
      <c r="G1702" s="19">
        <v>3.59</v>
      </c>
      <c r="H1702" s="19">
        <f t="shared" si="407"/>
        <v>1436</v>
      </c>
      <c r="I1702" s="19">
        <f t="shared" si="408"/>
        <v>7180</v>
      </c>
      <c r="J1702" s="18">
        <f t="shared" si="409"/>
        <v>146041.19999999998</v>
      </c>
    </row>
    <row r="1703" spans="2:10">
      <c r="B1703" s="81">
        <v>45959</v>
      </c>
      <c r="C1703" s="80" t="s">
        <v>1291</v>
      </c>
      <c r="D1703" s="19">
        <v>5</v>
      </c>
      <c r="E1703" s="556">
        <v>700</v>
      </c>
      <c r="F1703" s="556">
        <f t="shared" si="406"/>
        <v>3500</v>
      </c>
      <c r="G1703" s="19">
        <v>3.59</v>
      </c>
      <c r="H1703" s="19">
        <f t="shared" si="407"/>
        <v>2513</v>
      </c>
      <c r="I1703" s="19">
        <f t="shared" si="408"/>
        <v>12565</v>
      </c>
      <c r="J1703" s="18">
        <f t="shared" si="409"/>
        <v>158606.19999999998</v>
      </c>
    </row>
    <row r="1704" spans="2:10">
      <c r="B1704" s="81">
        <v>45959</v>
      </c>
      <c r="C1704" s="80" t="s">
        <v>1546</v>
      </c>
      <c r="D1704" s="19">
        <v>3</v>
      </c>
      <c r="E1704" s="556">
        <v>575</v>
      </c>
      <c r="F1704" s="556">
        <f t="shared" si="406"/>
        <v>1725</v>
      </c>
      <c r="G1704" s="19">
        <v>3.59</v>
      </c>
      <c r="H1704" s="19">
        <f t="shared" si="407"/>
        <v>2064.25</v>
      </c>
      <c r="I1704" s="19">
        <f t="shared" si="408"/>
        <v>6192.75</v>
      </c>
      <c r="J1704" s="18">
        <f t="shared" si="409"/>
        <v>164798.94999999998</v>
      </c>
    </row>
    <row r="1705" spans="2:10">
      <c r="B1705" s="81">
        <v>45959</v>
      </c>
      <c r="C1705" s="80" t="s">
        <v>1555</v>
      </c>
      <c r="D1705" s="19">
        <v>3</v>
      </c>
      <c r="E1705" s="556">
        <v>940</v>
      </c>
      <c r="F1705" s="556">
        <f t="shared" si="406"/>
        <v>2820</v>
      </c>
      <c r="G1705" s="19">
        <v>3.59</v>
      </c>
      <c r="H1705" s="19">
        <f t="shared" si="407"/>
        <v>3374.6</v>
      </c>
      <c r="I1705" s="19">
        <f t="shared" si="408"/>
        <v>10123.799999999999</v>
      </c>
      <c r="J1705" s="18">
        <f t="shared" si="409"/>
        <v>174922.74999999997</v>
      </c>
    </row>
    <row r="1706" spans="2:10">
      <c r="B1706" s="81">
        <v>45959</v>
      </c>
      <c r="C1706" s="80" t="s">
        <v>1432</v>
      </c>
      <c r="D1706" s="19">
        <v>2</v>
      </c>
      <c r="E1706" s="556">
        <v>1</v>
      </c>
      <c r="F1706" s="556">
        <f t="shared" si="406"/>
        <v>2</v>
      </c>
      <c r="G1706" s="19">
        <v>3.59</v>
      </c>
      <c r="H1706" s="19">
        <f t="shared" si="407"/>
        <v>3.59</v>
      </c>
      <c r="I1706" s="19">
        <f t="shared" si="408"/>
        <v>7.18</v>
      </c>
      <c r="J1706" s="18">
        <f t="shared" si="409"/>
        <v>174929.92999999996</v>
      </c>
    </row>
    <row r="1707" spans="2:10">
      <c r="B1707" s="81">
        <v>45959</v>
      </c>
      <c r="C1707" s="80" t="s">
        <v>1553</v>
      </c>
      <c r="D1707" s="19">
        <v>2</v>
      </c>
      <c r="E1707" s="556">
        <v>740</v>
      </c>
      <c r="F1707" s="556">
        <f t="shared" si="406"/>
        <v>1480</v>
      </c>
      <c r="G1707" s="19">
        <v>3.59</v>
      </c>
      <c r="H1707" s="19">
        <f t="shared" si="407"/>
        <v>2656.6</v>
      </c>
      <c r="I1707" s="19">
        <f t="shared" si="408"/>
        <v>5313.2</v>
      </c>
      <c r="J1707" s="18">
        <f t="shared" si="409"/>
        <v>180243.12999999998</v>
      </c>
    </row>
    <row r="1708" spans="2:10">
      <c r="B1708" s="81">
        <v>45959</v>
      </c>
      <c r="C1708" s="80" t="s">
        <v>1554</v>
      </c>
      <c r="D1708" s="19">
        <v>2</v>
      </c>
      <c r="E1708" s="556">
        <v>800</v>
      </c>
      <c r="F1708" s="556">
        <f t="shared" si="406"/>
        <v>1600</v>
      </c>
      <c r="G1708" s="19">
        <v>3.59</v>
      </c>
      <c r="H1708" s="19">
        <f t="shared" si="407"/>
        <v>2872</v>
      </c>
      <c r="I1708" s="19">
        <f t="shared" si="408"/>
        <v>5744</v>
      </c>
      <c r="J1708" s="18">
        <f t="shared" si="409"/>
        <v>185987.12999999998</v>
      </c>
    </row>
    <row r="1709" spans="2:10">
      <c r="B1709" s="81">
        <v>45959</v>
      </c>
      <c r="C1709" s="80" t="s">
        <v>1556</v>
      </c>
      <c r="D1709" s="19">
        <v>2</v>
      </c>
      <c r="E1709" s="556">
        <v>980</v>
      </c>
      <c r="F1709" s="556">
        <f t="shared" si="406"/>
        <v>1960</v>
      </c>
      <c r="G1709" s="19">
        <v>3.59</v>
      </c>
      <c r="H1709" s="19">
        <f t="shared" si="407"/>
        <v>3518.2</v>
      </c>
      <c r="I1709" s="19">
        <f t="shared" si="408"/>
        <v>7036.4</v>
      </c>
      <c r="J1709" s="18">
        <f t="shared" si="409"/>
        <v>193023.52999999997</v>
      </c>
    </row>
    <row r="1710" spans="2:10">
      <c r="B1710" s="447">
        <v>45959</v>
      </c>
      <c r="C1710" s="525" t="s">
        <v>1841</v>
      </c>
      <c r="D1710" s="305">
        <v>2</v>
      </c>
      <c r="E1710" s="599">
        <v>550</v>
      </c>
      <c r="F1710" s="599">
        <f t="shared" si="406"/>
        <v>1100</v>
      </c>
      <c r="G1710" s="305">
        <v>3.59</v>
      </c>
      <c r="H1710" s="305">
        <f t="shared" si="407"/>
        <v>1974.5</v>
      </c>
      <c r="I1710" s="305">
        <f t="shared" si="408"/>
        <v>3949</v>
      </c>
      <c r="J1710" s="313">
        <f t="shared" si="409"/>
        <v>196972.52999999997</v>
      </c>
    </row>
    <row r="1711" spans="2:10">
      <c r="B1711" s="81">
        <v>45959</v>
      </c>
      <c r="C1711" s="516" t="s">
        <v>1558</v>
      </c>
      <c r="D1711" s="19">
        <v>2</v>
      </c>
      <c r="E1711" s="556">
        <v>430</v>
      </c>
      <c r="F1711" s="556">
        <f t="shared" si="406"/>
        <v>860</v>
      </c>
      <c r="G1711" s="19">
        <v>3.59</v>
      </c>
      <c r="H1711" s="19">
        <f t="shared" si="407"/>
        <v>1543.7</v>
      </c>
      <c r="I1711" s="19">
        <f t="shared" si="408"/>
        <v>3087.4</v>
      </c>
      <c r="J1711" s="18">
        <f t="shared" si="409"/>
        <v>200059.92999999996</v>
      </c>
    </row>
    <row r="1712" spans="2:10">
      <c r="B1712" s="81">
        <v>45959</v>
      </c>
      <c r="C1712" s="80" t="s">
        <v>1559</v>
      </c>
      <c r="D1712" s="19">
        <v>2</v>
      </c>
      <c r="E1712" s="556">
        <v>225</v>
      </c>
      <c r="F1712" s="556">
        <f t="shared" si="406"/>
        <v>450</v>
      </c>
      <c r="G1712" s="19">
        <v>3.59</v>
      </c>
      <c r="H1712" s="19">
        <f t="shared" si="407"/>
        <v>807.75</v>
      </c>
      <c r="I1712" s="19">
        <f t="shared" si="408"/>
        <v>1615.5</v>
      </c>
      <c r="J1712" s="18">
        <f t="shared" si="409"/>
        <v>201675.42999999996</v>
      </c>
    </row>
    <row r="1713" spans="2:10">
      <c r="B1713" s="81">
        <v>45959</v>
      </c>
      <c r="C1713" s="80" t="s">
        <v>1560</v>
      </c>
      <c r="D1713" s="19">
        <v>2</v>
      </c>
      <c r="E1713" s="556">
        <v>280</v>
      </c>
      <c r="F1713" s="556">
        <f t="shared" si="406"/>
        <v>560</v>
      </c>
      <c r="G1713" s="19">
        <v>3.59</v>
      </c>
      <c r="H1713" s="19">
        <f t="shared" si="407"/>
        <v>1005.1999999999999</v>
      </c>
      <c r="I1713" s="19">
        <f t="shared" si="408"/>
        <v>2010.3999999999999</v>
      </c>
      <c r="J1713" s="18">
        <f t="shared" si="409"/>
        <v>203685.82999999996</v>
      </c>
    </row>
    <row r="1714" spans="2:10">
      <c r="B1714" s="81">
        <v>45959</v>
      </c>
      <c r="C1714" s="80" t="s">
        <v>1547</v>
      </c>
      <c r="D1714" s="19">
        <v>1</v>
      </c>
      <c r="E1714" s="556">
        <v>1</v>
      </c>
      <c r="F1714" s="556">
        <f t="shared" si="406"/>
        <v>1</v>
      </c>
      <c r="G1714" s="19">
        <v>3.59</v>
      </c>
      <c r="H1714" s="19">
        <f t="shared" si="407"/>
        <v>3.59</v>
      </c>
      <c r="I1714" s="19">
        <f t="shared" si="408"/>
        <v>3.59</v>
      </c>
      <c r="J1714" s="18">
        <f t="shared" si="409"/>
        <v>203689.41999999995</v>
      </c>
    </row>
    <row r="1715" spans="2:10">
      <c r="B1715" s="81">
        <v>45959</v>
      </c>
      <c r="C1715" s="80" t="s">
        <v>1548</v>
      </c>
      <c r="D1715" s="19">
        <v>1</v>
      </c>
      <c r="E1715" s="556">
        <v>1</v>
      </c>
      <c r="F1715" s="556">
        <f t="shared" si="406"/>
        <v>1</v>
      </c>
      <c r="G1715" s="19">
        <v>3.59</v>
      </c>
      <c r="H1715" s="19">
        <f t="shared" si="407"/>
        <v>3.59</v>
      </c>
      <c r="I1715" s="19">
        <f t="shared" si="408"/>
        <v>3.59</v>
      </c>
      <c r="J1715" s="18">
        <f t="shared" si="409"/>
        <v>203693.00999999995</v>
      </c>
    </row>
    <row r="1716" spans="2:10">
      <c r="B1716" s="81">
        <v>45959</v>
      </c>
      <c r="C1716" s="80" t="s">
        <v>1549</v>
      </c>
      <c r="D1716" s="19">
        <v>1</v>
      </c>
      <c r="E1716" s="556">
        <v>1</v>
      </c>
      <c r="F1716" s="556">
        <f t="shared" si="406"/>
        <v>1</v>
      </c>
      <c r="G1716" s="19">
        <v>3.59</v>
      </c>
      <c r="H1716" s="19">
        <f t="shared" si="407"/>
        <v>3.59</v>
      </c>
      <c r="I1716" s="19">
        <f t="shared" si="408"/>
        <v>3.59</v>
      </c>
      <c r="J1716" s="18">
        <f t="shared" si="409"/>
        <v>203696.59999999995</v>
      </c>
    </row>
    <row r="1717" spans="2:10">
      <c r="B1717" s="81">
        <v>45959</v>
      </c>
      <c r="C1717" s="80" t="s">
        <v>1432</v>
      </c>
      <c r="D1717" s="19">
        <v>1</v>
      </c>
      <c r="E1717" s="556">
        <v>725</v>
      </c>
      <c r="F1717" s="556">
        <f t="shared" si="406"/>
        <v>725</v>
      </c>
      <c r="G1717" s="19">
        <v>3.59</v>
      </c>
      <c r="H1717" s="19">
        <f t="shared" si="407"/>
        <v>2602.75</v>
      </c>
      <c r="I1717" s="19">
        <f t="shared" si="408"/>
        <v>2602.75</v>
      </c>
      <c r="J1717" s="18">
        <f t="shared" si="409"/>
        <v>206299.34999999995</v>
      </c>
    </row>
    <row r="1718" spans="2:10">
      <c r="B1718" s="81">
        <v>45959</v>
      </c>
      <c r="C1718" s="80" t="s">
        <v>1550</v>
      </c>
      <c r="D1718" s="19">
        <v>1</v>
      </c>
      <c r="E1718" s="556">
        <v>850</v>
      </c>
      <c r="F1718" s="556">
        <f t="shared" si="406"/>
        <v>850</v>
      </c>
      <c r="G1718" s="19">
        <v>3.59</v>
      </c>
      <c r="H1718" s="19">
        <f t="shared" si="407"/>
        <v>3051.5</v>
      </c>
      <c r="I1718" s="19">
        <f t="shared" si="408"/>
        <v>3051.5</v>
      </c>
      <c r="J1718" s="18">
        <f t="shared" si="409"/>
        <v>209350.84999999995</v>
      </c>
    </row>
    <row r="1719" spans="2:10">
      <c r="B1719" s="447">
        <v>45959</v>
      </c>
      <c r="C1719" s="525" t="s">
        <v>1839</v>
      </c>
      <c r="D1719" s="305">
        <v>1</v>
      </c>
      <c r="E1719" s="599">
        <v>920</v>
      </c>
      <c r="F1719" s="599">
        <f t="shared" si="406"/>
        <v>920</v>
      </c>
      <c r="G1719" s="305">
        <v>3.59</v>
      </c>
      <c r="H1719" s="305">
        <f t="shared" si="407"/>
        <v>3302.7999999999997</v>
      </c>
      <c r="I1719" s="305">
        <f t="shared" si="408"/>
        <v>3302.7999999999997</v>
      </c>
      <c r="J1719" s="313">
        <f t="shared" si="409"/>
        <v>212653.64999999994</v>
      </c>
    </row>
    <row r="1720" spans="2:10">
      <c r="B1720" s="81">
        <v>45959</v>
      </c>
      <c r="C1720" s="80" t="s">
        <v>1432</v>
      </c>
      <c r="D1720" s="19">
        <v>1</v>
      </c>
      <c r="E1720" s="556">
        <v>1</v>
      </c>
      <c r="F1720" s="556">
        <f t="shared" si="406"/>
        <v>1</v>
      </c>
      <c r="G1720" s="19">
        <v>3.59</v>
      </c>
      <c r="H1720" s="19">
        <f t="shared" si="407"/>
        <v>3.59</v>
      </c>
      <c r="I1720" s="19">
        <f t="shared" si="408"/>
        <v>3.59</v>
      </c>
      <c r="J1720" s="18">
        <f t="shared" si="409"/>
        <v>212657.23999999993</v>
      </c>
    </row>
    <row r="1721" spans="2:10">
      <c r="B1721" s="81">
        <v>45959</v>
      </c>
      <c r="C1721" s="80" t="s">
        <v>1551</v>
      </c>
      <c r="D1721" s="19">
        <v>1</v>
      </c>
      <c r="E1721" s="556">
        <v>1</v>
      </c>
      <c r="F1721" s="556">
        <f t="shared" si="406"/>
        <v>1</v>
      </c>
      <c r="G1721" s="19">
        <v>3.59</v>
      </c>
      <c r="H1721" s="19">
        <f t="shared" si="407"/>
        <v>3.59</v>
      </c>
      <c r="I1721" s="19">
        <f t="shared" si="408"/>
        <v>3.59</v>
      </c>
      <c r="J1721" s="18">
        <f t="shared" si="409"/>
        <v>212660.82999999993</v>
      </c>
    </row>
    <row r="1722" spans="2:10">
      <c r="B1722" s="81">
        <v>45959</v>
      </c>
      <c r="C1722" s="80" t="s">
        <v>1557</v>
      </c>
      <c r="D1722" s="19">
        <v>1</v>
      </c>
      <c r="E1722" s="556">
        <v>1080</v>
      </c>
      <c r="F1722" s="556">
        <f t="shared" si="406"/>
        <v>1080</v>
      </c>
      <c r="G1722" s="19">
        <v>3.59</v>
      </c>
      <c r="H1722" s="19">
        <f t="shared" si="407"/>
        <v>3877.2</v>
      </c>
      <c r="I1722" s="19">
        <f t="shared" si="408"/>
        <v>3877.2</v>
      </c>
      <c r="J1722" s="18">
        <f t="shared" si="409"/>
        <v>216538.02999999994</v>
      </c>
    </row>
    <row r="1723" spans="2:10">
      <c r="B1723" s="81">
        <v>45959</v>
      </c>
      <c r="C1723" s="80" t="s">
        <v>1560</v>
      </c>
      <c r="D1723" s="19">
        <v>1</v>
      </c>
      <c r="E1723" s="556">
        <v>1</v>
      </c>
      <c r="F1723" s="556">
        <f t="shared" si="406"/>
        <v>1</v>
      </c>
      <c r="G1723" s="19">
        <v>3.59</v>
      </c>
      <c r="H1723" s="19">
        <f t="shared" si="407"/>
        <v>3.59</v>
      </c>
      <c r="I1723" s="19">
        <f t="shared" si="408"/>
        <v>3.59</v>
      </c>
      <c r="J1723" s="18">
        <f t="shared" si="409"/>
        <v>216541.61999999994</v>
      </c>
    </row>
    <row r="1724" spans="2:10">
      <c r="B1724" s="81">
        <v>45959</v>
      </c>
      <c r="C1724" s="80" t="s">
        <v>1561</v>
      </c>
      <c r="D1724" s="19">
        <v>1</v>
      </c>
      <c r="E1724" s="556">
        <v>30</v>
      </c>
      <c r="F1724" s="556">
        <f t="shared" si="406"/>
        <v>30</v>
      </c>
      <c r="G1724" s="19">
        <v>3.59</v>
      </c>
      <c r="H1724" s="19">
        <f t="shared" si="407"/>
        <v>107.69999999999999</v>
      </c>
      <c r="I1724" s="19">
        <f t="shared" si="408"/>
        <v>107.69999999999999</v>
      </c>
      <c r="J1724" s="18">
        <f t="shared" si="409"/>
        <v>216649.31999999995</v>
      </c>
    </row>
    <row r="1725" spans="2:10">
      <c r="B1725" s="81">
        <v>45959</v>
      </c>
      <c r="C1725" s="537" t="s">
        <v>1545</v>
      </c>
      <c r="D1725" s="19">
        <v>1</v>
      </c>
      <c r="E1725" s="556">
        <v>1180</v>
      </c>
      <c r="F1725" s="556">
        <f t="shared" si="406"/>
        <v>1180</v>
      </c>
      <c r="G1725" s="19">
        <v>3.59</v>
      </c>
      <c r="H1725" s="19">
        <f t="shared" si="407"/>
        <v>4236.2</v>
      </c>
      <c r="I1725" s="19">
        <f t="shared" si="408"/>
        <v>4236.2</v>
      </c>
      <c r="J1725" s="18">
        <f t="shared" si="409"/>
        <v>220885.51999999996</v>
      </c>
    </row>
    <row r="1726" spans="2:10">
      <c r="B1726" s="81">
        <v>45959</v>
      </c>
      <c r="C1726" s="80" t="s">
        <v>1562</v>
      </c>
      <c r="D1726" s="19">
        <v>1</v>
      </c>
      <c r="E1726" s="556">
        <v>1200</v>
      </c>
      <c r="F1726" s="556">
        <f t="shared" si="406"/>
        <v>1200</v>
      </c>
      <c r="G1726" s="19">
        <v>3.59</v>
      </c>
      <c r="H1726" s="19">
        <f t="shared" si="407"/>
        <v>4308</v>
      </c>
      <c r="I1726" s="19">
        <f t="shared" si="408"/>
        <v>4308</v>
      </c>
      <c r="J1726" s="18">
        <f t="shared" si="409"/>
        <v>225193.51999999996</v>
      </c>
    </row>
    <row r="1727" spans="2:10">
      <c r="B1727" s="81">
        <v>45959</v>
      </c>
      <c r="C1727" s="80" t="s">
        <v>1562</v>
      </c>
      <c r="D1727" s="19">
        <v>1</v>
      </c>
      <c r="E1727" s="556">
        <v>1150</v>
      </c>
      <c r="F1727" s="556">
        <f t="shared" si="406"/>
        <v>1150</v>
      </c>
      <c r="G1727" s="19">
        <v>3.59</v>
      </c>
      <c r="H1727" s="19">
        <f t="shared" si="407"/>
        <v>4128.5</v>
      </c>
      <c r="I1727" s="19">
        <f t="shared" si="408"/>
        <v>4128.5</v>
      </c>
      <c r="J1727" s="18">
        <f t="shared" si="409"/>
        <v>229322.01999999996</v>
      </c>
    </row>
    <row r="1728" spans="2:10">
      <c r="B1728" s="81">
        <v>45959</v>
      </c>
      <c r="C1728" s="80" t="s">
        <v>1564</v>
      </c>
      <c r="D1728" s="19">
        <v>1</v>
      </c>
      <c r="E1728" s="556">
        <v>180</v>
      </c>
      <c r="F1728" s="556">
        <f t="shared" si="406"/>
        <v>180</v>
      </c>
      <c r="G1728" s="19">
        <v>3.59</v>
      </c>
      <c r="H1728" s="19">
        <f t="shared" si="407"/>
        <v>646.19999999999993</v>
      </c>
      <c r="I1728" s="19">
        <f t="shared" si="408"/>
        <v>646.19999999999993</v>
      </c>
      <c r="J1728" s="18">
        <f t="shared" si="409"/>
        <v>229968.21999999997</v>
      </c>
    </row>
    <row r="1729" spans="1:10">
      <c r="B1729" s="81">
        <v>45959</v>
      </c>
      <c r="C1729" s="80" t="s">
        <v>1565</v>
      </c>
      <c r="D1729" s="19">
        <v>1</v>
      </c>
      <c r="E1729" s="556">
        <v>1</v>
      </c>
      <c r="F1729" s="556">
        <f t="shared" si="406"/>
        <v>1</v>
      </c>
      <c r="G1729" s="19">
        <v>3.59</v>
      </c>
      <c r="H1729" s="19">
        <f t="shared" si="407"/>
        <v>3.59</v>
      </c>
      <c r="I1729" s="19">
        <f t="shared" si="408"/>
        <v>3.59</v>
      </c>
      <c r="J1729" s="18">
        <f t="shared" si="409"/>
        <v>229971.80999999997</v>
      </c>
    </row>
    <row r="1730" spans="1:10">
      <c r="B1730" s="81">
        <v>45959</v>
      </c>
      <c r="C1730" s="80" t="s">
        <v>1566</v>
      </c>
      <c r="D1730" s="19">
        <v>1</v>
      </c>
      <c r="E1730" s="556">
        <v>1</v>
      </c>
      <c r="F1730" s="556">
        <f t="shared" si="406"/>
        <v>1</v>
      </c>
      <c r="G1730" s="19">
        <v>3.59</v>
      </c>
      <c r="H1730" s="19">
        <f t="shared" si="407"/>
        <v>3.59</v>
      </c>
      <c r="I1730" s="19">
        <f t="shared" si="408"/>
        <v>3.59</v>
      </c>
      <c r="J1730" s="18">
        <f t="shared" si="409"/>
        <v>229975.39999999997</v>
      </c>
    </row>
    <row r="1731" spans="1:10">
      <c r="B1731" s="19"/>
      <c r="C1731" s="19"/>
      <c r="D1731" s="19"/>
      <c r="E1731" s="19"/>
      <c r="F1731" s="19">
        <f t="shared" si="406"/>
        <v>0</v>
      </c>
      <c r="G1731" s="19"/>
      <c r="H1731" s="19">
        <f t="shared" si="407"/>
        <v>0</v>
      </c>
      <c r="I1731" s="19">
        <f t="shared" si="408"/>
        <v>0</v>
      </c>
      <c r="J1731" s="18">
        <f t="shared" si="409"/>
        <v>229975.39999999997</v>
      </c>
    </row>
    <row r="1735" spans="1:10" ht="21">
      <c r="A1735" t="s">
        <v>125</v>
      </c>
      <c r="B1735" s="1520" t="s">
        <v>20</v>
      </c>
      <c r="C1735" s="1520"/>
      <c r="D1735" s="1520"/>
      <c r="E1735" s="1520"/>
      <c r="F1735" s="1520"/>
      <c r="G1735" s="1520"/>
      <c r="H1735" s="1520"/>
      <c r="I1735" s="1520"/>
      <c r="J1735" s="1520"/>
    </row>
    <row r="1736" spans="1:10" ht="18.75">
      <c r="A1736" t="s">
        <v>212</v>
      </c>
      <c r="B1736" s="4" t="s">
        <v>1</v>
      </c>
      <c r="C1736" s="4" t="s">
        <v>2</v>
      </c>
      <c r="D1736" s="4" t="s">
        <v>3</v>
      </c>
      <c r="E1736" s="4" t="s">
        <v>4</v>
      </c>
      <c r="F1736" s="4" t="s">
        <v>36</v>
      </c>
      <c r="G1736" s="4" t="s">
        <v>5</v>
      </c>
      <c r="H1736" s="4" t="s">
        <v>6</v>
      </c>
      <c r="I1736" s="4" t="s">
        <v>7</v>
      </c>
      <c r="J1736" s="4"/>
    </row>
    <row r="1737" spans="1:10">
      <c r="B1737" s="560">
        <v>45960</v>
      </c>
      <c r="C1737" s="18" t="s">
        <v>1571</v>
      </c>
      <c r="D1737" s="19">
        <v>5</v>
      </c>
      <c r="E1737" s="19">
        <v>150</v>
      </c>
      <c r="F1737" s="19">
        <f>E1737*D1737</f>
        <v>750</v>
      </c>
      <c r="G1737" s="19">
        <v>2.3450000000000002</v>
      </c>
      <c r="H1737" s="19">
        <f>E1737*G1737</f>
        <v>351.75000000000006</v>
      </c>
      <c r="I1737" s="19">
        <f>H1737*D1737</f>
        <v>1758.7500000000002</v>
      </c>
      <c r="J1737" s="18">
        <f>J1736+I1737</f>
        <v>1758.7500000000002</v>
      </c>
    </row>
    <row r="1738" spans="1:10">
      <c r="B1738" s="560">
        <v>45960</v>
      </c>
      <c r="C1738" s="18" t="s">
        <v>1572</v>
      </c>
      <c r="D1738" s="19">
        <v>4</v>
      </c>
      <c r="E1738" s="19">
        <v>150</v>
      </c>
      <c r="F1738" s="19">
        <f>E1738*D1738</f>
        <v>600</v>
      </c>
      <c r="G1738" s="19">
        <v>2.3450000000000002</v>
      </c>
      <c r="H1738" s="19">
        <f>E1738*G1738</f>
        <v>351.75000000000006</v>
      </c>
      <c r="I1738" s="19">
        <f>H1738*D1738</f>
        <v>1407.0000000000002</v>
      </c>
      <c r="J1738" s="18">
        <f>J1737+I1738</f>
        <v>3165.7500000000005</v>
      </c>
    </row>
    <row r="1739" spans="1:10">
      <c r="B1739" s="561">
        <v>45961</v>
      </c>
      <c r="C1739" s="110" t="s">
        <v>1573</v>
      </c>
      <c r="D1739" s="127">
        <v>10</v>
      </c>
      <c r="E1739" s="127">
        <v>1400</v>
      </c>
      <c r="F1739" s="127">
        <f>E1739*D1739</f>
        <v>14000</v>
      </c>
      <c r="G1739" s="127">
        <v>2.3450000000000002</v>
      </c>
      <c r="H1739" s="127">
        <f>E1739*G1739</f>
        <v>3283.0000000000005</v>
      </c>
      <c r="I1739" s="127">
        <f>H1739*D1739</f>
        <v>32830.000000000007</v>
      </c>
      <c r="J1739" s="110">
        <f>J1738+I1739</f>
        <v>35995.750000000007</v>
      </c>
    </row>
    <row r="1740" spans="1:10">
      <c r="B1740" s="561">
        <v>45961</v>
      </c>
      <c r="C1740" s="110" t="s">
        <v>1574</v>
      </c>
      <c r="D1740" s="127">
        <v>5</v>
      </c>
      <c r="E1740" s="127">
        <v>840</v>
      </c>
      <c r="F1740" s="127">
        <f>E1740*D1740</f>
        <v>4200</v>
      </c>
      <c r="G1740" s="127">
        <v>2.3450000000000002</v>
      </c>
      <c r="H1740" s="127">
        <f>E1740*G1740</f>
        <v>1969.8000000000002</v>
      </c>
      <c r="I1740" s="127">
        <f>H1740*D1740</f>
        <v>9849</v>
      </c>
      <c r="J1740" s="110">
        <f>J1739+I1740</f>
        <v>45844.750000000007</v>
      </c>
    </row>
    <row r="1741" spans="1:10">
      <c r="B1741" s="19"/>
      <c r="C1741" s="19"/>
      <c r="D1741" s="19"/>
      <c r="E1741" s="19"/>
      <c r="F1741" s="19">
        <f>E1741*D1741</f>
        <v>0</v>
      </c>
      <c r="G1741" s="19"/>
      <c r="H1741" s="19">
        <f>E1741*G1741</f>
        <v>0</v>
      </c>
      <c r="I1741" s="19">
        <f>H1741*D1741</f>
        <v>0</v>
      </c>
      <c r="J1741" s="18">
        <f>J1740+I1741</f>
        <v>45844.750000000007</v>
      </c>
    </row>
    <row r="1745" spans="1:11" ht="21">
      <c r="A1745" t="s">
        <v>125</v>
      </c>
      <c r="B1745" s="1520" t="s">
        <v>35</v>
      </c>
      <c r="C1745" s="1520"/>
      <c r="D1745" s="1520"/>
      <c r="E1745" s="1520"/>
      <c r="F1745" s="1520"/>
      <c r="G1745" s="1520"/>
      <c r="H1745" s="1520"/>
      <c r="I1745" s="1520"/>
      <c r="J1745" s="1520"/>
    </row>
    <row r="1746" spans="1:11" ht="18.75">
      <c r="A1746" t="s">
        <v>212</v>
      </c>
      <c r="B1746" s="4" t="s">
        <v>1</v>
      </c>
      <c r="C1746" s="4" t="s">
        <v>2</v>
      </c>
      <c r="D1746" s="4" t="s">
        <v>3</v>
      </c>
      <c r="E1746" s="4" t="s">
        <v>4</v>
      </c>
      <c r="F1746" s="4" t="s">
        <v>36</v>
      </c>
      <c r="G1746" s="4" t="s">
        <v>5</v>
      </c>
      <c r="H1746" s="4" t="s">
        <v>6</v>
      </c>
      <c r="I1746" s="4" t="s">
        <v>7</v>
      </c>
      <c r="J1746" s="4"/>
    </row>
    <row r="1747" spans="1:11">
      <c r="B1747" s="563">
        <v>45958</v>
      </c>
      <c r="C1747" s="230" t="s">
        <v>1576</v>
      </c>
      <c r="D1747" s="557">
        <v>10</v>
      </c>
      <c r="E1747" s="446">
        <v>1399</v>
      </c>
      <c r="F1747" s="557">
        <f>E1747*D1747</f>
        <v>13990</v>
      </c>
      <c r="G1747" s="19">
        <v>2.15</v>
      </c>
      <c r="H1747" s="557">
        <f>E1747*G1747</f>
        <v>3007.85</v>
      </c>
      <c r="I1747" s="557">
        <f>H1747*D1747</f>
        <v>30078.5</v>
      </c>
      <c r="J1747" s="230">
        <f>J1746+I1747</f>
        <v>30078.5</v>
      </c>
    </row>
    <row r="1748" spans="1:11">
      <c r="B1748" s="563">
        <v>45958</v>
      </c>
      <c r="C1748" s="230" t="s">
        <v>1577</v>
      </c>
      <c r="D1748" s="557">
        <v>3</v>
      </c>
      <c r="E1748" s="446">
        <v>780</v>
      </c>
      <c r="F1748" s="557">
        <f>E1748*D1748</f>
        <v>2340</v>
      </c>
      <c r="G1748" s="19">
        <v>2.15</v>
      </c>
      <c r="H1748" s="557">
        <f>E1748*G1748</f>
        <v>1677</v>
      </c>
      <c r="I1748" s="557">
        <f>H1748*D1748</f>
        <v>5031</v>
      </c>
      <c r="J1748" s="230">
        <f>J1747+I1748</f>
        <v>35109.5</v>
      </c>
    </row>
    <row r="1749" spans="1:11">
      <c r="B1749" s="563">
        <v>45958</v>
      </c>
      <c r="C1749" s="230" t="s">
        <v>1578</v>
      </c>
      <c r="D1749" s="557">
        <v>6</v>
      </c>
      <c r="E1749" s="446">
        <v>1348</v>
      </c>
      <c r="F1749" s="557">
        <f>E1749*D1749</f>
        <v>8088</v>
      </c>
      <c r="G1749" s="19">
        <v>2.15</v>
      </c>
      <c r="H1749" s="557">
        <f>E1749*G1749</f>
        <v>2898.2</v>
      </c>
      <c r="I1749" s="557">
        <f>H1749*D1749</f>
        <v>17389.199999999997</v>
      </c>
      <c r="J1749" s="230">
        <f>J1748+I1749</f>
        <v>52498.7</v>
      </c>
    </row>
    <row r="1750" spans="1:11">
      <c r="B1750" s="563">
        <v>45958</v>
      </c>
      <c r="C1750" s="230" t="s">
        <v>1579</v>
      </c>
      <c r="D1750" s="557">
        <v>1</v>
      </c>
      <c r="E1750" s="446">
        <v>1348</v>
      </c>
      <c r="F1750" s="557">
        <f>E1750*D1750</f>
        <v>1348</v>
      </c>
      <c r="G1750" s="19">
        <v>2.15</v>
      </c>
      <c r="H1750" s="557">
        <f>E1750*G1750</f>
        <v>2898.2</v>
      </c>
      <c r="I1750" s="557">
        <f>H1750*D1750</f>
        <v>2898.2</v>
      </c>
      <c r="J1750" s="230">
        <f>J1749+I1750</f>
        <v>55396.899999999994</v>
      </c>
    </row>
    <row r="1751" spans="1:11">
      <c r="B1751" s="557"/>
      <c r="C1751" s="557"/>
      <c r="D1751" s="557"/>
      <c r="E1751" s="557"/>
      <c r="F1751" s="557">
        <f>E1751*D1751</f>
        <v>0</v>
      </c>
      <c r="G1751" s="557"/>
      <c r="H1751" s="557">
        <f>E1751*G1751</f>
        <v>0</v>
      </c>
      <c r="I1751" s="557">
        <f>H1751*D1751</f>
        <v>0</v>
      </c>
      <c r="J1751" s="230">
        <f>J1750+I1751</f>
        <v>55396.899999999994</v>
      </c>
    </row>
    <row r="1755" spans="1:11" ht="21">
      <c r="A1755" t="s">
        <v>125</v>
      </c>
      <c r="B1755" s="1523" t="s">
        <v>376</v>
      </c>
      <c r="C1755" s="1523"/>
      <c r="D1755" s="1523"/>
      <c r="E1755" s="1523"/>
      <c r="F1755" s="1523"/>
      <c r="G1755" s="1523"/>
      <c r="H1755" s="1523"/>
      <c r="I1755" s="1523"/>
      <c r="J1755" s="1523"/>
      <c r="K1755" t="s">
        <v>1639</v>
      </c>
    </row>
    <row r="1756" spans="1:11" ht="18.75">
      <c r="B1756" s="4" t="s">
        <v>1</v>
      </c>
      <c r="C1756" s="4" t="s">
        <v>2</v>
      </c>
      <c r="D1756" s="4" t="s">
        <v>3</v>
      </c>
      <c r="E1756" s="514" t="s">
        <v>132</v>
      </c>
      <c r="F1756" s="514" t="s">
        <v>133</v>
      </c>
      <c r="G1756" s="4" t="s">
        <v>5</v>
      </c>
      <c r="H1756" s="4" t="s">
        <v>6</v>
      </c>
      <c r="I1756" s="4" t="s">
        <v>7</v>
      </c>
      <c r="J1756" s="4"/>
    </row>
    <row r="1757" spans="1:11">
      <c r="B1757" s="81">
        <v>45966</v>
      </c>
      <c r="C1757" s="80" t="s">
        <v>1620</v>
      </c>
      <c r="D1757" s="19">
        <v>1</v>
      </c>
      <c r="E1757" s="19">
        <v>1</v>
      </c>
      <c r="F1757" s="19">
        <f>E1757*D1757</f>
        <v>1</v>
      </c>
      <c r="G1757" s="19">
        <v>3.59</v>
      </c>
      <c r="H1757" s="19">
        <f>E1757*G1757</f>
        <v>3.59</v>
      </c>
      <c r="I1757" s="19">
        <f>H1757*D1757</f>
        <v>3.59</v>
      </c>
      <c r="J1757" s="18">
        <f>J1756+I1757</f>
        <v>3.59</v>
      </c>
    </row>
    <row r="1758" spans="1:11">
      <c r="B1758" s="81">
        <v>45966</v>
      </c>
      <c r="C1758" s="80" t="s">
        <v>1621</v>
      </c>
      <c r="D1758" s="19">
        <v>16</v>
      </c>
      <c r="E1758" s="19">
        <v>970</v>
      </c>
      <c r="F1758" s="19">
        <f t="shared" ref="F1758:F1765" si="410">E1758*D1758</f>
        <v>15520</v>
      </c>
      <c r="G1758" s="19">
        <v>3.59</v>
      </c>
      <c r="H1758" s="19">
        <f t="shared" ref="H1758:H1765" si="411">E1758*G1758</f>
        <v>3482.2999999999997</v>
      </c>
      <c r="I1758" s="19">
        <f t="shared" ref="I1758:I1765" si="412">H1758*D1758</f>
        <v>55716.799999999996</v>
      </c>
      <c r="J1758" s="18">
        <f t="shared" ref="J1758:J1765" si="413">J1757+I1758</f>
        <v>55720.389999999992</v>
      </c>
    </row>
    <row r="1759" spans="1:11">
      <c r="B1759" s="81">
        <v>45966</v>
      </c>
      <c r="C1759" s="80" t="s">
        <v>1622</v>
      </c>
      <c r="D1759" s="19">
        <v>2</v>
      </c>
      <c r="E1759" s="19">
        <v>1040</v>
      </c>
      <c r="F1759" s="19">
        <f t="shared" si="410"/>
        <v>2080</v>
      </c>
      <c r="G1759" s="19">
        <v>3.59</v>
      </c>
      <c r="H1759" s="19">
        <f t="shared" si="411"/>
        <v>3733.6</v>
      </c>
      <c r="I1759" s="19">
        <f t="shared" si="412"/>
        <v>7467.2</v>
      </c>
      <c r="J1759" s="18">
        <f t="shared" si="413"/>
        <v>63187.589999999989</v>
      </c>
    </row>
    <row r="1760" spans="1:11">
      <c r="B1760" s="81">
        <v>45966</v>
      </c>
      <c r="C1760" s="80" t="s">
        <v>1623</v>
      </c>
      <c r="D1760" s="19">
        <v>4</v>
      </c>
      <c r="E1760" s="19">
        <v>740</v>
      </c>
      <c r="F1760" s="19">
        <f t="shared" si="410"/>
        <v>2960</v>
      </c>
      <c r="G1760" s="19">
        <v>3.59</v>
      </c>
      <c r="H1760" s="19">
        <f t="shared" si="411"/>
        <v>2656.6</v>
      </c>
      <c r="I1760" s="19">
        <f t="shared" si="412"/>
        <v>10626.4</v>
      </c>
      <c r="J1760" s="18">
        <f t="shared" si="413"/>
        <v>73813.989999999991</v>
      </c>
    </row>
    <row r="1761" spans="2:10">
      <c r="B1761" s="81">
        <v>45966</v>
      </c>
      <c r="C1761" s="80" t="s">
        <v>1624</v>
      </c>
      <c r="D1761" s="19">
        <v>1</v>
      </c>
      <c r="E1761" s="19">
        <v>800</v>
      </c>
      <c r="F1761" s="19">
        <f t="shared" si="410"/>
        <v>800</v>
      </c>
      <c r="G1761" s="19">
        <v>3.59</v>
      </c>
      <c r="H1761" s="19">
        <f t="shared" si="411"/>
        <v>2872</v>
      </c>
      <c r="I1761" s="19">
        <f t="shared" si="412"/>
        <v>2872</v>
      </c>
      <c r="J1761" s="18">
        <f t="shared" si="413"/>
        <v>76685.989999999991</v>
      </c>
    </row>
    <row r="1762" spans="2:10">
      <c r="B1762" s="81">
        <v>45966</v>
      </c>
      <c r="C1762" s="80" t="s">
        <v>1628</v>
      </c>
      <c r="D1762" s="19">
        <v>3</v>
      </c>
      <c r="E1762" s="19">
        <v>1370</v>
      </c>
      <c r="F1762" s="19">
        <f t="shared" si="410"/>
        <v>4110</v>
      </c>
      <c r="G1762" s="19">
        <v>3.59</v>
      </c>
      <c r="H1762" s="19">
        <f t="shared" si="411"/>
        <v>4918.3</v>
      </c>
      <c r="I1762" s="19">
        <f t="shared" si="412"/>
        <v>14754.900000000001</v>
      </c>
      <c r="J1762" s="18">
        <f t="shared" si="413"/>
        <v>91440.889999999985</v>
      </c>
    </row>
    <row r="1763" spans="2:10">
      <c r="B1763" s="81">
        <v>45966</v>
      </c>
      <c r="C1763" s="80" t="s">
        <v>1625</v>
      </c>
      <c r="D1763" s="19">
        <v>1</v>
      </c>
      <c r="E1763" s="19">
        <v>1</v>
      </c>
      <c r="F1763" s="19">
        <f t="shared" si="410"/>
        <v>1</v>
      </c>
      <c r="G1763" s="19">
        <v>3.59</v>
      </c>
      <c r="H1763" s="19">
        <f t="shared" si="411"/>
        <v>3.59</v>
      </c>
      <c r="I1763" s="19">
        <f t="shared" si="412"/>
        <v>3.59</v>
      </c>
      <c r="J1763" s="18">
        <f t="shared" si="413"/>
        <v>91444.479999999981</v>
      </c>
    </row>
    <row r="1764" spans="2:10">
      <c r="B1764" s="81">
        <v>45966</v>
      </c>
      <c r="C1764" s="80" t="s">
        <v>1627</v>
      </c>
      <c r="D1764" s="19">
        <v>3</v>
      </c>
      <c r="E1764" s="19">
        <v>740</v>
      </c>
      <c r="F1764" s="19">
        <f t="shared" si="410"/>
        <v>2220</v>
      </c>
      <c r="G1764" s="19">
        <v>3.59</v>
      </c>
      <c r="H1764" s="19">
        <f t="shared" si="411"/>
        <v>2656.6</v>
      </c>
      <c r="I1764" s="19">
        <f t="shared" si="412"/>
        <v>7969.7999999999993</v>
      </c>
      <c r="J1764" s="18">
        <f t="shared" si="413"/>
        <v>99414.279999999984</v>
      </c>
    </row>
    <row r="1765" spans="2:10">
      <c r="B1765" s="81">
        <v>45966</v>
      </c>
      <c r="C1765" s="80" t="s">
        <v>1546</v>
      </c>
      <c r="D1765" s="19">
        <v>3</v>
      </c>
      <c r="E1765" s="19">
        <v>575</v>
      </c>
      <c r="F1765" s="19">
        <f t="shared" si="410"/>
        <v>1725</v>
      </c>
      <c r="G1765" s="19">
        <v>3.59</v>
      </c>
      <c r="H1765" s="19">
        <f t="shared" si="411"/>
        <v>2064.25</v>
      </c>
      <c r="I1765" s="19">
        <f t="shared" si="412"/>
        <v>6192.75</v>
      </c>
      <c r="J1765" s="18">
        <f t="shared" si="413"/>
        <v>105607.02999999998</v>
      </c>
    </row>
    <row r="1766" spans="2:10">
      <c r="B1766" s="81">
        <v>45966</v>
      </c>
      <c r="C1766" s="80" t="s">
        <v>1626</v>
      </c>
      <c r="D1766" s="19">
        <v>2</v>
      </c>
      <c r="E1766" s="19">
        <v>1010</v>
      </c>
      <c r="F1766" s="19">
        <f t="shared" ref="F1766:F1781" si="414">E1766*D1766</f>
        <v>2020</v>
      </c>
      <c r="G1766" s="19">
        <v>3.59</v>
      </c>
      <c r="H1766" s="19">
        <f t="shared" ref="H1766:H1781" si="415">E1766*G1766</f>
        <v>3625.8999999999996</v>
      </c>
      <c r="I1766" s="19">
        <f t="shared" ref="I1766:I1781" si="416">H1766*D1766</f>
        <v>7251.7999999999993</v>
      </c>
      <c r="J1766" s="18">
        <f t="shared" ref="J1766:J1781" si="417">J1765+I1766</f>
        <v>112858.82999999999</v>
      </c>
    </row>
    <row r="1767" spans="2:10">
      <c r="B1767" s="81">
        <v>45966</v>
      </c>
      <c r="C1767" s="80" t="s">
        <v>1629</v>
      </c>
      <c r="D1767" s="19">
        <v>1</v>
      </c>
      <c r="E1767" s="19">
        <v>725</v>
      </c>
      <c r="F1767" s="19">
        <f t="shared" si="414"/>
        <v>725</v>
      </c>
      <c r="G1767" s="19">
        <v>3.59</v>
      </c>
      <c r="H1767" s="19">
        <f t="shared" si="415"/>
        <v>2602.75</v>
      </c>
      <c r="I1767" s="19">
        <f t="shared" si="416"/>
        <v>2602.75</v>
      </c>
      <c r="J1767" s="18">
        <f t="shared" si="417"/>
        <v>115461.57999999999</v>
      </c>
    </row>
    <row r="1768" spans="2:10">
      <c r="B1768" s="81">
        <v>45966</v>
      </c>
      <c r="C1768" s="80" t="s">
        <v>1630</v>
      </c>
      <c r="D1768" s="19">
        <v>2</v>
      </c>
      <c r="E1768" s="19">
        <v>725</v>
      </c>
      <c r="F1768" s="19">
        <f t="shared" si="414"/>
        <v>1450</v>
      </c>
      <c r="G1768" s="19">
        <v>3.59</v>
      </c>
      <c r="H1768" s="19">
        <f t="shared" si="415"/>
        <v>2602.75</v>
      </c>
      <c r="I1768" s="19">
        <f t="shared" si="416"/>
        <v>5205.5</v>
      </c>
      <c r="J1768" s="18">
        <f t="shared" si="417"/>
        <v>120667.07999999999</v>
      </c>
    </row>
    <row r="1769" spans="2:10">
      <c r="B1769" s="81">
        <v>45966</v>
      </c>
      <c r="C1769" s="80" t="s">
        <v>1631</v>
      </c>
      <c r="D1769" s="19">
        <v>1</v>
      </c>
      <c r="E1769" s="19">
        <v>850</v>
      </c>
      <c r="F1769" s="19">
        <f t="shared" si="414"/>
        <v>850</v>
      </c>
      <c r="G1769" s="19">
        <v>3.59</v>
      </c>
      <c r="H1769" s="19">
        <f t="shared" si="415"/>
        <v>3051.5</v>
      </c>
      <c r="I1769" s="19">
        <f t="shared" si="416"/>
        <v>3051.5</v>
      </c>
      <c r="J1769" s="18">
        <f t="shared" si="417"/>
        <v>123718.57999999999</v>
      </c>
    </row>
    <row r="1770" spans="2:10">
      <c r="B1770" s="81">
        <v>45966</v>
      </c>
      <c r="C1770" s="80" t="s">
        <v>1632</v>
      </c>
      <c r="D1770" s="19">
        <v>1</v>
      </c>
      <c r="E1770" s="19">
        <v>1</v>
      </c>
      <c r="F1770" s="19">
        <f t="shared" si="414"/>
        <v>1</v>
      </c>
      <c r="G1770" s="19">
        <v>3.59</v>
      </c>
      <c r="H1770" s="19">
        <f t="shared" si="415"/>
        <v>3.59</v>
      </c>
      <c r="I1770" s="19">
        <f t="shared" si="416"/>
        <v>3.59</v>
      </c>
      <c r="J1770" s="18">
        <f t="shared" si="417"/>
        <v>123722.16999999998</v>
      </c>
    </row>
    <row r="1771" spans="2:10">
      <c r="B1771" s="81">
        <v>45966</v>
      </c>
      <c r="C1771" s="80" t="s">
        <v>1633</v>
      </c>
      <c r="D1771" s="19">
        <v>1</v>
      </c>
      <c r="E1771" s="19">
        <v>540</v>
      </c>
      <c r="F1771" s="19">
        <f t="shared" si="414"/>
        <v>540</v>
      </c>
      <c r="G1771" s="19">
        <v>3.59</v>
      </c>
      <c r="H1771" s="19">
        <f t="shared" si="415"/>
        <v>1938.6</v>
      </c>
      <c r="I1771" s="19">
        <f t="shared" si="416"/>
        <v>1938.6</v>
      </c>
      <c r="J1771" s="18">
        <f t="shared" si="417"/>
        <v>125660.76999999999</v>
      </c>
    </row>
    <row r="1772" spans="2:10">
      <c r="B1772" s="81">
        <v>45966</v>
      </c>
      <c r="C1772" s="80" t="s">
        <v>1634</v>
      </c>
      <c r="D1772" s="19">
        <v>2</v>
      </c>
      <c r="E1772" s="19">
        <v>1</v>
      </c>
      <c r="F1772" s="19">
        <f t="shared" si="414"/>
        <v>2</v>
      </c>
      <c r="G1772" s="19">
        <v>3.59</v>
      </c>
      <c r="H1772" s="19">
        <f t="shared" si="415"/>
        <v>3.59</v>
      </c>
      <c r="I1772" s="19">
        <f t="shared" si="416"/>
        <v>7.18</v>
      </c>
      <c r="J1772" s="18">
        <f t="shared" si="417"/>
        <v>125667.94999999998</v>
      </c>
    </row>
    <row r="1773" spans="2:10">
      <c r="B1773" s="81">
        <v>45966</v>
      </c>
      <c r="C1773" s="80" t="s">
        <v>1151</v>
      </c>
      <c r="D1773" s="19">
        <v>2</v>
      </c>
      <c r="E1773" s="19">
        <v>410</v>
      </c>
      <c r="F1773" s="19">
        <f t="shared" si="414"/>
        <v>820</v>
      </c>
      <c r="G1773" s="19">
        <v>3.59</v>
      </c>
      <c r="H1773" s="19">
        <f t="shared" si="415"/>
        <v>1471.8999999999999</v>
      </c>
      <c r="I1773" s="19">
        <f t="shared" si="416"/>
        <v>2943.7999999999997</v>
      </c>
      <c r="J1773" s="18">
        <f t="shared" si="417"/>
        <v>128611.74999999999</v>
      </c>
    </row>
    <row r="1774" spans="2:10">
      <c r="B1774" s="81">
        <v>45966</v>
      </c>
      <c r="C1774" s="80" t="s">
        <v>1635</v>
      </c>
      <c r="D1774" s="19">
        <v>1</v>
      </c>
      <c r="E1774" s="19">
        <v>540</v>
      </c>
      <c r="F1774" s="19">
        <f t="shared" si="414"/>
        <v>540</v>
      </c>
      <c r="G1774" s="19">
        <v>3.59</v>
      </c>
      <c r="H1774" s="19">
        <f t="shared" si="415"/>
        <v>1938.6</v>
      </c>
      <c r="I1774" s="19">
        <f t="shared" si="416"/>
        <v>1938.6</v>
      </c>
      <c r="J1774" s="18">
        <f t="shared" si="417"/>
        <v>130550.34999999999</v>
      </c>
    </row>
    <row r="1775" spans="2:10">
      <c r="B1775" s="81">
        <v>45966</v>
      </c>
      <c r="C1775" s="80" t="s">
        <v>1562</v>
      </c>
      <c r="D1775" s="19">
        <v>4</v>
      </c>
      <c r="E1775" s="19">
        <v>1200</v>
      </c>
      <c r="F1775" s="19">
        <f t="shared" si="414"/>
        <v>4800</v>
      </c>
      <c r="G1775" s="19">
        <v>3.59</v>
      </c>
      <c r="H1775" s="19">
        <f t="shared" si="415"/>
        <v>4308</v>
      </c>
      <c r="I1775" s="19">
        <f t="shared" si="416"/>
        <v>17232</v>
      </c>
      <c r="J1775" s="18">
        <f t="shared" si="417"/>
        <v>147782.34999999998</v>
      </c>
    </row>
    <row r="1776" spans="2:10">
      <c r="B1776" s="81">
        <v>45966</v>
      </c>
      <c r="C1776" s="80" t="s">
        <v>1636</v>
      </c>
      <c r="D1776" s="19">
        <v>3</v>
      </c>
      <c r="E1776" s="19">
        <v>1350</v>
      </c>
      <c r="F1776" s="19">
        <f t="shared" si="414"/>
        <v>4050</v>
      </c>
      <c r="G1776" s="19">
        <v>3.59</v>
      </c>
      <c r="H1776" s="19">
        <f t="shared" si="415"/>
        <v>4846.5</v>
      </c>
      <c r="I1776" s="19">
        <f t="shared" si="416"/>
        <v>14539.5</v>
      </c>
      <c r="J1776" s="18">
        <f t="shared" si="417"/>
        <v>162321.84999999998</v>
      </c>
    </row>
    <row r="1777" spans="1:10">
      <c r="B1777" s="81">
        <v>45966</v>
      </c>
      <c r="C1777" s="80" t="s">
        <v>1637</v>
      </c>
      <c r="D1777" s="19">
        <v>3</v>
      </c>
      <c r="E1777" s="19">
        <v>1200</v>
      </c>
      <c r="F1777" s="19">
        <f t="shared" si="414"/>
        <v>3600</v>
      </c>
      <c r="G1777" s="19">
        <v>3.59</v>
      </c>
      <c r="H1777" s="19">
        <f t="shared" si="415"/>
        <v>4308</v>
      </c>
      <c r="I1777" s="19">
        <f t="shared" si="416"/>
        <v>12924</v>
      </c>
      <c r="J1777" s="18">
        <f t="shared" si="417"/>
        <v>175245.84999999998</v>
      </c>
    </row>
    <row r="1778" spans="1:10">
      <c r="B1778" s="81">
        <v>45966</v>
      </c>
      <c r="C1778" s="80" t="s">
        <v>1460</v>
      </c>
      <c r="D1778" s="19">
        <v>4</v>
      </c>
      <c r="E1778" s="19">
        <v>1000</v>
      </c>
      <c r="F1778" s="19">
        <f t="shared" si="414"/>
        <v>4000</v>
      </c>
      <c r="G1778" s="19">
        <v>3.59</v>
      </c>
      <c r="H1778" s="19">
        <f t="shared" si="415"/>
        <v>3590</v>
      </c>
      <c r="I1778" s="19">
        <f t="shared" si="416"/>
        <v>14360</v>
      </c>
      <c r="J1778" s="18">
        <f t="shared" si="417"/>
        <v>189605.84999999998</v>
      </c>
    </row>
    <row r="1779" spans="1:10">
      <c r="B1779" s="81">
        <v>45966</v>
      </c>
      <c r="C1779" s="80" t="s">
        <v>1638</v>
      </c>
      <c r="D1779" s="19">
        <v>1</v>
      </c>
      <c r="E1779" s="19">
        <v>1450</v>
      </c>
      <c r="F1779" s="19">
        <f t="shared" si="414"/>
        <v>1450</v>
      </c>
      <c r="G1779" s="19">
        <v>3.59</v>
      </c>
      <c r="H1779" s="19">
        <f t="shared" si="415"/>
        <v>5205.5</v>
      </c>
      <c r="I1779" s="19">
        <f t="shared" si="416"/>
        <v>5205.5</v>
      </c>
      <c r="J1779" s="18">
        <f t="shared" si="417"/>
        <v>194811.34999999998</v>
      </c>
    </row>
    <row r="1780" spans="1:10">
      <c r="B1780" s="81">
        <v>45966</v>
      </c>
      <c r="C1780" s="80" t="s">
        <v>1291</v>
      </c>
      <c r="D1780" s="19">
        <v>1</v>
      </c>
      <c r="E1780" s="19">
        <v>700</v>
      </c>
      <c r="F1780" s="19">
        <f t="shared" si="414"/>
        <v>700</v>
      </c>
      <c r="G1780" s="19">
        <v>3.59</v>
      </c>
      <c r="H1780" s="19">
        <f t="shared" si="415"/>
        <v>2513</v>
      </c>
      <c r="I1780" s="19">
        <f t="shared" si="416"/>
        <v>2513</v>
      </c>
      <c r="J1780" s="18">
        <f t="shared" si="417"/>
        <v>197324.34999999998</v>
      </c>
    </row>
    <row r="1781" spans="1:10">
      <c r="B1781" s="81">
        <v>45966</v>
      </c>
      <c r="C1781" s="80" t="s">
        <v>1563</v>
      </c>
      <c r="D1781" s="19">
        <v>43</v>
      </c>
      <c r="E1781" s="19">
        <v>225</v>
      </c>
      <c r="F1781" s="19">
        <f t="shared" si="414"/>
        <v>9675</v>
      </c>
      <c r="G1781" s="19">
        <v>3.59</v>
      </c>
      <c r="H1781" s="19">
        <f t="shared" si="415"/>
        <v>807.75</v>
      </c>
      <c r="I1781" s="19">
        <f t="shared" si="416"/>
        <v>34733.25</v>
      </c>
      <c r="J1781" s="18">
        <f t="shared" si="417"/>
        <v>232057.59999999998</v>
      </c>
    </row>
    <row r="1782" spans="1:10">
      <c r="B1782" s="19"/>
      <c r="C1782" s="80"/>
      <c r="D1782" s="19"/>
      <c r="E1782" s="19"/>
      <c r="F1782" s="19">
        <f>E1782*D1782</f>
        <v>0</v>
      </c>
      <c r="G1782" s="19">
        <v>3.59</v>
      </c>
      <c r="H1782" s="19">
        <f>E1782*G1782</f>
        <v>0</v>
      </c>
      <c r="I1782" s="19">
        <f>H1782*D1782</f>
        <v>0</v>
      </c>
      <c r="J1782" s="18">
        <f>J1781+I1782</f>
        <v>232057.59999999998</v>
      </c>
    </row>
    <row r="1786" spans="1:10" ht="21">
      <c r="A1786" t="s">
        <v>125</v>
      </c>
      <c r="B1786" s="1520" t="s">
        <v>20</v>
      </c>
      <c r="C1786" s="1520"/>
      <c r="D1786" s="1520"/>
      <c r="E1786" s="1520"/>
      <c r="F1786" s="1520"/>
      <c r="G1786" s="1520"/>
      <c r="H1786" s="1520"/>
      <c r="I1786" s="1520"/>
      <c r="J1786" s="1520"/>
    </row>
    <row r="1787" spans="1:10" ht="18.75">
      <c r="A1787" t="s">
        <v>212</v>
      </c>
      <c r="B1787" s="4" t="s">
        <v>1</v>
      </c>
      <c r="C1787" s="4" t="s">
        <v>2</v>
      </c>
      <c r="D1787" s="4" t="s">
        <v>3</v>
      </c>
      <c r="E1787" s="4" t="s">
        <v>4</v>
      </c>
      <c r="F1787" s="4" t="s">
        <v>36</v>
      </c>
      <c r="G1787" s="4" t="s">
        <v>5</v>
      </c>
      <c r="H1787" s="4" t="s">
        <v>6</v>
      </c>
      <c r="I1787" s="4" t="s">
        <v>7</v>
      </c>
      <c r="J1787" s="4"/>
    </row>
    <row r="1788" spans="1:10">
      <c r="B1788" s="563">
        <v>45964</v>
      </c>
      <c r="C1788" s="444" t="s">
        <v>1643</v>
      </c>
      <c r="D1788" s="19">
        <v>10</v>
      </c>
      <c r="E1788" s="577">
        <v>410</v>
      </c>
      <c r="F1788" s="19">
        <f>E1788*D1788</f>
        <v>4100</v>
      </c>
      <c r="G1788" s="19">
        <v>2.3450000000000002</v>
      </c>
      <c r="H1788" s="19">
        <f>E1788*G1788</f>
        <v>961.45</v>
      </c>
      <c r="I1788" s="19">
        <f>H1788*D1788</f>
        <v>9614.5</v>
      </c>
      <c r="J1788" s="18">
        <f>J1787+I1788</f>
        <v>9614.5</v>
      </c>
    </row>
    <row r="1789" spans="1:10">
      <c r="B1789" s="563">
        <v>45964</v>
      </c>
      <c r="C1789" s="444" t="s">
        <v>1644</v>
      </c>
      <c r="D1789" s="19">
        <v>7</v>
      </c>
      <c r="E1789" s="577">
        <v>150</v>
      </c>
      <c r="F1789" s="19">
        <f t="shared" ref="F1789:F1796" si="418">E1789*D1789</f>
        <v>1050</v>
      </c>
      <c r="G1789" s="19">
        <v>2.3450000000000002</v>
      </c>
      <c r="H1789" s="19">
        <f t="shared" ref="H1789:H1796" si="419">E1789*G1789</f>
        <v>351.75000000000006</v>
      </c>
      <c r="I1789" s="19">
        <f t="shared" ref="I1789:I1796" si="420">H1789*D1789</f>
        <v>2462.2500000000005</v>
      </c>
      <c r="J1789" s="18">
        <f t="shared" ref="J1789:J1796" si="421">J1788+I1789</f>
        <v>12076.75</v>
      </c>
    </row>
    <row r="1790" spans="1:10">
      <c r="B1790" s="563">
        <v>45963</v>
      </c>
      <c r="C1790" s="444" t="s">
        <v>1645</v>
      </c>
      <c r="D1790" s="19">
        <v>4</v>
      </c>
      <c r="E1790" s="577">
        <v>150</v>
      </c>
      <c r="F1790" s="19">
        <f t="shared" si="418"/>
        <v>600</v>
      </c>
      <c r="G1790" s="19">
        <v>2.3450000000000002</v>
      </c>
      <c r="H1790" s="19">
        <f t="shared" si="419"/>
        <v>351.75000000000006</v>
      </c>
      <c r="I1790" s="19">
        <f t="shared" si="420"/>
        <v>1407.0000000000002</v>
      </c>
      <c r="J1790" s="18">
        <f t="shared" si="421"/>
        <v>13483.75</v>
      </c>
    </row>
    <row r="1791" spans="1:10">
      <c r="B1791" s="563">
        <v>45963</v>
      </c>
      <c r="C1791" s="444" t="s">
        <v>1646</v>
      </c>
      <c r="D1791" s="19">
        <v>4</v>
      </c>
      <c r="E1791" s="577">
        <v>150</v>
      </c>
      <c r="F1791" s="19">
        <f t="shared" si="418"/>
        <v>600</v>
      </c>
      <c r="G1791" s="19">
        <v>2.3450000000000002</v>
      </c>
      <c r="H1791" s="19">
        <f t="shared" si="419"/>
        <v>351.75000000000006</v>
      </c>
      <c r="I1791" s="19">
        <f t="shared" si="420"/>
        <v>1407.0000000000002</v>
      </c>
      <c r="J1791" s="18">
        <f t="shared" si="421"/>
        <v>14890.75</v>
      </c>
    </row>
    <row r="1792" spans="1:10">
      <c r="B1792" s="563">
        <v>45965</v>
      </c>
      <c r="C1792" s="444" t="s">
        <v>1647</v>
      </c>
      <c r="D1792" s="19">
        <v>20</v>
      </c>
      <c r="E1792" s="577">
        <v>1063</v>
      </c>
      <c r="F1792" s="19">
        <f t="shared" si="418"/>
        <v>21260</v>
      </c>
      <c r="G1792" s="19">
        <v>2.3450000000000002</v>
      </c>
      <c r="H1792" s="19">
        <f t="shared" si="419"/>
        <v>2492.7350000000001</v>
      </c>
      <c r="I1792" s="19">
        <f t="shared" si="420"/>
        <v>49854.700000000004</v>
      </c>
      <c r="J1792" s="18">
        <f t="shared" si="421"/>
        <v>64745.450000000004</v>
      </c>
    </row>
    <row r="1793" spans="1:10">
      <c r="B1793" s="563">
        <v>45965</v>
      </c>
      <c r="C1793" s="444" t="s">
        <v>1648</v>
      </c>
      <c r="D1793" s="19">
        <v>12</v>
      </c>
      <c r="E1793" s="577">
        <v>3375</v>
      </c>
      <c r="F1793" s="19">
        <f t="shared" si="418"/>
        <v>40500</v>
      </c>
      <c r="G1793" s="19">
        <v>2.3450000000000002</v>
      </c>
      <c r="H1793" s="19">
        <f t="shared" si="419"/>
        <v>7914.3750000000009</v>
      </c>
      <c r="I1793" s="19">
        <f t="shared" si="420"/>
        <v>94972.500000000015</v>
      </c>
      <c r="J1793" s="18">
        <f t="shared" si="421"/>
        <v>159717.95000000001</v>
      </c>
    </row>
    <row r="1794" spans="1:10">
      <c r="B1794" s="561">
        <v>45966</v>
      </c>
      <c r="C1794" s="138" t="s">
        <v>1654</v>
      </c>
      <c r="D1794" s="127">
        <v>30</v>
      </c>
      <c r="E1794" s="579">
        <v>410</v>
      </c>
      <c r="F1794" s="127">
        <f t="shared" si="418"/>
        <v>12300</v>
      </c>
      <c r="G1794" s="127">
        <v>2.3450000000000002</v>
      </c>
      <c r="H1794" s="127">
        <f t="shared" si="419"/>
        <v>961.45</v>
      </c>
      <c r="I1794" s="127">
        <f t="shared" si="420"/>
        <v>28843.5</v>
      </c>
      <c r="J1794" s="110">
        <f t="shared" si="421"/>
        <v>188561.45</v>
      </c>
    </row>
    <row r="1795" spans="1:10">
      <c r="B1795" s="563">
        <v>45969</v>
      </c>
      <c r="C1795" s="444" t="s">
        <v>1649</v>
      </c>
      <c r="D1795" s="570">
        <v>1</v>
      </c>
      <c r="E1795" s="577">
        <v>450</v>
      </c>
      <c r="F1795" s="19">
        <f t="shared" si="418"/>
        <v>450</v>
      </c>
      <c r="G1795" s="19">
        <v>2.3450000000000002</v>
      </c>
      <c r="H1795" s="19">
        <f t="shared" si="419"/>
        <v>1055.25</v>
      </c>
      <c r="I1795" s="19">
        <f t="shared" si="420"/>
        <v>1055.25</v>
      </c>
      <c r="J1795" s="18">
        <f t="shared" si="421"/>
        <v>189616.7</v>
      </c>
    </row>
    <row r="1796" spans="1:10">
      <c r="B1796" s="563">
        <v>45969</v>
      </c>
      <c r="C1796" s="444" t="s">
        <v>1650</v>
      </c>
      <c r="D1796" s="570">
        <v>1</v>
      </c>
      <c r="E1796" s="577">
        <v>450</v>
      </c>
      <c r="F1796" s="19">
        <f t="shared" si="418"/>
        <v>450</v>
      </c>
      <c r="G1796" s="19">
        <v>2.3450000000000002</v>
      </c>
      <c r="H1796" s="19">
        <f t="shared" si="419"/>
        <v>1055.25</v>
      </c>
      <c r="I1796" s="19">
        <f t="shared" si="420"/>
        <v>1055.25</v>
      </c>
      <c r="J1796" s="18">
        <f t="shared" si="421"/>
        <v>190671.95</v>
      </c>
    </row>
    <row r="1797" spans="1:10">
      <c r="B1797" s="563">
        <v>45969</v>
      </c>
      <c r="C1797" s="444" t="s">
        <v>1651</v>
      </c>
      <c r="D1797" s="570">
        <v>4</v>
      </c>
      <c r="E1797" s="577">
        <v>450</v>
      </c>
      <c r="F1797" s="19">
        <f t="shared" ref="F1797:F1803" si="422">E1797*D1797</f>
        <v>1800</v>
      </c>
      <c r="G1797" s="19">
        <v>2.3450000000000002</v>
      </c>
      <c r="H1797" s="19">
        <f t="shared" ref="H1797:H1803" si="423">E1797*G1797</f>
        <v>1055.25</v>
      </c>
      <c r="I1797" s="19">
        <f t="shared" ref="I1797:I1803" si="424">H1797*D1797</f>
        <v>4221</v>
      </c>
      <c r="J1797" s="18">
        <f t="shared" ref="J1797:J1803" si="425">J1796+I1797</f>
        <v>194892.95</v>
      </c>
    </row>
    <row r="1798" spans="1:10">
      <c r="B1798" s="563">
        <v>45969</v>
      </c>
      <c r="C1798" s="444" t="s">
        <v>1652</v>
      </c>
      <c r="D1798" s="570">
        <v>5</v>
      </c>
      <c r="E1798" s="577">
        <v>450</v>
      </c>
      <c r="F1798" s="19">
        <f t="shared" si="422"/>
        <v>2250</v>
      </c>
      <c r="G1798" s="19">
        <v>2.3450000000000002</v>
      </c>
      <c r="H1798" s="19">
        <f t="shared" si="423"/>
        <v>1055.25</v>
      </c>
      <c r="I1798" s="19">
        <f t="shared" si="424"/>
        <v>5276.25</v>
      </c>
      <c r="J1798" s="18">
        <f t="shared" si="425"/>
        <v>200169.2</v>
      </c>
    </row>
    <row r="1799" spans="1:10">
      <c r="B1799" s="563">
        <v>45969</v>
      </c>
      <c r="C1799" s="444" t="s">
        <v>1653</v>
      </c>
      <c r="D1799" s="570">
        <v>11</v>
      </c>
      <c r="E1799" s="577">
        <v>450</v>
      </c>
      <c r="F1799" s="19">
        <f t="shared" si="422"/>
        <v>4950</v>
      </c>
      <c r="G1799" s="19">
        <v>2.3450000000000002</v>
      </c>
      <c r="H1799" s="19">
        <f t="shared" si="423"/>
        <v>1055.25</v>
      </c>
      <c r="I1799" s="19">
        <f t="shared" si="424"/>
        <v>11607.75</v>
      </c>
      <c r="J1799" s="18">
        <f t="shared" si="425"/>
        <v>211776.95</v>
      </c>
    </row>
    <row r="1800" spans="1:10">
      <c r="B1800" s="19"/>
      <c r="C1800" s="19"/>
      <c r="D1800" s="19"/>
      <c r="E1800" s="578"/>
      <c r="F1800" s="19">
        <f t="shared" si="422"/>
        <v>0</v>
      </c>
      <c r="G1800" s="19"/>
      <c r="H1800" s="19">
        <f t="shared" si="423"/>
        <v>0</v>
      </c>
      <c r="I1800" s="19">
        <f t="shared" si="424"/>
        <v>0</v>
      </c>
      <c r="J1800" s="18">
        <f t="shared" si="425"/>
        <v>211776.95</v>
      </c>
    </row>
    <row r="1801" spans="1:10">
      <c r="B1801" s="19"/>
      <c r="C1801" s="19"/>
      <c r="D1801" s="19"/>
      <c r="E1801" s="19"/>
      <c r="F1801" s="19">
        <f t="shared" si="422"/>
        <v>0</v>
      </c>
      <c r="G1801" s="19"/>
      <c r="H1801" s="19">
        <f t="shared" si="423"/>
        <v>0</v>
      </c>
      <c r="I1801" s="19">
        <f t="shared" si="424"/>
        <v>0</v>
      </c>
      <c r="J1801" s="18">
        <f t="shared" si="425"/>
        <v>211776.95</v>
      </c>
    </row>
    <row r="1802" spans="1:10">
      <c r="B1802" s="19"/>
      <c r="C1802" s="19"/>
      <c r="D1802" s="19"/>
      <c r="E1802" s="19"/>
      <c r="F1802" s="19">
        <f t="shared" si="422"/>
        <v>0</v>
      </c>
      <c r="G1802" s="19"/>
      <c r="H1802" s="19">
        <f t="shared" si="423"/>
        <v>0</v>
      </c>
      <c r="I1802" s="19">
        <f t="shared" si="424"/>
        <v>0</v>
      </c>
      <c r="J1802" s="18">
        <f t="shared" si="425"/>
        <v>211776.95</v>
      </c>
    </row>
    <row r="1803" spans="1:10">
      <c r="B1803" s="19"/>
      <c r="C1803" s="19"/>
      <c r="D1803" s="19"/>
      <c r="E1803" s="19"/>
      <c r="F1803" s="19">
        <f t="shared" si="422"/>
        <v>0</v>
      </c>
      <c r="G1803" s="19"/>
      <c r="H1803" s="19">
        <f t="shared" si="423"/>
        <v>0</v>
      </c>
      <c r="I1803" s="19">
        <f t="shared" si="424"/>
        <v>0</v>
      </c>
      <c r="J1803" s="18">
        <f t="shared" si="425"/>
        <v>211776.95</v>
      </c>
    </row>
    <row r="1807" spans="1:10" ht="21">
      <c r="A1807" t="s">
        <v>125</v>
      </c>
      <c r="B1807" s="1520" t="s">
        <v>35</v>
      </c>
      <c r="C1807" s="1520"/>
      <c r="D1807" s="1520"/>
      <c r="E1807" s="1520"/>
      <c r="F1807" s="1520"/>
      <c r="G1807" s="1520"/>
      <c r="H1807" s="1520"/>
      <c r="I1807" s="1520"/>
      <c r="J1807" s="1520"/>
    </row>
    <row r="1808" spans="1:10" ht="18.75">
      <c r="A1808" t="s">
        <v>212</v>
      </c>
      <c r="B1808" s="4" t="s">
        <v>1</v>
      </c>
      <c r="C1808" s="4" t="s">
        <v>2</v>
      </c>
      <c r="D1808" s="4" t="s">
        <v>3</v>
      </c>
      <c r="E1808" s="4" t="s">
        <v>4</v>
      </c>
      <c r="F1808" s="4" t="s">
        <v>36</v>
      </c>
      <c r="G1808" s="4" t="s">
        <v>5</v>
      </c>
      <c r="H1808" s="4" t="s">
        <v>6</v>
      </c>
      <c r="I1808" s="4" t="s">
        <v>7</v>
      </c>
      <c r="J1808" s="4"/>
    </row>
    <row r="1809" spans="1:15">
      <c r="B1809" s="532">
        <v>45964</v>
      </c>
      <c r="C1809" s="444" t="s">
        <v>1667</v>
      </c>
      <c r="D1809" s="580">
        <v>2</v>
      </c>
      <c r="E1809" s="533">
        <v>1450</v>
      </c>
      <c r="F1809" s="580">
        <f t="shared" ref="F1809:F1814" si="426">E1809*D1809</f>
        <v>2900</v>
      </c>
      <c r="G1809" s="580">
        <v>2.15</v>
      </c>
      <c r="H1809" s="580">
        <f t="shared" ref="H1809:H1814" si="427">E1809*G1809</f>
        <v>3117.5</v>
      </c>
      <c r="I1809" s="580">
        <f t="shared" ref="I1809:I1814" si="428">H1809*D1809</f>
        <v>6235</v>
      </c>
      <c r="J1809" s="230">
        <f t="shared" ref="J1809:J1814" si="429">J1808+I1809</f>
        <v>6235</v>
      </c>
    </row>
    <row r="1810" spans="1:15">
      <c r="B1810" s="532">
        <v>45964</v>
      </c>
      <c r="C1810" s="444" t="s">
        <v>1668</v>
      </c>
      <c r="D1810" s="580">
        <v>2</v>
      </c>
      <c r="E1810" s="533">
        <v>1450</v>
      </c>
      <c r="F1810" s="580">
        <f t="shared" si="426"/>
        <v>2900</v>
      </c>
      <c r="G1810" s="580">
        <v>2.15</v>
      </c>
      <c r="H1810" s="580">
        <f t="shared" si="427"/>
        <v>3117.5</v>
      </c>
      <c r="I1810" s="580">
        <f t="shared" si="428"/>
        <v>6235</v>
      </c>
      <c r="J1810" s="230">
        <f t="shared" si="429"/>
        <v>12470</v>
      </c>
    </row>
    <row r="1811" spans="1:15">
      <c r="B1811" s="532">
        <v>45964</v>
      </c>
      <c r="C1811" s="444" t="s">
        <v>1667</v>
      </c>
      <c r="D1811" s="580">
        <v>1</v>
      </c>
      <c r="E1811" s="533">
        <v>1480</v>
      </c>
      <c r="F1811" s="580">
        <f t="shared" si="426"/>
        <v>1480</v>
      </c>
      <c r="G1811" s="580">
        <v>2.15</v>
      </c>
      <c r="H1811" s="580">
        <f t="shared" si="427"/>
        <v>3182</v>
      </c>
      <c r="I1811" s="580">
        <f t="shared" si="428"/>
        <v>3182</v>
      </c>
      <c r="J1811" s="230">
        <f t="shared" si="429"/>
        <v>15652</v>
      </c>
    </row>
    <row r="1812" spans="1:15">
      <c r="B1812" s="532">
        <v>45964</v>
      </c>
      <c r="C1812" s="444" t="s">
        <v>1668</v>
      </c>
      <c r="D1812" s="580">
        <v>4</v>
      </c>
      <c r="E1812" s="533">
        <v>1399</v>
      </c>
      <c r="F1812" s="580">
        <f t="shared" si="426"/>
        <v>5596</v>
      </c>
      <c r="G1812" s="580">
        <v>2.15</v>
      </c>
      <c r="H1812" s="580">
        <f t="shared" si="427"/>
        <v>3007.85</v>
      </c>
      <c r="I1812" s="580">
        <f t="shared" si="428"/>
        <v>12031.4</v>
      </c>
      <c r="J1812" s="230">
        <f t="shared" si="429"/>
        <v>27683.4</v>
      </c>
    </row>
    <row r="1813" spans="1:15">
      <c r="B1813" s="532">
        <v>45964</v>
      </c>
      <c r="C1813" s="444" t="s">
        <v>1667</v>
      </c>
      <c r="D1813" s="580">
        <v>2</v>
      </c>
      <c r="E1813" s="533">
        <v>1399</v>
      </c>
      <c r="F1813" s="580">
        <f t="shared" si="426"/>
        <v>2798</v>
      </c>
      <c r="G1813" s="580">
        <v>2.15</v>
      </c>
      <c r="H1813" s="580">
        <f t="shared" si="427"/>
        <v>3007.85</v>
      </c>
      <c r="I1813" s="580">
        <f t="shared" si="428"/>
        <v>6015.7</v>
      </c>
      <c r="J1813" s="230">
        <f t="shared" si="429"/>
        <v>33699.1</v>
      </c>
    </row>
    <row r="1814" spans="1:15">
      <c r="B1814" s="580"/>
      <c r="C1814" s="580"/>
      <c r="D1814" s="580"/>
      <c r="E1814" s="580"/>
      <c r="F1814" s="580">
        <f t="shared" si="426"/>
        <v>0</v>
      </c>
      <c r="G1814" s="580"/>
      <c r="H1814" s="580">
        <f t="shared" si="427"/>
        <v>0</v>
      </c>
      <c r="I1814" s="580">
        <f t="shared" si="428"/>
        <v>0</v>
      </c>
      <c r="J1814" s="230">
        <f t="shared" si="429"/>
        <v>33699.1</v>
      </c>
    </row>
    <row r="1818" spans="1:15" ht="21">
      <c r="A1818" t="s">
        <v>125</v>
      </c>
      <c r="B1818" s="1521" t="s">
        <v>20</v>
      </c>
      <c r="C1818" s="1521"/>
      <c r="D1818" s="1521"/>
      <c r="E1818" s="1521"/>
      <c r="F1818" s="1521"/>
      <c r="G1818" s="1521"/>
      <c r="H1818" s="1521"/>
      <c r="I1818" s="1521"/>
      <c r="J1818" s="1521"/>
      <c r="K1818" s="1521"/>
      <c r="L1818" s="1521"/>
      <c r="M1818" s="1521"/>
      <c r="N1818" s="1521"/>
      <c r="O1818" s="1521"/>
    </row>
    <row r="1819" spans="1:15" ht="18.75">
      <c r="A1819" t="s">
        <v>212</v>
      </c>
      <c r="B1819" s="226" t="s">
        <v>1</v>
      </c>
      <c r="C1819" s="226" t="s">
        <v>2</v>
      </c>
      <c r="D1819" s="226" t="s">
        <v>444</v>
      </c>
      <c r="E1819" s="226" t="s">
        <v>33</v>
      </c>
      <c r="F1819" s="226" t="s">
        <v>3</v>
      </c>
      <c r="G1819" s="226" t="s">
        <v>445</v>
      </c>
      <c r="H1819" s="226" t="s">
        <v>451</v>
      </c>
      <c r="I1819" s="226" t="s">
        <v>446</v>
      </c>
      <c r="J1819" s="226" t="s">
        <v>447</v>
      </c>
      <c r="K1819" s="226" t="s">
        <v>448</v>
      </c>
      <c r="L1819" s="226" t="s">
        <v>449</v>
      </c>
      <c r="M1819" s="226" t="s">
        <v>450</v>
      </c>
      <c r="N1819" s="226" t="s">
        <v>7</v>
      </c>
      <c r="O1819" s="29"/>
    </row>
    <row r="1820" spans="1:15">
      <c r="B1820" s="583">
        <v>45970</v>
      </c>
      <c r="C1820" s="230" t="s">
        <v>1670</v>
      </c>
      <c r="D1820" s="19"/>
      <c r="E1820" s="19"/>
      <c r="F1820" s="230">
        <v>1</v>
      </c>
      <c r="G1820" s="19">
        <v>1358</v>
      </c>
      <c r="H1820" s="584">
        <v>0.1</v>
      </c>
      <c r="I1820" s="19">
        <f>G1820*H1820</f>
        <v>135.80000000000001</v>
      </c>
      <c r="J1820" s="18">
        <f>G1820-I1820</f>
        <v>1222.2</v>
      </c>
      <c r="K1820" s="18">
        <f>F1820*J1820</f>
        <v>1222.2</v>
      </c>
      <c r="L1820" s="18">
        <v>2.3450000000000002</v>
      </c>
      <c r="M1820" s="18">
        <f>J1820*L1820</f>
        <v>2866.0590000000002</v>
      </c>
      <c r="N1820" s="18">
        <f>F1820*M1820</f>
        <v>2866.0590000000002</v>
      </c>
      <c r="O1820" s="18">
        <f>O1819+N1820</f>
        <v>2866.0590000000002</v>
      </c>
    </row>
    <row r="1821" spans="1:15">
      <c r="B1821" s="585">
        <v>45970</v>
      </c>
      <c r="C1821" s="110" t="s">
        <v>1671</v>
      </c>
      <c r="D1821" s="127"/>
      <c r="E1821" s="127"/>
      <c r="F1821" s="110">
        <v>3</v>
      </c>
      <c r="G1821" s="127">
        <v>1358</v>
      </c>
      <c r="H1821" s="586">
        <v>0.1</v>
      </c>
      <c r="I1821" s="127">
        <f>G1821*H1821</f>
        <v>135.80000000000001</v>
      </c>
      <c r="J1821" s="110">
        <f>G1821-I1821</f>
        <v>1222.2</v>
      </c>
      <c r="K1821" s="110">
        <f>F1821*J1821</f>
        <v>3666.6000000000004</v>
      </c>
      <c r="L1821" s="110">
        <v>2.3450000000000002</v>
      </c>
      <c r="M1821" s="110">
        <f>J1821*L1821</f>
        <v>2866.0590000000002</v>
      </c>
      <c r="N1821" s="110">
        <f>F1821*M1821</f>
        <v>8598.1769999999997</v>
      </c>
      <c r="O1821" s="110">
        <f>O1820+N1821</f>
        <v>11464.236000000001</v>
      </c>
    </row>
    <row r="1822" spans="1:15">
      <c r="B1822" s="585">
        <v>45970</v>
      </c>
      <c r="C1822" s="110" t="s">
        <v>1672</v>
      </c>
      <c r="D1822" s="127"/>
      <c r="E1822" s="127"/>
      <c r="F1822" s="110">
        <v>3</v>
      </c>
      <c r="G1822" s="127">
        <v>1477</v>
      </c>
      <c r="H1822" s="586">
        <v>0.1</v>
      </c>
      <c r="I1822" s="127">
        <f>G1822*H1822</f>
        <v>147.70000000000002</v>
      </c>
      <c r="J1822" s="110">
        <f>G1822-I1822</f>
        <v>1329.3</v>
      </c>
      <c r="K1822" s="110">
        <f>F1822*J1822</f>
        <v>3987.8999999999996</v>
      </c>
      <c r="L1822" s="110">
        <v>2.3450000000000002</v>
      </c>
      <c r="M1822" s="110">
        <f>J1822*L1822</f>
        <v>3117.2085000000002</v>
      </c>
      <c r="N1822" s="110">
        <f>F1822*M1822</f>
        <v>9351.6255000000001</v>
      </c>
      <c r="O1822" s="110">
        <f>O1821+N1822</f>
        <v>20815.861499999999</v>
      </c>
    </row>
    <row r="1823" spans="1:15">
      <c r="B1823" s="19"/>
      <c r="C1823" s="19"/>
      <c r="D1823" s="19"/>
      <c r="E1823" s="19"/>
      <c r="F1823" s="19"/>
      <c r="G1823" s="19"/>
      <c r="H1823" s="19"/>
      <c r="I1823" s="19">
        <f>G1823*H1823%</f>
        <v>0</v>
      </c>
      <c r="J1823" s="18">
        <f>G1823-I1823</f>
        <v>0</v>
      </c>
      <c r="K1823" s="18">
        <f>F1823*J1823</f>
        <v>0</v>
      </c>
      <c r="L1823" s="18"/>
      <c r="M1823" s="18">
        <f>J1823*L1823</f>
        <v>0</v>
      </c>
      <c r="N1823" s="18">
        <f>F1823*M1823</f>
        <v>0</v>
      </c>
      <c r="O1823" s="18">
        <f>O1822+N1823</f>
        <v>20815.861499999999</v>
      </c>
    </row>
    <row r="1827" spans="1:10" ht="21">
      <c r="A1827" t="s">
        <v>125</v>
      </c>
      <c r="B1827" s="1520" t="s">
        <v>20</v>
      </c>
      <c r="C1827" s="1520"/>
      <c r="D1827" s="1520"/>
      <c r="E1827" s="1520"/>
      <c r="F1827" s="1520"/>
      <c r="G1827" s="1520"/>
      <c r="H1827" s="1520"/>
      <c r="I1827" s="1520"/>
      <c r="J1827" s="1520"/>
    </row>
    <row r="1828" spans="1:10" ht="18.75">
      <c r="A1828" t="s">
        <v>212</v>
      </c>
      <c r="B1828" s="4" t="s">
        <v>1</v>
      </c>
      <c r="C1828" s="4" t="s">
        <v>2</v>
      </c>
      <c r="D1828" s="4" t="s">
        <v>3</v>
      </c>
      <c r="E1828" s="4" t="s">
        <v>4</v>
      </c>
      <c r="F1828" s="4" t="s">
        <v>36</v>
      </c>
      <c r="G1828" s="4" t="s">
        <v>5</v>
      </c>
      <c r="H1828" s="4" t="s">
        <v>6</v>
      </c>
      <c r="I1828" s="4" t="s">
        <v>7</v>
      </c>
      <c r="J1828" s="4"/>
    </row>
    <row r="1829" spans="1:10">
      <c r="B1829" s="563">
        <v>45970</v>
      </c>
      <c r="C1829" s="230" t="s">
        <v>1676</v>
      </c>
      <c r="D1829" s="580">
        <v>10</v>
      </c>
      <c r="E1829" s="533">
        <v>450</v>
      </c>
      <c r="F1829" s="580">
        <f>E1829*D1829</f>
        <v>4500</v>
      </c>
      <c r="G1829" s="19">
        <v>2.3450000000000002</v>
      </c>
      <c r="H1829" s="19">
        <f>E1829*G1829</f>
        <v>1055.25</v>
      </c>
      <c r="I1829" s="19">
        <f>H1829*D1829</f>
        <v>10552.5</v>
      </c>
      <c r="J1829" s="18">
        <f>J1828+I1829</f>
        <v>10552.5</v>
      </c>
    </row>
    <row r="1830" spans="1:10">
      <c r="B1830" s="563">
        <v>45970</v>
      </c>
      <c r="C1830" s="230" t="s">
        <v>1677</v>
      </c>
      <c r="D1830" s="580">
        <v>2</v>
      </c>
      <c r="E1830" s="533">
        <v>1403</v>
      </c>
      <c r="F1830" s="580">
        <f t="shared" ref="F1830:F1837" si="430">E1830*D1830</f>
        <v>2806</v>
      </c>
      <c r="G1830" s="19">
        <v>2.3450000000000002</v>
      </c>
      <c r="H1830" s="19">
        <f t="shared" ref="H1830:H1837" si="431">E1830*G1830</f>
        <v>3290.0350000000003</v>
      </c>
      <c r="I1830" s="19">
        <f t="shared" ref="I1830:I1837" si="432">H1830*D1830</f>
        <v>6580.0700000000006</v>
      </c>
      <c r="J1830" s="18">
        <f t="shared" ref="J1830:J1837" si="433">J1829+I1830</f>
        <v>17132.57</v>
      </c>
    </row>
    <row r="1831" spans="1:10">
      <c r="B1831" s="563">
        <v>45970</v>
      </c>
      <c r="C1831" s="230" t="s">
        <v>1678</v>
      </c>
      <c r="D1831" s="580">
        <v>1</v>
      </c>
      <c r="E1831" s="533">
        <v>474</v>
      </c>
      <c r="F1831" s="580">
        <f t="shared" si="430"/>
        <v>474</v>
      </c>
      <c r="G1831" s="19">
        <v>2.3450000000000002</v>
      </c>
      <c r="H1831" s="19">
        <f t="shared" si="431"/>
        <v>1111.5300000000002</v>
      </c>
      <c r="I1831" s="19">
        <f t="shared" si="432"/>
        <v>1111.5300000000002</v>
      </c>
      <c r="J1831" s="18">
        <f t="shared" si="433"/>
        <v>18244.099999999999</v>
      </c>
    </row>
    <row r="1832" spans="1:10">
      <c r="B1832" s="563">
        <v>45970</v>
      </c>
      <c r="C1832" s="230" t="s">
        <v>1679</v>
      </c>
      <c r="D1832" s="580">
        <v>1</v>
      </c>
      <c r="E1832" s="533">
        <v>1403</v>
      </c>
      <c r="F1832" s="580">
        <f t="shared" si="430"/>
        <v>1403</v>
      </c>
      <c r="G1832" s="19">
        <v>2.3450000000000002</v>
      </c>
      <c r="H1832" s="19">
        <f t="shared" si="431"/>
        <v>3290.0350000000003</v>
      </c>
      <c r="I1832" s="19">
        <f t="shared" si="432"/>
        <v>3290.0350000000003</v>
      </c>
      <c r="J1832" s="18">
        <f t="shared" si="433"/>
        <v>21534.134999999998</v>
      </c>
    </row>
    <row r="1833" spans="1:10">
      <c r="B1833" s="561">
        <v>45970</v>
      </c>
      <c r="C1833" s="110" t="s">
        <v>1679</v>
      </c>
      <c r="D1833" s="127">
        <v>1</v>
      </c>
      <c r="E1833" s="184">
        <v>1403</v>
      </c>
      <c r="F1833" s="127">
        <f t="shared" si="430"/>
        <v>1403</v>
      </c>
      <c r="G1833" s="127">
        <v>2.3450000000000002</v>
      </c>
      <c r="H1833" s="127">
        <f t="shared" si="431"/>
        <v>3290.0350000000003</v>
      </c>
      <c r="I1833" s="127">
        <f t="shared" si="432"/>
        <v>3290.0350000000003</v>
      </c>
      <c r="J1833" s="110">
        <f t="shared" si="433"/>
        <v>24824.17</v>
      </c>
    </row>
    <row r="1834" spans="1:10">
      <c r="B1834" s="563">
        <v>45970</v>
      </c>
      <c r="C1834" s="230" t="s">
        <v>1649</v>
      </c>
      <c r="D1834" s="580">
        <v>2</v>
      </c>
      <c r="E1834" s="533">
        <v>450</v>
      </c>
      <c r="F1834" s="580">
        <f t="shared" si="430"/>
        <v>900</v>
      </c>
      <c r="G1834" s="19">
        <v>2.3450000000000002</v>
      </c>
      <c r="H1834" s="19">
        <f t="shared" si="431"/>
        <v>1055.25</v>
      </c>
      <c r="I1834" s="19">
        <f t="shared" si="432"/>
        <v>2110.5</v>
      </c>
      <c r="J1834" s="18">
        <f t="shared" si="433"/>
        <v>26934.67</v>
      </c>
    </row>
    <row r="1835" spans="1:10">
      <c r="B1835" s="563">
        <v>45970</v>
      </c>
      <c r="C1835" s="230" t="s">
        <v>1680</v>
      </c>
      <c r="D1835" s="580">
        <v>1</v>
      </c>
      <c r="E1835" s="533">
        <v>1403</v>
      </c>
      <c r="F1835" s="580">
        <f t="shared" si="430"/>
        <v>1403</v>
      </c>
      <c r="G1835" s="19">
        <v>2.3450000000000002</v>
      </c>
      <c r="H1835" s="19">
        <f t="shared" si="431"/>
        <v>3290.0350000000003</v>
      </c>
      <c r="I1835" s="19">
        <f t="shared" si="432"/>
        <v>3290.0350000000003</v>
      </c>
      <c r="J1835" s="18">
        <f t="shared" si="433"/>
        <v>30224.704999999998</v>
      </c>
    </row>
    <row r="1836" spans="1:10">
      <c r="B1836" s="563">
        <v>45970</v>
      </c>
      <c r="C1836" s="230" t="s">
        <v>1681</v>
      </c>
      <c r="D1836" s="580">
        <v>1</v>
      </c>
      <c r="E1836" s="533">
        <v>1403</v>
      </c>
      <c r="F1836" s="580">
        <f t="shared" si="430"/>
        <v>1403</v>
      </c>
      <c r="G1836" s="19">
        <v>2.3450000000000002</v>
      </c>
      <c r="H1836" s="19">
        <f t="shared" si="431"/>
        <v>3290.0350000000003</v>
      </c>
      <c r="I1836" s="19">
        <f t="shared" si="432"/>
        <v>3290.0350000000003</v>
      </c>
      <c r="J1836" s="18">
        <f t="shared" si="433"/>
        <v>33514.74</v>
      </c>
    </row>
    <row r="1837" spans="1:10">
      <c r="B1837" s="563">
        <v>45970</v>
      </c>
      <c r="C1837" s="230" t="s">
        <v>1681</v>
      </c>
      <c r="D1837" s="580">
        <v>1</v>
      </c>
      <c r="E1837" s="533">
        <v>1403</v>
      </c>
      <c r="F1837" s="580">
        <f t="shared" si="430"/>
        <v>1403</v>
      </c>
      <c r="G1837" s="19">
        <v>2.3450000000000002</v>
      </c>
      <c r="H1837" s="19">
        <f t="shared" si="431"/>
        <v>3290.0350000000003</v>
      </c>
      <c r="I1837" s="19">
        <f t="shared" si="432"/>
        <v>3290.0350000000003</v>
      </c>
      <c r="J1837" s="18">
        <f t="shared" si="433"/>
        <v>36804.775000000001</v>
      </c>
    </row>
    <row r="1838" spans="1:10">
      <c r="B1838" s="563">
        <v>45970</v>
      </c>
      <c r="C1838" s="230" t="s">
        <v>1682</v>
      </c>
      <c r="D1838" s="580">
        <v>5</v>
      </c>
      <c r="E1838" s="533">
        <v>450</v>
      </c>
      <c r="F1838" s="580">
        <f>E1838*D1838</f>
        <v>2250</v>
      </c>
      <c r="G1838" s="19">
        <v>2.3450000000000002</v>
      </c>
      <c r="H1838" s="19">
        <f>E1838*G1838</f>
        <v>1055.25</v>
      </c>
      <c r="I1838" s="19">
        <f>H1838*D1838</f>
        <v>5276.25</v>
      </c>
      <c r="J1838" s="18">
        <f>J1837+I1838</f>
        <v>42081.025000000001</v>
      </c>
    </row>
    <row r="1839" spans="1:10">
      <c r="B1839" s="563">
        <v>45970</v>
      </c>
      <c r="C1839" s="230" t="s">
        <v>1683</v>
      </c>
      <c r="D1839" s="580">
        <v>5</v>
      </c>
      <c r="E1839" s="533">
        <v>410</v>
      </c>
      <c r="F1839" s="580">
        <f>E1839*D1839</f>
        <v>2050</v>
      </c>
      <c r="G1839" s="19">
        <v>2.3450000000000002</v>
      </c>
      <c r="H1839" s="19">
        <f>E1839*G1839</f>
        <v>961.45</v>
      </c>
      <c r="I1839" s="19">
        <f>H1839*D1839</f>
        <v>4807.25</v>
      </c>
      <c r="J1839" s="18">
        <f>J1838+I1839</f>
        <v>46888.275000000001</v>
      </c>
    </row>
    <row r="1843" spans="1:11" ht="21">
      <c r="A1843" t="s">
        <v>125</v>
      </c>
      <c r="B1843" s="1523" t="s">
        <v>376</v>
      </c>
      <c r="C1843" s="1523"/>
      <c r="D1843" s="1523"/>
      <c r="E1843" s="1523"/>
      <c r="F1843" s="1523"/>
      <c r="G1843" s="1523"/>
      <c r="H1843" s="1523"/>
      <c r="I1843" s="1523"/>
      <c r="J1843" s="1523"/>
      <c r="K1843" t="s">
        <v>1732</v>
      </c>
    </row>
    <row r="1844" spans="1:11" ht="18.75">
      <c r="B1844" s="4" t="s">
        <v>1</v>
      </c>
      <c r="C1844" s="4" t="s">
        <v>2</v>
      </c>
      <c r="D1844" s="4" t="s">
        <v>3</v>
      </c>
      <c r="E1844" s="514" t="s">
        <v>132</v>
      </c>
      <c r="F1844" s="514" t="s">
        <v>133</v>
      </c>
      <c r="G1844" s="4" t="s">
        <v>5</v>
      </c>
      <c r="H1844" s="4" t="s">
        <v>6</v>
      </c>
      <c r="I1844" s="4" t="s">
        <v>7</v>
      </c>
      <c r="J1844" s="4"/>
    </row>
    <row r="1845" spans="1:11">
      <c r="B1845" s="81">
        <v>45969</v>
      </c>
      <c r="C1845" s="80" t="s">
        <v>1546</v>
      </c>
      <c r="D1845" s="19">
        <v>1</v>
      </c>
      <c r="E1845" s="19">
        <v>575</v>
      </c>
      <c r="F1845" s="19">
        <f>E1845*D1845</f>
        <v>575</v>
      </c>
      <c r="G1845" s="19">
        <v>3.59</v>
      </c>
      <c r="H1845" s="19">
        <f>E1845*G1845</f>
        <v>2064.25</v>
      </c>
      <c r="I1845" s="19">
        <f>H1845*D1845</f>
        <v>2064.25</v>
      </c>
      <c r="J1845" s="18">
        <f>J1844+I1845</f>
        <v>2064.25</v>
      </c>
    </row>
    <row r="1846" spans="1:11">
      <c r="B1846" s="81">
        <v>45969</v>
      </c>
      <c r="C1846" s="80" t="s">
        <v>1707</v>
      </c>
      <c r="D1846" s="19">
        <v>1</v>
      </c>
      <c r="E1846" s="19">
        <v>1</v>
      </c>
      <c r="F1846" s="19">
        <f t="shared" ref="F1846:F1853" si="434">E1846*D1846</f>
        <v>1</v>
      </c>
      <c r="G1846" s="19">
        <v>3.59</v>
      </c>
      <c r="H1846" s="19">
        <f t="shared" ref="H1846:H1853" si="435">E1846*G1846</f>
        <v>3.59</v>
      </c>
      <c r="I1846" s="19">
        <f t="shared" ref="I1846:I1853" si="436">H1846*D1846</f>
        <v>3.59</v>
      </c>
      <c r="J1846" s="18">
        <f t="shared" ref="J1846:J1853" si="437">J1845+I1846</f>
        <v>2067.84</v>
      </c>
    </row>
    <row r="1847" spans="1:11">
      <c r="B1847" s="81">
        <v>45969</v>
      </c>
      <c r="C1847" s="80" t="s">
        <v>1708</v>
      </c>
      <c r="D1847" s="19">
        <v>5</v>
      </c>
      <c r="E1847" s="19">
        <v>540</v>
      </c>
      <c r="F1847" s="19">
        <f t="shared" si="434"/>
        <v>2700</v>
      </c>
      <c r="G1847" s="19">
        <v>3.59</v>
      </c>
      <c r="H1847" s="19">
        <f t="shared" si="435"/>
        <v>1938.6</v>
      </c>
      <c r="I1847" s="19">
        <f t="shared" si="436"/>
        <v>9693</v>
      </c>
      <c r="J1847" s="18">
        <f t="shared" si="437"/>
        <v>11760.84</v>
      </c>
    </row>
    <row r="1848" spans="1:11">
      <c r="B1848" s="81">
        <v>45969</v>
      </c>
      <c r="C1848" s="80" t="s">
        <v>1709</v>
      </c>
      <c r="D1848" s="19">
        <v>1</v>
      </c>
      <c r="E1848" s="19">
        <v>1</v>
      </c>
      <c r="F1848" s="19">
        <f t="shared" si="434"/>
        <v>1</v>
      </c>
      <c r="G1848" s="19">
        <v>3.59</v>
      </c>
      <c r="H1848" s="19">
        <f t="shared" si="435"/>
        <v>3.59</v>
      </c>
      <c r="I1848" s="19">
        <f t="shared" si="436"/>
        <v>3.59</v>
      </c>
      <c r="J1848" s="18">
        <f t="shared" si="437"/>
        <v>11764.43</v>
      </c>
    </row>
    <row r="1849" spans="1:11">
      <c r="B1849" s="81">
        <v>45969</v>
      </c>
      <c r="C1849" s="80" t="s">
        <v>1432</v>
      </c>
      <c r="D1849" s="19">
        <v>3</v>
      </c>
      <c r="E1849" s="19">
        <v>1</v>
      </c>
      <c r="F1849" s="19">
        <f t="shared" si="434"/>
        <v>3</v>
      </c>
      <c r="G1849" s="19">
        <v>3.59</v>
      </c>
      <c r="H1849" s="19">
        <f t="shared" si="435"/>
        <v>3.59</v>
      </c>
      <c r="I1849" s="19">
        <f t="shared" si="436"/>
        <v>10.77</v>
      </c>
      <c r="J1849" s="18">
        <f t="shared" si="437"/>
        <v>11775.2</v>
      </c>
    </row>
    <row r="1850" spans="1:11">
      <c r="B1850" s="81">
        <v>45969</v>
      </c>
      <c r="C1850" s="80" t="s">
        <v>1710</v>
      </c>
      <c r="D1850" s="19">
        <v>1</v>
      </c>
      <c r="E1850" s="19">
        <v>810</v>
      </c>
      <c r="F1850" s="19">
        <f t="shared" si="434"/>
        <v>810</v>
      </c>
      <c r="G1850" s="19">
        <v>3.59</v>
      </c>
      <c r="H1850" s="19">
        <f t="shared" si="435"/>
        <v>2907.9</v>
      </c>
      <c r="I1850" s="19">
        <f t="shared" si="436"/>
        <v>2907.9</v>
      </c>
      <c r="J1850" s="18">
        <f t="shared" si="437"/>
        <v>14683.1</v>
      </c>
    </row>
    <row r="1851" spans="1:11">
      <c r="B1851" s="81">
        <v>45969</v>
      </c>
      <c r="C1851" s="80" t="s">
        <v>1553</v>
      </c>
      <c r="D1851" s="19">
        <v>6</v>
      </c>
      <c r="E1851" s="19">
        <v>720</v>
      </c>
      <c r="F1851" s="19">
        <f t="shared" si="434"/>
        <v>4320</v>
      </c>
      <c r="G1851" s="19">
        <v>3.59</v>
      </c>
      <c r="H1851" s="19">
        <f t="shared" si="435"/>
        <v>2584.7999999999997</v>
      </c>
      <c r="I1851" s="19">
        <f t="shared" si="436"/>
        <v>15508.8</v>
      </c>
      <c r="J1851" s="18">
        <f t="shared" si="437"/>
        <v>30191.9</v>
      </c>
    </row>
    <row r="1852" spans="1:11">
      <c r="B1852" s="81">
        <v>45969</v>
      </c>
      <c r="C1852" s="80" t="s">
        <v>1710</v>
      </c>
      <c r="D1852" s="19">
        <v>2</v>
      </c>
      <c r="E1852" s="19">
        <v>780</v>
      </c>
      <c r="F1852" s="19">
        <f t="shared" si="434"/>
        <v>1560</v>
      </c>
      <c r="G1852" s="19">
        <v>3.59</v>
      </c>
      <c r="H1852" s="19">
        <f t="shared" si="435"/>
        <v>2800.2</v>
      </c>
      <c r="I1852" s="19">
        <f t="shared" si="436"/>
        <v>5600.4</v>
      </c>
      <c r="J1852" s="18">
        <f t="shared" si="437"/>
        <v>35792.300000000003</v>
      </c>
    </row>
    <row r="1853" spans="1:11">
      <c r="B1853" s="81">
        <v>45969</v>
      </c>
      <c r="C1853" s="80" t="s">
        <v>1553</v>
      </c>
      <c r="D1853" s="19">
        <v>7</v>
      </c>
      <c r="E1853" s="19">
        <v>740</v>
      </c>
      <c r="F1853" s="19">
        <f t="shared" si="434"/>
        <v>5180</v>
      </c>
      <c r="G1853" s="19">
        <v>3.59</v>
      </c>
      <c r="H1853" s="19">
        <f t="shared" si="435"/>
        <v>2656.6</v>
      </c>
      <c r="I1853" s="19">
        <f t="shared" si="436"/>
        <v>18596.2</v>
      </c>
      <c r="J1853" s="18">
        <f t="shared" si="437"/>
        <v>54388.5</v>
      </c>
    </row>
    <row r="1854" spans="1:11">
      <c r="B1854" s="81">
        <v>45969</v>
      </c>
      <c r="C1854" s="80" t="s">
        <v>1711</v>
      </c>
      <c r="D1854" s="19">
        <v>5</v>
      </c>
      <c r="E1854" s="19">
        <v>930</v>
      </c>
      <c r="F1854" s="19">
        <f t="shared" ref="F1854:F1879" si="438">E1854*D1854</f>
        <v>4650</v>
      </c>
      <c r="G1854" s="19">
        <v>3.59</v>
      </c>
      <c r="H1854" s="19">
        <f t="shared" ref="H1854:H1879" si="439">E1854*G1854</f>
        <v>3338.7</v>
      </c>
      <c r="I1854" s="19">
        <f t="shared" ref="I1854:I1879" si="440">H1854*D1854</f>
        <v>16693.5</v>
      </c>
      <c r="J1854" s="18">
        <f t="shared" ref="J1854:J1879" si="441">J1853+I1854</f>
        <v>71082</v>
      </c>
    </row>
    <row r="1855" spans="1:11">
      <c r="B1855" s="81">
        <v>45969</v>
      </c>
      <c r="C1855" s="80" t="s">
        <v>1711</v>
      </c>
      <c r="D1855" s="19">
        <v>13</v>
      </c>
      <c r="E1855" s="19">
        <v>970</v>
      </c>
      <c r="F1855" s="19">
        <f t="shared" si="438"/>
        <v>12610</v>
      </c>
      <c r="G1855" s="19">
        <v>3.59</v>
      </c>
      <c r="H1855" s="19">
        <f t="shared" si="439"/>
        <v>3482.2999999999997</v>
      </c>
      <c r="I1855" s="19">
        <f t="shared" si="440"/>
        <v>45269.899999999994</v>
      </c>
      <c r="J1855" s="18">
        <f t="shared" si="441"/>
        <v>116351.9</v>
      </c>
    </row>
    <row r="1856" spans="1:11">
      <c r="B1856" s="81">
        <v>45969</v>
      </c>
      <c r="C1856" s="80" t="s">
        <v>1339</v>
      </c>
      <c r="D1856" s="19">
        <v>1</v>
      </c>
      <c r="E1856" s="19">
        <v>1010</v>
      </c>
      <c r="F1856" s="19">
        <f t="shared" si="438"/>
        <v>1010</v>
      </c>
      <c r="G1856" s="19">
        <v>3.59</v>
      </c>
      <c r="H1856" s="19">
        <f t="shared" si="439"/>
        <v>3625.8999999999996</v>
      </c>
      <c r="I1856" s="19">
        <f t="shared" si="440"/>
        <v>3625.8999999999996</v>
      </c>
      <c r="J1856" s="18">
        <f t="shared" si="441"/>
        <v>119977.79999999999</v>
      </c>
    </row>
    <row r="1857" spans="2:10">
      <c r="B1857" s="81">
        <v>45969</v>
      </c>
      <c r="C1857" s="80" t="s">
        <v>1712</v>
      </c>
      <c r="D1857" s="19">
        <v>2</v>
      </c>
      <c r="E1857" s="19">
        <v>1180</v>
      </c>
      <c r="F1857" s="19">
        <f t="shared" si="438"/>
        <v>2360</v>
      </c>
      <c r="G1857" s="19">
        <v>3.59</v>
      </c>
      <c r="H1857" s="19">
        <f t="shared" si="439"/>
        <v>4236.2</v>
      </c>
      <c r="I1857" s="19">
        <f t="shared" si="440"/>
        <v>8472.4</v>
      </c>
      <c r="J1857" s="18">
        <f t="shared" si="441"/>
        <v>128450.19999999998</v>
      </c>
    </row>
    <row r="1858" spans="2:10">
      <c r="B1858" s="81">
        <v>45969</v>
      </c>
      <c r="C1858" s="80" t="s">
        <v>136</v>
      </c>
      <c r="D1858" s="19">
        <v>2</v>
      </c>
      <c r="E1858" s="19">
        <v>85</v>
      </c>
      <c r="F1858" s="19">
        <f t="shared" si="438"/>
        <v>170</v>
      </c>
      <c r="G1858" s="19">
        <v>3.59</v>
      </c>
      <c r="H1858" s="19">
        <f t="shared" si="439"/>
        <v>305.14999999999998</v>
      </c>
      <c r="I1858" s="19">
        <f t="shared" si="440"/>
        <v>610.29999999999995</v>
      </c>
      <c r="J1858" s="18">
        <f t="shared" si="441"/>
        <v>129060.49999999999</v>
      </c>
    </row>
    <row r="1859" spans="2:10">
      <c r="B1859" s="81">
        <v>45969</v>
      </c>
      <c r="C1859" s="80" t="s">
        <v>1713</v>
      </c>
      <c r="D1859" s="19">
        <v>1</v>
      </c>
      <c r="E1859" s="19">
        <v>1</v>
      </c>
      <c r="F1859" s="19">
        <f t="shared" si="438"/>
        <v>1</v>
      </c>
      <c r="G1859" s="19">
        <v>3.59</v>
      </c>
      <c r="H1859" s="19">
        <f t="shared" si="439"/>
        <v>3.59</v>
      </c>
      <c r="I1859" s="19">
        <f t="shared" si="440"/>
        <v>3.59</v>
      </c>
      <c r="J1859" s="18">
        <f t="shared" si="441"/>
        <v>129064.08999999998</v>
      </c>
    </row>
    <row r="1860" spans="2:10">
      <c r="B1860" s="81">
        <v>45969</v>
      </c>
      <c r="C1860" s="80" t="s">
        <v>1405</v>
      </c>
      <c r="D1860" s="19">
        <v>48</v>
      </c>
      <c r="E1860" s="19">
        <v>210</v>
      </c>
      <c r="F1860" s="19">
        <f t="shared" si="438"/>
        <v>10080</v>
      </c>
      <c r="G1860" s="19">
        <v>3.59</v>
      </c>
      <c r="H1860" s="19">
        <f t="shared" si="439"/>
        <v>753.9</v>
      </c>
      <c r="I1860" s="19">
        <f t="shared" si="440"/>
        <v>36187.199999999997</v>
      </c>
      <c r="J1860" s="18">
        <f t="shared" si="441"/>
        <v>165251.28999999998</v>
      </c>
    </row>
    <row r="1861" spans="2:10">
      <c r="B1861" s="81">
        <v>45969</v>
      </c>
      <c r="C1861" s="80" t="s">
        <v>1714</v>
      </c>
      <c r="D1861" s="19">
        <v>1</v>
      </c>
      <c r="E1861" s="19">
        <v>650</v>
      </c>
      <c r="F1861" s="19">
        <f t="shared" si="438"/>
        <v>650</v>
      </c>
      <c r="G1861" s="19">
        <v>3.59</v>
      </c>
      <c r="H1861" s="19">
        <f t="shared" si="439"/>
        <v>2333.5</v>
      </c>
      <c r="I1861" s="19">
        <f t="shared" si="440"/>
        <v>2333.5</v>
      </c>
      <c r="J1861" s="18">
        <f t="shared" si="441"/>
        <v>167584.78999999998</v>
      </c>
    </row>
    <row r="1862" spans="2:10">
      <c r="B1862" s="81">
        <v>45969</v>
      </c>
      <c r="C1862" s="516" t="s">
        <v>1689</v>
      </c>
      <c r="D1862" s="19">
        <v>2</v>
      </c>
      <c r="E1862" s="19">
        <v>1550</v>
      </c>
      <c r="F1862" s="19">
        <f t="shared" si="438"/>
        <v>3100</v>
      </c>
      <c r="G1862" s="19">
        <v>3.59</v>
      </c>
      <c r="H1862" s="19">
        <f t="shared" si="439"/>
        <v>5564.5</v>
      </c>
      <c r="I1862" s="19">
        <f t="shared" si="440"/>
        <v>11129</v>
      </c>
      <c r="J1862" s="18">
        <f t="shared" si="441"/>
        <v>178713.78999999998</v>
      </c>
    </row>
    <row r="1863" spans="2:10">
      <c r="B1863" s="81">
        <v>45969</v>
      </c>
      <c r="C1863" s="537" t="s">
        <v>1568</v>
      </c>
      <c r="D1863" s="19">
        <v>4</v>
      </c>
      <c r="E1863" s="19">
        <v>1200</v>
      </c>
      <c r="F1863" s="19">
        <f t="shared" si="438"/>
        <v>4800</v>
      </c>
      <c r="G1863" s="19">
        <v>3.59</v>
      </c>
      <c r="H1863" s="19">
        <f t="shared" si="439"/>
        <v>4308</v>
      </c>
      <c r="I1863" s="19">
        <f t="shared" si="440"/>
        <v>17232</v>
      </c>
      <c r="J1863" s="18">
        <f t="shared" si="441"/>
        <v>195945.78999999998</v>
      </c>
    </row>
    <row r="1864" spans="2:10">
      <c r="B1864" s="81">
        <v>45969</v>
      </c>
      <c r="C1864" s="516" t="s">
        <v>1291</v>
      </c>
      <c r="D1864" s="19">
        <v>10</v>
      </c>
      <c r="E1864" s="19">
        <v>700</v>
      </c>
      <c r="F1864" s="19">
        <f t="shared" si="438"/>
        <v>7000</v>
      </c>
      <c r="G1864" s="19">
        <v>3.59</v>
      </c>
      <c r="H1864" s="19">
        <f t="shared" si="439"/>
        <v>2513</v>
      </c>
      <c r="I1864" s="19">
        <f t="shared" si="440"/>
        <v>25130</v>
      </c>
      <c r="J1864" s="18">
        <f t="shared" si="441"/>
        <v>221075.78999999998</v>
      </c>
    </row>
    <row r="1865" spans="2:10">
      <c r="B1865" s="81">
        <v>45969</v>
      </c>
      <c r="C1865" s="80" t="s">
        <v>1715</v>
      </c>
      <c r="D1865" s="19">
        <v>1</v>
      </c>
      <c r="E1865" s="19">
        <v>650</v>
      </c>
      <c r="F1865" s="19">
        <f t="shared" si="438"/>
        <v>650</v>
      </c>
      <c r="G1865" s="19">
        <v>3.59</v>
      </c>
      <c r="H1865" s="19">
        <f t="shared" si="439"/>
        <v>2333.5</v>
      </c>
      <c r="I1865" s="19">
        <f t="shared" si="440"/>
        <v>2333.5</v>
      </c>
      <c r="J1865" s="18">
        <f t="shared" si="441"/>
        <v>223409.28999999998</v>
      </c>
    </row>
    <row r="1866" spans="2:10">
      <c r="B1866" s="81">
        <v>45969</v>
      </c>
      <c r="C1866" s="80" t="s">
        <v>1292</v>
      </c>
      <c r="D1866" s="19">
        <v>3</v>
      </c>
      <c r="E1866" s="19">
        <v>425</v>
      </c>
      <c r="F1866" s="19">
        <f t="shared" si="438"/>
        <v>1275</v>
      </c>
      <c r="G1866" s="19">
        <v>3.59</v>
      </c>
      <c r="H1866" s="19">
        <f t="shared" si="439"/>
        <v>1525.75</v>
      </c>
      <c r="I1866" s="19">
        <f t="shared" si="440"/>
        <v>4577.25</v>
      </c>
      <c r="J1866" s="18">
        <f t="shared" si="441"/>
        <v>227986.53999999998</v>
      </c>
    </row>
    <row r="1867" spans="2:10">
      <c r="B1867" s="81">
        <v>45969</v>
      </c>
      <c r="C1867" s="80" t="s">
        <v>975</v>
      </c>
      <c r="D1867" s="614">
        <v>1</v>
      </c>
      <c r="E1867" s="614">
        <v>380</v>
      </c>
      <c r="F1867" s="614">
        <f t="shared" si="438"/>
        <v>380</v>
      </c>
      <c r="G1867" s="614">
        <v>3.59</v>
      </c>
      <c r="H1867" s="614">
        <f t="shared" si="439"/>
        <v>1364.2</v>
      </c>
      <c r="I1867" s="614">
        <f t="shared" si="440"/>
        <v>1364.2</v>
      </c>
      <c r="J1867" s="612">
        <f t="shared" si="441"/>
        <v>229350.74</v>
      </c>
    </row>
    <row r="1868" spans="2:10">
      <c r="B1868" s="81">
        <v>45969</v>
      </c>
      <c r="C1868" s="80" t="s">
        <v>1312</v>
      </c>
      <c r="D1868" s="614">
        <v>1</v>
      </c>
      <c r="E1868" s="614">
        <v>125</v>
      </c>
      <c r="F1868" s="614">
        <f t="shared" si="438"/>
        <v>125</v>
      </c>
      <c r="G1868" s="614">
        <v>3.59</v>
      </c>
      <c r="H1868" s="614">
        <f t="shared" si="439"/>
        <v>448.75</v>
      </c>
      <c r="I1868" s="614">
        <f t="shared" si="440"/>
        <v>448.75</v>
      </c>
      <c r="J1868" s="612">
        <f t="shared" si="441"/>
        <v>229799.49</v>
      </c>
    </row>
    <row r="1869" spans="2:10">
      <c r="B1869" s="81">
        <v>45969</v>
      </c>
      <c r="C1869" s="80" t="s">
        <v>1392</v>
      </c>
      <c r="D1869" s="614">
        <v>1</v>
      </c>
      <c r="E1869" s="614">
        <v>375</v>
      </c>
      <c r="F1869" s="614">
        <f t="shared" si="438"/>
        <v>375</v>
      </c>
      <c r="G1869" s="614">
        <v>3.59</v>
      </c>
      <c r="H1869" s="614">
        <f t="shared" si="439"/>
        <v>1346.25</v>
      </c>
      <c r="I1869" s="614">
        <f t="shared" si="440"/>
        <v>1346.25</v>
      </c>
      <c r="J1869" s="612">
        <f t="shared" si="441"/>
        <v>231145.74</v>
      </c>
    </row>
    <row r="1870" spans="2:10" s="611" customFormat="1">
      <c r="B1870" s="643"/>
      <c r="C1870" s="644"/>
      <c r="D1870" s="567"/>
      <c r="E1870" s="567"/>
      <c r="F1870" s="567"/>
      <c r="G1870" s="567"/>
      <c r="H1870" s="567"/>
      <c r="I1870" s="567"/>
      <c r="J1870" s="568"/>
    </row>
    <row r="1871" spans="2:10" s="611" customFormat="1">
      <c r="B1871" s="643"/>
      <c r="C1871" s="644"/>
      <c r="D1871" s="567"/>
      <c r="E1871" s="567"/>
      <c r="F1871" s="567"/>
      <c r="G1871" s="567"/>
      <c r="H1871" s="567"/>
      <c r="I1871" s="567"/>
      <c r="J1871" s="568"/>
    </row>
    <row r="1872" spans="2:10" s="611" customFormat="1">
      <c r="B1872" s="643"/>
      <c r="C1872" s="644"/>
      <c r="D1872" s="567"/>
      <c r="E1872" s="567"/>
      <c r="F1872" s="567"/>
      <c r="G1872" s="567"/>
      <c r="H1872" s="567"/>
      <c r="I1872" s="567"/>
      <c r="J1872" s="568"/>
    </row>
    <row r="1873" spans="1:11" s="611" customFormat="1" ht="21">
      <c r="A1873" s="611" t="s">
        <v>125</v>
      </c>
      <c r="B1873" s="1522" t="s">
        <v>376</v>
      </c>
      <c r="C1873" s="1522"/>
      <c r="D1873" s="1522"/>
      <c r="E1873" s="1522"/>
      <c r="F1873" s="1522"/>
      <c r="G1873" s="1522"/>
      <c r="H1873" s="1522"/>
      <c r="I1873" s="1522"/>
      <c r="J1873" s="1522"/>
      <c r="K1873" s="611" t="s">
        <v>2114</v>
      </c>
    </row>
    <row r="1874" spans="1:11" s="611" customFormat="1" ht="18.75">
      <c r="B1874" s="4" t="s">
        <v>1</v>
      </c>
      <c r="C1874" s="4" t="s">
        <v>2</v>
      </c>
      <c r="D1874" s="4" t="s">
        <v>3</v>
      </c>
      <c r="E1874" s="514" t="s">
        <v>132</v>
      </c>
      <c r="F1874" s="514" t="s">
        <v>133</v>
      </c>
      <c r="G1874" s="4" t="s">
        <v>5</v>
      </c>
      <c r="H1874" s="4" t="s">
        <v>6</v>
      </c>
      <c r="I1874" s="4" t="s">
        <v>7</v>
      </c>
      <c r="J1874" s="4"/>
    </row>
    <row r="1875" spans="1:11">
      <c r="B1875" s="428">
        <v>45969</v>
      </c>
      <c r="C1875" s="230" t="s">
        <v>1697</v>
      </c>
      <c r="D1875" s="642">
        <v>1</v>
      </c>
      <c r="E1875" s="642">
        <v>1150</v>
      </c>
      <c r="F1875" s="642">
        <f t="shared" si="438"/>
        <v>1150</v>
      </c>
      <c r="G1875" s="642">
        <v>3.59</v>
      </c>
      <c r="H1875" s="642">
        <f t="shared" si="439"/>
        <v>4128.5</v>
      </c>
      <c r="I1875" s="642">
        <f t="shared" si="440"/>
        <v>4128.5</v>
      </c>
      <c r="J1875" s="230">
        <f>+I1875</f>
        <v>4128.5</v>
      </c>
    </row>
    <row r="1876" spans="1:11">
      <c r="B1876" s="428">
        <v>45969</v>
      </c>
      <c r="C1876" s="230" t="s">
        <v>1698</v>
      </c>
      <c r="D1876" s="642">
        <v>1</v>
      </c>
      <c r="E1876" s="642">
        <v>1800</v>
      </c>
      <c r="F1876" s="642">
        <f t="shared" si="438"/>
        <v>1800</v>
      </c>
      <c r="G1876" s="642">
        <v>3.59</v>
      </c>
      <c r="H1876" s="642">
        <f t="shared" si="439"/>
        <v>6462</v>
      </c>
      <c r="I1876" s="642">
        <f t="shared" si="440"/>
        <v>6462</v>
      </c>
      <c r="J1876" s="230">
        <f t="shared" si="441"/>
        <v>10590.5</v>
      </c>
    </row>
    <row r="1877" spans="1:11">
      <c r="B1877" s="428">
        <v>45969</v>
      </c>
      <c r="C1877" s="230" t="s">
        <v>1699</v>
      </c>
      <c r="D1877" s="642">
        <v>1</v>
      </c>
      <c r="E1877" s="642">
        <v>1775</v>
      </c>
      <c r="F1877" s="642">
        <f t="shared" si="438"/>
        <v>1775</v>
      </c>
      <c r="G1877" s="642">
        <v>3.59</v>
      </c>
      <c r="H1877" s="642">
        <f t="shared" si="439"/>
        <v>6372.25</v>
      </c>
      <c r="I1877" s="642">
        <f t="shared" si="440"/>
        <v>6372.25</v>
      </c>
      <c r="J1877" s="230">
        <f t="shared" si="441"/>
        <v>16962.75</v>
      </c>
    </row>
    <row r="1878" spans="1:11">
      <c r="B1878" s="428">
        <v>45969</v>
      </c>
      <c r="C1878" s="230" t="s">
        <v>1623</v>
      </c>
      <c r="D1878" s="642">
        <v>1</v>
      </c>
      <c r="E1878" s="642">
        <v>1010</v>
      </c>
      <c r="F1878" s="642">
        <f t="shared" si="438"/>
        <v>1010</v>
      </c>
      <c r="G1878" s="642">
        <v>3.59</v>
      </c>
      <c r="H1878" s="642">
        <f t="shared" si="439"/>
        <v>3625.8999999999996</v>
      </c>
      <c r="I1878" s="642">
        <f t="shared" si="440"/>
        <v>3625.8999999999996</v>
      </c>
      <c r="J1878" s="230">
        <f t="shared" si="441"/>
        <v>20588.650000000001</v>
      </c>
    </row>
    <row r="1879" spans="1:11">
      <c r="B1879" s="428">
        <v>45969</v>
      </c>
      <c r="C1879" s="230" t="s">
        <v>1624</v>
      </c>
      <c r="D1879" s="642">
        <v>2</v>
      </c>
      <c r="E1879" s="642">
        <v>1210</v>
      </c>
      <c r="F1879" s="642">
        <f t="shared" si="438"/>
        <v>2420</v>
      </c>
      <c r="G1879" s="642">
        <v>3.59</v>
      </c>
      <c r="H1879" s="642">
        <f t="shared" si="439"/>
        <v>4343.8999999999996</v>
      </c>
      <c r="I1879" s="642">
        <f t="shared" si="440"/>
        <v>8687.7999999999993</v>
      </c>
      <c r="J1879" s="230">
        <f t="shared" si="441"/>
        <v>29276.45</v>
      </c>
    </row>
    <row r="1880" spans="1:11">
      <c r="B1880" s="428">
        <v>45969</v>
      </c>
      <c r="C1880" s="645" t="s">
        <v>1840</v>
      </c>
      <c r="D1880" s="642">
        <v>4</v>
      </c>
      <c r="E1880" s="642">
        <v>1000</v>
      </c>
      <c r="F1880" s="642">
        <f t="shared" ref="F1880:F1886" si="442">E1880*D1880</f>
        <v>4000</v>
      </c>
      <c r="G1880" s="642">
        <v>3.59</v>
      </c>
      <c r="H1880" s="642">
        <f t="shared" ref="H1880:H1886" si="443">E1880*G1880</f>
        <v>3590</v>
      </c>
      <c r="I1880" s="642">
        <f t="shared" ref="I1880:I1886" si="444">H1880*D1880</f>
        <v>14360</v>
      </c>
      <c r="J1880" s="230">
        <f t="shared" ref="J1880:J1886" si="445">J1879+I1880</f>
        <v>43636.45</v>
      </c>
    </row>
    <row r="1881" spans="1:11">
      <c r="B1881" s="428">
        <v>45969</v>
      </c>
      <c r="C1881" s="230" t="s">
        <v>1701</v>
      </c>
      <c r="D1881" s="642">
        <v>2</v>
      </c>
      <c r="E1881" s="642">
        <v>1200</v>
      </c>
      <c r="F1881" s="642">
        <f t="shared" si="442"/>
        <v>2400</v>
      </c>
      <c r="G1881" s="642">
        <v>3.59</v>
      </c>
      <c r="H1881" s="642">
        <f t="shared" si="443"/>
        <v>4308</v>
      </c>
      <c r="I1881" s="642">
        <f t="shared" si="444"/>
        <v>8616</v>
      </c>
      <c r="J1881" s="230">
        <f t="shared" si="445"/>
        <v>52252.45</v>
      </c>
    </row>
    <row r="1882" spans="1:11">
      <c r="B1882" s="428">
        <v>45969</v>
      </c>
      <c r="C1882" s="230" t="s">
        <v>1702</v>
      </c>
      <c r="D1882" s="642">
        <v>4</v>
      </c>
      <c r="E1882" s="642">
        <v>1000</v>
      </c>
      <c r="F1882" s="642">
        <f t="shared" si="442"/>
        <v>4000</v>
      </c>
      <c r="G1882" s="642">
        <v>3.59</v>
      </c>
      <c r="H1882" s="642">
        <f t="shared" si="443"/>
        <v>3590</v>
      </c>
      <c r="I1882" s="642">
        <f t="shared" si="444"/>
        <v>14360</v>
      </c>
      <c r="J1882" s="230">
        <f t="shared" si="445"/>
        <v>66612.45</v>
      </c>
    </row>
    <row r="1883" spans="1:11">
      <c r="B1883" s="428">
        <v>45969</v>
      </c>
      <c r="C1883" s="230" t="s">
        <v>1546</v>
      </c>
      <c r="D1883" s="642">
        <v>1</v>
      </c>
      <c r="E1883" s="642">
        <v>710</v>
      </c>
      <c r="F1883" s="642">
        <f t="shared" si="442"/>
        <v>710</v>
      </c>
      <c r="G1883" s="642">
        <v>3.59</v>
      </c>
      <c r="H1883" s="642">
        <f t="shared" si="443"/>
        <v>2548.9</v>
      </c>
      <c r="I1883" s="642">
        <f t="shared" si="444"/>
        <v>2548.9</v>
      </c>
      <c r="J1883" s="230">
        <f t="shared" si="445"/>
        <v>69161.349999999991</v>
      </c>
    </row>
    <row r="1884" spans="1:11">
      <c r="B1884" s="428">
        <v>45969</v>
      </c>
      <c r="C1884" s="230" t="s">
        <v>920</v>
      </c>
      <c r="D1884" s="642">
        <v>2</v>
      </c>
      <c r="E1884" s="642">
        <v>575</v>
      </c>
      <c r="F1884" s="642">
        <f t="shared" si="442"/>
        <v>1150</v>
      </c>
      <c r="G1884" s="642">
        <v>3.59</v>
      </c>
      <c r="H1884" s="642">
        <f t="shared" si="443"/>
        <v>2064.25</v>
      </c>
      <c r="I1884" s="642">
        <f t="shared" si="444"/>
        <v>4128.5</v>
      </c>
      <c r="J1884" s="230">
        <f t="shared" si="445"/>
        <v>73289.849999999991</v>
      </c>
    </row>
    <row r="1885" spans="1:11">
      <c r="B1885" s="428">
        <v>45969</v>
      </c>
      <c r="C1885" s="230" t="s">
        <v>1716</v>
      </c>
      <c r="D1885" s="642">
        <v>1</v>
      </c>
      <c r="E1885" s="642">
        <v>1450</v>
      </c>
      <c r="F1885" s="642">
        <f t="shared" si="442"/>
        <v>1450</v>
      </c>
      <c r="G1885" s="642">
        <v>3.59</v>
      </c>
      <c r="H1885" s="642">
        <f t="shared" si="443"/>
        <v>5205.5</v>
      </c>
      <c r="I1885" s="642">
        <f t="shared" si="444"/>
        <v>5205.5</v>
      </c>
      <c r="J1885" s="230">
        <f t="shared" si="445"/>
        <v>78495.349999999991</v>
      </c>
    </row>
    <row r="1886" spans="1:11">
      <c r="B1886" s="428">
        <v>45969</v>
      </c>
      <c r="C1886" s="230" t="s">
        <v>1546</v>
      </c>
      <c r="D1886" s="642">
        <v>1</v>
      </c>
      <c r="E1886" s="642">
        <v>575</v>
      </c>
      <c r="F1886" s="642">
        <f t="shared" si="442"/>
        <v>575</v>
      </c>
      <c r="G1886" s="642">
        <v>3.59</v>
      </c>
      <c r="H1886" s="642">
        <f t="shared" si="443"/>
        <v>2064.25</v>
      </c>
      <c r="I1886" s="642">
        <f t="shared" si="444"/>
        <v>2064.25</v>
      </c>
      <c r="J1886" s="230">
        <f t="shared" si="445"/>
        <v>80559.599999999991</v>
      </c>
    </row>
    <row r="1889" spans="1:10" ht="21">
      <c r="A1889" t="s">
        <v>125</v>
      </c>
      <c r="B1889" s="1520" t="s">
        <v>20</v>
      </c>
      <c r="C1889" s="1520"/>
      <c r="D1889" s="1520"/>
      <c r="E1889" s="1520"/>
      <c r="F1889" s="1520"/>
      <c r="G1889" s="1520"/>
      <c r="H1889" s="1520"/>
      <c r="I1889" s="1520"/>
      <c r="J1889" s="1520"/>
    </row>
    <row r="1890" spans="1:10" ht="18.75">
      <c r="A1890" t="s">
        <v>212</v>
      </c>
      <c r="B1890" s="4" t="s">
        <v>1</v>
      </c>
      <c r="C1890" s="4" t="s">
        <v>2</v>
      </c>
      <c r="D1890" s="4" t="s">
        <v>3</v>
      </c>
      <c r="E1890" s="4" t="s">
        <v>4</v>
      </c>
      <c r="F1890" s="4" t="s">
        <v>36</v>
      </c>
      <c r="G1890" s="4" t="s">
        <v>5</v>
      </c>
      <c r="H1890" s="4" t="s">
        <v>6</v>
      </c>
      <c r="I1890" s="4" t="s">
        <v>7</v>
      </c>
      <c r="J1890" s="4"/>
    </row>
    <row r="1891" spans="1:10">
      <c r="B1891" s="583">
        <v>45972</v>
      </c>
      <c r="C1891" s="230" t="s">
        <v>1748</v>
      </c>
      <c r="D1891" s="230">
        <v>30</v>
      </c>
      <c r="E1891" s="533">
        <v>410</v>
      </c>
      <c r="F1891" s="588">
        <f>E1891*D1891</f>
        <v>12300</v>
      </c>
      <c r="G1891" s="588">
        <v>2.3717999999999999</v>
      </c>
      <c r="H1891" s="588">
        <f>E1891*G1891</f>
        <v>972.43799999999999</v>
      </c>
      <c r="I1891" s="588">
        <f>H1891*D1891</f>
        <v>29173.14</v>
      </c>
      <c r="J1891" s="230">
        <f>J1890+I1891</f>
        <v>29173.14</v>
      </c>
    </row>
    <row r="1892" spans="1:10">
      <c r="B1892" s="583">
        <v>45972</v>
      </c>
      <c r="C1892" s="230" t="s">
        <v>1573</v>
      </c>
      <c r="D1892" s="230">
        <v>5</v>
      </c>
      <c r="E1892" s="533">
        <v>1400</v>
      </c>
      <c r="F1892" s="588">
        <f t="shared" ref="F1892:F1899" si="446">E1892*D1892</f>
        <v>7000</v>
      </c>
      <c r="G1892" s="588">
        <v>2.3717999999999999</v>
      </c>
      <c r="H1892" s="588">
        <f t="shared" ref="H1892:H1899" si="447">E1892*G1892</f>
        <v>3320.52</v>
      </c>
      <c r="I1892" s="588">
        <f t="shared" ref="I1892:I1899" si="448">H1892*D1892</f>
        <v>16602.599999999999</v>
      </c>
      <c r="J1892" s="230">
        <f t="shared" ref="J1892:J1899" si="449">J1891+I1892</f>
        <v>45775.74</v>
      </c>
    </row>
    <row r="1893" spans="1:10">
      <c r="B1893" s="583">
        <v>45972</v>
      </c>
      <c r="C1893" s="230" t="s">
        <v>1749</v>
      </c>
      <c r="D1893" s="230">
        <v>5</v>
      </c>
      <c r="E1893" s="533">
        <v>2500</v>
      </c>
      <c r="F1893" s="588">
        <f t="shared" si="446"/>
        <v>12500</v>
      </c>
      <c r="G1893" s="588">
        <v>2.3717999999999999</v>
      </c>
      <c r="H1893" s="588">
        <f t="shared" si="447"/>
        <v>5929.5</v>
      </c>
      <c r="I1893" s="588">
        <f t="shared" si="448"/>
        <v>29647.5</v>
      </c>
      <c r="J1893" s="230">
        <f t="shared" si="449"/>
        <v>75423.239999999991</v>
      </c>
    </row>
    <row r="1894" spans="1:10">
      <c r="B1894" s="583">
        <v>45972</v>
      </c>
      <c r="C1894" s="230" t="s">
        <v>1750</v>
      </c>
      <c r="D1894" s="230">
        <v>10</v>
      </c>
      <c r="E1894" s="533">
        <v>3300</v>
      </c>
      <c r="F1894" s="588">
        <f t="shared" si="446"/>
        <v>33000</v>
      </c>
      <c r="G1894" s="588">
        <v>2.3717999999999999</v>
      </c>
      <c r="H1894" s="588">
        <f t="shared" si="447"/>
        <v>7826.94</v>
      </c>
      <c r="I1894" s="588">
        <f t="shared" si="448"/>
        <v>78269.399999999994</v>
      </c>
      <c r="J1894" s="230">
        <f t="shared" si="449"/>
        <v>153692.63999999998</v>
      </c>
    </row>
    <row r="1895" spans="1:10">
      <c r="B1895" s="590">
        <v>45978</v>
      </c>
      <c r="C1895" s="198" t="s">
        <v>1751</v>
      </c>
      <c r="D1895" s="198">
        <v>1</v>
      </c>
      <c r="E1895" s="591">
        <v>329</v>
      </c>
      <c r="F1895" s="197">
        <v>0</v>
      </c>
      <c r="G1895" s="197">
        <v>2.3717999999999999</v>
      </c>
      <c r="H1895" s="197">
        <v>0</v>
      </c>
      <c r="I1895" s="197">
        <f t="shared" si="448"/>
        <v>0</v>
      </c>
      <c r="J1895" s="198">
        <f t="shared" si="449"/>
        <v>153692.63999999998</v>
      </c>
    </row>
    <row r="1896" spans="1:10">
      <c r="B1896" s="590">
        <v>45978</v>
      </c>
      <c r="C1896" s="198" t="s">
        <v>1752</v>
      </c>
      <c r="D1896" s="198">
        <v>1</v>
      </c>
      <c r="E1896" s="591">
        <v>5000</v>
      </c>
      <c r="F1896" s="197">
        <v>0</v>
      </c>
      <c r="G1896" s="197">
        <v>2.3717999999999999</v>
      </c>
      <c r="H1896" s="197">
        <v>0</v>
      </c>
      <c r="I1896" s="197">
        <f t="shared" si="448"/>
        <v>0</v>
      </c>
      <c r="J1896" s="198">
        <f t="shared" si="449"/>
        <v>153692.63999999998</v>
      </c>
    </row>
    <row r="1897" spans="1:10">
      <c r="B1897" s="585">
        <v>45979</v>
      </c>
      <c r="C1897" s="110" t="s">
        <v>1756</v>
      </c>
      <c r="D1897" s="110">
        <v>2</v>
      </c>
      <c r="E1897" s="184">
        <v>454</v>
      </c>
      <c r="F1897" s="127">
        <f t="shared" si="446"/>
        <v>908</v>
      </c>
      <c r="G1897" s="127">
        <v>2.3717999999999999</v>
      </c>
      <c r="H1897" s="127">
        <f t="shared" si="447"/>
        <v>1076.7972</v>
      </c>
      <c r="I1897" s="127">
        <f t="shared" si="448"/>
        <v>2153.5944</v>
      </c>
      <c r="J1897" s="110">
        <f t="shared" si="449"/>
        <v>155846.23439999999</v>
      </c>
    </row>
    <row r="1898" spans="1:10">
      <c r="B1898" s="585">
        <v>45979</v>
      </c>
      <c r="C1898" s="110" t="s">
        <v>1756</v>
      </c>
      <c r="D1898" s="110">
        <v>2</v>
      </c>
      <c r="E1898" s="184">
        <v>454</v>
      </c>
      <c r="F1898" s="127">
        <f t="shared" si="446"/>
        <v>908</v>
      </c>
      <c r="G1898" s="127">
        <v>2.3717999999999999</v>
      </c>
      <c r="H1898" s="127">
        <f t="shared" si="447"/>
        <v>1076.7972</v>
      </c>
      <c r="I1898" s="127">
        <f t="shared" si="448"/>
        <v>2153.5944</v>
      </c>
      <c r="J1898" s="110">
        <f t="shared" si="449"/>
        <v>157999.82879999999</v>
      </c>
    </row>
    <row r="1899" spans="1:10">
      <c r="B1899" s="585">
        <v>45979</v>
      </c>
      <c r="C1899" s="110" t="s">
        <v>1757</v>
      </c>
      <c r="D1899" s="110">
        <v>2</v>
      </c>
      <c r="E1899" s="184">
        <v>454</v>
      </c>
      <c r="F1899" s="127">
        <f t="shared" si="446"/>
        <v>908</v>
      </c>
      <c r="G1899" s="127">
        <v>2.3717999999999999</v>
      </c>
      <c r="H1899" s="127">
        <f t="shared" si="447"/>
        <v>1076.7972</v>
      </c>
      <c r="I1899" s="127">
        <f t="shared" si="448"/>
        <v>2153.5944</v>
      </c>
      <c r="J1899" s="110">
        <f t="shared" si="449"/>
        <v>160153.42319999999</v>
      </c>
    </row>
    <row r="1900" spans="1:10">
      <c r="B1900" s="585">
        <v>45979</v>
      </c>
      <c r="C1900" s="110" t="s">
        <v>1758</v>
      </c>
      <c r="D1900" s="110">
        <v>2</v>
      </c>
      <c r="E1900" s="184">
        <v>454</v>
      </c>
      <c r="F1900" s="127">
        <f>E1900*D1900</f>
        <v>908</v>
      </c>
      <c r="G1900" s="127">
        <v>2.3717999999999999</v>
      </c>
      <c r="H1900" s="127">
        <f>E1900*G1900</f>
        <v>1076.7972</v>
      </c>
      <c r="I1900" s="127">
        <f>H1900*D1900</f>
        <v>2153.5944</v>
      </c>
      <c r="J1900" s="110">
        <f>J1899+I1900</f>
        <v>162307.01759999999</v>
      </c>
    </row>
    <row r="1901" spans="1:10">
      <c r="B1901" s="585">
        <v>45979</v>
      </c>
      <c r="C1901" s="110" t="s">
        <v>1757</v>
      </c>
      <c r="D1901" s="110">
        <v>2</v>
      </c>
      <c r="E1901" s="184">
        <v>454</v>
      </c>
      <c r="F1901" s="127">
        <f>E1901*D1901</f>
        <v>908</v>
      </c>
      <c r="G1901" s="127">
        <v>2.3717999999999999</v>
      </c>
      <c r="H1901" s="127">
        <f>E1901*G1901</f>
        <v>1076.7972</v>
      </c>
      <c r="I1901" s="127">
        <f>H1901*D1901</f>
        <v>2153.5944</v>
      </c>
      <c r="J1901" s="110">
        <f>J1900+I1901</f>
        <v>164460.61199999999</v>
      </c>
    </row>
    <row r="1902" spans="1:10">
      <c r="B1902" s="583">
        <v>45979</v>
      </c>
      <c r="C1902" s="230" t="s">
        <v>1761</v>
      </c>
      <c r="D1902" s="230">
        <v>3</v>
      </c>
      <c r="E1902" s="533">
        <v>130</v>
      </c>
      <c r="F1902" s="588">
        <f>E1902*D1902</f>
        <v>390</v>
      </c>
      <c r="G1902" s="588">
        <v>2.3717999999999999</v>
      </c>
      <c r="H1902" s="588">
        <f>E1902*G1902</f>
        <v>308.334</v>
      </c>
      <c r="I1902" s="588">
        <f>H1902*D1902</f>
        <v>925.00199999999995</v>
      </c>
      <c r="J1902" s="230">
        <f>J1901+I1902</f>
        <v>165385.614</v>
      </c>
    </row>
    <row r="1903" spans="1:10">
      <c r="B1903" s="19"/>
      <c r="C1903" s="19"/>
      <c r="D1903" s="19"/>
      <c r="E1903" s="19"/>
      <c r="F1903" s="19">
        <f>E1903*D1903</f>
        <v>0</v>
      </c>
      <c r="G1903" s="19"/>
      <c r="H1903" s="19">
        <f>E1903*G1903</f>
        <v>0</v>
      </c>
      <c r="I1903" s="19">
        <f>H1903*D1903</f>
        <v>0</v>
      </c>
      <c r="J1903" s="18">
        <f>J1902+I1903</f>
        <v>165385.614</v>
      </c>
    </row>
    <row r="1907" spans="1:15" ht="21">
      <c r="A1907" t="s">
        <v>125</v>
      </c>
      <c r="B1907" s="1521" t="s">
        <v>20</v>
      </c>
      <c r="C1907" s="1521"/>
      <c r="D1907" s="1521"/>
      <c r="E1907" s="1521"/>
      <c r="F1907" s="1521"/>
      <c r="G1907" s="1521"/>
      <c r="H1907" s="1521"/>
      <c r="I1907" s="1521"/>
      <c r="J1907" s="1521"/>
      <c r="K1907" s="1521"/>
      <c r="L1907" s="1521"/>
      <c r="M1907" s="1521"/>
      <c r="N1907" s="1521"/>
      <c r="O1907" s="1521"/>
    </row>
    <row r="1908" spans="1:15" ht="18.75">
      <c r="A1908" t="s">
        <v>212</v>
      </c>
      <c r="B1908" s="226" t="s">
        <v>1</v>
      </c>
      <c r="C1908" s="226" t="s">
        <v>2</v>
      </c>
      <c r="D1908" s="226" t="s">
        <v>444</v>
      </c>
      <c r="E1908" s="226" t="s">
        <v>33</v>
      </c>
      <c r="F1908" s="226" t="s">
        <v>3</v>
      </c>
      <c r="G1908" s="226" t="s">
        <v>445</v>
      </c>
      <c r="H1908" s="226" t="s">
        <v>451</v>
      </c>
      <c r="I1908" s="226" t="s">
        <v>446</v>
      </c>
      <c r="J1908" s="226" t="s">
        <v>447</v>
      </c>
      <c r="K1908" s="226" t="s">
        <v>448</v>
      </c>
      <c r="L1908" s="226" t="s">
        <v>449</v>
      </c>
      <c r="M1908" s="226" t="s">
        <v>450</v>
      </c>
      <c r="N1908" s="226" t="s">
        <v>7</v>
      </c>
      <c r="O1908" s="29"/>
    </row>
    <row r="1909" spans="1:15">
      <c r="B1909" s="585">
        <v>45978</v>
      </c>
      <c r="C1909" s="110" t="s">
        <v>1754</v>
      </c>
      <c r="D1909" s="127" t="s">
        <v>1755</v>
      </c>
      <c r="E1909" s="127" t="s">
        <v>470</v>
      </c>
      <c r="F1909" s="110">
        <v>9</v>
      </c>
      <c r="G1909" s="184">
        <v>625</v>
      </c>
      <c r="H1909" s="127">
        <v>10</v>
      </c>
      <c r="I1909" s="127">
        <f>G1909*H1909%</f>
        <v>62.5</v>
      </c>
      <c r="J1909" s="110">
        <f>G1909-I1909</f>
        <v>562.5</v>
      </c>
      <c r="K1909" s="110">
        <f>F1909*J1909</f>
        <v>5062.5</v>
      </c>
      <c r="L1909" s="127">
        <v>2.3717999999999999</v>
      </c>
      <c r="M1909" s="110">
        <f>J1909*L1909</f>
        <v>1334.1375</v>
      </c>
      <c r="N1909" s="18">
        <f>F1909*M1909</f>
        <v>12007.237500000001</v>
      </c>
      <c r="O1909" s="18">
        <f>O1908+N1909</f>
        <v>12007.237500000001</v>
      </c>
    </row>
    <row r="1910" spans="1:15">
      <c r="B1910" s="19"/>
      <c r="C1910" s="19"/>
      <c r="D1910" s="19"/>
      <c r="E1910" s="19"/>
      <c r="F1910" s="19"/>
      <c r="G1910" s="19"/>
      <c r="H1910" s="19"/>
      <c r="I1910" s="19">
        <f>G1910*H1910%</f>
        <v>0</v>
      </c>
      <c r="J1910" s="18">
        <f>G1910-I1910</f>
        <v>0</v>
      </c>
      <c r="K1910" s="18">
        <f>F1910*J1910</f>
        <v>0</v>
      </c>
      <c r="L1910" s="18"/>
      <c r="M1910" s="18">
        <f>J1910*L1910</f>
        <v>0</v>
      </c>
      <c r="N1910" s="18">
        <f>F1910*M1910</f>
        <v>0</v>
      </c>
      <c r="O1910" s="18">
        <f>O1909+N1910</f>
        <v>12007.237500000001</v>
      </c>
    </row>
    <row r="1914" spans="1:15" ht="21">
      <c r="A1914" t="s">
        <v>125</v>
      </c>
      <c r="B1914" s="1520" t="s">
        <v>20</v>
      </c>
      <c r="C1914" s="1520"/>
      <c r="D1914" s="1520"/>
      <c r="E1914" s="1520"/>
      <c r="F1914" s="1520"/>
      <c r="G1914" s="1520"/>
      <c r="H1914" s="1520"/>
      <c r="I1914" s="1520"/>
      <c r="J1914" s="1520"/>
    </row>
    <row r="1915" spans="1:15" ht="18.75">
      <c r="A1915" t="s">
        <v>212</v>
      </c>
      <c r="B1915" s="4" t="s">
        <v>1</v>
      </c>
      <c r="C1915" s="4" t="s">
        <v>2</v>
      </c>
      <c r="D1915" s="4" t="s">
        <v>3</v>
      </c>
      <c r="E1915" s="4" t="s">
        <v>4</v>
      </c>
      <c r="F1915" s="4" t="s">
        <v>36</v>
      </c>
      <c r="G1915" s="4" t="s">
        <v>5</v>
      </c>
      <c r="H1915" s="4" t="s">
        <v>6</v>
      </c>
      <c r="I1915" s="4" t="s">
        <v>7</v>
      </c>
      <c r="J1915" s="4"/>
    </row>
    <row r="1916" spans="1:15">
      <c r="B1916" s="583">
        <v>45980</v>
      </c>
      <c r="C1916" s="230" t="s">
        <v>1761</v>
      </c>
      <c r="D1916" s="589">
        <v>6</v>
      </c>
      <c r="E1916" s="533">
        <v>130</v>
      </c>
      <c r="F1916" s="589">
        <f>E1916*D1916</f>
        <v>780</v>
      </c>
      <c r="G1916" s="589">
        <v>2.3717999999999999</v>
      </c>
      <c r="H1916" s="589">
        <f>E1916*G1916</f>
        <v>308.334</v>
      </c>
      <c r="I1916" s="19">
        <f>H1916*D1916</f>
        <v>1850.0039999999999</v>
      </c>
      <c r="J1916" s="18">
        <f>J1915+I1916</f>
        <v>1850.0039999999999</v>
      </c>
    </row>
    <row r="1917" spans="1:15">
      <c r="B1917" s="583">
        <v>45980</v>
      </c>
      <c r="C1917" s="230" t="s">
        <v>1762</v>
      </c>
      <c r="D1917" s="589">
        <v>10</v>
      </c>
      <c r="E1917" s="533">
        <v>39</v>
      </c>
      <c r="F1917" s="589">
        <f t="shared" ref="F1917:F1924" si="450">E1917*D1917</f>
        <v>390</v>
      </c>
      <c r="G1917" s="589">
        <v>2.3717999999999999</v>
      </c>
      <c r="H1917" s="589">
        <f t="shared" ref="H1917:H1924" si="451">E1917*G1917</f>
        <v>92.500199999999992</v>
      </c>
      <c r="I1917" s="19">
        <f t="shared" ref="I1917:I1924" si="452">H1917*D1917</f>
        <v>925.00199999999995</v>
      </c>
      <c r="J1917" s="18">
        <f t="shared" ref="J1917:J1924" si="453">J1916+I1917</f>
        <v>2775.0059999999999</v>
      </c>
    </row>
    <row r="1918" spans="1:15">
      <c r="B1918" s="583">
        <v>45980</v>
      </c>
      <c r="C1918" s="230" t="s">
        <v>1763</v>
      </c>
      <c r="D1918" s="589">
        <v>6</v>
      </c>
      <c r="E1918" s="533">
        <v>779</v>
      </c>
      <c r="F1918" s="589">
        <f t="shared" si="450"/>
        <v>4674</v>
      </c>
      <c r="G1918" s="589">
        <v>2.3717999999999999</v>
      </c>
      <c r="H1918" s="589">
        <f t="shared" si="451"/>
        <v>1847.6322</v>
      </c>
      <c r="I1918" s="19">
        <f t="shared" si="452"/>
        <v>11085.7932</v>
      </c>
      <c r="J1918" s="18">
        <f t="shared" si="453"/>
        <v>13860.799199999999</v>
      </c>
    </row>
    <row r="1919" spans="1:15">
      <c r="B1919" s="583">
        <v>45980</v>
      </c>
      <c r="C1919" s="230" t="s">
        <v>1764</v>
      </c>
      <c r="D1919" s="589">
        <v>6</v>
      </c>
      <c r="E1919" s="533">
        <v>594</v>
      </c>
      <c r="F1919" s="589">
        <f t="shared" si="450"/>
        <v>3564</v>
      </c>
      <c r="G1919" s="589">
        <v>2.3717999999999999</v>
      </c>
      <c r="H1919" s="589">
        <f t="shared" si="451"/>
        <v>1408.8491999999999</v>
      </c>
      <c r="I1919" s="19">
        <f t="shared" si="452"/>
        <v>8453.0951999999997</v>
      </c>
      <c r="J1919" s="18">
        <f t="shared" si="453"/>
        <v>22313.894399999997</v>
      </c>
    </row>
    <row r="1920" spans="1:15">
      <c r="B1920" s="583">
        <v>45980</v>
      </c>
      <c r="C1920" s="230" t="s">
        <v>1764</v>
      </c>
      <c r="D1920" s="589">
        <v>3</v>
      </c>
      <c r="E1920" s="533">
        <v>594</v>
      </c>
      <c r="F1920" s="589">
        <f t="shared" si="450"/>
        <v>1782</v>
      </c>
      <c r="G1920" s="589">
        <v>2.3717999999999999</v>
      </c>
      <c r="H1920" s="589">
        <f t="shared" si="451"/>
        <v>1408.8491999999999</v>
      </c>
      <c r="I1920" s="19">
        <f t="shared" si="452"/>
        <v>4226.5475999999999</v>
      </c>
      <c r="J1920" s="18">
        <f t="shared" si="453"/>
        <v>26540.441999999995</v>
      </c>
    </row>
    <row r="1921" spans="1:10">
      <c r="B1921" s="585">
        <v>45980</v>
      </c>
      <c r="C1921" s="110" t="s">
        <v>1757</v>
      </c>
      <c r="D1921" s="127">
        <v>4</v>
      </c>
      <c r="E1921" s="184">
        <v>454</v>
      </c>
      <c r="F1921" s="127">
        <f t="shared" si="450"/>
        <v>1816</v>
      </c>
      <c r="G1921" s="127">
        <v>2.3717999999999999</v>
      </c>
      <c r="H1921" s="127">
        <f t="shared" si="451"/>
        <v>1076.7972</v>
      </c>
      <c r="I1921" s="127">
        <f t="shared" si="452"/>
        <v>4307.1887999999999</v>
      </c>
      <c r="J1921" s="110">
        <f t="shared" si="453"/>
        <v>30847.630799999995</v>
      </c>
    </row>
    <row r="1922" spans="1:10">
      <c r="B1922" s="583">
        <v>45980</v>
      </c>
      <c r="C1922" s="230" t="s">
        <v>1765</v>
      </c>
      <c r="D1922" s="589">
        <v>10</v>
      </c>
      <c r="E1922" s="533">
        <v>777</v>
      </c>
      <c r="F1922" s="589">
        <f t="shared" si="450"/>
        <v>7770</v>
      </c>
      <c r="G1922" s="589">
        <v>2.3717999999999999</v>
      </c>
      <c r="H1922" s="19">
        <f t="shared" si="451"/>
        <v>1842.8886</v>
      </c>
      <c r="I1922" s="19">
        <f t="shared" si="452"/>
        <v>18428.885999999999</v>
      </c>
      <c r="J1922" s="18">
        <f t="shared" si="453"/>
        <v>49276.516799999998</v>
      </c>
    </row>
    <row r="1923" spans="1:10">
      <c r="B1923" s="583">
        <v>45980</v>
      </c>
      <c r="C1923" s="230" t="s">
        <v>1766</v>
      </c>
      <c r="D1923" s="589">
        <v>10</v>
      </c>
      <c r="E1923" s="533">
        <v>1400</v>
      </c>
      <c r="F1923" s="589">
        <f t="shared" si="450"/>
        <v>14000</v>
      </c>
      <c r="G1923" s="589">
        <v>2.3717999999999999</v>
      </c>
      <c r="H1923" s="19">
        <f t="shared" si="451"/>
        <v>3320.52</v>
      </c>
      <c r="I1923" s="19">
        <f t="shared" si="452"/>
        <v>33205.199999999997</v>
      </c>
      <c r="J1923" s="18">
        <f t="shared" si="453"/>
        <v>82481.716799999995</v>
      </c>
    </row>
    <row r="1924" spans="1:10">
      <c r="B1924" s="583">
        <v>45980</v>
      </c>
      <c r="C1924" s="230" t="s">
        <v>1767</v>
      </c>
      <c r="D1924" s="589">
        <v>7</v>
      </c>
      <c r="E1924" s="533">
        <v>559</v>
      </c>
      <c r="F1924" s="589">
        <f t="shared" si="450"/>
        <v>3913</v>
      </c>
      <c r="G1924" s="589">
        <v>2.3717999999999999</v>
      </c>
      <c r="H1924" s="19">
        <f t="shared" si="451"/>
        <v>1325.8362</v>
      </c>
      <c r="I1924" s="19">
        <f t="shared" si="452"/>
        <v>9280.8534</v>
      </c>
      <c r="J1924" s="18">
        <f t="shared" si="453"/>
        <v>91762.570199999987</v>
      </c>
    </row>
    <row r="1925" spans="1:10">
      <c r="B1925" s="583">
        <v>45980</v>
      </c>
      <c r="C1925" s="230" t="s">
        <v>1768</v>
      </c>
      <c r="D1925" s="589">
        <v>6</v>
      </c>
      <c r="E1925" s="533">
        <v>779</v>
      </c>
      <c r="F1925" s="589">
        <f>E1925*D1925</f>
        <v>4674</v>
      </c>
      <c r="G1925" s="589">
        <v>2.3717999999999999</v>
      </c>
      <c r="H1925" s="19">
        <f>E1925*G1925</f>
        <v>1847.6322</v>
      </c>
      <c r="I1925" s="19">
        <f>H1925*D1925</f>
        <v>11085.7932</v>
      </c>
      <c r="J1925" s="18">
        <f>J1924+I1925</f>
        <v>102848.36339999999</v>
      </c>
    </row>
    <row r="1926" spans="1:10">
      <c r="B1926" s="583">
        <v>45980</v>
      </c>
      <c r="C1926" s="230" t="s">
        <v>1769</v>
      </c>
      <c r="D1926" s="589">
        <v>4</v>
      </c>
      <c r="E1926" s="533">
        <v>125</v>
      </c>
      <c r="F1926" s="589">
        <f>E1926*D1926</f>
        <v>500</v>
      </c>
      <c r="G1926" s="589">
        <v>2.3717999999999999</v>
      </c>
      <c r="H1926" s="19">
        <f>E1926*G1926</f>
        <v>296.47499999999997</v>
      </c>
      <c r="I1926" s="19">
        <f>H1926*D1926</f>
        <v>1185.8999999999999</v>
      </c>
      <c r="J1926" s="18">
        <f>J1925+I1926</f>
        <v>104034.26339999998</v>
      </c>
    </row>
    <row r="1927" spans="1:10">
      <c r="B1927" s="585">
        <v>45980</v>
      </c>
      <c r="C1927" s="110" t="s">
        <v>1770</v>
      </c>
      <c r="D1927" s="127">
        <v>1</v>
      </c>
      <c r="E1927" s="184">
        <v>699</v>
      </c>
      <c r="F1927" s="127">
        <f>E1927*D1927</f>
        <v>699</v>
      </c>
      <c r="G1927" s="127">
        <v>2.3717999999999999</v>
      </c>
      <c r="H1927" s="127">
        <f>E1927*G1927</f>
        <v>1657.8881999999999</v>
      </c>
      <c r="I1927" s="127">
        <f>H1927*D1927</f>
        <v>1657.8881999999999</v>
      </c>
      <c r="J1927" s="110">
        <f>J1926+I1927</f>
        <v>105692.15159999998</v>
      </c>
    </row>
    <row r="1928" spans="1:10">
      <c r="B1928" s="585">
        <v>45980</v>
      </c>
      <c r="C1928" s="110" t="s">
        <v>1771</v>
      </c>
      <c r="D1928" s="127">
        <v>15</v>
      </c>
      <c r="E1928" s="184">
        <v>125</v>
      </c>
      <c r="F1928" s="127">
        <f>E1928*D1928</f>
        <v>1875</v>
      </c>
      <c r="G1928" s="127">
        <v>2.3717999999999999</v>
      </c>
      <c r="H1928" s="127">
        <f>E1928*G1928</f>
        <v>296.47499999999997</v>
      </c>
      <c r="I1928" s="127">
        <f>H1928*D1928</f>
        <v>4447.1249999999991</v>
      </c>
      <c r="J1928" s="110">
        <f>J1927+I1928</f>
        <v>110139.27659999998</v>
      </c>
    </row>
    <row r="1929" spans="1:10">
      <c r="B1929" s="19"/>
      <c r="C1929" s="19"/>
      <c r="D1929" s="19"/>
      <c r="E1929" s="19"/>
      <c r="F1929" s="19">
        <f>E1929*D1929</f>
        <v>0</v>
      </c>
      <c r="G1929" s="19"/>
      <c r="H1929" s="19">
        <f>E1929*G1929</f>
        <v>0</v>
      </c>
      <c r="I1929" s="19">
        <f>H1929*D1929</f>
        <v>0</v>
      </c>
      <c r="J1929" s="18">
        <f>J1928+I1929</f>
        <v>110139.27659999998</v>
      </c>
    </row>
    <row r="1933" spans="1:10" ht="21">
      <c r="A1933" t="s">
        <v>125</v>
      </c>
      <c r="B1933" s="1520" t="s">
        <v>20</v>
      </c>
      <c r="C1933" s="1520"/>
      <c r="D1933" s="1520"/>
      <c r="E1933" s="1520"/>
      <c r="F1933" s="1520"/>
      <c r="G1933" s="1520"/>
      <c r="H1933" s="1520"/>
      <c r="I1933" s="1520"/>
      <c r="J1933" s="1520"/>
    </row>
    <row r="1934" spans="1:10" ht="18.75">
      <c r="A1934" t="s">
        <v>212</v>
      </c>
      <c r="B1934" s="4" t="s">
        <v>1</v>
      </c>
      <c r="C1934" s="4" t="s">
        <v>2</v>
      </c>
      <c r="D1934" s="4" t="s">
        <v>3</v>
      </c>
      <c r="E1934" s="4" t="s">
        <v>4</v>
      </c>
      <c r="F1934" s="4" t="s">
        <v>36</v>
      </c>
      <c r="G1934" s="4" t="s">
        <v>5</v>
      </c>
      <c r="H1934" s="4" t="s">
        <v>6</v>
      </c>
      <c r="I1934" s="4" t="s">
        <v>7</v>
      </c>
      <c r="J1934" s="4"/>
    </row>
    <row r="1935" spans="1:10">
      <c r="B1935" s="585">
        <v>45981</v>
      </c>
      <c r="C1935" s="110" t="s">
        <v>1772</v>
      </c>
      <c r="D1935" s="127">
        <v>12</v>
      </c>
      <c r="E1935" s="184">
        <v>125</v>
      </c>
      <c r="F1935" s="127">
        <f>E1935*D1935</f>
        <v>1500</v>
      </c>
      <c r="G1935" s="127">
        <v>2.3717999999999999</v>
      </c>
      <c r="H1935" s="127">
        <f>E1935*G1935</f>
        <v>296.47499999999997</v>
      </c>
      <c r="I1935" s="127">
        <f>H1935*D1935</f>
        <v>3557.7</v>
      </c>
      <c r="J1935" s="110">
        <f>J1934+I1935</f>
        <v>3557.7</v>
      </c>
    </row>
    <row r="1936" spans="1:10">
      <c r="B1936" s="585">
        <v>45981</v>
      </c>
      <c r="C1936" s="110" t="s">
        <v>1773</v>
      </c>
      <c r="D1936" s="127">
        <v>23</v>
      </c>
      <c r="E1936" s="184">
        <v>125</v>
      </c>
      <c r="F1936" s="127">
        <f t="shared" ref="F1936:F1943" si="454">E1936*D1936</f>
        <v>2875</v>
      </c>
      <c r="G1936" s="127">
        <v>2.3717999999999999</v>
      </c>
      <c r="H1936" s="127">
        <f t="shared" ref="H1936:H1943" si="455">E1936*G1936</f>
        <v>296.47499999999997</v>
      </c>
      <c r="I1936" s="127">
        <f t="shared" ref="I1936:I1943" si="456">H1936*D1936</f>
        <v>6818.9249999999993</v>
      </c>
      <c r="J1936" s="110">
        <f t="shared" ref="J1936:J1943" si="457">J1935+I1936</f>
        <v>10376.625</v>
      </c>
    </row>
    <row r="1937" spans="1:10">
      <c r="B1937" s="531">
        <v>45981</v>
      </c>
      <c r="C1937" s="18" t="s">
        <v>1774</v>
      </c>
      <c r="D1937" s="19">
        <v>1</v>
      </c>
      <c r="E1937" s="210">
        <v>699</v>
      </c>
      <c r="F1937" s="19">
        <f t="shared" si="454"/>
        <v>699</v>
      </c>
      <c r="G1937" s="592">
        <v>2.3717999999999999</v>
      </c>
      <c r="H1937" s="19">
        <f t="shared" si="455"/>
        <v>1657.8881999999999</v>
      </c>
      <c r="I1937" s="19">
        <f t="shared" si="456"/>
        <v>1657.8881999999999</v>
      </c>
      <c r="J1937" s="18">
        <f t="shared" si="457"/>
        <v>12034.513199999999</v>
      </c>
    </row>
    <row r="1938" spans="1:10">
      <c r="B1938" s="531">
        <v>45981</v>
      </c>
      <c r="C1938" s="18" t="s">
        <v>1775</v>
      </c>
      <c r="D1938" s="19">
        <v>2</v>
      </c>
      <c r="E1938" s="210">
        <v>2100</v>
      </c>
      <c r="F1938" s="19">
        <f t="shared" si="454"/>
        <v>4200</v>
      </c>
      <c r="G1938" s="592">
        <v>2.3717999999999999</v>
      </c>
      <c r="H1938" s="19">
        <f t="shared" si="455"/>
        <v>4980.78</v>
      </c>
      <c r="I1938" s="19">
        <f t="shared" si="456"/>
        <v>9961.56</v>
      </c>
      <c r="J1938" s="18">
        <f t="shared" si="457"/>
        <v>21996.073199999999</v>
      </c>
    </row>
    <row r="1939" spans="1:10">
      <c r="B1939" s="531">
        <v>45981</v>
      </c>
      <c r="C1939" s="18" t="s">
        <v>1776</v>
      </c>
      <c r="D1939" s="19">
        <v>3</v>
      </c>
      <c r="E1939" s="210">
        <v>2100</v>
      </c>
      <c r="F1939" s="19">
        <f t="shared" si="454"/>
        <v>6300</v>
      </c>
      <c r="G1939" s="592">
        <v>2.3717999999999999</v>
      </c>
      <c r="H1939" s="19">
        <f t="shared" si="455"/>
        <v>4980.78</v>
      </c>
      <c r="I1939" s="19">
        <f t="shared" si="456"/>
        <v>14942.34</v>
      </c>
      <c r="J1939" s="18">
        <f t="shared" si="457"/>
        <v>36938.413199999995</v>
      </c>
    </row>
    <row r="1940" spans="1:10">
      <c r="B1940" s="585">
        <v>45981</v>
      </c>
      <c r="C1940" s="110" t="s">
        <v>1781</v>
      </c>
      <c r="D1940" s="127">
        <v>2</v>
      </c>
      <c r="E1940" s="184">
        <v>2100</v>
      </c>
      <c r="F1940" s="127">
        <f t="shared" si="454"/>
        <v>4200</v>
      </c>
      <c r="G1940" s="127">
        <v>2.3717999999999999</v>
      </c>
      <c r="H1940" s="127">
        <f t="shared" si="455"/>
        <v>4980.78</v>
      </c>
      <c r="I1940" s="127">
        <f t="shared" si="456"/>
        <v>9961.56</v>
      </c>
      <c r="J1940" s="110">
        <f t="shared" si="457"/>
        <v>46899.973199999993</v>
      </c>
    </row>
    <row r="1941" spans="1:10">
      <c r="B1941" s="531">
        <v>45981</v>
      </c>
      <c r="C1941" s="18" t="s">
        <v>1777</v>
      </c>
      <c r="D1941" s="19">
        <v>5</v>
      </c>
      <c r="E1941" s="210">
        <v>574</v>
      </c>
      <c r="F1941" s="19">
        <f t="shared" si="454"/>
        <v>2870</v>
      </c>
      <c r="G1941" s="592">
        <v>2.3717999999999999</v>
      </c>
      <c r="H1941" s="19">
        <f t="shared" si="455"/>
        <v>1361.4132</v>
      </c>
      <c r="I1941" s="19">
        <f t="shared" si="456"/>
        <v>6807.0659999999998</v>
      </c>
      <c r="J1941" s="18">
        <f t="shared" si="457"/>
        <v>53707.039199999992</v>
      </c>
    </row>
    <row r="1942" spans="1:10">
      <c r="B1942" s="531">
        <v>45981</v>
      </c>
      <c r="C1942" s="18" t="s">
        <v>1778</v>
      </c>
      <c r="D1942" s="19">
        <v>10</v>
      </c>
      <c r="E1942" s="210">
        <v>103</v>
      </c>
      <c r="F1942" s="19">
        <f t="shared" si="454"/>
        <v>1030</v>
      </c>
      <c r="G1942" s="592">
        <v>2.3717999999999999</v>
      </c>
      <c r="H1942" s="19">
        <f t="shared" si="455"/>
        <v>244.2954</v>
      </c>
      <c r="I1942" s="19">
        <f t="shared" si="456"/>
        <v>2442.9540000000002</v>
      </c>
      <c r="J1942" s="18">
        <f t="shared" si="457"/>
        <v>56149.99319999999</v>
      </c>
    </row>
    <row r="1943" spans="1:10">
      <c r="B1943" s="531">
        <v>45981</v>
      </c>
      <c r="C1943" s="18" t="s">
        <v>1779</v>
      </c>
      <c r="D1943" s="19">
        <v>3</v>
      </c>
      <c r="E1943" s="210">
        <v>125</v>
      </c>
      <c r="F1943" s="19">
        <f t="shared" si="454"/>
        <v>375</v>
      </c>
      <c r="G1943" s="592">
        <v>2.3717999999999999</v>
      </c>
      <c r="H1943" s="19">
        <f t="shared" si="455"/>
        <v>296.47499999999997</v>
      </c>
      <c r="I1943" s="19">
        <f t="shared" si="456"/>
        <v>889.42499999999995</v>
      </c>
      <c r="J1943" s="18">
        <f t="shared" si="457"/>
        <v>57039.418199999993</v>
      </c>
    </row>
    <row r="1944" spans="1:10">
      <c r="B1944" s="531">
        <v>45981</v>
      </c>
      <c r="C1944" s="18" t="s">
        <v>1775</v>
      </c>
      <c r="D1944" s="19">
        <v>3</v>
      </c>
      <c r="E1944" s="210">
        <v>2100</v>
      </c>
      <c r="F1944" s="19">
        <f>E1944*D1944</f>
        <v>6300</v>
      </c>
      <c r="G1944" s="592">
        <v>2.3717999999999999</v>
      </c>
      <c r="H1944" s="19">
        <f>E1944*G1944</f>
        <v>4980.78</v>
      </c>
      <c r="I1944" s="19">
        <f>H1944*D1944</f>
        <v>14942.34</v>
      </c>
      <c r="J1944" s="18">
        <f>J1943+I1944</f>
        <v>71981.758199999997</v>
      </c>
    </row>
    <row r="1945" spans="1:10">
      <c r="B1945" s="531">
        <v>45981</v>
      </c>
      <c r="C1945" s="18" t="s">
        <v>1776</v>
      </c>
      <c r="D1945" s="19">
        <v>3</v>
      </c>
      <c r="E1945" s="210">
        <v>2100</v>
      </c>
      <c r="F1945" s="19">
        <f>E1945*D1945</f>
        <v>6300</v>
      </c>
      <c r="G1945" s="592">
        <v>2.3717999999999999</v>
      </c>
      <c r="H1945" s="19">
        <f>E1945*G1945</f>
        <v>4980.78</v>
      </c>
      <c r="I1945" s="19">
        <f>H1945*D1945</f>
        <v>14942.34</v>
      </c>
      <c r="J1945" s="18">
        <f>J1944+I1945</f>
        <v>86924.098199999993</v>
      </c>
    </row>
    <row r="1946" spans="1:10">
      <c r="B1946" s="531">
        <v>45981</v>
      </c>
      <c r="C1946" s="18" t="s">
        <v>1780</v>
      </c>
      <c r="D1946" s="19">
        <v>12</v>
      </c>
      <c r="E1946" s="210">
        <v>449</v>
      </c>
      <c r="F1946" s="19">
        <f>E1946*D1946</f>
        <v>5388</v>
      </c>
      <c r="G1946" s="592">
        <v>2.3717999999999999</v>
      </c>
      <c r="H1946" s="19">
        <f>E1946*G1946</f>
        <v>1064.9382000000001</v>
      </c>
      <c r="I1946" s="19">
        <f>H1946*D1946</f>
        <v>12779.258400000001</v>
      </c>
      <c r="J1946" s="18">
        <f>J1945+I1946</f>
        <v>99703.356599999999</v>
      </c>
    </row>
    <row r="1947" spans="1:10">
      <c r="B1947" s="19"/>
      <c r="C1947" s="19"/>
      <c r="D1947" s="19"/>
      <c r="E1947" s="19"/>
      <c r="F1947" s="19">
        <f>E1947*D1947</f>
        <v>0</v>
      </c>
      <c r="G1947" s="19"/>
      <c r="H1947" s="19">
        <f>E1947*G1947</f>
        <v>0</v>
      </c>
      <c r="I1947" s="19">
        <f>H1947*D1947</f>
        <v>0</v>
      </c>
      <c r="J1947" s="18">
        <f>J1946+I1947</f>
        <v>99703.356599999999</v>
      </c>
    </row>
    <row r="1951" spans="1:10" ht="21">
      <c r="A1951" t="s">
        <v>125</v>
      </c>
      <c r="B1951" s="1520" t="s">
        <v>20</v>
      </c>
      <c r="C1951" s="1520"/>
      <c r="D1951" s="1520"/>
      <c r="E1951" s="1520"/>
      <c r="F1951" s="1520"/>
      <c r="G1951" s="1520"/>
      <c r="H1951" s="1520"/>
      <c r="I1951" s="1520"/>
      <c r="J1951" s="1520"/>
    </row>
    <row r="1952" spans="1:10" ht="18.75">
      <c r="A1952" t="s">
        <v>212</v>
      </c>
      <c r="B1952" s="4" t="s">
        <v>1</v>
      </c>
      <c r="C1952" s="4" t="s">
        <v>2</v>
      </c>
      <c r="D1952" s="4" t="s">
        <v>3</v>
      </c>
      <c r="E1952" s="4" t="s">
        <v>4</v>
      </c>
      <c r="F1952" s="4" t="s">
        <v>36</v>
      </c>
      <c r="G1952" s="4" t="s">
        <v>5</v>
      </c>
      <c r="H1952" s="4" t="s">
        <v>6</v>
      </c>
      <c r="I1952" s="4" t="s">
        <v>7</v>
      </c>
      <c r="J1952" s="4"/>
    </row>
    <row r="1953" spans="2:10">
      <c r="B1953" s="583">
        <v>45982</v>
      </c>
      <c r="C1953" s="230" t="s">
        <v>1775</v>
      </c>
      <c r="D1953" s="230">
        <v>4</v>
      </c>
      <c r="E1953" s="533">
        <v>2100</v>
      </c>
      <c r="F1953" s="19">
        <f>E1953*D1953</f>
        <v>8400</v>
      </c>
      <c r="G1953" s="593">
        <v>2.3717999999999999</v>
      </c>
      <c r="H1953" s="19">
        <f>E1953*G1953</f>
        <v>4980.78</v>
      </c>
      <c r="I1953" s="19">
        <f>H1953*D1953</f>
        <v>19923.12</v>
      </c>
      <c r="J1953" s="18">
        <f>J1952+I1953</f>
        <v>19923.12</v>
      </c>
    </row>
    <row r="1954" spans="2:10">
      <c r="B1954" s="583">
        <v>45982</v>
      </c>
      <c r="C1954" s="230" t="s">
        <v>1789</v>
      </c>
      <c r="D1954" s="230">
        <v>6</v>
      </c>
      <c r="E1954" s="533">
        <v>2100</v>
      </c>
      <c r="F1954" s="19">
        <f t="shared" ref="F1954:F1960" si="458">E1954*D1954</f>
        <v>12600</v>
      </c>
      <c r="G1954" s="593">
        <v>2.3717999999999999</v>
      </c>
      <c r="H1954" s="19">
        <f t="shared" ref="H1954:H1960" si="459">E1954*G1954</f>
        <v>4980.78</v>
      </c>
      <c r="I1954" s="19">
        <f t="shared" ref="I1954:I1960" si="460">H1954*D1954</f>
        <v>29884.68</v>
      </c>
      <c r="J1954" s="18">
        <f t="shared" ref="J1954:J1968" si="461">J1953+I1954</f>
        <v>49807.8</v>
      </c>
    </row>
    <row r="1955" spans="2:10">
      <c r="B1955" s="583">
        <v>45982</v>
      </c>
      <c r="C1955" s="230" t="s">
        <v>1790</v>
      </c>
      <c r="D1955" s="230">
        <v>6</v>
      </c>
      <c r="E1955" s="533">
        <v>2100</v>
      </c>
      <c r="F1955" s="19">
        <f t="shared" si="458"/>
        <v>12600</v>
      </c>
      <c r="G1955" s="593">
        <v>2.3717999999999999</v>
      </c>
      <c r="H1955" s="19">
        <f t="shared" si="459"/>
        <v>4980.78</v>
      </c>
      <c r="I1955" s="19">
        <f t="shared" si="460"/>
        <v>29884.68</v>
      </c>
      <c r="J1955" s="18">
        <f t="shared" si="461"/>
        <v>79692.48000000001</v>
      </c>
    </row>
    <row r="1956" spans="2:10">
      <c r="B1956" s="583">
        <v>45982</v>
      </c>
      <c r="C1956" s="230" t="s">
        <v>1791</v>
      </c>
      <c r="D1956" s="230">
        <v>20</v>
      </c>
      <c r="E1956" s="533">
        <v>399</v>
      </c>
      <c r="F1956" s="19">
        <f t="shared" si="458"/>
        <v>7980</v>
      </c>
      <c r="G1956" s="593">
        <v>2.3717999999999999</v>
      </c>
      <c r="H1956" s="19">
        <f t="shared" si="459"/>
        <v>946.34820000000002</v>
      </c>
      <c r="I1956" s="19">
        <f t="shared" si="460"/>
        <v>18926.964</v>
      </c>
      <c r="J1956" s="18">
        <f t="shared" si="461"/>
        <v>98619.444000000018</v>
      </c>
    </row>
    <row r="1957" spans="2:10">
      <c r="B1957" s="583">
        <v>45982</v>
      </c>
      <c r="C1957" s="230" t="s">
        <v>1653</v>
      </c>
      <c r="D1957" s="230">
        <v>9</v>
      </c>
      <c r="E1957" s="533">
        <v>399</v>
      </c>
      <c r="F1957" s="19">
        <f t="shared" si="458"/>
        <v>3591</v>
      </c>
      <c r="G1957" s="593">
        <v>2.3717999999999999</v>
      </c>
      <c r="H1957" s="19">
        <f t="shared" si="459"/>
        <v>946.34820000000002</v>
      </c>
      <c r="I1957" s="19">
        <f t="shared" si="460"/>
        <v>8517.1337999999996</v>
      </c>
      <c r="J1957" s="18">
        <f t="shared" si="461"/>
        <v>107136.57780000001</v>
      </c>
    </row>
    <row r="1958" spans="2:10">
      <c r="B1958" s="585">
        <v>45982</v>
      </c>
      <c r="C1958" s="110" t="s">
        <v>1800</v>
      </c>
      <c r="D1958" s="110">
        <v>3</v>
      </c>
      <c r="E1958" s="184">
        <v>609.95000000000005</v>
      </c>
      <c r="F1958" s="127">
        <f t="shared" si="458"/>
        <v>1829.8500000000001</v>
      </c>
      <c r="G1958" s="127">
        <v>2.3717999999999999</v>
      </c>
      <c r="H1958" s="127">
        <f t="shared" si="459"/>
        <v>1446.67941</v>
      </c>
      <c r="I1958" s="127">
        <f t="shared" si="460"/>
        <v>4340.0382300000001</v>
      </c>
      <c r="J1958" s="110">
        <f t="shared" si="461"/>
        <v>111476.61603000002</v>
      </c>
    </row>
    <row r="1959" spans="2:10">
      <c r="B1959" s="585">
        <v>45982</v>
      </c>
      <c r="C1959" s="110" t="s">
        <v>1799</v>
      </c>
      <c r="D1959" s="110">
        <v>1</v>
      </c>
      <c r="E1959" s="184">
        <v>598</v>
      </c>
      <c r="F1959" s="127">
        <f t="shared" si="458"/>
        <v>598</v>
      </c>
      <c r="G1959" s="127">
        <v>2.3717999999999999</v>
      </c>
      <c r="H1959" s="127">
        <f t="shared" si="459"/>
        <v>1418.3363999999999</v>
      </c>
      <c r="I1959" s="127">
        <f t="shared" si="460"/>
        <v>1418.3363999999999</v>
      </c>
      <c r="J1959" s="110">
        <f t="shared" si="461"/>
        <v>112894.95243000002</v>
      </c>
    </row>
    <row r="1960" spans="2:10">
      <c r="B1960" s="583">
        <v>45982</v>
      </c>
      <c r="C1960" s="230" t="s">
        <v>1792</v>
      </c>
      <c r="D1960" s="230">
        <v>1</v>
      </c>
      <c r="E1960" s="533">
        <v>598</v>
      </c>
      <c r="F1960" s="19">
        <f t="shared" si="458"/>
        <v>598</v>
      </c>
      <c r="G1960" s="593">
        <v>2.3717999999999999</v>
      </c>
      <c r="H1960" s="19">
        <f t="shared" si="459"/>
        <v>1418.3363999999999</v>
      </c>
      <c r="I1960" s="19">
        <f t="shared" si="460"/>
        <v>1418.3363999999999</v>
      </c>
      <c r="J1960" s="18">
        <f t="shared" si="461"/>
        <v>114313.28883000002</v>
      </c>
    </row>
    <row r="1961" spans="2:10">
      <c r="B1961" s="585">
        <v>45982</v>
      </c>
      <c r="C1961" s="110" t="s">
        <v>1797</v>
      </c>
      <c r="D1961" s="110">
        <v>5</v>
      </c>
      <c r="E1961" s="184">
        <v>509</v>
      </c>
      <c r="F1961" s="127">
        <f t="shared" ref="F1961:F1968" si="462">E1961*D1961</f>
        <v>2545</v>
      </c>
      <c r="G1961" s="127">
        <v>2.3717999999999999</v>
      </c>
      <c r="H1961" s="127">
        <f t="shared" ref="H1961:H1968" si="463">E1961*G1961</f>
        <v>1207.2462</v>
      </c>
      <c r="I1961" s="127">
        <f t="shared" ref="I1961:I1968" si="464">H1961*D1961</f>
        <v>6036.2309999999998</v>
      </c>
      <c r="J1961" s="110">
        <f t="shared" si="461"/>
        <v>120349.51983000002</v>
      </c>
    </row>
    <row r="1962" spans="2:10">
      <c r="B1962" s="585">
        <v>45982</v>
      </c>
      <c r="C1962" s="110" t="s">
        <v>1798</v>
      </c>
      <c r="D1962" s="110">
        <v>6</v>
      </c>
      <c r="E1962" s="184">
        <v>659</v>
      </c>
      <c r="F1962" s="127">
        <f t="shared" si="462"/>
        <v>3954</v>
      </c>
      <c r="G1962" s="127">
        <v>2.3717999999999999</v>
      </c>
      <c r="H1962" s="127">
        <f t="shared" si="463"/>
        <v>1563.0162</v>
      </c>
      <c r="I1962" s="127">
        <f t="shared" si="464"/>
        <v>9378.0972000000002</v>
      </c>
      <c r="J1962" s="110">
        <f t="shared" si="461"/>
        <v>129727.61703000002</v>
      </c>
    </row>
    <row r="1963" spans="2:10">
      <c r="B1963" s="583">
        <v>45982</v>
      </c>
      <c r="C1963" s="230" t="s">
        <v>1794</v>
      </c>
      <c r="D1963" s="230">
        <v>3</v>
      </c>
      <c r="E1963" s="533">
        <v>659</v>
      </c>
      <c r="F1963" s="593">
        <f t="shared" si="462"/>
        <v>1977</v>
      </c>
      <c r="G1963" s="593">
        <v>2.3717999999999999</v>
      </c>
      <c r="H1963" s="19">
        <f t="shared" si="463"/>
        <v>1563.0162</v>
      </c>
      <c r="I1963" s="19">
        <f t="shared" si="464"/>
        <v>4689.0486000000001</v>
      </c>
      <c r="J1963" s="18">
        <f t="shared" si="461"/>
        <v>134416.66563000003</v>
      </c>
    </row>
    <row r="1964" spans="2:10">
      <c r="B1964" s="583">
        <v>45982</v>
      </c>
      <c r="C1964" s="230" t="s">
        <v>1793</v>
      </c>
      <c r="D1964" s="230">
        <v>7</v>
      </c>
      <c r="E1964" s="533">
        <v>509</v>
      </c>
      <c r="F1964" s="593">
        <f t="shared" si="462"/>
        <v>3563</v>
      </c>
      <c r="G1964" s="593">
        <v>2.3717999999999999</v>
      </c>
      <c r="H1964" s="19">
        <f t="shared" si="463"/>
        <v>1207.2462</v>
      </c>
      <c r="I1964" s="19">
        <f t="shared" si="464"/>
        <v>8450.7234000000008</v>
      </c>
      <c r="J1964" s="18">
        <f t="shared" si="461"/>
        <v>142867.38903000002</v>
      </c>
    </row>
    <row r="1965" spans="2:10">
      <c r="B1965" s="583">
        <v>45982</v>
      </c>
      <c r="C1965" s="230" t="s">
        <v>1795</v>
      </c>
      <c r="D1965" s="230">
        <v>5</v>
      </c>
      <c r="E1965" s="533">
        <v>659</v>
      </c>
      <c r="F1965" s="593">
        <f t="shared" si="462"/>
        <v>3295</v>
      </c>
      <c r="G1965" s="593">
        <v>2.3717999999999999</v>
      </c>
      <c r="H1965" s="19">
        <f t="shared" si="463"/>
        <v>1563.0162</v>
      </c>
      <c r="I1965" s="19">
        <f t="shared" si="464"/>
        <v>7815.0810000000001</v>
      </c>
      <c r="J1965" s="18">
        <f t="shared" si="461"/>
        <v>150682.47003000003</v>
      </c>
    </row>
    <row r="1966" spans="2:10">
      <c r="B1966" s="583">
        <v>45982</v>
      </c>
      <c r="C1966" s="230" t="s">
        <v>1796</v>
      </c>
      <c r="D1966" s="230">
        <v>9</v>
      </c>
      <c r="E1966" s="533">
        <v>509</v>
      </c>
      <c r="F1966" s="593">
        <f t="shared" si="462"/>
        <v>4581</v>
      </c>
      <c r="G1966" s="593">
        <v>2.3717999999999999</v>
      </c>
      <c r="H1966" s="19">
        <f t="shared" si="463"/>
        <v>1207.2462</v>
      </c>
      <c r="I1966" s="19">
        <f t="shared" si="464"/>
        <v>10865.2158</v>
      </c>
      <c r="J1966" s="18">
        <f t="shared" si="461"/>
        <v>161547.68583000003</v>
      </c>
    </row>
    <row r="1967" spans="2:10">
      <c r="B1967" s="583">
        <v>45982</v>
      </c>
      <c r="C1967" s="230" t="s">
        <v>1796</v>
      </c>
      <c r="D1967" s="230">
        <v>7</v>
      </c>
      <c r="E1967" s="533">
        <v>509</v>
      </c>
      <c r="F1967" s="593">
        <f t="shared" si="462"/>
        <v>3563</v>
      </c>
      <c r="G1967" s="593">
        <v>2.3717999999999999</v>
      </c>
      <c r="H1967" s="19">
        <f t="shared" si="463"/>
        <v>1207.2462</v>
      </c>
      <c r="I1967" s="19">
        <f t="shared" si="464"/>
        <v>8450.7234000000008</v>
      </c>
      <c r="J1967" s="18">
        <f t="shared" si="461"/>
        <v>169998.40923000002</v>
      </c>
    </row>
    <row r="1968" spans="2:10">
      <c r="B1968" s="19"/>
      <c r="C1968" s="19"/>
      <c r="D1968" s="19"/>
      <c r="E1968" s="19"/>
      <c r="F1968" s="19">
        <f t="shared" si="462"/>
        <v>0</v>
      </c>
      <c r="G1968" s="19"/>
      <c r="H1968" s="19">
        <f t="shared" si="463"/>
        <v>0</v>
      </c>
      <c r="I1968" s="19">
        <f t="shared" si="464"/>
        <v>0</v>
      </c>
      <c r="J1968" s="18">
        <f t="shared" si="461"/>
        <v>169998.40923000002</v>
      </c>
    </row>
    <row r="1972" spans="1:10" ht="21">
      <c r="A1972" t="s">
        <v>125</v>
      </c>
      <c r="B1972" s="1520" t="s">
        <v>20</v>
      </c>
      <c r="C1972" s="1520"/>
      <c r="D1972" s="1520"/>
      <c r="E1972" s="1520"/>
      <c r="F1972" s="1520"/>
      <c r="G1972" s="1520"/>
      <c r="H1972" s="1520"/>
      <c r="I1972" s="1520"/>
      <c r="J1972" s="1520"/>
    </row>
    <row r="1973" spans="1:10" ht="18.75">
      <c r="A1973" t="s">
        <v>212</v>
      </c>
      <c r="B1973" s="4" t="s">
        <v>1</v>
      </c>
      <c r="C1973" s="4" t="s">
        <v>2</v>
      </c>
      <c r="D1973" s="4" t="s">
        <v>3</v>
      </c>
      <c r="E1973" s="4" t="s">
        <v>4</v>
      </c>
      <c r="F1973" s="4" t="s">
        <v>36</v>
      </c>
      <c r="G1973" s="4" t="s">
        <v>5</v>
      </c>
      <c r="H1973" s="4" t="s">
        <v>6</v>
      </c>
      <c r="I1973" s="4" t="s">
        <v>7</v>
      </c>
      <c r="J1973" s="4"/>
    </row>
    <row r="1974" spans="1:10">
      <c r="B1974" s="583">
        <v>45984</v>
      </c>
      <c r="C1974" s="230" t="s">
        <v>1816</v>
      </c>
      <c r="D1974" s="230">
        <v>14</v>
      </c>
      <c r="E1974" s="533">
        <v>398</v>
      </c>
      <c r="F1974" s="19">
        <f>E1974*D1974</f>
        <v>5572</v>
      </c>
      <c r="G1974" s="19">
        <v>2.415</v>
      </c>
      <c r="H1974" s="19">
        <f>E1974*G1974</f>
        <v>961.17</v>
      </c>
      <c r="I1974" s="19">
        <f>H1974*D1974</f>
        <v>13456.38</v>
      </c>
      <c r="J1974" s="18">
        <f>J1973+I1974</f>
        <v>13456.38</v>
      </c>
    </row>
    <row r="1975" spans="1:10">
      <c r="B1975" s="583">
        <v>45984</v>
      </c>
      <c r="C1975" s="230" t="s">
        <v>1649</v>
      </c>
      <c r="D1975" s="230">
        <v>5</v>
      </c>
      <c r="E1975" s="533">
        <v>398</v>
      </c>
      <c r="F1975" s="19">
        <f t="shared" ref="F1975:F1982" si="465">E1975*D1975</f>
        <v>1990</v>
      </c>
      <c r="G1975" s="19">
        <v>2.415</v>
      </c>
      <c r="H1975" s="19">
        <f t="shared" ref="H1975:H1982" si="466">E1975*G1975</f>
        <v>961.17</v>
      </c>
      <c r="I1975" s="19">
        <f t="shared" ref="I1975:I1982" si="467">H1975*D1975</f>
        <v>4805.8499999999995</v>
      </c>
      <c r="J1975" s="18">
        <f t="shared" ref="J1975:J1982" si="468">J1974+I1975</f>
        <v>18262.23</v>
      </c>
    </row>
    <row r="1976" spans="1:10">
      <c r="B1976" s="583">
        <v>45984</v>
      </c>
      <c r="C1976" s="230" t="s">
        <v>1650</v>
      </c>
      <c r="D1976" s="230">
        <v>27</v>
      </c>
      <c r="E1976" s="533">
        <v>398</v>
      </c>
      <c r="F1976" s="19">
        <f t="shared" si="465"/>
        <v>10746</v>
      </c>
      <c r="G1976" s="19">
        <v>2.415</v>
      </c>
      <c r="H1976" s="19">
        <f t="shared" si="466"/>
        <v>961.17</v>
      </c>
      <c r="I1976" s="19">
        <f t="shared" si="467"/>
        <v>25951.59</v>
      </c>
      <c r="J1976" s="18">
        <f t="shared" si="468"/>
        <v>44213.82</v>
      </c>
    </row>
    <row r="1977" spans="1:10">
      <c r="B1977" s="583">
        <v>45984</v>
      </c>
      <c r="C1977" s="230" t="s">
        <v>1817</v>
      </c>
      <c r="D1977" s="230">
        <v>20</v>
      </c>
      <c r="E1977" s="533">
        <v>398</v>
      </c>
      <c r="F1977" s="19">
        <f t="shared" si="465"/>
        <v>7960</v>
      </c>
      <c r="G1977" s="19">
        <v>2.415</v>
      </c>
      <c r="H1977" s="19">
        <f t="shared" si="466"/>
        <v>961.17</v>
      </c>
      <c r="I1977" s="19">
        <f t="shared" si="467"/>
        <v>19223.399999999998</v>
      </c>
      <c r="J1977" s="18">
        <f t="shared" si="468"/>
        <v>63437.22</v>
      </c>
    </row>
    <row r="1978" spans="1:10">
      <c r="B1978" s="583">
        <v>45984</v>
      </c>
      <c r="C1978" s="230" t="s">
        <v>1818</v>
      </c>
      <c r="D1978" s="230">
        <v>12</v>
      </c>
      <c r="E1978" s="533">
        <v>398</v>
      </c>
      <c r="F1978" s="19">
        <f t="shared" si="465"/>
        <v>4776</v>
      </c>
      <c r="G1978" s="19">
        <v>2.415</v>
      </c>
      <c r="H1978" s="19">
        <f t="shared" si="466"/>
        <v>961.17</v>
      </c>
      <c r="I1978" s="19">
        <f t="shared" si="467"/>
        <v>11534.039999999999</v>
      </c>
      <c r="J1978" s="18">
        <f t="shared" si="468"/>
        <v>74971.259999999995</v>
      </c>
    </row>
    <row r="1979" spans="1:10">
      <c r="B1979" s="583">
        <v>45984</v>
      </c>
      <c r="C1979" s="230" t="s">
        <v>1819</v>
      </c>
      <c r="D1979" s="230">
        <v>19</v>
      </c>
      <c r="E1979" s="533">
        <v>398</v>
      </c>
      <c r="F1979" s="19">
        <f t="shared" si="465"/>
        <v>7562</v>
      </c>
      <c r="G1979" s="19">
        <v>2.415</v>
      </c>
      <c r="H1979" s="19">
        <f t="shared" si="466"/>
        <v>961.17</v>
      </c>
      <c r="I1979" s="19">
        <f t="shared" si="467"/>
        <v>18262.23</v>
      </c>
      <c r="J1979" s="18">
        <f t="shared" si="468"/>
        <v>93233.489999999991</v>
      </c>
    </row>
    <row r="1980" spans="1:10">
      <c r="B1980" s="583">
        <v>45984</v>
      </c>
      <c r="C1980" s="230" t="s">
        <v>1820</v>
      </c>
      <c r="D1980" s="230">
        <v>10</v>
      </c>
      <c r="E1980" s="533">
        <v>398</v>
      </c>
      <c r="F1980" s="19">
        <f t="shared" si="465"/>
        <v>3980</v>
      </c>
      <c r="G1980" s="19">
        <v>2.415</v>
      </c>
      <c r="H1980" s="19">
        <f t="shared" si="466"/>
        <v>961.17</v>
      </c>
      <c r="I1980" s="19">
        <f t="shared" si="467"/>
        <v>9611.6999999999989</v>
      </c>
      <c r="J1980" s="18">
        <f t="shared" si="468"/>
        <v>102845.18999999999</v>
      </c>
    </row>
    <row r="1981" spans="1:10">
      <c r="B1981" s="583">
        <v>45984</v>
      </c>
      <c r="C1981" s="230" t="s">
        <v>1821</v>
      </c>
      <c r="D1981" s="230">
        <v>17</v>
      </c>
      <c r="E1981" s="533">
        <v>398</v>
      </c>
      <c r="F1981" s="19">
        <f t="shared" si="465"/>
        <v>6766</v>
      </c>
      <c r="G1981" s="19">
        <v>2.415</v>
      </c>
      <c r="H1981" s="19">
        <f t="shared" si="466"/>
        <v>961.17</v>
      </c>
      <c r="I1981" s="19">
        <f t="shared" si="467"/>
        <v>16339.89</v>
      </c>
      <c r="J1981" s="18">
        <f t="shared" si="468"/>
        <v>119185.07999999999</v>
      </c>
    </row>
    <row r="1982" spans="1:10">
      <c r="B1982" s="583">
        <v>45985</v>
      </c>
      <c r="C1982" s="230" t="s">
        <v>1822</v>
      </c>
      <c r="D1982" s="230">
        <v>27</v>
      </c>
      <c r="E1982" s="533">
        <v>398</v>
      </c>
      <c r="F1982" s="19">
        <f t="shared" si="465"/>
        <v>10746</v>
      </c>
      <c r="G1982" s="19">
        <v>2.415</v>
      </c>
      <c r="H1982" s="19">
        <f t="shared" si="466"/>
        <v>961.17</v>
      </c>
      <c r="I1982" s="19">
        <f t="shared" si="467"/>
        <v>25951.59</v>
      </c>
      <c r="J1982" s="18">
        <f t="shared" si="468"/>
        <v>145136.66999999998</v>
      </c>
    </row>
    <row r="1983" spans="1:10">
      <c r="B1983" s="583">
        <v>45985</v>
      </c>
      <c r="C1983" s="230" t="s">
        <v>1822</v>
      </c>
      <c r="D1983" s="230">
        <v>11</v>
      </c>
      <c r="E1983" s="533">
        <v>398</v>
      </c>
      <c r="F1983" s="19">
        <f>E1983*D1983</f>
        <v>4378</v>
      </c>
      <c r="G1983" s="19">
        <v>2.415</v>
      </c>
      <c r="H1983" s="19">
        <f>E1983*G1983</f>
        <v>961.17</v>
      </c>
      <c r="I1983" s="19">
        <f>H1983*D1983</f>
        <v>10572.869999999999</v>
      </c>
      <c r="J1983" s="18">
        <f>J1982+I1983</f>
        <v>155709.53999999998</v>
      </c>
    </row>
    <row r="1984" spans="1:10">
      <c r="B1984" s="583">
        <v>45985</v>
      </c>
      <c r="C1984" s="230" t="s">
        <v>1823</v>
      </c>
      <c r="D1984" s="230">
        <v>2</v>
      </c>
      <c r="E1984" s="533">
        <v>679</v>
      </c>
      <c r="F1984" s="19">
        <f>E1984*D1984</f>
        <v>1358</v>
      </c>
      <c r="G1984" s="19">
        <v>2.415</v>
      </c>
      <c r="H1984" s="19">
        <f>E1984*G1984</f>
        <v>1639.7850000000001</v>
      </c>
      <c r="I1984" s="19">
        <f>H1984*D1984</f>
        <v>3279.57</v>
      </c>
      <c r="J1984" s="18">
        <f>J1983+I1984</f>
        <v>158989.10999999999</v>
      </c>
    </row>
    <row r="1985" spans="1:10">
      <c r="B1985" s="594">
        <v>45985</v>
      </c>
      <c r="C1985" s="296" t="s">
        <v>1824</v>
      </c>
      <c r="D1985" s="296">
        <v>1</v>
      </c>
      <c r="E1985" s="595">
        <v>105</v>
      </c>
      <c r="F1985" s="596">
        <f>E1985*D1985</f>
        <v>105</v>
      </c>
      <c r="G1985" s="596"/>
      <c r="H1985" s="596">
        <f>E1985*G1985</f>
        <v>0</v>
      </c>
      <c r="I1985" s="596">
        <f>H1985*D1985</f>
        <v>0</v>
      </c>
      <c r="J1985" s="296">
        <f>J1984+I1985</f>
        <v>158989.10999999999</v>
      </c>
    </row>
    <row r="1989" spans="1:10">
      <c r="B1989" s="499"/>
      <c r="C1989"/>
      <c r="D1989" s="597"/>
    </row>
    <row r="1990" spans="1:10" ht="21">
      <c r="A1990" t="s">
        <v>125</v>
      </c>
      <c r="B1990" s="1520" t="s">
        <v>20</v>
      </c>
      <c r="C1990" s="1520"/>
      <c r="D1990" s="1520"/>
      <c r="E1990" s="1520"/>
      <c r="F1990" s="1520"/>
      <c r="G1990" s="1520"/>
      <c r="H1990" s="1520"/>
      <c r="I1990" s="1520"/>
      <c r="J1990" s="1520"/>
    </row>
    <row r="1991" spans="1:10" ht="18.75">
      <c r="A1991" t="s">
        <v>212</v>
      </c>
      <c r="B1991" s="4" t="s">
        <v>1</v>
      </c>
      <c r="C1991" s="4" t="s">
        <v>2</v>
      </c>
      <c r="D1991" s="4" t="s">
        <v>3</v>
      </c>
      <c r="E1991" s="4" t="s">
        <v>4</v>
      </c>
      <c r="F1991" s="4" t="s">
        <v>36</v>
      </c>
      <c r="G1991" s="4" t="s">
        <v>5</v>
      </c>
      <c r="H1991" s="4" t="s">
        <v>6</v>
      </c>
      <c r="I1991" s="4" t="s">
        <v>7</v>
      </c>
      <c r="J1991" s="4"/>
    </row>
    <row r="1992" spans="1:10">
      <c r="B1992" s="583">
        <v>45988</v>
      </c>
      <c r="C1992" s="230" t="s">
        <v>1853</v>
      </c>
      <c r="D1992" s="230">
        <v>50</v>
      </c>
      <c r="E1992" s="533">
        <v>398</v>
      </c>
      <c r="F1992" s="19">
        <f>E1992*D1992</f>
        <v>19900</v>
      </c>
      <c r="G1992" s="19">
        <v>2.3622999999999998</v>
      </c>
      <c r="H1992" s="19">
        <f>E1992*G1992</f>
        <v>940.19539999999995</v>
      </c>
      <c r="I1992" s="19">
        <f>H1992*D1992</f>
        <v>47009.77</v>
      </c>
      <c r="J1992" s="18">
        <f>J1991+I1992</f>
        <v>47009.77</v>
      </c>
    </row>
    <row r="1993" spans="1:10">
      <c r="B1993" s="583">
        <v>45988</v>
      </c>
      <c r="C1993" s="230" t="s">
        <v>1643</v>
      </c>
      <c r="D1993" s="230">
        <v>10</v>
      </c>
      <c r="E1993" s="533">
        <v>410</v>
      </c>
      <c r="F1993" s="19">
        <f t="shared" ref="F1993:F2011" si="469">E1993*D1993</f>
        <v>4100</v>
      </c>
      <c r="G1993" s="19">
        <v>2.3622999999999998</v>
      </c>
      <c r="H1993" s="19">
        <f t="shared" ref="H1993:H1999" si="470">E1993*G1993</f>
        <v>968.54299999999989</v>
      </c>
      <c r="I1993" s="19">
        <f t="shared" ref="I1993:I1999" si="471">H1993*D1993</f>
        <v>9685.4299999999985</v>
      </c>
      <c r="J1993" s="18">
        <f t="shared" ref="J1993:J2012" si="472">J1992+I1993</f>
        <v>56695.199999999997</v>
      </c>
    </row>
    <row r="1994" spans="1:10">
      <c r="B1994" s="585">
        <v>45989</v>
      </c>
      <c r="C1994" s="110" t="s">
        <v>1869</v>
      </c>
      <c r="D1994" s="110">
        <v>6</v>
      </c>
      <c r="E1994" s="184">
        <v>419</v>
      </c>
      <c r="F1994" s="127">
        <f t="shared" si="469"/>
        <v>2514</v>
      </c>
      <c r="G1994" s="127">
        <v>2.3622999999999998</v>
      </c>
      <c r="H1994" s="127">
        <f t="shared" si="470"/>
        <v>989.80369999999994</v>
      </c>
      <c r="I1994" s="127">
        <f t="shared" si="471"/>
        <v>5938.8221999999996</v>
      </c>
      <c r="J1994" s="110">
        <f t="shared" si="472"/>
        <v>62634.022199999999</v>
      </c>
    </row>
    <row r="1995" spans="1:10">
      <c r="B1995" s="585">
        <v>45989</v>
      </c>
      <c r="C1995" s="110" t="s">
        <v>1868</v>
      </c>
      <c r="D1995" s="110">
        <v>10</v>
      </c>
      <c r="E1995" s="184">
        <v>125</v>
      </c>
      <c r="F1995" s="127">
        <f t="shared" si="469"/>
        <v>1250</v>
      </c>
      <c r="G1995" s="127">
        <v>2.3622999999999998</v>
      </c>
      <c r="H1995" s="127">
        <f t="shared" si="470"/>
        <v>295.28749999999997</v>
      </c>
      <c r="I1995" s="127">
        <f t="shared" si="471"/>
        <v>2952.8749999999995</v>
      </c>
      <c r="J1995" s="110">
        <f t="shared" si="472"/>
        <v>65586.897199999992</v>
      </c>
    </row>
    <row r="1996" spans="1:10">
      <c r="B1996" s="585">
        <v>45989</v>
      </c>
      <c r="C1996" s="110" t="s">
        <v>1867</v>
      </c>
      <c r="D1996" s="110">
        <v>3</v>
      </c>
      <c r="E1996" s="184">
        <v>419</v>
      </c>
      <c r="F1996" s="127">
        <f t="shared" si="469"/>
        <v>1257</v>
      </c>
      <c r="G1996" s="127">
        <v>2.3622999999999998</v>
      </c>
      <c r="H1996" s="127">
        <f t="shared" si="470"/>
        <v>989.80369999999994</v>
      </c>
      <c r="I1996" s="127">
        <f t="shared" si="471"/>
        <v>2969.4110999999998</v>
      </c>
      <c r="J1996" s="110">
        <f t="shared" si="472"/>
        <v>68556.30829999999</v>
      </c>
    </row>
    <row r="1997" spans="1:10">
      <c r="B1997" s="585">
        <v>45989</v>
      </c>
      <c r="C1997" s="110" t="s">
        <v>1866</v>
      </c>
      <c r="D1997" s="110">
        <v>2</v>
      </c>
      <c r="E1997" s="184">
        <v>419</v>
      </c>
      <c r="F1997" s="127">
        <f t="shared" si="469"/>
        <v>838</v>
      </c>
      <c r="G1997" s="127">
        <v>2.3622999999999998</v>
      </c>
      <c r="H1997" s="127">
        <f t="shared" si="470"/>
        <v>989.80369999999994</v>
      </c>
      <c r="I1997" s="127">
        <f t="shared" si="471"/>
        <v>1979.6073999999999</v>
      </c>
      <c r="J1997" s="110">
        <f t="shared" si="472"/>
        <v>70535.915699999983</v>
      </c>
    </row>
    <row r="1998" spans="1:10">
      <c r="B1998" s="583">
        <v>45990</v>
      </c>
      <c r="C1998" s="230" t="s">
        <v>1854</v>
      </c>
      <c r="D1998" s="230">
        <v>1</v>
      </c>
      <c r="E1998" s="533">
        <v>467</v>
      </c>
      <c r="F1998" s="19">
        <f t="shared" si="469"/>
        <v>467</v>
      </c>
      <c r="G1998" s="19">
        <v>2.3622999999999998</v>
      </c>
      <c r="H1998" s="19">
        <f t="shared" si="470"/>
        <v>1103.1940999999999</v>
      </c>
      <c r="I1998" s="19">
        <f t="shared" si="471"/>
        <v>1103.1940999999999</v>
      </c>
      <c r="J1998" s="18">
        <f t="shared" si="472"/>
        <v>71639.109799999977</v>
      </c>
    </row>
    <row r="1999" spans="1:10">
      <c r="B1999" s="583">
        <v>45990</v>
      </c>
      <c r="C1999" s="230" t="s">
        <v>1855</v>
      </c>
      <c r="D1999" s="230">
        <v>2</v>
      </c>
      <c r="E1999" s="533">
        <v>479</v>
      </c>
      <c r="F1999" s="19">
        <f t="shared" si="469"/>
        <v>958</v>
      </c>
      <c r="G1999" s="19">
        <v>2.3622999999999998</v>
      </c>
      <c r="H1999" s="19">
        <f t="shared" si="470"/>
        <v>1131.5417</v>
      </c>
      <c r="I1999" s="19">
        <f t="shared" si="471"/>
        <v>2263.0834</v>
      </c>
      <c r="J1999" s="18">
        <f t="shared" si="472"/>
        <v>73902.19319999998</v>
      </c>
    </row>
    <row r="2000" spans="1:10">
      <c r="B2000" s="583">
        <v>45990</v>
      </c>
      <c r="C2000" s="230" t="s">
        <v>1856</v>
      </c>
      <c r="D2000" s="230">
        <v>2</v>
      </c>
      <c r="E2000" s="533">
        <v>399</v>
      </c>
      <c r="F2000" s="19">
        <f t="shared" si="469"/>
        <v>798</v>
      </c>
      <c r="G2000" s="19">
        <v>2.3622999999999998</v>
      </c>
      <c r="H2000" s="19">
        <f t="shared" ref="H2000:H2012" si="473">E2000*G2000</f>
        <v>942.55769999999995</v>
      </c>
      <c r="I2000" s="19">
        <f t="shared" ref="I2000:I2012" si="474">H2000*D2000</f>
        <v>1885.1153999999999</v>
      </c>
      <c r="J2000" s="18">
        <f t="shared" si="472"/>
        <v>75787.308599999975</v>
      </c>
    </row>
    <row r="2001" spans="1:10">
      <c r="B2001" s="583">
        <v>45990</v>
      </c>
      <c r="C2001" s="230" t="s">
        <v>1857</v>
      </c>
      <c r="D2001" s="230">
        <v>3</v>
      </c>
      <c r="E2001" s="533">
        <v>419</v>
      </c>
      <c r="F2001" s="19">
        <f t="shared" si="469"/>
        <v>1257</v>
      </c>
      <c r="G2001" s="19">
        <v>2.3622999999999998</v>
      </c>
      <c r="H2001" s="19">
        <f t="shared" si="473"/>
        <v>989.80369999999994</v>
      </c>
      <c r="I2001" s="19">
        <f t="shared" si="474"/>
        <v>2969.4110999999998</v>
      </c>
      <c r="J2001" s="18">
        <f t="shared" si="472"/>
        <v>78756.719699999972</v>
      </c>
    </row>
    <row r="2002" spans="1:10">
      <c r="B2002" s="583">
        <v>45990</v>
      </c>
      <c r="C2002" s="230" t="s">
        <v>1858</v>
      </c>
      <c r="D2002" s="230">
        <v>2</v>
      </c>
      <c r="E2002" s="533">
        <v>479</v>
      </c>
      <c r="F2002" s="19">
        <f t="shared" si="469"/>
        <v>958</v>
      </c>
      <c r="G2002" s="19">
        <v>2.3622999999999998</v>
      </c>
      <c r="H2002" s="19">
        <f t="shared" si="473"/>
        <v>1131.5417</v>
      </c>
      <c r="I2002" s="19">
        <f t="shared" si="474"/>
        <v>2263.0834</v>
      </c>
      <c r="J2002" s="18">
        <f t="shared" si="472"/>
        <v>81019.803099999976</v>
      </c>
    </row>
    <row r="2003" spans="1:10">
      <c r="B2003" s="583">
        <v>45990</v>
      </c>
      <c r="C2003" s="230" t="s">
        <v>1859</v>
      </c>
      <c r="D2003" s="230">
        <v>3</v>
      </c>
      <c r="E2003" s="533">
        <v>105</v>
      </c>
      <c r="F2003" s="19">
        <f t="shared" si="469"/>
        <v>315</v>
      </c>
      <c r="G2003" s="19">
        <v>2.3622999999999998</v>
      </c>
      <c r="H2003" s="19">
        <f t="shared" si="473"/>
        <v>248.04149999999998</v>
      </c>
      <c r="I2003" s="19">
        <f t="shared" si="474"/>
        <v>744.1244999999999</v>
      </c>
      <c r="J2003" s="18">
        <f t="shared" si="472"/>
        <v>81763.927599999981</v>
      </c>
    </row>
    <row r="2004" spans="1:10">
      <c r="B2004" s="583">
        <v>45990</v>
      </c>
      <c r="C2004" s="230" t="s">
        <v>1860</v>
      </c>
      <c r="D2004" s="230">
        <v>2</v>
      </c>
      <c r="E2004" s="533">
        <v>299</v>
      </c>
      <c r="F2004" s="19">
        <f t="shared" si="469"/>
        <v>598</v>
      </c>
      <c r="G2004" s="19">
        <v>2.3622999999999998</v>
      </c>
      <c r="H2004" s="19">
        <f t="shared" si="473"/>
        <v>706.32769999999994</v>
      </c>
      <c r="I2004" s="19">
        <f t="shared" si="474"/>
        <v>1412.6553999999999</v>
      </c>
      <c r="J2004" s="18">
        <f t="shared" si="472"/>
        <v>83176.582999999984</v>
      </c>
    </row>
    <row r="2005" spans="1:10">
      <c r="B2005" s="585">
        <v>45990</v>
      </c>
      <c r="C2005" s="110" t="s">
        <v>1865</v>
      </c>
      <c r="D2005" s="110">
        <v>1</v>
      </c>
      <c r="E2005" s="184">
        <v>399</v>
      </c>
      <c r="F2005" s="127">
        <f t="shared" si="469"/>
        <v>399</v>
      </c>
      <c r="G2005" s="127">
        <v>2.3622999999999998</v>
      </c>
      <c r="H2005" s="127">
        <f t="shared" si="473"/>
        <v>942.55769999999995</v>
      </c>
      <c r="I2005" s="127">
        <f t="shared" si="474"/>
        <v>942.55769999999995</v>
      </c>
      <c r="J2005" s="110">
        <f t="shared" si="472"/>
        <v>84119.140699999989</v>
      </c>
    </row>
    <row r="2006" spans="1:10">
      <c r="B2006" s="583">
        <v>45990</v>
      </c>
      <c r="C2006" s="230" t="s">
        <v>1861</v>
      </c>
      <c r="D2006" s="230">
        <v>4</v>
      </c>
      <c r="E2006" s="533">
        <v>398</v>
      </c>
      <c r="F2006" s="19">
        <f t="shared" si="469"/>
        <v>1592</v>
      </c>
      <c r="G2006" s="19">
        <v>2.3622999999999998</v>
      </c>
      <c r="H2006" s="19">
        <f t="shared" si="473"/>
        <v>940.19539999999995</v>
      </c>
      <c r="I2006" s="19">
        <f t="shared" si="474"/>
        <v>3760.7815999999998</v>
      </c>
      <c r="J2006" s="18">
        <f t="shared" si="472"/>
        <v>87879.922299999991</v>
      </c>
    </row>
    <row r="2007" spans="1:10">
      <c r="B2007" s="585">
        <v>45990</v>
      </c>
      <c r="C2007" s="110" t="s">
        <v>1864</v>
      </c>
      <c r="D2007" s="110">
        <v>2</v>
      </c>
      <c r="E2007" s="184">
        <v>398</v>
      </c>
      <c r="F2007" s="127">
        <f t="shared" si="469"/>
        <v>796</v>
      </c>
      <c r="G2007" s="127">
        <v>2.3622999999999998</v>
      </c>
      <c r="H2007" s="127">
        <f t="shared" si="473"/>
        <v>940.19539999999995</v>
      </c>
      <c r="I2007" s="127">
        <f t="shared" si="474"/>
        <v>1880.3907999999999</v>
      </c>
      <c r="J2007" s="110">
        <f t="shared" si="472"/>
        <v>89760.313099999985</v>
      </c>
    </row>
    <row r="2008" spans="1:10">
      <c r="B2008" s="583">
        <v>45990</v>
      </c>
      <c r="C2008" s="230" t="s">
        <v>1682</v>
      </c>
      <c r="D2008" s="230">
        <v>4</v>
      </c>
      <c r="E2008" s="533">
        <v>398</v>
      </c>
      <c r="F2008" s="19">
        <f t="shared" si="469"/>
        <v>1592</v>
      </c>
      <c r="G2008" s="19">
        <v>2.3622999999999998</v>
      </c>
      <c r="H2008" s="19">
        <f t="shared" si="473"/>
        <v>940.19539999999995</v>
      </c>
      <c r="I2008" s="19">
        <f t="shared" si="474"/>
        <v>3760.7815999999998</v>
      </c>
      <c r="J2008" s="18">
        <f t="shared" si="472"/>
        <v>93521.094699999987</v>
      </c>
    </row>
    <row r="2009" spans="1:10">
      <c r="B2009" s="583">
        <v>45990</v>
      </c>
      <c r="C2009" s="230" t="s">
        <v>1862</v>
      </c>
      <c r="D2009" s="230">
        <v>3</v>
      </c>
      <c r="E2009" s="533">
        <v>398</v>
      </c>
      <c r="F2009" s="19">
        <f t="shared" si="469"/>
        <v>1194</v>
      </c>
      <c r="G2009" s="19">
        <v>2.3622999999999998</v>
      </c>
      <c r="H2009" s="19">
        <f t="shared" si="473"/>
        <v>940.19539999999995</v>
      </c>
      <c r="I2009" s="19">
        <f t="shared" si="474"/>
        <v>2820.5861999999997</v>
      </c>
      <c r="J2009" s="18">
        <f t="shared" si="472"/>
        <v>96341.680899999992</v>
      </c>
    </row>
    <row r="2010" spans="1:10">
      <c r="B2010" s="585">
        <v>45990</v>
      </c>
      <c r="C2010" s="110" t="s">
        <v>2069</v>
      </c>
      <c r="D2010" s="110">
        <v>0</v>
      </c>
      <c r="E2010" s="184">
        <v>398</v>
      </c>
      <c r="F2010" s="127">
        <f t="shared" si="469"/>
        <v>0</v>
      </c>
      <c r="G2010" s="127">
        <v>2.3622999999999998</v>
      </c>
      <c r="H2010" s="127">
        <f t="shared" si="473"/>
        <v>940.19539999999995</v>
      </c>
      <c r="I2010" s="127">
        <f t="shared" si="474"/>
        <v>0</v>
      </c>
      <c r="J2010" s="110">
        <f t="shared" si="472"/>
        <v>96341.680899999992</v>
      </c>
    </row>
    <row r="2011" spans="1:10">
      <c r="B2011" s="594">
        <v>45988</v>
      </c>
      <c r="C2011" s="296" t="s">
        <v>1852</v>
      </c>
      <c r="D2011" s="296">
        <v>1</v>
      </c>
      <c r="E2011" s="595">
        <v>200</v>
      </c>
      <c r="F2011" s="596">
        <f t="shared" si="469"/>
        <v>200</v>
      </c>
      <c r="G2011" s="596">
        <v>2.3622999999999998</v>
      </c>
      <c r="H2011" s="596">
        <f>F2011*G2011</f>
        <v>472.46</v>
      </c>
      <c r="I2011" s="596">
        <f>H2011*D2011</f>
        <v>472.46</v>
      </c>
      <c r="J2011" s="296">
        <f t="shared" si="472"/>
        <v>96814.140899999999</v>
      </c>
    </row>
    <row r="2012" spans="1:10">
      <c r="B2012" s="19"/>
      <c r="C2012" s="19"/>
      <c r="D2012" s="19"/>
      <c r="E2012" s="19"/>
      <c r="F2012" s="19">
        <f>E2012*D2012</f>
        <v>0</v>
      </c>
      <c r="G2012" s="19"/>
      <c r="H2012" s="19">
        <f t="shared" si="473"/>
        <v>0</v>
      </c>
      <c r="I2012" s="19">
        <f t="shared" si="474"/>
        <v>0</v>
      </c>
      <c r="J2012" s="18">
        <f t="shared" si="472"/>
        <v>96814.140899999999</v>
      </c>
    </row>
    <row r="2016" spans="1:10" ht="21">
      <c r="A2016" t="s">
        <v>125</v>
      </c>
      <c r="B2016" s="1520" t="s">
        <v>35</v>
      </c>
      <c r="C2016" s="1520"/>
      <c r="D2016" s="1520"/>
      <c r="E2016" s="1520"/>
      <c r="F2016" s="1520"/>
      <c r="G2016" s="1520"/>
      <c r="H2016" s="1520"/>
      <c r="I2016" s="1520"/>
      <c r="J2016" s="1520"/>
    </row>
    <row r="2017" spans="1:10" ht="18.75">
      <c r="A2017" t="s">
        <v>212</v>
      </c>
      <c r="B2017" s="4" t="s">
        <v>1</v>
      </c>
      <c r="C2017" s="4" t="s">
        <v>2</v>
      </c>
      <c r="D2017" s="4" t="s">
        <v>3</v>
      </c>
      <c r="E2017" s="4" t="s">
        <v>4</v>
      </c>
      <c r="F2017" s="4" t="s">
        <v>36</v>
      </c>
      <c r="G2017" s="4" t="s">
        <v>5</v>
      </c>
      <c r="H2017" s="4" t="s">
        <v>6</v>
      </c>
      <c r="I2017" s="4" t="s">
        <v>7</v>
      </c>
      <c r="J2017" s="4"/>
    </row>
    <row r="2018" spans="1:10">
      <c r="B2018" s="602">
        <v>45988</v>
      </c>
      <c r="C2018" s="110" t="s">
        <v>1870</v>
      </c>
      <c r="D2018" s="110">
        <v>1</v>
      </c>
      <c r="E2018" s="184">
        <v>1348</v>
      </c>
      <c r="F2018" s="127">
        <f t="shared" ref="F2018:F2023" si="475">E2018*D2018</f>
        <v>1348</v>
      </c>
      <c r="G2018" s="127">
        <v>2.15</v>
      </c>
      <c r="H2018" s="127">
        <f t="shared" ref="H2018:H2023" si="476">E2018*G2018</f>
        <v>2898.2</v>
      </c>
      <c r="I2018" s="127">
        <f t="shared" ref="I2018:I2023" si="477">H2018*D2018</f>
        <v>2898.2</v>
      </c>
      <c r="J2018" s="110">
        <f t="shared" ref="J2018:J2023" si="478">J2017+I2018</f>
        <v>2898.2</v>
      </c>
    </row>
    <row r="2019" spans="1:10">
      <c r="B2019" s="602">
        <v>45988</v>
      </c>
      <c r="C2019" s="110" t="s">
        <v>1871</v>
      </c>
      <c r="D2019" s="110">
        <v>1</v>
      </c>
      <c r="E2019" s="184">
        <v>1348</v>
      </c>
      <c r="F2019" s="127">
        <f t="shared" si="475"/>
        <v>1348</v>
      </c>
      <c r="G2019" s="127">
        <v>2.15</v>
      </c>
      <c r="H2019" s="127">
        <f t="shared" si="476"/>
        <v>2898.2</v>
      </c>
      <c r="I2019" s="127">
        <f t="shared" si="477"/>
        <v>2898.2</v>
      </c>
      <c r="J2019" s="110">
        <f t="shared" si="478"/>
        <v>5796.4</v>
      </c>
    </row>
    <row r="2020" spans="1:10">
      <c r="B2020" s="602">
        <v>45989</v>
      </c>
      <c r="C2020" s="110" t="s">
        <v>1872</v>
      </c>
      <c r="D2020" s="110">
        <v>3</v>
      </c>
      <c r="E2020" s="184">
        <v>1380</v>
      </c>
      <c r="F2020" s="127">
        <f t="shared" si="475"/>
        <v>4140</v>
      </c>
      <c r="G2020" s="127">
        <v>2.15</v>
      </c>
      <c r="H2020" s="127">
        <f t="shared" si="476"/>
        <v>2967</v>
      </c>
      <c r="I2020" s="127">
        <f t="shared" si="477"/>
        <v>8901</v>
      </c>
      <c r="J2020" s="110">
        <f t="shared" si="478"/>
        <v>14697.4</v>
      </c>
    </row>
    <row r="2021" spans="1:10">
      <c r="B2021" s="602">
        <v>45989</v>
      </c>
      <c r="C2021" s="110" t="s">
        <v>1873</v>
      </c>
      <c r="D2021" s="110">
        <v>10</v>
      </c>
      <c r="E2021" s="184">
        <v>1390</v>
      </c>
      <c r="F2021" s="127">
        <f t="shared" si="475"/>
        <v>13900</v>
      </c>
      <c r="G2021" s="127">
        <v>2.15</v>
      </c>
      <c r="H2021" s="127">
        <f t="shared" si="476"/>
        <v>2988.5</v>
      </c>
      <c r="I2021" s="127">
        <f t="shared" si="477"/>
        <v>29885</v>
      </c>
      <c r="J2021" s="110">
        <f t="shared" si="478"/>
        <v>44582.400000000001</v>
      </c>
    </row>
    <row r="2022" spans="1:10">
      <c r="B2022" s="602">
        <v>45989</v>
      </c>
      <c r="C2022" s="110" t="s">
        <v>1874</v>
      </c>
      <c r="D2022" s="110">
        <v>12</v>
      </c>
      <c r="E2022" s="184">
        <v>1390</v>
      </c>
      <c r="F2022" s="127">
        <f t="shared" si="475"/>
        <v>16680</v>
      </c>
      <c r="G2022" s="127">
        <v>2.15</v>
      </c>
      <c r="H2022" s="127">
        <f t="shared" si="476"/>
        <v>2988.5</v>
      </c>
      <c r="I2022" s="127">
        <f t="shared" si="477"/>
        <v>35862</v>
      </c>
      <c r="J2022" s="110">
        <f t="shared" si="478"/>
        <v>80444.399999999994</v>
      </c>
    </row>
    <row r="2023" spans="1:10">
      <c r="B2023" s="19"/>
      <c r="C2023" s="19"/>
      <c r="D2023" s="19"/>
      <c r="E2023" s="19"/>
      <c r="F2023" s="19">
        <f t="shared" si="475"/>
        <v>0</v>
      </c>
      <c r="G2023" s="19"/>
      <c r="H2023" s="19">
        <f t="shared" si="476"/>
        <v>0</v>
      </c>
      <c r="I2023" s="19">
        <f t="shared" si="477"/>
        <v>0</v>
      </c>
      <c r="J2023" s="18">
        <f t="shared" si="478"/>
        <v>80444.399999999994</v>
      </c>
    </row>
    <row r="2027" spans="1:10" ht="21">
      <c r="A2027" s="611" t="s">
        <v>125</v>
      </c>
      <c r="B2027" s="1520" t="s">
        <v>20</v>
      </c>
      <c r="C2027" s="1520"/>
      <c r="D2027" s="1520"/>
      <c r="E2027" s="1520"/>
      <c r="F2027" s="1520"/>
      <c r="G2027" s="1520"/>
      <c r="H2027" s="1520"/>
      <c r="I2027" s="1520"/>
      <c r="J2027" s="1520"/>
    </row>
    <row r="2028" spans="1:10" ht="18.75">
      <c r="A2028" s="611" t="s">
        <v>212</v>
      </c>
      <c r="B2028" s="4" t="s">
        <v>1</v>
      </c>
      <c r="C2028" s="4" t="s">
        <v>2</v>
      </c>
      <c r="D2028" s="4" t="s">
        <v>3</v>
      </c>
      <c r="E2028" s="4" t="s">
        <v>4</v>
      </c>
      <c r="F2028" s="4" t="s">
        <v>36</v>
      </c>
      <c r="G2028" s="4" t="s">
        <v>5</v>
      </c>
      <c r="H2028" s="4" t="s">
        <v>6</v>
      </c>
      <c r="I2028" s="4" t="s">
        <v>7</v>
      </c>
      <c r="J2028" s="4"/>
    </row>
    <row r="2029" spans="1:10">
      <c r="B2029" s="610">
        <v>45991</v>
      </c>
      <c r="C2029" s="606" t="s">
        <v>1881</v>
      </c>
      <c r="D2029" s="609">
        <v>18</v>
      </c>
      <c r="E2029" s="613">
        <v>398</v>
      </c>
      <c r="F2029" s="19">
        <f>E2029*D2029</f>
        <v>7164</v>
      </c>
      <c r="G2029" s="19">
        <v>2.3715000000000002</v>
      </c>
      <c r="H2029" s="19">
        <f>E2029*G2029</f>
        <v>943.85700000000008</v>
      </c>
      <c r="I2029" s="19">
        <f>H2029*D2029</f>
        <v>16989.426000000003</v>
      </c>
      <c r="J2029" s="18">
        <f>J2028+I2029</f>
        <v>16989.426000000003</v>
      </c>
    </row>
    <row r="2030" spans="1:10">
      <c r="B2030" s="610">
        <v>45991</v>
      </c>
      <c r="C2030" s="606" t="s">
        <v>1882</v>
      </c>
      <c r="D2030" s="609">
        <v>9</v>
      </c>
      <c r="E2030" s="613">
        <v>398</v>
      </c>
      <c r="F2030" s="19">
        <f t="shared" ref="F2030:F2037" si="479">E2030*D2030</f>
        <v>3582</v>
      </c>
      <c r="G2030" s="614">
        <v>2.3715000000000002</v>
      </c>
      <c r="H2030" s="19">
        <f t="shared" ref="H2030:H2037" si="480">E2030*G2030</f>
        <v>943.85700000000008</v>
      </c>
      <c r="I2030" s="19">
        <f t="shared" ref="I2030:I2037" si="481">H2030*D2030</f>
        <v>8494.7130000000016</v>
      </c>
      <c r="J2030" s="18">
        <f t="shared" ref="J2030:J2037" si="482">J2029+I2030</f>
        <v>25484.139000000003</v>
      </c>
    </row>
    <row r="2031" spans="1:10">
      <c r="B2031" s="610">
        <v>45991</v>
      </c>
      <c r="C2031" s="606" t="s">
        <v>1883</v>
      </c>
      <c r="D2031" s="609">
        <v>1</v>
      </c>
      <c r="E2031" s="613">
        <v>299</v>
      </c>
      <c r="F2031" s="19">
        <f t="shared" si="479"/>
        <v>299</v>
      </c>
      <c r="G2031" s="614">
        <v>2.3715000000000002</v>
      </c>
      <c r="H2031" s="19">
        <f t="shared" si="480"/>
        <v>709.07850000000008</v>
      </c>
      <c r="I2031" s="19">
        <f t="shared" si="481"/>
        <v>709.07850000000008</v>
      </c>
      <c r="J2031" s="18">
        <f t="shared" si="482"/>
        <v>26193.217500000002</v>
      </c>
    </row>
    <row r="2032" spans="1:10">
      <c r="B2032" s="610">
        <v>45991</v>
      </c>
      <c r="C2032" s="607" t="s">
        <v>1884</v>
      </c>
      <c r="D2032" s="609">
        <v>2</v>
      </c>
      <c r="E2032" s="613">
        <v>479</v>
      </c>
      <c r="F2032" s="19">
        <f t="shared" si="479"/>
        <v>958</v>
      </c>
      <c r="G2032" s="614">
        <v>2.3715000000000002</v>
      </c>
      <c r="H2032" s="19">
        <f t="shared" si="480"/>
        <v>1135.9485</v>
      </c>
      <c r="I2032" s="19">
        <f t="shared" si="481"/>
        <v>2271.8969999999999</v>
      </c>
      <c r="J2032" s="18">
        <f t="shared" si="482"/>
        <v>28465.114500000003</v>
      </c>
    </row>
    <row r="2033" spans="2:10">
      <c r="B2033" s="610">
        <v>45991</v>
      </c>
      <c r="C2033" s="607" t="s">
        <v>1885</v>
      </c>
      <c r="D2033" s="609">
        <v>8</v>
      </c>
      <c r="E2033" s="613">
        <v>125</v>
      </c>
      <c r="F2033" s="19">
        <f t="shared" si="479"/>
        <v>1000</v>
      </c>
      <c r="G2033" s="614">
        <v>2.3715000000000002</v>
      </c>
      <c r="H2033" s="19">
        <f t="shared" si="480"/>
        <v>296.4375</v>
      </c>
      <c r="I2033" s="19">
        <f t="shared" si="481"/>
        <v>2371.5</v>
      </c>
      <c r="J2033" s="18">
        <f t="shared" si="482"/>
        <v>30836.614500000003</v>
      </c>
    </row>
    <row r="2034" spans="2:10">
      <c r="B2034" s="610">
        <v>45991</v>
      </c>
      <c r="C2034" s="607" t="s">
        <v>1886</v>
      </c>
      <c r="D2034" s="609">
        <v>1</v>
      </c>
      <c r="E2034" s="613">
        <v>380</v>
      </c>
      <c r="F2034" s="19">
        <f t="shared" si="479"/>
        <v>380</v>
      </c>
      <c r="G2034" s="614">
        <v>2.3715000000000002</v>
      </c>
      <c r="H2034" s="19">
        <f t="shared" si="480"/>
        <v>901.17000000000007</v>
      </c>
      <c r="I2034" s="19">
        <f t="shared" si="481"/>
        <v>901.17000000000007</v>
      </c>
      <c r="J2034" s="18">
        <f t="shared" si="482"/>
        <v>31737.784500000002</v>
      </c>
    </row>
    <row r="2035" spans="2:10">
      <c r="B2035" s="610">
        <v>45991</v>
      </c>
      <c r="C2035" s="607" t="s">
        <v>1887</v>
      </c>
      <c r="D2035" s="609">
        <v>1</v>
      </c>
      <c r="E2035" s="613">
        <v>419</v>
      </c>
      <c r="F2035" s="19">
        <f t="shared" si="479"/>
        <v>419</v>
      </c>
      <c r="G2035" s="614">
        <v>2.3715000000000002</v>
      </c>
      <c r="H2035" s="19">
        <f t="shared" si="480"/>
        <v>993.65850000000012</v>
      </c>
      <c r="I2035" s="19">
        <f t="shared" si="481"/>
        <v>993.65850000000012</v>
      </c>
      <c r="J2035" s="18">
        <f t="shared" si="482"/>
        <v>32731.443000000003</v>
      </c>
    </row>
    <row r="2036" spans="2:10">
      <c r="B2036" s="610">
        <v>45991</v>
      </c>
      <c r="C2036" s="606" t="s">
        <v>1888</v>
      </c>
      <c r="D2036" s="609">
        <v>2</v>
      </c>
      <c r="E2036" s="613">
        <v>398</v>
      </c>
      <c r="F2036" s="19">
        <f t="shared" si="479"/>
        <v>796</v>
      </c>
      <c r="G2036" s="614">
        <v>2.3715000000000002</v>
      </c>
      <c r="H2036" s="19">
        <f t="shared" si="480"/>
        <v>943.85700000000008</v>
      </c>
      <c r="I2036" s="19">
        <f t="shared" si="481"/>
        <v>1887.7140000000002</v>
      </c>
      <c r="J2036" s="18">
        <f t="shared" si="482"/>
        <v>34619.157000000007</v>
      </c>
    </row>
    <row r="2037" spans="2:10">
      <c r="B2037" s="585">
        <v>45991</v>
      </c>
      <c r="C2037" s="110" t="s">
        <v>1896</v>
      </c>
      <c r="D2037" s="110">
        <v>2</v>
      </c>
      <c r="E2037" s="184">
        <v>398</v>
      </c>
      <c r="F2037" s="127">
        <f t="shared" si="479"/>
        <v>796</v>
      </c>
      <c r="G2037" s="127">
        <v>2.3715000000000002</v>
      </c>
      <c r="H2037" s="127">
        <f t="shared" si="480"/>
        <v>943.85700000000008</v>
      </c>
      <c r="I2037" s="127">
        <f t="shared" si="481"/>
        <v>1887.7140000000002</v>
      </c>
      <c r="J2037" s="110">
        <f t="shared" si="482"/>
        <v>36506.871000000006</v>
      </c>
    </row>
    <row r="2038" spans="2:10">
      <c r="B2038" s="585">
        <v>45991</v>
      </c>
      <c r="C2038" s="110" t="s">
        <v>1897</v>
      </c>
      <c r="D2038" s="110">
        <v>4</v>
      </c>
      <c r="E2038" s="184">
        <v>398</v>
      </c>
      <c r="F2038" s="127">
        <f t="shared" ref="F2038:F2047" si="483">E2038*D2038</f>
        <v>1592</v>
      </c>
      <c r="G2038" s="127">
        <v>2.3715000000000002</v>
      </c>
      <c r="H2038" s="127">
        <f t="shared" ref="H2038:H2045" si="484">E2038*G2038</f>
        <v>943.85700000000008</v>
      </c>
      <c r="I2038" s="127">
        <f t="shared" ref="I2038:I2045" si="485">H2038*D2038</f>
        <v>3775.4280000000003</v>
      </c>
      <c r="J2038" s="110">
        <f t="shared" ref="J2038:J2045" si="486">J2037+I2038</f>
        <v>40282.299000000006</v>
      </c>
    </row>
    <row r="2039" spans="2:10">
      <c r="B2039" s="610">
        <v>45991</v>
      </c>
      <c r="C2039" s="606" t="s">
        <v>1889</v>
      </c>
      <c r="D2039" s="609">
        <v>2</v>
      </c>
      <c r="E2039" s="613">
        <v>398</v>
      </c>
      <c r="F2039" s="19">
        <f t="shared" si="483"/>
        <v>796</v>
      </c>
      <c r="G2039" s="614">
        <v>2.3715000000000002</v>
      </c>
      <c r="H2039" s="19">
        <f t="shared" si="484"/>
        <v>943.85700000000008</v>
      </c>
      <c r="I2039" s="19">
        <f t="shared" si="485"/>
        <v>1887.7140000000002</v>
      </c>
      <c r="J2039" s="18">
        <f t="shared" si="486"/>
        <v>42170.013000000006</v>
      </c>
    </row>
    <row r="2040" spans="2:10">
      <c r="B2040" s="610">
        <v>45991</v>
      </c>
      <c r="C2040" s="606" t="s">
        <v>1890</v>
      </c>
      <c r="D2040" s="608">
        <v>3</v>
      </c>
      <c r="E2040" s="613">
        <v>299</v>
      </c>
      <c r="F2040" s="19">
        <f t="shared" si="483"/>
        <v>897</v>
      </c>
      <c r="G2040" s="614">
        <v>2.3715000000000002</v>
      </c>
      <c r="H2040" s="19">
        <f t="shared" si="484"/>
        <v>709.07850000000008</v>
      </c>
      <c r="I2040" s="19">
        <f t="shared" si="485"/>
        <v>2127.2355000000002</v>
      </c>
      <c r="J2040" s="18">
        <f t="shared" si="486"/>
        <v>44297.248500000009</v>
      </c>
    </row>
    <row r="2041" spans="2:10">
      <c r="B2041" s="610">
        <v>45991</v>
      </c>
      <c r="C2041" s="606" t="s">
        <v>1891</v>
      </c>
      <c r="D2041" s="608">
        <v>2</v>
      </c>
      <c r="E2041" s="613">
        <v>479</v>
      </c>
      <c r="F2041" s="19">
        <f t="shared" si="483"/>
        <v>958</v>
      </c>
      <c r="G2041" s="614">
        <v>2.3715000000000002</v>
      </c>
      <c r="H2041" s="19">
        <f t="shared" si="484"/>
        <v>1135.9485</v>
      </c>
      <c r="I2041" s="19">
        <f t="shared" si="485"/>
        <v>2271.8969999999999</v>
      </c>
      <c r="J2041" s="18">
        <f t="shared" si="486"/>
        <v>46569.145500000006</v>
      </c>
    </row>
    <row r="2042" spans="2:10">
      <c r="B2042" s="610">
        <v>45991</v>
      </c>
      <c r="C2042" s="606" t="s">
        <v>1892</v>
      </c>
      <c r="D2042" s="608">
        <v>8</v>
      </c>
      <c r="E2042" s="613">
        <v>125</v>
      </c>
      <c r="F2042" s="19">
        <f t="shared" si="483"/>
        <v>1000</v>
      </c>
      <c r="G2042" s="614">
        <v>2.3715000000000002</v>
      </c>
      <c r="H2042" s="19">
        <f t="shared" si="484"/>
        <v>296.4375</v>
      </c>
      <c r="I2042" s="19">
        <f t="shared" si="485"/>
        <v>2371.5</v>
      </c>
      <c r="J2042" s="18">
        <f t="shared" si="486"/>
        <v>48940.645500000006</v>
      </c>
    </row>
    <row r="2043" spans="2:10">
      <c r="B2043" s="610">
        <v>45991</v>
      </c>
      <c r="C2043" s="606" t="s">
        <v>1893</v>
      </c>
      <c r="D2043" s="608">
        <v>7</v>
      </c>
      <c r="E2043" s="613">
        <v>380</v>
      </c>
      <c r="F2043" s="19">
        <f t="shared" si="483"/>
        <v>2660</v>
      </c>
      <c r="G2043" s="614">
        <v>2.3715000000000002</v>
      </c>
      <c r="H2043" s="19">
        <f t="shared" si="484"/>
        <v>901.17000000000007</v>
      </c>
      <c r="I2043" s="19">
        <f t="shared" si="485"/>
        <v>6308.1900000000005</v>
      </c>
      <c r="J2043" s="18">
        <f t="shared" si="486"/>
        <v>55248.835500000008</v>
      </c>
    </row>
    <row r="2044" spans="2:10">
      <c r="B2044" s="585">
        <v>45991</v>
      </c>
      <c r="C2044" s="110" t="s">
        <v>1898</v>
      </c>
      <c r="D2044" s="110">
        <v>3</v>
      </c>
      <c r="E2044" s="184">
        <v>410</v>
      </c>
      <c r="F2044" s="127">
        <f t="shared" si="483"/>
        <v>1230</v>
      </c>
      <c r="G2044" s="127">
        <v>2.3715000000000002</v>
      </c>
      <c r="H2044" s="127">
        <f t="shared" si="484"/>
        <v>972.31500000000005</v>
      </c>
      <c r="I2044" s="127">
        <f t="shared" si="485"/>
        <v>2916.9450000000002</v>
      </c>
      <c r="J2044" s="110">
        <f t="shared" si="486"/>
        <v>58165.780500000008</v>
      </c>
    </row>
    <row r="2045" spans="2:10">
      <c r="B2045" s="610">
        <v>45991</v>
      </c>
      <c r="C2045" s="606" t="s">
        <v>1894</v>
      </c>
      <c r="D2045" s="608">
        <v>47</v>
      </c>
      <c r="E2045" s="613">
        <v>398</v>
      </c>
      <c r="F2045" s="19">
        <f t="shared" si="483"/>
        <v>18706</v>
      </c>
      <c r="G2045" s="614">
        <v>2.3715000000000002</v>
      </c>
      <c r="H2045" s="19">
        <f t="shared" si="484"/>
        <v>943.85700000000008</v>
      </c>
      <c r="I2045" s="19">
        <f t="shared" si="485"/>
        <v>44361.279000000002</v>
      </c>
      <c r="J2045" s="18">
        <f t="shared" si="486"/>
        <v>102527.0595</v>
      </c>
    </row>
    <row r="2046" spans="2:10">
      <c r="B2046" s="594">
        <v>45991</v>
      </c>
      <c r="C2046" s="605" t="s">
        <v>1895</v>
      </c>
      <c r="D2046" s="596"/>
      <c r="E2046" s="595">
        <v>470</v>
      </c>
      <c r="F2046" s="596">
        <f t="shared" si="483"/>
        <v>0</v>
      </c>
      <c r="G2046" s="596">
        <v>2.3715000000000002</v>
      </c>
      <c r="H2046" s="596">
        <f>E2046*G2046</f>
        <v>1114.605</v>
      </c>
      <c r="I2046" s="596">
        <f>H2046*D2046</f>
        <v>0</v>
      </c>
      <c r="J2046" s="296">
        <f>J2045+I2046</f>
        <v>102527.0595</v>
      </c>
    </row>
    <row r="2047" spans="2:10">
      <c r="B2047" s="594">
        <v>45991</v>
      </c>
      <c r="C2047" s="605" t="s">
        <v>1752</v>
      </c>
      <c r="D2047" s="596"/>
      <c r="E2047" s="595">
        <v>10122.66</v>
      </c>
      <c r="F2047" s="596">
        <f t="shared" si="483"/>
        <v>0</v>
      </c>
      <c r="G2047" s="596">
        <v>2.3715000000000002</v>
      </c>
      <c r="H2047" s="596">
        <f>E2047*G2047</f>
        <v>24005.888190000001</v>
      </c>
      <c r="I2047" s="596">
        <f>H2047*D2047</f>
        <v>0</v>
      </c>
      <c r="J2047" s="296">
        <f>J2046+I2047</f>
        <v>102527.0595</v>
      </c>
    </row>
    <row r="2048" spans="2:10">
      <c r="B2048" s="19"/>
      <c r="C2048" s="19"/>
      <c r="D2048" s="19"/>
      <c r="E2048" s="19"/>
      <c r="F2048" s="19">
        <f>E2048*D2048</f>
        <v>0</v>
      </c>
      <c r="G2048" s="19"/>
      <c r="H2048" s="19">
        <f>E2048*G2048</f>
        <v>0</v>
      </c>
      <c r="I2048" s="19">
        <f>H2048*D2048</f>
        <v>0</v>
      </c>
      <c r="J2048" s="18">
        <f>J2047+I2048</f>
        <v>102527.0595</v>
      </c>
    </row>
    <row r="2053" spans="1:11" ht="21">
      <c r="A2053" s="611" t="s">
        <v>125</v>
      </c>
      <c r="B2053" s="1520" t="s">
        <v>1912</v>
      </c>
      <c r="C2053" s="1520"/>
      <c r="D2053" s="1520"/>
      <c r="E2053" s="1520"/>
      <c r="F2053" s="1520"/>
      <c r="G2053" s="1520"/>
      <c r="H2053" s="1520"/>
      <c r="I2053" s="1520"/>
      <c r="J2053" s="1520"/>
      <c r="K2053" t="s">
        <v>1935</v>
      </c>
    </row>
    <row r="2054" spans="1:11" ht="18.75">
      <c r="B2054" s="4" t="s">
        <v>1</v>
      </c>
      <c r="C2054" s="4" t="s">
        <v>2</v>
      </c>
      <c r="D2054" s="4" t="s">
        <v>3</v>
      </c>
      <c r="E2054" s="514" t="s">
        <v>132</v>
      </c>
      <c r="F2054" s="514" t="s">
        <v>133</v>
      </c>
      <c r="G2054" s="4" t="s">
        <v>5</v>
      </c>
      <c r="H2054" s="4" t="s">
        <v>6</v>
      </c>
      <c r="I2054" s="4" t="s">
        <v>7</v>
      </c>
      <c r="J2054" s="4"/>
    </row>
    <row r="2055" spans="1:11">
      <c r="B2055" s="81">
        <v>45994</v>
      </c>
      <c r="C2055" s="80" t="s">
        <v>1913</v>
      </c>
      <c r="D2055" s="614">
        <v>1</v>
      </c>
      <c r="E2055" s="614">
        <v>150</v>
      </c>
      <c r="F2055" s="614">
        <f>E2055*D2055</f>
        <v>150</v>
      </c>
      <c r="G2055" s="614">
        <v>3.5950000000000002</v>
      </c>
      <c r="H2055" s="614">
        <f>E2055*G2055</f>
        <v>539.25</v>
      </c>
      <c r="I2055" s="614">
        <f>H2055*D2055</f>
        <v>539.25</v>
      </c>
      <c r="J2055" s="612">
        <f>J2054+I2055</f>
        <v>539.25</v>
      </c>
    </row>
    <row r="2056" spans="1:11">
      <c r="B2056" s="81">
        <v>45994</v>
      </c>
      <c r="C2056" s="80" t="s">
        <v>1914</v>
      </c>
      <c r="D2056" s="614">
        <v>1</v>
      </c>
      <c r="E2056" s="614">
        <v>290</v>
      </c>
      <c r="F2056" s="614">
        <f t="shared" ref="F2056:F2063" si="487">E2056*D2056</f>
        <v>290</v>
      </c>
      <c r="G2056" s="614">
        <v>3.5950000000000002</v>
      </c>
      <c r="H2056" s="614">
        <f t="shared" ref="H2056:H2063" si="488">E2056*G2056</f>
        <v>1042.55</v>
      </c>
      <c r="I2056" s="614">
        <f t="shared" ref="I2056:I2063" si="489">H2056*D2056</f>
        <v>1042.55</v>
      </c>
      <c r="J2056" s="612">
        <f t="shared" ref="J2056:J2081" si="490">J2055+I2056</f>
        <v>1581.8</v>
      </c>
    </row>
    <row r="2057" spans="1:11">
      <c r="B2057" s="81">
        <v>45994</v>
      </c>
      <c r="C2057" s="80" t="s">
        <v>1915</v>
      </c>
      <c r="D2057" s="614">
        <v>1</v>
      </c>
      <c r="E2057" s="614">
        <v>450</v>
      </c>
      <c r="F2057" s="614">
        <f t="shared" si="487"/>
        <v>450</v>
      </c>
      <c r="G2057" s="614">
        <v>3.5950000000000002</v>
      </c>
      <c r="H2057" s="614">
        <f t="shared" si="488"/>
        <v>1617.75</v>
      </c>
      <c r="I2057" s="614">
        <f t="shared" si="489"/>
        <v>1617.75</v>
      </c>
      <c r="J2057" s="612">
        <f t="shared" si="490"/>
        <v>3199.55</v>
      </c>
    </row>
    <row r="2058" spans="1:11">
      <c r="B2058" s="81">
        <v>45994</v>
      </c>
      <c r="C2058" s="80" t="s">
        <v>1916</v>
      </c>
      <c r="D2058" s="614">
        <v>1</v>
      </c>
      <c r="E2058" s="614">
        <v>600</v>
      </c>
      <c r="F2058" s="614">
        <f t="shared" si="487"/>
        <v>600</v>
      </c>
      <c r="G2058" s="614">
        <v>3.5950000000000002</v>
      </c>
      <c r="H2058" s="614">
        <f t="shared" si="488"/>
        <v>2157</v>
      </c>
      <c r="I2058" s="614">
        <f t="shared" si="489"/>
        <v>2157</v>
      </c>
      <c r="J2058" s="612">
        <f t="shared" si="490"/>
        <v>5356.55</v>
      </c>
    </row>
    <row r="2059" spans="1:11">
      <c r="B2059" s="81">
        <v>45994</v>
      </c>
      <c r="C2059" s="80" t="s">
        <v>1917</v>
      </c>
      <c r="D2059" s="614">
        <v>1</v>
      </c>
      <c r="E2059" s="614">
        <v>700</v>
      </c>
      <c r="F2059" s="614">
        <f t="shared" si="487"/>
        <v>700</v>
      </c>
      <c r="G2059" s="614">
        <v>3.5950000000000002</v>
      </c>
      <c r="H2059" s="614">
        <f t="shared" si="488"/>
        <v>2516.5</v>
      </c>
      <c r="I2059" s="614">
        <f t="shared" si="489"/>
        <v>2516.5</v>
      </c>
      <c r="J2059" s="612">
        <f t="shared" si="490"/>
        <v>7873.05</v>
      </c>
    </row>
    <row r="2060" spans="1:11">
      <c r="B2060" s="81">
        <v>45994</v>
      </c>
      <c r="C2060" s="80" t="s">
        <v>1623</v>
      </c>
      <c r="D2060" s="614">
        <v>1</v>
      </c>
      <c r="E2060" s="614">
        <v>745</v>
      </c>
      <c r="F2060" s="614">
        <f t="shared" si="487"/>
        <v>745</v>
      </c>
      <c r="G2060" s="614">
        <v>3.5950000000000002</v>
      </c>
      <c r="H2060" s="614">
        <f t="shared" si="488"/>
        <v>2678.2750000000001</v>
      </c>
      <c r="I2060" s="614">
        <f t="shared" si="489"/>
        <v>2678.2750000000001</v>
      </c>
      <c r="J2060" s="612">
        <f t="shared" si="490"/>
        <v>10551.325000000001</v>
      </c>
    </row>
    <row r="2061" spans="1:11">
      <c r="B2061" s="81">
        <v>45994</v>
      </c>
      <c r="C2061" s="80" t="s">
        <v>1918</v>
      </c>
      <c r="D2061" s="614">
        <v>1</v>
      </c>
      <c r="E2061" s="614">
        <v>900</v>
      </c>
      <c r="F2061" s="614">
        <f t="shared" si="487"/>
        <v>900</v>
      </c>
      <c r="G2061" s="614">
        <v>3.5950000000000002</v>
      </c>
      <c r="H2061" s="614">
        <f t="shared" si="488"/>
        <v>3235.5</v>
      </c>
      <c r="I2061" s="614">
        <f t="shared" si="489"/>
        <v>3235.5</v>
      </c>
      <c r="J2061" s="612">
        <f t="shared" si="490"/>
        <v>13786.825000000001</v>
      </c>
    </row>
    <row r="2062" spans="1:11">
      <c r="B2062" s="81">
        <v>45994</v>
      </c>
      <c r="C2062" s="80" t="s">
        <v>1697</v>
      </c>
      <c r="D2062" s="614">
        <v>1</v>
      </c>
      <c r="E2062" s="614">
        <v>970</v>
      </c>
      <c r="F2062" s="614">
        <f t="shared" si="487"/>
        <v>970</v>
      </c>
      <c r="G2062" s="614">
        <v>3.5950000000000002</v>
      </c>
      <c r="H2062" s="614">
        <f t="shared" si="488"/>
        <v>3487.15</v>
      </c>
      <c r="I2062" s="614">
        <f t="shared" si="489"/>
        <v>3487.15</v>
      </c>
      <c r="J2062" s="612">
        <f t="shared" si="490"/>
        <v>17273.975000000002</v>
      </c>
    </row>
    <row r="2063" spans="1:11">
      <c r="B2063" s="81">
        <v>45994</v>
      </c>
      <c r="C2063" s="80" t="s">
        <v>1697</v>
      </c>
      <c r="D2063" s="614">
        <v>1</v>
      </c>
      <c r="E2063" s="614">
        <v>940</v>
      </c>
      <c r="F2063" s="614">
        <f t="shared" si="487"/>
        <v>940</v>
      </c>
      <c r="G2063" s="614">
        <v>3.5950000000000002</v>
      </c>
      <c r="H2063" s="614">
        <f t="shared" si="488"/>
        <v>3379.3</v>
      </c>
      <c r="I2063" s="614">
        <f t="shared" si="489"/>
        <v>3379.3</v>
      </c>
      <c r="J2063" s="612">
        <f t="shared" si="490"/>
        <v>20653.275000000001</v>
      </c>
    </row>
    <row r="2064" spans="1:11">
      <c r="B2064" s="81">
        <v>45994</v>
      </c>
      <c r="C2064" s="80" t="s">
        <v>1919</v>
      </c>
      <c r="D2064" s="614">
        <v>1</v>
      </c>
      <c r="E2064" s="614">
        <v>1000</v>
      </c>
      <c r="F2064" s="614">
        <f t="shared" ref="F2064:F2078" si="491">E2064*D2064</f>
        <v>1000</v>
      </c>
      <c r="G2064" s="614">
        <v>3.5950000000000002</v>
      </c>
      <c r="H2064" s="614">
        <f t="shared" ref="H2064:H2078" si="492">E2064*G2064</f>
        <v>3595</v>
      </c>
      <c r="I2064" s="614">
        <f t="shared" ref="I2064:I2078" si="493">H2064*D2064</f>
        <v>3595</v>
      </c>
      <c r="J2064" s="612">
        <f t="shared" si="490"/>
        <v>24248.275000000001</v>
      </c>
    </row>
    <row r="2065" spans="2:10">
      <c r="B2065" s="81">
        <v>45994</v>
      </c>
      <c r="C2065" s="80" t="s">
        <v>1920</v>
      </c>
      <c r="D2065" s="614">
        <v>3</v>
      </c>
      <c r="E2065" s="614">
        <v>1200</v>
      </c>
      <c r="F2065" s="614">
        <f t="shared" si="491"/>
        <v>3600</v>
      </c>
      <c r="G2065" s="614">
        <v>3.5950000000000002</v>
      </c>
      <c r="H2065" s="614">
        <f t="shared" si="492"/>
        <v>4314</v>
      </c>
      <c r="I2065" s="614">
        <f t="shared" si="493"/>
        <v>12942</v>
      </c>
      <c r="J2065" s="612">
        <f t="shared" si="490"/>
        <v>37190.275000000001</v>
      </c>
    </row>
    <row r="2066" spans="2:10">
      <c r="B2066" s="81">
        <v>45994</v>
      </c>
      <c r="C2066" s="80" t="s">
        <v>1921</v>
      </c>
      <c r="D2066" s="614">
        <v>1</v>
      </c>
      <c r="E2066" s="614">
        <v>50</v>
      </c>
      <c r="F2066" s="614">
        <f t="shared" si="491"/>
        <v>50</v>
      </c>
      <c r="G2066" s="614">
        <v>3.5950000000000002</v>
      </c>
      <c r="H2066" s="614">
        <f t="shared" si="492"/>
        <v>179.75</v>
      </c>
      <c r="I2066" s="614">
        <f t="shared" si="493"/>
        <v>179.75</v>
      </c>
      <c r="J2066" s="612">
        <f t="shared" si="490"/>
        <v>37370.025000000001</v>
      </c>
    </row>
    <row r="2067" spans="2:10">
      <c r="B2067" s="81">
        <v>45994</v>
      </c>
      <c r="C2067" s="80" t="s">
        <v>1922</v>
      </c>
      <c r="D2067" s="614">
        <v>1</v>
      </c>
      <c r="E2067" s="614">
        <v>360</v>
      </c>
      <c r="F2067" s="614">
        <f t="shared" si="491"/>
        <v>360</v>
      </c>
      <c r="G2067" s="614">
        <v>3.5950000000000002</v>
      </c>
      <c r="H2067" s="614">
        <f t="shared" si="492"/>
        <v>1294.2</v>
      </c>
      <c r="I2067" s="614">
        <f t="shared" si="493"/>
        <v>1294.2</v>
      </c>
      <c r="J2067" s="612">
        <f t="shared" si="490"/>
        <v>38664.224999999999</v>
      </c>
    </row>
    <row r="2068" spans="2:10">
      <c r="B2068" s="81">
        <v>45994</v>
      </c>
      <c r="C2068" s="80" t="s">
        <v>1923</v>
      </c>
      <c r="D2068" s="614">
        <v>1</v>
      </c>
      <c r="E2068" s="614">
        <v>600</v>
      </c>
      <c r="F2068" s="614">
        <f t="shared" si="491"/>
        <v>600</v>
      </c>
      <c r="G2068" s="614">
        <v>3.5950000000000002</v>
      </c>
      <c r="H2068" s="614">
        <f t="shared" si="492"/>
        <v>2157</v>
      </c>
      <c r="I2068" s="614">
        <f t="shared" si="493"/>
        <v>2157</v>
      </c>
      <c r="J2068" s="612">
        <f t="shared" si="490"/>
        <v>40821.224999999999</v>
      </c>
    </row>
    <row r="2069" spans="2:10">
      <c r="B2069" s="81">
        <v>45994</v>
      </c>
      <c r="C2069" s="80" t="s">
        <v>1924</v>
      </c>
      <c r="D2069" s="614">
        <v>1</v>
      </c>
      <c r="E2069" s="614">
        <v>630</v>
      </c>
      <c r="F2069" s="614">
        <f t="shared" si="491"/>
        <v>630</v>
      </c>
      <c r="G2069" s="614">
        <v>3.5950000000000002</v>
      </c>
      <c r="H2069" s="614">
        <f t="shared" si="492"/>
        <v>2264.85</v>
      </c>
      <c r="I2069" s="614">
        <f t="shared" si="493"/>
        <v>2264.85</v>
      </c>
      <c r="J2069" s="612">
        <f t="shared" si="490"/>
        <v>43086.074999999997</v>
      </c>
    </row>
    <row r="2070" spans="2:10">
      <c r="B2070" s="81">
        <v>45994</v>
      </c>
      <c r="C2070" s="80" t="s">
        <v>1917</v>
      </c>
      <c r="D2070" s="614">
        <v>1</v>
      </c>
      <c r="E2070" s="614">
        <v>750</v>
      </c>
      <c r="F2070" s="614">
        <f t="shared" si="491"/>
        <v>750</v>
      </c>
      <c r="G2070" s="614">
        <v>3.5950000000000002</v>
      </c>
      <c r="H2070" s="614">
        <f t="shared" si="492"/>
        <v>2696.25</v>
      </c>
      <c r="I2070" s="614">
        <f t="shared" si="493"/>
        <v>2696.25</v>
      </c>
      <c r="J2070" s="612">
        <f t="shared" si="490"/>
        <v>45782.324999999997</v>
      </c>
    </row>
    <row r="2071" spans="2:10">
      <c r="B2071" s="81">
        <v>45994</v>
      </c>
      <c r="C2071" s="80" t="s">
        <v>1925</v>
      </c>
      <c r="D2071" s="614">
        <v>1</v>
      </c>
      <c r="E2071" s="614">
        <v>750</v>
      </c>
      <c r="F2071" s="614">
        <f t="shared" si="491"/>
        <v>750</v>
      </c>
      <c r="G2071" s="614">
        <v>3.5950000000000002</v>
      </c>
      <c r="H2071" s="614">
        <f t="shared" si="492"/>
        <v>2696.25</v>
      </c>
      <c r="I2071" s="614">
        <f t="shared" si="493"/>
        <v>2696.25</v>
      </c>
      <c r="J2071" s="612">
        <f t="shared" si="490"/>
        <v>48478.574999999997</v>
      </c>
    </row>
    <row r="2072" spans="2:10">
      <c r="B2072" s="81">
        <v>45994</v>
      </c>
      <c r="C2072" s="80" t="s">
        <v>1926</v>
      </c>
      <c r="D2072" s="614">
        <v>1</v>
      </c>
      <c r="E2072" s="614">
        <v>800</v>
      </c>
      <c r="F2072" s="614">
        <f t="shared" si="491"/>
        <v>800</v>
      </c>
      <c r="G2072" s="614">
        <v>3.5950000000000002</v>
      </c>
      <c r="H2072" s="614">
        <f t="shared" si="492"/>
        <v>2876</v>
      </c>
      <c r="I2072" s="614">
        <f t="shared" si="493"/>
        <v>2876</v>
      </c>
      <c r="J2072" s="612">
        <f t="shared" si="490"/>
        <v>51354.574999999997</v>
      </c>
    </row>
    <row r="2073" spans="2:10">
      <c r="B2073" s="81">
        <v>45994</v>
      </c>
      <c r="C2073" s="80" t="s">
        <v>1927</v>
      </c>
      <c r="D2073" s="614">
        <v>1</v>
      </c>
      <c r="E2073" s="614">
        <v>900</v>
      </c>
      <c r="F2073" s="614">
        <f t="shared" si="491"/>
        <v>900</v>
      </c>
      <c r="G2073" s="614">
        <v>3.5950000000000002</v>
      </c>
      <c r="H2073" s="614">
        <f t="shared" si="492"/>
        <v>3235.5</v>
      </c>
      <c r="I2073" s="614">
        <f t="shared" si="493"/>
        <v>3235.5</v>
      </c>
      <c r="J2073" s="612">
        <f t="shared" si="490"/>
        <v>54590.074999999997</v>
      </c>
    </row>
    <row r="2074" spans="2:10">
      <c r="B2074" s="81">
        <v>45994</v>
      </c>
      <c r="C2074" s="80" t="s">
        <v>1928</v>
      </c>
      <c r="D2074" s="614">
        <v>1</v>
      </c>
      <c r="E2074" s="614">
        <v>910</v>
      </c>
      <c r="F2074" s="614">
        <f t="shared" si="491"/>
        <v>910</v>
      </c>
      <c r="G2074" s="614">
        <v>3.5950000000000002</v>
      </c>
      <c r="H2074" s="614">
        <f t="shared" si="492"/>
        <v>3271.4500000000003</v>
      </c>
      <c r="I2074" s="614">
        <f t="shared" si="493"/>
        <v>3271.4500000000003</v>
      </c>
      <c r="J2074" s="612">
        <f t="shared" si="490"/>
        <v>57861.524999999994</v>
      </c>
    </row>
    <row r="2075" spans="2:10">
      <c r="B2075" s="81">
        <v>45994</v>
      </c>
      <c r="C2075" s="80" t="s">
        <v>1929</v>
      </c>
      <c r="D2075" s="614">
        <v>1</v>
      </c>
      <c r="E2075" s="614">
        <v>940</v>
      </c>
      <c r="F2075" s="614">
        <f t="shared" si="491"/>
        <v>940</v>
      </c>
      <c r="G2075" s="614">
        <v>3.5950000000000002</v>
      </c>
      <c r="H2075" s="614">
        <f t="shared" si="492"/>
        <v>3379.3</v>
      </c>
      <c r="I2075" s="614">
        <f t="shared" si="493"/>
        <v>3379.3</v>
      </c>
      <c r="J2075" s="612">
        <f t="shared" si="490"/>
        <v>61240.824999999997</v>
      </c>
    </row>
    <row r="2076" spans="2:10">
      <c r="B2076" s="81">
        <v>45994</v>
      </c>
      <c r="C2076" s="80" t="s">
        <v>1930</v>
      </c>
      <c r="D2076" s="614">
        <v>1</v>
      </c>
      <c r="E2076" s="614">
        <v>980</v>
      </c>
      <c r="F2076" s="614">
        <f t="shared" si="491"/>
        <v>980</v>
      </c>
      <c r="G2076" s="614">
        <v>3.5950000000000002</v>
      </c>
      <c r="H2076" s="614">
        <f t="shared" si="492"/>
        <v>3523.1000000000004</v>
      </c>
      <c r="I2076" s="614">
        <f t="shared" si="493"/>
        <v>3523.1000000000004</v>
      </c>
      <c r="J2076" s="612">
        <f t="shared" si="490"/>
        <v>64763.924999999996</v>
      </c>
    </row>
    <row r="2077" spans="2:10">
      <c r="B2077" s="81">
        <v>45994</v>
      </c>
      <c r="C2077" s="80" t="s">
        <v>1931</v>
      </c>
      <c r="D2077" s="614">
        <v>1</v>
      </c>
      <c r="E2077" s="614">
        <v>1000</v>
      </c>
      <c r="F2077" s="614">
        <f t="shared" si="491"/>
        <v>1000</v>
      </c>
      <c r="G2077" s="614">
        <v>3.5950000000000002</v>
      </c>
      <c r="H2077" s="614">
        <f t="shared" si="492"/>
        <v>3595</v>
      </c>
      <c r="I2077" s="614">
        <f t="shared" si="493"/>
        <v>3595</v>
      </c>
      <c r="J2077" s="612">
        <f t="shared" si="490"/>
        <v>68358.924999999988</v>
      </c>
    </row>
    <row r="2078" spans="2:10">
      <c r="B2078" s="81">
        <v>45994</v>
      </c>
      <c r="C2078" s="80" t="s">
        <v>1932</v>
      </c>
      <c r="D2078" s="614">
        <v>3</v>
      </c>
      <c r="E2078" s="614">
        <v>1000</v>
      </c>
      <c r="F2078" s="614">
        <f t="shared" si="491"/>
        <v>3000</v>
      </c>
      <c r="G2078" s="614">
        <v>3.5950000000000002</v>
      </c>
      <c r="H2078" s="614">
        <f t="shared" si="492"/>
        <v>3595</v>
      </c>
      <c r="I2078" s="614">
        <f t="shared" si="493"/>
        <v>10785</v>
      </c>
      <c r="J2078" s="612">
        <f t="shared" si="490"/>
        <v>79143.924999999988</v>
      </c>
    </row>
    <row r="2079" spans="2:10">
      <c r="B2079" s="81">
        <v>45994</v>
      </c>
      <c r="C2079" s="80" t="s">
        <v>1933</v>
      </c>
      <c r="D2079" s="614">
        <v>1</v>
      </c>
      <c r="E2079" s="614">
        <v>1130</v>
      </c>
      <c r="F2079" s="614">
        <f>E2079*D2079</f>
        <v>1130</v>
      </c>
      <c r="G2079" s="614">
        <v>3.5950000000000002</v>
      </c>
      <c r="H2079" s="614">
        <f>E2079*G2079</f>
        <v>4062.3500000000004</v>
      </c>
      <c r="I2079" s="614">
        <f>H2079*D2079</f>
        <v>4062.3500000000004</v>
      </c>
      <c r="J2079" s="612">
        <f t="shared" si="490"/>
        <v>83206.274999999994</v>
      </c>
    </row>
    <row r="2080" spans="2:10">
      <c r="B2080" s="81">
        <v>45994</v>
      </c>
      <c r="C2080" s="525" t="s">
        <v>1934</v>
      </c>
      <c r="D2080" s="614">
        <v>1</v>
      </c>
      <c r="E2080" s="614">
        <v>1350</v>
      </c>
      <c r="F2080" s="614">
        <f>E2080*D2080</f>
        <v>1350</v>
      </c>
      <c r="G2080" s="614">
        <v>3.5950000000000002</v>
      </c>
      <c r="H2080" s="614">
        <f>E2080*G2080</f>
        <v>4853.25</v>
      </c>
      <c r="I2080" s="614">
        <f>H2080*D2080</f>
        <v>4853.25</v>
      </c>
      <c r="J2080" s="612">
        <f t="shared" si="490"/>
        <v>88059.524999999994</v>
      </c>
    </row>
    <row r="2081" spans="1:10" ht="12.6" customHeight="1">
      <c r="B2081" s="614"/>
      <c r="C2081" s="614"/>
      <c r="D2081" s="614"/>
      <c r="E2081" s="614"/>
      <c r="F2081" s="614">
        <f>E2081*D2081</f>
        <v>0</v>
      </c>
      <c r="G2081" s="614"/>
      <c r="H2081" s="614">
        <f>E2081*G2081</f>
        <v>0</v>
      </c>
      <c r="I2081" s="614">
        <f>H2081*D2081</f>
        <v>0</v>
      </c>
      <c r="J2081" s="612">
        <f t="shared" si="490"/>
        <v>88059.524999999994</v>
      </c>
    </row>
    <row r="2086" spans="1:10" ht="21">
      <c r="A2086" s="611" t="s">
        <v>125</v>
      </c>
      <c r="B2086" s="1520" t="s">
        <v>20</v>
      </c>
      <c r="C2086" s="1520"/>
      <c r="D2086" s="1520"/>
      <c r="E2086" s="1520"/>
      <c r="F2086" s="1520"/>
      <c r="G2086" s="1520"/>
      <c r="H2086" s="1520"/>
      <c r="I2086" s="1520"/>
      <c r="J2086" s="1520"/>
    </row>
    <row r="2087" spans="1:10" ht="18.75">
      <c r="A2087" t="s">
        <v>212</v>
      </c>
      <c r="B2087" s="4" t="s">
        <v>1</v>
      </c>
      <c r="C2087" s="4" t="s">
        <v>2</v>
      </c>
      <c r="D2087" s="4" t="s">
        <v>3</v>
      </c>
      <c r="E2087" s="4" t="s">
        <v>4</v>
      </c>
      <c r="F2087" s="4" t="s">
        <v>36</v>
      </c>
      <c r="G2087" s="4" t="s">
        <v>5</v>
      </c>
      <c r="H2087" s="4" t="s">
        <v>6</v>
      </c>
      <c r="I2087" s="4" t="s">
        <v>7</v>
      </c>
      <c r="J2087" s="4"/>
    </row>
    <row r="2088" spans="1:10">
      <c r="B2088" s="616">
        <v>45992</v>
      </c>
      <c r="C2088" s="612" t="s">
        <v>1937</v>
      </c>
      <c r="D2088" s="612">
        <v>2</v>
      </c>
      <c r="E2088" s="621">
        <v>399</v>
      </c>
      <c r="F2088" s="614">
        <f>E2088*D2088</f>
        <v>798</v>
      </c>
      <c r="G2088" s="614">
        <v>2.3456999999999999</v>
      </c>
      <c r="H2088" s="614">
        <f>E2088*G2088</f>
        <v>935.93430000000001</v>
      </c>
      <c r="I2088" s="614">
        <f>H2088*D2088</f>
        <v>1871.8686</v>
      </c>
      <c r="J2088" s="612">
        <f>J2087+I2088</f>
        <v>1871.8686</v>
      </c>
    </row>
    <row r="2089" spans="1:10">
      <c r="B2089" s="616">
        <v>45992</v>
      </c>
      <c r="C2089" s="612" t="s">
        <v>1938</v>
      </c>
      <c r="D2089" s="612">
        <v>2</v>
      </c>
      <c r="E2089" s="621">
        <v>398</v>
      </c>
      <c r="F2089" s="614">
        <f t="shared" ref="F2089:F2096" si="494">E2089*D2089</f>
        <v>796</v>
      </c>
      <c r="G2089" s="614">
        <v>2.3456999999999999</v>
      </c>
      <c r="H2089" s="614">
        <f t="shared" ref="H2089:H2096" si="495">E2089*G2089</f>
        <v>933.58859999999993</v>
      </c>
      <c r="I2089" s="614">
        <f t="shared" ref="I2089:I2096" si="496">H2089*D2089</f>
        <v>1867.1771999999999</v>
      </c>
      <c r="J2089" s="612">
        <f t="shared" ref="J2089:J2096" si="497">J2088+I2089</f>
        <v>3739.0457999999999</v>
      </c>
    </row>
    <row r="2090" spans="1:10">
      <c r="B2090" s="585">
        <v>45992</v>
      </c>
      <c r="C2090" s="110" t="s">
        <v>1939</v>
      </c>
      <c r="D2090" s="110">
        <v>2</v>
      </c>
      <c r="E2090" s="623">
        <v>479</v>
      </c>
      <c r="F2090" s="127">
        <f t="shared" si="494"/>
        <v>958</v>
      </c>
      <c r="G2090" s="614">
        <v>2.3456999999999999</v>
      </c>
      <c r="H2090" s="127">
        <f t="shared" si="495"/>
        <v>1123.5902999999998</v>
      </c>
      <c r="I2090" s="127">
        <f t="shared" si="496"/>
        <v>2247.1805999999997</v>
      </c>
      <c r="J2090" s="110">
        <f t="shared" si="497"/>
        <v>5986.2263999999996</v>
      </c>
    </row>
    <row r="2091" spans="1:10">
      <c r="B2091" s="585">
        <v>45992</v>
      </c>
      <c r="C2091" s="110" t="s">
        <v>1890</v>
      </c>
      <c r="D2091" s="110">
        <v>2</v>
      </c>
      <c r="E2091" s="623">
        <v>299</v>
      </c>
      <c r="F2091" s="127">
        <f t="shared" si="494"/>
        <v>598</v>
      </c>
      <c r="G2091" s="614">
        <v>2.3456999999999999</v>
      </c>
      <c r="H2091" s="127">
        <f t="shared" si="495"/>
        <v>701.36429999999996</v>
      </c>
      <c r="I2091" s="127">
        <f t="shared" si="496"/>
        <v>1402.7285999999999</v>
      </c>
      <c r="J2091" s="110">
        <f t="shared" si="497"/>
        <v>7388.9549999999999</v>
      </c>
    </row>
    <row r="2092" spans="1:10">
      <c r="B2092" s="585">
        <v>45992</v>
      </c>
      <c r="C2092" s="110" t="s">
        <v>1940</v>
      </c>
      <c r="D2092" s="110">
        <v>3</v>
      </c>
      <c r="E2092" s="623">
        <v>419</v>
      </c>
      <c r="F2092" s="127">
        <f t="shared" si="494"/>
        <v>1257</v>
      </c>
      <c r="G2092" s="614">
        <v>2.3456999999999999</v>
      </c>
      <c r="H2092" s="127">
        <f t="shared" si="495"/>
        <v>982.84829999999999</v>
      </c>
      <c r="I2092" s="127">
        <f t="shared" si="496"/>
        <v>2948.5448999999999</v>
      </c>
      <c r="J2092" s="110">
        <f t="shared" si="497"/>
        <v>10337.499899999999</v>
      </c>
    </row>
    <row r="2093" spans="1:10">
      <c r="B2093" s="585">
        <v>45992</v>
      </c>
      <c r="C2093" s="110" t="s">
        <v>1892</v>
      </c>
      <c r="D2093" s="110">
        <v>10</v>
      </c>
      <c r="E2093" s="623">
        <v>125</v>
      </c>
      <c r="F2093" s="127">
        <f t="shared" si="494"/>
        <v>1250</v>
      </c>
      <c r="G2093" s="614">
        <v>2.3456999999999999</v>
      </c>
      <c r="H2093" s="127">
        <f t="shared" si="495"/>
        <v>293.21249999999998</v>
      </c>
      <c r="I2093" s="127">
        <f t="shared" si="496"/>
        <v>2932.125</v>
      </c>
      <c r="J2093" s="110">
        <f t="shared" si="497"/>
        <v>13269.624899999999</v>
      </c>
    </row>
    <row r="2094" spans="1:10">
      <c r="B2094" s="616">
        <v>45992</v>
      </c>
      <c r="C2094" s="612" t="s">
        <v>1939</v>
      </c>
      <c r="D2094" s="612">
        <v>2</v>
      </c>
      <c r="E2094" s="621">
        <v>479</v>
      </c>
      <c r="F2094" s="614">
        <f t="shared" si="494"/>
        <v>958</v>
      </c>
      <c r="G2094" s="614">
        <v>2.3456999999999999</v>
      </c>
      <c r="H2094" s="614">
        <f t="shared" si="495"/>
        <v>1123.5902999999998</v>
      </c>
      <c r="I2094" s="614">
        <f t="shared" si="496"/>
        <v>2247.1805999999997</v>
      </c>
      <c r="J2094" s="612">
        <f t="shared" si="497"/>
        <v>15516.805499999999</v>
      </c>
    </row>
    <row r="2095" spans="1:10">
      <c r="B2095" s="616">
        <v>45992</v>
      </c>
      <c r="C2095" s="612" t="s">
        <v>1890</v>
      </c>
      <c r="D2095" s="612">
        <v>1</v>
      </c>
      <c r="E2095" s="621">
        <v>299</v>
      </c>
      <c r="F2095" s="614">
        <f t="shared" si="494"/>
        <v>299</v>
      </c>
      <c r="G2095" s="614">
        <v>2.3456999999999999</v>
      </c>
      <c r="H2095" s="614">
        <f t="shared" si="495"/>
        <v>701.36429999999996</v>
      </c>
      <c r="I2095" s="614">
        <f t="shared" si="496"/>
        <v>701.36429999999996</v>
      </c>
      <c r="J2095" s="612">
        <f t="shared" si="497"/>
        <v>16218.169799999998</v>
      </c>
    </row>
    <row r="2096" spans="1:10">
      <c r="B2096" s="620">
        <v>45992</v>
      </c>
      <c r="C2096" s="76">
        <v>12</v>
      </c>
      <c r="D2096" s="76">
        <v>3</v>
      </c>
      <c r="E2096" s="622">
        <v>419</v>
      </c>
      <c r="F2096" s="614">
        <f t="shared" si="494"/>
        <v>1257</v>
      </c>
      <c r="G2096" s="614">
        <v>2.3456999999999999</v>
      </c>
      <c r="H2096" s="614">
        <f t="shared" si="495"/>
        <v>982.84829999999999</v>
      </c>
      <c r="I2096" s="614">
        <f t="shared" si="496"/>
        <v>2948.5448999999999</v>
      </c>
      <c r="J2096" s="612">
        <f t="shared" si="497"/>
        <v>19166.714699999997</v>
      </c>
    </row>
    <row r="2097" spans="1:10">
      <c r="B2097" s="616">
        <v>45992</v>
      </c>
      <c r="C2097" s="612" t="s">
        <v>1941</v>
      </c>
      <c r="D2097" s="612">
        <v>1</v>
      </c>
      <c r="E2097" s="621">
        <v>659</v>
      </c>
      <c r="F2097" s="614">
        <f>E2097*D2097</f>
        <v>659</v>
      </c>
      <c r="G2097" s="614">
        <v>2.3456999999999999</v>
      </c>
      <c r="H2097" s="614">
        <f>E2097*G2097</f>
        <v>1545.8163</v>
      </c>
      <c r="I2097" s="614">
        <f>H2097*D2097</f>
        <v>1545.8163</v>
      </c>
      <c r="J2097" s="612">
        <f>J2096+I2097</f>
        <v>20712.530999999995</v>
      </c>
    </row>
    <row r="2098" spans="1:10">
      <c r="B2098" s="616">
        <v>45992</v>
      </c>
      <c r="C2098" s="612" t="s">
        <v>1942</v>
      </c>
      <c r="D2098" s="612">
        <v>1</v>
      </c>
      <c r="E2098" s="621">
        <v>509</v>
      </c>
      <c r="F2098" s="614">
        <f>E2098*D2098</f>
        <v>509</v>
      </c>
      <c r="G2098" s="614">
        <v>2.3456999999999999</v>
      </c>
      <c r="H2098" s="614">
        <f>E2098*G2098</f>
        <v>1193.9612999999999</v>
      </c>
      <c r="I2098" s="614">
        <f>H2098*D2098</f>
        <v>1193.9612999999999</v>
      </c>
      <c r="J2098" s="612">
        <f>J2097+I2098</f>
        <v>21906.492299999994</v>
      </c>
    </row>
    <row r="2099" spans="1:10">
      <c r="B2099" s="585">
        <v>45992</v>
      </c>
      <c r="C2099" s="110" t="s">
        <v>1943</v>
      </c>
      <c r="D2099" s="110">
        <v>12</v>
      </c>
      <c r="E2099" s="623">
        <v>398</v>
      </c>
      <c r="F2099" s="127">
        <f>E2099*D2099</f>
        <v>4776</v>
      </c>
      <c r="G2099" s="614">
        <v>2.3456999999999999</v>
      </c>
      <c r="H2099" s="127">
        <f>E2099*G2099</f>
        <v>933.58859999999993</v>
      </c>
      <c r="I2099" s="127">
        <f>H2099*D2099</f>
        <v>11203.063199999999</v>
      </c>
      <c r="J2099" s="110">
        <f>J2098+I2099</f>
        <v>33109.555499999995</v>
      </c>
    </row>
    <row r="2100" spans="1:10">
      <c r="B2100" s="614"/>
      <c r="C2100" s="614"/>
      <c r="D2100" s="614"/>
      <c r="E2100" s="614"/>
      <c r="F2100" s="614">
        <f>E2100*D2100</f>
        <v>0</v>
      </c>
      <c r="G2100" s="614"/>
      <c r="H2100" s="614">
        <f>E2100*G2100</f>
        <v>0</v>
      </c>
      <c r="I2100" s="614">
        <f>H2100*D2100</f>
        <v>0</v>
      </c>
      <c r="J2100" s="612">
        <f>J2099+I2100</f>
        <v>33109.555499999995</v>
      </c>
    </row>
    <row r="2104" spans="1:10" ht="21">
      <c r="A2104" s="611" t="s">
        <v>125</v>
      </c>
      <c r="B2104" s="1520" t="s">
        <v>20</v>
      </c>
      <c r="C2104" s="1520"/>
      <c r="D2104" s="1520"/>
      <c r="E2104" s="1520"/>
      <c r="F2104" s="1520"/>
      <c r="G2104" s="1520"/>
      <c r="H2104" s="1520"/>
      <c r="I2104" s="1520"/>
      <c r="J2104" s="1520"/>
    </row>
    <row r="2105" spans="1:10" ht="18.75">
      <c r="A2105" s="611" t="s">
        <v>212</v>
      </c>
      <c r="B2105" s="4" t="s">
        <v>1</v>
      </c>
      <c r="C2105" s="4" t="s">
        <v>2</v>
      </c>
      <c r="D2105" s="4" t="s">
        <v>3</v>
      </c>
      <c r="E2105" s="4" t="s">
        <v>4</v>
      </c>
      <c r="F2105" s="4" t="s">
        <v>36</v>
      </c>
      <c r="G2105" s="4" t="s">
        <v>5</v>
      </c>
      <c r="H2105" s="4" t="s">
        <v>6</v>
      </c>
      <c r="I2105" s="4" t="s">
        <v>7</v>
      </c>
      <c r="J2105" s="4"/>
    </row>
    <row r="2106" spans="1:10">
      <c r="B2106" s="616">
        <v>45993</v>
      </c>
      <c r="C2106" s="612" t="s">
        <v>1944</v>
      </c>
      <c r="D2106" s="612">
        <v>2</v>
      </c>
      <c r="E2106" s="621">
        <v>398</v>
      </c>
      <c r="F2106" s="614">
        <f>E2106*D2106</f>
        <v>796</v>
      </c>
      <c r="G2106" s="614">
        <v>2.3456999999999999</v>
      </c>
      <c r="H2106" s="614">
        <f>E2106*G2106</f>
        <v>933.58859999999993</v>
      </c>
      <c r="I2106" s="614">
        <f>H2106*D2106</f>
        <v>1867.1771999999999</v>
      </c>
      <c r="J2106" s="612">
        <f>J2105+I2106</f>
        <v>1867.1771999999999</v>
      </c>
    </row>
    <row r="2107" spans="1:10">
      <c r="B2107" s="616">
        <v>45993</v>
      </c>
      <c r="C2107" s="612" t="s">
        <v>1945</v>
      </c>
      <c r="D2107" s="612">
        <v>2</v>
      </c>
      <c r="E2107" s="621">
        <v>398</v>
      </c>
      <c r="F2107" s="614">
        <f t="shared" ref="F2107:F2114" si="498">E2107*D2107</f>
        <v>796</v>
      </c>
      <c r="G2107" s="614">
        <v>2.3456999999999999</v>
      </c>
      <c r="H2107" s="614">
        <f t="shared" ref="H2107:H2114" si="499">E2107*G2107</f>
        <v>933.58859999999993</v>
      </c>
      <c r="I2107" s="614">
        <f t="shared" ref="I2107:I2114" si="500">H2107*D2107</f>
        <v>1867.1771999999999</v>
      </c>
      <c r="J2107" s="612">
        <f t="shared" ref="J2107:J2114" si="501">J2106+I2107</f>
        <v>3734.3543999999997</v>
      </c>
    </row>
    <row r="2108" spans="1:10">
      <c r="B2108" s="585">
        <v>45993</v>
      </c>
      <c r="C2108" s="110" t="s">
        <v>1943</v>
      </c>
      <c r="D2108" s="110">
        <v>1</v>
      </c>
      <c r="E2108" s="623">
        <v>398</v>
      </c>
      <c r="F2108" s="127">
        <f t="shared" si="498"/>
        <v>398</v>
      </c>
      <c r="G2108" s="127">
        <v>2.3456999999999999</v>
      </c>
      <c r="H2108" s="127">
        <f t="shared" si="499"/>
        <v>933.58859999999993</v>
      </c>
      <c r="I2108" s="127">
        <f t="shared" si="500"/>
        <v>933.58859999999993</v>
      </c>
      <c r="J2108" s="110">
        <f t="shared" si="501"/>
        <v>4667.9429999999993</v>
      </c>
    </row>
    <row r="2109" spans="1:10">
      <c r="B2109" s="616">
        <v>45993</v>
      </c>
      <c r="C2109" s="612" t="s">
        <v>1895</v>
      </c>
      <c r="D2109" s="612">
        <v>1</v>
      </c>
      <c r="E2109" s="621">
        <v>130</v>
      </c>
      <c r="F2109" s="614">
        <f t="shared" si="498"/>
        <v>130</v>
      </c>
      <c r="G2109" s="614">
        <v>2.3456999999999999</v>
      </c>
      <c r="H2109" s="614">
        <f t="shared" si="499"/>
        <v>304.94099999999997</v>
      </c>
      <c r="I2109" s="614">
        <f t="shared" si="500"/>
        <v>304.94099999999997</v>
      </c>
      <c r="J2109" s="612">
        <f t="shared" si="501"/>
        <v>4972.8839999999991</v>
      </c>
    </row>
    <row r="2110" spans="1:10">
      <c r="B2110" s="616">
        <v>45993</v>
      </c>
      <c r="C2110" s="612" t="s">
        <v>1946</v>
      </c>
      <c r="D2110" s="612">
        <v>5</v>
      </c>
      <c r="E2110" s="621">
        <v>105</v>
      </c>
      <c r="F2110" s="614">
        <f t="shared" si="498"/>
        <v>525</v>
      </c>
      <c r="G2110" s="614">
        <v>2.3456999999999999</v>
      </c>
      <c r="H2110" s="614">
        <f t="shared" si="499"/>
        <v>246.29849999999999</v>
      </c>
      <c r="I2110" s="614">
        <f t="shared" si="500"/>
        <v>1231.4924999999998</v>
      </c>
      <c r="J2110" s="612">
        <f t="shared" si="501"/>
        <v>6204.3764999999985</v>
      </c>
    </row>
    <row r="2111" spans="1:10">
      <c r="B2111" s="616">
        <v>45993</v>
      </c>
      <c r="C2111" s="612" t="s">
        <v>1947</v>
      </c>
      <c r="D2111" s="612">
        <v>2</v>
      </c>
      <c r="E2111" s="621">
        <v>299</v>
      </c>
      <c r="F2111" s="614">
        <f t="shared" si="498"/>
        <v>598</v>
      </c>
      <c r="G2111" s="614">
        <v>2.3456999999999999</v>
      </c>
      <c r="H2111" s="614">
        <f t="shared" si="499"/>
        <v>701.36429999999996</v>
      </c>
      <c r="I2111" s="614">
        <f t="shared" si="500"/>
        <v>1402.7285999999999</v>
      </c>
      <c r="J2111" s="612">
        <f t="shared" si="501"/>
        <v>7607.1050999999989</v>
      </c>
    </row>
    <row r="2112" spans="1:10">
      <c r="B2112" s="616">
        <v>45993</v>
      </c>
      <c r="C2112" s="612" t="s">
        <v>1948</v>
      </c>
      <c r="D2112" s="612">
        <v>4</v>
      </c>
      <c r="E2112" s="621">
        <v>125</v>
      </c>
      <c r="F2112" s="614">
        <f t="shared" si="498"/>
        <v>500</v>
      </c>
      <c r="G2112" s="614">
        <v>2.3456999999999999</v>
      </c>
      <c r="H2112" s="614">
        <f t="shared" si="499"/>
        <v>293.21249999999998</v>
      </c>
      <c r="I2112" s="614">
        <f t="shared" si="500"/>
        <v>1172.8499999999999</v>
      </c>
      <c r="J2112" s="612">
        <f t="shared" si="501"/>
        <v>8779.9550999999992</v>
      </c>
    </row>
    <row r="2113" spans="1:10">
      <c r="B2113" s="616">
        <v>45993</v>
      </c>
      <c r="C2113" s="612" t="s">
        <v>1949</v>
      </c>
      <c r="D2113" s="612">
        <v>2</v>
      </c>
      <c r="E2113" s="621">
        <v>479</v>
      </c>
      <c r="F2113" s="614">
        <f t="shared" si="498"/>
        <v>958</v>
      </c>
      <c r="G2113" s="614">
        <v>2.3456999999999999</v>
      </c>
      <c r="H2113" s="614">
        <f t="shared" si="499"/>
        <v>1123.5902999999998</v>
      </c>
      <c r="I2113" s="614">
        <f t="shared" si="500"/>
        <v>2247.1805999999997</v>
      </c>
      <c r="J2113" s="612">
        <f t="shared" si="501"/>
        <v>11027.135699999999</v>
      </c>
    </row>
    <row r="2114" spans="1:10">
      <c r="B2114" s="616">
        <v>45993</v>
      </c>
      <c r="C2114" s="612" t="s">
        <v>1950</v>
      </c>
      <c r="D2114" s="612">
        <v>1</v>
      </c>
      <c r="E2114" s="621">
        <v>299</v>
      </c>
      <c r="F2114" s="614">
        <f t="shared" si="498"/>
        <v>299</v>
      </c>
      <c r="G2114" s="614">
        <v>2.3456999999999999</v>
      </c>
      <c r="H2114" s="614">
        <f t="shared" si="499"/>
        <v>701.36429999999996</v>
      </c>
      <c r="I2114" s="614">
        <f t="shared" si="500"/>
        <v>701.36429999999996</v>
      </c>
      <c r="J2114" s="612">
        <f t="shared" si="501"/>
        <v>11728.499999999998</v>
      </c>
    </row>
    <row r="2115" spans="1:10">
      <c r="B2115" s="616">
        <v>45993</v>
      </c>
      <c r="C2115" s="612" t="s">
        <v>1951</v>
      </c>
      <c r="D2115" s="612">
        <v>2</v>
      </c>
      <c r="E2115" s="621">
        <v>478</v>
      </c>
      <c r="F2115" s="614">
        <f>E2115*D2115</f>
        <v>956</v>
      </c>
      <c r="G2115" s="614">
        <v>2.3456999999999999</v>
      </c>
      <c r="H2115" s="614">
        <f>E2115*G2115</f>
        <v>1121.2446</v>
      </c>
      <c r="I2115" s="614">
        <f>H2115*D2115</f>
        <v>2242.4892</v>
      </c>
      <c r="J2115" s="612">
        <f>J2114+I2115</f>
        <v>13970.989199999998</v>
      </c>
    </row>
    <row r="2116" spans="1:10">
      <c r="B2116" s="616">
        <v>45993</v>
      </c>
      <c r="C2116" s="612" t="s">
        <v>1952</v>
      </c>
      <c r="D2116" s="612">
        <v>3</v>
      </c>
      <c r="E2116" s="621">
        <v>399</v>
      </c>
      <c r="F2116" s="614">
        <f>E2116*D2116</f>
        <v>1197</v>
      </c>
      <c r="G2116" s="614">
        <v>2.3456999999999999</v>
      </c>
      <c r="H2116" s="614">
        <f>E2116*G2116</f>
        <v>935.93430000000001</v>
      </c>
      <c r="I2116" s="614">
        <f>H2116*D2116</f>
        <v>2807.8029000000001</v>
      </c>
      <c r="J2116" s="612">
        <f>J2115+I2116</f>
        <v>16778.792099999999</v>
      </c>
    </row>
    <row r="2117" spans="1:10">
      <c r="B2117" s="614"/>
      <c r="C2117" s="614"/>
      <c r="D2117" s="614"/>
      <c r="E2117" s="614"/>
      <c r="F2117" s="614">
        <f>E2117*D2117</f>
        <v>0</v>
      </c>
      <c r="G2117" s="614"/>
      <c r="H2117" s="614">
        <f>E2117*G2117</f>
        <v>0</v>
      </c>
      <c r="I2117" s="614">
        <f>H2117*D2117</f>
        <v>0</v>
      </c>
      <c r="J2117" s="612">
        <f>J2116+I2117</f>
        <v>16778.792099999999</v>
      </c>
    </row>
    <row r="2121" spans="1:10" ht="21">
      <c r="A2121" s="611" t="s">
        <v>125</v>
      </c>
      <c r="B2121" s="1520" t="s">
        <v>20</v>
      </c>
      <c r="C2121" s="1520"/>
      <c r="D2121" s="1520"/>
      <c r="E2121" s="1520"/>
      <c r="F2121" s="1520"/>
      <c r="G2121" s="1520"/>
      <c r="H2121" s="1520"/>
      <c r="I2121" s="1520"/>
      <c r="J2121" s="1520"/>
    </row>
    <row r="2122" spans="1:10" ht="18.75">
      <c r="A2122" s="611" t="s">
        <v>212</v>
      </c>
      <c r="B2122" s="4" t="s">
        <v>1</v>
      </c>
      <c r="C2122" s="4" t="s">
        <v>2</v>
      </c>
      <c r="D2122" s="4" t="s">
        <v>3</v>
      </c>
      <c r="E2122" s="4" t="s">
        <v>4</v>
      </c>
      <c r="F2122" s="4" t="s">
        <v>36</v>
      </c>
      <c r="G2122" s="4" t="s">
        <v>5</v>
      </c>
      <c r="H2122" s="4" t="s">
        <v>6</v>
      </c>
      <c r="I2122" s="4" t="s">
        <v>7</v>
      </c>
      <c r="J2122" s="4"/>
    </row>
    <row r="2123" spans="1:10">
      <c r="B2123" s="616">
        <v>45994</v>
      </c>
      <c r="C2123" s="612" t="s">
        <v>1953</v>
      </c>
      <c r="D2123" s="612">
        <v>12</v>
      </c>
      <c r="E2123" s="621">
        <v>398</v>
      </c>
      <c r="F2123" s="614">
        <f>E2123*D2123</f>
        <v>4776</v>
      </c>
      <c r="G2123" s="614">
        <v>2.3456999999999999</v>
      </c>
      <c r="H2123" s="614">
        <f>E2123*G2123</f>
        <v>933.58859999999993</v>
      </c>
      <c r="I2123" s="614">
        <f>H2123*D2123</f>
        <v>11203.063199999999</v>
      </c>
      <c r="J2123" s="612">
        <f>J2122+I2123</f>
        <v>11203.063199999999</v>
      </c>
    </row>
    <row r="2124" spans="1:10">
      <c r="B2124" s="616">
        <v>45994</v>
      </c>
      <c r="C2124" s="612" t="s">
        <v>1954</v>
      </c>
      <c r="D2124" s="612">
        <v>1</v>
      </c>
      <c r="E2124" s="621">
        <v>598</v>
      </c>
      <c r="F2124" s="614">
        <f t="shared" ref="F2124:F2131" si="502">E2124*D2124</f>
        <v>598</v>
      </c>
      <c r="G2124" s="614">
        <v>2.3456999999999999</v>
      </c>
      <c r="H2124" s="614">
        <f t="shared" ref="H2124:H2131" si="503">E2124*G2124</f>
        <v>1402.7285999999999</v>
      </c>
      <c r="I2124" s="614">
        <f t="shared" ref="I2124:I2131" si="504">H2124*D2124</f>
        <v>1402.7285999999999</v>
      </c>
      <c r="J2124" s="612">
        <f t="shared" ref="J2124:J2131" si="505">J2123+I2124</f>
        <v>12605.791799999999</v>
      </c>
    </row>
    <row r="2125" spans="1:10">
      <c r="B2125" s="616">
        <v>45994</v>
      </c>
      <c r="C2125" s="612" t="s">
        <v>1955</v>
      </c>
      <c r="D2125" s="612">
        <v>6</v>
      </c>
      <c r="E2125" s="621">
        <v>103</v>
      </c>
      <c r="F2125" s="614">
        <f t="shared" si="502"/>
        <v>618</v>
      </c>
      <c r="G2125" s="614">
        <v>2.3456999999999999</v>
      </c>
      <c r="H2125" s="614">
        <f t="shared" si="503"/>
        <v>241.6071</v>
      </c>
      <c r="I2125" s="614">
        <f t="shared" si="504"/>
        <v>1449.6426000000001</v>
      </c>
      <c r="J2125" s="612">
        <f t="shared" si="505"/>
        <v>14055.434399999998</v>
      </c>
    </row>
    <row r="2126" spans="1:10">
      <c r="B2126" s="616">
        <v>45994</v>
      </c>
      <c r="C2126" s="612" t="s">
        <v>1956</v>
      </c>
      <c r="D2126" s="612">
        <v>2</v>
      </c>
      <c r="E2126" s="621">
        <v>629</v>
      </c>
      <c r="F2126" s="614">
        <f t="shared" si="502"/>
        <v>1258</v>
      </c>
      <c r="G2126" s="614">
        <v>2.3456999999999999</v>
      </c>
      <c r="H2126" s="614">
        <f t="shared" si="503"/>
        <v>1475.4452999999999</v>
      </c>
      <c r="I2126" s="614">
        <f t="shared" si="504"/>
        <v>2950.8905999999997</v>
      </c>
      <c r="J2126" s="612">
        <f t="shared" si="505"/>
        <v>17006.324999999997</v>
      </c>
    </row>
    <row r="2127" spans="1:10">
      <c r="B2127" s="616">
        <v>45994</v>
      </c>
      <c r="C2127" s="612" t="s">
        <v>1957</v>
      </c>
      <c r="D2127" s="612">
        <v>1</v>
      </c>
      <c r="E2127" s="621">
        <v>69</v>
      </c>
      <c r="F2127" s="614">
        <f t="shared" si="502"/>
        <v>69</v>
      </c>
      <c r="G2127" s="614">
        <v>2.3456999999999999</v>
      </c>
      <c r="H2127" s="614">
        <f t="shared" si="503"/>
        <v>161.85329999999999</v>
      </c>
      <c r="I2127" s="614">
        <f t="shared" si="504"/>
        <v>161.85329999999999</v>
      </c>
      <c r="J2127" s="612">
        <f t="shared" si="505"/>
        <v>17168.178299999996</v>
      </c>
    </row>
    <row r="2128" spans="1:10">
      <c r="B2128" s="616">
        <v>45994</v>
      </c>
      <c r="C2128" s="612" t="s">
        <v>1958</v>
      </c>
      <c r="D2128" s="612">
        <v>1</v>
      </c>
      <c r="E2128" s="621">
        <v>44</v>
      </c>
      <c r="F2128" s="614">
        <f t="shared" si="502"/>
        <v>44</v>
      </c>
      <c r="G2128" s="614">
        <v>2.3456999999999999</v>
      </c>
      <c r="H2128" s="614">
        <f t="shared" si="503"/>
        <v>103.21079999999999</v>
      </c>
      <c r="I2128" s="614">
        <f t="shared" si="504"/>
        <v>103.21079999999999</v>
      </c>
      <c r="J2128" s="612">
        <f t="shared" si="505"/>
        <v>17271.389099999997</v>
      </c>
    </row>
    <row r="2129" spans="1:10">
      <c r="B2129" s="616">
        <v>45994</v>
      </c>
      <c r="C2129" s="612" t="s">
        <v>1959</v>
      </c>
      <c r="D2129" s="612">
        <v>2</v>
      </c>
      <c r="E2129" s="621">
        <v>299</v>
      </c>
      <c r="F2129" s="614">
        <f t="shared" si="502"/>
        <v>598</v>
      </c>
      <c r="G2129" s="614">
        <v>2.3456999999999999</v>
      </c>
      <c r="H2129" s="614">
        <f t="shared" si="503"/>
        <v>701.36429999999996</v>
      </c>
      <c r="I2129" s="614">
        <f t="shared" si="504"/>
        <v>1402.7285999999999</v>
      </c>
      <c r="J2129" s="612">
        <f t="shared" si="505"/>
        <v>18674.117699999995</v>
      </c>
    </row>
    <row r="2130" spans="1:10">
      <c r="B2130" s="616">
        <v>45994</v>
      </c>
      <c r="C2130" s="612" t="s">
        <v>1960</v>
      </c>
      <c r="D2130" s="612">
        <v>14</v>
      </c>
      <c r="E2130" s="621">
        <v>125</v>
      </c>
      <c r="F2130" s="614">
        <f t="shared" si="502"/>
        <v>1750</v>
      </c>
      <c r="G2130" s="614">
        <v>2.3456999999999999</v>
      </c>
      <c r="H2130" s="614">
        <f t="shared" si="503"/>
        <v>293.21249999999998</v>
      </c>
      <c r="I2130" s="614">
        <f t="shared" si="504"/>
        <v>4104.9749999999995</v>
      </c>
      <c r="J2130" s="612">
        <f t="shared" si="505"/>
        <v>22779.092699999994</v>
      </c>
    </row>
    <row r="2131" spans="1:10">
      <c r="B2131" s="616">
        <v>45994</v>
      </c>
      <c r="C2131" s="612" t="s">
        <v>1961</v>
      </c>
      <c r="D2131" s="612">
        <v>1</v>
      </c>
      <c r="E2131" s="621">
        <v>419</v>
      </c>
      <c r="F2131" s="614">
        <f t="shared" si="502"/>
        <v>419</v>
      </c>
      <c r="G2131" s="614">
        <v>2.3456999999999999</v>
      </c>
      <c r="H2131" s="614">
        <f t="shared" si="503"/>
        <v>982.84829999999999</v>
      </c>
      <c r="I2131" s="614">
        <f t="shared" si="504"/>
        <v>982.84829999999999</v>
      </c>
      <c r="J2131" s="612">
        <f t="shared" si="505"/>
        <v>23761.940999999995</v>
      </c>
    </row>
    <row r="2132" spans="1:10">
      <c r="B2132" s="585">
        <v>45994</v>
      </c>
      <c r="C2132" s="110" t="s">
        <v>1962</v>
      </c>
      <c r="D2132" s="110">
        <v>5</v>
      </c>
      <c r="E2132" s="623">
        <v>419</v>
      </c>
      <c r="F2132" s="127">
        <f t="shared" ref="F2132:F2139" si="506">E2132*D2132</f>
        <v>2095</v>
      </c>
      <c r="G2132" s="127">
        <v>2.3456999999999999</v>
      </c>
      <c r="H2132" s="127">
        <f t="shared" ref="H2132:H2139" si="507">E2132*G2132</f>
        <v>982.84829999999999</v>
      </c>
      <c r="I2132" s="127">
        <f t="shared" ref="I2132:I2139" si="508">H2132*D2132</f>
        <v>4914.2415000000001</v>
      </c>
      <c r="J2132" s="110">
        <f t="shared" ref="J2132:J2139" si="509">J2131+I2132</f>
        <v>28676.182499999995</v>
      </c>
    </row>
    <row r="2133" spans="1:10">
      <c r="B2133" s="585">
        <v>45994</v>
      </c>
      <c r="C2133" s="110" t="s">
        <v>1959</v>
      </c>
      <c r="D2133" s="110">
        <v>1</v>
      </c>
      <c r="E2133" s="623">
        <v>299</v>
      </c>
      <c r="F2133" s="127">
        <f t="shared" si="506"/>
        <v>299</v>
      </c>
      <c r="G2133" s="127">
        <v>2.3456999999999999</v>
      </c>
      <c r="H2133" s="127">
        <f t="shared" si="507"/>
        <v>701.36429999999996</v>
      </c>
      <c r="I2133" s="127">
        <f t="shared" si="508"/>
        <v>701.36429999999996</v>
      </c>
      <c r="J2133" s="110">
        <f t="shared" si="509"/>
        <v>29377.546799999996</v>
      </c>
    </row>
    <row r="2134" spans="1:10">
      <c r="B2134" s="585">
        <v>45994</v>
      </c>
      <c r="C2134" s="110" t="s">
        <v>1959</v>
      </c>
      <c r="D2134" s="110">
        <v>2</v>
      </c>
      <c r="E2134" s="623">
        <v>299</v>
      </c>
      <c r="F2134" s="127">
        <f t="shared" si="506"/>
        <v>598</v>
      </c>
      <c r="G2134" s="127">
        <v>2.3456999999999999</v>
      </c>
      <c r="H2134" s="127">
        <f t="shared" si="507"/>
        <v>701.36429999999996</v>
      </c>
      <c r="I2134" s="127">
        <f t="shared" si="508"/>
        <v>1402.7285999999999</v>
      </c>
      <c r="J2134" s="110">
        <f t="shared" si="509"/>
        <v>30780.275399999995</v>
      </c>
    </row>
    <row r="2135" spans="1:10">
      <c r="B2135" s="585">
        <v>45994</v>
      </c>
      <c r="C2135" s="110" t="s">
        <v>1959</v>
      </c>
      <c r="D2135" s="110">
        <v>1</v>
      </c>
      <c r="E2135" s="623">
        <v>299</v>
      </c>
      <c r="F2135" s="127">
        <f t="shared" si="506"/>
        <v>299</v>
      </c>
      <c r="G2135" s="127">
        <v>2.3456999999999999</v>
      </c>
      <c r="H2135" s="127">
        <f t="shared" si="507"/>
        <v>701.36429999999996</v>
      </c>
      <c r="I2135" s="127">
        <f t="shared" si="508"/>
        <v>701.36429999999996</v>
      </c>
      <c r="J2135" s="110">
        <f t="shared" si="509"/>
        <v>31481.639699999996</v>
      </c>
    </row>
    <row r="2136" spans="1:10">
      <c r="B2136" s="585">
        <v>45994</v>
      </c>
      <c r="C2136" s="110" t="s">
        <v>1963</v>
      </c>
      <c r="D2136" s="110">
        <v>2</v>
      </c>
      <c r="E2136" s="623">
        <v>479</v>
      </c>
      <c r="F2136" s="127">
        <f t="shared" si="506"/>
        <v>958</v>
      </c>
      <c r="G2136" s="127">
        <v>2.3456999999999999</v>
      </c>
      <c r="H2136" s="127">
        <f t="shared" si="507"/>
        <v>1123.5902999999998</v>
      </c>
      <c r="I2136" s="127">
        <f t="shared" si="508"/>
        <v>2247.1805999999997</v>
      </c>
      <c r="J2136" s="110">
        <f t="shared" si="509"/>
        <v>33728.820299999992</v>
      </c>
    </row>
    <row r="2137" spans="1:10">
      <c r="B2137" s="616">
        <v>45994</v>
      </c>
      <c r="C2137" s="612" t="s">
        <v>1964</v>
      </c>
      <c r="D2137" s="612">
        <v>2</v>
      </c>
      <c r="E2137" s="621">
        <v>479</v>
      </c>
      <c r="F2137" s="614">
        <f t="shared" si="506"/>
        <v>958</v>
      </c>
      <c r="G2137" s="614">
        <v>2.3456999999999999</v>
      </c>
      <c r="H2137" s="614">
        <f t="shared" si="507"/>
        <v>1123.5902999999998</v>
      </c>
      <c r="I2137" s="614">
        <f t="shared" si="508"/>
        <v>2247.1805999999997</v>
      </c>
      <c r="J2137" s="612">
        <f t="shared" si="509"/>
        <v>35976.000899999992</v>
      </c>
    </row>
    <row r="2138" spans="1:10">
      <c r="B2138" s="624">
        <v>45994</v>
      </c>
      <c r="C2138" s="313" t="s">
        <v>1965</v>
      </c>
      <c r="D2138" s="313">
        <v>1</v>
      </c>
      <c r="E2138" s="625">
        <v>499</v>
      </c>
      <c r="F2138" s="305">
        <f t="shared" si="506"/>
        <v>499</v>
      </c>
      <c r="G2138" s="305">
        <v>2.3456999999999999</v>
      </c>
      <c r="H2138" s="305">
        <f t="shared" si="507"/>
        <v>1170.5043000000001</v>
      </c>
      <c r="I2138" s="305">
        <f t="shared" si="508"/>
        <v>1170.5043000000001</v>
      </c>
      <c r="J2138" s="313">
        <f t="shared" si="509"/>
        <v>37146.505199999992</v>
      </c>
    </row>
    <row r="2139" spans="1:10">
      <c r="B2139" s="616">
        <v>45994</v>
      </c>
      <c r="C2139" s="612" t="s">
        <v>1966</v>
      </c>
      <c r="D2139" s="612">
        <v>4</v>
      </c>
      <c r="E2139" s="621">
        <v>398</v>
      </c>
      <c r="F2139" s="614">
        <f t="shared" si="506"/>
        <v>1592</v>
      </c>
      <c r="G2139" s="614">
        <v>2.3456999999999999</v>
      </c>
      <c r="H2139" s="614">
        <f t="shared" si="507"/>
        <v>933.58859999999993</v>
      </c>
      <c r="I2139" s="614">
        <f t="shared" si="508"/>
        <v>3734.3543999999997</v>
      </c>
      <c r="J2139" s="612">
        <f t="shared" si="509"/>
        <v>40880.859599999989</v>
      </c>
    </row>
    <row r="2143" spans="1:10" ht="21">
      <c r="A2143" s="611" t="s">
        <v>125</v>
      </c>
      <c r="B2143" s="1520" t="s">
        <v>35</v>
      </c>
      <c r="C2143" s="1520"/>
      <c r="D2143" s="1520"/>
      <c r="E2143" s="1520"/>
      <c r="F2143" s="1520"/>
      <c r="G2143" s="1520"/>
      <c r="H2143" s="1520"/>
      <c r="I2143" s="1520"/>
      <c r="J2143" s="1520"/>
    </row>
    <row r="2144" spans="1:10" ht="18.75">
      <c r="A2144" t="s">
        <v>212</v>
      </c>
      <c r="B2144" s="4" t="s">
        <v>1</v>
      </c>
      <c r="C2144" s="4" t="s">
        <v>2</v>
      </c>
      <c r="D2144" s="4" t="s">
        <v>3</v>
      </c>
      <c r="E2144" s="4" t="s">
        <v>4</v>
      </c>
      <c r="F2144" s="4" t="s">
        <v>36</v>
      </c>
      <c r="G2144" s="4" t="s">
        <v>5</v>
      </c>
      <c r="H2144" s="4" t="s">
        <v>6</v>
      </c>
      <c r="I2144" s="4" t="s">
        <v>7</v>
      </c>
      <c r="J2144" s="4"/>
    </row>
    <row r="2145" spans="1:11">
      <c r="B2145" s="585">
        <v>45993</v>
      </c>
      <c r="C2145" s="110" t="s">
        <v>1971</v>
      </c>
      <c r="D2145" s="110">
        <v>10</v>
      </c>
      <c r="E2145" s="110">
        <v>1260</v>
      </c>
      <c r="F2145" s="127">
        <f t="shared" ref="F2145:F2150" si="510">E2145*D2145</f>
        <v>12600</v>
      </c>
      <c r="G2145" s="127">
        <v>2.12</v>
      </c>
      <c r="H2145" s="127">
        <f t="shared" ref="H2145:H2150" si="511">E2145*G2145</f>
        <v>2671.2000000000003</v>
      </c>
      <c r="I2145" s="127">
        <f t="shared" ref="I2145:I2150" si="512">H2145*D2145</f>
        <v>26712.000000000004</v>
      </c>
      <c r="J2145" s="110">
        <f t="shared" ref="J2145:J2150" si="513">J2144+I2145</f>
        <v>26712.000000000004</v>
      </c>
    </row>
    <row r="2146" spans="1:11">
      <c r="B2146" s="585">
        <v>45993</v>
      </c>
      <c r="C2146" s="110" t="s">
        <v>1972</v>
      </c>
      <c r="D2146" s="110">
        <v>1</v>
      </c>
      <c r="E2146" s="110">
        <v>1348</v>
      </c>
      <c r="F2146" s="127">
        <f t="shared" si="510"/>
        <v>1348</v>
      </c>
      <c r="G2146" s="127">
        <v>2.12</v>
      </c>
      <c r="H2146" s="127">
        <f t="shared" si="511"/>
        <v>2857.76</v>
      </c>
      <c r="I2146" s="127">
        <f t="shared" si="512"/>
        <v>2857.76</v>
      </c>
      <c r="J2146" s="110">
        <f t="shared" si="513"/>
        <v>29569.760000000002</v>
      </c>
    </row>
    <row r="2147" spans="1:11">
      <c r="B2147" s="585">
        <v>45993</v>
      </c>
      <c r="C2147" s="110" t="s">
        <v>1973</v>
      </c>
      <c r="D2147" s="110">
        <v>3</v>
      </c>
      <c r="E2147" s="110">
        <v>738</v>
      </c>
      <c r="F2147" s="127">
        <f t="shared" si="510"/>
        <v>2214</v>
      </c>
      <c r="G2147" s="127">
        <v>2.12</v>
      </c>
      <c r="H2147" s="127">
        <f t="shared" si="511"/>
        <v>1564.5600000000002</v>
      </c>
      <c r="I2147" s="127">
        <f t="shared" si="512"/>
        <v>4693.68</v>
      </c>
      <c r="J2147" s="110">
        <f t="shared" si="513"/>
        <v>34263.440000000002</v>
      </c>
    </row>
    <row r="2148" spans="1:11">
      <c r="B2148" s="585">
        <v>45993</v>
      </c>
      <c r="C2148" s="110" t="s">
        <v>1974</v>
      </c>
      <c r="D2148" s="110">
        <v>2</v>
      </c>
      <c r="E2148" s="110">
        <v>1348</v>
      </c>
      <c r="F2148" s="127">
        <f t="shared" si="510"/>
        <v>2696</v>
      </c>
      <c r="G2148" s="127">
        <v>2.12</v>
      </c>
      <c r="H2148" s="127">
        <f t="shared" si="511"/>
        <v>2857.76</v>
      </c>
      <c r="I2148" s="127">
        <f t="shared" si="512"/>
        <v>5715.52</v>
      </c>
      <c r="J2148" s="110">
        <f t="shared" si="513"/>
        <v>39978.960000000006</v>
      </c>
    </row>
    <row r="2149" spans="1:11">
      <c r="B2149" s="585">
        <v>45993</v>
      </c>
      <c r="C2149" s="110" t="s">
        <v>1972</v>
      </c>
      <c r="D2149" s="110">
        <v>2</v>
      </c>
      <c r="E2149" s="110">
        <v>1348</v>
      </c>
      <c r="F2149" s="127">
        <f t="shared" si="510"/>
        <v>2696</v>
      </c>
      <c r="G2149" s="127">
        <v>2.12</v>
      </c>
      <c r="H2149" s="127">
        <f t="shared" si="511"/>
        <v>2857.76</v>
      </c>
      <c r="I2149" s="127">
        <f t="shared" si="512"/>
        <v>5715.52</v>
      </c>
      <c r="J2149" s="110">
        <f t="shared" si="513"/>
        <v>45694.48000000001</v>
      </c>
    </row>
    <row r="2150" spans="1:11">
      <c r="B2150" s="614"/>
      <c r="C2150" s="614"/>
      <c r="D2150" s="614"/>
      <c r="E2150" s="614"/>
      <c r="F2150" s="614">
        <f t="shared" si="510"/>
        <v>0</v>
      </c>
      <c r="G2150" s="614"/>
      <c r="H2150" s="614">
        <f t="shared" si="511"/>
        <v>0</v>
      </c>
      <c r="I2150" s="614">
        <f t="shared" si="512"/>
        <v>0</v>
      </c>
      <c r="J2150" s="612">
        <f t="shared" si="513"/>
        <v>45694.48000000001</v>
      </c>
    </row>
    <row r="2155" spans="1:11" ht="21">
      <c r="A2155" s="611" t="s">
        <v>125</v>
      </c>
      <c r="B2155" s="1520" t="s">
        <v>1912</v>
      </c>
      <c r="C2155" s="1520"/>
      <c r="D2155" s="1520"/>
      <c r="E2155" s="1520"/>
      <c r="F2155" s="1520"/>
      <c r="G2155" s="1520"/>
      <c r="H2155" s="1520"/>
      <c r="I2155" s="1520"/>
      <c r="J2155" s="1520"/>
      <c r="K2155" t="s">
        <v>2012</v>
      </c>
    </row>
    <row r="2156" spans="1:11" ht="18.75">
      <c r="B2156" s="4" t="s">
        <v>1</v>
      </c>
      <c r="C2156" s="4" t="s">
        <v>2</v>
      </c>
      <c r="D2156" s="4" t="s">
        <v>3</v>
      </c>
      <c r="E2156" s="514" t="s">
        <v>132</v>
      </c>
      <c r="F2156" s="514" t="s">
        <v>133</v>
      </c>
      <c r="G2156" s="4" t="s">
        <v>5</v>
      </c>
      <c r="H2156" s="4" t="s">
        <v>6</v>
      </c>
      <c r="I2156" s="4" t="s">
        <v>7</v>
      </c>
      <c r="J2156" s="4"/>
    </row>
    <row r="2157" spans="1:11">
      <c r="B2157" s="631">
        <v>45999</v>
      </c>
      <c r="C2157" s="80" t="s">
        <v>136</v>
      </c>
      <c r="D2157" s="629">
        <v>78</v>
      </c>
      <c r="E2157" s="614">
        <v>90</v>
      </c>
      <c r="F2157" s="614">
        <f>E2157*D2157</f>
        <v>7020</v>
      </c>
      <c r="G2157" s="614">
        <v>3.5950000000000002</v>
      </c>
      <c r="H2157" s="614">
        <f>E2157*G2157</f>
        <v>323.55</v>
      </c>
      <c r="I2157" s="614">
        <f>H2157*D2157</f>
        <v>25236.9</v>
      </c>
      <c r="J2157" s="612">
        <f>J2156+I2157</f>
        <v>25236.9</v>
      </c>
    </row>
    <row r="2158" spans="1:11">
      <c r="B2158" s="631">
        <v>45999</v>
      </c>
      <c r="C2158" s="80" t="s">
        <v>1405</v>
      </c>
      <c r="D2158" s="629">
        <v>3</v>
      </c>
      <c r="E2158" s="614">
        <v>190</v>
      </c>
      <c r="F2158" s="614">
        <f t="shared" ref="F2158:F2165" si="514">E2158*D2158</f>
        <v>570</v>
      </c>
      <c r="G2158" s="614">
        <v>3.5950000000000002</v>
      </c>
      <c r="H2158" s="614">
        <f t="shared" ref="H2158:H2165" si="515">E2158*G2158</f>
        <v>683.05000000000007</v>
      </c>
      <c r="I2158" s="614">
        <f t="shared" ref="I2158:I2165" si="516">H2158*D2158</f>
        <v>2049.15</v>
      </c>
      <c r="J2158" s="612">
        <f t="shared" ref="J2158:J2165" si="517">J2157+I2158</f>
        <v>27286.050000000003</v>
      </c>
    </row>
    <row r="2159" spans="1:11">
      <c r="B2159" s="631">
        <v>45999</v>
      </c>
      <c r="C2159" s="80" t="s">
        <v>1987</v>
      </c>
      <c r="D2159" s="629">
        <v>1</v>
      </c>
      <c r="E2159" s="614">
        <v>160</v>
      </c>
      <c r="F2159" s="614">
        <f t="shared" si="514"/>
        <v>160</v>
      </c>
      <c r="G2159" s="614">
        <v>3.5950000000000002</v>
      </c>
      <c r="H2159" s="614">
        <f t="shared" si="515"/>
        <v>575.20000000000005</v>
      </c>
      <c r="I2159" s="614">
        <f t="shared" si="516"/>
        <v>575.20000000000005</v>
      </c>
      <c r="J2159" s="612">
        <f t="shared" si="517"/>
        <v>27861.250000000004</v>
      </c>
    </row>
    <row r="2160" spans="1:11">
      <c r="B2160" s="631">
        <v>45999</v>
      </c>
      <c r="C2160" s="80" t="s">
        <v>1988</v>
      </c>
      <c r="D2160" s="629">
        <v>1</v>
      </c>
      <c r="E2160" s="614">
        <v>50</v>
      </c>
      <c r="F2160" s="614">
        <f t="shared" si="514"/>
        <v>50</v>
      </c>
      <c r="G2160" s="614">
        <v>3.5950000000000002</v>
      </c>
      <c r="H2160" s="614">
        <f t="shared" si="515"/>
        <v>179.75</v>
      </c>
      <c r="I2160" s="614">
        <f t="shared" si="516"/>
        <v>179.75</v>
      </c>
      <c r="J2160" s="612">
        <f t="shared" si="517"/>
        <v>28041.000000000004</v>
      </c>
    </row>
    <row r="2161" spans="2:10">
      <c r="B2161" s="631">
        <v>45999</v>
      </c>
      <c r="C2161" s="80" t="s">
        <v>1491</v>
      </c>
      <c r="D2161" s="629">
        <v>1</v>
      </c>
      <c r="E2161" s="614">
        <v>175</v>
      </c>
      <c r="F2161" s="614">
        <f t="shared" si="514"/>
        <v>175</v>
      </c>
      <c r="G2161" s="614">
        <v>3.5950000000000002</v>
      </c>
      <c r="H2161" s="614">
        <f t="shared" si="515"/>
        <v>629.125</v>
      </c>
      <c r="I2161" s="614">
        <f t="shared" si="516"/>
        <v>629.125</v>
      </c>
      <c r="J2161" s="612">
        <f t="shared" si="517"/>
        <v>28670.125000000004</v>
      </c>
    </row>
    <row r="2162" spans="2:10">
      <c r="B2162" s="631">
        <v>45999</v>
      </c>
      <c r="C2162" s="80" t="s">
        <v>1511</v>
      </c>
      <c r="D2162" s="629">
        <v>1</v>
      </c>
      <c r="E2162" s="614">
        <v>220</v>
      </c>
      <c r="F2162" s="614">
        <f t="shared" si="514"/>
        <v>220</v>
      </c>
      <c r="G2162" s="614">
        <v>3.5950000000000002</v>
      </c>
      <c r="H2162" s="614">
        <f t="shared" si="515"/>
        <v>790.90000000000009</v>
      </c>
      <c r="I2162" s="614">
        <f t="shared" si="516"/>
        <v>790.90000000000009</v>
      </c>
      <c r="J2162" s="612">
        <f t="shared" si="517"/>
        <v>29461.025000000005</v>
      </c>
    </row>
    <row r="2163" spans="2:10">
      <c r="B2163" s="631">
        <v>45999</v>
      </c>
      <c r="C2163" s="80" t="s">
        <v>1387</v>
      </c>
      <c r="D2163" s="629">
        <v>1</v>
      </c>
      <c r="E2163" s="614">
        <v>300</v>
      </c>
      <c r="F2163" s="614">
        <f t="shared" si="514"/>
        <v>300</v>
      </c>
      <c r="G2163" s="614">
        <v>3.5950000000000002</v>
      </c>
      <c r="H2163" s="614">
        <f t="shared" si="515"/>
        <v>1078.5</v>
      </c>
      <c r="I2163" s="614">
        <f t="shared" si="516"/>
        <v>1078.5</v>
      </c>
      <c r="J2163" s="612">
        <f t="shared" si="517"/>
        <v>30539.525000000005</v>
      </c>
    </row>
    <row r="2164" spans="2:10">
      <c r="B2164" s="631">
        <v>45999</v>
      </c>
      <c r="C2164" s="80" t="s">
        <v>1291</v>
      </c>
      <c r="D2164" s="629">
        <v>2</v>
      </c>
      <c r="E2164" s="614">
        <v>655</v>
      </c>
      <c r="F2164" s="614">
        <f t="shared" si="514"/>
        <v>1310</v>
      </c>
      <c r="G2164" s="614">
        <v>3.5950000000000002</v>
      </c>
      <c r="H2164" s="614">
        <f t="shared" si="515"/>
        <v>2354.7249999999999</v>
      </c>
      <c r="I2164" s="614">
        <f t="shared" si="516"/>
        <v>4709.45</v>
      </c>
      <c r="J2164" s="612">
        <f t="shared" si="517"/>
        <v>35248.975000000006</v>
      </c>
    </row>
    <row r="2165" spans="2:10">
      <c r="B2165" s="631">
        <v>45999</v>
      </c>
      <c r="C2165" s="80" t="s">
        <v>1095</v>
      </c>
      <c r="D2165" s="629">
        <v>5</v>
      </c>
      <c r="E2165" s="614">
        <v>360</v>
      </c>
      <c r="F2165" s="614">
        <f t="shared" si="514"/>
        <v>1800</v>
      </c>
      <c r="G2165" s="614">
        <v>3.5950000000000002</v>
      </c>
      <c r="H2165" s="614">
        <f t="shared" si="515"/>
        <v>1294.2</v>
      </c>
      <c r="I2165" s="614">
        <f t="shared" si="516"/>
        <v>6471</v>
      </c>
      <c r="J2165" s="612">
        <f t="shared" si="517"/>
        <v>41719.975000000006</v>
      </c>
    </row>
    <row r="2166" spans="2:10">
      <c r="B2166" s="631">
        <v>45999</v>
      </c>
      <c r="C2166" s="630" t="s">
        <v>1989</v>
      </c>
      <c r="D2166" s="629">
        <v>1</v>
      </c>
      <c r="E2166" s="614">
        <v>780</v>
      </c>
      <c r="F2166" s="614">
        <f t="shared" ref="F2166:F2190" si="518">E2166*D2166</f>
        <v>780</v>
      </c>
      <c r="G2166" s="614">
        <v>3.5950000000000002</v>
      </c>
      <c r="H2166" s="614">
        <f t="shared" ref="H2166:H2189" si="519">E2166*G2166</f>
        <v>2804.1000000000004</v>
      </c>
      <c r="I2166" s="614">
        <f t="shared" ref="I2166:I2189" si="520">H2166*D2166</f>
        <v>2804.1000000000004</v>
      </c>
      <c r="J2166" s="612">
        <f t="shared" ref="J2166:J2189" si="521">J2165+I2166</f>
        <v>44524.075000000004</v>
      </c>
    </row>
    <row r="2167" spans="2:10">
      <c r="B2167" s="631">
        <v>45999</v>
      </c>
      <c r="C2167" s="630" t="s">
        <v>1990</v>
      </c>
      <c r="D2167" s="629">
        <v>1</v>
      </c>
      <c r="E2167" s="614">
        <v>1160</v>
      </c>
      <c r="F2167" s="614">
        <f t="shared" si="518"/>
        <v>1160</v>
      </c>
      <c r="G2167" s="614">
        <v>3.5950000000000002</v>
      </c>
      <c r="H2167" s="614">
        <f t="shared" si="519"/>
        <v>4170.2</v>
      </c>
      <c r="I2167" s="614">
        <f t="shared" si="520"/>
        <v>4170.2</v>
      </c>
      <c r="J2167" s="612">
        <f t="shared" si="521"/>
        <v>48694.275000000001</v>
      </c>
    </row>
    <row r="2168" spans="2:10">
      <c r="B2168" s="631">
        <v>45999</v>
      </c>
      <c r="C2168" s="630" t="s">
        <v>1991</v>
      </c>
      <c r="D2168" s="629">
        <v>1</v>
      </c>
      <c r="E2168" s="614">
        <v>900</v>
      </c>
      <c r="F2168" s="614">
        <f t="shared" si="518"/>
        <v>900</v>
      </c>
      <c r="G2168" s="614">
        <v>3.5950000000000002</v>
      </c>
      <c r="H2168" s="614">
        <f t="shared" si="519"/>
        <v>3235.5</v>
      </c>
      <c r="I2168" s="614">
        <f t="shared" si="520"/>
        <v>3235.5</v>
      </c>
      <c r="J2168" s="612">
        <f t="shared" si="521"/>
        <v>51929.775000000001</v>
      </c>
    </row>
    <row r="2169" spans="2:10">
      <c r="B2169" s="631">
        <v>45999</v>
      </c>
      <c r="C2169" s="630" t="s">
        <v>1992</v>
      </c>
      <c r="D2169" s="629">
        <v>1</v>
      </c>
      <c r="E2169" s="614">
        <v>1300</v>
      </c>
      <c r="F2169" s="614">
        <f t="shared" si="518"/>
        <v>1300</v>
      </c>
      <c r="G2169" s="614">
        <v>3.5950000000000002</v>
      </c>
      <c r="H2169" s="614">
        <f t="shared" si="519"/>
        <v>4673.5</v>
      </c>
      <c r="I2169" s="614">
        <f t="shared" si="520"/>
        <v>4673.5</v>
      </c>
      <c r="J2169" s="612">
        <f t="shared" si="521"/>
        <v>56603.275000000001</v>
      </c>
    </row>
    <row r="2170" spans="2:10">
      <c r="B2170" s="631">
        <v>45999</v>
      </c>
      <c r="C2170" s="630" t="s">
        <v>1993</v>
      </c>
      <c r="D2170" s="629">
        <v>1</v>
      </c>
      <c r="E2170" s="614">
        <v>1080</v>
      </c>
      <c r="F2170" s="614">
        <f t="shared" si="518"/>
        <v>1080</v>
      </c>
      <c r="G2170" s="614">
        <v>3.5950000000000002</v>
      </c>
      <c r="H2170" s="614">
        <f t="shared" si="519"/>
        <v>3882.6000000000004</v>
      </c>
      <c r="I2170" s="614">
        <f t="shared" si="520"/>
        <v>3882.6000000000004</v>
      </c>
      <c r="J2170" s="612">
        <f t="shared" si="521"/>
        <v>60485.875</v>
      </c>
    </row>
    <row r="2171" spans="2:10">
      <c r="B2171" s="631">
        <v>45999</v>
      </c>
      <c r="C2171" s="630" t="s">
        <v>1994</v>
      </c>
      <c r="D2171" s="629">
        <v>2</v>
      </c>
      <c r="E2171" s="614">
        <v>1080</v>
      </c>
      <c r="F2171" s="614">
        <f t="shared" si="518"/>
        <v>2160</v>
      </c>
      <c r="G2171" s="614">
        <v>3.5950000000000002</v>
      </c>
      <c r="H2171" s="614">
        <f t="shared" si="519"/>
        <v>3882.6000000000004</v>
      </c>
      <c r="I2171" s="614">
        <f t="shared" si="520"/>
        <v>7765.2000000000007</v>
      </c>
      <c r="J2171" s="612">
        <f t="shared" si="521"/>
        <v>68251.074999999997</v>
      </c>
    </row>
    <row r="2172" spans="2:10">
      <c r="B2172" s="631">
        <v>45999</v>
      </c>
      <c r="C2172" s="630" t="s">
        <v>1995</v>
      </c>
      <c r="D2172" s="629">
        <v>1</v>
      </c>
      <c r="E2172" s="614">
        <v>1150</v>
      </c>
      <c r="F2172" s="614">
        <f t="shared" si="518"/>
        <v>1150</v>
      </c>
      <c r="G2172" s="614">
        <v>3.5950000000000002</v>
      </c>
      <c r="H2172" s="614">
        <f t="shared" si="519"/>
        <v>4134.25</v>
      </c>
      <c r="I2172" s="614">
        <f t="shared" si="520"/>
        <v>4134.25</v>
      </c>
      <c r="J2172" s="612">
        <f t="shared" si="521"/>
        <v>72385.324999999997</v>
      </c>
    </row>
    <row r="2173" spans="2:10">
      <c r="B2173" s="631">
        <v>45999</v>
      </c>
      <c r="C2173" s="630" t="s">
        <v>1996</v>
      </c>
      <c r="D2173" s="629">
        <v>1</v>
      </c>
      <c r="E2173" s="614">
        <v>1200</v>
      </c>
      <c r="F2173" s="614">
        <f t="shared" si="518"/>
        <v>1200</v>
      </c>
      <c r="G2173" s="614">
        <v>3.5950000000000002</v>
      </c>
      <c r="H2173" s="614">
        <f t="shared" si="519"/>
        <v>4314</v>
      </c>
      <c r="I2173" s="614">
        <f t="shared" si="520"/>
        <v>4314</v>
      </c>
      <c r="J2173" s="612">
        <f t="shared" si="521"/>
        <v>76699.324999999997</v>
      </c>
    </row>
    <row r="2174" spans="2:10">
      <c r="B2174" s="631">
        <v>45999</v>
      </c>
      <c r="C2174" s="630" t="s">
        <v>1998</v>
      </c>
      <c r="D2174" s="629">
        <v>1</v>
      </c>
      <c r="E2174" s="614">
        <v>300</v>
      </c>
      <c r="F2174" s="614">
        <f t="shared" si="518"/>
        <v>300</v>
      </c>
      <c r="G2174" s="614">
        <v>3.5950000000000002</v>
      </c>
      <c r="H2174" s="614">
        <f t="shared" si="519"/>
        <v>1078.5</v>
      </c>
      <c r="I2174" s="614">
        <f t="shared" si="520"/>
        <v>1078.5</v>
      </c>
      <c r="J2174" s="612">
        <f t="shared" si="521"/>
        <v>77777.824999999997</v>
      </c>
    </row>
    <row r="2175" spans="2:10">
      <c r="B2175" s="631">
        <v>45999</v>
      </c>
      <c r="C2175" s="630" t="s">
        <v>1997</v>
      </c>
      <c r="D2175" s="629">
        <v>3</v>
      </c>
      <c r="E2175" s="614">
        <v>390</v>
      </c>
      <c r="F2175" s="614">
        <f t="shared" si="518"/>
        <v>1170</v>
      </c>
      <c r="G2175" s="614">
        <v>3.5950000000000002</v>
      </c>
      <c r="H2175" s="614">
        <f t="shared" si="519"/>
        <v>1402.0500000000002</v>
      </c>
      <c r="I2175" s="614">
        <f t="shared" si="520"/>
        <v>4206.1500000000005</v>
      </c>
      <c r="J2175" s="612">
        <f t="shared" si="521"/>
        <v>81983.974999999991</v>
      </c>
    </row>
    <row r="2176" spans="2:10">
      <c r="B2176" s="631">
        <v>45999</v>
      </c>
      <c r="C2176" s="630" t="s">
        <v>1999</v>
      </c>
      <c r="D2176" s="629">
        <v>1</v>
      </c>
      <c r="E2176" s="614">
        <v>400</v>
      </c>
      <c r="F2176" s="614">
        <f t="shared" si="518"/>
        <v>400</v>
      </c>
      <c r="G2176" s="614">
        <v>3.5950000000000002</v>
      </c>
      <c r="H2176" s="614">
        <f t="shared" si="519"/>
        <v>1438</v>
      </c>
      <c r="I2176" s="614">
        <f t="shared" si="520"/>
        <v>1438</v>
      </c>
      <c r="J2176" s="612">
        <f t="shared" si="521"/>
        <v>83421.974999999991</v>
      </c>
    </row>
    <row r="2177" spans="2:10">
      <c r="B2177" s="631">
        <v>45999</v>
      </c>
      <c r="C2177" s="630" t="s">
        <v>2000</v>
      </c>
      <c r="D2177" s="629">
        <v>1</v>
      </c>
      <c r="E2177" s="174">
        <v>600</v>
      </c>
      <c r="F2177" s="614">
        <f t="shared" si="518"/>
        <v>600</v>
      </c>
      <c r="G2177" s="614">
        <v>3.5950000000000002</v>
      </c>
      <c r="H2177" s="614">
        <f t="shared" si="519"/>
        <v>2157</v>
      </c>
      <c r="I2177" s="614">
        <f t="shared" si="520"/>
        <v>2157</v>
      </c>
      <c r="J2177" s="612">
        <f t="shared" si="521"/>
        <v>85578.974999999991</v>
      </c>
    </row>
    <row r="2178" spans="2:10">
      <c r="B2178" s="631">
        <v>45999</v>
      </c>
      <c r="C2178" s="630" t="s">
        <v>2001</v>
      </c>
      <c r="D2178" s="629">
        <v>1</v>
      </c>
      <c r="E2178" s="614">
        <v>600</v>
      </c>
      <c r="F2178" s="614">
        <f t="shared" si="518"/>
        <v>600</v>
      </c>
      <c r="G2178" s="614">
        <v>3.5950000000000002</v>
      </c>
      <c r="H2178" s="614">
        <f t="shared" si="519"/>
        <v>2157</v>
      </c>
      <c r="I2178" s="614">
        <f t="shared" si="520"/>
        <v>2157</v>
      </c>
      <c r="J2178" s="612">
        <f t="shared" si="521"/>
        <v>87735.974999999991</v>
      </c>
    </row>
    <row r="2179" spans="2:10">
      <c r="B2179" s="631">
        <v>45999</v>
      </c>
      <c r="C2179" s="630" t="s">
        <v>2002</v>
      </c>
      <c r="D2179" s="629">
        <v>2</v>
      </c>
      <c r="E2179" s="614">
        <v>510</v>
      </c>
      <c r="F2179" s="614">
        <f t="shared" si="518"/>
        <v>1020</v>
      </c>
      <c r="G2179" s="614">
        <v>3.5950000000000002</v>
      </c>
      <c r="H2179" s="614">
        <f t="shared" si="519"/>
        <v>1833.45</v>
      </c>
      <c r="I2179" s="614">
        <f t="shared" si="520"/>
        <v>3666.9</v>
      </c>
      <c r="J2179" s="612">
        <f t="shared" si="521"/>
        <v>91402.874999999985</v>
      </c>
    </row>
    <row r="2180" spans="2:10">
      <c r="B2180" s="631">
        <v>45999</v>
      </c>
      <c r="C2180" s="630" t="s">
        <v>2003</v>
      </c>
      <c r="D2180" s="629">
        <v>1</v>
      </c>
      <c r="E2180" s="614">
        <v>650</v>
      </c>
      <c r="F2180" s="614">
        <f t="shared" si="518"/>
        <v>650</v>
      </c>
      <c r="G2180" s="614">
        <v>3.5950000000000002</v>
      </c>
      <c r="H2180" s="614">
        <f t="shared" si="519"/>
        <v>2336.75</v>
      </c>
      <c r="I2180" s="614">
        <f t="shared" si="520"/>
        <v>2336.75</v>
      </c>
      <c r="J2180" s="612">
        <f t="shared" si="521"/>
        <v>93739.624999999985</v>
      </c>
    </row>
    <row r="2181" spans="2:10">
      <c r="B2181" s="631">
        <v>45999</v>
      </c>
      <c r="C2181" s="80" t="s">
        <v>1623</v>
      </c>
      <c r="D2181" s="629">
        <v>3</v>
      </c>
      <c r="E2181" s="614">
        <v>745</v>
      </c>
      <c r="F2181" s="614">
        <f t="shared" si="518"/>
        <v>2235</v>
      </c>
      <c r="G2181" s="614">
        <v>3.5950000000000002</v>
      </c>
      <c r="H2181" s="614">
        <f t="shared" si="519"/>
        <v>2678.2750000000001</v>
      </c>
      <c r="I2181" s="614">
        <f t="shared" si="520"/>
        <v>8034.8250000000007</v>
      </c>
      <c r="J2181" s="612">
        <f t="shared" si="521"/>
        <v>101774.44999999998</v>
      </c>
    </row>
    <row r="2182" spans="2:10">
      <c r="B2182" s="631">
        <v>45999</v>
      </c>
      <c r="C2182" s="80" t="s">
        <v>2004</v>
      </c>
      <c r="D2182" s="629">
        <v>1</v>
      </c>
      <c r="E2182" s="614">
        <v>850</v>
      </c>
      <c r="F2182" s="614">
        <f t="shared" si="518"/>
        <v>850</v>
      </c>
      <c r="G2182" s="614">
        <v>3.5950000000000002</v>
      </c>
      <c r="H2182" s="614">
        <f t="shared" si="519"/>
        <v>3055.75</v>
      </c>
      <c r="I2182" s="614">
        <f t="shared" si="520"/>
        <v>3055.75</v>
      </c>
      <c r="J2182" s="612">
        <f t="shared" si="521"/>
        <v>104830.19999999998</v>
      </c>
    </row>
    <row r="2183" spans="2:10">
      <c r="B2183" s="631">
        <v>45999</v>
      </c>
      <c r="C2183" s="80" t="s">
        <v>2005</v>
      </c>
      <c r="D2183" s="629">
        <v>1</v>
      </c>
      <c r="E2183" s="614">
        <v>710</v>
      </c>
      <c r="F2183" s="614">
        <f t="shared" si="518"/>
        <v>710</v>
      </c>
      <c r="G2183" s="614">
        <v>3.5950000000000002</v>
      </c>
      <c r="H2183" s="614">
        <f t="shared" si="519"/>
        <v>2552.4500000000003</v>
      </c>
      <c r="I2183" s="614">
        <f t="shared" si="520"/>
        <v>2552.4500000000003</v>
      </c>
      <c r="J2183" s="612">
        <f t="shared" si="521"/>
        <v>107382.64999999998</v>
      </c>
    </row>
    <row r="2184" spans="2:10">
      <c r="B2184" s="631">
        <v>45999</v>
      </c>
      <c r="C2184" s="80" t="s">
        <v>2006</v>
      </c>
      <c r="D2184" s="629">
        <v>3</v>
      </c>
      <c r="E2184" s="614">
        <v>1220</v>
      </c>
      <c r="F2184" s="614">
        <f t="shared" si="518"/>
        <v>3660</v>
      </c>
      <c r="G2184" s="614">
        <v>3.5950000000000002</v>
      </c>
      <c r="H2184" s="614">
        <f t="shared" si="519"/>
        <v>4385.9000000000005</v>
      </c>
      <c r="I2184" s="614">
        <f t="shared" si="520"/>
        <v>13157.7</v>
      </c>
      <c r="J2184" s="612">
        <f t="shared" si="521"/>
        <v>120540.34999999998</v>
      </c>
    </row>
    <row r="2185" spans="2:10">
      <c r="B2185" s="631">
        <v>45999</v>
      </c>
      <c r="C2185" s="630" t="s">
        <v>2007</v>
      </c>
      <c r="D2185" s="629">
        <v>21</v>
      </c>
      <c r="E2185" s="614">
        <v>970</v>
      </c>
      <c r="F2185" s="614">
        <f t="shared" si="518"/>
        <v>20370</v>
      </c>
      <c r="G2185" s="614">
        <v>3.5950000000000002</v>
      </c>
      <c r="H2185" s="614">
        <f t="shared" si="519"/>
        <v>3487.15</v>
      </c>
      <c r="I2185" s="614">
        <f t="shared" si="520"/>
        <v>73230.150000000009</v>
      </c>
      <c r="J2185" s="612">
        <f t="shared" si="521"/>
        <v>193770.5</v>
      </c>
    </row>
    <row r="2186" spans="2:10">
      <c r="B2186" s="631">
        <v>45999</v>
      </c>
      <c r="C2186" s="80" t="s">
        <v>2009</v>
      </c>
      <c r="D2186" s="629">
        <v>1</v>
      </c>
      <c r="E2186" s="614">
        <v>870</v>
      </c>
      <c r="F2186" s="614">
        <f t="shared" si="518"/>
        <v>870</v>
      </c>
      <c r="G2186" s="614">
        <v>3.5950000000000002</v>
      </c>
      <c r="H2186" s="614">
        <f t="shared" si="519"/>
        <v>3127.65</v>
      </c>
      <c r="I2186" s="614">
        <f t="shared" si="520"/>
        <v>3127.65</v>
      </c>
      <c r="J2186" s="612">
        <f t="shared" si="521"/>
        <v>196898.15</v>
      </c>
    </row>
    <row r="2187" spans="2:10">
      <c r="B2187" s="631">
        <v>45999</v>
      </c>
      <c r="C2187" s="80" t="s">
        <v>2008</v>
      </c>
      <c r="D2187" s="629">
        <v>1</v>
      </c>
      <c r="E2187" s="614">
        <v>920</v>
      </c>
      <c r="F2187" s="614">
        <f t="shared" si="518"/>
        <v>920</v>
      </c>
      <c r="G2187" s="614">
        <v>3.5950000000000002</v>
      </c>
      <c r="H2187" s="614">
        <f t="shared" si="519"/>
        <v>3307.4</v>
      </c>
      <c r="I2187" s="614">
        <f t="shared" si="520"/>
        <v>3307.4</v>
      </c>
      <c r="J2187" s="612">
        <f t="shared" si="521"/>
        <v>200205.55</v>
      </c>
    </row>
    <row r="2188" spans="2:10">
      <c r="B2188" s="631">
        <v>45999</v>
      </c>
      <c r="C2188" s="80" t="s">
        <v>2010</v>
      </c>
      <c r="D2188" s="629">
        <v>1</v>
      </c>
      <c r="E2188" s="614">
        <v>1080</v>
      </c>
      <c r="F2188" s="614">
        <f t="shared" si="518"/>
        <v>1080</v>
      </c>
      <c r="G2188" s="614">
        <v>3.5950000000000002</v>
      </c>
      <c r="H2188" s="614">
        <f t="shared" si="519"/>
        <v>3882.6000000000004</v>
      </c>
      <c r="I2188" s="614">
        <f t="shared" si="520"/>
        <v>3882.6000000000004</v>
      </c>
      <c r="J2188" s="612">
        <f t="shared" si="521"/>
        <v>204088.15</v>
      </c>
    </row>
    <row r="2189" spans="2:10">
      <c r="B2189" s="631">
        <v>45999</v>
      </c>
      <c r="C2189" s="80" t="s">
        <v>2011</v>
      </c>
      <c r="D2189" s="629">
        <v>1</v>
      </c>
      <c r="E2189" s="614">
        <v>1220</v>
      </c>
      <c r="F2189" s="614">
        <f t="shared" si="518"/>
        <v>1220</v>
      </c>
      <c r="G2189" s="614">
        <v>3.5950000000000002</v>
      </c>
      <c r="H2189" s="614">
        <f t="shared" si="519"/>
        <v>4385.9000000000005</v>
      </c>
      <c r="I2189" s="614">
        <f t="shared" si="520"/>
        <v>4385.9000000000005</v>
      </c>
      <c r="J2189" s="612">
        <f t="shared" si="521"/>
        <v>208474.05</v>
      </c>
    </row>
    <row r="2190" spans="2:10">
      <c r="B2190" s="631">
        <v>45999</v>
      </c>
      <c r="C2190" s="633" t="s">
        <v>2013</v>
      </c>
      <c r="D2190" s="614">
        <v>1</v>
      </c>
      <c r="E2190" s="614">
        <v>710</v>
      </c>
      <c r="F2190" s="614">
        <f t="shared" si="518"/>
        <v>710</v>
      </c>
      <c r="G2190" s="614">
        <v>3.5950000000000002</v>
      </c>
      <c r="H2190" s="614">
        <f>E2190*G2190</f>
        <v>2552.4500000000003</v>
      </c>
      <c r="I2190" s="614">
        <f>H2190*D2190</f>
        <v>2552.4500000000003</v>
      </c>
      <c r="J2190" s="612">
        <f>J2189+I2190</f>
        <v>211026.5</v>
      </c>
    </row>
    <row r="2195" spans="1:11" ht="21">
      <c r="A2195" s="611" t="s">
        <v>125</v>
      </c>
      <c r="B2195" s="1520" t="s">
        <v>1912</v>
      </c>
      <c r="C2195" s="1520"/>
      <c r="D2195" s="1520"/>
      <c r="E2195" s="1520"/>
      <c r="F2195" s="1520"/>
      <c r="G2195" s="1520"/>
      <c r="H2195" s="1520"/>
      <c r="I2195" s="1520"/>
      <c r="J2195" s="1520"/>
      <c r="K2195" t="s">
        <v>2033</v>
      </c>
    </row>
    <row r="2196" spans="1:11" ht="18.75">
      <c r="B2196" s="4" t="s">
        <v>1</v>
      </c>
      <c r="C2196" s="4" t="s">
        <v>2</v>
      </c>
      <c r="D2196" s="4" t="s">
        <v>3</v>
      </c>
      <c r="E2196" s="514" t="s">
        <v>132</v>
      </c>
      <c r="F2196" s="514" t="s">
        <v>133</v>
      </c>
      <c r="G2196" s="4" t="s">
        <v>5</v>
      </c>
      <c r="H2196" s="4" t="s">
        <v>6</v>
      </c>
      <c r="I2196" s="4" t="s">
        <v>7</v>
      </c>
      <c r="J2196" s="4"/>
    </row>
    <row r="2197" spans="1:11">
      <c r="B2197" s="631">
        <v>46000</v>
      </c>
      <c r="C2197" s="630" t="s">
        <v>2016</v>
      </c>
      <c r="D2197" s="629">
        <v>1</v>
      </c>
      <c r="E2197" s="614">
        <v>160</v>
      </c>
      <c r="F2197" s="614">
        <f>E2197*D2197</f>
        <v>160</v>
      </c>
      <c r="G2197" s="614">
        <v>3.5950000000000002</v>
      </c>
      <c r="H2197" s="614">
        <f>E2197*G2197</f>
        <v>575.20000000000005</v>
      </c>
      <c r="I2197" s="614">
        <f>H2197*D2197</f>
        <v>575.20000000000005</v>
      </c>
      <c r="J2197" s="612">
        <f>J2196+I2197</f>
        <v>575.20000000000005</v>
      </c>
    </row>
    <row r="2198" spans="1:11">
      <c r="B2198" s="631">
        <v>46000</v>
      </c>
      <c r="C2198" s="630" t="s">
        <v>1468</v>
      </c>
      <c r="D2198" s="629">
        <v>4</v>
      </c>
      <c r="E2198" s="614">
        <v>215</v>
      </c>
      <c r="F2198" s="614">
        <f t="shared" ref="F2198:F2205" si="522">E2198*D2198</f>
        <v>860</v>
      </c>
      <c r="G2198" s="614">
        <v>3.5950000000000002</v>
      </c>
      <c r="H2198" s="614">
        <f t="shared" ref="H2198:H2205" si="523">E2198*G2198</f>
        <v>772.92500000000007</v>
      </c>
      <c r="I2198" s="614">
        <f t="shared" ref="I2198:I2205" si="524">H2198*D2198</f>
        <v>3091.7000000000003</v>
      </c>
      <c r="J2198" s="612">
        <f t="shared" ref="J2198:J2205" si="525">J2197+I2198</f>
        <v>3666.9000000000005</v>
      </c>
    </row>
    <row r="2199" spans="1:11">
      <c r="B2199" s="631">
        <v>46000</v>
      </c>
      <c r="C2199" s="630" t="s">
        <v>1490</v>
      </c>
      <c r="D2199" s="629">
        <v>1</v>
      </c>
      <c r="E2199" s="614">
        <v>200</v>
      </c>
      <c r="F2199" s="614">
        <f t="shared" si="522"/>
        <v>200</v>
      </c>
      <c r="G2199" s="614">
        <v>3.5950000000000002</v>
      </c>
      <c r="H2199" s="614">
        <f t="shared" si="523"/>
        <v>719</v>
      </c>
      <c r="I2199" s="614">
        <f t="shared" si="524"/>
        <v>719</v>
      </c>
      <c r="J2199" s="612">
        <f t="shared" si="525"/>
        <v>4385.9000000000005</v>
      </c>
    </row>
    <row r="2200" spans="1:11">
      <c r="B2200" s="631">
        <v>46000</v>
      </c>
      <c r="C2200" s="630" t="s">
        <v>1387</v>
      </c>
      <c r="D2200" s="629">
        <v>1</v>
      </c>
      <c r="E2200" s="614">
        <v>320</v>
      </c>
      <c r="F2200" s="614">
        <f t="shared" si="522"/>
        <v>320</v>
      </c>
      <c r="G2200" s="614">
        <v>3.5950000000000002</v>
      </c>
      <c r="H2200" s="614">
        <f t="shared" si="523"/>
        <v>1150.4000000000001</v>
      </c>
      <c r="I2200" s="614">
        <f t="shared" si="524"/>
        <v>1150.4000000000001</v>
      </c>
      <c r="J2200" s="612">
        <f t="shared" si="525"/>
        <v>5536.3000000000011</v>
      </c>
    </row>
    <row r="2201" spans="1:11">
      <c r="B2201" s="631">
        <v>46000</v>
      </c>
      <c r="C2201" s="630" t="s">
        <v>920</v>
      </c>
      <c r="D2201" s="629">
        <v>1</v>
      </c>
      <c r="E2201" s="614">
        <v>400</v>
      </c>
      <c r="F2201" s="614">
        <f t="shared" si="522"/>
        <v>400</v>
      </c>
      <c r="G2201" s="614">
        <v>3.5950000000000002</v>
      </c>
      <c r="H2201" s="614">
        <f t="shared" si="523"/>
        <v>1438</v>
      </c>
      <c r="I2201" s="614">
        <f t="shared" si="524"/>
        <v>1438</v>
      </c>
      <c r="J2201" s="612">
        <f t="shared" si="525"/>
        <v>6974.3000000000011</v>
      </c>
    </row>
    <row r="2202" spans="1:11">
      <c r="B2202" s="631">
        <v>46000</v>
      </c>
      <c r="C2202" s="630" t="s">
        <v>1291</v>
      </c>
      <c r="D2202" s="629">
        <v>4</v>
      </c>
      <c r="E2202" s="614">
        <v>655</v>
      </c>
      <c r="F2202" s="614">
        <f t="shared" si="522"/>
        <v>2620</v>
      </c>
      <c r="G2202" s="614">
        <v>3.5950000000000002</v>
      </c>
      <c r="H2202" s="614">
        <f t="shared" si="523"/>
        <v>2354.7249999999999</v>
      </c>
      <c r="I2202" s="614">
        <f t="shared" si="524"/>
        <v>9418.9</v>
      </c>
      <c r="J2202" s="612">
        <f t="shared" si="525"/>
        <v>16393.2</v>
      </c>
    </row>
    <row r="2203" spans="1:11">
      <c r="B2203" s="631">
        <v>46000</v>
      </c>
      <c r="C2203" s="630" t="s">
        <v>2017</v>
      </c>
      <c r="D2203" s="629">
        <v>1</v>
      </c>
      <c r="E2203" s="614">
        <v>450</v>
      </c>
      <c r="F2203" s="614">
        <f t="shared" si="522"/>
        <v>450</v>
      </c>
      <c r="G2203" s="614">
        <v>3.5950000000000002</v>
      </c>
      <c r="H2203" s="614">
        <f t="shared" si="523"/>
        <v>1617.75</v>
      </c>
      <c r="I2203" s="614">
        <f t="shared" si="524"/>
        <v>1617.75</v>
      </c>
      <c r="J2203" s="612">
        <f t="shared" si="525"/>
        <v>18010.95</v>
      </c>
    </row>
    <row r="2204" spans="1:11">
      <c r="B2204" s="631">
        <v>46000</v>
      </c>
      <c r="C2204" s="630" t="s">
        <v>2018</v>
      </c>
      <c r="D2204" s="629">
        <v>1</v>
      </c>
      <c r="E2204" s="614">
        <v>900</v>
      </c>
      <c r="F2204" s="614">
        <f t="shared" si="522"/>
        <v>900</v>
      </c>
      <c r="G2204" s="614">
        <v>3.5950000000000002</v>
      </c>
      <c r="H2204" s="614">
        <f t="shared" si="523"/>
        <v>3235.5</v>
      </c>
      <c r="I2204" s="614">
        <f t="shared" si="524"/>
        <v>3235.5</v>
      </c>
      <c r="J2204" s="612">
        <f t="shared" si="525"/>
        <v>21246.45</v>
      </c>
    </row>
    <row r="2205" spans="1:11">
      <c r="B2205" s="631">
        <v>46000</v>
      </c>
      <c r="C2205" s="630" t="s">
        <v>1991</v>
      </c>
      <c r="D2205" s="629">
        <v>1</v>
      </c>
      <c r="E2205" s="614">
        <v>900</v>
      </c>
      <c r="F2205" s="614">
        <f t="shared" si="522"/>
        <v>900</v>
      </c>
      <c r="G2205" s="614">
        <v>3.5950000000000002</v>
      </c>
      <c r="H2205" s="614">
        <f t="shared" si="523"/>
        <v>3235.5</v>
      </c>
      <c r="I2205" s="614">
        <f t="shared" si="524"/>
        <v>3235.5</v>
      </c>
      <c r="J2205" s="612">
        <f t="shared" si="525"/>
        <v>24481.95</v>
      </c>
    </row>
    <row r="2206" spans="1:11">
      <c r="B2206" s="631">
        <v>46000</v>
      </c>
      <c r="C2206" s="630" t="s">
        <v>1993</v>
      </c>
      <c r="D2206" s="629">
        <v>1</v>
      </c>
      <c r="E2206" s="614">
        <v>900</v>
      </c>
      <c r="F2206" s="614">
        <f t="shared" ref="F2206:F2224" si="526">E2206*D2206</f>
        <v>900</v>
      </c>
      <c r="G2206" s="614">
        <v>3.5950000000000002</v>
      </c>
      <c r="H2206" s="614">
        <f t="shared" ref="H2206:H2221" si="527">E2206*G2206</f>
        <v>3235.5</v>
      </c>
      <c r="I2206" s="614">
        <f t="shared" ref="I2206:I2221" si="528">H2206*D2206</f>
        <v>3235.5</v>
      </c>
      <c r="J2206" s="612">
        <f t="shared" ref="J2206:J2221" si="529">J2205+I2206</f>
        <v>27717.45</v>
      </c>
    </row>
    <row r="2207" spans="1:11">
      <c r="B2207" s="631">
        <v>46000</v>
      </c>
      <c r="C2207" s="630" t="s">
        <v>1993</v>
      </c>
      <c r="D2207" s="629">
        <v>2</v>
      </c>
      <c r="E2207" s="614">
        <v>1100</v>
      </c>
      <c r="F2207" s="614">
        <f t="shared" si="526"/>
        <v>2200</v>
      </c>
      <c r="G2207" s="614">
        <v>3.5950000000000002</v>
      </c>
      <c r="H2207" s="614">
        <f t="shared" si="527"/>
        <v>3954.5</v>
      </c>
      <c r="I2207" s="614">
        <f t="shared" si="528"/>
        <v>7909</v>
      </c>
      <c r="J2207" s="612">
        <f t="shared" si="529"/>
        <v>35626.449999999997</v>
      </c>
    </row>
    <row r="2208" spans="1:11">
      <c r="B2208" s="631">
        <v>46000</v>
      </c>
      <c r="C2208" s="630" t="s">
        <v>2019</v>
      </c>
      <c r="D2208" s="629">
        <v>1</v>
      </c>
      <c r="E2208" s="614">
        <v>1300</v>
      </c>
      <c r="F2208" s="614">
        <f t="shared" si="526"/>
        <v>1300</v>
      </c>
      <c r="G2208" s="614">
        <v>3.5950000000000002</v>
      </c>
      <c r="H2208" s="614">
        <f t="shared" si="527"/>
        <v>4673.5</v>
      </c>
      <c r="I2208" s="614">
        <f t="shared" si="528"/>
        <v>4673.5</v>
      </c>
      <c r="J2208" s="612">
        <f t="shared" si="529"/>
        <v>40299.949999999997</v>
      </c>
    </row>
    <row r="2209" spans="2:10">
      <c r="B2209" s="631">
        <v>46000</v>
      </c>
      <c r="C2209" s="630" t="s">
        <v>1995</v>
      </c>
      <c r="D2209" s="629">
        <v>5</v>
      </c>
      <c r="E2209" s="614">
        <v>1100</v>
      </c>
      <c r="F2209" s="614">
        <f t="shared" si="526"/>
        <v>5500</v>
      </c>
      <c r="G2209" s="614">
        <v>3.5950000000000002</v>
      </c>
      <c r="H2209" s="614">
        <f t="shared" si="527"/>
        <v>3954.5</v>
      </c>
      <c r="I2209" s="614">
        <f t="shared" si="528"/>
        <v>19772.5</v>
      </c>
      <c r="J2209" s="612">
        <f t="shared" si="529"/>
        <v>60072.45</v>
      </c>
    </row>
    <row r="2210" spans="2:10">
      <c r="B2210" s="631">
        <v>46000</v>
      </c>
      <c r="C2210" s="630" t="s">
        <v>2020</v>
      </c>
      <c r="D2210" s="629">
        <v>8</v>
      </c>
      <c r="E2210" s="614">
        <v>440</v>
      </c>
      <c r="F2210" s="614">
        <f t="shared" si="526"/>
        <v>3520</v>
      </c>
      <c r="G2210" s="614">
        <v>3.5950000000000002</v>
      </c>
      <c r="H2210" s="614">
        <f t="shared" si="527"/>
        <v>1581.8000000000002</v>
      </c>
      <c r="I2210" s="614">
        <f t="shared" si="528"/>
        <v>12654.400000000001</v>
      </c>
      <c r="J2210" s="612">
        <f t="shared" si="529"/>
        <v>72726.850000000006</v>
      </c>
    </row>
    <row r="2211" spans="2:10">
      <c r="B2211" s="631">
        <v>46000</v>
      </c>
      <c r="C2211" s="630" t="s">
        <v>2021</v>
      </c>
      <c r="D2211" s="629">
        <v>2</v>
      </c>
      <c r="E2211" s="614">
        <v>725</v>
      </c>
      <c r="F2211" s="614">
        <f t="shared" si="526"/>
        <v>1450</v>
      </c>
      <c r="G2211" s="614">
        <v>3.5950000000000002</v>
      </c>
      <c r="H2211" s="614">
        <f t="shared" si="527"/>
        <v>2606.375</v>
      </c>
      <c r="I2211" s="614">
        <f t="shared" si="528"/>
        <v>5212.75</v>
      </c>
      <c r="J2211" s="612">
        <f t="shared" si="529"/>
        <v>77939.600000000006</v>
      </c>
    </row>
    <row r="2212" spans="2:10">
      <c r="B2212" s="631">
        <v>46000</v>
      </c>
      <c r="C2212" s="630" t="s">
        <v>2022</v>
      </c>
      <c r="D2212" s="629">
        <v>1</v>
      </c>
      <c r="E2212" s="614">
        <v>900</v>
      </c>
      <c r="F2212" s="614">
        <f t="shared" si="526"/>
        <v>900</v>
      </c>
      <c r="G2212" s="614">
        <v>3.5950000000000002</v>
      </c>
      <c r="H2212" s="614">
        <f t="shared" si="527"/>
        <v>3235.5</v>
      </c>
      <c r="I2212" s="614">
        <f t="shared" si="528"/>
        <v>3235.5</v>
      </c>
      <c r="J2212" s="612">
        <f t="shared" si="529"/>
        <v>81175.100000000006</v>
      </c>
    </row>
    <row r="2213" spans="2:10">
      <c r="B2213" s="631">
        <v>46000</v>
      </c>
      <c r="C2213" s="630" t="s">
        <v>2023</v>
      </c>
      <c r="D2213" s="629">
        <v>4</v>
      </c>
      <c r="E2213" s="614">
        <v>745</v>
      </c>
      <c r="F2213" s="614">
        <f t="shared" si="526"/>
        <v>2980</v>
      </c>
      <c r="G2213" s="614">
        <v>3.5950000000000002</v>
      </c>
      <c r="H2213" s="614">
        <f t="shared" si="527"/>
        <v>2678.2750000000001</v>
      </c>
      <c r="I2213" s="614">
        <f t="shared" si="528"/>
        <v>10713.1</v>
      </c>
      <c r="J2213" s="612">
        <f t="shared" si="529"/>
        <v>91888.200000000012</v>
      </c>
    </row>
    <row r="2214" spans="2:10">
      <c r="B2214" s="631">
        <v>46000</v>
      </c>
      <c r="C2214" s="630" t="s">
        <v>2024</v>
      </c>
      <c r="D2214" s="629">
        <v>1</v>
      </c>
      <c r="E2214" s="614">
        <v>800</v>
      </c>
      <c r="F2214" s="614">
        <f t="shared" si="526"/>
        <v>800</v>
      </c>
      <c r="G2214" s="614">
        <v>3.5950000000000002</v>
      </c>
      <c r="H2214" s="614">
        <f t="shared" si="527"/>
        <v>2876</v>
      </c>
      <c r="I2214" s="614">
        <f t="shared" si="528"/>
        <v>2876</v>
      </c>
      <c r="J2214" s="612">
        <f t="shared" si="529"/>
        <v>94764.200000000012</v>
      </c>
    </row>
    <row r="2215" spans="2:10">
      <c r="B2215" s="631">
        <v>46000</v>
      </c>
      <c r="C2215" s="630" t="s">
        <v>2008</v>
      </c>
      <c r="D2215" s="629">
        <v>23</v>
      </c>
      <c r="E2215" s="614">
        <v>960</v>
      </c>
      <c r="F2215" s="614">
        <f t="shared" si="526"/>
        <v>22080</v>
      </c>
      <c r="G2215" s="614">
        <v>3.5950000000000002</v>
      </c>
      <c r="H2215" s="614">
        <f t="shared" si="527"/>
        <v>3451.2000000000003</v>
      </c>
      <c r="I2215" s="614">
        <f t="shared" si="528"/>
        <v>79377.600000000006</v>
      </c>
      <c r="J2215" s="612">
        <f t="shared" si="529"/>
        <v>174141.80000000002</v>
      </c>
    </row>
    <row r="2216" spans="2:10">
      <c r="B2216" s="631">
        <v>46000</v>
      </c>
      <c r="C2216" s="630" t="s">
        <v>2025</v>
      </c>
      <c r="D2216" s="629">
        <v>5</v>
      </c>
      <c r="E2216" s="614">
        <v>1020</v>
      </c>
      <c r="F2216" s="614">
        <f t="shared" si="526"/>
        <v>5100</v>
      </c>
      <c r="G2216" s="614">
        <v>3.5950000000000002</v>
      </c>
      <c r="H2216" s="614">
        <f t="shared" si="527"/>
        <v>3666.9</v>
      </c>
      <c r="I2216" s="614">
        <f t="shared" si="528"/>
        <v>18334.5</v>
      </c>
      <c r="J2216" s="612">
        <f t="shared" si="529"/>
        <v>192476.30000000002</v>
      </c>
    </row>
    <row r="2217" spans="2:10">
      <c r="B2217" s="631">
        <v>46000</v>
      </c>
      <c r="C2217" s="630" t="s">
        <v>2025</v>
      </c>
      <c r="D2217" s="629">
        <v>1</v>
      </c>
      <c r="E2217" s="614">
        <v>960</v>
      </c>
      <c r="F2217" s="614">
        <f t="shared" si="526"/>
        <v>960</v>
      </c>
      <c r="G2217" s="614">
        <v>3.5950000000000002</v>
      </c>
      <c r="H2217" s="614">
        <f t="shared" si="527"/>
        <v>3451.2000000000003</v>
      </c>
      <c r="I2217" s="614">
        <f t="shared" si="528"/>
        <v>3451.2000000000003</v>
      </c>
      <c r="J2217" s="612">
        <f t="shared" si="529"/>
        <v>195927.50000000003</v>
      </c>
    </row>
    <row r="2218" spans="2:10">
      <c r="B2218" s="631">
        <v>46000</v>
      </c>
      <c r="C2218" s="630" t="s">
        <v>2011</v>
      </c>
      <c r="D2218" s="629">
        <v>1</v>
      </c>
      <c r="E2218" s="614">
        <v>1250</v>
      </c>
      <c r="F2218" s="614">
        <f t="shared" si="526"/>
        <v>1250</v>
      </c>
      <c r="G2218" s="614">
        <v>3.5950000000000002</v>
      </c>
      <c r="H2218" s="614">
        <f t="shared" si="527"/>
        <v>4493.75</v>
      </c>
      <c r="I2218" s="614">
        <f t="shared" si="528"/>
        <v>4493.75</v>
      </c>
      <c r="J2218" s="612">
        <f t="shared" si="529"/>
        <v>200421.25000000003</v>
      </c>
    </row>
    <row r="2219" spans="2:10">
      <c r="B2219" s="631">
        <v>46000</v>
      </c>
      <c r="C2219" s="630" t="s">
        <v>2008</v>
      </c>
      <c r="D2219" s="629">
        <v>7</v>
      </c>
      <c r="E2219" s="614">
        <v>960</v>
      </c>
      <c r="F2219" s="614">
        <f t="shared" si="526"/>
        <v>6720</v>
      </c>
      <c r="G2219" s="614">
        <v>3.5950000000000002</v>
      </c>
      <c r="H2219" s="614">
        <f t="shared" si="527"/>
        <v>3451.2000000000003</v>
      </c>
      <c r="I2219" s="614">
        <f t="shared" si="528"/>
        <v>24158.400000000001</v>
      </c>
      <c r="J2219" s="612">
        <f t="shared" si="529"/>
        <v>224579.65000000002</v>
      </c>
    </row>
    <row r="2220" spans="2:10">
      <c r="B2220" s="631">
        <v>46000</v>
      </c>
      <c r="C2220" s="630" t="s">
        <v>2026</v>
      </c>
      <c r="D2220" s="629">
        <v>1</v>
      </c>
      <c r="E2220" s="614">
        <v>1450</v>
      </c>
      <c r="F2220" s="614">
        <f t="shared" si="526"/>
        <v>1450</v>
      </c>
      <c r="G2220" s="614">
        <v>3.5950000000000002</v>
      </c>
      <c r="H2220" s="614">
        <f t="shared" si="527"/>
        <v>5212.75</v>
      </c>
      <c r="I2220" s="614">
        <f t="shared" si="528"/>
        <v>5212.75</v>
      </c>
      <c r="J2220" s="612">
        <f t="shared" si="529"/>
        <v>229792.40000000002</v>
      </c>
    </row>
    <row r="2221" spans="2:10">
      <c r="B2221" s="631">
        <v>46000</v>
      </c>
      <c r="C2221" s="630" t="s">
        <v>2027</v>
      </c>
      <c r="D2221" s="629">
        <v>3</v>
      </c>
      <c r="E2221" s="614">
        <v>780</v>
      </c>
      <c r="F2221" s="614">
        <f t="shared" si="526"/>
        <v>2340</v>
      </c>
      <c r="G2221" s="614">
        <v>3.5950000000000002</v>
      </c>
      <c r="H2221" s="614">
        <f t="shared" si="527"/>
        <v>2804.1000000000004</v>
      </c>
      <c r="I2221" s="614">
        <f t="shared" si="528"/>
        <v>8412.3000000000011</v>
      </c>
      <c r="J2221" s="612">
        <f t="shared" si="529"/>
        <v>238204.7</v>
      </c>
    </row>
    <row r="2222" spans="2:10">
      <c r="B2222" s="631">
        <v>46000</v>
      </c>
      <c r="C2222" s="630" t="s">
        <v>2028</v>
      </c>
      <c r="D2222" s="629">
        <v>1</v>
      </c>
      <c r="E2222" s="614">
        <v>1000</v>
      </c>
      <c r="F2222" s="614">
        <f t="shared" si="526"/>
        <v>1000</v>
      </c>
      <c r="G2222" s="614">
        <v>3.5950000000000002</v>
      </c>
      <c r="H2222" s="614">
        <f>E2222*G2222</f>
        <v>3595</v>
      </c>
      <c r="I2222" s="614">
        <f>H2222*D2222</f>
        <v>3595</v>
      </c>
      <c r="J2222" s="612">
        <f>J2221+I2222</f>
        <v>241799.7</v>
      </c>
    </row>
    <row r="2223" spans="2:10">
      <c r="B2223" s="631">
        <v>46000</v>
      </c>
      <c r="C2223" s="630" t="s">
        <v>2029</v>
      </c>
      <c r="D2223" s="629">
        <v>4</v>
      </c>
      <c r="E2223" s="614">
        <v>425</v>
      </c>
      <c r="F2223" s="614">
        <f t="shared" si="526"/>
        <v>1700</v>
      </c>
      <c r="G2223" s="614">
        <v>3.5950000000000002</v>
      </c>
      <c r="H2223" s="614">
        <f>E2223*G2223</f>
        <v>1527.875</v>
      </c>
      <c r="I2223" s="614">
        <f>H2223*D2223</f>
        <v>6111.5</v>
      </c>
      <c r="J2223" s="612">
        <f>J2222+I2223</f>
        <v>247911.2</v>
      </c>
    </row>
    <row r="2224" spans="2:10">
      <c r="B2224" s="614"/>
      <c r="C2224" s="384"/>
      <c r="D2224" s="614"/>
      <c r="E2224" s="614"/>
      <c r="F2224" s="614">
        <f t="shared" si="526"/>
        <v>0</v>
      </c>
      <c r="G2224" s="614"/>
      <c r="H2224" s="614">
        <f>E2224*G2224</f>
        <v>0</v>
      </c>
      <c r="I2224" s="614">
        <f>H2224*D2224</f>
        <v>0</v>
      </c>
      <c r="J2224" s="612">
        <f>J2223+I2224</f>
        <v>247911.2</v>
      </c>
    </row>
    <row r="2228" spans="1:10" ht="21">
      <c r="A2228" s="611" t="s">
        <v>125</v>
      </c>
      <c r="B2228" s="1520" t="s">
        <v>20</v>
      </c>
      <c r="C2228" s="1520"/>
      <c r="D2228" s="1520"/>
      <c r="E2228" s="1520"/>
      <c r="F2228" s="1520"/>
      <c r="G2228" s="1520"/>
      <c r="H2228" s="1520"/>
      <c r="I2228" s="1520"/>
      <c r="J2228" s="1520"/>
    </row>
    <row r="2229" spans="1:10" ht="18.75">
      <c r="A2229" t="s">
        <v>212</v>
      </c>
      <c r="B2229" s="4" t="s">
        <v>1</v>
      </c>
      <c r="C2229" s="4" t="s">
        <v>2</v>
      </c>
      <c r="D2229" s="4" t="s">
        <v>3</v>
      </c>
      <c r="E2229" s="4" t="s">
        <v>4</v>
      </c>
      <c r="F2229" s="4" t="s">
        <v>36</v>
      </c>
      <c r="G2229" s="4" t="s">
        <v>5</v>
      </c>
      <c r="H2229" s="4" t="s">
        <v>6</v>
      </c>
      <c r="I2229" s="4" t="s">
        <v>7</v>
      </c>
      <c r="J2229" s="4"/>
    </row>
    <row r="2230" spans="1:10">
      <c r="B2230" s="634">
        <v>45995</v>
      </c>
      <c r="C2230" s="284" t="s">
        <v>1959</v>
      </c>
      <c r="D2230" s="384">
        <v>1</v>
      </c>
      <c r="E2230" s="635">
        <v>299</v>
      </c>
      <c r="F2230" s="614">
        <f>E2230*D2230</f>
        <v>299</v>
      </c>
      <c r="G2230" s="614">
        <v>2.3955000000000002</v>
      </c>
      <c r="H2230" s="614">
        <f>E2230*G2230</f>
        <v>716.25450000000001</v>
      </c>
      <c r="I2230" s="614">
        <f>H2230*D2230</f>
        <v>716.25450000000001</v>
      </c>
      <c r="J2230" s="612">
        <f>J2229+I2230</f>
        <v>716.25450000000001</v>
      </c>
    </row>
    <row r="2231" spans="1:10">
      <c r="B2231" s="616">
        <v>45995</v>
      </c>
      <c r="C2231" s="612" t="s">
        <v>1945</v>
      </c>
      <c r="D2231" s="614">
        <v>2</v>
      </c>
      <c r="E2231" s="621">
        <v>399</v>
      </c>
      <c r="F2231" s="614">
        <f t="shared" ref="F2231:F2238" si="530">E2231*D2231</f>
        <v>798</v>
      </c>
      <c r="G2231" s="614">
        <v>2.3955000000000002</v>
      </c>
      <c r="H2231" s="614">
        <f t="shared" ref="H2231:H2238" si="531">E2231*G2231</f>
        <v>955.80450000000008</v>
      </c>
      <c r="I2231" s="614">
        <f t="shared" ref="I2231:I2238" si="532">H2231*D2231</f>
        <v>1911.6090000000002</v>
      </c>
      <c r="J2231" s="612">
        <f t="shared" ref="J2231:J2238" si="533">J2230+I2231</f>
        <v>2627.8635000000004</v>
      </c>
    </row>
    <row r="2232" spans="1:10">
      <c r="B2232" s="616">
        <v>45995</v>
      </c>
      <c r="C2232" s="612" t="s">
        <v>2036</v>
      </c>
      <c r="D2232" s="614">
        <v>3</v>
      </c>
      <c r="E2232" s="621">
        <v>419</v>
      </c>
      <c r="F2232" s="614">
        <f t="shared" si="530"/>
        <v>1257</v>
      </c>
      <c r="G2232" s="614">
        <v>2.3955000000000002</v>
      </c>
      <c r="H2232" s="614">
        <f t="shared" si="531"/>
        <v>1003.7145</v>
      </c>
      <c r="I2232" s="614">
        <f t="shared" si="532"/>
        <v>3011.1435000000001</v>
      </c>
      <c r="J2232" s="612">
        <f t="shared" si="533"/>
        <v>5639.0070000000005</v>
      </c>
    </row>
    <row r="2233" spans="1:10">
      <c r="B2233" s="616">
        <v>45995</v>
      </c>
      <c r="C2233" s="612" t="s">
        <v>2037</v>
      </c>
      <c r="D2233" s="614">
        <v>2</v>
      </c>
      <c r="E2233" s="621">
        <v>299</v>
      </c>
      <c r="F2233" s="614">
        <f t="shared" si="530"/>
        <v>598</v>
      </c>
      <c r="G2233" s="614">
        <v>2.3955000000000002</v>
      </c>
      <c r="H2233" s="614">
        <f t="shared" si="531"/>
        <v>716.25450000000001</v>
      </c>
      <c r="I2233" s="614">
        <f t="shared" si="532"/>
        <v>1432.509</v>
      </c>
      <c r="J2233" s="612">
        <f t="shared" si="533"/>
        <v>7071.5160000000005</v>
      </c>
    </row>
    <row r="2234" spans="1:10">
      <c r="B2234" s="616">
        <v>45995</v>
      </c>
      <c r="C2234" s="612" t="s">
        <v>2038</v>
      </c>
      <c r="D2234" s="614">
        <v>2</v>
      </c>
      <c r="E2234" s="621">
        <v>398</v>
      </c>
      <c r="F2234" s="614">
        <f t="shared" si="530"/>
        <v>796</v>
      </c>
      <c r="G2234" s="614">
        <v>2.3955000000000002</v>
      </c>
      <c r="H2234" s="614">
        <f t="shared" si="531"/>
        <v>953.40900000000011</v>
      </c>
      <c r="I2234" s="614">
        <f t="shared" si="532"/>
        <v>1906.8180000000002</v>
      </c>
      <c r="J2234" s="612">
        <f t="shared" si="533"/>
        <v>8978.3340000000007</v>
      </c>
    </row>
    <row r="2235" spans="1:10">
      <c r="B2235" s="616">
        <v>45995</v>
      </c>
      <c r="C2235" s="612" t="s">
        <v>2039</v>
      </c>
      <c r="D2235" s="614">
        <v>2</v>
      </c>
      <c r="E2235" s="621">
        <v>398</v>
      </c>
      <c r="F2235" s="614">
        <f t="shared" si="530"/>
        <v>796</v>
      </c>
      <c r="G2235" s="614">
        <v>2.3955000000000002</v>
      </c>
      <c r="H2235" s="614">
        <f t="shared" si="531"/>
        <v>953.40900000000011</v>
      </c>
      <c r="I2235" s="614">
        <f t="shared" si="532"/>
        <v>1906.8180000000002</v>
      </c>
      <c r="J2235" s="612">
        <f t="shared" si="533"/>
        <v>10885.152000000002</v>
      </c>
    </row>
    <row r="2236" spans="1:10">
      <c r="B2236" s="616">
        <v>45995</v>
      </c>
      <c r="C2236" s="612" t="s">
        <v>2039</v>
      </c>
      <c r="D2236" s="614">
        <v>2</v>
      </c>
      <c r="E2236" s="621">
        <v>398</v>
      </c>
      <c r="F2236" s="614">
        <f t="shared" si="530"/>
        <v>796</v>
      </c>
      <c r="G2236" s="614">
        <v>2.3955000000000002</v>
      </c>
      <c r="H2236" s="614">
        <f t="shared" si="531"/>
        <v>953.40900000000011</v>
      </c>
      <c r="I2236" s="614">
        <f t="shared" si="532"/>
        <v>1906.8180000000002</v>
      </c>
      <c r="J2236" s="612">
        <f t="shared" si="533"/>
        <v>12791.970000000001</v>
      </c>
    </row>
    <row r="2237" spans="1:10">
      <c r="B2237" s="616">
        <v>45995</v>
      </c>
      <c r="C2237" s="612" t="s">
        <v>2040</v>
      </c>
      <c r="D2237" s="614">
        <v>1</v>
      </c>
      <c r="E2237" s="621">
        <v>399</v>
      </c>
      <c r="F2237" s="614">
        <f t="shared" si="530"/>
        <v>399</v>
      </c>
      <c r="G2237" s="614">
        <v>2.3955000000000002</v>
      </c>
      <c r="H2237" s="614">
        <f t="shared" si="531"/>
        <v>955.80450000000008</v>
      </c>
      <c r="I2237" s="614">
        <f t="shared" si="532"/>
        <v>955.80450000000008</v>
      </c>
      <c r="J2237" s="612">
        <f t="shared" si="533"/>
        <v>13747.774500000001</v>
      </c>
    </row>
    <row r="2238" spans="1:10">
      <c r="B2238" s="616">
        <v>45995</v>
      </c>
      <c r="C2238" s="612" t="s">
        <v>2041</v>
      </c>
      <c r="D2238" s="614">
        <v>1</v>
      </c>
      <c r="E2238" s="621">
        <v>299</v>
      </c>
      <c r="F2238" s="614">
        <f t="shared" si="530"/>
        <v>299</v>
      </c>
      <c r="G2238" s="614">
        <v>2.3955000000000002</v>
      </c>
      <c r="H2238" s="614">
        <f t="shared" si="531"/>
        <v>716.25450000000001</v>
      </c>
      <c r="I2238" s="614">
        <f t="shared" si="532"/>
        <v>716.25450000000001</v>
      </c>
      <c r="J2238" s="612">
        <f t="shared" si="533"/>
        <v>14464.029000000002</v>
      </c>
    </row>
    <row r="2239" spans="1:10">
      <c r="B2239" s="616">
        <v>45995</v>
      </c>
      <c r="C2239" s="612" t="s">
        <v>1769</v>
      </c>
      <c r="D2239" s="614">
        <v>5</v>
      </c>
      <c r="E2239" s="621">
        <v>125</v>
      </c>
      <c r="F2239" s="614">
        <f t="shared" ref="F2239:F2244" si="534">E2239*D2239</f>
        <v>625</v>
      </c>
      <c r="G2239" s="614">
        <v>2.3955000000000002</v>
      </c>
      <c r="H2239" s="614">
        <f t="shared" ref="H2239:H2244" si="535">E2239*G2239</f>
        <v>299.4375</v>
      </c>
      <c r="I2239" s="614">
        <f t="shared" ref="I2239:I2244" si="536">H2239*D2239</f>
        <v>1497.1875</v>
      </c>
      <c r="J2239" s="612">
        <f t="shared" ref="J2239:J2244" si="537">J2238+I2239</f>
        <v>15961.216500000002</v>
      </c>
    </row>
    <row r="2240" spans="1:10">
      <c r="B2240" s="585">
        <v>45995</v>
      </c>
      <c r="C2240" s="110" t="s">
        <v>2043</v>
      </c>
      <c r="D2240" s="127">
        <v>1</v>
      </c>
      <c r="E2240" s="623">
        <v>299</v>
      </c>
      <c r="F2240" s="127">
        <f t="shared" si="534"/>
        <v>299</v>
      </c>
      <c r="G2240" s="614">
        <v>2.3955000000000002</v>
      </c>
      <c r="H2240" s="127">
        <f t="shared" si="535"/>
        <v>716.25450000000001</v>
      </c>
      <c r="I2240" s="127">
        <f t="shared" si="536"/>
        <v>716.25450000000001</v>
      </c>
      <c r="J2240" s="110">
        <f t="shared" si="537"/>
        <v>16677.471000000001</v>
      </c>
    </row>
    <row r="2241" spans="1:10">
      <c r="B2241" s="616">
        <v>45995</v>
      </c>
      <c r="C2241" s="612" t="s">
        <v>2042</v>
      </c>
      <c r="D2241" s="614">
        <v>4</v>
      </c>
      <c r="E2241" s="621">
        <v>419</v>
      </c>
      <c r="F2241" s="614">
        <f t="shared" si="534"/>
        <v>1676</v>
      </c>
      <c r="G2241" s="614">
        <v>2.3955000000000002</v>
      </c>
      <c r="H2241" s="614">
        <f t="shared" si="535"/>
        <v>1003.7145</v>
      </c>
      <c r="I2241" s="614">
        <f t="shared" si="536"/>
        <v>4014.8580000000002</v>
      </c>
      <c r="J2241" s="612">
        <f t="shared" si="537"/>
        <v>20692.329000000002</v>
      </c>
    </row>
    <row r="2242" spans="1:10">
      <c r="B2242" s="616">
        <v>45995</v>
      </c>
      <c r="C2242" s="612" t="s">
        <v>2041</v>
      </c>
      <c r="D2242" s="614">
        <v>1</v>
      </c>
      <c r="E2242" s="621">
        <v>299</v>
      </c>
      <c r="F2242" s="614">
        <f t="shared" si="534"/>
        <v>299</v>
      </c>
      <c r="G2242" s="614">
        <v>2.3955000000000002</v>
      </c>
      <c r="H2242" s="614">
        <f t="shared" si="535"/>
        <v>716.25450000000001</v>
      </c>
      <c r="I2242" s="614">
        <f t="shared" si="536"/>
        <v>716.25450000000001</v>
      </c>
      <c r="J2242" s="612">
        <f t="shared" si="537"/>
        <v>21408.583500000001</v>
      </c>
    </row>
    <row r="2243" spans="1:10">
      <c r="B2243" s="585">
        <v>45995</v>
      </c>
      <c r="C2243" s="110" t="s">
        <v>2044</v>
      </c>
      <c r="D2243" s="127">
        <v>2</v>
      </c>
      <c r="E2243" s="623">
        <v>479</v>
      </c>
      <c r="F2243" s="127">
        <f t="shared" si="534"/>
        <v>958</v>
      </c>
      <c r="G2243" s="614">
        <v>2.3955000000000002</v>
      </c>
      <c r="H2243" s="127">
        <f t="shared" si="535"/>
        <v>1147.4445000000001</v>
      </c>
      <c r="I2243" s="127">
        <f t="shared" si="536"/>
        <v>2294.8890000000001</v>
      </c>
      <c r="J2243" s="110">
        <f t="shared" si="537"/>
        <v>23703.4725</v>
      </c>
    </row>
    <row r="2244" spans="1:10">
      <c r="B2244" s="594">
        <v>45995</v>
      </c>
      <c r="C2244" s="296" t="s">
        <v>2035</v>
      </c>
      <c r="D2244" s="596"/>
      <c r="E2244" s="637">
        <v>221</v>
      </c>
      <c r="F2244" s="596">
        <f t="shared" si="534"/>
        <v>0</v>
      </c>
      <c r="G2244" s="596">
        <v>2.3955000000000002</v>
      </c>
      <c r="H2244" s="596">
        <f t="shared" si="535"/>
        <v>529.40550000000007</v>
      </c>
      <c r="I2244" s="596">
        <f t="shared" si="536"/>
        <v>0</v>
      </c>
      <c r="J2244" s="296">
        <f t="shared" si="537"/>
        <v>23703.4725</v>
      </c>
    </row>
    <row r="2248" spans="1:10" ht="21">
      <c r="A2248" s="611" t="s">
        <v>125</v>
      </c>
      <c r="B2248" s="1520" t="s">
        <v>20</v>
      </c>
      <c r="C2248" s="1520"/>
      <c r="D2248" s="1520"/>
      <c r="E2248" s="1520"/>
      <c r="F2248" s="1520"/>
      <c r="G2248" s="1520"/>
      <c r="H2248" s="1520"/>
      <c r="I2248" s="1520"/>
      <c r="J2248" s="1520"/>
    </row>
    <row r="2249" spans="1:10" ht="18.75">
      <c r="A2249" s="611" t="s">
        <v>212</v>
      </c>
      <c r="B2249" s="4" t="s">
        <v>1</v>
      </c>
      <c r="C2249" s="4" t="s">
        <v>2</v>
      </c>
      <c r="D2249" s="4" t="s">
        <v>3</v>
      </c>
      <c r="E2249" s="4" t="s">
        <v>4</v>
      </c>
      <c r="F2249" s="4" t="s">
        <v>36</v>
      </c>
      <c r="G2249" s="4" t="s">
        <v>5</v>
      </c>
      <c r="H2249" s="4" t="s">
        <v>6</v>
      </c>
      <c r="I2249" s="4" t="s">
        <v>7</v>
      </c>
      <c r="J2249" s="4"/>
    </row>
    <row r="2250" spans="1:10">
      <c r="B2250" s="634">
        <v>45996</v>
      </c>
      <c r="C2250" s="284" t="s">
        <v>1769</v>
      </c>
      <c r="D2250" s="384">
        <v>2</v>
      </c>
      <c r="E2250" s="635">
        <v>125</v>
      </c>
      <c r="F2250" s="614">
        <f>E2250*D2250</f>
        <v>250</v>
      </c>
      <c r="G2250" s="614">
        <v>2.3955000000000002</v>
      </c>
      <c r="H2250" s="614">
        <f>E2250*G2250</f>
        <v>299.4375</v>
      </c>
      <c r="I2250" s="614">
        <f>H2250*D2250</f>
        <v>598.875</v>
      </c>
      <c r="J2250" s="612">
        <f>J2249+I2250</f>
        <v>598.875</v>
      </c>
    </row>
    <row r="2251" spans="1:10">
      <c r="B2251" s="616">
        <v>45996</v>
      </c>
      <c r="C2251" s="612" t="s">
        <v>1860</v>
      </c>
      <c r="D2251" s="614">
        <v>3</v>
      </c>
      <c r="E2251" s="621">
        <v>329</v>
      </c>
      <c r="F2251" s="614">
        <f t="shared" ref="F2251:F2258" si="538">E2251*D2251</f>
        <v>987</v>
      </c>
      <c r="G2251" s="614">
        <v>2.3955000000000002</v>
      </c>
      <c r="H2251" s="614">
        <f t="shared" ref="H2251:H2258" si="539">E2251*G2251</f>
        <v>788.11950000000002</v>
      </c>
      <c r="I2251" s="614">
        <f t="shared" ref="I2251:I2258" si="540">H2251*D2251</f>
        <v>2364.3585000000003</v>
      </c>
      <c r="J2251" s="612">
        <f t="shared" ref="J2251:J2258" si="541">J2250+I2251</f>
        <v>2963.2335000000003</v>
      </c>
    </row>
    <row r="2252" spans="1:10">
      <c r="B2252" s="616">
        <v>45996</v>
      </c>
      <c r="C2252" s="612" t="s">
        <v>2045</v>
      </c>
      <c r="D2252" s="614">
        <v>1</v>
      </c>
      <c r="E2252" s="621">
        <v>429</v>
      </c>
      <c r="F2252" s="614">
        <f t="shared" si="538"/>
        <v>429</v>
      </c>
      <c r="G2252" s="614">
        <v>2.3955000000000002</v>
      </c>
      <c r="H2252" s="614">
        <f t="shared" si="539"/>
        <v>1027.6695</v>
      </c>
      <c r="I2252" s="614">
        <f t="shared" si="540"/>
        <v>1027.6695</v>
      </c>
      <c r="J2252" s="612">
        <f t="shared" si="541"/>
        <v>3990.9030000000002</v>
      </c>
    </row>
    <row r="2253" spans="1:10">
      <c r="B2253" s="616">
        <v>45996</v>
      </c>
      <c r="C2253" s="612" t="s">
        <v>2046</v>
      </c>
      <c r="D2253" s="614">
        <v>2</v>
      </c>
      <c r="E2253" s="621">
        <v>629</v>
      </c>
      <c r="F2253" s="614">
        <f t="shared" si="538"/>
        <v>1258</v>
      </c>
      <c r="G2253" s="614">
        <v>2.3955000000000002</v>
      </c>
      <c r="H2253" s="614">
        <f t="shared" si="539"/>
        <v>1506.7695000000001</v>
      </c>
      <c r="I2253" s="614">
        <f t="shared" si="540"/>
        <v>3013.5390000000002</v>
      </c>
      <c r="J2253" s="612">
        <f t="shared" si="541"/>
        <v>7004.4420000000009</v>
      </c>
    </row>
    <row r="2254" spans="1:10">
      <c r="B2254" s="616">
        <v>45996</v>
      </c>
      <c r="C2254" s="612" t="s">
        <v>2047</v>
      </c>
      <c r="D2254" s="614">
        <v>2</v>
      </c>
      <c r="E2254" s="621">
        <v>398</v>
      </c>
      <c r="F2254" s="614">
        <f t="shared" si="538"/>
        <v>796</v>
      </c>
      <c r="G2254" s="614">
        <v>2.3955000000000002</v>
      </c>
      <c r="H2254" s="614">
        <f t="shared" si="539"/>
        <v>953.40900000000011</v>
      </c>
      <c r="I2254" s="614">
        <f t="shared" si="540"/>
        <v>1906.8180000000002</v>
      </c>
      <c r="J2254" s="612">
        <f t="shared" si="541"/>
        <v>8911.260000000002</v>
      </c>
    </row>
    <row r="2255" spans="1:10">
      <c r="B2255" s="616">
        <v>45996</v>
      </c>
      <c r="C2255" s="612" t="s">
        <v>2048</v>
      </c>
      <c r="D2255" s="614">
        <v>4</v>
      </c>
      <c r="E2255" s="621">
        <v>398</v>
      </c>
      <c r="F2255" s="614">
        <f t="shared" si="538"/>
        <v>1592</v>
      </c>
      <c r="G2255" s="614">
        <v>2.3955000000000002</v>
      </c>
      <c r="H2255" s="614">
        <f t="shared" si="539"/>
        <v>953.40900000000011</v>
      </c>
      <c r="I2255" s="614">
        <f t="shared" si="540"/>
        <v>3813.6360000000004</v>
      </c>
      <c r="J2255" s="612">
        <f t="shared" si="541"/>
        <v>12724.896000000002</v>
      </c>
    </row>
    <row r="2256" spans="1:10">
      <c r="B2256" s="616">
        <v>45996</v>
      </c>
      <c r="C2256" s="612" t="s">
        <v>2049</v>
      </c>
      <c r="D2256" s="614">
        <v>2</v>
      </c>
      <c r="E2256" s="621">
        <v>398</v>
      </c>
      <c r="F2256" s="614">
        <f t="shared" si="538"/>
        <v>796</v>
      </c>
      <c r="G2256" s="614">
        <v>2.3955000000000002</v>
      </c>
      <c r="H2256" s="614">
        <f t="shared" si="539"/>
        <v>953.40900000000011</v>
      </c>
      <c r="I2256" s="614">
        <f t="shared" si="540"/>
        <v>1906.8180000000002</v>
      </c>
      <c r="J2256" s="612">
        <f t="shared" si="541"/>
        <v>14631.714000000004</v>
      </c>
    </row>
    <row r="2257" spans="1:10">
      <c r="B2257" s="616">
        <v>45997</v>
      </c>
      <c r="C2257" s="612" t="s">
        <v>2050</v>
      </c>
      <c r="D2257" s="614">
        <v>20</v>
      </c>
      <c r="E2257" s="621">
        <v>380</v>
      </c>
      <c r="F2257" s="614">
        <f t="shared" si="538"/>
        <v>7600</v>
      </c>
      <c r="G2257" s="614">
        <v>2.3955000000000002</v>
      </c>
      <c r="H2257" s="614">
        <f t="shared" si="539"/>
        <v>910.29000000000008</v>
      </c>
      <c r="I2257" s="614">
        <f t="shared" si="540"/>
        <v>18205.800000000003</v>
      </c>
      <c r="J2257" s="612">
        <f t="shared" si="541"/>
        <v>32837.51400000001</v>
      </c>
    </row>
    <row r="2258" spans="1:10">
      <c r="B2258" s="616">
        <v>45998</v>
      </c>
      <c r="C2258" s="612" t="s">
        <v>2051</v>
      </c>
      <c r="D2258" s="614">
        <v>4</v>
      </c>
      <c r="E2258" s="621">
        <v>398</v>
      </c>
      <c r="F2258" s="614">
        <f t="shared" si="538"/>
        <v>1592</v>
      </c>
      <c r="G2258" s="614">
        <v>2.3955000000000002</v>
      </c>
      <c r="H2258" s="614">
        <f t="shared" si="539"/>
        <v>953.40900000000011</v>
      </c>
      <c r="I2258" s="614">
        <f t="shared" si="540"/>
        <v>3813.6360000000004</v>
      </c>
      <c r="J2258" s="612">
        <f t="shared" si="541"/>
        <v>36651.150000000009</v>
      </c>
    </row>
    <row r="2259" spans="1:10">
      <c r="B2259" s="616">
        <v>45998</v>
      </c>
      <c r="C2259" s="612" t="s">
        <v>2052</v>
      </c>
      <c r="D2259" s="614">
        <v>2</v>
      </c>
      <c r="E2259" s="621">
        <v>398</v>
      </c>
      <c r="F2259" s="614">
        <f>E2259*D2259</f>
        <v>796</v>
      </c>
      <c r="G2259" s="614">
        <v>2.3955000000000002</v>
      </c>
      <c r="H2259" s="614">
        <f>E2259*G2259</f>
        <v>953.40900000000011</v>
      </c>
      <c r="I2259" s="614">
        <f>H2259*D2259</f>
        <v>1906.8180000000002</v>
      </c>
      <c r="J2259" s="612">
        <f>J2258+I2259</f>
        <v>38557.968000000008</v>
      </c>
    </row>
    <row r="2260" spans="1:10">
      <c r="B2260" s="616">
        <v>45998</v>
      </c>
      <c r="C2260" s="612" t="s">
        <v>2053</v>
      </c>
      <c r="D2260" s="614">
        <v>2</v>
      </c>
      <c r="E2260" s="621">
        <v>398</v>
      </c>
      <c r="F2260" s="614">
        <f>E2260*D2260</f>
        <v>796</v>
      </c>
      <c r="G2260" s="614">
        <v>2.3955000000000002</v>
      </c>
      <c r="H2260" s="614">
        <f>E2260*G2260</f>
        <v>953.40900000000011</v>
      </c>
      <c r="I2260" s="614">
        <f>H2260*D2260</f>
        <v>1906.8180000000002</v>
      </c>
      <c r="J2260" s="612">
        <f>J2259+I2260</f>
        <v>40464.786000000007</v>
      </c>
    </row>
    <row r="2261" spans="1:10">
      <c r="B2261" s="616">
        <v>45998</v>
      </c>
      <c r="C2261" s="612" t="s">
        <v>2053</v>
      </c>
      <c r="D2261" s="614">
        <v>2</v>
      </c>
      <c r="E2261" s="621">
        <v>398</v>
      </c>
      <c r="F2261" s="614">
        <f>E2261*D2261</f>
        <v>796</v>
      </c>
      <c r="G2261" s="614">
        <v>2.3955000000000002</v>
      </c>
      <c r="H2261" s="614">
        <f>E2261*G2261</f>
        <v>953.40900000000011</v>
      </c>
      <c r="I2261" s="614">
        <f>H2261*D2261</f>
        <v>1906.8180000000002</v>
      </c>
      <c r="J2261" s="612">
        <f>J2260+I2261</f>
        <v>42371.604000000007</v>
      </c>
    </row>
    <row r="2262" spans="1:10">
      <c r="B2262" s="616">
        <v>45998</v>
      </c>
      <c r="C2262" s="612" t="s">
        <v>2054</v>
      </c>
      <c r="D2262" s="614">
        <v>3</v>
      </c>
      <c r="E2262" s="621">
        <v>1400</v>
      </c>
      <c r="F2262" s="614">
        <f>E2262*D2262</f>
        <v>4200</v>
      </c>
      <c r="G2262" s="614">
        <v>2.3955000000000002</v>
      </c>
      <c r="H2262" s="614">
        <f>E2262*G2262</f>
        <v>3353.7000000000003</v>
      </c>
      <c r="I2262" s="614">
        <f>H2262*D2262</f>
        <v>10061.1</v>
      </c>
      <c r="J2262" s="612">
        <f>J2261+I2262</f>
        <v>52432.704000000005</v>
      </c>
    </row>
    <row r="2263" spans="1:10">
      <c r="B2263" s="616">
        <v>45998</v>
      </c>
      <c r="C2263" s="612" t="s">
        <v>2037</v>
      </c>
      <c r="D2263" s="614">
        <v>1</v>
      </c>
      <c r="E2263" s="621">
        <v>399</v>
      </c>
      <c r="F2263" s="614">
        <f t="shared" ref="F2263:F2268" si="542">E2263*D2263</f>
        <v>399</v>
      </c>
      <c r="G2263" s="614">
        <v>2.3955000000000002</v>
      </c>
      <c r="H2263" s="614">
        <f t="shared" ref="H2263:H2268" si="543">E2263*G2263</f>
        <v>955.80450000000008</v>
      </c>
      <c r="I2263" s="614">
        <f t="shared" ref="I2263:I2268" si="544">H2263*D2263</f>
        <v>955.80450000000008</v>
      </c>
      <c r="J2263" s="612">
        <f t="shared" ref="J2263:J2268" si="545">J2262+I2263</f>
        <v>53388.508500000004</v>
      </c>
    </row>
    <row r="2264" spans="1:10">
      <c r="B2264" s="616">
        <v>45998</v>
      </c>
      <c r="C2264" s="612" t="s">
        <v>2055</v>
      </c>
      <c r="D2264" s="614">
        <v>7</v>
      </c>
      <c r="E2264" s="621">
        <v>398</v>
      </c>
      <c r="F2264" s="614">
        <f t="shared" si="542"/>
        <v>2786</v>
      </c>
      <c r="G2264" s="614">
        <v>2.3955000000000002</v>
      </c>
      <c r="H2264" s="614">
        <f t="shared" si="543"/>
        <v>953.40900000000011</v>
      </c>
      <c r="I2264" s="614">
        <f t="shared" si="544"/>
        <v>6673.8630000000012</v>
      </c>
      <c r="J2264" s="612">
        <f t="shared" si="545"/>
        <v>60062.371500000008</v>
      </c>
    </row>
    <row r="2265" spans="1:10">
      <c r="B2265" s="616">
        <v>45998</v>
      </c>
      <c r="C2265" s="612" t="s">
        <v>2056</v>
      </c>
      <c r="D2265" s="614">
        <v>2</v>
      </c>
      <c r="E2265" s="621">
        <v>379</v>
      </c>
      <c r="F2265" s="614">
        <f t="shared" si="542"/>
        <v>758</v>
      </c>
      <c r="G2265" s="614">
        <v>2.3955000000000002</v>
      </c>
      <c r="H2265" s="614">
        <f t="shared" si="543"/>
        <v>907.89450000000011</v>
      </c>
      <c r="I2265" s="614">
        <f t="shared" si="544"/>
        <v>1815.7890000000002</v>
      </c>
      <c r="J2265" s="612">
        <f t="shared" si="545"/>
        <v>61878.160500000005</v>
      </c>
    </row>
    <row r="2266" spans="1:10">
      <c r="B2266" s="616">
        <v>45998</v>
      </c>
      <c r="C2266" s="612" t="s">
        <v>2057</v>
      </c>
      <c r="D2266" s="614">
        <v>30</v>
      </c>
      <c r="E2266" s="621">
        <v>399</v>
      </c>
      <c r="F2266" s="614">
        <f t="shared" si="542"/>
        <v>11970</v>
      </c>
      <c r="G2266" s="614">
        <v>2.3955000000000002</v>
      </c>
      <c r="H2266" s="614">
        <f t="shared" si="543"/>
        <v>955.80450000000008</v>
      </c>
      <c r="I2266" s="614">
        <f t="shared" si="544"/>
        <v>28674.135000000002</v>
      </c>
      <c r="J2266" s="612">
        <f t="shared" si="545"/>
        <v>90552.295500000007</v>
      </c>
    </row>
    <row r="2267" spans="1:10">
      <c r="B2267" s="616">
        <v>45998</v>
      </c>
      <c r="C2267" s="612" t="s">
        <v>2057</v>
      </c>
      <c r="D2267" s="614">
        <v>26</v>
      </c>
      <c r="E2267" s="621">
        <v>399</v>
      </c>
      <c r="F2267" s="614">
        <f t="shared" si="542"/>
        <v>10374</v>
      </c>
      <c r="G2267" s="614">
        <v>2.3955000000000002</v>
      </c>
      <c r="H2267" s="614">
        <f t="shared" si="543"/>
        <v>955.80450000000008</v>
      </c>
      <c r="I2267" s="614">
        <f t="shared" si="544"/>
        <v>24850.917000000001</v>
      </c>
      <c r="J2267" s="612">
        <f t="shared" si="545"/>
        <v>115403.21250000001</v>
      </c>
    </row>
    <row r="2268" spans="1:10">
      <c r="B2268" s="594">
        <v>45998</v>
      </c>
      <c r="C2268" s="296" t="s">
        <v>2058</v>
      </c>
      <c r="D2268" s="596">
        <v>1</v>
      </c>
      <c r="E2268" s="637">
        <v>1020</v>
      </c>
      <c r="F2268" s="596">
        <f t="shared" si="542"/>
        <v>1020</v>
      </c>
      <c r="G2268" s="596">
        <v>2.3955000000000002</v>
      </c>
      <c r="H2268" s="596">
        <f t="shared" si="543"/>
        <v>2443.4100000000003</v>
      </c>
      <c r="I2268" s="596">
        <f t="shared" si="544"/>
        <v>2443.4100000000003</v>
      </c>
      <c r="J2268" s="296">
        <f t="shared" si="545"/>
        <v>117846.62250000001</v>
      </c>
    </row>
    <row r="2272" spans="1:10" ht="21">
      <c r="A2272" s="611" t="s">
        <v>125</v>
      </c>
      <c r="B2272" s="1520" t="s">
        <v>20</v>
      </c>
      <c r="C2272" s="1520"/>
      <c r="D2272" s="1520"/>
      <c r="E2272" s="1520"/>
      <c r="F2272" s="1520"/>
      <c r="G2272" s="1520"/>
      <c r="H2272" s="1520"/>
      <c r="I2272" s="1520"/>
      <c r="J2272" s="1520"/>
    </row>
    <row r="2273" spans="1:10" ht="18.75">
      <c r="A2273" s="611" t="s">
        <v>212</v>
      </c>
      <c r="B2273" s="4" t="s">
        <v>1</v>
      </c>
      <c r="C2273" s="4" t="s">
        <v>2</v>
      </c>
      <c r="D2273" s="4" t="s">
        <v>3</v>
      </c>
      <c r="E2273" s="4" t="s">
        <v>4</v>
      </c>
      <c r="F2273" s="4" t="s">
        <v>36</v>
      </c>
      <c r="G2273" s="4" t="s">
        <v>5</v>
      </c>
      <c r="H2273" s="4" t="s">
        <v>6</v>
      </c>
      <c r="I2273" s="4" t="s">
        <v>7</v>
      </c>
      <c r="J2273" s="4"/>
    </row>
    <row r="2274" spans="1:10">
      <c r="B2274" s="616">
        <v>45999</v>
      </c>
      <c r="C2274" s="612" t="s">
        <v>1960</v>
      </c>
      <c r="D2274" s="614">
        <v>15</v>
      </c>
      <c r="E2274" s="621">
        <v>125</v>
      </c>
      <c r="F2274" s="614">
        <f>E2274*D2274</f>
        <v>1875</v>
      </c>
      <c r="G2274" s="614">
        <v>2.3955000000000002</v>
      </c>
      <c r="H2274" s="614">
        <f>E2274*G2274</f>
        <v>299.4375</v>
      </c>
      <c r="I2274" s="614">
        <f>H2274*D2274</f>
        <v>4491.5625</v>
      </c>
      <c r="J2274" s="612">
        <f>J2273+I2274</f>
        <v>4491.5625</v>
      </c>
    </row>
    <row r="2275" spans="1:10">
      <c r="B2275" s="616">
        <v>45999</v>
      </c>
      <c r="C2275" s="612" t="s">
        <v>1959</v>
      </c>
      <c r="D2275" s="614">
        <v>1</v>
      </c>
      <c r="E2275" s="621">
        <v>299</v>
      </c>
      <c r="F2275" s="614">
        <f t="shared" ref="F2275:F2282" si="546">E2275*D2275</f>
        <v>299</v>
      </c>
      <c r="G2275" s="614">
        <v>2.3955000000000002</v>
      </c>
      <c r="H2275" s="614">
        <f t="shared" ref="H2275:H2282" si="547">E2275*G2275</f>
        <v>716.25450000000001</v>
      </c>
      <c r="I2275" s="614">
        <f t="shared" ref="I2275:I2282" si="548">H2275*D2275</f>
        <v>716.25450000000001</v>
      </c>
      <c r="J2275" s="612">
        <f t="shared" ref="J2275:J2282" si="549">J2274+I2275</f>
        <v>5207.817</v>
      </c>
    </row>
    <row r="2276" spans="1:10">
      <c r="B2276" s="585">
        <v>45999</v>
      </c>
      <c r="C2276" s="110" t="s">
        <v>2068</v>
      </c>
      <c r="D2276" s="127">
        <v>2</v>
      </c>
      <c r="E2276" s="623">
        <v>299</v>
      </c>
      <c r="F2276" s="127">
        <f t="shared" si="546"/>
        <v>598</v>
      </c>
      <c r="G2276" s="614">
        <v>2.3955000000000002</v>
      </c>
      <c r="H2276" s="127">
        <f t="shared" si="547"/>
        <v>716.25450000000001</v>
      </c>
      <c r="I2276" s="127">
        <f t="shared" si="548"/>
        <v>1432.509</v>
      </c>
      <c r="J2276" s="110">
        <f t="shared" si="549"/>
        <v>6640.326</v>
      </c>
    </row>
    <row r="2277" spans="1:10">
      <c r="B2277" s="616">
        <v>45999</v>
      </c>
      <c r="C2277" s="612" t="s">
        <v>1962</v>
      </c>
      <c r="D2277" s="614">
        <v>2</v>
      </c>
      <c r="E2277" s="621">
        <v>419</v>
      </c>
      <c r="F2277" s="614">
        <f t="shared" si="546"/>
        <v>838</v>
      </c>
      <c r="G2277" s="614">
        <v>2.3955000000000002</v>
      </c>
      <c r="H2277" s="614">
        <f t="shared" si="547"/>
        <v>1003.7145</v>
      </c>
      <c r="I2277" s="614">
        <f t="shared" si="548"/>
        <v>2007.4290000000001</v>
      </c>
      <c r="J2277" s="612">
        <f t="shared" si="549"/>
        <v>8647.755000000001</v>
      </c>
    </row>
    <row r="2278" spans="1:10">
      <c r="B2278" s="616">
        <v>45999</v>
      </c>
      <c r="C2278" s="612" t="s">
        <v>1769</v>
      </c>
      <c r="D2278" s="614">
        <v>18</v>
      </c>
      <c r="E2278" s="621">
        <v>125</v>
      </c>
      <c r="F2278" s="614">
        <f t="shared" si="546"/>
        <v>2250</v>
      </c>
      <c r="G2278" s="614">
        <v>2.3955000000000002</v>
      </c>
      <c r="H2278" s="614">
        <f t="shared" si="547"/>
        <v>299.4375</v>
      </c>
      <c r="I2278" s="614">
        <f t="shared" si="548"/>
        <v>5389.875</v>
      </c>
      <c r="J2278" s="612">
        <f t="shared" si="549"/>
        <v>14037.630000000001</v>
      </c>
    </row>
    <row r="2279" spans="1:10">
      <c r="B2279" s="616">
        <v>45999</v>
      </c>
      <c r="C2279" s="612" t="s">
        <v>2059</v>
      </c>
      <c r="D2279" s="614">
        <v>2</v>
      </c>
      <c r="E2279" s="621">
        <v>2059</v>
      </c>
      <c r="F2279" s="614">
        <f t="shared" si="546"/>
        <v>4118</v>
      </c>
      <c r="G2279" s="614">
        <v>2.3955000000000002</v>
      </c>
      <c r="H2279" s="614">
        <f t="shared" si="547"/>
        <v>4932.3344999999999</v>
      </c>
      <c r="I2279" s="614">
        <f t="shared" si="548"/>
        <v>9864.6689999999999</v>
      </c>
      <c r="J2279" s="612">
        <f t="shared" si="549"/>
        <v>23902.298999999999</v>
      </c>
    </row>
    <row r="2280" spans="1:10">
      <c r="B2280" s="585">
        <v>45999</v>
      </c>
      <c r="C2280" s="110" t="s">
        <v>2043</v>
      </c>
      <c r="D2280" s="127">
        <v>1</v>
      </c>
      <c r="E2280" s="623">
        <v>299</v>
      </c>
      <c r="F2280" s="127">
        <f t="shared" si="546"/>
        <v>299</v>
      </c>
      <c r="G2280" s="614">
        <v>2.3955000000000002</v>
      </c>
      <c r="H2280" s="127">
        <f t="shared" si="547"/>
        <v>716.25450000000001</v>
      </c>
      <c r="I2280" s="127">
        <f t="shared" si="548"/>
        <v>716.25450000000001</v>
      </c>
      <c r="J2280" s="110">
        <f t="shared" si="549"/>
        <v>24618.553499999998</v>
      </c>
    </row>
    <row r="2281" spans="1:10">
      <c r="B2281" s="585">
        <v>45999</v>
      </c>
      <c r="C2281" s="110" t="s">
        <v>2067</v>
      </c>
      <c r="D2281" s="127">
        <v>1</v>
      </c>
      <c r="E2281" s="623">
        <v>299</v>
      </c>
      <c r="F2281" s="127">
        <f t="shared" si="546"/>
        <v>299</v>
      </c>
      <c r="G2281" s="614">
        <v>2.3955000000000002</v>
      </c>
      <c r="H2281" s="127">
        <f t="shared" si="547"/>
        <v>716.25450000000001</v>
      </c>
      <c r="I2281" s="127">
        <f t="shared" si="548"/>
        <v>716.25450000000001</v>
      </c>
      <c r="J2281" s="110">
        <f t="shared" si="549"/>
        <v>25334.807999999997</v>
      </c>
    </row>
    <row r="2282" spans="1:10">
      <c r="B2282" s="616">
        <v>46000</v>
      </c>
      <c r="C2282" s="612" t="s">
        <v>1653</v>
      </c>
      <c r="D2282" s="614">
        <v>12</v>
      </c>
      <c r="E2282" s="621">
        <v>398</v>
      </c>
      <c r="F2282" s="614">
        <f t="shared" si="546"/>
        <v>4776</v>
      </c>
      <c r="G2282" s="614">
        <v>2.3955000000000002</v>
      </c>
      <c r="H2282" s="614">
        <f t="shared" si="547"/>
        <v>953.40900000000011</v>
      </c>
      <c r="I2282" s="614">
        <f t="shared" si="548"/>
        <v>11440.908000000001</v>
      </c>
      <c r="J2282" s="612">
        <f t="shared" si="549"/>
        <v>36775.716</v>
      </c>
    </row>
    <row r="2283" spans="1:10">
      <c r="B2283" s="585">
        <v>46000</v>
      </c>
      <c r="C2283" s="110" t="s">
        <v>2066</v>
      </c>
      <c r="D2283" s="127">
        <v>40</v>
      </c>
      <c r="E2283" s="623">
        <v>398</v>
      </c>
      <c r="F2283" s="127">
        <f t="shared" ref="F2283:F2289" si="550">E2283*D2283</f>
        <v>15920</v>
      </c>
      <c r="G2283" s="614">
        <v>2.3955000000000002</v>
      </c>
      <c r="H2283" s="127">
        <f t="shared" ref="H2283:H2289" si="551">E2283*G2283</f>
        <v>953.40900000000011</v>
      </c>
      <c r="I2283" s="127">
        <f t="shared" ref="I2283:I2289" si="552">H2283*D2283</f>
        <v>38136.36</v>
      </c>
      <c r="J2283" s="110">
        <f t="shared" ref="J2283:J2289" si="553">J2282+I2283</f>
        <v>74912.076000000001</v>
      </c>
    </row>
    <row r="2284" spans="1:10">
      <c r="B2284" s="585">
        <v>46000</v>
      </c>
      <c r="C2284" s="110" t="s">
        <v>2060</v>
      </c>
      <c r="D2284" s="127">
        <v>1</v>
      </c>
      <c r="E2284" s="623">
        <v>110</v>
      </c>
      <c r="F2284" s="127">
        <f t="shared" si="550"/>
        <v>110</v>
      </c>
      <c r="G2284" s="614">
        <v>2.3955000000000002</v>
      </c>
      <c r="H2284" s="127">
        <f t="shared" si="551"/>
        <v>263.505</v>
      </c>
      <c r="I2284" s="127">
        <f t="shared" si="552"/>
        <v>263.505</v>
      </c>
      <c r="J2284" s="110">
        <f t="shared" si="553"/>
        <v>75175.581000000006</v>
      </c>
    </row>
    <row r="2285" spans="1:10">
      <c r="B2285" s="616">
        <v>46000</v>
      </c>
      <c r="C2285" s="612" t="s">
        <v>2061</v>
      </c>
      <c r="D2285" s="614">
        <v>1</v>
      </c>
      <c r="E2285" s="621">
        <v>398</v>
      </c>
      <c r="F2285" s="614">
        <f t="shared" si="550"/>
        <v>398</v>
      </c>
      <c r="G2285" s="614">
        <v>2.3955000000000002</v>
      </c>
      <c r="H2285" s="614">
        <f t="shared" si="551"/>
        <v>953.40900000000011</v>
      </c>
      <c r="I2285" s="614">
        <f t="shared" si="552"/>
        <v>953.40900000000011</v>
      </c>
      <c r="J2285" s="612">
        <f t="shared" si="553"/>
        <v>76128.990000000005</v>
      </c>
    </row>
    <row r="2286" spans="1:10">
      <c r="B2286" s="624">
        <v>46000</v>
      </c>
      <c r="C2286" s="313" t="s">
        <v>2065</v>
      </c>
      <c r="D2286" s="305">
        <v>1</v>
      </c>
      <c r="E2286" s="625">
        <v>0</v>
      </c>
      <c r="F2286" s="305">
        <f t="shared" si="550"/>
        <v>0</v>
      </c>
      <c r="G2286" s="614">
        <v>2.3955000000000002</v>
      </c>
      <c r="H2286" s="305">
        <f t="shared" si="551"/>
        <v>0</v>
      </c>
      <c r="I2286" s="305">
        <f t="shared" si="552"/>
        <v>0</v>
      </c>
      <c r="J2286" s="313">
        <f t="shared" si="553"/>
        <v>76128.990000000005</v>
      </c>
    </row>
    <row r="2287" spans="1:10">
      <c r="B2287" s="585">
        <v>46001</v>
      </c>
      <c r="C2287" s="110" t="s">
        <v>2062</v>
      </c>
      <c r="D2287" s="127">
        <v>10</v>
      </c>
      <c r="E2287" s="623">
        <v>398</v>
      </c>
      <c r="F2287" s="127">
        <f t="shared" si="550"/>
        <v>3980</v>
      </c>
      <c r="G2287" s="614">
        <v>2.3955000000000002</v>
      </c>
      <c r="H2287" s="127">
        <f t="shared" si="551"/>
        <v>953.40900000000011</v>
      </c>
      <c r="I2287" s="127">
        <f t="shared" si="552"/>
        <v>9534.09</v>
      </c>
      <c r="J2287" s="110">
        <f t="shared" si="553"/>
        <v>85663.08</v>
      </c>
    </row>
    <row r="2288" spans="1:10">
      <c r="B2288" s="585">
        <v>46001</v>
      </c>
      <c r="C2288" s="110" t="s">
        <v>2063</v>
      </c>
      <c r="D2288" s="127">
        <v>2</v>
      </c>
      <c r="E2288" s="623">
        <v>399</v>
      </c>
      <c r="F2288" s="127">
        <f t="shared" si="550"/>
        <v>798</v>
      </c>
      <c r="G2288" s="614">
        <v>2.3955000000000002</v>
      </c>
      <c r="H2288" s="127">
        <f t="shared" si="551"/>
        <v>955.80450000000008</v>
      </c>
      <c r="I2288" s="127">
        <f t="shared" si="552"/>
        <v>1911.6090000000002</v>
      </c>
      <c r="J2288" s="110">
        <f t="shared" si="553"/>
        <v>87574.688999999998</v>
      </c>
    </row>
    <row r="2289" spans="1:10">
      <c r="B2289" s="585">
        <v>46001</v>
      </c>
      <c r="C2289" s="110" t="s">
        <v>2064</v>
      </c>
      <c r="D2289" s="127">
        <v>2</v>
      </c>
      <c r="E2289" s="623">
        <v>398</v>
      </c>
      <c r="F2289" s="127">
        <f t="shared" si="550"/>
        <v>796</v>
      </c>
      <c r="G2289" s="614">
        <v>2.3955000000000002</v>
      </c>
      <c r="H2289" s="127">
        <f t="shared" si="551"/>
        <v>953.40900000000011</v>
      </c>
      <c r="I2289" s="127">
        <f t="shared" si="552"/>
        <v>1906.8180000000002</v>
      </c>
      <c r="J2289" s="110">
        <f t="shared" si="553"/>
        <v>89481.506999999998</v>
      </c>
    </row>
    <row r="2290" spans="1:10">
      <c r="B2290" s="583">
        <v>46001</v>
      </c>
      <c r="C2290" s="230" t="s">
        <v>2053</v>
      </c>
      <c r="D2290" s="632">
        <v>1</v>
      </c>
      <c r="E2290" s="636">
        <v>398</v>
      </c>
      <c r="F2290" s="632">
        <f>E2290*D2290</f>
        <v>398</v>
      </c>
      <c r="G2290" s="614">
        <v>2.3955000000000002</v>
      </c>
      <c r="H2290" s="632">
        <f>E2290*G2290</f>
        <v>953.40900000000011</v>
      </c>
      <c r="I2290" s="632">
        <f>H2290*D2290</f>
        <v>953.40900000000011</v>
      </c>
      <c r="J2290" s="230">
        <f>J2289+I2290</f>
        <v>90434.915999999997</v>
      </c>
    </row>
    <row r="2291" spans="1:10">
      <c r="B2291" s="594">
        <v>46000</v>
      </c>
      <c r="C2291" s="296" t="s">
        <v>2034</v>
      </c>
      <c r="D2291" s="596"/>
      <c r="E2291" s="637">
        <v>90</v>
      </c>
      <c r="F2291" s="596">
        <f>E2291*D2291</f>
        <v>0</v>
      </c>
      <c r="G2291" s="596">
        <v>2.3955000000000002</v>
      </c>
      <c r="H2291" s="596">
        <f>E2291*G2291</f>
        <v>215.59500000000003</v>
      </c>
      <c r="I2291" s="596">
        <f>H2291*D2291</f>
        <v>0</v>
      </c>
      <c r="J2291" s="296">
        <f>J2290+I2291</f>
        <v>90434.915999999997</v>
      </c>
    </row>
    <row r="2295" spans="1:10" ht="21">
      <c r="A2295" s="611" t="s">
        <v>125</v>
      </c>
      <c r="B2295" s="1520" t="s">
        <v>35</v>
      </c>
      <c r="C2295" s="1520"/>
      <c r="D2295" s="1520"/>
      <c r="E2295" s="1520"/>
      <c r="F2295" s="1520"/>
      <c r="G2295" s="1520"/>
      <c r="H2295" s="1520"/>
      <c r="I2295" s="1520"/>
      <c r="J2295" s="1520"/>
    </row>
    <row r="2296" spans="1:10" ht="18.75">
      <c r="A2296" s="611" t="s">
        <v>212</v>
      </c>
      <c r="B2296" s="4" t="s">
        <v>1</v>
      </c>
      <c r="C2296" s="4" t="s">
        <v>2</v>
      </c>
      <c r="D2296" s="4" t="s">
        <v>3</v>
      </c>
      <c r="E2296" s="4" t="s">
        <v>4</v>
      </c>
      <c r="F2296" s="4" t="s">
        <v>36</v>
      </c>
      <c r="G2296" s="4" t="s">
        <v>5</v>
      </c>
      <c r="H2296" s="4" t="s">
        <v>6</v>
      </c>
      <c r="I2296" s="4" t="s">
        <v>7</v>
      </c>
      <c r="J2296" s="4"/>
    </row>
    <row r="2297" spans="1:10">
      <c r="B2297" s="585">
        <v>46000</v>
      </c>
      <c r="C2297" s="110" t="s">
        <v>2070</v>
      </c>
      <c r="D2297" s="110">
        <v>500</v>
      </c>
      <c r="E2297" s="110">
        <v>28</v>
      </c>
      <c r="F2297" s="127">
        <f>E2297*D2297</f>
        <v>14000</v>
      </c>
      <c r="G2297" s="127">
        <v>2.12</v>
      </c>
      <c r="H2297" s="127">
        <f>E2297*G2297</f>
        <v>59.36</v>
      </c>
      <c r="I2297" s="127">
        <f>H2297*D2297</f>
        <v>29680</v>
      </c>
      <c r="J2297" s="110">
        <f>J2296+I2297</f>
        <v>29680</v>
      </c>
    </row>
    <row r="2298" spans="1:10">
      <c r="B2298" s="585">
        <v>46000</v>
      </c>
      <c r="C2298" s="110" t="s">
        <v>2071</v>
      </c>
      <c r="D2298" s="110">
        <v>100</v>
      </c>
      <c r="E2298" s="110">
        <v>299</v>
      </c>
      <c r="F2298" s="127">
        <f>E2298*D2298</f>
        <v>29900</v>
      </c>
      <c r="G2298" s="127">
        <v>2.12</v>
      </c>
      <c r="H2298" s="127">
        <f>E2298*G2298</f>
        <v>633.88</v>
      </c>
      <c r="I2298" s="127">
        <f>H2298*D2298</f>
        <v>63388</v>
      </c>
      <c r="J2298" s="110">
        <f>J2297+I2298</f>
        <v>93068</v>
      </c>
    </row>
    <row r="2299" spans="1:10">
      <c r="B2299" s="585">
        <v>46000</v>
      </c>
      <c r="C2299" s="110" t="s">
        <v>2072</v>
      </c>
      <c r="D2299" s="110">
        <v>1</v>
      </c>
      <c r="E2299" s="110">
        <v>89</v>
      </c>
      <c r="F2299" s="127">
        <f>E2299*D2299</f>
        <v>89</v>
      </c>
      <c r="G2299" s="127">
        <v>2.12</v>
      </c>
      <c r="H2299" s="127">
        <f>E2299*G2299</f>
        <v>188.68</v>
      </c>
      <c r="I2299" s="127">
        <f>H2299*D2299</f>
        <v>188.68</v>
      </c>
      <c r="J2299" s="110">
        <f>J2298+I2299</f>
        <v>93256.68</v>
      </c>
    </row>
    <row r="2300" spans="1:10">
      <c r="B2300" s="585">
        <v>46001</v>
      </c>
      <c r="C2300" s="110" t="s">
        <v>2071</v>
      </c>
      <c r="D2300" s="110">
        <v>100</v>
      </c>
      <c r="E2300" s="110">
        <v>299</v>
      </c>
      <c r="F2300" s="127">
        <f>E2300*D2300</f>
        <v>29900</v>
      </c>
      <c r="G2300" s="127">
        <v>2.12</v>
      </c>
      <c r="H2300" s="127">
        <f>E2300*G2300</f>
        <v>633.88</v>
      </c>
      <c r="I2300" s="127">
        <f>H2300*D2300</f>
        <v>63388</v>
      </c>
      <c r="J2300" s="110">
        <f>J2299+I2300</f>
        <v>156644.68</v>
      </c>
    </row>
    <row r="2301" spans="1:10">
      <c r="B2301" s="614"/>
      <c r="C2301" s="614"/>
      <c r="D2301" s="614"/>
      <c r="E2301" s="614"/>
      <c r="F2301" s="614">
        <f>E2301*D2301</f>
        <v>0</v>
      </c>
      <c r="G2301" s="614"/>
      <c r="H2301" s="614">
        <f>E2301*G2301</f>
        <v>0</v>
      </c>
      <c r="I2301" s="614">
        <f>H2301*D2301</f>
        <v>0</v>
      </c>
      <c r="J2301" s="612">
        <f>J2300+I2301</f>
        <v>156644.68</v>
      </c>
    </row>
    <row r="2305" spans="1:11" ht="21">
      <c r="A2305" s="611" t="s">
        <v>125</v>
      </c>
      <c r="B2305" s="1520" t="s">
        <v>1912</v>
      </c>
      <c r="C2305" s="1520"/>
      <c r="D2305" s="1520"/>
      <c r="E2305" s="1520"/>
      <c r="F2305" s="1520"/>
      <c r="G2305" s="1520"/>
      <c r="H2305" s="1520"/>
      <c r="I2305" s="1520"/>
      <c r="J2305" s="1520"/>
      <c r="K2305" t="s">
        <v>2139</v>
      </c>
    </row>
    <row r="2306" spans="1:11" ht="18.75">
      <c r="B2306" s="4" t="s">
        <v>1</v>
      </c>
      <c r="C2306" s="4" t="s">
        <v>2</v>
      </c>
      <c r="D2306" s="4" t="s">
        <v>3</v>
      </c>
      <c r="E2306" s="514" t="s">
        <v>132</v>
      </c>
      <c r="F2306" s="514" t="s">
        <v>133</v>
      </c>
      <c r="G2306" s="4" t="s">
        <v>5</v>
      </c>
      <c r="H2306" s="4" t="s">
        <v>6</v>
      </c>
      <c r="I2306" s="4" t="s">
        <v>7</v>
      </c>
      <c r="J2306" s="4"/>
    </row>
    <row r="2307" spans="1:11">
      <c r="B2307" s="81">
        <v>46005</v>
      </c>
      <c r="C2307" s="80" t="s">
        <v>1292</v>
      </c>
      <c r="D2307" s="614">
        <v>8</v>
      </c>
      <c r="E2307" s="614">
        <v>425</v>
      </c>
      <c r="F2307" s="614">
        <f>E2307*D2307</f>
        <v>3400</v>
      </c>
      <c r="G2307" s="614">
        <v>3.5950000000000002</v>
      </c>
      <c r="H2307" s="614">
        <f>E2307*G2307</f>
        <v>1527.875</v>
      </c>
      <c r="I2307" s="614">
        <f>H2307*D2307</f>
        <v>12223</v>
      </c>
      <c r="J2307" s="612">
        <f>J2306+I2307</f>
        <v>12223</v>
      </c>
    </row>
    <row r="2308" spans="1:11">
      <c r="B2308" s="81">
        <v>46005</v>
      </c>
      <c r="C2308" s="80" t="s">
        <v>2115</v>
      </c>
      <c r="D2308" s="614">
        <v>2</v>
      </c>
      <c r="E2308" s="614">
        <v>500</v>
      </c>
      <c r="F2308" s="614">
        <f t="shared" ref="F2308:F2315" si="554">E2308*D2308</f>
        <v>1000</v>
      </c>
      <c r="G2308" s="614">
        <v>3.5950000000000002</v>
      </c>
      <c r="H2308" s="614">
        <f t="shared" ref="H2308:H2315" si="555">E2308*G2308</f>
        <v>1797.5</v>
      </c>
      <c r="I2308" s="614">
        <f t="shared" ref="I2308:I2315" si="556">H2308*D2308</f>
        <v>3595</v>
      </c>
      <c r="J2308" s="612">
        <f t="shared" ref="J2308:J2315" si="557">J2307+I2308</f>
        <v>15818</v>
      </c>
    </row>
    <row r="2309" spans="1:11">
      <c r="B2309" s="81">
        <v>46005</v>
      </c>
      <c r="C2309" s="80" t="s">
        <v>2116</v>
      </c>
      <c r="D2309" s="614">
        <v>6</v>
      </c>
      <c r="E2309" s="614">
        <v>850</v>
      </c>
      <c r="F2309" s="614">
        <f t="shared" si="554"/>
        <v>5100</v>
      </c>
      <c r="G2309" s="614">
        <v>3.5950000000000002</v>
      </c>
      <c r="H2309" s="614">
        <f t="shared" si="555"/>
        <v>3055.75</v>
      </c>
      <c r="I2309" s="614">
        <f t="shared" si="556"/>
        <v>18334.5</v>
      </c>
      <c r="J2309" s="612">
        <f t="shared" si="557"/>
        <v>34152.5</v>
      </c>
    </row>
    <row r="2310" spans="1:11">
      <c r="B2310" s="81">
        <v>46005</v>
      </c>
      <c r="C2310" s="80" t="s">
        <v>2117</v>
      </c>
      <c r="D2310" s="614">
        <v>16</v>
      </c>
      <c r="E2310" s="614">
        <v>55</v>
      </c>
      <c r="F2310" s="614">
        <f t="shared" si="554"/>
        <v>880</v>
      </c>
      <c r="G2310" s="614">
        <v>3.5950000000000002</v>
      </c>
      <c r="H2310" s="614">
        <f t="shared" si="555"/>
        <v>197.72500000000002</v>
      </c>
      <c r="I2310" s="614">
        <f t="shared" si="556"/>
        <v>3163.6000000000004</v>
      </c>
      <c r="J2310" s="612">
        <f t="shared" si="557"/>
        <v>37316.1</v>
      </c>
    </row>
    <row r="2311" spans="1:11">
      <c r="B2311" s="81">
        <v>46005</v>
      </c>
      <c r="C2311" s="80" t="s">
        <v>2118</v>
      </c>
      <c r="D2311" s="614">
        <v>6</v>
      </c>
      <c r="E2311" s="614">
        <v>1365</v>
      </c>
      <c r="F2311" s="614">
        <f t="shared" si="554"/>
        <v>8190</v>
      </c>
      <c r="G2311" s="614">
        <v>3.5950000000000002</v>
      </c>
      <c r="H2311" s="614">
        <f t="shared" si="555"/>
        <v>4907.1750000000002</v>
      </c>
      <c r="I2311" s="614">
        <f t="shared" si="556"/>
        <v>29443.050000000003</v>
      </c>
      <c r="J2311" s="612">
        <f t="shared" si="557"/>
        <v>66759.149999999994</v>
      </c>
    </row>
    <row r="2312" spans="1:11">
      <c r="B2312" s="81">
        <v>46005</v>
      </c>
      <c r="C2312" s="80" t="s">
        <v>2119</v>
      </c>
      <c r="D2312" s="614">
        <v>3</v>
      </c>
      <c r="E2312" s="614">
        <v>330</v>
      </c>
      <c r="F2312" s="614">
        <f t="shared" si="554"/>
        <v>990</v>
      </c>
      <c r="G2312" s="614">
        <v>3.5950000000000002</v>
      </c>
      <c r="H2312" s="614">
        <f t="shared" si="555"/>
        <v>1186.3500000000001</v>
      </c>
      <c r="I2312" s="614">
        <f t="shared" si="556"/>
        <v>3559.05</v>
      </c>
      <c r="J2312" s="612">
        <f t="shared" si="557"/>
        <v>70318.2</v>
      </c>
    </row>
    <row r="2313" spans="1:11">
      <c r="B2313" s="81">
        <v>46005</v>
      </c>
      <c r="C2313" s="80" t="s">
        <v>2120</v>
      </c>
      <c r="D2313" s="614">
        <v>2</v>
      </c>
      <c r="E2313" s="614">
        <v>430</v>
      </c>
      <c r="F2313" s="614">
        <f t="shared" si="554"/>
        <v>860</v>
      </c>
      <c r="G2313" s="614">
        <v>3.5950000000000002</v>
      </c>
      <c r="H2313" s="614">
        <f t="shared" si="555"/>
        <v>1545.8500000000001</v>
      </c>
      <c r="I2313" s="614">
        <f t="shared" si="556"/>
        <v>3091.7000000000003</v>
      </c>
      <c r="J2313" s="612">
        <f t="shared" si="557"/>
        <v>73409.899999999994</v>
      </c>
    </row>
    <row r="2314" spans="1:11">
      <c r="B2314" s="81">
        <v>46005</v>
      </c>
      <c r="C2314" s="80" t="s">
        <v>2121</v>
      </c>
      <c r="D2314" s="614">
        <v>2</v>
      </c>
      <c r="E2314" s="614">
        <v>480</v>
      </c>
      <c r="F2314" s="614">
        <f t="shared" si="554"/>
        <v>960</v>
      </c>
      <c r="G2314" s="614">
        <v>3.5950000000000002</v>
      </c>
      <c r="H2314" s="614">
        <f t="shared" si="555"/>
        <v>1725.6000000000001</v>
      </c>
      <c r="I2314" s="614">
        <f t="shared" si="556"/>
        <v>3451.2000000000003</v>
      </c>
      <c r="J2314" s="612">
        <f t="shared" si="557"/>
        <v>76861.099999999991</v>
      </c>
    </row>
    <row r="2315" spans="1:11">
      <c r="B2315" s="81">
        <v>46005</v>
      </c>
      <c r="C2315" s="80" t="s">
        <v>2111</v>
      </c>
      <c r="D2315" s="614">
        <v>3</v>
      </c>
      <c r="E2315" s="614">
        <v>140</v>
      </c>
      <c r="F2315" s="614">
        <f t="shared" si="554"/>
        <v>420</v>
      </c>
      <c r="G2315" s="614">
        <v>3.5950000000000002</v>
      </c>
      <c r="H2315" s="614">
        <f t="shared" si="555"/>
        <v>503.3</v>
      </c>
      <c r="I2315" s="614">
        <f t="shared" si="556"/>
        <v>1509.9</v>
      </c>
      <c r="J2315" s="612">
        <f t="shared" si="557"/>
        <v>78370.999999999985</v>
      </c>
    </row>
    <row r="2316" spans="1:11">
      <c r="B2316" s="81">
        <v>46005</v>
      </c>
      <c r="C2316" s="80" t="s">
        <v>1697</v>
      </c>
      <c r="D2316" s="614">
        <v>13</v>
      </c>
      <c r="E2316" s="614">
        <v>890</v>
      </c>
      <c r="F2316" s="614">
        <f>E2316*D2316</f>
        <v>11570</v>
      </c>
      <c r="G2316" s="614">
        <v>3.5950000000000002</v>
      </c>
      <c r="H2316" s="614">
        <f>E2316*G2316</f>
        <v>3199.55</v>
      </c>
      <c r="I2316" s="614">
        <f>H2316*D2316</f>
        <v>41594.15</v>
      </c>
      <c r="J2316" s="612">
        <f>J2315+I2316</f>
        <v>119965.15</v>
      </c>
    </row>
    <row r="2317" spans="1:11">
      <c r="B2317" s="81">
        <v>46005</v>
      </c>
      <c r="C2317" s="80" t="s">
        <v>2122</v>
      </c>
      <c r="D2317" s="614">
        <v>1</v>
      </c>
      <c r="E2317" s="614">
        <v>800</v>
      </c>
      <c r="F2317" s="614">
        <f t="shared" ref="F2317:F2324" si="558">E2317*D2317</f>
        <v>800</v>
      </c>
      <c r="G2317" s="614">
        <v>3.5950000000000002</v>
      </c>
      <c r="H2317" s="614">
        <f t="shared" ref="H2317:H2324" si="559">E2317*G2317</f>
        <v>2876</v>
      </c>
      <c r="I2317" s="614">
        <f t="shared" ref="I2317:I2324" si="560">H2317*D2317</f>
        <v>2876</v>
      </c>
      <c r="J2317" s="612">
        <f t="shared" ref="J2317:J2324" si="561">J2316+I2317</f>
        <v>122841.15</v>
      </c>
    </row>
    <row r="2318" spans="1:11">
      <c r="B2318" s="81">
        <v>46005</v>
      </c>
      <c r="C2318" s="80" t="s">
        <v>1555</v>
      </c>
      <c r="D2318" s="614">
        <v>7</v>
      </c>
      <c r="E2318" s="614">
        <v>895</v>
      </c>
      <c r="F2318" s="614">
        <f t="shared" si="558"/>
        <v>6265</v>
      </c>
      <c r="G2318" s="614">
        <v>3.5950000000000002</v>
      </c>
      <c r="H2318" s="614">
        <f t="shared" si="559"/>
        <v>3217.5250000000001</v>
      </c>
      <c r="I2318" s="614">
        <f t="shared" si="560"/>
        <v>22522.674999999999</v>
      </c>
      <c r="J2318" s="612">
        <f t="shared" si="561"/>
        <v>145363.82499999998</v>
      </c>
    </row>
    <row r="2319" spans="1:11">
      <c r="B2319" s="81">
        <v>46005</v>
      </c>
      <c r="C2319" s="80" t="s">
        <v>2126</v>
      </c>
      <c r="D2319" s="614">
        <v>1</v>
      </c>
      <c r="E2319" s="614">
        <v>1650</v>
      </c>
      <c r="F2319" s="614">
        <f t="shared" si="558"/>
        <v>1650</v>
      </c>
      <c r="G2319" s="614">
        <v>3.5950000000000002</v>
      </c>
      <c r="H2319" s="614">
        <f t="shared" si="559"/>
        <v>5931.75</v>
      </c>
      <c r="I2319" s="614">
        <f t="shared" si="560"/>
        <v>5931.75</v>
      </c>
      <c r="J2319" s="612">
        <f t="shared" si="561"/>
        <v>151295.57499999998</v>
      </c>
    </row>
    <row r="2320" spans="1:11">
      <c r="B2320" s="81">
        <v>46005</v>
      </c>
      <c r="C2320" s="80" t="s">
        <v>2123</v>
      </c>
      <c r="D2320" s="614">
        <v>1</v>
      </c>
      <c r="E2320" s="614">
        <v>855</v>
      </c>
      <c r="F2320" s="614">
        <f t="shared" si="558"/>
        <v>855</v>
      </c>
      <c r="G2320" s="614">
        <v>3.5950000000000002</v>
      </c>
      <c r="H2320" s="614">
        <f t="shared" si="559"/>
        <v>3073.7250000000004</v>
      </c>
      <c r="I2320" s="614">
        <f t="shared" si="560"/>
        <v>3073.7250000000004</v>
      </c>
      <c r="J2320" s="612">
        <f t="shared" si="561"/>
        <v>154369.29999999999</v>
      </c>
    </row>
    <row r="2321" spans="2:10">
      <c r="B2321" s="81">
        <v>46005</v>
      </c>
      <c r="C2321" s="80" t="s">
        <v>2124</v>
      </c>
      <c r="D2321" s="614">
        <v>1</v>
      </c>
      <c r="E2321" s="614">
        <v>720</v>
      </c>
      <c r="F2321" s="614">
        <f t="shared" si="558"/>
        <v>720</v>
      </c>
      <c r="G2321" s="614">
        <v>3.5950000000000002</v>
      </c>
      <c r="H2321" s="614">
        <f t="shared" si="559"/>
        <v>2588.4</v>
      </c>
      <c r="I2321" s="614">
        <f t="shared" si="560"/>
        <v>2588.4</v>
      </c>
      <c r="J2321" s="612">
        <f t="shared" si="561"/>
        <v>156957.69999999998</v>
      </c>
    </row>
    <row r="2322" spans="2:10">
      <c r="B2322" s="81">
        <v>46005</v>
      </c>
      <c r="C2322" s="80" t="s">
        <v>2125</v>
      </c>
      <c r="D2322" s="614">
        <v>1</v>
      </c>
      <c r="E2322" s="614">
        <v>915</v>
      </c>
      <c r="F2322" s="614">
        <f t="shared" si="558"/>
        <v>915</v>
      </c>
      <c r="G2322" s="614">
        <v>3.5950000000000002</v>
      </c>
      <c r="H2322" s="614">
        <f t="shared" si="559"/>
        <v>3289.4250000000002</v>
      </c>
      <c r="I2322" s="614">
        <f t="shared" si="560"/>
        <v>3289.4250000000002</v>
      </c>
      <c r="J2322" s="612">
        <f t="shared" si="561"/>
        <v>160247.12499999997</v>
      </c>
    </row>
    <row r="2323" spans="2:10">
      <c r="B2323" s="81">
        <v>46005</v>
      </c>
      <c r="C2323" s="80" t="s">
        <v>2127</v>
      </c>
      <c r="D2323" s="614">
        <v>3</v>
      </c>
      <c r="E2323" s="614">
        <v>680</v>
      </c>
      <c r="F2323" s="614">
        <f t="shared" si="558"/>
        <v>2040</v>
      </c>
      <c r="G2323" s="614">
        <v>3.5950000000000002</v>
      </c>
      <c r="H2323" s="614">
        <f t="shared" si="559"/>
        <v>2444.6</v>
      </c>
      <c r="I2323" s="614">
        <f t="shared" si="560"/>
        <v>7333.7999999999993</v>
      </c>
      <c r="J2323" s="612">
        <f t="shared" si="561"/>
        <v>167580.92499999996</v>
      </c>
    </row>
    <row r="2324" spans="2:10">
      <c r="B2324" s="81">
        <v>46005</v>
      </c>
      <c r="C2324" s="80" t="s">
        <v>2128</v>
      </c>
      <c r="D2324" s="614">
        <v>2</v>
      </c>
      <c r="E2324" s="614">
        <v>990</v>
      </c>
      <c r="F2324" s="614">
        <f t="shared" si="558"/>
        <v>1980</v>
      </c>
      <c r="G2324" s="614">
        <v>3.5950000000000002</v>
      </c>
      <c r="H2324" s="614">
        <f t="shared" si="559"/>
        <v>3559.05</v>
      </c>
      <c r="I2324" s="614">
        <f t="shared" si="560"/>
        <v>7118.1</v>
      </c>
      <c r="J2324" s="612">
        <f t="shared" si="561"/>
        <v>174699.02499999997</v>
      </c>
    </row>
    <row r="2325" spans="2:10">
      <c r="B2325" s="81">
        <v>46005</v>
      </c>
      <c r="C2325" s="80" t="s">
        <v>2129</v>
      </c>
      <c r="D2325" s="614">
        <v>3</v>
      </c>
      <c r="E2325" s="614">
        <v>495</v>
      </c>
      <c r="F2325" s="614">
        <f>E2325*D2325</f>
        <v>1485</v>
      </c>
      <c r="G2325" s="614">
        <v>3.5950000000000002</v>
      </c>
      <c r="H2325" s="614">
        <f>E2325*G2325</f>
        <v>1779.5250000000001</v>
      </c>
      <c r="I2325" s="614">
        <f>H2325*D2325</f>
        <v>5338.5750000000007</v>
      </c>
      <c r="J2325" s="612">
        <f>J2324+I2325</f>
        <v>180037.59999999998</v>
      </c>
    </row>
    <row r="2326" spans="2:10">
      <c r="B2326" s="81">
        <v>46005</v>
      </c>
      <c r="C2326" s="80" t="s">
        <v>2130</v>
      </c>
      <c r="D2326" s="614">
        <v>1</v>
      </c>
      <c r="E2326" s="614">
        <v>350</v>
      </c>
      <c r="F2326" s="614">
        <f t="shared" ref="F2326:F2333" si="562">E2326*D2326</f>
        <v>350</v>
      </c>
      <c r="G2326" s="614">
        <v>3.5950000000000002</v>
      </c>
      <c r="H2326" s="614">
        <f t="shared" ref="H2326:H2333" si="563">E2326*G2326</f>
        <v>1258.25</v>
      </c>
      <c r="I2326" s="614">
        <f t="shared" ref="I2326:I2333" si="564">H2326*D2326</f>
        <v>1258.25</v>
      </c>
      <c r="J2326" s="612">
        <f t="shared" ref="J2326:J2333" si="565">J2325+I2326</f>
        <v>181295.84999999998</v>
      </c>
    </row>
    <row r="2327" spans="2:10">
      <c r="B2327" s="81">
        <v>46005</v>
      </c>
      <c r="C2327" s="80" t="s">
        <v>1337</v>
      </c>
      <c r="D2327" s="614">
        <v>1</v>
      </c>
      <c r="E2327" s="614">
        <v>280</v>
      </c>
      <c r="F2327" s="614">
        <f t="shared" si="562"/>
        <v>280</v>
      </c>
      <c r="G2327" s="614">
        <v>3.5950000000000002</v>
      </c>
      <c r="H2327" s="614">
        <f t="shared" si="563"/>
        <v>1006.6</v>
      </c>
      <c r="I2327" s="614">
        <f t="shared" si="564"/>
        <v>1006.6</v>
      </c>
      <c r="J2327" s="612">
        <f t="shared" si="565"/>
        <v>182302.44999999998</v>
      </c>
    </row>
    <row r="2328" spans="2:10">
      <c r="B2328" s="81">
        <v>46005</v>
      </c>
      <c r="C2328" s="80" t="s">
        <v>2131</v>
      </c>
      <c r="D2328" s="614">
        <v>1</v>
      </c>
      <c r="E2328" s="614">
        <v>420</v>
      </c>
      <c r="F2328" s="614">
        <f t="shared" si="562"/>
        <v>420</v>
      </c>
      <c r="G2328" s="614">
        <v>3.5950000000000002</v>
      </c>
      <c r="H2328" s="614">
        <f t="shared" si="563"/>
        <v>1509.9</v>
      </c>
      <c r="I2328" s="614">
        <f t="shared" si="564"/>
        <v>1509.9</v>
      </c>
      <c r="J2328" s="612">
        <f t="shared" si="565"/>
        <v>183812.34999999998</v>
      </c>
    </row>
    <row r="2329" spans="2:10">
      <c r="B2329" s="81">
        <v>46005</v>
      </c>
      <c r="C2329" s="80" t="s">
        <v>1914</v>
      </c>
      <c r="D2329" s="614">
        <v>4</v>
      </c>
      <c r="E2329" s="614">
        <v>285</v>
      </c>
      <c r="F2329" s="614">
        <f t="shared" si="562"/>
        <v>1140</v>
      </c>
      <c r="G2329" s="614">
        <v>3.5950000000000002</v>
      </c>
      <c r="H2329" s="614">
        <f t="shared" si="563"/>
        <v>1024.575</v>
      </c>
      <c r="I2329" s="614">
        <f t="shared" si="564"/>
        <v>4098.3</v>
      </c>
      <c r="J2329" s="612">
        <f t="shared" si="565"/>
        <v>187910.64999999997</v>
      </c>
    </row>
    <row r="2330" spans="2:10">
      <c r="B2330" s="81">
        <v>46005</v>
      </c>
      <c r="C2330" s="502" t="s">
        <v>2132</v>
      </c>
      <c r="D2330" s="174">
        <v>1</v>
      </c>
      <c r="E2330" s="174">
        <v>360</v>
      </c>
      <c r="F2330" s="174">
        <v>360</v>
      </c>
      <c r="G2330" s="174">
        <v>3.5950000000000002</v>
      </c>
      <c r="H2330" s="174">
        <f t="shared" si="563"/>
        <v>1294.2</v>
      </c>
      <c r="I2330" s="174">
        <f t="shared" si="564"/>
        <v>1294.2</v>
      </c>
      <c r="J2330" s="615">
        <f t="shared" si="565"/>
        <v>189204.84999999998</v>
      </c>
    </row>
    <row r="2331" spans="2:10">
      <c r="B2331" s="81">
        <v>46005</v>
      </c>
      <c r="C2331" s="80" t="s">
        <v>2133</v>
      </c>
      <c r="D2331" s="614">
        <v>1</v>
      </c>
      <c r="E2331" s="614">
        <v>350</v>
      </c>
      <c r="F2331" s="614">
        <f t="shared" si="562"/>
        <v>350</v>
      </c>
      <c r="G2331" s="614">
        <v>3.5950000000000002</v>
      </c>
      <c r="H2331" s="614">
        <f t="shared" si="563"/>
        <v>1258.25</v>
      </c>
      <c r="I2331" s="614">
        <f t="shared" si="564"/>
        <v>1258.25</v>
      </c>
      <c r="J2331" s="612">
        <f t="shared" si="565"/>
        <v>190463.09999999998</v>
      </c>
    </row>
    <row r="2332" spans="2:10">
      <c r="B2332" s="81">
        <v>46005</v>
      </c>
      <c r="C2332" s="80" t="s">
        <v>136</v>
      </c>
      <c r="D2332" s="614">
        <v>3</v>
      </c>
      <c r="E2332" s="614">
        <v>80</v>
      </c>
      <c r="F2332" s="614">
        <f t="shared" si="562"/>
        <v>240</v>
      </c>
      <c r="G2332" s="614">
        <v>3.5950000000000002</v>
      </c>
      <c r="H2332" s="614">
        <f t="shared" si="563"/>
        <v>287.60000000000002</v>
      </c>
      <c r="I2332" s="614">
        <f t="shared" si="564"/>
        <v>862.80000000000007</v>
      </c>
      <c r="J2332" s="612">
        <f t="shared" si="565"/>
        <v>191325.89999999997</v>
      </c>
    </row>
    <row r="2333" spans="2:10">
      <c r="B2333" s="81">
        <v>46005</v>
      </c>
      <c r="C2333" s="80" t="s">
        <v>136</v>
      </c>
      <c r="D2333" s="614">
        <v>2</v>
      </c>
      <c r="E2333" s="614">
        <v>82</v>
      </c>
      <c r="F2333" s="614">
        <f t="shared" si="562"/>
        <v>164</v>
      </c>
      <c r="G2333" s="614">
        <v>3.5950000000000002</v>
      </c>
      <c r="H2333" s="614">
        <f t="shared" si="563"/>
        <v>294.79000000000002</v>
      </c>
      <c r="I2333" s="614">
        <f t="shared" si="564"/>
        <v>589.58000000000004</v>
      </c>
      <c r="J2333" s="612">
        <f t="shared" si="565"/>
        <v>191915.47999999995</v>
      </c>
    </row>
    <row r="2334" spans="2:10">
      <c r="B2334" s="81">
        <v>46005</v>
      </c>
      <c r="C2334" s="80" t="s">
        <v>1312</v>
      </c>
      <c r="D2334" s="614">
        <v>2</v>
      </c>
      <c r="E2334" s="614">
        <v>125</v>
      </c>
      <c r="F2334" s="614">
        <f>E2334*D2334</f>
        <v>250</v>
      </c>
      <c r="G2334" s="614">
        <v>3.5950000000000002</v>
      </c>
      <c r="H2334" s="614">
        <f>E2334*G2334</f>
        <v>449.375</v>
      </c>
      <c r="I2334" s="614">
        <f>H2334*D2334</f>
        <v>898.75</v>
      </c>
      <c r="J2334" s="612">
        <f>J2333+I2334</f>
        <v>192814.22999999995</v>
      </c>
    </row>
    <row r="2335" spans="2:10">
      <c r="B2335" s="81">
        <v>46005</v>
      </c>
      <c r="C2335" s="80" t="s">
        <v>1697</v>
      </c>
      <c r="D2335" s="614">
        <v>1</v>
      </c>
      <c r="E2335" s="614">
        <v>1060</v>
      </c>
      <c r="F2335" s="614">
        <f t="shared" ref="F2335:F2370" si="566">E2335*D2335</f>
        <v>1060</v>
      </c>
      <c r="G2335" s="614">
        <v>3.5950000000000002</v>
      </c>
      <c r="H2335" s="614">
        <f t="shared" ref="H2335:H2342" si="567">E2335*G2335</f>
        <v>3810.7000000000003</v>
      </c>
      <c r="I2335" s="614">
        <f t="shared" ref="I2335:I2342" si="568">H2335*D2335</f>
        <v>3810.7000000000003</v>
      </c>
      <c r="J2335" s="612">
        <f t="shared" ref="J2335:J2342" si="569">J2334+I2335</f>
        <v>196624.92999999996</v>
      </c>
    </row>
    <row r="2336" spans="2:10">
      <c r="B2336" s="81">
        <v>46005</v>
      </c>
      <c r="C2336" s="80" t="s">
        <v>2134</v>
      </c>
      <c r="D2336" s="614">
        <v>7</v>
      </c>
      <c r="E2336" s="614">
        <v>1120</v>
      </c>
      <c r="F2336" s="614">
        <f t="shared" si="566"/>
        <v>7840</v>
      </c>
      <c r="G2336" s="614">
        <v>3.5950000000000002</v>
      </c>
      <c r="H2336" s="614">
        <f t="shared" si="567"/>
        <v>4026.4</v>
      </c>
      <c r="I2336" s="614">
        <f t="shared" si="568"/>
        <v>28184.799999999999</v>
      </c>
      <c r="J2336" s="612">
        <f t="shared" si="569"/>
        <v>224809.72999999995</v>
      </c>
    </row>
    <row r="2337" spans="2:10">
      <c r="B2337" s="81">
        <v>46005</v>
      </c>
      <c r="C2337" s="80" t="s">
        <v>2134</v>
      </c>
      <c r="D2337" s="614">
        <v>2</v>
      </c>
      <c r="E2337" s="614">
        <v>1160</v>
      </c>
      <c r="F2337" s="614">
        <f t="shared" si="566"/>
        <v>2320</v>
      </c>
      <c r="G2337" s="614">
        <v>3.5950000000000002</v>
      </c>
      <c r="H2337" s="614">
        <f t="shared" si="567"/>
        <v>4170.2</v>
      </c>
      <c r="I2337" s="614">
        <f t="shared" si="568"/>
        <v>8340.4</v>
      </c>
      <c r="J2337" s="612">
        <f t="shared" si="569"/>
        <v>233150.12999999995</v>
      </c>
    </row>
    <row r="2338" spans="2:10">
      <c r="B2338" s="81">
        <v>46005</v>
      </c>
      <c r="C2338" s="80" t="s">
        <v>2135</v>
      </c>
      <c r="D2338" s="614">
        <v>2</v>
      </c>
      <c r="E2338" s="614">
        <v>1350</v>
      </c>
      <c r="F2338" s="614">
        <f t="shared" si="566"/>
        <v>2700</v>
      </c>
      <c r="G2338" s="614">
        <v>3.5950000000000002</v>
      </c>
      <c r="H2338" s="614">
        <f t="shared" si="567"/>
        <v>4853.25</v>
      </c>
      <c r="I2338" s="614">
        <f t="shared" si="568"/>
        <v>9706.5</v>
      </c>
      <c r="J2338" s="612">
        <f t="shared" si="569"/>
        <v>242856.62999999995</v>
      </c>
    </row>
    <row r="2339" spans="2:10">
      <c r="B2339" s="81">
        <v>46005</v>
      </c>
      <c r="C2339" s="80" t="s">
        <v>2136</v>
      </c>
      <c r="D2339" s="614">
        <v>4</v>
      </c>
      <c r="E2339" s="614">
        <v>1270</v>
      </c>
      <c r="F2339" s="614">
        <f t="shared" si="566"/>
        <v>5080</v>
      </c>
      <c r="G2339" s="614">
        <v>3.5950000000000002</v>
      </c>
      <c r="H2339" s="614">
        <f t="shared" si="567"/>
        <v>4565.6500000000005</v>
      </c>
      <c r="I2339" s="614">
        <f t="shared" si="568"/>
        <v>18262.600000000002</v>
      </c>
      <c r="J2339" s="612">
        <f t="shared" si="569"/>
        <v>261119.22999999995</v>
      </c>
    </row>
    <row r="2340" spans="2:10">
      <c r="B2340" s="81">
        <v>46005</v>
      </c>
      <c r="C2340" s="80" t="s">
        <v>2137</v>
      </c>
      <c r="D2340" s="614">
        <v>3</v>
      </c>
      <c r="E2340" s="614">
        <v>865</v>
      </c>
      <c r="F2340" s="614">
        <f t="shared" si="566"/>
        <v>2595</v>
      </c>
      <c r="G2340" s="614">
        <v>3.5950000000000002</v>
      </c>
      <c r="H2340" s="614">
        <f t="shared" si="567"/>
        <v>3109.6750000000002</v>
      </c>
      <c r="I2340" s="614">
        <f t="shared" si="568"/>
        <v>9329.0250000000015</v>
      </c>
      <c r="J2340" s="612">
        <f t="shared" si="569"/>
        <v>270448.25499999995</v>
      </c>
    </row>
    <row r="2341" spans="2:10">
      <c r="B2341" s="81">
        <v>46005</v>
      </c>
      <c r="C2341" s="80" t="s">
        <v>2137</v>
      </c>
      <c r="D2341" s="614">
        <v>1</v>
      </c>
      <c r="E2341" s="614">
        <v>1000</v>
      </c>
      <c r="F2341" s="614">
        <f t="shared" si="566"/>
        <v>1000</v>
      </c>
      <c r="G2341" s="614">
        <v>3.5950000000000002</v>
      </c>
      <c r="H2341" s="614">
        <f t="shared" si="567"/>
        <v>3595</v>
      </c>
      <c r="I2341" s="614">
        <f t="shared" si="568"/>
        <v>3595</v>
      </c>
      <c r="J2341" s="612">
        <f t="shared" si="569"/>
        <v>274043.25499999995</v>
      </c>
    </row>
    <row r="2342" spans="2:10">
      <c r="B2342" s="81">
        <v>46005</v>
      </c>
      <c r="C2342" s="80" t="s">
        <v>2138</v>
      </c>
      <c r="D2342" s="614">
        <v>2</v>
      </c>
      <c r="E2342" s="614">
        <v>765</v>
      </c>
      <c r="F2342" s="614">
        <f t="shared" si="566"/>
        <v>1530</v>
      </c>
      <c r="G2342" s="614">
        <v>3.5950000000000002</v>
      </c>
      <c r="H2342" s="614">
        <f t="shared" si="567"/>
        <v>2750.1750000000002</v>
      </c>
      <c r="I2342" s="614">
        <f t="shared" si="568"/>
        <v>5500.35</v>
      </c>
      <c r="J2342" s="612">
        <f t="shared" si="569"/>
        <v>279543.60499999992</v>
      </c>
    </row>
    <row r="2343" spans="2:10">
      <c r="B2343" s="81">
        <v>46005</v>
      </c>
      <c r="C2343" s="80" t="s">
        <v>2140</v>
      </c>
      <c r="D2343" s="614">
        <v>2</v>
      </c>
      <c r="E2343" s="614">
        <v>520</v>
      </c>
      <c r="F2343" s="614">
        <f t="shared" si="566"/>
        <v>1040</v>
      </c>
      <c r="G2343" s="614">
        <v>3.5950000000000002</v>
      </c>
      <c r="H2343" s="614">
        <f t="shared" ref="H2343:H2369" si="570">E2343*G2343</f>
        <v>1869.4</v>
      </c>
      <c r="I2343" s="614">
        <f t="shared" ref="I2343:I2369" si="571">H2343*D2343</f>
        <v>3738.8</v>
      </c>
      <c r="J2343" s="612">
        <f t="shared" ref="J2343:J2369" si="572">J2342+I2343</f>
        <v>283282.40499999991</v>
      </c>
    </row>
    <row r="2344" spans="2:10">
      <c r="B2344" s="81">
        <v>46005</v>
      </c>
      <c r="C2344" s="80" t="s">
        <v>2141</v>
      </c>
      <c r="D2344" s="614">
        <v>2</v>
      </c>
      <c r="E2344" s="614">
        <v>430</v>
      </c>
      <c r="F2344" s="614">
        <f t="shared" si="566"/>
        <v>860</v>
      </c>
      <c r="G2344" s="614">
        <v>3.5950000000000002</v>
      </c>
      <c r="H2344" s="614">
        <f t="shared" si="570"/>
        <v>1545.8500000000001</v>
      </c>
      <c r="I2344" s="614">
        <f t="shared" si="571"/>
        <v>3091.7000000000003</v>
      </c>
      <c r="J2344" s="612">
        <f t="shared" si="572"/>
        <v>286374.10499999992</v>
      </c>
    </row>
    <row r="2345" spans="2:10">
      <c r="B2345" s="81">
        <v>46005</v>
      </c>
      <c r="C2345" s="80" t="s">
        <v>2142</v>
      </c>
      <c r="D2345" s="614">
        <v>1</v>
      </c>
      <c r="E2345" s="614">
        <v>600</v>
      </c>
      <c r="F2345" s="614">
        <f t="shared" si="566"/>
        <v>600</v>
      </c>
      <c r="G2345" s="614">
        <v>3.5950000000000002</v>
      </c>
      <c r="H2345" s="614">
        <f t="shared" si="570"/>
        <v>2157</v>
      </c>
      <c r="I2345" s="614">
        <f t="shared" si="571"/>
        <v>2157</v>
      </c>
      <c r="J2345" s="612">
        <f t="shared" si="572"/>
        <v>288531.10499999992</v>
      </c>
    </row>
    <row r="2346" spans="2:10">
      <c r="B2346" s="81">
        <v>46005</v>
      </c>
      <c r="C2346" s="80" t="s">
        <v>2143</v>
      </c>
      <c r="D2346" s="614">
        <v>1</v>
      </c>
      <c r="E2346" s="614">
        <v>750</v>
      </c>
      <c r="F2346" s="614">
        <f t="shared" si="566"/>
        <v>750</v>
      </c>
      <c r="G2346" s="614">
        <v>3.5950000000000002</v>
      </c>
      <c r="H2346" s="614">
        <f t="shared" si="570"/>
        <v>2696.25</v>
      </c>
      <c r="I2346" s="614">
        <f t="shared" si="571"/>
        <v>2696.25</v>
      </c>
      <c r="J2346" s="612">
        <f t="shared" si="572"/>
        <v>291227.35499999992</v>
      </c>
    </row>
    <row r="2347" spans="2:10">
      <c r="B2347" s="81">
        <v>46005</v>
      </c>
      <c r="C2347" s="80" t="s">
        <v>2144</v>
      </c>
      <c r="D2347" s="614">
        <v>1</v>
      </c>
      <c r="E2347" s="614">
        <v>82</v>
      </c>
      <c r="F2347" s="614">
        <f t="shared" si="566"/>
        <v>82</v>
      </c>
      <c r="G2347" s="614">
        <v>3.5950000000000002</v>
      </c>
      <c r="H2347" s="614">
        <f t="shared" si="570"/>
        <v>294.79000000000002</v>
      </c>
      <c r="I2347" s="614">
        <f t="shared" si="571"/>
        <v>294.79000000000002</v>
      </c>
      <c r="J2347" s="612">
        <f t="shared" si="572"/>
        <v>291522.1449999999</v>
      </c>
    </row>
    <row r="2348" spans="2:10">
      <c r="B2348" s="81">
        <v>46005</v>
      </c>
      <c r="C2348" s="80" t="s">
        <v>1559</v>
      </c>
      <c r="D2348" s="614">
        <v>1</v>
      </c>
      <c r="E2348" s="614">
        <v>220</v>
      </c>
      <c r="F2348" s="614">
        <f t="shared" si="566"/>
        <v>220</v>
      </c>
      <c r="G2348" s="614">
        <v>3.5950000000000002</v>
      </c>
      <c r="H2348" s="614">
        <f t="shared" si="570"/>
        <v>790.90000000000009</v>
      </c>
      <c r="I2348" s="614">
        <f t="shared" si="571"/>
        <v>790.90000000000009</v>
      </c>
      <c r="J2348" s="612">
        <f t="shared" si="572"/>
        <v>292313.04499999993</v>
      </c>
    </row>
    <row r="2349" spans="2:10">
      <c r="B2349" s="81">
        <v>46005</v>
      </c>
      <c r="C2349" s="80" t="s">
        <v>2145</v>
      </c>
      <c r="D2349" s="614">
        <v>7</v>
      </c>
      <c r="E2349" s="614">
        <v>350</v>
      </c>
      <c r="F2349" s="614">
        <f t="shared" si="566"/>
        <v>2450</v>
      </c>
      <c r="G2349" s="614">
        <v>3.5950000000000002</v>
      </c>
      <c r="H2349" s="614">
        <f t="shared" si="570"/>
        <v>1258.25</v>
      </c>
      <c r="I2349" s="614">
        <f t="shared" si="571"/>
        <v>8807.75</v>
      </c>
      <c r="J2349" s="612">
        <f t="shared" si="572"/>
        <v>301120.79499999993</v>
      </c>
    </row>
    <row r="2350" spans="2:10">
      <c r="B2350" s="81">
        <v>46005</v>
      </c>
      <c r="C2350" s="80" t="s">
        <v>2145</v>
      </c>
      <c r="D2350" s="614">
        <v>1</v>
      </c>
      <c r="E2350" s="614">
        <v>185</v>
      </c>
      <c r="F2350" s="614">
        <f t="shared" si="566"/>
        <v>185</v>
      </c>
      <c r="G2350" s="614">
        <v>3.5950000000000002</v>
      </c>
      <c r="H2350" s="614">
        <f t="shared" si="570"/>
        <v>665.07500000000005</v>
      </c>
      <c r="I2350" s="614">
        <f t="shared" si="571"/>
        <v>665.07500000000005</v>
      </c>
      <c r="J2350" s="612">
        <f t="shared" si="572"/>
        <v>301785.86999999994</v>
      </c>
    </row>
    <row r="2351" spans="2:10">
      <c r="B2351" s="81">
        <v>46005</v>
      </c>
      <c r="C2351" s="80" t="s">
        <v>2145</v>
      </c>
      <c r="D2351" s="614">
        <v>1</v>
      </c>
      <c r="E2351" s="614">
        <v>200</v>
      </c>
      <c r="F2351" s="614">
        <f t="shared" si="566"/>
        <v>200</v>
      </c>
      <c r="G2351" s="614">
        <v>3.5950000000000002</v>
      </c>
      <c r="H2351" s="614">
        <f t="shared" si="570"/>
        <v>719</v>
      </c>
      <c r="I2351" s="614">
        <f t="shared" si="571"/>
        <v>719</v>
      </c>
      <c r="J2351" s="612">
        <f t="shared" si="572"/>
        <v>302504.86999999994</v>
      </c>
    </row>
    <row r="2352" spans="2:10">
      <c r="B2352" s="81">
        <v>46005</v>
      </c>
      <c r="C2352" s="80" t="s">
        <v>1713</v>
      </c>
      <c r="D2352" s="614">
        <v>1</v>
      </c>
      <c r="E2352" s="614">
        <v>215</v>
      </c>
      <c r="F2352" s="614">
        <f t="shared" si="566"/>
        <v>215</v>
      </c>
      <c r="G2352" s="614">
        <v>3.5950000000000002</v>
      </c>
      <c r="H2352" s="614">
        <f t="shared" si="570"/>
        <v>772.92500000000007</v>
      </c>
      <c r="I2352" s="614">
        <f t="shared" si="571"/>
        <v>772.92500000000007</v>
      </c>
      <c r="J2352" s="612">
        <f t="shared" si="572"/>
        <v>303277.79499999993</v>
      </c>
    </row>
    <row r="2353" spans="2:10">
      <c r="B2353" s="81">
        <v>46005</v>
      </c>
      <c r="C2353" s="80" t="s">
        <v>2146</v>
      </c>
      <c r="D2353" s="614">
        <v>1</v>
      </c>
      <c r="E2353" s="614">
        <v>415</v>
      </c>
      <c r="F2353" s="614">
        <f t="shared" si="566"/>
        <v>415</v>
      </c>
      <c r="G2353" s="614">
        <v>3.5950000000000002</v>
      </c>
      <c r="H2353" s="614">
        <f t="shared" si="570"/>
        <v>1491.9250000000002</v>
      </c>
      <c r="I2353" s="614">
        <f t="shared" si="571"/>
        <v>1491.9250000000002</v>
      </c>
      <c r="J2353" s="612">
        <f t="shared" si="572"/>
        <v>304769.71999999991</v>
      </c>
    </row>
    <row r="2354" spans="2:10">
      <c r="B2354" s="81">
        <v>46005</v>
      </c>
      <c r="C2354" s="80" t="s">
        <v>2147</v>
      </c>
      <c r="D2354" s="614">
        <v>1</v>
      </c>
      <c r="E2354" s="614">
        <v>375</v>
      </c>
      <c r="F2354" s="614">
        <f t="shared" si="566"/>
        <v>375</v>
      </c>
      <c r="G2354" s="614">
        <v>3.5950000000000002</v>
      </c>
      <c r="H2354" s="614">
        <f t="shared" si="570"/>
        <v>1348.125</v>
      </c>
      <c r="I2354" s="614">
        <f t="shared" si="571"/>
        <v>1348.125</v>
      </c>
      <c r="J2354" s="612">
        <f t="shared" si="572"/>
        <v>306117.84499999991</v>
      </c>
    </row>
    <row r="2355" spans="2:10">
      <c r="B2355" s="81">
        <v>46005</v>
      </c>
      <c r="C2355" s="80" t="s">
        <v>2147</v>
      </c>
      <c r="D2355" s="614">
        <v>1</v>
      </c>
      <c r="E2355" s="614">
        <v>280</v>
      </c>
      <c r="F2355" s="614">
        <f t="shared" si="566"/>
        <v>280</v>
      </c>
      <c r="G2355" s="614">
        <v>3.5950000000000002</v>
      </c>
      <c r="H2355" s="614">
        <f t="shared" si="570"/>
        <v>1006.6</v>
      </c>
      <c r="I2355" s="614">
        <f t="shared" si="571"/>
        <v>1006.6</v>
      </c>
      <c r="J2355" s="612">
        <f t="shared" si="572"/>
        <v>307124.44499999989</v>
      </c>
    </row>
    <row r="2356" spans="2:10">
      <c r="B2356" s="81">
        <v>46005</v>
      </c>
      <c r="C2356" s="80" t="s">
        <v>1291</v>
      </c>
      <c r="D2356" s="614">
        <v>1</v>
      </c>
      <c r="E2356" s="614">
        <v>650</v>
      </c>
      <c r="F2356" s="614">
        <f t="shared" si="566"/>
        <v>650</v>
      </c>
      <c r="G2356" s="614">
        <v>3.5950000000000002</v>
      </c>
      <c r="H2356" s="614">
        <f t="shared" si="570"/>
        <v>2336.75</v>
      </c>
      <c r="I2356" s="614">
        <f t="shared" si="571"/>
        <v>2336.75</v>
      </c>
      <c r="J2356" s="612">
        <f t="shared" si="572"/>
        <v>309461.19499999989</v>
      </c>
    </row>
    <row r="2357" spans="2:10">
      <c r="B2357" s="81">
        <v>46005</v>
      </c>
      <c r="C2357" s="80" t="s">
        <v>2148</v>
      </c>
      <c r="D2357" s="614">
        <v>1</v>
      </c>
      <c r="E2357" s="614">
        <v>125</v>
      </c>
      <c r="F2357" s="614">
        <f t="shared" si="566"/>
        <v>125</v>
      </c>
      <c r="G2357" s="614">
        <v>3.5950000000000002</v>
      </c>
      <c r="H2357" s="614">
        <f t="shared" si="570"/>
        <v>449.375</v>
      </c>
      <c r="I2357" s="614">
        <f t="shared" si="571"/>
        <v>449.375</v>
      </c>
      <c r="J2357" s="612">
        <f t="shared" si="572"/>
        <v>309910.56999999989</v>
      </c>
    </row>
    <row r="2358" spans="2:10">
      <c r="B2358" s="81">
        <v>46005</v>
      </c>
      <c r="C2358" s="647" t="s">
        <v>2149</v>
      </c>
      <c r="D2358" s="614">
        <v>1</v>
      </c>
      <c r="E2358" s="614">
        <v>130</v>
      </c>
      <c r="F2358" s="614">
        <f t="shared" si="566"/>
        <v>130</v>
      </c>
      <c r="G2358" s="614">
        <v>3.5950000000000002</v>
      </c>
      <c r="H2358" s="614">
        <f t="shared" si="570"/>
        <v>467.35</v>
      </c>
      <c r="I2358" s="614">
        <f t="shared" si="571"/>
        <v>467.35</v>
      </c>
      <c r="J2358" s="612">
        <f t="shared" si="572"/>
        <v>310377.91999999987</v>
      </c>
    </row>
    <row r="2359" spans="2:10">
      <c r="B2359" s="81">
        <v>46005</v>
      </c>
      <c r="C2359" s="80" t="s">
        <v>2150</v>
      </c>
      <c r="D2359" s="614">
        <v>1</v>
      </c>
      <c r="E2359" s="614">
        <v>175</v>
      </c>
      <c r="F2359" s="614">
        <f t="shared" si="566"/>
        <v>175</v>
      </c>
      <c r="G2359" s="614">
        <v>3.5950000000000002</v>
      </c>
      <c r="H2359" s="614">
        <f t="shared" si="570"/>
        <v>629.125</v>
      </c>
      <c r="I2359" s="614">
        <f t="shared" si="571"/>
        <v>629.125</v>
      </c>
      <c r="J2359" s="612">
        <f t="shared" si="572"/>
        <v>311007.04499999987</v>
      </c>
    </row>
    <row r="2360" spans="2:10">
      <c r="B2360" s="81">
        <v>46005</v>
      </c>
      <c r="C2360" s="80" t="s">
        <v>2151</v>
      </c>
      <c r="D2360" s="614">
        <v>2</v>
      </c>
      <c r="E2360" s="614">
        <v>75</v>
      </c>
      <c r="F2360" s="614">
        <f t="shared" si="566"/>
        <v>150</v>
      </c>
      <c r="G2360" s="614">
        <v>3.5950000000000002</v>
      </c>
      <c r="H2360" s="614">
        <f t="shared" si="570"/>
        <v>269.625</v>
      </c>
      <c r="I2360" s="614">
        <f t="shared" si="571"/>
        <v>539.25</v>
      </c>
      <c r="J2360" s="612">
        <f t="shared" si="572"/>
        <v>311546.29499999987</v>
      </c>
    </row>
    <row r="2361" spans="2:10">
      <c r="B2361" s="81">
        <v>46005</v>
      </c>
      <c r="C2361" s="80" t="s">
        <v>2152</v>
      </c>
      <c r="D2361" s="614">
        <v>1</v>
      </c>
      <c r="E2361" s="614">
        <v>320</v>
      </c>
      <c r="F2361" s="614">
        <f t="shared" si="566"/>
        <v>320</v>
      </c>
      <c r="G2361" s="614">
        <v>3.5950000000000002</v>
      </c>
      <c r="H2361" s="614">
        <f t="shared" si="570"/>
        <v>1150.4000000000001</v>
      </c>
      <c r="I2361" s="614">
        <f t="shared" si="571"/>
        <v>1150.4000000000001</v>
      </c>
      <c r="J2361" s="612">
        <f t="shared" si="572"/>
        <v>312696.69499999989</v>
      </c>
    </row>
    <row r="2362" spans="2:10">
      <c r="B2362" s="81">
        <v>46005</v>
      </c>
      <c r="C2362" s="80" t="s">
        <v>2153</v>
      </c>
      <c r="D2362" s="614">
        <v>1</v>
      </c>
      <c r="E2362" s="614">
        <v>362</v>
      </c>
      <c r="F2362" s="614">
        <f t="shared" si="566"/>
        <v>362</v>
      </c>
      <c r="G2362" s="614">
        <v>3.5950000000000002</v>
      </c>
      <c r="H2362" s="614">
        <f t="shared" si="570"/>
        <v>1301.3900000000001</v>
      </c>
      <c r="I2362" s="614">
        <f t="shared" si="571"/>
        <v>1301.3900000000001</v>
      </c>
      <c r="J2362" s="612">
        <f t="shared" si="572"/>
        <v>313998.0849999999</v>
      </c>
    </row>
    <row r="2363" spans="2:10">
      <c r="B2363" s="81">
        <v>46005</v>
      </c>
      <c r="C2363" s="80" t="s">
        <v>2154</v>
      </c>
      <c r="D2363" s="614">
        <v>1</v>
      </c>
      <c r="E2363" s="614">
        <v>1115</v>
      </c>
      <c r="F2363" s="614">
        <f t="shared" si="566"/>
        <v>1115</v>
      </c>
      <c r="G2363" s="614">
        <v>3.5950000000000002</v>
      </c>
      <c r="H2363" s="614">
        <f t="shared" si="570"/>
        <v>4008.4250000000002</v>
      </c>
      <c r="I2363" s="614">
        <f t="shared" si="571"/>
        <v>4008.4250000000002</v>
      </c>
      <c r="J2363" s="612">
        <f t="shared" si="572"/>
        <v>318006.50999999989</v>
      </c>
    </row>
    <row r="2364" spans="2:10">
      <c r="B2364" s="81">
        <v>46005</v>
      </c>
      <c r="C2364" s="80" t="s">
        <v>2155</v>
      </c>
      <c r="D2364" s="614">
        <v>1</v>
      </c>
      <c r="E2364" s="614">
        <v>880</v>
      </c>
      <c r="F2364" s="614">
        <f t="shared" si="566"/>
        <v>880</v>
      </c>
      <c r="G2364" s="614">
        <v>3.5950000000000002</v>
      </c>
      <c r="H2364" s="614">
        <f t="shared" si="570"/>
        <v>3163.6000000000004</v>
      </c>
      <c r="I2364" s="614">
        <f t="shared" si="571"/>
        <v>3163.6000000000004</v>
      </c>
      <c r="J2364" s="612">
        <f t="shared" si="572"/>
        <v>321170.10999999987</v>
      </c>
    </row>
    <row r="2365" spans="2:10">
      <c r="B2365" s="81">
        <v>46005</v>
      </c>
      <c r="C2365" s="80" t="s">
        <v>2156</v>
      </c>
      <c r="D2365" s="614">
        <v>1</v>
      </c>
      <c r="E2365" s="614">
        <v>1575</v>
      </c>
      <c r="F2365" s="614">
        <f t="shared" si="566"/>
        <v>1575</v>
      </c>
      <c r="G2365" s="614">
        <v>3.5950000000000002</v>
      </c>
      <c r="H2365" s="614">
        <f t="shared" si="570"/>
        <v>5662.125</v>
      </c>
      <c r="I2365" s="614">
        <f t="shared" si="571"/>
        <v>5662.125</v>
      </c>
      <c r="J2365" s="612">
        <f t="shared" si="572"/>
        <v>326832.23499999987</v>
      </c>
    </row>
    <row r="2366" spans="2:10">
      <c r="B2366" s="81">
        <v>46005</v>
      </c>
      <c r="C2366" s="80" t="s">
        <v>2157</v>
      </c>
      <c r="D2366" s="614">
        <v>1</v>
      </c>
      <c r="E2366" s="614">
        <v>1630</v>
      </c>
      <c r="F2366" s="614">
        <f t="shared" si="566"/>
        <v>1630</v>
      </c>
      <c r="G2366" s="614">
        <v>3.5950000000000002</v>
      </c>
      <c r="H2366" s="614">
        <f t="shared" si="570"/>
        <v>5859.85</v>
      </c>
      <c r="I2366" s="614">
        <f t="shared" si="571"/>
        <v>5859.85</v>
      </c>
      <c r="J2366" s="612">
        <f t="shared" si="572"/>
        <v>332692.08499999985</v>
      </c>
    </row>
    <row r="2367" spans="2:10">
      <c r="B2367" s="81">
        <v>46005</v>
      </c>
      <c r="C2367" s="80" t="s">
        <v>2157</v>
      </c>
      <c r="D2367" s="614">
        <v>1</v>
      </c>
      <c r="E2367" s="614">
        <v>1640</v>
      </c>
      <c r="F2367" s="614">
        <f t="shared" si="566"/>
        <v>1640</v>
      </c>
      <c r="G2367" s="614">
        <v>3.5950000000000002</v>
      </c>
      <c r="H2367" s="614">
        <f t="shared" si="570"/>
        <v>5895.8</v>
      </c>
      <c r="I2367" s="614">
        <f t="shared" si="571"/>
        <v>5895.8</v>
      </c>
      <c r="J2367" s="612">
        <f t="shared" si="572"/>
        <v>338587.88499999983</v>
      </c>
    </row>
    <row r="2368" spans="2:10">
      <c r="B2368" s="81">
        <v>46005</v>
      </c>
      <c r="C2368" s="80" t="s">
        <v>2158</v>
      </c>
      <c r="D2368" s="614">
        <v>1</v>
      </c>
      <c r="E2368" s="614">
        <v>2750</v>
      </c>
      <c r="F2368" s="614">
        <f t="shared" si="566"/>
        <v>2750</v>
      </c>
      <c r="G2368" s="614">
        <v>3.5950000000000002</v>
      </c>
      <c r="H2368" s="614">
        <f t="shared" si="570"/>
        <v>9886.25</v>
      </c>
      <c r="I2368" s="614">
        <f t="shared" si="571"/>
        <v>9886.25</v>
      </c>
      <c r="J2368" s="612">
        <f t="shared" si="572"/>
        <v>348474.13499999983</v>
      </c>
    </row>
    <row r="2369" spans="1:11">
      <c r="B2369" s="81">
        <v>46005</v>
      </c>
      <c r="C2369" s="80" t="s">
        <v>2159</v>
      </c>
      <c r="D2369" s="614">
        <v>3</v>
      </c>
      <c r="E2369" s="614">
        <v>42</v>
      </c>
      <c r="F2369" s="614">
        <f t="shared" si="566"/>
        <v>126</v>
      </c>
      <c r="G2369" s="614">
        <v>3.5950000000000002</v>
      </c>
      <c r="H2369" s="614">
        <f t="shared" si="570"/>
        <v>150.99</v>
      </c>
      <c r="I2369" s="614">
        <f t="shared" si="571"/>
        <v>452.97</v>
      </c>
      <c r="J2369" s="612">
        <f t="shared" si="572"/>
        <v>348927.10499999981</v>
      </c>
    </row>
    <row r="2370" spans="1:11">
      <c r="B2370" s="81">
        <v>46005</v>
      </c>
      <c r="C2370" s="1" t="s">
        <v>3811</v>
      </c>
      <c r="D2370" s="1">
        <v>1</v>
      </c>
      <c r="E2370" s="1">
        <v>310</v>
      </c>
      <c r="F2370" s="1">
        <f t="shared" si="566"/>
        <v>310</v>
      </c>
      <c r="G2370" s="735">
        <v>3.5950000000000002</v>
      </c>
      <c r="H2370" s="735">
        <f>E2370*G2370</f>
        <v>1114.45</v>
      </c>
      <c r="I2370" s="735">
        <f>H2370*D2370</f>
        <v>1114.45</v>
      </c>
      <c r="J2370" s="732">
        <f>J2369+I2370</f>
        <v>350041.55499999982</v>
      </c>
    </row>
    <row r="2374" spans="1:11" ht="21">
      <c r="A2374" s="611" t="s">
        <v>125</v>
      </c>
      <c r="B2374" s="1520" t="s">
        <v>1912</v>
      </c>
      <c r="C2374" s="1520"/>
      <c r="D2374" s="1520"/>
      <c r="E2374" s="1520"/>
      <c r="F2374" s="1520"/>
      <c r="G2374" s="1520"/>
      <c r="H2374" s="1520"/>
      <c r="I2374" s="1520"/>
      <c r="J2374" s="1520"/>
      <c r="K2374" t="s">
        <v>2165</v>
      </c>
    </row>
    <row r="2375" spans="1:11" ht="18.75">
      <c r="B2375" s="4" t="s">
        <v>1</v>
      </c>
      <c r="C2375" s="4" t="s">
        <v>2</v>
      </c>
      <c r="D2375" s="4" t="s">
        <v>3</v>
      </c>
      <c r="E2375" s="514" t="s">
        <v>132</v>
      </c>
      <c r="F2375" s="514" t="s">
        <v>133</v>
      </c>
      <c r="G2375" s="4" t="s">
        <v>5</v>
      </c>
      <c r="H2375" s="4" t="s">
        <v>6</v>
      </c>
      <c r="I2375" s="4" t="s">
        <v>7</v>
      </c>
      <c r="J2375" s="4"/>
    </row>
    <row r="2376" spans="1:11">
      <c r="B2376" s="81">
        <v>46005</v>
      </c>
      <c r="C2376" s="614" t="s">
        <v>2161</v>
      </c>
      <c r="D2376" s="614">
        <v>1</v>
      </c>
      <c r="E2376" s="614">
        <v>1</v>
      </c>
      <c r="F2376" s="614">
        <f>E2376*D2376</f>
        <v>1</v>
      </c>
      <c r="G2376" s="614">
        <v>3.5950000000000002</v>
      </c>
      <c r="H2376" s="614">
        <f>E2376*G2376</f>
        <v>3.5950000000000002</v>
      </c>
      <c r="I2376" s="614">
        <f>H2376*D2376</f>
        <v>3.5950000000000002</v>
      </c>
      <c r="J2376" s="612">
        <f>J2375+I2376</f>
        <v>3.5950000000000002</v>
      </c>
    </row>
    <row r="2377" spans="1:11">
      <c r="B2377" s="81">
        <v>46005</v>
      </c>
      <c r="C2377" s="614" t="s">
        <v>2162</v>
      </c>
      <c r="D2377" s="614">
        <v>1</v>
      </c>
      <c r="E2377" s="614">
        <v>1</v>
      </c>
      <c r="F2377" s="614">
        <f>E2377*D2377</f>
        <v>1</v>
      </c>
      <c r="G2377" s="614">
        <v>3.5950000000000002</v>
      </c>
      <c r="H2377" s="614">
        <f>E2377*G2377</f>
        <v>3.5950000000000002</v>
      </c>
      <c r="I2377" s="614">
        <f>H2377*D2377</f>
        <v>3.5950000000000002</v>
      </c>
      <c r="J2377" s="612">
        <f>J2376+I2377</f>
        <v>7.19</v>
      </c>
    </row>
    <row r="2378" spans="1:11">
      <c r="B2378" s="81">
        <v>46005</v>
      </c>
      <c r="C2378" s="614" t="s">
        <v>2163</v>
      </c>
      <c r="D2378" s="614">
        <v>1</v>
      </c>
      <c r="E2378" s="614">
        <v>1</v>
      </c>
      <c r="F2378" s="614">
        <f>E2378*D2378</f>
        <v>1</v>
      </c>
      <c r="G2378" s="614">
        <v>3.5950000000000002</v>
      </c>
      <c r="H2378" s="614">
        <f>E2378*G2378</f>
        <v>3.5950000000000002</v>
      </c>
      <c r="I2378" s="614">
        <f>H2378*D2378</f>
        <v>3.5950000000000002</v>
      </c>
      <c r="J2378" s="612">
        <f>J2377+I2378</f>
        <v>10.785</v>
      </c>
    </row>
    <row r="2379" spans="1:11">
      <c r="B2379" s="81">
        <v>46005</v>
      </c>
      <c r="C2379" s="614" t="s">
        <v>2164</v>
      </c>
      <c r="D2379" s="614">
        <v>1</v>
      </c>
      <c r="E2379" s="614">
        <v>1</v>
      </c>
      <c r="F2379" s="614">
        <f>E2379*D2379</f>
        <v>1</v>
      </c>
      <c r="G2379" s="614">
        <v>3.5950000000000002</v>
      </c>
      <c r="H2379" s="614">
        <f>E2379*G2379</f>
        <v>3.5950000000000002</v>
      </c>
      <c r="I2379" s="614">
        <f>H2379*D2379</f>
        <v>3.5950000000000002</v>
      </c>
      <c r="J2379" s="612">
        <f>J2378+I2379</f>
        <v>14.38</v>
      </c>
    </row>
    <row r="2380" spans="1:11">
      <c r="B2380" s="614"/>
      <c r="C2380" s="614"/>
      <c r="D2380" s="614"/>
      <c r="E2380" s="614"/>
      <c r="F2380" s="614">
        <f>E2380*D2380</f>
        <v>0</v>
      </c>
      <c r="G2380" s="614"/>
      <c r="H2380" s="614">
        <f>E2380*G2380</f>
        <v>0</v>
      </c>
      <c r="I2380" s="614">
        <f>H2380*D2380</f>
        <v>0</v>
      </c>
      <c r="J2380" s="612">
        <f>J2379+I2380</f>
        <v>14.38</v>
      </c>
    </row>
    <row r="2385" spans="1:10" ht="21">
      <c r="A2385" s="611" t="s">
        <v>125</v>
      </c>
      <c r="B2385" s="1520" t="s">
        <v>20</v>
      </c>
      <c r="C2385" s="1520"/>
      <c r="D2385" s="1520"/>
      <c r="E2385" s="1520"/>
      <c r="F2385" s="1520"/>
      <c r="G2385" s="1520"/>
      <c r="H2385" s="1520"/>
      <c r="I2385" s="1520"/>
      <c r="J2385" s="1520"/>
    </row>
    <row r="2386" spans="1:10" ht="18.75">
      <c r="A2386" t="s">
        <v>212</v>
      </c>
      <c r="B2386" s="4" t="s">
        <v>1</v>
      </c>
      <c r="C2386" s="4" t="s">
        <v>2</v>
      </c>
      <c r="D2386" s="4" t="s">
        <v>3</v>
      </c>
      <c r="E2386" s="4" t="s">
        <v>4</v>
      </c>
      <c r="F2386" s="4" t="s">
        <v>36</v>
      </c>
      <c r="G2386" s="4" t="s">
        <v>5</v>
      </c>
      <c r="H2386" s="4" t="s">
        <v>6</v>
      </c>
      <c r="I2386" s="4" t="s">
        <v>7</v>
      </c>
      <c r="J2386" s="4"/>
    </row>
    <row r="2387" spans="1:10">
      <c r="B2387" s="616">
        <v>46002</v>
      </c>
      <c r="C2387" s="612" t="s">
        <v>2168</v>
      </c>
      <c r="D2387" s="612">
        <v>2</v>
      </c>
      <c r="E2387" s="621">
        <v>419</v>
      </c>
      <c r="F2387" s="614">
        <f>E2387*D2387</f>
        <v>838</v>
      </c>
      <c r="G2387" s="614">
        <v>2.4102000000000001</v>
      </c>
      <c r="H2387" s="614">
        <f>E2387*G2387</f>
        <v>1009.8738000000001</v>
      </c>
      <c r="I2387" s="614">
        <f>H2387*D2387</f>
        <v>2019.7476000000001</v>
      </c>
      <c r="J2387" s="612">
        <f>J2386+I2387</f>
        <v>2019.7476000000001</v>
      </c>
    </row>
    <row r="2388" spans="1:10">
      <c r="B2388" s="585">
        <v>46002</v>
      </c>
      <c r="C2388" s="110" t="s">
        <v>2173</v>
      </c>
      <c r="D2388" s="110">
        <v>3</v>
      </c>
      <c r="E2388" s="623">
        <v>340</v>
      </c>
      <c r="F2388" s="127">
        <f t="shared" ref="F2388:F2395" si="573">E2388*D2388</f>
        <v>1020</v>
      </c>
      <c r="G2388" s="127">
        <v>2.4102000000000001</v>
      </c>
      <c r="H2388" s="127">
        <f t="shared" ref="H2388:H2395" si="574">E2388*G2388</f>
        <v>819.46800000000007</v>
      </c>
      <c r="I2388" s="127">
        <f t="shared" ref="I2388:I2395" si="575">H2388*D2388</f>
        <v>2458.4040000000005</v>
      </c>
      <c r="J2388" s="612">
        <f t="shared" ref="J2388:J2405" si="576">J2387+I2388</f>
        <v>4478.1516000000011</v>
      </c>
    </row>
    <row r="2389" spans="1:10">
      <c r="B2389" s="616">
        <v>46002</v>
      </c>
      <c r="C2389" s="612" t="s">
        <v>2169</v>
      </c>
      <c r="D2389" s="612">
        <v>4</v>
      </c>
      <c r="E2389" s="621">
        <v>105</v>
      </c>
      <c r="F2389" s="614">
        <f t="shared" si="573"/>
        <v>420</v>
      </c>
      <c r="G2389" s="614">
        <v>2.4102000000000001</v>
      </c>
      <c r="H2389" s="614">
        <f t="shared" si="574"/>
        <v>253.07100000000003</v>
      </c>
      <c r="I2389" s="614">
        <f t="shared" si="575"/>
        <v>1012.2840000000001</v>
      </c>
      <c r="J2389" s="612">
        <f t="shared" si="576"/>
        <v>5490.4356000000007</v>
      </c>
    </row>
    <row r="2390" spans="1:10">
      <c r="B2390" s="616">
        <v>46002</v>
      </c>
      <c r="C2390" s="612" t="s">
        <v>1153</v>
      </c>
      <c r="D2390" s="612">
        <v>1</v>
      </c>
      <c r="E2390" s="621">
        <v>573</v>
      </c>
      <c r="F2390" s="614">
        <f t="shared" si="573"/>
        <v>573</v>
      </c>
      <c r="G2390" s="614">
        <v>2.4102000000000001</v>
      </c>
      <c r="H2390" s="614">
        <f t="shared" si="574"/>
        <v>1381.0446000000002</v>
      </c>
      <c r="I2390" s="614">
        <f t="shared" si="575"/>
        <v>1381.0446000000002</v>
      </c>
      <c r="J2390" s="612">
        <f t="shared" si="576"/>
        <v>6871.4802000000009</v>
      </c>
    </row>
    <row r="2391" spans="1:10">
      <c r="B2391" s="616">
        <v>46002</v>
      </c>
      <c r="C2391" s="612" t="s">
        <v>1892</v>
      </c>
      <c r="D2391" s="612">
        <v>10</v>
      </c>
      <c r="E2391" s="621">
        <v>130</v>
      </c>
      <c r="F2391" s="614">
        <f t="shared" si="573"/>
        <v>1300</v>
      </c>
      <c r="G2391" s="614">
        <v>2.4102000000000001</v>
      </c>
      <c r="H2391" s="614">
        <f t="shared" si="574"/>
        <v>313.32600000000002</v>
      </c>
      <c r="I2391" s="614">
        <f t="shared" si="575"/>
        <v>3133.26</v>
      </c>
      <c r="J2391" s="612">
        <f t="shared" si="576"/>
        <v>10004.7402</v>
      </c>
    </row>
    <row r="2392" spans="1:10">
      <c r="B2392" s="616">
        <v>46002</v>
      </c>
      <c r="C2392" s="612" t="s">
        <v>2174</v>
      </c>
      <c r="D2392" s="612">
        <v>3</v>
      </c>
      <c r="E2392" s="621">
        <v>573</v>
      </c>
      <c r="F2392" s="614">
        <f t="shared" si="573"/>
        <v>1719</v>
      </c>
      <c r="G2392" s="614">
        <v>2.4102000000000001</v>
      </c>
      <c r="H2392" s="614">
        <f t="shared" si="574"/>
        <v>1381.0446000000002</v>
      </c>
      <c r="I2392" s="614">
        <f t="shared" si="575"/>
        <v>4143.1338000000005</v>
      </c>
      <c r="J2392" s="612">
        <f t="shared" si="576"/>
        <v>14147.874</v>
      </c>
    </row>
    <row r="2393" spans="1:10">
      <c r="B2393" s="585">
        <v>46002</v>
      </c>
      <c r="C2393" s="110" t="s">
        <v>2175</v>
      </c>
      <c r="D2393" s="110">
        <v>3</v>
      </c>
      <c r="E2393" s="623">
        <v>1095</v>
      </c>
      <c r="F2393" s="127">
        <f t="shared" si="573"/>
        <v>3285</v>
      </c>
      <c r="G2393" s="127">
        <v>2.4102000000000001</v>
      </c>
      <c r="H2393" s="127">
        <f t="shared" si="574"/>
        <v>2639.1690000000003</v>
      </c>
      <c r="I2393" s="127">
        <f t="shared" si="575"/>
        <v>7917.5070000000014</v>
      </c>
      <c r="J2393" s="612">
        <f t="shared" si="576"/>
        <v>22065.381000000001</v>
      </c>
    </row>
    <row r="2394" spans="1:10">
      <c r="B2394" s="616">
        <v>46002</v>
      </c>
      <c r="C2394" s="612" t="s">
        <v>2170</v>
      </c>
      <c r="D2394" s="612">
        <v>2</v>
      </c>
      <c r="E2394" s="621">
        <v>1400</v>
      </c>
      <c r="F2394" s="614">
        <f t="shared" si="573"/>
        <v>2800</v>
      </c>
      <c r="G2394" s="614">
        <v>2.4102000000000001</v>
      </c>
      <c r="H2394" s="614">
        <f t="shared" si="574"/>
        <v>3374.28</v>
      </c>
      <c r="I2394" s="614">
        <f t="shared" si="575"/>
        <v>6748.56</v>
      </c>
      <c r="J2394" s="612">
        <f t="shared" si="576"/>
        <v>28813.941000000003</v>
      </c>
    </row>
    <row r="2395" spans="1:10">
      <c r="B2395" s="616">
        <v>46002</v>
      </c>
      <c r="C2395" s="612" t="s">
        <v>2041</v>
      </c>
      <c r="D2395" s="612">
        <v>2</v>
      </c>
      <c r="E2395" s="621">
        <v>399</v>
      </c>
      <c r="F2395" s="614">
        <f t="shared" si="573"/>
        <v>798</v>
      </c>
      <c r="G2395" s="614">
        <v>2.4102000000000001</v>
      </c>
      <c r="H2395" s="614">
        <f t="shared" si="574"/>
        <v>961.66980000000001</v>
      </c>
      <c r="I2395" s="614">
        <f t="shared" si="575"/>
        <v>1923.3396</v>
      </c>
      <c r="J2395" s="612">
        <f t="shared" si="576"/>
        <v>30737.280600000002</v>
      </c>
    </row>
    <row r="2396" spans="1:10">
      <c r="B2396" s="616">
        <v>46002</v>
      </c>
      <c r="C2396" s="612" t="s">
        <v>1769</v>
      </c>
      <c r="D2396" s="612">
        <v>10</v>
      </c>
      <c r="E2396" s="621">
        <v>125</v>
      </c>
      <c r="F2396" s="614">
        <f t="shared" ref="F2396:F2405" si="577">E2396*D2396</f>
        <v>1250</v>
      </c>
      <c r="G2396" s="614">
        <v>2.4102000000000001</v>
      </c>
      <c r="H2396" s="614">
        <f t="shared" ref="H2396:H2403" si="578">E2396*G2396</f>
        <v>301.27500000000003</v>
      </c>
      <c r="I2396" s="614">
        <f t="shared" ref="I2396:I2403" si="579">H2396*D2396</f>
        <v>3012.7500000000005</v>
      </c>
      <c r="J2396" s="612">
        <f t="shared" si="576"/>
        <v>33750.030600000006</v>
      </c>
    </row>
    <row r="2397" spans="1:10">
      <c r="B2397" s="616">
        <v>46002</v>
      </c>
      <c r="C2397" s="612" t="s">
        <v>2170</v>
      </c>
      <c r="D2397" s="612">
        <v>2</v>
      </c>
      <c r="E2397" s="621">
        <v>1400</v>
      </c>
      <c r="F2397" s="614">
        <f t="shared" si="577"/>
        <v>2800</v>
      </c>
      <c r="G2397" s="614">
        <v>2.4102000000000001</v>
      </c>
      <c r="H2397" s="614">
        <f t="shared" si="578"/>
        <v>3374.28</v>
      </c>
      <c r="I2397" s="614">
        <f t="shared" si="579"/>
        <v>6748.56</v>
      </c>
      <c r="J2397" s="612">
        <f t="shared" si="576"/>
        <v>40498.590600000003</v>
      </c>
    </row>
    <row r="2398" spans="1:10">
      <c r="B2398" s="585">
        <v>46003</v>
      </c>
      <c r="C2398" s="110" t="s">
        <v>2176</v>
      </c>
      <c r="D2398" s="110">
        <v>20</v>
      </c>
      <c r="E2398" s="623">
        <v>398</v>
      </c>
      <c r="F2398" s="127">
        <f t="shared" si="577"/>
        <v>7960</v>
      </c>
      <c r="G2398" s="127">
        <v>2.4102000000000001</v>
      </c>
      <c r="H2398" s="127">
        <f t="shared" si="578"/>
        <v>959.25960000000009</v>
      </c>
      <c r="I2398" s="127">
        <f t="shared" si="579"/>
        <v>19185.192000000003</v>
      </c>
      <c r="J2398" s="612">
        <f t="shared" si="576"/>
        <v>59683.782600000006</v>
      </c>
    </row>
    <row r="2399" spans="1:10">
      <c r="B2399" s="616">
        <v>46003</v>
      </c>
      <c r="C2399" s="612" t="s">
        <v>2171</v>
      </c>
      <c r="D2399" s="612">
        <v>10</v>
      </c>
      <c r="E2399" s="621">
        <v>1400</v>
      </c>
      <c r="F2399" s="614">
        <f t="shared" si="577"/>
        <v>14000</v>
      </c>
      <c r="G2399" s="614">
        <v>2.4102000000000001</v>
      </c>
      <c r="H2399" s="614">
        <f t="shared" si="578"/>
        <v>3374.28</v>
      </c>
      <c r="I2399" s="614">
        <f t="shared" si="579"/>
        <v>33742.800000000003</v>
      </c>
      <c r="J2399" s="612">
        <f t="shared" si="576"/>
        <v>93426.582600000009</v>
      </c>
    </row>
    <row r="2400" spans="1:10">
      <c r="B2400" s="616">
        <v>46003</v>
      </c>
      <c r="C2400" s="612" t="s">
        <v>2172</v>
      </c>
      <c r="D2400" s="612">
        <v>3</v>
      </c>
      <c r="E2400" s="621">
        <v>2490</v>
      </c>
      <c r="F2400" s="614">
        <f t="shared" si="577"/>
        <v>7470</v>
      </c>
      <c r="G2400" s="614">
        <v>2.4102000000000001</v>
      </c>
      <c r="H2400" s="614">
        <f t="shared" si="578"/>
        <v>6001.3980000000001</v>
      </c>
      <c r="I2400" s="614">
        <f t="shared" si="579"/>
        <v>18004.194</v>
      </c>
      <c r="J2400" s="612">
        <f t="shared" si="576"/>
        <v>111430.77660000001</v>
      </c>
    </row>
    <row r="2401" spans="1:15">
      <c r="B2401" s="585">
        <v>46002</v>
      </c>
      <c r="C2401" s="110" t="s">
        <v>2177</v>
      </c>
      <c r="D2401" s="110">
        <v>100</v>
      </c>
      <c r="E2401" s="623">
        <v>274</v>
      </c>
      <c r="F2401" s="127">
        <f t="shared" si="577"/>
        <v>27400</v>
      </c>
      <c r="G2401" s="127">
        <v>2.4102000000000001</v>
      </c>
      <c r="H2401" s="127">
        <f t="shared" si="578"/>
        <v>660.39480000000003</v>
      </c>
      <c r="I2401" s="127">
        <f t="shared" si="579"/>
        <v>66039.48000000001</v>
      </c>
      <c r="J2401" s="612">
        <f t="shared" si="576"/>
        <v>177470.25660000002</v>
      </c>
    </row>
    <row r="2402" spans="1:15">
      <c r="B2402" s="585">
        <v>46002</v>
      </c>
      <c r="C2402" s="110" t="s">
        <v>2178</v>
      </c>
      <c r="D2402" s="110">
        <v>1</v>
      </c>
      <c r="E2402" s="623">
        <v>110</v>
      </c>
      <c r="F2402" s="127">
        <f t="shared" si="577"/>
        <v>110</v>
      </c>
      <c r="G2402" s="127">
        <v>2.4102000000000001</v>
      </c>
      <c r="H2402" s="127">
        <f t="shared" si="578"/>
        <v>265.12200000000001</v>
      </c>
      <c r="I2402" s="127">
        <f t="shared" si="579"/>
        <v>265.12200000000001</v>
      </c>
      <c r="J2402" s="612">
        <f t="shared" si="576"/>
        <v>177735.37860000003</v>
      </c>
    </row>
    <row r="2403" spans="1:15">
      <c r="B2403" s="585">
        <v>46003</v>
      </c>
      <c r="C2403" s="110" t="s">
        <v>2179</v>
      </c>
      <c r="D2403" s="110">
        <v>70</v>
      </c>
      <c r="E2403" s="623">
        <v>132</v>
      </c>
      <c r="F2403" s="127">
        <f t="shared" si="577"/>
        <v>9240</v>
      </c>
      <c r="G2403" s="127">
        <v>2.4102000000000001</v>
      </c>
      <c r="H2403" s="127">
        <f t="shared" si="578"/>
        <v>318.14640000000003</v>
      </c>
      <c r="I2403" s="127">
        <f t="shared" si="579"/>
        <v>22270.248000000003</v>
      </c>
      <c r="J2403" s="612">
        <f t="shared" si="576"/>
        <v>200005.62660000002</v>
      </c>
    </row>
    <row r="2404" spans="1:15">
      <c r="B2404" s="616">
        <v>46005</v>
      </c>
      <c r="C2404" s="612" t="s">
        <v>2181</v>
      </c>
      <c r="D2404" s="612">
        <v>3</v>
      </c>
      <c r="E2404" s="621">
        <v>3300</v>
      </c>
      <c r="F2404" s="614">
        <f>E2404*D2404</f>
        <v>9900</v>
      </c>
      <c r="G2404" s="614">
        <v>2.4102000000000001</v>
      </c>
      <c r="H2404" s="646">
        <f>E2404*G2404</f>
        <v>7953.6600000000008</v>
      </c>
      <c r="I2404" s="646">
        <f>H2404*D2404</f>
        <v>23860.980000000003</v>
      </c>
      <c r="J2404" s="612">
        <f t="shared" si="576"/>
        <v>223866.60660000003</v>
      </c>
    </row>
    <row r="2405" spans="1:15">
      <c r="B2405" s="616">
        <v>46005</v>
      </c>
      <c r="C2405" s="612" t="s">
        <v>2057</v>
      </c>
      <c r="D2405" s="612">
        <v>23</v>
      </c>
      <c r="E2405" s="621">
        <v>399</v>
      </c>
      <c r="F2405" s="614">
        <f t="shared" si="577"/>
        <v>9177</v>
      </c>
      <c r="G2405" s="614">
        <v>2.4102000000000001</v>
      </c>
      <c r="H2405" s="646">
        <f>E2405*G2405</f>
        <v>961.66980000000001</v>
      </c>
      <c r="I2405" s="646">
        <f>H2405*D2405</f>
        <v>22118.4054</v>
      </c>
      <c r="J2405" s="612">
        <f t="shared" si="576"/>
        <v>245985.01200000002</v>
      </c>
    </row>
    <row r="2410" spans="1:15" ht="21">
      <c r="A2410" s="611" t="s">
        <v>125</v>
      </c>
      <c r="B2410" s="1521" t="s">
        <v>20</v>
      </c>
      <c r="C2410" s="1521"/>
      <c r="D2410" s="1521"/>
      <c r="E2410" s="1521"/>
      <c r="F2410" s="1521"/>
      <c r="G2410" s="1521"/>
      <c r="H2410" s="1521"/>
      <c r="I2410" s="1521"/>
      <c r="J2410" s="1521"/>
      <c r="K2410" s="1521"/>
      <c r="L2410" s="1521"/>
      <c r="M2410" s="1521"/>
      <c r="N2410" s="1521"/>
      <c r="O2410" s="1521"/>
    </row>
    <row r="2411" spans="1:15" ht="18.75">
      <c r="A2411" t="s">
        <v>212</v>
      </c>
      <c r="B2411" s="226" t="s">
        <v>1</v>
      </c>
      <c r="C2411" s="226" t="s">
        <v>2</v>
      </c>
      <c r="D2411" s="226" t="s">
        <v>444</v>
      </c>
      <c r="E2411" s="226" t="s">
        <v>33</v>
      </c>
      <c r="F2411" s="226" t="s">
        <v>3</v>
      </c>
      <c r="G2411" s="226" t="s">
        <v>445</v>
      </c>
      <c r="H2411" s="226" t="s">
        <v>451</v>
      </c>
      <c r="I2411" s="226" t="s">
        <v>446</v>
      </c>
      <c r="J2411" s="226" t="s">
        <v>447</v>
      </c>
      <c r="K2411" s="226" t="s">
        <v>448</v>
      </c>
      <c r="L2411" s="226" t="s">
        <v>449</v>
      </c>
      <c r="M2411" s="226" t="s">
        <v>450</v>
      </c>
      <c r="N2411" s="226" t="s">
        <v>7</v>
      </c>
      <c r="O2411" s="29"/>
    </row>
    <row r="2412" spans="1:15">
      <c r="B2412" s="585">
        <v>46004</v>
      </c>
      <c r="C2412" s="110" t="s">
        <v>2180</v>
      </c>
      <c r="D2412" s="127" t="s">
        <v>2183</v>
      </c>
      <c r="E2412" s="127" t="s">
        <v>2182</v>
      </c>
      <c r="F2412" s="110">
        <v>10</v>
      </c>
      <c r="G2412" s="623">
        <v>960</v>
      </c>
      <c r="H2412" s="614">
        <v>10</v>
      </c>
      <c r="I2412" s="614">
        <f>G2412*H2412%</f>
        <v>96</v>
      </c>
      <c r="J2412" s="612">
        <f>G2412-I2412</f>
        <v>864</v>
      </c>
      <c r="K2412" s="612">
        <f>F2412*J2412</f>
        <v>8640</v>
      </c>
      <c r="L2412" s="614">
        <v>2.4102000000000001</v>
      </c>
      <c r="M2412" s="612">
        <f>J2412*L2412</f>
        <v>2082.4128000000001</v>
      </c>
      <c r="N2412" s="612">
        <f>F2412*M2412</f>
        <v>20824.128000000001</v>
      </c>
      <c r="O2412" s="612">
        <f>O2411+N2412</f>
        <v>20824.128000000001</v>
      </c>
    </row>
    <row r="2413" spans="1:15">
      <c r="B2413" s="614"/>
      <c r="C2413" s="614"/>
      <c r="D2413" s="614"/>
      <c r="E2413" s="614"/>
      <c r="F2413" s="614"/>
      <c r="G2413" s="614"/>
      <c r="H2413" s="614"/>
      <c r="I2413" s="614">
        <f>G2413*H2413%</f>
        <v>0</v>
      </c>
      <c r="J2413" s="612">
        <f>G2413-I2413</f>
        <v>0</v>
      </c>
      <c r="K2413" s="612">
        <f>F2413*J2413</f>
        <v>0</v>
      </c>
      <c r="L2413" s="612"/>
      <c r="M2413" s="612">
        <f>J2413*L2413</f>
        <v>0</v>
      </c>
      <c r="N2413" s="612">
        <f>F2413*M2413</f>
        <v>0</v>
      </c>
      <c r="O2413" s="612">
        <f>O2412+N2413</f>
        <v>20824.128000000001</v>
      </c>
    </row>
    <row r="2417" spans="1:11" ht="21">
      <c r="A2417" s="611" t="s">
        <v>125</v>
      </c>
      <c r="B2417" s="1520" t="s">
        <v>35</v>
      </c>
      <c r="C2417" s="1520"/>
      <c r="D2417" s="1520"/>
      <c r="E2417" s="1520"/>
      <c r="F2417" s="1520"/>
      <c r="G2417" s="1520"/>
      <c r="H2417" s="1520"/>
      <c r="I2417" s="1520"/>
      <c r="J2417" s="1520"/>
    </row>
    <row r="2418" spans="1:11" ht="18.75">
      <c r="A2418" s="611" t="s">
        <v>212</v>
      </c>
      <c r="B2418" s="4" t="s">
        <v>1</v>
      </c>
      <c r="C2418" s="4" t="s">
        <v>2</v>
      </c>
      <c r="D2418" s="4" t="s">
        <v>3</v>
      </c>
      <c r="E2418" s="4" t="s">
        <v>4</v>
      </c>
      <c r="F2418" s="4" t="s">
        <v>36</v>
      </c>
      <c r="G2418" s="4" t="s">
        <v>5</v>
      </c>
      <c r="H2418" s="4" t="s">
        <v>6</v>
      </c>
      <c r="I2418" s="4" t="s">
        <v>7</v>
      </c>
      <c r="J2418" s="4"/>
    </row>
    <row r="2419" spans="1:11">
      <c r="B2419" s="585">
        <v>46002</v>
      </c>
      <c r="C2419" s="110" t="s">
        <v>2184</v>
      </c>
      <c r="D2419" s="110">
        <v>2</v>
      </c>
      <c r="E2419" s="110">
        <v>775</v>
      </c>
      <c r="F2419" s="127">
        <f>E2419*D2419</f>
        <v>1550</v>
      </c>
      <c r="G2419" s="127">
        <v>2.12</v>
      </c>
      <c r="H2419" s="127">
        <f>E2419*G2419</f>
        <v>1643</v>
      </c>
      <c r="I2419" s="127">
        <f>H2419*D2419</f>
        <v>3286</v>
      </c>
      <c r="J2419" s="110">
        <f>J2418+I2419</f>
        <v>3286</v>
      </c>
    </row>
    <row r="2420" spans="1:11">
      <c r="B2420" s="614"/>
      <c r="C2420" s="614"/>
      <c r="D2420" s="614"/>
      <c r="E2420" s="614"/>
      <c r="F2420" s="614">
        <f>E2420*D2420</f>
        <v>0</v>
      </c>
      <c r="G2420" s="614"/>
      <c r="H2420" s="614">
        <f>E2420*G2420</f>
        <v>0</v>
      </c>
      <c r="I2420" s="614">
        <f>H2420*D2420</f>
        <v>0</v>
      </c>
      <c r="J2420" s="612">
        <f>J2419+I2420</f>
        <v>3286</v>
      </c>
    </row>
    <row r="2424" spans="1:11" ht="21">
      <c r="A2424" s="611" t="s">
        <v>125</v>
      </c>
      <c r="B2424" s="1520" t="s">
        <v>1912</v>
      </c>
      <c r="C2424" s="1520"/>
      <c r="D2424" s="1520"/>
      <c r="E2424" s="1520"/>
      <c r="F2424" s="1520"/>
      <c r="G2424" s="1520"/>
      <c r="H2424" s="1520"/>
      <c r="I2424" s="1520"/>
      <c r="J2424" s="1520"/>
      <c r="K2424" t="s">
        <v>2200</v>
      </c>
    </row>
    <row r="2425" spans="1:11" ht="18.75">
      <c r="B2425" s="4" t="s">
        <v>1</v>
      </c>
      <c r="C2425" s="4" t="s">
        <v>2</v>
      </c>
      <c r="D2425" s="4" t="s">
        <v>3</v>
      </c>
      <c r="E2425" s="514" t="s">
        <v>132</v>
      </c>
      <c r="F2425" s="514" t="s">
        <v>133</v>
      </c>
      <c r="G2425" s="4" t="s">
        <v>5</v>
      </c>
      <c r="H2425" s="4" t="s">
        <v>6</v>
      </c>
      <c r="I2425" s="4" t="s">
        <v>7</v>
      </c>
      <c r="J2425" s="4"/>
    </row>
    <row r="2426" spans="1:11">
      <c r="B2426" s="631">
        <v>46000</v>
      </c>
      <c r="C2426" s="647" t="s">
        <v>2194</v>
      </c>
      <c r="D2426" s="629">
        <v>1</v>
      </c>
      <c r="E2426" s="614">
        <v>1</v>
      </c>
      <c r="F2426" s="614">
        <f t="shared" ref="F2426:F2431" si="580">E2426*D2426</f>
        <v>1</v>
      </c>
      <c r="G2426" s="614">
        <v>3.5950000000000002</v>
      </c>
      <c r="H2426" s="614">
        <f t="shared" ref="H2426:H2431" si="581">E2426*G2426</f>
        <v>3.5950000000000002</v>
      </c>
      <c r="I2426" s="614">
        <f t="shared" ref="I2426:I2431" si="582">H2426*D2426</f>
        <v>3.5950000000000002</v>
      </c>
      <c r="J2426" s="612">
        <f t="shared" ref="J2426:J2431" si="583">J2425+I2426</f>
        <v>3.5950000000000002</v>
      </c>
    </row>
    <row r="2427" spans="1:11">
      <c r="B2427" s="631">
        <v>46000</v>
      </c>
      <c r="C2427" s="647" t="s">
        <v>2195</v>
      </c>
      <c r="D2427" s="629">
        <v>1</v>
      </c>
      <c r="E2427" s="614">
        <v>1</v>
      </c>
      <c r="F2427" s="614">
        <f t="shared" si="580"/>
        <v>1</v>
      </c>
      <c r="G2427" s="614">
        <v>3.5950000000000002</v>
      </c>
      <c r="H2427" s="614">
        <f t="shared" si="581"/>
        <v>3.5950000000000002</v>
      </c>
      <c r="I2427" s="614">
        <f t="shared" si="582"/>
        <v>3.5950000000000002</v>
      </c>
      <c r="J2427" s="612">
        <f t="shared" si="583"/>
        <v>7.19</v>
      </c>
    </row>
    <row r="2428" spans="1:11">
      <c r="B2428" s="631">
        <v>46000</v>
      </c>
      <c r="C2428" s="647" t="s">
        <v>2196</v>
      </c>
      <c r="D2428" s="629">
        <v>1</v>
      </c>
      <c r="E2428" s="614">
        <v>1</v>
      </c>
      <c r="F2428" s="614">
        <f t="shared" si="580"/>
        <v>1</v>
      </c>
      <c r="G2428" s="614">
        <v>3.5950000000000002</v>
      </c>
      <c r="H2428" s="614">
        <f t="shared" si="581"/>
        <v>3.5950000000000002</v>
      </c>
      <c r="I2428" s="614">
        <f t="shared" si="582"/>
        <v>3.5950000000000002</v>
      </c>
      <c r="J2428" s="612">
        <f t="shared" si="583"/>
        <v>10.785</v>
      </c>
    </row>
    <row r="2429" spans="1:11">
      <c r="B2429" s="631">
        <v>46000</v>
      </c>
      <c r="C2429" s="647" t="s">
        <v>2197</v>
      </c>
      <c r="D2429" s="629">
        <v>1</v>
      </c>
      <c r="E2429" s="614">
        <v>1</v>
      </c>
      <c r="F2429" s="614">
        <f t="shared" si="580"/>
        <v>1</v>
      </c>
      <c r="G2429" s="614">
        <v>3.5950000000000002</v>
      </c>
      <c r="H2429" s="614">
        <f t="shared" si="581"/>
        <v>3.5950000000000002</v>
      </c>
      <c r="I2429" s="614">
        <f t="shared" si="582"/>
        <v>3.5950000000000002</v>
      </c>
      <c r="J2429" s="612">
        <f t="shared" si="583"/>
        <v>14.38</v>
      </c>
    </row>
    <row r="2430" spans="1:11">
      <c r="B2430" s="631">
        <v>46000</v>
      </c>
      <c r="C2430" s="630" t="s">
        <v>2198</v>
      </c>
      <c r="D2430" s="629">
        <v>1</v>
      </c>
      <c r="E2430" s="614">
        <v>1</v>
      </c>
      <c r="F2430" s="614">
        <f t="shared" si="580"/>
        <v>1</v>
      </c>
      <c r="G2430" s="614">
        <v>3.5950000000000002</v>
      </c>
      <c r="H2430" s="614">
        <f t="shared" si="581"/>
        <v>3.5950000000000002</v>
      </c>
      <c r="I2430" s="614">
        <f t="shared" si="582"/>
        <v>3.5950000000000002</v>
      </c>
      <c r="J2430" s="612">
        <f t="shared" si="583"/>
        <v>17.975000000000001</v>
      </c>
    </row>
    <row r="2431" spans="1:11">
      <c r="B2431" s="631">
        <v>46000</v>
      </c>
      <c r="C2431" s="630" t="s">
        <v>2199</v>
      </c>
      <c r="D2431" s="629">
        <v>1</v>
      </c>
      <c r="E2431" s="614">
        <v>1</v>
      </c>
      <c r="F2431" s="614">
        <f t="shared" si="580"/>
        <v>1</v>
      </c>
      <c r="G2431" s="614">
        <v>3.5950000000000002</v>
      </c>
      <c r="H2431" s="614">
        <f t="shared" si="581"/>
        <v>3.5950000000000002</v>
      </c>
      <c r="I2431" s="614">
        <f t="shared" si="582"/>
        <v>3.5950000000000002</v>
      </c>
      <c r="J2431" s="612">
        <f t="shared" si="583"/>
        <v>21.57</v>
      </c>
    </row>
    <row r="2435" spans="1:10" ht="21">
      <c r="A2435" s="611" t="s">
        <v>125</v>
      </c>
      <c r="B2435" s="1520" t="s">
        <v>20</v>
      </c>
      <c r="C2435" s="1520"/>
      <c r="D2435" s="1520"/>
      <c r="E2435" s="1520"/>
      <c r="F2435" s="1520"/>
      <c r="G2435" s="1520"/>
      <c r="H2435" s="1520"/>
      <c r="I2435" s="1520"/>
      <c r="J2435" s="1520"/>
    </row>
    <row r="2436" spans="1:10" ht="18.75">
      <c r="A2436" t="s">
        <v>212</v>
      </c>
      <c r="B2436" s="4" t="s">
        <v>1</v>
      </c>
      <c r="C2436" s="4" t="s">
        <v>2</v>
      </c>
      <c r="D2436" s="4" t="s">
        <v>3</v>
      </c>
      <c r="E2436" s="4" t="s">
        <v>4</v>
      </c>
      <c r="F2436" s="4" t="s">
        <v>36</v>
      </c>
      <c r="G2436" s="4" t="s">
        <v>5</v>
      </c>
      <c r="H2436" s="4" t="s">
        <v>6</v>
      </c>
      <c r="I2436" s="4" t="s">
        <v>7</v>
      </c>
      <c r="J2436" s="4"/>
    </row>
    <row r="2437" spans="1:10">
      <c r="B2437" s="583">
        <v>46006</v>
      </c>
      <c r="C2437" s="230" t="s">
        <v>1818</v>
      </c>
      <c r="D2437" s="649">
        <v>12</v>
      </c>
      <c r="E2437" s="636">
        <v>398</v>
      </c>
      <c r="F2437" s="614">
        <f>E2437*D2437</f>
        <v>4776</v>
      </c>
      <c r="G2437" s="614">
        <v>2.3940000000000001</v>
      </c>
      <c r="H2437" s="614">
        <f>E2437*G2437</f>
        <v>952.81200000000001</v>
      </c>
      <c r="I2437" s="614">
        <f>H2437*D2437</f>
        <v>11433.744000000001</v>
      </c>
      <c r="J2437" s="612">
        <f>J2436+I2437</f>
        <v>11433.744000000001</v>
      </c>
    </row>
    <row r="2438" spans="1:10">
      <c r="B2438" s="583">
        <v>46006</v>
      </c>
      <c r="C2438" s="230" t="s">
        <v>2208</v>
      </c>
      <c r="D2438" s="649">
        <v>12</v>
      </c>
      <c r="E2438" s="636">
        <v>398</v>
      </c>
      <c r="F2438" s="614">
        <f>E2438*D2438</f>
        <v>4776</v>
      </c>
      <c r="G2438" s="614">
        <v>2.3940000000000001</v>
      </c>
      <c r="H2438" s="614">
        <f>E2438*G2438</f>
        <v>952.81200000000001</v>
      </c>
      <c r="I2438" s="614">
        <f>H2438*D2438</f>
        <v>11433.744000000001</v>
      </c>
      <c r="J2438" s="612">
        <f>J2437+I2438</f>
        <v>22867.488000000001</v>
      </c>
    </row>
    <row r="2439" spans="1:10">
      <c r="B2439" s="583">
        <v>46006</v>
      </c>
      <c r="C2439" s="230" t="s">
        <v>1853</v>
      </c>
      <c r="D2439" s="649">
        <v>15</v>
      </c>
      <c r="E2439" s="636">
        <v>398</v>
      </c>
      <c r="F2439" s="614">
        <f>E2439*D2439</f>
        <v>5970</v>
      </c>
      <c r="G2439" s="614">
        <v>2.3940000000000001</v>
      </c>
      <c r="H2439" s="614">
        <f>E2439*G2439</f>
        <v>952.81200000000001</v>
      </c>
      <c r="I2439" s="614">
        <f>H2439*D2439</f>
        <v>14292.18</v>
      </c>
      <c r="J2439" s="612">
        <f>J2438+I2439</f>
        <v>37159.668000000005</v>
      </c>
    </row>
    <row r="2440" spans="1:10">
      <c r="B2440" s="583">
        <v>46006</v>
      </c>
      <c r="C2440" s="230" t="s">
        <v>2209</v>
      </c>
      <c r="D2440" s="649">
        <v>3</v>
      </c>
      <c r="E2440" s="636">
        <v>1059</v>
      </c>
      <c r="F2440" s="614">
        <f>E2440*D2440</f>
        <v>3177</v>
      </c>
      <c r="G2440" s="614">
        <v>2.3940000000000001</v>
      </c>
      <c r="H2440" s="614">
        <f>E2440*G2440</f>
        <v>2535.2460000000001</v>
      </c>
      <c r="I2440" s="614">
        <f>H2440*D2440</f>
        <v>7605.7380000000003</v>
      </c>
      <c r="J2440" s="612">
        <f>J2439+I2440</f>
        <v>44765.406000000003</v>
      </c>
    </row>
    <row r="2441" spans="1:10">
      <c r="B2441" s="583">
        <v>46006</v>
      </c>
      <c r="C2441" s="230" t="s">
        <v>2210</v>
      </c>
      <c r="D2441" s="649">
        <v>1</v>
      </c>
      <c r="E2441" s="636">
        <v>573</v>
      </c>
      <c r="F2441" s="614">
        <f>E2441*D2441</f>
        <v>573</v>
      </c>
      <c r="G2441" s="614">
        <v>2.3940000000000001</v>
      </c>
      <c r="H2441" s="614">
        <f>E2441*G2441</f>
        <v>1371.7620000000002</v>
      </c>
      <c r="I2441" s="614">
        <f>H2441*D2441</f>
        <v>1371.7620000000002</v>
      </c>
      <c r="J2441" s="612">
        <f>J2440+I2441</f>
        <v>46137.168000000005</v>
      </c>
    </row>
    <row r="2442" spans="1:10">
      <c r="B2442" s="583">
        <v>46006</v>
      </c>
      <c r="C2442" s="230" t="s">
        <v>2057</v>
      </c>
      <c r="D2442" s="649">
        <v>7</v>
      </c>
      <c r="E2442" s="636">
        <v>398</v>
      </c>
      <c r="F2442" s="614">
        <f t="shared" ref="F2442:F2470" si="584">E2442*D2442</f>
        <v>2786</v>
      </c>
      <c r="G2442" s="614">
        <v>2.3940000000000001</v>
      </c>
      <c r="H2442" s="614">
        <f t="shared" ref="H2442:H2468" si="585">E2442*G2442</f>
        <v>952.81200000000001</v>
      </c>
      <c r="I2442" s="614">
        <f t="shared" ref="I2442:I2468" si="586">H2442*D2442</f>
        <v>6669.6840000000002</v>
      </c>
      <c r="J2442" s="612">
        <f t="shared" ref="J2442:J2468" si="587">J2441+I2442</f>
        <v>52806.852000000006</v>
      </c>
    </row>
    <row r="2443" spans="1:10">
      <c r="B2443" s="583">
        <v>46006</v>
      </c>
      <c r="C2443" s="230" t="s">
        <v>2211</v>
      </c>
      <c r="D2443" s="649">
        <v>2</v>
      </c>
      <c r="E2443" s="636">
        <v>2099</v>
      </c>
      <c r="F2443" s="614">
        <f t="shared" si="584"/>
        <v>4198</v>
      </c>
      <c r="G2443" s="614">
        <v>2.3940000000000001</v>
      </c>
      <c r="H2443" s="614">
        <f t="shared" si="585"/>
        <v>5025.0060000000003</v>
      </c>
      <c r="I2443" s="614">
        <f t="shared" si="586"/>
        <v>10050.012000000001</v>
      </c>
      <c r="J2443" s="612">
        <f t="shared" si="587"/>
        <v>62856.864000000009</v>
      </c>
    </row>
    <row r="2444" spans="1:10">
      <c r="B2444" s="583">
        <v>46006</v>
      </c>
      <c r="C2444" s="230" t="s">
        <v>2057</v>
      </c>
      <c r="D2444" s="649">
        <v>23</v>
      </c>
      <c r="E2444" s="636">
        <v>399</v>
      </c>
      <c r="F2444" s="614">
        <f t="shared" si="584"/>
        <v>9177</v>
      </c>
      <c r="G2444" s="614">
        <v>2.3940000000000001</v>
      </c>
      <c r="H2444" s="614">
        <f t="shared" si="585"/>
        <v>955.20600000000002</v>
      </c>
      <c r="I2444" s="614">
        <f t="shared" si="586"/>
        <v>21969.738000000001</v>
      </c>
      <c r="J2444" s="612">
        <f t="shared" si="587"/>
        <v>84826.602000000014</v>
      </c>
    </row>
    <row r="2445" spans="1:10">
      <c r="B2445" s="583">
        <v>46007</v>
      </c>
      <c r="C2445" s="230" t="s">
        <v>2213</v>
      </c>
      <c r="D2445" s="649">
        <v>4</v>
      </c>
      <c r="E2445" s="636">
        <v>398</v>
      </c>
      <c r="F2445" s="614">
        <f t="shared" si="584"/>
        <v>1592</v>
      </c>
      <c r="G2445" s="614">
        <v>2.3940000000000001</v>
      </c>
      <c r="H2445" s="614">
        <f t="shared" si="585"/>
        <v>952.81200000000001</v>
      </c>
      <c r="I2445" s="614">
        <f t="shared" si="586"/>
        <v>3811.248</v>
      </c>
      <c r="J2445" s="612">
        <f t="shared" si="587"/>
        <v>88637.85000000002</v>
      </c>
    </row>
    <row r="2446" spans="1:10">
      <c r="B2446" s="583">
        <v>46008</v>
      </c>
      <c r="C2446" s="230" t="s">
        <v>2214</v>
      </c>
      <c r="D2446" s="649">
        <v>44</v>
      </c>
      <c r="E2446" s="636">
        <v>398</v>
      </c>
      <c r="F2446" s="614">
        <f t="shared" si="584"/>
        <v>17512</v>
      </c>
      <c r="G2446" s="614">
        <v>2.3940000000000001</v>
      </c>
      <c r="H2446" s="614">
        <f t="shared" si="585"/>
        <v>952.81200000000001</v>
      </c>
      <c r="I2446" s="614">
        <f t="shared" si="586"/>
        <v>41923.728000000003</v>
      </c>
      <c r="J2446" s="612">
        <f t="shared" si="587"/>
        <v>130561.57800000002</v>
      </c>
    </row>
    <row r="2447" spans="1:10">
      <c r="B2447" s="583">
        <v>46008</v>
      </c>
      <c r="C2447" s="230" t="s">
        <v>2215</v>
      </c>
      <c r="D2447" s="649">
        <v>159</v>
      </c>
      <c r="E2447" s="230">
        <v>398</v>
      </c>
      <c r="F2447" s="614">
        <f t="shared" si="584"/>
        <v>63282</v>
      </c>
      <c r="G2447" s="614">
        <v>2.3940000000000001</v>
      </c>
      <c r="H2447" s="614">
        <f t="shared" si="585"/>
        <v>952.81200000000001</v>
      </c>
      <c r="I2447" s="614">
        <f t="shared" si="586"/>
        <v>151497.10800000001</v>
      </c>
      <c r="J2447" s="612">
        <f t="shared" si="587"/>
        <v>282058.68600000005</v>
      </c>
    </row>
    <row r="2448" spans="1:10">
      <c r="B2448" s="583">
        <v>46009</v>
      </c>
      <c r="C2448" s="230" t="s">
        <v>2215</v>
      </c>
      <c r="D2448" s="649">
        <v>9</v>
      </c>
      <c r="E2448" s="230">
        <v>398</v>
      </c>
      <c r="F2448" s="614">
        <f t="shared" si="584"/>
        <v>3582</v>
      </c>
      <c r="G2448" s="614">
        <v>2.3940000000000001</v>
      </c>
      <c r="H2448" s="614">
        <f t="shared" si="585"/>
        <v>952.81200000000001</v>
      </c>
      <c r="I2448" s="614">
        <f t="shared" si="586"/>
        <v>8575.3080000000009</v>
      </c>
      <c r="J2448" s="612">
        <f t="shared" si="587"/>
        <v>290633.99400000006</v>
      </c>
    </row>
    <row r="2449" spans="2:10">
      <c r="B2449" s="585">
        <v>46010</v>
      </c>
      <c r="C2449" s="110" t="s">
        <v>2216</v>
      </c>
      <c r="D2449" s="127">
        <v>2</v>
      </c>
      <c r="E2449" s="110">
        <v>477</v>
      </c>
      <c r="F2449" s="127">
        <f t="shared" si="584"/>
        <v>954</v>
      </c>
      <c r="G2449" s="127">
        <v>2.3940000000000001</v>
      </c>
      <c r="H2449" s="127">
        <f t="shared" si="585"/>
        <v>1141.9380000000001</v>
      </c>
      <c r="I2449" s="127">
        <f t="shared" si="586"/>
        <v>2283.8760000000002</v>
      </c>
      <c r="J2449" s="110">
        <f t="shared" si="587"/>
        <v>292917.87000000005</v>
      </c>
    </row>
    <row r="2450" spans="2:10">
      <c r="B2450" s="585">
        <v>46010</v>
      </c>
      <c r="C2450" s="110" t="s">
        <v>2216</v>
      </c>
      <c r="D2450" s="127">
        <v>2</v>
      </c>
      <c r="E2450" s="110">
        <v>477</v>
      </c>
      <c r="F2450" s="127">
        <f t="shared" si="584"/>
        <v>954</v>
      </c>
      <c r="G2450" s="127">
        <v>2.3940000000000001</v>
      </c>
      <c r="H2450" s="127">
        <f t="shared" si="585"/>
        <v>1141.9380000000001</v>
      </c>
      <c r="I2450" s="127">
        <f t="shared" si="586"/>
        <v>2283.8760000000002</v>
      </c>
      <c r="J2450" s="110">
        <f t="shared" si="587"/>
        <v>295201.74600000004</v>
      </c>
    </row>
    <row r="2451" spans="2:10">
      <c r="B2451" s="585">
        <v>46010</v>
      </c>
      <c r="C2451" s="110" t="s">
        <v>2217</v>
      </c>
      <c r="D2451" s="127">
        <v>2</v>
      </c>
      <c r="E2451" s="110">
        <v>477</v>
      </c>
      <c r="F2451" s="127">
        <f t="shared" si="584"/>
        <v>954</v>
      </c>
      <c r="G2451" s="127">
        <v>2.3940000000000001</v>
      </c>
      <c r="H2451" s="127">
        <f t="shared" si="585"/>
        <v>1141.9380000000001</v>
      </c>
      <c r="I2451" s="127">
        <f t="shared" si="586"/>
        <v>2283.8760000000002</v>
      </c>
      <c r="J2451" s="110">
        <f t="shared" si="587"/>
        <v>297485.62200000003</v>
      </c>
    </row>
    <row r="2452" spans="2:10">
      <c r="B2452" s="585">
        <v>46010</v>
      </c>
      <c r="C2452" s="110" t="s">
        <v>2218</v>
      </c>
      <c r="D2452" s="127">
        <v>2</v>
      </c>
      <c r="E2452" s="110">
        <v>477</v>
      </c>
      <c r="F2452" s="127">
        <f t="shared" si="584"/>
        <v>954</v>
      </c>
      <c r="G2452" s="127">
        <v>2.3940000000000001</v>
      </c>
      <c r="H2452" s="127">
        <f t="shared" si="585"/>
        <v>1141.9380000000001</v>
      </c>
      <c r="I2452" s="127">
        <f t="shared" si="586"/>
        <v>2283.8760000000002</v>
      </c>
      <c r="J2452" s="110">
        <f t="shared" si="587"/>
        <v>299769.49800000002</v>
      </c>
    </row>
    <row r="2453" spans="2:10">
      <c r="B2453" s="585">
        <v>46010</v>
      </c>
      <c r="C2453" s="110" t="s">
        <v>2219</v>
      </c>
      <c r="D2453" s="127">
        <v>2</v>
      </c>
      <c r="E2453" s="110">
        <v>480</v>
      </c>
      <c r="F2453" s="127">
        <f t="shared" si="584"/>
        <v>960</v>
      </c>
      <c r="G2453" s="127">
        <v>2.3940000000000001</v>
      </c>
      <c r="H2453" s="127">
        <f t="shared" si="585"/>
        <v>1149.1200000000001</v>
      </c>
      <c r="I2453" s="127">
        <f t="shared" si="586"/>
        <v>2298.2400000000002</v>
      </c>
      <c r="J2453" s="110">
        <f t="shared" si="587"/>
        <v>302067.73800000001</v>
      </c>
    </row>
    <row r="2454" spans="2:10">
      <c r="B2454" s="583">
        <v>46010</v>
      </c>
      <c r="C2454" s="230" t="s">
        <v>2220</v>
      </c>
      <c r="D2454" s="649">
        <v>2</v>
      </c>
      <c r="E2454" s="230">
        <v>480</v>
      </c>
      <c r="F2454" s="614">
        <f t="shared" si="584"/>
        <v>960</v>
      </c>
      <c r="G2454" s="614">
        <v>2.3940000000000001</v>
      </c>
      <c r="H2454" s="614">
        <f t="shared" si="585"/>
        <v>1149.1200000000001</v>
      </c>
      <c r="I2454" s="614">
        <f t="shared" si="586"/>
        <v>2298.2400000000002</v>
      </c>
      <c r="J2454" s="612">
        <f t="shared" si="587"/>
        <v>304365.978</v>
      </c>
    </row>
    <row r="2455" spans="2:10">
      <c r="B2455" s="583">
        <v>46010</v>
      </c>
      <c r="C2455" s="230" t="s">
        <v>2221</v>
      </c>
      <c r="D2455" s="649">
        <v>2</v>
      </c>
      <c r="E2455" s="230">
        <v>480</v>
      </c>
      <c r="F2455" s="614">
        <f t="shared" si="584"/>
        <v>960</v>
      </c>
      <c r="G2455" s="614">
        <v>2.3940000000000001</v>
      </c>
      <c r="H2455" s="614">
        <f t="shared" si="585"/>
        <v>1149.1200000000001</v>
      </c>
      <c r="I2455" s="614">
        <f t="shared" si="586"/>
        <v>2298.2400000000002</v>
      </c>
      <c r="J2455" s="612">
        <f t="shared" si="587"/>
        <v>306664.21799999999</v>
      </c>
    </row>
    <row r="2456" spans="2:10">
      <c r="B2456" s="583">
        <v>46010</v>
      </c>
      <c r="C2456" s="230" t="s">
        <v>2221</v>
      </c>
      <c r="D2456" s="649">
        <v>2</v>
      </c>
      <c r="E2456" s="230">
        <v>480</v>
      </c>
      <c r="F2456" s="614">
        <f t="shared" si="584"/>
        <v>960</v>
      </c>
      <c r="G2456" s="614">
        <v>2.3940000000000001</v>
      </c>
      <c r="H2456" s="614">
        <f t="shared" si="585"/>
        <v>1149.1200000000001</v>
      </c>
      <c r="I2456" s="614">
        <f t="shared" si="586"/>
        <v>2298.2400000000002</v>
      </c>
      <c r="J2456" s="612">
        <f t="shared" si="587"/>
        <v>308962.45799999998</v>
      </c>
    </row>
    <row r="2457" spans="2:10">
      <c r="B2457" s="583">
        <v>46010</v>
      </c>
      <c r="C2457" s="230" t="s">
        <v>2216</v>
      </c>
      <c r="D2457" s="649">
        <v>4</v>
      </c>
      <c r="E2457" s="230">
        <v>477</v>
      </c>
      <c r="F2457" s="614">
        <f t="shared" si="584"/>
        <v>1908</v>
      </c>
      <c r="G2457" s="614">
        <v>2.3940000000000001</v>
      </c>
      <c r="H2457" s="614">
        <f t="shared" si="585"/>
        <v>1141.9380000000001</v>
      </c>
      <c r="I2457" s="614">
        <f t="shared" si="586"/>
        <v>4567.7520000000004</v>
      </c>
      <c r="J2457" s="612">
        <f t="shared" si="587"/>
        <v>313530.20999999996</v>
      </c>
    </row>
    <row r="2458" spans="2:10">
      <c r="B2458" s="583">
        <v>46010</v>
      </c>
      <c r="C2458" s="230" t="s">
        <v>2222</v>
      </c>
      <c r="D2458" s="649">
        <v>4</v>
      </c>
      <c r="E2458" s="230">
        <v>629</v>
      </c>
      <c r="F2458" s="614">
        <f t="shared" si="584"/>
        <v>2516</v>
      </c>
      <c r="G2458" s="614">
        <v>2.3940000000000001</v>
      </c>
      <c r="H2458" s="614">
        <f t="shared" si="585"/>
        <v>1505.826</v>
      </c>
      <c r="I2458" s="614">
        <f t="shared" si="586"/>
        <v>6023.3040000000001</v>
      </c>
      <c r="J2458" s="612">
        <f t="shared" si="587"/>
        <v>319553.51399999997</v>
      </c>
    </row>
    <row r="2459" spans="2:10">
      <c r="B2459" s="583">
        <v>46010</v>
      </c>
      <c r="C2459" s="230" t="s">
        <v>2217</v>
      </c>
      <c r="D2459" s="649">
        <v>4</v>
      </c>
      <c r="E2459" s="230">
        <v>477</v>
      </c>
      <c r="F2459" s="614">
        <f t="shared" si="584"/>
        <v>1908</v>
      </c>
      <c r="G2459" s="614">
        <v>2.3940000000000001</v>
      </c>
      <c r="H2459" s="614">
        <f t="shared" si="585"/>
        <v>1141.9380000000001</v>
      </c>
      <c r="I2459" s="614">
        <f t="shared" si="586"/>
        <v>4567.7520000000004</v>
      </c>
      <c r="J2459" s="612">
        <f t="shared" si="587"/>
        <v>324121.26599999995</v>
      </c>
    </row>
    <row r="2460" spans="2:10">
      <c r="B2460" s="583">
        <v>46010</v>
      </c>
      <c r="C2460" s="230" t="s">
        <v>2223</v>
      </c>
      <c r="D2460" s="649">
        <v>4</v>
      </c>
      <c r="E2460" s="230">
        <v>629</v>
      </c>
      <c r="F2460" s="614">
        <f t="shared" si="584"/>
        <v>2516</v>
      </c>
      <c r="G2460" s="614">
        <v>2.3940000000000001</v>
      </c>
      <c r="H2460" s="614">
        <f t="shared" si="585"/>
        <v>1505.826</v>
      </c>
      <c r="I2460" s="614">
        <f t="shared" si="586"/>
        <v>6023.3040000000001</v>
      </c>
      <c r="J2460" s="612">
        <f t="shared" si="587"/>
        <v>330144.56999999995</v>
      </c>
    </row>
    <row r="2461" spans="2:10">
      <c r="B2461" s="583">
        <v>46010</v>
      </c>
      <c r="C2461" s="230" t="s">
        <v>2218</v>
      </c>
      <c r="D2461" s="649">
        <v>3</v>
      </c>
      <c r="E2461" s="230">
        <v>477</v>
      </c>
      <c r="F2461" s="614">
        <f t="shared" si="584"/>
        <v>1431</v>
      </c>
      <c r="G2461" s="614">
        <v>2.3940000000000001</v>
      </c>
      <c r="H2461" s="614">
        <f t="shared" si="585"/>
        <v>1141.9380000000001</v>
      </c>
      <c r="I2461" s="614">
        <f t="shared" si="586"/>
        <v>3425.8140000000003</v>
      </c>
      <c r="J2461" s="612">
        <f t="shared" si="587"/>
        <v>333570.38399999996</v>
      </c>
    </row>
    <row r="2462" spans="2:10">
      <c r="B2462" s="583">
        <v>46010</v>
      </c>
      <c r="C2462" s="230" t="s">
        <v>2224</v>
      </c>
      <c r="D2462" s="649">
        <v>3</v>
      </c>
      <c r="E2462" s="230">
        <v>629</v>
      </c>
      <c r="F2462" s="614">
        <f t="shared" si="584"/>
        <v>1887</v>
      </c>
      <c r="G2462" s="614">
        <v>2.3940000000000001</v>
      </c>
      <c r="H2462" s="614">
        <f t="shared" si="585"/>
        <v>1505.826</v>
      </c>
      <c r="I2462" s="614">
        <f t="shared" si="586"/>
        <v>4517.4780000000001</v>
      </c>
      <c r="J2462" s="612">
        <f t="shared" si="587"/>
        <v>338087.86199999996</v>
      </c>
    </row>
    <row r="2463" spans="2:10">
      <c r="B2463" s="583">
        <v>46010</v>
      </c>
      <c r="C2463" s="230" t="s">
        <v>2225</v>
      </c>
      <c r="D2463" s="649">
        <v>2</v>
      </c>
      <c r="E2463" s="230">
        <v>479</v>
      </c>
      <c r="F2463" s="614">
        <f t="shared" si="584"/>
        <v>958</v>
      </c>
      <c r="G2463" s="614">
        <v>2.3940000000000001</v>
      </c>
      <c r="H2463" s="614">
        <f t="shared" si="585"/>
        <v>1146.7260000000001</v>
      </c>
      <c r="I2463" s="614">
        <f t="shared" si="586"/>
        <v>2293.4520000000002</v>
      </c>
      <c r="J2463" s="612">
        <f t="shared" si="587"/>
        <v>340381.31399999995</v>
      </c>
    </row>
    <row r="2464" spans="2:10">
      <c r="B2464" s="585">
        <v>46010</v>
      </c>
      <c r="C2464" s="110" t="s">
        <v>2171</v>
      </c>
      <c r="D2464" s="127">
        <v>10</v>
      </c>
      <c r="E2464" s="110">
        <v>1400</v>
      </c>
      <c r="F2464" s="127">
        <f t="shared" si="584"/>
        <v>14000</v>
      </c>
      <c r="G2464" s="127">
        <v>2.3940000000000001</v>
      </c>
      <c r="H2464" s="127">
        <f t="shared" si="585"/>
        <v>3351.6000000000004</v>
      </c>
      <c r="I2464" s="127">
        <f t="shared" si="586"/>
        <v>33516</v>
      </c>
      <c r="J2464" s="110">
        <f t="shared" si="587"/>
        <v>373897.31399999995</v>
      </c>
    </row>
    <row r="2465" spans="1:10">
      <c r="B2465" s="585">
        <v>46010</v>
      </c>
      <c r="C2465" s="110" t="s">
        <v>2226</v>
      </c>
      <c r="D2465" s="127">
        <v>10</v>
      </c>
      <c r="E2465" s="110">
        <v>415</v>
      </c>
      <c r="F2465" s="127">
        <f t="shared" si="584"/>
        <v>4150</v>
      </c>
      <c r="G2465" s="127">
        <v>2.3940000000000001</v>
      </c>
      <c r="H2465" s="127">
        <f t="shared" si="585"/>
        <v>993.5100000000001</v>
      </c>
      <c r="I2465" s="127">
        <f t="shared" si="586"/>
        <v>9935.1</v>
      </c>
      <c r="J2465" s="110">
        <f t="shared" si="587"/>
        <v>383832.41399999993</v>
      </c>
    </row>
    <row r="2466" spans="1:10">
      <c r="B2466" s="585">
        <v>46010</v>
      </c>
      <c r="C2466" s="110" t="s">
        <v>2227</v>
      </c>
      <c r="D2466" s="127">
        <v>20</v>
      </c>
      <c r="E2466" s="110">
        <v>765</v>
      </c>
      <c r="F2466" s="127">
        <f t="shared" si="584"/>
        <v>15300</v>
      </c>
      <c r="G2466" s="127">
        <v>2.3940000000000001</v>
      </c>
      <c r="H2466" s="127">
        <f t="shared" si="585"/>
        <v>1831.41</v>
      </c>
      <c r="I2466" s="127">
        <f t="shared" si="586"/>
        <v>36628.200000000004</v>
      </c>
      <c r="J2466" s="110">
        <f t="shared" si="587"/>
        <v>420460.61399999994</v>
      </c>
    </row>
    <row r="2467" spans="1:10">
      <c r="B2467" s="585">
        <v>46010</v>
      </c>
      <c r="C2467" s="110" t="s">
        <v>2228</v>
      </c>
      <c r="D2467" s="127">
        <v>3</v>
      </c>
      <c r="E2467" s="110">
        <v>3300</v>
      </c>
      <c r="F2467" s="127">
        <f t="shared" si="584"/>
        <v>9900</v>
      </c>
      <c r="G2467" s="127">
        <v>2.3940000000000001</v>
      </c>
      <c r="H2467" s="127">
        <f t="shared" si="585"/>
        <v>7900.2000000000007</v>
      </c>
      <c r="I2467" s="127">
        <f t="shared" si="586"/>
        <v>23700.600000000002</v>
      </c>
      <c r="J2467" s="110">
        <f t="shared" si="587"/>
        <v>444161.21399999992</v>
      </c>
    </row>
    <row r="2468" spans="1:10">
      <c r="B2468" s="585">
        <v>46010</v>
      </c>
      <c r="C2468" s="110" t="s">
        <v>2229</v>
      </c>
      <c r="D2468" s="127">
        <v>2</v>
      </c>
      <c r="E2468" s="110">
        <v>2500</v>
      </c>
      <c r="F2468" s="127">
        <f t="shared" si="584"/>
        <v>5000</v>
      </c>
      <c r="G2468" s="127">
        <v>2.3940000000000001</v>
      </c>
      <c r="H2468" s="127">
        <f t="shared" si="585"/>
        <v>5985</v>
      </c>
      <c r="I2468" s="127">
        <f t="shared" si="586"/>
        <v>11970</v>
      </c>
      <c r="J2468" s="110">
        <f t="shared" si="587"/>
        <v>456131.21399999992</v>
      </c>
    </row>
    <row r="2469" spans="1:10">
      <c r="B2469" s="594">
        <v>46010</v>
      </c>
      <c r="C2469" s="296" t="s">
        <v>2212</v>
      </c>
      <c r="D2469" s="596">
        <v>1</v>
      </c>
      <c r="E2469" s="637">
        <v>450</v>
      </c>
      <c r="F2469" s="596">
        <f t="shared" si="584"/>
        <v>450</v>
      </c>
      <c r="G2469" s="596">
        <v>2.3940000000000001</v>
      </c>
      <c r="H2469" s="596">
        <f>E2469*G2469</f>
        <v>1077.3</v>
      </c>
      <c r="I2469" s="596">
        <f>H2469*D2469</f>
        <v>1077.3</v>
      </c>
      <c r="J2469" s="296">
        <f>J2468+I2469</f>
        <v>457208.51399999991</v>
      </c>
    </row>
    <row r="2470" spans="1:10">
      <c r="B2470" s="594">
        <v>46010</v>
      </c>
      <c r="C2470" s="296" t="s">
        <v>2230</v>
      </c>
      <c r="D2470" s="596">
        <v>1</v>
      </c>
      <c r="E2470" s="637">
        <v>110</v>
      </c>
      <c r="F2470" s="596">
        <f t="shared" si="584"/>
        <v>110</v>
      </c>
      <c r="G2470" s="596">
        <v>2.3940000000000001</v>
      </c>
      <c r="H2470" s="596">
        <f>E2470*G2470</f>
        <v>263.34000000000003</v>
      </c>
      <c r="I2470" s="596">
        <f>H2470*D2470</f>
        <v>263.34000000000003</v>
      </c>
      <c r="J2470" s="296">
        <f>J2469+I2470</f>
        <v>457471.85399999993</v>
      </c>
    </row>
    <row r="2475" spans="1:10" ht="21">
      <c r="A2475" s="611" t="s">
        <v>125</v>
      </c>
      <c r="B2475" s="1520" t="s">
        <v>20</v>
      </c>
      <c r="C2475" s="1520"/>
      <c r="D2475" s="1520"/>
      <c r="E2475" s="1520"/>
      <c r="F2475" s="1520"/>
      <c r="G2475" s="1520"/>
      <c r="H2475" s="1520"/>
      <c r="I2475" s="1520"/>
      <c r="J2475" s="1520"/>
    </row>
    <row r="2476" spans="1:10" ht="18.75">
      <c r="A2476" t="s">
        <v>212</v>
      </c>
      <c r="B2476" s="4" t="s">
        <v>1</v>
      </c>
      <c r="C2476" s="4" t="s">
        <v>2</v>
      </c>
      <c r="D2476" s="4" t="s">
        <v>3</v>
      </c>
      <c r="E2476" s="4" t="s">
        <v>4</v>
      </c>
      <c r="F2476" s="4" t="s">
        <v>36</v>
      </c>
      <c r="G2476" s="4" t="s">
        <v>5</v>
      </c>
      <c r="H2476" s="4" t="s">
        <v>6</v>
      </c>
      <c r="I2476" s="4" t="s">
        <v>7</v>
      </c>
      <c r="J2476" s="4"/>
    </row>
    <row r="2477" spans="1:10">
      <c r="B2477" s="583">
        <v>46011</v>
      </c>
      <c r="C2477" s="230" t="s">
        <v>2226</v>
      </c>
      <c r="D2477" s="650">
        <v>1</v>
      </c>
      <c r="E2477" s="636">
        <v>415</v>
      </c>
      <c r="F2477" s="614">
        <f t="shared" ref="F2477:F2482" si="588">E2477*D2477</f>
        <v>415</v>
      </c>
      <c r="G2477" s="614">
        <v>2.3940000000000001</v>
      </c>
      <c r="H2477" s="614">
        <f>E2477*G2477</f>
        <v>993.5100000000001</v>
      </c>
      <c r="I2477" s="614">
        <f>H2477*D2477</f>
        <v>993.5100000000001</v>
      </c>
      <c r="J2477" s="612">
        <f>J2476+I2477</f>
        <v>993.5100000000001</v>
      </c>
    </row>
    <row r="2478" spans="1:10">
      <c r="B2478" s="585">
        <v>46011</v>
      </c>
      <c r="C2478" s="110" t="s">
        <v>2351</v>
      </c>
      <c r="D2478" s="127">
        <v>5</v>
      </c>
      <c r="E2478" s="623">
        <v>398</v>
      </c>
      <c r="F2478" s="127">
        <f t="shared" si="588"/>
        <v>1990</v>
      </c>
      <c r="G2478" s="127">
        <v>2.3940000000000001</v>
      </c>
      <c r="H2478" s="127">
        <f>E2478*G2478</f>
        <v>952.81200000000001</v>
      </c>
      <c r="I2478" s="127">
        <f>H2478*D2478</f>
        <v>4764.0600000000004</v>
      </c>
      <c r="J2478" s="110">
        <f>J2477+I2478</f>
        <v>5757.5700000000006</v>
      </c>
    </row>
    <row r="2479" spans="1:10">
      <c r="B2479" s="583">
        <v>46011</v>
      </c>
      <c r="C2479" s="230" t="s">
        <v>2241</v>
      </c>
      <c r="D2479" s="650">
        <v>5</v>
      </c>
      <c r="E2479" s="636">
        <v>477</v>
      </c>
      <c r="F2479" s="614">
        <f t="shared" si="588"/>
        <v>2385</v>
      </c>
      <c r="G2479" s="614">
        <v>2.3940000000000001</v>
      </c>
      <c r="H2479" s="614">
        <f>E2479*G2479</f>
        <v>1141.9380000000001</v>
      </c>
      <c r="I2479" s="614">
        <f>H2479*D2479</f>
        <v>5709.6900000000005</v>
      </c>
      <c r="J2479" s="612">
        <f>J2478+I2479</f>
        <v>11467.260000000002</v>
      </c>
    </row>
    <row r="2480" spans="1:10">
      <c r="B2480" s="583">
        <v>46011</v>
      </c>
      <c r="C2480" s="230" t="s">
        <v>2242</v>
      </c>
      <c r="D2480" s="650">
        <v>1</v>
      </c>
      <c r="E2480" s="636">
        <v>549</v>
      </c>
      <c r="F2480" s="614">
        <f t="shared" si="588"/>
        <v>549</v>
      </c>
      <c r="G2480" s="614">
        <v>2.3940000000000001</v>
      </c>
      <c r="H2480" s="614">
        <f>E2480*G2480</f>
        <v>1314.306</v>
      </c>
      <c r="I2480" s="614">
        <f>H2480*D2480</f>
        <v>1314.306</v>
      </c>
      <c r="J2480" s="612">
        <f>J2479+I2480</f>
        <v>12781.566000000003</v>
      </c>
    </row>
    <row r="2481" spans="2:10">
      <c r="B2481" s="583">
        <v>46011</v>
      </c>
      <c r="C2481" s="230" t="s">
        <v>2243</v>
      </c>
      <c r="D2481" s="650">
        <v>2</v>
      </c>
      <c r="E2481" s="636">
        <v>477</v>
      </c>
      <c r="F2481" s="614">
        <f t="shared" si="588"/>
        <v>954</v>
      </c>
      <c r="G2481" s="614">
        <v>2.3940000000000001</v>
      </c>
      <c r="H2481" s="614">
        <f>E2481*G2481</f>
        <v>1141.9380000000001</v>
      </c>
      <c r="I2481" s="614">
        <f>H2481*D2481</f>
        <v>2283.8760000000002</v>
      </c>
      <c r="J2481" s="612">
        <f>J2480+I2481</f>
        <v>15065.442000000003</v>
      </c>
    </row>
    <row r="2482" spans="2:10">
      <c r="B2482" s="585">
        <v>46011</v>
      </c>
      <c r="C2482" s="110" t="s">
        <v>2259</v>
      </c>
      <c r="D2482" s="127">
        <v>2</v>
      </c>
      <c r="E2482" s="623">
        <v>629</v>
      </c>
      <c r="F2482" s="127">
        <f t="shared" si="588"/>
        <v>1258</v>
      </c>
      <c r="G2482" s="127">
        <v>2.3940000000000001</v>
      </c>
      <c r="H2482" s="127">
        <f t="shared" ref="H2482:H2501" si="589">E2482*G2482</f>
        <v>1505.826</v>
      </c>
      <c r="I2482" s="127">
        <f t="shared" ref="I2482:I2501" si="590">H2482*D2482</f>
        <v>3011.652</v>
      </c>
      <c r="J2482" s="110">
        <f t="shared" ref="J2482:J2501" si="591">J2481+I2482</f>
        <v>18077.094000000005</v>
      </c>
    </row>
    <row r="2483" spans="2:10">
      <c r="B2483" s="585">
        <v>46011</v>
      </c>
      <c r="C2483" s="110" t="s">
        <v>2260</v>
      </c>
      <c r="D2483" s="127">
        <v>2</v>
      </c>
      <c r="E2483" s="623">
        <v>477</v>
      </c>
      <c r="F2483" s="127">
        <f t="shared" ref="F2483:F2489" si="592">E2483*D2483</f>
        <v>954</v>
      </c>
      <c r="G2483" s="127">
        <v>2.3940000000000001</v>
      </c>
      <c r="H2483" s="127">
        <f t="shared" si="589"/>
        <v>1141.9380000000001</v>
      </c>
      <c r="I2483" s="127">
        <f t="shared" si="590"/>
        <v>2283.8760000000002</v>
      </c>
      <c r="J2483" s="110">
        <f t="shared" si="591"/>
        <v>20360.970000000005</v>
      </c>
    </row>
    <row r="2484" spans="2:10">
      <c r="B2484" s="585">
        <v>46011</v>
      </c>
      <c r="C2484" s="110" t="s">
        <v>2261</v>
      </c>
      <c r="D2484" s="127">
        <v>2</v>
      </c>
      <c r="E2484" s="623">
        <v>477</v>
      </c>
      <c r="F2484" s="127">
        <f t="shared" si="592"/>
        <v>954</v>
      </c>
      <c r="G2484" s="127">
        <v>2.3940000000000001</v>
      </c>
      <c r="H2484" s="127">
        <f t="shared" si="589"/>
        <v>1141.9380000000001</v>
      </c>
      <c r="I2484" s="127">
        <f t="shared" si="590"/>
        <v>2283.8760000000002</v>
      </c>
      <c r="J2484" s="110">
        <f t="shared" si="591"/>
        <v>22644.846000000005</v>
      </c>
    </row>
    <row r="2485" spans="2:10">
      <c r="B2485" s="583">
        <v>46011</v>
      </c>
      <c r="C2485" s="230" t="s">
        <v>2246</v>
      </c>
      <c r="D2485" s="650">
        <v>3</v>
      </c>
      <c r="E2485" s="636">
        <v>549</v>
      </c>
      <c r="F2485" s="614">
        <f t="shared" si="592"/>
        <v>1647</v>
      </c>
      <c r="G2485" s="614">
        <v>2.3940000000000001</v>
      </c>
      <c r="H2485" s="614">
        <f t="shared" si="589"/>
        <v>1314.306</v>
      </c>
      <c r="I2485" s="614">
        <f t="shared" si="590"/>
        <v>3942.9180000000001</v>
      </c>
      <c r="J2485" s="612">
        <f t="shared" si="591"/>
        <v>26587.764000000006</v>
      </c>
    </row>
    <row r="2486" spans="2:10">
      <c r="B2486" s="583">
        <v>46011</v>
      </c>
      <c r="C2486" s="230" t="s">
        <v>2247</v>
      </c>
      <c r="D2486" s="650">
        <v>2</v>
      </c>
      <c r="E2486" s="636">
        <v>477</v>
      </c>
      <c r="F2486" s="614">
        <f t="shared" si="592"/>
        <v>954</v>
      </c>
      <c r="G2486" s="614">
        <v>2.3940000000000001</v>
      </c>
      <c r="H2486" s="614">
        <f t="shared" si="589"/>
        <v>1141.9380000000001</v>
      </c>
      <c r="I2486" s="614">
        <f t="shared" si="590"/>
        <v>2283.8760000000002</v>
      </c>
      <c r="J2486" s="612">
        <f t="shared" si="591"/>
        <v>28871.640000000007</v>
      </c>
    </row>
    <row r="2487" spans="2:10">
      <c r="B2487" s="583">
        <v>46011</v>
      </c>
      <c r="C2487" s="230" t="s">
        <v>2248</v>
      </c>
      <c r="D2487" s="650">
        <v>3</v>
      </c>
      <c r="E2487" s="636">
        <v>549</v>
      </c>
      <c r="F2487" s="614">
        <f t="shared" si="592"/>
        <v>1647</v>
      </c>
      <c r="G2487" s="614">
        <v>2.3940000000000001</v>
      </c>
      <c r="H2487" s="614">
        <f t="shared" si="589"/>
        <v>1314.306</v>
      </c>
      <c r="I2487" s="614">
        <f t="shared" si="590"/>
        <v>3942.9180000000001</v>
      </c>
      <c r="J2487" s="612">
        <f t="shared" si="591"/>
        <v>32814.558000000005</v>
      </c>
    </row>
    <row r="2488" spans="2:10">
      <c r="B2488" s="583">
        <v>46011</v>
      </c>
      <c r="C2488" s="230" t="s">
        <v>2249</v>
      </c>
      <c r="D2488" s="650">
        <v>3</v>
      </c>
      <c r="E2488" s="636">
        <v>477</v>
      </c>
      <c r="F2488" s="614">
        <f t="shared" si="592"/>
        <v>1431</v>
      </c>
      <c r="G2488" s="614">
        <v>2.3940000000000001</v>
      </c>
      <c r="H2488" s="614">
        <f t="shared" si="589"/>
        <v>1141.9380000000001</v>
      </c>
      <c r="I2488" s="614">
        <f t="shared" si="590"/>
        <v>3425.8140000000003</v>
      </c>
      <c r="J2488" s="612">
        <f t="shared" si="591"/>
        <v>36240.372000000003</v>
      </c>
    </row>
    <row r="2489" spans="2:10">
      <c r="B2489" s="583">
        <v>46011</v>
      </c>
      <c r="C2489" s="230" t="s">
        <v>2222</v>
      </c>
      <c r="D2489" s="650">
        <v>9</v>
      </c>
      <c r="E2489" s="636">
        <v>629</v>
      </c>
      <c r="F2489" s="614">
        <f t="shared" si="592"/>
        <v>5661</v>
      </c>
      <c r="G2489" s="614">
        <v>2.3940000000000001</v>
      </c>
      <c r="H2489" s="614">
        <f t="shared" si="589"/>
        <v>1505.826</v>
      </c>
      <c r="I2489" s="614">
        <f t="shared" si="590"/>
        <v>13552.434000000001</v>
      </c>
      <c r="J2489" s="612">
        <f t="shared" si="591"/>
        <v>49792.806000000004</v>
      </c>
    </row>
    <row r="2490" spans="2:10">
      <c r="B2490" s="583">
        <v>46011</v>
      </c>
      <c r="C2490" s="230" t="s">
        <v>2250</v>
      </c>
      <c r="D2490" s="650">
        <v>4</v>
      </c>
      <c r="E2490" s="636">
        <v>549</v>
      </c>
      <c r="F2490" s="614">
        <f t="shared" ref="F2490:F2499" si="593">E2490*D2490</f>
        <v>2196</v>
      </c>
      <c r="G2490" s="614">
        <v>2.3940000000000001</v>
      </c>
      <c r="H2490" s="614">
        <f t="shared" si="589"/>
        <v>1314.306</v>
      </c>
      <c r="I2490" s="614">
        <f t="shared" si="590"/>
        <v>5257.2240000000002</v>
      </c>
      <c r="J2490" s="612">
        <f t="shared" si="591"/>
        <v>55050.030000000006</v>
      </c>
    </row>
    <row r="2491" spans="2:10">
      <c r="B2491" s="583">
        <v>46011</v>
      </c>
      <c r="C2491" s="230" t="s">
        <v>2244</v>
      </c>
      <c r="D2491" s="650">
        <v>2</v>
      </c>
      <c r="E2491" s="636">
        <v>477</v>
      </c>
      <c r="F2491" s="614">
        <f t="shared" si="593"/>
        <v>954</v>
      </c>
      <c r="G2491" s="614">
        <v>2.3940000000000001</v>
      </c>
      <c r="H2491" s="614">
        <f t="shared" si="589"/>
        <v>1141.9380000000001</v>
      </c>
      <c r="I2491" s="614">
        <f t="shared" si="590"/>
        <v>2283.8760000000002</v>
      </c>
      <c r="J2491" s="612">
        <f t="shared" si="591"/>
        <v>57333.906000000003</v>
      </c>
    </row>
    <row r="2492" spans="2:10">
      <c r="B2492" s="583">
        <v>46011</v>
      </c>
      <c r="C2492" s="230" t="s">
        <v>2244</v>
      </c>
      <c r="D2492" s="650">
        <v>2</v>
      </c>
      <c r="E2492" s="636">
        <v>454</v>
      </c>
      <c r="F2492" s="614">
        <f t="shared" si="593"/>
        <v>908</v>
      </c>
      <c r="G2492" s="614">
        <v>2.3940000000000001</v>
      </c>
      <c r="H2492" s="614">
        <f t="shared" si="589"/>
        <v>1086.876</v>
      </c>
      <c r="I2492" s="614">
        <f t="shared" si="590"/>
        <v>2173.752</v>
      </c>
      <c r="J2492" s="612">
        <f t="shared" si="591"/>
        <v>59507.658000000003</v>
      </c>
    </row>
    <row r="2493" spans="2:10">
      <c r="B2493" s="583">
        <v>46011</v>
      </c>
      <c r="C2493" s="230" t="s">
        <v>2251</v>
      </c>
      <c r="D2493" s="650">
        <v>2</v>
      </c>
      <c r="E2493" s="636">
        <v>125</v>
      </c>
      <c r="F2493" s="614">
        <f t="shared" si="593"/>
        <v>250</v>
      </c>
      <c r="G2493" s="614">
        <v>2.3940000000000001</v>
      </c>
      <c r="H2493" s="614">
        <f t="shared" si="589"/>
        <v>299.25</v>
      </c>
      <c r="I2493" s="614">
        <f t="shared" si="590"/>
        <v>598.5</v>
      </c>
      <c r="J2493" s="612">
        <f t="shared" si="591"/>
        <v>60106.158000000003</v>
      </c>
    </row>
    <row r="2494" spans="2:10">
      <c r="B2494" s="583">
        <v>46011</v>
      </c>
      <c r="C2494" s="230" t="s">
        <v>2252</v>
      </c>
      <c r="D2494" s="650">
        <v>7</v>
      </c>
      <c r="E2494" s="636">
        <v>549</v>
      </c>
      <c r="F2494" s="614">
        <f t="shared" si="593"/>
        <v>3843</v>
      </c>
      <c r="G2494" s="614">
        <v>2.3940000000000001</v>
      </c>
      <c r="H2494" s="614">
        <f t="shared" si="589"/>
        <v>1314.306</v>
      </c>
      <c r="I2494" s="614">
        <f t="shared" si="590"/>
        <v>9200.1419999999998</v>
      </c>
      <c r="J2494" s="612">
        <f t="shared" si="591"/>
        <v>69306.3</v>
      </c>
    </row>
    <row r="2495" spans="2:10">
      <c r="B2495" s="583">
        <v>46011</v>
      </c>
      <c r="C2495" s="230" t="s">
        <v>2245</v>
      </c>
      <c r="D2495" s="650">
        <v>10</v>
      </c>
      <c r="E2495" s="636">
        <v>477</v>
      </c>
      <c r="F2495" s="614">
        <f t="shared" si="593"/>
        <v>4770</v>
      </c>
      <c r="G2495" s="614">
        <v>2.3940000000000001</v>
      </c>
      <c r="H2495" s="614">
        <f t="shared" si="589"/>
        <v>1141.9380000000001</v>
      </c>
      <c r="I2495" s="614">
        <f t="shared" si="590"/>
        <v>11419.380000000001</v>
      </c>
      <c r="J2495" s="612">
        <f t="shared" si="591"/>
        <v>80725.680000000008</v>
      </c>
    </row>
    <row r="2496" spans="2:10">
      <c r="B2496" s="583">
        <v>46011</v>
      </c>
      <c r="C2496" s="230" t="s">
        <v>2253</v>
      </c>
      <c r="D2496" s="650">
        <v>5</v>
      </c>
      <c r="E2496" s="636">
        <v>629</v>
      </c>
      <c r="F2496" s="614">
        <f t="shared" si="593"/>
        <v>3145</v>
      </c>
      <c r="G2496" s="614">
        <v>2.3940000000000001</v>
      </c>
      <c r="H2496" s="614">
        <f t="shared" si="589"/>
        <v>1505.826</v>
      </c>
      <c r="I2496" s="614">
        <f t="shared" si="590"/>
        <v>7529.13</v>
      </c>
      <c r="J2496" s="612">
        <f t="shared" si="591"/>
        <v>88254.810000000012</v>
      </c>
    </row>
    <row r="2497" spans="1:10">
      <c r="B2497" s="583">
        <v>46011</v>
      </c>
      <c r="C2497" s="230" t="s">
        <v>2254</v>
      </c>
      <c r="D2497" s="650">
        <v>2</v>
      </c>
      <c r="E2497" s="636">
        <v>477</v>
      </c>
      <c r="F2497" s="614">
        <f t="shared" si="593"/>
        <v>954</v>
      </c>
      <c r="G2497" s="614">
        <v>2.3940000000000001</v>
      </c>
      <c r="H2497" s="614">
        <f t="shared" si="589"/>
        <v>1141.9380000000001</v>
      </c>
      <c r="I2497" s="614">
        <f t="shared" si="590"/>
        <v>2283.8760000000002</v>
      </c>
      <c r="J2497" s="612">
        <f t="shared" si="591"/>
        <v>90538.686000000016</v>
      </c>
    </row>
    <row r="2498" spans="1:10">
      <c r="B2498" s="583">
        <v>46011</v>
      </c>
      <c r="C2498" s="230" t="s">
        <v>2255</v>
      </c>
      <c r="D2498" s="650">
        <v>4</v>
      </c>
      <c r="E2498" s="636">
        <v>477</v>
      </c>
      <c r="F2498" s="614">
        <f t="shared" si="593"/>
        <v>1908</v>
      </c>
      <c r="G2498" s="614">
        <v>2.3940000000000001</v>
      </c>
      <c r="H2498" s="614">
        <f t="shared" si="589"/>
        <v>1141.9380000000001</v>
      </c>
      <c r="I2498" s="614">
        <f t="shared" si="590"/>
        <v>4567.7520000000004</v>
      </c>
      <c r="J2498" s="612">
        <f t="shared" si="591"/>
        <v>95106.438000000024</v>
      </c>
    </row>
    <row r="2499" spans="1:10">
      <c r="B2499" s="583">
        <v>46011</v>
      </c>
      <c r="C2499" s="230" t="s">
        <v>2256</v>
      </c>
      <c r="D2499" s="650">
        <v>22</v>
      </c>
      <c r="E2499" s="636">
        <v>399</v>
      </c>
      <c r="F2499" s="614">
        <f t="shared" si="593"/>
        <v>8778</v>
      </c>
      <c r="G2499" s="614">
        <v>2.3940000000000001</v>
      </c>
      <c r="H2499" s="614">
        <f t="shared" si="589"/>
        <v>955.20600000000002</v>
      </c>
      <c r="I2499" s="614">
        <f t="shared" si="590"/>
        <v>21014.531999999999</v>
      </c>
      <c r="J2499" s="612">
        <f t="shared" si="591"/>
        <v>116120.97000000003</v>
      </c>
    </row>
    <row r="2500" spans="1:10">
      <c r="B2500" s="583">
        <v>46011</v>
      </c>
      <c r="C2500" s="230" t="s">
        <v>2257</v>
      </c>
      <c r="D2500" s="650">
        <v>3</v>
      </c>
      <c r="E2500" s="636">
        <v>629</v>
      </c>
      <c r="F2500" s="614">
        <f>E2500*D2500</f>
        <v>1887</v>
      </c>
      <c r="G2500" s="614">
        <v>2.3940000000000001</v>
      </c>
      <c r="H2500" s="614">
        <f t="shared" si="589"/>
        <v>1505.826</v>
      </c>
      <c r="I2500" s="614">
        <f t="shared" si="590"/>
        <v>4517.4780000000001</v>
      </c>
      <c r="J2500" s="612">
        <f t="shared" si="591"/>
        <v>120638.44800000003</v>
      </c>
    </row>
    <row r="2501" spans="1:10">
      <c r="B2501" s="583">
        <v>46011</v>
      </c>
      <c r="C2501" s="230" t="s">
        <v>2258</v>
      </c>
      <c r="D2501" s="650">
        <v>2</v>
      </c>
      <c r="E2501" s="636">
        <v>477</v>
      </c>
      <c r="F2501" s="614">
        <f>E2501*D2501</f>
        <v>954</v>
      </c>
      <c r="G2501" s="614">
        <v>2.3940000000000001</v>
      </c>
      <c r="H2501" s="614">
        <f t="shared" si="589"/>
        <v>1141.9380000000001</v>
      </c>
      <c r="I2501" s="614">
        <f t="shared" si="590"/>
        <v>2283.8760000000002</v>
      </c>
      <c r="J2501" s="612">
        <f t="shared" si="591"/>
        <v>122922.32400000004</v>
      </c>
    </row>
    <row r="2506" spans="1:10" ht="21">
      <c r="A2506" s="611" t="s">
        <v>125</v>
      </c>
      <c r="B2506" s="1520" t="s">
        <v>20</v>
      </c>
      <c r="C2506" s="1520"/>
      <c r="D2506" s="1520"/>
      <c r="E2506" s="1520"/>
      <c r="F2506" s="1520"/>
      <c r="G2506" s="1520"/>
      <c r="H2506" s="1520"/>
      <c r="I2506" s="1520"/>
      <c r="J2506" s="1520"/>
    </row>
    <row r="2507" spans="1:10" ht="18.75">
      <c r="A2507" t="s">
        <v>212</v>
      </c>
      <c r="B2507" s="4" t="s">
        <v>1</v>
      </c>
      <c r="C2507" s="4" t="s">
        <v>2</v>
      </c>
      <c r="D2507" s="4" t="s">
        <v>3</v>
      </c>
      <c r="E2507" s="4" t="s">
        <v>4</v>
      </c>
      <c r="F2507" s="4" t="s">
        <v>36</v>
      </c>
      <c r="G2507" s="4" t="s">
        <v>5</v>
      </c>
      <c r="H2507" s="4" t="s">
        <v>6</v>
      </c>
      <c r="I2507" s="4" t="s">
        <v>7</v>
      </c>
      <c r="J2507" s="4"/>
    </row>
    <row r="2508" spans="1:10">
      <c r="B2508" s="583">
        <v>46012</v>
      </c>
      <c r="C2508" s="230" t="s">
        <v>2262</v>
      </c>
      <c r="D2508" s="650">
        <v>3</v>
      </c>
      <c r="E2508" s="636">
        <v>629</v>
      </c>
      <c r="F2508" s="614">
        <f>E2508*D2508</f>
        <v>1887</v>
      </c>
      <c r="G2508" s="614">
        <v>2.3940000000000001</v>
      </c>
      <c r="H2508" s="614">
        <f>E2508*G2508</f>
        <v>1505.826</v>
      </c>
      <c r="I2508" s="614">
        <f>H2508*D2508</f>
        <v>4517.4780000000001</v>
      </c>
      <c r="J2508" s="612">
        <f>J2507+I2508</f>
        <v>4517.4780000000001</v>
      </c>
    </row>
    <row r="2509" spans="1:10">
      <c r="B2509" s="585">
        <v>46012</v>
      </c>
      <c r="C2509" s="110" t="s">
        <v>2271</v>
      </c>
      <c r="D2509" s="127">
        <v>2</v>
      </c>
      <c r="E2509" s="623">
        <v>477</v>
      </c>
      <c r="F2509" s="127">
        <f t="shared" ref="F2509:F2515" si="594">E2509*D2509</f>
        <v>954</v>
      </c>
      <c r="G2509" s="127">
        <v>2.3940000000000001</v>
      </c>
      <c r="H2509" s="127">
        <f t="shared" ref="H2509:H2515" si="595">E2509*G2509</f>
        <v>1141.9380000000001</v>
      </c>
      <c r="I2509" s="127">
        <f t="shared" ref="I2509:I2515" si="596">H2509*D2509</f>
        <v>2283.8760000000002</v>
      </c>
      <c r="J2509" s="110">
        <f t="shared" ref="J2509:J2515" si="597">J2508+I2509</f>
        <v>6801.3540000000003</v>
      </c>
    </row>
    <row r="2510" spans="1:10">
      <c r="B2510" s="585">
        <v>46012</v>
      </c>
      <c r="C2510" s="110" t="s">
        <v>2271</v>
      </c>
      <c r="D2510" s="127">
        <v>2</v>
      </c>
      <c r="E2510" s="623">
        <v>629</v>
      </c>
      <c r="F2510" s="127">
        <f t="shared" si="594"/>
        <v>1258</v>
      </c>
      <c r="G2510" s="127">
        <v>2.3940000000000001</v>
      </c>
      <c r="H2510" s="127">
        <f t="shared" si="595"/>
        <v>1505.826</v>
      </c>
      <c r="I2510" s="127">
        <f t="shared" si="596"/>
        <v>3011.652</v>
      </c>
      <c r="J2510" s="110">
        <f t="shared" si="597"/>
        <v>9813.0060000000012</v>
      </c>
    </row>
    <row r="2511" spans="1:10">
      <c r="B2511" s="585">
        <v>46012</v>
      </c>
      <c r="C2511" s="110" t="s">
        <v>2272</v>
      </c>
      <c r="D2511" s="127">
        <v>2</v>
      </c>
      <c r="E2511" s="623">
        <v>477</v>
      </c>
      <c r="F2511" s="127">
        <f t="shared" si="594"/>
        <v>954</v>
      </c>
      <c r="G2511" s="127">
        <v>2.3940000000000001</v>
      </c>
      <c r="H2511" s="127">
        <f t="shared" si="595"/>
        <v>1141.9380000000001</v>
      </c>
      <c r="I2511" s="127">
        <f t="shared" si="596"/>
        <v>2283.8760000000002</v>
      </c>
      <c r="J2511" s="110">
        <f t="shared" si="597"/>
        <v>12096.882000000001</v>
      </c>
    </row>
    <row r="2512" spans="1:10">
      <c r="B2512" s="651">
        <v>46012</v>
      </c>
      <c r="C2512" s="431" t="s">
        <v>2273</v>
      </c>
      <c r="D2512" s="432">
        <v>2</v>
      </c>
      <c r="E2512" s="652">
        <v>477</v>
      </c>
      <c r="F2512" s="127">
        <f t="shared" si="594"/>
        <v>954</v>
      </c>
      <c r="G2512" s="127">
        <v>2.3940000000000001</v>
      </c>
      <c r="H2512" s="127">
        <f t="shared" si="595"/>
        <v>1141.9380000000001</v>
      </c>
      <c r="I2512" s="127">
        <f t="shared" si="596"/>
        <v>2283.8760000000002</v>
      </c>
      <c r="J2512" s="110">
        <f t="shared" si="597"/>
        <v>14380.758000000002</v>
      </c>
    </row>
    <row r="2513" spans="2:10">
      <c r="B2513" s="585">
        <v>46012</v>
      </c>
      <c r="C2513" s="110" t="s">
        <v>2273</v>
      </c>
      <c r="D2513" s="127">
        <v>2</v>
      </c>
      <c r="E2513" s="623">
        <v>477</v>
      </c>
      <c r="F2513" s="127">
        <f t="shared" si="594"/>
        <v>954</v>
      </c>
      <c r="G2513" s="127">
        <v>2.3940000000000001</v>
      </c>
      <c r="H2513" s="127">
        <f t="shared" si="595"/>
        <v>1141.9380000000001</v>
      </c>
      <c r="I2513" s="127">
        <f t="shared" si="596"/>
        <v>2283.8760000000002</v>
      </c>
      <c r="J2513" s="110">
        <f t="shared" si="597"/>
        <v>16664.634000000002</v>
      </c>
    </row>
    <row r="2514" spans="2:10">
      <c r="B2514" s="585">
        <v>46012</v>
      </c>
      <c r="C2514" s="110" t="s">
        <v>2260</v>
      </c>
      <c r="D2514" s="127">
        <v>2</v>
      </c>
      <c r="E2514" s="623">
        <v>477</v>
      </c>
      <c r="F2514" s="127">
        <f t="shared" si="594"/>
        <v>954</v>
      </c>
      <c r="G2514" s="127">
        <v>2.3940000000000001</v>
      </c>
      <c r="H2514" s="127">
        <f t="shared" si="595"/>
        <v>1141.9380000000001</v>
      </c>
      <c r="I2514" s="127">
        <f t="shared" si="596"/>
        <v>2283.8760000000002</v>
      </c>
      <c r="J2514" s="110">
        <f t="shared" si="597"/>
        <v>18948.510000000002</v>
      </c>
    </row>
    <row r="2515" spans="2:10">
      <c r="B2515" s="585">
        <v>46012</v>
      </c>
      <c r="C2515" s="110" t="s">
        <v>2259</v>
      </c>
      <c r="D2515" s="127">
        <v>2</v>
      </c>
      <c r="E2515" s="623">
        <v>629</v>
      </c>
      <c r="F2515" s="127">
        <f t="shared" si="594"/>
        <v>1258</v>
      </c>
      <c r="G2515" s="127">
        <v>2.3940000000000001</v>
      </c>
      <c r="H2515" s="127">
        <f t="shared" si="595"/>
        <v>1505.826</v>
      </c>
      <c r="I2515" s="127">
        <f t="shared" si="596"/>
        <v>3011.652</v>
      </c>
      <c r="J2515" s="110">
        <f t="shared" si="597"/>
        <v>21960.162000000004</v>
      </c>
    </row>
    <row r="2516" spans="2:10">
      <c r="B2516" s="585">
        <v>46012</v>
      </c>
      <c r="C2516" s="110" t="s">
        <v>2241</v>
      </c>
      <c r="D2516" s="127">
        <v>2</v>
      </c>
      <c r="E2516" s="623">
        <v>477</v>
      </c>
      <c r="F2516" s="127">
        <f t="shared" ref="F2516:F2530" si="598">E2516*D2516</f>
        <v>954</v>
      </c>
      <c r="G2516" s="127">
        <v>2.3940000000000001</v>
      </c>
      <c r="H2516" s="127">
        <f t="shared" ref="H2516:H2529" si="599">E2516*G2516</f>
        <v>1141.9380000000001</v>
      </c>
      <c r="I2516" s="127">
        <f t="shared" ref="I2516:I2529" si="600">H2516*D2516</f>
        <v>2283.8760000000002</v>
      </c>
      <c r="J2516" s="110">
        <f t="shared" ref="J2516:J2529" si="601">J2515+I2516</f>
        <v>24244.038000000004</v>
      </c>
    </row>
    <row r="2517" spans="2:10">
      <c r="B2517" s="583">
        <v>46012</v>
      </c>
      <c r="C2517" s="230" t="s">
        <v>2264</v>
      </c>
      <c r="D2517" s="650">
        <v>2</v>
      </c>
      <c r="E2517" s="636">
        <v>477</v>
      </c>
      <c r="F2517" s="614">
        <f t="shared" si="598"/>
        <v>954</v>
      </c>
      <c r="G2517" s="614">
        <v>2.3940000000000001</v>
      </c>
      <c r="H2517" s="614">
        <f t="shared" si="599"/>
        <v>1141.9380000000001</v>
      </c>
      <c r="I2517" s="614">
        <f t="shared" si="600"/>
        <v>2283.8760000000002</v>
      </c>
      <c r="J2517" s="612">
        <f t="shared" si="601"/>
        <v>26527.914000000004</v>
      </c>
    </row>
    <row r="2518" spans="2:10">
      <c r="B2518" s="583">
        <v>46012</v>
      </c>
      <c r="C2518" s="230" t="s">
        <v>2264</v>
      </c>
      <c r="D2518" s="650">
        <v>2</v>
      </c>
      <c r="E2518" s="636">
        <v>477</v>
      </c>
      <c r="F2518" s="614">
        <f t="shared" si="598"/>
        <v>954</v>
      </c>
      <c r="G2518" s="614">
        <v>2.3940000000000001</v>
      </c>
      <c r="H2518" s="614">
        <f t="shared" si="599"/>
        <v>1141.9380000000001</v>
      </c>
      <c r="I2518" s="614">
        <f t="shared" si="600"/>
        <v>2283.8760000000002</v>
      </c>
      <c r="J2518" s="612">
        <f t="shared" si="601"/>
        <v>28811.790000000005</v>
      </c>
    </row>
    <row r="2519" spans="2:10">
      <c r="B2519" s="583">
        <v>46012</v>
      </c>
      <c r="C2519" s="230" t="s">
        <v>2265</v>
      </c>
      <c r="D2519" s="650">
        <v>2</v>
      </c>
      <c r="E2519" s="636">
        <v>477</v>
      </c>
      <c r="F2519" s="614">
        <f t="shared" si="598"/>
        <v>954</v>
      </c>
      <c r="G2519" s="614">
        <v>2.3940000000000001</v>
      </c>
      <c r="H2519" s="614">
        <f t="shared" si="599"/>
        <v>1141.9380000000001</v>
      </c>
      <c r="I2519" s="614">
        <f t="shared" si="600"/>
        <v>2283.8760000000002</v>
      </c>
      <c r="J2519" s="612">
        <f t="shared" si="601"/>
        <v>31095.666000000005</v>
      </c>
    </row>
    <row r="2520" spans="2:10">
      <c r="B2520" s="583">
        <v>46012</v>
      </c>
      <c r="C2520" s="230" t="s">
        <v>2265</v>
      </c>
      <c r="D2520" s="650">
        <v>2</v>
      </c>
      <c r="E2520" s="636">
        <v>477</v>
      </c>
      <c r="F2520" s="614">
        <f t="shared" si="598"/>
        <v>954</v>
      </c>
      <c r="G2520" s="614">
        <v>2.3940000000000001</v>
      </c>
      <c r="H2520" s="614">
        <f t="shared" si="599"/>
        <v>1141.9380000000001</v>
      </c>
      <c r="I2520" s="614">
        <f t="shared" si="600"/>
        <v>2283.8760000000002</v>
      </c>
      <c r="J2520" s="612">
        <f t="shared" si="601"/>
        <v>33379.542000000001</v>
      </c>
    </row>
    <row r="2521" spans="2:10">
      <c r="B2521" s="583">
        <v>46012</v>
      </c>
      <c r="C2521" s="230" t="s">
        <v>2264</v>
      </c>
      <c r="D2521" s="650">
        <v>2</v>
      </c>
      <c r="E2521" s="636">
        <v>477</v>
      </c>
      <c r="F2521" s="614">
        <f t="shared" si="598"/>
        <v>954</v>
      </c>
      <c r="G2521" s="614">
        <v>2.3940000000000001</v>
      </c>
      <c r="H2521" s="614">
        <f t="shared" si="599"/>
        <v>1141.9380000000001</v>
      </c>
      <c r="I2521" s="614">
        <f t="shared" si="600"/>
        <v>2283.8760000000002</v>
      </c>
      <c r="J2521" s="612">
        <f t="shared" si="601"/>
        <v>35663.418000000005</v>
      </c>
    </row>
    <row r="2522" spans="2:10">
      <c r="B2522" s="583">
        <v>46012</v>
      </c>
      <c r="C2522" s="230" t="s">
        <v>2264</v>
      </c>
      <c r="D2522" s="650">
        <v>2</v>
      </c>
      <c r="E2522" s="636">
        <v>477</v>
      </c>
      <c r="F2522" s="614">
        <f t="shared" si="598"/>
        <v>954</v>
      </c>
      <c r="G2522" s="614">
        <v>2.3940000000000001</v>
      </c>
      <c r="H2522" s="614">
        <f t="shared" si="599"/>
        <v>1141.9380000000001</v>
      </c>
      <c r="I2522" s="614">
        <f t="shared" si="600"/>
        <v>2283.8760000000002</v>
      </c>
      <c r="J2522" s="612">
        <f t="shared" si="601"/>
        <v>37947.294000000009</v>
      </c>
    </row>
    <row r="2523" spans="2:10">
      <c r="B2523" s="583">
        <v>46012</v>
      </c>
      <c r="C2523" s="230" t="s">
        <v>2266</v>
      </c>
      <c r="D2523" s="650">
        <v>2</v>
      </c>
      <c r="E2523" s="636">
        <v>629</v>
      </c>
      <c r="F2523" s="614">
        <f t="shared" si="598"/>
        <v>1258</v>
      </c>
      <c r="G2523" s="614">
        <v>2.3940000000000001</v>
      </c>
      <c r="H2523" s="614">
        <f t="shared" si="599"/>
        <v>1505.826</v>
      </c>
      <c r="I2523" s="614">
        <f t="shared" si="600"/>
        <v>3011.652</v>
      </c>
      <c r="J2523" s="612">
        <f t="shared" si="601"/>
        <v>40958.946000000011</v>
      </c>
    </row>
    <row r="2524" spans="2:10">
      <c r="B2524" s="583">
        <v>46012</v>
      </c>
      <c r="C2524" s="230" t="s">
        <v>2267</v>
      </c>
      <c r="D2524" s="650">
        <v>2</v>
      </c>
      <c r="E2524" s="636">
        <v>477</v>
      </c>
      <c r="F2524" s="614">
        <f t="shared" si="598"/>
        <v>954</v>
      </c>
      <c r="G2524" s="614">
        <v>2.3940000000000001</v>
      </c>
      <c r="H2524" s="614">
        <f t="shared" si="599"/>
        <v>1141.9380000000001</v>
      </c>
      <c r="I2524" s="614">
        <f t="shared" si="600"/>
        <v>2283.8760000000002</v>
      </c>
      <c r="J2524" s="612">
        <f t="shared" si="601"/>
        <v>43242.822000000015</v>
      </c>
    </row>
    <row r="2525" spans="2:10">
      <c r="B2525" s="583">
        <v>46012</v>
      </c>
      <c r="C2525" s="230" t="s">
        <v>2262</v>
      </c>
      <c r="D2525" s="650">
        <v>4</v>
      </c>
      <c r="E2525" s="636">
        <v>629</v>
      </c>
      <c r="F2525" s="614">
        <f t="shared" si="598"/>
        <v>2516</v>
      </c>
      <c r="G2525" s="614">
        <v>2.3940000000000001</v>
      </c>
      <c r="H2525" s="614">
        <f t="shared" si="599"/>
        <v>1505.826</v>
      </c>
      <c r="I2525" s="614">
        <f t="shared" si="600"/>
        <v>6023.3040000000001</v>
      </c>
      <c r="J2525" s="612">
        <f t="shared" si="601"/>
        <v>49266.126000000018</v>
      </c>
    </row>
    <row r="2526" spans="2:10">
      <c r="B2526" s="583">
        <v>46012</v>
      </c>
      <c r="C2526" s="230" t="s">
        <v>2268</v>
      </c>
      <c r="D2526" s="650">
        <v>2</v>
      </c>
      <c r="E2526" s="636">
        <v>477</v>
      </c>
      <c r="F2526" s="614">
        <f t="shared" si="598"/>
        <v>954</v>
      </c>
      <c r="G2526" s="614">
        <v>2.3940000000000001</v>
      </c>
      <c r="H2526" s="614">
        <f t="shared" si="599"/>
        <v>1141.9380000000001</v>
      </c>
      <c r="I2526" s="614">
        <f t="shared" si="600"/>
        <v>2283.8760000000002</v>
      </c>
      <c r="J2526" s="612">
        <f t="shared" si="601"/>
        <v>51550.002000000022</v>
      </c>
    </row>
    <row r="2527" spans="2:10">
      <c r="B2527" s="583">
        <v>46012</v>
      </c>
      <c r="C2527" s="230" t="s">
        <v>2265</v>
      </c>
      <c r="D2527" s="650">
        <v>3</v>
      </c>
      <c r="E2527" s="636">
        <v>477</v>
      </c>
      <c r="F2527" s="614">
        <f t="shared" si="598"/>
        <v>1431</v>
      </c>
      <c r="G2527" s="614">
        <v>2.3940000000000001</v>
      </c>
      <c r="H2527" s="614">
        <f t="shared" si="599"/>
        <v>1141.9380000000001</v>
      </c>
      <c r="I2527" s="614">
        <f t="shared" si="600"/>
        <v>3425.8140000000003</v>
      </c>
      <c r="J2527" s="612">
        <f t="shared" si="601"/>
        <v>54975.816000000021</v>
      </c>
    </row>
    <row r="2528" spans="2:10">
      <c r="B2528" s="583">
        <v>46012</v>
      </c>
      <c r="C2528" s="230" t="s">
        <v>2269</v>
      </c>
      <c r="D2528" s="650">
        <v>2</v>
      </c>
      <c r="E2528" s="636">
        <v>629</v>
      </c>
      <c r="F2528" s="614">
        <f t="shared" si="598"/>
        <v>1258</v>
      </c>
      <c r="G2528" s="614">
        <v>2.3940000000000001</v>
      </c>
      <c r="H2528" s="614">
        <f t="shared" si="599"/>
        <v>1505.826</v>
      </c>
      <c r="I2528" s="614">
        <f t="shared" si="600"/>
        <v>3011.652</v>
      </c>
      <c r="J2528" s="612">
        <f t="shared" si="601"/>
        <v>57987.468000000023</v>
      </c>
    </row>
    <row r="2529" spans="1:10">
      <c r="B2529" s="583">
        <v>46012</v>
      </c>
      <c r="C2529" s="230" t="s">
        <v>2270</v>
      </c>
      <c r="D2529" s="650">
        <v>2</v>
      </c>
      <c r="E2529" s="636">
        <v>477</v>
      </c>
      <c r="F2529" s="614">
        <f t="shared" si="598"/>
        <v>954</v>
      </c>
      <c r="G2529" s="614">
        <v>2.3940000000000001</v>
      </c>
      <c r="H2529" s="614">
        <f t="shared" si="599"/>
        <v>1141.9380000000001</v>
      </c>
      <c r="I2529" s="614">
        <f t="shared" si="600"/>
        <v>2283.8760000000002</v>
      </c>
      <c r="J2529" s="612">
        <f t="shared" si="601"/>
        <v>60271.344000000026</v>
      </c>
    </row>
    <row r="2530" spans="1:10">
      <c r="B2530" s="585">
        <v>46012</v>
      </c>
      <c r="C2530" s="138" t="s">
        <v>2352</v>
      </c>
      <c r="D2530" s="127">
        <v>2</v>
      </c>
      <c r="E2530" s="623">
        <v>477</v>
      </c>
      <c r="F2530" s="127">
        <f t="shared" si="598"/>
        <v>954</v>
      </c>
      <c r="G2530" s="127">
        <v>2.3940000000000001</v>
      </c>
      <c r="H2530" s="127">
        <f>E2530*G2530</f>
        <v>1141.9380000000001</v>
      </c>
      <c r="I2530" s="127">
        <f>H2530*D2530</f>
        <v>2283.8760000000002</v>
      </c>
      <c r="J2530" s="110">
        <f>J2529+I2530</f>
        <v>62555.22000000003</v>
      </c>
    </row>
    <row r="2535" spans="1:10" ht="21">
      <c r="A2535" s="611" t="s">
        <v>125</v>
      </c>
      <c r="B2535" s="1520" t="s">
        <v>20</v>
      </c>
      <c r="C2535" s="1520"/>
      <c r="D2535" s="1520"/>
      <c r="E2535" s="1520"/>
      <c r="F2535" s="1520"/>
      <c r="G2535" s="1520"/>
      <c r="H2535" s="1520"/>
      <c r="I2535" s="1520"/>
      <c r="J2535" s="1520"/>
    </row>
    <row r="2536" spans="1:10" ht="18.75">
      <c r="A2536" s="611" t="s">
        <v>212</v>
      </c>
      <c r="B2536" s="4" t="s">
        <v>1</v>
      </c>
      <c r="C2536" s="4" t="s">
        <v>2</v>
      </c>
      <c r="D2536" s="4" t="s">
        <v>3</v>
      </c>
      <c r="E2536" s="4" t="s">
        <v>4</v>
      </c>
      <c r="F2536" s="4" t="s">
        <v>36</v>
      </c>
      <c r="G2536" s="4" t="s">
        <v>5</v>
      </c>
      <c r="H2536" s="4" t="s">
        <v>6</v>
      </c>
      <c r="I2536" s="4" t="s">
        <v>7</v>
      </c>
      <c r="J2536" s="4"/>
    </row>
    <row r="2537" spans="1:10">
      <c r="B2537" s="585">
        <v>46013</v>
      </c>
      <c r="C2537" s="110" t="s">
        <v>2263</v>
      </c>
      <c r="D2537" s="127">
        <v>2</v>
      </c>
      <c r="E2537" s="653">
        <v>477</v>
      </c>
      <c r="F2537" s="127">
        <f>E2537*D2537</f>
        <v>954</v>
      </c>
      <c r="G2537" s="127">
        <v>2.3940000000000001</v>
      </c>
      <c r="H2537" s="127">
        <f>E2537*G2537</f>
        <v>1141.9380000000001</v>
      </c>
      <c r="I2537" s="127">
        <f>H2537*D2537</f>
        <v>2283.8760000000002</v>
      </c>
      <c r="J2537" s="110">
        <f>J2536+I2537</f>
        <v>2283.8760000000002</v>
      </c>
    </row>
    <row r="2538" spans="1:10">
      <c r="B2538" s="585">
        <v>46013</v>
      </c>
      <c r="C2538" s="110" t="s">
        <v>2276</v>
      </c>
      <c r="D2538" s="127">
        <v>2</v>
      </c>
      <c r="E2538" s="653">
        <v>477</v>
      </c>
      <c r="F2538" s="127">
        <f t="shared" ref="F2538:F2545" si="602">E2538*D2538</f>
        <v>954</v>
      </c>
      <c r="G2538" s="127">
        <v>2.3940000000000001</v>
      </c>
      <c r="H2538" s="127">
        <f t="shared" ref="H2538:H2545" si="603">E2538*G2538</f>
        <v>1141.9380000000001</v>
      </c>
      <c r="I2538" s="127">
        <f t="shared" ref="I2538:I2545" si="604">H2538*D2538</f>
        <v>2283.8760000000002</v>
      </c>
      <c r="J2538" s="110">
        <f t="shared" ref="J2538:J2545" si="605">J2537+I2538</f>
        <v>4567.7520000000004</v>
      </c>
    </row>
    <row r="2539" spans="1:10">
      <c r="B2539" s="585">
        <v>46013</v>
      </c>
      <c r="C2539" s="110" t="s">
        <v>2263</v>
      </c>
      <c r="D2539" s="127">
        <v>2</v>
      </c>
      <c r="E2539" s="653">
        <v>477</v>
      </c>
      <c r="F2539" s="127">
        <f t="shared" si="602"/>
        <v>954</v>
      </c>
      <c r="G2539" s="127">
        <v>2.3940000000000001</v>
      </c>
      <c r="H2539" s="127">
        <f t="shared" si="603"/>
        <v>1141.9380000000001</v>
      </c>
      <c r="I2539" s="127">
        <f t="shared" si="604"/>
        <v>2283.8760000000002</v>
      </c>
      <c r="J2539" s="110">
        <f t="shared" si="605"/>
        <v>6851.6280000000006</v>
      </c>
    </row>
    <row r="2540" spans="1:10">
      <c r="B2540" s="585">
        <v>46013</v>
      </c>
      <c r="C2540" s="110" t="s">
        <v>2263</v>
      </c>
      <c r="D2540" s="127">
        <v>2</v>
      </c>
      <c r="E2540" s="653">
        <v>477</v>
      </c>
      <c r="F2540" s="127">
        <f t="shared" si="602"/>
        <v>954</v>
      </c>
      <c r="G2540" s="127">
        <v>2.3940000000000001</v>
      </c>
      <c r="H2540" s="127">
        <f t="shared" si="603"/>
        <v>1141.9380000000001</v>
      </c>
      <c r="I2540" s="127">
        <f t="shared" si="604"/>
        <v>2283.8760000000002</v>
      </c>
      <c r="J2540" s="110">
        <f t="shared" si="605"/>
        <v>9135.5040000000008</v>
      </c>
    </row>
    <row r="2541" spans="1:10">
      <c r="B2541" s="585">
        <v>46013</v>
      </c>
      <c r="C2541" s="110" t="s">
        <v>2264</v>
      </c>
      <c r="D2541" s="127">
        <v>2</v>
      </c>
      <c r="E2541" s="653">
        <v>477</v>
      </c>
      <c r="F2541" s="127">
        <f t="shared" si="602"/>
        <v>954</v>
      </c>
      <c r="G2541" s="127">
        <v>2.3940000000000001</v>
      </c>
      <c r="H2541" s="127">
        <f t="shared" si="603"/>
        <v>1141.9380000000001</v>
      </c>
      <c r="I2541" s="127">
        <f t="shared" si="604"/>
        <v>2283.8760000000002</v>
      </c>
      <c r="J2541" s="110">
        <f t="shared" si="605"/>
        <v>11419.380000000001</v>
      </c>
    </row>
    <row r="2542" spans="1:10">
      <c r="B2542" s="585">
        <v>46013</v>
      </c>
      <c r="C2542" s="110" t="s">
        <v>2277</v>
      </c>
      <c r="D2542" s="127">
        <v>2</v>
      </c>
      <c r="E2542" s="653">
        <v>477</v>
      </c>
      <c r="F2542" s="127">
        <f t="shared" si="602"/>
        <v>954</v>
      </c>
      <c r="G2542" s="127">
        <v>2.3940000000000001</v>
      </c>
      <c r="H2542" s="127">
        <f t="shared" si="603"/>
        <v>1141.9380000000001</v>
      </c>
      <c r="I2542" s="127">
        <f t="shared" si="604"/>
        <v>2283.8760000000002</v>
      </c>
      <c r="J2542" s="110">
        <f t="shared" si="605"/>
        <v>13703.256000000001</v>
      </c>
    </row>
    <row r="2543" spans="1:10">
      <c r="B2543" s="585">
        <v>46013</v>
      </c>
      <c r="C2543" s="110" t="s">
        <v>2278</v>
      </c>
      <c r="D2543" s="127">
        <v>2</v>
      </c>
      <c r="E2543" s="653">
        <v>629</v>
      </c>
      <c r="F2543" s="127">
        <f t="shared" si="602"/>
        <v>1258</v>
      </c>
      <c r="G2543" s="127">
        <v>2.3940000000000001</v>
      </c>
      <c r="H2543" s="127">
        <f t="shared" si="603"/>
        <v>1505.826</v>
      </c>
      <c r="I2543" s="127">
        <f t="shared" si="604"/>
        <v>3011.652</v>
      </c>
      <c r="J2543" s="110">
        <f t="shared" si="605"/>
        <v>16714.908000000003</v>
      </c>
    </row>
    <row r="2544" spans="1:10">
      <c r="B2544" s="585">
        <v>46013</v>
      </c>
      <c r="C2544" s="110" t="s">
        <v>2278</v>
      </c>
      <c r="D2544" s="127">
        <v>2</v>
      </c>
      <c r="E2544" s="653">
        <v>629</v>
      </c>
      <c r="F2544" s="127">
        <f t="shared" si="602"/>
        <v>1258</v>
      </c>
      <c r="G2544" s="127">
        <v>2.3940000000000001</v>
      </c>
      <c r="H2544" s="127">
        <f t="shared" si="603"/>
        <v>1505.826</v>
      </c>
      <c r="I2544" s="127">
        <f t="shared" si="604"/>
        <v>3011.652</v>
      </c>
      <c r="J2544" s="110">
        <f t="shared" si="605"/>
        <v>19726.560000000005</v>
      </c>
    </row>
    <row r="2545" spans="1:10">
      <c r="B2545" s="583">
        <v>46013</v>
      </c>
      <c r="C2545" s="230" t="s">
        <v>2243</v>
      </c>
      <c r="D2545" s="650">
        <v>2</v>
      </c>
      <c r="E2545" s="604">
        <v>477</v>
      </c>
      <c r="F2545" s="650">
        <f t="shared" si="602"/>
        <v>954</v>
      </c>
      <c r="G2545" s="650">
        <v>2.3940000000000001</v>
      </c>
      <c r="H2545" s="650">
        <f t="shared" si="603"/>
        <v>1141.9380000000001</v>
      </c>
      <c r="I2545" s="650">
        <f t="shared" si="604"/>
        <v>2283.8760000000002</v>
      </c>
      <c r="J2545" s="230">
        <f t="shared" si="605"/>
        <v>22010.436000000005</v>
      </c>
    </row>
    <row r="2546" spans="1:10">
      <c r="B2546" s="583">
        <v>46013</v>
      </c>
      <c r="C2546" s="230" t="s">
        <v>2243</v>
      </c>
      <c r="D2546" s="650">
        <v>2</v>
      </c>
      <c r="E2546" s="604">
        <v>477</v>
      </c>
      <c r="F2546" s="650">
        <f t="shared" ref="F2546:F2552" si="606">E2546*D2546</f>
        <v>954</v>
      </c>
      <c r="G2546" s="650">
        <v>2.3940000000000001</v>
      </c>
      <c r="H2546" s="650">
        <f t="shared" ref="H2546:H2552" si="607">E2546*G2546</f>
        <v>1141.9380000000001</v>
      </c>
      <c r="I2546" s="650">
        <f t="shared" ref="I2546:I2552" si="608">H2546*D2546</f>
        <v>2283.8760000000002</v>
      </c>
      <c r="J2546" s="230">
        <f t="shared" ref="J2546:J2552" si="609">J2545+I2546</f>
        <v>24294.312000000005</v>
      </c>
    </row>
    <row r="2547" spans="1:10">
      <c r="B2547" s="594">
        <v>46013</v>
      </c>
      <c r="C2547" s="296" t="s">
        <v>2279</v>
      </c>
      <c r="D2547" s="596">
        <v>1</v>
      </c>
      <c r="E2547" s="637">
        <v>1500</v>
      </c>
      <c r="F2547" s="596">
        <f t="shared" si="606"/>
        <v>1500</v>
      </c>
      <c r="G2547" s="596">
        <v>2.3940000000000001</v>
      </c>
      <c r="H2547" s="596">
        <f t="shared" si="607"/>
        <v>3591</v>
      </c>
      <c r="I2547" s="596">
        <f t="shared" si="608"/>
        <v>3591</v>
      </c>
      <c r="J2547" s="296">
        <f t="shared" si="609"/>
        <v>27885.312000000005</v>
      </c>
    </row>
    <row r="2548" spans="1:10">
      <c r="B2548" s="594">
        <v>46013</v>
      </c>
      <c r="C2548" s="296" t="s">
        <v>2280</v>
      </c>
      <c r="D2548" s="596">
        <v>1</v>
      </c>
      <c r="E2548" s="637">
        <v>160</v>
      </c>
      <c r="F2548" s="596">
        <f t="shared" si="606"/>
        <v>160</v>
      </c>
      <c r="G2548" s="596">
        <v>2.3940000000000001</v>
      </c>
      <c r="H2548" s="596">
        <f t="shared" si="607"/>
        <v>383.04</v>
      </c>
      <c r="I2548" s="596">
        <f t="shared" si="608"/>
        <v>383.04</v>
      </c>
      <c r="J2548" s="296">
        <f t="shared" si="609"/>
        <v>28268.352000000006</v>
      </c>
    </row>
    <row r="2549" spans="1:10">
      <c r="B2549" s="614"/>
      <c r="C2549" s="614"/>
      <c r="D2549" s="614"/>
      <c r="E2549" s="614"/>
      <c r="F2549" s="614">
        <f t="shared" si="606"/>
        <v>0</v>
      </c>
      <c r="G2549" s="614"/>
      <c r="H2549" s="614">
        <f t="shared" si="607"/>
        <v>0</v>
      </c>
      <c r="I2549" s="614">
        <f t="shared" si="608"/>
        <v>0</v>
      </c>
      <c r="J2549" s="612">
        <f t="shared" si="609"/>
        <v>28268.352000000006</v>
      </c>
    </row>
    <row r="2550" spans="1:10">
      <c r="B2550" s="614"/>
      <c r="C2550" s="614"/>
      <c r="D2550" s="614"/>
      <c r="E2550" s="614"/>
      <c r="F2550" s="614">
        <f t="shared" si="606"/>
        <v>0</v>
      </c>
      <c r="G2550" s="614"/>
      <c r="H2550" s="614">
        <f t="shared" si="607"/>
        <v>0</v>
      </c>
      <c r="I2550" s="614">
        <f t="shared" si="608"/>
        <v>0</v>
      </c>
      <c r="J2550" s="612">
        <f t="shared" si="609"/>
        <v>28268.352000000006</v>
      </c>
    </row>
    <row r="2551" spans="1:10">
      <c r="B2551" s="614"/>
      <c r="C2551" s="614"/>
      <c r="D2551" s="614"/>
      <c r="E2551" s="614"/>
      <c r="F2551" s="614">
        <f t="shared" si="606"/>
        <v>0</v>
      </c>
      <c r="G2551" s="614"/>
      <c r="H2551" s="614">
        <f t="shared" si="607"/>
        <v>0</v>
      </c>
      <c r="I2551" s="614">
        <f t="shared" si="608"/>
        <v>0</v>
      </c>
      <c r="J2551" s="612">
        <f t="shared" si="609"/>
        <v>28268.352000000006</v>
      </c>
    </row>
    <row r="2552" spans="1:10">
      <c r="B2552" s="614"/>
      <c r="C2552" s="614"/>
      <c r="D2552" s="614"/>
      <c r="E2552" s="614"/>
      <c r="F2552" s="614">
        <f t="shared" si="606"/>
        <v>0</v>
      </c>
      <c r="G2552" s="614"/>
      <c r="H2552" s="614">
        <f t="shared" si="607"/>
        <v>0</v>
      </c>
      <c r="I2552" s="614">
        <f t="shared" si="608"/>
        <v>0</v>
      </c>
      <c r="J2552" s="612">
        <f t="shared" si="609"/>
        <v>28268.352000000006</v>
      </c>
    </row>
    <row r="2556" spans="1:10" ht="21">
      <c r="A2556" s="611" t="s">
        <v>125</v>
      </c>
      <c r="B2556" s="1520" t="s">
        <v>35</v>
      </c>
      <c r="C2556" s="1520"/>
      <c r="D2556" s="1520"/>
      <c r="E2556" s="1520"/>
      <c r="F2556" s="1520"/>
      <c r="G2556" s="1520"/>
      <c r="H2556" s="1520"/>
      <c r="I2556" s="1520"/>
      <c r="J2556" s="1520"/>
    </row>
    <row r="2557" spans="1:10" ht="18.75">
      <c r="A2557" s="611" t="s">
        <v>212</v>
      </c>
      <c r="B2557" s="4" t="s">
        <v>1</v>
      </c>
      <c r="C2557" s="4" t="s">
        <v>2</v>
      </c>
      <c r="D2557" s="4" t="s">
        <v>3</v>
      </c>
      <c r="E2557" s="4" t="s">
        <v>4</v>
      </c>
      <c r="F2557" s="4" t="s">
        <v>36</v>
      </c>
      <c r="G2557" s="4" t="s">
        <v>5</v>
      </c>
      <c r="H2557" s="4" t="s">
        <v>6</v>
      </c>
      <c r="I2557" s="4" t="s">
        <v>7</v>
      </c>
      <c r="J2557" s="4"/>
    </row>
    <row r="2558" spans="1:10">
      <c r="B2558" s="585">
        <v>46014</v>
      </c>
      <c r="C2558" s="110" t="s">
        <v>2281</v>
      </c>
      <c r="D2558" s="110">
        <v>5</v>
      </c>
      <c r="E2558" s="127">
        <v>1449</v>
      </c>
      <c r="F2558" s="127">
        <f>E2558*D2558</f>
        <v>7245</v>
      </c>
      <c r="G2558" s="127">
        <v>2.12</v>
      </c>
      <c r="H2558" s="127">
        <f>E2558*G2558</f>
        <v>3071.88</v>
      </c>
      <c r="I2558" s="127">
        <f>H2558*D2558</f>
        <v>15359.400000000001</v>
      </c>
      <c r="J2558" s="110">
        <f>J2557+I2558</f>
        <v>15359.400000000001</v>
      </c>
    </row>
    <row r="2559" spans="1:10">
      <c r="B2559" s="614"/>
      <c r="C2559" s="614"/>
      <c r="D2559" s="614"/>
      <c r="E2559" s="614"/>
      <c r="F2559" s="614">
        <f>E2559*D2559</f>
        <v>0</v>
      </c>
      <c r="G2559" s="614"/>
      <c r="H2559" s="614">
        <f>E2559*G2559</f>
        <v>0</v>
      </c>
      <c r="I2559" s="614">
        <f>H2559*D2559</f>
        <v>0</v>
      </c>
      <c r="J2559" s="612">
        <f>J2558+I2559</f>
        <v>15359.400000000001</v>
      </c>
    </row>
    <row r="2560" spans="1:10">
      <c r="B2560" s="614"/>
      <c r="C2560" s="614"/>
      <c r="D2560" s="614"/>
      <c r="E2560" s="614"/>
      <c r="F2560" s="614">
        <f>E2560*D2560</f>
        <v>0</v>
      </c>
      <c r="G2560" s="614"/>
      <c r="H2560" s="614">
        <f>E2560*G2560</f>
        <v>0</v>
      </c>
      <c r="I2560" s="614">
        <f>H2560*D2560</f>
        <v>0</v>
      </c>
      <c r="J2560" s="612">
        <f>J2559+I2560</f>
        <v>15359.400000000001</v>
      </c>
    </row>
    <row r="2564" spans="1:11" ht="21">
      <c r="A2564" s="611" t="s">
        <v>125</v>
      </c>
      <c r="B2564" s="1520" t="s">
        <v>1912</v>
      </c>
      <c r="C2564" s="1520"/>
      <c r="D2564" s="1520"/>
      <c r="E2564" s="1520"/>
      <c r="F2564" s="1520"/>
      <c r="G2564" s="1520"/>
      <c r="H2564" s="1520"/>
      <c r="I2564" s="1520"/>
      <c r="J2564" s="1520"/>
      <c r="K2564" t="s">
        <v>2322</v>
      </c>
    </row>
    <row r="2565" spans="1:11" ht="18.75">
      <c r="B2565" s="4" t="s">
        <v>1</v>
      </c>
      <c r="C2565" s="4" t="s">
        <v>2</v>
      </c>
      <c r="D2565" s="4" t="s">
        <v>3</v>
      </c>
      <c r="E2565" s="514" t="s">
        <v>132</v>
      </c>
      <c r="F2565" s="514" t="s">
        <v>133</v>
      </c>
      <c r="G2565" s="4" t="s">
        <v>5</v>
      </c>
      <c r="H2565" s="4" t="s">
        <v>6</v>
      </c>
      <c r="I2565" s="4" t="s">
        <v>7</v>
      </c>
      <c r="J2565" s="4"/>
    </row>
    <row r="2566" spans="1:11">
      <c r="B2566" s="81">
        <v>46013</v>
      </c>
      <c r="C2566" s="80" t="s">
        <v>2117</v>
      </c>
      <c r="D2566" s="614">
        <v>19</v>
      </c>
      <c r="E2566" s="614">
        <v>52</v>
      </c>
      <c r="F2566" s="614">
        <f>E2566*D2566</f>
        <v>988</v>
      </c>
      <c r="G2566" s="614">
        <v>3.5950000000000002</v>
      </c>
      <c r="H2566" s="614">
        <f>E2566*G2566</f>
        <v>186.94</v>
      </c>
      <c r="I2566" s="614">
        <f>H2566*D2566</f>
        <v>3551.86</v>
      </c>
      <c r="J2566" s="612">
        <f>J2565+I2566</f>
        <v>3551.86</v>
      </c>
    </row>
    <row r="2567" spans="1:11">
      <c r="B2567" s="81">
        <v>46013</v>
      </c>
      <c r="C2567" s="80" t="s">
        <v>2117</v>
      </c>
      <c r="D2567" s="614">
        <v>2</v>
      </c>
      <c r="E2567" s="614">
        <v>55</v>
      </c>
      <c r="F2567" s="614">
        <f t="shared" ref="F2567:F2574" si="610">E2567*D2567</f>
        <v>110</v>
      </c>
      <c r="G2567" s="614">
        <v>3.5950000000000002</v>
      </c>
      <c r="H2567" s="614">
        <f t="shared" ref="H2567:H2574" si="611">E2567*G2567</f>
        <v>197.72500000000002</v>
      </c>
      <c r="I2567" s="614">
        <f t="shared" ref="I2567:I2574" si="612">H2567*D2567</f>
        <v>395.45000000000005</v>
      </c>
      <c r="J2567" s="612">
        <f t="shared" ref="J2567:J2574" si="613">J2566+I2567</f>
        <v>3947.3100000000004</v>
      </c>
    </row>
    <row r="2568" spans="1:11">
      <c r="B2568" s="81">
        <v>46013</v>
      </c>
      <c r="C2568" s="80" t="s">
        <v>1924</v>
      </c>
      <c r="D2568" s="614">
        <v>9</v>
      </c>
      <c r="E2568" s="614">
        <v>640</v>
      </c>
      <c r="F2568" s="614">
        <f t="shared" si="610"/>
        <v>5760</v>
      </c>
      <c r="G2568" s="614">
        <v>3.5950000000000002</v>
      </c>
      <c r="H2568" s="614">
        <f t="shared" si="611"/>
        <v>2300.8000000000002</v>
      </c>
      <c r="I2568" s="614">
        <f t="shared" si="612"/>
        <v>20707.2</v>
      </c>
      <c r="J2568" s="612">
        <f t="shared" si="613"/>
        <v>24654.510000000002</v>
      </c>
    </row>
    <row r="2569" spans="1:11">
      <c r="B2569" s="81">
        <v>46013</v>
      </c>
      <c r="C2569" s="80" t="s">
        <v>2120</v>
      </c>
      <c r="D2569" s="614">
        <v>13</v>
      </c>
      <c r="E2569" s="614">
        <v>440</v>
      </c>
      <c r="F2569" s="614">
        <f t="shared" si="610"/>
        <v>5720</v>
      </c>
      <c r="G2569" s="614">
        <v>3.5950000000000002</v>
      </c>
      <c r="H2569" s="614">
        <f t="shared" si="611"/>
        <v>1581.8000000000002</v>
      </c>
      <c r="I2569" s="614">
        <f t="shared" si="612"/>
        <v>20563.400000000001</v>
      </c>
      <c r="J2569" s="612">
        <f t="shared" si="613"/>
        <v>45217.91</v>
      </c>
    </row>
    <row r="2570" spans="1:11">
      <c r="B2570" s="81">
        <v>46013</v>
      </c>
      <c r="C2570" s="80" t="s">
        <v>2119</v>
      </c>
      <c r="D2570" s="614">
        <v>2</v>
      </c>
      <c r="E2570" s="614">
        <v>340</v>
      </c>
      <c r="F2570" s="614">
        <f t="shared" si="610"/>
        <v>680</v>
      </c>
      <c r="G2570" s="614">
        <v>3.5950000000000002</v>
      </c>
      <c r="H2570" s="614">
        <f t="shared" si="611"/>
        <v>1222.3</v>
      </c>
      <c r="I2570" s="614">
        <f t="shared" si="612"/>
        <v>2444.6</v>
      </c>
      <c r="J2570" s="612">
        <f t="shared" si="613"/>
        <v>47662.51</v>
      </c>
    </row>
    <row r="2571" spans="1:11">
      <c r="B2571" s="81">
        <v>46013</v>
      </c>
      <c r="C2571" s="80" t="s">
        <v>2290</v>
      </c>
      <c r="D2571" s="614">
        <v>2</v>
      </c>
      <c r="E2571" s="614">
        <v>140</v>
      </c>
      <c r="F2571" s="614">
        <f t="shared" si="610"/>
        <v>280</v>
      </c>
      <c r="G2571" s="614">
        <v>3.5950000000000002</v>
      </c>
      <c r="H2571" s="614">
        <f t="shared" si="611"/>
        <v>503.3</v>
      </c>
      <c r="I2571" s="614">
        <f t="shared" si="612"/>
        <v>1006.6</v>
      </c>
      <c r="J2571" s="612">
        <f t="shared" si="613"/>
        <v>48669.11</v>
      </c>
    </row>
    <row r="2572" spans="1:11">
      <c r="B2572" s="81">
        <v>46013</v>
      </c>
      <c r="C2572" s="80" t="s">
        <v>2275</v>
      </c>
      <c r="D2572" s="614">
        <v>1</v>
      </c>
      <c r="E2572" s="614">
        <v>1</v>
      </c>
      <c r="F2572" s="614">
        <f t="shared" si="610"/>
        <v>1</v>
      </c>
      <c r="G2572" s="614">
        <v>3.5950000000000002</v>
      </c>
      <c r="H2572" s="614">
        <f t="shared" si="611"/>
        <v>3.5950000000000002</v>
      </c>
      <c r="I2572" s="614">
        <f t="shared" si="612"/>
        <v>3.5950000000000002</v>
      </c>
      <c r="J2572" s="612">
        <f t="shared" si="613"/>
        <v>48672.705000000002</v>
      </c>
    </row>
    <row r="2573" spans="1:11">
      <c r="B2573" s="81">
        <v>46013</v>
      </c>
      <c r="C2573" s="80" t="s">
        <v>1334</v>
      </c>
      <c r="D2573" s="614">
        <v>6</v>
      </c>
      <c r="E2573" s="614">
        <v>340</v>
      </c>
      <c r="F2573" s="614">
        <f t="shared" si="610"/>
        <v>2040</v>
      </c>
      <c r="G2573" s="614">
        <v>3.5950000000000002</v>
      </c>
      <c r="H2573" s="614">
        <f t="shared" si="611"/>
        <v>1222.3</v>
      </c>
      <c r="I2573" s="614">
        <f t="shared" si="612"/>
        <v>7333.7999999999993</v>
      </c>
      <c r="J2573" s="612">
        <f t="shared" si="613"/>
        <v>56006.505000000005</v>
      </c>
    </row>
    <row r="2574" spans="1:11">
      <c r="B2574" s="81">
        <v>46013</v>
      </c>
      <c r="C2574" s="80" t="s">
        <v>1405</v>
      </c>
      <c r="D2574" s="614">
        <v>4</v>
      </c>
      <c r="E2574" s="614">
        <v>190</v>
      </c>
      <c r="F2574" s="614">
        <f t="shared" si="610"/>
        <v>760</v>
      </c>
      <c r="G2574" s="614">
        <v>3.5950000000000002</v>
      </c>
      <c r="H2574" s="614">
        <f t="shared" si="611"/>
        <v>683.05000000000007</v>
      </c>
      <c r="I2574" s="614">
        <f t="shared" si="612"/>
        <v>2732.2000000000003</v>
      </c>
      <c r="J2574" s="612">
        <f t="shared" si="613"/>
        <v>58738.705000000002</v>
      </c>
    </row>
    <row r="2575" spans="1:11">
      <c r="B2575" s="81">
        <v>46013</v>
      </c>
      <c r="C2575" s="80" t="s">
        <v>2132</v>
      </c>
      <c r="D2575" s="614">
        <v>7</v>
      </c>
      <c r="E2575" s="614">
        <v>340</v>
      </c>
      <c r="F2575" s="614">
        <f t="shared" ref="F2575:F2621" si="614">E2575*D2575</f>
        <v>2380</v>
      </c>
      <c r="G2575" s="614">
        <v>3.5950000000000002</v>
      </c>
      <c r="H2575" s="614">
        <f t="shared" ref="H2575:H2590" si="615">E2575*G2575</f>
        <v>1222.3</v>
      </c>
      <c r="I2575" s="614">
        <f t="shared" ref="I2575:I2590" si="616">H2575*D2575</f>
        <v>8556.1</v>
      </c>
      <c r="J2575" s="612">
        <f t="shared" ref="J2575:J2590" si="617">J2574+I2575</f>
        <v>67294.805000000008</v>
      </c>
    </row>
    <row r="2576" spans="1:11">
      <c r="B2576" s="81">
        <v>46013</v>
      </c>
      <c r="C2576" s="80" t="s">
        <v>2132</v>
      </c>
      <c r="D2576" s="614">
        <v>4</v>
      </c>
      <c r="E2576" s="614">
        <v>287.5</v>
      </c>
      <c r="F2576" s="614">
        <f t="shared" si="614"/>
        <v>1150</v>
      </c>
      <c r="G2576" s="614">
        <v>3.5950000000000002</v>
      </c>
      <c r="H2576" s="614">
        <f t="shared" si="615"/>
        <v>1033.5625</v>
      </c>
      <c r="I2576" s="614">
        <f t="shared" si="616"/>
        <v>4134.25</v>
      </c>
      <c r="J2576" s="612">
        <f t="shared" si="617"/>
        <v>71429.055000000008</v>
      </c>
    </row>
    <row r="2577" spans="2:10">
      <c r="B2577" s="81">
        <v>46013</v>
      </c>
      <c r="C2577" s="80" t="s">
        <v>1914</v>
      </c>
      <c r="D2577" s="614">
        <v>5</v>
      </c>
      <c r="E2577" s="614">
        <v>285</v>
      </c>
      <c r="F2577" s="614">
        <f t="shared" si="614"/>
        <v>1425</v>
      </c>
      <c r="G2577" s="614">
        <v>3.5950000000000002</v>
      </c>
      <c r="H2577" s="614">
        <f t="shared" si="615"/>
        <v>1024.575</v>
      </c>
      <c r="I2577" s="614">
        <f t="shared" si="616"/>
        <v>5122.875</v>
      </c>
      <c r="J2577" s="612">
        <f t="shared" si="617"/>
        <v>76551.930000000008</v>
      </c>
    </row>
    <row r="2578" spans="2:10">
      <c r="B2578" s="81">
        <v>46013</v>
      </c>
      <c r="C2578" s="80" t="s">
        <v>2291</v>
      </c>
      <c r="D2578" s="614">
        <v>8</v>
      </c>
      <c r="E2578" s="614">
        <v>1560</v>
      </c>
      <c r="F2578" s="614">
        <f t="shared" si="614"/>
        <v>12480</v>
      </c>
      <c r="G2578" s="614">
        <v>3.5950000000000002</v>
      </c>
      <c r="H2578" s="614">
        <f t="shared" si="615"/>
        <v>5608.2000000000007</v>
      </c>
      <c r="I2578" s="614">
        <f t="shared" si="616"/>
        <v>44865.600000000006</v>
      </c>
      <c r="J2578" s="612">
        <f t="shared" si="617"/>
        <v>121417.53000000001</v>
      </c>
    </row>
    <row r="2579" spans="2:10">
      <c r="B2579" s="81">
        <v>46013</v>
      </c>
      <c r="C2579" s="80" t="s">
        <v>2292</v>
      </c>
      <c r="D2579" s="614">
        <v>3</v>
      </c>
      <c r="E2579" s="614">
        <v>2000</v>
      </c>
      <c r="F2579" s="614">
        <f t="shared" si="614"/>
        <v>6000</v>
      </c>
      <c r="G2579" s="614">
        <v>3.5950000000000002</v>
      </c>
      <c r="H2579" s="614">
        <f t="shared" si="615"/>
        <v>7190</v>
      </c>
      <c r="I2579" s="614">
        <f t="shared" si="616"/>
        <v>21570</v>
      </c>
      <c r="J2579" s="612">
        <f t="shared" si="617"/>
        <v>142987.53000000003</v>
      </c>
    </row>
    <row r="2580" spans="2:10">
      <c r="B2580" s="81">
        <v>46013</v>
      </c>
      <c r="C2580" s="80" t="s">
        <v>2293</v>
      </c>
      <c r="D2580" s="614">
        <v>8</v>
      </c>
      <c r="E2580" s="614">
        <v>1045</v>
      </c>
      <c r="F2580" s="614">
        <f t="shared" si="614"/>
        <v>8360</v>
      </c>
      <c r="G2580" s="614">
        <v>3.5950000000000002</v>
      </c>
      <c r="H2580" s="614">
        <f t="shared" si="615"/>
        <v>3756.7750000000001</v>
      </c>
      <c r="I2580" s="614">
        <f t="shared" si="616"/>
        <v>30054.2</v>
      </c>
      <c r="J2580" s="612">
        <f t="shared" si="617"/>
        <v>173041.73000000004</v>
      </c>
    </row>
    <row r="2581" spans="2:10">
      <c r="B2581" s="81">
        <v>46013</v>
      </c>
      <c r="C2581" s="80" t="s">
        <v>2294</v>
      </c>
      <c r="D2581" s="614">
        <v>2</v>
      </c>
      <c r="E2581" s="614">
        <v>1120</v>
      </c>
      <c r="F2581" s="614">
        <f t="shared" si="614"/>
        <v>2240</v>
      </c>
      <c r="G2581" s="614">
        <v>3.5950000000000002</v>
      </c>
      <c r="H2581" s="614">
        <f t="shared" si="615"/>
        <v>4026.4</v>
      </c>
      <c r="I2581" s="614">
        <f t="shared" si="616"/>
        <v>8052.8</v>
      </c>
      <c r="J2581" s="612">
        <f t="shared" si="617"/>
        <v>181094.53000000003</v>
      </c>
    </row>
    <row r="2582" spans="2:10">
      <c r="B2582" s="81">
        <v>46013</v>
      </c>
      <c r="C2582" s="80" t="s">
        <v>1292</v>
      </c>
      <c r="D2582" s="614">
        <v>4</v>
      </c>
      <c r="E2582" s="614">
        <v>425</v>
      </c>
      <c r="F2582" s="614">
        <f t="shared" si="614"/>
        <v>1700</v>
      </c>
      <c r="G2582" s="614">
        <v>3.5950000000000002</v>
      </c>
      <c r="H2582" s="614">
        <f t="shared" si="615"/>
        <v>1527.875</v>
      </c>
      <c r="I2582" s="614">
        <f t="shared" si="616"/>
        <v>6111.5</v>
      </c>
      <c r="J2582" s="612">
        <f t="shared" si="617"/>
        <v>187206.03000000003</v>
      </c>
    </row>
    <row r="2583" spans="2:10">
      <c r="B2583" s="81">
        <v>46013</v>
      </c>
      <c r="C2583" s="80" t="s">
        <v>2145</v>
      </c>
      <c r="D2583" s="614">
        <v>3</v>
      </c>
      <c r="E2583" s="614">
        <v>175</v>
      </c>
      <c r="F2583" s="614">
        <f t="shared" si="614"/>
        <v>525</v>
      </c>
      <c r="G2583" s="614">
        <v>3.5950000000000002</v>
      </c>
      <c r="H2583" s="614">
        <f t="shared" si="615"/>
        <v>629.125</v>
      </c>
      <c r="I2583" s="614">
        <f t="shared" si="616"/>
        <v>1887.375</v>
      </c>
      <c r="J2583" s="612">
        <f t="shared" si="617"/>
        <v>189093.40500000003</v>
      </c>
    </row>
    <row r="2584" spans="2:10">
      <c r="B2584" s="81">
        <v>46013</v>
      </c>
      <c r="C2584" s="80" t="s">
        <v>2145</v>
      </c>
      <c r="D2584" s="614">
        <v>2</v>
      </c>
      <c r="E2584" s="614">
        <v>350</v>
      </c>
      <c r="F2584" s="614">
        <f t="shared" si="614"/>
        <v>700</v>
      </c>
      <c r="G2584" s="614">
        <v>3.5950000000000002</v>
      </c>
      <c r="H2584" s="614">
        <f t="shared" si="615"/>
        <v>1258.25</v>
      </c>
      <c r="I2584" s="614">
        <f t="shared" si="616"/>
        <v>2516.5</v>
      </c>
      <c r="J2584" s="612">
        <f t="shared" si="617"/>
        <v>191609.90500000003</v>
      </c>
    </row>
    <row r="2585" spans="2:10">
      <c r="B2585" s="81">
        <v>46013</v>
      </c>
      <c r="C2585" s="80" t="s">
        <v>1473</v>
      </c>
      <c r="D2585" s="614">
        <v>2</v>
      </c>
      <c r="E2585" s="614">
        <v>375</v>
      </c>
      <c r="F2585" s="614">
        <f t="shared" si="614"/>
        <v>750</v>
      </c>
      <c r="G2585" s="614">
        <v>3.5950000000000002</v>
      </c>
      <c r="H2585" s="614">
        <f t="shared" si="615"/>
        <v>1348.125</v>
      </c>
      <c r="I2585" s="614">
        <f t="shared" si="616"/>
        <v>2696.25</v>
      </c>
      <c r="J2585" s="612">
        <f t="shared" si="617"/>
        <v>194306.15500000003</v>
      </c>
    </row>
    <row r="2586" spans="2:10">
      <c r="B2586" s="428">
        <v>46013</v>
      </c>
      <c r="C2586" s="444" t="s">
        <v>2295</v>
      </c>
      <c r="D2586" s="654">
        <v>2</v>
      </c>
      <c r="E2586" s="654">
        <v>75</v>
      </c>
      <c r="F2586" s="654">
        <f t="shared" si="614"/>
        <v>150</v>
      </c>
      <c r="G2586" s="654">
        <v>3.5950000000000002</v>
      </c>
      <c r="H2586" s="654">
        <f t="shared" si="615"/>
        <v>269.625</v>
      </c>
      <c r="I2586" s="654">
        <f t="shared" si="616"/>
        <v>539.25</v>
      </c>
      <c r="J2586" s="230">
        <f t="shared" si="617"/>
        <v>194845.40500000003</v>
      </c>
    </row>
    <row r="2587" spans="2:10">
      <c r="B2587" s="428">
        <v>46013</v>
      </c>
      <c r="C2587" s="444" t="s">
        <v>2296</v>
      </c>
      <c r="D2587" s="654">
        <v>2</v>
      </c>
      <c r="E2587" s="654">
        <v>140</v>
      </c>
      <c r="F2587" s="654">
        <f t="shared" si="614"/>
        <v>280</v>
      </c>
      <c r="G2587" s="654">
        <v>3.5950000000000002</v>
      </c>
      <c r="H2587" s="654">
        <f t="shared" si="615"/>
        <v>503.3</v>
      </c>
      <c r="I2587" s="654">
        <f t="shared" si="616"/>
        <v>1006.6</v>
      </c>
      <c r="J2587" s="230">
        <f t="shared" si="617"/>
        <v>195852.00500000003</v>
      </c>
    </row>
    <row r="2588" spans="2:10">
      <c r="B2588" s="428">
        <v>46013</v>
      </c>
      <c r="C2588" s="444" t="s">
        <v>1697</v>
      </c>
      <c r="D2588" s="654">
        <v>16</v>
      </c>
      <c r="E2588" s="654">
        <v>880</v>
      </c>
      <c r="F2588" s="654">
        <f t="shared" si="614"/>
        <v>14080</v>
      </c>
      <c r="G2588" s="654">
        <v>3.5950000000000002</v>
      </c>
      <c r="H2588" s="654">
        <f t="shared" si="615"/>
        <v>3163.6000000000004</v>
      </c>
      <c r="I2588" s="654">
        <f t="shared" si="616"/>
        <v>50617.600000000006</v>
      </c>
      <c r="J2588" s="230">
        <f t="shared" si="617"/>
        <v>246469.60500000004</v>
      </c>
    </row>
    <row r="2589" spans="2:10">
      <c r="B2589" s="428">
        <v>46013</v>
      </c>
      <c r="C2589" s="444" t="s">
        <v>1697</v>
      </c>
      <c r="D2589" s="654">
        <v>1</v>
      </c>
      <c r="E2589" s="654">
        <v>875</v>
      </c>
      <c r="F2589" s="654">
        <f t="shared" si="614"/>
        <v>875</v>
      </c>
      <c r="G2589" s="654">
        <v>3.5950000000000002</v>
      </c>
      <c r="H2589" s="654">
        <f t="shared" si="615"/>
        <v>3145.625</v>
      </c>
      <c r="I2589" s="654">
        <f t="shared" si="616"/>
        <v>3145.625</v>
      </c>
      <c r="J2589" s="230">
        <f t="shared" si="617"/>
        <v>249615.23000000004</v>
      </c>
    </row>
    <row r="2590" spans="2:10">
      <c r="B2590" s="428">
        <v>46013</v>
      </c>
      <c r="C2590" s="444" t="s">
        <v>1555</v>
      </c>
      <c r="D2590" s="654">
        <v>2</v>
      </c>
      <c r="E2590" s="654">
        <v>890</v>
      </c>
      <c r="F2590" s="654">
        <f t="shared" si="614"/>
        <v>1780</v>
      </c>
      <c r="G2590" s="654">
        <v>3.5950000000000002</v>
      </c>
      <c r="H2590" s="654">
        <f t="shared" si="615"/>
        <v>3199.55</v>
      </c>
      <c r="I2590" s="654">
        <f t="shared" si="616"/>
        <v>6399.1</v>
      </c>
      <c r="J2590" s="230">
        <f t="shared" si="617"/>
        <v>256014.33000000005</v>
      </c>
    </row>
    <row r="2591" spans="2:10">
      <c r="B2591" s="428">
        <v>46013</v>
      </c>
      <c r="C2591" s="444" t="s">
        <v>1928</v>
      </c>
      <c r="D2591" s="654">
        <v>1</v>
      </c>
      <c r="E2591" s="654">
        <v>850</v>
      </c>
      <c r="F2591" s="654">
        <f t="shared" si="614"/>
        <v>850</v>
      </c>
      <c r="G2591" s="654">
        <v>3.5950000000000002</v>
      </c>
      <c r="H2591" s="654">
        <f t="shared" ref="H2591:H2613" si="618">E2591*G2591</f>
        <v>3055.75</v>
      </c>
      <c r="I2591" s="654">
        <f t="shared" ref="I2591:I2613" si="619">H2591*D2591</f>
        <v>3055.75</v>
      </c>
      <c r="J2591" s="230">
        <f t="shared" ref="J2591:J2613" si="620">J2590+I2591</f>
        <v>259070.08000000005</v>
      </c>
    </row>
    <row r="2592" spans="2:10">
      <c r="B2592" s="428">
        <v>46013</v>
      </c>
      <c r="C2592" s="444" t="s">
        <v>2298</v>
      </c>
      <c r="D2592" s="654">
        <v>2</v>
      </c>
      <c r="E2592" s="654">
        <v>960</v>
      </c>
      <c r="F2592" s="654">
        <f t="shared" si="614"/>
        <v>1920</v>
      </c>
      <c r="G2592" s="654">
        <v>3.5950000000000002</v>
      </c>
      <c r="H2592" s="654">
        <f t="shared" si="618"/>
        <v>3451.2000000000003</v>
      </c>
      <c r="I2592" s="654">
        <f t="shared" si="619"/>
        <v>6902.4000000000005</v>
      </c>
      <c r="J2592" s="230">
        <f t="shared" si="620"/>
        <v>265972.48000000004</v>
      </c>
    </row>
    <row r="2593" spans="2:10">
      <c r="B2593" s="428">
        <v>46013</v>
      </c>
      <c r="C2593" s="444" t="s">
        <v>2299</v>
      </c>
      <c r="D2593" s="654">
        <v>1</v>
      </c>
      <c r="E2593" s="654">
        <v>1200</v>
      </c>
      <c r="F2593" s="654">
        <f t="shared" si="614"/>
        <v>1200</v>
      </c>
      <c r="G2593" s="654">
        <v>3.5950000000000002</v>
      </c>
      <c r="H2593" s="654">
        <f t="shared" si="618"/>
        <v>4314</v>
      </c>
      <c r="I2593" s="654">
        <f t="shared" si="619"/>
        <v>4314</v>
      </c>
      <c r="J2593" s="230">
        <f t="shared" si="620"/>
        <v>270286.48000000004</v>
      </c>
    </row>
    <row r="2594" spans="2:10">
      <c r="B2594" s="428">
        <v>46013</v>
      </c>
      <c r="C2594" s="444" t="s">
        <v>2297</v>
      </c>
      <c r="D2594" s="654">
        <v>1</v>
      </c>
      <c r="E2594" s="654">
        <v>860</v>
      </c>
      <c r="F2594" s="654">
        <f t="shared" si="614"/>
        <v>860</v>
      </c>
      <c r="G2594" s="654">
        <v>3.5950000000000002</v>
      </c>
      <c r="H2594" s="654">
        <f t="shared" si="618"/>
        <v>3091.7000000000003</v>
      </c>
      <c r="I2594" s="654">
        <f t="shared" si="619"/>
        <v>3091.7000000000003</v>
      </c>
      <c r="J2594" s="230">
        <f t="shared" si="620"/>
        <v>273378.18000000005</v>
      </c>
    </row>
    <row r="2595" spans="2:10">
      <c r="B2595" s="428">
        <v>46013</v>
      </c>
      <c r="C2595" s="444" t="s">
        <v>2300</v>
      </c>
      <c r="D2595" s="654">
        <v>1</v>
      </c>
      <c r="E2595" s="654">
        <v>720</v>
      </c>
      <c r="F2595" s="654">
        <f t="shared" si="614"/>
        <v>720</v>
      </c>
      <c r="G2595" s="654">
        <v>3.5950000000000002</v>
      </c>
      <c r="H2595" s="654">
        <f t="shared" si="618"/>
        <v>2588.4</v>
      </c>
      <c r="I2595" s="654">
        <f t="shared" si="619"/>
        <v>2588.4</v>
      </c>
      <c r="J2595" s="230">
        <f t="shared" si="620"/>
        <v>275966.58000000007</v>
      </c>
    </row>
    <row r="2596" spans="2:10">
      <c r="B2596" s="428">
        <v>46013</v>
      </c>
      <c r="C2596" s="444" t="s">
        <v>2301</v>
      </c>
      <c r="D2596" s="654">
        <v>1</v>
      </c>
      <c r="E2596" s="654">
        <v>980</v>
      </c>
      <c r="F2596" s="654">
        <f t="shared" si="614"/>
        <v>980</v>
      </c>
      <c r="G2596" s="654">
        <v>3.5950000000000002</v>
      </c>
      <c r="H2596" s="654">
        <f t="shared" si="618"/>
        <v>3523.1000000000004</v>
      </c>
      <c r="I2596" s="654">
        <f t="shared" si="619"/>
        <v>3523.1000000000004</v>
      </c>
      <c r="J2596" s="230">
        <f t="shared" si="620"/>
        <v>279489.68000000005</v>
      </c>
    </row>
    <row r="2597" spans="2:10">
      <c r="B2597" s="81">
        <v>46013</v>
      </c>
      <c r="C2597" s="80" t="s">
        <v>2302</v>
      </c>
      <c r="D2597" s="614">
        <v>1</v>
      </c>
      <c r="E2597" s="614">
        <v>620</v>
      </c>
      <c r="F2597" s="614">
        <f t="shared" si="614"/>
        <v>620</v>
      </c>
      <c r="G2597" s="614">
        <v>3.5950000000000002</v>
      </c>
      <c r="H2597" s="614">
        <f t="shared" si="618"/>
        <v>2228.9</v>
      </c>
      <c r="I2597" s="614">
        <f t="shared" si="619"/>
        <v>2228.9</v>
      </c>
      <c r="J2597" s="612">
        <f t="shared" si="620"/>
        <v>281718.58000000007</v>
      </c>
    </row>
    <row r="2598" spans="2:10">
      <c r="B2598" s="81">
        <v>46013</v>
      </c>
      <c r="C2598" s="80" t="s">
        <v>1548</v>
      </c>
      <c r="D2598" s="614">
        <v>1</v>
      </c>
      <c r="E2598" s="614">
        <v>500</v>
      </c>
      <c r="F2598" s="614">
        <f t="shared" si="614"/>
        <v>500</v>
      </c>
      <c r="G2598" s="614">
        <v>3.5950000000000002</v>
      </c>
      <c r="H2598" s="614">
        <f t="shared" si="618"/>
        <v>1797.5</v>
      </c>
      <c r="I2598" s="614">
        <f t="shared" si="619"/>
        <v>1797.5</v>
      </c>
      <c r="J2598" s="612">
        <f t="shared" si="620"/>
        <v>283516.08000000007</v>
      </c>
    </row>
    <row r="2599" spans="2:10">
      <c r="B2599" s="81">
        <v>46013</v>
      </c>
      <c r="C2599" s="80" t="s">
        <v>2303</v>
      </c>
      <c r="D2599" s="614">
        <v>1</v>
      </c>
      <c r="E2599" s="614">
        <v>540</v>
      </c>
      <c r="F2599" s="614">
        <f t="shared" si="614"/>
        <v>540</v>
      </c>
      <c r="G2599" s="614">
        <v>3.5950000000000002</v>
      </c>
      <c r="H2599" s="614">
        <f t="shared" si="618"/>
        <v>1941.3000000000002</v>
      </c>
      <c r="I2599" s="614">
        <f t="shared" si="619"/>
        <v>1941.3000000000002</v>
      </c>
      <c r="J2599" s="612">
        <f t="shared" si="620"/>
        <v>285457.38000000006</v>
      </c>
    </row>
    <row r="2600" spans="2:10">
      <c r="B2600" s="81">
        <v>46013</v>
      </c>
      <c r="C2600" s="80" t="s">
        <v>2304</v>
      </c>
      <c r="D2600" s="614">
        <v>1</v>
      </c>
      <c r="E2600" s="614">
        <v>440</v>
      </c>
      <c r="F2600" s="614">
        <f t="shared" si="614"/>
        <v>440</v>
      </c>
      <c r="G2600" s="614">
        <v>3.5950000000000002</v>
      </c>
      <c r="H2600" s="614">
        <f t="shared" si="618"/>
        <v>1581.8000000000002</v>
      </c>
      <c r="I2600" s="614">
        <f t="shared" si="619"/>
        <v>1581.8000000000002</v>
      </c>
      <c r="J2600" s="612">
        <f t="shared" si="620"/>
        <v>287039.18000000005</v>
      </c>
    </row>
    <row r="2601" spans="2:10">
      <c r="B2601" s="81">
        <v>46013</v>
      </c>
      <c r="C2601" s="80" t="s">
        <v>2305</v>
      </c>
      <c r="D2601" s="614">
        <v>1</v>
      </c>
      <c r="E2601" s="614">
        <v>475</v>
      </c>
      <c r="F2601" s="614">
        <f t="shared" si="614"/>
        <v>475</v>
      </c>
      <c r="G2601" s="614">
        <v>3.5950000000000002</v>
      </c>
      <c r="H2601" s="614">
        <f t="shared" si="618"/>
        <v>1707.625</v>
      </c>
      <c r="I2601" s="614">
        <f t="shared" si="619"/>
        <v>1707.625</v>
      </c>
      <c r="J2601" s="612">
        <f t="shared" si="620"/>
        <v>288746.80500000005</v>
      </c>
    </row>
    <row r="2602" spans="2:10">
      <c r="B2602" s="81">
        <v>46013</v>
      </c>
      <c r="C2602" s="80" t="s">
        <v>2306</v>
      </c>
      <c r="D2602" s="614">
        <v>4</v>
      </c>
      <c r="E2602" s="614">
        <v>1160</v>
      </c>
      <c r="F2602" s="614">
        <f t="shared" si="614"/>
        <v>4640</v>
      </c>
      <c r="G2602" s="614">
        <v>3.5950000000000002</v>
      </c>
      <c r="H2602" s="614">
        <f t="shared" si="618"/>
        <v>4170.2</v>
      </c>
      <c r="I2602" s="614">
        <f t="shared" si="619"/>
        <v>16680.8</v>
      </c>
      <c r="J2602" s="612">
        <f t="shared" si="620"/>
        <v>305427.60500000004</v>
      </c>
    </row>
    <row r="2603" spans="2:10">
      <c r="B2603" s="81">
        <v>46013</v>
      </c>
      <c r="C2603" s="80" t="s">
        <v>2306</v>
      </c>
      <c r="D2603" s="614">
        <v>1</v>
      </c>
      <c r="E2603" s="614">
        <v>1100</v>
      </c>
      <c r="F2603" s="614">
        <f t="shared" si="614"/>
        <v>1100</v>
      </c>
      <c r="G2603" s="614">
        <v>3.5950000000000002</v>
      </c>
      <c r="H2603" s="614">
        <f t="shared" si="618"/>
        <v>3954.5</v>
      </c>
      <c r="I2603" s="614">
        <f t="shared" si="619"/>
        <v>3954.5</v>
      </c>
      <c r="J2603" s="612">
        <f t="shared" si="620"/>
        <v>309382.10500000004</v>
      </c>
    </row>
    <row r="2604" spans="2:10">
      <c r="B2604" s="81">
        <v>46013</v>
      </c>
      <c r="C2604" s="80" t="s">
        <v>2307</v>
      </c>
      <c r="D2604" s="614">
        <v>1</v>
      </c>
      <c r="E2604" s="614">
        <v>865</v>
      </c>
      <c r="F2604" s="614">
        <f t="shared" si="614"/>
        <v>865</v>
      </c>
      <c r="G2604" s="614">
        <v>3.5950000000000002</v>
      </c>
      <c r="H2604" s="614">
        <f t="shared" si="618"/>
        <v>3109.6750000000002</v>
      </c>
      <c r="I2604" s="614">
        <f t="shared" si="619"/>
        <v>3109.6750000000002</v>
      </c>
      <c r="J2604" s="612">
        <f t="shared" si="620"/>
        <v>312491.78000000003</v>
      </c>
    </row>
    <row r="2605" spans="2:10">
      <c r="B2605" s="81">
        <v>46013</v>
      </c>
      <c r="C2605" s="80" t="s">
        <v>2308</v>
      </c>
      <c r="D2605" s="614">
        <v>1</v>
      </c>
      <c r="E2605" s="614">
        <v>520</v>
      </c>
      <c r="F2605" s="614">
        <f t="shared" si="614"/>
        <v>520</v>
      </c>
      <c r="G2605" s="614">
        <v>3.5950000000000002</v>
      </c>
      <c r="H2605" s="614">
        <f t="shared" si="618"/>
        <v>1869.4</v>
      </c>
      <c r="I2605" s="614">
        <f t="shared" si="619"/>
        <v>1869.4</v>
      </c>
      <c r="J2605" s="612">
        <f t="shared" si="620"/>
        <v>314361.18000000005</v>
      </c>
    </row>
    <row r="2606" spans="2:10">
      <c r="B2606" s="81">
        <v>46013</v>
      </c>
      <c r="C2606" s="80" t="s">
        <v>1312</v>
      </c>
      <c r="D2606" s="614">
        <v>1</v>
      </c>
      <c r="E2606" s="614">
        <v>125</v>
      </c>
      <c r="F2606" s="614">
        <f t="shared" si="614"/>
        <v>125</v>
      </c>
      <c r="G2606" s="614">
        <v>3.5950000000000002</v>
      </c>
      <c r="H2606" s="614">
        <f t="shared" si="618"/>
        <v>449.375</v>
      </c>
      <c r="I2606" s="614">
        <f t="shared" si="619"/>
        <v>449.375</v>
      </c>
      <c r="J2606" s="612">
        <f t="shared" si="620"/>
        <v>314810.55500000005</v>
      </c>
    </row>
    <row r="2607" spans="2:10">
      <c r="B2607" s="428">
        <v>46013</v>
      </c>
      <c r="C2607" s="444" t="s">
        <v>2309</v>
      </c>
      <c r="D2607" s="654">
        <v>1</v>
      </c>
      <c r="E2607" s="654">
        <v>85</v>
      </c>
      <c r="F2607" s="654">
        <f t="shared" si="614"/>
        <v>85</v>
      </c>
      <c r="G2607" s="654">
        <v>3.5950000000000002</v>
      </c>
      <c r="H2607" s="654">
        <f t="shared" si="618"/>
        <v>305.57499999999999</v>
      </c>
      <c r="I2607" s="654">
        <f t="shared" si="619"/>
        <v>305.57499999999999</v>
      </c>
      <c r="J2607" s="230">
        <f t="shared" si="620"/>
        <v>315116.13000000006</v>
      </c>
    </row>
    <row r="2608" spans="2:10">
      <c r="B2608" s="428">
        <v>46013</v>
      </c>
      <c r="C2608" s="444" t="s">
        <v>1291</v>
      </c>
      <c r="D2608" s="654">
        <v>1</v>
      </c>
      <c r="E2608" s="654">
        <v>640</v>
      </c>
      <c r="F2608" s="654">
        <f t="shared" si="614"/>
        <v>640</v>
      </c>
      <c r="G2608" s="654">
        <v>3.5950000000000002</v>
      </c>
      <c r="H2608" s="654">
        <f t="shared" si="618"/>
        <v>2300.8000000000002</v>
      </c>
      <c r="I2608" s="654">
        <f t="shared" si="619"/>
        <v>2300.8000000000002</v>
      </c>
      <c r="J2608" s="230">
        <f t="shared" si="620"/>
        <v>317416.93000000005</v>
      </c>
    </row>
    <row r="2609" spans="2:11">
      <c r="B2609" s="428">
        <v>46013</v>
      </c>
      <c r="C2609" s="444" t="s">
        <v>2310</v>
      </c>
      <c r="D2609" s="654">
        <v>1</v>
      </c>
      <c r="E2609" s="654">
        <v>2400</v>
      </c>
      <c r="F2609" s="654">
        <f t="shared" si="614"/>
        <v>2400</v>
      </c>
      <c r="G2609" s="654">
        <v>3.5950000000000002</v>
      </c>
      <c r="H2609" s="654">
        <f t="shared" si="618"/>
        <v>8628</v>
      </c>
      <c r="I2609" s="654">
        <f t="shared" si="619"/>
        <v>8628</v>
      </c>
      <c r="J2609" s="230">
        <f t="shared" si="620"/>
        <v>326044.93000000005</v>
      </c>
    </row>
    <row r="2610" spans="2:11">
      <c r="B2610" s="428">
        <v>46013</v>
      </c>
      <c r="C2610" s="444" t="s">
        <v>2311</v>
      </c>
      <c r="D2610" s="654">
        <v>1</v>
      </c>
      <c r="E2610" s="654">
        <v>1360</v>
      </c>
      <c r="F2610" s="654">
        <f t="shared" si="614"/>
        <v>1360</v>
      </c>
      <c r="G2610" s="654">
        <v>3.5950000000000002</v>
      </c>
      <c r="H2610" s="654">
        <f t="shared" si="618"/>
        <v>4889.2</v>
      </c>
      <c r="I2610" s="654">
        <f t="shared" si="619"/>
        <v>4889.2</v>
      </c>
      <c r="J2610" s="230">
        <f t="shared" si="620"/>
        <v>330934.13000000006</v>
      </c>
    </row>
    <row r="2611" spans="2:11">
      <c r="B2611" s="428">
        <v>46013</v>
      </c>
      <c r="C2611" s="444" t="s">
        <v>2312</v>
      </c>
      <c r="D2611" s="654">
        <v>1</v>
      </c>
      <c r="E2611" s="654">
        <v>1675</v>
      </c>
      <c r="F2611" s="654">
        <f t="shared" si="614"/>
        <v>1675</v>
      </c>
      <c r="G2611" s="654">
        <v>3.5950000000000002</v>
      </c>
      <c r="H2611" s="654">
        <f t="shared" si="618"/>
        <v>6021.625</v>
      </c>
      <c r="I2611" s="654">
        <f t="shared" si="619"/>
        <v>6021.625</v>
      </c>
      <c r="J2611" s="230">
        <f t="shared" si="620"/>
        <v>336955.75500000006</v>
      </c>
    </row>
    <row r="2612" spans="2:11">
      <c r="B2612" s="428">
        <v>46013</v>
      </c>
      <c r="C2612" s="444" t="s">
        <v>1296</v>
      </c>
      <c r="D2612" s="654">
        <v>1</v>
      </c>
      <c r="E2612" s="654">
        <v>730</v>
      </c>
      <c r="F2612" s="654">
        <f t="shared" si="614"/>
        <v>730</v>
      </c>
      <c r="G2612" s="654">
        <v>3.5950000000000002</v>
      </c>
      <c r="H2612" s="654">
        <f t="shared" si="618"/>
        <v>2624.3500000000004</v>
      </c>
      <c r="I2612" s="654">
        <f t="shared" si="619"/>
        <v>2624.3500000000004</v>
      </c>
      <c r="J2612" s="230">
        <f t="shared" si="620"/>
        <v>339580.10500000004</v>
      </c>
    </row>
    <row r="2613" spans="2:11">
      <c r="B2613" s="428">
        <v>46013</v>
      </c>
      <c r="C2613" s="444" t="s">
        <v>2313</v>
      </c>
      <c r="D2613" s="654">
        <v>1</v>
      </c>
      <c r="E2613" s="654">
        <v>1250</v>
      </c>
      <c r="F2613" s="654">
        <f t="shared" si="614"/>
        <v>1250</v>
      </c>
      <c r="G2613" s="654">
        <v>3.5950000000000002</v>
      </c>
      <c r="H2613" s="654">
        <f t="shared" si="618"/>
        <v>4493.75</v>
      </c>
      <c r="I2613" s="654">
        <f t="shared" si="619"/>
        <v>4493.75</v>
      </c>
      <c r="J2613" s="230">
        <f t="shared" si="620"/>
        <v>344073.85500000004</v>
      </c>
    </row>
    <row r="2614" spans="2:11" s="611" customFormat="1">
      <c r="B2614" s="428">
        <v>46013</v>
      </c>
      <c r="C2614" s="444" t="s">
        <v>2317</v>
      </c>
      <c r="D2614" s="654">
        <v>1</v>
      </c>
      <c r="E2614" s="654">
        <v>350</v>
      </c>
      <c r="F2614" s="654">
        <f t="shared" si="614"/>
        <v>350</v>
      </c>
      <c r="G2614" s="654">
        <v>3.5950000000000002</v>
      </c>
      <c r="H2614" s="654">
        <f t="shared" ref="H2614:H2621" si="621">E2614*G2614</f>
        <v>1258.25</v>
      </c>
      <c r="I2614" s="654">
        <f t="shared" ref="I2614:I2621" si="622">H2614*D2614</f>
        <v>1258.25</v>
      </c>
      <c r="J2614" s="230">
        <f t="shared" ref="J2614:J2621" si="623">J2613+I2614</f>
        <v>345332.10500000004</v>
      </c>
    </row>
    <row r="2615" spans="2:11" s="611" customFormat="1">
      <c r="B2615" s="428">
        <v>46013</v>
      </c>
      <c r="C2615" s="444" t="s">
        <v>2318</v>
      </c>
      <c r="D2615" s="654">
        <v>1</v>
      </c>
      <c r="E2615" s="654">
        <v>350</v>
      </c>
      <c r="F2615" s="654">
        <f t="shared" si="614"/>
        <v>350</v>
      </c>
      <c r="G2615" s="654">
        <v>3.5950000000000002</v>
      </c>
      <c r="H2615" s="654">
        <f t="shared" si="621"/>
        <v>1258.25</v>
      </c>
      <c r="I2615" s="654">
        <f t="shared" si="622"/>
        <v>1258.25</v>
      </c>
      <c r="J2615" s="230">
        <f t="shared" si="623"/>
        <v>346590.35500000004</v>
      </c>
    </row>
    <row r="2616" spans="2:11" s="611" customFormat="1">
      <c r="B2616" s="428">
        <v>46013</v>
      </c>
      <c r="C2616" s="444" t="s">
        <v>2285</v>
      </c>
      <c r="D2616" s="654">
        <v>1</v>
      </c>
      <c r="E2616" s="654">
        <v>160</v>
      </c>
      <c r="F2616" s="654">
        <f t="shared" si="614"/>
        <v>160</v>
      </c>
      <c r="G2616" s="654">
        <v>3.5950000000000002</v>
      </c>
      <c r="H2616" s="654">
        <f t="shared" si="621"/>
        <v>575.20000000000005</v>
      </c>
      <c r="I2616" s="654">
        <f t="shared" si="622"/>
        <v>575.20000000000005</v>
      </c>
      <c r="J2616" s="230">
        <f t="shared" si="623"/>
        <v>347165.55500000005</v>
      </c>
    </row>
    <row r="2617" spans="2:11" s="611" customFormat="1">
      <c r="B2617" s="428">
        <v>46013</v>
      </c>
      <c r="C2617" s="444" t="s">
        <v>2282</v>
      </c>
      <c r="D2617" s="654">
        <v>1</v>
      </c>
      <c r="E2617" s="654">
        <v>75</v>
      </c>
      <c r="F2617" s="654">
        <f t="shared" si="614"/>
        <v>75</v>
      </c>
      <c r="G2617" s="654">
        <v>3.5950000000000002</v>
      </c>
      <c r="H2617" s="654">
        <f t="shared" si="621"/>
        <v>269.625</v>
      </c>
      <c r="I2617" s="654">
        <f t="shared" si="622"/>
        <v>269.625</v>
      </c>
      <c r="J2617" s="230">
        <f t="shared" si="623"/>
        <v>347435.18000000005</v>
      </c>
    </row>
    <row r="2618" spans="2:11" s="611" customFormat="1">
      <c r="B2618" s="428">
        <v>46013</v>
      </c>
      <c r="C2618" s="444" t="s">
        <v>2319</v>
      </c>
      <c r="D2618" s="654">
        <v>1</v>
      </c>
      <c r="E2618" s="654">
        <v>175</v>
      </c>
      <c r="F2618" s="654">
        <f t="shared" si="614"/>
        <v>175</v>
      </c>
      <c r="G2618" s="654">
        <v>3.5950000000000002</v>
      </c>
      <c r="H2618" s="654">
        <f t="shared" si="621"/>
        <v>629.125</v>
      </c>
      <c r="I2618" s="654">
        <f t="shared" si="622"/>
        <v>629.125</v>
      </c>
      <c r="J2618" s="230">
        <f t="shared" si="623"/>
        <v>348064.30500000005</v>
      </c>
    </row>
    <row r="2619" spans="2:11">
      <c r="B2619" s="447">
        <v>46013</v>
      </c>
      <c r="C2619" s="525" t="s">
        <v>2314</v>
      </c>
      <c r="D2619" s="305">
        <v>1</v>
      </c>
      <c r="E2619" s="305">
        <v>1</v>
      </c>
      <c r="F2619" s="305">
        <f t="shared" si="614"/>
        <v>1</v>
      </c>
      <c r="G2619" s="305">
        <v>3.5950000000000002</v>
      </c>
      <c r="H2619" s="305">
        <f t="shared" si="621"/>
        <v>3.5950000000000002</v>
      </c>
      <c r="I2619" s="305">
        <f t="shared" si="622"/>
        <v>3.5950000000000002</v>
      </c>
      <c r="J2619" s="313">
        <f t="shared" si="623"/>
        <v>348067.9</v>
      </c>
      <c r="K2619" t="s">
        <v>2320</v>
      </c>
    </row>
    <row r="2620" spans="2:11">
      <c r="B2620" s="447">
        <v>46013</v>
      </c>
      <c r="C2620" s="525" t="s">
        <v>2315</v>
      </c>
      <c r="D2620" s="305">
        <v>1</v>
      </c>
      <c r="E2620" s="305">
        <v>1</v>
      </c>
      <c r="F2620" s="305">
        <f t="shared" si="614"/>
        <v>1</v>
      </c>
      <c r="G2620" s="305">
        <v>3.5950000000000002</v>
      </c>
      <c r="H2620" s="305">
        <f t="shared" si="621"/>
        <v>3.5950000000000002</v>
      </c>
      <c r="I2620" s="305">
        <f t="shared" si="622"/>
        <v>3.5950000000000002</v>
      </c>
      <c r="J2620" s="313">
        <f t="shared" si="623"/>
        <v>348071.495</v>
      </c>
    </row>
    <row r="2621" spans="2:11">
      <c r="B2621" s="447">
        <v>46013</v>
      </c>
      <c r="C2621" s="525" t="s">
        <v>2316</v>
      </c>
      <c r="D2621" s="305">
        <v>1</v>
      </c>
      <c r="E2621" s="305">
        <v>1</v>
      </c>
      <c r="F2621" s="305">
        <f t="shared" si="614"/>
        <v>1</v>
      </c>
      <c r="G2621" s="305">
        <v>3.5950000000000002</v>
      </c>
      <c r="H2621" s="305">
        <f t="shared" si="621"/>
        <v>3.5950000000000002</v>
      </c>
      <c r="I2621" s="305">
        <f t="shared" si="622"/>
        <v>3.5950000000000002</v>
      </c>
      <c r="J2621" s="313">
        <f t="shared" si="623"/>
        <v>348075.08999999997</v>
      </c>
    </row>
    <row r="2627" spans="1:10" ht="21">
      <c r="A2627" s="611" t="s">
        <v>125</v>
      </c>
      <c r="B2627" s="1520" t="s">
        <v>20</v>
      </c>
      <c r="C2627" s="1520"/>
      <c r="D2627" s="1520"/>
      <c r="E2627" s="1520"/>
      <c r="F2627" s="1520"/>
      <c r="G2627" s="1520"/>
      <c r="H2627" s="1520"/>
      <c r="I2627" s="1520"/>
      <c r="J2627" s="1520"/>
    </row>
    <row r="2628" spans="1:10" ht="18.75">
      <c r="A2628" s="611" t="s">
        <v>212</v>
      </c>
      <c r="B2628" s="4" t="s">
        <v>1</v>
      </c>
      <c r="C2628" s="4" t="s">
        <v>2</v>
      </c>
      <c r="D2628" s="4" t="s">
        <v>3</v>
      </c>
      <c r="E2628" s="4" t="s">
        <v>4</v>
      </c>
      <c r="F2628" s="4" t="s">
        <v>36</v>
      </c>
      <c r="G2628" s="4" t="s">
        <v>5</v>
      </c>
      <c r="H2628" s="4" t="s">
        <v>6</v>
      </c>
      <c r="I2628" s="4" t="s">
        <v>7</v>
      </c>
      <c r="J2628" s="4"/>
    </row>
    <row r="2629" spans="1:10">
      <c r="B2629" s="665">
        <v>46014</v>
      </c>
      <c r="C2629" s="444" t="s">
        <v>2342</v>
      </c>
      <c r="D2629" s="444">
        <v>20</v>
      </c>
      <c r="E2629" s="444">
        <v>398</v>
      </c>
      <c r="F2629" s="614">
        <f>E2629*D2629</f>
        <v>7960</v>
      </c>
      <c r="G2629" s="614">
        <v>2.4060000000000001</v>
      </c>
      <c r="H2629" s="614">
        <f>E2629*G2629</f>
        <v>957.58800000000008</v>
      </c>
      <c r="I2629" s="614">
        <f>H2629*D2629</f>
        <v>19151.760000000002</v>
      </c>
      <c r="J2629" s="612">
        <f>J2628+I2629</f>
        <v>19151.760000000002</v>
      </c>
    </row>
    <row r="2630" spans="1:10">
      <c r="B2630" s="665">
        <v>46014</v>
      </c>
      <c r="C2630" s="444" t="s">
        <v>2343</v>
      </c>
      <c r="D2630" s="444">
        <v>16</v>
      </c>
      <c r="E2630" s="444">
        <v>398</v>
      </c>
      <c r="F2630" s="614">
        <f t="shared" ref="F2630:F2637" si="624">E2630*D2630</f>
        <v>6368</v>
      </c>
      <c r="G2630" s="614">
        <v>2.4060000000000001</v>
      </c>
      <c r="H2630" s="614">
        <f t="shared" ref="H2630:H2637" si="625">E2630*G2630</f>
        <v>957.58800000000008</v>
      </c>
      <c r="I2630" s="614">
        <f t="shared" ref="I2630:I2637" si="626">H2630*D2630</f>
        <v>15321.408000000001</v>
      </c>
      <c r="J2630" s="612">
        <f t="shared" ref="J2630:J2637" si="627">J2629+I2630</f>
        <v>34473.168000000005</v>
      </c>
    </row>
    <row r="2631" spans="1:10">
      <c r="B2631" s="666">
        <v>46014</v>
      </c>
      <c r="C2631" s="138" t="s">
        <v>2346</v>
      </c>
      <c r="D2631" s="138">
        <v>1</v>
      </c>
      <c r="E2631" s="138">
        <v>610</v>
      </c>
      <c r="F2631" s="127">
        <f t="shared" si="624"/>
        <v>610</v>
      </c>
      <c r="G2631" s="127">
        <v>2.4060000000000001</v>
      </c>
      <c r="H2631" s="127">
        <f t="shared" si="625"/>
        <v>1467.66</v>
      </c>
      <c r="I2631" s="127">
        <f t="shared" si="626"/>
        <v>1467.66</v>
      </c>
      <c r="J2631" s="110">
        <f t="shared" si="627"/>
        <v>35940.828000000009</v>
      </c>
    </row>
    <row r="2632" spans="1:10">
      <c r="B2632" s="666">
        <v>46014</v>
      </c>
      <c r="C2632" s="138" t="s">
        <v>2346</v>
      </c>
      <c r="D2632" s="138">
        <v>1</v>
      </c>
      <c r="E2632" s="138">
        <v>610</v>
      </c>
      <c r="F2632" s="127">
        <f t="shared" si="624"/>
        <v>610</v>
      </c>
      <c r="G2632" s="127">
        <v>2.4060000000000001</v>
      </c>
      <c r="H2632" s="127">
        <f t="shared" si="625"/>
        <v>1467.66</v>
      </c>
      <c r="I2632" s="127">
        <f t="shared" si="626"/>
        <v>1467.66</v>
      </c>
      <c r="J2632" s="110">
        <f t="shared" si="627"/>
        <v>37408.488000000012</v>
      </c>
    </row>
    <row r="2633" spans="1:10">
      <c r="B2633" s="666">
        <v>46014</v>
      </c>
      <c r="C2633" s="138" t="s">
        <v>2347</v>
      </c>
      <c r="D2633" s="138">
        <v>20</v>
      </c>
      <c r="E2633" s="138">
        <v>398</v>
      </c>
      <c r="F2633" s="127">
        <f t="shared" si="624"/>
        <v>7960</v>
      </c>
      <c r="G2633" s="127">
        <v>2.4060000000000001</v>
      </c>
      <c r="H2633" s="127">
        <f t="shared" si="625"/>
        <v>957.58800000000008</v>
      </c>
      <c r="I2633" s="127">
        <f t="shared" si="626"/>
        <v>19151.760000000002</v>
      </c>
      <c r="J2633" s="110">
        <f t="shared" si="627"/>
        <v>56560.248000000014</v>
      </c>
    </row>
    <row r="2634" spans="1:10">
      <c r="B2634" s="665">
        <v>46014</v>
      </c>
      <c r="C2634" s="444" t="s">
        <v>2258</v>
      </c>
      <c r="D2634" s="444">
        <v>9</v>
      </c>
      <c r="E2634" s="444">
        <v>479</v>
      </c>
      <c r="F2634" s="614">
        <f t="shared" si="624"/>
        <v>4311</v>
      </c>
      <c r="G2634" s="614">
        <v>2.4060000000000001</v>
      </c>
      <c r="H2634" s="614">
        <f t="shared" si="625"/>
        <v>1152.4740000000002</v>
      </c>
      <c r="I2634" s="614">
        <f t="shared" si="626"/>
        <v>10372.266000000001</v>
      </c>
      <c r="J2634" s="612">
        <f t="shared" si="627"/>
        <v>66932.51400000001</v>
      </c>
    </row>
    <row r="2635" spans="1:10">
      <c r="B2635" s="665">
        <v>46014</v>
      </c>
      <c r="C2635" s="444" t="s">
        <v>2344</v>
      </c>
      <c r="D2635" s="444">
        <v>11</v>
      </c>
      <c r="E2635" s="444">
        <v>629</v>
      </c>
      <c r="F2635" s="614">
        <f t="shared" si="624"/>
        <v>6919</v>
      </c>
      <c r="G2635" s="614">
        <v>2.4060000000000001</v>
      </c>
      <c r="H2635" s="614">
        <f t="shared" si="625"/>
        <v>1513.374</v>
      </c>
      <c r="I2635" s="614">
        <f t="shared" si="626"/>
        <v>16647.114000000001</v>
      </c>
      <c r="J2635" s="612">
        <f t="shared" si="627"/>
        <v>83579.628000000012</v>
      </c>
    </row>
    <row r="2636" spans="1:10">
      <c r="B2636" s="665">
        <v>46014</v>
      </c>
      <c r="C2636" s="444" t="s">
        <v>2345</v>
      </c>
      <c r="D2636" s="444">
        <v>2</v>
      </c>
      <c r="E2636" s="444">
        <v>629</v>
      </c>
      <c r="F2636" s="614">
        <f t="shared" si="624"/>
        <v>1258</v>
      </c>
      <c r="G2636" s="614">
        <v>2.4060000000000001</v>
      </c>
      <c r="H2636" s="614">
        <f t="shared" si="625"/>
        <v>1513.374</v>
      </c>
      <c r="I2636" s="614">
        <f t="shared" si="626"/>
        <v>3026.748</v>
      </c>
      <c r="J2636" s="612">
        <f t="shared" si="627"/>
        <v>86606.376000000018</v>
      </c>
    </row>
    <row r="2637" spans="1:10">
      <c r="B2637" s="614"/>
      <c r="C2637" s="614"/>
      <c r="D2637" s="614"/>
      <c r="E2637" s="614"/>
      <c r="F2637" s="614">
        <f t="shared" si="624"/>
        <v>0</v>
      </c>
      <c r="G2637" s="614"/>
      <c r="H2637" s="614">
        <f t="shared" si="625"/>
        <v>0</v>
      </c>
      <c r="I2637" s="614">
        <f t="shared" si="626"/>
        <v>0</v>
      </c>
      <c r="J2637" s="612">
        <f t="shared" si="627"/>
        <v>86606.376000000018</v>
      </c>
    </row>
    <row r="2641" spans="1:10" ht="21">
      <c r="A2641" s="611" t="s">
        <v>125</v>
      </c>
      <c r="B2641" s="1520" t="s">
        <v>35</v>
      </c>
      <c r="C2641" s="1520"/>
      <c r="D2641" s="1520"/>
      <c r="E2641" s="1520"/>
      <c r="F2641" s="1520"/>
      <c r="G2641" s="1520"/>
      <c r="H2641" s="1520"/>
      <c r="I2641" s="1520"/>
      <c r="J2641" s="1520"/>
    </row>
    <row r="2642" spans="1:10" ht="18.75">
      <c r="A2642" s="611" t="s">
        <v>212</v>
      </c>
      <c r="B2642" s="4" t="s">
        <v>1</v>
      </c>
      <c r="C2642" s="4" t="s">
        <v>2</v>
      </c>
      <c r="D2642" s="4" t="s">
        <v>3</v>
      </c>
      <c r="E2642" s="4" t="s">
        <v>4</v>
      </c>
      <c r="F2642" s="4" t="s">
        <v>36</v>
      </c>
      <c r="G2642" s="4" t="s">
        <v>5</v>
      </c>
      <c r="H2642" s="4" t="s">
        <v>6</v>
      </c>
      <c r="I2642" s="4" t="s">
        <v>7</v>
      </c>
      <c r="J2642" s="4"/>
    </row>
    <row r="2643" spans="1:10">
      <c r="B2643" s="585">
        <v>46014</v>
      </c>
      <c r="C2643" s="110" t="s">
        <v>2281</v>
      </c>
      <c r="D2643" s="110">
        <v>4</v>
      </c>
      <c r="E2643" s="110">
        <v>1449</v>
      </c>
      <c r="F2643" s="127">
        <f>E2643*D2643</f>
        <v>5796</v>
      </c>
      <c r="G2643" s="127">
        <v>2.12</v>
      </c>
      <c r="H2643" s="127">
        <f>E2643*G2643</f>
        <v>3071.88</v>
      </c>
      <c r="I2643" s="127">
        <f>H2643*D2643</f>
        <v>12287.52</v>
      </c>
      <c r="J2643" s="110">
        <f>J2642+I2643</f>
        <v>12287.52</v>
      </c>
    </row>
    <row r="2644" spans="1:10">
      <c r="B2644" s="614"/>
      <c r="C2644" s="614"/>
      <c r="D2644" s="614"/>
      <c r="E2644" s="614"/>
      <c r="F2644" s="614">
        <f>E2644*D2644</f>
        <v>0</v>
      </c>
      <c r="G2644" s="614"/>
      <c r="H2644" s="614">
        <f>E2644*G2644</f>
        <v>0</v>
      </c>
      <c r="I2644" s="614">
        <f>H2644*D2644</f>
        <v>0</v>
      </c>
      <c r="J2644" s="612">
        <f>J2643+I2644</f>
        <v>12287.52</v>
      </c>
    </row>
    <row r="2648" spans="1:10" ht="21">
      <c r="A2648" s="611" t="s">
        <v>125</v>
      </c>
      <c r="B2648" s="1520" t="s">
        <v>20</v>
      </c>
      <c r="C2648" s="1520"/>
      <c r="D2648" s="1520"/>
      <c r="E2648" s="1520"/>
      <c r="F2648" s="1520"/>
      <c r="G2648" s="1520"/>
      <c r="H2648" s="1520"/>
      <c r="I2648" s="1520"/>
      <c r="J2648" s="1520"/>
    </row>
    <row r="2649" spans="1:10" ht="18.75">
      <c r="A2649" s="611" t="s">
        <v>212</v>
      </c>
      <c r="B2649" s="4" t="s">
        <v>1</v>
      </c>
      <c r="C2649" s="4" t="s">
        <v>2</v>
      </c>
      <c r="D2649" s="4" t="s">
        <v>3</v>
      </c>
      <c r="E2649" s="4" t="s">
        <v>4</v>
      </c>
      <c r="F2649" s="4" t="s">
        <v>36</v>
      </c>
      <c r="G2649" s="4" t="s">
        <v>5</v>
      </c>
      <c r="H2649" s="4" t="s">
        <v>6</v>
      </c>
      <c r="I2649" s="4" t="s">
        <v>7</v>
      </c>
      <c r="J2649" s="4"/>
    </row>
    <row r="2650" spans="1:10">
      <c r="B2650" s="583">
        <v>46015</v>
      </c>
      <c r="C2650" s="230" t="s">
        <v>2353</v>
      </c>
      <c r="D2650" s="230">
        <v>6</v>
      </c>
      <c r="E2650" s="636">
        <v>398</v>
      </c>
      <c r="F2650" s="614">
        <f>E2650*D2650</f>
        <v>2388</v>
      </c>
      <c r="G2650" s="614">
        <v>2.4060000000000001</v>
      </c>
      <c r="H2650" s="614">
        <f>E2650*G2650</f>
        <v>957.58800000000008</v>
      </c>
      <c r="I2650" s="614">
        <f>H2650*D2650</f>
        <v>5745.5280000000002</v>
      </c>
      <c r="J2650" s="612">
        <f>J2649+I2650</f>
        <v>5745.5280000000002</v>
      </c>
    </row>
    <row r="2651" spans="1:10">
      <c r="B2651" s="583">
        <v>46015</v>
      </c>
      <c r="C2651" s="230" t="s">
        <v>2354</v>
      </c>
      <c r="D2651" s="230">
        <v>20</v>
      </c>
      <c r="E2651" s="636">
        <v>398</v>
      </c>
      <c r="F2651" s="614">
        <f t="shared" ref="F2651:F2658" si="628">E2651*D2651</f>
        <v>7960</v>
      </c>
      <c r="G2651" s="614">
        <v>2.4060000000000001</v>
      </c>
      <c r="H2651" s="614">
        <f t="shared" ref="H2651:H2658" si="629">E2651*G2651</f>
        <v>957.58800000000008</v>
      </c>
      <c r="I2651" s="614">
        <f t="shared" ref="I2651:I2658" si="630">H2651*D2651</f>
        <v>19151.760000000002</v>
      </c>
      <c r="J2651" s="612">
        <f t="shared" ref="J2651:J2658" si="631">J2650+I2651</f>
        <v>24897.288</v>
      </c>
    </row>
    <row r="2652" spans="1:10">
      <c r="B2652" s="583">
        <v>46015</v>
      </c>
      <c r="C2652" s="230" t="s">
        <v>2355</v>
      </c>
      <c r="D2652" s="230">
        <v>1</v>
      </c>
      <c r="E2652" s="636">
        <v>398</v>
      </c>
      <c r="F2652" s="614">
        <f t="shared" si="628"/>
        <v>398</v>
      </c>
      <c r="G2652" s="614">
        <v>2.4060000000000001</v>
      </c>
      <c r="H2652" s="614">
        <f t="shared" si="629"/>
        <v>957.58800000000008</v>
      </c>
      <c r="I2652" s="614">
        <f t="shared" si="630"/>
        <v>957.58800000000008</v>
      </c>
      <c r="J2652" s="612">
        <f t="shared" si="631"/>
        <v>25854.876</v>
      </c>
    </row>
    <row r="2653" spans="1:10">
      <c r="B2653" s="583">
        <v>46015</v>
      </c>
      <c r="C2653" s="230" t="s">
        <v>2356</v>
      </c>
      <c r="D2653" s="230">
        <v>12</v>
      </c>
      <c r="E2653" s="636">
        <v>398</v>
      </c>
      <c r="F2653" s="614">
        <f t="shared" si="628"/>
        <v>4776</v>
      </c>
      <c r="G2653" s="614">
        <v>2.4060000000000001</v>
      </c>
      <c r="H2653" s="614">
        <f t="shared" si="629"/>
        <v>957.58800000000008</v>
      </c>
      <c r="I2653" s="614">
        <f t="shared" si="630"/>
        <v>11491.056</v>
      </c>
      <c r="J2653" s="612">
        <f t="shared" si="631"/>
        <v>37345.932000000001</v>
      </c>
    </row>
    <row r="2654" spans="1:10">
      <c r="B2654" s="585">
        <v>46017</v>
      </c>
      <c r="C2654" s="110" t="s">
        <v>2360</v>
      </c>
      <c r="D2654" s="110">
        <v>3</v>
      </c>
      <c r="E2654" s="623">
        <v>4400</v>
      </c>
      <c r="F2654" s="614">
        <f t="shared" si="628"/>
        <v>13200</v>
      </c>
      <c r="G2654" s="614">
        <v>2.4060000000000001</v>
      </c>
      <c r="H2654" s="614">
        <f t="shared" si="629"/>
        <v>10586.400000000001</v>
      </c>
      <c r="I2654" s="614">
        <f t="shared" si="630"/>
        <v>31759.200000000004</v>
      </c>
      <c r="J2654" s="612">
        <f t="shared" si="631"/>
        <v>69105.132000000012</v>
      </c>
    </row>
    <row r="2655" spans="1:10">
      <c r="B2655" s="585">
        <v>46017</v>
      </c>
      <c r="C2655" s="110" t="s">
        <v>2361</v>
      </c>
      <c r="D2655" s="110">
        <v>2</v>
      </c>
      <c r="E2655" s="623">
        <v>3250</v>
      </c>
      <c r="F2655" s="614">
        <f t="shared" si="628"/>
        <v>6500</v>
      </c>
      <c r="G2655" s="614">
        <v>2.4060000000000001</v>
      </c>
      <c r="H2655" s="614">
        <f t="shared" si="629"/>
        <v>7819.5</v>
      </c>
      <c r="I2655" s="614">
        <f t="shared" si="630"/>
        <v>15639</v>
      </c>
      <c r="J2655" s="612">
        <f t="shared" si="631"/>
        <v>84744.132000000012</v>
      </c>
    </row>
    <row r="2656" spans="1:10">
      <c r="B2656" s="585">
        <v>46017</v>
      </c>
      <c r="C2656" s="110" t="s">
        <v>2360</v>
      </c>
      <c r="D2656" s="110">
        <v>1</v>
      </c>
      <c r="E2656" s="623">
        <v>4400</v>
      </c>
      <c r="F2656" s="614">
        <f t="shared" si="628"/>
        <v>4400</v>
      </c>
      <c r="G2656" s="614">
        <v>2.4060000000000001</v>
      </c>
      <c r="H2656" s="614">
        <f t="shared" si="629"/>
        <v>10586.400000000001</v>
      </c>
      <c r="I2656" s="614">
        <f t="shared" si="630"/>
        <v>10586.400000000001</v>
      </c>
      <c r="J2656" s="612">
        <f t="shared" si="631"/>
        <v>95330.532000000007</v>
      </c>
    </row>
    <row r="2657" spans="2:10">
      <c r="B2657" s="585">
        <v>46017</v>
      </c>
      <c r="C2657" s="110" t="s">
        <v>2361</v>
      </c>
      <c r="D2657" s="110">
        <v>1</v>
      </c>
      <c r="E2657" s="623">
        <v>3250</v>
      </c>
      <c r="F2657" s="614">
        <f t="shared" si="628"/>
        <v>3250</v>
      </c>
      <c r="G2657" s="614">
        <v>2.4060000000000001</v>
      </c>
      <c r="H2657" s="614">
        <f t="shared" si="629"/>
        <v>7819.5</v>
      </c>
      <c r="I2657" s="614">
        <f t="shared" si="630"/>
        <v>7819.5</v>
      </c>
      <c r="J2657" s="612">
        <f t="shared" si="631"/>
        <v>103150.03200000001</v>
      </c>
    </row>
    <row r="2658" spans="2:10">
      <c r="B2658" s="585">
        <v>46017</v>
      </c>
      <c r="C2658" s="110" t="s">
        <v>2360</v>
      </c>
      <c r="D2658" s="110">
        <v>1</v>
      </c>
      <c r="E2658" s="623">
        <v>4400</v>
      </c>
      <c r="F2658" s="614">
        <f t="shared" si="628"/>
        <v>4400</v>
      </c>
      <c r="G2658" s="614">
        <v>2.4060000000000001</v>
      </c>
      <c r="H2658" s="614">
        <f t="shared" si="629"/>
        <v>10586.400000000001</v>
      </c>
      <c r="I2658" s="614">
        <f t="shared" si="630"/>
        <v>10586.400000000001</v>
      </c>
      <c r="J2658" s="612">
        <f t="shared" si="631"/>
        <v>113736.432</v>
      </c>
    </row>
    <row r="2659" spans="2:10">
      <c r="B2659" s="585">
        <v>46017</v>
      </c>
      <c r="C2659" s="110" t="s">
        <v>2361</v>
      </c>
      <c r="D2659" s="110">
        <v>2</v>
      </c>
      <c r="E2659" s="623">
        <v>3250</v>
      </c>
      <c r="F2659" s="614">
        <f t="shared" ref="F2659:F2682" si="632">E2659*D2659</f>
        <v>6500</v>
      </c>
      <c r="G2659" s="614">
        <v>2.4060000000000001</v>
      </c>
      <c r="H2659" s="614">
        <f t="shared" ref="H2659:H2666" si="633">E2659*G2659</f>
        <v>7819.5</v>
      </c>
      <c r="I2659" s="614">
        <f t="shared" ref="I2659:I2666" si="634">H2659*D2659</f>
        <v>15639</v>
      </c>
      <c r="J2659" s="612">
        <f t="shared" ref="J2659:J2666" si="635">J2658+I2659</f>
        <v>129375.432</v>
      </c>
    </row>
    <row r="2660" spans="2:10">
      <c r="B2660" s="583">
        <v>46017</v>
      </c>
      <c r="C2660" s="230" t="s">
        <v>2362</v>
      </c>
      <c r="D2660" s="230">
        <v>8</v>
      </c>
      <c r="E2660" s="636">
        <v>398</v>
      </c>
      <c r="F2660" s="614">
        <f t="shared" si="632"/>
        <v>3184</v>
      </c>
      <c r="G2660" s="614">
        <v>2.4060000000000001</v>
      </c>
      <c r="H2660" s="614">
        <f t="shared" si="633"/>
        <v>957.58800000000008</v>
      </c>
      <c r="I2660" s="614">
        <f t="shared" si="634"/>
        <v>7660.7040000000006</v>
      </c>
      <c r="J2660" s="612">
        <f t="shared" si="635"/>
        <v>137036.136</v>
      </c>
    </row>
    <row r="2661" spans="2:10">
      <c r="B2661" s="585">
        <v>46017</v>
      </c>
      <c r="C2661" s="110" t="s">
        <v>2363</v>
      </c>
      <c r="D2661" s="110">
        <v>3</v>
      </c>
      <c r="E2661" s="623">
        <v>642</v>
      </c>
      <c r="F2661" s="614">
        <f t="shared" si="632"/>
        <v>1926</v>
      </c>
      <c r="G2661" s="614">
        <v>2.4060000000000001</v>
      </c>
      <c r="H2661" s="614">
        <f t="shared" si="633"/>
        <v>1544.652</v>
      </c>
      <c r="I2661" s="614">
        <f t="shared" si="634"/>
        <v>4633.9560000000001</v>
      </c>
      <c r="J2661" s="612">
        <f t="shared" si="635"/>
        <v>141670.092</v>
      </c>
    </row>
    <row r="2662" spans="2:10">
      <c r="B2662" s="583">
        <v>46017</v>
      </c>
      <c r="C2662" s="230" t="s">
        <v>1940</v>
      </c>
      <c r="D2662" s="230">
        <v>3</v>
      </c>
      <c r="E2662" s="636">
        <v>419</v>
      </c>
      <c r="F2662" s="614">
        <f t="shared" si="632"/>
        <v>1257</v>
      </c>
      <c r="G2662" s="614">
        <v>2.4060000000000001</v>
      </c>
      <c r="H2662" s="614">
        <f t="shared" si="633"/>
        <v>1008.114</v>
      </c>
      <c r="I2662" s="614">
        <f t="shared" si="634"/>
        <v>3024.3420000000001</v>
      </c>
      <c r="J2662" s="612">
        <f t="shared" si="635"/>
        <v>144694.43400000001</v>
      </c>
    </row>
    <row r="2663" spans="2:10">
      <c r="B2663" s="583">
        <v>46017</v>
      </c>
      <c r="C2663" s="230" t="s">
        <v>2169</v>
      </c>
      <c r="D2663" s="230">
        <v>3</v>
      </c>
      <c r="E2663" s="636">
        <v>105</v>
      </c>
      <c r="F2663" s="614">
        <f t="shared" si="632"/>
        <v>315</v>
      </c>
      <c r="G2663" s="614">
        <v>2.4060000000000001</v>
      </c>
      <c r="H2663" s="614">
        <f t="shared" si="633"/>
        <v>252.63000000000002</v>
      </c>
      <c r="I2663" s="614">
        <f t="shared" si="634"/>
        <v>757.8900000000001</v>
      </c>
      <c r="J2663" s="612">
        <f t="shared" si="635"/>
        <v>145452.32400000002</v>
      </c>
    </row>
    <row r="2664" spans="2:10">
      <c r="B2664" s="583">
        <v>46017</v>
      </c>
      <c r="C2664" s="230" t="s">
        <v>2364</v>
      </c>
      <c r="D2664" s="230">
        <v>1</v>
      </c>
      <c r="E2664" s="636">
        <v>218</v>
      </c>
      <c r="F2664" s="614">
        <f t="shared" si="632"/>
        <v>218</v>
      </c>
      <c r="G2664" s="614">
        <v>2.4060000000000001</v>
      </c>
      <c r="H2664" s="614">
        <f t="shared" si="633"/>
        <v>524.50800000000004</v>
      </c>
      <c r="I2664" s="614">
        <f t="shared" si="634"/>
        <v>524.50800000000004</v>
      </c>
      <c r="J2664" s="612">
        <f t="shared" si="635"/>
        <v>145976.83200000002</v>
      </c>
    </row>
    <row r="2665" spans="2:10">
      <c r="B2665" s="583">
        <v>46017</v>
      </c>
      <c r="C2665" s="230" t="s">
        <v>2365</v>
      </c>
      <c r="D2665" s="230">
        <v>3</v>
      </c>
      <c r="E2665" s="636">
        <v>779</v>
      </c>
      <c r="F2665" s="614">
        <f t="shared" si="632"/>
        <v>2337</v>
      </c>
      <c r="G2665" s="614">
        <v>2.4060000000000001</v>
      </c>
      <c r="H2665" s="614">
        <f t="shared" si="633"/>
        <v>1874.2740000000001</v>
      </c>
      <c r="I2665" s="614">
        <f t="shared" si="634"/>
        <v>5622.8220000000001</v>
      </c>
      <c r="J2665" s="612">
        <f t="shared" si="635"/>
        <v>151599.65400000004</v>
      </c>
    </row>
    <row r="2666" spans="2:10">
      <c r="B2666" s="583">
        <v>46017</v>
      </c>
      <c r="C2666" s="230" t="s">
        <v>2366</v>
      </c>
      <c r="D2666" s="230">
        <v>3</v>
      </c>
      <c r="E2666" s="636">
        <v>105</v>
      </c>
      <c r="F2666" s="614">
        <f t="shared" si="632"/>
        <v>315</v>
      </c>
      <c r="G2666" s="614">
        <v>2.4060000000000001</v>
      </c>
      <c r="H2666" s="614">
        <f t="shared" si="633"/>
        <v>252.63000000000002</v>
      </c>
      <c r="I2666" s="614">
        <f t="shared" si="634"/>
        <v>757.8900000000001</v>
      </c>
      <c r="J2666" s="612">
        <f t="shared" si="635"/>
        <v>152357.54400000005</v>
      </c>
    </row>
    <row r="2667" spans="2:10">
      <c r="B2667" s="583">
        <v>46017</v>
      </c>
      <c r="C2667" s="230" t="s">
        <v>2367</v>
      </c>
      <c r="D2667" s="230">
        <v>3</v>
      </c>
      <c r="E2667" s="636">
        <v>2597</v>
      </c>
      <c r="F2667" s="614">
        <f t="shared" si="632"/>
        <v>7791</v>
      </c>
      <c r="G2667" s="614">
        <v>2.4060000000000001</v>
      </c>
      <c r="H2667" s="629">
        <f t="shared" ref="H2667:H2675" si="636">E2667*G2667</f>
        <v>6248.3820000000005</v>
      </c>
      <c r="I2667" s="614">
        <f t="shared" ref="I2667:I2675" si="637">H2667*D2667</f>
        <v>18745.146000000001</v>
      </c>
      <c r="J2667" s="612">
        <f t="shared" ref="J2667:J2675" si="638">J2666+I2667</f>
        <v>171102.69000000006</v>
      </c>
    </row>
    <row r="2668" spans="2:10">
      <c r="B2668" s="583">
        <v>46017</v>
      </c>
      <c r="C2668" s="230" t="s">
        <v>2368</v>
      </c>
      <c r="D2668" s="230">
        <v>1</v>
      </c>
      <c r="E2668" s="636">
        <v>1789</v>
      </c>
      <c r="F2668" s="614">
        <f t="shared" si="632"/>
        <v>1789</v>
      </c>
      <c r="G2668" s="614">
        <v>2.4060000000000001</v>
      </c>
      <c r="H2668" s="629">
        <f t="shared" si="636"/>
        <v>4304.3339999999998</v>
      </c>
      <c r="I2668" s="614">
        <f t="shared" si="637"/>
        <v>4304.3339999999998</v>
      </c>
      <c r="J2668" s="612">
        <f t="shared" si="638"/>
        <v>175407.02400000006</v>
      </c>
    </row>
    <row r="2669" spans="2:10">
      <c r="B2669" s="585">
        <v>46017</v>
      </c>
      <c r="C2669" s="110" t="s">
        <v>2369</v>
      </c>
      <c r="D2669" s="110">
        <v>6</v>
      </c>
      <c r="E2669" s="623">
        <v>2197</v>
      </c>
      <c r="F2669" s="614">
        <f t="shared" si="632"/>
        <v>13182</v>
      </c>
      <c r="G2669" s="614">
        <v>2.4060000000000001</v>
      </c>
      <c r="H2669" s="629">
        <f t="shared" si="636"/>
        <v>5285.982</v>
      </c>
      <c r="I2669" s="614">
        <f t="shared" si="637"/>
        <v>31715.892</v>
      </c>
      <c r="J2669" s="612">
        <f t="shared" si="638"/>
        <v>207122.91600000006</v>
      </c>
    </row>
    <row r="2670" spans="2:10">
      <c r="B2670" s="585">
        <v>46017</v>
      </c>
      <c r="C2670" s="110" t="s">
        <v>1892</v>
      </c>
      <c r="D2670" s="110">
        <v>9</v>
      </c>
      <c r="E2670" s="623">
        <v>135</v>
      </c>
      <c r="F2670" s="614">
        <f t="shared" si="632"/>
        <v>1215</v>
      </c>
      <c r="G2670" s="614">
        <v>2.4060000000000001</v>
      </c>
      <c r="H2670" s="629">
        <f t="shared" si="636"/>
        <v>324.81</v>
      </c>
      <c r="I2670" s="614">
        <f t="shared" si="637"/>
        <v>2923.29</v>
      </c>
      <c r="J2670" s="612">
        <f t="shared" si="638"/>
        <v>210046.20600000006</v>
      </c>
    </row>
    <row r="2671" spans="2:10">
      <c r="B2671" s="585">
        <v>46017</v>
      </c>
      <c r="C2671" s="110" t="s">
        <v>2370</v>
      </c>
      <c r="D2671" s="110">
        <v>6</v>
      </c>
      <c r="E2671" s="623">
        <v>407</v>
      </c>
      <c r="F2671" s="614">
        <f t="shared" si="632"/>
        <v>2442</v>
      </c>
      <c r="G2671" s="614">
        <v>2.4060000000000001</v>
      </c>
      <c r="H2671" s="629">
        <f t="shared" si="636"/>
        <v>979.24200000000008</v>
      </c>
      <c r="I2671" s="614">
        <f t="shared" si="637"/>
        <v>5875.4520000000002</v>
      </c>
      <c r="J2671" s="612">
        <f t="shared" si="638"/>
        <v>215921.65800000005</v>
      </c>
    </row>
    <row r="2672" spans="2:10">
      <c r="B2672" s="585">
        <v>46017</v>
      </c>
      <c r="C2672" s="110" t="s">
        <v>2371</v>
      </c>
      <c r="D2672" s="110">
        <v>9</v>
      </c>
      <c r="E2672" s="623">
        <v>629</v>
      </c>
      <c r="F2672" s="614">
        <f t="shared" si="632"/>
        <v>5661</v>
      </c>
      <c r="G2672" s="614">
        <v>2.4060000000000001</v>
      </c>
      <c r="H2672" s="629">
        <f t="shared" si="636"/>
        <v>1513.374</v>
      </c>
      <c r="I2672" s="614">
        <f t="shared" si="637"/>
        <v>13620.366</v>
      </c>
      <c r="J2672" s="612">
        <f t="shared" si="638"/>
        <v>229542.02400000006</v>
      </c>
    </row>
    <row r="2673" spans="1:15">
      <c r="B2673" s="585">
        <v>46018</v>
      </c>
      <c r="C2673" s="110" t="s">
        <v>1769</v>
      </c>
      <c r="D2673" s="110">
        <v>6</v>
      </c>
      <c r="E2673" s="623">
        <v>125</v>
      </c>
      <c r="F2673" s="614">
        <f t="shared" si="632"/>
        <v>750</v>
      </c>
      <c r="G2673" s="614">
        <v>2.4060000000000001</v>
      </c>
      <c r="H2673" s="629">
        <f t="shared" si="636"/>
        <v>300.75</v>
      </c>
      <c r="I2673" s="614">
        <f t="shared" si="637"/>
        <v>1804.5</v>
      </c>
      <c r="J2673" s="612">
        <f t="shared" si="638"/>
        <v>231346.52400000006</v>
      </c>
    </row>
    <row r="2674" spans="1:15">
      <c r="B2674" s="585">
        <v>46018</v>
      </c>
      <c r="C2674" s="110" t="s">
        <v>2042</v>
      </c>
      <c r="D2674" s="110">
        <v>3</v>
      </c>
      <c r="E2674" s="623">
        <v>419</v>
      </c>
      <c r="F2674" s="614">
        <f t="shared" si="632"/>
        <v>1257</v>
      </c>
      <c r="G2674" s="614">
        <v>2.4060000000000001</v>
      </c>
      <c r="H2674" s="629">
        <f t="shared" si="636"/>
        <v>1008.114</v>
      </c>
      <c r="I2674" s="614">
        <f t="shared" si="637"/>
        <v>3024.3420000000001</v>
      </c>
      <c r="J2674" s="612">
        <f t="shared" si="638"/>
        <v>234370.86600000007</v>
      </c>
    </row>
    <row r="2675" spans="1:15">
      <c r="B2675" s="585">
        <v>46018</v>
      </c>
      <c r="C2675" s="110" t="s">
        <v>2372</v>
      </c>
      <c r="D2675" s="110">
        <v>2</v>
      </c>
      <c r="E2675" s="623">
        <v>629</v>
      </c>
      <c r="F2675" s="614">
        <f t="shared" si="632"/>
        <v>1258</v>
      </c>
      <c r="G2675" s="614">
        <v>2.4060000000000001</v>
      </c>
      <c r="H2675" s="629">
        <f t="shared" si="636"/>
        <v>1513.374</v>
      </c>
      <c r="I2675" s="614">
        <f t="shared" si="637"/>
        <v>3026.748</v>
      </c>
      <c r="J2675" s="612">
        <f t="shared" si="638"/>
        <v>237397.61400000006</v>
      </c>
    </row>
    <row r="2676" spans="1:15">
      <c r="B2676" s="583">
        <v>46018</v>
      </c>
      <c r="C2676" s="230" t="s">
        <v>2373</v>
      </c>
      <c r="D2676" s="230">
        <v>3</v>
      </c>
      <c r="E2676" s="636">
        <v>419</v>
      </c>
      <c r="F2676" s="614">
        <f t="shared" si="632"/>
        <v>1257</v>
      </c>
      <c r="G2676" s="614">
        <v>2.4060000000000001</v>
      </c>
      <c r="H2676" s="629">
        <f t="shared" ref="H2676:H2682" si="639">E2676*G2676</f>
        <v>1008.114</v>
      </c>
      <c r="I2676" s="614">
        <f t="shared" ref="I2676:I2682" si="640">H2676*D2676</f>
        <v>3024.3420000000001</v>
      </c>
      <c r="J2676" s="612">
        <f t="shared" ref="J2676:J2682" si="641">J2675+I2676</f>
        <v>240421.95600000006</v>
      </c>
    </row>
    <row r="2677" spans="1:15">
      <c r="B2677" s="583">
        <v>46018</v>
      </c>
      <c r="C2677" s="230" t="s">
        <v>2376</v>
      </c>
      <c r="D2677" s="230">
        <v>2</v>
      </c>
      <c r="E2677" s="636">
        <v>180</v>
      </c>
      <c r="F2677" s="614">
        <f t="shared" si="632"/>
        <v>360</v>
      </c>
      <c r="G2677" s="614">
        <v>2.4060000000000001</v>
      </c>
      <c r="H2677" s="629">
        <f t="shared" si="639"/>
        <v>433.08000000000004</v>
      </c>
      <c r="I2677" s="614">
        <f t="shared" si="640"/>
        <v>866.16000000000008</v>
      </c>
      <c r="J2677" s="612">
        <f t="shared" si="641"/>
        <v>241288.11600000007</v>
      </c>
    </row>
    <row r="2678" spans="1:15">
      <c r="B2678" s="583">
        <v>46018</v>
      </c>
      <c r="C2678" s="230" t="s">
        <v>2377</v>
      </c>
      <c r="D2678" s="230">
        <v>1</v>
      </c>
      <c r="E2678" s="636">
        <v>135</v>
      </c>
      <c r="F2678" s="614">
        <f t="shared" si="632"/>
        <v>135</v>
      </c>
      <c r="G2678" s="614">
        <v>2.4060000000000001</v>
      </c>
      <c r="H2678" s="629">
        <f t="shared" si="639"/>
        <v>324.81</v>
      </c>
      <c r="I2678" s="614">
        <f t="shared" si="640"/>
        <v>324.81</v>
      </c>
      <c r="J2678" s="612">
        <f t="shared" si="641"/>
        <v>241612.92600000006</v>
      </c>
    </row>
    <row r="2679" spans="1:15">
      <c r="B2679" s="583">
        <v>46018</v>
      </c>
      <c r="C2679" s="230" t="s">
        <v>2372</v>
      </c>
      <c r="D2679" s="230">
        <v>1</v>
      </c>
      <c r="E2679" s="636">
        <v>629</v>
      </c>
      <c r="F2679" s="614">
        <f t="shared" si="632"/>
        <v>629</v>
      </c>
      <c r="G2679" s="614">
        <v>2.4060000000000001</v>
      </c>
      <c r="H2679" s="629">
        <f t="shared" si="639"/>
        <v>1513.374</v>
      </c>
      <c r="I2679" s="614">
        <f t="shared" si="640"/>
        <v>1513.374</v>
      </c>
      <c r="J2679" s="612">
        <f t="shared" si="641"/>
        <v>243126.30000000008</v>
      </c>
    </row>
    <row r="2680" spans="1:15">
      <c r="B2680" s="583">
        <v>46018</v>
      </c>
      <c r="C2680" s="230" t="s">
        <v>2378</v>
      </c>
      <c r="D2680" s="230">
        <v>50</v>
      </c>
      <c r="E2680" s="636">
        <v>477</v>
      </c>
      <c r="F2680" s="614">
        <f t="shared" si="632"/>
        <v>23850</v>
      </c>
      <c r="G2680" s="614">
        <v>2.4060000000000001</v>
      </c>
      <c r="H2680" s="629">
        <f t="shared" si="639"/>
        <v>1147.662</v>
      </c>
      <c r="I2680" s="614">
        <f t="shared" si="640"/>
        <v>57383.1</v>
      </c>
      <c r="J2680" s="612">
        <f t="shared" si="641"/>
        <v>300509.40000000008</v>
      </c>
    </row>
    <row r="2681" spans="1:15">
      <c r="B2681" s="583">
        <v>46018</v>
      </c>
      <c r="C2681" s="230" t="s">
        <v>2379</v>
      </c>
      <c r="D2681" s="230">
        <v>37</v>
      </c>
      <c r="E2681" s="636">
        <v>629</v>
      </c>
      <c r="F2681" s="614">
        <f t="shared" si="632"/>
        <v>23273</v>
      </c>
      <c r="G2681" s="614">
        <v>2.4060000000000001</v>
      </c>
      <c r="H2681" s="629">
        <f t="shared" si="639"/>
        <v>1513.374</v>
      </c>
      <c r="I2681" s="614">
        <f t="shared" si="640"/>
        <v>55994.838000000003</v>
      </c>
      <c r="J2681" s="612">
        <f t="shared" si="641"/>
        <v>356504.23800000007</v>
      </c>
    </row>
    <row r="2682" spans="1:15">
      <c r="B2682" s="583">
        <v>46018</v>
      </c>
      <c r="C2682" s="230" t="s">
        <v>2380</v>
      </c>
      <c r="D2682" s="230">
        <v>50</v>
      </c>
      <c r="E2682" s="636">
        <v>398</v>
      </c>
      <c r="F2682" s="614">
        <f t="shared" si="632"/>
        <v>19900</v>
      </c>
      <c r="G2682" s="614">
        <v>2.4060000000000001</v>
      </c>
      <c r="H2682" s="629">
        <f t="shared" si="639"/>
        <v>957.58800000000008</v>
      </c>
      <c r="I2682" s="614">
        <f t="shared" si="640"/>
        <v>47879.4</v>
      </c>
      <c r="J2682" s="612">
        <f t="shared" si="641"/>
        <v>404383.63800000009</v>
      </c>
    </row>
    <row r="2687" spans="1:15" ht="21">
      <c r="A2687" s="611" t="s">
        <v>125</v>
      </c>
      <c r="B2687" s="1521" t="s">
        <v>20</v>
      </c>
      <c r="C2687" s="1521"/>
      <c r="D2687" s="1521"/>
      <c r="E2687" s="1521"/>
      <c r="F2687" s="1521"/>
      <c r="G2687" s="1521"/>
      <c r="H2687" s="1521"/>
      <c r="I2687" s="1521"/>
      <c r="J2687" s="1521"/>
      <c r="K2687" s="1521"/>
      <c r="L2687" s="1521"/>
      <c r="M2687" s="1521"/>
      <c r="N2687" s="1521"/>
      <c r="O2687" s="1521"/>
    </row>
    <row r="2688" spans="1:15" ht="18.75">
      <c r="A2688" s="611" t="s">
        <v>212</v>
      </c>
      <c r="B2688" s="226" t="s">
        <v>1</v>
      </c>
      <c r="C2688" s="226" t="s">
        <v>2</v>
      </c>
      <c r="D2688" s="226" t="s">
        <v>444</v>
      </c>
      <c r="E2688" s="226" t="s">
        <v>33</v>
      </c>
      <c r="F2688" s="226" t="s">
        <v>3</v>
      </c>
      <c r="G2688" s="226" t="s">
        <v>445</v>
      </c>
      <c r="H2688" s="226" t="s">
        <v>451</v>
      </c>
      <c r="I2688" s="226" t="s">
        <v>446</v>
      </c>
      <c r="J2688" s="226" t="s">
        <v>447</v>
      </c>
      <c r="K2688" s="226" t="s">
        <v>448</v>
      </c>
      <c r="L2688" s="226" t="s">
        <v>449</v>
      </c>
      <c r="M2688" s="226" t="s">
        <v>450</v>
      </c>
      <c r="N2688" s="226" t="s">
        <v>7</v>
      </c>
      <c r="O2688" s="29"/>
    </row>
    <row r="2689" spans="1:15">
      <c r="B2689" s="585">
        <v>46017</v>
      </c>
      <c r="C2689" s="110" t="s">
        <v>2381</v>
      </c>
      <c r="D2689" s="110" t="s">
        <v>1755</v>
      </c>
      <c r="E2689" s="127" t="s">
        <v>470</v>
      </c>
      <c r="F2689" s="110">
        <v>2</v>
      </c>
      <c r="G2689" s="623">
        <v>2197</v>
      </c>
      <c r="H2689" s="614">
        <v>10</v>
      </c>
      <c r="I2689" s="614">
        <f>G2689*H2689%</f>
        <v>219.70000000000002</v>
      </c>
      <c r="J2689" s="612">
        <f>G2689-I2689</f>
        <v>1977.3</v>
      </c>
      <c r="K2689" s="612">
        <f>F2689*J2689</f>
        <v>3954.6</v>
      </c>
      <c r="L2689" s="614">
        <v>2.4060000000000001</v>
      </c>
      <c r="M2689" s="612">
        <f>J2689*L2689</f>
        <v>4757.3838000000005</v>
      </c>
      <c r="N2689" s="612">
        <f>F2689*M2689</f>
        <v>9514.767600000001</v>
      </c>
      <c r="O2689" s="612">
        <f>O2688+N2689</f>
        <v>9514.767600000001</v>
      </c>
    </row>
    <row r="2690" spans="1:15">
      <c r="B2690" s="583">
        <v>46018</v>
      </c>
      <c r="C2690" s="230" t="s">
        <v>2382</v>
      </c>
      <c r="D2690" s="230" t="s">
        <v>2383</v>
      </c>
      <c r="E2690" s="230" t="s">
        <v>2384</v>
      </c>
      <c r="F2690" s="230">
        <v>2</v>
      </c>
      <c r="G2690" s="636">
        <v>2599</v>
      </c>
      <c r="H2690" s="614">
        <v>10</v>
      </c>
      <c r="I2690" s="614">
        <f t="shared" ref="I2690:I2695" si="642">G2690*H2690%</f>
        <v>259.90000000000003</v>
      </c>
      <c r="J2690" s="612">
        <f t="shared" ref="J2690:J2695" si="643">G2690-I2690</f>
        <v>2339.1</v>
      </c>
      <c r="K2690" s="612">
        <f t="shared" ref="K2690:K2695" si="644">F2690*J2690</f>
        <v>4678.2</v>
      </c>
      <c r="L2690" s="614">
        <v>2.4060000000000001</v>
      </c>
      <c r="M2690" s="612">
        <f t="shared" ref="M2690:M2695" si="645">J2690*L2690</f>
        <v>5627.8746000000001</v>
      </c>
      <c r="N2690" s="612">
        <f t="shared" ref="N2690:N2695" si="646">F2690*M2690</f>
        <v>11255.7492</v>
      </c>
      <c r="O2690" s="612">
        <f t="shared" ref="O2690:O2695" si="647">O2689+N2690</f>
        <v>20770.516800000001</v>
      </c>
    </row>
    <row r="2691" spans="1:15">
      <c r="B2691" s="583">
        <v>46018</v>
      </c>
      <c r="C2691" s="230" t="s">
        <v>2359</v>
      </c>
      <c r="D2691" s="230" t="s">
        <v>2383</v>
      </c>
      <c r="E2691" s="230" t="s">
        <v>465</v>
      </c>
      <c r="F2691" s="230">
        <v>2</v>
      </c>
      <c r="G2691" s="636">
        <v>629</v>
      </c>
      <c r="H2691" s="614">
        <v>10</v>
      </c>
      <c r="I2691" s="614">
        <f t="shared" si="642"/>
        <v>62.900000000000006</v>
      </c>
      <c r="J2691" s="612">
        <f t="shared" si="643"/>
        <v>566.1</v>
      </c>
      <c r="K2691" s="612">
        <f t="shared" si="644"/>
        <v>1132.2</v>
      </c>
      <c r="L2691" s="614">
        <v>2.4060000000000001</v>
      </c>
      <c r="M2691" s="612">
        <f t="shared" si="645"/>
        <v>1362.0366000000001</v>
      </c>
      <c r="N2691" s="612">
        <f t="shared" si="646"/>
        <v>2724.0732000000003</v>
      </c>
      <c r="O2691" s="612">
        <f t="shared" si="647"/>
        <v>23494.59</v>
      </c>
    </row>
    <row r="2692" spans="1:15">
      <c r="B2692" s="583">
        <v>46018</v>
      </c>
      <c r="C2692" s="230" t="s">
        <v>2382</v>
      </c>
      <c r="D2692" s="230" t="s">
        <v>2383</v>
      </c>
      <c r="E2692" s="230" t="s">
        <v>2384</v>
      </c>
      <c r="F2692" s="230">
        <v>2</v>
      </c>
      <c r="G2692" s="636">
        <v>2599</v>
      </c>
      <c r="H2692" s="614">
        <v>10</v>
      </c>
      <c r="I2692" s="614">
        <f t="shared" si="642"/>
        <v>259.90000000000003</v>
      </c>
      <c r="J2692" s="612">
        <f t="shared" si="643"/>
        <v>2339.1</v>
      </c>
      <c r="K2692" s="612">
        <f t="shared" si="644"/>
        <v>4678.2</v>
      </c>
      <c r="L2692" s="614">
        <v>2.4060000000000001</v>
      </c>
      <c r="M2692" s="612">
        <f t="shared" si="645"/>
        <v>5627.8746000000001</v>
      </c>
      <c r="N2692" s="612">
        <f t="shared" si="646"/>
        <v>11255.7492</v>
      </c>
      <c r="O2692" s="612">
        <f t="shared" si="647"/>
        <v>34750.339200000002</v>
      </c>
    </row>
    <row r="2693" spans="1:15">
      <c r="B2693" s="583">
        <v>46018</v>
      </c>
      <c r="C2693" s="230" t="s">
        <v>2382</v>
      </c>
      <c r="D2693" s="230" t="s">
        <v>2385</v>
      </c>
      <c r="E2693" s="230" t="s">
        <v>465</v>
      </c>
      <c r="F2693" s="230">
        <v>3</v>
      </c>
      <c r="G2693" s="636">
        <v>2599</v>
      </c>
      <c r="H2693" s="614">
        <v>10</v>
      </c>
      <c r="I2693" s="614">
        <f t="shared" si="642"/>
        <v>259.90000000000003</v>
      </c>
      <c r="J2693" s="612">
        <f t="shared" si="643"/>
        <v>2339.1</v>
      </c>
      <c r="K2693" s="612">
        <f t="shared" si="644"/>
        <v>7017.2999999999993</v>
      </c>
      <c r="L2693" s="614">
        <v>2.4060000000000001</v>
      </c>
      <c r="M2693" s="612">
        <f t="shared" si="645"/>
        <v>5627.8746000000001</v>
      </c>
      <c r="N2693" s="612">
        <f t="shared" si="646"/>
        <v>16883.623800000001</v>
      </c>
      <c r="O2693" s="612">
        <f t="shared" si="647"/>
        <v>51633.963000000003</v>
      </c>
    </row>
    <row r="2694" spans="1:15">
      <c r="B2694" s="583">
        <v>46018</v>
      </c>
      <c r="C2694" s="230" t="s">
        <v>2359</v>
      </c>
      <c r="D2694" s="230" t="s">
        <v>2385</v>
      </c>
      <c r="E2694" s="230" t="s">
        <v>465</v>
      </c>
      <c r="F2694" s="230">
        <v>3</v>
      </c>
      <c r="G2694" s="636">
        <v>629</v>
      </c>
      <c r="H2694" s="614">
        <v>10</v>
      </c>
      <c r="I2694" s="614">
        <f t="shared" si="642"/>
        <v>62.900000000000006</v>
      </c>
      <c r="J2694" s="612">
        <f t="shared" si="643"/>
        <v>566.1</v>
      </c>
      <c r="K2694" s="612">
        <f t="shared" si="644"/>
        <v>1698.3000000000002</v>
      </c>
      <c r="L2694" s="614">
        <v>2.4060000000000001</v>
      </c>
      <c r="M2694" s="612">
        <f t="shared" si="645"/>
        <v>1362.0366000000001</v>
      </c>
      <c r="N2694" s="612">
        <f t="shared" si="646"/>
        <v>4086.1098000000002</v>
      </c>
      <c r="O2694" s="612">
        <f t="shared" si="647"/>
        <v>55720.072800000002</v>
      </c>
    </row>
    <row r="2695" spans="1:15">
      <c r="B2695" s="614"/>
      <c r="C2695" s="614"/>
      <c r="D2695" s="614"/>
      <c r="E2695" s="614"/>
      <c r="F2695" s="614"/>
      <c r="G2695" s="614"/>
      <c r="H2695" s="614"/>
      <c r="I2695" s="614">
        <f t="shared" si="642"/>
        <v>0</v>
      </c>
      <c r="J2695" s="612">
        <f t="shared" si="643"/>
        <v>0</v>
      </c>
      <c r="K2695" s="612">
        <f t="shared" si="644"/>
        <v>0</v>
      </c>
      <c r="L2695" s="612"/>
      <c r="M2695" s="612">
        <f t="shared" si="645"/>
        <v>0</v>
      </c>
      <c r="N2695" s="612">
        <f t="shared" si="646"/>
        <v>0</v>
      </c>
      <c r="O2695" s="612">
        <f t="shared" si="647"/>
        <v>55720.072800000002</v>
      </c>
    </row>
    <row r="2700" spans="1:15" ht="21">
      <c r="A2700" s="611" t="s">
        <v>125</v>
      </c>
      <c r="B2700" s="1521" t="s">
        <v>20</v>
      </c>
      <c r="C2700" s="1521"/>
      <c r="D2700" s="1521"/>
      <c r="E2700" s="1521"/>
      <c r="F2700" s="1521"/>
      <c r="G2700" s="1521"/>
      <c r="H2700" s="1521"/>
      <c r="I2700" s="1521"/>
      <c r="J2700" s="1521"/>
      <c r="K2700" s="1521"/>
      <c r="L2700" s="1521"/>
      <c r="M2700" s="1521"/>
      <c r="N2700" s="1521"/>
      <c r="O2700" s="1521"/>
    </row>
    <row r="2701" spans="1:15" ht="18.75">
      <c r="A2701" s="611" t="s">
        <v>212</v>
      </c>
      <c r="B2701" s="226" t="s">
        <v>1</v>
      </c>
      <c r="C2701" s="226" t="s">
        <v>2</v>
      </c>
      <c r="D2701" s="226" t="s">
        <v>444</v>
      </c>
      <c r="E2701" s="226" t="s">
        <v>33</v>
      </c>
      <c r="F2701" s="226" t="s">
        <v>3</v>
      </c>
      <c r="G2701" s="226" t="s">
        <v>445</v>
      </c>
      <c r="H2701" s="226" t="s">
        <v>451</v>
      </c>
      <c r="I2701" s="226" t="s">
        <v>446</v>
      </c>
      <c r="J2701" s="226" t="s">
        <v>447</v>
      </c>
      <c r="K2701" s="226" t="s">
        <v>448</v>
      </c>
      <c r="L2701" s="226" t="s">
        <v>449</v>
      </c>
      <c r="M2701" s="226" t="s">
        <v>450</v>
      </c>
      <c r="N2701" s="226" t="s">
        <v>7</v>
      </c>
      <c r="O2701" s="29"/>
    </row>
    <row r="2702" spans="1:15">
      <c r="B2702" s="585">
        <v>46019</v>
      </c>
      <c r="C2702" s="110" t="s">
        <v>1575</v>
      </c>
      <c r="D2702" s="110" t="s">
        <v>1755</v>
      </c>
      <c r="E2702" s="110" t="s">
        <v>470</v>
      </c>
      <c r="F2702" s="110">
        <v>40</v>
      </c>
      <c r="G2702" s="669">
        <v>145</v>
      </c>
      <c r="H2702" s="614">
        <v>10</v>
      </c>
      <c r="I2702" s="614">
        <f>G2702*H2702%</f>
        <v>14.5</v>
      </c>
      <c r="J2702" s="612">
        <f>G2702-I2702</f>
        <v>130.5</v>
      </c>
      <c r="K2702" s="612">
        <f>F2702*J2702</f>
        <v>5220</v>
      </c>
      <c r="L2702" s="614">
        <v>2.4060000000000001</v>
      </c>
      <c r="M2702" s="612">
        <f>J2702*L2702</f>
        <v>313.983</v>
      </c>
      <c r="N2702" s="612">
        <f>F2702*M2702</f>
        <v>12559.32</v>
      </c>
      <c r="O2702" s="612">
        <f>O2701+N2702</f>
        <v>12559.32</v>
      </c>
    </row>
    <row r="2703" spans="1:15">
      <c r="B2703" s="583">
        <v>46019</v>
      </c>
      <c r="C2703" s="230" t="s">
        <v>2359</v>
      </c>
      <c r="D2703" s="230" t="s">
        <v>2398</v>
      </c>
      <c r="E2703" s="230" t="s">
        <v>465</v>
      </c>
      <c r="F2703" s="230">
        <v>2</v>
      </c>
      <c r="G2703" s="670">
        <v>629</v>
      </c>
      <c r="H2703" s="614">
        <v>10</v>
      </c>
      <c r="I2703" s="614">
        <f t="shared" ref="I2703:I2711" si="648">G2703*H2703%</f>
        <v>62.900000000000006</v>
      </c>
      <c r="J2703" s="612">
        <f t="shared" ref="J2703:J2711" si="649">G2703-I2703</f>
        <v>566.1</v>
      </c>
      <c r="K2703" s="612">
        <f t="shared" ref="K2703:K2711" si="650">F2703*J2703</f>
        <v>1132.2</v>
      </c>
      <c r="L2703" s="614">
        <v>2.4060000000000001</v>
      </c>
      <c r="M2703" s="612">
        <f t="shared" ref="M2703:M2711" si="651">J2703*L2703</f>
        <v>1362.0366000000001</v>
      </c>
      <c r="N2703" s="612">
        <f t="shared" ref="N2703:N2711" si="652">F2703*M2703</f>
        <v>2724.0732000000003</v>
      </c>
      <c r="O2703" s="612">
        <f t="shared" ref="O2703:O2711" si="653">O2702+N2703</f>
        <v>15283.3932</v>
      </c>
    </row>
    <row r="2704" spans="1:15">
      <c r="B2704" s="583">
        <v>46019</v>
      </c>
      <c r="C2704" s="230" t="s">
        <v>2375</v>
      </c>
      <c r="D2704" s="230" t="s">
        <v>2398</v>
      </c>
      <c r="E2704" s="230" t="s">
        <v>465</v>
      </c>
      <c r="F2704" s="230">
        <v>3</v>
      </c>
      <c r="G2704" s="670">
        <v>149</v>
      </c>
      <c r="H2704" s="614">
        <v>10</v>
      </c>
      <c r="I2704" s="614">
        <f t="shared" si="648"/>
        <v>14.9</v>
      </c>
      <c r="J2704" s="612">
        <f t="shared" si="649"/>
        <v>134.1</v>
      </c>
      <c r="K2704" s="612">
        <f t="shared" si="650"/>
        <v>402.29999999999995</v>
      </c>
      <c r="L2704" s="614">
        <v>2.4060000000000001</v>
      </c>
      <c r="M2704" s="612">
        <f t="shared" si="651"/>
        <v>322.64460000000003</v>
      </c>
      <c r="N2704" s="612">
        <f t="shared" si="652"/>
        <v>967.93380000000002</v>
      </c>
      <c r="O2704" s="612">
        <f t="shared" si="653"/>
        <v>16251.327000000001</v>
      </c>
    </row>
    <row r="2705" spans="1:15">
      <c r="B2705" s="583">
        <v>46019</v>
      </c>
      <c r="C2705" s="230" t="s">
        <v>2392</v>
      </c>
      <c r="D2705" s="230" t="s">
        <v>2398</v>
      </c>
      <c r="E2705" s="230" t="s">
        <v>465</v>
      </c>
      <c r="F2705" s="230">
        <v>1</v>
      </c>
      <c r="G2705" s="670">
        <v>159</v>
      </c>
      <c r="H2705" s="614">
        <v>10</v>
      </c>
      <c r="I2705" s="614">
        <f t="shared" si="648"/>
        <v>15.9</v>
      </c>
      <c r="J2705" s="612">
        <f t="shared" si="649"/>
        <v>143.1</v>
      </c>
      <c r="K2705" s="612">
        <f t="shared" si="650"/>
        <v>143.1</v>
      </c>
      <c r="L2705" s="614">
        <v>2.4060000000000001</v>
      </c>
      <c r="M2705" s="612">
        <f t="shared" si="651"/>
        <v>344.29860000000002</v>
      </c>
      <c r="N2705" s="612">
        <f t="shared" si="652"/>
        <v>344.29860000000002</v>
      </c>
      <c r="O2705" s="612">
        <f t="shared" si="653"/>
        <v>16595.625599999999</v>
      </c>
    </row>
    <row r="2706" spans="1:15">
      <c r="B2706" s="583">
        <v>46019</v>
      </c>
      <c r="C2706" s="230" t="s">
        <v>2393</v>
      </c>
      <c r="D2706" s="230" t="s">
        <v>2398</v>
      </c>
      <c r="E2706" s="230" t="s">
        <v>465</v>
      </c>
      <c r="F2706" s="230">
        <v>2</v>
      </c>
      <c r="G2706" s="670">
        <v>199</v>
      </c>
      <c r="H2706" s="614">
        <v>10</v>
      </c>
      <c r="I2706" s="614">
        <f t="shared" si="648"/>
        <v>19.900000000000002</v>
      </c>
      <c r="J2706" s="612">
        <f t="shared" si="649"/>
        <v>179.1</v>
      </c>
      <c r="K2706" s="612">
        <f t="shared" si="650"/>
        <v>358.2</v>
      </c>
      <c r="L2706" s="614">
        <v>2.4060000000000001</v>
      </c>
      <c r="M2706" s="612">
        <f t="shared" si="651"/>
        <v>430.91460000000001</v>
      </c>
      <c r="N2706" s="612">
        <f t="shared" si="652"/>
        <v>861.82920000000001</v>
      </c>
      <c r="O2706" s="612">
        <f t="shared" si="653"/>
        <v>17457.4548</v>
      </c>
    </row>
    <row r="2707" spans="1:15">
      <c r="B2707" s="583">
        <v>46019</v>
      </c>
      <c r="C2707" s="230" t="s">
        <v>2394</v>
      </c>
      <c r="D2707" s="230" t="s">
        <v>2398</v>
      </c>
      <c r="E2707" s="230" t="s">
        <v>465</v>
      </c>
      <c r="F2707" s="230">
        <v>3</v>
      </c>
      <c r="G2707" s="670">
        <v>109</v>
      </c>
      <c r="H2707" s="614">
        <v>10</v>
      </c>
      <c r="I2707" s="614">
        <f t="shared" si="648"/>
        <v>10.9</v>
      </c>
      <c r="J2707" s="612">
        <f t="shared" si="649"/>
        <v>98.1</v>
      </c>
      <c r="K2707" s="612">
        <f t="shared" si="650"/>
        <v>294.29999999999995</v>
      </c>
      <c r="L2707" s="614">
        <v>2.4060000000000001</v>
      </c>
      <c r="M2707" s="612">
        <f t="shared" si="651"/>
        <v>236.02860000000001</v>
      </c>
      <c r="N2707" s="612">
        <f t="shared" si="652"/>
        <v>708.08580000000006</v>
      </c>
      <c r="O2707" s="612">
        <f t="shared" si="653"/>
        <v>18165.5406</v>
      </c>
    </row>
    <row r="2708" spans="1:15">
      <c r="B2708" s="583">
        <v>46019</v>
      </c>
      <c r="C2708" s="230" t="s">
        <v>2395</v>
      </c>
      <c r="D2708" s="230" t="s">
        <v>2398</v>
      </c>
      <c r="E2708" s="230" t="s">
        <v>465</v>
      </c>
      <c r="F2708" s="230">
        <v>3</v>
      </c>
      <c r="G2708" s="670">
        <v>189</v>
      </c>
      <c r="H2708" s="614">
        <v>10</v>
      </c>
      <c r="I2708" s="614">
        <f t="shared" si="648"/>
        <v>18.900000000000002</v>
      </c>
      <c r="J2708" s="612">
        <f t="shared" si="649"/>
        <v>170.1</v>
      </c>
      <c r="K2708" s="612">
        <f t="shared" si="650"/>
        <v>510.29999999999995</v>
      </c>
      <c r="L2708" s="614">
        <v>2.4060000000000001</v>
      </c>
      <c r="M2708" s="612">
        <f t="shared" si="651"/>
        <v>409.26060000000001</v>
      </c>
      <c r="N2708" s="612">
        <f t="shared" si="652"/>
        <v>1227.7818</v>
      </c>
      <c r="O2708" s="612">
        <f t="shared" si="653"/>
        <v>19393.322400000001</v>
      </c>
    </row>
    <row r="2709" spans="1:15">
      <c r="B2709" s="585">
        <v>46019</v>
      </c>
      <c r="C2709" s="110" t="s">
        <v>2396</v>
      </c>
      <c r="D2709" s="110" t="s">
        <v>2398</v>
      </c>
      <c r="E2709" s="110" t="s">
        <v>470</v>
      </c>
      <c r="F2709" s="110">
        <v>2</v>
      </c>
      <c r="G2709" s="669">
        <v>488</v>
      </c>
      <c r="H2709" s="614">
        <v>10</v>
      </c>
      <c r="I2709" s="614">
        <f t="shared" si="648"/>
        <v>48.800000000000004</v>
      </c>
      <c r="J2709" s="612">
        <f t="shared" si="649"/>
        <v>439.2</v>
      </c>
      <c r="K2709" s="612">
        <f t="shared" si="650"/>
        <v>878.4</v>
      </c>
      <c r="L2709" s="614">
        <v>2.4060000000000001</v>
      </c>
      <c r="M2709" s="612">
        <f t="shared" si="651"/>
        <v>1056.7152000000001</v>
      </c>
      <c r="N2709" s="612">
        <f t="shared" si="652"/>
        <v>2113.4304000000002</v>
      </c>
      <c r="O2709" s="612">
        <f t="shared" si="653"/>
        <v>21506.752800000002</v>
      </c>
    </row>
    <row r="2710" spans="1:15">
      <c r="B2710" s="583">
        <v>46019</v>
      </c>
      <c r="C2710" s="230" t="s">
        <v>2359</v>
      </c>
      <c r="D2710" s="230" t="s">
        <v>2399</v>
      </c>
      <c r="E2710" s="230" t="s">
        <v>465</v>
      </c>
      <c r="F2710" s="230">
        <v>2</v>
      </c>
      <c r="G2710" s="670">
        <v>629</v>
      </c>
      <c r="H2710" s="614">
        <v>10</v>
      </c>
      <c r="I2710" s="614">
        <f t="shared" si="648"/>
        <v>62.900000000000006</v>
      </c>
      <c r="J2710" s="612">
        <f t="shared" si="649"/>
        <v>566.1</v>
      </c>
      <c r="K2710" s="612">
        <f t="shared" si="650"/>
        <v>1132.2</v>
      </c>
      <c r="L2710" s="614">
        <v>2.4060000000000001</v>
      </c>
      <c r="M2710" s="612">
        <f t="shared" si="651"/>
        <v>1362.0366000000001</v>
      </c>
      <c r="N2710" s="612">
        <f t="shared" si="652"/>
        <v>2724.0732000000003</v>
      </c>
      <c r="O2710" s="612">
        <f t="shared" si="653"/>
        <v>24230.826000000001</v>
      </c>
    </row>
    <row r="2711" spans="1:15">
      <c r="B2711" s="585">
        <v>46019</v>
      </c>
      <c r="C2711" s="110" t="s">
        <v>2397</v>
      </c>
      <c r="D2711" s="110" t="s">
        <v>2399</v>
      </c>
      <c r="E2711" s="110" t="s">
        <v>2400</v>
      </c>
      <c r="F2711" s="110">
        <v>2</v>
      </c>
      <c r="G2711" s="669">
        <v>2599</v>
      </c>
      <c r="H2711" s="614">
        <v>10</v>
      </c>
      <c r="I2711" s="614">
        <f t="shared" si="648"/>
        <v>259.90000000000003</v>
      </c>
      <c r="J2711" s="612">
        <f t="shared" si="649"/>
        <v>2339.1</v>
      </c>
      <c r="K2711" s="612">
        <f t="shared" si="650"/>
        <v>4678.2</v>
      </c>
      <c r="L2711" s="614">
        <v>2.4060000000000001</v>
      </c>
      <c r="M2711" s="612">
        <f t="shared" si="651"/>
        <v>5627.8746000000001</v>
      </c>
      <c r="N2711" s="612">
        <f t="shared" si="652"/>
        <v>11255.7492</v>
      </c>
      <c r="O2711" s="612">
        <f t="shared" si="653"/>
        <v>35486.575199999999</v>
      </c>
    </row>
    <row r="2712" spans="1:15">
      <c r="B2712" s="614"/>
      <c r="C2712" s="614"/>
      <c r="D2712" s="614"/>
      <c r="E2712" s="614"/>
      <c r="F2712" s="614"/>
      <c r="G2712" s="614"/>
      <c r="H2712" s="614"/>
      <c r="I2712" s="614">
        <f>G2712*H2712%</f>
        <v>0</v>
      </c>
      <c r="J2712" s="612">
        <f>G2712-I2712</f>
        <v>0</v>
      </c>
      <c r="K2712" s="612">
        <f>F2712*J2712</f>
        <v>0</v>
      </c>
      <c r="L2712" s="612"/>
      <c r="M2712" s="612">
        <f>J2712*L2712</f>
        <v>0</v>
      </c>
      <c r="N2712" s="612">
        <f>F2712*M2712</f>
        <v>0</v>
      </c>
      <c r="O2712" s="612">
        <f>O2711+N2712</f>
        <v>35486.575199999999</v>
      </c>
    </row>
    <row r="2713" spans="1:15">
      <c r="B2713" s="614"/>
      <c r="C2713" s="614"/>
      <c r="D2713" s="614"/>
      <c r="E2713" s="614"/>
      <c r="F2713" s="614"/>
      <c r="G2713" s="614"/>
      <c r="H2713" s="614"/>
      <c r="I2713" s="614">
        <f>G2713*H2713%</f>
        <v>0</v>
      </c>
      <c r="J2713" s="612">
        <f>G2713-I2713</f>
        <v>0</v>
      </c>
      <c r="K2713" s="612">
        <f>F2713*J2713</f>
        <v>0</v>
      </c>
      <c r="L2713" s="612"/>
      <c r="M2713" s="612">
        <f>J2713*L2713</f>
        <v>0</v>
      </c>
      <c r="N2713" s="612">
        <f>F2713*M2713</f>
        <v>0</v>
      </c>
      <c r="O2713" s="612">
        <f>O2712+N2713</f>
        <v>35486.575199999999</v>
      </c>
    </row>
    <row r="2717" spans="1:15" ht="21">
      <c r="A2717" s="611" t="s">
        <v>125</v>
      </c>
      <c r="B2717" s="1520" t="s">
        <v>20</v>
      </c>
      <c r="C2717" s="1520"/>
      <c r="D2717" s="1520"/>
      <c r="E2717" s="1520"/>
      <c r="F2717" s="1520"/>
      <c r="G2717" s="1520"/>
      <c r="H2717" s="1520"/>
      <c r="I2717" s="1520"/>
      <c r="J2717" s="1520"/>
    </row>
    <row r="2718" spans="1:15" ht="18.75">
      <c r="A2718" s="611" t="s">
        <v>212</v>
      </c>
      <c r="B2718" s="4" t="s">
        <v>1</v>
      </c>
      <c r="C2718" s="4" t="s">
        <v>2</v>
      </c>
      <c r="D2718" s="4" t="s">
        <v>3</v>
      </c>
      <c r="E2718" s="4" t="s">
        <v>4</v>
      </c>
      <c r="F2718" s="4" t="s">
        <v>36</v>
      </c>
      <c r="G2718" s="4" t="s">
        <v>5</v>
      </c>
      <c r="H2718" s="4" t="s">
        <v>6</v>
      </c>
      <c r="I2718" s="4" t="s">
        <v>7</v>
      </c>
      <c r="J2718" s="4"/>
    </row>
    <row r="2719" spans="1:15">
      <c r="B2719" s="583">
        <v>46387</v>
      </c>
      <c r="C2719" s="230" t="s">
        <v>2411</v>
      </c>
      <c r="D2719" s="230">
        <v>8</v>
      </c>
      <c r="E2719" s="636">
        <v>398</v>
      </c>
      <c r="F2719" s="671">
        <f>E2719*D2719</f>
        <v>3184</v>
      </c>
      <c r="G2719" s="614">
        <v>2.4060000000000001</v>
      </c>
      <c r="H2719" s="614">
        <f>E2719*G2719</f>
        <v>957.58800000000008</v>
      </c>
      <c r="I2719" s="614">
        <f>H2719*D2719</f>
        <v>7660.7040000000006</v>
      </c>
      <c r="J2719" s="612">
        <f>J2718+I2719</f>
        <v>7660.7040000000006</v>
      </c>
    </row>
    <row r="2720" spans="1:15">
      <c r="B2720" s="583">
        <v>46387</v>
      </c>
      <c r="C2720" s="230" t="s">
        <v>2412</v>
      </c>
      <c r="D2720" s="230">
        <v>2</v>
      </c>
      <c r="E2720" s="636">
        <v>477</v>
      </c>
      <c r="F2720" s="671">
        <f>E2720*D2720</f>
        <v>954</v>
      </c>
      <c r="G2720" s="614">
        <v>2.4060000000000001</v>
      </c>
      <c r="H2720" s="614">
        <f>E2720*G2720</f>
        <v>1147.662</v>
      </c>
      <c r="I2720" s="614">
        <f>H2720*D2720</f>
        <v>2295.3240000000001</v>
      </c>
      <c r="J2720" s="612">
        <f>J2719+I2720</f>
        <v>9956.0280000000002</v>
      </c>
    </row>
    <row r="2721" spans="1:15">
      <c r="B2721" s="594">
        <v>46387</v>
      </c>
      <c r="C2721" s="296" t="s">
        <v>2415</v>
      </c>
      <c r="D2721" s="672">
        <v>1</v>
      </c>
      <c r="E2721" s="637">
        <v>850</v>
      </c>
      <c r="F2721" s="596">
        <f>E2721*D2721</f>
        <v>850</v>
      </c>
      <c r="G2721" s="596">
        <v>2.4060000000000001</v>
      </c>
      <c r="H2721" s="596">
        <f>E2721*G2721</f>
        <v>2045.1000000000001</v>
      </c>
      <c r="I2721" s="596">
        <f>H2721*D2721</f>
        <v>2045.1000000000001</v>
      </c>
      <c r="J2721" s="296">
        <f>J2720+I2721</f>
        <v>12001.128000000001</v>
      </c>
    </row>
    <row r="2726" spans="1:15" ht="21">
      <c r="A2726" s="611" t="s">
        <v>125</v>
      </c>
      <c r="B2726" s="1521" t="s">
        <v>20</v>
      </c>
      <c r="C2726" s="1521"/>
      <c r="D2726" s="1521"/>
      <c r="E2726" s="1521"/>
      <c r="F2726" s="1521"/>
      <c r="G2726" s="1521"/>
      <c r="H2726" s="1521"/>
      <c r="I2726" s="1521"/>
      <c r="J2726" s="1521"/>
      <c r="K2726" s="1521"/>
      <c r="L2726" s="1521"/>
      <c r="M2726" s="1521"/>
      <c r="N2726" s="1521"/>
      <c r="O2726" s="1521"/>
    </row>
    <row r="2727" spans="1:15" ht="18.75">
      <c r="A2727" s="611" t="s">
        <v>212</v>
      </c>
      <c r="B2727" s="226" t="s">
        <v>1</v>
      </c>
      <c r="C2727" s="226" t="s">
        <v>2</v>
      </c>
      <c r="D2727" s="226" t="s">
        <v>444</v>
      </c>
      <c r="E2727" s="226" t="s">
        <v>33</v>
      </c>
      <c r="F2727" s="226" t="s">
        <v>3</v>
      </c>
      <c r="G2727" s="226" t="s">
        <v>445</v>
      </c>
      <c r="H2727" s="226" t="s">
        <v>451</v>
      </c>
      <c r="I2727" s="226" t="s">
        <v>446</v>
      </c>
      <c r="J2727" s="226" t="s">
        <v>447</v>
      </c>
      <c r="K2727" s="226" t="s">
        <v>448</v>
      </c>
      <c r="L2727" s="226" t="s">
        <v>449</v>
      </c>
      <c r="M2727" s="226" t="s">
        <v>450</v>
      </c>
      <c r="N2727" s="226" t="s">
        <v>7</v>
      </c>
      <c r="O2727" s="29"/>
    </row>
    <row r="2728" spans="1:15">
      <c r="B2728" s="583">
        <v>46384</v>
      </c>
      <c r="C2728" s="230" t="s">
        <v>2359</v>
      </c>
      <c r="D2728" s="230" t="s">
        <v>2413</v>
      </c>
      <c r="E2728" s="230" t="s">
        <v>2414</v>
      </c>
      <c r="F2728" s="230">
        <v>1</v>
      </c>
      <c r="G2728" s="636">
        <v>628</v>
      </c>
      <c r="H2728" s="614">
        <v>10</v>
      </c>
      <c r="I2728" s="614">
        <f>G2728*H2728%</f>
        <v>62.800000000000004</v>
      </c>
      <c r="J2728" s="612">
        <f>G2728-I2728</f>
        <v>565.20000000000005</v>
      </c>
      <c r="K2728" s="612">
        <f>F2728*J2728</f>
        <v>565.20000000000005</v>
      </c>
      <c r="L2728" s="614">
        <v>2.4060000000000001</v>
      </c>
      <c r="M2728" s="612">
        <f>J2728*L2728</f>
        <v>1359.8712000000003</v>
      </c>
      <c r="N2728" s="612">
        <f>F2728*M2728</f>
        <v>1359.8712000000003</v>
      </c>
      <c r="O2728" s="612">
        <f>O2727+N2728</f>
        <v>1359.8712000000003</v>
      </c>
    </row>
    <row r="2729" spans="1:15">
      <c r="B2729" s="583">
        <v>46384</v>
      </c>
      <c r="C2729" s="230" t="s">
        <v>2410</v>
      </c>
      <c r="D2729" s="230" t="s">
        <v>2413</v>
      </c>
      <c r="E2729" s="230" t="s">
        <v>2414</v>
      </c>
      <c r="F2729" s="230">
        <v>3</v>
      </c>
      <c r="G2729" s="636">
        <v>328</v>
      </c>
      <c r="H2729" s="614">
        <v>10</v>
      </c>
      <c r="I2729" s="614">
        <f>G2729*H2729%</f>
        <v>32.800000000000004</v>
      </c>
      <c r="J2729" s="612">
        <f>G2729-I2729</f>
        <v>295.2</v>
      </c>
      <c r="K2729" s="612">
        <f>F2729*J2729</f>
        <v>885.59999999999991</v>
      </c>
      <c r="L2729" s="614">
        <v>2.4060000000000001</v>
      </c>
      <c r="M2729" s="612">
        <f>J2729*L2729</f>
        <v>710.25120000000004</v>
      </c>
      <c r="N2729" s="612">
        <f>F2729*M2729</f>
        <v>2130.7536</v>
      </c>
      <c r="O2729" s="612">
        <f>O2728+N2729</f>
        <v>3490.6248000000005</v>
      </c>
    </row>
    <row r="2730" spans="1:15">
      <c r="B2730" s="614"/>
      <c r="C2730" s="614"/>
      <c r="D2730" s="614"/>
      <c r="E2730" s="614"/>
      <c r="F2730" s="614"/>
      <c r="G2730" s="614"/>
      <c r="H2730" s="614"/>
      <c r="I2730" s="614">
        <f>G2730*H2730%</f>
        <v>0</v>
      </c>
      <c r="J2730" s="612">
        <f>G2730-I2730</f>
        <v>0</v>
      </c>
      <c r="K2730" s="612">
        <f>F2730*J2730</f>
        <v>0</v>
      </c>
      <c r="L2730" s="612"/>
      <c r="M2730" s="612">
        <f>J2730*L2730</f>
        <v>0</v>
      </c>
      <c r="N2730" s="612">
        <f>F2730*M2730</f>
        <v>0</v>
      </c>
      <c r="O2730" s="612">
        <f>O2729+N2730</f>
        <v>3490.6248000000005</v>
      </c>
    </row>
    <row r="2734" spans="1:15" ht="21">
      <c r="A2734" s="611" t="s">
        <v>125</v>
      </c>
      <c r="B2734" s="1520" t="s">
        <v>20</v>
      </c>
      <c r="C2734" s="1520"/>
      <c r="D2734" s="1520"/>
      <c r="E2734" s="1520"/>
      <c r="F2734" s="1520"/>
      <c r="G2734" s="1520"/>
      <c r="H2734" s="1520"/>
      <c r="I2734" s="1520"/>
      <c r="J2734" s="1520"/>
    </row>
    <row r="2735" spans="1:15" ht="18.75">
      <c r="A2735" s="611" t="s">
        <v>212</v>
      </c>
      <c r="B2735" s="4" t="s">
        <v>1</v>
      </c>
      <c r="C2735" s="4" t="s">
        <v>2</v>
      </c>
      <c r="D2735" s="4" t="s">
        <v>3</v>
      </c>
      <c r="E2735" s="4" t="s">
        <v>4</v>
      </c>
      <c r="F2735" s="4" t="s">
        <v>36</v>
      </c>
      <c r="G2735" s="4" t="s">
        <v>5</v>
      </c>
      <c r="H2735" s="4" t="s">
        <v>6</v>
      </c>
      <c r="I2735" s="4" t="s">
        <v>7</v>
      </c>
      <c r="J2735" s="4"/>
    </row>
    <row r="2736" spans="1:15">
      <c r="B2736" s="616">
        <v>46026</v>
      </c>
      <c r="C2736" s="612" t="s">
        <v>2650</v>
      </c>
      <c r="D2736" s="612">
        <v>2</v>
      </c>
      <c r="E2736" s="621">
        <v>2010</v>
      </c>
      <c r="F2736" s="614">
        <f>E2736*D2736</f>
        <v>4020</v>
      </c>
      <c r="G2736" s="614">
        <v>2.4285000000000001</v>
      </c>
      <c r="H2736" s="614">
        <f>E2736*G2736</f>
        <v>4881.2849999999999</v>
      </c>
      <c r="I2736" s="614">
        <f>H2736*D2736</f>
        <v>9762.57</v>
      </c>
      <c r="J2736" s="612">
        <f>J2735+I2736</f>
        <v>9762.57</v>
      </c>
    </row>
    <row r="2737" spans="1:10">
      <c r="B2737" s="616">
        <v>46026</v>
      </c>
      <c r="C2737" s="612" t="s">
        <v>2651</v>
      </c>
      <c r="D2737" s="612">
        <v>2</v>
      </c>
      <c r="E2737" s="621">
        <v>2010</v>
      </c>
      <c r="F2737" s="614">
        <f t="shared" ref="F2737:F2744" si="654">E2737*D2737</f>
        <v>4020</v>
      </c>
      <c r="G2737" s="614">
        <v>2.4285000000000001</v>
      </c>
      <c r="H2737" s="614">
        <f t="shared" ref="H2737:H2744" si="655">E2737*G2737</f>
        <v>4881.2849999999999</v>
      </c>
      <c r="I2737" s="614">
        <f t="shared" ref="I2737:I2744" si="656">H2737*D2737</f>
        <v>9762.57</v>
      </c>
      <c r="J2737" s="612">
        <f t="shared" ref="J2737:J2744" si="657">J2736+I2737</f>
        <v>19525.14</v>
      </c>
    </row>
    <row r="2738" spans="1:10">
      <c r="B2738" s="594">
        <v>46024</v>
      </c>
      <c r="C2738" s="296" t="s">
        <v>2656</v>
      </c>
      <c r="D2738" s="296">
        <v>1</v>
      </c>
      <c r="E2738" s="637">
        <v>104</v>
      </c>
      <c r="F2738" s="596">
        <f t="shared" si="654"/>
        <v>104</v>
      </c>
      <c r="G2738" s="596">
        <v>2.4285000000000001</v>
      </c>
      <c r="H2738" s="596">
        <f t="shared" si="655"/>
        <v>252.56400000000002</v>
      </c>
      <c r="I2738" s="596">
        <f t="shared" si="656"/>
        <v>252.56400000000002</v>
      </c>
      <c r="J2738" s="296">
        <f t="shared" si="657"/>
        <v>19777.703999999998</v>
      </c>
    </row>
    <row r="2739" spans="1:10">
      <c r="B2739" s="616">
        <v>46025</v>
      </c>
      <c r="C2739" s="612" t="s">
        <v>2652</v>
      </c>
      <c r="D2739" s="612">
        <v>2</v>
      </c>
      <c r="E2739" s="621">
        <v>398</v>
      </c>
      <c r="F2739" s="614">
        <f t="shared" si="654"/>
        <v>796</v>
      </c>
      <c r="G2739" s="614">
        <v>2.4285000000000001</v>
      </c>
      <c r="H2739" s="614">
        <f t="shared" si="655"/>
        <v>966.54300000000001</v>
      </c>
      <c r="I2739" s="614">
        <f t="shared" si="656"/>
        <v>1933.086</v>
      </c>
      <c r="J2739" s="612">
        <f t="shared" si="657"/>
        <v>21710.789999999997</v>
      </c>
    </row>
    <row r="2740" spans="1:10">
      <c r="B2740" s="616">
        <v>46025</v>
      </c>
      <c r="C2740" s="612" t="s">
        <v>2653</v>
      </c>
      <c r="D2740" s="612">
        <v>8</v>
      </c>
      <c r="E2740" s="621">
        <v>629</v>
      </c>
      <c r="F2740" s="614">
        <f t="shared" si="654"/>
        <v>5032</v>
      </c>
      <c r="G2740" s="614">
        <v>2.4285000000000001</v>
      </c>
      <c r="H2740" s="614">
        <f t="shared" si="655"/>
        <v>1527.5265000000002</v>
      </c>
      <c r="I2740" s="614">
        <f t="shared" si="656"/>
        <v>12220.212000000001</v>
      </c>
      <c r="J2740" s="612">
        <f t="shared" si="657"/>
        <v>33931.002</v>
      </c>
    </row>
    <row r="2741" spans="1:10">
      <c r="B2741" s="616">
        <v>46025</v>
      </c>
      <c r="C2741" s="612" t="s">
        <v>2653</v>
      </c>
      <c r="D2741" s="612">
        <v>2</v>
      </c>
      <c r="E2741" s="621">
        <v>629</v>
      </c>
      <c r="F2741" s="614">
        <f t="shared" si="654"/>
        <v>1258</v>
      </c>
      <c r="G2741" s="614">
        <v>2.4285000000000001</v>
      </c>
      <c r="H2741" s="614">
        <f t="shared" si="655"/>
        <v>1527.5265000000002</v>
      </c>
      <c r="I2741" s="614">
        <f t="shared" si="656"/>
        <v>3055.0530000000003</v>
      </c>
      <c r="J2741" s="612">
        <f t="shared" si="657"/>
        <v>36986.055</v>
      </c>
    </row>
    <row r="2742" spans="1:10">
      <c r="B2742" s="616">
        <v>46025</v>
      </c>
      <c r="C2742" s="612" t="s">
        <v>2654</v>
      </c>
      <c r="D2742" s="612">
        <v>4</v>
      </c>
      <c r="E2742" s="621">
        <v>477</v>
      </c>
      <c r="F2742" s="614">
        <f t="shared" si="654"/>
        <v>1908</v>
      </c>
      <c r="G2742" s="614">
        <v>2.4285000000000001</v>
      </c>
      <c r="H2742" s="614">
        <f t="shared" si="655"/>
        <v>1158.3945000000001</v>
      </c>
      <c r="I2742" s="614">
        <f t="shared" si="656"/>
        <v>4633.5780000000004</v>
      </c>
      <c r="J2742" s="612">
        <f t="shared" si="657"/>
        <v>41619.633000000002</v>
      </c>
    </row>
    <row r="2743" spans="1:10">
      <c r="B2743" s="616">
        <v>46025</v>
      </c>
      <c r="C2743" s="612" t="s">
        <v>2657</v>
      </c>
      <c r="D2743" s="612">
        <v>2</v>
      </c>
      <c r="E2743" s="621">
        <v>629</v>
      </c>
      <c r="F2743" s="614">
        <f t="shared" si="654"/>
        <v>1258</v>
      </c>
      <c r="G2743" s="614">
        <v>2.4285000000000001</v>
      </c>
      <c r="H2743" s="614">
        <f t="shared" si="655"/>
        <v>1527.5265000000002</v>
      </c>
      <c r="I2743" s="614">
        <f t="shared" si="656"/>
        <v>3055.0530000000003</v>
      </c>
      <c r="J2743" s="612">
        <f t="shared" si="657"/>
        <v>44674.686000000002</v>
      </c>
    </row>
    <row r="2744" spans="1:10">
      <c r="B2744" s="594">
        <v>46027</v>
      </c>
      <c r="C2744" s="296" t="s">
        <v>2655</v>
      </c>
      <c r="D2744" s="296">
        <v>1</v>
      </c>
      <c r="E2744" s="637">
        <v>510</v>
      </c>
      <c r="F2744" s="596">
        <f t="shared" si="654"/>
        <v>510</v>
      </c>
      <c r="G2744" s="596">
        <v>2.4285000000000001</v>
      </c>
      <c r="H2744" s="596">
        <f t="shared" si="655"/>
        <v>1238.5350000000001</v>
      </c>
      <c r="I2744" s="596">
        <f t="shared" si="656"/>
        <v>1238.5350000000001</v>
      </c>
      <c r="J2744" s="296">
        <f t="shared" si="657"/>
        <v>45913.221000000005</v>
      </c>
    </row>
    <row r="2745" spans="1:10">
      <c r="B2745" s="614"/>
      <c r="C2745" s="614"/>
      <c r="D2745" s="614"/>
      <c r="E2745" s="614"/>
      <c r="F2745" s="614">
        <f>E2745*D2745</f>
        <v>0</v>
      </c>
      <c r="G2745" s="614"/>
      <c r="H2745" s="614">
        <f>E2745*G2745</f>
        <v>0</v>
      </c>
      <c r="I2745" s="614">
        <f>H2745*D2745</f>
        <v>0</v>
      </c>
      <c r="J2745" s="612">
        <f>J2744+I2745</f>
        <v>45913.221000000005</v>
      </c>
    </row>
    <row r="2749" spans="1:10" ht="21">
      <c r="A2749" s="611" t="s">
        <v>125</v>
      </c>
      <c r="B2749" s="1520" t="s">
        <v>20</v>
      </c>
      <c r="C2749" s="1520"/>
      <c r="D2749" s="1520"/>
      <c r="E2749" s="1520"/>
      <c r="F2749" s="1520"/>
      <c r="G2749" s="1520"/>
      <c r="H2749" s="1520"/>
      <c r="I2749" s="1520"/>
      <c r="J2749" s="1520"/>
    </row>
    <row r="2750" spans="1:10" ht="18.75">
      <c r="A2750" s="611" t="s">
        <v>212</v>
      </c>
      <c r="B2750" s="4" t="s">
        <v>1</v>
      </c>
      <c r="C2750" s="4" t="s">
        <v>2</v>
      </c>
      <c r="D2750" s="4" t="s">
        <v>3</v>
      </c>
      <c r="E2750" s="4" t="s">
        <v>4</v>
      </c>
      <c r="F2750" s="4" t="s">
        <v>36</v>
      </c>
      <c r="G2750" s="4" t="s">
        <v>5</v>
      </c>
      <c r="H2750" s="4" t="s">
        <v>6</v>
      </c>
      <c r="I2750" s="4" t="s">
        <v>7</v>
      </c>
      <c r="J2750" s="4"/>
    </row>
    <row r="2751" spans="1:10">
      <c r="B2751" s="616">
        <v>46028</v>
      </c>
      <c r="C2751" s="612" t="s">
        <v>2651</v>
      </c>
      <c r="D2751" s="614">
        <v>2</v>
      </c>
      <c r="E2751" s="621">
        <v>2010</v>
      </c>
      <c r="F2751" s="614">
        <f>E2751*D2751</f>
        <v>4020</v>
      </c>
      <c r="G2751" s="614">
        <v>2.4285000000000001</v>
      </c>
      <c r="H2751" s="614">
        <f>E2751*G2751</f>
        <v>4881.2849999999999</v>
      </c>
      <c r="I2751" s="614">
        <f>H2751*D2751</f>
        <v>9762.57</v>
      </c>
      <c r="J2751" s="612">
        <f>J2750+I2751</f>
        <v>9762.57</v>
      </c>
    </row>
    <row r="2752" spans="1:10">
      <c r="B2752" s="616">
        <v>46028</v>
      </c>
      <c r="C2752" s="612" t="s">
        <v>2658</v>
      </c>
      <c r="D2752" s="614">
        <v>2</v>
      </c>
      <c r="E2752" s="621">
        <v>2010</v>
      </c>
      <c r="F2752" s="614">
        <f t="shared" ref="F2752:F2759" si="658">E2752*D2752</f>
        <v>4020</v>
      </c>
      <c r="G2752" s="614">
        <v>2.4285000000000001</v>
      </c>
      <c r="H2752" s="614">
        <f t="shared" ref="H2752:H2759" si="659">E2752*G2752</f>
        <v>4881.2849999999999</v>
      </c>
      <c r="I2752" s="614">
        <f t="shared" ref="I2752:I2759" si="660">H2752*D2752</f>
        <v>9762.57</v>
      </c>
      <c r="J2752" s="612">
        <f t="shared" ref="J2752:J2759" si="661">J2751+I2752</f>
        <v>19525.14</v>
      </c>
    </row>
    <row r="2753" spans="1:10">
      <c r="B2753" s="616">
        <v>46028</v>
      </c>
      <c r="C2753" s="612" t="s">
        <v>2658</v>
      </c>
      <c r="D2753" s="614">
        <v>2</v>
      </c>
      <c r="E2753" s="621">
        <v>2010</v>
      </c>
      <c r="F2753" s="614">
        <f t="shared" si="658"/>
        <v>4020</v>
      </c>
      <c r="G2753" s="614">
        <v>2.4285000000000001</v>
      </c>
      <c r="H2753" s="614">
        <f t="shared" si="659"/>
        <v>4881.2849999999999</v>
      </c>
      <c r="I2753" s="614">
        <f t="shared" si="660"/>
        <v>9762.57</v>
      </c>
      <c r="J2753" s="612">
        <f t="shared" si="661"/>
        <v>29287.71</v>
      </c>
    </row>
    <row r="2754" spans="1:10">
      <c r="B2754" s="616">
        <v>46028</v>
      </c>
      <c r="C2754" s="612" t="s">
        <v>2659</v>
      </c>
      <c r="D2754" s="614">
        <v>2</v>
      </c>
      <c r="E2754" s="621">
        <v>2010</v>
      </c>
      <c r="F2754" s="614">
        <f t="shared" si="658"/>
        <v>4020</v>
      </c>
      <c r="G2754" s="614">
        <v>2.4285000000000001</v>
      </c>
      <c r="H2754" s="614">
        <f t="shared" si="659"/>
        <v>4881.2849999999999</v>
      </c>
      <c r="I2754" s="614">
        <f t="shared" si="660"/>
        <v>9762.57</v>
      </c>
      <c r="J2754" s="612">
        <f t="shared" si="661"/>
        <v>39050.28</v>
      </c>
    </row>
    <row r="2755" spans="1:10">
      <c r="B2755" s="585">
        <v>46028</v>
      </c>
      <c r="C2755" s="110" t="s">
        <v>2660</v>
      </c>
      <c r="D2755" s="127">
        <v>1</v>
      </c>
      <c r="E2755" s="623">
        <v>2010</v>
      </c>
      <c r="F2755" s="614">
        <f t="shared" si="658"/>
        <v>2010</v>
      </c>
      <c r="G2755" s="614">
        <v>2.4285000000000001</v>
      </c>
      <c r="H2755" s="614">
        <f t="shared" si="659"/>
        <v>4881.2849999999999</v>
      </c>
      <c r="I2755" s="614">
        <f t="shared" si="660"/>
        <v>4881.2849999999999</v>
      </c>
      <c r="J2755" s="612">
        <f t="shared" si="661"/>
        <v>43931.565000000002</v>
      </c>
    </row>
    <row r="2756" spans="1:10">
      <c r="B2756" s="585">
        <v>46031</v>
      </c>
      <c r="C2756" s="110" t="s">
        <v>2650</v>
      </c>
      <c r="D2756" s="127">
        <v>2</v>
      </c>
      <c r="E2756" s="623">
        <v>2010</v>
      </c>
      <c r="F2756" s="614">
        <f t="shared" si="658"/>
        <v>4020</v>
      </c>
      <c r="G2756" s="614">
        <v>2.4285000000000001</v>
      </c>
      <c r="H2756" s="614">
        <f t="shared" si="659"/>
        <v>4881.2849999999999</v>
      </c>
      <c r="I2756" s="614">
        <f t="shared" si="660"/>
        <v>9762.57</v>
      </c>
      <c r="J2756" s="612">
        <f t="shared" si="661"/>
        <v>53694.135000000002</v>
      </c>
    </row>
    <row r="2757" spans="1:10">
      <c r="B2757" s="585">
        <v>46031</v>
      </c>
      <c r="C2757" s="110" t="s">
        <v>2659</v>
      </c>
      <c r="D2757" s="127">
        <v>2</v>
      </c>
      <c r="E2757" s="623">
        <v>2010</v>
      </c>
      <c r="F2757" s="614">
        <f t="shared" si="658"/>
        <v>4020</v>
      </c>
      <c r="G2757" s="614">
        <v>2.4285000000000001</v>
      </c>
      <c r="H2757" s="614">
        <f t="shared" si="659"/>
        <v>4881.2849999999999</v>
      </c>
      <c r="I2757" s="614">
        <f t="shared" si="660"/>
        <v>9762.57</v>
      </c>
      <c r="J2757" s="612">
        <f t="shared" si="661"/>
        <v>63456.705000000002</v>
      </c>
    </row>
    <row r="2758" spans="1:10">
      <c r="B2758" s="585">
        <v>46031</v>
      </c>
      <c r="C2758" s="110" t="s">
        <v>2661</v>
      </c>
      <c r="D2758" s="127">
        <v>2</v>
      </c>
      <c r="E2758" s="623">
        <v>2010</v>
      </c>
      <c r="F2758" s="614">
        <f t="shared" si="658"/>
        <v>4020</v>
      </c>
      <c r="G2758" s="614">
        <v>2.4285000000000001</v>
      </c>
      <c r="H2758" s="614">
        <f t="shared" si="659"/>
        <v>4881.2849999999999</v>
      </c>
      <c r="I2758" s="614">
        <f t="shared" si="660"/>
        <v>9762.57</v>
      </c>
      <c r="J2758" s="612">
        <f t="shared" si="661"/>
        <v>73219.274999999994</v>
      </c>
    </row>
    <row r="2759" spans="1:10">
      <c r="B2759" s="585">
        <v>46031</v>
      </c>
      <c r="C2759" s="110" t="s">
        <v>2662</v>
      </c>
      <c r="D2759" s="127">
        <v>1</v>
      </c>
      <c r="E2759" s="623">
        <v>2010</v>
      </c>
      <c r="F2759" s="614">
        <f t="shared" si="658"/>
        <v>2010</v>
      </c>
      <c r="G2759" s="614">
        <v>2.4285000000000001</v>
      </c>
      <c r="H2759" s="614">
        <f t="shared" si="659"/>
        <v>4881.2849999999999</v>
      </c>
      <c r="I2759" s="614">
        <f t="shared" si="660"/>
        <v>4881.2849999999999</v>
      </c>
      <c r="J2759" s="612">
        <f t="shared" si="661"/>
        <v>78100.56</v>
      </c>
    </row>
    <row r="2760" spans="1:10">
      <c r="B2760" s="585">
        <v>46031</v>
      </c>
      <c r="C2760" s="110" t="s">
        <v>2663</v>
      </c>
      <c r="D2760" s="127">
        <v>2</v>
      </c>
      <c r="E2760" s="623">
        <v>2010</v>
      </c>
      <c r="F2760" s="614">
        <f>E2760*D2760</f>
        <v>4020</v>
      </c>
      <c r="G2760" s="614">
        <v>2.4285000000000001</v>
      </c>
      <c r="H2760" s="614">
        <f>E2760*G2760</f>
        <v>4881.2849999999999</v>
      </c>
      <c r="I2760" s="614">
        <f>H2760*D2760</f>
        <v>9762.57</v>
      </c>
      <c r="J2760" s="612">
        <f>J2759+I2760</f>
        <v>87863.13</v>
      </c>
    </row>
    <row r="2761" spans="1:10">
      <c r="B2761" s="594">
        <v>46029</v>
      </c>
      <c r="C2761" s="296" t="s">
        <v>2664</v>
      </c>
      <c r="D2761" s="596">
        <v>1</v>
      </c>
      <c r="E2761" s="715">
        <v>11423.05</v>
      </c>
      <c r="F2761" s="596">
        <f>E2761*D2761</f>
        <v>11423.05</v>
      </c>
      <c r="G2761" s="596">
        <v>2.4285000000000001</v>
      </c>
      <c r="H2761" s="596">
        <f>E2761*G2761</f>
        <v>27740.876925</v>
      </c>
      <c r="I2761" s="596">
        <f>H2761*D2761</f>
        <v>27740.876925</v>
      </c>
      <c r="J2761" s="296">
        <f>J2760+I2761</f>
        <v>115604.00692500001</v>
      </c>
    </row>
    <row r="2766" spans="1:10" ht="21">
      <c r="A2766" s="731" t="s">
        <v>125</v>
      </c>
      <c r="B2766" s="1520" t="s">
        <v>20</v>
      </c>
      <c r="C2766" s="1520"/>
      <c r="D2766" s="1520"/>
      <c r="E2766" s="1520"/>
      <c r="F2766" s="1520"/>
      <c r="G2766" s="1520"/>
      <c r="H2766" s="1520"/>
      <c r="I2766" s="1520"/>
      <c r="J2766" s="1520"/>
    </row>
    <row r="2767" spans="1:10" ht="18.75">
      <c r="A2767" s="731" t="s">
        <v>212</v>
      </c>
      <c r="B2767" s="4" t="s">
        <v>1</v>
      </c>
      <c r="C2767" s="4" t="s">
        <v>2</v>
      </c>
      <c r="D2767" s="4" t="s">
        <v>3</v>
      </c>
      <c r="E2767" s="4" t="s">
        <v>4</v>
      </c>
      <c r="F2767" s="4" t="s">
        <v>36</v>
      </c>
      <c r="G2767" s="4" t="s">
        <v>5</v>
      </c>
      <c r="H2767" s="4" t="s">
        <v>6</v>
      </c>
      <c r="I2767" s="4" t="s">
        <v>7</v>
      </c>
      <c r="J2767" s="4"/>
    </row>
    <row r="2768" spans="1:10">
      <c r="B2768" s="583">
        <v>46033</v>
      </c>
      <c r="C2768" s="230" t="s">
        <v>2764</v>
      </c>
      <c r="D2768" s="230">
        <v>7</v>
      </c>
      <c r="E2768" s="670">
        <v>2197</v>
      </c>
      <c r="F2768" s="745">
        <f>E2768*D2768</f>
        <v>15379</v>
      </c>
      <c r="G2768" s="735">
        <v>2.4285000000000001</v>
      </c>
      <c r="H2768" s="735">
        <f>E2768*G2768</f>
        <v>5335.4144999999999</v>
      </c>
      <c r="I2768" s="735">
        <f>H2768*D2768</f>
        <v>37347.9015</v>
      </c>
      <c r="J2768" s="732">
        <f>J2767+I2768</f>
        <v>37347.9015</v>
      </c>
    </row>
    <row r="2769" spans="1:10">
      <c r="B2769" s="583">
        <v>46036</v>
      </c>
      <c r="C2769" s="230" t="s">
        <v>2765</v>
      </c>
      <c r="D2769" s="230">
        <v>8</v>
      </c>
      <c r="E2769" s="636">
        <v>2490</v>
      </c>
      <c r="F2769" s="745">
        <f t="shared" ref="F2769:F2776" si="662">E2769*D2769</f>
        <v>19920</v>
      </c>
      <c r="G2769" s="735">
        <v>2.4285000000000001</v>
      </c>
      <c r="H2769" s="735">
        <f t="shared" ref="H2769:H2776" si="663">E2769*G2769</f>
        <v>6046.9650000000001</v>
      </c>
      <c r="I2769" s="735">
        <f t="shared" ref="I2769:I2776" si="664">H2769*D2769</f>
        <v>48375.72</v>
      </c>
      <c r="J2769" s="732">
        <f t="shared" ref="J2769:J2776" si="665">J2768+I2769</f>
        <v>85723.621500000008</v>
      </c>
    </row>
    <row r="2770" spans="1:10">
      <c r="B2770" s="583">
        <v>46036</v>
      </c>
      <c r="C2770" s="230" t="s">
        <v>2766</v>
      </c>
      <c r="D2770" s="230">
        <v>25</v>
      </c>
      <c r="E2770" s="636">
        <v>415</v>
      </c>
      <c r="F2770" s="745">
        <f t="shared" si="662"/>
        <v>10375</v>
      </c>
      <c r="G2770" s="735">
        <v>2.4285000000000001</v>
      </c>
      <c r="H2770" s="735">
        <f t="shared" si="663"/>
        <v>1007.8275</v>
      </c>
      <c r="I2770" s="735">
        <f t="shared" si="664"/>
        <v>25195.6875</v>
      </c>
      <c r="J2770" s="732">
        <f t="shared" si="665"/>
        <v>110919.30900000001</v>
      </c>
    </row>
    <row r="2771" spans="1:10">
      <c r="B2771" s="583">
        <v>46037</v>
      </c>
      <c r="C2771" s="230" t="s">
        <v>2763</v>
      </c>
      <c r="D2771" s="230">
        <v>3</v>
      </c>
      <c r="E2771" s="636">
        <v>2690</v>
      </c>
      <c r="F2771" s="745">
        <f t="shared" si="662"/>
        <v>8070</v>
      </c>
      <c r="G2771" s="735">
        <v>2.4285000000000001</v>
      </c>
      <c r="H2771" s="735">
        <f t="shared" si="663"/>
        <v>6532.665</v>
      </c>
      <c r="I2771" s="735">
        <f t="shared" si="664"/>
        <v>19597.994999999999</v>
      </c>
      <c r="J2771" s="732">
        <f t="shared" si="665"/>
        <v>130517.304</v>
      </c>
    </row>
    <row r="2772" spans="1:10">
      <c r="B2772" s="583">
        <v>46037</v>
      </c>
      <c r="C2772" s="230" t="s">
        <v>2762</v>
      </c>
      <c r="D2772" s="230">
        <v>3</v>
      </c>
      <c r="E2772" s="636">
        <v>259</v>
      </c>
      <c r="F2772" s="745">
        <f t="shared" si="662"/>
        <v>777</v>
      </c>
      <c r="G2772" s="735">
        <v>2.4285000000000001</v>
      </c>
      <c r="H2772" s="735">
        <f t="shared" si="663"/>
        <v>628.98149999999998</v>
      </c>
      <c r="I2772" s="735">
        <f t="shared" si="664"/>
        <v>1886.9445000000001</v>
      </c>
      <c r="J2772" s="732">
        <f t="shared" si="665"/>
        <v>132404.24850000002</v>
      </c>
    </row>
    <row r="2773" spans="1:10">
      <c r="B2773" s="583">
        <v>46037</v>
      </c>
      <c r="C2773" s="230" t="s">
        <v>2761</v>
      </c>
      <c r="D2773" s="230">
        <v>3</v>
      </c>
      <c r="E2773" s="636">
        <v>519</v>
      </c>
      <c r="F2773" s="745">
        <f t="shared" si="662"/>
        <v>1557</v>
      </c>
      <c r="G2773" s="735">
        <v>2.4285000000000001</v>
      </c>
      <c r="H2773" s="735">
        <f t="shared" si="663"/>
        <v>1260.3915</v>
      </c>
      <c r="I2773" s="735">
        <f t="shared" si="664"/>
        <v>3781.1745000000001</v>
      </c>
      <c r="J2773" s="732">
        <f t="shared" si="665"/>
        <v>136185.42300000001</v>
      </c>
    </row>
    <row r="2774" spans="1:10">
      <c r="B2774" s="583">
        <v>46037</v>
      </c>
      <c r="C2774" s="230" t="s">
        <v>2760</v>
      </c>
      <c r="D2774" s="230">
        <v>3</v>
      </c>
      <c r="E2774" s="636">
        <v>419</v>
      </c>
      <c r="F2774" s="745">
        <f t="shared" si="662"/>
        <v>1257</v>
      </c>
      <c r="G2774" s="735">
        <v>2.4285000000000001</v>
      </c>
      <c r="H2774" s="735">
        <f t="shared" si="663"/>
        <v>1017.5415</v>
      </c>
      <c r="I2774" s="735">
        <f t="shared" si="664"/>
        <v>3052.6244999999999</v>
      </c>
      <c r="J2774" s="732">
        <f t="shared" si="665"/>
        <v>139238.04750000002</v>
      </c>
    </row>
    <row r="2775" spans="1:10">
      <c r="B2775" s="594">
        <v>46037</v>
      </c>
      <c r="C2775" s="296" t="s">
        <v>2759</v>
      </c>
      <c r="D2775" s="296">
        <v>1</v>
      </c>
      <c r="E2775" s="637">
        <v>7980</v>
      </c>
      <c r="F2775" s="596">
        <f t="shared" si="662"/>
        <v>7980</v>
      </c>
      <c r="G2775" s="596">
        <v>2.4285000000000001</v>
      </c>
      <c r="H2775" s="596">
        <f t="shared" si="663"/>
        <v>19379.43</v>
      </c>
      <c r="I2775" s="596">
        <f t="shared" si="664"/>
        <v>19379.43</v>
      </c>
      <c r="J2775" s="296">
        <f t="shared" si="665"/>
        <v>158617.47750000001</v>
      </c>
    </row>
    <row r="2776" spans="1:10">
      <c r="B2776" s="735"/>
      <c r="C2776" s="735"/>
      <c r="D2776" s="735"/>
      <c r="E2776" s="735"/>
      <c r="F2776" s="735">
        <f t="shared" si="662"/>
        <v>0</v>
      </c>
      <c r="G2776" s="735"/>
      <c r="H2776" s="735">
        <f t="shared" si="663"/>
        <v>0</v>
      </c>
      <c r="I2776" s="735">
        <f t="shared" si="664"/>
        <v>0</v>
      </c>
      <c r="J2776" s="732">
        <f t="shared" si="665"/>
        <v>158617.47750000001</v>
      </c>
    </row>
    <row r="2781" spans="1:10" ht="21">
      <c r="A2781" s="731" t="s">
        <v>125</v>
      </c>
      <c r="B2781" s="1520" t="s">
        <v>35</v>
      </c>
      <c r="C2781" s="1520"/>
      <c r="D2781" s="1520"/>
      <c r="E2781" s="1520"/>
      <c r="F2781" s="1520"/>
      <c r="G2781" s="1520"/>
      <c r="H2781" s="1520"/>
      <c r="I2781" s="1520"/>
      <c r="J2781" s="1520"/>
    </row>
    <row r="2782" spans="1:10" ht="18.75">
      <c r="A2782" s="731" t="s">
        <v>212</v>
      </c>
      <c r="B2782" s="4" t="s">
        <v>1</v>
      </c>
      <c r="C2782" s="4" t="s">
        <v>2</v>
      </c>
      <c r="D2782" s="4" t="s">
        <v>3</v>
      </c>
      <c r="E2782" s="4" t="s">
        <v>4</v>
      </c>
      <c r="F2782" s="4" t="s">
        <v>36</v>
      </c>
      <c r="G2782" s="4" t="s">
        <v>5</v>
      </c>
      <c r="H2782" s="4" t="s">
        <v>6</v>
      </c>
      <c r="I2782" s="4" t="s">
        <v>7</v>
      </c>
      <c r="J2782" s="4"/>
    </row>
    <row r="2783" spans="1:10">
      <c r="B2783" s="737">
        <v>46034</v>
      </c>
      <c r="C2783" s="732" t="s">
        <v>2767</v>
      </c>
      <c r="D2783" s="732">
        <v>10</v>
      </c>
      <c r="E2783" s="732">
        <v>1449</v>
      </c>
      <c r="F2783" s="735">
        <f>E2783*D2783</f>
        <v>14490</v>
      </c>
      <c r="G2783" s="735">
        <v>2.12</v>
      </c>
      <c r="H2783" s="735">
        <f>E2783*G2783</f>
        <v>3071.88</v>
      </c>
      <c r="I2783" s="735">
        <f>H2783*D2783</f>
        <v>30718.800000000003</v>
      </c>
      <c r="J2783" s="732">
        <f>J2782+I2783</f>
        <v>30718.800000000003</v>
      </c>
    </row>
    <row r="2784" spans="1:10">
      <c r="B2784" s="594">
        <v>46035</v>
      </c>
      <c r="C2784" s="296" t="s">
        <v>2768</v>
      </c>
      <c r="D2784" s="296">
        <v>1</v>
      </c>
      <c r="E2784" s="296">
        <v>3408</v>
      </c>
      <c r="F2784" s="596">
        <f>E2784*D2784</f>
        <v>3408</v>
      </c>
      <c r="G2784" s="596">
        <v>2.12</v>
      </c>
      <c r="H2784" s="596">
        <f>E2784*G2784</f>
        <v>7224.96</v>
      </c>
      <c r="I2784" s="596">
        <f>H2784*D2784</f>
        <v>7224.96</v>
      </c>
      <c r="J2784" s="296">
        <f>J2783+I2784</f>
        <v>37943.760000000002</v>
      </c>
    </row>
    <row r="2785" spans="1:10">
      <c r="B2785" s="735"/>
      <c r="C2785" s="735"/>
      <c r="D2785" s="735"/>
      <c r="E2785" s="735"/>
      <c r="F2785" s="735">
        <f>E2785*D2785</f>
        <v>0</v>
      </c>
      <c r="G2785" s="735"/>
      <c r="H2785" s="735">
        <f>E2785*G2785</f>
        <v>0</v>
      </c>
      <c r="I2785" s="735">
        <f>H2785*D2785</f>
        <v>0</v>
      </c>
      <c r="J2785" s="732">
        <f>J2784+I2785</f>
        <v>37943.760000000002</v>
      </c>
    </row>
    <row r="2786" spans="1:10">
      <c r="B2786" s="735"/>
      <c r="C2786" s="735"/>
      <c r="D2786" s="735"/>
      <c r="E2786" s="735"/>
      <c r="F2786" s="735">
        <f>E2786*D2786</f>
        <v>0</v>
      </c>
      <c r="G2786" s="735"/>
      <c r="H2786" s="735">
        <f>E2786*G2786</f>
        <v>0</v>
      </c>
      <c r="I2786" s="735">
        <f>H2786*D2786</f>
        <v>0</v>
      </c>
      <c r="J2786" s="732">
        <f>J2785+I2786</f>
        <v>37943.760000000002</v>
      </c>
    </row>
    <row r="2791" spans="1:10" ht="21">
      <c r="A2791" s="731" t="s">
        <v>125</v>
      </c>
      <c r="B2791" s="1520" t="s">
        <v>20</v>
      </c>
      <c r="C2791" s="1520"/>
      <c r="D2791" s="1520"/>
      <c r="E2791" s="1520"/>
      <c r="F2791" s="1520"/>
      <c r="G2791" s="1520"/>
      <c r="H2791" s="1520"/>
      <c r="I2791" s="1520"/>
      <c r="J2791" s="1520"/>
    </row>
    <row r="2792" spans="1:10" ht="18.75">
      <c r="A2792" s="731" t="s">
        <v>212</v>
      </c>
      <c r="B2792" s="4" t="s">
        <v>1</v>
      </c>
      <c r="C2792" s="4" t="s">
        <v>2</v>
      </c>
      <c r="D2792" s="4" t="s">
        <v>3</v>
      </c>
      <c r="E2792" s="4" t="s">
        <v>4</v>
      </c>
      <c r="F2792" s="4" t="s">
        <v>36</v>
      </c>
      <c r="G2792" s="4" t="s">
        <v>5</v>
      </c>
      <c r="H2792" s="4" t="s">
        <v>6</v>
      </c>
      <c r="I2792" s="4" t="s">
        <v>7</v>
      </c>
      <c r="J2792" s="4"/>
    </row>
    <row r="2793" spans="1:10">
      <c r="B2793" s="583">
        <v>46038</v>
      </c>
      <c r="C2793" s="230" t="s">
        <v>2842</v>
      </c>
      <c r="D2793" s="230">
        <v>2</v>
      </c>
      <c r="E2793" s="230">
        <v>1397</v>
      </c>
      <c r="F2793" s="735">
        <f>E2793*D2793</f>
        <v>2794</v>
      </c>
      <c r="G2793" s="735">
        <v>2.4218000000000002</v>
      </c>
      <c r="H2793" s="735">
        <f>E2793*G2793</f>
        <v>3383.2546000000002</v>
      </c>
      <c r="I2793" s="735">
        <f>H2793*D2793</f>
        <v>6766.5092000000004</v>
      </c>
      <c r="J2793" s="732">
        <f>J2792+I2793</f>
        <v>6766.5092000000004</v>
      </c>
    </row>
    <row r="2794" spans="1:10">
      <c r="B2794" s="583">
        <v>46038</v>
      </c>
      <c r="C2794" s="230" t="s">
        <v>2843</v>
      </c>
      <c r="D2794" s="230">
        <v>2</v>
      </c>
      <c r="E2794" s="230">
        <v>1397</v>
      </c>
      <c r="F2794" s="735">
        <f t="shared" ref="F2794:F2801" si="666">E2794*D2794</f>
        <v>2794</v>
      </c>
      <c r="G2794" s="735">
        <v>2.4218000000000002</v>
      </c>
      <c r="H2794" s="735">
        <f t="shared" ref="H2794:H2801" si="667">E2794*G2794</f>
        <v>3383.2546000000002</v>
      </c>
      <c r="I2794" s="735">
        <f t="shared" ref="I2794:I2801" si="668">H2794*D2794</f>
        <v>6766.5092000000004</v>
      </c>
      <c r="J2794" s="732">
        <f t="shared" ref="J2794:J2801" si="669">J2793+I2794</f>
        <v>13533.018400000001</v>
      </c>
    </row>
    <row r="2795" spans="1:10">
      <c r="B2795" s="583">
        <v>46038</v>
      </c>
      <c r="C2795" s="230" t="s">
        <v>795</v>
      </c>
      <c r="D2795" s="230">
        <v>4</v>
      </c>
      <c r="E2795" s="230">
        <v>648</v>
      </c>
      <c r="F2795" s="735">
        <f t="shared" si="666"/>
        <v>2592</v>
      </c>
      <c r="G2795" s="735">
        <v>2.4218000000000002</v>
      </c>
      <c r="H2795" s="735">
        <f t="shared" si="667"/>
        <v>1569.3264000000001</v>
      </c>
      <c r="I2795" s="735">
        <f t="shared" si="668"/>
        <v>6277.3056000000006</v>
      </c>
      <c r="J2795" s="732">
        <f t="shared" si="669"/>
        <v>19810.324000000001</v>
      </c>
    </row>
    <row r="2796" spans="1:10">
      <c r="B2796" s="583">
        <v>46039</v>
      </c>
      <c r="C2796" s="230" t="s">
        <v>2844</v>
      </c>
      <c r="D2796" s="230">
        <v>2</v>
      </c>
      <c r="E2796" s="230">
        <v>1398</v>
      </c>
      <c r="F2796" s="735">
        <f t="shared" si="666"/>
        <v>2796</v>
      </c>
      <c r="G2796" s="735">
        <v>2.4218000000000002</v>
      </c>
      <c r="H2796" s="735">
        <f t="shared" si="667"/>
        <v>3385.6764000000003</v>
      </c>
      <c r="I2796" s="735">
        <f t="shared" si="668"/>
        <v>6771.3528000000006</v>
      </c>
      <c r="J2796" s="732">
        <f t="shared" si="669"/>
        <v>26581.676800000001</v>
      </c>
    </row>
    <row r="2797" spans="1:10">
      <c r="B2797" s="583">
        <v>46039</v>
      </c>
      <c r="C2797" s="230" t="s">
        <v>795</v>
      </c>
      <c r="D2797" s="230">
        <v>2</v>
      </c>
      <c r="E2797" s="230">
        <v>648</v>
      </c>
      <c r="F2797" s="735">
        <f t="shared" si="666"/>
        <v>1296</v>
      </c>
      <c r="G2797" s="735">
        <v>2.4218000000000002</v>
      </c>
      <c r="H2797" s="735">
        <f t="shared" si="667"/>
        <v>1569.3264000000001</v>
      </c>
      <c r="I2797" s="735">
        <f t="shared" si="668"/>
        <v>3138.6528000000003</v>
      </c>
      <c r="J2797" s="732">
        <f t="shared" si="669"/>
        <v>29720.329600000001</v>
      </c>
    </row>
    <row r="2798" spans="1:10">
      <c r="B2798" s="583">
        <v>46039</v>
      </c>
      <c r="C2798" s="230" t="s">
        <v>2845</v>
      </c>
      <c r="D2798" s="230">
        <v>2</v>
      </c>
      <c r="E2798" s="230">
        <v>1397</v>
      </c>
      <c r="F2798" s="735">
        <f t="shared" si="666"/>
        <v>2794</v>
      </c>
      <c r="G2798" s="735">
        <v>2.4218000000000002</v>
      </c>
      <c r="H2798" s="735">
        <f t="shared" si="667"/>
        <v>3383.2546000000002</v>
      </c>
      <c r="I2798" s="735">
        <f t="shared" si="668"/>
        <v>6766.5092000000004</v>
      </c>
      <c r="J2798" s="732">
        <f t="shared" si="669"/>
        <v>36486.838799999998</v>
      </c>
    </row>
    <row r="2799" spans="1:10">
      <c r="B2799" s="583">
        <v>46039</v>
      </c>
      <c r="C2799" s="230" t="s">
        <v>2846</v>
      </c>
      <c r="D2799" s="230">
        <v>2</v>
      </c>
      <c r="E2799" s="230">
        <v>1397</v>
      </c>
      <c r="F2799" s="735">
        <f t="shared" si="666"/>
        <v>2794</v>
      </c>
      <c r="G2799" s="735">
        <v>2.4218000000000002</v>
      </c>
      <c r="H2799" s="735">
        <f t="shared" si="667"/>
        <v>3383.2546000000002</v>
      </c>
      <c r="I2799" s="735">
        <f t="shared" si="668"/>
        <v>6766.5092000000004</v>
      </c>
      <c r="J2799" s="732">
        <f t="shared" si="669"/>
        <v>43253.347999999998</v>
      </c>
    </row>
    <row r="2800" spans="1:10">
      <c r="B2800" s="583">
        <v>46041</v>
      </c>
      <c r="C2800" s="230" t="s">
        <v>2847</v>
      </c>
      <c r="D2800" s="230">
        <v>40</v>
      </c>
      <c r="E2800" s="230">
        <v>402</v>
      </c>
      <c r="F2800" s="735">
        <f t="shared" si="666"/>
        <v>16080</v>
      </c>
      <c r="G2800" s="735">
        <v>2.4218000000000002</v>
      </c>
      <c r="H2800" s="735">
        <f t="shared" si="667"/>
        <v>973.56360000000006</v>
      </c>
      <c r="I2800" s="735">
        <f t="shared" si="668"/>
        <v>38942.544000000002</v>
      </c>
      <c r="J2800" s="732">
        <f t="shared" si="669"/>
        <v>82195.891999999993</v>
      </c>
    </row>
    <row r="2801" spans="1:10">
      <c r="B2801" s="583">
        <v>46041</v>
      </c>
      <c r="C2801" s="230" t="s">
        <v>2848</v>
      </c>
      <c r="D2801" s="230">
        <v>32</v>
      </c>
      <c r="E2801" s="230">
        <v>402</v>
      </c>
      <c r="F2801" s="735">
        <f t="shared" si="666"/>
        <v>12864</v>
      </c>
      <c r="G2801" s="735">
        <v>2.4218000000000002</v>
      </c>
      <c r="H2801" s="735">
        <f t="shared" si="667"/>
        <v>973.56360000000006</v>
      </c>
      <c r="I2801" s="735">
        <f t="shared" si="668"/>
        <v>31154.035200000002</v>
      </c>
      <c r="J2801" s="732">
        <f t="shared" si="669"/>
        <v>113349.92719999999</v>
      </c>
    </row>
    <row r="2802" spans="1:10">
      <c r="B2802" s="583">
        <v>46041</v>
      </c>
      <c r="C2802" s="230" t="s">
        <v>2849</v>
      </c>
      <c r="D2802" s="230">
        <v>60</v>
      </c>
      <c r="E2802" s="230">
        <v>402</v>
      </c>
      <c r="F2802" s="735">
        <f t="shared" ref="F2802:F2808" si="670">E2802*D2802</f>
        <v>24120</v>
      </c>
      <c r="G2802" s="735">
        <v>2.4218000000000002</v>
      </c>
      <c r="H2802" s="735">
        <f t="shared" ref="H2802:H2808" si="671">E2802*G2802</f>
        <v>973.56360000000006</v>
      </c>
      <c r="I2802" s="735">
        <f t="shared" ref="I2802:I2808" si="672">H2802*D2802</f>
        <v>58413.816000000006</v>
      </c>
      <c r="J2802" s="732">
        <f t="shared" ref="J2802:J2808" si="673">J2801+I2802</f>
        <v>171763.7432</v>
      </c>
    </row>
    <row r="2803" spans="1:10">
      <c r="B2803" s="585">
        <v>46043</v>
      </c>
      <c r="C2803" s="110" t="s">
        <v>2853</v>
      </c>
      <c r="D2803" s="110">
        <v>80</v>
      </c>
      <c r="E2803" s="110">
        <v>398</v>
      </c>
      <c r="F2803" s="735">
        <f t="shared" si="670"/>
        <v>31840</v>
      </c>
      <c r="G2803" s="735">
        <v>2.4218000000000002</v>
      </c>
      <c r="H2803" s="735">
        <f t="shared" si="671"/>
        <v>963.8764000000001</v>
      </c>
      <c r="I2803" s="735">
        <f t="shared" si="672"/>
        <v>77110.112000000008</v>
      </c>
      <c r="J2803" s="732">
        <f t="shared" si="673"/>
        <v>248873.85519999999</v>
      </c>
    </row>
    <row r="2804" spans="1:10">
      <c r="B2804" s="583">
        <v>46044</v>
      </c>
      <c r="C2804" s="230" t="s">
        <v>2850</v>
      </c>
      <c r="D2804" s="230">
        <v>2</v>
      </c>
      <c r="E2804" s="230">
        <v>1397</v>
      </c>
      <c r="F2804" s="735">
        <f t="shared" si="670"/>
        <v>2794</v>
      </c>
      <c r="G2804" s="735">
        <v>2.4218000000000002</v>
      </c>
      <c r="H2804" s="735">
        <f t="shared" si="671"/>
        <v>3383.2546000000002</v>
      </c>
      <c r="I2804" s="735">
        <f t="shared" si="672"/>
        <v>6766.5092000000004</v>
      </c>
      <c r="J2804" s="732">
        <f t="shared" si="673"/>
        <v>255640.36439999999</v>
      </c>
    </row>
    <row r="2805" spans="1:10">
      <c r="B2805" s="583">
        <v>46044</v>
      </c>
      <c r="C2805" s="230" t="s">
        <v>2851</v>
      </c>
      <c r="D2805" s="230">
        <v>1</v>
      </c>
      <c r="E2805" s="230">
        <v>1397</v>
      </c>
      <c r="F2805" s="735">
        <f t="shared" si="670"/>
        <v>1397</v>
      </c>
      <c r="G2805" s="735">
        <v>2.4218000000000002</v>
      </c>
      <c r="H2805" s="735">
        <f t="shared" si="671"/>
        <v>3383.2546000000002</v>
      </c>
      <c r="I2805" s="735">
        <f t="shared" si="672"/>
        <v>3383.2546000000002</v>
      </c>
      <c r="J2805" s="732">
        <f t="shared" si="673"/>
        <v>259023.61900000001</v>
      </c>
    </row>
    <row r="2806" spans="1:10">
      <c r="B2806" s="583">
        <v>46044</v>
      </c>
      <c r="C2806" s="230" t="s">
        <v>2852</v>
      </c>
      <c r="D2806" s="230">
        <v>1</v>
      </c>
      <c r="E2806" s="230">
        <v>439</v>
      </c>
      <c r="F2806" s="735">
        <f t="shared" si="670"/>
        <v>439</v>
      </c>
      <c r="G2806" s="735">
        <v>2.4218000000000002</v>
      </c>
      <c r="H2806" s="735">
        <f t="shared" si="671"/>
        <v>1063.1702</v>
      </c>
      <c r="I2806" s="735">
        <f t="shared" si="672"/>
        <v>1063.1702</v>
      </c>
      <c r="J2806" s="732">
        <f t="shared" si="673"/>
        <v>260086.7892</v>
      </c>
    </row>
    <row r="2807" spans="1:10">
      <c r="B2807" s="594">
        <v>46042</v>
      </c>
      <c r="C2807" s="296" t="s">
        <v>2841</v>
      </c>
      <c r="D2807" s="296">
        <v>1</v>
      </c>
      <c r="E2807" s="296">
        <v>100</v>
      </c>
      <c r="F2807" s="596">
        <f t="shared" si="670"/>
        <v>100</v>
      </c>
      <c r="G2807" s="596">
        <v>2.4218000000000002</v>
      </c>
      <c r="H2807" s="596">
        <f t="shared" si="671"/>
        <v>242.18</v>
      </c>
      <c r="I2807" s="596">
        <f t="shared" si="672"/>
        <v>242.18</v>
      </c>
      <c r="J2807" s="296">
        <f t="shared" si="673"/>
        <v>260328.96919999999</v>
      </c>
    </row>
    <row r="2808" spans="1:10">
      <c r="B2808" s="735"/>
      <c r="C2808" s="735"/>
      <c r="D2808" s="735"/>
      <c r="E2808" s="735"/>
      <c r="F2808" s="735">
        <f t="shared" si="670"/>
        <v>0</v>
      </c>
      <c r="G2808" s="735"/>
      <c r="H2808" s="735">
        <f t="shared" si="671"/>
        <v>0</v>
      </c>
      <c r="I2808" s="735">
        <f t="shared" si="672"/>
        <v>0</v>
      </c>
      <c r="J2808" s="732">
        <f t="shared" si="673"/>
        <v>260328.96919999999</v>
      </c>
    </row>
    <row r="2812" spans="1:10" ht="21">
      <c r="A2812" s="731" t="s">
        <v>125</v>
      </c>
      <c r="B2812" s="1520" t="s">
        <v>20</v>
      </c>
      <c r="C2812" s="1520"/>
      <c r="D2812" s="1520"/>
      <c r="E2812" s="1520"/>
      <c r="F2812" s="1520"/>
      <c r="G2812" s="1520"/>
      <c r="H2812" s="1520"/>
      <c r="I2812" s="1520"/>
      <c r="J2812" s="1520"/>
    </row>
    <row r="2813" spans="1:10" ht="18.75">
      <c r="A2813" s="731" t="s">
        <v>212</v>
      </c>
      <c r="B2813" s="4" t="s">
        <v>1</v>
      </c>
      <c r="C2813" s="4" t="s">
        <v>2</v>
      </c>
      <c r="D2813" s="4" t="s">
        <v>3</v>
      </c>
      <c r="E2813" s="4" t="s">
        <v>4</v>
      </c>
      <c r="F2813" s="4" t="s">
        <v>36</v>
      </c>
      <c r="G2813" s="4" t="s">
        <v>5</v>
      </c>
      <c r="H2813" s="4" t="s">
        <v>6</v>
      </c>
      <c r="I2813" s="4" t="s">
        <v>7</v>
      </c>
      <c r="J2813" s="4"/>
    </row>
    <row r="2814" spans="1:10">
      <c r="B2814" s="585">
        <v>46045</v>
      </c>
      <c r="C2814" s="110" t="s">
        <v>2904</v>
      </c>
      <c r="D2814" s="110">
        <v>40</v>
      </c>
      <c r="E2814" s="623">
        <v>398</v>
      </c>
      <c r="F2814" s="735">
        <f>E2814*D2814</f>
        <v>15920</v>
      </c>
      <c r="G2814" s="735">
        <v>2.4272999999999998</v>
      </c>
      <c r="H2814" s="735">
        <f>E2814*G2814</f>
        <v>966.06539999999995</v>
      </c>
      <c r="I2814" s="735">
        <f>H2814*D2814</f>
        <v>38642.615999999995</v>
      </c>
      <c r="J2814" s="732">
        <f>J2813+I2814</f>
        <v>38642.615999999995</v>
      </c>
    </row>
    <row r="2815" spans="1:10">
      <c r="B2815" s="737">
        <v>46045</v>
      </c>
      <c r="C2815" s="732" t="s">
        <v>2902</v>
      </c>
      <c r="D2815" s="732">
        <v>10</v>
      </c>
      <c r="E2815" s="736">
        <v>431</v>
      </c>
      <c r="F2815" s="735">
        <f>E2815*D2815</f>
        <v>4310</v>
      </c>
      <c r="G2815" s="735">
        <v>2.4272999999999998</v>
      </c>
      <c r="H2815" s="735">
        <f>E2815*G2815</f>
        <v>1046.1662999999999</v>
      </c>
      <c r="I2815" s="735">
        <f>H2815*D2815</f>
        <v>10461.662999999999</v>
      </c>
      <c r="J2815" s="732">
        <f>J2814+I2815</f>
        <v>49104.278999999995</v>
      </c>
    </row>
    <row r="2816" spans="1:10">
      <c r="B2816" s="737">
        <v>46046</v>
      </c>
      <c r="C2816" s="732" t="s">
        <v>2903</v>
      </c>
      <c r="D2816" s="732">
        <v>4</v>
      </c>
      <c r="E2816" s="736">
        <v>431</v>
      </c>
      <c r="F2816" s="735">
        <f>E2816*D2816</f>
        <v>1724</v>
      </c>
      <c r="G2816" s="735">
        <v>2.4272999999999998</v>
      </c>
      <c r="H2816" s="735">
        <f>E2816*G2816</f>
        <v>1046.1662999999999</v>
      </c>
      <c r="I2816" s="735">
        <f>H2816*D2816</f>
        <v>4184.6651999999995</v>
      </c>
      <c r="J2816" s="732">
        <f>J2815+I2816</f>
        <v>53288.944199999998</v>
      </c>
    </row>
    <row r="2817" spans="1:15">
      <c r="B2817" s="737">
        <v>46046</v>
      </c>
      <c r="C2817" s="732" t="s">
        <v>2852</v>
      </c>
      <c r="D2817" s="732">
        <v>10</v>
      </c>
      <c r="E2817" s="736">
        <v>451</v>
      </c>
      <c r="F2817" s="735">
        <f>E2817*D2817</f>
        <v>4510</v>
      </c>
      <c r="G2817" s="735">
        <v>2.4272999999999998</v>
      </c>
      <c r="H2817" s="735">
        <f>E2817*G2817</f>
        <v>1094.7122999999999</v>
      </c>
      <c r="I2817" s="735">
        <f>H2817*D2817</f>
        <v>10947.123</v>
      </c>
      <c r="J2817" s="732">
        <f>J2816+I2817</f>
        <v>64236.067199999998</v>
      </c>
    </row>
    <row r="2818" spans="1:15">
      <c r="B2818" s="585">
        <v>46049</v>
      </c>
      <c r="C2818" s="110" t="s">
        <v>2901</v>
      </c>
      <c r="D2818" s="110">
        <v>24</v>
      </c>
      <c r="E2818" s="110">
        <v>403</v>
      </c>
      <c r="F2818" s="735">
        <f>E2818*D2818</f>
        <v>9672</v>
      </c>
      <c r="G2818" s="735">
        <v>2.4272999999999998</v>
      </c>
      <c r="H2818" s="735">
        <f>E2818*G2818</f>
        <v>978.20189999999991</v>
      </c>
      <c r="I2818" s="735">
        <f>H2818*D2818</f>
        <v>23476.845599999997</v>
      </c>
      <c r="J2818" s="732">
        <f>J2817+I2818</f>
        <v>87712.912799999991</v>
      </c>
    </row>
    <row r="2823" spans="1:15" ht="21">
      <c r="A2823" s="731" t="s">
        <v>125</v>
      </c>
      <c r="B2823" s="1521" t="s">
        <v>20</v>
      </c>
      <c r="C2823" s="1521"/>
      <c r="D2823" s="1521"/>
      <c r="E2823" s="1521"/>
      <c r="F2823" s="1521"/>
      <c r="G2823" s="1521"/>
      <c r="H2823" s="1521"/>
      <c r="I2823" s="1521"/>
      <c r="J2823" s="1521"/>
      <c r="K2823" s="1521"/>
      <c r="L2823" s="1521"/>
      <c r="M2823" s="1521"/>
      <c r="N2823" s="1521"/>
      <c r="O2823" s="1521"/>
    </row>
    <row r="2824" spans="1:15" ht="18.75">
      <c r="A2824" s="731" t="s">
        <v>212</v>
      </c>
      <c r="B2824" s="226" t="s">
        <v>1</v>
      </c>
      <c r="C2824" s="226" t="s">
        <v>2</v>
      </c>
      <c r="D2824" s="226" t="s">
        <v>444</v>
      </c>
      <c r="E2824" s="226" t="s">
        <v>33</v>
      </c>
      <c r="F2824" s="226" t="s">
        <v>3</v>
      </c>
      <c r="G2824" s="226" t="s">
        <v>445</v>
      </c>
      <c r="H2824" s="226" t="s">
        <v>451</v>
      </c>
      <c r="I2824" s="226" t="s">
        <v>446</v>
      </c>
      <c r="J2824" s="226" t="s">
        <v>447</v>
      </c>
      <c r="K2824" s="226" t="s">
        <v>448</v>
      </c>
      <c r="L2824" s="226" t="s">
        <v>449</v>
      </c>
      <c r="M2824" s="226" t="s">
        <v>450</v>
      </c>
      <c r="N2824" s="226" t="s">
        <v>7</v>
      </c>
      <c r="O2824" s="29"/>
    </row>
    <row r="2825" spans="1:15">
      <c r="B2825" s="737">
        <v>46046</v>
      </c>
      <c r="C2825" s="732" t="s">
        <v>2905</v>
      </c>
      <c r="D2825" s="735"/>
      <c r="E2825" s="735"/>
      <c r="F2825" s="735">
        <v>4</v>
      </c>
      <c r="G2825" s="736">
        <v>2199</v>
      </c>
      <c r="H2825" s="735">
        <v>10</v>
      </c>
      <c r="I2825" s="735">
        <f>G2825*H2825%</f>
        <v>219.9</v>
      </c>
      <c r="J2825" s="732">
        <f>G2825-I2825</f>
        <v>1979.1</v>
      </c>
      <c r="K2825" s="732">
        <f>F2825*J2825</f>
        <v>7916.4</v>
      </c>
      <c r="L2825" s="735">
        <v>2.4272999999999998</v>
      </c>
      <c r="M2825" s="732">
        <f>J2825*L2825</f>
        <v>4803.8694299999997</v>
      </c>
      <c r="N2825" s="732">
        <f>F2825*M2825</f>
        <v>19215.477719999999</v>
      </c>
      <c r="O2825" s="732">
        <f>O2824+N2825</f>
        <v>19215.477719999999</v>
      </c>
    </row>
    <row r="2826" spans="1:15">
      <c r="B2826" s="737">
        <v>46046</v>
      </c>
      <c r="C2826" s="732" t="s">
        <v>2906</v>
      </c>
      <c r="D2826" s="735"/>
      <c r="E2826" s="735"/>
      <c r="F2826" s="735">
        <v>4</v>
      </c>
      <c r="G2826" s="736">
        <v>2199</v>
      </c>
      <c r="H2826" s="735">
        <v>10</v>
      </c>
      <c r="I2826" s="735">
        <f t="shared" ref="I2826:I2834" si="674">G2826*H2826%</f>
        <v>219.9</v>
      </c>
      <c r="J2826" s="732">
        <f t="shared" ref="J2826:J2834" si="675">G2826-I2826</f>
        <v>1979.1</v>
      </c>
      <c r="K2826" s="732">
        <f t="shared" ref="K2826:K2834" si="676">F2826*J2826</f>
        <v>7916.4</v>
      </c>
      <c r="L2826" s="735">
        <v>2.4272999999999998</v>
      </c>
      <c r="M2826" s="732">
        <f t="shared" ref="M2826:M2834" si="677">J2826*L2826</f>
        <v>4803.8694299999997</v>
      </c>
      <c r="N2826" s="732">
        <f t="shared" ref="N2826:N2842" si="678">F2826*M2826</f>
        <v>19215.477719999999</v>
      </c>
      <c r="O2826" s="732">
        <f t="shared" ref="O2826:O2842" si="679">O2825+N2826</f>
        <v>38430.955439999998</v>
      </c>
    </row>
    <row r="2827" spans="1:15">
      <c r="B2827" s="737">
        <v>46046</v>
      </c>
      <c r="C2827" s="732" t="s">
        <v>2907</v>
      </c>
      <c r="D2827" s="735"/>
      <c r="E2827" s="735"/>
      <c r="F2827" s="735">
        <v>2</v>
      </c>
      <c r="G2827" s="736">
        <v>2199</v>
      </c>
      <c r="H2827" s="735">
        <v>10</v>
      </c>
      <c r="I2827" s="735">
        <f t="shared" si="674"/>
        <v>219.9</v>
      </c>
      <c r="J2827" s="732">
        <f t="shared" si="675"/>
        <v>1979.1</v>
      </c>
      <c r="K2827" s="732">
        <f t="shared" si="676"/>
        <v>3958.2</v>
      </c>
      <c r="L2827" s="735">
        <v>2.4272999999999998</v>
      </c>
      <c r="M2827" s="732">
        <f t="shared" si="677"/>
        <v>4803.8694299999997</v>
      </c>
      <c r="N2827" s="732">
        <f t="shared" si="678"/>
        <v>9607.7388599999995</v>
      </c>
      <c r="O2827" s="732">
        <f t="shared" si="679"/>
        <v>48038.694299999996</v>
      </c>
    </row>
    <row r="2828" spans="1:15">
      <c r="B2828" s="737">
        <v>46046</v>
      </c>
      <c r="C2828" s="732" t="s">
        <v>2908</v>
      </c>
      <c r="D2828" s="735"/>
      <c r="E2828" s="735"/>
      <c r="F2828" s="735">
        <v>4</v>
      </c>
      <c r="G2828" s="736">
        <v>2199</v>
      </c>
      <c r="H2828" s="735">
        <v>10</v>
      </c>
      <c r="I2828" s="735">
        <f t="shared" si="674"/>
        <v>219.9</v>
      </c>
      <c r="J2828" s="732">
        <f t="shared" si="675"/>
        <v>1979.1</v>
      </c>
      <c r="K2828" s="732">
        <f t="shared" si="676"/>
        <v>7916.4</v>
      </c>
      <c r="L2828" s="735">
        <v>2.4272999999999998</v>
      </c>
      <c r="M2828" s="732">
        <f t="shared" si="677"/>
        <v>4803.8694299999997</v>
      </c>
      <c r="N2828" s="732">
        <f t="shared" si="678"/>
        <v>19215.477719999999</v>
      </c>
      <c r="O2828" s="732">
        <f t="shared" si="679"/>
        <v>67254.172019999998</v>
      </c>
    </row>
    <row r="2829" spans="1:15">
      <c r="B2829" s="737">
        <v>46046</v>
      </c>
      <c r="C2829" s="732" t="s">
        <v>2909</v>
      </c>
      <c r="D2829" s="735"/>
      <c r="E2829" s="735"/>
      <c r="F2829" s="735">
        <v>2</v>
      </c>
      <c r="G2829" s="736">
        <v>2199</v>
      </c>
      <c r="H2829" s="735">
        <v>10</v>
      </c>
      <c r="I2829" s="735">
        <f t="shared" si="674"/>
        <v>219.9</v>
      </c>
      <c r="J2829" s="732">
        <f t="shared" si="675"/>
        <v>1979.1</v>
      </c>
      <c r="K2829" s="732">
        <f t="shared" si="676"/>
        <v>3958.2</v>
      </c>
      <c r="L2829" s="735">
        <v>2.4272999999999998</v>
      </c>
      <c r="M2829" s="732">
        <f t="shared" si="677"/>
        <v>4803.8694299999997</v>
      </c>
      <c r="N2829" s="732">
        <f t="shared" si="678"/>
        <v>9607.7388599999995</v>
      </c>
      <c r="O2829" s="732">
        <f t="shared" si="679"/>
        <v>76861.910879999996</v>
      </c>
    </row>
    <row r="2830" spans="1:15">
      <c r="B2830" s="737">
        <v>46046</v>
      </c>
      <c r="C2830" s="732" t="s">
        <v>2910</v>
      </c>
      <c r="D2830" s="735"/>
      <c r="E2830" s="735"/>
      <c r="F2830" s="735">
        <v>2</v>
      </c>
      <c r="G2830" s="736">
        <v>1497</v>
      </c>
      <c r="H2830" s="735">
        <v>10</v>
      </c>
      <c r="I2830" s="735">
        <f t="shared" si="674"/>
        <v>149.70000000000002</v>
      </c>
      <c r="J2830" s="732">
        <f t="shared" si="675"/>
        <v>1347.3</v>
      </c>
      <c r="K2830" s="732">
        <f t="shared" si="676"/>
        <v>2694.6</v>
      </c>
      <c r="L2830" s="735">
        <v>2.4272999999999998</v>
      </c>
      <c r="M2830" s="732">
        <f t="shared" si="677"/>
        <v>3270.3012899999994</v>
      </c>
      <c r="N2830" s="732">
        <f t="shared" si="678"/>
        <v>6540.6025799999989</v>
      </c>
      <c r="O2830" s="732">
        <f t="shared" si="679"/>
        <v>83402.513459999987</v>
      </c>
    </row>
    <row r="2831" spans="1:15">
      <c r="B2831" s="737">
        <v>46046</v>
      </c>
      <c r="C2831" s="732" t="s">
        <v>2911</v>
      </c>
      <c r="D2831" s="735"/>
      <c r="E2831" s="735"/>
      <c r="F2831" s="735">
        <v>3</v>
      </c>
      <c r="G2831" s="736">
        <v>1497</v>
      </c>
      <c r="H2831" s="735">
        <v>10</v>
      </c>
      <c r="I2831" s="735">
        <f t="shared" si="674"/>
        <v>149.70000000000002</v>
      </c>
      <c r="J2831" s="732">
        <f t="shared" si="675"/>
        <v>1347.3</v>
      </c>
      <c r="K2831" s="732">
        <f t="shared" si="676"/>
        <v>4041.8999999999996</v>
      </c>
      <c r="L2831" s="735">
        <v>2.4272999999999998</v>
      </c>
      <c r="M2831" s="732">
        <f t="shared" si="677"/>
        <v>3270.3012899999994</v>
      </c>
      <c r="N2831" s="732">
        <f t="shared" si="678"/>
        <v>9810.9038699999983</v>
      </c>
      <c r="O2831" s="732">
        <f t="shared" si="679"/>
        <v>93213.417329999982</v>
      </c>
    </row>
    <row r="2832" spans="1:15">
      <c r="B2832" s="737">
        <v>46047</v>
      </c>
      <c r="C2832" s="732" t="s">
        <v>2912</v>
      </c>
      <c r="D2832" s="735"/>
      <c r="E2832" s="735"/>
      <c r="F2832" s="735">
        <v>4</v>
      </c>
      <c r="G2832" s="736">
        <v>2199</v>
      </c>
      <c r="H2832" s="735">
        <v>10</v>
      </c>
      <c r="I2832" s="735">
        <f t="shared" si="674"/>
        <v>219.9</v>
      </c>
      <c r="J2832" s="732">
        <f t="shared" si="675"/>
        <v>1979.1</v>
      </c>
      <c r="K2832" s="732">
        <f t="shared" si="676"/>
        <v>7916.4</v>
      </c>
      <c r="L2832" s="735">
        <v>2.4272999999999998</v>
      </c>
      <c r="M2832" s="732">
        <f t="shared" si="677"/>
        <v>4803.8694299999997</v>
      </c>
      <c r="N2832" s="732">
        <f t="shared" si="678"/>
        <v>19215.477719999999</v>
      </c>
      <c r="O2832" s="732">
        <f t="shared" si="679"/>
        <v>112428.89504999998</v>
      </c>
    </row>
    <row r="2833" spans="1:15">
      <c r="B2833" s="737">
        <v>46047</v>
      </c>
      <c r="C2833" s="732" t="s">
        <v>2913</v>
      </c>
      <c r="D2833" s="735"/>
      <c r="E2833" s="735"/>
      <c r="F2833" s="735">
        <v>2</v>
      </c>
      <c r="G2833" s="736">
        <v>2199</v>
      </c>
      <c r="H2833" s="735">
        <v>10</v>
      </c>
      <c r="I2833" s="735">
        <f t="shared" si="674"/>
        <v>219.9</v>
      </c>
      <c r="J2833" s="732">
        <f t="shared" si="675"/>
        <v>1979.1</v>
      </c>
      <c r="K2833" s="732">
        <f t="shared" si="676"/>
        <v>3958.2</v>
      </c>
      <c r="L2833" s="735">
        <v>2.4272999999999998</v>
      </c>
      <c r="M2833" s="732">
        <f t="shared" si="677"/>
        <v>4803.8694299999997</v>
      </c>
      <c r="N2833" s="732">
        <f t="shared" si="678"/>
        <v>9607.7388599999995</v>
      </c>
      <c r="O2833" s="732">
        <f t="shared" si="679"/>
        <v>122036.63390999998</v>
      </c>
    </row>
    <row r="2834" spans="1:15">
      <c r="B2834" s="737">
        <v>46047</v>
      </c>
      <c r="C2834" s="732" t="s">
        <v>2914</v>
      </c>
      <c r="D2834" s="735"/>
      <c r="E2834" s="735"/>
      <c r="F2834" s="735">
        <v>2</v>
      </c>
      <c r="G2834" s="736">
        <v>1499</v>
      </c>
      <c r="H2834" s="735">
        <v>10</v>
      </c>
      <c r="I2834" s="735">
        <f t="shared" si="674"/>
        <v>149.9</v>
      </c>
      <c r="J2834" s="732">
        <f t="shared" si="675"/>
        <v>1349.1</v>
      </c>
      <c r="K2834" s="732">
        <f t="shared" si="676"/>
        <v>2698.2</v>
      </c>
      <c r="L2834" s="735">
        <v>2.4272999999999998</v>
      </c>
      <c r="M2834" s="732">
        <f t="shared" si="677"/>
        <v>3274.6704299999997</v>
      </c>
      <c r="N2834" s="732">
        <f t="shared" si="678"/>
        <v>6549.3408599999993</v>
      </c>
      <c r="O2834" s="732">
        <f t="shared" si="679"/>
        <v>128585.97476999997</v>
      </c>
    </row>
    <row r="2835" spans="1:15">
      <c r="B2835" s="737">
        <v>46047</v>
      </c>
      <c r="C2835" s="732" t="s">
        <v>2915</v>
      </c>
      <c r="D2835" s="735"/>
      <c r="E2835" s="735"/>
      <c r="F2835" s="735">
        <v>2</v>
      </c>
      <c r="G2835" s="736">
        <v>1499</v>
      </c>
      <c r="H2835" s="735">
        <v>10</v>
      </c>
      <c r="I2835" s="735">
        <f t="shared" ref="I2835:I2840" si="680">G2835*H2835%</f>
        <v>149.9</v>
      </c>
      <c r="J2835" s="732">
        <f t="shared" ref="J2835:J2840" si="681">G2835-I2835</f>
        <v>1349.1</v>
      </c>
      <c r="K2835" s="732">
        <f t="shared" ref="K2835:K2840" si="682">F2835*J2835</f>
        <v>2698.2</v>
      </c>
      <c r="L2835" s="735">
        <v>2.4272999999999998</v>
      </c>
      <c r="M2835" s="732">
        <f t="shared" ref="M2835:M2840" si="683">J2835*L2835</f>
        <v>3274.6704299999997</v>
      </c>
      <c r="N2835" s="732">
        <f t="shared" si="678"/>
        <v>6549.3408599999993</v>
      </c>
      <c r="O2835" s="732">
        <f t="shared" si="679"/>
        <v>135135.31562999997</v>
      </c>
    </row>
    <row r="2836" spans="1:15">
      <c r="B2836" s="737">
        <v>46047</v>
      </c>
      <c r="C2836" s="732" t="s">
        <v>2916</v>
      </c>
      <c r="D2836" s="735"/>
      <c r="E2836" s="735"/>
      <c r="F2836" s="735">
        <v>3</v>
      </c>
      <c r="G2836" s="736">
        <v>2199</v>
      </c>
      <c r="H2836" s="735">
        <v>10</v>
      </c>
      <c r="I2836" s="735">
        <f t="shared" si="680"/>
        <v>219.9</v>
      </c>
      <c r="J2836" s="732">
        <f t="shared" si="681"/>
        <v>1979.1</v>
      </c>
      <c r="K2836" s="732">
        <f t="shared" si="682"/>
        <v>5937.2999999999993</v>
      </c>
      <c r="L2836" s="735">
        <v>2.4272999999999998</v>
      </c>
      <c r="M2836" s="732">
        <f t="shared" si="683"/>
        <v>4803.8694299999997</v>
      </c>
      <c r="N2836" s="732">
        <f t="shared" si="678"/>
        <v>14411.60829</v>
      </c>
      <c r="O2836" s="732">
        <f t="shared" si="679"/>
        <v>149546.92391999997</v>
      </c>
    </row>
    <row r="2837" spans="1:15">
      <c r="B2837" s="737">
        <v>46047</v>
      </c>
      <c r="C2837" s="732" t="s">
        <v>2917</v>
      </c>
      <c r="D2837" s="735"/>
      <c r="E2837" s="735"/>
      <c r="F2837" s="735">
        <v>4</v>
      </c>
      <c r="G2837" s="736">
        <v>2199</v>
      </c>
      <c r="H2837" s="735">
        <v>10</v>
      </c>
      <c r="I2837" s="735">
        <f t="shared" si="680"/>
        <v>219.9</v>
      </c>
      <c r="J2837" s="732">
        <f t="shared" si="681"/>
        <v>1979.1</v>
      </c>
      <c r="K2837" s="732">
        <f t="shared" si="682"/>
        <v>7916.4</v>
      </c>
      <c r="L2837" s="735">
        <v>2.4272999999999998</v>
      </c>
      <c r="M2837" s="732">
        <f t="shared" si="683"/>
        <v>4803.8694299999997</v>
      </c>
      <c r="N2837" s="732">
        <f t="shared" si="678"/>
        <v>19215.477719999999</v>
      </c>
      <c r="O2837" s="732">
        <f t="shared" si="679"/>
        <v>168762.40163999997</v>
      </c>
    </row>
    <row r="2838" spans="1:15">
      <c r="B2838" s="737">
        <v>46047</v>
      </c>
      <c r="C2838" s="732" t="s">
        <v>2918</v>
      </c>
      <c r="D2838" s="735"/>
      <c r="E2838" s="735"/>
      <c r="F2838" s="735">
        <v>4</v>
      </c>
      <c r="G2838" s="736">
        <v>2199</v>
      </c>
      <c r="H2838" s="735">
        <v>10</v>
      </c>
      <c r="I2838" s="735">
        <f t="shared" si="680"/>
        <v>219.9</v>
      </c>
      <c r="J2838" s="732">
        <f t="shared" si="681"/>
        <v>1979.1</v>
      </c>
      <c r="K2838" s="732">
        <f t="shared" si="682"/>
        <v>7916.4</v>
      </c>
      <c r="L2838" s="735">
        <v>2.4272999999999998</v>
      </c>
      <c r="M2838" s="732">
        <f t="shared" si="683"/>
        <v>4803.8694299999997</v>
      </c>
      <c r="N2838" s="732">
        <f t="shared" si="678"/>
        <v>19215.477719999999</v>
      </c>
      <c r="O2838" s="732">
        <f t="shared" si="679"/>
        <v>187977.87935999996</v>
      </c>
    </row>
    <row r="2839" spans="1:15">
      <c r="B2839" s="737">
        <v>46047</v>
      </c>
      <c r="C2839" s="732" t="s">
        <v>2919</v>
      </c>
      <c r="D2839" s="735"/>
      <c r="E2839" s="735"/>
      <c r="F2839" s="735">
        <v>4</v>
      </c>
      <c r="G2839" s="736">
        <v>1499</v>
      </c>
      <c r="H2839" s="735">
        <v>10</v>
      </c>
      <c r="I2839" s="735">
        <f t="shared" si="680"/>
        <v>149.9</v>
      </c>
      <c r="J2839" s="732">
        <f t="shared" si="681"/>
        <v>1349.1</v>
      </c>
      <c r="K2839" s="732">
        <f t="shared" si="682"/>
        <v>5396.4</v>
      </c>
      <c r="L2839" s="735">
        <v>2.4272999999999998</v>
      </c>
      <c r="M2839" s="732">
        <f t="shared" si="683"/>
        <v>3274.6704299999997</v>
      </c>
      <c r="N2839" s="732">
        <f t="shared" si="678"/>
        <v>13098.681719999999</v>
      </c>
      <c r="O2839" s="732">
        <f t="shared" si="679"/>
        <v>201076.56107999996</v>
      </c>
    </row>
    <row r="2840" spans="1:15">
      <c r="B2840" s="737">
        <v>46047</v>
      </c>
      <c r="C2840" s="732" t="s">
        <v>2920</v>
      </c>
      <c r="D2840" s="735"/>
      <c r="E2840" s="735"/>
      <c r="F2840" s="735">
        <v>4</v>
      </c>
      <c r="G2840" s="736">
        <v>1499</v>
      </c>
      <c r="H2840" s="735">
        <v>10</v>
      </c>
      <c r="I2840" s="735">
        <f t="shared" si="680"/>
        <v>149.9</v>
      </c>
      <c r="J2840" s="732">
        <f t="shared" si="681"/>
        <v>1349.1</v>
      </c>
      <c r="K2840" s="732">
        <f t="shared" si="682"/>
        <v>5396.4</v>
      </c>
      <c r="L2840" s="735">
        <v>2.4272999999999998</v>
      </c>
      <c r="M2840" s="732">
        <f t="shared" si="683"/>
        <v>3274.6704299999997</v>
      </c>
      <c r="N2840" s="732">
        <f t="shared" si="678"/>
        <v>13098.681719999999</v>
      </c>
      <c r="O2840" s="732">
        <f t="shared" si="679"/>
        <v>214175.24279999995</v>
      </c>
    </row>
    <row r="2841" spans="1:15">
      <c r="B2841" s="594">
        <v>46049</v>
      </c>
      <c r="C2841" s="296" t="s">
        <v>2921</v>
      </c>
      <c r="D2841" s="596"/>
      <c r="E2841" s="596"/>
      <c r="F2841" s="596">
        <v>1</v>
      </c>
      <c r="G2841" s="771">
        <v>2800</v>
      </c>
      <c r="H2841" s="596"/>
      <c r="I2841" s="596">
        <f>G2841*H2841%</f>
        <v>0</v>
      </c>
      <c r="J2841" s="296">
        <f>G2841-I2841</f>
        <v>2800</v>
      </c>
      <c r="K2841" s="296">
        <f>F2841*J2841</f>
        <v>2800</v>
      </c>
      <c r="L2841" s="596">
        <v>2.4272999999999998</v>
      </c>
      <c r="M2841" s="296">
        <f>J2841*L2841</f>
        <v>6796.44</v>
      </c>
      <c r="N2841" s="296">
        <f t="shared" si="678"/>
        <v>6796.44</v>
      </c>
      <c r="O2841" s="296">
        <f t="shared" si="679"/>
        <v>220971.68279999995</v>
      </c>
    </row>
    <row r="2842" spans="1:15">
      <c r="B2842" s="594">
        <v>46048</v>
      </c>
      <c r="C2842" s="605" t="s">
        <v>2922</v>
      </c>
      <c r="D2842" s="596"/>
      <c r="E2842" s="596"/>
      <c r="F2842" s="596">
        <v>1</v>
      </c>
      <c r="G2842" s="672">
        <v>5000</v>
      </c>
      <c r="H2842" s="596"/>
      <c r="I2842" s="596">
        <f>G2842*H2842%</f>
        <v>0</v>
      </c>
      <c r="J2842" s="296">
        <f>G2842-I2842</f>
        <v>5000</v>
      </c>
      <c r="K2842" s="296">
        <f>F2842*J2842</f>
        <v>5000</v>
      </c>
      <c r="L2842" s="296">
        <v>2.12</v>
      </c>
      <c r="M2842" s="296">
        <f>J2842*L2842</f>
        <v>10600</v>
      </c>
      <c r="N2842" s="296">
        <f t="shared" si="678"/>
        <v>10600</v>
      </c>
      <c r="O2842" s="296">
        <f t="shared" si="679"/>
        <v>231571.68279999995</v>
      </c>
    </row>
    <row r="2848" spans="1:15" ht="21">
      <c r="A2848" s="731" t="s">
        <v>125</v>
      </c>
      <c r="B2848" s="1520" t="s">
        <v>20</v>
      </c>
      <c r="C2848" s="1520"/>
      <c r="D2848" s="1520"/>
      <c r="E2848" s="1520"/>
      <c r="F2848" s="1520"/>
      <c r="G2848" s="1520"/>
      <c r="H2848" s="1520"/>
      <c r="I2848" s="1520"/>
      <c r="J2848" s="1520"/>
    </row>
    <row r="2849" spans="1:10" ht="18.75">
      <c r="A2849" s="731" t="s">
        <v>212</v>
      </c>
      <c r="B2849" s="4" t="s">
        <v>1</v>
      </c>
      <c r="C2849" s="4" t="s">
        <v>2</v>
      </c>
      <c r="D2849" s="4" t="s">
        <v>3</v>
      </c>
      <c r="E2849" s="4" t="s">
        <v>4</v>
      </c>
      <c r="F2849" s="4" t="s">
        <v>36</v>
      </c>
      <c r="G2849" s="4" t="s">
        <v>5</v>
      </c>
      <c r="H2849" s="4" t="s">
        <v>6</v>
      </c>
      <c r="I2849" s="4" t="s">
        <v>7</v>
      </c>
      <c r="J2849" s="4"/>
    </row>
    <row r="2850" spans="1:10">
      <c r="B2850" s="737">
        <v>46051</v>
      </c>
      <c r="C2850" s="732" t="s">
        <v>2931</v>
      </c>
      <c r="D2850" s="732">
        <v>15</v>
      </c>
      <c r="E2850" s="613">
        <v>403</v>
      </c>
      <c r="F2850" s="735">
        <f>E2850*D2850</f>
        <v>6045</v>
      </c>
      <c r="G2850" s="735">
        <v>2.4994999999999998</v>
      </c>
      <c r="H2850" s="735">
        <f>E2850*G2850</f>
        <v>1007.2984999999999</v>
      </c>
      <c r="I2850" s="735">
        <f>H2850*D2850</f>
        <v>15109.477499999997</v>
      </c>
      <c r="J2850" s="732">
        <f>J2849+I2850</f>
        <v>15109.477499999997</v>
      </c>
    </row>
    <row r="2851" spans="1:10">
      <c r="B2851" s="585">
        <v>46052</v>
      </c>
      <c r="C2851" s="110" t="s">
        <v>2945</v>
      </c>
      <c r="D2851" s="110">
        <v>250</v>
      </c>
      <c r="E2851" s="184">
        <v>466</v>
      </c>
      <c r="F2851" s="127">
        <f t="shared" ref="F2851:F2858" si="684">E2851*D2851</f>
        <v>116500</v>
      </c>
      <c r="G2851" s="127">
        <v>2.4994999999999998</v>
      </c>
      <c r="H2851" s="127">
        <f t="shared" ref="H2851:H2858" si="685">E2851*G2851</f>
        <v>1164.7669999999998</v>
      </c>
      <c r="I2851" s="127">
        <f t="shared" ref="I2851:I2858" si="686">H2851*D2851</f>
        <v>291191.74999999994</v>
      </c>
      <c r="J2851" s="110">
        <f t="shared" ref="J2851:J2858" si="687">J2850+I2851</f>
        <v>306301.22749999992</v>
      </c>
    </row>
    <row r="2852" spans="1:10">
      <c r="B2852" s="585">
        <v>46052</v>
      </c>
      <c r="C2852" s="110" t="s">
        <v>2946</v>
      </c>
      <c r="D2852" s="110">
        <v>48</v>
      </c>
      <c r="E2852" s="184">
        <v>466</v>
      </c>
      <c r="F2852" s="127">
        <f t="shared" si="684"/>
        <v>22368</v>
      </c>
      <c r="G2852" s="127">
        <v>2.4994999999999998</v>
      </c>
      <c r="H2852" s="127">
        <f t="shared" si="685"/>
        <v>1164.7669999999998</v>
      </c>
      <c r="I2852" s="127">
        <f t="shared" si="686"/>
        <v>55908.815999999992</v>
      </c>
      <c r="J2852" s="110">
        <f t="shared" si="687"/>
        <v>362210.04349999991</v>
      </c>
    </row>
    <row r="2853" spans="1:10">
      <c r="B2853" s="737">
        <v>46052</v>
      </c>
      <c r="C2853" s="732" t="s">
        <v>2932</v>
      </c>
      <c r="D2853" s="732">
        <v>8</v>
      </c>
      <c r="E2853" s="613">
        <v>450.89</v>
      </c>
      <c r="F2853" s="735">
        <f t="shared" si="684"/>
        <v>3607.12</v>
      </c>
      <c r="G2853" s="735">
        <v>2.4994999999999998</v>
      </c>
      <c r="H2853" s="735">
        <f t="shared" si="685"/>
        <v>1126.9995549999999</v>
      </c>
      <c r="I2853" s="735">
        <f t="shared" si="686"/>
        <v>9015.996439999999</v>
      </c>
      <c r="J2853" s="732">
        <f t="shared" si="687"/>
        <v>371226.03993999993</v>
      </c>
    </row>
    <row r="2854" spans="1:10">
      <c r="B2854" s="737">
        <v>46052</v>
      </c>
      <c r="C2854" s="732" t="s">
        <v>2933</v>
      </c>
      <c r="D2854" s="732">
        <v>8</v>
      </c>
      <c r="E2854" s="613">
        <v>431.1</v>
      </c>
      <c r="F2854" s="735">
        <f t="shared" si="684"/>
        <v>3448.8</v>
      </c>
      <c r="G2854" s="735">
        <v>2.4994999999999998</v>
      </c>
      <c r="H2854" s="735">
        <f t="shared" si="685"/>
        <v>1077.5344499999999</v>
      </c>
      <c r="I2854" s="735">
        <f t="shared" si="686"/>
        <v>8620.275599999999</v>
      </c>
      <c r="J2854" s="732">
        <f t="shared" si="687"/>
        <v>379846.31553999992</v>
      </c>
    </row>
    <row r="2855" spans="1:10">
      <c r="B2855" s="737">
        <v>46052</v>
      </c>
      <c r="C2855" s="732" t="s">
        <v>2934</v>
      </c>
      <c r="D2855" s="732">
        <v>6</v>
      </c>
      <c r="E2855" s="613">
        <v>440.1</v>
      </c>
      <c r="F2855" s="735">
        <f t="shared" si="684"/>
        <v>2640.6000000000004</v>
      </c>
      <c r="G2855" s="735">
        <v>2.4994999999999998</v>
      </c>
      <c r="H2855" s="735">
        <f t="shared" si="685"/>
        <v>1100.0299499999999</v>
      </c>
      <c r="I2855" s="735">
        <f t="shared" si="686"/>
        <v>6600.1796999999988</v>
      </c>
      <c r="J2855" s="732">
        <f t="shared" si="687"/>
        <v>386446.4952399999</v>
      </c>
    </row>
    <row r="2856" spans="1:10">
      <c r="B2856" s="737">
        <v>46052</v>
      </c>
      <c r="C2856" s="732" t="s">
        <v>2934</v>
      </c>
      <c r="D2856" s="732">
        <v>4</v>
      </c>
      <c r="E2856" s="613">
        <v>440.1</v>
      </c>
      <c r="F2856" s="735">
        <f t="shared" si="684"/>
        <v>1760.4</v>
      </c>
      <c r="G2856" s="735">
        <v>2.4994999999999998</v>
      </c>
      <c r="H2856" s="735">
        <f t="shared" si="685"/>
        <v>1100.0299499999999</v>
      </c>
      <c r="I2856" s="735">
        <f t="shared" si="686"/>
        <v>4400.1197999999995</v>
      </c>
      <c r="J2856" s="732">
        <f t="shared" si="687"/>
        <v>390846.61503999989</v>
      </c>
    </row>
    <row r="2857" spans="1:10">
      <c r="B2857" s="737">
        <v>46052</v>
      </c>
      <c r="C2857" s="732" t="s">
        <v>2935</v>
      </c>
      <c r="D2857" s="732">
        <v>10</v>
      </c>
      <c r="E2857" s="613">
        <v>454.49</v>
      </c>
      <c r="F2857" s="735">
        <f t="shared" si="684"/>
        <v>4544.8999999999996</v>
      </c>
      <c r="G2857" s="735">
        <v>2.4994999999999998</v>
      </c>
      <c r="H2857" s="735">
        <f t="shared" si="685"/>
        <v>1135.9977549999999</v>
      </c>
      <c r="I2857" s="735">
        <f t="shared" si="686"/>
        <v>11359.97755</v>
      </c>
      <c r="J2857" s="732">
        <f t="shared" si="687"/>
        <v>402206.5925899999</v>
      </c>
    </row>
    <row r="2858" spans="1:10">
      <c r="B2858" s="737">
        <v>46052</v>
      </c>
      <c r="C2858" s="732" t="s">
        <v>2936</v>
      </c>
      <c r="D2858" s="732">
        <v>11</v>
      </c>
      <c r="E2858" s="613">
        <v>423.45</v>
      </c>
      <c r="F2858" s="735">
        <f t="shared" si="684"/>
        <v>4657.95</v>
      </c>
      <c r="G2858" s="735">
        <v>2.4994999999999998</v>
      </c>
      <c r="H2858" s="735">
        <f t="shared" si="685"/>
        <v>1058.4132749999999</v>
      </c>
      <c r="I2858" s="735">
        <f t="shared" si="686"/>
        <v>11642.546025</v>
      </c>
      <c r="J2858" s="732">
        <f t="shared" si="687"/>
        <v>413849.13861499989</v>
      </c>
    </row>
    <row r="2859" spans="1:10">
      <c r="B2859" s="737">
        <v>46052</v>
      </c>
      <c r="C2859" s="732" t="s">
        <v>2936</v>
      </c>
      <c r="D2859" s="732">
        <v>1</v>
      </c>
      <c r="E2859" s="613">
        <v>431.1</v>
      </c>
      <c r="F2859" s="735">
        <f t="shared" ref="F2859:F2866" si="688">E2859*D2859</f>
        <v>431.1</v>
      </c>
      <c r="G2859" s="735">
        <v>2.4994999999999998</v>
      </c>
      <c r="H2859" s="735">
        <f t="shared" ref="H2859:H2866" si="689">E2859*G2859</f>
        <v>1077.5344499999999</v>
      </c>
      <c r="I2859" s="735">
        <f t="shared" ref="I2859:I2866" si="690">H2859*D2859</f>
        <v>1077.5344499999999</v>
      </c>
      <c r="J2859" s="732">
        <f t="shared" ref="J2859:J2866" si="691">J2858+I2859</f>
        <v>414926.67306499986</v>
      </c>
    </row>
    <row r="2860" spans="1:10">
      <c r="B2860" s="737">
        <v>46052</v>
      </c>
      <c r="C2860" s="732" t="s">
        <v>2937</v>
      </c>
      <c r="D2860" s="732">
        <v>7</v>
      </c>
      <c r="E2860" s="613">
        <v>431.1</v>
      </c>
      <c r="F2860" s="735">
        <f t="shared" si="688"/>
        <v>3017.7000000000003</v>
      </c>
      <c r="G2860" s="735">
        <v>2.4994999999999998</v>
      </c>
      <c r="H2860" s="735">
        <f t="shared" si="689"/>
        <v>1077.5344499999999</v>
      </c>
      <c r="I2860" s="735">
        <f t="shared" si="690"/>
        <v>7542.7411499999989</v>
      </c>
      <c r="J2860" s="732">
        <f t="shared" si="691"/>
        <v>422469.41421499988</v>
      </c>
    </row>
    <row r="2861" spans="1:10">
      <c r="B2861" s="737">
        <v>46052</v>
      </c>
      <c r="C2861" s="732" t="s">
        <v>2938</v>
      </c>
      <c r="D2861" s="732">
        <v>15</v>
      </c>
      <c r="E2861" s="613">
        <v>431.1</v>
      </c>
      <c r="F2861" s="735">
        <f t="shared" si="688"/>
        <v>6466.5</v>
      </c>
      <c r="G2861" s="735">
        <v>2.4994999999999998</v>
      </c>
      <c r="H2861" s="735">
        <f t="shared" si="689"/>
        <v>1077.5344499999999</v>
      </c>
      <c r="I2861" s="735">
        <f t="shared" si="690"/>
        <v>16163.016749999999</v>
      </c>
      <c r="J2861" s="732">
        <f t="shared" si="691"/>
        <v>438632.43096499989</v>
      </c>
    </row>
    <row r="2862" spans="1:10">
      <c r="B2862" s="737">
        <v>46052</v>
      </c>
      <c r="C2862" s="732" t="s">
        <v>2939</v>
      </c>
      <c r="D2862" s="732">
        <v>5</v>
      </c>
      <c r="E2862" s="613">
        <v>450.89</v>
      </c>
      <c r="F2862" s="735">
        <f t="shared" si="688"/>
        <v>2254.4499999999998</v>
      </c>
      <c r="G2862" s="735">
        <v>2.4994999999999998</v>
      </c>
      <c r="H2862" s="735">
        <f t="shared" si="689"/>
        <v>1126.9995549999999</v>
      </c>
      <c r="I2862" s="735">
        <f t="shared" si="690"/>
        <v>5634.9977749999998</v>
      </c>
      <c r="J2862" s="732">
        <f t="shared" si="691"/>
        <v>444267.42873999989</v>
      </c>
    </row>
    <row r="2863" spans="1:10">
      <c r="B2863" s="737">
        <v>46052</v>
      </c>
      <c r="C2863" s="732" t="s">
        <v>2938</v>
      </c>
      <c r="D2863" s="732">
        <v>6</v>
      </c>
      <c r="E2863" s="613">
        <v>431.1</v>
      </c>
      <c r="F2863" s="735">
        <f t="shared" si="688"/>
        <v>2586.6000000000004</v>
      </c>
      <c r="G2863" s="735">
        <v>2.4994999999999998</v>
      </c>
      <c r="H2863" s="735">
        <f t="shared" si="689"/>
        <v>1077.5344499999999</v>
      </c>
      <c r="I2863" s="735">
        <f t="shared" si="690"/>
        <v>6465.2066999999988</v>
      </c>
      <c r="J2863" s="732">
        <f t="shared" si="691"/>
        <v>450732.63543999987</v>
      </c>
    </row>
    <row r="2864" spans="1:10">
      <c r="B2864" s="737">
        <v>46052</v>
      </c>
      <c r="C2864" s="732" t="s">
        <v>2940</v>
      </c>
      <c r="D2864" s="732">
        <v>8</v>
      </c>
      <c r="E2864" s="613">
        <v>431.1</v>
      </c>
      <c r="F2864" s="735">
        <f t="shared" si="688"/>
        <v>3448.8</v>
      </c>
      <c r="G2864" s="735">
        <v>2.4994999999999998</v>
      </c>
      <c r="H2864" s="735">
        <f t="shared" si="689"/>
        <v>1077.5344499999999</v>
      </c>
      <c r="I2864" s="735">
        <f t="shared" si="690"/>
        <v>8620.275599999999</v>
      </c>
      <c r="J2864" s="732">
        <f t="shared" si="691"/>
        <v>459352.91103999986</v>
      </c>
    </row>
    <row r="2865" spans="1:10">
      <c r="B2865" s="737">
        <v>46052</v>
      </c>
      <c r="C2865" s="732" t="s">
        <v>2942</v>
      </c>
      <c r="D2865" s="732">
        <v>8</v>
      </c>
      <c r="E2865" s="613">
        <v>431.1</v>
      </c>
      <c r="F2865" s="735">
        <f t="shared" si="688"/>
        <v>3448.8</v>
      </c>
      <c r="G2865" s="735">
        <v>2.4994999999999998</v>
      </c>
      <c r="H2865" s="735">
        <f t="shared" si="689"/>
        <v>1077.5344499999999</v>
      </c>
      <c r="I2865" s="735">
        <f t="shared" si="690"/>
        <v>8620.275599999999</v>
      </c>
      <c r="J2865" s="732">
        <f t="shared" si="691"/>
        <v>467973.18663999985</v>
      </c>
    </row>
    <row r="2866" spans="1:10">
      <c r="B2866" s="737">
        <v>46052</v>
      </c>
      <c r="C2866" s="732" t="s">
        <v>2941</v>
      </c>
      <c r="D2866" s="732">
        <v>16</v>
      </c>
      <c r="E2866" s="613">
        <v>431.1</v>
      </c>
      <c r="F2866" s="735">
        <f t="shared" si="688"/>
        <v>6897.6</v>
      </c>
      <c r="G2866" s="735">
        <v>2.4994999999999998</v>
      </c>
      <c r="H2866" s="735">
        <f t="shared" si="689"/>
        <v>1077.5344499999999</v>
      </c>
      <c r="I2866" s="735">
        <f t="shared" si="690"/>
        <v>17240.551199999998</v>
      </c>
      <c r="J2866" s="732">
        <f t="shared" si="691"/>
        <v>485213.73783999984</v>
      </c>
    </row>
    <row r="2867" spans="1:10">
      <c r="B2867" s="737">
        <v>46052</v>
      </c>
      <c r="C2867" s="732" t="s">
        <v>2937</v>
      </c>
      <c r="D2867" s="732">
        <v>2</v>
      </c>
      <c r="E2867" s="613">
        <v>450.89</v>
      </c>
      <c r="F2867" s="735">
        <f>E2867*D2867</f>
        <v>901.78</v>
      </c>
      <c r="G2867" s="735">
        <v>2.4994999999999998</v>
      </c>
      <c r="H2867" s="735">
        <f>E2867*G2867</f>
        <v>1126.9995549999999</v>
      </c>
      <c r="I2867" s="735">
        <f>H2867*D2867</f>
        <v>2253.9991099999997</v>
      </c>
      <c r="J2867" s="732">
        <f>J2866+I2867</f>
        <v>487467.73694999982</v>
      </c>
    </row>
    <row r="2868" spans="1:10">
      <c r="B2868" s="594">
        <v>46053</v>
      </c>
      <c r="C2868" s="296" t="s">
        <v>2944</v>
      </c>
      <c r="D2868" s="296">
        <v>1</v>
      </c>
      <c r="E2868" s="595">
        <v>1400</v>
      </c>
      <c r="F2868" s="596">
        <f>E2868*D2868</f>
        <v>1400</v>
      </c>
      <c r="G2868" s="596">
        <v>2.4994999999999998</v>
      </c>
      <c r="H2868" s="596">
        <f>E2868*G2868</f>
        <v>3499.2999999999997</v>
      </c>
      <c r="I2868" s="596">
        <f>H2868*D2868</f>
        <v>3499.2999999999997</v>
      </c>
      <c r="J2868" s="296">
        <f>J2867+I2868</f>
        <v>490967.03694999981</v>
      </c>
    </row>
    <row r="2869" spans="1:10">
      <c r="B2869" s="594">
        <v>46053</v>
      </c>
      <c r="C2869" s="296" t="s">
        <v>2943</v>
      </c>
      <c r="D2869" s="296">
        <v>1</v>
      </c>
      <c r="E2869" s="595">
        <v>1480</v>
      </c>
      <c r="F2869" s="596">
        <f>E2869*D2869</f>
        <v>1480</v>
      </c>
      <c r="G2869" s="596">
        <v>2.4994999999999998</v>
      </c>
      <c r="H2869" s="596">
        <f>E2869*G2869</f>
        <v>3699.2599999999998</v>
      </c>
      <c r="I2869" s="596">
        <f>H2869*D2869</f>
        <v>3699.2599999999998</v>
      </c>
      <c r="J2869" s="296">
        <f>J2868+I2869</f>
        <v>494666.29694999981</v>
      </c>
    </row>
    <row r="2870" spans="1:10">
      <c r="B2870" s="735"/>
      <c r="C2870" s="735"/>
      <c r="D2870" s="735"/>
      <c r="E2870" s="735"/>
      <c r="F2870" s="735">
        <f>E2870*D2870</f>
        <v>0</v>
      </c>
      <c r="G2870" s="735"/>
      <c r="H2870" s="735">
        <f>E2870*G2870</f>
        <v>0</v>
      </c>
      <c r="I2870" s="735">
        <f>H2870*D2870</f>
        <v>0</v>
      </c>
      <c r="J2870" s="732">
        <f>J2869+I2870</f>
        <v>494666.29694999981</v>
      </c>
    </row>
    <row r="2871" spans="1:10">
      <c r="B2871" s="735"/>
      <c r="C2871" s="735"/>
      <c r="D2871" s="735"/>
      <c r="E2871" s="735"/>
      <c r="F2871" s="735">
        <f>E2871*D2871</f>
        <v>0</v>
      </c>
      <c r="G2871" s="735"/>
      <c r="H2871" s="735">
        <f>E2871*G2871</f>
        <v>0</v>
      </c>
      <c r="I2871" s="735">
        <f>H2871*D2871</f>
        <v>0</v>
      </c>
      <c r="J2871" s="732">
        <f>J2870+I2871</f>
        <v>494666.29694999981</v>
      </c>
    </row>
    <row r="2875" spans="1:10" ht="21">
      <c r="A2875" s="731" t="s">
        <v>125</v>
      </c>
      <c r="B2875" s="1520" t="s">
        <v>35</v>
      </c>
      <c r="C2875" s="1520"/>
      <c r="D2875" s="1520"/>
      <c r="E2875" s="1520"/>
      <c r="F2875" s="1520"/>
      <c r="G2875" s="1520"/>
      <c r="H2875" s="1520"/>
      <c r="I2875" s="1520"/>
      <c r="J2875" s="1520"/>
    </row>
    <row r="2876" spans="1:10" ht="18.75">
      <c r="A2876" s="731" t="s">
        <v>212</v>
      </c>
      <c r="B2876" s="4" t="s">
        <v>1</v>
      </c>
      <c r="C2876" s="4" t="s">
        <v>2</v>
      </c>
      <c r="D2876" s="4" t="s">
        <v>3</v>
      </c>
      <c r="E2876" s="4" t="s">
        <v>4</v>
      </c>
      <c r="F2876" s="4" t="s">
        <v>36</v>
      </c>
      <c r="G2876" s="4" t="s">
        <v>5</v>
      </c>
      <c r="H2876" s="4" t="s">
        <v>6</v>
      </c>
      <c r="I2876" s="4" t="s">
        <v>7</v>
      </c>
      <c r="J2876" s="4"/>
    </row>
    <row r="2877" spans="1:10">
      <c r="B2877" s="737">
        <v>46051</v>
      </c>
      <c r="C2877" s="732" t="s">
        <v>2947</v>
      </c>
      <c r="D2877" s="732">
        <v>100</v>
      </c>
      <c r="E2877" s="732">
        <v>299</v>
      </c>
      <c r="F2877" s="735">
        <f>E2877*D2877</f>
        <v>29900</v>
      </c>
      <c r="G2877" s="735">
        <v>2.13</v>
      </c>
      <c r="H2877" s="735">
        <f>E2877*G2877</f>
        <v>636.87</v>
      </c>
      <c r="I2877" s="735">
        <f>H2877*D2877</f>
        <v>63687</v>
      </c>
      <c r="J2877" s="732">
        <f>J2876+I2877</f>
        <v>63687</v>
      </c>
    </row>
    <row r="2878" spans="1:10">
      <c r="B2878" s="737">
        <v>46051</v>
      </c>
      <c r="C2878" s="732" t="s">
        <v>2948</v>
      </c>
      <c r="D2878" s="732">
        <v>4</v>
      </c>
      <c r="E2878" s="732">
        <v>349</v>
      </c>
      <c r="F2878" s="735">
        <f>E2878*D2878</f>
        <v>1396</v>
      </c>
      <c r="G2878" s="735">
        <v>2.13</v>
      </c>
      <c r="H2878" s="735">
        <f>E2878*G2878</f>
        <v>743.37</v>
      </c>
      <c r="I2878" s="735">
        <f>H2878*D2878</f>
        <v>2973.48</v>
      </c>
      <c r="J2878" s="732">
        <f>J2877+I2878</f>
        <v>66660.479999999996</v>
      </c>
    </row>
    <row r="2879" spans="1:10">
      <c r="B2879" s="735"/>
      <c r="C2879" s="735"/>
      <c r="D2879" s="735"/>
      <c r="E2879" s="735"/>
      <c r="F2879" s="735">
        <f>E2879*D2879</f>
        <v>0</v>
      </c>
      <c r="G2879" s="735"/>
      <c r="H2879" s="735">
        <f>E2879*G2879</f>
        <v>0</v>
      </c>
      <c r="I2879" s="735">
        <f>H2879*D2879</f>
        <v>0</v>
      </c>
      <c r="J2879" s="732">
        <f>J2878+I2879</f>
        <v>66660.479999999996</v>
      </c>
    </row>
    <row r="2884" spans="1:10" ht="21">
      <c r="A2884" s="731" t="s">
        <v>125</v>
      </c>
      <c r="B2884" s="1520" t="s">
        <v>20</v>
      </c>
      <c r="C2884" s="1520"/>
      <c r="D2884" s="1520"/>
      <c r="E2884" s="1520"/>
      <c r="F2884" s="1520"/>
      <c r="G2884" s="1520"/>
      <c r="H2884" s="1520"/>
      <c r="I2884" s="1520"/>
      <c r="J2884" s="1520"/>
    </row>
    <row r="2885" spans="1:10" ht="18.75">
      <c r="A2885" s="731" t="s">
        <v>212</v>
      </c>
      <c r="B2885" s="4" t="s">
        <v>1</v>
      </c>
      <c r="C2885" s="4" t="s">
        <v>2</v>
      </c>
      <c r="D2885" s="4" t="s">
        <v>3</v>
      </c>
      <c r="E2885" s="4" t="s">
        <v>4</v>
      </c>
      <c r="F2885" s="4" t="s">
        <v>36</v>
      </c>
      <c r="G2885" s="4" t="s">
        <v>5</v>
      </c>
      <c r="H2885" s="4" t="s">
        <v>6</v>
      </c>
      <c r="I2885" s="4" t="s">
        <v>7</v>
      </c>
      <c r="J2885" s="4"/>
    </row>
    <row r="2886" spans="1:10">
      <c r="B2886" s="583">
        <v>46055</v>
      </c>
      <c r="C2886" s="230" t="s">
        <v>1791</v>
      </c>
      <c r="D2886" s="230">
        <v>11</v>
      </c>
      <c r="E2886" s="636">
        <v>398</v>
      </c>
      <c r="F2886" s="794">
        <f>E2886*D2886</f>
        <v>4378</v>
      </c>
      <c r="G2886" s="794">
        <v>2.5188000000000001</v>
      </c>
      <c r="H2886" s="794">
        <f>E2886*G2886</f>
        <v>1002.4824000000001</v>
      </c>
      <c r="I2886" s="735">
        <f>H2886*D2886</f>
        <v>11027.306400000001</v>
      </c>
      <c r="J2886" s="732">
        <f>J2885+I2886</f>
        <v>11027.306400000001</v>
      </c>
    </row>
    <row r="2887" spans="1:10">
      <c r="B2887" s="583">
        <v>46055</v>
      </c>
      <c r="C2887" s="230" t="s">
        <v>1649</v>
      </c>
      <c r="D2887" s="230">
        <v>4</v>
      </c>
      <c r="E2887" s="533">
        <v>431</v>
      </c>
      <c r="F2887" s="794">
        <f t="shared" ref="F2887:F2894" si="692">E2887*D2887</f>
        <v>1724</v>
      </c>
      <c r="G2887" s="794">
        <v>2.5188000000000001</v>
      </c>
      <c r="H2887" s="794">
        <f t="shared" ref="H2887:H2894" si="693">E2887*G2887</f>
        <v>1085.6028000000001</v>
      </c>
      <c r="I2887" s="735">
        <f t="shared" ref="I2887:I2894" si="694">H2887*D2887</f>
        <v>4342.4112000000005</v>
      </c>
      <c r="J2887" s="732">
        <f t="shared" ref="J2887:J2894" si="695">J2886+I2887</f>
        <v>15369.717600000002</v>
      </c>
    </row>
    <row r="2888" spans="1:10">
      <c r="B2888" s="583">
        <v>46056</v>
      </c>
      <c r="C2888" s="230" t="s">
        <v>1682</v>
      </c>
      <c r="D2888" s="230">
        <v>3</v>
      </c>
      <c r="E2888" s="533">
        <v>431</v>
      </c>
      <c r="F2888" s="794">
        <f t="shared" si="692"/>
        <v>1293</v>
      </c>
      <c r="G2888" s="794">
        <v>2.5188000000000001</v>
      </c>
      <c r="H2888" s="794">
        <f>E2888*G2888</f>
        <v>1085.6028000000001</v>
      </c>
      <c r="I2888" s="735">
        <f t="shared" si="694"/>
        <v>3256.8084000000003</v>
      </c>
      <c r="J2888" s="732">
        <f t="shared" si="695"/>
        <v>18626.526000000002</v>
      </c>
    </row>
    <row r="2889" spans="1:10" ht="15.75" thickBot="1">
      <c r="B2889" s="841">
        <v>46056</v>
      </c>
      <c r="C2889" s="842" t="s">
        <v>2996</v>
      </c>
      <c r="D2889" s="842">
        <v>8</v>
      </c>
      <c r="E2889" s="843">
        <v>440</v>
      </c>
      <c r="F2889" s="844">
        <f t="shared" si="692"/>
        <v>3520</v>
      </c>
      <c r="G2889" s="844">
        <v>2.5188000000000001</v>
      </c>
      <c r="H2889" s="844">
        <f t="shared" si="693"/>
        <v>1108.2720000000002</v>
      </c>
      <c r="I2889" s="845">
        <f t="shared" si="694"/>
        <v>8866.1760000000013</v>
      </c>
      <c r="J2889" s="846">
        <f t="shared" si="695"/>
        <v>27492.702000000005</v>
      </c>
    </row>
    <row r="2890" spans="1:10">
      <c r="B2890" s="837">
        <v>46056</v>
      </c>
      <c r="C2890" s="838" t="s">
        <v>1816</v>
      </c>
      <c r="D2890" s="838">
        <v>5</v>
      </c>
      <c r="E2890" s="839">
        <v>440</v>
      </c>
      <c r="F2890" s="840">
        <f t="shared" si="692"/>
        <v>2200</v>
      </c>
      <c r="G2890" s="840">
        <v>2.5188000000000001</v>
      </c>
      <c r="H2890" s="840">
        <f t="shared" si="693"/>
        <v>1108.2720000000002</v>
      </c>
      <c r="I2890" s="384">
        <f t="shared" si="694"/>
        <v>5541.3600000000006</v>
      </c>
      <c r="J2890" s="284">
        <f t="shared" si="695"/>
        <v>33034.062000000005</v>
      </c>
    </row>
    <row r="2891" spans="1:10">
      <c r="B2891" s="583">
        <v>46056</v>
      </c>
      <c r="C2891" s="230" t="s">
        <v>1882</v>
      </c>
      <c r="D2891" s="230">
        <v>6</v>
      </c>
      <c r="E2891" s="533">
        <v>440</v>
      </c>
      <c r="F2891" s="794">
        <f t="shared" si="692"/>
        <v>2640</v>
      </c>
      <c r="G2891" s="794">
        <v>2.5188000000000001</v>
      </c>
      <c r="H2891" s="794">
        <f t="shared" si="693"/>
        <v>1108.2720000000002</v>
      </c>
      <c r="I2891" s="735">
        <f t="shared" si="694"/>
        <v>6649.6320000000014</v>
      </c>
      <c r="J2891" s="732">
        <f t="shared" si="695"/>
        <v>39683.694000000003</v>
      </c>
    </row>
    <row r="2892" spans="1:10">
      <c r="B2892" s="583">
        <v>46056</v>
      </c>
      <c r="C2892" s="230" t="s">
        <v>2997</v>
      </c>
      <c r="D2892" s="230">
        <v>3</v>
      </c>
      <c r="E2892" s="533">
        <v>398</v>
      </c>
      <c r="F2892" s="794">
        <f t="shared" si="692"/>
        <v>1194</v>
      </c>
      <c r="G2892" s="794">
        <v>2.5188000000000001</v>
      </c>
      <c r="H2892" s="794">
        <f t="shared" si="693"/>
        <v>1002.4824000000001</v>
      </c>
      <c r="I2892" s="735">
        <f t="shared" si="694"/>
        <v>3007.4472000000005</v>
      </c>
      <c r="J2892" s="732">
        <f t="shared" si="695"/>
        <v>42691.141200000005</v>
      </c>
    </row>
    <row r="2893" spans="1:10">
      <c r="B2893" s="583">
        <v>46056</v>
      </c>
      <c r="C2893" s="230" t="s">
        <v>2998</v>
      </c>
      <c r="D2893" s="230">
        <v>3</v>
      </c>
      <c r="E2893" s="533">
        <v>398</v>
      </c>
      <c r="F2893" s="794">
        <f t="shared" si="692"/>
        <v>1194</v>
      </c>
      <c r="G2893" s="794">
        <v>2.5188000000000001</v>
      </c>
      <c r="H2893" s="794">
        <f t="shared" si="693"/>
        <v>1002.4824000000001</v>
      </c>
      <c r="I2893" s="735">
        <f t="shared" si="694"/>
        <v>3007.4472000000005</v>
      </c>
      <c r="J2893" s="732">
        <f t="shared" si="695"/>
        <v>45698.588400000008</v>
      </c>
    </row>
    <row r="2894" spans="1:10">
      <c r="B2894" s="583">
        <v>46056</v>
      </c>
      <c r="C2894" s="230" t="s">
        <v>2999</v>
      </c>
      <c r="D2894" s="230">
        <v>2</v>
      </c>
      <c r="E2894" s="533">
        <v>398</v>
      </c>
      <c r="F2894" s="794">
        <f t="shared" si="692"/>
        <v>796</v>
      </c>
      <c r="G2894" s="794">
        <v>2.5188000000000001</v>
      </c>
      <c r="H2894" s="794">
        <f t="shared" si="693"/>
        <v>1002.4824000000001</v>
      </c>
      <c r="I2894" s="735">
        <f t="shared" si="694"/>
        <v>2004.9648000000002</v>
      </c>
      <c r="J2894" s="732">
        <f t="shared" si="695"/>
        <v>47703.553200000009</v>
      </c>
    </row>
    <row r="2895" spans="1:10">
      <c r="B2895" s="583">
        <v>46056</v>
      </c>
      <c r="C2895" s="230" t="s">
        <v>3000</v>
      </c>
      <c r="D2895" s="230">
        <v>1</v>
      </c>
      <c r="E2895" s="533">
        <v>7</v>
      </c>
      <c r="F2895" s="794">
        <f>E2895*D2895</f>
        <v>7</v>
      </c>
      <c r="G2895" s="794">
        <v>2.5188000000000001</v>
      </c>
      <c r="H2895" s="794">
        <f>E2895*G2895</f>
        <v>17.631600000000002</v>
      </c>
      <c r="I2895" s="735">
        <f>H2895*D2895</f>
        <v>17.631600000000002</v>
      </c>
      <c r="J2895" s="732">
        <f>J2894+I2895</f>
        <v>47721.18480000001</v>
      </c>
    </row>
    <row r="2896" spans="1:10">
      <c r="B2896" s="585">
        <v>46056</v>
      </c>
      <c r="C2896" s="110" t="s">
        <v>3002</v>
      </c>
      <c r="D2896" s="110">
        <v>5</v>
      </c>
      <c r="E2896" s="184">
        <v>2490</v>
      </c>
      <c r="F2896" s="127">
        <f>E2896*D2896</f>
        <v>12450</v>
      </c>
      <c r="G2896" s="127">
        <v>2.5188000000000001</v>
      </c>
      <c r="H2896" s="127">
        <f>E2896*G2896</f>
        <v>6271.8120000000008</v>
      </c>
      <c r="I2896" s="127">
        <f>H2896*D2896</f>
        <v>31359.060000000005</v>
      </c>
      <c r="J2896" s="110">
        <f>J2895+I2896</f>
        <v>79080.244800000015</v>
      </c>
    </row>
    <row r="2897" spans="1:15">
      <c r="B2897" s="735"/>
      <c r="C2897" s="735"/>
      <c r="D2897" s="735"/>
      <c r="E2897" s="735"/>
      <c r="F2897" s="735"/>
      <c r="G2897" s="735"/>
      <c r="H2897" s="735">
        <f>E2897*G2897</f>
        <v>0</v>
      </c>
      <c r="I2897" s="735">
        <f>H2897*D2897</f>
        <v>0</v>
      </c>
      <c r="J2897" s="732">
        <f>J2896+I2897</f>
        <v>79080.244800000015</v>
      </c>
    </row>
    <row r="2898" spans="1:15">
      <c r="B2898" s="735"/>
      <c r="C2898" s="735"/>
      <c r="D2898" s="735"/>
      <c r="E2898" s="735"/>
      <c r="F2898" s="735">
        <f>E2898*D2898</f>
        <v>0</v>
      </c>
      <c r="G2898" s="735"/>
      <c r="H2898" s="735">
        <f>E2898*G2898</f>
        <v>0</v>
      </c>
      <c r="I2898" s="735">
        <f>H2898*D2898</f>
        <v>0</v>
      </c>
      <c r="J2898" s="732">
        <f>J2897+I2898</f>
        <v>79080.244800000015</v>
      </c>
    </row>
    <row r="2899" spans="1:15">
      <c r="B2899" s="735"/>
      <c r="C2899" s="735"/>
      <c r="D2899" s="735"/>
      <c r="E2899" s="735"/>
      <c r="F2899" s="735">
        <f>E2899*D2899</f>
        <v>0</v>
      </c>
      <c r="G2899" s="735"/>
      <c r="H2899" s="735">
        <f>E2899*G2899</f>
        <v>0</v>
      </c>
      <c r="I2899" s="735">
        <f>H2899*D2899</f>
        <v>0</v>
      </c>
      <c r="J2899" s="732">
        <f>J2898+I2899</f>
        <v>79080.244800000015</v>
      </c>
    </row>
    <row r="2904" spans="1:15" ht="21">
      <c r="A2904" s="731" t="s">
        <v>125</v>
      </c>
      <c r="B2904" s="1521" t="s">
        <v>20</v>
      </c>
      <c r="C2904" s="1521"/>
      <c r="D2904" s="1521"/>
      <c r="E2904" s="1521"/>
      <c r="F2904" s="1521"/>
      <c r="G2904" s="1521"/>
      <c r="H2904" s="1521"/>
      <c r="I2904" s="1521"/>
      <c r="J2904" s="1521"/>
      <c r="K2904" s="1521"/>
      <c r="L2904" s="1521"/>
      <c r="M2904" s="1521"/>
      <c r="N2904" s="1521"/>
      <c r="O2904" s="1521"/>
    </row>
    <row r="2905" spans="1:15" ht="18.75">
      <c r="A2905" s="731" t="s">
        <v>212</v>
      </c>
      <c r="B2905" s="226" t="s">
        <v>1</v>
      </c>
      <c r="C2905" s="226" t="s">
        <v>2</v>
      </c>
      <c r="D2905" s="226" t="s">
        <v>444</v>
      </c>
      <c r="E2905" s="226" t="s">
        <v>33</v>
      </c>
      <c r="F2905" s="226" t="s">
        <v>3</v>
      </c>
      <c r="G2905" s="226" t="s">
        <v>445</v>
      </c>
      <c r="H2905" s="226" t="s">
        <v>451</v>
      </c>
      <c r="I2905" s="226" t="s">
        <v>446</v>
      </c>
      <c r="J2905" s="226" t="s">
        <v>447</v>
      </c>
      <c r="K2905" s="226" t="s">
        <v>448</v>
      </c>
      <c r="L2905" s="226" t="s">
        <v>449</v>
      </c>
      <c r="M2905" s="226" t="s">
        <v>450</v>
      </c>
      <c r="N2905" s="226" t="s">
        <v>7</v>
      </c>
      <c r="O2905" s="29"/>
    </row>
    <row r="2906" spans="1:15">
      <c r="B2906" s="583">
        <v>46056</v>
      </c>
      <c r="C2906" s="230" t="s">
        <v>3001</v>
      </c>
      <c r="D2906" s="794"/>
      <c r="E2906" s="794"/>
      <c r="F2906" s="230">
        <v>2</v>
      </c>
      <c r="G2906" s="735">
        <v>2197</v>
      </c>
      <c r="H2906" s="735">
        <v>10</v>
      </c>
      <c r="I2906" s="735">
        <f>G2906*H2906%</f>
        <v>219.70000000000002</v>
      </c>
      <c r="J2906" s="732">
        <f>G2906-I2906</f>
        <v>1977.3</v>
      </c>
      <c r="K2906" s="732">
        <f>F2906*J2906</f>
        <v>3954.6</v>
      </c>
      <c r="L2906" s="735">
        <v>2.5188000000000001</v>
      </c>
      <c r="M2906" s="732">
        <f>J2906*L2906</f>
        <v>4980.4232400000001</v>
      </c>
      <c r="N2906" s="732">
        <f>F2906*M2906</f>
        <v>9960.8464800000002</v>
      </c>
      <c r="O2906" s="732">
        <f>O2905+N2906</f>
        <v>9960.8464800000002</v>
      </c>
    </row>
    <row r="2907" spans="1:15">
      <c r="B2907" s="735"/>
      <c r="C2907" s="735"/>
      <c r="D2907" s="735"/>
      <c r="E2907" s="735"/>
      <c r="F2907" s="735"/>
      <c r="G2907" s="735"/>
      <c r="H2907" s="735"/>
      <c r="I2907" s="735">
        <f>G2907*H2907%</f>
        <v>0</v>
      </c>
      <c r="J2907" s="732">
        <f>G2907-I2907</f>
        <v>0</v>
      </c>
      <c r="K2907" s="732">
        <f>F2907*J2907</f>
        <v>0</v>
      </c>
      <c r="L2907" s="732"/>
      <c r="M2907" s="732">
        <f>J2907*L2907</f>
        <v>0</v>
      </c>
      <c r="N2907" s="732">
        <f>F2907*M2907</f>
        <v>0</v>
      </c>
      <c r="O2907" s="732">
        <f>O2906+N2907</f>
        <v>9960.8464800000002</v>
      </c>
    </row>
    <row r="2908" spans="1:15">
      <c r="J2908" s="656"/>
    </row>
    <row r="2909" spans="1:15">
      <c r="J2909" s="656"/>
    </row>
    <row r="2914" spans="1:10" ht="21">
      <c r="A2914" s="731" t="s">
        <v>125</v>
      </c>
      <c r="B2914" s="1520" t="s">
        <v>20</v>
      </c>
      <c r="C2914" s="1520"/>
      <c r="D2914" s="1520"/>
      <c r="E2914" s="1520"/>
      <c r="F2914" s="1520"/>
      <c r="G2914" s="1520"/>
      <c r="H2914" s="1520"/>
      <c r="I2914" s="1520"/>
      <c r="J2914" s="1520"/>
    </row>
    <row r="2915" spans="1:10" ht="18.75">
      <c r="A2915" s="731" t="s">
        <v>212</v>
      </c>
      <c r="B2915" s="4" t="s">
        <v>1</v>
      </c>
      <c r="C2915" s="4" t="s">
        <v>2</v>
      </c>
      <c r="D2915" s="4" t="s">
        <v>3</v>
      </c>
      <c r="E2915" s="4" t="s">
        <v>4</v>
      </c>
      <c r="F2915" s="4" t="s">
        <v>36</v>
      </c>
      <c r="G2915" s="4" t="s">
        <v>5</v>
      </c>
      <c r="H2915" s="4" t="s">
        <v>6</v>
      </c>
      <c r="I2915" s="4" t="s">
        <v>7</v>
      </c>
      <c r="J2915" s="4"/>
    </row>
    <row r="2916" spans="1:10">
      <c r="B2916" s="583">
        <v>46057</v>
      </c>
      <c r="C2916" s="230" t="s">
        <v>3448</v>
      </c>
      <c r="D2916" s="230">
        <v>3</v>
      </c>
      <c r="E2916" s="230">
        <v>397</v>
      </c>
      <c r="F2916" s="735">
        <f>E2916*D2916</f>
        <v>1191</v>
      </c>
      <c r="G2916" s="735">
        <v>2.5461</v>
      </c>
      <c r="H2916" s="735">
        <f>E2916*G2916</f>
        <v>1010.8017</v>
      </c>
      <c r="I2916" s="735">
        <f>H2916*D2916</f>
        <v>3032.4050999999999</v>
      </c>
      <c r="J2916" s="732">
        <f>J2915+I2916</f>
        <v>3032.4050999999999</v>
      </c>
    </row>
    <row r="2917" spans="1:10">
      <c r="B2917" s="583">
        <v>46057</v>
      </c>
      <c r="C2917" s="230" t="s">
        <v>1652</v>
      </c>
      <c r="D2917" s="230">
        <v>4</v>
      </c>
      <c r="E2917" s="230">
        <v>454</v>
      </c>
      <c r="F2917" s="735">
        <f t="shared" ref="F2917:F2924" si="696">E2917*D2917</f>
        <v>1816</v>
      </c>
      <c r="G2917" s="735">
        <v>2.5461</v>
      </c>
      <c r="H2917" s="735">
        <f t="shared" ref="H2917:H2924" si="697">E2917*G2917</f>
        <v>1155.9294</v>
      </c>
      <c r="I2917" s="735">
        <f t="shared" ref="I2917:I2924" si="698">H2917*D2917</f>
        <v>4623.7175999999999</v>
      </c>
      <c r="J2917" s="732">
        <f t="shared" ref="J2917:J2924" si="699">J2916+I2917</f>
        <v>7656.1226999999999</v>
      </c>
    </row>
    <row r="2918" spans="1:10">
      <c r="B2918" s="583">
        <v>46057</v>
      </c>
      <c r="C2918" s="230" t="s">
        <v>1862</v>
      </c>
      <c r="D2918" s="230">
        <v>4</v>
      </c>
      <c r="E2918" s="230">
        <v>450</v>
      </c>
      <c r="F2918" s="735">
        <f t="shared" si="696"/>
        <v>1800</v>
      </c>
      <c r="G2918" s="735">
        <v>2.5461</v>
      </c>
      <c r="H2918" s="735">
        <f t="shared" si="697"/>
        <v>1145.7450000000001</v>
      </c>
      <c r="I2918" s="735">
        <f t="shared" si="698"/>
        <v>4582.9800000000005</v>
      </c>
      <c r="J2918" s="732">
        <f t="shared" si="699"/>
        <v>12239.102699999999</v>
      </c>
    </row>
    <row r="2919" spans="1:10">
      <c r="B2919" s="583">
        <v>46058</v>
      </c>
      <c r="C2919" s="230" t="s">
        <v>3449</v>
      </c>
      <c r="D2919" s="230">
        <v>50</v>
      </c>
      <c r="E2919" s="230">
        <v>397</v>
      </c>
      <c r="F2919" s="735">
        <f t="shared" si="696"/>
        <v>19850</v>
      </c>
      <c r="G2919" s="735">
        <v>2.5461</v>
      </c>
      <c r="H2919" s="735">
        <f t="shared" si="697"/>
        <v>1010.8017</v>
      </c>
      <c r="I2919" s="735">
        <f t="shared" si="698"/>
        <v>50540.084999999999</v>
      </c>
      <c r="J2919" s="732">
        <f t="shared" si="699"/>
        <v>62779.187699999995</v>
      </c>
    </row>
    <row r="2920" spans="1:10">
      <c r="B2920" s="583">
        <v>46059</v>
      </c>
      <c r="C2920" s="230" t="s">
        <v>1652</v>
      </c>
      <c r="D2920" s="230">
        <v>2</v>
      </c>
      <c r="E2920" s="230">
        <v>450</v>
      </c>
      <c r="F2920" s="735">
        <f t="shared" si="696"/>
        <v>900</v>
      </c>
      <c r="G2920" s="735">
        <v>2.5461</v>
      </c>
      <c r="H2920" s="735">
        <f t="shared" si="697"/>
        <v>1145.7450000000001</v>
      </c>
      <c r="I2920" s="735">
        <f t="shared" si="698"/>
        <v>2291.4900000000002</v>
      </c>
      <c r="J2920" s="732">
        <f t="shared" si="699"/>
        <v>65070.677699999993</v>
      </c>
    </row>
    <row r="2921" spans="1:10">
      <c r="B2921" s="583">
        <v>46066</v>
      </c>
      <c r="C2921" s="230" t="s">
        <v>3450</v>
      </c>
      <c r="D2921" s="230">
        <v>1</v>
      </c>
      <c r="E2921" s="230">
        <v>2949</v>
      </c>
      <c r="F2921" s="735">
        <f t="shared" si="696"/>
        <v>2949</v>
      </c>
      <c r="G2921" s="735">
        <v>2.5461</v>
      </c>
      <c r="H2921" s="735">
        <f t="shared" si="697"/>
        <v>7508.4489000000003</v>
      </c>
      <c r="I2921" s="735">
        <f t="shared" si="698"/>
        <v>7508.4489000000003</v>
      </c>
      <c r="J2921" s="732">
        <f t="shared" si="699"/>
        <v>72579.126599999989</v>
      </c>
    </row>
    <row r="2922" spans="1:10">
      <c r="B2922" s="583">
        <v>46066</v>
      </c>
      <c r="C2922" s="230" t="s">
        <v>3451</v>
      </c>
      <c r="D2922" s="230">
        <v>1</v>
      </c>
      <c r="E2922" s="230">
        <v>0</v>
      </c>
      <c r="F2922" s="735">
        <f t="shared" si="696"/>
        <v>0</v>
      </c>
      <c r="G2922" s="735">
        <v>2.5461</v>
      </c>
      <c r="H2922" s="735">
        <f t="shared" si="697"/>
        <v>0</v>
      </c>
      <c r="I2922" s="735">
        <f t="shared" si="698"/>
        <v>0</v>
      </c>
      <c r="J2922" s="732">
        <f t="shared" si="699"/>
        <v>72579.126599999989</v>
      </c>
    </row>
    <row r="2923" spans="1:10">
      <c r="B2923" s="583">
        <v>46066</v>
      </c>
      <c r="C2923" s="230" t="s">
        <v>3452</v>
      </c>
      <c r="D2923" s="230">
        <v>1</v>
      </c>
      <c r="E2923" s="230">
        <v>4400</v>
      </c>
      <c r="F2923" s="735">
        <f t="shared" si="696"/>
        <v>4400</v>
      </c>
      <c r="G2923" s="735">
        <v>2.5461</v>
      </c>
      <c r="H2923" s="735">
        <f t="shared" si="697"/>
        <v>11202.84</v>
      </c>
      <c r="I2923" s="735">
        <f t="shared" si="698"/>
        <v>11202.84</v>
      </c>
      <c r="J2923" s="732">
        <f t="shared" si="699"/>
        <v>83781.966599999985</v>
      </c>
    </row>
    <row r="2924" spans="1:10">
      <c r="B2924" s="583">
        <v>46066</v>
      </c>
      <c r="C2924" s="230" t="s">
        <v>3453</v>
      </c>
      <c r="D2924" s="230">
        <v>1</v>
      </c>
      <c r="E2924" s="230">
        <v>3300</v>
      </c>
      <c r="F2924" s="735">
        <f t="shared" si="696"/>
        <v>3300</v>
      </c>
      <c r="G2924" s="735">
        <v>2.5461</v>
      </c>
      <c r="H2924" s="735">
        <f t="shared" si="697"/>
        <v>8402.1299999999992</v>
      </c>
      <c r="I2924" s="735">
        <f t="shared" si="698"/>
        <v>8402.1299999999992</v>
      </c>
      <c r="J2924" s="732">
        <f t="shared" si="699"/>
        <v>92184.09659999999</v>
      </c>
    </row>
    <row r="2925" spans="1:10">
      <c r="B2925" s="583">
        <v>46066</v>
      </c>
      <c r="C2925" s="230" t="s">
        <v>3454</v>
      </c>
      <c r="D2925" s="230">
        <v>2</v>
      </c>
      <c r="E2925" s="230">
        <v>1400</v>
      </c>
      <c r="F2925" s="735">
        <f t="shared" ref="F2925:F2935" si="700">E2925*D2925</f>
        <v>2800</v>
      </c>
      <c r="G2925" s="735">
        <v>2.5461</v>
      </c>
      <c r="H2925" s="735">
        <f t="shared" ref="H2925:H2935" si="701">E2925*G2925</f>
        <v>3564.54</v>
      </c>
      <c r="I2925" s="735">
        <f t="shared" ref="I2925:I2935" si="702">H2925*D2925</f>
        <v>7129.08</v>
      </c>
      <c r="J2925" s="732">
        <f t="shared" ref="J2925:J2935" si="703">J2924+I2925</f>
        <v>99313.176599999992</v>
      </c>
    </row>
    <row r="2926" spans="1:10">
      <c r="B2926" s="583">
        <v>46066</v>
      </c>
      <c r="C2926" s="230" t="s">
        <v>3455</v>
      </c>
      <c r="D2926" s="230">
        <v>3</v>
      </c>
      <c r="E2926" s="230">
        <v>520</v>
      </c>
      <c r="F2926" s="735">
        <f t="shared" si="700"/>
        <v>1560</v>
      </c>
      <c r="G2926" s="735">
        <v>2.5461</v>
      </c>
      <c r="H2926" s="735">
        <f t="shared" si="701"/>
        <v>1323.972</v>
      </c>
      <c r="I2926" s="735">
        <f t="shared" si="702"/>
        <v>3971.9160000000002</v>
      </c>
      <c r="J2926" s="732">
        <f t="shared" si="703"/>
        <v>103285.09259999999</v>
      </c>
    </row>
    <row r="2927" spans="1:10">
      <c r="B2927" s="583">
        <v>46066</v>
      </c>
      <c r="C2927" s="230" t="s">
        <v>3456</v>
      </c>
      <c r="D2927" s="230">
        <v>1</v>
      </c>
      <c r="E2927" s="230">
        <v>1299</v>
      </c>
      <c r="F2927" s="735">
        <f t="shared" si="700"/>
        <v>1299</v>
      </c>
      <c r="G2927" s="735">
        <v>2.5461</v>
      </c>
      <c r="H2927" s="735">
        <f t="shared" si="701"/>
        <v>3307.3838999999998</v>
      </c>
      <c r="I2927" s="735">
        <f t="shared" si="702"/>
        <v>3307.3838999999998</v>
      </c>
      <c r="J2927" s="732">
        <f t="shared" si="703"/>
        <v>106592.47649999999</v>
      </c>
    </row>
    <row r="2928" spans="1:10">
      <c r="B2928" s="583">
        <v>46066</v>
      </c>
      <c r="C2928" s="230" t="s">
        <v>3457</v>
      </c>
      <c r="D2928" s="230">
        <v>5</v>
      </c>
      <c r="E2928" s="230">
        <v>30</v>
      </c>
      <c r="F2928" s="735">
        <f t="shared" si="700"/>
        <v>150</v>
      </c>
      <c r="G2928" s="735">
        <v>2.5461</v>
      </c>
      <c r="H2928" s="735">
        <f t="shared" si="701"/>
        <v>76.382999999999996</v>
      </c>
      <c r="I2928" s="735">
        <f t="shared" si="702"/>
        <v>381.91499999999996</v>
      </c>
      <c r="J2928" s="732">
        <f t="shared" si="703"/>
        <v>106974.39149999998</v>
      </c>
    </row>
    <row r="2929" spans="1:10">
      <c r="B2929" s="583">
        <v>46073</v>
      </c>
      <c r="C2929" s="230" t="s">
        <v>3458</v>
      </c>
      <c r="D2929" s="230">
        <v>80</v>
      </c>
      <c r="E2929" s="230">
        <v>400</v>
      </c>
      <c r="F2929" s="735">
        <f t="shared" si="700"/>
        <v>32000</v>
      </c>
      <c r="G2929" s="735">
        <v>2.5461</v>
      </c>
      <c r="H2929" s="735">
        <f t="shared" si="701"/>
        <v>1018.44</v>
      </c>
      <c r="I2929" s="735">
        <f t="shared" si="702"/>
        <v>81475.200000000012</v>
      </c>
      <c r="J2929" s="732">
        <f t="shared" si="703"/>
        <v>188449.59149999998</v>
      </c>
    </row>
    <row r="2930" spans="1:10">
      <c r="B2930" s="583">
        <v>46072</v>
      </c>
      <c r="C2930" s="230" t="s">
        <v>3459</v>
      </c>
      <c r="D2930" s="230">
        <v>60</v>
      </c>
      <c r="E2930" s="230">
        <v>400</v>
      </c>
      <c r="F2930" s="735">
        <f t="shared" si="700"/>
        <v>24000</v>
      </c>
      <c r="G2930" s="735">
        <v>2.5461</v>
      </c>
      <c r="H2930" s="735">
        <f t="shared" si="701"/>
        <v>1018.44</v>
      </c>
      <c r="I2930" s="735">
        <f t="shared" si="702"/>
        <v>61106.400000000001</v>
      </c>
      <c r="J2930" s="732">
        <f t="shared" si="703"/>
        <v>249555.99149999997</v>
      </c>
    </row>
    <row r="2931" spans="1:10">
      <c r="B2931" s="583">
        <v>46074</v>
      </c>
      <c r="C2931" s="230" t="s">
        <v>2917</v>
      </c>
      <c r="D2931" s="230">
        <v>10</v>
      </c>
      <c r="E2931" s="230">
        <v>2100</v>
      </c>
      <c r="F2931" s="735">
        <f t="shared" si="700"/>
        <v>21000</v>
      </c>
      <c r="G2931" s="735">
        <v>2.5461</v>
      </c>
      <c r="H2931" s="735">
        <f t="shared" si="701"/>
        <v>5346.81</v>
      </c>
      <c r="I2931" s="735">
        <f t="shared" si="702"/>
        <v>53468.100000000006</v>
      </c>
      <c r="J2931" s="732">
        <f t="shared" si="703"/>
        <v>303024.09149999998</v>
      </c>
    </row>
    <row r="2932" spans="1:10">
      <c r="B2932" s="583">
        <v>46074</v>
      </c>
      <c r="C2932" s="230" t="s">
        <v>2041</v>
      </c>
      <c r="D2932" s="230">
        <v>4</v>
      </c>
      <c r="E2932" s="230">
        <v>450</v>
      </c>
      <c r="F2932" s="735">
        <f t="shared" si="700"/>
        <v>1800</v>
      </c>
      <c r="G2932" s="735">
        <v>2.5461</v>
      </c>
      <c r="H2932" s="735">
        <f t="shared" si="701"/>
        <v>1145.7450000000001</v>
      </c>
      <c r="I2932" s="735">
        <f t="shared" si="702"/>
        <v>4582.9800000000005</v>
      </c>
      <c r="J2932" s="732">
        <f t="shared" si="703"/>
        <v>307607.07149999996</v>
      </c>
    </row>
    <row r="2933" spans="1:10">
      <c r="B2933" s="583">
        <v>46074</v>
      </c>
      <c r="C2933" s="230" t="s">
        <v>3460</v>
      </c>
      <c r="D2933" s="230">
        <v>4</v>
      </c>
      <c r="E2933" s="230">
        <v>2099</v>
      </c>
      <c r="F2933" s="735">
        <f t="shared" si="700"/>
        <v>8396</v>
      </c>
      <c r="G2933" s="735">
        <v>2.5461</v>
      </c>
      <c r="H2933" s="735">
        <f t="shared" si="701"/>
        <v>5344.2638999999999</v>
      </c>
      <c r="I2933" s="735">
        <f t="shared" si="702"/>
        <v>21377.0556</v>
      </c>
      <c r="J2933" s="732">
        <f t="shared" si="703"/>
        <v>328984.12709999998</v>
      </c>
    </row>
    <row r="2934" spans="1:10">
      <c r="B2934" s="583">
        <v>46074</v>
      </c>
      <c r="C2934" s="230" t="s">
        <v>3461</v>
      </c>
      <c r="D2934" s="230">
        <v>5</v>
      </c>
      <c r="E2934" s="230">
        <v>450</v>
      </c>
      <c r="F2934" s="735">
        <f t="shared" si="700"/>
        <v>2250</v>
      </c>
      <c r="G2934" s="735">
        <v>2.5461</v>
      </c>
      <c r="H2934" s="735">
        <f t="shared" si="701"/>
        <v>1145.7450000000001</v>
      </c>
      <c r="I2934" s="735">
        <f t="shared" si="702"/>
        <v>5728.7250000000004</v>
      </c>
      <c r="J2934" s="732">
        <f t="shared" si="703"/>
        <v>334712.85209999996</v>
      </c>
    </row>
    <row r="2935" spans="1:10">
      <c r="B2935" s="585">
        <v>46078</v>
      </c>
      <c r="C2935" s="110" t="s">
        <v>3462</v>
      </c>
      <c r="D2935" s="110">
        <v>40</v>
      </c>
      <c r="E2935" s="110">
        <v>398</v>
      </c>
      <c r="F2935" s="127">
        <f t="shared" si="700"/>
        <v>15920</v>
      </c>
      <c r="G2935" s="127">
        <v>2.5461</v>
      </c>
      <c r="H2935" s="127">
        <f t="shared" si="701"/>
        <v>1013.3478</v>
      </c>
      <c r="I2935" s="127">
        <f t="shared" si="702"/>
        <v>40533.911999999997</v>
      </c>
      <c r="J2935" s="110">
        <f t="shared" si="703"/>
        <v>375246.76409999997</v>
      </c>
    </row>
    <row r="2936" spans="1:10">
      <c r="B2936" s="594">
        <v>46069</v>
      </c>
      <c r="C2936" s="296" t="s">
        <v>1752</v>
      </c>
      <c r="D2936" s="672">
        <v>1</v>
      </c>
      <c r="E2936" s="296">
        <v>21250.35</v>
      </c>
      <c r="F2936" s="596">
        <f>E2936*D2936</f>
        <v>21250.35</v>
      </c>
      <c r="G2936" s="596">
        <v>2.5461</v>
      </c>
      <c r="H2936" s="596">
        <f>E2936*G2936</f>
        <v>54105.516134999998</v>
      </c>
      <c r="I2936" s="596">
        <f>H2936*D2936</f>
        <v>54105.516134999998</v>
      </c>
      <c r="J2936" s="296">
        <f>J2935+I2936</f>
        <v>429352.28023499995</v>
      </c>
    </row>
    <row r="2937" spans="1:10">
      <c r="B2937" s="905">
        <v>46058</v>
      </c>
      <c r="C2937" s="313" t="s">
        <v>3446</v>
      </c>
      <c r="D2937" s="904">
        <v>1</v>
      </c>
      <c r="E2937" s="904">
        <v>20000</v>
      </c>
      <c r="F2937" s="735">
        <f>E2937*D2937</f>
        <v>20000</v>
      </c>
      <c r="G2937" s="735">
        <v>2.5461</v>
      </c>
      <c r="H2937" s="735">
        <f>E2937*G2937</f>
        <v>50922</v>
      </c>
      <c r="I2937" s="735">
        <f>H2937*D2937</f>
        <v>50922</v>
      </c>
      <c r="J2937" s="732">
        <f>J2936+I2937</f>
        <v>480274.28023499995</v>
      </c>
    </row>
    <row r="2943" spans="1:10" ht="21">
      <c r="A2943" s="731" t="s">
        <v>125</v>
      </c>
      <c r="B2943" s="1520" t="s">
        <v>35</v>
      </c>
      <c r="C2943" s="1520"/>
      <c r="D2943" s="1520"/>
      <c r="E2943" s="1520"/>
      <c r="F2943" s="1520"/>
      <c r="G2943" s="1520"/>
      <c r="H2943" s="1520"/>
      <c r="I2943" s="1520"/>
      <c r="J2943" s="1520"/>
    </row>
    <row r="2944" spans="1:10" ht="18.75">
      <c r="A2944" s="731" t="s">
        <v>212</v>
      </c>
      <c r="B2944" s="4" t="s">
        <v>1</v>
      </c>
      <c r="C2944" s="4" t="s">
        <v>2</v>
      </c>
      <c r="D2944" s="4" t="s">
        <v>3</v>
      </c>
      <c r="E2944" s="4" t="s">
        <v>4</v>
      </c>
      <c r="F2944" s="4" t="s">
        <v>36</v>
      </c>
      <c r="G2944" s="4" t="s">
        <v>5</v>
      </c>
      <c r="H2944" s="4" t="s">
        <v>6</v>
      </c>
      <c r="I2944" s="4" t="s">
        <v>7</v>
      </c>
      <c r="J2944" s="4"/>
    </row>
    <row r="2945" spans="1:15">
      <c r="B2945" s="585">
        <v>46071</v>
      </c>
      <c r="C2945" s="110" t="s">
        <v>3447</v>
      </c>
      <c r="D2945" s="110">
        <v>3</v>
      </c>
      <c r="E2945" s="110">
        <v>1449</v>
      </c>
      <c r="F2945" s="735">
        <f>E2945*D2945</f>
        <v>4347</v>
      </c>
      <c r="G2945" s="735">
        <v>2.13</v>
      </c>
      <c r="H2945" s="735">
        <f>E2945*G2945</f>
        <v>3086.37</v>
      </c>
      <c r="I2945" s="735">
        <f>H2945*D2945</f>
        <v>9259.11</v>
      </c>
      <c r="J2945" s="732">
        <f>J2944+I2945</f>
        <v>9259.11</v>
      </c>
    </row>
    <row r="2946" spans="1:15">
      <c r="B2946" s="735"/>
      <c r="C2946" s="735"/>
      <c r="D2946" s="735"/>
      <c r="E2946" s="735"/>
      <c r="F2946" s="735">
        <f>E2946*D2946</f>
        <v>0</v>
      </c>
      <c r="G2946" s="735"/>
      <c r="H2946" s="735">
        <f>E2946*G2946</f>
        <v>0</v>
      </c>
      <c r="I2946" s="735">
        <f>H2946*D2946</f>
        <v>0</v>
      </c>
      <c r="J2946" s="732">
        <f>J2945+I2946</f>
        <v>9259.11</v>
      </c>
    </row>
    <row r="2947" spans="1:15">
      <c r="B2947" s="735"/>
      <c r="C2947" s="735"/>
      <c r="D2947" s="735"/>
      <c r="E2947" s="735"/>
      <c r="F2947" s="735">
        <f>E2947*D2947</f>
        <v>0</v>
      </c>
      <c r="G2947" s="735"/>
      <c r="H2947" s="735">
        <f>E2947*G2947</f>
        <v>0</v>
      </c>
      <c r="I2947" s="735">
        <f>H2947*D2947</f>
        <v>0</v>
      </c>
      <c r="J2947" s="732">
        <f>J2946+I2947</f>
        <v>9259.11</v>
      </c>
    </row>
    <row r="2951" spans="1:15" ht="21">
      <c r="A2951" s="731" t="s">
        <v>125</v>
      </c>
      <c r="B2951" s="1521" t="s">
        <v>20</v>
      </c>
      <c r="C2951" s="1521"/>
      <c r="D2951" s="1521"/>
      <c r="E2951" s="1521"/>
      <c r="F2951" s="1521"/>
      <c r="G2951" s="1521"/>
      <c r="H2951" s="1521"/>
      <c r="I2951" s="1521"/>
      <c r="J2951" s="1521"/>
      <c r="K2951" s="1521"/>
      <c r="L2951" s="1521"/>
      <c r="M2951" s="1521"/>
      <c r="N2951" s="1521"/>
      <c r="O2951" s="1521"/>
    </row>
    <row r="2952" spans="1:15" ht="18.75">
      <c r="A2952" s="731" t="s">
        <v>212</v>
      </c>
      <c r="B2952" s="226" t="s">
        <v>1</v>
      </c>
      <c r="C2952" s="226" t="s">
        <v>2</v>
      </c>
      <c r="D2952" s="226" t="s">
        <v>444</v>
      </c>
      <c r="E2952" s="226" t="s">
        <v>33</v>
      </c>
      <c r="F2952" s="226" t="s">
        <v>3</v>
      </c>
      <c r="G2952" s="226" t="s">
        <v>445</v>
      </c>
      <c r="H2952" s="226" t="s">
        <v>451</v>
      </c>
      <c r="I2952" s="226" t="s">
        <v>446</v>
      </c>
      <c r="J2952" s="226" t="s">
        <v>447</v>
      </c>
      <c r="K2952" s="226" t="s">
        <v>448</v>
      </c>
      <c r="L2952" s="226" t="s">
        <v>449</v>
      </c>
      <c r="M2952" s="226" t="s">
        <v>450</v>
      </c>
      <c r="N2952" s="226" t="s">
        <v>7</v>
      </c>
      <c r="O2952" s="29"/>
    </row>
    <row r="2953" spans="1:15">
      <c r="B2953" s="583">
        <v>46047</v>
      </c>
      <c r="C2953" s="230" t="s">
        <v>3463</v>
      </c>
      <c r="D2953" s="889"/>
      <c r="E2953" s="889"/>
      <c r="F2953" s="889">
        <v>2</v>
      </c>
      <c r="G2953" s="230">
        <v>1497</v>
      </c>
      <c r="H2953" s="889">
        <v>10</v>
      </c>
      <c r="I2953" s="735">
        <f>G2953*H2953%</f>
        <v>149.70000000000002</v>
      </c>
      <c r="J2953" s="732">
        <f>G2953-I2953</f>
        <v>1347.3</v>
      </c>
      <c r="K2953" s="732">
        <f>F2953*J2953</f>
        <v>2694.6</v>
      </c>
      <c r="L2953" s="732">
        <v>2.33</v>
      </c>
      <c r="M2953" s="732">
        <f>J2953*L2953</f>
        <v>3139.2089999999998</v>
      </c>
      <c r="N2953" s="732">
        <f>F2953*M2953</f>
        <v>6278.4179999999997</v>
      </c>
      <c r="O2953" s="732">
        <f>O2952+N2953</f>
        <v>6278.4179999999997</v>
      </c>
    </row>
    <row r="2954" spans="1:15">
      <c r="B2954" s="735"/>
      <c r="C2954" s="735"/>
      <c r="D2954" s="735"/>
      <c r="E2954" s="735"/>
      <c r="F2954" s="735"/>
      <c r="G2954" s="735"/>
      <c r="H2954" s="735"/>
      <c r="I2954" s="735">
        <f>G2954*H2954%</f>
        <v>0</v>
      </c>
      <c r="J2954" s="732">
        <f>G2954-I2954</f>
        <v>0</v>
      </c>
      <c r="K2954" s="732">
        <f>F2954*J2954</f>
        <v>0</v>
      </c>
      <c r="L2954" s="732"/>
      <c r="M2954" s="732">
        <f>J2954*L2954</f>
        <v>0</v>
      </c>
      <c r="N2954" s="732">
        <f>F2954*M2954</f>
        <v>0</v>
      </c>
      <c r="O2954" s="732">
        <f>O2953+N2954</f>
        <v>6278.4179999999997</v>
      </c>
    </row>
    <row r="2959" spans="1:15" ht="21">
      <c r="A2959" s="731" t="s">
        <v>125</v>
      </c>
      <c r="B2959" s="1520" t="s">
        <v>35</v>
      </c>
      <c r="C2959" s="1520"/>
      <c r="D2959" s="1520"/>
      <c r="E2959" s="1520"/>
      <c r="F2959" s="1520"/>
      <c r="G2959" s="1520"/>
      <c r="H2959" s="1520"/>
      <c r="I2959" s="1520"/>
      <c r="J2959" s="1520"/>
    </row>
    <row r="2960" spans="1:15" ht="18.75">
      <c r="A2960" s="731" t="s">
        <v>212</v>
      </c>
      <c r="B2960" s="4" t="s">
        <v>1</v>
      </c>
      <c r="C2960" s="4" t="s">
        <v>2</v>
      </c>
      <c r="D2960" s="4" t="s">
        <v>3</v>
      </c>
      <c r="E2960" s="4" t="s">
        <v>4</v>
      </c>
      <c r="F2960" s="4" t="s">
        <v>36</v>
      </c>
      <c r="G2960" s="4" t="s">
        <v>5</v>
      </c>
      <c r="H2960" s="4" t="s">
        <v>6</v>
      </c>
      <c r="I2960" s="4" t="s">
        <v>7</v>
      </c>
      <c r="J2960" s="4"/>
    </row>
    <row r="2961" spans="1:10">
      <c r="B2961" s="583">
        <v>46034</v>
      </c>
      <c r="C2961" s="230" t="s">
        <v>3794</v>
      </c>
      <c r="D2961" s="230">
        <v>30</v>
      </c>
      <c r="E2961" s="230">
        <v>460</v>
      </c>
      <c r="F2961" s="979">
        <f>E2961*D2961</f>
        <v>13800</v>
      </c>
      <c r="G2961" s="735">
        <v>2.13</v>
      </c>
      <c r="H2961" s="735">
        <f>E2961*G2961</f>
        <v>979.8</v>
      </c>
      <c r="I2961" s="735">
        <f>H2961*D2961</f>
        <v>29394</v>
      </c>
      <c r="J2961" s="732">
        <f>J2960+I2961</f>
        <v>29394</v>
      </c>
    </row>
    <row r="2962" spans="1:10">
      <c r="B2962" s="735"/>
      <c r="C2962" s="735"/>
      <c r="D2962" s="735"/>
      <c r="E2962" s="735"/>
      <c r="F2962" s="735">
        <f>E2962*D2962</f>
        <v>0</v>
      </c>
      <c r="G2962" s="735"/>
      <c r="H2962" s="735">
        <f>E2962*G2962</f>
        <v>0</v>
      </c>
      <c r="I2962" s="735">
        <f>H2962*D2962</f>
        <v>0</v>
      </c>
      <c r="J2962" s="732">
        <f>J2961+I2962</f>
        <v>29394</v>
      </c>
    </row>
    <row r="2969" spans="1:10" ht="21">
      <c r="A2969" s="731" t="s">
        <v>125</v>
      </c>
      <c r="B2969" s="1520" t="s">
        <v>20</v>
      </c>
      <c r="C2969" s="1520"/>
      <c r="D2969" s="1520"/>
      <c r="E2969" s="1520"/>
      <c r="F2969" s="1520"/>
      <c r="G2969" s="1520"/>
      <c r="H2969" s="1520"/>
      <c r="I2969" s="1520"/>
      <c r="J2969" s="1520"/>
    </row>
    <row r="2970" spans="1:10" ht="18.75">
      <c r="A2970" s="731" t="s">
        <v>212</v>
      </c>
      <c r="B2970" s="4" t="s">
        <v>1</v>
      </c>
      <c r="C2970" s="4" t="s">
        <v>2</v>
      </c>
      <c r="D2970" s="4" t="s">
        <v>3</v>
      </c>
      <c r="E2970" s="4" t="s">
        <v>4</v>
      </c>
      <c r="F2970" s="4" t="s">
        <v>36</v>
      </c>
      <c r="G2970" s="4" t="s">
        <v>5</v>
      </c>
      <c r="H2970" s="4" t="s">
        <v>6</v>
      </c>
      <c r="I2970" s="4" t="s">
        <v>7</v>
      </c>
      <c r="J2970" s="4"/>
    </row>
    <row r="2971" spans="1:10">
      <c r="B2971" s="583">
        <v>46080</v>
      </c>
      <c r="C2971" s="230" t="s">
        <v>1650</v>
      </c>
      <c r="D2971" s="230">
        <v>60</v>
      </c>
      <c r="E2971" s="230">
        <v>400</v>
      </c>
      <c r="F2971" s="1005">
        <f t="shared" ref="F2971:F2976" si="704">E2971*D2971</f>
        <v>24000</v>
      </c>
      <c r="G2971" s="1005">
        <v>2.5466000000000002</v>
      </c>
      <c r="H2971" s="735">
        <f t="shared" ref="H2971:H2976" si="705">E2971*G2971</f>
        <v>1018.6400000000001</v>
      </c>
      <c r="I2971" s="735">
        <f t="shared" ref="I2971:I2976" si="706">H2971*D2971</f>
        <v>61118.400000000009</v>
      </c>
      <c r="J2971" s="732">
        <f t="shared" ref="J2971:J2976" si="707">J2970+I2971</f>
        <v>61118.400000000009</v>
      </c>
    </row>
    <row r="2972" spans="1:10">
      <c r="B2972" s="583">
        <v>46081</v>
      </c>
      <c r="C2972" s="230" t="s">
        <v>3801</v>
      </c>
      <c r="D2972" s="230">
        <v>4</v>
      </c>
      <c r="E2972" s="230">
        <v>590</v>
      </c>
      <c r="F2972" s="1005">
        <f t="shared" si="704"/>
        <v>2360</v>
      </c>
      <c r="G2972" s="1005">
        <v>2.5466000000000002</v>
      </c>
      <c r="H2972" s="735">
        <f t="shared" si="705"/>
        <v>1502.4940000000001</v>
      </c>
      <c r="I2972" s="735">
        <f t="shared" si="706"/>
        <v>6009.9760000000006</v>
      </c>
      <c r="J2972" s="732">
        <f t="shared" si="707"/>
        <v>67128.376000000004</v>
      </c>
    </row>
    <row r="2973" spans="1:10">
      <c r="B2973" s="583">
        <v>46081</v>
      </c>
      <c r="C2973" s="230" t="s">
        <v>2905</v>
      </c>
      <c r="D2973" s="230">
        <v>1</v>
      </c>
      <c r="E2973" s="230">
        <v>2099</v>
      </c>
      <c r="F2973" s="1005">
        <f t="shared" si="704"/>
        <v>2099</v>
      </c>
      <c r="G2973" s="1005">
        <v>2.5466000000000002</v>
      </c>
      <c r="H2973" s="735">
        <f t="shared" si="705"/>
        <v>5345.3134</v>
      </c>
      <c r="I2973" s="735">
        <f t="shared" si="706"/>
        <v>5345.3134</v>
      </c>
      <c r="J2973" s="732">
        <f t="shared" si="707"/>
        <v>72473.689400000003</v>
      </c>
    </row>
    <row r="2974" spans="1:10">
      <c r="B2974" s="585">
        <v>46083</v>
      </c>
      <c r="C2974" s="110" t="s">
        <v>3804</v>
      </c>
      <c r="D2974" s="110">
        <v>80</v>
      </c>
      <c r="E2974" s="623">
        <v>400</v>
      </c>
      <c r="F2974" s="127">
        <f t="shared" si="704"/>
        <v>32000</v>
      </c>
      <c r="G2974" s="127">
        <v>2.5466000000000002</v>
      </c>
      <c r="H2974" s="127">
        <f t="shared" si="705"/>
        <v>1018.6400000000001</v>
      </c>
      <c r="I2974" s="127">
        <f t="shared" si="706"/>
        <v>81491.200000000012</v>
      </c>
      <c r="J2974" s="110">
        <f t="shared" si="707"/>
        <v>153964.88940000001</v>
      </c>
    </row>
    <row r="2975" spans="1:10">
      <c r="B2975" s="1007">
        <v>45982</v>
      </c>
      <c r="C2975" s="80" t="s">
        <v>3805</v>
      </c>
      <c r="D2975" s="1006">
        <v>16</v>
      </c>
      <c r="E2975" s="1006">
        <v>391</v>
      </c>
      <c r="F2975" s="735">
        <f t="shared" si="704"/>
        <v>6256</v>
      </c>
      <c r="G2975" s="1005">
        <v>2.5466000000000002</v>
      </c>
      <c r="H2975" s="735">
        <f t="shared" si="705"/>
        <v>995.7206000000001</v>
      </c>
      <c r="I2975" s="735">
        <f t="shared" si="706"/>
        <v>15931.529600000002</v>
      </c>
      <c r="J2975" s="732">
        <f t="shared" si="707"/>
        <v>169896.41900000002</v>
      </c>
    </row>
    <row r="2976" spans="1:10">
      <c r="B2976" s="1007">
        <v>45982</v>
      </c>
      <c r="C2976" s="80" t="s">
        <v>3806</v>
      </c>
      <c r="D2976" s="1006">
        <v>5</v>
      </c>
      <c r="E2976" s="1006">
        <v>1</v>
      </c>
      <c r="F2976" s="735">
        <f t="shared" si="704"/>
        <v>5</v>
      </c>
      <c r="G2976" s="1005">
        <v>2.5466000000000002</v>
      </c>
      <c r="H2976" s="735">
        <f t="shared" si="705"/>
        <v>2.5466000000000002</v>
      </c>
      <c r="I2976" s="735">
        <f t="shared" si="706"/>
        <v>12.733000000000001</v>
      </c>
      <c r="J2976" s="732">
        <f t="shared" si="707"/>
        <v>169909.15200000003</v>
      </c>
    </row>
    <row r="2981" spans="1:10" ht="21">
      <c r="A2981" s="731" t="s">
        <v>125</v>
      </c>
      <c r="B2981" s="1520" t="s">
        <v>20</v>
      </c>
      <c r="C2981" s="1520"/>
      <c r="D2981" s="1520"/>
      <c r="E2981" s="1520"/>
      <c r="F2981" s="1520"/>
      <c r="G2981" s="1520"/>
      <c r="H2981" s="1520"/>
      <c r="I2981" s="1520"/>
      <c r="J2981" s="1520"/>
    </row>
    <row r="2982" spans="1:10" ht="18.75">
      <c r="A2982" s="731" t="s">
        <v>212</v>
      </c>
      <c r="B2982" s="4" t="s">
        <v>1</v>
      </c>
      <c r="C2982" s="4" t="s">
        <v>2</v>
      </c>
      <c r="D2982" s="4" t="s">
        <v>3</v>
      </c>
      <c r="E2982" s="4" t="s">
        <v>4</v>
      </c>
      <c r="F2982" s="4" t="s">
        <v>36</v>
      </c>
      <c r="G2982" s="4" t="s">
        <v>5</v>
      </c>
      <c r="H2982" s="4" t="s">
        <v>6</v>
      </c>
      <c r="I2982" s="4" t="s">
        <v>7</v>
      </c>
      <c r="J2982" s="4"/>
    </row>
    <row r="2983" spans="1:10">
      <c r="B2983" s="81">
        <v>46105</v>
      </c>
      <c r="C2983" s="80" t="s">
        <v>3816</v>
      </c>
      <c r="D2983" s="735">
        <v>40</v>
      </c>
      <c r="E2983" s="735">
        <v>398</v>
      </c>
      <c r="F2983" s="735">
        <f>E2983*D2983</f>
        <v>15920</v>
      </c>
      <c r="G2983" s="735">
        <v>2.5251999999999999</v>
      </c>
      <c r="H2983" s="735">
        <f>E2983*G2983</f>
        <v>1005.0296</v>
      </c>
      <c r="I2983" s="735">
        <f>H2983*D2983</f>
        <v>40201.184000000001</v>
      </c>
      <c r="J2983" s="732">
        <f>J2982+I2983</f>
        <v>40201.184000000001</v>
      </c>
    </row>
    <row r="2984" spans="1:10">
      <c r="B2984" s="735"/>
      <c r="C2984" s="735"/>
      <c r="D2984" s="735"/>
      <c r="E2984" s="735"/>
      <c r="F2984" s="735">
        <f>E2984*D2984</f>
        <v>0</v>
      </c>
      <c r="G2984" s="735"/>
      <c r="H2984" s="735">
        <f>E2984*G2984</f>
        <v>0</v>
      </c>
      <c r="I2984" s="735">
        <f>H2984*D2984</f>
        <v>0</v>
      </c>
      <c r="J2984" s="732">
        <f>J2983+I2984</f>
        <v>40201.184000000001</v>
      </c>
    </row>
    <row r="2990" spans="1:10" ht="21">
      <c r="A2990" s="1056" t="s">
        <v>125</v>
      </c>
      <c r="B2990" s="1520" t="s">
        <v>35</v>
      </c>
      <c r="C2990" s="1520"/>
      <c r="D2990" s="1520"/>
      <c r="E2990" s="1520"/>
      <c r="F2990" s="1520"/>
      <c r="G2990" s="1520"/>
      <c r="H2990" s="1520"/>
      <c r="I2990" s="1520"/>
      <c r="J2990" s="1520"/>
    </row>
    <row r="2991" spans="1:10" ht="18.75">
      <c r="A2991" s="1056" t="s">
        <v>212</v>
      </c>
      <c r="B2991" s="4" t="s">
        <v>1</v>
      </c>
      <c r="C2991" s="4" t="s">
        <v>2</v>
      </c>
      <c r="D2991" s="4" t="s">
        <v>3</v>
      </c>
      <c r="E2991" s="4" t="s">
        <v>4</v>
      </c>
      <c r="F2991" s="4" t="s">
        <v>36</v>
      </c>
      <c r="G2991" s="4" t="s">
        <v>5</v>
      </c>
      <c r="H2991" s="4" t="s">
        <v>6</v>
      </c>
      <c r="I2991" s="4" t="s">
        <v>7</v>
      </c>
      <c r="J2991" s="4"/>
    </row>
    <row r="2992" spans="1:10">
      <c r="B2992" s="585">
        <v>46113</v>
      </c>
      <c r="C2992" s="110" t="s">
        <v>4111</v>
      </c>
      <c r="D2992" s="110">
        <v>10</v>
      </c>
      <c r="E2992" s="623">
        <v>469</v>
      </c>
      <c r="F2992" s="127">
        <f>E2992*D2992</f>
        <v>4690</v>
      </c>
      <c r="G2992" s="127">
        <v>2.15</v>
      </c>
      <c r="H2992" s="127">
        <f>E2992*G2992</f>
        <v>1008.3499999999999</v>
      </c>
      <c r="I2992" s="127">
        <f>H2992*D2992</f>
        <v>10083.5</v>
      </c>
      <c r="J2992" s="110">
        <f>J2991+I2992</f>
        <v>10083.5</v>
      </c>
    </row>
    <row r="2993" spans="2:10">
      <c r="B2993" s="585">
        <v>46113</v>
      </c>
      <c r="C2993" s="110" t="s">
        <v>4112</v>
      </c>
      <c r="D2993" s="110">
        <v>8</v>
      </c>
      <c r="E2993" s="623">
        <v>1579</v>
      </c>
      <c r="F2993" s="127">
        <f t="shared" ref="F2993:F3000" si="708">E2993*D2993</f>
        <v>12632</v>
      </c>
      <c r="G2993" s="127">
        <v>2.15</v>
      </c>
      <c r="H2993" s="127">
        <f t="shared" ref="H2993:H3000" si="709">E2993*G2993</f>
        <v>3394.85</v>
      </c>
      <c r="I2993" s="127">
        <f t="shared" ref="I2993:I3000" si="710">H2993*D2993</f>
        <v>27158.799999999999</v>
      </c>
      <c r="J2993" s="110">
        <f t="shared" ref="J2993:J3000" si="711">J2992+I2993</f>
        <v>37242.300000000003</v>
      </c>
    </row>
    <row r="2994" spans="2:10">
      <c r="B2994" s="585">
        <v>46113</v>
      </c>
      <c r="C2994" s="110" t="s">
        <v>4113</v>
      </c>
      <c r="D2994" s="110">
        <v>5</v>
      </c>
      <c r="E2994" s="623">
        <v>1579</v>
      </c>
      <c r="F2994" s="127">
        <f t="shared" si="708"/>
        <v>7895</v>
      </c>
      <c r="G2994" s="127">
        <v>2.15</v>
      </c>
      <c r="H2994" s="127">
        <f t="shared" si="709"/>
        <v>3394.85</v>
      </c>
      <c r="I2994" s="127">
        <f t="shared" si="710"/>
        <v>16974.25</v>
      </c>
      <c r="J2994" s="110">
        <f t="shared" si="711"/>
        <v>54216.55</v>
      </c>
    </row>
    <row r="2995" spans="2:10">
      <c r="B2995" s="585">
        <v>46113</v>
      </c>
      <c r="C2995" s="110" t="s">
        <v>4114</v>
      </c>
      <c r="D2995" s="110">
        <v>4</v>
      </c>
      <c r="E2995" s="623">
        <v>779</v>
      </c>
      <c r="F2995" s="127">
        <f t="shared" si="708"/>
        <v>3116</v>
      </c>
      <c r="G2995" s="127">
        <v>2.15</v>
      </c>
      <c r="H2995" s="127">
        <f t="shared" si="709"/>
        <v>1674.85</v>
      </c>
      <c r="I2995" s="127">
        <f t="shared" si="710"/>
        <v>6699.4</v>
      </c>
      <c r="J2995" s="110">
        <f t="shared" si="711"/>
        <v>60915.950000000004</v>
      </c>
    </row>
    <row r="2996" spans="2:10">
      <c r="B2996" s="585">
        <v>46114</v>
      </c>
      <c r="C2996" s="110" t="s">
        <v>4115</v>
      </c>
      <c r="D2996" s="110">
        <v>2</v>
      </c>
      <c r="E2996" s="623">
        <v>1579</v>
      </c>
      <c r="F2996" s="127">
        <f t="shared" si="708"/>
        <v>3158</v>
      </c>
      <c r="G2996" s="127">
        <v>2.15</v>
      </c>
      <c r="H2996" s="127">
        <f t="shared" si="709"/>
        <v>3394.85</v>
      </c>
      <c r="I2996" s="127">
        <f t="shared" si="710"/>
        <v>6789.7</v>
      </c>
      <c r="J2996" s="110">
        <f t="shared" si="711"/>
        <v>67705.650000000009</v>
      </c>
    </row>
    <row r="2997" spans="2:10">
      <c r="B2997" s="585">
        <v>46113</v>
      </c>
      <c r="C2997" s="110" t="s">
        <v>4116</v>
      </c>
      <c r="D2997" s="110">
        <v>4</v>
      </c>
      <c r="E2997" s="623">
        <v>1579</v>
      </c>
      <c r="F2997" s="127">
        <f t="shared" si="708"/>
        <v>6316</v>
      </c>
      <c r="G2997" s="127">
        <v>2.15</v>
      </c>
      <c r="H2997" s="127">
        <f t="shared" si="709"/>
        <v>3394.85</v>
      </c>
      <c r="I2997" s="127">
        <f t="shared" si="710"/>
        <v>13579.4</v>
      </c>
      <c r="J2997" s="110">
        <f t="shared" si="711"/>
        <v>81285.05</v>
      </c>
    </row>
    <row r="2998" spans="2:10">
      <c r="B2998" s="585">
        <v>46113</v>
      </c>
      <c r="C2998" s="110" t="s">
        <v>4112</v>
      </c>
      <c r="D2998" s="110">
        <v>3</v>
      </c>
      <c r="E2998" s="623">
        <v>1579</v>
      </c>
      <c r="F2998" s="127">
        <f t="shared" si="708"/>
        <v>4737</v>
      </c>
      <c r="G2998" s="127">
        <v>2.15</v>
      </c>
      <c r="H2998" s="127">
        <f t="shared" si="709"/>
        <v>3394.85</v>
      </c>
      <c r="I2998" s="127">
        <f t="shared" si="710"/>
        <v>10184.549999999999</v>
      </c>
      <c r="J2998" s="110">
        <f t="shared" si="711"/>
        <v>91469.6</v>
      </c>
    </row>
    <row r="2999" spans="2:10">
      <c r="B2999" s="585">
        <v>46113</v>
      </c>
      <c r="C2999" s="110" t="s">
        <v>4115</v>
      </c>
      <c r="D2999" s="110">
        <v>1</v>
      </c>
      <c r="E2999" s="623">
        <v>1579</v>
      </c>
      <c r="F2999" s="127">
        <f t="shared" si="708"/>
        <v>1579</v>
      </c>
      <c r="G2999" s="127">
        <v>2.15</v>
      </c>
      <c r="H2999" s="127">
        <f t="shared" si="709"/>
        <v>3394.85</v>
      </c>
      <c r="I2999" s="127">
        <f t="shared" si="710"/>
        <v>3394.85</v>
      </c>
      <c r="J2999" s="110">
        <f t="shared" si="711"/>
        <v>94864.450000000012</v>
      </c>
    </row>
    <row r="3000" spans="2:10">
      <c r="B3000" s="585">
        <v>46114</v>
      </c>
      <c r="C3000" s="110" t="s">
        <v>4113</v>
      </c>
      <c r="D3000" s="110">
        <v>3</v>
      </c>
      <c r="E3000" s="623">
        <v>1579</v>
      </c>
      <c r="F3000" s="127">
        <f t="shared" si="708"/>
        <v>4737</v>
      </c>
      <c r="G3000" s="127">
        <v>2.15</v>
      </c>
      <c r="H3000" s="127">
        <f t="shared" si="709"/>
        <v>3394.85</v>
      </c>
      <c r="I3000" s="127">
        <f t="shared" si="710"/>
        <v>10184.549999999999</v>
      </c>
      <c r="J3000" s="110">
        <f t="shared" si="711"/>
        <v>105049.00000000001</v>
      </c>
    </row>
    <row r="3001" spans="2:10">
      <c r="B3001" s="585">
        <v>46114</v>
      </c>
      <c r="C3001" s="110" t="s">
        <v>4112</v>
      </c>
      <c r="D3001" s="110">
        <v>3</v>
      </c>
      <c r="E3001" s="623">
        <v>1579</v>
      </c>
      <c r="F3001" s="127">
        <f>E3001*D3001</f>
        <v>4737</v>
      </c>
      <c r="G3001" s="127">
        <v>2.15</v>
      </c>
      <c r="H3001" s="127">
        <f>E3001*G3001</f>
        <v>3394.85</v>
      </c>
      <c r="I3001" s="127">
        <f>H3001*D3001</f>
        <v>10184.549999999999</v>
      </c>
      <c r="J3001" s="110">
        <f>J3000+I3001</f>
        <v>115233.55000000002</v>
      </c>
    </row>
    <row r="3002" spans="2:10">
      <c r="B3002" s="583">
        <v>46118</v>
      </c>
      <c r="C3002" s="1064" t="s">
        <v>4123</v>
      </c>
      <c r="D3002" s="1006">
        <v>10</v>
      </c>
      <c r="E3002" s="1006">
        <v>470</v>
      </c>
      <c r="F3002" s="1006">
        <f>E3002*D3002</f>
        <v>4700</v>
      </c>
      <c r="G3002" s="1006">
        <v>2.15</v>
      </c>
      <c r="H3002" s="1006">
        <f>E3002*G3002</f>
        <v>1010.5</v>
      </c>
      <c r="I3002" s="1006">
        <f>H3002*D3002</f>
        <v>10105</v>
      </c>
      <c r="J3002" s="1064">
        <f>J3001+I3002</f>
        <v>125338.55000000002</v>
      </c>
    </row>
    <row r="3003" spans="2:10">
      <c r="B3003" s="737">
        <v>46114</v>
      </c>
      <c r="C3003" s="1066" t="s">
        <v>4117</v>
      </c>
      <c r="D3003" s="1066">
        <v>1</v>
      </c>
      <c r="E3003" s="736">
        <v>2748.46</v>
      </c>
      <c r="F3003" s="735">
        <f>E3003*D3003</f>
        <v>2748.46</v>
      </c>
      <c r="G3003" s="735">
        <v>2.15</v>
      </c>
      <c r="H3003" s="735">
        <f>E3003*G3003</f>
        <v>5909.1889999999994</v>
      </c>
      <c r="I3003" s="735">
        <f>H3003*D3003</f>
        <v>5909.1889999999994</v>
      </c>
      <c r="J3003" s="1064">
        <f>J3002+I3003</f>
        <v>131247.73900000003</v>
      </c>
    </row>
    <row r="3010" spans="1:10" ht="21">
      <c r="A3010" s="1056" t="s">
        <v>125</v>
      </c>
      <c r="B3010" s="1520" t="s">
        <v>20</v>
      </c>
      <c r="C3010" s="1520"/>
      <c r="D3010" s="1520"/>
      <c r="E3010" s="1520"/>
      <c r="F3010" s="1520"/>
      <c r="G3010" s="1520"/>
      <c r="H3010" s="1520"/>
      <c r="I3010" s="1520"/>
      <c r="J3010" s="1520"/>
    </row>
    <row r="3011" spans="1:10" ht="18.75">
      <c r="A3011" s="1056" t="s">
        <v>212</v>
      </c>
      <c r="B3011" s="4" t="s">
        <v>1</v>
      </c>
      <c r="C3011" s="4" t="s">
        <v>2</v>
      </c>
      <c r="D3011" s="4" t="s">
        <v>3</v>
      </c>
      <c r="E3011" s="4" t="s">
        <v>4</v>
      </c>
      <c r="F3011" s="4" t="s">
        <v>36</v>
      </c>
      <c r="G3011" s="4" t="s">
        <v>5</v>
      </c>
      <c r="H3011" s="4" t="s">
        <v>6</v>
      </c>
      <c r="I3011" s="4" t="s">
        <v>7</v>
      </c>
      <c r="J3011" s="4"/>
    </row>
    <row r="3012" spans="1:10">
      <c r="B3012" s="737">
        <v>46127</v>
      </c>
      <c r="C3012" s="1066" t="s">
        <v>4125</v>
      </c>
      <c r="D3012" s="1066">
        <v>500</v>
      </c>
      <c r="E3012" s="736">
        <v>398</v>
      </c>
      <c r="F3012" s="735">
        <f t="shared" ref="F3012:F3021" si="712">E3012*D3012</f>
        <v>199000</v>
      </c>
      <c r="G3012" s="735">
        <v>2.5585</v>
      </c>
      <c r="H3012" s="735">
        <f t="shared" ref="H3012:H3021" si="713">E3012*G3012</f>
        <v>1018.283</v>
      </c>
      <c r="I3012" s="735">
        <f t="shared" ref="I3012:I3021" si="714">H3012*D3012</f>
        <v>509141.5</v>
      </c>
      <c r="J3012" s="1066">
        <f>J3011+I3012</f>
        <v>509141.5</v>
      </c>
    </row>
    <row r="3013" spans="1:10">
      <c r="B3013" s="737">
        <v>46129</v>
      </c>
      <c r="C3013" s="1066" t="s">
        <v>4126</v>
      </c>
      <c r="D3013" s="1066">
        <v>2</v>
      </c>
      <c r="E3013" s="736">
        <v>1199</v>
      </c>
      <c r="F3013" s="735">
        <f t="shared" si="712"/>
        <v>2398</v>
      </c>
      <c r="G3013" s="735">
        <v>2.5585</v>
      </c>
      <c r="H3013" s="735">
        <f t="shared" si="713"/>
        <v>3067.6415000000002</v>
      </c>
      <c r="I3013" s="735">
        <f t="shared" si="714"/>
        <v>6135.2830000000004</v>
      </c>
      <c r="J3013" s="1066">
        <f t="shared" ref="J3013:J3021" si="715">J3012+I3013</f>
        <v>515276.783</v>
      </c>
    </row>
    <row r="3014" spans="1:10">
      <c r="B3014" s="737">
        <v>46129</v>
      </c>
      <c r="C3014" s="1066" t="s">
        <v>4127</v>
      </c>
      <c r="D3014" s="1066">
        <v>2</v>
      </c>
      <c r="E3014" s="736">
        <v>1199</v>
      </c>
      <c r="F3014" s="735">
        <f t="shared" si="712"/>
        <v>2398</v>
      </c>
      <c r="G3014" s="735">
        <v>2.5585</v>
      </c>
      <c r="H3014" s="735">
        <f t="shared" si="713"/>
        <v>3067.6415000000002</v>
      </c>
      <c r="I3014" s="735">
        <f t="shared" si="714"/>
        <v>6135.2830000000004</v>
      </c>
      <c r="J3014" s="1066">
        <f t="shared" si="715"/>
        <v>521412.06599999999</v>
      </c>
    </row>
    <row r="3015" spans="1:10">
      <c r="B3015" s="737">
        <v>46129</v>
      </c>
      <c r="C3015" s="1066" t="s">
        <v>4127</v>
      </c>
      <c r="D3015" s="1066">
        <v>3</v>
      </c>
      <c r="E3015" s="736">
        <v>1199</v>
      </c>
      <c r="F3015" s="735">
        <f t="shared" si="712"/>
        <v>3597</v>
      </c>
      <c r="G3015" s="735">
        <v>2.5585</v>
      </c>
      <c r="H3015" s="735">
        <f t="shared" si="713"/>
        <v>3067.6415000000002</v>
      </c>
      <c r="I3015" s="735">
        <f t="shared" si="714"/>
        <v>9202.924500000001</v>
      </c>
      <c r="J3015" s="1066">
        <f t="shared" si="715"/>
        <v>530614.99049999996</v>
      </c>
    </row>
    <row r="3016" spans="1:10">
      <c r="B3016" s="624">
        <v>46129</v>
      </c>
      <c r="C3016" s="1068" t="s">
        <v>4127</v>
      </c>
      <c r="D3016" s="1068">
        <v>1</v>
      </c>
      <c r="E3016" s="625">
        <v>750</v>
      </c>
      <c r="F3016" s="735">
        <f t="shared" si="712"/>
        <v>750</v>
      </c>
      <c r="G3016" s="735">
        <v>2.5585</v>
      </c>
      <c r="H3016" s="735">
        <f t="shared" si="713"/>
        <v>1918.875</v>
      </c>
      <c r="I3016" s="735">
        <f t="shared" si="714"/>
        <v>1918.875</v>
      </c>
      <c r="J3016" s="1066">
        <f t="shared" si="715"/>
        <v>532533.86549999996</v>
      </c>
    </row>
    <row r="3017" spans="1:10">
      <c r="B3017" s="585">
        <v>46130</v>
      </c>
      <c r="C3017" s="110" t="s">
        <v>4138</v>
      </c>
      <c r="D3017" s="110">
        <v>4</v>
      </c>
      <c r="E3017" s="623">
        <v>1199</v>
      </c>
      <c r="F3017" s="127">
        <f t="shared" si="712"/>
        <v>4796</v>
      </c>
      <c r="G3017" s="127">
        <v>2.5585</v>
      </c>
      <c r="H3017" s="127">
        <f t="shared" si="713"/>
        <v>3067.6415000000002</v>
      </c>
      <c r="I3017" s="127">
        <f t="shared" si="714"/>
        <v>12270.566000000001</v>
      </c>
      <c r="J3017" s="110">
        <f t="shared" si="715"/>
        <v>544804.43149999995</v>
      </c>
    </row>
    <row r="3018" spans="1:10">
      <c r="B3018" s="585">
        <v>46130</v>
      </c>
      <c r="C3018" s="110" t="s">
        <v>4133</v>
      </c>
      <c r="D3018" s="110">
        <v>4</v>
      </c>
      <c r="E3018" s="110">
        <v>1199</v>
      </c>
      <c r="F3018" s="127">
        <f t="shared" si="712"/>
        <v>4796</v>
      </c>
      <c r="G3018" s="127">
        <v>2.5585</v>
      </c>
      <c r="H3018" s="127">
        <f t="shared" si="713"/>
        <v>3067.6415000000002</v>
      </c>
      <c r="I3018" s="127">
        <f t="shared" si="714"/>
        <v>12270.566000000001</v>
      </c>
      <c r="J3018" s="110">
        <f t="shared" si="715"/>
        <v>557074.99749999994</v>
      </c>
    </row>
    <row r="3019" spans="1:10">
      <c r="B3019" s="594">
        <v>46127</v>
      </c>
      <c r="C3019" s="296" t="s">
        <v>4128</v>
      </c>
      <c r="D3019" s="296">
        <v>1</v>
      </c>
      <c r="E3019" s="637">
        <v>200</v>
      </c>
      <c r="F3019" s="596">
        <f t="shared" si="712"/>
        <v>200</v>
      </c>
      <c r="G3019" s="596">
        <v>2.5585</v>
      </c>
      <c r="H3019" s="596">
        <f t="shared" si="713"/>
        <v>511.7</v>
      </c>
      <c r="I3019" s="596">
        <f t="shared" si="714"/>
        <v>511.7</v>
      </c>
      <c r="J3019" s="296">
        <f t="shared" si="715"/>
        <v>557586.69749999989</v>
      </c>
    </row>
    <row r="3020" spans="1:10">
      <c r="B3020" s="594">
        <v>46129</v>
      </c>
      <c r="C3020" s="296" t="s">
        <v>4129</v>
      </c>
      <c r="D3020" s="296">
        <v>1</v>
      </c>
      <c r="E3020" s="637">
        <v>2350</v>
      </c>
      <c r="F3020" s="596">
        <f t="shared" si="712"/>
        <v>2350</v>
      </c>
      <c r="G3020" s="596">
        <v>2.5585</v>
      </c>
      <c r="H3020" s="596">
        <f t="shared" si="713"/>
        <v>6012.4750000000004</v>
      </c>
      <c r="I3020" s="596">
        <f t="shared" si="714"/>
        <v>6012.4750000000004</v>
      </c>
      <c r="J3020" s="296">
        <f t="shared" si="715"/>
        <v>563599.17249999987</v>
      </c>
    </row>
    <row r="3021" spans="1:10">
      <c r="B3021" s="594">
        <v>46120</v>
      </c>
      <c r="C3021" s="296" t="s">
        <v>4130</v>
      </c>
      <c r="D3021" s="296">
        <v>4</v>
      </c>
      <c r="E3021" s="637">
        <v>25</v>
      </c>
      <c r="F3021" s="596">
        <f t="shared" si="712"/>
        <v>100</v>
      </c>
      <c r="G3021" s="596">
        <v>2.5585</v>
      </c>
      <c r="H3021" s="596">
        <f t="shared" si="713"/>
        <v>63.962499999999999</v>
      </c>
      <c r="I3021" s="596">
        <f t="shared" si="714"/>
        <v>255.85</v>
      </c>
      <c r="J3021" s="296">
        <f t="shared" si="715"/>
        <v>563855.02249999985</v>
      </c>
    </row>
    <row r="3022" spans="1:10" s="1056" customFormat="1">
      <c r="B3022" s="1084"/>
      <c r="C3022" s="568"/>
      <c r="D3022" s="568"/>
      <c r="E3022" s="1085"/>
      <c r="F3022" s="567"/>
      <c r="G3022" s="567"/>
      <c r="H3022" s="567"/>
      <c r="I3022" s="567"/>
      <c r="J3022" s="568"/>
    </row>
    <row r="3023" spans="1:10" s="1056" customFormat="1">
      <c r="B3023" s="1084"/>
      <c r="C3023" s="568"/>
      <c r="D3023" s="568"/>
      <c r="E3023" s="1085"/>
      <c r="F3023" s="567"/>
      <c r="G3023" s="567"/>
      <c r="H3023" s="567"/>
      <c r="I3023" s="567"/>
      <c r="J3023" s="568"/>
    </row>
    <row r="3024" spans="1:10" s="1056" customFormat="1">
      <c r="B3024" s="1084"/>
      <c r="C3024" s="568"/>
      <c r="D3024" s="568"/>
      <c r="E3024" s="1085"/>
      <c r="F3024" s="567"/>
      <c r="G3024" s="567"/>
      <c r="H3024" s="567"/>
      <c r="I3024" s="567"/>
      <c r="J3024" s="568"/>
    </row>
    <row r="3026" spans="1:15" s="1056" customFormat="1">
      <c r="B3026" s="1083"/>
      <c r="C3026" s="1083"/>
      <c r="D3026" s="1083"/>
      <c r="E3026" s="1083"/>
      <c r="F3026" s="1083"/>
      <c r="G3026" s="1083"/>
      <c r="H3026" s="1083"/>
      <c r="I3026" s="1083"/>
      <c r="J3026" s="25"/>
    </row>
    <row r="3027" spans="1:15" s="1056" customFormat="1">
      <c r="B3027" s="1083"/>
      <c r="C3027" s="1083"/>
      <c r="D3027" s="1083"/>
      <c r="E3027" s="1083"/>
      <c r="F3027" s="1083"/>
      <c r="G3027" s="1083"/>
      <c r="H3027" s="1083"/>
      <c r="I3027" s="1083"/>
      <c r="J3027" s="25"/>
    </row>
    <row r="3029" spans="1:15" ht="21">
      <c r="A3029" s="1056" t="s">
        <v>125</v>
      </c>
      <c r="B3029" s="1521" t="s">
        <v>20</v>
      </c>
      <c r="C3029" s="1521"/>
      <c r="D3029" s="1521"/>
      <c r="E3029" s="1521"/>
      <c r="F3029" s="1521"/>
      <c r="G3029" s="1521"/>
      <c r="H3029" s="1521"/>
      <c r="I3029" s="1521"/>
      <c r="J3029" s="1521"/>
      <c r="K3029" s="1521"/>
      <c r="L3029" s="1521"/>
      <c r="M3029" s="1521"/>
      <c r="N3029" s="1521"/>
      <c r="O3029" s="1521"/>
    </row>
    <row r="3030" spans="1:15" ht="18.75">
      <c r="A3030" s="1056" t="s">
        <v>212</v>
      </c>
      <c r="B3030" s="226" t="s">
        <v>1</v>
      </c>
      <c r="C3030" s="226" t="s">
        <v>2</v>
      </c>
      <c r="D3030" s="226" t="s">
        <v>444</v>
      </c>
      <c r="E3030" s="226" t="s">
        <v>33</v>
      </c>
      <c r="F3030" s="226" t="s">
        <v>3</v>
      </c>
      <c r="G3030" s="226" t="s">
        <v>445</v>
      </c>
      <c r="H3030" s="226" t="s">
        <v>451</v>
      </c>
      <c r="I3030" s="226" t="s">
        <v>446</v>
      </c>
      <c r="J3030" s="226" t="s">
        <v>447</v>
      </c>
      <c r="K3030" s="226" t="s">
        <v>448</v>
      </c>
      <c r="L3030" s="226" t="s">
        <v>449</v>
      </c>
      <c r="M3030" s="226" t="s">
        <v>450</v>
      </c>
      <c r="N3030" s="226" t="s">
        <v>7</v>
      </c>
      <c r="O3030" s="29"/>
    </row>
    <row r="3031" spans="1:15">
      <c r="B3031" s="585">
        <v>46120</v>
      </c>
      <c r="C3031" s="110" t="s">
        <v>4131</v>
      </c>
      <c r="D3031" s="1066"/>
      <c r="E3031" s="735"/>
      <c r="F3031" s="1066">
        <v>2</v>
      </c>
      <c r="G3031" s="736">
        <v>2199</v>
      </c>
      <c r="H3031" s="735">
        <v>10</v>
      </c>
      <c r="I3031" s="735">
        <f t="shared" ref="I3031:I3037" si="716">G3031*H3031%</f>
        <v>219.9</v>
      </c>
      <c r="J3031" s="1066">
        <f t="shared" ref="J3031:J3037" si="717">G3031-I3031</f>
        <v>1979.1</v>
      </c>
      <c r="K3031" s="1066">
        <f>F3031*J3031</f>
        <v>3958.2</v>
      </c>
      <c r="L3031" s="735">
        <v>2.5585</v>
      </c>
      <c r="M3031" s="1066">
        <v>5063.5200000000004</v>
      </c>
      <c r="N3031" s="1066">
        <f>F3031*M3031</f>
        <v>10127.040000000001</v>
      </c>
      <c r="O3031" s="1066">
        <f>O3030+N3031</f>
        <v>10127.040000000001</v>
      </c>
    </row>
    <row r="3032" spans="1:15">
      <c r="B3032" s="585">
        <v>46120</v>
      </c>
      <c r="C3032" s="110" t="s">
        <v>4132</v>
      </c>
      <c r="D3032" s="1066"/>
      <c r="E3032" s="735"/>
      <c r="F3032" s="1066">
        <v>2</v>
      </c>
      <c r="G3032" s="736">
        <v>2199</v>
      </c>
      <c r="H3032" s="735">
        <v>10</v>
      </c>
      <c r="I3032" s="735">
        <f t="shared" si="716"/>
        <v>219.9</v>
      </c>
      <c r="J3032" s="1066">
        <f t="shared" si="717"/>
        <v>1979.1</v>
      </c>
      <c r="K3032" s="1066">
        <f t="shared" ref="K3032:K3037" si="718">F3032*J3032</f>
        <v>3958.2</v>
      </c>
      <c r="L3032" s="735">
        <v>2.5585</v>
      </c>
      <c r="M3032" s="1066">
        <f t="shared" ref="M3032:M3037" si="719">J3032*L3032</f>
        <v>5063.5273499999994</v>
      </c>
      <c r="N3032" s="1066">
        <f t="shared" ref="N3032:N3037" si="720">F3032*M3032</f>
        <v>10127.054699999999</v>
      </c>
      <c r="O3032" s="1066">
        <f t="shared" ref="O3032:O3037" si="721">O3031+N3032</f>
        <v>20254.094700000001</v>
      </c>
    </row>
    <row r="3033" spans="1:15">
      <c r="B3033" s="737">
        <v>46119</v>
      </c>
      <c r="C3033" s="1066" t="s">
        <v>4134</v>
      </c>
      <c r="D3033" s="735"/>
      <c r="E3033" s="735"/>
      <c r="F3033" s="1066">
        <v>40</v>
      </c>
      <c r="G3033" s="736">
        <v>2199</v>
      </c>
      <c r="H3033" s="735">
        <v>10</v>
      </c>
      <c r="I3033" s="735">
        <f t="shared" si="716"/>
        <v>219.9</v>
      </c>
      <c r="J3033" s="1066">
        <f t="shared" si="717"/>
        <v>1979.1</v>
      </c>
      <c r="K3033" s="1066">
        <f t="shared" si="718"/>
        <v>79164</v>
      </c>
      <c r="L3033" s="735">
        <v>2.5585</v>
      </c>
      <c r="M3033" s="1066">
        <f t="shared" si="719"/>
        <v>5063.5273499999994</v>
      </c>
      <c r="N3033" s="1066">
        <f t="shared" si="720"/>
        <v>202541.09399999998</v>
      </c>
      <c r="O3033" s="1066">
        <f t="shared" si="721"/>
        <v>222795.1887</v>
      </c>
    </row>
    <row r="3034" spans="1:15">
      <c r="B3034" s="737">
        <v>46119</v>
      </c>
      <c r="C3034" s="1066" t="s">
        <v>4135</v>
      </c>
      <c r="D3034" s="735"/>
      <c r="E3034" s="735"/>
      <c r="F3034" s="1066">
        <v>6</v>
      </c>
      <c r="G3034" s="736">
        <v>689</v>
      </c>
      <c r="H3034" s="735">
        <v>10</v>
      </c>
      <c r="I3034" s="735">
        <f t="shared" si="716"/>
        <v>68.900000000000006</v>
      </c>
      <c r="J3034" s="1066">
        <f t="shared" si="717"/>
        <v>620.1</v>
      </c>
      <c r="K3034" s="1066">
        <f t="shared" si="718"/>
        <v>3720.6000000000004</v>
      </c>
      <c r="L3034" s="735">
        <v>2.5585</v>
      </c>
      <c r="M3034" s="1066">
        <f t="shared" si="719"/>
        <v>1586.52585</v>
      </c>
      <c r="N3034" s="1066">
        <f t="shared" si="720"/>
        <v>9519.1550999999999</v>
      </c>
      <c r="O3034" s="1066">
        <f t="shared" si="721"/>
        <v>232314.3438</v>
      </c>
    </row>
    <row r="3035" spans="1:15">
      <c r="B3035" s="737">
        <v>46119</v>
      </c>
      <c r="C3035" s="1066" t="s">
        <v>4136</v>
      </c>
      <c r="D3035" s="735"/>
      <c r="E3035" s="735"/>
      <c r="F3035" s="1066">
        <v>7</v>
      </c>
      <c r="G3035" s="736">
        <v>398</v>
      </c>
      <c r="H3035" s="735">
        <v>10</v>
      </c>
      <c r="I3035" s="735">
        <f t="shared" si="716"/>
        <v>39.800000000000004</v>
      </c>
      <c r="J3035" s="1066">
        <f t="shared" si="717"/>
        <v>358.2</v>
      </c>
      <c r="K3035" s="1066">
        <f t="shared" si="718"/>
        <v>2507.4</v>
      </c>
      <c r="L3035" s="735">
        <v>2.5585</v>
      </c>
      <c r="M3035" s="1066">
        <f t="shared" si="719"/>
        <v>916.4547</v>
      </c>
      <c r="N3035" s="1066">
        <f t="shared" si="720"/>
        <v>6415.1828999999998</v>
      </c>
      <c r="O3035" s="1066">
        <f t="shared" si="721"/>
        <v>238729.52669999999</v>
      </c>
    </row>
    <row r="3036" spans="1:15">
      <c r="B3036" s="737">
        <v>46119</v>
      </c>
      <c r="C3036" s="1066" t="s">
        <v>4137</v>
      </c>
      <c r="D3036" s="735"/>
      <c r="E3036" s="735"/>
      <c r="F3036" s="1066">
        <v>60</v>
      </c>
      <c r="G3036" s="736">
        <v>398</v>
      </c>
      <c r="H3036" s="735">
        <v>10</v>
      </c>
      <c r="I3036" s="735">
        <f t="shared" si="716"/>
        <v>39.800000000000004</v>
      </c>
      <c r="J3036" s="1066">
        <f t="shared" si="717"/>
        <v>358.2</v>
      </c>
      <c r="K3036" s="1066">
        <f t="shared" si="718"/>
        <v>21492</v>
      </c>
      <c r="L3036" s="735">
        <v>2.5585</v>
      </c>
      <c r="M3036" s="1066">
        <f t="shared" si="719"/>
        <v>916.4547</v>
      </c>
      <c r="N3036" s="1066">
        <f t="shared" si="720"/>
        <v>54987.281999999999</v>
      </c>
      <c r="O3036" s="1066">
        <f t="shared" si="721"/>
        <v>293716.80869999999</v>
      </c>
    </row>
    <row r="3037" spans="1:15">
      <c r="B3037" s="735"/>
      <c r="C3037" s="735"/>
      <c r="D3037" s="735"/>
      <c r="E3037" s="735"/>
      <c r="F3037" s="735"/>
      <c r="G3037" s="735"/>
      <c r="H3037" s="735"/>
      <c r="I3037" s="735">
        <f t="shared" si="716"/>
        <v>0</v>
      </c>
      <c r="J3037" s="1066">
        <f t="shared" si="717"/>
        <v>0</v>
      </c>
      <c r="K3037" s="1066">
        <f t="shared" si="718"/>
        <v>0</v>
      </c>
      <c r="L3037" s="1066"/>
      <c r="M3037" s="1066">
        <f t="shared" si="719"/>
        <v>0</v>
      </c>
      <c r="N3037" s="1066">
        <f t="shared" si="720"/>
        <v>0</v>
      </c>
      <c r="O3037" s="1066">
        <f t="shared" si="721"/>
        <v>293716.80869999999</v>
      </c>
    </row>
    <row r="3044" spans="1:10" ht="21">
      <c r="A3044" s="1056" t="s">
        <v>125</v>
      </c>
      <c r="B3044" s="1520" t="s">
        <v>35</v>
      </c>
      <c r="C3044" s="1520"/>
      <c r="D3044" s="1520"/>
      <c r="E3044" s="1520"/>
      <c r="F3044" s="1520"/>
      <c r="G3044" s="1520"/>
      <c r="H3044" s="1520"/>
      <c r="I3044" s="1520"/>
      <c r="J3044" s="1520"/>
    </row>
    <row r="3045" spans="1:10" ht="18.75">
      <c r="A3045" s="1056" t="s">
        <v>212</v>
      </c>
      <c r="B3045" s="4" t="s">
        <v>1</v>
      </c>
      <c r="C3045" s="4" t="s">
        <v>2</v>
      </c>
      <c r="D3045" s="4" t="s">
        <v>3</v>
      </c>
      <c r="E3045" s="4" t="s">
        <v>4</v>
      </c>
      <c r="F3045" s="4" t="s">
        <v>36</v>
      </c>
      <c r="G3045" s="4" t="s">
        <v>5</v>
      </c>
      <c r="H3045" s="4" t="s">
        <v>6</v>
      </c>
      <c r="I3045" s="4" t="s">
        <v>7</v>
      </c>
      <c r="J3045" s="4"/>
    </row>
    <row r="3046" spans="1:10">
      <c r="B3046" s="583">
        <v>46132</v>
      </c>
      <c r="C3046" s="1064" t="s">
        <v>4507</v>
      </c>
      <c r="D3046" s="1064">
        <v>1</v>
      </c>
      <c r="E3046" s="1064">
        <v>1649</v>
      </c>
      <c r="F3046" s="1170">
        <f>E3046*D3046</f>
        <v>1649</v>
      </c>
      <c r="G3046" s="1170">
        <v>2.15</v>
      </c>
      <c r="H3046" s="1170">
        <f>E3046*G3046</f>
        <v>3545.35</v>
      </c>
      <c r="I3046" s="1170">
        <f>H3046*D3046</f>
        <v>3545.35</v>
      </c>
      <c r="J3046" s="1064">
        <f>J3045+I3046</f>
        <v>3545.35</v>
      </c>
    </row>
    <row r="3047" spans="1:10">
      <c r="B3047" s="583">
        <v>46132</v>
      </c>
      <c r="C3047" s="1064" t="s">
        <v>4508</v>
      </c>
      <c r="D3047" s="1064">
        <v>1</v>
      </c>
      <c r="E3047" s="1064">
        <v>17999</v>
      </c>
      <c r="F3047" s="1170">
        <f t="shared" ref="F3047:F3054" si="722">E3047*D3047</f>
        <v>17999</v>
      </c>
      <c r="G3047" s="1170">
        <v>2.15</v>
      </c>
      <c r="H3047" s="1170">
        <f t="shared" ref="H3047:H3054" si="723">E3047*G3047</f>
        <v>38697.85</v>
      </c>
      <c r="I3047" s="1170">
        <f t="shared" ref="I3047:I3054" si="724">H3047*D3047</f>
        <v>38697.85</v>
      </c>
      <c r="J3047" s="1064">
        <f t="shared" ref="J3047:J3054" si="725">J3046+I3047</f>
        <v>42243.199999999997</v>
      </c>
    </row>
    <row r="3048" spans="1:10">
      <c r="B3048" s="583">
        <v>46132</v>
      </c>
      <c r="C3048" s="1064" t="s">
        <v>4504</v>
      </c>
      <c r="D3048" s="1064">
        <v>5</v>
      </c>
      <c r="E3048" s="1064">
        <v>786</v>
      </c>
      <c r="F3048" s="1170">
        <f t="shared" si="722"/>
        <v>3930</v>
      </c>
      <c r="G3048" s="1170">
        <v>2.15</v>
      </c>
      <c r="H3048" s="1170">
        <f t="shared" si="723"/>
        <v>1689.8999999999999</v>
      </c>
      <c r="I3048" s="1170">
        <f t="shared" si="724"/>
        <v>8449.5</v>
      </c>
      <c r="J3048" s="1064">
        <f t="shared" si="725"/>
        <v>50692.7</v>
      </c>
    </row>
    <row r="3049" spans="1:10">
      <c r="B3049" s="583">
        <v>46134</v>
      </c>
      <c r="C3049" s="1064" t="s">
        <v>4505</v>
      </c>
      <c r="D3049" s="1064">
        <v>10</v>
      </c>
      <c r="E3049" s="1064">
        <v>1579</v>
      </c>
      <c r="F3049" s="1170">
        <f t="shared" si="722"/>
        <v>15790</v>
      </c>
      <c r="G3049" s="1170">
        <v>2.15</v>
      </c>
      <c r="H3049" s="1170">
        <f t="shared" si="723"/>
        <v>3394.85</v>
      </c>
      <c r="I3049" s="1170">
        <f t="shared" si="724"/>
        <v>33948.5</v>
      </c>
      <c r="J3049" s="1064">
        <f t="shared" si="725"/>
        <v>84641.2</v>
      </c>
    </row>
    <row r="3050" spans="1:10">
      <c r="B3050" s="583">
        <v>46136</v>
      </c>
      <c r="C3050" s="1064" t="s">
        <v>4506</v>
      </c>
      <c r="D3050" s="1064">
        <v>10</v>
      </c>
      <c r="E3050" s="1064">
        <v>1489</v>
      </c>
      <c r="F3050" s="1170">
        <f t="shared" si="722"/>
        <v>14890</v>
      </c>
      <c r="G3050" s="1170">
        <v>2.15</v>
      </c>
      <c r="H3050" s="1170">
        <f t="shared" si="723"/>
        <v>3201.35</v>
      </c>
      <c r="I3050" s="1170">
        <f t="shared" si="724"/>
        <v>32013.5</v>
      </c>
      <c r="J3050" s="1064">
        <f t="shared" si="725"/>
        <v>116654.7</v>
      </c>
    </row>
    <row r="3051" spans="1:10">
      <c r="B3051" s="583">
        <v>46136</v>
      </c>
      <c r="C3051" s="1064" t="s">
        <v>4506</v>
      </c>
      <c r="D3051" s="1204">
        <v>10</v>
      </c>
      <c r="E3051" s="1204">
        <v>1489</v>
      </c>
      <c r="F3051" s="1170">
        <f t="shared" si="722"/>
        <v>14890</v>
      </c>
      <c r="G3051" s="1170">
        <v>2.15</v>
      </c>
      <c r="H3051" s="1170">
        <f t="shared" si="723"/>
        <v>3201.35</v>
      </c>
      <c r="I3051" s="1170">
        <f t="shared" si="724"/>
        <v>32013.5</v>
      </c>
      <c r="J3051" s="1064">
        <f t="shared" si="725"/>
        <v>148668.20000000001</v>
      </c>
    </row>
    <row r="3052" spans="1:10">
      <c r="B3052" s="1170"/>
      <c r="C3052" s="1170"/>
      <c r="D3052" s="1170"/>
      <c r="E3052" s="1170"/>
      <c r="F3052" s="1170">
        <f t="shared" si="722"/>
        <v>0</v>
      </c>
      <c r="G3052" s="1170"/>
      <c r="H3052" s="1170">
        <f t="shared" si="723"/>
        <v>0</v>
      </c>
      <c r="I3052" s="1170">
        <f t="shared" si="724"/>
        <v>0</v>
      </c>
      <c r="J3052" s="1064">
        <f t="shared" si="725"/>
        <v>148668.20000000001</v>
      </c>
    </row>
    <row r="3053" spans="1:10">
      <c r="B3053" s="735"/>
      <c r="C3053" s="735"/>
      <c r="D3053" s="735"/>
      <c r="E3053" s="735"/>
      <c r="F3053" s="735">
        <f t="shared" si="722"/>
        <v>0</v>
      </c>
      <c r="G3053" s="735"/>
      <c r="H3053" s="735">
        <f t="shared" si="723"/>
        <v>0</v>
      </c>
      <c r="I3053" s="735">
        <f t="shared" si="724"/>
        <v>0</v>
      </c>
      <c r="J3053" s="1066">
        <f t="shared" si="725"/>
        <v>148668.20000000001</v>
      </c>
    </row>
    <row r="3054" spans="1:10">
      <c r="B3054" s="735"/>
      <c r="C3054" s="735"/>
      <c r="D3054" s="735"/>
      <c r="E3054" s="735"/>
      <c r="F3054" s="735">
        <f t="shared" si="722"/>
        <v>0</v>
      </c>
      <c r="G3054" s="735"/>
      <c r="H3054" s="735">
        <f t="shared" si="723"/>
        <v>0</v>
      </c>
      <c r="I3054" s="735">
        <f t="shared" si="724"/>
        <v>0</v>
      </c>
      <c r="J3054" s="1066">
        <f t="shared" si="725"/>
        <v>148668.20000000001</v>
      </c>
    </row>
    <row r="3061" spans="1:15" ht="21">
      <c r="A3061" s="1056" t="s">
        <v>125</v>
      </c>
      <c r="B3061" s="1521" t="s">
        <v>20</v>
      </c>
      <c r="C3061" s="1521"/>
      <c r="D3061" s="1521"/>
      <c r="E3061" s="1521"/>
      <c r="F3061" s="1521"/>
      <c r="G3061" s="1521"/>
      <c r="H3061" s="1521"/>
      <c r="I3061" s="1521"/>
      <c r="J3061" s="1521"/>
      <c r="K3061" s="1521"/>
      <c r="L3061" s="1521"/>
      <c r="M3061" s="1521"/>
      <c r="N3061" s="1521"/>
      <c r="O3061" s="1521"/>
    </row>
    <row r="3062" spans="1:15" ht="18.75">
      <c r="A3062" s="1056" t="s">
        <v>212</v>
      </c>
      <c r="B3062" s="226" t="s">
        <v>1</v>
      </c>
      <c r="C3062" s="226" t="s">
        <v>2</v>
      </c>
      <c r="D3062" s="226" t="s">
        <v>444</v>
      </c>
      <c r="E3062" s="226" t="s">
        <v>33</v>
      </c>
      <c r="F3062" s="226" t="s">
        <v>3</v>
      </c>
      <c r="G3062" s="226" t="s">
        <v>445</v>
      </c>
      <c r="H3062" s="226" t="s">
        <v>451</v>
      </c>
      <c r="I3062" s="226" t="s">
        <v>446</v>
      </c>
      <c r="J3062" s="226" t="s">
        <v>447</v>
      </c>
      <c r="K3062" s="226" t="s">
        <v>448</v>
      </c>
      <c r="L3062" s="226" t="s">
        <v>449</v>
      </c>
      <c r="M3062" s="226" t="s">
        <v>450</v>
      </c>
      <c r="N3062" s="226" t="s">
        <v>7</v>
      </c>
      <c r="O3062" s="29"/>
    </row>
    <row r="3063" spans="1:15">
      <c r="B3063" s="583">
        <v>46138</v>
      </c>
      <c r="C3063" s="1064" t="s">
        <v>4510</v>
      </c>
      <c r="D3063" s="1064" t="s">
        <v>2383</v>
      </c>
      <c r="E3063" s="1064" t="s">
        <v>465</v>
      </c>
      <c r="F3063" s="1064">
        <v>2</v>
      </c>
      <c r="G3063" s="533">
        <v>2199</v>
      </c>
      <c r="H3063" s="1170">
        <v>10</v>
      </c>
      <c r="I3063" s="1170">
        <f>G3063*H3063%</f>
        <v>219.9</v>
      </c>
      <c r="J3063" s="1064">
        <f>G3063-I3063</f>
        <v>1979.1</v>
      </c>
      <c r="K3063" s="1064">
        <f>F3063*J3063</f>
        <v>3958.2</v>
      </c>
      <c r="L3063" s="1064">
        <v>2.5994000000000002</v>
      </c>
      <c r="M3063" s="1064">
        <f>J3063*L3063</f>
        <v>5144.4725399999998</v>
      </c>
      <c r="N3063" s="1064">
        <f>F3063*M3063</f>
        <v>10288.94508</v>
      </c>
      <c r="O3063" s="1064">
        <f>O3062+N3063</f>
        <v>10288.94508</v>
      </c>
    </row>
    <row r="3064" spans="1:15">
      <c r="B3064" s="583">
        <v>46138</v>
      </c>
      <c r="C3064" s="1064" t="s">
        <v>4511</v>
      </c>
      <c r="D3064" s="1064" t="s">
        <v>2383</v>
      </c>
      <c r="E3064" s="1064" t="s">
        <v>465</v>
      </c>
      <c r="F3064" s="1064">
        <v>2</v>
      </c>
      <c r="G3064" s="533">
        <v>2199</v>
      </c>
      <c r="H3064" s="1170">
        <v>10</v>
      </c>
      <c r="I3064" s="1170">
        <f t="shared" ref="I3064:I3072" si="726">G3064*H3064%</f>
        <v>219.9</v>
      </c>
      <c r="J3064" s="1064">
        <f t="shared" ref="J3064:J3072" si="727">G3064-I3064</f>
        <v>1979.1</v>
      </c>
      <c r="K3064" s="1064">
        <f t="shared" ref="K3064:K3072" si="728">F3064*J3064</f>
        <v>3958.2</v>
      </c>
      <c r="L3064" s="1064">
        <v>2.5994000000000002</v>
      </c>
      <c r="M3064" s="1064">
        <f t="shared" ref="M3064:M3072" si="729">J3064*L3064</f>
        <v>5144.4725399999998</v>
      </c>
      <c r="N3064" s="1064">
        <f t="shared" ref="N3064:N3072" si="730">F3064*M3064</f>
        <v>10288.94508</v>
      </c>
      <c r="O3064" s="1064">
        <f t="shared" ref="O3064:O3072" si="731">O3063+N3064</f>
        <v>20577.890159999999</v>
      </c>
    </row>
    <row r="3065" spans="1:15">
      <c r="B3065" s="583">
        <v>46138</v>
      </c>
      <c r="C3065" s="1064" t="s">
        <v>3805</v>
      </c>
      <c r="D3065" s="1064" t="s">
        <v>2383</v>
      </c>
      <c r="E3065" s="1064" t="s">
        <v>465</v>
      </c>
      <c r="F3065" s="1064">
        <v>1</v>
      </c>
      <c r="G3065" s="533">
        <v>399</v>
      </c>
      <c r="H3065" s="1170">
        <v>10</v>
      </c>
      <c r="I3065" s="1170">
        <f t="shared" si="726"/>
        <v>39.900000000000006</v>
      </c>
      <c r="J3065" s="1064">
        <f t="shared" si="727"/>
        <v>359.1</v>
      </c>
      <c r="K3065" s="1064">
        <f t="shared" si="728"/>
        <v>359.1</v>
      </c>
      <c r="L3065" s="1064">
        <v>2.5994000000000002</v>
      </c>
      <c r="M3065" s="1064">
        <f t="shared" si="729"/>
        <v>933.44454000000007</v>
      </c>
      <c r="N3065" s="1064">
        <f t="shared" si="730"/>
        <v>933.44454000000007</v>
      </c>
      <c r="O3065" s="1064">
        <f t="shared" si="731"/>
        <v>21511.334699999999</v>
      </c>
    </row>
    <row r="3066" spans="1:15">
      <c r="B3066" s="583">
        <v>46138</v>
      </c>
      <c r="C3066" s="1064" t="s">
        <v>4512</v>
      </c>
      <c r="D3066" s="1064" t="s">
        <v>2383</v>
      </c>
      <c r="E3066" s="1064" t="s">
        <v>465</v>
      </c>
      <c r="F3066" s="1064">
        <v>1</v>
      </c>
      <c r="G3066" s="533">
        <v>1400</v>
      </c>
      <c r="H3066" s="1170">
        <v>10</v>
      </c>
      <c r="I3066" s="1170">
        <f t="shared" si="726"/>
        <v>140</v>
      </c>
      <c r="J3066" s="1064">
        <f t="shared" si="727"/>
        <v>1260</v>
      </c>
      <c r="K3066" s="1064">
        <f t="shared" si="728"/>
        <v>1260</v>
      </c>
      <c r="L3066" s="1064">
        <v>2.5994000000000002</v>
      </c>
      <c r="M3066" s="1064">
        <f t="shared" si="729"/>
        <v>3275.2440000000001</v>
      </c>
      <c r="N3066" s="1064">
        <f t="shared" si="730"/>
        <v>3275.2440000000001</v>
      </c>
      <c r="O3066" s="1064">
        <f t="shared" si="731"/>
        <v>24786.578699999998</v>
      </c>
    </row>
    <row r="3067" spans="1:15">
      <c r="B3067" s="583">
        <v>46138</v>
      </c>
      <c r="C3067" s="1064" t="s">
        <v>4513</v>
      </c>
      <c r="D3067" s="1064" t="s">
        <v>2383</v>
      </c>
      <c r="E3067" s="1064" t="s">
        <v>465</v>
      </c>
      <c r="F3067" s="1064">
        <v>1</v>
      </c>
      <c r="G3067" s="533">
        <v>675.79</v>
      </c>
      <c r="H3067" s="1170">
        <v>10</v>
      </c>
      <c r="I3067" s="1170">
        <f t="shared" si="726"/>
        <v>67.578999999999994</v>
      </c>
      <c r="J3067" s="1064">
        <f t="shared" si="727"/>
        <v>608.21100000000001</v>
      </c>
      <c r="K3067" s="1064">
        <f t="shared" si="728"/>
        <v>608.21100000000001</v>
      </c>
      <c r="L3067" s="1064">
        <v>2.5994000000000002</v>
      </c>
      <c r="M3067" s="1064">
        <f t="shared" si="729"/>
        <v>1580.9836734</v>
      </c>
      <c r="N3067" s="1064">
        <f t="shared" si="730"/>
        <v>1580.9836734</v>
      </c>
      <c r="O3067" s="1064">
        <f t="shared" si="731"/>
        <v>26367.562373399996</v>
      </c>
    </row>
    <row r="3068" spans="1:15">
      <c r="B3068" s="583">
        <v>46139</v>
      </c>
      <c r="C3068" s="1064" t="s">
        <v>4511</v>
      </c>
      <c r="D3068" s="1064" t="s">
        <v>2383</v>
      </c>
      <c r="E3068" s="1064" t="s">
        <v>465</v>
      </c>
      <c r="F3068" s="1064">
        <v>2</v>
      </c>
      <c r="G3068" s="533">
        <v>2199</v>
      </c>
      <c r="H3068" s="1170">
        <v>10</v>
      </c>
      <c r="I3068" s="1170">
        <f t="shared" si="726"/>
        <v>219.9</v>
      </c>
      <c r="J3068" s="1064">
        <f t="shared" si="727"/>
        <v>1979.1</v>
      </c>
      <c r="K3068" s="1064">
        <f t="shared" si="728"/>
        <v>3958.2</v>
      </c>
      <c r="L3068" s="1064">
        <v>2.5994000000000002</v>
      </c>
      <c r="M3068" s="1064">
        <f t="shared" si="729"/>
        <v>5144.4725399999998</v>
      </c>
      <c r="N3068" s="1064">
        <f t="shared" si="730"/>
        <v>10288.94508</v>
      </c>
      <c r="O3068" s="1064">
        <f t="shared" si="731"/>
        <v>36656.507453399994</v>
      </c>
    </row>
    <row r="3069" spans="1:15">
      <c r="B3069" s="583">
        <v>46139</v>
      </c>
      <c r="C3069" s="1064" t="s">
        <v>4513</v>
      </c>
      <c r="D3069" s="1064" t="s">
        <v>2383</v>
      </c>
      <c r="E3069" s="1064" t="s">
        <v>465</v>
      </c>
      <c r="F3069" s="1064">
        <v>1</v>
      </c>
      <c r="G3069" s="533">
        <v>689</v>
      </c>
      <c r="H3069" s="1170">
        <v>10</v>
      </c>
      <c r="I3069" s="1170">
        <f t="shared" si="726"/>
        <v>68.900000000000006</v>
      </c>
      <c r="J3069" s="1064">
        <f t="shared" si="727"/>
        <v>620.1</v>
      </c>
      <c r="K3069" s="1064">
        <f t="shared" si="728"/>
        <v>620.1</v>
      </c>
      <c r="L3069" s="1064">
        <v>2.5994000000000002</v>
      </c>
      <c r="M3069" s="1064">
        <f t="shared" si="729"/>
        <v>1611.8879400000001</v>
      </c>
      <c r="N3069" s="1064">
        <f t="shared" si="730"/>
        <v>1611.8879400000001</v>
      </c>
      <c r="O3069" s="1064">
        <f t="shared" si="731"/>
        <v>38268.395393399995</v>
      </c>
    </row>
    <row r="3070" spans="1:15">
      <c r="B3070" s="583">
        <v>46139</v>
      </c>
      <c r="C3070" s="1064" t="s">
        <v>4514</v>
      </c>
      <c r="D3070" s="1064" t="s">
        <v>2383</v>
      </c>
      <c r="E3070" s="1064" t="s">
        <v>465</v>
      </c>
      <c r="F3070" s="1064">
        <v>1</v>
      </c>
      <c r="G3070" s="533">
        <v>4500</v>
      </c>
      <c r="H3070" s="1170">
        <v>10</v>
      </c>
      <c r="I3070" s="1170">
        <f t="shared" si="726"/>
        <v>450</v>
      </c>
      <c r="J3070" s="1064">
        <f t="shared" si="727"/>
        <v>4050</v>
      </c>
      <c r="K3070" s="1064">
        <f t="shared" si="728"/>
        <v>4050</v>
      </c>
      <c r="L3070" s="1064">
        <v>2.5994000000000002</v>
      </c>
      <c r="M3070" s="1064">
        <f t="shared" si="729"/>
        <v>10527.570000000002</v>
      </c>
      <c r="N3070" s="1064">
        <f t="shared" si="730"/>
        <v>10527.570000000002</v>
      </c>
      <c r="O3070" s="1064">
        <f t="shared" si="731"/>
        <v>48795.965393399994</v>
      </c>
    </row>
    <row r="3071" spans="1:15">
      <c r="B3071" s="583">
        <v>46139</v>
      </c>
      <c r="C3071" s="1064" t="s">
        <v>3805</v>
      </c>
      <c r="D3071" s="1064" t="s">
        <v>2383</v>
      </c>
      <c r="E3071" s="1064" t="s">
        <v>465</v>
      </c>
      <c r="F3071" s="1064">
        <v>1</v>
      </c>
      <c r="G3071" s="533">
        <v>299</v>
      </c>
      <c r="H3071" s="1170">
        <v>10</v>
      </c>
      <c r="I3071" s="1170">
        <f t="shared" si="726"/>
        <v>29.900000000000002</v>
      </c>
      <c r="J3071" s="1064">
        <f t="shared" si="727"/>
        <v>269.10000000000002</v>
      </c>
      <c r="K3071" s="1064">
        <f t="shared" si="728"/>
        <v>269.10000000000002</v>
      </c>
      <c r="L3071" s="1064">
        <v>2.5994000000000002</v>
      </c>
      <c r="M3071" s="1064">
        <f t="shared" si="729"/>
        <v>699.49854000000005</v>
      </c>
      <c r="N3071" s="1064">
        <f t="shared" si="730"/>
        <v>699.49854000000005</v>
      </c>
      <c r="O3071" s="1064">
        <f t="shared" si="731"/>
        <v>49495.463933399995</v>
      </c>
    </row>
    <row r="3072" spans="1:15">
      <c r="B3072" s="583">
        <v>46139</v>
      </c>
      <c r="C3072" s="1064" t="s">
        <v>1575</v>
      </c>
      <c r="D3072" s="1064" t="s">
        <v>2383</v>
      </c>
      <c r="E3072" s="1064" t="s">
        <v>465</v>
      </c>
      <c r="F3072" s="1064">
        <v>11</v>
      </c>
      <c r="G3072" s="533">
        <v>125</v>
      </c>
      <c r="H3072" s="1170">
        <v>10</v>
      </c>
      <c r="I3072" s="1170">
        <f t="shared" si="726"/>
        <v>12.5</v>
      </c>
      <c r="J3072" s="1064">
        <f t="shared" si="727"/>
        <v>112.5</v>
      </c>
      <c r="K3072" s="1064">
        <f t="shared" si="728"/>
        <v>1237.5</v>
      </c>
      <c r="L3072" s="1064">
        <v>2.5994000000000002</v>
      </c>
      <c r="M3072" s="1064">
        <f t="shared" si="729"/>
        <v>292.4325</v>
      </c>
      <c r="N3072" s="1064">
        <f t="shared" si="730"/>
        <v>3216.7575000000002</v>
      </c>
      <c r="O3072" s="1064">
        <f t="shared" si="731"/>
        <v>52712.221433399995</v>
      </c>
    </row>
    <row r="3073" spans="2:15">
      <c r="B3073" s="583">
        <v>46139</v>
      </c>
      <c r="C3073" s="1064" t="s">
        <v>4515</v>
      </c>
      <c r="D3073" s="1064" t="s">
        <v>2383</v>
      </c>
      <c r="E3073" s="1064" t="s">
        <v>4517</v>
      </c>
      <c r="F3073" s="1064">
        <v>2</v>
      </c>
      <c r="G3073" s="533">
        <v>2199</v>
      </c>
      <c r="H3073" s="1170">
        <v>10</v>
      </c>
      <c r="I3073" s="1170">
        <f t="shared" ref="I3073:I3079" si="732">G3073*H3073%</f>
        <v>219.9</v>
      </c>
      <c r="J3073" s="1064">
        <f t="shared" ref="J3073:J3079" si="733">G3073-I3073</f>
        <v>1979.1</v>
      </c>
      <c r="K3073" s="1064">
        <f t="shared" ref="K3073:K3079" si="734">F3073*J3073</f>
        <v>3958.2</v>
      </c>
      <c r="L3073" s="1064">
        <v>2.5994000000000002</v>
      </c>
      <c r="M3073" s="1064">
        <f t="shared" ref="M3073:M3079" si="735">J3073*L3073</f>
        <v>5144.4725399999998</v>
      </c>
      <c r="N3073" s="1064">
        <f t="shared" ref="N3073:N3079" si="736">F3073*M3073</f>
        <v>10288.94508</v>
      </c>
      <c r="O3073" s="1064">
        <f t="shared" ref="O3073:O3079" si="737">O3072+N3073</f>
        <v>63001.166513399992</v>
      </c>
    </row>
    <row r="3074" spans="2:15">
      <c r="B3074" s="583">
        <v>46139</v>
      </c>
      <c r="C3074" s="1064" t="s">
        <v>4516</v>
      </c>
      <c r="D3074" s="1064" t="s">
        <v>2383</v>
      </c>
      <c r="E3074" s="1064" t="s">
        <v>465</v>
      </c>
      <c r="F3074" s="1064">
        <v>1</v>
      </c>
      <c r="G3074" s="533">
        <v>3440</v>
      </c>
      <c r="H3074" s="1170">
        <v>10</v>
      </c>
      <c r="I3074" s="1170">
        <f t="shared" si="732"/>
        <v>344</v>
      </c>
      <c r="J3074" s="1064">
        <f t="shared" si="733"/>
        <v>3096</v>
      </c>
      <c r="K3074" s="1064">
        <f t="shared" si="734"/>
        <v>3096</v>
      </c>
      <c r="L3074" s="1064">
        <v>2.5994000000000002</v>
      </c>
      <c r="M3074" s="1064">
        <f t="shared" si="735"/>
        <v>8047.7424000000001</v>
      </c>
      <c r="N3074" s="1064">
        <f t="shared" si="736"/>
        <v>8047.7424000000001</v>
      </c>
      <c r="O3074" s="1064">
        <f t="shared" si="737"/>
        <v>71048.908913399995</v>
      </c>
    </row>
    <row r="3075" spans="2:15">
      <c r="B3075" s="583">
        <v>46139</v>
      </c>
      <c r="C3075" s="1064" t="s">
        <v>4513</v>
      </c>
      <c r="D3075" s="1064" t="s">
        <v>2383</v>
      </c>
      <c r="E3075" s="1064" t="s">
        <v>465</v>
      </c>
      <c r="F3075" s="1064">
        <v>1</v>
      </c>
      <c r="G3075" s="533">
        <v>689</v>
      </c>
      <c r="H3075" s="1170">
        <v>10</v>
      </c>
      <c r="I3075" s="1170">
        <f t="shared" si="732"/>
        <v>68.900000000000006</v>
      </c>
      <c r="J3075" s="1064">
        <f t="shared" si="733"/>
        <v>620.1</v>
      </c>
      <c r="K3075" s="1064">
        <f t="shared" si="734"/>
        <v>620.1</v>
      </c>
      <c r="L3075" s="1064">
        <v>2.5994000000000002</v>
      </c>
      <c r="M3075" s="1064">
        <f t="shared" si="735"/>
        <v>1611.8879400000001</v>
      </c>
      <c r="N3075" s="1064">
        <f t="shared" si="736"/>
        <v>1611.8879400000001</v>
      </c>
      <c r="O3075" s="1064">
        <f t="shared" si="737"/>
        <v>72660.796853399996</v>
      </c>
    </row>
    <row r="3076" spans="2:15">
      <c r="B3076" s="583">
        <v>46139</v>
      </c>
      <c r="C3076" s="1064" t="s">
        <v>4515</v>
      </c>
      <c r="D3076" s="1064" t="s">
        <v>2383</v>
      </c>
      <c r="E3076" s="1064" t="s">
        <v>4518</v>
      </c>
      <c r="F3076" s="1064">
        <v>2</v>
      </c>
      <c r="G3076" s="533">
        <v>2199</v>
      </c>
      <c r="H3076" s="1170">
        <v>10</v>
      </c>
      <c r="I3076" s="1170">
        <f t="shared" si="732"/>
        <v>219.9</v>
      </c>
      <c r="J3076" s="1064">
        <f t="shared" si="733"/>
        <v>1979.1</v>
      </c>
      <c r="K3076" s="1064">
        <f t="shared" si="734"/>
        <v>3958.2</v>
      </c>
      <c r="L3076" s="1064">
        <v>2.5994000000000002</v>
      </c>
      <c r="M3076" s="1064">
        <f t="shared" si="735"/>
        <v>5144.4725399999998</v>
      </c>
      <c r="N3076" s="1064">
        <f t="shared" si="736"/>
        <v>10288.94508</v>
      </c>
      <c r="O3076" s="1064">
        <f t="shared" si="737"/>
        <v>82949.741933400001</v>
      </c>
    </row>
    <row r="3077" spans="2:15">
      <c r="B3077" s="583">
        <v>46139</v>
      </c>
      <c r="C3077" s="1064" t="s">
        <v>3805</v>
      </c>
      <c r="D3077" s="1064" t="s">
        <v>2383</v>
      </c>
      <c r="E3077" s="1064" t="s">
        <v>4518</v>
      </c>
      <c r="F3077" s="1064">
        <v>1</v>
      </c>
      <c r="G3077" s="533">
        <v>299</v>
      </c>
      <c r="H3077" s="1170">
        <v>10</v>
      </c>
      <c r="I3077" s="1170">
        <f t="shared" si="732"/>
        <v>29.900000000000002</v>
      </c>
      <c r="J3077" s="1064">
        <f t="shared" si="733"/>
        <v>269.10000000000002</v>
      </c>
      <c r="K3077" s="1064">
        <f t="shared" si="734"/>
        <v>269.10000000000002</v>
      </c>
      <c r="L3077" s="1064">
        <v>2.5994000000000002</v>
      </c>
      <c r="M3077" s="1064">
        <f t="shared" si="735"/>
        <v>699.49854000000005</v>
      </c>
      <c r="N3077" s="1064">
        <f t="shared" si="736"/>
        <v>699.49854000000005</v>
      </c>
      <c r="O3077" s="1066">
        <f t="shared" si="737"/>
        <v>83649.240473400001</v>
      </c>
    </row>
    <row r="3078" spans="2:15">
      <c r="B3078" s="583">
        <v>46139</v>
      </c>
      <c r="C3078" s="1064" t="s">
        <v>4514</v>
      </c>
      <c r="D3078" s="1064" t="s">
        <v>2383</v>
      </c>
      <c r="E3078" s="1064" t="s">
        <v>4518</v>
      </c>
      <c r="F3078" s="1064">
        <v>1</v>
      </c>
      <c r="G3078" s="533">
        <v>4500</v>
      </c>
      <c r="H3078" s="1170">
        <v>10</v>
      </c>
      <c r="I3078" s="1170">
        <f t="shared" si="732"/>
        <v>450</v>
      </c>
      <c r="J3078" s="1064">
        <f t="shared" si="733"/>
        <v>4050</v>
      </c>
      <c r="K3078" s="1064">
        <f t="shared" si="734"/>
        <v>4050</v>
      </c>
      <c r="L3078" s="1064">
        <v>2.5994000000000002</v>
      </c>
      <c r="M3078" s="1064">
        <f t="shared" si="735"/>
        <v>10527.570000000002</v>
      </c>
      <c r="N3078" s="1064">
        <f t="shared" si="736"/>
        <v>10527.570000000002</v>
      </c>
      <c r="O3078" s="1064">
        <f t="shared" si="737"/>
        <v>94176.810473400008</v>
      </c>
    </row>
    <row r="3079" spans="2:15">
      <c r="B3079" s="583">
        <v>46139</v>
      </c>
      <c r="C3079" s="1064" t="s">
        <v>4515</v>
      </c>
      <c r="D3079" s="1064" t="s">
        <v>2399</v>
      </c>
      <c r="E3079" s="1064" t="s">
        <v>465</v>
      </c>
      <c r="F3079" s="1064">
        <v>3</v>
      </c>
      <c r="G3079" s="533">
        <v>2199</v>
      </c>
      <c r="H3079" s="1170">
        <v>10</v>
      </c>
      <c r="I3079" s="1170">
        <f t="shared" si="732"/>
        <v>219.9</v>
      </c>
      <c r="J3079" s="1064">
        <f t="shared" si="733"/>
        <v>1979.1</v>
      </c>
      <c r="K3079" s="1064">
        <f t="shared" si="734"/>
        <v>5937.2999999999993</v>
      </c>
      <c r="L3079" s="1064">
        <v>2.5994000000000002</v>
      </c>
      <c r="M3079" s="1064">
        <f t="shared" si="735"/>
        <v>5144.4725399999998</v>
      </c>
      <c r="N3079" s="1064">
        <f t="shared" si="736"/>
        <v>15433.41762</v>
      </c>
      <c r="O3079" s="1064">
        <f t="shared" si="737"/>
        <v>109610.22809340002</v>
      </c>
    </row>
    <row r="3080" spans="2:15">
      <c r="B3080" s="583">
        <v>46139</v>
      </c>
      <c r="C3080" s="1064" t="s">
        <v>4515</v>
      </c>
      <c r="D3080" s="1064" t="s">
        <v>2399</v>
      </c>
      <c r="E3080" s="1064" t="s">
        <v>465</v>
      </c>
      <c r="F3080" s="1064">
        <v>3</v>
      </c>
      <c r="G3080" s="533">
        <v>2199</v>
      </c>
      <c r="H3080" s="1170">
        <v>10</v>
      </c>
      <c r="I3080" s="1170">
        <f t="shared" ref="I3080:I3081" si="738">G3080*H3080%</f>
        <v>219.9</v>
      </c>
      <c r="J3080" s="1064">
        <f t="shared" ref="J3080:J3081" si="739">G3080-I3080</f>
        <v>1979.1</v>
      </c>
      <c r="K3080" s="1064">
        <f t="shared" ref="K3080:K3081" si="740">F3080*J3080</f>
        <v>5937.2999999999993</v>
      </c>
      <c r="L3080" s="1064">
        <v>2.5994000000000002</v>
      </c>
      <c r="M3080" s="1064">
        <f t="shared" ref="M3080:M3081" si="741">J3080*L3080</f>
        <v>5144.4725399999998</v>
      </c>
      <c r="N3080" s="1064">
        <f t="shared" ref="N3080:N3081" si="742">F3080*M3080</f>
        <v>15433.41762</v>
      </c>
      <c r="O3080" s="1064">
        <f t="shared" ref="O3080:O3081" si="743">O3079+N3080</f>
        <v>125043.64571340001</v>
      </c>
    </row>
    <row r="3081" spans="2:15">
      <c r="B3081" s="735"/>
      <c r="C3081" s="735"/>
      <c r="D3081" s="735"/>
      <c r="E3081" s="735"/>
      <c r="F3081" s="735"/>
      <c r="G3081" s="735"/>
      <c r="H3081" s="735"/>
      <c r="I3081" s="735">
        <f t="shared" si="738"/>
        <v>0</v>
      </c>
      <c r="J3081" s="1066">
        <f t="shared" si="739"/>
        <v>0</v>
      </c>
      <c r="K3081" s="1066">
        <f t="shared" si="740"/>
        <v>0</v>
      </c>
      <c r="L3081" s="1066"/>
      <c r="M3081" s="1066">
        <f t="shared" si="741"/>
        <v>0</v>
      </c>
      <c r="N3081" s="1066">
        <f t="shared" si="742"/>
        <v>0</v>
      </c>
      <c r="O3081" s="1066">
        <f t="shared" si="743"/>
        <v>125043.64571340001</v>
      </c>
    </row>
    <row r="3089" spans="1:10" ht="21">
      <c r="A3089" s="1056" t="s">
        <v>125</v>
      </c>
      <c r="B3089" s="1520" t="s">
        <v>20</v>
      </c>
      <c r="C3089" s="1520"/>
      <c r="D3089" s="1520"/>
      <c r="E3089" s="1520"/>
      <c r="F3089" s="1520"/>
      <c r="G3089" s="1520"/>
      <c r="H3089" s="1520"/>
      <c r="I3089" s="1520"/>
      <c r="J3089" s="1520"/>
    </row>
    <row r="3090" spans="1:10" ht="18.75">
      <c r="A3090" s="1056" t="s">
        <v>212</v>
      </c>
      <c r="B3090" s="4" t="s">
        <v>1</v>
      </c>
      <c r="C3090" s="4" t="s">
        <v>2</v>
      </c>
      <c r="D3090" s="4" t="s">
        <v>3</v>
      </c>
      <c r="E3090" s="4" t="s">
        <v>4</v>
      </c>
      <c r="F3090" s="4" t="s">
        <v>36</v>
      </c>
      <c r="G3090" s="4" t="s">
        <v>5</v>
      </c>
      <c r="H3090" s="4" t="s">
        <v>6</v>
      </c>
      <c r="I3090" s="4" t="s">
        <v>7</v>
      </c>
      <c r="J3090" s="4"/>
    </row>
    <row r="3091" spans="1:10">
      <c r="B3091" s="583">
        <v>46132</v>
      </c>
      <c r="C3091" s="1064" t="s">
        <v>4520</v>
      </c>
      <c r="D3091" s="1064">
        <v>4</v>
      </c>
      <c r="E3091" s="533">
        <v>1199</v>
      </c>
      <c r="F3091" s="735">
        <f>E3091*D3091</f>
        <v>4796</v>
      </c>
      <c r="G3091" s="735">
        <v>2.5994000000000002</v>
      </c>
      <c r="H3091" s="735">
        <f>E3091*G3091</f>
        <v>3116.6806000000001</v>
      </c>
      <c r="I3091" s="735">
        <f>H3091*D3091</f>
        <v>12466.722400000001</v>
      </c>
      <c r="J3091" s="1066">
        <f>J3090+I3091</f>
        <v>12466.722400000001</v>
      </c>
    </row>
    <row r="3092" spans="1:10">
      <c r="B3092" s="585">
        <v>46132</v>
      </c>
      <c r="C3092" s="110" t="s">
        <v>4521</v>
      </c>
      <c r="D3092" s="110">
        <v>2</v>
      </c>
      <c r="E3092" s="184">
        <v>1199</v>
      </c>
      <c r="F3092" s="735">
        <f t="shared" ref="F3092:F3097" si="744">E3092*D3092</f>
        <v>2398</v>
      </c>
      <c r="G3092" s="735">
        <v>2.5994000000000002</v>
      </c>
      <c r="H3092" s="735">
        <f t="shared" ref="H3092:H3097" si="745">E3092*G3092</f>
        <v>3116.6806000000001</v>
      </c>
      <c r="I3092" s="735">
        <f t="shared" ref="I3092:I3097" si="746">H3092*D3092</f>
        <v>6233.3612000000003</v>
      </c>
      <c r="J3092" s="1066">
        <f t="shared" ref="J3092:J3116" si="747">J3091+I3092</f>
        <v>18700.083600000002</v>
      </c>
    </row>
    <row r="3093" spans="1:10">
      <c r="B3093" s="585">
        <v>46132</v>
      </c>
      <c r="C3093" s="110" t="s">
        <v>4521</v>
      </c>
      <c r="D3093" s="110">
        <v>4</v>
      </c>
      <c r="E3093" s="184">
        <v>1199</v>
      </c>
      <c r="F3093" s="735">
        <f t="shared" si="744"/>
        <v>4796</v>
      </c>
      <c r="G3093" s="735">
        <v>2.5994000000000002</v>
      </c>
      <c r="H3093" s="735">
        <f t="shared" si="745"/>
        <v>3116.6806000000001</v>
      </c>
      <c r="I3093" s="735">
        <f t="shared" si="746"/>
        <v>12466.722400000001</v>
      </c>
      <c r="J3093" s="1066">
        <f t="shared" si="747"/>
        <v>31166.806000000004</v>
      </c>
    </row>
    <row r="3094" spans="1:10">
      <c r="B3094" s="1205">
        <v>46133</v>
      </c>
      <c r="C3094" s="183" t="s">
        <v>4528</v>
      </c>
      <c r="D3094" s="183">
        <v>1</v>
      </c>
      <c r="E3094" s="1206">
        <v>0</v>
      </c>
      <c r="F3094" s="182">
        <f t="shared" si="744"/>
        <v>0</v>
      </c>
      <c r="G3094" s="735">
        <v>2.5994000000000002</v>
      </c>
      <c r="H3094" s="182">
        <f t="shared" si="745"/>
        <v>0</v>
      </c>
      <c r="I3094" s="182">
        <f t="shared" si="746"/>
        <v>0</v>
      </c>
      <c r="J3094" s="1066">
        <f t="shared" si="747"/>
        <v>31166.806000000004</v>
      </c>
    </row>
    <row r="3095" spans="1:10">
      <c r="B3095" s="583">
        <v>46133</v>
      </c>
      <c r="C3095" s="1064" t="s">
        <v>4524</v>
      </c>
      <c r="D3095" s="1064">
        <v>2</v>
      </c>
      <c r="E3095" s="533">
        <v>1249</v>
      </c>
      <c r="F3095" s="735">
        <f t="shared" si="744"/>
        <v>2498</v>
      </c>
      <c r="G3095" s="735">
        <v>2.5994000000000002</v>
      </c>
      <c r="H3095" s="735">
        <f t="shared" si="745"/>
        <v>3246.6506000000004</v>
      </c>
      <c r="I3095" s="735">
        <f t="shared" si="746"/>
        <v>6493.3012000000008</v>
      </c>
      <c r="J3095" s="1066">
        <f t="shared" si="747"/>
        <v>37660.107200000006</v>
      </c>
    </row>
    <row r="3096" spans="1:10">
      <c r="B3096" s="583">
        <v>46134</v>
      </c>
      <c r="C3096" s="1064" t="s">
        <v>4521</v>
      </c>
      <c r="D3096" s="1064">
        <v>2</v>
      </c>
      <c r="E3096" s="533">
        <v>1199</v>
      </c>
      <c r="F3096" s="735">
        <f t="shared" si="744"/>
        <v>2398</v>
      </c>
      <c r="G3096" s="735">
        <v>2.5994000000000002</v>
      </c>
      <c r="H3096" s="735">
        <f t="shared" si="745"/>
        <v>3116.6806000000001</v>
      </c>
      <c r="I3096" s="735">
        <f t="shared" si="746"/>
        <v>6233.3612000000003</v>
      </c>
      <c r="J3096" s="1066">
        <f t="shared" si="747"/>
        <v>43893.468400000005</v>
      </c>
    </row>
    <row r="3097" spans="1:10">
      <c r="B3097" s="583">
        <v>46133</v>
      </c>
      <c r="C3097" s="1064" t="s">
        <v>4525</v>
      </c>
      <c r="D3097" s="1064">
        <v>10</v>
      </c>
      <c r="E3097" s="533">
        <v>999</v>
      </c>
      <c r="F3097" s="735">
        <f t="shared" si="744"/>
        <v>9990</v>
      </c>
      <c r="G3097" s="735">
        <v>2.5994000000000002</v>
      </c>
      <c r="H3097" s="735">
        <f t="shared" si="745"/>
        <v>2596.8006</v>
      </c>
      <c r="I3097" s="735">
        <f t="shared" si="746"/>
        <v>25968.006000000001</v>
      </c>
      <c r="J3097" s="1066">
        <f t="shared" si="747"/>
        <v>69861.474400000006</v>
      </c>
    </row>
    <row r="3098" spans="1:10">
      <c r="B3098" s="583">
        <v>46136</v>
      </c>
      <c r="C3098" s="1064" t="s">
        <v>4526</v>
      </c>
      <c r="D3098" s="1064">
        <v>32</v>
      </c>
      <c r="E3098" s="533">
        <v>398</v>
      </c>
      <c r="F3098" s="735">
        <f t="shared" ref="F3098:F3110" si="748">E3098*D3098</f>
        <v>12736</v>
      </c>
      <c r="G3098" s="735">
        <v>2.5994000000000002</v>
      </c>
      <c r="H3098" s="735">
        <f t="shared" ref="H3098:H3110" si="749">E3098*G3098</f>
        <v>1034.5612000000001</v>
      </c>
      <c r="I3098" s="735">
        <f t="shared" ref="I3098:I3110" si="750">H3098*D3098</f>
        <v>33105.958400000003</v>
      </c>
      <c r="J3098" s="1066">
        <f t="shared" si="747"/>
        <v>102967.43280000001</v>
      </c>
    </row>
    <row r="3099" spans="1:10">
      <c r="B3099" s="1205">
        <v>46136</v>
      </c>
      <c r="C3099" s="183" t="s">
        <v>4527</v>
      </c>
      <c r="D3099" s="183"/>
      <c r="E3099" s="1206">
        <v>0</v>
      </c>
      <c r="F3099" s="182">
        <f t="shared" si="748"/>
        <v>0</v>
      </c>
      <c r="G3099" s="735">
        <v>2.5994000000000002</v>
      </c>
      <c r="H3099" s="182">
        <f t="shared" si="749"/>
        <v>0</v>
      </c>
      <c r="I3099" s="182">
        <f t="shared" si="750"/>
        <v>0</v>
      </c>
      <c r="J3099" s="1066">
        <f t="shared" si="747"/>
        <v>102967.43280000001</v>
      </c>
    </row>
    <row r="3100" spans="1:10">
      <c r="B3100" s="583">
        <v>46137</v>
      </c>
      <c r="C3100" s="1064" t="s">
        <v>4529</v>
      </c>
      <c r="D3100" s="1064">
        <v>4</v>
      </c>
      <c r="E3100" s="533">
        <v>398</v>
      </c>
      <c r="F3100" s="735">
        <f t="shared" si="748"/>
        <v>1592</v>
      </c>
      <c r="G3100" s="735">
        <v>2.5994000000000002</v>
      </c>
      <c r="H3100" s="735">
        <f t="shared" si="749"/>
        <v>1034.5612000000001</v>
      </c>
      <c r="I3100" s="735">
        <f t="shared" si="750"/>
        <v>4138.2448000000004</v>
      </c>
      <c r="J3100" s="1066">
        <f t="shared" si="747"/>
        <v>107105.67760000001</v>
      </c>
    </row>
    <row r="3101" spans="1:10">
      <c r="B3101" s="585">
        <v>46138</v>
      </c>
      <c r="C3101" s="110" t="s">
        <v>4521</v>
      </c>
      <c r="D3101" s="110">
        <v>2</v>
      </c>
      <c r="E3101" s="184">
        <v>1199</v>
      </c>
      <c r="F3101" s="735">
        <f t="shared" si="748"/>
        <v>2398</v>
      </c>
      <c r="G3101" s="735">
        <v>2.5994000000000002</v>
      </c>
      <c r="H3101" s="735">
        <f t="shared" si="749"/>
        <v>3116.6806000000001</v>
      </c>
      <c r="I3101" s="735">
        <f t="shared" si="750"/>
        <v>6233.3612000000003</v>
      </c>
      <c r="J3101" s="1066">
        <f t="shared" si="747"/>
        <v>113339.03880000001</v>
      </c>
    </row>
    <row r="3102" spans="1:10">
      <c r="B3102" s="585">
        <v>46138</v>
      </c>
      <c r="C3102" s="110" t="s">
        <v>4521</v>
      </c>
      <c r="D3102" s="110">
        <v>2</v>
      </c>
      <c r="E3102" s="184">
        <v>1199</v>
      </c>
      <c r="F3102" s="735">
        <f t="shared" si="748"/>
        <v>2398</v>
      </c>
      <c r="G3102" s="735">
        <v>2.5994000000000002</v>
      </c>
      <c r="H3102" s="735">
        <f t="shared" si="749"/>
        <v>3116.6806000000001</v>
      </c>
      <c r="I3102" s="735">
        <f t="shared" si="750"/>
        <v>6233.3612000000003</v>
      </c>
      <c r="J3102" s="1066">
        <f t="shared" si="747"/>
        <v>119572.40000000001</v>
      </c>
    </row>
    <row r="3103" spans="1:10">
      <c r="B3103" s="585">
        <v>46138</v>
      </c>
      <c r="C3103" s="110" t="s">
        <v>4521</v>
      </c>
      <c r="D3103" s="110">
        <v>2</v>
      </c>
      <c r="E3103" s="184">
        <v>1199</v>
      </c>
      <c r="F3103" s="735">
        <f t="shared" si="748"/>
        <v>2398</v>
      </c>
      <c r="G3103" s="735">
        <v>2.5994000000000002</v>
      </c>
      <c r="H3103" s="735">
        <f t="shared" si="749"/>
        <v>3116.6806000000001</v>
      </c>
      <c r="I3103" s="735">
        <f t="shared" si="750"/>
        <v>6233.3612000000003</v>
      </c>
      <c r="J3103" s="1066">
        <f t="shared" si="747"/>
        <v>125805.76120000001</v>
      </c>
    </row>
    <row r="3104" spans="1:10">
      <c r="B3104" s="585">
        <v>46138</v>
      </c>
      <c r="C3104" s="110" t="s">
        <v>4530</v>
      </c>
      <c r="D3104" s="110">
        <v>2</v>
      </c>
      <c r="E3104" s="184">
        <v>1199</v>
      </c>
      <c r="F3104" s="735">
        <f t="shared" si="748"/>
        <v>2398</v>
      </c>
      <c r="G3104" s="735">
        <v>2.5994000000000002</v>
      </c>
      <c r="H3104" s="735">
        <f t="shared" si="749"/>
        <v>3116.6806000000001</v>
      </c>
      <c r="I3104" s="735">
        <f t="shared" si="750"/>
        <v>6233.3612000000003</v>
      </c>
      <c r="J3104" s="1066">
        <f t="shared" si="747"/>
        <v>132039.12240000002</v>
      </c>
    </row>
    <row r="3105" spans="2:10">
      <c r="B3105" s="585">
        <v>46138</v>
      </c>
      <c r="C3105" s="110" t="s">
        <v>4530</v>
      </c>
      <c r="D3105" s="110">
        <v>2</v>
      </c>
      <c r="E3105" s="184">
        <v>1199</v>
      </c>
      <c r="F3105" s="735">
        <f t="shared" si="748"/>
        <v>2398</v>
      </c>
      <c r="G3105" s="735">
        <v>2.5994000000000002</v>
      </c>
      <c r="H3105" s="735">
        <f t="shared" si="749"/>
        <v>3116.6806000000001</v>
      </c>
      <c r="I3105" s="735">
        <f t="shared" si="750"/>
        <v>6233.3612000000003</v>
      </c>
      <c r="J3105" s="1066">
        <f t="shared" si="747"/>
        <v>138272.48360000004</v>
      </c>
    </row>
    <row r="3106" spans="2:10">
      <c r="B3106" s="1207">
        <v>46138</v>
      </c>
      <c r="C3106" s="250" t="s">
        <v>4530</v>
      </c>
      <c r="D3106" s="250">
        <v>2</v>
      </c>
      <c r="E3106" s="252">
        <v>1199</v>
      </c>
      <c r="F3106" s="735">
        <f t="shared" si="748"/>
        <v>2398</v>
      </c>
      <c r="G3106" s="735">
        <v>2.5994000000000002</v>
      </c>
      <c r="H3106" s="735">
        <f t="shared" si="749"/>
        <v>3116.6806000000001</v>
      </c>
      <c r="I3106" s="735">
        <f t="shared" si="750"/>
        <v>6233.3612000000003</v>
      </c>
      <c r="J3106" s="1066">
        <f t="shared" si="747"/>
        <v>144505.84480000005</v>
      </c>
    </row>
    <row r="3107" spans="2:10">
      <c r="B3107" s="585">
        <v>46138</v>
      </c>
      <c r="C3107" s="110" t="s">
        <v>4530</v>
      </c>
      <c r="D3107" s="110">
        <v>2</v>
      </c>
      <c r="E3107" s="184">
        <v>1199</v>
      </c>
      <c r="F3107" s="735">
        <f t="shared" si="748"/>
        <v>2398</v>
      </c>
      <c r="G3107" s="735">
        <v>2.5994000000000002</v>
      </c>
      <c r="H3107" s="735">
        <f t="shared" si="749"/>
        <v>3116.6806000000001</v>
      </c>
      <c r="I3107" s="735">
        <f t="shared" si="750"/>
        <v>6233.3612000000003</v>
      </c>
      <c r="J3107" s="1066">
        <f t="shared" si="747"/>
        <v>150739.20600000006</v>
      </c>
    </row>
    <row r="3108" spans="2:10">
      <c r="B3108" s="585">
        <v>46138</v>
      </c>
      <c r="C3108" s="110" t="s">
        <v>4521</v>
      </c>
      <c r="D3108" s="110">
        <v>2</v>
      </c>
      <c r="E3108" s="184">
        <v>1199</v>
      </c>
      <c r="F3108" s="735">
        <f t="shared" si="748"/>
        <v>2398</v>
      </c>
      <c r="G3108" s="735">
        <v>2.5994000000000002</v>
      </c>
      <c r="H3108" s="735">
        <f t="shared" si="749"/>
        <v>3116.6806000000001</v>
      </c>
      <c r="I3108" s="735">
        <f t="shared" si="750"/>
        <v>6233.3612000000003</v>
      </c>
      <c r="J3108" s="1066">
        <f t="shared" si="747"/>
        <v>156972.56720000008</v>
      </c>
    </row>
    <row r="3109" spans="2:10">
      <c r="B3109" s="583">
        <v>46138</v>
      </c>
      <c r="C3109" s="1064" t="s">
        <v>4531</v>
      </c>
      <c r="D3109" s="1064">
        <v>5</v>
      </c>
      <c r="E3109" s="533">
        <v>398</v>
      </c>
      <c r="F3109" s="735">
        <f t="shared" si="748"/>
        <v>1990</v>
      </c>
      <c r="G3109" s="735">
        <v>2.5994000000000002</v>
      </c>
      <c r="H3109" s="735">
        <f t="shared" si="749"/>
        <v>1034.5612000000001</v>
      </c>
      <c r="I3109" s="735">
        <f t="shared" si="750"/>
        <v>5172.8060000000005</v>
      </c>
      <c r="J3109" s="1066">
        <f t="shared" si="747"/>
        <v>162145.37320000009</v>
      </c>
    </row>
    <row r="3110" spans="2:10">
      <c r="B3110" s="583">
        <v>46139</v>
      </c>
      <c r="C3110" s="1064" t="s">
        <v>1890</v>
      </c>
      <c r="D3110" s="1064">
        <v>3</v>
      </c>
      <c r="E3110" s="533">
        <v>399</v>
      </c>
      <c r="F3110" s="735">
        <f t="shared" si="748"/>
        <v>1197</v>
      </c>
      <c r="G3110" s="735">
        <v>2.5994000000000002</v>
      </c>
      <c r="H3110" s="735">
        <f t="shared" si="749"/>
        <v>1037.1606000000002</v>
      </c>
      <c r="I3110" s="735">
        <f t="shared" si="750"/>
        <v>3111.4818000000005</v>
      </c>
      <c r="J3110" s="1066">
        <f t="shared" si="747"/>
        <v>165256.8550000001</v>
      </c>
    </row>
    <row r="3111" spans="2:10">
      <c r="B3111" s="585">
        <v>46139</v>
      </c>
      <c r="C3111" s="110" t="s">
        <v>4532</v>
      </c>
      <c r="D3111" s="110">
        <v>1</v>
      </c>
      <c r="E3111" s="184">
        <v>695</v>
      </c>
      <c r="F3111" s="735">
        <f t="shared" ref="F3111:F3112" si="751">E3111*D3111</f>
        <v>695</v>
      </c>
      <c r="G3111" s="735">
        <v>2.5994000000000002</v>
      </c>
      <c r="H3111" s="735">
        <f t="shared" ref="H3111:H3112" si="752">E3111*G3111</f>
        <v>1806.5830000000001</v>
      </c>
      <c r="I3111" s="735">
        <f t="shared" ref="I3111:I3112" si="753">H3111*D3111</f>
        <v>1806.5830000000001</v>
      </c>
      <c r="J3111" s="1066">
        <f t="shared" si="747"/>
        <v>167063.43800000011</v>
      </c>
    </row>
    <row r="3112" spans="2:10">
      <c r="B3112" s="585">
        <v>46139</v>
      </c>
      <c r="C3112" s="110" t="s">
        <v>4533</v>
      </c>
      <c r="D3112" s="110">
        <v>1</v>
      </c>
      <c r="E3112" s="184">
        <v>1298</v>
      </c>
      <c r="F3112" s="735">
        <f t="shared" si="751"/>
        <v>1298</v>
      </c>
      <c r="G3112" s="735">
        <v>2.5994000000000002</v>
      </c>
      <c r="H3112" s="735">
        <f t="shared" si="752"/>
        <v>3374.0212000000001</v>
      </c>
      <c r="I3112" s="735">
        <f t="shared" si="753"/>
        <v>3374.0212000000001</v>
      </c>
      <c r="J3112" s="1066">
        <f t="shared" si="747"/>
        <v>170437.4592000001</v>
      </c>
    </row>
    <row r="3113" spans="2:10">
      <c r="B3113" s="583">
        <v>46139</v>
      </c>
      <c r="C3113" s="1064" t="s">
        <v>4534</v>
      </c>
      <c r="D3113" s="1064">
        <v>1</v>
      </c>
      <c r="E3113" s="533">
        <v>399</v>
      </c>
      <c r="F3113" s="735">
        <f>E3113*D3113</f>
        <v>399</v>
      </c>
      <c r="G3113" s="735">
        <v>2.5994000000000002</v>
      </c>
      <c r="H3113" s="735">
        <f>E3113*G3113</f>
        <v>1037.1606000000002</v>
      </c>
      <c r="I3113" s="735">
        <f>H3113*D3113</f>
        <v>1037.1606000000002</v>
      </c>
      <c r="J3113" s="1066">
        <f t="shared" si="747"/>
        <v>171474.6198000001</v>
      </c>
    </row>
    <row r="3114" spans="2:10">
      <c r="B3114" s="594">
        <v>46132</v>
      </c>
      <c r="C3114" s="296" t="s">
        <v>4522</v>
      </c>
      <c r="D3114" s="296">
        <v>1</v>
      </c>
      <c r="E3114" s="595">
        <v>3561.82</v>
      </c>
      <c r="F3114" s="596">
        <f t="shared" ref="F3114:F3116" si="754">E3114*D3114</f>
        <v>3561.82</v>
      </c>
      <c r="G3114" s="596">
        <v>2.5994000000000002</v>
      </c>
      <c r="H3114" s="596">
        <f t="shared" ref="H3114:H3116" si="755">E3114*G3114</f>
        <v>9258.5949080000009</v>
      </c>
      <c r="I3114" s="596">
        <f t="shared" ref="I3114:I3116" si="756">H3114*D3114</f>
        <v>9258.5949080000009</v>
      </c>
      <c r="J3114" s="296">
        <f t="shared" si="747"/>
        <v>180733.2147080001</v>
      </c>
    </row>
    <row r="3115" spans="2:10">
      <c r="B3115" s="594">
        <v>46132</v>
      </c>
      <c r="C3115" s="296" t="s">
        <v>4522</v>
      </c>
      <c r="D3115" s="296">
        <v>1</v>
      </c>
      <c r="E3115" s="595">
        <v>6194.93</v>
      </c>
      <c r="F3115" s="596">
        <f t="shared" si="754"/>
        <v>6194.93</v>
      </c>
      <c r="G3115" s="596">
        <v>2.5994000000000002</v>
      </c>
      <c r="H3115" s="596">
        <f t="shared" si="755"/>
        <v>16103.101042000002</v>
      </c>
      <c r="I3115" s="596">
        <f t="shared" si="756"/>
        <v>16103.101042000002</v>
      </c>
      <c r="J3115" s="296">
        <f t="shared" si="747"/>
        <v>196836.3157500001</v>
      </c>
    </row>
    <row r="3116" spans="2:10">
      <c r="B3116" s="594">
        <v>46136</v>
      </c>
      <c r="C3116" s="296" t="s">
        <v>4523</v>
      </c>
      <c r="D3116" s="296">
        <v>1</v>
      </c>
      <c r="E3116" s="595">
        <v>405</v>
      </c>
      <c r="F3116" s="596">
        <f t="shared" si="754"/>
        <v>405</v>
      </c>
      <c r="G3116" s="596">
        <v>2.5994000000000002</v>
      </c>
      <c r="H3116" s="596">
        <f t="shared" si="755"/>
        <v>1052.7570000000001</v>
      </c>
      <c r="I3116" s="596">
        <f t="shared" si="756"/>
        <v>1052.7570000000001</v>
      </c>
      <c r="J3116" s="296">
        <f t="shared" si="747"/>
        <v>197889.07275000011</v>
      </c>
    </row>
    <row r="3123" spans="1:10" ht="21">
      <c r="A3123" s="1056" t="s">
        <v>125</v>
      </c>
      <c r="B3123" s="1520" t="s">
        <v>35</v>
      </c>
      <c r="C3123" s="1520"/>
      <c r="D3123" s="1520"/>
      <c r="E3123" s="1520"/>
      <c r="F3123" s="1520"/>
      <c r="G3123" s="1520"/>
      <c r="H3123" s="1520"/>
      <c r="I3123" s="1520"/>
      <c r="J3123" s="1520"/>
    </row>
    <row r="3124" spans="1:10" ht="18.75">
      <c r="A3124" s="1056" t="s">
        <v>212</v>
      </c>
      <c r="B3124" s="4" t="s">
        <v>1</v>
      </c>
      <c r="C3124" s="4" t="s">
        <v>2</v>
      </c>
      <c r="D3124" s="4" t="s">
        <v>3</v>
      </c>
      <c r="E3124" s="4" t="s">
        <v>4</v>
      </c>
      <c r="F3124" s="4" t="s">
        <v>36</v>
      </c>
      <c r="G3124" s="4" t="s">
        <v>5</v>
      </c>
      <c r="H3124" s="4" t="s">
        <v>6</v>
      </c>
      <c r="I3124" s="4" t="s">
        <v>7</v>
      </c>
      <c r="J3124" s="4"/>
    </row>
    <row r="3125" spans="1:10">
      <c r="B3125" s="583">
        <v>46142</v>
      </c>
      <c r="C3125" s="1064" t="s">
        <v>4674</v>
      </c>
      <c r="D3125" s="1064">
        <v>4</v>
      </c>
      <c r="E3125" s="1064">
        <v>1579</v>
      </c>
      <c r="F3125" s="735">
        <f>E3125*D3125</f>
        <v>6316</v>
      </c>
      <c r="G3125" s="735">
        <v>2.15</v>
      </c>
      <c r="H3125" s="735">
        <f>E3125*G3125</f>
        <v>3394.85</v>
      </c>
      <c r="I3125" s="735">
        <f>H3125*D3125</f>
        <v>13579.4</v>
      </c>
      <c r="J3125" s="1066">
        <f>J3124+I3125</f>
        <v>13579.4</v>
      </c>
    </row>
    <row r="3126" spans="1:10">
      <c r="B3126" s="583">
        <v>46142</v>
      </c>
      <c r="C3126" s="1064" t="s">
        <v>4675</v>
      </c>
      <c r="D3126" s="1064">
        <v>4</v>
      </c>
      <c r="E3126" s="1064">
        <v>1579</v>
      </c>
      <c r="F3126" s="735">
        <f>E3126*D3126</f>
        <v>6316</v>
      </c>
      <c r="G3126" s="735">
        <v>2.15</v>
      </c>
      <c r="H3126" s="735">
        <f>E3126*G3126</f>
        <v>3394.85</v>
      </c>
      <c r="I3126" s="735">
        <f>H3126*D3126</f>
        <v>13579.4</v>
      </c>
      <c r="J3126" s="1066">
        <f t="shared" ref="J3126:J3129" si="757">J3125+I3126</f>
        <v>27158.799999999999</v>
      </c>
    </row>
    <row r="3127" spans="1:10">
      <c r="B3127" s="583">
        <v>46143</v>
      </c>
      <c r="C3127" s="1064" t="s">
        <v>4676</v>
      </c>
      <c r="D3127" s="1064">
        <v>3</v>
      </c>
      <c r="E3127" s="1064">
        <v>849</v>
      </c>
      <c r="F3127" s="735">
        <f>E3127*D3127</f>
        <v>2547</v>
      </c>
      <c r="G3127" s="735">
        <v>2.15</v>
      </c>
      <c r="H3127" s="735">
        <f>E3127*G3127</f>
        <v>1825.35</v>
      </c>
      <c r="I3127" s="735">
        <f>H3127*D3127</f>
        <v>5476.0499999999993</v>
      </c>
      <c r="J3127" s="1066">
        <f t="shared" si="757"/>
        <v>32634.85</v>
      </c>
    </row>
    <row r="3128" spans="1:10">
      <c r="B3128" s="583">
        <v>46143</v>
      </c>
      <c r="C3128" s="1064" t="s">
        <v>4677</v>
      </c>
      <c r="D3128" s="1064">
        <v>1</v>
      </c>
      <c r="E3128" s="1064">
        <v>1579</v>
      </c>
      <c r="F3128" s="735">
        <f>E3128*D3128</f>
        <v>1579</v>
      </c>
      <c r="G3128" s="735">
        <v>2.15</v>
      </c>
      <c r="H3128" s="735">
        <f>E3128*G3128</f>
        <v>3394.85</v>
      </c>
      <c r="I3128" s="735">
        <f>H3128*D3128</f>
        <v>3394.85</v>
      </c>
      <c r="J3128" s="1066">
        <f t="shared" si="757"/>
        <v>36029.699999999997</v>
      </c>
    </row>
    <row r="3129" spans="1:10">
      <c r="B3129" s="735"/>
      <c r="C3129" s="735"/>
      <c r="D3129" s="735"/>
      <c r="E3129" s="735"/>
      <c r="F3129" s="735">
        <f>E3129*D3129</f>
        <v>0</v>
      </c>
      <c r="G3129" s="735"/>
      <c r="H3129" s="735">
        <f>E3129*G3129</f>
        <v>0</v>
      </c>
      <c r="I3129" s="735">
        <f>H3129*D3129</f>
        <v>0</v>
      </c>
      <c r="J3129" s="1066">
        <f t="shared" si="757"/>
        <v>36029.699999999997</v>
      </c>
    </row>
    <row r="3136" spans="1:10" ht="21">
      <c r="A3136" s="1056" t="s">
        <v>125</v>
      </c>
      <c r="B3136" s="1520" t="s">
        <v>20</v>
      </c>
      <c r="C3136" s="1520"/>
      <c r="D3136" s="1520"/>
      <c r="E3136" s="1520"/>
      <c r="F3136" s="1520"/>
      <c r="G3136" s="1520"/>
      <c r="H3136" s="1520"/>
      <c r="I3136" s="1520"/>
      <c r="J3136" s="1520"/>
    </row>
    <row r="3137" spans="1:10" ht="18.75">
      <c r="A3137" s="1056" t="s">
        <v>212</v>
      </c>
      <c r="B3137" s="4" t="s">
        <v>1</v>
      </c>
      <c r="C3137" s="4" t="s">
        <v>2</v>
      </c>
      <c r="D3137" s="4" t="s">
        <v>3</v>
      </c>
      <c r="E3137" s="4" t="s">
        <v>4</v>
      </c>
      <c r="F3137" s="4" t="s">
        <v>36</v>
      </c>
      <c r="G3137" s="4" t="s">
        <v>5</v>
      </c>
      <c r="H3137" s="4" t="s">
        <v>6</v>
      </c>
      <c r="I3137" s="4" t="s">
        <v>7</v>
      </c>
      <c r="J3137" s="4"/>
    </row>
    <row r="3138" spans="1:10">
      <c r="B3138" s="585">
        <v>46142</v>
      </c>
      <c r="C3138" s="110" t="s">
        <v>4678</v>
      </c>
      <c r="D3138" s="110">
        <v>2</v>
      </c>
      <c r="E3138" s="184">
        <v>1199</v>
      </c>
      <c r="F3138" s="735">
        <f>E3138*D3138</f>
        <v>2398</v>
      </c>
      <c r="G3138" s="735">
        <v>2.6082999999999998</v>
      </c>
      <c r="H3138" s="735">
        <f>E3138*G3138</f>
        <v>3127.3516999999997</v>
      </c>
      <c r="I3138" s="735">
        <f>H3138*D3138</f>
        <v>6254.7033999999994</v>
      </c>
      <c r="J3138" s="1066">
        <f>J3137+I3138</f>
        <v>6254.7033999999994</v>
      </c>
    </row>
    <row r="3139" spans="1:10">
      <c r="B3139" s="585">
        <v>46142</v>
      </c>
      <c r="C3139" s="110" t="s">
        <v>4678</v>
      </c>
      <c r="D3139" s="110">
        <v>2</v>
      </c>
      <c r="E3139" s="184">
        <v>1199</v>
      </c>
      <c r="F3139" s="735">
        <f t="shared" ref="F3139:F3142" si="758">E3139*D3139</f>
        <v>2398</v>
      </c>
      <c r="G3139" s="735">
        <v>2.6082999999999998</v>
      </c>
      <c r="H3139" s="735">
        <f t="shared" ref="H3139:H3142" si="759">E3139*G3139</f>
        <v>3127.3516999999997</v>
      </c>
      <c r="I3139" s="735">
        <f t="shared" ref="I3139:I3142" si="760">H3139*D3139</f>
        <v>6254.7033999999994</v>
      </c>
      <c r="J3139" s="1066">
        <f t="shared" ref="J3139:J3142" si="761">J3138+I3139</f>
        <v>12509.406799999999</v>
      </c>
    </row>
    <row r="3140" spans="1:10">
      <c r="B3140" s="585">
        <v>46142</v>
      </c>
      <c r="C3140" s="110" t="s">
        <v>4678</v>
      </c>
      <c r="D3140" s="110">
        <v>2</v>
      </c>
      <c r="E3140" s="184">
        <v>1199</v>
      </c>
      <c r="F3140" s="735">
        <f t="shared" si="758"/>
        <v>2398</v>
      </c>
      <c r="G3140" s="735">
        <v>2.6082999999999998</v>
      </c>
      <c r="H3140" s="735">
        <f t="shared" si="759"/>
        <v>3127.3516999999997</v>
      </c>
      <c r="I3140" s="735">
        <f t="shared" si="760"/>
        <v>6254.7033999999994</v>
      </c>
      <c r="J3140" s="1066">
        <f t="shared" si="761"/>
        <v>18764.110199999999</v>
      </c>
    </row>
    <row r="3141" spans="1:10">
      <c r="B3141" s="585">
        <v>46142</v>
      </c>
      <c r="C3141" s="110" t="s">
        <v>4679</v>
      </c>
      <c r="D3141" s="110">
        <v>2</v>
      </c>
      <c r="E3141" s="184">
        <v>999</v>
      </c>
      <c r="F3141" s="735">
        <f t="shared" si="758"/>
        <v>1998</v>
      </c>
      <c r="G3141" s="735">
        <v>2.6082999999999998</v>
      </c>
      <c r="H3141" s="735">
        <f t="shared" si="759"/>
        <v>2605.6916999999999</v>
      </c>
      <c r="I3141" s="735">
        <f t="shared" si="760"/>
        <v>5211.3833999999997</v>
      </c>
      <c r="J3141" s="1066">
        <f t="shared" si="761"/>
        <v>23975.493599999998</v>
      </c>
    </row>
    <row r="3142" spans="1:10">
      <c r="B3142" s="735"/>
      <c r="C3142" s="735"/>
      <c r="D3142" s="735"/>
      <c r="E3142" s="735"/>
      <c r="F3142" s="735">
        <f t="shared" si="758"/>
        <v>0</v>
      </c>
      <c r="G3142" s="735"/>
      <c r="H3142" s="735">
        <f t="shared" si="759"/>
        <v>0</v>
      </c>
      <c r="I3142" s="735">
        <f t="shared" si="760"/>
        <v>0</v>
      </c>
      <c r="J3142" s="1066">
        <f t="shared" si="761"/>
        <v>23975.493599999998</v>
      </c>
    </row>
    <row r="3149" spans="1:10" ht="21">
      <c r="A3149" s="1056" t="s">
        <v>125</v>
      </c>
      <c r="B3149" s="1520" t="s">
        <v>20</v>
      </c>
      <c r="C3149" s="1520"/>
      <c r="D3149" s="1520"/>
      <c r="E3149" s="1520"/>
      <c r="F3149" s="1520"/>
      <c r="G3149" s="1520"/>
      <c r="H3149" s="1520"/>
      <c r="I3149" s="1520"/>
      <c r="J3149" s="1520"/>
    </row>
    <row r="3150" spans="1:10" ht="18.75">
      <c r="A3150" s="1056" t="s">
        <v>212</v>
      </c>
      <c r="B3150" s="4" t="s">
        <v>1</v>
      </c>
      <c r="C3150" s="4" t="s">
        <v>2</v>
      </c>
      <c r="D3150" s="4" t="s">
        <v>3</v>
      </c>
      <c r="E3150" s="4" t="s">
        <v>4</v>
      </c>
      <c r="F3150" s="4" t="s">
        <v>36</v>
      </c>
      <c r="G3150" s="4" t="s">
        <v>5</v>
      </c>
      <c r="H3150" s="4" t="s">
        <v>6</v>
      </c>
      <c r="I3150" s="4" t="s">
        <v>7</v>
      </c>
      <c r="J3150" s="4"/>
    </row>
    <row r="3151" spans="1:10">
      <c r="B3151" s="585">
        <v>46143</v>
      </c>
      <c r="C3151" s="110" t="s">
        <v>4678</v>
      </c>
      <c r="D3151" s="110">
        <v>2</v>
      </c>
      <c r="E3151" s="184">
        <v>1199</v>
      </c>
      <c r="F3151" s="735">
        <f>E3151*D3151</f>
        <v>2398</v>
      </c>
      <c r="G3151" s="735">
        <v>2.6082999999999998</v>
      </c>
      <c r="H3151" s="735">
        <f>E3151*G3151</f>
        <v>3127.3516999999997</v>
      </c>
      <c r="I3151" s="735">
        <f>H3151*D3151</f>
        <v>6254.7033999999994</v>
      </c>
      <c r="J3151" s="1066">
        <f>J3150+I3151</f>
        <v>6254.7033999999994</v>
      </c>
    </row>
    <row r="3152" spans="1:10">
      <c r="B3152" s="585">
        <v>46143</v>
      </c>
      <c r="C3152" s="110" t="s">
        <v>4678</v>
      </c>
      <c r="D3152" s="110">
        <v>2</v>
      </c>
      <c r="E3152" s="184">
        <v>1199</v>
      </c>
      <c r="F3152" s="735">
        <f t="shared" ref="F3152:F3159" si="762">E3152*D3152</f>
        <v>2398</v>
      </c>
      <c r="G3152" s="735">
        <v>2.6082999999999998</v>
      </c>
      <c r="H3152" s="735">
        <f t="shared" ref="H3152:H3159" si="763">E3152*G3152</f>
        <v>3127.3516999999997</v>
      </c>
      <c r="I3152" s="735">
        <f t="shared" ref="I3152:I3159" si="764">H3152*D3152</f>
        <v>6254.7033999999994</v>
      </c>
      <c r="J3152" s="1066">
        <f t="shared" ref="J3152:J3159" si="765">J3151+I3152</f>
        <v>12509.406799999999</v>
      </c>
    </row>
    <row r="3153" spans="2:10">
      <c r="B3153" s="585">
        <v>46143</v>
      </c>
      <c r="C3153" s="110" t="s">
        <v>4678</v>
      </c>
      <c r="D3153" s="110">
        <v>2</v>
      </c>
      <c r="E3153" s="184">
        <v>1199</v>
      </c>
      <c r="F3153" s="735">
        <f t="shared" si="762"/>
        <v>2398</v>
      </c>
      <c r="G3153" s="735">
        <v>2.6082999999999998</v>
      </c>
      <c r="H3153" s="735">
        <f t="shared" si="763"/>
        <v>3127.3516999999997</v>
      </c>
      <c r="I3153" s="735">
        <f t="shared" si="764"/>
        <v>6254.7033999999994</v>
      </c>
      <c r="J3153" s="1066">
        <f t="shared" si="765"/>
        <v>18764.110199999999</v>
      </c>
    </row>
    <row r="3154" spans="2:10">
      <c r="B3154" s="585">
        <v>46143</v>
      </c>
      <c r="C3154" s="110" t="s">
        <v>4678</v>
      </c>
      <c r="D3154" s="110">
        <v>2</v>
      </c>
      <c r="E3154" s="184">
        <v>1199</v>
      </c>
      <c r="F3154" s="735">
        <f t="shared" si="762"/>
        <v>2398</v>
      </c>
      <c r="G3154" s="735">
        <v>2.6082999999999998</v>
      </c>
      <c r="H3154" s="735">
        <f t="shared" si="763"/>
        <v>3127.3516999999997</v>
      </c>
      <c r="I3154" s="735">
        <f t="shared" si="764"/>
        <v>6254.7033999999994</v>
      </c>
      <c r="J3154" s="1066">
        <f t="shared" si="765"/>
        <v>25018.813599999998</v>
      </c>
    </row>
    <row r="3155" spans="2:10">
      <c r="B3155" s="583">
        <v>46144</v>
      </c>
      <c r="C3155" s="1064" t="s">
        <v>4680</v>
      </c>
      <c r="D3155" s="1064">
        <v>5</v>
      </c>
      <c r="E3155" s="533">
        <v>1999</v>
      </c>
      <c r="F3155" s="735">
        <f t="shared" si="762"/>
        <v>9995</v>
      </c>
      <c r="G3155" s="735">
        <v>2.6082999999999998</v>
      </c>
      <c r="H3155" s="735">
        <f t="shared" si="763"/>
        <v>5213.9916999999996</v>
      </c>
      <c r="I3155" s="735">
        <f t="shared" si="764"/>
        <v>26069.958499999997</v>
      </c>
      <c r="J3155" s="1066">
        <f t="shared" si="765"/>
        <v>51088.772099999995</v>
      </c>
    </row>
    <row r="3156" spans="2:10">
      <c r="B3156" s="583">
        <v>46144</v>
      </c>
      <c r="C3156" s="1064" t="s">
        <v>4681</v>
      </c>
      <c r="D3156" s="1064">
        <v>7</v>
      </c>
      <c r="E3156" s="533">
        <v>1982</v>
      </c>
      <c r="F3156" s="735">
        <f t="shared" si="762"/>
        <v>13874</v>
      </c>
      <c r="G3156" s="735">
        <v>2.6082999999999998</v>
      </c>
      <c r="H3156" s="735">
        <f t="shared" si="763"/>
        <v>5169.6505999999999</v>
      </c>
      <c r="I3156" s="735">
        <f t="shared" si="764"/>
        <v>36187.554199999999</v>
      </c>
      <c r="J3156" s="1066">
        <f t="shared" si="765"/>
        <v>87276.326299999986</v>
      </c>
    </row>
    <row r="3157" spans="2:10">
      <c r="B3157" s="583">
        <v>46145</v>
      </c>
      <c r="C3157" s="1064" t="s">
        <v>4682</v>
      </c>
      <c r="D3157" s="1064">
        <v>4</v>
      </c>
      <c r="E3157" s="533">
        <v>1999</v>
      </c>
      <c r="F3157" s="735">
        <f t="shared" si="762"/>
        <v>7996</v>
      </c>
      <c r="G3157" s="735">
        <v>2.6082999999999998</v>
      </c>
      <c r="H3157" s="735">
        <f t="shared" si="763"/>
        <v>5213.9916999999996</v>
      </c>
      <c r="I3157" s="735">
        <f t="shared" si="764"/>
        <v>20855.966799999998</v>
      </c>
      <c r="J3157" s="1066">
        <f t="shared" si="765"/>
        <v>108132.29309999998</v>
      </c>
    </row>
    <row r="3158" spans="2:10">
      <c r="B3158" s="583">
        <v>46145</v>
      </c>
      <c r="C3158" s="1064" t="s">
        <v>4683</v>
      </c>
      <c r="D3158" s="1064">
        <v>10</v>
      </c>
      <c r="E3158" s="533">
        <v>1999</v>
      </c>
      <c r="F3158" s="735">
        <f t="shared" si="762"/>
        <v>19990</v>
      </c>
      <c r="G3158" s="735">
        <v>2.6082999999999998</v>
      </c>
      <c r="H3158" s="735">
        <f t="shared" si="763"/>
        <v>5213.9916999999996</v>
      </c>
      <c r="I3158" s="735">
        <f t="shared" si="764"/>
        <v>52139.916999999994</v>
      </c>
      <c r="J3158" s="1066">
        <f t="shared" si="765"/>
        <v>160272.21009999997</v>
      </c>
    </row>
    <row r="3159" spans="2:10">
      <c r="B3159" s="583">
        <v>46145</v>
      </c>
      <c r="C3159" s="1064" t="s">
        <v>4684</v>
      </c>
      <c r="D3159" s="1064">
        <v>8</v>
      </c>
      <c r="E3159" s="533">
        <v>1950</v>
      </c>
      <c r="F3159" s="735">
        <f t="shared" si="762"/>
        <v>15600</v>
      </c>
      <c r="G3159" s="735">
        <v>2.6082999999999998</v>
      </c>
      <c r="H3159" s="735">
        <f t="shared" si="763"/>
        <v>5086.1849999999995</v>
      </c>
      <c r="I3159" s="735">
        <f t="shared" si="764"/>
        <v>40689.479999999996</v>
      </c>
      <c r="J3159" s="1066">
        <f t="shared" si="765"/>
        <v>200961.69009999995</v>
      </c>
    </row>
    <row r="3160" spans="2:10">
      <c r="B3160" s="585">
        <v>46146</v>
      </c>
      <c r="C3160" s="110" t="s">
        <v>4678</v>
      </c>
      <c r="D3160" s="110">
        <v>2</v>
      </c>
      <c r="E3160" s="184">
        <v>1199</v>
      </c>
      <c r="F3160" s="735">
        <f t="shared" ref="F3160:F3165" si="766">E3160*D3160</f>
        <v>2398</v>
      </c>
      <c r="G3160" s="735">
        <v>2.6082999999999998</v>
      </c>
      <c r="H3160" s="735">
        <f t="shared" ref="H3160:H3165" si="767">E3160*G3160</f>
        <v>3127.3516999999997</v>
      </c>
      <c r="I3160" s="735">
        <f t="shared" ref="I3160:I3165" si="768">H3160*D3160</f>
        <v>6254.7033999999994</v>
      </c>
      <c r="J3160" s="1066">
        <f t="shared" ref="J3160:J3165" si="769">J3159+I3160</f>
        <v>207216.39349999995</v>
      </c>
    </row>
    <row r="3161" spans="2:10">
      <c r="B3161" s="585">
        <v>46146</v>
      </c>
      <c r="C3161" s="110" t="s">
        <v>4678</v>
      </c>
      <c r="D3161" s="110">
        <v>2</v>
      </c>
      <c r="E3161" s="184">
        <v>1199</v>
      </c>
      <c r="F3161" s="735">
        <f t="shared" si="766"/>
        <v>2398</v>
      </c>
      <c r="G3161" s="735">
        <v>2.6082999999999998</v>
      </c>
      <c r="H3161" s="735">
        <f t="shared" si="767"/>
        <v>3127.3516999999997</v>
      </c>
      <c r="I3161" s="735">
        <f t="shared" si="768"/>
        <v>6254.7033999999994</v>
      </c>
      <c r="J3161" s="1066">
        <f t="shared" si="769"/>
        <v>213471.09689999995</v>
      </c>
    </row>
    <row r="3162" spans="2:10">
      <c r="B3162" s="585">
        <v>46146</v>
      </c>
      <c r="C3162" s="110" t="s">
        <v>4678</v>
      </c>
      <c r="D3162" s="110">
        <v>2</v>
      </c>
      <c r="E3162" s="184">
        <v>1199</v>
      </c>
      <c r="F3162" s="735">
        <f t="shared" si="766"/>
        <v>2398</v>
      </c>
      <c r="G3162" s="735">
        <v>2.6082999999999998</v>
      </c>
      <c r="H3162" s="735">
        <f t="shared" si="767"/>
        <v>3127.3516999999997</v>
      </c>
      <c r="I3162" s="735">
        <f t="shared" si="768"/>
        <v>6254.7033999999994</v>
      </c>
      <c r="J3162" s="1066">
        <f t="shared" si="769"/>
        <v>219725.80029999994</v>
      </c>
    </row>
    <row r="3163" spans="2:10">
      <c r="B3163" s="585">
        <v>46146</v>
      </c>
      <c r="C3163" s="110" t="s">
        <v>4678</v>
      </c>
      <c r="D3163" s="110">
        <v>2</v>
      </c>
      <c r="E3163" s="184">
        <v>1199</v>
      </c>
      <c r="F3163" s="735">
        <f t="shared" si="766"/>
        <v>2398</v>
      </c>
      <c r="G3163" s="735">
        <v>2.6082999999999998</v>
      </c>
      <c r="H3163" s="735">
        <f t="shared" si="767"/>
        <v>3127.3516999999997</v>
      </c>
      <c r="I3163" s="735">
        <f t="shared" si="768"/>
        <v>6254.7033999999994</v>
      </c>
      <c r="J3163" s="1066">
        <f t="shared" si="769"/>
        <v>225980.50369999994</v>
      </c>
    </row>
    <row r="3164" spans="2:10">
      <c r="B3164" s="585">
        <v>46146</v>
      </c>
      <c r="C3164" s="110" t="s">
        <v>4678</v>
      </c>
      <c r="D3164" s="110">
        <v>2</v>
      </c>
      <c r="E3164" s="184">
        <v>1199</v>
      </c>
      <c r="F3164" s="735">
        <f t="shared" si="766"/>
        <v>2398</v>
      </c>
      <c r="G3164" s="735">
        <v>2.6082999999999998</v>
      </c>
      <c r="H3164" s="735">
        <f t="shared" si="767"/>
        <v>3127.3516999999997</v>
      </c>
      <c r="I3164" s="735">
        <f t="shared" si="768"/>
        <v>6254.7033999999994</v>
      </c>
      <c r="J3164" s="1066">
        <f t="shared" si="769"/>
        <v>232235.20709999994</v>
      </c>
    </row>
    <row r="3165" spans="2:10">
      <c r="B3165" s="735"/>
      <c r="C3165" s="735"/>
      <c r="D3165" s="735"/>
      <c r="E3165" s="735"/>
      <c r="F3165" s="735">
        <f t="shared" si="766"/>
        <v>0</v>
      </c>
      <c r="G3165" s="735"/>
      <c r="H3165" s="735">
        <f t="shared" si="767"/>
        <v>0</v>
      </c>
      <c r="I3165" s="735">
        <f t="shared" si="768"/>
        <v>0</v>
      </c>
      <c r="J3165" s="1066">
        <f t="shared" si="769"/>
        <v>232235.20709999994</v>
      </c>
    </row>
    <row r="3172" spans="1:10" ht="21">
      <c r="A3172" s="1292" t="s">
        <v>125</v>
      </c>
      <c r="B3172" s="1520" t="s">
        <v>35</v>
      </c>
      <c r="C3172" s="1520"/>
      <c r="D3172" s="1520"/>
      <c r="E3172" s="1520"/>
      <c r="F3172" s="1520"/>
      <c r="G3172" s="1520"/>
      <c r="H3172" s="1520"/>
      <c r="I3172" s="1520"/>
      <c r="J3172" s="1520"/>
    </row>
    <row r="3173" spans="1:10" ht="18.75">
      <c r="A3173" s="1292" t="s">
        <v>212</v>
      </c>
      <c r="B3173" s="4" t="s">
        <v>1</v>
      </c>
      <c r="C3173" s="4" t="s">
        <v>2</v>
      </c>
      <c r="D3173" s="4" t="s">
        <v>3</v>
      </c>
      <c r="E3173" s="4" t="s">
        <v>4</v>
      </c>
      <c r="F3173" s="4" t="s">
        <v>36</v>
      </c>
      <c r="G3173" s="4" t="s">
        <v>5</v>
      </c>
      <c r="H3173" s="4" t="s">
        <v>6</v>
      </c>
      <c r="I3173" s="4" t="s">
        <v>7</v>
      </c>
      <c r="J3173" s="4"/>
    </row>
    <row r="3174" spans="1:10">
      <c r="B3174" s="585">
        <v>46149</v>
      </c>
      <c r="C3174" s="110" t="s">
        <v>4804</v>
      </c>
      <c r="D3174" s="110">
        <v>2</v>
      </c>
      <c r="E3174" s="110">
        <v>3299</v>
      </c>
      <c r="F3174" s="127">
        <f>E3174*D3174</f>
        <v>6598</v>
      </c>
      <c r="G3174" s="127">
        <v>2.15</v>
      </c>
      <c r="H3174" s="127">
        <f>E3174*G3174</f>
        <v>7092.8499999999995</v>
      </c>
      <c r="I3174" s="127">
        <f>H3174*D3174</f>
        <v>14185.699999999999</v>
      </c>
      <c r="J3174" s="110">
        <f>J3173+I3174</f>
        <v>14185.699999999999</v>
      </c>
    </row>
    <row r="3175" spans="1:10">
      <c r="B3175" s="737">
        <v>46152</v>
      </c>
      <c r="C3175" s="1066" t="s">
        <v>4801</v>
      </c>
      <c r="D3175" s="1066">
        <v>4</v>
      </c>
      <c r="E3175" s="1066">
        <v>1579</v>
      </c>
      <c r="F3175" s="735">
        <f t="shared" ref="F3175:F3182" si="770">E3175*D3175</f>
        <v>6316</v>
      </c>
      <c r="G3175" s="735">
        <v>2.15</v>
      </c>
      <c r="H3175" s="735">
        <f t="shared" ref="H3175:H3182" si="771">E3175*G3175</f>
        <v>3394.85</v>
      </c>
      <c r="I3175" s="735">
        <f t="shared" ref="I3175:I3182" si="772">H3175*D3175</f>
        <v>13579.4</v>
      </c>
      <c r="J3175" s="1066">
        <f t="shared" ref="J3175:J3182" si="773">J3174+I3175</f>
        <v>27765.1</v>
      </c>
    </row>
    <row r="3176" spans="1:10">
      <c r="B3176" s="585">
        <v>46152</v>
      </c>
      <c r="C3176" s="110" t="s">
        <v>4805</v>
      </c>
      <c r="D3176" s="110">
        <v>4</v>
      </c>
      <c r="E3176" s="110">
        <v>1579</v>
      </c>
      <c r="F3176" s="127">
        <f t="shared" si="770"/>
        <v>6316</v>
      </c>
      <c r="G3176" s="127">
        <v>2.15</v>
      </c>
      <c r="H3176" s="127">
        <f t="shared" si="771"/>
        <v>3394.85</v>
      </c>
      <c r="I3176" s="127">
        <f t="shared" si="772"/>
        <v>13579.4</v>
      </c>
      <c r="J3176" s="110">
        <f t="shared" si="773"/>
        <v>41344.5</v>
      </c>
    </row>
    <row r="3177" spans="1:10">
      <c r="B3177" s="585">
        <v>46153</v>
      </c>
      <c r="C3177" s="110" t="s">
        <v>4806</v>
      </c>
      <c r="D3177" s="110">
        <v>8</v>
      </c>
      <c r="E3177" s="110">
        <v>143</v>
      </c>
      <c r="F3177" s="127">
        <f t="shared" si="770"/>
        <v>1144</v>
      </c>
      <c r="G3177" s="127">
        <v>2.15</v>
      </c>
      <c r="H3177" s="127">
        <f t="shared" si="771"/>
        <v>307.45</v>
      </c>
      <c r="I3177" s="127">
        <f t="shared" si="772"/>
        <v>2459.6</v>
      </c>
      <c r="J3177" s="110">
        <f t="shared" si="773"/>
        <v>43804.1</v>
      </c>
    </row>
    <row r="3178" spans="1:10">
      <c r="B3178" s="585">
        <v>46154</v>
      </c>
      <c r="C3178" s="110" t="s">
        <v>4807</v>
      </c>
      <c r="D3178" s="110">
        <v>4</v>
      </c>
      <c r="E3178" s="110">
        <v>1579</v>
      </c>
      <c r="F3178" s="127">
        <f t="shared" si="770"/>
        <v>6316</v>
      </c>
      <c r="G3178" s="127">
        <v>2.15</v>
      </c>
      <c r="H3178" s="127">
        <f t="shared" si="771"/>
        <v>3394.85</v>
      </c>
      <c r="I3178" s="127">
        <f t="shared" si="772"/>
        <v>13579.4</v>
      </c>
      <c r="J3178" s="110">
        <f t="shared" si="773"/>
        <v>57383.5</v>
      </c>
    </row>
    <row r="3179" spans="1:10">
      <c r="B3179" s="737">
        <v>46154</v>
      </c>
      <c r="C3179" s="1066" t="s">
        <v>4802</v>
      </c>
      <c r="D3179" s="1066">
        <v>20</v>
      </c>
      <c r="E3179" s="1066">
        <v>143</v>
      </c>
      <c r="F3179" s="735">
        <f t="shared" si="770"/>
        <v>2860</v>
      </c>
      <c r="G3179" s="735">
        <v>2.15</v>
      </c>
      <c r="H3179" s="735">
        <f t="shared" si="771"/>
        <v>307.45</v>
      </c>
      <c r="I3179" s="735">
        <f t="shared" si="772"/>
        <v>6149</v>
      </c>
      <c r="J3179" s="1066">
        <f t="shared" si="773"/>
        <v>63532.5</v>
      </c>
    </row>
    <row r="3180" spans="1:10">
      <c r="B3180" s="585">
        <v>46154</v>
      </c>
      <c r="C3180" s="110" t="s">
        <v>4808</v>
      </c>
      <c r="D3180" s="110">
        <v>1</v>
      </c>
      <c r="E3180" s="110">
        <v>17999</v>
      </c>
      <c r="F3180" s="127">
        <f t="shared" si="770"/>
        <v>17999</v>
      </c>
      <c r="G3180" s="127">
        <v>2.15</v>
      </c>
      <c r="H3180" s="127">
        <f t="shared" si="771"/>
        <v>38697.85</v>
      </c>
      <c r="I3180" s="127">
        <f t="shared" si="772"/>
        <v>38697.85</v>
      </c>
      <c r="J3180" s="110">
        <f t="shared" si="773"/>
        <v>102230.35</v>
      </c>
    </row>
    <row r="3181" spans="1:10">
      <c r="B3181" s="585">
        <v>46156</v>
      </c>
      <c r="C3181" s="110" t="s">
        <v>4809</v>
      </c>
      <c r="D3181" s="110">
        <v>12</v>
      </c>
      <c r="E3181" s="110">
        <v>1600</v>
      </c>
      <c r="F3181" s="127">
        <f t="shared" si="770"/>
        <v>19200</v>
      </c>
      <c r="G3181" s="127">
        <v>2.15</v>
      </c>
      <c r="H3181" s="127">
        <f t="shared" si="771"/>
        <v>3440</v>
      </c>
      <c r="I3181" s="127">
        <f t="shared" si="772"/>
        <v>41280</v>
      </c>
      <c r="J3181" s="110">
        <f t="shared" si="773"/>
        <v>143510.35</v>
      </c>
    </row>
    <row r="3182" spans="1:10">
      <c r="B3182" s="585">
        <v>46156</v>
      </c>
      <c r="C3182" s="110" t="s">
        <v>4810</v>
      </c>
      <c r="D3182" s="110">
        <v>4</v>
      </c>
      <c r="E3182" s="110">
        <v>1579</v>
      </c>
      <c r="F3182" s="127">
        <f t="shared" si="770"/>
        <v>6316</v>
      </c>
      <c r="G3182" s="127">
        <v>2.15</v>
      </c>
      <c r="H3182" s="127">
        <f t="shared" si="771"/>
        <v>3394.85</v>
      </c>
      <c r="I3182" s="127">
        <f t="shared" si="772"/>
        <v>13579.4</v>
      </c>
      <c r="J3182" s="110">
        <f t="shared" si="773"/>
        <v>157089.75</v>
      </c>
    </row>
    <row r="3183" spans="1:10">
      <c r="B3183" s="585">
        <v>46156</v>
      </c>
      <c r="C3183" s="110" t="s">
        <v>4805</v>
      </c>
      <c r="D3183" s="110">
        <v>4</v>
      </c>
      <c r="E3183" s="110">
        <v>1579</v>
      </c>
      <c r="F3183" s="127">
        <f t="shared" ref="F3183:F3185" si="774">E3183*D3183</f>
        <v>6316</v>
      </c>
      <c r="G3183" s="127">
        <v>2.15</v>
      </c>
      <c r="H3183" s="127">
        <f t="shared" ref="H3183:H3185" si="775">E3183*G3183</f>
        <v>3394.85</v>
      </c>
      <c r="I3183" s="127">
        <f t="shared" ref="I3183:I3185" si="776">H3183*D3183</f>
        <v>13579.4</v>
      </c>
      <c r="J3183" s="110">
        <f t="shared" ref="J3183:J3185" si="777">J3182+I3183</f>
        <v>170669.15</v>
      </c>
    </row>
    <row r="3184" spans="1:10">
      <c r="B3184" s="594">
        <v>46154</v>
      </c>
      <c r="C3184" s="296" t="s">
        <v>4803</v>
      </c>
      <c r="D3184" s="672">
        <v>1</v>
      </c>
      <c r="E3184" s="672">
        <v>1370</v>
      </c>
      <c r="F3184" s="596">
        <f t="shared" si="774"/>
        <v>1370</v>
      </c>
      <c r="G3184" s="596">
        <v>2.15</v>
      </c>
      <c r="H3184" s="596">
        <f t="shared" si="775"/>
        <v>2945.5</v>
      </c>
      <c r="I3184" s="596">
        <f t="shared" si="776"/>
        <v>2945.5</v>
      </c>
      <c r="J3184" s="296">
        <f t="shared" si="777"/>
        <v>173614.65</v>
      </c>
    </row>
    <row r="3185" spans="1:10">
      <c r="B3185" s="735"/>
      <c r="C3185" s="735"/>
      <c r="D3185" s="735"/>
      <c r="E3185" s="735"/>
      <c r="F3185" s="735">
        <f t="shared" si="774"/>
        <v>0</v>
      </c>
      <c r="G3185" s="735"/>
      <c r="H3185" s="735">
        <f t="shared" si="775"/>
        <v>0</v>
      </c>
      <c r="I3185" s="735">
        <f t="shared" si="776"/>
        <v>0</v>
      </c>
      <c r="J3185" s="1066">
        <f t="shared" si="777"/>
        <v>173614.65</v>
      </c>
    </row>
    <row r="3192" spans="1:10" ht="21">
      <c r="A3192" s="1292" t="s">
        <v>125</v>
      </c>
      <c r="B3192" s="1520" t="s">
        <v>20</v>
      </c>
      <c r="C3192" s="1520"/>
      <c r="D3192" s="1520"/>
      <c r="E3192" s="1520"/>
      <c r="F3192" s="1520"/>
      <c r="G3192" s="1520"/>
      <c r="H3192" s="1520"/>
      <c r="I3192" s="1520"/>
      <c r="J3192" s="1520"/>
    </row>
    <row r="3193" spans="1:10" ht="18.75">
      <c r="A3193" s="1292" t="s">
        <v>212</v>
      </c>
      <c r="B3193" s="4" t="s">
        <v>1</v>
      </c>
      <c r="C3193" s="4" t="s">
        <v>2</v>
      </c>
      <c r="D3193" s="4" t="s">
        <v>3</v>
      </c>
      <c r="E3193" s="4" t="s">
        <v>4</v>
      </c>
      <c r="F3193" s="4" t="s">
        <v>36</v>
      </c>
      <c r="G3193" s="4" t="s">
        <v>5</v>
      </c>
      <c r="H3193" s="4" t="s">
        <v>6</v>
      </c>
      <c r="I3193" s="4" t="s">
        <v>7</v>
      </c>
      <c r="J3193" s="4"/>
    </row>
    <row r="3194" spans="1:10">
      <c r="B3194" s="585">
        <v>46147</v>
      </c>
      <c r="C3194" s="110" t="s">
        <v>4678</v>
      </c>
      <c r="D3194" s="110">
        <v>2</v>
      </c>
      <c r="E3194" s="184">
        <v>1199</v>
      </c>
      <c r="F3194" s="127">
        <f>E3194*D3194</f>
        <v>2398</v>
      </c>
      <c r="G3194" s="127">
        <v>2.6267</v>
      </c>
      <c r="H3194" s="127">
        <f>E3194*G3194</f>
        <v>3149.4133000000002</v>
      </c>
      <c r="I3194" s="127">
        <f>H3194*D3194</f>
        <v>6298.8266000000003</v>
      </c>
      <c r="J3194" s="110">
        <f>J3193+I3194</f>
        <v>6298.8266000000003</v>
      </c>
    </row>
    <row r="3195" spans="1:10">
      <c r="B3195" s="585">
        <v>46147</v>
      </c>
      <c r="C3195" s="110" t="s">
        <v>4678</v>
      </c>
      <c r="D3195" s="110">
        <v>2</v>
      </c>
      <c r="E3195" s="184">
        <v>1199</v>
      </c>
      <c r="F3195" s="127">
        <f t="shared" ref="F3195:F3202" si="778">E3195*D3195</f>
        <v>2398</v>
      </c>
      <c r="G3195" s="127">
        <v>2.6267</v>
      </c>
      <c r="H3195" s="127">
        <f t="shared" ref="H3195:H3202" si="779">E3195*G3195</f>
        <v>3149.4133000000002</v>
      </c>
      <c r="I3195" s="127">
        <f t="shared" ref="I3195:I3202" si="780">H3195*D3195</f>
        <v>6298.8266000000003</v>
      </c>
      <c r="J3195" s="110">
        <f t="shared" ref="J3195:J3202" si="781">J3194+I3195</f>
        <v>12597.653200000001</v>
      </c>
    </row>
    <row r="3196" spans="1:10">
      <c r="B3196" s="585">
        <v>46147</v>
      </c>
      <c r="C3196" s="110" t="s">
        <v>4678</v>
      </c>
      <c r="D3196" s="110">
        <v>2</v>
      </c>
      <c r="E3196" s="184">
        <v>1199</v>
      </c>
      <c r="F3196" s="127">
        <f t="shared" si="778"/>
        <v>2398</v>
      </c>
      <c r="G3196" s="127">
        <v>2.6267</v>
      </c>
      <c r="H3196" s="127">
        <f t="shared" si="779"/>
        <v>3149.4133000000002</v>
      </c>
      <c r="I3196" s="127">
        <f t="shared" si="780"/>
        <v>6298.8266000000003</v>
      </c>
      <c r="J3196" s="110">
        <f t="shared" si="781"/>
        <v>18896.479800000001</v>
      </c>
    </row>
    <row r="3197" spans="1:10">
      <c r="B3197" s="585">
        <v>46147</v>
      </c>
      <c r="C3197" s="110" t="s">
        <v>4678</v>
      </c>
      <c r="D3197" s="110">
        <v>2</v>
      </c>
      <c r="E3197" s="184">
        <v>1199</v>
      </c>
      <c r="F3197" s="127">
        <f t="shared" si="778"/>
        <v>2398</v>
      </c>
      <c r="G3197" s="127">
        <v>2.6267</v>
      </c>
      <c r="H3197" s="127">
        <f t="shared" si="779"/>
        <v>3149.4133000000002</v>
      </c>
      <c r="I3197" s="127">
        <f t="shared" si="780"/>
        <v>6298.8266000000003</v>
      </c>
      <c r="J3197" s="110">
        <f t="shared" si="781"/>
        <v>25195.306400000001</v>
      </c>
    </row>
    <row r="3198" spans="1:10">
      <c r="B3198" s="585">
        <v>46147</v>
      </c>
      <c r="C3198" s="110" t="s">
        <v>4678</v>
      </c>
      <c r="D3198" s="110">
        <v>2</v>
      </c>
      <c r="E3198" s="184">
        <v>1199</v>
      </c>
      <c r="F3198" s="127">
        <f t="shared" si="778"/>
        <v>2398</v>
      </c>
      <c r="G3198" s="127">
        <v>2.6267</v>
      </c>
      <c r="H3198" s="127">
        <f t="shared" si="779"/>
        <v>3149.4133000000002</v>
      </c>
      <c r="I3198" s="127">
        <f t="shared" si="780"/>
        <v>6298.8266000000003</v>
      </c>
      <c r="J3198" s="110">
        <f t="shared" si="781"/>
        <v>31494.133000000002</v>
      </c>
    </row>
    <row r="3199" spans="1:10">
      <c r="B3199" s="737">
        <v>46148</v>
      </c>
      <c r="C3199" s="1066" t="s">
        <v>4812</v>
      </c>
      <c r="D3199" s="1066">
        <v>10</v>
      </c>
      <c r="E3199" s="1066">
        <v>1205</v>
      </c>
      <c r="F3199" s="735">
        <f t="shared" si="778"/>
        <v>12050</v>
      </c>
      <c r="G3199" s="127">
        <v>2.6267</v>
      </c>
      <c r="H3199" s="735">
        <f t="shared" si="779"/>
        <v>3165.1734999999999</v>
      </c>
      <c r="I3199" s="735">
        <f t="shared" si="780"/>
        <v>31651.735000000001</v>
      </c>
      <c r="J3199" s="1066">
        <f t="shared" si="781"/>
        <v>63145.868000000002</v>
      </c>
    </row>
    <row r="3200" spans="1:10">
      <c r="B3200" s="585">
        <v>46150</v>
      </c>
      <c r="C3200" s="110" t="s">
        <v>4814</v>
      </c>
      <c r="D3200" s="110">
        <v>2</v>
      </c>
      <c r="E3200" s="110">
        <v>1199</v>
      </c>
      <c r="F3200" s="127">
        <f t="shared" si="778"/>
        <v>2398</v>
      </c>
      <c r="G3200" s="127">
        <v>2.6267</v>
      </c>
      <c r="H3200" s="127">
        <f t="shared" si="779"/>
        <v>3149.4133000000002</v>
      </c>
      <c r="I3200" s="127">
        <f t="shared" si="780"/>
        <v>6298.8266000000003</v>
      </c>
      <c r="J3200" s="110">
        <f t="shared" si="781"/>
        <v>69444.694600000003</v>
      </c>
    </row>
    <row r="3201" spans="1:10">
      <c r="B3201" s="585">
        <v>46150</v>
      </c>
      <c r="C3201" s="110" t="s">
        <v>4814</v>
      </c>
      <c r="D3201" s="110">
        <v>2</v>
      </c>
      <c r="E3201" s="110">
        <v>1199</v>
      </c>
      <c r="F3201" s="127">
        <f t="shared" si="778"/>
        <v>2398</v>
      </c>
      <c r="G3201" s="127">
        <v>2.6267</v>
      </c>
      <c r="H3201" s="127">
        <f t="shared" si="779"/>
        <v>3149.4133000000002</v>
      </c>
      <c r="I3201" s="127">
        <f t="shared" si="780"/>
        <v>6298.8266000000003</v>
      </c>
      <c r="J3201" s="110">
        <f t="shared" si="781"/>
        <v>75743.521200000003</v>
      </c>
    </row>
    <row r="3202" spans="1:10">
      <c r="B3202" s="585">
        <v>46150</v>
      </c>
      <c r="C3202" s="110" t="s">
        <v>4814</v>
      </c>
      <c r="D3202" s="110">
        <v>2</v>
      </c>
      <c r="E3202" s="110">
        <v>1199</v>
      </c>
      <c r="F3202" s="127">
        <f t="shared" si="778"/>
        <v>2398</v>
      </c>
      <c r="G3202" s="127">
        <v>2.6267</v>
      </c>
      <c r="H3202" s="127">
        <f t="shared" si="779"/>
        <v>3149.4133000000002</v>
      </c>
      <c r="I3202" s="127">
        <f t="shared" si="780"/>
        <v>6298.8266000000003</v>
      </c>
      <c r="J3202" s="110">
        <f t="shared" si="781"/>
        <v>82042.347800000003</v>
      </c>
    </row>
    <row r="3203" spans="1:10">
      <c r="B3203" s="585">
        <v>46150</v>
      </c>
      <c r="C3203" s="110" t="s">
        <v>4814</v>
      </c>
      <c r="D3203" s="110">
        <v>2</v>
      </c>
      <c r="E3203" s="110">
        <v>1199</v>
      </c>
      <c r="F3203" s="127">
        <f t="shared" ref="F3203:F3207" si="782">E3203*D3203</f>
        <v>2398</v>
      </c>
      <c r="G3203" s="127">
        <v>2.6267</v>
      </c>
      <c r="H3203" s="127">
        <f t="shared" ref="H3203:H3207" si="783">E3203*G3203</f>
        <v>3149.4133000000002</v>
      </c>
      <c r="I3203" s="127">
        <f t="shared" ref="I3203:I3207" si="784">H3203*D3203</f>
        <v>6298.8266000000003</v>
      </c>
      <c r="J3203" s="110">
        <f t="shared" ref="J3203:J3207" si="785">J3202+I3203</f>
        <v>88341.174400000004</v>
      </c>
    </row>
    <row r="3204" spans="1:10">
      <c r="B3204" s="737">
        <v>46150</v>
      </c>
      <c r="C3204" s="1066" t="s">
        <v>4680</v>
      </c>
      <c r="D3204" s="1066">
        <v>10</v>
      </c>
      <c r="E3204" s="1066">
        <v>1897</v>
      </c>
      <c r="F3204" s="735">
        <f t="shared" si="782"/>
        <v>18970</v>
      </c>
      <c r="G3204" s="127">
        <v>2.6267</v>
      </c>
      <c r="H3204" s="735">
        <f t="shared" si="783"/>
        <v>4982.8499000000002</v>
      </c>
      <c r="I3204" s="735">
        <f t="shared" si="784"/>
        <v>49828.499000000003</v>
      </c>
      <c r="J3204" s="1066">
        <f t="shared" si="785"/>
        <v>138169.6734</v>
      </c>
    </row>
    <row r="3205" spans="1:10">
      <c r="B3205" s="737">
        <v>46150</v>
      </c>
      <c r="C3205" s="1066" t="s">
        <v>4813</v>
      </c>
      <c r="D3205" s="1066">
        <v>7</v>
      </c>
      <c r="E3205" s="1066">
        <v>1897</v>
      </c>
      <c r="F3205" s="735">
        <f t="shared" si="782"/>
        <v>13279</v>
      </c>
      <c r="G3205" s="127">
        <v>2.6267</v>
      </c>
      <c r="H3205" s="735">
        <f t="shared" si="783"/>
        <v>4982.8499000000002</v>
      </c>
      <c r="I3205" s="735">
        <f t="shared" si="784"/>
        <v>34879.9493</v>
      </c>
      <c r="J3205" s="1066">
        <f t="shared" si="785"/>
        <v>173049.62270000001</v>
      </c>
    </row>
    <row r="3206" spans="1:10">
      <c r="B3206" s="737">
        <v>46150</v>
      </c>
      <c r="C3206" s="1066" t="s">
        <v>2040</v>
      </c>
      <c r="D3206" s="1066">
        <v>2</v>
      </c>
      <c r="E3206" s="1066">
        <v>394</v>
      </c>
      <c r="F3206" s="735">
        <f t="shared" si="782"/>
        <v>788</v>
      </c>
      <c r="G3206" s="127">
        <v>2.6267</v>
      </c>
      <c r="H3206" s="735">
        <f t="shared" si="783"/>
        <v>1034.9198000000001</v>
      </c>
      <c r="I3206" s="735">
        <f t="shared" si="784"/>
        <v>2069.8396000000002</v>
      </c>
      <c r="J3206" s="1066">
        <f t="shared" si="785"/>
        <v>175119.46230000001</v>
      </c>
    </row>
    <row r="3207" spans="1:10">
      <c r="B3207" s="735"/>
      <c r="C3207" s="735"/>
      <c r="D3207" s="735"/>
      <c r="E3207" s="735"/>
      <c r="F3207" s="735">
        <f t="shared" si="782"/>
        <v>0</v>
      </c>
      <c r="G3207" s="735"/>
      <c r="H3207" s="735">
        <f t="shared" si="783"/>
        <v>0</v>
      </c>
      <c r="I3207" s="735">
        <f t="shared" si="784"/>
        <v>0</v>
      </c>
      <c r="J3207" s="1066">
        <f t="shared" si="785"/>
        <v>175119.46230000001</v>
      </c>
    </row>
    <row r="3213" spans="1:10" ht="21">
      <c r="A3213" s="1292" t="s">
        <v>125</v>
      </c>
      <c r="B3213" s="1520" t="s">
        <v>20</v>
      </c>
      <c r="C3213" s="1520"/>
      <c r="D3213" s="1520"/>
      <c r="E3213" s="1520"/>
      <c r="F3213" s="1520"/>
      <c r="G3213" s="1520"/>
      <c r="H3213" s="1520"/>
      <c r="I3213" s="1520"/>
      <c r="J3213" s="1520"/>
    </row>
    <row r="3214" spans="1:10" ht="18.75">
      <c r="A3214" s="1292" t="s">
        <v>212</v>
      </c>
      <c r="B3214" s="4" t="s">
        <v>1</v>
      </c>
      <c r="C3214" s="4" t="s">
        <v>2</v>
      </c>
      <c r="D3214" s="4" t="s">
        <v>3</v>
      </c>
      <c r="E3214" s="4" t="s">
        <v>4</v>
      </c>
      <c r="F3214" s="4" t="s">
        <v>36</v>
      </c>
      <c r="G3214" s="4" t="s">
        <v>5</v>
      </c>
      <c r="H3214" s="4" t="s">
        <v>6</v>
      </c>
      <c r="I3214" s="4" t="s">
        <v>7</v>
      </c>
      <c r="J3214" s="4"/>
    </row>
    <row r="3215" spans="1:10">
      <c r="B3215" s="585">
        <v>46153</v>
      </c>
      <c r="C3215" s="110" t="s">
        <v>4814</v>
      </c>
      <c r="D3215" s="110">
        <v>2</v>
      </c>
      <c r="E3215" s="110">
        <v>1199</v>
      </c>
      <c r="F3215" s="127">
        <f>E3215*D3215</f>
        <v>2398</v>
      </c>
      <c r="G3215" s="127">
        <v>2.6215000000000002</v>
      </c>
      <c r="H3215" s="127">
        <f>E3215*G3215</f>
        <v>3143.1785</v>
      </c>
      <c r="I3215" s="127">
        <f>H3215*D3215</f>
        <v>6286.357</v>
      </c>
      <c r="J3215" s="110">
        <f>J3214+I3215</f>
        <v>6286.357</v>
      </c>
    </row>
    <row r="3216" spans="1:10">
      <c r="B3216" s="585">
        <v>46153</v>
      </c>
      <c r="C3216" s="110" t="s">
        <v>4814</v>
      </c>
      <c r="D3216" s="110">
        <v>2</v>
      </c>
      <c r="E3216" s="110">
        <v>1199</v>
      </c>
      <c r="F3216" s="127">
        <f t="shared" ref="F3216:F3223" si="786">E3216*D3216</f>
        <v>2398</v>
      </c>
      <c r="G3216" s="127">
        <v>2.6215000000000002</v>
      </c>
      <c r="H3216" s="127">
        <f t="shared" ref="H3216:H3223" si="787">E3216*G3216</f>
        <v>3143.1785</v>
      </c>
      <c r="I3216" s="127">
        <f t="shared" ref="I3216:I3223" si="788">H3216*D3216</f>
        <v>6286.357</v>
      </c>
      <c r="J3216" s="110">
        <f t="shared" ref="J3216:J3223" si="789">J3215+I3216</f>
        <v>12572.714</v>
      </c>
    </row>
    <row r="3217" spans="2:10">
      <c r="B3217" s="585">
        <v>46153</v>
      </c>
      <c r="C3217" s="110" t="s">
        <v>4814</v>
      </c>
      <c r="D3217" s="110">
        <v>2</v>
      </c>
      <c r="E3217" s="110">
        <v>1199</v>
      </c>
      <c r="F3217" s="127">
        <f t="shared" si="786"/>
        <v>2398</v>
      </c>
      <c r="G3217" s="127">
        <v>2.6215000000000002</v>
      </c>
      <c r="H3217" s="127">
        <f t="shared" si="787"/>
        <v>3143.1785</v>
      </c>
      <c r="I3217" s="127">
        <f t="shared" si="788"/>
        <v>6286.357</v>
      </c>
      <c r="J3217" s="110">
        <f t="shared" si="789"/>
        <v>18859.071</v>
      </c>
    </row>
    <row r="3218" spans="2:10">
      <c r="B3218" s="585">
        <v>46153</v>
      </c>
      <c r="C3218" s="110" t="s">
        <v>4814</v>
      </c>
      <c r="D3218" s="110">
        <v>2</v>
      </c>
      <c r="E3218" s="110">
        <v>1199</v>
      </c>
      <c r="F3218" s="127">
        <f t="shared" si="786"/>
        <v>2398</v>
      </c>
      <c r="G3218" s="127">
        <v>2.6215000000000002</v>
      </c>
      <c r="H3218" s="127">
        <f t="shared" si="787"/>
        <v>3143.1785</v>
      </c>
      <c r="I3218" s="127">
        <f t="shared" si="788"/>
        <v>6286.357</v>
      </c>
      <c r="J3218" s="110">
        <f t="shared" si="789"/>
        <v>25145.428</v>
      </c>
    </row>
    <row r="3219" spans="2:10">
      <c r="B3219" s="585">
        <v>46153</v>
      </c>
      <c r="C3219" s="110" t="s">
        <v>4814</v>
      </c>
      <c r="D3219" s="110">
        <v>2</v>
      </c>
      <c r="E3219" s="110">
        <v>1199</v>
      </c>
      <c r="F3219" s="127">
        <f t="shared" si="786"/>
        <v>2398</v>
      </c>
      <c r="G3219" s="127">
        <v>2.6215000000000002</v>
      </c>
      <c r="H3219" s="127">
        <f t="shared" si="787"/>
        <v>3143.1785</v>
      </c>
      <c r="I3219" s="127">
        <f t="shared" si="788"/>
        <v>6286.357</v>
      </c>
      <c r="J3219" s="110">
        <f t="shared" si="789"/>
        <v>31431.785</v>
      </c>
    </row>
    <row r="3220" spans="2:10">
      <c r="B3220" s="585">
        <v>46154</v>
      </c>
      <c r="C3220" s="110" t="s">
        <v>4814</v>
      </c>
      <c r="D3220" s="110">
        <v>2</v>
      </c>
      <c r="E3220" s="110">
        <v>1199</v>
      </c>
      <c r="F3220" s="127">
        <f t="shared" si="786"/>
        <v>2398</v>
      </c>
      <c r="G3220" s="127">
        <v>2.6215000000000002</v>
      </c>
      <c r="H3220" s="127">
        <f t="shared" si="787"/>
        <v>3143.1785</v>
      </c>
      <c r="I3220" s="127">
        <f t="shared" si="788"/>
        <v>6286.357</v>
      </c>
      <c r="J3220" s="110">
        <f t="shared" si="789"/>
        <v>37718.142</v>
      </c>
    </row>
    <row r="3221" spans="2:10">
      <c r="B3221" s="585">
        <v>46154</v>
      </c>
      <c r="C3221" s="110" t="s">
        <v>4814</v>
      </c>
      <c r="D3221" s="110">
        <v>2</v>
      </c>
      <c r="E3221" s="110">
        <v>1199</v>
      </c>
      <c r="F3221" s="127">
        <f t="shared" si="786"/>
        <v>2398</v>
      </c>
      <c r="G3221" s="127">
        <v>2.6215000000000002</v>
      </c>
      <c r="H3221" s="127">
        <f t="shared" si="787"/>
        <v>3143.1785</v>
      </c>
      <c r="I3221" s="127">
        <f t="shared" si="788"/>
        <v>6286.357</v>
      </c>
      <c r="J3221" s="110">
        <f t="shared" si="789"/>
        <v>44004.498999999996</v>
      </c>
    </row>
    <row r="3222" spans="2:10">
      <c r="B3222" s="585">
        <v>46154</v>
      </c>
      <c r="C3222" s="110" t="s">
        <v>4814</v>
      </c>
      <c r="D3222" s="110">
        <v>2</v>
      </c>
      <c r="E3222" s="110">
        <v>1199</v>
      </c>
      <c r="F3222" s="127">
        <f t="shared" si="786"/>
        <v>2398</v>
      </c>
      <c r="G3222" s="127">
        <v>2.6215000000000002</v>
      </c>
      <c r="H3222" s="127">
        <f t="shared" si="787"/>
        <v>3143.1785</v>
      </c>
      <c r="I3222" s="127">
        <f t="shared" si="788"/>
        <v>6286.357</v>
      </c>
      <c r="J3222" s="110">
        <f t="shared" si="789"/>
        <v>50290.856</v>
      </c>
    </row>
    <row r="3223" spans="2:10">
      <c r="B3223" s="585">
        <v>46154</v>
      </c>
      <c r="C3223" s="110" t="s">
        <v>4814</v>
      </c>
      <c r="D3223" s="110">
        <v>2</v>
      </c>
      <c r="E3223" s="110">
        <v>1199</v>
      </c>
      <c r="F3223" s="127">
        <f t="shared" si="786"/>
        <v>2398</v>
      </c>
      <c r="G3223" s="127">
        <v>2.6215000000000002</v>
      </c>
      <c r="H3223" s="127">
        <f t="shared" si="787"/>
        <v>3143.1785</v>
      </c>
      <c r="I3223" s="127">
        <f t="shared" si="788"/>
        <v>6286.357</v>
      </c>
      <c r="J3223" s="110">
        <f t="shared" si="789"/>
        <v>56577.213000000003</v>
      </c>
    </row>
    <row r="3224" spans="2:10">
      <c r="B3224" s="1207">
        <v>46154</v>
      </c>
      <c r="C3224" s="250" t="s">
        <v>4814</v>
      </c>
      <c r="D3224" s="250">
        <v>2</v>
      </c>
      <c r="E3224" s="250">
        <v>1199</v>
      </c>
      <c r="F3224" s="127">
        <f t="shared" ref="F3224:F3239" si="790">E3224*D3224</f>
        <v>2398</v>
      </c>
      <c r="G3224" s="127">
        <v>2.6215000000000002</v>
      </c>
      <c r="H3224" s="127">
        <f t="shared" ref="H3224:H3239" si="791">E3224*G3224</f>
        <v>3143.1785</v>
      </c>
      <c r="I3224" s="127">
        <f t="shared" ref="I3224:I3239" si="792">H3224*D3224</f>
        <v>6286.357</v>
      </c>
      <c r="J3224" s="110">
        <f t="shared" ref="J3224:J3239" si="793">J3223+I3224</f>
        <v>62863.570000000007</v>
      </c>
    </row>
    <row r="3225" spans="2:10">
      <c r="B3225" s="585">
        <v>46155</v>
      </c>
      <c r="C3225" s="110" t="s">
        <v>4815</v>
      </c>
      <c r="D3225" s="110">
        <v>4</v>
      </c>
      <c r="E3225" s="110">
        <v>1199</v>
      </c>
      <c r="F3225" s="127">
        <f t="shared" si="790"/>
        <v>4796</v>
      </c>
      <c r="G3225" s="127">
        <v>2.6215000000000002</v>
      </c>
      <c r="H3225" s="127">
        <f t="shared" si="791"/>
        <v>3143.1785</v>
      </c>
      <c r="I3225" s="127">
        <f t="shared" si="792"/>
        <v>12572.714</v>
      </c>
      <c r="J3225" s="110">
        <f t="shared" si="793"/>
        <v>75436.284000000014</v>
      </c>
    </row>
    <row r="3226" spans="2:10">
      <c r="B3226" s="585">
        <v>46155</v>
      </c>
      <c r="C3226" s="110" t="s">
        <v>4816</v>
      </c>
      <c r="D3226" s="110">
        <v>1</v>
      </c>
      <c r="E3226" s="110">
        <v>1199</v>
      </c>
      <c r="F3226" s="127">
        <f t="shared" si="790"/>
        <v>1199</v>
      </c>
      <c r="G3226" s="127">
        <v>2.6215000000000002</v>
      </c>
      <c r="H3226" s="127">
        <f t="shared" si="791"/>
        <v>3143.1785</v>
      </c>
      <c r="I3226" s="127">
        <f t="shared" si="792"/>
        <v>3143.1785</v>
      </c>
      <c r="J3226" s="110">
        <f t="shared" si="793"/>
        <v>78579.462500000009</v>
      </c>
    </row>
    <row r="3227" spans="2:10">
      <c r="B3227" s="585">
        <v>46155</v>
      </c>
      <c r="C3227" s="110" t="s">
        <v>4817</v>
      </c>
      <c r="D3227" s="110">
        <v>2</v>
      </c>
      <c r="E3227" s="110">
        <v>1199</v>
      </c>
      <c r="F3227" s="127">
        <f t="shared" si="790"/>
        <v>2398</v>
      </c>
      <c r="G3227" s="127">
        <v>2.6215000000000002</v>
      </c>
      <c r="H3227" s="127">
        <f t="shared" si="791"/>
        <v>3143.1785</v>
      </c>
      <c r="I3227" s="127">
        <f t="shared" si="792"/>
        <v>6286.357</v>
      </c>
      <c r="J3227" s="110">
        <f t="shared" si="793"/>
        <v>84865.819500000012</v>
      </c>
    </row>
    <row r="3228" spans="2:10">
      <c r="B3228" s="585">
        <v>46156</v>
      </c>
      <c r="C3228" s="110" t="s">
        <v>4814</v>
      </c>
      <c r="D3228" s="110">
        <v>2</v>
      </c>
      <c r="E3228" s="110">
        <v>1199</v>
      </c>
      <c r="F3228" s="127">
        <f t="shared" si="790"/>
        <v>2398</v>
      </c>
      <c r="G3228" s="127">
        <v>2.6215000000000002</v>
      </c>
      <c r="H3228" s="127">
        <f t="shared" si="791"/>
        <v>3143.1785</v>
      </c>
      <c r="I3228" s="127">
        <f t="shared" si="792"/>
        <v>6286.357</v>
      </c>
      <c r="J3228" s="110">
        <f t="shared" si="793"/>
        <v>91152.176500000016</v>
      </c>
    </row>
    <row r="3229" spans="2:10">
      <c r="B3229" s="585">
        <v>46156</v>
      </c>
      <c r="C3229" s="110" t="s">
        <v>4814</v>
      </c>
      <c r="D3229" s="110">
        <v>2</v>
      </c>
      <c r="E3229" s="110">
        <v>1199</v>
      </c>
      <c r="F3229" s="127">
        <f t="shared" si="790"/>
        <v>2398</v>
      </c>
      <c r="G3229" s="127">
        <v>2.6215000000000002</v>
      </c>
      <c r="H3229" s="127">
        <f t="shared" si="791"/>
        <v>3143.1785</v>
      </c>
      <c r="I3229" s="127">
        <f t="shared" si="792"/>
        <v>6286.357</v>
      </c>
      <c r="J3229" s="110">
        <f t="shared" si="793"/>
        <v>97438.53350000002</v>
      </c>
    </row>
    <row r="3230" spans="2:10">
      <c r="B3230" s="585">
        <v>46156</v>
      </c>
      <c r="C3230" s="110" t="s">
        <v>4814</v>
      </c>
      <c r="D3230" s="110">
        <v>2</v>
      </c>
      <c r="E3230" s="110">
        <v>1199</v>
      </c>
      <c r="F3230" s="127">
        <f t="shared" si="790"/>
        <v>2398</v>
      </c>
      <c r="G3230" s="127">
        <v>2.6215000000000002</v>
      </c>
      <c r="H3230" s="127">
        <f t="shared" si="791"/>
        <v>3143.1785</v>
      </c>
      <c r="I3230" s="127">
        <f t="shared" si="792"/>
        <v>6286.357</v>
      </c>
      <c r="J3230" s="110">
        <f t="shared" si="793"/>
        <v>103724.89050000002</v>
      </c>
    </row>
    <row r="3231" spans="2:10">
      <c r="B3231" s="585">
        <v>46156</v>
      </c>
      <c r="C3231" s="110" t="s">
        <v>4814</v>
      </c>
      <c r="D3231" s="110">
        <v>2</v>
      </c>
      <c r="E3231" s="110">
        <v>1199</v>
      </c>
      <c r="F3231" s="127">
        <f t="shared" si="790"/>
        <v>2398</v>
      </c>
      <c r="G3231" s="127">
        <v>2.6215000000000002</v>
      </c>
      <c r="H3231" s="127">
        <f t="shared" si="791"/>
        <v>3143.1785</v>
      </c>
      <c r="I3231" s="127">
        <f t="shared" si="792"/>
        <v>6286.357</v>
      </c>
      <c r="J3231" s="110">
        <f t="shared" si="793"/>
        <v>110011.24750000003</v>
      </c>
    </row>
    <row r="3232" spans="2:10">
      <c r="B3232" s="585">
        <v>46156</v>
      </c>
      <c r="C3232" s="110" t="s">
        <v>4814</v>
      </c>
      <c r="D3232" s="110">
        <v>2</v>
      </c>
      <c r="E3232" s="110">
        <v>1199</v>
      </c>
      <c r="F3232" s="127">
        <f t="shared" si="790"/>
        <v>2398</v>
      </c>
      <c r="G3232" s="127">
        <v>2.6215000000000002</v>
      </c>
      <c r="H3232" s="127">
        <f t="shared" si="791"/>
        <v>3143.1785</v>
      </c>
      <c r="I3232" s="127">
        <f t="shared" si="792"/>
        <v>6286.357</v>
      </c>
      <c r="J3232" s="110">
        <f t="shared" si="793"/>
        <v>116297.60450000003</v>
      </c>
    </row>
    <row r="3233" spans="1:15">
      <c r="B3233" s="585">
        <v>46156</v>
      </c>
      <c r="C3233" s="110" t="s">
        <v>4818</v>
      </c>
      <c r="D3233" s="110">
        <v>4</v>
      </c>
      <c r="E3233" s="110">
        <v>1199</v>
      </c>
      <c r="F3233" s="127">
        <f t="shared" si="790"/>
        <v>4796</v>
      </c>
      <c r="G3233" s="127">
        <v>2.6215000000000002</v>
      </c>
      <c r="H3233" s="127">
        <f t="shared" si="791"/>
        <v>3143.1785</v>
      </c>
      <c r="I3233" s="127">
        <f t="shared" si="792"/>
        <v>12572.714</v>
      </c>
      <c r="J3233" s="110">
        <f t="shared" si="793"/>
        <v>128870.31850000002</v>
      </c>
    </row>
    <row r="3234" spans="1:15">
      <c r="B3234" s="585">
        <v>46156</v>
      </c>
      <c r="C3234" s="110" t="s">
        <v>4819</v>
      </c>
      <c r="D3234" s="110">
        <v>2</v>
      </c>
      <c r="E3234" s="110">
        <v>1200</v>
      </c>
      <c r="F3234" s="127">
        <f t="shared" si="790"/>
        <v>2400</v>
      </c>
      <c r="G3234" s="127">
        <v>2.6215000000000002</v>
      </c>
      <c r="H3234" s="127">
        <f t="shared" si="791"/>
        <v>3145.8</v>
      </c>
      <c r="I3234" s="127">
        <f t="shared" si="792"/>
        <v>6291.6</v>
      </c>
      <c r="J3234" s="110">
        <f t="shared" si="793"/>
        <v>135161.91850000003</v>
      </c>
    </row>
    <row r="3235" spans="1:15">
      <c r="B3235" s="737">
        <v>46152</v>
      </c>
      <c r="C3235" s="1066" t="s">
        <v>4820</v>
      </c>
      <c r="D3235" s="1006">
        <v>1</v>
      </c>
      <c r="E3235" s="1006">
        <v>400</v>
      </c>
      <c r="F3235" s="735">
        <f t="shared" si="790"/>
        <v>400</v>
      </c>
      <c r="G3235" s="127">
        <v>2.6215000000000002</v>
      </c>
      <c r="H3235" s="735">
        <f t="shared" si="791"/>
        <v>1048.6000000000001</v>
      </c>
      <c r="I3235" s="735">
        <f t="shared" si="792"/>
        <v>1048.6000000000001</v>
      </c>
      <c r="J3235" s="1066">
        <f t="shared" si="793"/>
        <v>136210.51850000003</v>
      </c>
    </row>
    <row r="3236" spans="1:15">
      <c r="B3236" s="735"/>
      <c r="C3236" s="735"/>
      <c r="D3236" s="735"/>
      <c r="E3236" s="735"/>
      <c r="F3236" s="735">
        <f t="shared" si="790"/>
        <v>0</v>
      </c>
      <c r="G3236" s="735"/>
      <c r="H3236" s="735">
        <f t="shared" si="791"/>
        <v>0</v>
      </c>
      <c r="I3236" s="735">
        <f t="shared" si="792"/>
        <v>0</v>
      </c>
      <c r="J3236" s="1066">
        <f t="shared" si="793"/>
        <v>136210.51850000003</v>
      </c>
    </row>
    <row r="3237" spans="1:15">
      <c r="B3237" s="735"/>
      <c r="C3237" s="735"/>
      <c r="D3237" s="735"/>
      <c r="E3237" s="735"/>
      <c r="F3237" s="735">
        <f t="shared" si="790"/>
        <v>0</v>
      </c>
      <c r="G3237" s="735"/>
      <c r="H3237" s="735">
        <f t="shared" si="791"/>
        <v>0</v>
      </c>
      <c r="I3237" s="735">
        <f t="shared" si="792"/>
        <v>0</v>
      </c>
      <c r="J3237" s="1066">
        <f t="shared" si="793"/>
        <v>136210.51850000003</v>
      </c>
    </row>
    <row r="3238" spans="1:15">
      <c r="B3238" s="735"/>
      <c r="C3238" s="735"/>
      <c r="D3238" s="735"/>
      <c r="E3238" s="735"/>
      <c r="F3238" s="735">
        <f t="shared" si="790"/>
        <v>0</v>
      </c>
      <c r="G3238" s="735"/>
      <c r="H3238" s="735">
        <f t="shared" si="791"/>
        <v>0</v>
      </c>
      <c r="I3238" s="735">
        <f t="shared" si="792"/>
        <v>0</v>
      </c>
      <c r="J3238" s="1066">
        <f t="shared" si="793"/>
        <v>136210.51850000003</v>
      </c>
    </row>
    <row r="3239" spans="1:15">
      <c r="B3239" s="735"/>
      <c r="C3239" s="735"/>
      <c r="D3239" s="735"/>
      <c r="E3239" s="735"/>
      <c r="F3239" s="735">
        <f t="shared" si="790"/>
        <v>0</v>
      </c>
      <c r="G3239" s="735"/>
      <c r="H3239" s="735">
        <f t="shared" si="791"/>
        <v>0</v>
      </c>
      <c r="I3239" s="735">
        <f t="shared" si="792"/>
        <v>0</v>
      </c>
      <c r="J3239" s="1066">
        <f t="shared" si="793"/>
        <v>136210.51850000003</v>
      </c>
    </row>
    <row r="3246" spans="1:15" ht="21">
      <c r="A3246" s="1292" t="s">
        <v>125</v>
      </c>
      <c r="B3246" s="1521" t="s">
        <v>20</v>
      </c>
      <c r="C3246" s="1521"/>
      <c r="D3246" s="1521"/>
      <c r="E3246" s="1521"/>
      <c r="F3246" s="1521"/>
      <c r="G3246" s="1521"/>
      <c r="H3246" s="1521"/>
      <c r="I3246" s="1521"/>
      <c r="J3246" s="1521"/>
      <c r="K3246" s="1521"/>
      <c r="L3246" s="1521"/>
      <c r="M3246" s="1521"/>
      <c r="N3246" s="1521"/>
      <c r="O3246" s="1521"/>
    </row>
    <row r="3247" spans="1:15" ht="18.75">
      <c r="A3247" s="1292" t="s">
        <v>212</v>
      </c>
      <c r="B3247" s="226" t="s">
        <v>1</v>
      </c>
      <c r="C3247" s="226" t="s">
        <v>2</v>
      </c>
      <c r="D3247" s="226" t="s">
        <v>444</v>
      </c>
      <c r="E3247" s="226" t="s">
        <v>33</v>
      </c>
      <c r="F3247" s="226" t="s">
        <v>3</v>
      </c>
      <c r="G3247" s="226" t="s">
        <v>445</v>
      </c>
      <c r="H3247" s="226" t="s">
        <v>451</v>
      </c>
      <c r="I3247" s="226" t="s">
        <v>446</v>
      </c>
      <c r="J3247" s="226" t="s">
        <v>447</v>
      </c>
      <c r="K3247" s="226" t="s">
        <v>448</v>
      </c>
      <c r="L3247" s="226" t="s">
        <v>449</v>
      </c>
      <c r="M3247" s="226" t="s">
        <v>450</v>
      </c>
      <c r="N3247" s="226" t="s">
        <v>7</v>
      </c>
      <c r="O3247" s="29"/>
    </row>
    <row r="3248" spans="1:15">
      <c r="B3248" s="737">
        <v>46156</v>
      </c>
      <c r="C3248" s="1066" t="s">
        <v>4821</v>
      </c>
      <c r="D3248" s="735"/>
      <c r="E3248" s="735"/>
      <c r="F3248" s="1066">
        <v>4</v>
      </c>
      <c r="G3248" s="1066">
        <v>2199</v>
      </c>
      <c r="H3248" s="735">
        <v>10</v>
      </c>
      <c r="I3248" s="735">
        <f>G3248*H3248%</f>
        <v>219.9</v>
      </c>
      <c r="J3248" s="1066">
        <f>G3248-I3248</f>
        <v>1979.1</v>
      </c>
      <c r="K3248" s="1066">
        <f>F3248*J3248</f>
        <v>7916.4</v>
      </c>
      <c r="L3248" s="1066">
        <v>2.6215000000000002</v>
      </c>
      <c r="M3248" s="1066">
        <f>J3248*L3248</f>
        <v>5188.21065</v>
      </c>
      <c r="N3248" s="1066">
        <f>F3248*M3248</f>
        <v>20752.8426</v>
      </c>
      <c r="O3248" s="1066">
        <f>O3247+N3248</f>
        <v>20752.8426</v>
      </c>
    </row>
    <row r="3249" spans="1:15" ht="13.5" customHeight="1">
      <c r="B3249" s="735"/>
      <c r="C3249" s="735"/>
      <c r="D3249" s="735"/>
      <c r="E3249" s="735"/>
      <c r="F3249" s="735"/>
      <c r="G3249" s="735"/>
      <c r="H3249" s="735"/>
      <c r="I3249" s="735">
        <f t="shared" ref="I3249" si="794">G3249*H3249%</f>
        <v>0</v>
      </c>
      <c r="J3249" s="1066">
        <f t="shared" ref="J3249" si="795">G3249-I3249</f>
        <v>0</v>
      </c>
      <c r="K3249" s="1066">
        <f t="shared" ref="K3249" si="796">F3249*J3249</f>
        <v>0</v>
      </c>
      <c r="L3249" s="1066"/>
      <c r="M3249" s="1066">
        <f t="shared" ref="M3249" si="797">J3249*L3249</f>
        <v>0</v>
      </c>
      <c r="N3249" s="1066">
        <f t="shared" ref="N3249" si="798">F3249*M3249</f>
        <v>0</v>
      </c>
      <c r="O3249" s="1066">
        <f t="shared" ref="O3249" si="799">O3248+N3249</f>
        <v>20752.8426</v>
      </c>
    </row>
    <row r="3257" spans="1:15" ht="21">
      <c r="A3257" s="1310" t="s">
        <v>125</v>
      </c>
      <c r="B3257" s="1520" t="s">
        <v>35</v>
      </c>
      <c r="C3257" s="1520"/>
      <c r="D3257" s="1520"/>
      <c r="E3257" s="1520"/>
      <c r="F3257" s="1520"/>
      <c r="G3257" s="1520"/>
      <c r="H3257" s="1520"/>
      <c r="I3257" s="1520"/>
      <c r="J3257" s="1520"/>
    </row>
    <row r="3258" spans="1:15" ht="18.75">
      <c r="A3258" s="1310" t="s">
        <v>212</v>
      </c>
      <c r="B3258" s="4" t="s">
        <v>1</v>
      </c>
      <c r="C3258" s="4" t="s">
        <v>2</v>
      </c>
      <c r="D3258" s="4" t="s">
        <v>3</v>
      </c>
      <c r="E3258" s="4" t="s">
        <v>4</v>
      </c>
      <c r="F3258" s="4" t="s">
        <v>36</v>
      </c>
      <c r="G3258" s="4" t="s">
        <v>5</v>
      </c>
      <c r="H3258" s="4" t="s">
        <v>6</v>
      </c>
      <c r="I3258" s="4" t="s">
        <v>7</v>
      </c>
      <c r="J3258" s="4"/>
    </row>
    <row r="3259" spans="1:15">
      <c r="B3259" s="737">
        <v>46158</v>
      </c>
      <c r="C3259" s="1066" t="s">
        <v>5010</v>
      </c>
      <c r="D3259" s="1066">
        <v>1</v>
      </c>
      <c r="E3259" s="1066">
        <v>17999</v>
      </c>
      <c r="F3259" s="735">
        <f>E3259*D3259</f>
        <v>17999</v>
      </c>
      <c r="G3259" s="1124">
        <v>2.2000000000000002</v>
      </c>
      <c r="H3259" s="735">
        <f>E3259*G3259</f>
        <v>39597.800000000003</v>
      </c>
      <c r="I3259" s="735">
        <f>H3259*D3259</f>
        <v>39597.800000000003</v>
      </c>
      <c r="J3259" s="1066">
        <f>J3258+I3259</f>
        <v>39597.800000000003</v>
      </c>
    </row>
    <row r="3260" spans="1:15">
      <c r="B3260" s="737">
        <v>46158</v>
      </c>
      <c r="C3260" s="1066" t="s">
        <v>5011</v>
      </c>
      <c r="D3260" s="1066">
        <v>40</v>
      </c>
      <c r="E3260" s="1066">
        <v>143</v>
      </c>
      <c r="F3260" s="735">
        <f t="shared" ref="F3260:F3267" si="800">E3260*D3260</f>
        <v>5720</v>
      </c>
      <c r="G3260" s="1124">
        <v>2.2000000000000002</v>
      </c>
      <c r="H3260" s="735">
        <f t="shared" ref="H3260:H3267" si="801">E3260*G3260</f>
        <v>314.60000000000002</v>
      </c>
      <c r="I3260" s="735">
        <f t="shared" ref="I3260:I3267" si="802">H3260*D3260</f>
        <v>12584</v>
      </c>
      <c r="J3260" s="1066">
        <f t="shared" ref="J3260:J3267" si="803">J3259+I3260</f>
        <v>52181.8</v>
      </c>
    </row>
    <row r="3261" spans="1:15">
      <c r="B3261" s="737">
        <v>46158</v>
      </c>
      <c r="C3261" s="1066" t="s">
        <v>5011</v>
      </c>
      <c r="D3261" s="1066">
        <v>40</v>
      </c>
      <c r="E3261" s="1066">
        <v>143</v>
      </c>
      <c r="F3261" s="735">
        <f t="shared" si="800"/>
        <v>5720</v>
      </c>
      <c r="G3261" s="1124">
        <v>2.2000000000000002</v>
      </c>
      <c r="H3261" s="735">
        <f t="shared" si="801"/>
        <v>314.60000000000002</v>
      </c>
      <c r="I3261" s="735">
        <f t="shared" si="802"/>
        <v>12584</v>
      </c>
      <c r="J3261" s="1066">
        <f t="shared" si="803"/>
        <v>64765.8</v>
      </c>
    </row>
    <row r="3262" spans="1:15">
      <c r="B3262" s="737">
        <v>46160</v>
      </c>
      <c r="C3262" s="1066" t="s">
        <v>5012</v>
      </c>
      <c r="D3262" s="1066">
        <v>4</v>
      </c>
      <c r="E3262" s="1066">
        <v>1579</v>
      </c>
      <c r="F3262" s="735">
        <f t="shared" si="800"/>
        <v>6316</v>
      </c>
      <c r="G3262" s="1124">
        <v>2.2000000000000002</v>
      </c>
      <c r="H3262" s="735">
        <f t="shared" si="801"/>
        <v>3473.8</v>
      </c>
      <c r="I3262" s="735">
        <f t="shared" si="802"/>
        <v>13895.2</v>
      </c>
      <c r="J3262" s="1066">
        <f t="shared" si="803"/>
        <v>78661</v>
      </c>
    </row>
    <row r="3263" spans="1:15">
      <c r="B3263" s="737">
        <v>46162</v>
      </c>
      <c r="C3263" s="1066" t="s">
        <v>5013</v>
      </c>
      <c r="D3263" s="1066">
        <v>8</v>
      </c>
      <c r="E3263" s="1066">
        <v>143</v>
      </c>
      <c r="F3263" s="735">
        <f t="shared" si="800"/>
        <v>1144</v>
      </c>
      <c r="G3263" s="1124">
        <v>2.2000000000000002</v>
      </c>
      <c r="H3263" s="735">
        <f t="shared" si="801"/>
        <v>314.60000000000002</v>
      </c>
      <c r="I3263" s="735">
        <f t="shared" si="802"/>
        <v>2516.8000000000002</v>
      </c>
      <c r="J3263" s="1066">
        <f t="shared" si="803"/>
        <v>81177.8</v>
      </c>
    </row>
    <row r="3264" spans="1:15">
      <c r="B3264" s="735"/>
      <c r="C3264" s="735"/>
      <c r="D3264" s="735"/>
      <c r="E3264" s="735"/>
      <c r="F3264" s="735">
        <f t="shared" si="800"/>
        <v>0</v>
      </c>
      <c r="G3264" s="735"/>
      <c r="H3264" s="735">
        <f t="shared" si="801"/>
        <v>0</v>
      </c>
      <c r="I3264" s="735">
        <f t="shared" si="802"/>
        <v>0</v>
      </c>
      <c r="J3264" s="1066">
        <f t="shared" si="803"/>
        <v>81177.8</v>
      </c>
    </row>
    <row r="3265" spans="1:10">
      <c r="B3265" s="735"/>
      <c r="C3265" s="735"/>
      <c r="D3265" s="735"/>
      <c r="E3265" s="735"/>
      <c r="F3265" s="735">
        <f t="shared" si="800"/>
        <v>0</v>
      </c>
      <c r="G3265" s="735"/>
      <c r="H3265" s="735">
        <f t="shared" si="801"/>
        <v>0</v>
      </c>
      <c r="I3265" s="735">
        <f t="shared" si="802"/>
        <v>0</v>
      </c>
      <c r="J3265" s="1066">
        <f t="shared" si="803"/>
        <v>81177.8</v>
      </c>
    </row>
    <row r="3266" spans="1:10">
      <c r="B3266" s="735"/>
      <c r="C3266" s="735"/>
      <c r="D3266" s="735"/>
      <c r="E3266" s="735"/>
      <c r="F3266" s="735">
        <f t="shared" si="800"/>
        <v>0</v>
      </c>
      <c r="G3266" s="735"/>
      <c r="H3266" s="735">
        <f t="shared" si="801"/>
        <v>0</v>
      </c>
      <c r="I3266" s="735">
        <f t="shared" si="802"/>
        <v>0</v>
      </c>
      <c r="J3266" s="1066">
        <f t="shared" si="803"/>
        <v>81177.8</v>
      </c>
    </row>
    <row r="3267" spans="1:10">
      <c r="B3267" s="735"/>
      <c r="C3267" s="735"/>
      <c r="D3267" s="735"/>
      <c r="E3267" s="735"/>
      <c r="F3267" s="735">
        <f t="shared" si="800"/>
        <v>0</v>
      </c>
      <c r="G3267" s="735"/>
      <c r="H3267" s="735">
        <f t="shared" si="801"/>
        <v>0</v>
      </c>
      <c r="I3267" s="735">
        <f t="shared" si="802"/>
        <v>0</v>
      </c>
      <c r="J3267" s="1066">
        <f t="shared" si="803"/>
        <v>81177.8</v>
      </c>
    </row>
    <row r="3275" spans="1:10" ht="21">
      <c r="A3275" s="1310" t="s">
        <v>125</v>
      </c>
      <c r="B3275" s="1520" t="s">
        <v>20</v>
      </c>
      <c r="C3275" s="1520"/>
      <c r="D3275" s="1520"/>
      <c r="E3275" s="1520"/>
      <c r="F3275" s="1520"/>
      <c r="G3275" s="1520"/>
      <c r="H3275" s="1520"/>
      <c r="I3275" s="1520"/>
      <c r="J3275" s="1520"/>
    </row>
    <row r="3276" spans="1:10" ht="18.75">
      <c r="A3276" s="1310" t="s">
        <v>212</v>
      </c>
      <c r="B3276" s="4" t="s">
        <v>1</v>
      </c>
      <c r="C3276" s="4" t="s">
        <v>2</v>
      </c>
      <c r="D3276" s="4" t="s">
        <v>3</v>
      </c>
      <c r="E3276" s="4" t="s">
        <v>4</v>
      </c>
      <c r="F3276" s="4" t="s">
        <v>36</v>
      </c>
      <c r="G3276" s="4" t="s">
        <v>5</v>
      </c>
      <c r="H3276" s="4" t="s">
        <v>6</v>
      </c>
      <c r="I3276" s="4" t="s">
        <v>7</v>
      </c>
      <c r="J3276" s="4"/>
    </row>
    <row r="3277" spans="1:10">
      <c r="B3277" s="737">
        <v>46157</v>
      </c>
      <c r="C3277" s="1066" t="s">
        <v>5015</v>
      </c>
      <c r="D3277" s="1066">
        <v>2</v>
      </c>
      <c r="E3277" s="613">
        <v>1199</v>
      </c>
      <c r="F3277" s="735">
        <f>E3277*D3277</f>
        <v>2398</v>
      </c>
      <c r="G3277" s="735">
        <v>2.5863</v>
      </c>
      <c r="H3277" s="735">
        <f>E3277*G3277</f>
        <v>3100.9737</v>
      </c>
      <c r="I3277" s="735">
        <f>H3277*D3277</f>
        <v>6201.9474</v>
      </c>
      <c r="J3277" s="1066">
        <f>J3276+I3277</f>
        <v>6201.9474</v>
      </c>
    </row>
    <row r="3278" spans="1:10">
      <c r="B3278" s="737">
        <v>46159</v>
      </c>
      <c r="C3278" s="1066" t="s">
        <v>5016</v>
      </c>
      <c r="D3278" s="1066">
        <v>1</v>
      </c>
      <c r="E3278" s="613">
        <v>1199</v>
      </c>
      <c r="F3278" s="735">
        <f t="shared" ref="F3278:F3285" si="804">E3278*D3278</f>
        <v>1199</v>
      </c>
      <c r="G3278" s="735">
        <v>2.5863</v>
      </c>
      <c r="H3278" s="735">
        <f t="shared" ref="H3278:H3285" si="805">E3278*G3278</f>
        <v>3100.9737</v>
      </c>
      <c r="I3278" s="735">
        <f t="shared" ref="I3278:I3285" si="806">H3278*D3278</f>
        <v>3100.9737</v>
      </c>
      <c r="J3278" s="1066">
        <f t="shared" ref="J3278:J3285" si="807">J3277+I3278</f>
        <v>9302.9210999999996</v>
      </c>
    </row>
    <row r="3279" spans="1:10">
      <c r="B3279" s="737">
        <v>46159</v>
      </c>
      <c r="C3279" s="1066" t="s">
        <v>5017</v>
      </c>
      <c r="D3279" s="1066">
        <v>2</v>
      </c>
      <c r="E3279" s="613">
        <v>1199</v>
      </c>
      <c r="F3279" s="735">
        <f t="shared" si="804"/>
        <v>2398</v>
      </c>
      <c r="G3279" s="735">
        <v>2.5863</v>
      </c>
      <c r="H3279" s="735">
        <f t="shared" si="805"/>
        <v>3100.9737</v>
      </c>
      <c r="I3279" s="735">
        <f t="shared" si="806"/>
        <v>6201.9474</v>
      </c>
      <c r="J3279" s="1066">
        <f t="shared" si="807"/>
        <v>15504.8685</v>
      </c>
    </row>
    <row r="3280" spans="1:10">
      <c r="B3280" s="737">
        <v>46159</v>
      </c>
      <c r="C3280" s="1066" t="s">
        <v>5018</v>
      </c>
      <c r="D3280" s="1066">
        <v>1</v>
      </c>
      <c r="E3280" s="613">
        <v>1199</v>
      </c>
      <c r="F3280" s="735">
        <f t="shared" si="804"/>
        <v>1199</v>
      </c>
      <c r="G3280" s="735">
        <v>2.5863</v>
      </c>
      <c r="H3280" s="735">
        <f t="shared" si="805"/>
        <v>3100.9737</v>
      </c>
      <c r="I3280" s="735">
        <f t="shared" si="806"/>
        <v>3100.9737</v>
      </c>
      <c r="J3280" s="1066">
        <f t="shared" si="807"/>
        <v>18605.842199999999</v>
      </c>
    </row>
    <row r="3281" spans="2:10">
      <c r="B3281" s="737">
        <v>46160</v>
      </c>
      <c r="C3281" s="1066" t="s">
        <v>5303</v>
      </c>
      <c r="D3281" s="1066">
        <v>7</v>
      </c>
      <c r="E3281" s="613">
        <v>1200</v>
      </c>
      <c r="F3281" s="735">
        <f t="shared" si="804"/>
        <v>8400</v>
      </c>
      <c r="G3281" s="735">
        <v>2.5863</v>
      </c>
      <c r="H3281" s="735">
        <f t="shared" si="805"/>
        <v>3103.56</v>
      </c>
      <c r="I3281" s="735">
        <f t="shared" si="806"/>
        <v>21724.92</v>
      </c>
      <c r="J3281" s="1066">
        <f t="shared" si="807"/>
        <v>40330.762199999997</v>
      </c>
    </row>
    <row r="3282" spans="2:10">
      <c r="B3282" s="585">
        <v>46160</v>
      </c>
      <c r="C3282" s="110" t="s">
        <v>5019</v>
      </c>
      <c r="D3282" s="110">
        <v>4</v>
      </c>
      <c r="E3282" s="184">
        <v>1199</v>
      </c>
      <c r="F3282" s="127">
        <f t="shared" si="804"/>
        <v>4796</v>
      </c>
      <c r="G3282" s="735">
        <v>2.5863</v>
      </c>
      <c r="H3282" s="127">
        <f t="shared" si="805"/>
        <v>3100.9737</v>
      </c>
      <c r="I3282" s="127">
        <f t="shared" si="806"/>
        <v>12403.8948</v>
      </c>
      <c r="J3282" s="110">
        <f t="shared" si="807"/>
        <v>52734.656999999999</v>
      </c>
    </row>
    <row r="3283" spans="2:10">
      <c r="B3283" s="585">
        <v>46160</v>
      </c>
      <c r="C3283" s="110" t="s">
        <v>5020</v>
      </c>
      <c r="D3283" s="110">
        <v>2</v>
      </c>
      <c r="E3283" s="184">
        <v>1199</v>
      </c>
      <c r="F3283" s="127">
        <f t="shared" si="804"/>
        <v>2398</v>
      </c>
      <c r="G3283" s="735">
        <v>2.5863</v>
      </c>
      <c r="H3283" s="127">
        <f t="shared" si="805"/>
        <v>3100.9737</v>
      </c>
      <c r="I3283" s="127">
        <f t="shared" si="806"/>
        <v>6201.9474</v>
      </c>
      <c r="J3283" s="110">
        <f t="shared" si="807"/>
        <v>58936.604399999997</v>
      </c>
    </row>
    <row r="3284" spans="2:10">
      <c r="B3284" s="1207">
        <v>46161</v>
      </c>
      <c r="C3284" s="250" t="s">
        <v>5021</v>
      </c>
      <c r="D3284" s="250">
        <v>2</v>
      </c>
      <c r="E3284" s="252">
        <v>1199</v>
      </c>
      <c r="F3284" s="127">
        <f t="shared" si="804"/>
        <v>2398</v>
      </c>
      <c r="G3284" s="735">
        <v>2.5863</v>
      </c>
      <c r="H3284" s="127">
        <f t="shared" si="805"/>
        <v>3100.9737</v>
      </c>
      <c r="I3284" s="127">
        <f t="shared" si="806"/>
        <v>6201.9474</v>
      </c>
      <c r="J3284" s="110">
        <f t="shared" si="807"/>
        <v>65138.551799999994</v>
      </c>
    </row>
    <row r="3285" spans="2:10">
      <c r="B3285" s="585">
        <v>46161</v>
      </c>
      <c r="C3285" s="110" t="s">
        <v>5021</v>
      </c>
      <c r="D3285" s="110">
        <v>2</v>
      </c>
      <c r="E3285" s="184">
        <v>1199</v>
      </c>
      <c r="F3285" s="127">
        <f t="shared" si="804"/>
        <v>2398</v>
      </c>
      <c r="G3285" s="735">
        <v>2.5863</v>
      </c>
      <c r="H3285" s="127">
        <f t="shared" si="805"/>
        <v>3100.9737</v>
      </c>
      <c r="I3285" s="127">
        <f t="shared" si="806"/>
        <v>6201.9474</v>
      </c>
      <c r="J3285" s="110">
        <f t="shared" si="807"/>
        <v>71340.499199999991</v>
      </c>
    </row>
    <row r="3286" spans="2:10">
      <c r="B3286" s="585">
        <v>46161</v>
      </c>
      <c r="C3286" s="110" t="s">
        <v>5021</v>
      </c>
      <c r="D3286" s="110">
        <v>2</v>
      </c>
      <c r="E3286" s="184">
        <v>1199</v>
      </c>
      <c r="F3286" s="127">
        <f t="shared" ref="F3286:F3291" si="808">E3286*D3286</f>
        <v>2398</v>
      </c>
      <c r="G3286" s="735">
        <v>2.5863</v>
      </c>
      <c r="H3286" s="127">
        <f t="shared" ref="H3286:H3291" si="809">E3286*G3286</f>
        <v>3100.9737</v>
      </c>
      <c r="I3286" s="127">
        <f t="shared" ref="I3286:I3291" si="810">H3286*D3286</f>
        <v>6201.9474</v>
      </c>
      <c r="J3286" s="110">
        <f t="shared" ref="J3286:J3291" si="811">J3285+I3286</f>
        <v>77542.446599999996</v>
      </c>
    </row>
    <row r="3287" spans="2:10">
      <c r="B3287" s="737">
        <v>46161</v>
      </c>
      <c r="C3287" s="1066" t="s">
        <v>5020</v>
      </c>
      <c r="D3287" s="1066">
        <v>2</v>
      </c>
      <c r="E3287" s="613">
        <v>1199</v>
      </c>
      <c r="F3287" s="735">
        <f t="shared" si="808"/>
        <v>2398</v>
      </c>
      <c r="G3287" s="735">
        <v>2.5863</v>
      </c>
      <c r="H3287" s="735">
        <f t="shared" si="809"/>
        <v>3100.9737</v>
      </c>
      <c r="I3287" s="735">
        <f t="shared" si="810"/>
        <v>6201.9474</v>
      </c>
      <c r="J3287" s="1066">
        <f t="shared" si="811"/>
        <v>83744.394</v>
      </c>
    </row>
    <row r="3288" spans="2:10">
      <c r="B3288" s="737">
        <v>46161</v>
      </c>
      <c r="C3288" s="1066" t="s">
        <v>5020</v>
      </c>
      <c r="D3288" s="1066">
        <v>2</v>
      </c>
      <c r="E3288" s="613">
        <v>1199</v>
      </c>
      <c r="F3288" s="735">
        <f t="shared" si="808"/>
        <v>2398</v>
      </c>
      <c r="G3288" s="735">
        <v>2.5863</v>
      </c>
      <c r="H3288" s="735">
        <f t="shared" si="809"/>
        <v>3100.9737</v>
      </c>
      <c r="I3288" s="735">
        <f t="shared" si="810"/>
        <v>6201.9474</v>
      </c>
      <c r="J3288" s="1066">
        <f t="shared" si="811"/>
        <v>89946.341400000005</v>
      </c>
    </row>
    <row r="3289" spans="2:10">
      <c r="B3289" s="737">
        <v>46161</v>
      </c>
      <c r="C3289" s="1066" t="s">
        <v>5020</v>
      </c>
      <c r="D3289" s="1066">
        <v>2</v>
      </c>
      <c r="E3289" s="613">
        <v>1199</v>
      </c>
      <c r="F3289" s="735">
        <f t="shared" si="808"/>
        <v>2398</v>
      </c>
      <c r="G3289" s="735">
        <v>2.5863</v>
      </c>
      <c r="H3289" s="735">
        <f t="shared" si="809"/>
        <v>3100.9737</v>
      </c>
      <c r="I3289" s="735">
        <f t="shared" si="810"/>
        <v>6201.9474</v>
      </c>
      <c r="J3289" s="1066">
        <f t="shared" si="811"/>
        <v>96148.288800000009</v>
      </c>
    </row>
    <row r="3290" spans="2:10">
      <c r="B3290" s="594">
        <v>46157</v>
      </c>
      <c r="C3290" s="296" t="s">
        <v>5014</v>
      </c>
      <c r="D3290" s="296">
        <v>1</v>
      </c>
      <c r="E3290" s="595">
        <v>8926.7000000000007</v>
      </c>
      <c r="F3290" s="596">
        <f t="shared" si="808"/>
        <v>8926.7000000000007</v>
      </c>
      <c r="G3290" s="596"/>
      <c r="H3290" s="596">
        <f t="shared" si="809"/>
        <v>0</v>
      </c>
      <c r="I3290" s="596">
        <f t="shared" si="810"/>
        <v>0</v>
      </c>
      <c r="J3290" s="296">
        <f t="shared" si="811"/>
        <v>96148.288800000009</v>
      </c>
    </row>
    <row r="3291" spans="2:10">
      <c r="B3291" s="735"/>
      <c r="C3291" s="735"/>
      <c r="D3291" s="735"/>
      <c r="E3291" s="735"/>
      <c r="F3291" s="735">
        <f t="shared" si="808"/>
        <v>0</v>
      </c>
      <c r="G3291" s="735"/>
      <c r="H3291" s="735">
        <f t="shared" si="809"/>
        <v>0</v>
      </c>
      <c r="I3291" s="735">
        <f t="shared" si="810"/>
        <v>0</v>
      </c>
      <c r="J3291" s="1066">
        <f t="shared" si="811"/>
        <v>96148.288800000009</v>
      </c>
    </row>
    <row r="3299" spans="1:10" ht="21">
      <c r="A3299" s="1310" t="s">
        <v>125</v>
      </c>
      <c r="B3299" s="1520" t="s">
        <v>20</v>
      </c>
      <c r="C3299" s="1520"/>
      <c r="D3299" s="1520"/>
      <c r="E3299" s="1520"/>
      <c r="F3299" s="1520"/>
      <c r="G3299" s="1520"/>
      <c r="H3299" s="1520"/>
      <c r="I3299" s="1520"/>
      <c r="J3299" s="1520"/>
    </row>
    <row r="3300" spans="1:10" ht="18.75">
      <c r="A3300" s="1310" t="s">
        <v>212</v>
      </c>
      <c r="B3300" s="4" t="s">
        <v>1</v>
      </c>
      <c r="C3300" s="4" t="s">
        <v>2</v>
      </c>
      <c r="D3300" s="4" t="s">
        <v>3</v>
      </c>
      <c r="E3300" s="4" t="s">
        <v>4</v>
      </c>
      <c r="F3300" s="4" t="s">
        <v>36</v>
      </c>
      <c r="G3300" s="4" t="s">
        <v>5</v>
      </c>
      <c r="H3300" s="4" t="s">
        <v>6</v>
      </c>
      <c r="I3300" s="4" t="s">
        <v>7</v>
      </c>
      <c r="J3300" s="4"/>
    </row>
    <row r="3301" spans="1:10">
      <c r="B3301" s="583">
        <v>46162</v>
      </c>
      <c r="C3301" s="1064" t="s">
        <v>4812</v>
      </c>
      <c r="D3301" s="1064">
        <v>5</v>
      </c>
      <c r="E3301" s="533">
        <v>1199</v>
      </c>
      <c r="F3301" s="735">
        <f>E3301*D3301</f>
        <v>5995</v>
      </c>
      <c r="G3301" s="735">
        <v>2.5971000000000002</v>
      </c>
      <c r="H3301" s="735">
        <f>E3301*G3301</f>
        <v>3113.9229</v>
      </c>
      <c r="I3301" s="735">
        <f>H3301*D3301</f>
        <v>15569.6145</v>
      </c>
      <c r="J3301" s="1066">
        <f>J3300+I3301</f>
        <v>15569.6145</v>
      </c>
    </row>
    <row r="3302" spans="1:10">
      <c r="B3302" s="737">
        <v>46162</v>
      </c>
      <c r="C3302" s="1066" t="s">
        <v>4681</v>
      </c>
      <c r="D3302" s="1066">
        <v>3</v>
      </c>
      <c r="E3302" s="613">
        <v>1897</v>
      </c>
      <c r="F3302" s="735">
        <f t="shared" ref="F3302:F3309" si="812">E3302*D3302</f>
        <v>5691</v>
      </c>
      <c r="G3302" s="735">
        <v>2.5971000000000002</v>
      </c>
      <c r="H3302" s="735">
        <f t="shared" ref="H3302:H3309" si="813">E3302*G3302</f>
        <v>4926.6986999999999</v>
      </c>
      <c r="I3302" s="735">
        <f t="shared" ref="I3302:I3309" si="814">H3302*D3302</f>
        <v>14780.096099999999</v>
      </c>
      <c r="J3302" s="1066">
        <f t="shared" ref="J3302:J3309" si="815">J3301+I3302</f>
        <v>30349.710599999999</v>
      </c>
    </row>
    <row r="3303" spans="1:10">
      <c r="B3303" s="737">
        <v>46162</v>
      </c>
      <c r="C3303" s="1066" t="s">
        <v>5023</v>
      </c>
      <c r="D3303" s="1066">
        <v>3</v>
      </c>
      <c r="E3303" s="613">
        <v>105</v>
      </c>
      <c r="F3303" s="735">
        <f t="shared" si="812"/>
        <v>315</v>
      </c>
      <c r="G3303" s="735">
        <v>2.5971000000000002</v>
      </c>
      <c r="H3303" s="735">
        <f t="shared" si="813"/>
        <v>272.69550000000004</v>
      </c>
      <c r="I3303" s="735">
        <f t="shared" si="814"/>
        <v>818.08650000000011</v>
      </c>
      <c r="J3303" s="1066">
        <f t="shared" si="815"/>
        <v>31167.7971</v>
      </c>
    </row>
    <row r="3304" spans="1:10">
      <c r="B3304" s="737">
        <v>46162</v>
      </c>
      <c r="C3304" s="1066" t="s">
        <v>4681</v>
      </c>
      <c r="D3304" s="1066">
        <v>3</v>
      </c>
      <c r="E3304" s="613">
        <v>1897</v>
      </c>
      <c r="F3304" s="735">
        <f t="shared" si="812"/>
        <v>5691</v>
      </c>
      <c r="G3304" s="735">
        <v>2.5971000000000002</v>
      </c>
      <c r="H3304" s="735">
        <f t="shared" si="813"/>
        <v>4926.6986999999999</v>
      </c>
      <c r="I3304" s="735">
        <f t="shared" si="814"/>
        <v>14780.096099999999</v>
      </c>
      <c r="J3304" s="1066">
        <f t="shared" si="815"/>
        <v>45947.893199999999</v>
      </c>
    </row>
    <row r="3305" spans="1:10">
      <c r="B3305" s="737">
        <v>46162</v>
      </c>
      <c r="C3305" s="1066" t="s">
        <v>4681</v>
      </c>
      <c r="D3305" s="1066">
        <v>2</v>
      </c>
      <c r="E3305" s="613">
        <v>1897</v>
      </c>
      <c r="F3305" s="735">
        <f t="shared" si="812"/>
        <v>3794</v>
      </c>
      <c r="G3305" s="735">
        <v>2.5971000000000002</v>
      </c>
      <c r="H3305" s="735">
        <f t="shared" si="813"/>
        <v>4926.6986999999999</v>
      </c>
      <c r="I3305" s="735">
        <f t="shared" si="814"/>
        <v>9853.3973999999998</v>
      </c>
      <c r="J3305" s="1066">
        <f t="shared" si="815"/>
        <v>55801.2906</v>
      </c>
    </row>
    <row r="3306" spans="1:10">
      <c r="B3306" s="585">
        <v>46162</v>
      </c>
      <c r="C3306" s="110" t="s">
        <v>5024</v>
      </c>
      <c r="D3306" s="110">
        <v>3</v>
      </c>
      <c r="E3306" s="184">
        <v>549</v>
      </c>
      <c r="F3306" s="127">
        <f t="shared" si="812"/>
        <v>1647</v>
      </c>
      <c r="G3306" s="735">
        <v>2.5971000000000002</v>
      </c>
      <c r="H3306" s="127">
        <f t="shared" si="813"/>
        <v>1425.8079</v>
      </c>
      <c r="I3306" s="127">
        <f t="shared" si="814"/>
        <v>4277.4237000000003</v>
      </c>
      <c r="J3306" s="110">
        <f t="shared" si="815"/>
        <v>60078.7143</v>
      </c>
    </row>
    <row r="3307" spans="1:10">
      <c r="B3307" s="585">
        <v>46162</v>
      </c>
      <c r="C3307" s="110" t="s">
        <v>5024</v>
      </c>
      <c r="D3307" s="110">
        <v>1</v>
      </c>
      <c r="E3307" s="184">
        <v>549</v>
      </c>
      <c r="F3307" s="127">
        <f t="shared" si="812"/>
        <v>549</v>
      </c>
      <c r="G3307" s="735">
        <v>2.5971000000000002</v>
      </c>
      <c r="H3307" s="127">
        <f t="shared" si="813"/>
        <v>1425.8079</v>
      </c>
      <c r="I3307" s="127">
        <f t="shared" si="814"/>
        <v>1425.8079</v>
      </c>
      <c r="J3307" s="110">
        <f t="shared" si="815"/>
        <v>61504.522199999999</v>
      </c>
    </row>
    <row r="3308" spans="1:10">
      <c r="B3308" s="737">
        <v>46162</v>
      </c>
      <c r="C3308" s="1066" t="s">
        <v>4683</v>
      </c>
      <c r="D3308" s="1066">
        <v>2</v>
      </c>
      <c r="E3308" s="613">
        <v>1897</v>
      </c>
      <c r="F3308" s="735">
        <f t="shared" si="812"/>
        <v>3794</v>
      </c>
      <c r="G3308" s="735">
        <v>2.5971000000000002</v>
      </c>
      <c r="H3308" s="735">
        <f t="shared" si="813"/>
        <v>4926.6986999999999</v>
      </c>
      <c r="I3308" s="735">
        <f t="shared" si="814"/>
        <v>9853.3973999999998</v>
      </c>
      <c r="J3308" s="1066">
        <f t="shared" si="815"/>
        <v>71357.919599999994</v>
      </c>
    </row>
    <row r="3309" spans="1:10">
      <c r="B3309" s="737">
        <v>46162</v>
      </c>
      <c r="C3309" s="1066" t="s">
        <v>5025</v>
      </c>
      <c r="D3309" s="1066">
        <v>19</v>
      </c>
      <c r="E3309" s="613">
        <v>105</v>
      </c>
      <c r="F3309" s="735">
        <f t="shared" si="812"/>
        <v>1995</v>
      </c>
      <c r="G3309" s="735">
        <v>2.5971000000000002</v>
      </c>
      <c r="H3309" s="735">
        <f t="shared" si="813"/>
        <v>272.69550000000004</v>
      </c>
      <c r="I3309" s="735">
        <f t="shared" si="814"/>
        <v>5181.214500000001</v>
      </c>
      <c r="J3309" s="1066">
        <f t="shared" si="815"/>
        <v>76539.134099999996</v>
      </c>
    </row>
    <row r="3310" spans="1:10">
      <c r="B3310" s="737">
        <v>46162</v>
      </c>
      <c r="C3310" s="1066" t="s">
        <v>5026</v>
      </c>
      <c r="D3310" s="1066">
        <v>2</v>
      </c>
      <c r="E3310" s="613">
        <v>1298</v>
      </c>
      <c r="F3310" s="735">
        <f t="shared" ref="F3310:F3316" si="816">E3310*D3310</f>
        <v>2596</v>
      </c>
      <c r="G3310" s="735">
        <v>2.5971000000000002</v>
      </c>
      <c r="H3310" s="735">
        <f t="shared" ref="H3310:H3316" si="817">E3310*G3310</f>
        <v>3371.0358000000001</v>
      </c>
      <c r="I3310" s="735">
        <f t="shared" ref="I3310:I3319" si="818">H3310*D3310</f>
        <v>6742.0716000000002</v>
      </c>
      <c r="J3310" s="1066">
        <f t="shared" ref="J3310:J3319" si="819">J3309+I3310</f>
        <v>83281.205699999991</v>
      </c>
    </row>
    <row r="3311" spans="1:10">
      <c r="B3311" s="585">
        <v>46163</v>
      </c>
      <c r="C3311" s="110" t="s">
        <v>5020</v>
      </c>
      <c r="D3311" s="110">
        <v>2</v>
      </c>
      <c r="E3311" s="184">
        <v>1199</v>
      </c>
      <c r="F3311" s="127">
        <f t="shared" si="816"/>
        <v>2398</v>
      </c>
      <c r="G3311" s="735">
        <v>2.5971000000000002</v>
      </c>
      <c r="H3311" s="127">
        <f t="shared" si="817"/>
        <v>3113.9229</v>
      </c>
      <c r="I3311" s="735">
        <f t="shared" si="818"/>
        <v>6227.8458000000001</v>
      </c>
      <c r="J3311" s="1066">
        <f t="shared" si="819"/>
        <v>89509.051499999987</v>
      </c>
    </row>
    <row r="3312" spans="1:10">
      <c r="B3312" s="585">
        <v>46163</v>
      </c>
      <c r="C3312" s="110" t="s">
        <v>5020</v>
      </c>
      <c r="D3312" s="110">
        <v>2</v>
      </c>
      <c r="E3312" s="184">
        <v>1199</v>
      </c>
      <c r="F3312" s="127">
        <f t="shared" si="816"/>
        <v>2398</v>
      </c>
      <c r="G3312" s="735">
        <v>2.5971000000000002</v>
      </c>
      <c r="H3312" s="127">
        <f t="shared" si="817"/>
        <v>3113.9229</v>
      </c>
      <c r="I3312" s="735">
        <f t="shared" si="818"/>
        <v>6227.8458000000001</v>
      </c>
      <c r="J3312" s="1066">
        <f t="shared" si="819"/>
        <v>95736.897299999982</v>
      </c>
    </row>
    <row r="3313" spans="1:10">
      <c r="B3313" s="585">
        <v>46163</v>
      </c>
      <c r="C3313" s="110" t="s">
        <v>5020</v>
      </c>
      <c r="D3313" s="110">
        <v>2</v>
      </c>
      <c r="E3313" s="184">
        <v>1199</v>
      </c>
      <c r="F3313" s="127">
        <f t="shared" si="816"/>
        <v>2398</v>
      </c>
      <c r="G3313" s="735">
        <v>2.5971000000000002</v>
      </c>
      <c r="H3313" s="127">
        <f t="shared" si="817"/>
        <v>3113.9229</v>
      </c>
      <c r="I3313" s="735">
        <f t="shared" si="818"/>
        <v>6227.8458000000001</v>
      </c>
      <c r="J3313" s="1066">
        <f t="shared" si="819"/>
        <v>101964.74309999998</v>
      </c>
    </row>
    <row r="3314" spans="1:10">
      <c r="B3314" s="585">
        <v>46163</v>
      </c>
      <c r="C3314" s="250" t="s">
        <v>5021</v>
      </c>
      <c r="D3314" s="250">
        <v>2</v>
      </c>
      <c r="E3314" s="252">
        <v>1199</v>
      </c>
      <c r="F3314" s="127">
        <f t="shared" si="816"/>
        <v>2398</v>
      </c>
      <c r="G3314" s="735">
        <v>2.5971000000000002</v>
      </c>
      <c r="H3314" s="127">
        <f t="shared" si="817"/>
        <v>3113.9229</v>
      </c>
      <c r="I3314" s="735">
        <f t="shared" si="818"/>
        <v>6227.8458000000001</v>
      </c>
      <c r="J3314" s="1066">
        <f t="shared" si="819"/>
        <v>108192.58889999997</v>
      </c>
    </row>
    <row r="3315" spans="1:10">
      <c r="B3315" s="585">
        <v>46163</v>
      </c>
      <c r="C3315" s="110" t="s">
        <v>5021</v>
      </c>
      <c r="D3315" s="110">
        <v>2</v>
      </c>
      <c r="E3315" s="184">
        <v>1199</v>
      </c>
      <c r="F3315" s="127">
        <f t="shared" si="816"/>
        <v>2398</v>
      </c>
      <c r="G3315" s="735">
        <v>2.5971000000000002</v>
      </c>
      <c r="H3315" s="127">
        <f t="shared" si="817"/>
        <v>3113.9229</v>
      </c>
      <c r="I3315" s="735">
        <f t="shared" si="818"/>
        <v>6227.8458000000001</v>
      </c>
      <c r="J3315" s="1066">
        <f t="shared" si="819"/>
        <v>114420.43469999997</v>
      </c>
    </row>
    <row r="3316" spans="1:10">
      <c r="B3316" s="585">
        <v>46163</v>
      </c>
      <c r="C3316" s="110" t="s">
        <v>5021</v>
      </c>
      <c r="D3316" s="110">
        <v>2</v>
      </c>
      <c r="E3316" s="184">
        <v>1199</v>
      </c>
      <c r="F3316" s="127">
        <f t="shared" si="816"/>
        <v>2398</v>
      </c>
      <c r="G3316" s="735">
        <v>2.5971000000000002</v>
      </c>
      <c r="H3316" s="127">
        <f t="shared" si="817"/>
        <v>3113.9229</v>
      </c>
      <c r="I3316" s="735">
        <f t="shared" si="818"/>
        <v>6227.8458000000001</v>
      </c>
      <c r="J3316" s="1066">
        <f t="shared" si="819"/>
        <v>120648.28049999996</v>
      </c>
    </row>
    <row r="3317" spans="1:10">
      <c r="B3317" s="737">
        <v>46165</v>
      </c>
      <c r="C3317" s="1066" t="s">
        <v>5303</v>
      </c>
      <c r="D3317" s="1066">
        <v>4</v>
      </c>
      <c r="E3317" s="613">
        <v>1199</v>
      </c>
      <c r="F3317" s="735">
        <f t="shared" ref="F3317:F3318" si="820">E3317*D3317</f>
        <v>4796</v>
      </c>
      <c r="G3317" s="735">
        <v>2.5971000000000002</v>
      </c>
      <c r="H3317" s="735">
        <f t="shared" ref="H3317:H3318" si="821">E3317*G3317</f>
        <v>3113.9229</v>
      </c>
      <c r="I3317" s="735">
        <f t="shared" si="818"/>
        <v>12455.6916</v>
      </c>
      <c r="J3317" s="1066">
        <f t="shared" si="819"/>
        <v>133103.97209999996</v>
      </c>
    </row>
    <row r="3318" spans="1:10">
      <c r="B3318" s="737">
        <v>46165</v>
      </c>
      <c r="C3318" s="1066" t="s">
        <v>5027</v>
      </c>
      <c r="D3318" s="1066">
        <v>4</v>
      </c>
      <c r="E3318" s="613">
        <v>1897</v>
      </c>
      <c r="F3318" s="735">
        <f t="shared" si="820"/>
        <v>7588</v>
      </c>
      <c r="G3318" s="735">
        <v>2.5971000000000002</v>
      </c>
      <c r="H3318" s="735">
        <f t="shared" si="821"/>
        <v>4926.6986999999999</v>
      </c>
      <c r="I3318" s="735">
        <f t="shared" si="818"/>
        <v>19706.7948</v>
      </c>
      <c r="J3318" s="1066">
        <f t="shared" si="819"/>
        <v>152810.76689999996</v>
      </c>
    </row>
    <row r="3319" spans="1:10">
      <c r="B3319" s="594">
        <v>46163</v>
      </c>
      <c r="C3319" s="296" t="s">
        <v>5022</v>
      </c>
      <c r="D3319" s="296">
        <v>1</v>
      </c>
      <c r="E3319" s="595">
        <v>457</v>
      </c>
      <c r="F3319" s="596">
        <f>E3319*D3319</f>
        <v>457</v>
      </c>
      <c r="G3319" s="596">
        <v>2.5971000000000002</v>
      </c>
      <c r="H3319" s="596">
        <f>E3319*G3319</f>
        <v>1186.8747000000001</v>
      </c>
      <c r="I3319" s="596">
        <f t="shared" si="818"/>
        <v>1186.8747000000001</v>
      </c>
      <c r="J3319" s="296">
        <f t="shared" si="819"/>
        <v>153997.64159999994</v>
      </c>
    </row>
    <row r="3326" spans="1:10" ht="21">
      <c r="A3326" s="1324" t="s">
        <v>125</v>
      </c>
      <c r="B3326" s="1520" t="s">
        <v>5085</v>
      </c>
      <c r="C3326" s="1520"/>
      <c r="D3326" s="1520"/>
      <c r="E3326" s="1520"/>
      <c r="F3326" s="1520"/>
      <c r="G3326" s="1520"/>
      <c r="H3326" s="1520"/>
      <c r="I3326" s="1520"/>
      <c r="J3326" s="1520"/>
    </row>
    <row r="3327" spans="1:10" ht="18.75">
      <c r="A3327" s="1324" t="s">
        <v>212</v>
      </c>
      <c r="B3327" s="4" t="s">
        <v>1</v>
      </c>
      <c r="C3327" s="4" t="s">
        <v>2</v>
      </c>
      <c r="D3327" s="4" t="s">
        <v>3</v>
      </c>
      <c r="E3327" s="4" t="s">
        <v>4</v>
      </c>
      <c r="F3327" s="4" t="s">
        <v>36</v>
      </c>
      <c r="G3327" s="4" t="s">
        <v>5</v>
      </c>
      <c r="H3327" s="4" t="s">
        <v>6</v>
      </c>
      <c r="I3327" s="4" t="s">
        <v>7</v>
      </c>
      <c r="J3327" s="4"/>
    </row>
    <row r="3328" spans="1:10">
      <c r="B3328" s="1344">
        <v>46167</v>
      </c>
      <c r="C3328" s="1345" t="s">
        <v>5086</v>
      </c>
      <c r="D3328" s="1346">
        <v>1</v>
      </c>
      <c r="E3328" s="1346">
        <v>1249</v>
      </c>
      <c r="F3328" s="1347">
        <f>E3328*D3328</f>
        <v>1249</v>
      </c>
      <c r="G3328" s="1348">
        <v>2.5859000000000001</v>
      </c>
      <c r="H3328" s="1348">
        <f>E3328*G3328</f>
        <v>3229.7891</v>
      </c>
      <c r="I3328" s="1348">
        <f>H3328*D3328</f>
        <v>3229.7891</v>
      </c>
      <c r="J3328" s="538">
        <f>J3327+I3328</f>
        <v>3229.7891</v>
      </c>
    </row>
    <row r="3329" spans="2:10">
      <c r="B3329" s="1349">
        <v>46167</v>
      </c>
      <c r="C3329" s="1350" t="s">
        <v>5087</v>
      </c>
      <c r="D3329" s="1351">
        <v>3</v>
      </c>
      <c r="E3329" s="1351">
        <v>1199</v>
      </c>
      <c r="F3329" s="1347">
        <f t="shared" ref="F3329:F3336" si="822">E3329*D3329</f>
        <v>3597</v>
      </c>
      <c r="G3329" s="1348">
        <v>2.5859000000000001</v>
      </c>
      <c r="H3329" s="1348">
        <f t="shared" ref="H3329:H3336" si="823">E3329*G3329</f>
        <v>3100.4940999999999</v>
      </c>
      <c r="I3329" s="1348">
        <f t="shared" ref="I3329:I3336" si="824">H3329*D3329</f>
        <v>9301.4822999999997</v>
      </c>
      <c r="J3329" s="538">
        <f t="shared" ref="J3329:J3336" si="825">J3328+I3329</f>
        <v>12531.2714</v>
      </c>
    </row>
    <row r="3330" spans="2:10">
      <c r="B3330" s="1344">
        <v>46167</v>
      </c>
      <c r="C3330" s="1345" t="s">
        <v>5088</v>
      </c>
      <c r="D3330" s="1346">
        <v>4</v>
      </c>
      <c r="E3330" s="1346">
        <v>1199</v>
      </c>
      <c r="F3330" s="1347">
        <f t="shared" si="822"/>
        <v>4796</v>
      </c>
      <c r="G3330" s="1348">
        <v>2.5859000000000001</v>
      </c>
      <c r="H3330" s="1348">
        <f t="shared" si="823"/>
        <v>3100.4940999999999</v>
      </c>
      <c r="I3330" s="1348">
        <f t="shared" si="824"/>
        <v>12401.9764</v>
      </c>
      <c r="J3330" s="538">
        <f t="shared" si="825"/>
        <v>24933.247799999997</v>
      </c>
    </row>
    <row r="3331" spans="2:10">
      <c r="B3331" s="1349">
        <v>46167</v>
      </c>
      <c r="C3331" s="1350" t="s">
        <v>5089</v>
      </c>
      <c r="D3331" s="1351">
        <v>2</v>
      </c>
      <c r="E3331" s="1351">
        <v>1199</v>
      </c>
      <c r="F3331" s="1347">
        <f t="shared" si="822"/>
        <v>2398</v>
      </c>
      <c r="G3331" s="1348">
        <v>2.5859000000000001</v>
      </c>
      <c r="H3331" s="1348">
        <f t="shared" si="823"/>
        <v>3100.4940999999999</v>
      </c>
      <c r="I3331" s="1348">
        <f t="shared" si="824"/>
        <v>6200.9881999999998</v>
      </c>
      <c r="J3331" s="538">
        <f t="shared" si="825"/>
        <v>31134.235999999997</v>
      </c>
    </row>
    <row r="3332" spans="2:10">
      <c r="B3332" s="1344">
        <v>46167</v>
      </c>
      <c r="C3332" s="1345" t="s">
        <v>5090</v>
      </c>
      <c r="D3332" s="1346">
        <v>5</v>
      </c>
      <c r="E3332" s="1346">
        <v>1199</v>
      </c>
      <c r="F3332" s="1347">
        <f t="shared" si="822"/>
        <v>5995</v>
      </c>
      <c r="G3332" s="1348">
        <v>2.5859000000000001</v>
      </c>
      <c r="H3332" s="1348">
        <f t="shared" si="823"/>
        <v>3100.4940999999999</v>
      </c>
      <c r="I3332" s="1348">
        <f t="shared" si="824"/>
        <v>15502.470499999999</v>
      </c>
      <c r="J3332" s="538">
        <f t="shared" si="825"/>
        <v>46636.7065</v>
      </c>
    </row>
    <row r="3333" spans="2:10">
      <c r="B3333" s="1349">
        <v>46167</v>
      </c>
      <c r="C3333" s="1350" t="s">
        <v>5091</v>
      </c>
      <c r="D3333" s="1351">
        <v>3</v>
      </c>
      <c r="E3333" s="1351">
        <v>1199</v>
      </c>
      <c r="F3333" s="1347">
        <f t="shared" si="822"/>
        <v>3597</v>
      </c>
      <c r="G3333" s="1348">
        <v>2.5859000000000001</v>
      </c>
      <c r="H3333" s="1348">
        <f t="shared" si="823"/>
        <v>3100.4940999999999</v>
      </c>
      <c r="I3333" s="1348">
        <f t="shared" si="824"/>
        <v>9301.4822999999997</v>
      </c>
      <c r="J3333" s="538">
        <f t="shared" si="825"/>
        <v>55938.188800000004</v>
      </c>
    </row>
    <row r="3334" spans="2:10">
      <c r="B3334" s="1344">
        <v>46167</v>
      </c>
      <c r="C3334" s="1345" t="s">
        <v>5092</v>
      </c>
      <c r="D3334" s="1346">
        <v>2</v>
      </c>
      <c r="E3334" s="1346">
        <v>394</v>
      </c>
      <c r="F3334" s="1347">
        <f t="shared" si="822"/>
        <v>788</v>
      </c>
      <c r="G3334" s="1348">
        <v>2.5859000000000001</v>
      </c>
      <c r="H3334" s="1348">
        <f t="shared" si="823"/>
        <v>1018.8446</v>
      </c>
      <c r="I3334" s="1348">
        <f t="shared" si="824"/>
        <v>2037.6892</v>
      </c>
      <c r="J3334" s="538">
        <f t="shared" si="825"/>
        <v>57975.878000000004</v>
      </c>
    </row>
    <row r="3335" spans="2:10">
      <c r="B3335" s="1349">
        <v>46167</v>
      </c>
      <c r="C3335" s="1350" t="s">
        <v>5093</v>
      </c>
      <c r="D3335" s="1351">
        <v>1</v>
      </c>
      <c r="E3335" s="1351">
        <v>394</v>
      </c>
      <c r="F3335" s="1347">
        <f t="shared" si="822"/>
        <v>394</v>
      </c>
      <c r="G3335" s="1348">
        <v>2.5859000000000001</v>
      </c>
      <c r="H3335" s="1348">
        <f t="shared" si="823"/>
        <v>1018.8446</v>
      </c>
      <c r="I3335" s="1348">
        <f t="shared" si="824"/>
        <v>1018.8446</v>
      </c>
      <c r="J3335" s="538">
        <f t="shared" si="825"/>
        <v>58994.722600000001</v>
      </c>
    </row>
    <row r="3336" spans="2:10">
      <c r="B3336" s="1344">
        <v>46168</v>
      </c>
      <c r="C3336" s="1345" t="s">
        <v>5094</v>
      </c>
      <c r="D3336" s="1346">
        <v>4</v>
      </c>
      <c r="E3336" s="1346">
        <v>1199</v>
      </c>
      <c r="F3336" s="1347">
        <f t="shared" si="822"/>
        <v>4796</v>
      </c>
      <c r="G3336" s="1348">
        <v>2.5859000000000001</v>
      </c>
      <c r="H3336" s="1348">
        <f t="shared" si="823"/>
        <v>3100.4940999999999</v>
      </c>
      <c r="I3336" s="1348">
        <f t="shared" si="824"/>
        <v>12401.9764</v>
      </c>
      <c r="J3336" s="538">
        <f t="shared" si="825"/>
        <v>71396.698999999993</v>
      </c>
    </row>
    <row r="3337" spans="2:10">
      <c r="B3337" s="1349">
        <v>46168</v>
      </c>
      <c r="C3337" s="1350" t="s">
        <v>5095</v>
      </c>
      <c r="D3337" s="1351">
        <v>6</v>
      </c>
      <c r="E3337" s="1351">
        <v>1199</v>
      </c>
      <c r="F3337" s="1347">
        <f t="shared" ref="F3337:F3342" si="826">E3337*D3337</f>
        <v>7194</v>
      </c>
      <c r="G3337" s="1348">
        <v>2.5859000000000001</v>
      </c>
      <c r="H3337" s="1348">
        <f t="shared" ref="H3337:H3342" si="827">E3337*G3337</f>
        <v>3100.4940999999999</v>
      </c>
      <c r="I3337" s="1348">
        <f t="shared" ref="I3337:I3342" si="828">H3337*D3337</f>
        <v>18602.964599999999</v>
      </c>
      <c r="J3337" s="538">
        <f t="shared" ref="J3337:J3342" si="829">J3336+I3337</f>
        <v>89999.6636</v>
      </c>
    </row>
    <row r="3338" spans="2:10">
      <c r="B3338" s="1344">
        <v>46168</v>
      </c>
      <c r="C3338" s="1345" t="s">
        <v>5096</v>
      </c>
      <c r="D3338" s="1346">
        <v>5</v>
      </c>
      <c r="E3338" s="1346">
        <v>1199</v>
      </c>
      <c r="F3338" s="1347">
        <f t="shared" si="826"/>
        <v>5995</v>
      </c>
      <c r="G3338" s="1348">
        <v>2.5859000000000001</v>
      </c>
      <c r="H3338" s="1348">
        <f t="shared" si="827"/>
        <v>3100.4940999999999</v>
      </c>
      <c r="I3338" s="1348">
        <f t="shared" si="828"/>
        <v>15502.470499999999</v>
      </c>
      <c r="J3338" s="538">
        <f t="shared" si="829"/>
        <v>105502.1341</v>
      </c>
    </row>
    <row r="3339" spans="2:10">
      <c r="B3339" s="1349">
        <v>46168</v>
      </c>
      <c r="C3339" s="1350" t="s">
        <v>5097</v>
      </c>
      <c r="D3339" s="1351">
        <v>7</v>
      </c>
      <c r="E3339" s="1351">
        <v>359</v>
      </c>
      <c r="F3339" s="1347">
        <f t="shared" si="826"/>
        <v>2513</v>
      </c>
      <c r="G3339" s="1348">
        <v>2.5859000000000001</v>
      </c>
      <c r="H3339" s="1348">
        <f t="shared" si="827"/>
        <v>928.33810000000005</v>
      </c>
      <c r="I3339" s="1348">
        <f t="shared" si="828"/>
        <v>6498.3667000000005</v>
      </c>
      <c r="J3339" s="538">
        <f t="shared" si="829"/>
        <v>112000.50079999999</v>
      </c>
    </row>
    <row r="3340" spans="2:10">
      <c r="B3340" s="1344">
        <v>46168</v>
      </c>
      <c r="C3340" s="1345" t="s">
        <v>5098</v>
      </c>
      <c r="D3340" s="1346">
        <v>1</v>
      </c>
      <c r="E3340" s="1346">
        <v>95</v>
      </c>
      <c r="F3340" s="1347">
        <f t="shared" si="826"/>
        <v>95</v>
      </c>
      <c r="G3340" s="1348">
        <v>2.5859000000000001</v>
      </c>
      <c r="H3340" s="1348">
        <f t="shared" si="827"/>
        <v>245.66050000000001</v>
      </c>
      <c r="I3340" s="1348">
        <f t="shared" si="828"/>
        <v>245.66050000000001</v>
      </c>
      <c r="J3340" s="538">
        <f t="shared" si="829"/>
        <v>112246.16129999999</v>
      </c>
    </row>
    <row r="3341" spans="2:10">
      <c r="B3341" s="1344">
        <v>46171</v>
      </c>
      <c r="C3341" s="1345" t="s">
        <v>5099</v>
      </c>
      <c r="D3341" s="1346">
        <v>4</v>
      </c>
      <c r="E3341" s="1346">
        <v>1199</v>
      </c>
      <c r="F3341" s="1347">
        <f t="shared" si="826"/>
        <v>4796</v>
      </c>
      <c r="G3341" s="1348">
        <v>2.5859000000000001</v>
      </c>
      <c r="H3341" s="1348">
        <f t="shared" si="827"/>
        <v>3100.4940999999999</v>
      </c>
      <c r="I3341" s="1348">
        <f t="shared" si="828"/>
        <v>12401.9764</v>
      </c>
      <c r="J3341" s="538">
        <f t="shared" si="829"/>
        <v>124648.13769999999</v>
      </c>
    </row>
    <row r="3342" spans="2:10">
      <c r="B3342" s="1349">
        <v>46171</v>
      </c>
      <c r="C3342" s="1350" t="s">
        <v>5100</v>
      </c>
      <c r="D3342" s="1351">
        <v>2</v>
      </c>
      <c r="E3342" s="1351">
        <v>1199</v>
      </c>
      <c r="F3342" s="1347">
        <f t="shared" si="826"/>
        <v>2398</v>
      </c>
      <c r="G3342" s="1348">
        <v>2.5859000000000001</v>
      </c>
      <c r="H3342" s="1348">
        <f t="shared" si="827"/>
        <v>3100.4940999999999</v>
      </c>
      <c r="I3342" s="1348">
        <f t="shared" si="828"/>
        <v>6200.9881999999998</v>
      </c>
      <c r="J3342" s="538">
        <f t="shared" si="829"/>
        <v>130849.12589999998</v>
      </c>
    </row>
    <row r="3343" spans="2:10">
      <c r="B3343" s="1344">
        <v>46171</v>
      </c>
      <c r="C3343" s="1345" t="s">
        <v>5101</v>
      </c>
      <c r="D3343" s="1346">
        <v>4</v>
      </c>
      <c r="E3343" s="1346">
        <v>1199</v>
      </c>
      <c r="F3343" s="1347">
        <f t="shared" ref="F3343:F3346" si="830">E3343*D3343</f>
        <v>4796</v>
      </c>
      <c r="G3343" s="1348">
        <v>2.5859000000000001</v>
      </c>
      <c r="H3343" s="1348">
        <f t="shared" ref="H3343:H3346" si="831">E3343*G3343</f>
        <v>3100.4940999999999</v>
      </c>
      <c r="I3343" s="1348">
        <f t="shared" ref="I3343:I3346" si="832">H3343*D3343</f>
        <v>12401.9764</v>
      </c>
      <c r="J3343" s="538">
        <f t="shared" ref="J3343:J3346" si="833">J3342+I3343</f>
        <v>143251.10229999997</v>
      </c>
    </row>
    <row r="3344" spans="2:10">
      <c r="B3344" s="1349">
        <v>46171</v>
      </c>
      <c r="C3344" s="1350" t="s">
        <v>5102</v>
      </c>
      <c r="D3344" s="1351">
        <v>5</v>
      </c>
      <c r="E3344" s="1351">
        <v>1199</v>
      </c>
      <c r="F3344" s="1347">
        <f t="shared" si="830"/>
        <v>5995</v>
      </c>
      <c r="G3344" s="1348">
        <v>2.5859000000000001</v>
      </c>
      <c r="H3344" s="1348">
        <f t="shared" si="831"/>
        <v>3100.4940999999999</v>
      </c>
      <c r="I3344" s="1348">
        <f t="shared" si="832"/>
        <v>15502.470499999999</v>
      </c>
      <c r="J3344" s="538">
        <f t="shared" si="833"/>
        <v>158753.57279999997</v>
      </c>
    </row>
    <row r="3345" spans="1:10">
      <c r="B3345" s="1344">
        <v>46171</v>
      </c>
      <c r="C3345" s="1345" t="s">
        <v>5103</v>
      </c>
      <c r="D3345" s="1346">
        <v>2</v>
      </c>
      <c r="E3345" s="1346">
        <v>399</v>
      </c>
      <c r="F3345" s="1347">
        <f t="shared" si="830"/>
        <v>798</v>
      </c>
      <c r="G3345" s="1348">
        <v>2.5859000000000001</v>
      </c>
      <c r="H3345" s="1348">
        <f t="shared" si="831"/>
        <v>1031.7741000000001</v>
      </c>
      <c r="I3345" s="1348">
        <f t="shared" si="832"/>
        <v>2063.5482000000002</v>
      </c>
      <c r="J3345" s="538">
        <f t="shared" si="833"/>
        <v>160817.12099999996</v>
      </c>
    </row>
    <row r="3346" spans="1:10">
      <c r="B3346" s="1349">
        <v>46171</v>
      </c>
      <c r="C3346" s="1350" t="s">
        <v>5104</v>
      </c>
      <c r="D3346" s="1351">
        <v>3</v>
      </c>
      <c r="E3346" s="1351">
        <v>357</v>
      </c>
      <c r="F3346" s="1347">
        <f t="shared" si="830"/>
        <v>1071</v>
      </c>
      <c r="G3346" s="1348">
        <v>2.5859000000000001</v>
      </c>
      <c r="H3346" s="1348">
        <f t="shared" si="831"/>
        <v>923.16629999999998</v>
      </c>
      <c r="I3346" s="1348">
        <f t="shared" si="832"/>
        <v>2769.4989</v>
      </c>
      <c r="J3346" s="538">
        <f t="shared" si="833"/>
        <v>163586.61989999996</v>
      </c>
    </row>
    <row r="3347" spans="1:10">
      <c r="B3347" s="1352">
        <v>46168</v>
      </c>
      <c r="C3347" s="1353" t="s">
        <v>5105</v>
      </c>
      <c r="D3347" s="1354">
        <v>1</v>
      </c>
      <c r="E3347" s="1355">
        <v>86.5</v>
      </c>
      <c r="F3347" s="1356">
        <f t="shared" ref="F3347:F3348" si="834">E3347*D3347</f>
        <v>86.5</v>
      </c>
      <c r="G3347" s="1354">
        <v>2.5859000000000001</v>
      </c>
      <c r="H3347" s="1354">
        <f t="shared" ref="H3347:H3348" si="835">E3347*G3347</f>
        <v>223.68035</v>
      </c>
      <c r="I3347" s="1354">
        <f t="shared" ref="I3347:I3348" si="836">H3347*D3347</f>
        <v>223.68035</v>
      </c>
      <c r="J3347" s="1357">
        <f t="shared" ref="J3347:J3348" si="837">J3346+I3347</f>
        <v>163810.30024999997</v>
      </c>
    </row>
    <row r="3348" spans="1:10">
      <c r="B3348" s="1352">
        <v>46171</v>
      </c>
      <c r="C3348" s="1353" t="s">
        <v>5106</v>
      </c>
      <c r="D3348" s="1354">
        <v>1</v>
      </c>
      <c r="E3348" s="1355">
        <v>80.91</v>
      </c>
      <c r="F3348" s="1356">
        <f t="shared" si="834"/>
        <v>80.91</v>
      </c>
      <c r="G3348" s="1354">
        <v>2.5859000000000001</v>
      </c>
      <c r="H3348" s="1354">
        <f t="shared" si="835"/>
        <v>209.22516899999999</v>
      </c>
      <c r="I3348" s="1354">
        <f t="shared" si="836"/>
        <v>209.22516899999999</v>
      </c>
      <c r="J3348" s="1357">
        <f t="shared" si="837"/>
        <v>164019.52541899998</v>
      </c>
    </row>
    <row r="3355" spans="1:10" ht="21">
      <c r="A3355" s="1324" t="s">
        <v>125</v>
      </c>
      <c r="B3355" s="1520" t="s">
        <v>5085</v>
      </c>
      <c r="C3355" s="1520"/>
      <c r="D3355" s="1520"/>
      <c r="E3355" s="1520"/>
      <c r="F3355" s="1520"/>
      <c r="G3355" s="1520"/>
      <c r="H3355" s="1520"/>
      <c r="I3355" s="1520"/>
      <c r="J3355" s="1520"/>
    </row>
    <row r="3356" spans="1:10" ht="18.75">
      <c r="A3356" s="1324" t="s">
        <v>212</v>
      </c>
      <c r="B3356" s="4" t="s">
        <v>1</v>
      </c>
      <c r="C3356" s="4" t="s">
        <v>2</v>
      </c>
      <c r="D3356" s="4" t="s">
        <v>3</v>
      </c>
      <c r="E3356" s="4" t="s">
        <v>4</v>
      </c>
      <c r="F3356" s="4" t="s">
        <v>36</v>
      </c>
      <c r="G3356" s="4" t="s">
        <v>5</v>
      </c>
      <c r="H3356" s="4" t="s">
        <v>6</v>
      </c>
      <c r="I3356" s="4" t="s">
        <v>7</v>
      </c>
      <c r="J3356" s="4"/>
    </row>
    <row r="3357" spans="1:10">
      <c r="B3357" s="1336">
        <v>46174</v>
      </c>
      <c r="C3357" s="1337" t="s">
        <v>5107</v>
      </c>
      <c r="D3357" s="1343">
        <v>2</v>
      </c>
      <c r="E3357" s="1343">
        <v>1199</v>
      </c>
      <c r="F3357" s="735">
        <f>E3357*D3357</f>
        <v>2398</v>
      </c>
      <c r="G3357" s="735">
        <v>2.5979999999999999</v>
      </c>
      <c r="H3357" s="735">
        <f>E3357*G3357</f>
        <v>3115.002</v>
      </c>
      <c r="I3357" s="735">
        <f>H3357*D3357</f>
        <v>6230.0039999999999</v>
      </c>
      <c r="J3357" s="1066">
        <f>J3356+I3357</f>
        <v>6230.0039999999999</v>
      </c>
    </row>
    <row r="3358" spans="1:10">
      <c r="B3358" s="1334">
        <v>46174</v>
      </c>
      <c r="C3358" s="1335" t="s">
        <v>5108</v>
      </c>
      <c r="D3358" s="1342">
        <v>4</v>
      </c>
      <c r="E3358" s="1342">
        <v>1199</v>
      </c>
      <c r="F3358" s="735">
        <f t="shared" ref="F3358:F3362" si="838">E3358*D3358</f>
        <v>4796</v>
      </c>
      <c r="G3358" s="735">
        <v>2.5979999999999999</v>
      </c>
      <c r="H3358" s="735">
        <f t="shared" ref="H3358:H3362" si="839">E3358*G3358</f>
        <v>3115.002</v>
      </c>
      <c r="I3358" s="735">
        <f t="shared" ref="I3358:I3362" si="840">H3358*D3358</f>
        <v>12460.008</v>
      </c>
      <c r="J3358" s="1066">
        <f t="shared" ref="J3358:J3362" si="841">J3357+I3358</f>
        <v>18690.011999999999</v>
      </c>
    </row>
    <row r="3359" spans="1:10">
      <c r="B3359" s="1336">
        <v>46174</v>
      </c>
      <c r="C3359" s="1337" t="s">
        <v>5109</v>
      </c>
      <c r="D3359" s="1343">
        <v>1</v>
      </c>
      <c r="E3359" s="1343">
        <v>1199</v>
      </c>
      <c r="F3359" s="735">
        <f t="shared" si="838"/>
        <v>1199</v>
      </c>
      <c r="G3359" s="735">
        <v>2.5979999999999999</v>
      </c>
      <c r="H3359" s="735">
        <f t="shared" si="839"/>
        <v>3115.002</v>
      </c>
      <c r="I3359" s="735">
        <f t="shared" si="840"/>
        <v>3115.002</v>
      </c>
      <c r="J3359" s="1066">
        <f t="shared" si="841"/>
        <v>21805.013999999999</v>
      </c>
    </row>
    <row r="3360" spans="1:10">
      <c r="B3360" s="1334">
        <v>46175</v>
      </c>
      <c r="C3360" s="1335" t="s">
        <v>5110</v>
      </c>
      <c r="D3360" s="1342">
        <v>3</v>
      </c>
      <c r="E3360" s="1342">
        <v>1199</v>
      </c>
      <c r="F3360" s="735">
        <f t="shared" si="838"/>
        <v>3597</v>
      </c>
      <c r="G3360" s="735">
        <v>2.5979999999999999</v>
      </c>
      <c r="H3360" s="735">
        <f>E3360*G3360</f>
        <v>3115.002</v>
      </c>
      <c r="I3360" s="735">
        <f t="shared" si="840"/>
        <v>9345.0059999999994</v>
      </c>
      <c r="J3360" s="1066">
        <f t="shared" si="841"/>
        <v>31150.019999999997</v>
      </c>
    </row>
    <row r="3361" spans="1:10">
      <c r="B3361" s="1336">
        <v>46175</v>
      </c>
      <c r="C3361" s="1337" t="s">
        <v>5111</v>
      </c>
      <c r="D3361" s="1343">
        <v>2</v>
      </c>
      <c r="E3361" s="1343">
        <v>1199</v>
      </c>
      <c r="F3361" s="735">
        <f t="shared" si="838"/>
        <v>2398</v>
      </c>
      <c r="G3361" s="735">
        <v>2.5979999999999999</v>
      </c>
      <c r="H3361" s="735">
        <f>E3361*G3361</f>
        <v>3115.002</v>
      </c>
      <c r="I3361" s="735">
        <f t="shared" si="840"/>
        <v>6230.0039999999999</v>
      </c>
      <c r="J3361" s="1066">
        <f t="shared" si="841"/>
        <v>37380.023999999998</v>
      </c>
    </row>
    <row r="3362" spans="1:10">
      <c r="B3362" s="384"/>
      <c r="C3362" s="384"/>
      <c r="D3362" s="384"/>
      <c r="E3362" s="384"/>
      <c r="F3362" s="384">
        <f t="shared" si="838"/>
        <v>0</v>
      </c>
      <c r="G3362" s="384"/>
      <c r="H3362" s="384">
        <f t="shared" si="839"/>
        <v>0</v>
      </c>
      <c r="I3362" s="384">
        <f t="shared" si="840"/>
        <v>0</v>
      </c>
      <c r="J3362" s="284">
        <f t="shared" si="841"/>
        <v>37380.023999999998</v>
      </c>
    </row>
    <row r="3367" spans="1:10" ht="21">
      <c r="A3367" s="1324" t="s">
        <v>125</v>
      </c>
      <c r="B3367" s="1520" t="s">
        <v>5085</v>
      </c>
      <c r="C3367" s="1520"/>
      <c r="D3367" s="1520"/>
      <c r="E3367" s="1520"/>
      <c r="F3367" s="1520"/>
      <c r="G3367" s="1520"/>
      <c r="H3367" s="1520"/>
      <c r="I3367" s="1520"/>
      <c r="J3367" s="1520"/>
    </row>
    <row r="3368" spans="1:10" ht="18.75">
      <c r="A3368" s="1324" t="s">
        <v>212</v>
      </c>
      <c r="B3368" s="4" t="s">
        <v>1</v>
      </c>
      <c r="C3368" s="4" t="s">
        <v>2</v>
      </c>
      <c r="D3368" s="4" t="s">
        <v>3</v>
      </c>
      <c r="E3368" s="4" t="s">
        <v>4</v>
      </c>
      <c r="F3368" s="4" t="s">
        <v>36</v>
      </c>
      <c r="G3368" s="4" t="s">
        <v>5</v>
      </c>
      <c r="H3368" s="4" t="s">
        <v>6</v>
      </c>
      <c r="I3368" s="4" t="s">
        <v>7</v>
      </c>
      <c r="J3368" s="4"/>
    </row>
    <row r="3369" spans="1:10">
      <c r="B3369" s="1358">
        <v>46176</v>
      </c>
      <c r="C3369" s="1359" t="s">
        <v>5113</v>
      </c>
      <c r="D3369" s="1360">
        <v>2</v>
      </c>
      <c r="E3369" s="1360">
        <v>1199</v>
      </c>
      <c r="F3369" s="1361">
        <f>E3369*D3369</f>
        <v>2398</v>
      </c>
      <c r="G3369" s="127">
        <v>2.5979999999999999</v>
      </c>
      <c r="H3369" s="127">
        <f>E3369*G3369</f>
        <v>3115.002</v>
      </c>
      <c r="I3369" s="127">
        <f>H3369*D3369</f>
        <v>6230.0039999999999</v>
      </c>
      <c r="J3369" s="110">
        <f>J3368+I3369</f>
        <v>6230.0039999999999</v>
      </c>
    </row>
    <row r="3370" spans="1:10">
      <c r="B3370" s="1358">
        <v>46176</v>
      </c>
      <c r="C3370" s="1359" t="s">
        <v>5114</v>
      </c>
      <c r="D3370" s="1360">
        <v>4</v>
      </c>
      <c r="E3370" s="1360">
        <v>1199</v>
      </c>
      <c r="F3370" s="1361">
        <f t="shared" ref="F3370:F3377" si="842">E3370*D3370</f>
        <v>4796</v>
      </c>
      <c r="G3370" s="127">
        <v>2.5979999999999999</v>
      </c>
      <c r="H3370" s="127">
        <f t="shared" ref="H3370:H3377" si="843">E3370*G3370</f>
        <v>3115.002</v>
      </c>
      <c r="I3370" s="127">
        <f t="shared" ref="I3370:I3377" si="844">H3370*D3370</f>
        <v>12460.008</v>
      </c>
      <c r="J3370" s="110">
        <f t="shared" ref="J3370:J3377" si="845">J3369+I3370</f>
        <v>18690.011999999999</v>
      </c>
    </row>
    <row r="3371" spans="1:10">
      <c r="B3371" s="1334">
        <v>46177</v>
      </c>
      <c r="C3371" s="1335" t="s">
        <v>5088</v>
      </c>
      <c r="D3371" s="1342">
        <v>6</v>
      </c>
      <c r="E3371" s="1342">
        <v>1199</v>
      </c>
      <c r="F3371" s="629">
        <f t="shared" si="842"/>
        <v>7194</v>
      </c>
      <c r="G3371" s="735">
        <v>2.5979999999999999</v>
      </c>
      <c r="H3371" s="735">
        <f t="shared" si="843"/>
        <v>3115.002</v>
      </c>
      <c r="I3371" s="735">
        <f t="shared" si="844"/>
        <v>18690.011999999999</v>
      </c>
      <c r="J3371" s="1066">
        <f t="shared" si="845"/>
        <v>37380.023999999998</v>
      </c>
    </row>
    <row r="3372" spans="1:10">
      <c r="B3372" s="1336">
        <v>46177</v>
      </c>
      <c r="C3372" s="1337" t="s">
        <v>5091</v>
      </c>
      <c r="D3372" s="1343">
        <v>5</v>
      </c>
      <c r="E3372" s="1343">
        <v>1199</v>
      </c>
      <c r="F3372" s="629">
        <f t="shared" si="842"/>
        <v>5995</v>
      </c>
      <c r="G3372" s="735">
        <v>2.5979999999999999</v>
      </c>
      <c r="H3372" s="735">
        <f t="shared" si="843"/>
        <v>3115.002</v>
      </c>
      <c r="I3372" s="735">
        <f t="shared" si="844"/>
        <v>15575.01</v>
      </c>
      <c r="J3372" s="1066">
        <f t="shared" si="845"/>
        <v>52955.034</v>
      </c>
    </row>
    <row r="3373" spans="1:10">
      <c r="B3373" s="1336">
        <v>46177</v>
      </c>
      <c r="C3373" s="1337" t="s">
        <v>5090</v>
      </c>
      <c r="D3373" s="1343">
        <v>4</v>
      </c>
      <c r="E3373" s="1343">
        <v>1199</v>
      </c>
      <c r="F3373" s="629">
        <f t="shared" si="842"/>
        <v>4796</v>
      </c>
      <c r="G3373" s="735">
        <v>2.5979999999999999</v>
      </c>
      <c r="H3373" s="735">
        <f t="shared" si="843"/>
        <v>3115.002</v>
      </c>
      <c r="I3373" s="735">
        <f t="shared" si="844"/>
        <v>12460.008</v>
      </c>
      <c r="J3373" s="1066">
        <f t="shared" si="845"/>
        <v>65415.042000000001</v>
      </c>
    </row>
    <row r="3374" spans="1:10">
      <c r="B3374" s="1358">
        <v>46177</v>
      </c>
      <c r="C3374" s="1359" t="s">
        <v>5113</v>
      </c>
      <c r="D3374" s="1360">
        <v>1</v>
      </c>
      <c r="E3374" s="1360">
        <v>1199</v>
      </c>
      <c r="F3374" s="1361">
        <f t="shared" si="842"/>
        <v>1199</v>
      </c>
      <c r="G3374" s="127">
        <v>2.5979999999999999</v>
      </c>
      <c r="H3374" s="127">
        <f t="shared" si="843"/>
        <v>3115.002</v>
      </c>
      <c r="I3374" s="127">
        <f t="shared" si="844"/>
        <v>3115.002</v>
      </c>
      <c r="J3374" s="110">
        <f t="shared" si="845"/>
        <v>68530.043999999994</v>
      </c>
    </row>
    <row r="3375" spans="1:10">
      <c r="B3375" s="1362">
        <v>46177</v>
      </c>
      <c r="C3375" s="1363" t="s">
        <v>5112</v>
      </c>
      <c r="D3375" s="596">
        <v>1</v>
      </c>
      <c r="E3375" s="1364">
        <v>86.14</v>
      </c>
      <c r="F3375" s="1365">
        <f t="shared" si="842"/>
        <v>86.14</v>
      </c>
      <c r="G3375" s="596">
        <v>2.5979999999999999</v>
      </c>
      <c r="H3375" s="596">
        <f t="shared" si="843"/>
        <v>223.79172</v>
      </c>
      <c r="I3375" s="596">
        <f t="shared" si="844"/>
        <v>223.79172</v>
      </c>
      <c r="J3375" s="296">
        <f t="shared" si="845"/>
        <v>68753.835719999988</v>
      </c>
    </row>
    <row r="3376" spans="1:10">
      <c r="B3376" s="735"/>
      <c r="C3376" s="735"/>
      <c r="D3376" s="735"/>
      <c r="E3376" s="735"/>
      <c r="F3376" s="629">
        <f t="shared" si="842"/>
        <v>0</v>
      </c>
      <c r="G3376" s="735"/>
      <c r="H3376" s="735">
        <f t="shared" si="843"/>
        <v>0</v>
      </c>
      <c r="I3376" s="735">
        <f t="shared" si="844"/>
        <v>0</v>
      </c>
      <c r="J3376" s="1066">
        <f t="shared" si="845"/>
        <v>68753.835719999988</v>
      </c>
    </row>
    <row r="3377" spans="1:10">
      <c r="B3377" s="735"/>
      <c r="C3377" s="735"/>
      <c r="D3377" s="735"/>
      <c r="E3377" s="735"/>
      <c r="F3377" s="629">
        <f t="shared" si="842"/>
        <v>0</v>
      </c>
      <c r="G3377" s="735"/>
      <c r="H3377" s="735">
        <f t="shared" si="843"/>
        <v>0</v>
      </c>
      <c r="I3377" s="735">
        <f t="shared" si="844"/>
        <v>0</v>
      </c>
      <c r="J3377" s="1066">
        <f t="shared" si="845"/>
        <v>68753.835719999988</v>
      </c>
    </row>
    <row r="3383" spans="1:10" ht="21">
      <c r="A3383" s="1367" t="s">
        <v>125</v>
      </c>
      <c r="B3383" s="1520" t="s">
        <v>35</v>
      </c>
      <c r="C3383" s="1520"/>
      <c r="D3383" s="1520"/>
      <c r="E3383" s="1520"/>
      <c r="F3383" s="1520"/>
      <c r="G3383" s="1520"/>
      <c r="H3383" s="1520"/>
      <c r="I3383" s="1520"/>
      <c r="J3383" s="1520"/>
    </row>
    <row r="3384" spans="1:10" ht="18.75">
      <c r="A3384" s="1367" t="s">
        <v>212</v>
      </c>
      <c r="B3384" s="4" t="s">
        <v>1</v>
      </c>
      <c r="C3384" s="4" t="s">
        <v>2</v>
      </c>
      <c r="D3384" s="4" t="s">
        <v>3</v>
      </c>
      <c r="E3384" s="4" t="s">
        <v>4</v>
      </c>
      <c r="F3384" s="4" t="s">
        <v>36</v>
      </c>
      <c r="G3384" s="4" t="s">
        <v>5</v>
      </c>
      <c r="H3384" s="4" t="s">
        <v>6</v>
      </c>
      <c r="I3384" s="4" t="s">
        <v>7</v>
      </c>
      <c r="J3384" s="4"/>
    </row>
    <row r="3385" spans="1:10">
      <c r="B3385" s="585">
        <v>46171</v>
      </c>
      <c r="C3385" s="110" t="s">
        <v>5139</v>
      </c>
      <c r="D3385" s="110">
        <v>2</v>
      </c>
      <c r="E3385" s="184">
        <v>1579</v>
      </c>
      <c r="F3385" s="127">
        <f>E3385*D3385</f>
        <v>3158</v>
      </c>
      <c r="G3385" s="127">
        <v>2.13</v>
      </c>
      <c r="H3385" s="127">
        <f>E3385*G3385</f>
        <v>3363.27</v>
      </c>
      <c r="I3385" s="127">
        <f>H3385*D3385</f>
        <v>6726.54</v>
      </c>
      <c r="J3385" s="110">
        <f>J3384+I3385</f>
        <v>6726.54</v>
      </c>
    </row>
    <row r="3386" spans="1:10">
      <c r="B3386" s="585">
        <v>46171</v>
      </c>
      <c r="C3386" s="110" t="s">
        <v>4801</v>
      </c>
      <c r="D3386" s="110">
        <v>1</v>
      </c>
      <c r="E3386" s="184">
        <v>1579</v>
      </c>
      <c r="F3386" s="127">
        <f t="shared" ref="F3386:F3393" si="846">E3386*D3386</f>
        <v>1579</v>
      </c>
      <c r="G3386" s="127">
        <v>2.13</v>
      </c>
      <c r="H3386" s="127">
        <f t="shared" ref="H3386:H3393" si="847">E3386*G3386</f>
        <v>3363.27</v>
      </c>
      <c r="I3386" s="127">
        <f t="shared" ref="I3386:I3393" si="848">H3386*D3386</f>
        <v>3363.27</v>
      </c>
      <c r="J3386" s="110">
        <f t="shared" ref="J3386:J3393" si="849">J3385+I3386</f>
        <v>10089.81</v>
      </c>
    </row>
    <row r="3387" spans="1:10">
      <c r="B3387" s="585">
        <v>46171</v>
      </c>
      <c r="C3387" s="110" t="s">
        <v>5140</v>
      </c>
      <c r="D3387" s="110">
        <v>9</v>
      </c>
      <c r="E3387" s="184">
        <v>1540</v>
      </c>
      <c r="F3387" s="127">
        <f t="shared" si="846"/>
        <v>13860</v>
      </c>
      <c r="G3387" s="127">
        <v>2.13</v>
      </c>
      <c r="H3387" s="127">
        <f t="shared" si="847"/>
        <v>3280.2</v>
      </c>
      <c r="I3387" s="127">
        <f t="shared" si="848"/>
        <v>29521.8</v>
      </c>
      <c r="J3387" s="110">
        <f t="shared" si="849"/>
        <v>39611.61</v>
      </c>
    </row>
    <row r="3388" spans="1:10">
      <c r="B3388" s="594">
        <v>46174</v>
      </c>
      <c r="C3388" s="296" t="s">
        <v>5141</v>
      </c>
      <c r="D3388" s="296">
        <v>8</v>
      </c>
      <c r="E3388" s="595">
        <v>1449</v>
      </c>
      <c r="F3388" s="596">
        <f t="shared" si="846"/>
        <v>11592</v>
      </c>
      <c r="G3388" s="596">
        <v>2.13</v>
      </c>
      <c r="H3388" s="596">
        <f t="shared" si="847"/>
        <v>3086.37</v>
      </c>
      <c r="I3388" s="596">
        <f t="shared" si="848"/>
        <v>24690.959999999999</v>
      </c>
      <c r="J3388" s="296">
        <f t="shared" si="849"/>
        <v>64302.57</v>
      </c>
    </row>
    <row r="3389" spans="1:10">
      <c r="B3389" s="594">
        <v>46175</v>
      </c>
      <c r="C3389" s="296" t="s">
        <v>5142</v>
      </c>
      <c r="D3389" s="296">
        <v>2</v>
      </c>
      <c r="E3389" s="595">
        <v>1579</v>
      </c>
      <c r="F3389" s="596">
        <f t="shared" si="846"/>
        <v>3158</v>
      </c>
      <c r="G3389" s="596">
        <v>2.13</v>
      </c>
      <c r="H3389" s="596">
        <f t="shared" si="847"/>
        <v>3363.27</v>
      </c>
      <c r="I3389" s="596">
        <f t="shared" si="848"/>
        <v>6726.54</v>
      </c>
      <c r="J3389" s="296">
        <f t="shared" si="849"/>
        <v>71029.11</v>
      </c>
    </row>
    <row r="3390" spans="1:10">
      <c r="B3390" s="594">
        <v>46175</v>
      </c>
      <c r="C3390" s="296" t="s">
        <v>4802</v>
      </c>
      <c r="D3390" s="296">
        <v>18</v>
      </c>
      <c r="E3390" s="595">
        <v>143</v>
      </c>
      <c r="F3390" s="596">
        <f t="shared" si="846"/>
        <v>2574</v>
      </c>
      <c r="G3390" s="596">
        <v>2.13</v>
      </c>
      <c r="H3390" s="596">
        <f t="shared" si="847"/>
        <v>304.58999999999997</v>
      </c>
      <c r="I3390" s="596">
        <f t="shared" si="848"/>
        <v>5482.62</v>
      </c>
      <c r="J3390" s="296">
        <f t="shared" si="849"/>
        <v>76511.73</v>
      </c>
    </row>
    <row r="3391" spans="1:10">
      <c r="B3391" s="585">
        <v>46178</v>
      </c>
      <c r="C3391" s="110" t="s">
        <v>4801</v>
      </c>
      <c r="D3391" s="110">
        <v>4</v>
      </c>
      <c r="E3391" s="184">
        <v>1579</v>
      </c>
      <c r="F3391" s="127">
        <f t="shared" si="846"/>
        <v>6316</v>
      </c>
      <c r="G3391" s="127">
        <v>2.13</v>
      </c>
      <c r="H3391" s="127">
        <f t="shared" si="847"/>
        <v>3363.27</v>
      </c>
      <c r="I3391" s="127">
        <f t="shared" si="848"/>
        <v>13453.08</v>
      </c>
      <c r="J3391" s="110">
        <f t="shared" si="849"/>
        <v>89964.81</v>
      </c>
    </row>
    <row r="3392" spans="1:10">
      <c r="B3392" s="585">
        <v>46178</v>
      </c>
      <c r="C3392" s="110" t="s">
        <v>5143</v>
      </c>
      <c r="D3392" s="110">
        <v>4</v>
      </c>
      <c r="E3392" s="184">
        <v>1579</v>
      </c>
      <c r="F3392" s="127">
        <f t="shared" si="846"/>
        <v>6316</v>
      </c>
      <c r="G3392" s="127">
        <v>2.13</v>
      </c>
      <c r="H3392" s="127">
        <f t="shared" si="847"/>
        <v>3363.27</v>
      </c>
      <c r="I3392" s="127">
        <f t="shared" si="848"/>
        <v>13453.08</v>
      </c>
      <c r="J3392" s="110">
        <f t="shared" si="849"/>
        <v>103417.89</v>
      </c>
    </row>
    <row r="3393" spans="1:10">
      <c r="B3393" s="594">
        <v>46178</v>
      </c>
      <c r="C3393" s="296" t="s">
        <v>5144</v>
      </c>
      <c r="D3393" s="296">
        <v>32</v>
      </c>
      <c r="E3393" s="595">
        <v>143</v>
      </c>
      <c r="F3393" s="596">
        <f t="shared" si="846"/>
        <v>4576</v>
      </c>
      <c r="G3393" s="596">
        <v>2.13</v>
      </c>
      <c r="H3393" s="596">
        <f t="shared" si="847"/>
        <v>304.58999999999997</v>
      </c>
      <c r="I3393" s="596">
        <f t="shared" si="848"/>
        <v>9746.8799999999992</v>
      </c>
      <c r="J3393" s="296">
        <f t="shared" si="849"/>
        <v>113164.77</v>
      </c>
    </row>
    <row r="3394" spans="1:10">
      <c r="B3394" s="735"/>
      <c r="C3394" s="735"/>
      <c r="D3394" s="735"/>
      <c r="E3394" s="735"/>
      <c r="F3394" s="735">
        <f t="shared" ref="F3394" si="850">E3394*D3394</f>
        <v>0</v>
      </c>
      <c r="G3394" s="735"/>
      <c r="H3394" s="735">
        <f t="shared" ref="H3394" si="851">E3394*G3394</f>
        <v>0</v>
      </c>
      <c r="I3394" s="735">
        <f t="shared" ref="I3394" si="852">H3394*D3394</f>
        <v>0</v>
      </c>
      <c r="J3394" s="1066">
        <f t="shared" ref="J3394" si="853">J3393+I3394</f>
        <v>113164.77</v>
      </c>
    </row>
    <row r="3400" spans="1:10" ht="21">
      <c r="A3400" s="1367" t="s">
        <v>125</v>
      </c>
      <c r="B3400" s="1520" t="s">
        <v>20</v>
      </c>
      <c r="C3400" s="1520"/>
      <c r="D3400" s="1520"/>
      <c r="E3400" s="1520"/>
      <c r="F3400" s="1520"/>
      <c r="G3400" s="1520"/>
      <c r="H3400" s="1520"/>
      <c r="I3400" s="1520"/>
      <c r="J3400" s="1520"/>
    </row>
    <row r="3401" spans="1:10" ht="18.75">
      <c r="A3401" s="1367" t="s">
        <v>212</v>
      </c>
      <c r="B3401" s="4" t="s">
        <v>1</v>
      </c>
      <c r="C3401" s="4" t="s">
        <v>2</v>
      </c>
      <c r="D3401" s="4" t="s">
        <v>3</v>
      </c>
      <c r="E3401" s="4" t="s">
        <v>4</v>
      </c>
      <c r="F3401" s="4" t="s">
        <v>36</v>
      </c>
      <c r="G3401" s="4" t="s">
        <v>5</v>
      </c>
      <c r="H3401" s="4" t="s">
        <v>6</v>
      </c>
      <c r="I3401" s="4" t="s">
        <v>7</v>
      </c>
      <c r="J3401" s="4"/>
    </row>
    <row r="3402" spans="1:10">
      <c r="B3402" s="737">
        <v>46166</v>
      </c>
      <c r="C3402" s="1066" t="s">
        <v>4684</v>
      </c>
      <c r="D3402" s="735">
        <v>6</v>
      </c>
      <c r="E3402" s="145">
        <v>1897</v>
      </c>
      <c r="F3402" s="735">
        <f>E3402*D3402</f>
        <v>11382</v>
      </c>
      <c r="G3402" s="735">
        <v>2.5979999999999999</v>
      </c>
      <c r="H3402" s="735">
        <f>E3402*G3402</f>
        <v>4928.4059999999999</v>
      </c>
      <c r="I3402" s="735">
        <f>H3402*D3402</f>
        <v>29570.436000000002</v>
      </c>
      <c r="J3402" s="1066">
        <f>J3401+I3402</f>
        <v>29570.436000000002</v>
      </c>
    </row>
    <row r="3403" spans="1:10">
      <c r="B3403" s="737">
        <v>46166</v>
      </c>
      <c r="C3403" s="1066" t="s">
        <v>4684</v>
      </c>
      <c r="D3403" s="735">
        <v>4</v>
      </c>
      <c r="E3403" s="145">
        <v>1897</v>
      </c>
      <c r="F3403" s="735">
        <f t="shared" ref="F3403:F3410" si="854">E3403*D3403</f>
        <v>7588</v>
      </c>
      <c r="G3403" s="735">
        <v>2.5979999999999999</v>
      </c>
      <c r="H3403" s="735">
        <f t="shared" ref="H3403:H3410" si="855">E3403*G3403</f>
        <v>4928.4059999999999</v>
      </c>
      <c r="I3403" s="735">
        <f t="shared" ref="I3403:I3410" si="856">H3403*D3403</f>
        <v>19713.624</v>
      </c>
      <c r="J3403" s="1066">
        <f t="shared" ref="J3403:J3410" si="857">J3402+I3403</f>
        <v>49284.06</v>
      </c>
    </row>
    <row r="3404" spans="1:10">
      <c r="B3404" s="737">
        <v>46166</v>
      </c>
      <c r="C3404" s="1066" t="s">
        <v>4684</v>
      </c>
      <c r="D3404" s="735">
        <v>4</v>
      </c>
      <c r="E3404" s="145">
        <v>1897</v>
      </c>
      <c r="F3404" s="735">
        <f t="shared" si="854"/>
        <v>7588</v>
      </c>
      <c r="G3404" s="735">
        <v>2.5979999999999999</v>
      </c>
      <c r="H3404" s="735">
        <f t="shared" si="855"/>
        <v>4928.4059999999999</v>
      </c>
      <c r="I3404" s="735">
        <f t="shared" si="856"/>
        <v>19713.624</v>
      </c>
      <c r="J3404" s="1066">
        <f t="shared" si="857"/>
        <v>68997.683999999994</v>
      </c>
    </row>
    <row r="3405" spans="1:10">
      <c r="B3405" s="585">
        <v>46167</v>
      </c>
      <c r="C3405" s="110" t="s">
        <v>5020</v>
      </c>
      <c r="D3405" s="127">
        <v>2</v>
      </c>
      <c r="E3405" s="145">
        <v>1199</v>
      </c>
      <c r="F3405" s="735">
        <f t="shared" si="854"/>
        <v>2398</v>
      </c>
      <c r="G3405" s="735">
        <v>2.5979999999999999</v>
      </c>
      <c r="H3405" s="735">
        <f t="shared" si="855"/>
        <v>3115.002</v>
      </c>
      <c r="I3405" s="735">
        <f t="shared" si="856"/>
        <v>6230.0039999999999</v>
      </c>
      <c r="J3405" s="1066">
        <f t="shared" si="857"/>
        <v>75227.687999999995</v>
      </c>
    </row>
    <row r="3406" spans="1:10">
      <c r="B3406" s="585">
        <v>46167</v>
      </c>
      <c r="C3406" s="110" t="s">
        <v>5020</v>
      </c>
      <c r="D3406" s="127">
        <v>2</v>
      </c>
      <c r="E3406" s="145">
        <v>1199</v>
      </c>
      <c r="F3406" s="735">
        <f t="shared" si="854"/>
        <v>2398</v>
      </c>
      <c r="G3406" s="735">
        <v>2.5979999999999999</v>
      </c>
      <c r="H3406" s="735">
        <f t="shared" si="855"/>
        <v>3115.002</v>
      </c>
      <c r="I3406" s="735">
        <f t="shared" si="856"/>
        <v>6230.0039999999999</v>
      </c>
      <c r="J3406" s="1066">
        <f t="shared" si="857"/>
        <v>81457.691999999995</v>
      </c>
    </row>
    <row r="3407" spans="1:10">
      <c r="B3407" s="585">
        <v>46167</v>
      </c>
      <c r="C3407" s="110" t="s">
        <v>5020</v>
      </c>
      <c r="D3407" s="127">
        <v>2</v>
      </c>
      <c r="E3407" s="145">
        <v>1199</v>
      </c>
      <c r="F3407" s="735">
        <f t="shared" si="854"/>
        <v>2398</v>
      </c>
      <c r="G3407" s="735">
        <v>2.5979999999999999</v>
      </c>
      <c r="H3407" s="735">
        <f t="shared" si="855"/>
        <v>3115.002</v>
      </c>
      <c r="I3407" s="735">
        <f t="shared" si="856"/>
        <v>6230.0039999999999</v>
      </c>
      <c r="J3407" s="1066">
        <f t="shared" si="857"/>
        <v>87687.695999999996</v>
      </c>
    </row>
    <row r="3408" spans="1:10">
      <c r="B3408" s="585">
        <v>46167</v>
      </c>
      <c r="C3408" s="110" t="s">
        <v>5021</v>
      </c>
      <c r="D3408" s="127">
        <v>2</v>
      </c>
      <c r="E3408" s="371">
        <v>1199</v>
      </c>
      <c r="F3408" s="735">
        <f t="shared" si="854"/>
        <v>2398</v>
      </c>
      <c r="G3408" s="735">
        <v>2.5979999999999999</v>
      </c>
      <c r="H3408" s="735">
        <f t="shared" si="855"/>
        <v>3115.002</v>
      </c>
      <c r="I3408" s="735">
        <f t="shared" si="856"/>
        <v>6230.0039999999999</v>
      </c>
      <c r="J3408" s="1066">
        <f t="shared" si="857"/>
        <v>93917.7</v>
      </c>
    </row>
    <row r="3409" spans="1:10">
      <c r="B3409" s="585">
        <v>46167</v>
      </c>
      <c r="C3409" s="110" t="s">
        <v>5021</v>
      </c>
      <c r="D3409" s="127">
        <v>2</v>
      </c>
      <c r="E3409" s="145">
        <v>1199</v>
      </c>
      <c r="F3409" s="735">
        <f t="shared" si="854"/>
        <v>2398</v>
      </c>
      <c r="G3409" s="735">
        <v>2.5979999999999999</v>
      </c>
      <c r="H3409" s="735">
        <f t="shared" si="855"/>
        <v>3115.002</v>
      </c>
      <c r="I3409" s="735">
        <f t="shared" si="856"/>
        <v>6230.0039999999999</v>
      </c>
      <c r="J3409" s="1066">
        <f t="shared" si="857"/>
        <v>100147.704</v>
      </c>
    </row>
    <row r="3410" spans="1:10">
      <c r="B3410" s="585">
        <v>46167</v>
      </c>
      <c r="C3410" s="110" t="s">
        <v>5021</v>
      </c>
      <c r="D3410" s="127">
        <v>1</v>
      </c>
      <c r="E3410" s="145">
        <v>1199</v>
      </c>
      <c r="F3410" s="735">
        <f t="shared" si="854"/>
        <v>1199</v>
      </c>
      <c r="G3410" s="735">
        <v>2.5979999999999999</v>
      </c>
      <c r="H3410" s="735">
        <f t="shared" si="855"/>
        <v>3115.002</v>
      </c>
      <c r="I3410" s="735">
        <f t="shared" si="856"/>
        <v>3115.002</v>
      </c>
      <c r="J3410" s="1066">
        <f t="shared" si="857"/>
        <v>103262.70599999999</v>
      </c>
    </row>
    <row r="3411" spans="1:10">
      <c r="B3411" s="585">
        <v>46167</v>
      </c>
      <c r="C3411" s="110" t="s">
        <v>5021</v>
      </c>
      <c r="D3411" s="127">
        <v>2</v>
      </c>
      <c r="E3411" s="145">
        <v>1199</v>
      </c>
      <c r="F3411" s="735">
        <f t="shared" ref="F3411:F3412" si="858">E3411*D3411</f>
        <v>2398</v>
      </c>
      <c r="G3411" s="735">
        <v>2.5979999999999999</v>
      </c>
      <c r="H3411" s="735">
        <f t="shared" ref="H3411:H3412" si="859">E3411*G3411</f>
        <v>3115.002</v>
      </c>
      <c r="I3411" s="735">
        <f t="shared" ref="I3411:I3412" si="860">H3411*D3411</f>
        <v>6230.0039999999999</v>
      </c>
      <c r="J3411" s="1066">
        <f t="shared" ref="J3411:J3412" si="861">J3410+I3411</f>
        <v>109492.70999999999</v>
      </c>
    </row>
    <row r="3412" spans="1:10">
      <c r="B3412" s="735"/>
      <c r="C3412" s="735"/>
      <c r="D3412" s="735"/>
      <c r="E3412" s="735"/>
      <c r="F3412" s="735">
        <f t="shared" si="858"/>
        <v>0</v>
      </c>
      <c r="G3412" s="735"/>
      <c r="H3412" s="735">
        <f t="shared" si="859"/>
        <v>0</v>
      </c>
      <c r="I3412" s="735">
        <f t="shared" si="860"/>
        <v>0</v>
      </c>
      <c r="J3412" s="1066">
        <f t="shared" si="861"/>
        <v>109492.70999999999</v>
      </c>
    </row>
    <row r="3418" spans="1:10" ht="21">
      <c r="A3418" s="1367" t="s">
        <v>125</v>
      </c>
      <c r="B3418" s="1520" t="s">
        <v>20</v>
      </c>
      <c r="C3418" s="1520"/>
      <c r="D3418" s="1520"/>
      <c r="E3418" s="1520"/>
      <c r="F3418" s="1520"/>
      <c r="G3418" s="1520"/>
      <c r="H3418" s="1520"/>
      <c r="I3418" s="1520"/>
      <c r="J3418" s="1520"/>
    </row>
    <row r="3419" spans="1:10" ht="18.75">
      <c r="A3419" s="1367" t="s">
        <v>212</v>
      </c>
      <c r="B3419" s="4" t="s">
        <v>1</v>
      </c>
      <c r="C3419" s="4" t="s">
        <v>2</v>
      </c>
      <c r="D3419" s="4" t="s">
        <v>3</v>
      </c>
      <c r="E3419" s="4" t="s">
        <v>4</v>
      </c>
      <c r="F3419" s="4" t="s">
        <v>36</v>
      </c>
      <c r="G3419" s="4" t="s">
        <v>5</v>
      </c>
      <c r="H3419" s="4" t="s">
        <v>6</v>
      </c>
      <c r="I3419" s="4" t="s">
        <v>7</v>
      </c>
      <c r="J3419" s="4"/>
    </row>
    <row r="3420" spans="1:10">
      <c r="B3420" s="737">
        <v>46170</v>
      </c>
      <c r="C3420" s="1066" t="s">
        <v>5145</v>
      </c>
      <c r="D3420" s="735">
        <v>15</v>
      </c>
      <c r="E3420" s="145">
        <v>1199</v>
      </c>
      <c r="F3420" s="735">
        <f>E3420*D3420</f>
        <v>17985</v>
      </c>
      <c r="G3420" s="735">
        <v>2.5979999999999999</v>
      </c>
      <c r="H3420" s="735">
        <f>E3420*G3420</f>
        <v>3115.002</v>
      </c>
      <c r="I3420" s="735">
        <f>H3420*D3420</f>
        <v>46725.03</v>
      </c>
      <c r="J3420" s="1066">
        <f>J3419+I3420</f>
        <v>46725.03</v>
      </c>
    </row>
    <row r="3421" spans="1:10">
      <c r="B3421" s="737">
        <v>46170</v>
      </c>
      <c r="C3421" s="1066" t="s">
        <v>4683</v>
      </c>
      <c r="D3421" s="735">
        <v>2</v>
      </c>
      <c r="E3421" s="145">
        <v>1897</v>
      </c>
      <c r="F3421" s="735">
        <f t="shared" ref="F3421:F3428" si="862">E3421*D3421</f>
        <v>3794</v>
      </c>
      <c r="G3421" s="735">
        <v>2.5979999999999999</v>
      </c>
      <c r="H3421" s="735">
        <f t="shared" ref="H3421:H3428" si="863">E3421*G3421</f>
        <v>4928.4059999999999</v>
      </c>
      <c r="I3421" s="735">
        <f t="shared" ref="I3421:I3428" si="864">H3421*D3421</f>
        <v>9856.8119999999999</v>
      </c>
      <c r="J3421" s="1066">
        <f t="shared" ref="J3421:J3428" si="865">J3420+I3421</f>
        <v>56581.841999999997</v>
      </c>
    </row>
    <row r="3422" spans="1:10">
      <c r="B3422" s="585">
        <v>46170</v>
      </c>
      <c r="C3422" s="110" t="s">
        <v>5020</v>
      </c>
      <c r="D3422" s="127">
        <v>2</v>
      </c>
      <c r="E3422" s="146">
        <v>1199</v>
      </c>
      <c r="F3422" s="735">
        <f t="shared" si="862"/>
        <v>2398</v>
      </c>
      <c r="G3422" s="735">
        <v>2.5979999999999999</v>
      </c>
      <c r="H3422" s="735">
        <f t="shared" si="863"/>
        <v>3115.002</v>
      </c>
      <c r="I3422" s="735">
        <f t="shared" si="864"/>
        <v>6230.0039999999999</v>
      </c>
      <c r="J3422" s="1066">
        <f t="shared" si="865"/>
        <v>62811.845999999998</v>
      </c>
    </row>
    <row r="3423" spans="1:10">
      <c r="B3423" s="585">
        <v>46170</v>
      </c>
      <c r="C3423" s="110" t="s">
        <v>5020</v>
      </c>
      <c r="D3423" s="127">
        <v>2</v>
      </c>
      <c r="E3423" s="146">
        <v>1199</v>
      </c>
      <c r="F3423" s="735">
        <f t="shared" si="862"/>
        <v>2398</v>
      </c>
      <c r="G3423" s="735">
        <v>2.5979999999999999</v>
      </c>
      <c r="H3423" s="735">
        <f t="shared" si="863"/>
        <v>3115.002</v>
      </c>
      <c r="I3423" s="735">
        <f t="shared" si="864"/>
        <v>6230.0039999999999</v>
      </c>
      <c r="J3423" s="1066">
        <f t="shared" si="865"/>
        <v>69041.849999999991</v>
      </c>
    </row>
    <row r="3424" spans="1:10">
      <c r="B3424" s="585">
        <v>46170</v>
      </c>
      <c r="C3424" s="110" t="s">
        <v>5020</v>
      </c>
      <c r="D3424" s="127">
        <v>2</v>
      </c>
      <c r="E3424" s="146">
        <v>1199</v>
      </c>
      <c r="F3424" s="735">
        <f t="shared" si="862"/>
        <v>2398</v>
      </c>
      <c r="G3424" s="735">
        <v>2.5979999999999999</v>
      </c>
      <c r="H3424" s="735">
        <f t="shared" si="863"/>
        <v>3115.002</v>
      </c>
      <c r="I3424" s="735">
        <f t="shared" si="864"/>
        <v>6230.0039999999999</v>
      </c>
      <c r="J3424" s="1066">
        <f t="shared" si="865"/>
        <v>75271.853999999992</v>
      </c>
    </row>
    <row r="3425" spans="2:10">
      <c r="B3425" s="585">
        <v>46170</v>
      </c>
      <c r="C3425" s="110" t="s">
        <v>5021</v>
      </c>
      <c r="D3425" s="127">
        <v>2</v>
      </c>
      <c r="E3425" s="146">
        <v>1199</v>
      </c>
      <c r="F3425" s="735">
        <f t="shared" si="862"/>
        <v>2398</v>
      </c>
      <c r="G3425" s="735">
        <v>2.5979999999999999</v>
      </c>
      <c r="H3425" s="735">
        <f t="shared" si="863"/>
        <v>3115.002</v>
      </c>
      <c r="I3425" s="735">
        <f t="shared" si="864"/>
        <v>6230.0039999999999</v>
      </c>
      <c r="J3425" s="1066">
        <f t="shared" si="865"/>
        <v>81501.857999999993</v>
      </c>
    </row>
    <row r="3426" spans="2:10">
      <c r="B3426" s="585">
        <v>46170</v>
      </c>
      <c r="C3426" s="110" t="s">
        <v>5021</v>
      </c>
      <c r="D3426" s="127">
        <v>2</v>
      </c>
      <c r="E3426" s="146">
        <v>1199</v>
      </c>
      <c r="F3426" s="735">
        <f t="shared" si="862"/>
        <v>2398</v>
      </c>
      <c r="G3426" s="735">
        <v>2.5979999999999999</v>
      </c>
      <c r="H3426" s="735">
        <f t="shared" si="863"/>
        <v>3115.002</v>
      </c>
      <c r="I3426" s="735">
        <f t="shared" si="864"/>
        <v>6230.0039999999999</v>
      </c>
      <c r="J3426" s="1066">
        <f t="shared" si="865"/>
        <v>87731.861999999994</v>
      </c>
    </row>
    <row r="3427" spans="2:10">
      <c r="B3427" s="585">
        <v>46170</v>
      </c>
      <c r="C3427" s="110" t="s">
        <v>5021</v>
      </c>
      <c r="D3427" s="127">
        <v>2</v>
      </c>
      <c r="E3427" s="146">
        <v>1199</v>
      </c>
      <c r="F3427" s="735">
        <f t="shared" si="862"/>
        <v>2398</v>
      </c>
      <c r="G3427" s="735">
        <v>2.5979999999999999</v>
      </c>
      <c r="H3427" s="735">
        <f t="shared" si="863"/>
        <v>3115.002</v>
      </c>
      <c r="I3427" s="735">
        <f t="shared" si="864"/>
        <v>6230.0039999999999</v>
      </c>
      <c r="J3427" s="1066">
        <f t="shared" si="865"/>
        <v>93961.865999999995</v>
      </c>
    </row>
    <row r="3428" spans="2:10">
      <c r="B3428" s="1207">
        <v>46170</v>
      </c>
      <c r="C3428" s="250" t="s">
        <v>5021</v>
      </c>
      <c r="D3428" s="251">
        <v>2</v>
      </c>
      <c r="E3428" s="1372">
        <v>1199</v>
      </c>
      <c r="F3428" s="735">
        <f t="shared" si="862"/>
        <v>2398</v>
      </c>
      <c r="G3428" s="735">
        <v>2.5979999999999999</v>
      </c>
      <c r="H3428" s="735">
        <f t="shared" si="863"/>
        <v>3115.002</v>
      </c>
      <c r="I3428" s="735">
        <f t="shared" si="864"/>
        <v>6230.0039999999999</v>
      </c>
      <c r="J3428" s="1066">
        <f t="shared" si="865"/>
        <v>100191.87</v>
      </c>
    </row>
    <row r="3429" spans="2:10">
      <c r="B3429" s="585">
        <v>46170</v>
      </c>
      <c r="C3429" s="110" t="s">
        <v>5021</v>
      </c>
      <c r="D3429" s="127">
        <v>2</v>
      </c>
      <c r="E3429" s="146">
        <v>1199</v>
      </c>
      <c r="F3429" s="735">
        <f t="shared" ref="F3429:F3434" si="866">E3429*D3429</f>
        <v>2398</v>
      </c>
      <c r="G3429" s="735">
        <v>2.5979999999999999</v>
      </c>
      <c r="H3429" s="735">
        <f t="shared" ref="H3429:H3434" si="867">E3429*G3429</f>
        <v>3115.002</v>
      </c>
      <c r="I3429" s="735">
        <f t="shared" ref="I3429:I3434" si="868">H3429*D3429</f>
        <v>6230.0039999999999</v>
      </c>
      <c r="J3429" s="1066">
        <f t="shared" ref="J3429:J3434" si="869">J3428+I3429</f>
        <v>106421.874</v>
      </c>
    </row>
    <row r="3430" spans="2:10">
      <c r="B3430" s="737">
        <v>46170</v>
      </c>
      <c r="C3430" s="1066" t="s">
        <v>4683</v>
      </c>
      <c r="D3430" s="735">
        <v>5</v>
      </c>
      <c r="E3430" s="145">
        <v>1930</v>
      </c>
      <c r="F3430" s="735">
        <f t="shared" si="866"/>
        <v>9650</v>
      </c>
      <c r="G3430" s="735">
        <v>2.5979999999999999</v>
      </c>
      <c r="H3430" s="735">
        <f t="shared" si="867"/>
        <v>5014.1399999999994</v>
      </c>
      <c r="I3430" s="735">
        <f t="shared" si="868"/>
        <v>25070.699999999997</v>
      </c>
      <c r="J3430" s="1066">
        <f t="shared" si="869"/>
        <v>131492.57399999999</v>
      </c>
    </row>
    <row r="3431" spans="2:10">
      <c r="B3431" s="737">
        <v>46170</v>
      </c>
      <c r="C3431" s="1066" t="s">
        <v>5025</v>
      </c>
      <c r="D3431" s="735">
        <v>8</v>
      </c>
      <c r="E3431" s="145">
        <v>105</v>
      </c>
      <c r="F3431" s="735">
        <f t="shared" si="866"/>
        <v>840</v>
      </c>
      <c r="G3431" s="735">
        <v>2.5979999999999999</v>
      </c>
      <c r="H3431" s="735">
        <f t="shared" si="867"/>
        <v>272.78999999999996</v>
      </c>
      <c r="I3431" s="735">
        <f t="shared" si="868"/>
        <v>2182.3199999999997</v>
      </c>
      <c r="J3431" s="1066">
        <f t="shared" si="869"/>
        <v>133674.894</v>
      </c>
    </row>
    <row r="3432" spans="2:10">
      <c r="B3432" s="737">
        <v>46171</v>
      </c>
      <c r="C3432" s="1066" t="s">
        <v>4812</v>
      </c>
      <c r="D3432" s="735">
        <v>4</v>
      </c>
      <c r="E3432" s="145">
        <v>1210</v>
      </c>
      <c r="F3432" s="735">
        <f t="shared" si="866"/>
        <v>4840</v>
      </c>
      <c r="G3432" s="735">
        <v>2.5979999999999999</v>
      </c>
      <c r="H3432" s="735">
        <f t="shared" si="867"/>
        <v>3143.58</v>
      </c>
      <c r="I3432" s="735">
        <f t="shared" si="868"/>
        <v>12574.32</v>
      </c>
      <c r="J3432" s="1066">
        <f t="shared" si="869"/>
        <v>146249.21400000001</v>
      </c>
    </row>
    <row r="3433" spans="2:10">
      <c r="B3433" s="737">
        <v>46170</v>
      </c>
      <c r="C3433" s="1066" t="s">
        <v>5146</v>
      </c>
      <c r="D3433" s="735">
        <v>15</v>
      </c>
      <c r="E3433" s="735">
        <v>20</v>
      </c>
      <c r="F3433" s="735">
        <f t="shared" si="866"/>
        <v>300</v>
      </c>
      <c r="G3433" s="735">
        <v>2.5979999999999999</v>
      </c>
      <c r="H3433" s="735">
        <f t="shared" si="867"/>
        <v>51.959999999999994</v>
      </c>
      <c r="I3433" s="735">
        <f t="shared" si="868"/>
        <v>779.39999999999986</v>
      </c>
      <c r="J3433" s="1066">
        <f t="shared" si="869"/>
        <v>147028.614</v>
      </c>
    </row>
    <row r="3434" spans="2:10">
      <c r="B3434" s="735"/>
      <c r="C3434" s="735"/>
      <c r="D3434" s="735"/>
      <c r="E3434" s="735"/>
      <c r="F3434" s="735">
        <f t="shared" si="866"/>
        <v>0</v>
      </c>
      <c r="G3434" s="735"/>
      <c r="H3434" s="735">
        <f t="shared" si="867"/>
        <v>0</v>
      </c>
      <c r="I3434" s="735">
        <f t="shared" si="868"/>
        <v>0</v>
      </c>
      <c r="J3434" s="1066">
        <f t="shared" si="869"/>
        <v>147028.614</v>
      </c>
    </row>
    <row r="3441" spans="1:10" ht="21">
      <c r="A3441" s="1367" t="s">
        <v>125</v>
      </c>
      <c r="B3441" s="1520" t="s">
        <v>20</v>
      </c>
      <c r="C3441" s="1520"/>
      <c r="D3441" s="1520"/>
      <c r="E3441" s="1520"/>
      <c r="F3441" s="1520"/>
      <c r="G3441" s="1520"/>
      <c r="H3441" s="1520"/>
      <c r="I3441" s="1520"/>
      <c r="J3441" s="1520"/>
    </row>
    <row r="3442" spans="1:10" ht="18.75">
      <c r="A3442" s="1367" t="s">
        <v>212</v>
      </c>
      <c r="B3442" s="4" t="s">
        <v>1</v>
      </c>
      <c r="C3442" s="4" t="s">
        <v>2</v>
      </c>
      <c r="D3442" s="4" t="s">
        <v>3</v>
      </c>
      <c r="E3442" s="4" t="s">
        <v>4</v>
      </c>
      <c r="F3442" s="4" t="s">
        <v>36</v>
      </c>
      <c r="G3442" s="4" t="s">
        <v>5</v>
      </c>
      <c r="H3442" s="4" t="s">
        <v>6</v>
      </c>
      <c r="I3442" s="4" t="s">
        <v>7</v>
      </c>
      <c r="J3442" s="4"/>
    </row>
    <row r="3443" spans="1:10">
      <c r="B3443" s="585">
        <v>46174</v>
      </c>
      <c r="C3443" s="110" t="s">
        <v>5021</v>
      </c>
      <c r="D3443" s="110">
        <v>2</v>
      </c>
      <c r="E3443" s="184">
        <v>1199</v>
      </c>
      <c r="F3443" s="735">
        <f>E3443*D3443</f>
        <v>2398</v>
      </c>
      <c r="G3443" s="735">
        <v>2.5979999999999999</v>
      </c>
      <c r="H3443" s="735">
        <f>E3443*G3443</f>
        <v>3115.002</v>
      </c>
      <c r="I3443" s="735">
        <f>H3443*D3443</f>
        <v>6230.0039999999999</v>
      </c>
      <c r="J3443" s="1066">
        <f>J3442+I3443</f>
        <v>6230.0039999999999</v>
      </c>
    </row>
    <row r="3444" spans="1:10">
      <c r="B3444" s="585">
        <v>46174</v>
      </c>
      <c r="C3444" s="110" t="s">
        <v>5021</v>
      </c>
      <c r="D3444" s="110">
        <v>2</v>
      </c>
      <c r="E3444" s="184">
        <v>1199</v>
      </c>
      <c r="F3444" s="735">
        <f t="shared" ref="F3444:F3451" si="870">E3444*D3444</f>
        <v>2398</v>
      </c>
      <c r="G3444" s="735">
        <v>2.5979999999999999</v>
      </c>
      <c r="H3444" s="735">
        <f t="shared" ref="H3444:H3451" si="871">E3444*G3444</f>
        <v>3115.002</v>
      </c>
      <c r="I3444" s="735">
        <f t="shared" ref="I3444:I3451" si="872">H3444*D3444</f>
        <v>6230.0039999999999</v>
      </c>
      <c r="J3444" s="1066">
        <f t="shared" ref="J3444:J3451" si="873">J3443+I3444</f>
        <v>12460.008</v>
      </c>
    </row>
    <row r="3445" spans="1:10">
      <c r="B3445" s="585">
        <v>46174</v>
      </c>
      <c r="C3445" s="110" t="s">
        <v>5021</v>
      </c>
      <c r="D3445" s="110">
        <v>2</v>
      </c>
      <c r="E3445" s="184">
        <v>1199</v>
      </c>
      <c r="F3445" s="735">
        <f t="shared" si="870"/>
        <v>2398</v>
      </c>
      <c r="G3445" s="735">
        <v>2.5979999999999999</v>
      </c>
      <c r="H3445" s="735">
        <f t="shared" si="871"/>
        <v>3115.002</v>
      </c>
      <c r="I3445" s="735">
        <f t="shared" si="872"/>
        <v>6230.0039999999999</v>
      </c>
      <c r="J3445" s="1066">
        <f t="shared" si="873"/>
        <v>18690.011999999999</v>
      </c>
    </row>
    <row r="3446" spans="1:10">
      <c r="B3446" s="585">
        <v>46174</v>
      </c>
      <c r="C3446" s="110" t="s">
        <v>5020</v>
      </c>
      <c r="D3446" s="110">
        <v>2</v>
      </c>
      <c r="E3446" s="184">
        <v>1199</v>
      </c>
      <c r="F3446" s="735">
        <f t="shared" si="870"/>
        <v>2398</v>
      </c>
      <c r="G3446" s="735">
        <v>2.5979999999999999</v>
      </c>
      <c r="H3446" s="735">
        <f t="shared" si="871"/>
        <v>3115.002</v>
      </c>
      <c r="I3446" s="735">
        <f t="shared" si="872"/>
        <v>6230.0039999999999</v>
      </c>
      <c r="J3446" s="1066">
        <f t="shared" si="873"/>
        <v>24920.016</v>
      </c>
    </row>
    <row r="3447" spans="1:10">
      <c r="B3447" s="585">
        <v>46174</v>
      </c>
      <c r="C3447" s="250" t="s">
        <v>5020</v>
      </c>
      <c r="D3447" s="110">
        <v>2</v>
      </c>
      <c r="E3447" s="184">
        <v>1199</v>
      </c>
      <c r="F3447" s="735">
        <f t="shared" si="870"/>
        <v>2398</v>
      </c>
      <c r="G3447" s="735">
        <v>2.5979999999999999</v>
      </c>
      <c r="H3447" s="735">
        <f t="shared" si="871"/>
        <v>3115.002</v>
      </c>
      <c r="I3447" s="735">
        <f t="shared" si="872"/>
        <v>6230.0039999999999</v>
      </c>
      <c r="J3447" s="1066">
        <f t="shared" si="873"/>
        <v>31150.02</v>
      </c>
    </row>
    <row r="3448" spans="1:10">
      <c r="B3448" s="585">
        <v>46174</v>
      </c>
      <c r="C3448" s="110" t="s">
        <v>5020</v>
      </c>
      <c r="D3448" s="110">
        <v>2</v>
      </c>
      <c r="E3448" s="184">
        <v>1199</v>
      </c>
      <c r="F3448" s="735">
        <f t="shared" si="870"/>
        <v>2398</v>
      </c>
      <c r="G3448" s="735">
        <v>2.5979999999999999</v>
      </c>
      <c r="H3448" s="735">
        <f t="shared" si="871"/>
        <v>3115.002</v>
      </c>
      <c r="I3448" s="735">
        <f t="shared" si="872"/>
        <v>6230.0039999999999</v>
      </c>
      <c r="J3448" s="1066">
        <f t="shared" si="873"/>
        <v>37380.023999999998</v>
      </c>
    </row>
    <row r="3449" spans="1:10">
      <c r="B3449" s="737">
        <v>46174</v>
      </c>
      <c r="C3449" s="1066" t="s">
        <v>4681</v>
      </c>
      <c r="D3449" s="1066">
        <v>3</v>
      </c>
      <c r="E3449" s="613">
        <v>1897</v>
      </c>
      <c r="F3449" s="735">
        <f t="shared" si="870"/>
        <v>5691</v>
      </c>
      <c r="G3449" s="735">
        <v>2.5979999999999999</v>
      </c>
      <c r="H3449" s="735">
        <f t="shared" si="871"/>
        <v>4928.4059999999999</v>
      </c>
      <c r="I3449" s="735">
        <f t="shared" si="872"/>
        <v>14785.218000000001</v>
      </c>
      <c r="J3449" s="1066">
        <f t="shared" si="873"/>
        <v>52165.241999999998</v>
      </c>
    </row>
    <row r="3450" spans="1:10">
      <c r="B3450" s="737">
        <v>46174</v>
      </c>
      <c r="C3450" s="1066" t="s">
        <v>4681</v>
      </c>
      <c r="D3450" s="1066">
        <v>2</v>
      </c>
      <c r="E3450" s="613">
        <v>1897</v>
      </c>
      <c r="F3450" s="735">
        <f t="shared" si="870"/>
        <v>3794</v>
      </c>
      <c r="G3450" s="735">
        <v>2.5979999999999999</v>
      </c>
      <c r="H3450" s="735">
        <f t="shared" si="871"/>
        <v>4928.4059999999999</v>
      </c>
      <c r="I3450" s="735">
        <f t="shared" si="872"/>
        <v>9856.8119999999999</v>
      </c>
      <c r="J3450" s="1066">
        <f t="shared" si="873"/>
        <v>62022.053999999996</v>
      </c>
    </row>
    <row r="3451" spans="1:10">
      <c r="B3451" s="737">
        <v>46176</v>
      </c>
      <c r="C3451" s="1066" t="s">
        <v>4812</v>
      </c>
      <c r="D3451" s="1066">
        <v>18</v>
      </c>
      <c r="E3451" s="613">
        <v>1199</v>
      </c>
      <c r="F3451" s="735">
        <f t="shared" si="870"/>
        <v>21582</v>
      </c>
      <c r="G3451" s="735">
        <v>2.5979999999999999</v>
      </c>
      <c r="H3451" s="735">
        <f t="shared" si="871"/>
        <v>3115.002</v>
      </c>
      <c r="I3451" s="735">
        <f t="shared" si="872"/>
        <v>56070.036</v>
      </c>
      <c r="J3451" s="1066">
        <f t="shared" si="873"/>
        <v>118092.09</v>
      </c>
    </row>
    <row r="3452" spans="1:10">
      <c r="B3452" s="737">
        <v>46176</v>
      </c>
      <c r="C3452" s="1066" t="s">
        <v>4681</v>
      </c>
      <c r="D3452" s="1066">
        <v>4</v>
      </c>
      <c r="E3452" s="613">
        <v>1897</v>
      </c>
      <c r="F3452" s="735">
        <f t="shared" ref="F3452:F3455" si="874">E3452*D3452</f>
        <v>7588</v>
      </c>
      <c r="G3452" s="735">
        <v>2.5979999999999999</v>
      </c>
      <c r="H3452" s="735">
        <f t="shared" ref="H3452:H3455" si="875">E3452*G3452</f>
        <v>4928.4059999999999</v>
      </c>
      <c r="I3452" s="735">
        <f t="shared" ref="I3452:I3455" si="876">H3452*D3452</f>
        <v>19713.624</v>
      </c>
      <c r="J3452" s="1066">
        <f t="shared" ref="J3452:J3455" si="877">J3451+I3452</f>
        <v>137805.71400000001</v>
      </c>
    </row>
    <row r="3453" spans="1:10">
      <c r="B3453" s="737">
        <v>46176</v>
      </c>
      <c r="C3453" s="1066" t="s">
        <v>4681</v>
      </c>
      <c r="D3453" s="1066">
        <v>4</v>
      </c>
      <c r="E3453" s="613">
        <v>1897</v>
      </c>
      <c r="F3453" s="735">
        <f t="shared" si="874"/>
        <v>7588</v>
      </c>
      <c r="G3453" s="735">
        <v>2.5979999999999999</v>
      </c>
      <c r="H3453" s="735">
        <f t="shared" si="875"/>
        <v>4928.4059999999999</v>
      </c>
      <c r="I3453" s="735">
        <f t="shared" si="876"/>
        <v>19713.624</v>
      </c>
      <c r="J3453" s="1066">
        <f t="shared" si="877"/>
        <v>157519.33800000002</v>
      </c>
    </row>
    <row r="3454" spans="1:10">
      <c r="B3454" s="737">
        <v>46176</v>
      </c>
      <c r="C3454" s="1066" t="s">
        <v>4681</v>
      </c>
      <c r="D3454" s="1066">
        <v>2</v>
      </c>
      <c r="E3454" s="613">
        <v>1897</v>
      </c>
      <c r="F3454" s="735">
        <f t="shared" si="874"/>
        <v>3794</v>
      </c>
      <c r="G3454" s="735">
        <v>2.5979999999999999</v>
      </c>
      <c r="H3454" s="735">
        <f t="shared" si="875"/>
        <v>4928.4059999999999</v>
      </c>
      <c r="I3454" s="735">
        <f t="shared" si="876"/>
        <v>9856.8119999999999</v>
      </c>
      <c r="J3454" s="1066">
        <f t="shared" si="877"/>
        <v>167376.15000000002</v>
      </c>
    </row>
    <row r="3455" spans="1:10">
      <c r="B3455" s="737">
        <v>46176</v>
      </c>
      <c r="C3455" s="1066" t="s">
        <v>4681</v>
      </c>
      <c r="D3455" s="1066">
        <v>1</v>
      </c>
      <c r="E3455" s="613">
        <v>1987</v>
      </c>
      <c r="F3455" s="735">
        <f t="shared" si="874"/>
        <v>1987</v>
      </c>
      <c r="G3455" s="735">
        <v>2.5979999999999999</v>
      </c>
      <c r="H3455" s="735">
        <f t="shared" si="875"/>
        <v>5162.2259999999997</v>
      </c>
      <c r="I3455" s="735">
        <f t="shared" si="876"/>
        <v>5162.2259999999997</v>
      </c>
      <c r="J3455" s="1066">
        <f t="shared" si="877"/>
        <v>172538.37600000002</v>
      </c>
    </row>
    <row r="3462" spans="1:10" ht="21">
      <c r="A3462" s="1367" t="s">
        <v>125</v>
      </c>
      <c r="B3462" s="1520" t="s">
        <v>35</v>
      </c>
      <c r="C3462" s="1520"/>
      <c r="D3462" s="1520"/>
      <c r="E3462" s="1520"/>
      <c r="F3462" s="1520"/>
      <c r="G3462" s="1520"/>
      <c r="H3462" s="1520"/>
      <c r="I3462" s="1520"/>
      <c r="J3462" s="1520"/>
    </row>
    <row r="3463" spans="1:10" ht="18.75">
      <c r="A3463" s="1367" t="s">
        <v>212</v>
      </c>
      <c r="B3463" s="4" t="s">
        <v>1</v>
      </c>
      <c r="C3463" s="4" t="s">
        <v>2</v>
      </c>
      <c r="D3463" s="4" t="s">
        <v>3</v>
      </c>
      <c r="E3463" s="4" t="s">
        <v>4</v>
      </c>
      <c r="F3463" s="4" t="s">
        <v>36</v>
      </c>
      <c r="G3463" s="4" t="s">
        <v>5</v>
      </c>
      <c r="H3463" s="4" t="s">
        <v>6</v>
      </c>
      <c r="I3463" s="4" t="s">
        <v>7</v>
      </c>
      <c r="J3463" s="4"/>
    </row>
    <row r="3464" spans="1:10">
      <c r="B3464" s="737">
        <v>46181</v>
      </c>
      <c r="C3464" s="1066" t="s">
        <v>4804</v>
      </c>
      <c r="D3464" s="1066">
        <v>2</v>
      </c>
      <c r="E3464" s="613">
        <v>3299</v>
      </c>
      <c r="F3464" s="735">
        <f>E3464*D3464</f>
        <v>6598</v>
      </c>
      <c r="G3464" s="735">
        <v>2.14</v>
      </c>
      <c r="H3464" s="735">
        <f>E3464*G3464</f>
        <v>7059.8600000000006</v>
      </c>
      <c r="I3464" s="735">
        <f>H3464*D3464</f>
        <v>14119.720000000001</v>
      </c>
      <c r="J3464" s="1066">
        <f>J3463+I3464</f>
        <v>14119.720000000001</v>
      </c>
    </row>
    <row r="3465" spans="1:10">
      <c r="B3465" s="735"/>
      <c r="C3465" s="735"/>
      <c r="D3465" s="735"/>
      <c r="E3465" s="735"/>
      <c r="F3465" s="735">
        <f t="shared" ref="F3465" si="878">E3465*D3465</f>
        <v>0</v>
      </c>
      <c r="G3465" s="735"/>
      <c r="H3465" s="735">
        <f t="shared" ref="H3465" si="879">E3465*G3465</f>
        <v>0</v>
      </c>
      <c r="I3465" s="735">
        <f t="shared" ref="I3465" si="880">H3465*D3465</f>
        <v>0</v>
      </c>
      <c r="J3465" s="1066">
        <f t="shared" ref="J3465" si="881">J3464+I3465</f>
        <v>14119.720000000001</v>
      </c>
    </row>
    <row r="3472" spans="1:10" ht="21">
      <c r="A3472" s="1367" t="s">
        <v>125</v>
      </c>
      <c r="B3472" s="1520" t="s">
        <v>5085</v>
      </c>
      <c r="C3472" s="1520"/>
      <c r="D3472" s="1520"/>
      <c r="E3472" s="1520"/>
      <c r="F3472" s="1520"/>
      <c r="G3472" s="1520"/>
      <c r="H3472" s="1520"/>
      <c r="I3472" s="1520"/>
      <c r="J3472" s="1520"/>
    </row>
    <row r="3473" spans="1:10" ht="18.75">
      <c r="A3473" s="1367" t="s">
        <v>212</v>
      </c>
      <c r="B3473" s="4" t="s">
        <v>1</v>
      </c>
      <c r="C3473" s="4" t="s">
        <v>2</v>
      </c>
      <c r="D3473" s="4" t="s">
        <v>3</v>
      </c>
      <c r="E3473" s="4" t="s">
        <v>4</v>
      </c>
      <c r="F3473" s="4" t="s">
        <v>36</v>
      </c>
      <c r="G3473" s="4" t="s">
        <v>5</v>
      </c>
      <c r="H3473" s="4" t="s">
        <v>6</v>
      </c>
      <c r="I3473" s="4" t="s">
        <v>7</v>
      </c>
      <c r="J3473" s="4"/>
    </row>
    <row r="3474" spans="1:10">
      <c r="B3474" s="737">
        <v>46178</v>
      </c>
      <c r="C3474" s="1066" t="s">
        <v>5147</v>
      </c>
      <c r="D3474" s="1066">
        <v>20</v>
      </c>
      <c r="E3474" s="613">
        <v>398</v>
      </c>
      <c r="F3474" s="735">
        <f>E3474*D3474</f>
        <v>7960</v>
      </c>
      <c r="G3474" s="735">
        <v>2.5979999999999999</v>
      </c>
      <c r="H3474" s="735">
        <f>E3474*G3474</f>
        <v>1034.0039999999999</v>
      </c>
      <c r="I3474" s="735">
        <f>H3474*D3474</f>
        <v>20680.079999999998</v>
      </c>
      <c r="J3474" s="1066">
        <f>J3473+I3474</f>
        <v>20680.079999999998</v>
      </c>
    </row>
    <row r="3475" spans="1:10">
      <c r="B3475" s="737">
        <v>46178</v>
      </c>
      <c r="C3475" s="1066" t="s">
        <v>5148</v>
      </c>
      <c r="D3475" s="1066">
        <v>6</v>
      </c>
      <c r="E3475" s="613">
        <v>1199</v>
      </c>
      <c r="F3475" s="735">
        <f t="shared" ref="F3475" si="882">E3475*D3475</f>
        <v>7194</v>
      </c>
      <c r="G3475" s="735">
        <v>2.5979999999999999</v>
      </c>
      <c r="H3475" s="735">
        <f t="shared" ref="H3475" si="883">E3475*G3475</f>
        <v>3115.002</v>
      </c>
      <c r="I3475" s="735">
        <f t="shared" ref="I3475" si="884">H3475*D3475</f>
        <v>18690.011999999999</v>
      </c>
      <c r="J3475" s="1066">
        <f t="shared" ref="J3475" si="885">J3474+I3475</f>
        <v>39370.091999999997</v>
      </c>
    </row>
    <row r="3476" spans="1:10">
      <c r="B3476" s="735"/>
      <c r="C3476" s="735"/>
      <c r="D3476" s="735"/>
      <c r="E3476" s="735"/>
      <c r="F3476" s="735">
        <f t="shared" ref="F3476" si="886">E3476*D3476</f>
        <v>0</v>
      </c>
      <c r="G3476" s="735"/>
      <c r="H3476" s="735">
        <f t="shared" ref="H3476" si="887">E3476*G3476</f>
        <v>0</v>
      </c>
      <c r="I3476" s="735">
        <f t="shared" ref="I3476" si="888">H3476*D3476</f>
        <v>0</v>
      </c>
      <c r="J3476" s="1066">
        <f t="shared" ref="J3476" si="889">J3475+I3476</f>
        <v>39370.091999999997</v>
      </c>
    </row>
    <row r="3483" spans="1:10" ht="21">
      <c r="A3483" s="1375" t="s">
        <v>125</v>
      </c>
      <c r="B3483" s="1520" t="s">
        <v>5085</v>
      </c>
      <c r="C3483" s="1520"/>
      <c r="D3483" s="1520"/>
      <c r="E3483" s="1520"/>
      <c r="F3483" s="1520"/>
      <c r="G3483" s="1520"/>
      <c r="H3483" s="1520"/>
      <c r="I3483" s="1520"/>
      <c r="J3483" s="1520"/>
    </row>
    <row r="3484" spans="1:10" ht="18.75">
      <c r="A3484" s="1375" t="s">
        <v>212</v>
      </c>
      <c r="B3484" s="4" t="s">
        <v>1</v>
      </c>
      <c r="C3484" s="4" t="s">
        <v>2</v>
      </c>
      <c r="D3484" s="4" t="s">
        <v>3</v>
      </c>
      <c r="E3484" s="4" t="s">
        <v>4</v>
      </c>
      <c r="F3484" s="4" t="s">
        <v>36</v>
      </c>
      <c r="G3484" s="4" t="s">
        <v>5</v>
      </c>
      <c r="H3484" s="4" t="s">
        <v>6</v>
      </c>
      <c r="I3484" s="4" t="s">
        <v>7</v>
      </c>
      <c r="J3484" s="4"/>
    </row>
    <row r="3485" spans="1:10">
      <c r="B3485" s="1334">
        <v>46182</v>
      </c>
      <c r="C3485" s="1335" t="s">
        <v>5231</v>
      </c>
      <c r="D3485" s="1340">
        <v>2</v>
      </c>
      <c r="E3485" s="1340">
        <v>1199</v>
      </c>
      <c r="F3485" s="629">
        <f>E3485*D3485</f>
        <v>2398</v>
      </c>
      <c r="G3485" s="735">
        <v>2.56</v>
      </c>
      <c r="H3485" s="735">
        <f>E3485*G3485</f>
        <v>3069.44</v>
      </c>
      <c r="I3485" s="735">
        <f>H3485*D3485</f>
        <v>6138.88</v>
      </c>
      <c r="J3485" s="1066">
        <f>J3484+I3485</f>
        <v>6138.88</v>
      </c>
    </row>
    <row r="3486" spans="1:10">
      <c r="B3486" s="1336">
        <v>46182</v>
      </c>
      <c r="C3486" s="1337" t="s">
        <v>5232</v>
      </c>
      <c r="D3486" s="1341">
        <v>5</v>
      </c>
      <c r="E3486" s="1341">
        <v>1199</v>
      </c>
      <c r="F3486" s="629">
        <f t="shared" ref="F3486:F3493" si="890">E3486*D3486</f>
        <v>5995</v>
      </c>
      <c r="G3486" s="735">
        <v>2.56</v>
      </c>
      <c r="H3486" s="735">
        <f t="shared" ref="H3486:H3493" si="891">E3486*G3486</f>
        <v>3069.44</v>
      </c>
      <c r="I3486" s="735">
        <f t="shared" ref="I3486:I3493" si="892">H3486*D3486</f>
        <v>15347.2</v>
      </c>
      <c r="J3486" s="1066">
        <f t="shared" ref="J3486:J3493" si="893">J3485+I3486</f>
        <v>21486.080000000002</v>
      </c>
    </row>
    <row r="3487" spans="1:10">
      <c r="B3487" s="1334">
        <v>46182</v>
      </c>
      <c r="C3487" s="1335" t="s">
        <v>5233</v>
      </c>
      <c r="D3487" s="1340">
        <v>2</v>
      </c>
      <c r="E3487" s="1340">
        <v>1897</v>
      </c>
      <c r="F3487" s="629">
        <f t="shared" si="890"/>
        <v>3794</v>
      </c>
      <c r="G3487" s="735">
        <v>2.56</v>
      </c>
      <c r="H3487" s="735">
        <f t="shared" si="891"/>
        <v>4856.32</v>
      </c>
      <c r="I3487" s="735">
        <f t="shared" si="892"/>
        <v>9712.64</v>
      </c>
      <c r="J3487" s="1066">
        <f t="shared" si="893"/>
        <v>31198.720000000001</v>
      </c>
    </row>
    <row r="3488" spans="1:10">
      <c r="B3488" s="1336">
        <v>46182</v>
      </c>
      <c r="C3488" s="1337" t="s">
        <v>5234</v>
      </c>
      <c r="D3488" s="1341">
        <v>8</v>
      </c>
      <c r="E3488" s="1341">
        <v>119</v>
      </c>
      <c r="F3488" s="629">
        <f t="shared" si="890"/>
        <v>952</v>
      </c>
      <c r="G3488" s="735">
        <v>2.56</v>
      </c>
      <c r="H3488" s="735">
        <f t="shared" si="891"/>
        <v>304.64</v>
      </c>
      <c r="I3488" s="735">
        <f t="shared" si="892"/>
        <v>2437.12</v>
      </c>
      <c r="J3488" s="1066">
        <f t="shared" si="893"/>
        <v>33635.840000000004</v>
      </c>
    </row>
    <row r="3489" spans="1:10">
      <c r="B3489" s="1334">
        <v>46182</v>
      </c>
      <c r="C3489" s="1335" t="s">
        <v>5235</v>
      </c>
      <c r="D3489" s="1340">
        <v>19</v>
      </c>
      <c r="E3489" s="1340">
        <v>119</v>
      </c>
      <c r="F3489" s="629">
        <f t="shared" si="890"/>
        <v>2261</v>
      </c>
      <c r="G3489" s="735">
        <v>2.56</v>
      </c>
      <c r="H3489" s="735">
        <f t="shared" si="891"/>
        <v>304.64</v>
      </c>
      <c r="I3489" s="735">
        <f t="shared" si="892"/>
        <v>5788.16</v>
      </c>
      <c r="J3489" s="1066">
        <f t="shared" si="893"/>
        <v>39424</v>
      </c>
    </row>
    <row r="3490" spans="1:10">
      <c r="B3490" s="1336">
        <v>46182</v>
      </c>
      <c r="C3490" s="1337" t="s">
        <v>5236</v>
      </c>
      <c r="D3490" s="1341">
        <v>3</v>
      </c>
      <c r="E3490" s="1341">
        <v>112</v>
      </c>
      <c r="F3490" s="629">
        <f t="shared" si="890"/>
        <v>336</v>
      </c>
      <c r="G3490" s="735">
        <v>2.56</v>
      </c>
      <c r="H3490" s="735">
        <f t="shared" si="891"/>
        <v>286.72000000000003</v>
      </c>
      <c r="I3490" s="735">
        <f t="shared" si="892"/>
        <v>860.16000000000008</v>
      </c>
      <c r="J3490" s="1066">
        <f t="shared" si="893"/>
        <v>40284.160000000003</v>
      </c>
    </row>
    <row r="3491" spans="1:10">
      <c r="B3491" s="1334">
        <v>46182</v>
      </c>
      <c r="C3491" s="1335" t="s">
        <v>5236</v>
      </c>
      <c r="D3491" s="1340">
        <v>6</v>
      </c>
      <c r="E3491" s="1340">
        <v>119</v>
      </c>
      <c r="F3491" s="629">
        <f t="shared" si="890"/>
        <v>714</v>
      </c>
      <c r="G3491" s="735">
        <v>2.56</v>
      </c>
      <c r="H3491" s="735">
        <f t="shared" si="891"/>
        <v>304.64</v>
      </c>
      <c r="I3491" s="735">
        <f t="shared" si="892"/>
        <v>1827.84</v>
      </c>
      <c r="J3491" s="1066">
        <f t="shared" si="893"/>
        <v>42112</v>
      </c>
    </row>
    <row r="3492" spans="1:10">
      <c r="B3492" s="1384">
        <v>46183</v>
      </c>
      <c r="C3492" s="1385" t="s">
        <v>5237</v>
      </c>
      <c r="D3492" s="1383">
        <v>1</v>
      </c>
      <c r="E3492" s="1382">
        <v>64.569999999999993</v>
      </c>
      <c r="F3492" s="735">
        <f t="shared" si="890"/>
        <v>64.569999999999993</v>
      </c>
      <c r="G3492" s="735">
        <v>2.56</v>
      </c>
      <c r="H3492" s="735">
        <f t="shared" si="891"/>
        <v>165.29919999999998</v>
      </c>
      <c r="I3492" s="735">
        <f t="shared" si="892"/>
        <v>165.29919999999998</v>
      </c>
      <c r="J3492" s="1066">
        <f t="shared" si="893"/>
        <v>42277.299200000001</v>
      </c>
    </row>
    <row r="3493" spans="1:10">
      <c r="B3493" s="735"/>
      <c r="C3493" s="735"/>
      <c r="D3493" s="735"/>
      <c r="E3493" s="735"/>
      <c r="F3493" s="735">
        <f t="shared" si="890"/>
        <v>0</v>
      </c>
      <c r="G3493" s="735"/>
      <c r="H3493" s="735">
        <f t="shared" si="891"/>
        <v>0</v>
      </c>
      <c r="I3493" s="735">
        <f t="shared" si="892"/>
        <v>0</v>
      </c>
      <c r="J3493" s="1066">
        <f t="shared" si="893"/>
        <v>42277.299200000001</v>
      </c>
    </row>
    <row r="3501" spans="1:10" ht="21">
      <c r="A3501" s="1375" t="s">
        <v>125</v>
      </c>
      <c r="B3501" s="1520" t="s">
        <v>5085</v>
      </c>
      <c r="C3501" s="1520"/>
      <c r="D3501" s="1520"/>
      <c r="E3501" s="1520"/>
      <c r="F3501" s="1520"/>
      <c r="G3501" s="1520"/>
      <c r="H3501" s="1520"/>
      <c r="I3501" s="1520"/>
      <c r="J3501" s="1520"/>
    </row>
    <row r="3502" spans="1:10" ht="18.75">
      <c r="A3502" s="1375" t="s">
        <v>212</v>
      </c>
      <c r="B3502" s="4" t="s">
        <v>1</v>
      </c>
      <c r="C3502" s="4" t="s">
        <v>2</v>
      </c>
      <c r="D3502" s="4" t="s">
        <v>3</v>
      </c>
      <c r="E3502" s="4" t="s">
        <v>4</v>
      </c>
      <c r="F3502" s="4" t="s">
        <v>36</v>
      </c>
      <c r="G3502" s="4" t="s">
        <v>5</v>
      </c>
      <c r="H3502" s="4" t="s">
        <v>6</v>
      </c>
      <c r="I3502" s="4" t="s">
        <v>7</v>
      </c>
      <c r="J3502" s="4"/>
    </row>
    <row r="3503" spans="1:10">
      <c r="B3503" s="1334">
        <v>46183</v>
      </c>
      <c r="C3503" s="1335" t="s">
        <v>5238</v>
      </c>
      <c r="D3503" s="1340">
        <v>5</v>
      </c>
      <c r="E3503" s="1340">
        <v>113.05</v>
      </c>
      <c r="F3503" s="629">
        <f>E3503*D3503</f>
        <v>565.25</v>
      </c>
      <c r="G3503" s="735">
        <v>2.56</v>
      </c>
      <c r="H3503" s="735">
        <f>E3503*G3503</f>
        <v>289.40800000000002</v>
      </c>
      <c r="I3503" s="735">
        <f>H3503*D3503</f>
        <v>1447.04</v>
      </c>
      <c r="J3503" s="1066">
        <f>J3502+I3503</f>
        <v>1447.04</v>
      </c>
    </row>
    <row r="3504" spans="1:10">
      <c r="B3504" s="1336">
        <v>46183</v>
      </c>
      <c r="C3504" s="1337" t="s">
        <v>5238</v>
      </c>
      <c r="D3504" s="1341">
        <v>1</v>
      </c>
      <c r="E3504" s="1341">
        <v>115.05</v>
      </c>
      <c r="F3504" s="629">
        <f t="shared" ref="F3504:F3511" si="894">E3504*D3504</f>
        <v>115.05</v>
      </c>
      <c r="G3504" s="735">
        <v>2.56</v>
      </c>
      <c r="H3504" s="735">
        <f t="shared" ref="H3504:H3511" si="895">E3504*G3504</f>
        <v>294.52800000000002</v>
      </c>
      <c r="I3504" s="735">
        <f t="shared" ref="I3504:I3511" si="896">H3504*D3504</f>
        <v>294.52800000000002</v>
      </c>
      <c r="J3504" s="1066">
        <f t="shared" ref="J3504:J3511" si="897">J3503+I3504</f>
        <v>1741.568</v>
      </c>
    </row>
    <row r="3505" spans="2:10">
      <c r="B3505" s="1334">
        <v>46183</v>
      </c>
      <c r="C3505" s="1335" t="s">
        <v>5239</v>
      </c>
      <c r="D3505" s="1340">
        <v>8</v>
      </c>
      <c r="E3505" s="1340">
        <v>119</v>
      </c>
      <c r="F3505" s="629">
        <f t="shared" si="894"/>
        <v>952</v>
      </c>
      <c r="G3505" s="735">
        <v>2.56</v>
      </c>
      <c r="H3505" s="735">
        <f t="shared" si="895"/>
        <v>304.64</v>
      </c>
      <c r="I3505" s="735">
        <f t="shared" si="896"/>
        <v>2437.12</v>
      </c>
      <c r="J3505" s="1066">
        <f t="shared" si="897"/>
        <v>4178.6880000000001</v>
      </c>
    </row>
    <row r="3506" spans="2:10">
      <c r="B3506" s="1336">
        <v>46183</v>
      </c>
      <c r="C3506" s="1337" t="s">
        <v>5240</v>
      </c>
      <c r="D3506" s="1341">
        <v>4</v>
      </c>
      <c r="E3506" s="1341">
        <v>119</v>
      </c>
      <c r="F3506" s="629">
        <f t="shared" si="894"/>
        <v>476</v>
      </c>
      <c r="G3506" s="735">
        <v>2.56</v>
      </c>
      <c r="H3506" s="735">
        <f t="shared" si="895"/>
        <v>304.64</v>
      </c>
      <c r="I3506" s="735">
        <f t="shared" si="896"/>
        <v>1218.56</v>
      </c>
      <c r="J3506" s="1066">
        <f t="shared" si="897"/>
        <v>5397.2479999999996</v>
      </c>
    </row>
    <row r="3507" spans="2:10">
      <c r="B3507" s="1334">
        <v>46183</v>
      </c>
      <c r="C3507" s="1335" t="s">
        <v>5241</v>
      </c>
      <c r="D3507" s="1340">
        <v>4</v>
      </c>
      <c r="E3507" s="1340">
        <v>119</v>
      </c>
      <c r="F3507" s="629">
        <f t="shared" si="894"/>
        <v>476</v>
      </c>
      <c r="G3507" s="735">
        <v>2.56</v>
      </c>
      <c r="H3507" s="735">
        <f t="shared" si="895"/>
        <v>304.64</v>
      </c>
      <c r="I3507" s="735">
        <f t="shared" si="896"/>
        <v>1218.56</v>
      </c>
      <c r="J3507" s="1066">
        <f t="shared" si="897"/>
        <v>6615.8079999999991</v>
      </c>
    </row>
    <row r="3508" spans="2:10">
      <c r="B3508" s="1336">
        <v>46183</v>
      </c>
      <c r="C3508" s="1337" t="s">
        <v>5242</v>
      </c>
      <c r="D3508" s="1341">
        <v>2</v>
      </c>
      <c r="E3508" s="1341">
        <v>1199</v>
      </c>
      <c r="F3508" s="629">
        <f t="shared" si="894"/>
        <v>2398</v>
      </c>
      <c r="G3508" s="735">
        <v>2.56</v>
      </c>
      <c r="H3508" s="735">
        <f t="shared" si="895"/>
        <v>3069.44</v>
      </c>
      <c r="I3508" s="735">
        <f t="shared" si="896"/>
        <v>6138.88</v>
      </c>
      <c r="J3508" s="1066">
        <f t="shared" si="897"/>
        <v>12754.687999999998</v>
      </c>
    </row>
    <row r="3509" spans="2:10">
      <c r="B3509" s="1334">
        <v>46183</v>
      </c>
      <c r="C3509" s="1335" t="s">
        <v>5243</v>
      </c>
      <c r="D3509" s="1340">
        <v>4</v>
      </c>
      <c r="E3509" s="1340">
        <v>119</v>
      </c>
      <c r="F3509" s="629">
        <f t="shared" si="894"/>
        <v>476</v>
      </c>
      <c r="G3509" s="735">
        <v>2.56</v>
      </c>
      <c r="H3509" s="735">
        <f t="shared" si="895"/>
        <v>304.64</v>
      </c>
      <c r="I3509" s="735">
        <f t="shared" si="896"/>
        <v>1218.56</v>
      </c>
      <c r="J3509" s="1066">
        <f t="shared" si="897"/>
        <v>13973.247999999998</v>
      </c>
    </row>
    <row r="3510" spans="2:10">
      <c r="B3510" s="1336">
        <v>46183</v>
      </c>
      <c r="C3510" s="1337" t="s">
        <v>5244</v>
      </c>
      <c r="D3510" s="1341">
        <v>1</v>
      </c>
      <c r="E3510" s="1341">
        <v>1897</v>
      </c>
      <c r="F3510" s="629">
        <f t="shared" si="894"/>
        <v>1897</v>
      </c>
      <c r="G3510" s="735">
        <v>2.56</v>
      </c>
      <c r="H3510" s="735">
        <f t="shared" si="895"/>
        <v>4856.32</v>
      </c>
      <c r="I3510" s="735">
        <f t="shared" si="896"/>
        <v>4856.32</v>
      </c>
      <c r="J3510" s="1066">
        <f t="shared" si="897"/>
        <v>18829.567999999999</v>
      </c>
    </row>
    <row r="3511" spans="2:10">
      <c r="B3511" s="1334">
        <v>46183</v>
      </c>
      <c r="C3511" s="1335" t="s">
        <v>5245</v>
      </c>
      <c r="D3511" s="1340">
        <v>7</v>
      </c>
      <c r="E3511" s="1340">
        <v>112.1</v>
      </c>
      <c r="F3511" s="629">
        <f t="shared" si="894"/>
        <v>784.69999999999993</v>
      </c>
      <c r="G3511" s="735">
        <v>2.56</v>
      </c>
      <c r="H3511" s="735">
        <f t="shared" si="895"/>
        <v>286.976</v>
      </c>
      <c r="I3511" s="735">
        <f t="shared" si="896"/>
        <v>2008.8319999999999</v>
      </c>
      <c r="J3511" s="1066">
        <f t="shared" si="897"/>
        <v>20838.399999999998</v>
      </c>
    </row>
    <row r="3512" spans="2:10">
      <c r="B3512" s="1336">
        <v>46183</v>
      </c>
      <c r="C3512" s="1337" t="s">
        <v>5246</v>
      </c>
      <c r="D3512" s="1341">
        <v>2</v>
      </c>
      <c r="E3512" s="1341">
        <v>119</v>
      </c>
      <c r="F3512" s="629">
        <f t="shared" ref="F3512:F3519" si="898">E3512*D3512</f>
        <v>238</v>
      </c>
      <c r="G3512" s="735">
        <v>2.56</v>
      </c>
      <c r="H3512" s="735">
        <f t="shared" ref="H3512:H3519" si="899">E3512*G3512</f>
        <v>304.64</v>
      </c>
      <c r="I3512" s="735">
        <f t="shared" ref="I3512:I3519" si="900">H3512*D3512</f>
        <v>609.28</v>
      </c>
      <c r="J3512" s="1066">
        <f t="shared" ref="J3512:J3519" si="901">J3511+I3512</f>
        <v>21447.679999999997</v>
      </c>
    </row>
    <row r="3513" spans="2:10">
      <c r="B3513" s="1334">
        <v>46183</v>
      </c>
      <c r="C3513" s="1335" t="s">
        <v>5247</v>
      </c>
      <c r="D3513" s="1340">
        <v>4</v>
      </c>
      <c r="E3513" s="1340">
        <v>119</v>
      </c>
      <c r="F3513" s="629">
        <f t="shared" si="898"/>
        <v>476</v>
      </c>
      <c r="G3513" s="735">
        <v>2.56</v>
      </c>
      <c r="H3513" s="735">
        <f t="shared" si="899"/>
        <v>304.64</v>
      </c>
      <c r="I3513" s="735">
        <f t="shared" si="900"/>
        <v>1218.56</v>
      </c>
      <c r="J3513" s="1066">
        <f t="shared" si="901"/>
        <v>22666.239999999998</v>
      </c>
    </row>
    <row r="3514" spans="2:10">
      <c r="B3514" s="1336">
        <v>46183</v>
      </c>
      <c r="C3514" s="1337" t="s">
        <v>5099</v>
      </c>
      <c r="D3514" s="1341">
        <v>4</v>
      </c>
      <c r="E3514" s="1341">
        <v>1199</v>
      </c>
      <c r="F3514" s="629">
        <f t="shared" si="898"/>
        <v>4796</v>
      </c>
      <c r="G3514" s="735">
        <v>2.56</v>
      </c>
      <c r="H3514" s="735">
        <f t="shared" si="899"/>
        <v>3069.44</v>
      </c>
      <c r="I3514" s="735">
        <f t="shared" si="900"/>
        <v>12277.76</v>
      </c>
      <c r="J3514" s="1066">
        <f t="shared" si="901"/>
        <v>34944</v>
      </c>
    </row>
    <row r="3515" spans="2:10">
      <c r="B3515" s="1334">
        <v>46183</v>
      </c>
      <c r="C3515" s="1335" t="s">
        <v>5248</v>
      </c>
      <c r="D3515" s="1340">
        <v>6</v>
      </c>
      <c r="E3515" s="1340">
        <v>112.1</v>
      </c>
      <c r="F3515" s="629">
        <f t="shared" si="898"/>
        <v>672.59999999999991</v>
      </c>
      <c r="G3515" s="735">
        <v>2.56</v>
      </c>
      <c r="H3515" s="735">
        <f t="shared" si="899"/>
        <v>286.976</v>
      </c>
      <c r="I3515" s="735">
        <f t="shared" si="900"/>
        <v>1721.856</v>
      </c>
      <c r="J3515" s="1066">
        <f t="shared" si="901"/>
        <v>36665.856</v>
      </c>
    </row>
    <row r="3516" spans="2:10">
      <c r="B3516" s="1336">
        <v>46183</v>
      </c>
      <c r="C3516" s="1337" t="s">
        <v>5248</v>
      </c>
      <c r="D3516" s="1341">
        <v>7</v>
      </c>
      <c r="E3516" s="1341">
        <v>119</v>
      </c>
      <c r="F3516" s="629">
        <f t="shared" si="898"/>
        <v>833</v>
      </c>
      <c r="G3516" s="735">
        <v>2.56</v>
      </c>
      <c r="H3516" s="735">
        <f t="shared" si="899"/>
        <v>304.64</v>
      </c>
      <c r="I3516" s="735">
        <f t="shared" si="900"/>
        <v>2132.48</v>
      </c>
      <c r="J3516" s="1066">
        <f t="shared" si="901"/>
        <v>38798.336000000003</v>
      </c>
    </row>
    <row r="3517" spans="2:10">
      <c r="B3517" s="1334">
        <v>46183</v>
      </c>
      <c r="C3517" s="1335" t="s">
        <v>5249</v>
      </c>
      <c r="D3517" s="1340">
        <v>1</v>
      </c>
      <c r="E3517" s="1340">
        <v>1897</v>
      </c>
      <c r="F3517" s="629">
        <f t="shared" si="898"/>
        <v>1897</v>
      </c>
      <c r="G3517" s="735">
        <v>2.56</v>
      </c>
      <c r="H3517" s="735">
        <f t="shared" si="899"/>
        <v>4856.32</v>
      </c>
      <c r="I3517" s="735">
        <f t="shared" si="900"/>
        <v>4856.32</v>
      </c>
      <c r="J3517" s="1066">
        <f t="shared" si="901"/>
        <v>43654.656000000003</v>
      </c>
    </row>
    <row r="3518" spans="2:10">
      <c r="B3518" s="1336">
        <v>46183</v>
      </c>
      <c r="C3518" s="1337" t="s">
        <v>5250</v>
      </c>
      <c r="D3518" s="1341">
        <v>1</v>
      </c>
      <c r="E3518" s="1341">
        <v>1897</v>
      </c>
      <c r="F3518" s="629">
        <f t="shared" si="898"/>
        <v>1897</v>
      </c>
      <c r="G3518" s="735">
        <v>2.56</v>
      </c>
      <c r="H3518" s="735">
        <f t="shared" si="899"/>
        <v>4856.32</v>
      </c>
      <c r="I3518" s="735">
        <f t="shared" si="900"/>
        <v>4856.32</v>
      </c>
      <c r="J3518" s="1066">
        <f t="shared" si="901"/>
        <v>48510.976000000002</v>
      </c>
    </row>
    <row r="3519" spans="2:10">
      <c r="B3519" s="1334">
        <v>46183</v>
      </c>
      <c r="C3519" s="1335" t="s">
        <v>5251</v>
      </c>
      <c r="D3519" s="1340">
        <v>3</v>
      </c>
      <c r="E3519" s="1340">
        <v>1897</v>
      </c>
      <c r="F3519" s="629">
        <f t="shared" si="898"/>
        <v>5691</v>
      </c>
      <c r="G3519" s="735">
        <v>2.56</v>
      </c>
      <c r="H3519" s="735">
        <f t="shared" si="899"/>
        <v>4856.32</v>
      </c>
      <c r="I3519" s="735">
        <f t="shared" si="900"/>
        <v>14568.96</v>
      </c>
      <c r="J3519" s="1066">
        <f t="shared" si="901"/>
        <v>63079.936000000002</v>
      </c>
    </row>
    <row r="3520" spans="2:10">
      <c r="B3520" s="1336">
        <v>46183</v>
      </c>
      <c r="C3520" s="1337" t="s">
        <v>5252</v>
      </c>
      <c r="D3520" s="1341">
        <v>2</v>
      </c>
      <c r="E3520" s="1341">
        <v>1897</v>
      </c>
      <c r="F3520" s="629">
        <f t="shared" ref="F3520:F3522" si="902">E3520*D3520</f>
        <v>3794</v>
      </c>
      <c r="G3520" s="735">
        <v>2.56</v>
      </c>
      <c r="H3520" s="735">
        <f t="shared" ref="H3520:H3522" si="903">E3520*G3520</f>
        <v>4856.32</v>
      </c>
      <c r="I3520" s="735">
        <f t="shared" ref="I3520:I3522" si="904">H3520*D3520</f>
        <v>9712.64</v>
      </c>
      <c r="J3520" s="1066">
        <f t="shared" ref="J3520:J3522" si="905">J3519+I3520</f>
        <v>72792.576000000001</v>
      </c>
    </row>
    <row r="3521" spans="1:10">
      <c r="B3521" s="1334">
        <v>46183</v>
      </c>
      <c r="C3521" s="1335" t="s">
        <v>5253</v>
      </c>
      <c r="D3521" s="1340">
        <v>4</v>
      </c>
      <c r="E3521" s="1340">
        <v>119</v>
      </c>
      <c r="F3521" s="629">
        <f t="shared" si="902"/>
        <v>476</v>
      </c>
      <c r="G3521" s="735">
        <v>2.56</v>
      </c>
      <c r="H3521" s="735">
        <f t="shared" si="903"/>
        <v>304.64</v>
      </c>
      <c r="I3521" s="735">
        <f t="shared" si="904"/>
        <v>1218.56</v>
      </c>
      <c r="J3521" s="1066">
        <f t="shared" si="905"/>
        <v>74011.135999999999</v>
      </c>
    </row>
    <row r="3522" spans="1:10">
      <c r="B3522" s="384"/>
      <c r="C3522" s="384"/>
      <c r="D3522" s="384"/>
      <c r="E3522" s="384"/>
      <c r="F3522" s="735">
        <f t="shared" si="902"/>
        <v>0</v>
      </c>
      <c r="G3522" s="735"/>
      <c r="H3522" s="735">
        <f t="shared" si="903"/>
        <v>0</v>
      </c>
      <c r="I3522" s="735">
        <f t="shared" si="904"/>
        <v>0</v>
      </c>
      <c r="J3522" s="1066">
        <f t="shared" si="905"/>
        <v>74011.135999999999</v>
      </c>
    </row>
    <row r="3528" spans="1:10" ht="21">
      <c r="A3528" s="1375" t="s">
        <v>125</v>
      </c>
      <c r="B3528" s="1520" t="s">
        <v>5254</v>
      </c>
      <c r="C3528" s="1520"/>
      <c r="D3528" s="1520"/>
      <c r="E3528" s="1520"/>
      <c r="F3528" s="1520"/>
      <c r="G3528" s="1520"/>
      <c r="H3528" s="1520"/>
      <c r="I3528" s="1520"/>
      <c r="J3528" s="1520"/>
    </row>
    <row r="3529" spans="1:10" ht="18.75">
      <c r="A3529" s="1375" t="s">
        <v>212</v>
      </c>
      <c r="B3529" s="4" t="s">
        <v>1</v>
      </c>
      <c r="C3529" s="4" t="s">
        <v>2</v>
      </c>
      <c r="D3529" s="4" t="s">
        <v>3</v>
      </c>
      <c r="E3529" s="4" t="s">
        <v>4</v>
      </c>
      <c r="F3529" s="4" t="s">
        <v>36</v>
      </c>
      <c r="G3529" s="4" t="s">
        <v>5</v>
      </c>
      <c r="H3529" s="4" t="s">
        <v>6</v>
      </c>
      <c r="I3529" s="4" t="s">
        <v>7</v>
      </c>
      <c r="J3529" s="4"/>
    </row>
    <row r="3530" spans="1:10">
      <c r="B3530" s="1386">
        <v>46157</v>
      </c>
      <c r="C3530" s="1335" t="s">
        <v>5320</v>
      </c>
      <c r="D3530" s="1340">
        <v>2</v>
      </c>
      <c r="E3530" s="1340">
        <v>1199</v>
      </c>
      <c r="F3530" s="735">
        <f t="shared" ref="F3530:F3540" si="906">E3530*D3530</f>
        <v>2398</v>
      </c>
      <c r="G3530" s="735">
        <v>2.5979999999999999</v>
      </c>
      <c r="H3530" s="735">
        <f t="shared" ref="H3530:H3540" si="907">E3530*G3530</f>
        <v>3115.002</v>
      </c>
      <c r="I3530" s="735">
        <f t="shared" ref="I3530:I3540" si="908">H3530*D3530</f>
        <v>6230.0039999999999</v>
      </c>
      <c r="J3530" s="1066">
        <f>J3529+I3530</f>
        <v>6230.0039999999999</v>
      </c>
    </row>
    <row r="3531" spans="1:10">
      <c r="B3531" s="1387">
        <v>46159</v>
      </c>
      <c r="C3531" s="1337" t="s">
        <v>5321</v>
      </c>
      <c r="D3531" s="1341">
        <v>2</v>
      </c>
      <c r="E3531" s="1341">
        <v>1199</v>
      </c>
      <c r="F3531" s="735">
        <f t="shared" si="906"/>
        <v>2398</v>
      </c>
      <c r="G3531" s="735">
        <v>2.5979999999999999</v>
      </c>
      <c r="H3531" s="735">
        <f t="shared" si="907"/>
        <v>3115.002</v>
      </c>
      <c r="I3531" s="735">
        <f t="shared" si="908"/>
        <v>6230.0039999999999</v>
      </c>
      <c r="J3531" s="1066">
        <f t="shared" ref="J3531:J3538" si="909">J3530+I3531</f>
        <v>12460.008</v>
      </c>
    </row>
    <row r="3532" spans="1:10">
      <c r="B3532" s="1386">
        <v>46159</v>
      </c>
      <c r="C3532" s="1335" t="s">
        <v>5322</v>
      </c>
      <c r="D3532" s="1340">
        <v>2</v>
      </c>
      <c r="E3532" s="1340">
        <v>1199</v>
      </c>
      <c r="F3532" s="735">
        <f t="shared" si="906"/>
        <v>2398</v>
      </c>
      <c r="G3532" s="735">
        <v>2.5979999999999999</v>
      </c>
      <c r="H3532" s="735">
        <f t="shared" si="907"/>
        <v>3115.002</v>
      </c>
      <c r="I3532" s="735">
        <f t="shared" si="908"/>
        <v>6230.0039999999999</v>
      </c>
      <c r="J3532" s="1066">
        <f t="shared" si="909"/>
        <v>18690.011999999999</v>
      </c>
    </row>
    <row r="3533" spans="1:10">
      <c r="B3533" s="1387">
        <v>46159</v>
      </c>
      <c r="C3533" s="1337" t="s">
        <v>5323</v>
      </c>
      <c r="D3533" s="1341">
        <v>2</v>
      </c>
      <c r="E3533" s="1341">
        <v>1194</v>
      </c>
      <c r="F3533" s="735">
        <f t="shared" si="906"/>
        <v>2388</v>
      </c>
      <c r="G3533" s="735">
        <v>2.5979999999999999</v>
      </c>
      <c r="H3533" s="735">
        <f t="shared" si="907"/>
        <v>3102.0119999999997</v>
      </c>
      <c r="I3533" s="735">
        <f t="shared" si="908"/>
        <v>6204.0239999999994</v>
      </c>
      <c r="J3533" s="1066">
        <f t="shared" si="909"/>
        <v>24894.036</v>
      </c>
    </row>
    <row r="3534" spans="1:10">
      <c r="B3534" s="1386">
        <v>46162</v>
      </c>
      <c r="C3534" s="1335" t="s">
        <v>5324</v>
      </c>
      <c r="D3534" s="1340">
        <v>4</v>
      </c>
      <c r="E3534" s="1340">
        <v>1199</v>
      </c>
      <c r="F3534" s="735">
        <f t="shared" si="906"/>
        <v>4796</v>
      </c>
      <c r="G3534" s="735">
        <v>2.5979999999999999</v>
      </c>
      <c r="H3534" s="735">
        <f t="shared" si="907"/>
        <v>3115.002</v>
      </c>
      <c r="I3534" s="735">
        <f t="shared" si="908"/>
        <v>12460.008</v>
      </c>
      <c r="J3534" s="1066">
        <f t="shared" si="909"/>
        <v>37354.044000000002</v>
      </c>
    </row>
    <row r="3535" spans="1:10">
      <c r="B3535" s="1387">
        <v>46162</v>
      </c>
      <c r="C3535" s="1337" t="s">
        <v>5320</v>
      </c>
      <c r="D3535" s="1341">
        <v>4</v>
      </c>
      <c r="E3535" s="1341">
        <v>1199</v>
      </c>
      <c r="F3535" s="735">
        <f t="shared" si="906"/>
        <v>4796</v>
      </c>
      <c r="G3535" s="735">
        <v>2.5979999999999999</v>
      </c>
      <c r="H3535" s="735">
        <f t="shared" si="907"/>
        <v>3115.002</v>
      </c>
      <c r="I3535" s="735">
        <f t="shared" si="908"/>
        <v>12460.008</v>
      </c>
      <c r="J3535" s="1066">
        <f t="shared" si="909"/>
        <v>49814.052000000003</v>
      </c>
    </row>
    <row r="3536" spans="1:10">
      <c r="B3536" s="1386">
        <v>46163</v>
      </c>
      <c r="C3536" s="1335" t="s">
        <v>5325</v>
      </c>
      <c r="D3536" s="1340">
        <v>1</v>
      </c>
      <c r="E3536" s="1340">
        <v>1199</v>
      </c>
      <c r="F3536" s="735">
        <f t="shared" si="906"/>
        <v>1199</v>
      </c>
      <c r="G3536" s="735">
        <v>2.5979999999999999</v>
      </c>
      <c r="H3536" s="735">
        <f t="shared" si="907"/>
        <v>3115.002</v>
      </c>
      <c r="I3536" s="735">
        <f t="shared" si="908"/>
        <v>3115.002</v>
      </c>
      <c r="J3536" s="1066">
        <f t="shared" si="909"/>
        <v>52929.054000000004</v>
      </c>
    </row>
    <row r="3537" spans="1:10">
      <c r="B3537" s="1387">
        <v>46164</v>
      </c>
      <c r="C3537" s="1337" t="s">
        <v>4124</v>
      </c>
      <c r="D3537" s="1341">
        <v>3</v>
      </c>
      <c r="E3537" s="1341">
        <v>1199</v>
      </c>
      <c r="F3537" s="735">
        <f t="shared" si="906"/>
        <v>3597</v>
      </c>
      <c r="G3537" s="735">
        <v>2.5979999999999999</v>
      </c>
      <c r="H3537" s="735">
        <f t="shared" si="907"/>
        <v>3115.002</v>
      </c>
      <c r="I3537" s="735">
        <f t="shared" si="908"/>
        <v>9345.0059999999994</v>
      </c>
      <c r="J3537" s="1066">
        <f t="shared" si="909"/>
        <v>62274.060000000005</v>
      </c>
    </row>
    <row r="3538" spans="1:10">
      <c r="B3538" s="1386">
        <v>46171</v>
      </c>
      <c r="C3538" s="1335" t="s">
        <v>5255</v>
      </c>
      <c r="D3538" s="1340">
        <v>3</v>
      </c>
      <c r="E3538" s="1340">
        <v>357.3</v>
      </c>
      <c r="F3538" s="735">
        <f t="shared" si="906"/>
        <v>1071.9000000000001</v>
      </c>
      <c r="G3538" s="735">
        <v>2.5979999999999999</v>
      </c>
      <c r="H3538" s="735">
        <f t="shared" si="907"/>
        <v>928.2654</v>
      </c>
      <c r="I3538" s="735">
        <f t="shared" si="908"/>
        <v>2784.7961999999998</v>
      </c>
      <c r="J3538" s="1066">
        <f t="shared" si="909"/>
        <v>65058.856200000002</v>
      </c>
    </row>
    <row r="3539" spans="1:10">
      <c r="B3539" s="1387">
        <v>46173</v>
      </c>
      <c r="C3539" s="1337" t="s">
        <v>5255</v>
      </c>
      <c r="D3539" s="1341">
        <v>1</v>
      </c>
      <c r="E3539" s="1341">
        <v>357.3</v>
      </c>
      <c r="F3539" s="735">
        <f t="shared" si="906"/>
        <v>357.3</v>
      </c>
      <c r="G3539" s="735">
        <v>2.5979999999999999</v>
      </c>
      <c r="H3539" s="735">
        <f t="shared" si="907"/>
        <v>928.2654</v>
      </c>
      <c r="I3539" s="735">
        <f t="shared" si="908"/>
        <v>928.2654</v>
      </c>
      <c r="J3539" s="1066">
        <f t="shared" ref="J3539:J3542" si="910">J3538+I3539</f>
        <v>65987.121599999999</v>
      </c>
    </row>
    <row r="3540" spans="1:10">
      <c r="B3540" s="1386">
        <v>46173</v>
      </c>
      <c r="C3540" s="1335" t="s">
        <v>5255</v>
      </c>
      <c r="D3540" s="1340">
        <v>3</v>
      </c>
      <c r="E3540" s="1340">
        <v>359.1</v>
      </c>
      <c r="F3540" s="735">
        <f t="shared" si="906"/>
        <v>1077.3000000000002</v>
      </c>
      <c r="G3540" s="735">
        <v>2.5979999999999999</v>
      </c>
      <c r="H3540" s="735">
        <f t="shared" si="907"/>
        <v>932.94180000000006</v>
      </c>
      <c r="I3540" s="735">
        <f t="shared" si="908"/>
        <v>2798.8254000000002</v>
      </c>
      <c r="J3540" s="1066">
        <f t="shared" si="910"/>
        <v>68785.947</v>
      </c>
    </row>
    <row r="3541" spans="1:10">
      <c r="B3541" s="1386">
        <v>46163</v>
      </c>
      <c r="C3541" s="1337" t="s">
        <v>4124</v>
      </c>
      <c r="D3541" s="1383">
        <v>2</v>
      </c>
      <c r="E3541" s="1383">
        <v>1199</v>
      </c>
      <c r="F3541" s="384">
        <f t="shared" ref="F3541:F3542" si="911">E3541*D3541</f>
        <v>2398</v>
      </c>
      <c r="G3541" s="735">
        <v>2.5979999999999999</v>
      </c>
      <c r="H3541" s="735">
        <f t="shared" ref="H3541:H3542" si="912">E3541*G3541</f>
        <v>3115.002</v>
      </c>
      <c r="I3541" s="735">
        <f t="shared" ref="I3541:I3542" si="913">H3541*D3541</f>
        <v>6230.0039999999999</v>
      </c>
      <c r="J3541" s="1066">
        <f t="shared" si="910"/>
        <v>75015.951000000001</v>
      </c>
    </row>
    <row r="3542" spans="1:10">
      <c r="B3542" s="735"/>
      <c r="C3542" s="735"/>
      <c r="D3542" s="735"/>
      <c r="E3542" s="735"/>
      <c r="F3542" s="735">
        <f t="shared" si="911"/>
        <v>0</v>
      </c>
      <c r="G3542" s="735"/>
      <c r="H3542" s="735">
        <f t="shared" si="912"/>
        <v>0</v>
      </c>
      <c r="I3542" s="735">
        <f t="shared" si="913"/>
        <v>0</v>
      </c>
      <c r="J3542" s="1066">
        <f t="shared" si="910"/>
        <v>75015.951000000001</v>
      </c>
    </row>
    <row r="3546" spans="1:10" ht="21">
      <c r="A3546" s="1392" t="s">
        <v>125</v>
      </c>
      <c r="B3546" s="1520" t="s">
        <v>35</v>
      </c>
      <c r="C3546" s="1520"/>
      <c r="D3546" s="1520"/>
      <c r="E3546" s="1520"/>
      <c r="F3546" s="1520"/>
      <c r="G3546" s="1520"/>
      <c r="H3546" s="1520"/>
      <c r="I3546" s="1520"/>
      <c r="J3546" s="1520"/>
    </row>
    <row r="3547" spans="1:10" ht="18.75">
      <c r="A3547" s="1392" t="s">
        <v>212</v>
      </c>
      <c r="B3547" s="4" t="s">
        <v>1</v>
      </c>
      <c r="C3547" s="4" t="s">
        <v>2</v>
      </c>
      <c r="D3547" s="4" t="s">
        <v>3</v>
      </c>
      <c r="E3547" s="4" t="s">
        <v>4</v>
      </c>
      <c r="F3547" s="4" t="s">
        <v>36</v>
      </c>
      <c r="G3547" s="4" t="s">
        <v>5</v>
      </c>
      <c r="H3547" s="4" t="s">
        <v>6</v>
      </c>
      <c r="I3547" s="4" t="s">
        <v>7</v>
      </c>
      <c r="J3547" s="4"/>
    </row>
    <row r="3548" spans="1:10">
      <c r="B3548" s="737">
        <v>46187</v>
      </c>
      <c r="C3548" s="1066" t="s">
        <v>5301</v>
      </c>
      <c r="D3548" s="735">
        <v>2</v>
      </c>
      <c r="E3548" s="735">
        <v>3310</v>
      </c>
      <c r="F3548" s="735">
        <f>E3548*D3548</f>
        <v>6620</v>
      </c>
      <c r="G3548" s="735">
        <v>2.1800000000000002</v>
      </c>
      <c r="H3548" s="735">
        <f>E3548*G3548</f>
        <v>7215.8</v>
      </c>
      <c r="I3548" s="735">
        <f>H3548*D3548</f>
        <v>14431.6</v>
      </c>
      <c r="J3548" s="1066">
        <f>J3547+I3548</f>
        <v>14431.6</v>
      </c>
    </row>
    <row r="3549" spans="1:10">
      <c r="B3549" s="594">
        <v>46190</v>
      </c>
      <c r="C3549" s="1397" t="s">
        <v>5302</v>
      </c>
      <c r="D3549" s="596">
        <v>1</v>
      </c>
      <c r="E3549" s="596">
        <v>2575</v>
      </c>
      <c r="F3549" s="596">
        <f t="shared" ref="F3549:F3550" si="914">E3549*D3549</f>
        <v>2575</v>
      </c>
      <c r="G3549" s="596">
        <v>2.1800000000000002</v>
      </c>
      <c r="H3549" s="596">
        <f t="shared" ref="H3549:H3550" si="915">E3549*G3549</f>
        <v>5613.5</v>
      </c>
      <c r="I3549" s="596">
        <f t="shared" ref="I3549:I3550" si="916">H3549*D3549</f>
        <v>5613.5</v>
      </c>
      <c r="J3549" s="296">
        <f t="shared" ref="J3549:J3550" si="917">J3548+I3549</f>
        <v>20045.099999999999</v>
      </c>
    </row>
    <row r="3550" spans="1:10">
      <c r="B3550" s="735"/>
      <c r="C3550" s="735"/>
      <c r="D3550" s="735"/>
      <c r="E3550" s="735"/>
      <c r="F3550" s="735">
        <f t="shared" si="914"/>
        <v>0</v>
      </c>
      <c r="G3550" s="735"/>
      <c r="H3550" s="735">
        <f t="shared" si="915"/>
        <v>0</v>
      </c>
      <c r="I3550" s="735">
        <f t="shared" si="916"/>
        <v>0</v>
      </c>
      <c r="J3550" s="1066">
        <f t="shared" si="917"/>
        <v>20045.099999999999</v>
      </c>
    </row>
    <row r="3556" spans="1:10" ht="21">
      <c r="A3556" s="1392" t="s">
        <v>125</v>
      </c>
      <c r="B3556" s="1520" t="s">
        <v>20</v>
      </c>
      <c r="C3556" s="1520"/>
      <c r="D3556" s="1520"/>
      <c r="E3556" s="1520"/>
      <c r="F3556" s="1520"/>
      <c r="G3556" s="1520"/>
      <c r="H3556" s="1520"/>
      <c r="I3556" s="1520"/>
      <c r="J3556" s="1520"/>
    </row>
    <row r="3557" spans="1:10" ht="18.75">
      <c r="A3557" s="1392" t="s">
        <v>212</v>
      </c>
      <c r="B3557" s="4" t="s">
        <v>1</v>
      </c>
      <c r="C3557" s="4" t="s">
        <v>2</v>
      </c>
      <c r="D3557" s="4" t="s">
        <v>3</v>
      </c>
      <c r="E3557" s="4" t="s">
        <v>4</v>
      </c>
      <c r="F3557" s="4" t="s">
        <v>36</v>
      </c>
      <c r="G3557" s="4" t="s">
        <v>5</v>
      </c>
      <c r="H3557" s="4" t="s">
        <v>6</v>
      </c>
      <c r="I3557" s="4" t="s">
        <v>7</v>
      </c>
      <c r="J3557" s="4"/>
    </row>
    <row r="3558" spans="1:10">
      <c r="B3558" s="737">
        <v>46184</v>
      </c>
      <c r="C3558" s="1066" t="s">
        <v>4812</v>
      </c>
      <c r="D3558" s="1066">
        <v>15</v>
      </c>
      <c r="E3558" s="613">
        <v>1205</v>
      </c>
      <c r="F3558" s="735">
        <f>E3558*D3558</f>
        <v>18075</v>
      </c>
      <c r="G3558" s="735">
        <v>2.56</v>
      </c>
      <c r="H3558" s="735">
        <f>E3558*G3558</f>
        <v>3084.8</v>
      </c>
      <c r="I3558" s="735">
        <f>H3558*D3558</f>
        <v>46272</v>
      </c>
      <c r="J3558" s="1066">
        <f>J3557+I3558</f>
        <v>46272</v>
      </c>
    </row>
    <row r="3559" spans="1:10">
      <c r="B3559" s="737">
        <v>46185</v>
      </c>
      <c r="C3559" s="1066" t="s">
        <v>5304</v>
      </c>
      <c r="D3559" s="1066">
        <v>50</v>
      </c>
      <c r="E3559" s="613">
        <v>94</v>
      </c>
      <c r="F3559" s="735">
        <f t="shared" ref="F3559:F3563" si="918">E3559*D3559</f>
        <v>4700</v>
      </c>
      <c r="G3559" s="735">
        <v>2.56</v>
      </c>
      <c r="H3559" s="735">
        <f t="shared" ref="H3559:H3563" si="919">E3559*G3559</f>
        <v>240.64000000000001</v>
      </c>
      <c r="I3559" s="735">
        <f t="shared" ref="I3559:I3563" si="920">H3559*D3559</f>
        <v>12032</v>
      </c>
      <c r="J3559" s="1066">
        <f t="shared" ref="J3559:J3563" si="921">J3558+I3559</f>
        <v>58304</v>
      </c>
    </row>
    <row r="3560" spans="1:10">
      <c r="B3560" s="594">
        <v>46185</v>
      </c>
      <c r="C3560" s="296" t="s">
        <v>5305</v>
      </c>
      <c r="D3560" s="296">
        <v>1</v>
      </c>
      <c r="E3560" s="595">
        <v>125</v>
      </c>
      <c r="F3560" s="596">
        <f t="shared" si="918"/>
        <v>125</v>
      </c>
      <c r="G3560" s="596">
        <v>2.56</v>
      </c>
      <c r="H3560" s="596">
        <f t="shared" si="919"/>
        <v>320</v>
      </c>
      <c r="I3560" s="596">
        <f t="shared" si="920"/>
        <v>320</v>
      </c>
      <c r="J3560" s="296">
        <f t="shared" si="921"/>
        <v>58624</v>
      </c>
    </row>
    <row r="3561" spans="1:10">
      <c r="B3561" s="594">
        <v>46188</v>
      </c>
      <c r="C3561" s="296" t="s">
        <v>5306</v>
      </c>
      <c r="D3561" s="296">
        <v>1</v>
      </c>
      <c r="E3561" s="595">
        <v>4176</v>
      </c>
      <c r="F3561" s="596">
        <f t="shared" si="918"/>
        <v>4176</v>
      </c>
      <c r="G3561" s="596">
        <v>2.56</v>
      </c>
      <c r="H3561" s="596">
        <f t="shared" si="919"/>
        <v>10690.56</v>
      </c>
      <c r="I3561" s="596">
        <f t="shared" si="920"/>
        <v>10690.56</v>
      </c>
      <c r="J3561" s="296">
        <f t="shared" si="921"/>
        <v>69314.559999999998</v>
      </c>
    </row>
    <row r="3562" spans="1:10">
      <c r="B3562" s="594">
        <v>46188</v>
      </c>
      <c r="C3562" s="296" t="s">
        <v>5307</v>
      </c>
      <c r="D3562" s="296">
        <v>1</v>
      </c>
      <c r="E3562" s="595">
        <v>100</v>
      </c>
      <c r="F3562" s="596">
        <f t="shared" si="918"/>
        <v>100</v>
      </c>
      <c r="G3562" s="596">
        <v>2.56</v>
      </c>
      <c r="H3562" s="596">
        <f t="shared" si="919"/>
        <v>256</v>
      </c>
      <c r="I3562" s="596">
        <f t="shared" si="920"/>
        <v>256</v>
      </c>
      <c r="J3562" s="296">
        <f t="shared" si="921"/>
        <v>69570.559999999998</v>
      </c>
    </row>
    <row r="3563" spans="1:10">
      <c r="B3563" s="735"/>
      <c r="C3563" s="735"/>
      <c r="D3563" s="735"/>
      <c r="E3563" s="735"/>
      <c r="F3563" s="735">
        <f t="shared" si="918"/>
        <v>0</v>
      </c>
      <c r="G3563" s="735"/>
      <c r="H3563" s="735">
        <f t="shared" si="919"/>
        <v>0</v>
      </c>
      <c r="I3563" s="735">
        <f t="shared" si="920"/>
        <v>0</v>
      </c>
      <c r="J3563" s="1066">
        <f t="shared" si="921"/>
        <v>69570.559999999998</v>
      </c>
    </row>
    <row r="3570" spans="1:10" ht="21">
      <c r="A3570" s="1398" t="s">
        <v>125</v>
      </c>
      <c r="B3570" s="1520" t="s">
        <v>5254</v>
      </c>
      <c r="C3570" s="1520"/>
      <c r="D3570" s="1520"/>
      <c r="E3570" s="1520"/>
      <c r="F3570" s="1520"/>
      <c r="G3570" s="1520"/>
      <c r="H3570" s="1520"/>
      <c r="I3570" s="1520"/>
      <c r="J3570" s="1520"/>
    </row>
    <row r="3571" spans="1:10" ht="18.75">
      <c r="A3571" s="1398" t="s">
        <v>212</v>
      </c>
      <c r="B3571" s="4" t="s">
        <v>1</v>
      </c>
      <c r="C3571" s="4" t="s">
        <v>2</v>
      </c>
      <c r="D3571" s="4" t="s">
        <v>3</v>
      </c>
      <c r="E3571" s="4" t="s">
        <v>4</v>
      </c>
      <c r="F3571" s="4" t="s">
        <v>36</v>
      </c>
      <c r="G3571" s="4" t="s">
        <v>5</v>
      </c>
      <c r="H3571" s="4" t="s">
        <v>6</v>
      </c>
      <c r="I3571" s="4" t="s">
        <v>7</v>
      </c>
      <c r="J3571" s="4"/>
    </row>
    <row r="3572" spans="1:10">
      <c r="B3572" s="1403">
        <v>46174</v>
      </c>
      <c r="C3572" s="1404" t="s">
        <v>5326</v>
      </c>
      <c r="D3572" s="1405">
        <v>1</v>
      </c>
      <c r="E3572" s="1405">
        <v>357.3</v>
      </c>
      <c r="F3572" s="629">
        <f>E3572*D3572</f>
        <v>357.3</v>
      </c>
      <c r="G3572" s="735">
        <v>2.56</v>
      </c>
      <c r="H3572" s="735">
        <f>E3572*G3572</f>
        <v>914.6880000000001</v>
      </c>
      <c r="I3572" s="735">
        <f>H3572*D3572</f>
        <v>914.6880000000001</v>
      </c>
      <c r="J3572" s="1066">
        <f>J3571+I3572</f>
        <v>914.6880000000001</v>
      </c>
    </row>
    <row r="3573" spans="1:10">
      <c r="B3573" s="1406">
        <v>46174</v>
      </c>
      <c r="C3573" s="1407" t="s">
        <v>5327</v>
      </c>
      <c r="D3573" s="1408">
        <v>1</v>
      </c>
      <c r="E3573" s="1408">
        <v>357.3</v>
      </c>
      <c r="F3573" s="629">
        <f t="shared" ref="F3573:F3580" si="922">E3573*D3573</f>
        <v>357.3</v>
      </c>
      <c r="G3573" s="735">
        <v>2.56</v>
      </c>
      <c r="H3573" s="735">
        <f t="shared" ref="H3573:H3580" si="923">E3573*G3573</f>
        <v>914.6880000000001</v>
      </c>
      <c r="I3573" s="735">
        <f t="shared" ref="I3573:I3580" si="924">H3573*D3573</f>
        <v>914.6880000000001</v>
      </c>
      <c r="J3573" s="1066">
        <f t="shared" ref="J3573:J3580" si="925">J3572+I3573</f>
        <v>1829.3760000000002</v>
      </c>
    </row>
    <row r="3574" spans="1:10">
      <c r="B3574" s="1403">
        <v>46174</v>
      </c>
      <c r="C3574" s="1404" t="s">
        <v>5328</v>
      </c>
      <c r="D3574" s="1405">
        <v>1</v>
      </c>
      <c r="E3574" s="1405">
        <v>397</v>
      </c>
      <c r="F3574" s="629">
        <f t="shared" si="922"/>
        <v>397</v>
      </c>
      <c r="G3574" s="735">
        <v>2.56</v>
      </c>
      <c r="H3574" s="735">
        <f t="shared" si="923"/>
        <v>1016.32</v>
      </c>
      <c r="I3574" s="735">
        <f t="shared" si="924"/>
        <v>1016.32</v>
      </c>
      <c r="J3574" s="1066">
        <f t="shared" si="925"/>
        <v>2845.6960000000004</v>
      </c>
    </row>
    <row r="3575" spans="1:10">
      <c r="B3575" s="1406">
        <v>46175</v>
      </c>
      <c r="C3575" s="1407" t="s">
        <v>5320</v>
      </c>
      <c r="D3575" s="1408">
        <v>4</v>
      </c>
      <c r="E3575" s="1408">
        <v>1199</v>
      </c>
      <c r="F3575" s="629">
        <f t="shared" si="922"/>
        <v>4796</v>
      </c>
      <c r="G3575" s="735">
        <v>2.56</v>
      </c>
      <c r="H3575" s="735">
        <f t="shared" si="923"/>
        <v>3069.44</v>
      </c>
      <c r="I3575" s="735">
        <f t="shared" si="924"/>
        <v>12277.76</v>
      </c>
      <c r="J3575" s="1066">
        <f t="shared" si="925"/>
        <v>15123.456</v>
      </c>
    </row>
    <row r="3576" spans="1:10">
      <c r="B3576" s="1403">
        <v>46175</v>
      </c>
      <c r="C3576" s="1404" t="s">
        <v>5329</v>
      </c>
      <c r="D3576" s="1405">
        <v>2</v>
      </c>
      <c r="E3576" s="1405">
        <v>1897</v>
      </c>
      <c r="F3576" s="629">
        <f t="shared" si="922"/>
        <v>3794</v>
      </c>
      <c r="G3576" s="735">
        <v>2.56</v>
      </c>
      <c r="H3576" s="735">
        <f t="shared" si="923"/>
        <v>4856.32</v>
      </c>
      <c r="I3576" s="735">
        <f t="shared" si="924"/>
        <v>9712.64</v>
      </c>
      <c r="J3576" s="1066">
        <f t="shared" si="925"/>
        <v>24836.095999999998</v>
      </c>
    </row>
    <row r="3577" spans="1:10">
      <c r="B3577" s="1406">
        <v>46176</v>
      </c>
      <c r="C3577" s="1407" t="s">
        <v>5330</v>
      </c>
      <c r="D3577" s="1408">
        <v>4</v>
      </c>
      <c r="E3577" s="1408">
        <v>1199</v>
      </c>
      <c r="F3577" s="629">
        <f t="shared" si="922"/>
        <v>4796</v>
      </c>
      <c r="G3577" s="735">
        <v>2.56</v>
      </c>
      <c r="H3577" s="735">
        <f t="shared" si="923"/>
        <v>3069.44</v>
      </c>
      <c r="I3577" s="735">
        <f t="shared" si="924"/>
        <v>12277.76</v>
      </c>
      <c r="J3577" s="1066">
        <f t="shared" si="925"/>
        <v>37113.856</v>
      </c>
    </row>
    <row r="3578" spans="1:10">
      <c r="B3578" s="1403">
        <v>46176</v>
      </c>
      <c r="C3578" s="1404" t="s">
        <v>5331</v>
      </c>
      <c r="D3578" s="1405">
        <v>4</v>
      </c>
      <c r="E3578" s="1405">
        <v>1199</v>
      </c>
      <c r="F3578" s="629">
        <f t="shared" si="922"/>
        <v>4796</v>
      </c>
      <c r="G3578" s="735">
        <v>2.56</v>
      </c>
      <c r="H3578" s="735">
        <f t="shared" si="923"/>
        <v>3069.44</v>
      </c>
      <c r="I3578" s="735">
        <f t="shared" si="924"/>
        <v>12277.76</v>
      </c>
      <c r="J3578" s="1066">
        <f t="shared" si="925"/>
        <v>49391.616000000002</v>
      </c>
    </row>
    <row r="3579" spans="1:10">
      <c r="B3579" s="1406">
        <v>46180</v>
      </c>
      <c r="C3579" s="1407" t="s">
        <v>5324</v>
      </c>
      <c r="D3579" s="1408">
        <v>2</v>
      </c>
      <c r="E3579" s="1408">
        <v>1199</v>
      </c>
      <c r="F3579" s="629">
        <f t="shared" si="922"/>
        <v>2398</v>
      </c>
      <c r="G3579" s="735">
        <v>2.56</v>
      </c>
      <c r="H3579" s="735">
        <f t="shared" si="923"/>
        <v>3069.44</v>
      </c>
      <c r="I3579" s="735">
        <f t="shared" si="924"/>
        <v>6138.88</v>
      </c>
      <c r="J3579" s="1066">
        <f t="shared" si="925"/>
        <v>55530.495999999999</v>
      </c>
    </row>
    <row r="3580" spans="1:10">
      <c r="B3580" s="1403">
        <v>46180</v>
      </c>
      <c r="C3580" s="1404" t="s">
        <v>5332</v>
      </c>
      <c r="D3580" s="1405">
        <v>4</v>
      </c>
      <c r="E3580" s="1405">
        <v>1199</v>
      </c>
      <c r="F3580" s="629">
        <f t="shared" si="922"/>
        <v>4796</v>
      </c>
      <c r="G3580" s="735">
        <v>2.56</v>
      </c>
      <c r="H3580" s="735">
        <f t="shared" si="923"/>
        <v>3069.44</v>
      </c>
      <c r="I3580" s="735">
        <f t="shared" si="924"/>
        <v>12277.76</v>
      </c>
      <c r="J3580" s="1066">
        <f t="shared" si="925"/>
        <v>67808.255999999994</v>
      </c>
    </row>
    <row r="3581" spans="1:10">
      <c r="B3581" s="1406">
        <v>46184</v>
      </c>
      <c r="C3581" s="1407" t="s">
        <v>5333</v>
      </c>
      <c r="D3581" s="1408">
        <v>10</v>
      </c>
      <c r="E3581" s="1408">
        <v>112.1</v>
      </c>
      <c r="F3581" s="629">
        <f t="shared" ref="F3581:F3583" si="926">E3581*D3581</f>
        <v>1121</v>
      </c>
      <c r="G3581" s="735">
        <v>2.56</v>
      </c>
      <c r="H3581" s="735">
        <f t="shared" ref="H3581:H3583" si="927">E3581*G3581</f>
        <v>286.976</v>
      </c>
      <c r="I3581" s="735">
        <f t="shared" ref="I3581:I3583" si="928">H3581*D3581</f>
        <v>2869.76</v>
      </c>
      <c r="J3581" s="1066">
        <f t="shared" ref="J3581:J3583" si="929">J3580+I3581</f>
        <v>70678.015999999989</v>
      </c>
    </row>
    <row r="3582" spans="1:10">
      <c r="B3582" s="1403">
        <v>46184</v>
      </c>
      <c r="C3582" s="1404" t="s">
        <v>5334</v>
      </c>
      <c r="D3582" s="1405">
        <v>10</v>
      </c>
      <c r="E3582" s="1405">
        <v>113.04</v>
      </c>
      <c r="F3582" s="629">
        <f t="shared" si="926"/>
        <v>1130.4000000000001</v>
      </c>
      <c r="G3582" s="735">
        <v>2.56</v>
      </c>
      <c r="H3582" s="735">
        <f t="shared" si="927"/>
        <v>289.38240000000002</v>
      </c>
      <c r="I3582" s="735">
        <f t="shared" si="928"/>
        <v>2893.8240000000001</v>
      </c>
      <c r="J3582" s="1066">
        <f t="shared" si="929"/>
        <v>73571.839999999982</v>
      </c>
    </row>
    <row r="3583" spans="1:10">
      <c r="B3583" s="384"/>
      <c r="C3583" s="384"/>
      <c r="D3583" s="384"/>
      <c r="E3583" s="384"/>
      <c r="F3583" s="735">
        <f t="shared" si="926"/>
        <v>0</v>
      </c>
      <c r="G3583" s="735"/>
      <c r="H3583" s="735">
        <f t="shared" si="927"/>
        <v>0</v>
      </c>
      <c r="I3583" s="735">
        <f t="shared" si="928"/>
        <v>0</v>
      </c>
      <c r="J3583" s="1066">
        <f t="shared" si="929"/>
        <v>73571.839999999982</v>
      </c>
    </row>
    <row r="3590" spans="1:10" ht="21">
      <c r="A3590" s="1398" t="s">
        <v>125</v>
      </c>
      <c r="B3590" s="1520" t="s">
        <v>5254</v>
      </c>
      <c r="C3590" s="1520"/>
      <c r="D3590" s="1520"/>
      <c r="E3590" s="1520"/>
      <c r="F3590" s="1520"/>
      <c r="G3590" s="1520"/>
      <c r="H3590" s="1520"/>
      <c r="I3590" s="1520"/>
      <c r="J3590" s="1520"/>
    </row>
    <row r="3591" spans="1:10" ht="18.75">
      <c r="A3591" s="1398" t="s">
        <v>212</v>
      </c>
      <c r="B3591" s="4" t="s">
        <v>1</v>
      </c>
      <c r="C3591" s="4" t="s">
        <v>2</v>
      </c>
      <c r="D3591" s="4" t="s">
        <v>3</v>
      </c>
      <c r="E3591" s="4" t="s">
        <v>4</v>
      </c>
      <c r="F3591" s="4" t="s">
        <v>36</v>
      </c>
      <c r="G3591" s="4" t="s">
        <v>5</v>
      </c>
      <c r="H3591" s="4" t="s">
        <v>6</v>
      </c>
      <c r="I3591" s="4" t="s">
        <v>7</v>
      </c>
      <c r="J3591" s="4"/>
    </row>
    <row r="3592" spans="1:10">
      <c r="B3592" s="1406">
        <v>46194</v>
      </c>
      <c r="C3592" s="1407" t="s">
        <v>5336</v>
      </c>
      <c r="D3592" s="1408">
        <v>2</v>
      </c>
      <c r="E3592" s="1408">
        <v>1897</v>
      </c>
      <c r="F3592" s="629">
        <f>E3592*D3592</f>
        <v>3794</v>
      </c>
      <c r="G3592" s="735">
        <v>2.56</v>
      </c>
      <c r="H3592" s="735">
        <f>E3592*G3592</f>
        <v>4856.32</v>
      </c>
      <c r="I3592" s="735">
        <f>H3592*D3592</f>
        <v>9712.64</v>
      </c>
      <c r="J3592" s="1066">
        <f>J3591+I3592</f>
        <v>9712.64</v>
      </c>
    </row>
    <row r="3593" spans="1:10">
      <c r="B3593" s="1403">
        <v>46194</v>
      </c>
      <c r="C3593" s="1404" t="s">
        <v>5337</v>
      </c>
      <c r="D3593" s="1405">
        <v>4</v>
      </c>
      <c r="E3593" s="1405">
        <v>118</v>
      </c>
      <c r="F3593" s="629">
        <f t="shared" ref="F3593:F3600" si="930">E3593*D3593</f>
        <v>472</v>
      </c>
      <c r="G3593" s="735">
        <v>2.56</v>
      </c>
      <c r="H3593" s="735">
        <f t="shared" ref="H3593:H3600" si="931">E3593*G3593</f>
        <v>302.08</v>
      </c>
      <c r="I3593" s="735">
        <f t="shared" ref="I3593:I3600" si="932">H3593*D3593</f>
        <v>1208.32</v>
      </c>
      <c r="J3593" s="1066">
        <f t="shared" ref="J3593:J3600" si="933">J3592+I3593</f>
        <v>10920.96</v>
      </c>
    </row>
    <row r="3594" spans="1:10">
      <c r="B3594" s="1406">
        <v>46195</v>
      </c>
      <c r="C3594" s="1407" t="s">
        <v>5338</v>
      </c>
      <c r="D3594" s="1408">
        <v>5</v>
      </c>
      <c r="E3594" s="1408">
        <v>114</v>
      </c>
      <c r="F3594" s="629">
        <f t="shared" si="930"/>
        <v>570</v>
      </c>
      <c r="G3594" s="735">
        <v>2.56</v>
      </c>
      <c r="H3594" s="735">
        <f t="shared" si="931"/>
        <v>291.84000000000003</v>
      </c>
      <c r="I3594" s="735">
        <f t="shared" si="932"/>
        <v>1459.2000000000003</v>
      </c>
      <c r="J3594" s="1066">
        <f t="shared" si="933"/>
        <v>12380.16</v>
      </c>
    </row>
    <row r="3595" spans="1:10">
      <c r="B3595" s="1403">
        <v>46195</v>
      </c>
      <c r="C3595" s="1404" t="s">
        <v>5339</v>
      </c>
      <c r="D3595" s="1405">
        <v>5</v>
      </c>
      <c r="E3595" s="1405">
        <v>118</v>
      </c>
      <c r="F3595" s="629">
        <f t="shared" si="930"/>
        <v>590</v>
      </c>
      <c r="G3595" s="735">
        <v>2.56</v>
      </c>
      <c r="H3595" s="735">
        <f t="shared" si="931"/>
        <v>302.08</v>
      </c>
      <c r="I3595" s="735">
        <f t="shared" si="932"/>
        <v>1510.3999999999999</v>
      </c>
      <c r="J3595" s="1066">
        <f t="shared" si="933"/>
        <v>13890.56</v>
      </c>
    </row>
    <row r="3596" spans="1:10">
      <c r="B3596" s="1406">
        <v>46195</v>
      </c>
      <c r="C3596" s="1407" t="s">
        <v>5340</v>
      </c>
      <c r="D3596" s="1408">
        <v>2</v>
      </c>
      <c r="E3596" s="1408">
        <v>1199</v>
      </c>
      <c r="F3596" s="629">
        <f t="shared" si="930"/>
        <v>2398</v>
      </c>
      <c r="G3596" s="735">
        <v>2.56</v>
      </c>
      <c r="H3596" s="735">
        <f t="shared" si="931"/>
        <v>3069.44</v>
      </c>
      <c r="I3596" s="735">
        <f t="shared" si="932"/>
        <v>6138.88</v>
      </c>
      <c r="J3596" s="1066">
        <f t="shared" si="933"/>
        <v>20029.439999999999</v>
      </c>
    </row>
    <row r="3597" spans="1:10">
      <c r="B3597" s="1403">
        <v>46196</v>
      </c>
      <c r="C3597" s="1404" t="s">
        <v>5329</v>
      </c>
      <c r="D3597" s="1405">
        <v>2</v>
      </c>
      <c r="E3597" s="1405">
        <v>2099</v>
      </c>
      <c r="F3597" s="629">
        <f t="shared" si="930"/>
        <v>4198</v>
      </c>
      <c r="G3597" s="735">
        <v>2.56</v>
      </c>
      <c r="H3597" s="735">
        <f t="shared" si="931"/>
        <v>5373.4400000000005</v>
      </c>
      <c r="I3597" s="735">
        <f t="shared" si="932"/>
        <v>10746.880000000001</v>
      </c>
      <c r="J3597" s="1066">
        <f t="shared" si="933"/>
        <v>30776.32</v>
      </c>
    </row>
    <row r="3598" spans="1:10">
      <c r="B3598" s="1406">
        <v>46196</v>
      </c>
      <c r="C3598" s="1407" t="s">
        <v>5341</v>
      </c>
      <c r="D3598" s="1408">
        <v>2</v>
      </c>
      <c r="E3598" s="1408">
        <v>118</v>
      </c>
      <c r="F3598" s="629">
        <f t="shared" si="930"/>
        <v>236</v>
      </c>
      <c r="G3598" s="735">
        <v>2.56</v>
      </c>
      <c r="H3598" s="735">
        <f t="shared" si="931"/>
        <v>302.08</v>
      </c>
      <c r="I3598" s="735">
        <f t="shared" si="932"/>
        <v>604.16</v>
      </c>
      <c r="J3598" s="1066">
        <f t="shared" si="933"/>
        <v>31380.48</v>
      </c>
    </row>
    <row r="3599" spans="1:10">
      <c r="B3599" s="1403">
        <v>46196</v>
      </c>
      <c r="C3599" s="1404" t="s">
        <v>5342</v>
      </c>
      <c r="D3599" s="1405">
        <v>2</v>
      </c>
      <c r="E3599" s="1405">
        <v>2150</v>
      </c>
      <c r="F3599" s="629">
        <f t="shared" si="930"/>
        <v>4300</v>
      </c>
      <c r="G3599" s="735">
        <v>2.56</v>
      </c>
      <c r="H3599" s="735">
        <f t="shared" si="931"/>
        <v>5504</v>
      </c>
      <c r="I3599" s="735">
        <f t="shared" si="932"/>
        <v>11008</v>
      </c>
      <c r="J3599" s="1066">
        <f t="shared" si="933"/>
        <v>42388.479999999996</v>
      </c>
    </row>
    <row r="3600" spans="1:10">
      <c r="B3600" s="1406">
        <v>46196</v>
      </c>
      <c r="C3600" s="1407" t="s">
        <v>5343</v>
      </c>
      <c r="D3600" s="1408">
        <v>3</v>
      </c>
      <c r="E3600" s="1408">
        <v>1897</v>
      </c>
      <c r="F3600" s="629">
        <f t="shared" si="930"/>
        <v>5691</v>
      </c>
      <c r="G3600" s="735">
        <v>2.56</v>
      </c>
      <c r="H3600" s="735">
        <f t="shared" si="931"/>
        <v>4856.32</v>
      </c>
      <c r="I3600" s="735">
        <f t="shared" si="932"/>
        <v>14568.96</v>
      </c>
      <c r="J3600" s="1066">
        <f t="shared" si="933"/>
        <v>56957.439999999995</v>
      </c>
    </row>
    <row r="3601" spans="1:10">
      <c r="B3601" s="1403">
        <v>46196</v>
      </c>
      <c r="C3601" s="1404" t="s">
        <v>5344</v>
      </c>
      <c r="D3601" s="1405">
        <v>2</v>
      </c>
      <c r="E3601" s="1405">
        <v>112.1</v>
      </c>
      <c r="F3601" s="629">
        <f t="shared" ref="F3601:F3602" si="934">E3601*D3601</f>
        <v>224.2</v>
      </c>
      <c r="G3601" s="735">
        <v>2.56</v>
      </c>
      <c r="H3601" s="735">
        <f t="shared" ref="H3601:H3602" si="935">E3601*G3601</f>
        <v>286.976</v>
      </c>
      <c r="I3601" s="735">
        <f t="shared" ref="I3601:I3602" si="936">H3601*D3601</f>
        <v>573.952</v>
      </c>
      <c r="J3601" s="1066">
        <f t="shared" ref="J3601:J3602" si="937">J3600+I3601</f>
        <v>57531.391999999993</v>
      </c>
    </row>
    <row r="3602" spans="1:10">
      <c r="B3602" s="384"/>
      <c r="C3602" s="384"/>
      <c r="D3602" s="384"/>
      <c r="E3602" s="384"/>
      <c r="F3602" s="735">
        <f t="shared" si="934"/>
        <v>0</v>
      </c>
      <c r="G3602" s="735"/>
      <c r="H3602" s="735">
        <f t="shared" si="935"/>
        <v>0</v>
      </c>
      <c r="I3602" s="735">
        <f t="shared" si="936"/>
        <v>0</v>
      </c>
      <c r="J3602" s="1066">
        <f t="shared" si="937"/>
        <v>57531.391999999993</v>
      </c>
    </row>
    <row r="3610" spans="1:10" ht="21">
      <c r="A3610" s="1398" t="s">
        <v>125</v>
      </c>
      <c r="B3610" s="1520" t="s">
        <v>5085</v>
      </c>
      <c r="C3610" s="1520"/>
      <c r="D3610" s="1520"/>
      <c r="E3610" s="1520"/>
      <c r="F3610" s="1520"/>
      <c r="G3610" s="1520"/>
      <c r="H3610" s="1520"/>
      <c r="I3610" s="1520"/>
      <c r="J3610" s="1520"/>
    </row>
    <row r="3611" spans="1:10" ht="18.75">
      <c r="A3611" s="1398" t="s">
        <v>212</v>
      </c>
      <c r="B3611" s="4" t="s">
        <v>1</v>
      </c>
      <c r="C3611" s="4" t="s">
        <v>2</v>
      </c>
      <c r="D3611" s="4" t="s">
        <v>3</v>
      </c>
      <c r="E3611" s="4" t="s">
        <v>4</v>
      </c>
      <c r="F3611" s="4" t="s">
        <v>36</v>
      </c>
      <c r="G3611" s="4" t="s">
        <v>5</v>
      </c>
      <c r="H3611" s="4" t="s">
        <v>6</v>
      </c>
      <c r="I3611" s="4" t="s">
        <v>7</v>
      </c>
      <c r="J3611" s="4"/>
    </row>
    <row r="3612" spans="1:10">
      <c r="B3612" s="1336">
        <v>46184</v>
      </c>
      <c r="C3612" s="1337" t="s">
        <v>5089</v>
      </c>
      <c r="D3612" s="1341">
        <v>2</v>
      </c>
      <c r="E3612" s="1341">
        <v>1199</v>
      </c>
      <c r="F3612" s="629">
        <f>E3612*D3612</f>
        <v>2398</v>
      </c>
      <c r="G3612" s="735">
        <v>2.577</v>
      </c>
      <c r="H3612" s="735">
        <f>E3612*G3612</f>
        <v>3089.8229999999999</v>
      </c>
      <c r="I3612" s="735">
        <f>H3612*D3612</f>
        <v>6179.6459999999997</v>
      </c>
      <c r="J3612" s="1066">
        <f>J3611+I3612</f>
        <v>6179.6459999999997</v>
      </c>
    </row>
    <row r="3613" spans="1:10">
      <c r="B3613" s="1334">
        <v>46184</v>
      </c>
      <c r="C3613" s="1335" t="s">
        <v>5090</v>
      </c>
      <c r="D3613" s="1340">
        <v>2</v>
      </c>
      <c r="E3613" s="1340">
        <v>1199</v>
      </c>
      <c r="F3613" s="629">
        <f t="shared" ref="F3613:F3620" si="938">E3613*D3613</f>
        <v>2398</v>
      </c>
      <c r="G3613" s="735">
        <v>2.577</v>
      </c>
      <c r="H3613" s="735">
        <f t="shared" ref="H3613:H3620" si="939">E3613*G3613</f>
        <v>3089.8229999999999</v>
      </c>
      <c r="I3613" s="735">
        <f t="shared" ref="I3613:I3620" si="940">H3613*D3613</f>
        <v>6179.6459999999997</v>
      </c>
      <c r="J3613" s="1066">
        <f t="shared" ref="J3613:J3620" si="941">J3612+I3613</f>
        <v>12359.291999999999</v>
      </c>
    </row>
    <row r="3614" spans="1:10">
      <c r="B3614" s="1336">
        <v>46184</v>
      </c>
      <c r="C3614" s="1337" t="s">
        <v>5347</v>
      </c>
      <c r="D3614" s="1341">
        <v>2</v>
      </c>
      <c r="E3614" s="1341">
        <v>1897</v>
      </c>
      <c r="F3614" s="629">
        <f t="shared" si="938"/>
        <v>3794</v>
      </c>
      <c r="G3614" s="735">
        <v>2.577</v>
      </c>
      <c r="H3614" s="735">
        <f t="shared" si="939"/>
        <v>4888.5689999999995</v>
      </c>
      <c r="I3614" s="735">
        <f t="shared" si="940"/>
        <v>9777.137999999999</v>
      </c>
      <c r="J3614" s="1066">
        <f t="shared" si="941"/>
        <v>22136.43</v>
      </c>
    </row>
    <row r="3615" spans="1:10">
      <c r="B3615" s="1334">
        <v>46184</v>
      </c>
      <c r="C3615" s="1335" t="s">
        <v>5252</v>
      </c>
      <c r="D3615" s="1340">
        <v>2</v>
      </c>
      <c r="E3615" s="1340">
        <v>1897</v>
      </c>
      <c r="F3615" s="629">
        <f t="shared" si="938"/>
        <v>3794</v>
      </c>
      <c r="G3615" s="735">
        <v>2.577</v>
      </c>
      <c r="H3615" s="735">
        <f t="shared" si="939"/>
        <v>4888.5689999999995</v>
      </c>
      <c r="I3615" s="735">
        <f t="shared" si="940"/>
        <v>9777.137999999999</v>
      </c>
      <c r="J3615" s="1066">
        <f t="shared" si="941"/>
        <v>31913.567999999999</v>
      </c>
    </row>
    <row r="3616" spans="1:10">
      <c r="B3616" s="1336">
        <v>46200</v>
      </c>
      <c r="C3616" s="1337" t="s">
        <v>5252</v>
      </c>
      <c r="D3616" s="1341">
        <v>1</v>
      </c>
      <c r="E3616" s="1341">
        <v>1897</v>
      </c>
      <c r="F3616" s="629">
        <f t="shared" si="938"/>
        <v>1897</v>
      </c>
      <c r="G3616" s="735">
        <v>2.577</v>
      </c>
      <c r="H3616" s="735">
        <f t="shared" si="939"/>
        <v>4888.5689999999995</v>
      </c>
      <c r="I3616" s="735">
        <f t="shared" si="940"/>
        <v>4888.5689999999995</v>
      </c>
      <c r="J3616" s="1066">
        <f t="shared" si="941"/>
        <v>36802.137000000002</v>
      </c>
    </row>
    <row r="3617" spans="2:10">
      <c r="B3617" s="1334">
        <v>46200</v>
      </c>
      <c r="C3617" s="1335" t="s">
        <v>5347</v>
      </c>
      <c r="D3617" s="1340">
        <v>3</v>
      </c>
      <c r="E3617" s="1340">
        <v>1897</v>
      </c>
      <c r="F3617" s="629">
        <f t="shared" si="938"/>
        <v>5691</v>
      </c>
      <c r="G3617" s="735">
        <v>2.577</v>
      </c>
      <c r="H3617" s="735">
        <f t="shared" si="939"/>
        <v>4888.5689999999995</v>
      </c>
      <c r="I3617" s="735">
        <f t="shared" si="940"/>
        <v>14665.706999999999</v>
      </c>
      <c r="J3617" s="1066">
        <f t="shared" si="941"/>
        <v>51467.843999999997</v>
      </c>
    </row>
    <row r="3618" spans="2:10">
      <c r="B3618" s="1336">
        <v>46200</v>
      </c>
      <c r="C3618" s="1337" t="s">
        <v>5348</v>
      </c>
      <c r="D3618" s="1341">
        <v>2</v>
      </c>
      <c r="E3618" s="1341">
        <v>1249</v>
      </c>
      <c r="F3618" s="629">
        <f t="shared" si="938"/>
        <v>2498</v>
      </c>
      <c r="G3618" s="735">
        <v>2.577</v>
      </c>
      <c r="H3618" s="735">
        <f t="shared" si="939"/>
        <v>3218.6729999999998</v>
      </c>
      <c r="I3618" s="735">
        <f t="shared" si="940"/>
        <v>6437.3459999999995</v>
      </c>
      <c r="J3618" s="1066">
        <f t="shared" si="941"/>
        <v>57905.189999999995</v>
      </c>
    </row>
    <row r="3619" spans="2:10">
      <c r="B3619" s="1334">
        <v>46200</v>
      </c>
      <c r="C3619" s="1335" t="s">
        <v>5349</v>
      </c>
      <c r="D3619" s="1340">
        <v>5</v>
      </c>
      <c r="E3619" s="1340">
        <v>1897</v>
      </c>
      <c r="F3619" s="629">
        <f t="shared" si="938"/>
        <v>9485</v>
      </c>
      <c r="G3619" s="735">
        <v>2.577</v>
      </c>
      <c r="H3619" s="735">
        <f t="shared" si="939"/>
        <v>4888.5689999999995</v>
      </c>
      <c r="I3619" s="735">
        <f t="shared" si="940"/>
        <v>24442.844999999998</v>
      </c>
      <c r="J3619" s="1066">
        <f t="shared" si="941"/>
        <v>82348.034999999989</v>
      </c>
    </row>
    <row r="3620" spans="2:10">
      <c r="B3620" s="1336">
        <v>46200</v>
      </c>
      <c r="C3620" s="1337" t="s">
        <v>5350</v>
      </c>
      <c r="D3620" s="1341">
        <v>1</v>
      </c>
      <c r="E3620" s="1341">
        <v>1897</v>
      </c>
      <c r="F3620" s="629">
        <f t="shared" si="938"/>
        <v>1897</v>
      </c>
      <c r="G3620" s="735">
        <v>2.577</v>
      </c>
      <c r="H3620" s="735">
        <f t="shared" si="939"/>
        <v>4888.5689999999995</v>
      </c>
      <c r="I3620" s="735">
        <f t="shared" si="940"/>
        <v>4888.5689999999995</v>
      </c>
      <c r="J3620" s="1066">
        <f t="shared" si="941"/>
        <v>87236.603999999992</v>
      </c>
    </row>
    <row r="3621" spans="2:10">
      <c r="B3621" s="1334">
        <v>46200</v>
      </c>
      <c r="C3621" s="1335" t="s">
        <v>5244</v>
      </c>
      <c r="D3621" s="1340">
        <v>1</v>
      </c>
      <c r="E3621" s="1340">
        <v>2150</v>
      </c>
      <c r="F3621" s="629">
        <f t="shared" ref="F3621:F3623" si="942">E3621*D3621</f>
        <v>2150</v>
      </c>
      <c r="G3621" s="735">
        <v>2.577</v>
      </c>
      <c r="H3621" s="735">
        <f t="shared" ref="H3621:H3623" si="943">E3621*G3621</f>
        <v>5540.55</v>
      </c>
      <c r="I3621" s="735">
        <f t="shared" ref="I3621:I3623" si="944">H3621*D3621</f>
        <v>5540.55</v>
      </c>
      <c r="J3621" s="1066">
        <f t="shared" ref="J3621:J3623" si="945">J3620+I3621</f>
        <v>92777.153999999995</v>
      </c>
    </row>
    <row r="3622" spans="2:10">
      <c r="B3622" s="1336">
        <v>46200</v>
      </c>
      <c r="C3622" s="1337" t="s">
        <v>5351</v>
      </c>
      <c r="D3622" s="1341">
        <v>1</v>
      </c>
      <c r="E3622" s="1341">
        <v>2150</v>
      </c>
      <c r="F3622" s="629">
        <f t="shared" si="942"/>
        <v>2150</v>
      </c>
      <c r="G3622" s="735">
        <v>2.577</v>
      </c>
      <c r="H3622" s="735">
        <f t="shared" si="943"/>
        <v>5540.55</v>
      </c>
      <c r="I3622" s="735">
        <f t="shared" si="944"/>
        <v>5540.55</v>
      </c>
      <c r="J3622" s="1066">
        <f t="shared" si="945"/>
        <v>98317.703999999998</v>
      </c>
    </row>
    <row r="3623" spans="2:10">
      <c r="B3623" s="384"/>
      <c r="C3623" s="384"/>
      <c r="D3623" s="384"/>
      <c r="E3623" s="384"/>
      <c r="F3623" s="735">
        <f t="shared" si="942"/>
        <v>0</v>
      </c>
      <c r="G3623" s="735"/>
      <c r="H3623" s="735">
        <f t="shared" si="943"/>
        <v>0</v>
      </c>
      <c r="I3623" s="735">
        <f t="shared" si="944"/>
        <v>0</v>
      </c>
      <c r="J3623" s="1066">
        <f t="shared" si="945"/>
        <v>98317.703999999998</v>
      </c>
    </row>
  </sheetData>
  <autoFilter ref="B2306:J2370" xr:uid="{00000000-0001-0000-0000-000000000000}"/>
  <sortState xmlns:xlrd2="http://schemas.microsoft.com/office/spreadsheetml/2017/richdata2" ref="B1697:J1731">
    <sortCondition descending="1" ref="D1697:D1731"/>
  </sortState>
  <mergeCells count="211">
    <mergeCell ref="B3610:J3610"/>
    <mergeCell ref="B3570:J3570"/>
    <mergeCell ref="B3590:J3590"/>
    <mergeCell ref="B3462:J3462"/>
    <mergeCell ref="B3472:J3472"/>
    <mergeCell ref="B3136:J3136"/>
    <mergeCell ref="B3149:J3149"/>
    <mergeCell ref="B3546:J3546"/>
    <mergeCell ref="B3556:J3556"/>
    <mergeCell ref="B3483:J3483"/>
    <mergeCell ref="B3501:J3501"/>
    <mergeCell ref="B3528:J3528"/>
    <mergeCell ref="B3383:J3383"/>
    <mergeCell ref="B3400:J3400"/>
    <mergeCell ref="B3441:J3441"/>
    <mergeCell ref="B3418:J3418"/>
    <mergeCell ref="B3326:J3326"/>
    <mergeCell ref="B3355:J3355"/>
    <mergeCell ref="B3257:J3257"/>
    <mergeCell ref="B3275:J3275"/>
    <mergeCell ref="B3299:J3299"/>
    <mergeCell ref="B3367:J3367"/>
    <mergeCell ref="B3172:J3172"/>
    <mergeCell ref="B3192:J3192"/>
    <mergeCell ref="B3213:J3213"/>
    <mergeCell ref="B3246:O3246"/>
    <mergeCell ref="B2990:J2990"/>
    <mergeCell ref="B2981:J2981"/>
    <mergeCell ref="B3123:J3123"/>
    <mergeCell ref="B3061:O3061"/>
    <mergeCell ref="B3089:J3089"/>
    <mergeCell ref="B2969:J2969"/>
    <mergeCell ref="B2734:J2734"/>
    <mergeCell ref="B2749:J2749"/>
    <mergeCell ref="B2717:J2717"/>
    <mergeCell ref="B2726:O2726"/>
    <mergeCell ref="B2641:J2641"/>
    <mergeCell ref="B2648:J2648"/>
    <mergeCell ref="B2687:O2687"/>
    <mergeCell ref="B3044:J3044"/>
    <mergeCell ref="B3010:J3010"/>
    <mergeCell ref="B3029:O3029"/>
    <mergeCell ref="B2627:J2627"/>
    <mergeCell ref="B2959:J2959"/>
    <mergeCell ref="B2914:J2914"/>
    <mergeCell ref="B2943:J2943"/>
    <mergeCell ref="B2951:O2951"/>
    <mergeCell ref="B2884:J2884"/>
    <mergeCell ref="B2904:O2904"/>
    <mergeCell ref="B2848:J2848"/>
    <mergeCell ref="B2875:J2875"/>
    <mergeCell ref="B2791:J2791"/>
    <mergeCell ref="B2781:J2781"/>
    <mergeCell ref="B2766:J2766"/>
    <mergeCell ref="B2435:J2435"/>
    <mergeCell ref="B2700:O2700"/>
    <mergeCell ref="B2564:J2564"/>
    <mergeCell ref="B2475:J2475"/>
    <mergeCell ref="B2506:J2506"/>
    <mergeCell ref="B2535:J2535"/>
    <mergeCell ref="B2556:J2556"/>
    <mergeCell ref="B2053:J2053"/>
    <mergeCell ref="B2027:J2027"/>
    <mergeCell ref="B2155:J2155"/>
    <mergeCell ref="B2086:J2086"/>
    <mergeCell ref="B2104:J2104"/>
    <mergeCell ref="B2121:J2121"/>
    <mergeCell ref="B2143:J2143"/>
    <mergeCell ref="B2195:J2195"/>
    <mergeCell ref="B2424:J2424"/>
    <mergeCell ref="B2374:J2374"/>
    <mergeCell ref="B2385:J2385"/>
    <mergeCell ref="B2410:O2410"/>
    <mergeCell ref="B2417:J2417"/>
    <mergeCell ref="B2228:J2228"/>
    <mergeCell ref="B2248:J2248"/>
    <mergeCell ref="B2272:J2272"/>
    <mergeCell ref="B2295:J2295"/>
    <mergeCell ref="B1951:J1951"/>
    <mergeCell ref="B1581:J1581"/>
    <mergeCell ref="B1627:J1627"/>
    <mergeCell ref="B1517:J1517"/>
    <mergeCell ref="B1636:J1636"/>
    <mergeCell ref="B1680:J1680"/>
    <mergeCell ref="B1687:J1687"/>
    <mergeCell ref="B1990:J1990"/>
    <mergeCell ref="B2016:J2016"/>
    <mergeCell ref="B1972:J1972"/>
    <mergeCell ref="B1933:J1933"/>
    <mergeCell ref="B1662:J1662"/>
    <mergeCell ref="B1755:J1755"/>
    <mergeCell ref="B1026:J1026"/>
    <mergeCell ref="B1359:J1359"/>
    <mergeCell ref="B1351:J1351"/>
    <mergeCell ref="B1341:J1341"/>
    <mergeCell ref="B1200:J1200"/>
    <mergeCell ref="B1139:J1139"/>
    <mergeCell ref="B1115:J1115"/>
    <mergeCell ref="B1069:J1069"/>
    <mergeCell ref="B1186:J1186"/>
    <mergeCell ref="B1305:J1305"/>
    <mergeCell ref="B1095:J1095"/>
    <mergeCell ref="B1082:J1082"/>
    <mergeCell ref="B1158:J1158"/>
    <mergeCell ref="B1038:J1038"/>
    <mergeCell ref="B1454:J1454"/>
    <mergeCell ref="B272:J272"/>
    <mergeCell ref="B1322:J1322"/>
    <mergeCell ref="B1214:J1214"/>
    <mergeCell ref="B1231:J1231"/>
    <mergeCell ref="B1014:J1014"/>
    <mergeCell ref="B1056:J1056"/>
    <mergeCell ref="B1914:J1914"/>
    <mergeCell ref="B1485:J1485"/>
    <mergeCell ref="B1397:J1397"/>
    <mergeCell ref="B1423:J1423"/>
    <mergeCell ref="B1331:J1331"/>
    <mergeCell ref="B1245:J1245"/>
    <mergeCell ref="B1268:J1268"/>
    <mergeCell ref="B1278:J1278"/>
    <mergeCell ref="B1295:O1295"/>
    <mergeCell ref="B1843:J1843"/>
    <mergeCell ref="B1818:O1818"/>
    <mergeCell ref="B1827:J1827"/>
    <mergeCell ref="B1889:J1889"/>
    <mergeCell ref="B1907:O1907"/>
    <mergeCell ref="B1439:J1439"/>
    <mergeCell ref="B1367:J1367"/>
    <mergeCell ref="B988:J988"/>
    <mergeCell ref="B3:J3"/>
    <mergeCell ref="B16:J16"/>
    <mergeCell ref="B144:J144"/>
    <mergeCell ref="B126:J126"/>
    <mergeCell ref="B265:J265"/>
    <mergeCell ref="B252:J252"/>
    <mergeCell ref="B184:J184"/>
    <mergeCell ref="B239:J239"/>
    <mergeCell ref="B165:J165"/>
    <mergeCell ref="B157:J157"/>
    <mergeCell ref="B55:J55"/>
    <mergeCell ref="B114:J114"/>
    <mergeCell ref="B70:J70"/>
    <mergeCell ref="B92:J92"/>
    <mergeCell ref="N18:V18"/>
    <mergeCell ref="B42:J42"/>
    <mergeCell ref="B29:J29"/>
    <mergeCell ref="B472:J472"/>
    <mergeCell ref="B361:J361"/>
    <mergeCell ref="B320:J320"/>
    <mergeCell ref="B529:O529"/>
    <mergeCell ref="B596:J596"/>
    <mergeCell ref="B806:J806"/>
    <mergeCell ref="B687:J687"/>
    <mergeCell ref="B779:J779"/>
    <mergeCell ref="B727:J727"/>
    <mergeCell ref="B713:J713"/>
    <mergeCell ref="B674:J674"/>
    <mergeCell ref="N32:AA32"/>
    <mergeCell ref="B456:J456"/>
    <mergeCell ref="B329:J329"/>
    <mergeCell ref="B342:J342"/>
    <mergeCell ref="B293:J293"/>
    <mergeCell ref="B284:J284"/>
    <mergeCell ref="B681:J681"/>
    <mergeCell ref="B569:J569"/>
    <mergeCell ref="B617:J617"/>
    <mergeCell ref="B634:J634"/>
    <mergeCell ref="B306:J306"/>
    <mergeCell ref="B435:J435"/>
    <mergeCell ref="B465:J465"/>
    <mergeCell ref="B443:J443"/>
    <mergeCell ref="B418:J418"/>
    <mergeCell ref="B494:O494"/>
    <mergeCell ref="B838:J838"/>
    <mergeCell ref="B826:J826"/>
    <mergeCell ref="B832:J832"/>
    <mergeCell ref="B479:J479"/>
    <mergeCell ref="B792:J792"/>
    <mergeCell ref="B820:J820"/>
    <mergeCell ref="B369:J369"/>
    <mergeCell ref="B380:J380"/>
    <mergeCell ref="B386:J386"/>
    <mergeCell ref="B427:J427"/>
    <mergeCell ref="B411:J411"/>
    <mergeCell ref="B696:J696"/>
    <mergeCell ref="B661:J661"/>
    <mergeCell ref="B765:J765"/>
    <mergeCell ref="B852:J852"/>
    <mergeCell ref="B897:J897"/>
    <mergeCell ref="B934:J934"/>
    <mergeCell ref="B1786:J1786"/>
    <mergeCell ref="B2812:J2812"/>
    <mergeCell ref="B2823:O2823"/>
    <mergeCell ref="B1873:J1873"/>
    <mergeCell ref="B2305:J2305"/>
    <mergeCell ref="B1001:J1001"/>
    <mergeCell ref="B952:J952"/>
    <mergeCell ref="B891:J891"/>
    <mergeCell ref="B975:J975"/>
    <mergeCell ref="B943:J943"/>
    <mergeCell ref="B961:J961"/>
    <mergeCell ref="B874:J874"/>
    <mergeCell ref="B864:J864"/>
    <mergeCell ref="B884:J884"/>
    <mergeCell ref="B1807:J1807"/>
    <mergeCell ref="B1735:J1735"/>
    <mergeCell ref="B1745:J1745"/>
    <mergeCell ref="B1695:J1695"/>
    <mergeCell ref="B1554:J1554"/>
    <mergeCell ref="B1380:J1380"/>
    <mergeCell ref="B1386:J1386"/>
  </mergeCells>
  <hyperlinks>
    <hyperlink ref="C1373" r:id="rId1" display="https://www.harveynorman.com.au/dji-mini-4-pro-rc-2.html" xr:uid="{0A1F9154-CCFD-47A3-B887-D1ECCD2A440B}"/>
  </hyperlink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048576"/>
  <sheetViews>
    <sheetView tabSelected="1" zoomScale="115" zoomScaleNormal="115" workbookViewId="0">
      <pane ySplit="1" topLeftCell="A7650" activePane="bottomLeft" state="frozen"/>
      <selection activeCell="E142" sqref="E142"/>
      <selection pane="bottomLeft" activeCell="C7659" sqref="C7659"/>
    </sheetView>
  </sheetViews>
  <sheetFormatPr defaultRowHeight="21"/>
  <cols>
    <col min="1" max="1" width="18.5703125" style="33" customWidth="1"/>
    <col min="2" max="2" width="58.85546875" style="185" customWidth="1"/>
    <col min="3" max="3" width="49.85546875" style="33" customWidth="1"/>
    <col min="4" max="4" width="16.140625" style="33" customWidth="1"/>
    <col min="5" max="5" width="15.140625" customWidth="1"/>
    <col min="6" max="6" width="31.140625" customWidth="1"/>
    <col min="7" max="7" width="14.5703125" customWidth="1"/>
    <col min="8" max="8" width="30.85546875" customWidth="1"/>
    <col min="9" max="9" width="21.5703125" customWidth="1"/>
    <col min="14" max="14" width="40.5703125" customWidth="1"/>
  </cols>
  <sheetData>
    <row r="1" spans="1:15" s="41" customFormat="1" ht="24">
      <c r="A1" s="40" t="s">
        <v>1</v>
      </c>
      <c r="B1" s="353" t="s">
        <v>2</v>
      </c>
      <c r="C1" s="40" t="s">
        <v>47</v>
      </c>
      <c r="D1" s="40" t="s">
        <v>48</v>
      </c>
      <c r="E1" s="40" t="s">
        <v>33</v>
      </c>
    </row>
    <row r="2" spans="1:15">
      <c r="A2" s="42" t="s">
        <v>77</v>
      </c>
      <c r="B2" s="92" t="s">
        <v>76</v>
      </c>
      <c r="C2" s="36" t="s">
        <v>75</v>
      </c>
      <c r="D2" s="36">
        <v>220</v>
      </c>
    </row>
    <row r="3" spans="1:15">
      <c r="A3" s="42" t="s">
        <v>77</v>
      </c>
      <c r="B3" s="92" t="s">
        <v>78</v>
      </c>
      <c r="C3" s="36" t="s">
        <v>75</v>
      </c>
      <c r="D3" s="36">
        <v>300</v>
      </c>
      <c r="N3" s="92" t="s">
        <v>76</v>
      </c>
    </row>
    <row r="4" spans="1:15">
      <c r="A4" s="42" t="s">
        <v>77</v>
      </c>
      <c r="B4" s="92" t="s">
        <v>79</v>
      </c>
      <c r="C4" s="36" t="s">
        <v>75</v>
      </c>
      <c r="D4" s="36">
        <v>0</v>
      </c>
      <c r="F4" s="148" t="s">
        <v>321</v>
      </c>
      <c r="N4" s="92" t="s">
        <v>78</v>
      </c>
    </row>
    <row r="5" spans="1:15" ht="23.25" customHeight="1">
      <c r="A5" s="42" t="s">
        <v>77</v>
      </c>
      <c r="B5" s="92" t="s">
        <v>80</v>
      </c>
      <c r="C5" s="36" t="s">
        <v>75</v>
      </c>
      <c r="D5" s="36">
        <v>205</v>
      </c>
      <c r="F5" s="148" t="s">
        <v>320</v>
      </c>
      <c r="N5" s="92" t="s">
        <v>79</v>
      </c>
    </row>
    <row r="6" spans="1:15">
      <c r="A6" s="42" t="s">
        <v>77</v>
      </c>
      <c r="B6" s="92" t="s">
        <v>81</v>
      </c>
      <c r="C6" s="36" t="s">
        <v>75</v>
      </c>
      <c r="D6" s="36">
        <v>10</v>
      </c>
      <c r="N6" s="92" t="s">
        <v>80</v>
      </c>
    </row>
    <row r="7" spans="1:15">
      <c r="A7" s="42" t="s">
        <v>77</v>
      </c>
      <c r="B7" s="92" t="s">
        <v>82</v>
      </c>
      <c r="C7" s="36" t="s">
        <v>75</v>
      </c>
      <c r="D7" s="36">
        <v>309</v>
      </c>
      <c r="N7" s="92" t="s">
        <v>81</v>
      </c>
    </row>
    <row r="8" spans="1:15">
      <c r="A8" s="42" t="s">
        <v>77</v>
      </c>
      <c r="B8" s="92" t="s">
        <v>84</v>
      </c>
      <c r="C8" s="36" t="s">
        <v>75</v>
      </c>
      <c r="D8" s="36">
        <v>15</v>
      </c>
      <c r="N8" s="92" t="s">
        <v>82</v>
      </c>
      <c r="O8" t="s">
        <v>83</v>
      </c>
    </row>
    <row r="9" spans="1:15">
      <c r="A9" s="42" t="s">
        <v>77</v>
      </c>
      <c r="B9" s="92" t="s">
        <v>85</v>
      </c>
      <c r="C9" s="36" t="s">
        <v>75</v>
      </c>
      <c r="D9" s="36">
        <v>7</v>
      </c>
      <c r="N9" s="92" t="s">
        <v>84</v>
      </c>
      <c r="O9" t="s">
        <v>83</v>
      </c>
    </row>
    <row r="10" spans="1:15">
      <c r="A10" s="42" t="s">
        <v>77</v>
      </c>
      <c r="B10" s="93" t="s">
        <v>86</v>
      </c>
      <c r="C10" s="36" t="s">
        <v>75</v>
      </c>
      <c r="D10" s="36">
        <v>4</v>
      </c>
      <c r="N10" s="92" t="s">
        <v>85</v>
      </c>
      <c r="O10" t="s">
        <v>83</v>
      </c>
    </row>
    <row r="11" spans="1:15">
      <c r="A11" s="42" t="s">
        <v>77</v>
      </c>
      <c r="B11" s="92" t="s">
        <v>88</v>
      </c>
      <c r="C11" s="36" t="s">
        <v>75</v>
      </c>
      <c r="D11" s="36">
        <v>2</v>
      </c>
      <c r="N11" s="93" t="s">
        <v>86</v>
      </c>
      <c r="O11" t="s">
        <v>83</v>
      </c>
    </row>
    <row r="12" spans="1:15">
      <c r="A12" s="42" t="s">
        <v>77</v>
      </c>
      <c r="B12" s="92" t="s">
        <v>89</v>
      </c>
      <c r="C12" s="36" t="s">
        <v>75</v>
      </c>
      <c r="D12" s="36">
        <v>2</v>
      </c>
      <c r="N12" s="93" t="s">
        <v>87</v>
      </c>
      <c r="O12" t="s">
        <v>83</v>
      </c>
    </row>
    <row r="13" spans="1:15">
      <c r="A13" s="42" t="s">
        <v>77</v>
      </c>
      <c r="B13" s="92" t="s">
        <v>90</v>
      </c>
      <c r="C13" s="36" t="s">
        <v>75</v>
      </c>
      <c r="D13" s="43">
        <v>2</v>
      </c>
      <c r="N13" s="92" t="s">
        <v>88</v>
      </c>
      <c r="O13" t="s">
        <v>83</v>
      </c>
    </row>
    <row r="14" spans="1:15">
      <c r="A14" s="42" t="s">
        <v>77</v>
      </c>
      <c r="B14" s="93" t="s">
        <v>91</v>
      </c>
      <c r="C14" s="36" t="s">
        <v>75</v>
      </c>
      <c r="D14" s="43">
        <v>2</v>
      </c>
      <c r="N14" s="92" t="s">
        <v>89</v>
      </c>
      <c r="O14" t="s">
        <v>83</v>
      </c>
    </row>
    <row r="15" spans="1:15">
      <c r="A15" s="42" t="s">
        <v>77</v>
      </c>
      <c r="B15" s="93" t="s">
        <v>92</v>
      </c>
      <c r="C15" s="36" t="s">
        <v>75</v>
      </c>
      <c r="D15" s="43">
        <v>21</v>
      </c>
      <c r="N15" s="92" t="s">
        <v>90</v>
      </c>
      <c r="O15" t="s">
        <v>83</v>
      </c>
    </row>
    <row r="16" spans="1:15">
      <c r="A16" s="42" t="s">
        <v>77</v>
      </c>
      <c r="B16" s="93" t="s">
        <v>120</v>
      </c>
      <c r="C16" s="36" t="s">
        <v>75</v>
      </c>
      <c r="D16" s="43">
        <v>5</v>
      </c>
      <c r="N16" s="93" t="s">
        <v>91</v>
      </c>
      <c r="O16" t="s">
        <v>83</v>
      </c>
    </row>
    <row r="17" spans="1:15">
      <c r="A17" s="42" t="s">
        <v>77</v>
      </c>
      <c r="B17" s="93" t="s">
        <v>93</v>
      </c>
      <c r="C17" s="36" t="s">
        <v>75</v>
      </c>
      <c r="D17" s="43">
        <v>1</v>
      </c>
      <c r="N17" s="93" t="s">
        <v>92</v>
      </c>
      <c r="O17" t="s">
        <v>83</v>
      </c>
    </row>
    <row r="18" spans="1:15">
      <c r="A18" s="42" t="s">
        <v>77</v>
      </c>
      <c r="B18" s="93" t="s">
        <v>94</v>
      </c>
      <c r="C18" s="36" t="s">
        <v>75</v>
      </c>
      <c r="D18" s="43">
        <v>1</v>
      </c>
      <c r="N18" s="93" t="s">
        <v>120</v>
      </c>
      <c r="O18" t="s">
        <v>83</v>
      </c>
    </row>
    <row r="19" spans="1:15">
      <c r="A19" s="42" t="s">
        <v>77</v>
      </c>
      <c r="B19" s="93" t="s">
        <v>95</v>
      </c>
      <c r="C19" s="36" t="s">
        <v>75</v>
      </c>
      <c r="D19" s="43">
        <v>2</v>
      </c>
      <c r="N19" s="93" t="s">
        <v>121</v>
      </c>
      <c r="O19" t="s">
        <v>83</v>
      </c>
    </row>
    <row r="20" spans="1:15">
      <c r="A20" s="43"/>
      <c r="B20" s="93"/>
      <c r="C20" s="43"/>
      <c r="D20" s="43"/>
      <c r="N20" s="93" t="s">
        <v>122</v>
      </c>
      <c r="O20" t="s">
        <v>83</v>
      </c>
    </row>
    <row r="21" spans="1:15">
      <c r="A21" s="43"/>
      <c r="B21" s="93"/>
      <c r="C21" s="43"/>
      <c r="D21" s="43"/>
      <c r="N21" s="93" t="s">
        <v>123</v>
      </c>
      <c r="O21" t="s">
        <v>83</v>
      </c>
    </row>
    <row r="22" spans="1:15">
      <c r="A22" s="20">
        <v>45709</v>
      </c>
      <c r="B22" s="93" t="s">
        <v>86</v>
      </c>
      <c r="C22" s="36" t="s">
        <v>49</v>
      </c>
      <c r="D22" s="43">
        <v>9</v>
      </c>
      <c r="N22" s="93" t="s">
        <v>124</v>
      </c>
      <c r="O22" t="s">
        <v>83</v>
      </c>
    </row>
    <row r="23" spans="1:15">
      <c r="A23" s="20">
        <v>45709</v>
      </c>
      <c r="B23" s="93" t="s">
        <v>87</v>
      </c>
      <c r="C23" s="36" t="s">
        <v>49</v>
      </c>
      <c r="D23" s="43">
        <v>9</v>
      </c>
      <c r="N23" s="93" t="s">
        <v>93</v>
      </c>
      <c r="O23" t="s">
        <v>83</v>
      </c>
    </row>
    <row r="24" spans="1:15">
      <c r="A24" s="20">
        <v>45709</v>
      </c>
      <c r="B24" s="93" t="s">
        <v>120</v>
      </c>
      <c r="C24" s="36" t="s">
        <v>49</v>
      </c>
      <c r="D24" s="43">
        <v>10</v>
      </c>
      <c r="N24" s="93" t="s">
        <v>94</v>
      </c>
      <c r="O24" t="s">
        <v>83</v>
      </c>
    </row>
    <row r="25" spans="1:15">
      <c r="A25" s="20">
        <v>45709</v>
      </c>
      <c r="B25" s="93" t="s">
        <v>121</v>
      </c>
      <c r="C25" s="36" t="s">
        <v>49</v>
      </c>
      <c r="D25" s="43">
        <v>1</v>
      </c>
      <c r="N25" s="93" t="s">
        <v>95</v>
      </c>
      <c r="O25" t="s">
        <v>83</v>
      </c>
    </row>
    <row r="26" spans="1:15">
      <c r="A26" s="20">
        <v>45709</v>
      </c>
      <c r="B26" s="93" t="s">
        <v>122</v>
      </c>
      <c r="C26" s="36" t="s">
        <v>49</v>
      </c>
      <c r="D26" s="43">
        <v>1</v>
      </c>
      <c r="N26" s="95"/>
    </row>
    <row r="27" spans="1:15">
      <c r="A27" s="20">
        <v>45709</v>
      </c>
      <c r="B27" s="93" t="s">
        <v>123</v>
      </c>
      <c r="C27" s="36" t="s">
        <v>49</v>
      </c>
      <c r="D27" s="43">
        <v>1</v>
      </c>
      <c r="N27" s="84" t="s">
        <v>131</v>
      </c>
    </row>
    <row r="28" spans="1:15">
      <c r="A28" s="20">
        <v>45709</v>
      </c>
      <c r="B28" s="93" t="s">
        <v>124</v>
      </c>
      <c r="C28" s="36" t="s">
        <v>49</v>
      </c>
      <c r="D28" s="43">
        <v>1</v>
      </c>
      <c r="N28" s="84" t="s">
        <v>134</v>
      </c>
    </row>
    <row r="29" spans="1:15">
      <c r="A29" s="43"/>
      <c r="B29" s="93"/>
      <c r="C29" s="43"/>
      <c r="D29" s="43"/>
      <c r="N29" s="84" t="s">
        <v>135</v>
      </c>
    </row>
    <row r="30" spans="1:15">
      <c r="A30" s="20">
        <v>45711</v>
      </c>
      <c r="B30" s="93" t="s">
        <v>86</v>
      </c>
      <c r="C30" s="36" t="s">
        <v>49</v>
      </c>
      <c r="D30" s="43">
        <v>13</v>
      </c>
      <c r="N30" s="93"/>
    </row>
    <row r="31" spans="1:15">
      <c r="A31" s="20">
        <v>45711</v>
      </c>
      <c r="B31" s="93" t="s">
        <v>86</v>
      </c>
      <c r="C31" s="36" t="s">
        <v>49</v>
      </c>
      <c r="D31" s="43">
        <v>2</v>
      </c>
      <c r="N31" s="84" t="s">
        <v>137</v>
      </c>
    </row>
    <row r="32" spans="1:15">
      <c r="A32" s="20">
        <v>45711</v>
      </c>
      <c r="B32" s="93" t="s">
        <v>87</v>
      </c>
      <c r="C32" s="36" t="s">
        <v>49</v>
      </c>
      <c r="D32" s="43">
        <v>13</v>
      </c>
      <c r="N32" s="84" t="s">
        <v>138</v>
      </c>
    </row>
    <row r="33" spans="1:14">
      <c r="A33" s="20">
        <v>45711</v>
      </c>
      <c r="B33" s="93" t="s">
        <v>87</v>
      </c>
      <c r="C33" s="36" t="s">
        <v>49</v>
      </c>
      <c r="D33" s="43">
        <v>2</v>
      </c>
      <c r="N33" s="84" t="s">
        <v>139</v>
      </c>
    </row>
    <row r="34" spans="1:14">
      <c r="A34" s="20">
        <v>45711</v>
      </c>
      <c r="B34" s="92" t="s">
        <v>85</v>
      </c>
      <c r="C34" s="36" t="s">
        <v>49</v>
      </c>
      <c r="D34" s="43">
        <v>1</v>
      </c>
      <c r="N34" s="95"/>
    </row>
    <row r="35" spans="1:14">
      <c r="A35" s="20">
        <v>45711</v>
      </c>
      <c r="B35" s="93" t="s">
        <v>87</v>
      </c>
      <c r="C35" s="36" t="s">
        <v>130</v>
      </c>
      <c r="D35" s="33">
        <v>3</v>
      </c>
      <c r="N35" s="93" t="s">
        <v>166</v>
      </c>
    </row>
    <row r="36" spans="1:14">
      <c r="N36" s="93" t="s">
        <v>167</v>
      </c>
    </row>
    <row r="37" spans="1:14">
      <c r="N37" s="93" t="s">
        <v>154</v>
      </c>
    </row>
    <row r="38" spans="1:14">
      <c r="N38" s="93" t="s">
        <v>155</v>
      </c>
    </row>
    <row r="39" spans="1:14">
      <c r="N39" s="93" t="s">
        <v>159</v>
      </c>
    </row>
    <row r="40" spans="1:14">
      <c r="A40" s="20">
        <v>45713</v>
      </c>
      <c r="B40" s="92" t="s">
        <v>84</v>
      </c>
      <c r="C40" s="43" t="s">
        <v>119</v>
      </c>
      <c r="D40" s="43">
        <v>-15</v>
      </c>
      <c r="N40" s="93" t="s">
        <v>168</v>
      </c>
    </row>
    <row r="41" spans="1:14">
      <c r="A41" s="20">
        <v>45713</v>
      </c>
      <c r="B41" s="92" t="s">
        <v>80</v>
      </c>
      <c r="C41" s="43" t="s">
        <v>119</v>
      </c>
      <c r="D41" s="43">
        <v>-17</v>
      </c>
      <c r="N41" s="93" t="s">
        <v>169</v>
      </c>
    </row>
    <row r="42" spans="1:14">
      <c r="A42" s="20">
        <v>45713</v>
      </c>
      <c r="B42" s="92" t="s">
        <v>76</v>
      </c>
      <c r="C42" s="43" t="s">
        <v>119</v>
      </c>
      <c r="D42" s="43">
        <v>-5</v>
      </c>
      <c r="N42" s="93" t="s">
        <v>170</v>
      </c>
    </row>
    <row r="43" spans="1:14">
      <c r="A43" s="20">
        <v>45713</v>
      </c>
      <c r="B43" s="93" t="s">
        <v>92</v>
      </c>
      <c r="C43" s="43" t="s">
        <v>119</v>
      </c>
      <c r="D43" s="43">
        <v>-5</v>
      </c>
      <c r="N43" s="93" t="s">
        <v>171</v>
      </c>
    </row>
    <row r="44" spans="1:14">
      <c r="A44" s="20">
        <v>45713</v>
      </c>
      <c r="B44" s="92" t="s">
        <v>76</v>
      </c>
      <c r="C44" s="43" t="s">
        <v>119</v>
      </c>
      <c r="D44" s="43">
        <v>-2</v>
      </c>
      <c r="N44" s="43" t="s">
        <v>302</v>
      </c>
    </row>
    <row r="45" spans="1:14">
      <c r="A45" s="20">
        <v>45713</v>
      </c>
      <c r="B45" s="92" t="s">
        <v>76</v>
      </c>
      <c r="C45" s="43" t="s">
        <v>119</v>
      </c>
      <c r="D45" s="43">
        <v>-1</v>
      </c>
      <c r="N45" s="43" t="s">
        <v>266</v>
      </c>
    </row>
    <row r="46" spans="1:14">
      <c r="N46" s="43" t="s">
        <v>186</v>
      </c>
    </row>
    <row r="47" spans="1:14">
      <c r="A47" s="20">
        <v>45714</v>
      </c>
      <c r="B47" s="92" t="s">
        <v>76</v>
      </c>
      <c r="C47" s="43" t="s">
        <v>119</v>
      </c>
      <c r="D47" s="43">
        <v>-1</v>
      </c>
      <c r="N47" s="92" t="s">
        <v>200</v>
      </c>
    </row>
    <row r="48" spans="1:14">
      <c r="A48" s="20">
        <v>45714</v>
      </c>
      <c r="B48" s="92" t="s">
        <v>78</v>
      </c>
      <c r="C48" s="43" t="s">
        <v>119</v>
      </c>
      <c r="D48" s="33">
        <v>-10</v>
      </c>
      <c r="N48" s="93" t="s">
        <v>201</v>
      </c>
    </row>
    <row r="49" spans="1:14">
      <c r="N49" s="144" t="s">
        <v>274</v>
      </c>
    </row>
    <row r="50" spans="1:14">
      <c r="A50" s="20">
        <v>45715</v>
      </c>
      <c r="B50" s="92" t="s">
        <v>76</v>
      </c>
      <c r="C50" s="43" t="s">
        <v>119</v>
      </c>
      <c r="D50" s="33">
        <v>-10</v>
      </c>
      <c r="E50" s="74">
        <v>0.1423611111111111</v>
      </c>
      <c r="N50" s="93" t="s">
        <v>303</v>
      </c>
    </row>
    <row r="51" spans="1:14">
      <c r="A51" s="20">
        <v>45715</v>
      </c>
      <c r="B51" s="92" t="s">
        <v>85</v>
      </c>
      <c r="C51" s="43" t="s">
        <v>119</v>
      </c>
      <c r="D51" s="33">
        <v>-4</v>
      </c>
      <c r="N51" s="104" t="s">
        <v>304</v>
      </c>
    </row>
    <row r="52" spans="1:14">
      <c r="A52" s="20">
        <v>45715</v>
      </c>
      <c r="B52" s="92" t="s">
        <v>85</v>
      </c>
      <c r="C52" s="43" t="s">
        <v>119</v>
      </c>
      <c r="D52" s="33">
        <v>-1</v>
      </c>
      <c r="N52" s="43" t="s">
        <v>334</v>
      </c>
    </row>
    <row r="53" spans="1:14">
      <c r="A53" s="20">
        <v>45715</v>
      </c>
      <c r="B53" s="93" t="s">
        <v>95</v>
      </c>
      <c r="C53" s="43" t="s">
        <v>119</v>
      </c>
      <c r="D53" s="33">
        <v>-2</v>
      </c>
      <c r="N53" s="43" t="s">
        <v>337</v>
      </c>
    </row>
    <row r="54" spans="1:14">
      <c r="A54" s="20">
        <v>45715</v>
      </c>
      <c r="B54" s="92" t="s">
        <v>76</v>
      </c>
      <c r="C54" s="43" t="s">
        <v>119</v>
      </c>
      <c r="D54" s="33">
        <v>-10</v>
      </c>
      <c r="E54" s="74">
        <v>0.3840277777777778</v>
      </c>
      <c r="N54" s="43" t="s">
        <v>366</v>
      </c>
    </row>
    <row r="55" spans="1:14">
      <c r="A55" s="20"/>
      <c r="B55" s="92"/>
      <c r="N55" s="144" t="s">
        <v>367</v>
      </c>
    </row>
    <row r="56" spans="1:14">
      <c r="A56" s="20">
        <v>45715</v>
      </c>
      <c r="B56" s="92" t="s">
        <v>76</v>
      </c>
      <c r="C56" s="43" t="s">
        <v>119</v>
      </c>
      <c r="D56" s="33">
        <v>-10</v>
      </c>
      <c r="N56" s="43" t="s">
        <v>375</v>
      </c>
    </row>
    <row r="57" spans="1:14">
      <c r="A57" s="20">
        <v>45715</v>
      </c>
      <c r="B57" s="92" t="s">
        <v>76</v>
      </c>
      <c r="C57" s="43" t="s">
        <v>119</v>
      </c>
      <c r="D57" s="33">
        <v>-6</v>
      </c>
      <c r="N57" s="43" t="s">
        <v>382</v>
      </c>
    </row>
    <row r="58" spans="1:14">
      <c r="A58" s="20">
        <v>45715</v>
      </c>
      <c r="B58" s="92" t="s">
        <v>76</v>
      </c>
      <c r="C58" s="43" t="s">
        <v>119</v>
      </c>
      <c r="D58" s="33">
        <v>-14</v>
      </c>
      <c r="N58" s="43" t="s">
        <v>383</v>
      </c>
    </row>
    <row r="59" spans="1:14">
      <c r="N59" s="43" t="s">
        <v>384</v>
      </c>
    </row>
    <row r="60" spans="1:14">
      <c r="A60" s="20">
        <v>45716</v>
      </c>
      <c r="B60" s="92" t="s">
        <v>78</v>
      </c>
      <c r="C60" s="43" t="s">
        <v>119</v>
      </c>
      <c r="D60" s="33">
        <v>-3</v>
      </c>
      <c r="N60" s="43" t="s">
        <v>385</v>
      </c>
    </row>
    <row r="61" spans="1:14">
      <c r="A61" s="20">
        <v>45716</v>
      </c>
      <c r="B61" s="92" t="s">
        <v>76</v>
      </c>
      <c r="C61" s="43" t="s">
        <v>119</v>
      </c>
      <c r="D61" s="33">
        <v>-8</v>
      </c>
      <c r="N61" s="43" t="s">
        <v>408</v>
      </c>
    </row>
    <row r="62" spans="1:14">
      <c r="A62" s="20">
        <v>45716</v>
      </c>
      <c r="B62" s="92" t="s">
        <v>76</v>
      </c>
      <c r="C62" s="43" t="s">
        <v>119</v>
      </c>
      <c r="D62" s="33">
        <v>-2</v>
      </c>
      <c r="N62" s="84" t="s">
        <v>410</v>
      </c>
    </row>
    <row r="63" spans="1:14">
      <c r="A63" s="20">
        <v>45716</v>
      </c>
      <c r="B63" s="92" t="s">
        <v>76</v>
      </c>
      <c r="C63" s="43" t="s">
        <v>119</v>
      </c>
      <c r="D63" s="33">
        <v>-50</v>
      </c>
      <c r="N63" s="84" t="s">
        <v>440</v>
      </c>
    </row>
    <row r="64" spans="1:14">
      <c r="A64" s="20">
        <v>45716</v>
      </c>
      <c r="B64" s="92" t="s">
        <v>78</v>
      </c>
      <c r="C64" s="43" t="s">
        <v>119</v>
      </c>
      <c r="D64" s="33">
        <v>-50</v>
      </c>
      <c r="N64" s="84" t="s">
        <v>467</v>
      </c>
    </row>
    <row r="65" spans="1:14">
      <c r="A65" s="20">
        <v>45716</v>
      </c>
      <c r="B65" s="92" t="s">
        <v>76</v>
      </c>
      <c r="C65" s="43" t="s">
        <v>119</v>
      </c>
      <c r="D65" s="33">
        <v>-30</v>
      </c>
      <c r="N65" s="84" t="s">
        <v>477</v>
      </c>
    </row>
    <row r="66" spans="1:14">
      <c r="A66" s="20">
        <v>45716</v>
      </c>
      <c r="B66" s="92" t="s">
        <v>76</v>
      </c>
      <c r="C66" s="43" t="s">
        <v>119</v>
      </c>
      <c r="D66" s="33">
        <v>-1</v>
      </c>
      <c r="N66" s="93" t="s">
        <v>482</v>
      </c>
    </row>
    <row r="67" spans="1:14">
      <c r="N67" s="43" t="s">
        <v>487</v>
      </c>
    </row>
    <row r="68" spans="1:14">
      <c r="A68" s="20">
        <v>45717</v>
      </c>
      <c r="B68" s="92" t="s">
        <v>76</v>
      </c>
      <c r="C68" s="43" t="s">
        <v>119</v>
      </c>
      <c r="D68" s="33">
        <v>-3</v>
      </c>
      <c r="N68" s="84" t="s">
        <v>497</v>
      </c>
    </row>
    <row r="69" spans="1:14">
      <c r="A69" s="20">
        <v>45717</v>
      </c>
      <c r="B69" s="92" t="s">
        <v>76</v>
      </c>
      <c r="C69" s="43" t="s">
        <v>119</v>
      </c>
      <c r="D69" s="33">
        <v>-7</v>
      </c>
      <c r="N69" s="84" t="s">
        <v>498</v>
      </c>
    </row>
    <row r="70" spans="1:14">
      <c r="A70" s="20">
        <v>45717</v>
      </c>
      <c r="B70" s="92" t="s">
        <v>76</v>
      </c>
      <c r="C70" s="43" t="s">
        <v>119</v>
      </c>
      <c r="D70" s="33">
        <v>-10</v>
      </c>
      <c r="N70" s="84" t="s">
        <v>513</v>
      </c>
    </row>
    <row r="71" spans="1:14">
      <c r="A71" s="20">
        <v>45717</v>
      </c>
      <c r="B71" s="92" t="s">
        <v>76</v>
      </c>
      <c r="C71" s="43" t="s">
        <v>119</v>
      </c>
      <c r="D71" s="33">
        <v>-15</v>
      </c>
      <c r="N71" s="84" t="s">
        <v>512</v>
      </c>
    </row>
    <row r="72" spans="1:14">
      <c r="A72" s="20">
        <v>45717</v>
      </c>
      <c r="B72" s="92" t="s">
        <v>76</v>
      </c>
      <c r="C72" s="43" t="s">
        <v>119</v>
      </c>
      <c r="D72" s="33">
        <v>-7</v>
      </c>
      <c r="N72" s="104" t="s">
        <v>533</v>
      </c>
    </row>
    <row r="73" spans="1:14">
      <c r="N73" s="104" t="s">
        <v>534</v>
      </c>
    </row>
    <row r="74" spans="1:14">
      <c r="A74" s="20">
        <v>45717</v>
      </c>
      <c r="B74" s="93" t="s">
        <v>86</v>
      </c>
      <c r="C74" s="36" t="s">
        <v>49</v>
      </c>
      <c r="D74" s="33">
        <v>20</v>
      </c>
    </row>
    <row r="75" spans="1:14">
      <c r="A75" s="20">
        <v>45717</v>
      </c>
      <c r="B75" s="93" t="s">
        <v>87</v>
      </c>
      <c r="C75" s="36" t="s">
        <v>49</v>
      </c>
      <c r="D75" s="33">
        <v>20</v>
      </c>
      <c r="N75" s="93" t="s">
        <v>581</v>
      </c>
    </row>
    <row r="76" spans="1:14">
      <c r="N76" s="93" t="s">
        <v>582</v>
      </c>
    </row>
    <row r="77" spans="1:14">
      <c r="N77" s="84" t="s">
        <v>619</v>
      </c>
    </row>
    <row r="78" spans="1:14">
      <c r="A78" s="20">
        <v>45718</v>
      </c>
      <c r="B78" s="92" t="s">
        <v>78</v>
      </c>
      <c r="C78" s="43" t="s">
        <v>119</v>
      </c>
      <c r="D78" s="33">
        <v>-5</v>
      </c>
      <c r="N78" s="92" t="s">
        <v>634</v>
      </c>
    </row>
    <row r="79" spans="1:14">
      <c r="N79" s="92" t="s">
        <v>641</v>
      </c>
    </row>
    <row r="80" spans="1:14">
      <c r="A80" s="20">
        <v>45719</v>
      </c>
      <c r="B80" s="92" t="s">
        <v>76</v>
      </c>
      <c r="C80" s="43" t="s">
        <v>119</v>
      </c>
      <c r="D80" s="33">
        <v>-8</v>
      </c>
      <c r="N80" s="92" t="s">
        <v>642</v>
      </c>
    </row>
    <row r="81" spans="1:14">
      <c r="A81" s="20">
        <v>45719</v>
      </c>
      <c r="B81" s="93" t="s">
        <v>87</v>
      </c>
      <c r="C81" s="43" t="s">
        <v>119</v>
      </c>
      <c r="D81" s="33">
        <v>-21</v>
      </c>
      <c r="N81" s="92" t="s">
        <v>670</v>
      </c>
    </row>
    <row r="82" spans="1:14">
      <c r="A82" s="20">
        <v>45719</v>
      </c>
      <c r="B82" s="92" t="s">
        <v>82</v>
      </c>
      <c r="C82" s="43" t="s">
        <v>119</v>
      </c>
      <c r="D82" s="33">
        <v>-100</v>
      </c>
      <c r="N82" s="92" t="s">
        <v>671</v>
      </c>
    </row>
    <row r="83" spans="1:14">
      <c r="N83" s="92" t="s">
        <v>662</v>
      </c>
    </row>
    <row r="84" spans="1:14">
      <c r="N84" s="92" t="s">
        <v>672</v>
      </c>
    </row>
    <row r="85" spans="1:14">
      <c r="A85" s="81">
        <v>45719</v>
      </c>
      <c r="B85" s="84" t="s">
        <v>131</v>
      </c>
      <c r="C85" s="19" t="s">
        <v>141</v>
      </c>
      <c r="D85" s="33">
        <v>13</v>
      </c>
      <c r="N85" s="84" t="s">
        <v>675</v>
      </c>
    </row>
    <row r="86" spans="1:14">
      <c r="A86" s="81">
        <v>45719</v>
      </c>
      <c r="B86" s="84" t="s">
        <v>134</v>
      </c>
      <c r="C86" s="19" t="s">
        <v>141</v>
      </c>
      <c r="D86" s="33">
        <v>20</v>
      </c>
      <c r="N86" s="93" t="s">
        <v>681</v>
      </c>
    </row>
    <row r="87" spans="1:14">
      <c r="A87" s="81">
        <v>45719</v>
      </c>
      <c r="B87" s="84" t="s">
        <v>135</v>
      </c>
      <c r="C87" s="19" t="s">
        <v>141</v>
      </c>
      <c r="D87" s="33">
        <v>4</v>
      </c>
      <c r="N87" s="93" t="s">
        <v>805</v>
      </c>
    </row>
    <row r="88" spans="1:14">
      <c r="A88" s="81">
        <v>45719</v>
      </c>
      <c r="B88" s="93" t="s">
        <v>87</v>
      </c>
      <c r="C88" s="19" t="s">
        <v>141</v>
      </c>
      <c r="D88" s="33">
        <v>4</v>
      </c>
      <c r="N88" s="93" t="s">
        <v>806</v>
      </c>
    </row>
    <row r="89" spans="1:14">
      <c r="A89" s="81">
        <v>45719</v>
      </c>
      <c r="B89" s="84" t="s">
        <v>137</v>
      </c>
      <c r="C89" s="19" t="s">
        <v>141</v>
      </c>
      <c r="D89" s="33">
        <v>14</v>
      </c>
      <c r="N89" s="93" t="s">
        <v>807</v>
      </c>
    </row>
    <row r="90" spans="1:14">
      <c r="A90" s="81">
        <v>45719</v>
      </c>
      <c r="B90" s="84" t="s">
        <v>138</v>
      </c>
      <c r="C90" s="19" t="s">
        <v>141</v>
      </c>
      <c r="D90" s="33">
        <v>2</v>
      </c>
      <c r="N90" s="93" t="s">
        <v>808</v>
      </c>
    </row>
    <row r="91" spans="1:14">
      <c r="A91" s="81">
        <v>45719</v>
      </c>
      <c r="B91" s="84" t="s">
        <v>139</v>
      </c>
      <c r="C91" s="19" t="s">
        <v>141</v>
      </c>
      <c r="D91" s="33">
        <v>1</v>
      </c>
      <c r="E91" t="s">
        <v>125</v>
      </c>
    </row>
    <row r="93" spans="1:14">
      <c r="A93" s="81">
        <v>45722</v>
      </c>
      <c r="B93" s="93" t="s">
        <v>86</v>
      </c>
      <c r="C93" s="43" t="s">
        <v>119</v>
      </c>
      <c r="D93" s="43">
        <v>-23</v>
      </c>
    </row>
    <row r="94" spans="1:14">
      <c r="A94" s="81">
        <v>45722</v>
      </c>
      <c r="B94" s="84" t="s">
        <v>137</v>
      </c>
      <c r="C94" s="43" t="s">
        <v>119</v>
      </c>
      <c r="D94" s="43">
        <v>-13</v>
      </c>
    </row>
    <row r="95" spans="1:14">
      <c r="A95" s="81">
        <v>45722</v>
      </c>
      <c r="B95" s="84" t="s">
        <v>135</v>
      </c>
      <c r="C95" s="43" t="s">
        <v>119</v>
      </c>
      <c r="D95" s="43">
        <v>-4</v>
      </c>
    </row>
    <row r="96" spans="1:14">
      <c r="A96" s="81">
        <v>45722</v>
      </c>
      <c r="B96" s="84" t="s">
        <v>134</v>
      </c>
      <c r="C96" s="43" t="s">
        <v>119</v>
      </c>
      <c r="D96" s="43">
        <v>-19</v>
      </c>
      <c r="E96" t="s">
        <v>125</v>
      </c>
    </row>
    <row r="97" spans="1:5">
      <c r="A97" s="81">
        <v>45722</v>
      </c>
      <c r="B97" s="92" t="s">
        <v>78</v>
      </c>
      <c r="C97" s="43" t="s">
        <v>119</v>
      </c>
      <c r="D97" s="33">
        <v>-50</v>
      </c>
      <c r="E97" t="s">
        <v>125</v>
      </c>
    </row>
    <row r="99" spans="1:5">
      <c r="A99" s="81">
        <v>45723</v>
      </c>
      <c r="B99" s="92" t="s">
        <v>78</v>
      </c>
      <c r="C99" s="43" t="s">
        <v>119</v>
      </c>
      <c r="D99" s="33">
        <v>-44</v>
      </c>
    </row>
    <row r="100" spans="1:5">
      <c r="A100" s="81">
        <v>45723</v>
      </c>
      <c r="B100" s="92" t="s">
        <v>88</v>
      </c>
      <c r="C100" s="43" t="s">
        <v>119</v>
      </c>
      <c r="D100" s="33">
        <v>-1</v>
      </c>
      <c r="E100" t="s">
        <v>125</v>
      </c>
    </row>
    <row r="101" spans="1:5">
      <c r="A101" s="81">
        <v>45723</v>
      </c>
      <c r="B101" s="92" t="s">
        <v>82</v>
      </c>
      <c r="C101" s="43" t="s">
        <v>119</v>
      </c>
      <c r="D101" s="33">
        <v>-20</v>
      </c>
      <c r="E101" t="s">
        <v>125</v>
      </c>
    </row>
    <row r="102" spans="1:5">
      <c r="A102" s="81">
        <v>45723</v>
      </c>
      <c r="B102" s="92" t="s">
        <v>82</v>
      </c>
      <c r="C102" s="43" t="s">
        <v>119</v>
      </c>
      <c r="D102" s="33">
        <v>-102</v>
      </c>
      <c r="E102" t="s">
        <v>125</v>
      </c>
    </row>
    <row r="104" spans="1:5">
      <c r="A104" s="81">
        <v>45727</v>
      </c>
      <c r="B104" s="92" t="s">
        <v>76</v>
      </c>
      <c r="C104" s="43" t="s">
        <v>150</v>
      </c>
      <c r="D104" s="43">
        <v>153</v>
      </c>
      <c r="E104" t="s">
        <v>125</v>
      </c>
    </row>
    <row r="105" spans="1:5">
      <c r="A105" s="81">
        <v>45727</v>
      </c>
      <c r="B105" s="92" t="s">
        <v>82</v>
      </c>
      <c r="C105" s="43" t="s">
        <v>150</v>
      </c>
      <c r="D105" s="43">
        <v>250</v>
      </c>
      <c r="E105" t="s">
        <v>125</v>
      </c>
    </row>
    <row r="107" spans="1:5">
      <c r="A107" s="81">
        <v>45728</v>
      </c>
      <c r="B107" s="93" t="s">
        <v>166</v>
      </c>
      <c r="C107" s="43" t="s">
        <v>172</v>
      </c>
      <c r="D107" s="43">
        <v>2</v>
      </c>
      <c r="E107" t="s">
        <v>125</v>
      </c>
    </row>
    <row r="108" spans="1:5">
      <c r="A108" s="81">
        <v>45728</v>
      </c>
      <c r="B108" s="93" t="s">
        <v>167</v>
      </c>
      <c r="C108" s="43" t="s">
        <v>172</v>
      </c>
      <c r="D108" s="43">
        <v>1</v>
      </c>
      <c r="E108" t="s">
        <v>125</v>
      </c>
    </row>
    <row r="109" spans="1:5">
      <c r="A109" s="81">
        <v>45728</v>
      </c>
      <c r="B109" s="84" t="s">
        <v>131</v>
      </c>
      <c r="C109" s="43" t="s">
        <v>172</v>
      </c>
      <c r="D109" s="43">
        <v>2</v>
      </c>
      <c r="E109" t="s">
        <v>125</v>
      </c>
    </row>
    <row r="110" spans="1:5">
      <c r="A110" s="81">
        <v>45728</v>
      </c>
      <c r="B110" s="93" t="s">
        <v>154</v>
      </c>
      <c r="C110" s="43" t="s">
        <v>172</v>
      </c>
      <c r="D110" s="43">
        <v>12</v>
      </c>
      <c r="E110" t="s">
        <v>125</v>
      </c>
    </row>
    <row r="111" spans="1:5">
      <c r="A111" s="81">
        <v>45728</v>
      </c>
      <c r="B111" s="93" t="s">
        <v>155</v>
      </c>
      <c r="C111" s="43" t="s">
        <v>172</v>
      </c>
      <c r="D111" s="43">
        <v>17</v>
      </c>
      <c r="E111" t="s">
        <v>125</v>
      </c>
    </row>
    <row r="112" spans="1:5">
      <c r="A112" s="81">
        <v>45728</v>
      </c>
      <c r="B112" s="93" t="s">
        <v>159</v>
      </c>
      <c r="C112" s="43" t="s">
        <v>172</v>
      </c>
      <c r="D112" s="43">
        <v>7</v>
      </c>
      <c r="E112" t="s">
        <v>125</v>
      </c>
    </row>
    <row r="113" spans="1:5">
      <c r="A113" s="81">
        <v>45728</v>
      </c>
      <c r="B113" s="93" t="s">
        <v>168</v>
      </c>
      <c r="C113" s="43" t="s">
        <v>172</v>
      </c>
      <c r="D113" s="43">
        <v>1</v>
      </c>
      <c r="E113" t="s">
        <v>125</v>
      </c>
    </row>
    <row r="114" spans="1:5">
      <c r="A114" s="81">
        <v>45728</v>
      </c>
      <c r="B114" s="93" t="s">
        <v>169</v>
      </c>
      <c r="C114" s="43" t="s">
        <v>172</v>
      </c>
      <c r="D114" s="43">
        <v>1</v>
      </c>
      <c r="E114" t="s">
        <v>125</v>
      </c>
    </row>
    <row r="115" spans="1:5">
      <c r="A115" s="81">
        <v>45728</v>
      </c>
      <c r="B115" s="93" t="s">
        <v>170</v>
      </c>
      <c r="C115" s="43" t="s">
        <v>172</v>
      </c>
      <c r="D115" s="43">
        <v>1</v>
      </c>
      <c r="E115" t="s">
        <v>125</v>
      </c>
    </row>
    <row r="116" spans="1:5">
      <c r="A116" s="81">
        <v>45728</v>
      </c>
      <c r="B116" s="93" t="s">
        <v>171</v>
      </c>
      <c r="C116" s="43" t="s">
        <v>172</v>
      </c>
      <c r="D116" s="43">
        <v>1</v>
      </c>
      <c r="E116" t="s">
        <v>125</v>
      </c>
    </row>
    <row r="117" spans="1:5">
      <c r="A117" s="81">
        <v>45728</v>
      </c>
      <c r="B117" s="84" t="s">
        <v>134</v>
      </c>
      <c r="C117" s="43" t="s">
        <v>172</v>
      </c>
      <c r="D117" s="43">
        <v>1</v>
      </c>
      <c r="E117" t="s">
        <v>125</v>
      </c>
    </row>
    <row r="119" spans="1:5">
      <c r="A119" s="81">
        <v>45728</v>
      </c>
      <c r="B119" s="92" t="s">
        <v>78</v>
      </c>
      <c r="C119" s="43" t="s">
        <v>119</v>
      </c>
      <c r="D119" s="43">
        <v>-2</v>
      </c>
      <c r="E119" t="s">
        <v>125</v>
      </c>
    </row>
    <row r="121" spans="1:5">
      <c r="A121" s="81">
        <v>45729</v>
      </c>
      <c r="B121" s="92" t="s">
        <v>80</v>
      </c>
      <c r="C121" s="43" t="s">
        <v>119</v>
      </c>
      <c r="D121" s="43">
        <v>-188</v>
      </c>
      <c r="E121" t="s">
        <v>125</v>
      </c>
    </row>
    <row r="122" spans="1:5">
      <c r="A122" s="81">
        <v>45729</v>
      </c>
      <c r="B122" s="84" t="s">
        <v>131</v>
      </c>
      <c r="C122" s="43" t="s">
        <v>119</v>
      </c>
      <c r="D122" s="43">
        <v>-13</v>
      </c>
      <c r="E122" t="s">
        <v>125</v>
      </c>
    </row>
    <row r="123" spans="1:5">
      <c r="A123" s="81">
        <v>45729</v>
      </c>
      <c r="B123" s="93" t="s">
        <v>154</v>
      </c>
      <c r="C123" s="43" t="s">
        <v>119</v>
      </c>
      <c r="D123" s="43">
        <v>-10</v>
      </c>
      <c r="E123" t="s">
        <v>125</v>
      </c>
    </row>
    <row r="124" spans="1:5">
      <c r="A124" s="81">
        <v>45729</v>
      </c>
      <c r="B124" s="93" t="s">
        <v>87</v>
      </c>
      <c r="C124" s="43" t="s">
        <v>174</v>
      </c>
      <c r="D124" s="43">
        <v>-4</v>
      </c>
      <c r="E124" t="s">
        <v>125</v>
      </c>
    </row>
    <row r="125" spans="1:5">
      <c r="A125" s="81">
        <v>45729</v>
      </c>
      <c r="B125" s="84" t="s">
        <v>131</v>
      </c>
      <c r="C125" s="43" t="s">
        <v>119</v>
      </c>
      <c r="D125" s="43">
        <v>-1</v>
      </c>
      <c r="E125" t="s">
        <v>125</v>
      </c>
    </row>
    <row r="126" spans="1:5">
      <c r="A126" s="81">
        <v>45729</v>
      </c>
      <c r="B126" s="93" t="s">
        <v>155</v>
      </c>
      <c r="C126" s="43" t="s">
        <v>119</v>
      </c>
      <c r="D126" s="43">
        <v>-17</v>
      </c>
      <c r="E126" t="s">
        <v>125</v>
      </c>
    </row>
    <row r="127" spans="1:5">
      <c r="A127" s="81">
        <v>45729</v>
      </c>
      <c r="B127" s="93" t="s">
        <v>159</v>
      </c>
      <c r="C127" s="43" t="s">
        <v>119</v>
      </c>
      <c r="D127" s="43">
        <v>-6</v>
      </c>
      <c r="E127" t="s">
        <v>125</v>
      </c>
    </row>
    <row r="128" spans="1:5">
      <c r="A128" s="81">
        <v>45729</v>
      </c>
      <c r="B128" s="84" t="s">
        <v>131</v>
      </c>
      <c r="C128" s="43" t="s">
        <v>119</v>
      </c>
      <c r="D128" s="43">
        <v>-1</v>
      </c>
      <c r="E128" t="s">
        <v>125</v>
      </c>
    </row>
    <row r="129" spans="1:10">
      <c r="A129" s="81">
        <v>45729</v>
      </c>
      <c r="B129" s="92" t="s">
        <v>78</v>
      </c>
      <c r="C129" s="43" t="s">
        <v>174</v>
      </c>
      <c r="D129" s="43">
        <v>-30</v>
      </c>
      <c r="E129" t="s">
        <v>125</v>
      </c>
    </row>
    <row r="130" spans="1:10">
      <c r="A130" s="96">
        <v>45729</v>
      </c>
      <c r="B130" s="354" t="s">
        <v>85</v>
      </c>
      <c r="C130" s="99" t="s">
        <v>175</v>
      </c>
      <c r="D130" s="99">
        <v>-2</v>
      </c>
      <c r="E130" t="s">
        <v>125</v>
      </c>
    </row>
    <row r="131" spans="1:10">
      <c r="A131" s="81">
        <v>45729</v>
      </c>
      <c r="B131" s="84" t="s">
        <v>138</v>
      </c>
      <c r="C131" s="43" t="s">
        <v>174</v>
      </c>
      <c r="D131" s="43">
        <v>-2</v>
      </c>
      <c r="E131" t="s">
        <v>125</v>
      </c>
    </row>
    <row r="132" spans="1:10">
      <c r="A132" s="81">
        <v>45729</v>
      </c>
      <c r="B132" s="84" t="s">
        <v>139</v>
      </c>
      <c r="C132" s="43" t="s">
        <v>174</v>
      </c>
      <c r="D132" s="43">
        <v>-1</v>
      </c>
      <c r="E132" t="s">
        <v>125</v>
      </c>
      <c r="G132" s="96">
        <v>45729</v>
      </c>
      <c r="H132" s="97" t="s">
        <v>85</v>
      </c>
      <c r="I132" s="99" t="s">
        <v>175</v>
      </c>
      <c r="J132" s="99">
        <v>-2</v>
      </c>
    </row>
    <row r="133" spans="1:10">
      <c r="A133" s="81">
        <v>45729</v>
      </c>
      <c r="B133" s="93" t="s">
        <v>93</v>
      </c>
      <c r="C133" s="43" t="s">
        <v>174</v>
      </c>
      <c r="D133" s="43">
        <v>-1</v>
      </c>
      <c r="E133" t="s">
        <v>125</v>
      </c>
      <c r="G133" s="96">
        <v>45729</v>
      </c>
      <c r="H133" s="98" t="s">
        <v>138</v>
      </c>
      <c r="I133" s="99" t="s">
        <v>175</v>
      </c>
      <c r="J133" s="99">
        <v>-2</v>
      </c>
    </row>
    <row r="134" spans="1:10">
      <c r="G134" s="96">
        <v>45729</v>
      </c>
      <c r="H134" s="98" t="s">
        <v>139</v>
      </c>
      <c r="I134" s="99" t="s">
        <v>175</v>
      </c>
      <c r="J134" s="99">
        <v>-1</v>
      </c>
    </row>
    <row r="135" spans="1:10">
      <c r="A135" s="81">
        <v>45730</v>
      </c>
      <c r="B135" s="92" t="s">
        <v>89</v>
      </c>
      <c r="C135" s="43" t="s">
        <v>119</v>
      </c>
      <c r="D135" s="43">
        <v>-1</v>
      </c>
      <c r="E135" t="s">
        <v>125</v>
      </c>
      <c r="G135" s="96">
        <v>45731</v>
      </c>
      <c r="H135" s="109" t="s">
        <v>120</v>
      </c>
      <c r="I135" s="99" t="s">
        <v>202</v>
      </c>
      <c r="J135" s="99">
        <v>-5</v>
      </c>
    </row>
    <row r="136" spans="1:10">
      <c r="G136" s="96">
        <v>45731</v>
      </c>
      <c r="H136" s="109" t="s">
        <v>121</v>
      </c>
      <c r="I136" s="99" t="s">
        <v>202</v>
      </c>
      <c r="J136" s="99">
        <v>-1</v>
      </c>
    </row>
    <row r="137" spans="1:10">
      <c r="A137" s="81">
        <v>45731</v>
      </c>
      <c r="B137" s="93" t="s">
        <v>86</v>
      </c>
      <c r="C137" s="33" t="s">
        <v>187</v>
      </c>
      <c r="D137" s="33">
        <v>34</v>
      </c>
      <c r="E137" t="s">
        <v>125</v>
      </c>
      <c r="G137" s="96">
        <v>45731</v>
      </c>
      <c r="H137" s="109" t="s">
        <v>122</v>
      </c>
      <c r="I137" s="99" t="s">
        <v>202</v>
      </c>
      <c r="J137" s="99">
        <v>-1</v>
      </c>
    </row>
    <row r="138" spans="1:10">
      <c r="A138" s="81">
        <v>45731</v>
      </c>
      <c r="B138" s="93" t="s">
        <v>186</v>
      </c>
      <c r="C138" s="33" t="s">
        <v>187</v>
      </c>
      <c r="D138" s="33">
        <v>11</v>
      </c>
      <c r="E138" t="s">
        <v>125</v>
      </c>
      <c r="G138" s="96">
        <v>45731</v>
      </c>
      <c r="H138" s="109" t="s">
        <v>123</v>
      </c>
      <c r="I138" s="99" t="s">
        <v>202</v>
      </c>
      <c r="J138" s="99">
        <v>-1</v>
      </c>
    </row>
    <row r="139" spans="1:10">
      <c r="A139" s="81">
        <v>45731</v>
      </c>
      <c r="B139" s="93" t="s">
        <v>87</v>
      </c>
      <c r="C139" s="33" t="s">
        <v>187</v>
      </c>
      <c r="D139" s="33">
        <v>45</v>
      </c>
      <c r="G139" s="96">
        <v>45731</v>
      </c>
      <c r="H139" s="109" t="s">
        <v>124</v>
      </c>
      <c r="I139" s="99" t="s">
        <v>202</v>
      </c>
      <c r="J139" s="99">
        <v>-1</v>
      </c>
    </row>
    <row r="140" spans="1:10">
      <c r="A140" s="107"/>
      <c r="G140" s="96">
        <v>45731</v>
      </c>
      <c r="H140" s="109" t="s">
        <v>86</v>
      </c>
      <c r="I140" s="99" t="s">
        <v>175</v>
      </c>
      <c r="J140" s="99">
        <v>-15</v>
      </c>
    </row>
    <row r="141" spans="1:10">
      <c r="A141" s="81">
        <v>45731</v>
      </c>
      <c r="B141" s="93" t="s">
        <v>201</v>
      </c>
      <c r="C141" s="43" t="s">
        <v>187</v>
      </c>
      <c r="D141" s="43">
        <v>6</v>
      </c>
      <c r="E141" s="18" t="s">
        <v>125</v>
      </c>
      <c r="G141" s="96">
        <v>45734</v>
      </c>
      <c r="H141" s="109" t="s">
        <v>86</v>
      </c>
      <c r="I141" s="99" t="s">
        <v>213</v>
      </c>
      <c r="J141" s="99">
        <v>-35</v>
      </c>
    </row>
    <row r="142" spans="1:10">
      <c r="A142" s="81">
        <v>45731</v>
      </c>
      <c r="B142" s="92" t="s">
        <v>84</v>
      </c>
      <c r="C142" s="43" t="s">
        <v>187</v>
      </c>
      <c r="D142" s="43">
        <v>5</v>
      </c>
      <c r="E142" s="18" t="s">
        <v>125</v>
      </c>
    </row>
    <row r="143" spans="1:10">
      <c r="A143" s="81">
        <v>45731</v>
      </c>
      <c r="B143" s="93" t="s">
        <v>201</v>
      </c>
      <c r="C143" s="43" t="s">
        <v>187</v>
      </c>
      <c r="D143" s="43">
        <v>8</v>
      </c>
      <c r="E143" s="18" t="s">
        <v>125</v>
      </c>
    </row>
    <row r="144" spans="1:10">
      <c r="A144" s="81">
        <v>45731</v>
      </c>
      <c r="B144" s="92" t="s">
        <v>84</v>
      </c>
      <c r="C144" s="43" t="s">
        <v>187</v>
      </c>
      <c r="D144" s="43">
        <v>2</v>
      </c>
      <c r="E144" s="18" t="s">
        <v>125</v>
      </c>
    </row>
    <row r="145" spans="1:5">
      <c r="A145" s="81">
        <v>45731</v>
      </c>
      <c r="B145" s="92" t="s">
        <v>84</v>
      </c>
      <c r="C145" s="43" t="s">
        <v>187</v>
      </c>
      <c r="D145" s="43">
        <v>3</v>
      </c>
      <c r="E145" s="18" t="s">
        <v>125</v>
      </c>
    </row>
    <row r="146" spans="1:5">
      <c r="A146" s="81">
        <v>45731</v>
      </c>
      <c r="B146" s="92" t="s">
        <v>84</v>
      </c>
      <c r="C146" s="43" t="s">
        <v>187</v>
      </c>
      <c r="D146" s="43">
        <v>2</v>
      </c>
      <c r="E146" s="18" t="s">
        <v>125</v>
      </c>
    </row>
    <row r="147" spans="1:5">
      <c r="A147" s="107"/>
      <c r="B147" s="108"/>
    </row>
    <row r="148" spans="1:5" ht="15">
      <c r="A148"/>
      <c r="B148" s="95"/>
      <c r="C148"/>
      <c r="D148"/>
    </row>
    <row r="150" spans="1:5">
      <c r="A150" s="81">
        <v>45733</v>
      </c>
      <c r="B150" s="92" t="s">
        <v>84</v>
      </c>
      <c r="C150" s="43" t="s">
        <v>187</v>
      </c>
      <c r="D150" s="43">
        <v>5</v>
      </c>
      <c r="E150" s="18" t="s">
        <v>125</v>
      </c>
    </row>
    <row r="151" spans="1:5">
      <c r="A151" s="81">
        <v>45733</v>
      </c>
      <c r="B151" s="93" t="s">
        <v>201</v>
      </c>
      <c r="C151" s="43" t="s">
        <v>199</v>
      </c>
      <c r="D151" s="43">
        <v>3</v>
      </c>
      <c r="E151" s="18" t="s">
        <v>125</v>
      </c>
    </row>
    <row r="152" spans="1:5">
      <c r="A152" s="81">
        <v>45733</v>
      </c>
      <c r="B152" s="93" t="s">
        <v>120</v>
      </c>
      <c r="C152" s="43" t="s">
        <v>187</v>
      </c>
      <c r="D152" s="43">
        <v>2</v>
      </c>
      <c r="E152" s="18" t="s">
        <v>125</v>
      </c>
    </row>
    <row r="153" spans="1:5">
      <c r="A153" s="81">
        <v>45733</v>
      </c>
      <c r="B153" s="92" t="s">
        <v>84</v>
      </c>
      <c r="C153" s="43" t="s">
        <v>187</v>
      </c>
      <c r="D153" s="43">
        <v>3</v>
      </c>
      <c r="E153" s="18" t="s">
        <v>125</v>
      </c>
    </row>
    <row r="154" spans="1:5">
      <c r="A154" s="81">
        <v>45733</v>
      </c>
      <c r="B154" s="93" t="s">
        <v>124</v>
      </c>
      <c r="C154" s="43" t="s">
        <v>187</v>
      </c>
      <c r="D154" s="43">
        <v>2</v>
      </c>
      <c r="E154" s="18" t="s">
        <v>125</v>
      </c>
    </row>
    <row r="155" spans="1:5">
      <c r="A155" s="81">
        <v>45733</v>
      </c>
      <c r="B155" s="92" t="s">
        <v>78</v>
      </c>
      <c r="C155" s="43" t="s">
        <v>187</v>
      </c>
      <c r="D155" s="43">
        <v>17</v>
      </c>
      <c r="E155" s="18" t="s">
        <v>125</v>
      </c>
    </row>
    <row r="157" spans="1:5">
      <c r="A157" s="81">
        <v>45731</v>
      </c>
      <c r="B157" s="93" t="s">
        <v>120</v>
      </c>
      <c r="C157" s="43" t="s">
        <v>119</v>
      </c>
      <c r="D157" s="43">
        <v>-5</v>
      </c>
      <c r="E157" s="18" t="s">
        <v>125</v>
      </c>
    </row>
    <row r="158" spans="1:5">
      <c r="A158" s="81">
        <v>45731</v>
      </c>
      <c r="B158" s="93" t="s">
        <v>121</v>
      </c>
      <c r="C158" s="43" t="s">
        <v>119</v>
      </c>
      <c r="D158" s="43">
        <v>-1</v>
      </c>
      <c r="E158" s="18" t="s">
        <v>125</v>
      </c>
    </row>
    <row r="159" spans="1:5">
      <c r="A159" s="81">
        <v>45731</v>
      </c>
      <c r="B159" s="93" t="s">
        <v>122</v>
      </c>
      <c r="C159" s="43" t="s">
        <v>119</v>
      </c>
      <c r="D159" s="43">
        <v>-1</v>
      </c>
      <c r="E159" s="18" t="s">
        <v>125</v>
      </c>
    </row>
    <row r="160" spans="1:5">
      <c r="A160" s="81">
        <v>45731</v>
      </c>
      <c r="B160" s="93" t="s">
        <v>123</v>
      </c>
      <c r="C160" s="43" t="s">
        <v>119</v>
      </c>
      <c r="D160" s="43">
        <v>-1</v>
      </c>
      <c r="E160" s="18" t="s">
        <v>125</v>
      </c>
    </row>
    <row r="161" spans="1:5">
      <c r="A161" s="81">
        <v>45731</v>
      </c>
      <c r="B161" s="93" t="s">
        <v>124</v>
      </c>
      <c r="C161" s="43" t="s">
        <v>119</v>
      </c>
      <c r="D161" s="43">
        <v>-1</v>
      </c>
      <c r="E161" s="18" t="s">
        <v>125</v>
      </c>
    </row>
    <row r="162" spans="1:5">
      <c r="A162" s="81">
        <v>45731</v>
      </c>
      <c r="B162" s="93" t="s">
        <v>186</v>
      </c>
      <c r="C162" s="43" t="s">
        <v>119</v>
      </c>
      <c r="D162" s="43">
        <v>-11</v>
      </c>
      <c r="E162" s="18" t="s">
        <v>125</v>
      </c>
    </row>
    <row r="163" spans="1:5">
      <c r="A163" s="96">
        <v>45731</v>
      </c>
      <c r="B163" s="109" t="s">
        <v>86</v>
      </c>
      <c r="C163" s="99" t="s">
        <v>175</v>
      </c>
      <c r="D163" s="99">
        <v>-10</v>
      </c>
      <c r="E163" s="110" t="s">
        <v>125</v>
      </c>
    </row>
    <row r="164" spans="1:5">
      <c r="A164" s="81">
        <v>45733</v>
      </c>
      <c r="B164" s="92" t="s">
        <v>84</v>
      </c>
      <c r="C164" s="43" t="s">
        <v>119</v>
      </c>
      <c r="D164" s="43">
        <v>-2</v>
      </c>
      <c r="E164" s="18" t="s">
        <v>125</v>
      </c>
    </row>
    <row r="165" spans="1:5">
      <c r="A165" s="81">
        <v>45733</v>
      </c>
      <c r="B165" s="93" t="s">
        <v>86</v>
      </c>
      <c r="C165" s="43" t="s">
        <v>119</v>
      </c>
      <c r="D165" s="43">
        <v>-2</v>
      </c>
      <c r="E165" s="18" t="s">
        <v>125</v>
      </c>
    </row>
    <row r="166" spans="1:5">
      <c r="A166" s="81">
        <v>45733</v>
      </c>
      <c r="B166" s="93" t="s">
        <v>87</v>
      </c>
      <c r="C166" s="43" t="s">
        <v>119</v>
      </c>
      <c r="D166" s="43">
        <v>-5</v>
      </c>
      <c r="E166" s="18" t="s">
        <v>125</v>
      </c>
    </row>
    <row r="168" spans="1:5">
      <c r="A168" s="81">
        <v>45734</v>
      </c>
      <c r="B168" s="92" t="s">
        <v>84</v>
      </c>
      <c r="C168" s="43" t="s">
        <v>187</v>
      </c>
      <c r="D168" s="43">
        <v>3</v>
      </c>
      <c r="E168" s="18" t="s">
        <v>125</v>
      </c>
    </row>
    <row r="170" spans="1:5">
      <c r="A170" s="81">
        <v>45734</v>
      </c>
      <c r="B170" s="93" t="s">
        <v>87</v>
      </c>
      <c r="C170" s="43" t="s">
        <v>119</v>
      </c>
      <c r="D170" s="43">
        <v>-63</v>
      </c>
      <c r="E170" s="18" t="s">
        <v>125</v>
      </c>
    </row>
    <row r="171" spans="1:5">
      <c r="A171" s="81">
        <v>45734</v>
      </c>
      <c r="B171" s="92" t="s">
        <v>82</v>
      </c>
      <c r="C171" s="43" t="s">
        <v>119</v>
      </c>
      <c r="D171" s="43">
        <v>-80</v>
      </c>
      <c r="E171" s="18" t="s">
        <v>125</v>
      </c>
    </row>
    <row r="172" spans="1:5">
      <c r="A172" s="96">
        <v>45734</v>
      </c>
      <c r="B172" s="109" t="s">
        <v>86</v>
      </c>
      <c r="C172" s="99" t="s">
        <v>213</v>
      </c>
      <c r="D172" s="99">
        <v>-35</v>
      </c>
      <c r="E172" s="110" t="s">
        <v>125</v>
      </c>
    </row>
    <row r="173" spans="1:5">
      <c r="A173" s="81">
        <v>45734</v>
      </c>
      <c r="B173" s="92" t="s">
        <v>78</v>
      </c>
      <c r="C173" s="43" t="s">
        <v>119</v>
      </c>
      <c r="D173" s="43">
        <v>-3</v>
      </c>
      <c r="E173" s="18" t="s">
        <v>125</v>
      </c>
    </row>
    <row r="175" spans="1:5">
      <c r="A175" s="81">
        <v>45735</v>
      </c>
      <c r="B175" s="92" t="s">
        <v>84</v>
      </c>
      <c r="C175" s="43" t="s">
        <v>49</v>
      </c>
      <c r="D175" s="43">
        <v>10</v>
      </c>
      <c r="E175" s="18" t="s">
        <v>125</v>
      </c>
    </row>
    <row r="176" spans="1:5">
      <c r="A176" s="81">
        <v>45735</v>
      </c>
      <c r="B176" s="93" t="s">
        <v>201</v>
      </c>
      <c r="C176" s="43" t="s">
        <v>49</v>
      </c>
      <c r="D176" s="43">
        <v>4</v>
      </c>
      <c r="E176" s="18" t="s">
        <v>125</v>
      </c>
    </row>
    <row r="178" spans="1:5">
      <c r="A178" s="81">
        <v>45736</v>
      </c>
      <c r="B178" s="92" t="s">
        <v>84</v>
      </c>
      <c r="C178" s="43" t="s">
        <v>49</v>
      </c>
      <c r="D178" s="43">
        <v>1</v>
      </c>
      <c r="E178" s="18" t="s">
        <v>125</v>
      </c>
    </row>
    <row r="179" spans="1:5">
      <c r="A179" s="81">
        <v>45736</v>
      </c>
      <c r="B179" s="93" t="s">
        <v>87</v>
      </c>
      <c r="C179" s="43" t="s">
        <v>49</v>
      </c>
      <c r="D179" s="43">
        <v>1</v>
      </c>
      <c r="E179" s="18" t="s">
        <v>125</v>
      </c>
    </row>
    <row r="180" spans="1:5">
      <c r="A180" s="105">
        <v>45736</v>
      </c>
      <c r="B180" s="128" t="s">
        <v>84</v>
      </c>
      <c r="C180" s="106" t="s">
        <v>258</v>
      </c>
      <c r="D180" s="106"/>
      <c r="E180" s="18" t="s">
        <v>125</v>
      </c>
    </row>
    <row r="181" spans="1:5">
      <c r="A181" s="81">
        <v>45737</v>
      </c>
      <c r="B181" s="93" t="s">
        <v>201</v>
      </c>
      <c r="C181" s="43" t="s">
        <v>254</v>
      </c>
      <c r="D181" s="43">
        <v>1</v>
      </c>
      <c r="E181" s="18" t="s">
        <v>125</v>
      </c>
    </row>
    <row r="183" spans="1:5">
      <c r="A183" s="81">
        <v>45738</v>
      </c>
      <c r="B183" s="92" t="s">
        <v>78</v>
      </c>
      <c r="C183" s="137" t="s">
        <v>119</v>
      </c>
      <c r="D183" s="137">
        <v>-4</v>
      </c>
      <c r="E183" s="18" t="s">
        <v>125</v>
      </c>
    </row>
    <row r="185" spans="1:5">
      <c r="A185" s="81">
        <v>45739</v>
      </c>
      <c r="B185" s="93" t="s">
        <v>266</v>
      </c>
      <c r="C185" s="43" t="s">
        <v>49</v>
      </c>
      <c r="D185" s="43">
        <v>1</v>
      </c>
      <c r="E185" s="18"/>
    </row>
    <row r="186" spans="1:5">
      <c r="A186" s="105">
        <v>45739</v>
      </c>
      <c r="B186" s="139" t="s">
        <v>266</v>
      </c>
      <c r="C186" s="106" t="s">
        <v>267</v>
      </c>
      <c r="D186" s="106">
        <v>1</v>
      </c>
      <c r="E186" s="18"/>
    </row>
    <row r="187" spans="1:5">
      <c r="A187" s="81">
        <v>45739</v>
      </c>
      <c r="B187" s="93" t="s">
        <v>266</v>
      </c>
      <c r="C187" s="43" t="s">
        <v>49</v>
      </c>
      <c r="D187" s="43">
        <v>2</v>
      </c>
      <c r="E187" s="18"/>
    </row>
    <row r="188" spans="1:5">
      <c r="A188" s="81">
        <v>45739</v>
      </c>
      <c r="B188" s="93" t="s">
        <v>121</v>
      </c>
      <c r="C188" s="43" t="s">
        <v>49</v>
      </c>
      <c r="D188" s="43">
        <v>1</v>
      </c>
      <c r="E188" s="18"/>
    </row>
    <row r="190" spans="1:5">
      <c r="A190" s="81">
        <v>45740</v>
      </c>
      <c r="B190" s="93" t="s">
        <v>266</v>
      </c>
      <c r="C190" s="43" t="s">
        <v>49</v>
      </c>
      <c r="D190" s="43">
        <v>2</v>
      </c>
      <c r="E190" s="18" t="s">
        <v>125</v>
      </c>
    </row>
    <row r="191" spans="1:5">
      <c r="A191" s="81">
        <v>45740</v>
      </c>
      <c r="B191" s="93" t="s">
        <v>266</v>
      </c>
      <c r="C191" s="43" t="s">
        <v>49</v>
      </c>
      <c r="D191" s="43">
        <v>2</v>
      </c>
      <c r="E191" s="18" t="s">
        <v>125</v>
      </c>
    </row>
    <row r="192" spans="1:5">
      <c r="A192" s="81">
        <v>45740</v>
      </c>
      <c r="B192" s="92" t="s">
        <v>84</v>
      </c>
      <c r="C192" s="43" t="s">
        <v>49</v>
      </c>
      <c r="D192" s="43">
        <v>2</v>
      </c>
      <c r="E192" s="18" t="s">
        <v>125</v>
      </c>
    </row>
    <row r="194" spans="1:5">
      <c r="A194" s="105">
        <v>45742</v>
      </c>
      <c r="B194" s="139" t="s">
        <v>266</v>
      </c>
      <c r="C194" s="106" t="s">
        <v>49</v>
      </c>
      <c r="D194" s="106">
        <v>10</v>
      </c>
      <c r="E194" s="94" t="s">
        <v>125</v>
      </c>
    </row>
    <row r="195" spans="1:5">
      <c r="A195" s="81">
        <v>45742</v>
      </c>
      <c r="B195" s="92" t="s">
        <v>84</v>
      </c>
      <c r="C195" s="43" t="s">
        <v>49</v>
      </c>
      <c r="D195" s="43">
        <v>2</v>
      </c>
      <c r="E195" s="18" t="s">
        <v>125</v>
      </c>
    </row>
    <row r="197" spans="1:5">
      <c r="A197" s="81">
        <v>45742</v>
      </c>
      <c r="B197" s="93" t="s">
        <v>86</v>
      </c>
      <c r="C197" s="43" t="s">
        <v>273</v>
      </c>
      <c r="D197" s="43">
        <v>10</v>
      </c>
      <c r="E197" s="18" t="s">
        <v>125</v>
      </c>
    </row>
    <row r="199" spans="1:5">
      <c r="A199" s="81">
        <v>45742</v>
      </c>
      <c r="B199" s="93" t="s">
        <v>86</v>
      </c>
      <c r="C199" s="43" t="s">
        <v>119</v>
      </c>
      <c r="D199" s="43">
        <v>-2</v>
      </c>
      <c r="E199" s="18" t="s">
        <v>125</v>
      </c>
    </row>
    <row r="200" spans="1:5">
      <c r="A200" s="81">
        <v>45742</v>
      </c>
      <c r="B200" s="92" t="s">
        <v>78</v>
      </c>
      <c r="C200" s="43" t="s">
        <v>119</v>
      </c>
      <c r="D200" s="43">
        <v>-25</v>
      </c>
      <c r="E200" s="18" t="s">
        <v>125</v>
      </c>
    </row>
    <row r="201" spans="1:5">
      <c r="A201" s="81">
        <v>45742</v>
      </c>
      <c r="B201" s="92" t="s">
        <v>78</v>
      </c>
      <c r="C201" s="43" t="s">
        <v>119</v>
      </c>
      <c r="D201" s="43">
        <v>-1</v>
      </c>
      <c r="E201" s="18" t="s">
        <v>125</v>
      </c>
    </row>
    <row r="203" spans="1:5">
      <c r="A203" s="81">
        <v>45742</v>
      </c>
      <c r="B203" s="93" t="s">
        <v>274</v>
      </c>
      <c r="C203" s="43" t="s">
        <v>275</v>
      </c>
      <c r="D203" s="43">
        <v>100</v>
      </c>
      <c r="E203" s="18" t="s">
        <v>125</v>
      </c>
    </row>
    <row r="204" spans="1:5">
      <c r="A204" s="81">
        <v>45742</v>
      </c>
      <c r="B204" s="93" t="s">
        <v>86</v>
      </c>
      <c r="C204" s="43" t="s">
        <v>119</v>
      </c>
      <c r="D204" s="43">
        <v>-3</v>
      </c>
      <c r="E204" s="18" t="s">
        <v>125</v>
      </c>
    </row>
    <row r="205" spans="1:5">
      <c r="A205" s="81">
        <v>45742</v>
      </c>
      <c r="B205" s="92" t="s">
        <v>76</v>
      </c>
      <c r="C205" s="43" t="s">
        <v>119</v>
      </c>
      <c r="D205" s="43">
        <v>-10</v>
      </c>
      <c r="E205" s="18" t="s">
        <v>125</v>
      </c>
    </row>
    <row r="206" spans="1:5">
      <c r="A206" s="81">
        <v>45742</v>
      </c>
      <c r="B206" s="92" t="s">
        <v>76</v>
      </c>
      <c r="C206" s="43" t="s">
        <v>119</v>
      </c>
      <c r="D206" s="43">
        <v>-25</v>
      </c>
      <c r="E206" s="18" t="s">
        <v>125</v>
      </c>
    </row>
    <row r="208" spans="1:5">
      <c r="A208" s="81">
        <v>45743</v>
      </c>
      <c r="B208" s="92" t="s">
        <v>76</v>
      </c>
      <c r="C208" s="43" t="s">
        <v>119</v>
      </c>
      <c r="D208" s="43">
        <v>-9</v>
      </c>
      <c r="E208" s="18" t="s">
        <v>125</v>
      </c>
    </row>
    <row r="209" spans="1:5">
      <c r="A209" s="81">
        <v>45743</v>
      </c>
      <c r="B209" s="93" t="s">
        <v>274</v>
      </c>
      <c r="C209" s="43" t="s">
        <v>119</v>
      </c>
      <c r="D209" s="43">
        <v>-5</v>
      </c>
      <c r="E209" s="18" t="s">
        <v>125</v>
      </c>
    </row>
    <row r="210" spans="1:5">
      <c r="A210" s="81">
        <v>45743</v>
      </c>
      <c r="B210" s="92" t="s">
        <v>78</v>
      </c>
      <c r="C210" s="43" t="s">
        <v>119</v>
      </c>
      <c r="D210" s="43">
        <v>-20</v>
      </c>
      <c r="E210" s="18" t="s">
        <v>125</v>
      </c>
    </row>
    <row r="211" spans="1:5">
      <c r="A211" s="81">
        <v>45743</v>
      </c>
      <c r="B211" s="92" t="s">
        <v>76</v>
      </c>
      <c r="C211" s="43" t="s">
        <v>119</v>
      </c>
      <c r="D211" s="43">
        <v>-4</v>
      </c>
      <c r="E211" s="18" t="s">
        <v>125</v>
      </c>
    </row>
    <row r="212" spans="1:5">
      <c r="A212" s="81">
        <v>45743</v>
      </c>
      <c r="B212" s="92" t="s">
        <v>78</v>
      </c>
      <c r="C212" s="43" t="s">
        <v>119</v>
      </c>
      <c r="D212" s="43">
        <v>-60</v>
      </c>
      <c r="E212" s="18" t="s">
        <v>125</v>
      </c>
    </row>
    <row r="214" spans="1:5">
      <c r="A214" s="81">
        <v>45744</v>
      </c>
      <c r="B214" s="92" t="s">
        <v>76</v>
      </c>
      <c r="C214" s="43" t="s">
        <v>119</v>
      </c>
      <c r="D214" s="43">
        <v>-4</v>
      </c>
      <c r="E214" s="18" t="s">
        <v>125</v>
      </c>
    </row>
    <row r="216" spans="1:5">
      <c r="A216" s="81">
        <v>45744</v>
      </c>
      <c r="B216" s="92" t="s">
        <v>78</v>
      </c>
      <c r="C216" s="43" t="s">
        <v>275</v>
      </c>
      <c r="D216" s="43">
        <v>79</v>
      </c>
      <c r="E216" s="18" t="s">
        <v>125</v>
      </c>
    </row>
    <row r="218" spans="1:5">
      <c r="A218" s="81">
        <v>45744</v>
      </c>
      <c r="B218" s="92" t="s">
        <v>78</v>
      </c>
      <c r="C218" s="43" t="s">
        <v>119</v>
      </c>
      <c r="D218" s="43">
        <v>-63</v>
      </c>
      <c r="E218" s="18" t="s">
        <v>125</v>
      </c>
    </row>
    <row r="219" spans="1:5">
      <c r="A219" s="81">
        <v>45744</v>
      </c>
      <c r="B219" s="92" t="s">
        <v>78</v>
      </c>
      <c r="C219" s="43" t="s">
        <v>119</v>
      </c>
      <c r="D219" s="43">
        <v>-26</v>
      </c>
      <c r="E219" s="18" t="s">
        <v>125</v>
      </c>
    </row>
    <row r="220" spans="1:5">
      <c r="A220" s="81">
        <v>45744</v>
      </c>
      <c r="B220" s="92" t="s">
        <v>76</v>
      </c>
      <c r="C220" s="43" t="s">
        <v>119</v>
      </c>
      <c r="D220" s="43">
        <v>-3</v>
      </c>
      <c r="E220" s="18" t="s">
        <v>125</v>
      </c>
    </row>
    <row r="221" spans="1:5">
      <c r="A221" s="81">
        <v>45744</v>
      </c>
      <c r="B221" s="93" t="s">
        <v>201</v>
      </c>
      <c r="C221" s="43" t="s">
        <v>119</v>
      </c>
      <c r="D221" s="43">
        <v>-7</v>
      </c>
      <c r="E221" s="18" t="s">
        <v>125</v>
      </c>
    </row>
    <row r="222" spans="1:5">
      <c r="A222" s="81">
        <v>45744</v>
      </c>
      <c r="B222" s="93" t="s">
        <v>124</v>
      </c>
      <c r="C222" s="43" t="s">
        <v>119</v>
      </c>
      <c r="D222" s="43">
        <v>-1</v>
      </c>
      <c r="E222" s="18" t="s">
        <v>125</v>
      </c>
    </row>
    <row r="223" spans="1:5">
      <c r="A223" s="81">
        <v>45744</v>
      </c>
      <c r="B223" s="93" t="s">
        <v>120</v>
      </c>
      <c r="C223" s="43" t="s">
        <v>119</v>
      </c>
      <c r="D223" s="43">
        <v>-1</v>
      </c>
      <c r="E223" s="18" t="s">
        <v>125</v>
      </c>
    </row>
    <row r="225" spans="1:5">
      <c r="A225" s="81">
        <v>45744</v>
      </c>
      <c r="B225" s="93" t="s">
        <v>274</v>
      </c>
      <c r="C225" s="43" t="s">
        <v>275</v>
      </c>
      <c r="D225" s="43">
        <v>174</v>
      </c>
      <c r="E225" s="18" t="s">
        <v>125</v>
      </c>
    </row>
    <row r="227" spans="1:5">
      <c r="A227" s="81">
        <v>45744</v>
      </c>
      <c r="B227" s="93" t="s">
        <v>274</v>
      </c>
      <c r="C227" s="43" t="s">
        <v>119</v>
      </c>
      <c r="D227" s="43">
        <v>-269</v>
      </c>
      <c r="E227" s="18" t="s">
        <v>125</v>
      </c>
    </row>
    <row r="228" spans="1:5">
      <c r="A228" s="81">
        <v>45744</v>
      </c>
      <c r="B228" s="93" t="s">
        <v>86</v>
      </c>
      <c r="C228" s="43" t="s">
        <v>119</v>
      </c>
      <c r="D228" s="43">
        <v>-3</v>
      </c>
      <c r="E228" s="18" t="s">
        <v>125</v>
      </c>
    </row>
    <row r="230" spans="1:5">
      <c r="A230" s="81">
        <v>45744</v>
      </c>
      <c r="B230" s="92" t="s">
        <v>84</v>
      </c>
      <c r="C230" s="43" t="s">
        <v>49</v>
      </c>
      <c r="D230" s="43">
        <v>1</v>
      </c>
      <c r="E230" s="18" t="s">
        <v>125</v>
      </c>
    </row>
    <row r="231" spans="1:5">
      <c r="A231" s="81">
        <v>45744</v>
      </c>
      <c r="B231" s="93" t="s">
        <v>266</v>
      </c>
      <c r="C231" s="43" t="s">
        <v>49</v>
      </c>
      <c r="D231" s="43">
        <v>6</v>
      </c>
      <c r="E231" s="18" t="s">
        <v>125</v>
      </c>
    </row>
    <row r="232" spans="1:5">
      <c r="A232" s="81">
        <v>45744</v>
      </c>
      <c r="B232" s="84" t="s">
        <v>134</v>
      </c>
      <c r="C232" s="43" t="s">
        <v>49</v>
      </c>
      <c r="D232" s="43">
        <v>2</v>
      </c>
      <c r="E232" s="18" t="s">
        <v>125</v>
      </c>
    </row>
    <row r="233" spans="1:5">
      <c r="A233" s="81">
        <v>45744</v>
      </c>
      <c r="B233" s="93" t="s">
        <v>266</v>
      </c>
      <c r="C233" s="43" t="s">
        <v>49</v>
      </c>
      <c r="D233" s="43">
        <v>10</v>
      </c>
      <c r="E233" s="18" t="s">
        <v>125</v>
      </c>
    </row>
    <row r="234" spans="1:5">
      <c r="A234" s="81">
        <v>45744</v>
      </c>
      <c r="B234" s="93" t="s">
        <v>302</v>
      </c>
      <c r="C234" s="43" t="s">
        <v>49</v>
      </c>
      <c r="D234" s="43">
        <v>2</v>
      </c>
      <c r="E234" s="18" t="s">
        <v>125</v>
      </c>
    </row>
    <row r="235" spans="1:5">
      <c r="A235" s="81">
        <v>45744</v>
      </c>
      <c r="B235" s="93" t="s">
        <v>266</v>
      </c>
      <c r="C235" s="43" t="s">
        <v>49</v>
      </c>
      <c r="D235" s="43">
        <v>2</v>
      </c>
      <c r="E235" s="18" t="s">
        <v>125</v>
      </c>
    </row>
    <row r="236" spans="1:5">
      <c r="A236" s="81">
        <v>45744</v>
      </c>
      <c r="B236" s="93" t="s">
        <v>302</v>
      </c>
      <c r="C236" s="43" t="s">
        <v>49</v>
      </c>
      <c r="D236" s="43">
        <v>1</v>
      </c>
      <c r="E236" s="18" t="s">
        <v>125</v>
      </c>
    </row>
    <row r="237" spans="1:5">
      <c r="A237" s="81">
        <v>45744</v>
      </c>
      <c r="B237" s="93" t="s">
        <v>121</v>
      </c>
      <c r="C237" s="43" t="s">
        <v>49</v>
      </c>
      <c r="D237" s="43">
        <v>2</v>
      </c>
      <c r="E237" s="18" t="s">
        <v>125</v>
      </c>
    </row>
    <row r="238" spans="1:5">
      <c r="A238" s="81">
        <v>45744</v>
      </c>
      <c r="B238" s="93" t="s">
        <v>303</v>
      </c>
      <c r="C238" s="43" t="s">
        <v>49</v>
      </c>
      <c r="D238" s="43">
        <v>6</v>
      </c>
      <c r="E238" s="18" t="s">
        <v>125</v>
      </c>
    </row>
    <row r="239" spans="1:5">
      <c r="A239" s="81">
        <v>45744</v>
      </c>
      <c r="B239" s="93" t="s">
        <v>304</v>
      </c>
      <c r="C239" s="43" t="s">
        <v>49</v>
      </c>
      <c r="D239" s="43">
        <v>2</v>
      </c>
      <c r="E239" s="18" t="s">
        <v>125</v>
      </c>
    </row>
    <row r="240" spans="1:5">
      <c r="A240" s="81">
        <v>45744</v>
      </c>
      <c r="B240" s="93" t="s">
        <v>121</v>
      </c>
      <c r="C240" s="43" t="s">
        <v>49</v>
      </c>
      <c r="D240" s="43">
        <v>4</v>
      </c>
      <c r="E240" s="18" t="s">
        <v>125</v>
      </c>
    </row>
    <row r="241" spans="1:5">
      <c r="A241" s="81">
        <v>45744</v>
      </c>
      <c r="B241" s="93" t="s">
        <v>303</v>
      </c>
      <c r="C241" s="43" t="s">
        <v>49</v>
      </c>
      <c r="D241" s="43">
        <v>3</v>
      </c>
      <c r="E241" s="18" t="s">
        <v>125</v>
      </c>
    </row>
    <row r="242" spans="1:5">
      <c r="A242" s="81">
        <v>45744</v>
      </c>
      <c r="B242" s="84" t="s">
        <v>134</v>
      </c>
      <c r="C242" s="43" t="s">
        <v>317</v>
      </c>
      <c r="D242" s="33">
        <v>-1</v>
      </c>
      <c r="E242" s="18" t="s">
        <v>125</v>
      </c>
    </row>
    <row r="243" spans="1:5">
      <c r="A243" s="81">
        <v>45745</v>
      </c>
      <c r="B243" s="93" t="s">
        <v>266</v>
      </c>
      <c r="C243" s="43" t="s">
        <v>49</v>
      </c>
      <c r="D243" s="43">
        <v>2</v>
      </c>
      <c r="E243" s="18" t="s">
        <v>125</v>
      </c>
    </row>
    <row r="244" spans="1:5">
      <c r="A244" s="81">
        <v>45745</v>
      </c>
      <c r="B244" s="93" t="s">
        <v>302</v>
      </c>
      <c r="C244" s="43" t="s">
        <v>49</v>
      </c>
      <c r="D244" s="43">
        <v>2</v>
      </c>
      <c r="E244" s="18" t="s">
        <v>125</v>
      </c>
    </row>
    <row r="245" spans="1:5">
      <c r="A245" s="81">
        <v>45745</v>
      </c>
      <c r="B245" s="92" t="s">
        <v>84</v>
      </c>
      <c r="C245" s="43" t="s">
        <v>49</v>
      </c>
      <c r="D245" s="43">
        <v>1</v>
      </c>
      <c r="E245" s="18" t="s">
        <v>125</v>
      </c>
    </row>
    <row r="247" spans="1:5">
      <c r="A247" s="81">
        <v>45745</v>
      </c>
      <c r="B247" s="92" t="s">
        <v>76</v>
      </c>
      <c r="C247" s="43" t="s">
        <v>119</v>
      </c>
      <c r="D247" s="43">
        <v>-5</v>
      </c>
      <c r="E247" s="18" t="s">
        <v>125</v>
      </c>
    </row>
    <row r="249" spans="1:5">
      <c r="A249" s="81">
        <v>45747</v>
      </c>
      <c r="B249" s="93" t="s">
        <v>266</v>
      </c>
      <c r="C249" s="43" t="s">
        <v>49</v>
      </c>
      <c r="D249" s="43">
        <v>2</v>
      </c>
      <c r="E249" s="18"/>
    </row>
    <row r="250" spans="1:5">
      <c r="A250" s="81">
        <v>45747</v>
      </c>
      <c r="B250" s="93" t="s">
        <v>334</v>
      </c>
      <c r="C250" s="43" t="s">
        <v>49</v>
      </c>
      <c r="D250" s="43">
        <v>4</v>
      </c>
      <c r="E250" s="18"/>
    </row>
    <row r="251" spans="1:5">
      <c r="A251" s="81">
        <v>45747</v>
      </c>
      <c r="B251" s="93" t="s">
        <v>121</v>
      </c>
      <c r="C251" s="43" t="s">
        <v>49</v>
      </c>
      <c r="D251" s="43">
        <v>10</v>
      </c>
      <c r="E251" s="18"/>
    </row>
    <row r="252" spans="1:5">
      <c r="A252" s="81">
        <v>45747</v>
      </c>
      <c r="B252" s="93" t="s">
        <v>303</v>
      </c>
      <c r="C252" s="43" t="s">
        <v>49</v>
      </c>
      <c r="D252" s="43">
        <v>10</v>
      </c>
      <c r="E252" s="18"/>
    </row>
    <row r="257" spans="1:5">
      <c r="A257" s="81"/>
      <c r="B257" s="92"/>
      <c r="C257" s="43"/>
      <c r="D257" s="43"/>
      <c r="E257" s="18"/>
    </row>
    <row r="258" spans="1:5">
      <c r="A258" s="81">
        <v>45749</v>
      </c>
      <c r="B258" s="93" t="s">
        <v>334</v>
      </c>
      <c r="C258" s="43" t="s">
        <v>49</v>
      </c>
      <c r="D258" s="43">
        <v>4</v>
      </c>
      <c r="E258" s="18" t="s">
        <v>125</v>
      </c>
    </row>
    <row r="259" spans="1:5">
      <c r="A259" s="81">
        <v>45749</v>
      </c>
      <c r="B259" s="93" t="s">
        <v>266</v>
      </c>
      <c r="C259" s="43" t="s">
        <v>49</v>
      </c>
      <c r="D259" s="43">
        <v>11</v>
      </c>
      <c r="E259" s="18" t="s">
        <v>125</v>
      </c>
    </row>
    <row r="260" spans="1:5">
      <c r="A260" s="81">
        <v>45749</v>
      </c>
      <c r="B260" s="93" t="s">
        <v>201</v>
      </c>
      <c r="C260" s="43" t="s">
        <v>49</v>
      </c>
      <c r="D260" s="43">
        <v>8</v>
      </c>
      <c r="E260" s="18" t="s">
        <v>125</v>
      </c>
    </row>
    <row r="261" spans="1:5">
      <c r="A261" s="81">
        <v>45749</v>
      </c>
      <c r="B261" s="92" t="s">
        <v>84</v>
      </c>
      <c r="C261" s="43" t="s">
        <v>49</v>
      </c>
      <c r="D261" s="43">
        <v>1</v>
      </c>
      <c r="E261" s="18" t="s">
        <v>125</v>
      </c>
    </row>
    <row r="262" spans="1:5">
      <c r="A262" s="81">
        <v>45749</v>
      </c>
      <c r="B262" s="84" t="s">
        <v>131</v>
      </c>
      <c r="C262" s="43" t="s">
        <v>49</v>
      </c>
      <c r="D262" s="43">
        <v>1</v>
      </c>
      <c r="E262" s="18" t="s">
        <v>125</v>
      </c>
    </row>
    <row r="263" spans="1:5">
      <c r="A263" s="81">
        <v>45749</v>
      </c>
      <c r="B263" s="93" t="s">
        <v>337</v>
      </c>
      <c r="C263" s="43" t="s">
        <v>49</v>
      </c>
      <c r="D263" s="43">
        <v>1</v>
      </c>
      <c r="E263" s="18" t="s">
        <v>125</v>
      </c>
    </row>
    <row r="265" spans="1:5">
      <c r="A265" s="81">
        <v>45750</v>
      </c>
      <c r="B265" s="92" t="s">
        <v>84</v>
      </c>
      <c r="C265" s="43" t="s">
        <v>348</v>
      </c>
      <c r="D265" s="43">
        <v>10</v>
      </c>
      <c r="E265" s="18" t="s">
        <v>125</v>
      </c>
    </row>
    <row r="266" spans="1:5">
      <c r="A266" s="81">
        <v>45750</v>
      </c>
      <c r="B266" s="84" t="s">
        <v>131</v>
      </c>
      <c r="C266" s="43" t="s">
        <v>49</v>
      </c>
      <c r="D266" s="43">
        <v>1</v>
      </c>
      <c r="E266" s="18" t="s">
        <v>125</v>
      </c>
    </row>
    <row r="267" spans="1:5">
      <c r="A267" s="81">
        <v>45750</v>
      </c>
      <c r="B267" s="92" t="s">
        <v>84</v>
      </c>
      <c r="C267" s="43" t="s">
        <v>49</v>
      </c>
      <c r="D267" s="43">
        <v>1</v>
      </c>
      <c r="E267" s="18" t="s">
        <v>125</v>
      </c>
    </row>
    <row r="269" spans="1:5">
      <c r="A269" s="81">
        <v>45751</v>
      </c>
      <c r="B269" s="93" t="s">
        <v>303</v>
      </c>
      <c r="C269" s="43" t="s">
        <v>49</v>
      </c>
      <c r="D269" s="43">
        <v>6</v>
      </c>
      <c r="E269" s="18" t="s">
        <v>125</v>
      </c>
    </row>
    <row r="270" spans="1:5">
      <c r="A270" s="81">
        <v>45751</v>
      </c>
      <c r="B270" s="93" t="s">
        <v>302</v>
      </c>
      <c r="C270" s="43" t="s">
        <v>49</v>
      </c>
      <c r="D270" s="43">
        <v>1</v>
      </c>
      <c r="E270" s="18" t="s">
        <v>125</v>
      </c>
    </row>
    <row r="271" spans="1:5">
      <c r="A271" s="81">
        <v>45751</v>
      </c>
      <c r="B271" s="93" t="s">
        <v>266</v>
      </c>
      <c r="C271" s="43" t="s">
        <v>49</v>
      </c>
      <c r="D271" s="43">
        <v>1</v>
      </c>
      <c r="E271" s="18" t="s">
        <v>125</v>
      </c>
    </row>
    <row r="272" spans="1:5">
      <c r="A272" s="81"/>
    </row>
    <row r="273" spans="1:6">
      <c r="A273" s="81">
        <v>45752</v>
      </c>
      <c r="B273" s="93" t="s">
        <v>266</v>
      </c>
      <c r="C273" s="43" t="s">
        <v>49</v>
      </c>
      <c r="D273" s="43">
        <v>1</v>
      </c>
      <c r="E273" s="18" t="s">
        <v>125</v>
      </c>
    </row>
    <row r="274" spans="1:6">
      <c r="A274" s="81">
        <v>45752</v>
      </c>
      <c r="B274" s="186" t="s">
        <v>367</v>
      </c>
      <c r="C274" s="43" t="s">
        <v>49</v>
      </c>
      <c r="D274" s="43">
        <v>1</v>
      </c>
      <c r="E274" s="18" t="s">
        <v>125</v>
      </c>
    </row>
    <row r="275" spans="1:6">
      <c r="A275" s="81">
        <v>45752</v>
      </c>
      <c r="B275" s="93" t="s">
        <v>366</v>
      </c>
      <c r="C275" s="43" t="s">
        <v>49</v>
      </c>
      <c r="D275" s="43">
        <v>1</v>
      </c>
      <c r="E275" s="18" t="s">
        <v>125</v>
      </c>
    </row>
    <row r="276" spans="1:6">
      <c r="A276" s="81">
        <v>45752</v>
      </c>
      <c r="B276" s="93" t="s">
        <v>368</v>
      </c>
      <c r="C276" s="43" t="s">
        <v>49</v>
      </c>
      <c r="D276" s="33">
        <v>7</v>
      </c>
      <c r="E276" s="18" t="s">
        <v>125</v>
      </c>
    </row>
    <row r="277" spans="1:6">
      <c r="A277" s="81"/>
      <c r="B277" s="93"/>
      <c r="C277" s="43"/>
      <c r="D277" s="43"/>
      <c r="E277" s="18"/>
    </row>
    <row r="278" spans="1:6">
      <c r="A278" s="81">
        <v>45752</v>
      </c>
      <c r="B278" s="93" t="s">
        <v>266</v>
      </c>
      <c r="C278" s="43" t="s">
        <v>49</v>
      </c>
      <c r="D278" s="43">
        <v>6</v>
      </c>
      <c r="E278" s="18" t="s">
        <v>125</v>
      </c>
      <c r="F278" t="s">
        <v>407</v>
      </c>
    </row>
    <row r="280" spans="1:6">
      <c r="A280" s="81">
        <v>45754</v>
      </c>
      <c r="B280" s="92" t="s">
        <v>84</v>
      </c>
      <c r="C280" s="43" t="s">
        <v>142</v>
      </c>
      <c r="D280" s="43">
        <v>10</v>
      </c>
      <c r="E280" s="18" t="s">
        <v>125</v>
      </c>
    </row>
    <row r="282" spans="1:6">
      <c r="A282" s="207">
        <v>45755</v>
      </c>
      <c r="B282" s="355" t="s">
        <v>266</v>
      </c>
      <c r="C282" s="208" t="s">
        <v>49</v>
      </c>
      <c r="D282" s="208"/>
      <c r="E282" s="204" t="s">
        <v>369</v>
      </c>
      <c r="F282" t="s">
        <v>373</v>
      </c>
    </row>
    <row r="284" spans="1:6">
      <c r="A284" s="81">
        <v>45755</v>
      </c>
      <c r="B284" s="92" t="s">
        <v>84</v>
      </c>
      <c r="C284" s="43" t="s">
        <v>119</v>
      </c>
      <c r="D284" s="43">
        <v>-10</v>
      </c>
      <c r="E284" s="18" t="s">
        <v>125</v>
      </c>
    </row>
    <row r="285" spans="1:6">
      <c r="A285" s="81">
        <v>45755</v>
      </c>
      <c r="B285" s="93" t="s">
        <v>86</v>
      </c>
      <c r="C285" s="43" t="s">
        <v>119</v>
      </c>
      <c r="D285" s="43">
        <v>-2</v>
      </c>
      <c r="E285" s="18" t="s">
        <v>125</v>
      </c>
    </row>
    <row r="287" spans="1:6">
      <c r="A287" s="81">
        <v>45756</v>
      </c>
      <c r="B287" s="92" t="s">
        <v>76</v>
      </c>
      <c r="C287" s="43" t="s">
        <v>119</v>
      </c>
      <c r="D287" s="43">
        <v>-50</v>
      </c>
      <c r="E287" s="18" t="s">
        <v>125</v>
      </c>
    </row>
    <row r="288" spans="1:6">
      <c r="A288" s="81">
        <v>45756</v>
      </c>
      <c r="B288" s="93" t="s">
        <v>303</v>
      </c>
      <c r="C288" s="43" t="s">
        <v>119</v>
      </c>
      <c r="D288" s="43">
        <v>-15</v>
      </c>
      <c r="E288" s="18" t="s">
        <v>125</v>
      </c>
    </row>
    <row r="289" spans="1:6">
      <c r="A289" s="81">
        <v>45756</v>
      </c>
      <c r="B289" s="93" t="s">
        <v>201</v>
      </c>
      <c r="C289" s="43" t="s">
        <v>119</v>
      </c>
      <c r="D289" s="43">
        <v>-23</v>
      </c>
      <c r="E289" s="18" t="s">
        <v>125</v>
      </c>
    </row>
    <row r="290" spans="1:6">
      <c r="A290" s="81">
        <v>45756</v>
      </c>
      <c r="B290" s="93" t="s">
        <v>124</v>
      </c>
      <c r="C290" s="43" t="s">
        <v>119</v>
      </c>
      <c r="D290" s="43">
        <v>-1</v>
      </c>
      <c r="E290" s="18" t="s">
        <v>125</v>
      </c>
    </row>
    <row r="291" spans="1:6">
      <c r="A291" s="81">
        <v>45756</v>
      </c>
      <c r="B291" s="93" t="s">
        <v>120</v>
      </c>
      <c r="C291" s="43" t="s">
        <v>119</v>
      </c>
      <c r="D291" s="43">
        <v>-1</v>
      </c>
      <c r="E291" s="18" t="s">
        <v>125</v>
      </c>
    </row>
    <row r="292" spans="1:6">
      <c r="A292" s="81">
        <v>45756</v>
      </c>
      <c r="B292" s="93" t="s">
        <v>121</v>
      </c>
      <c r="C292" s="43" t="s">
        <v>119</v>
      </c>
      <c r="D292" s="43">
        <v>-7</v>
      </c>
      <c r="E292" s="18" t="s">
        <v>125</v>
      </c>
    </row>
    <row r="293" spans="1:6">
      <c r="A293" s="81">
        <v>45756</v>
      </c>
      <c r="B293" s="92" t="s">
        <v>82</v>
      </c>
      <c r="C293" s="43" t="s">
        <v>119</v>
      </c>
      <c r="D293" s="43">
        <v>-100</v>
      </c>
      <c r="E293" s="18" t="s">
        <v>125</v>
      </c>
    </row>
    <row r="294" spans="1:6">
      <c r="A294" s="81">
        <v>45756</v>
      </c>
      <c r="B294" s="93" t="s">
        <v>87</v>
      </c>
      <c r="C294" s="43" t="s">
        <v>119</v>
      </c>
      <c r="D294" s="43">
        <v>-4</v>
      </c>
      <c r="E294" s="18" t="s">
        <v>125</v>
      </c>
    </row>
    <row r="295" spans="1:6">
      <c r="A295" s="81">
        <v>45756</v>
      </c>
      <c r="B295" s="93" t="s">
        <v>266</v>
      </c>
      <c r="C295" s="43" t="s">
        <v>119</v>
      </c>
      <c r="D295" s="43">
        <v>-6</v>
      </c>
      <c r="E295" s="18" t="s">
        <v>125</v>
      </c>
    </row>
    <row r="296" spans="1:6">
      <c r="A296" s="81">
        <v>45756</v>
      </c>
      <c r="B296" s="92" t="s">
        <v>84</v>
      </c>
      <c r="C296" s="43" t="s">
        <v>119</v>
      </c>
      <c r="D296" s="43">
        <v>-45</v>
      </c>
      <c r="E296" s="18" t="s">
        <v>125</v>
      </c>
    </row>
    <row r="297" spans="1:6">
      <c r="A297" s="81">
        <v>45756</v>
      </c>
      <c r="B297" s="84" t="s">
        <v>131</v>
      </c>
      <c r="C297" s="43" t="s">
        <v>119</v>
      </c>
      <c r="D297" s="43">
        <v>-2</v>
      </c>
      <c r="E297" s="18" t="s">
        <v>125</v>
      </c>
    </row>
    <row r="298" spans="1:6">
      <c r="A298" s="81">
        <v>45756</v>
      </c>
      <c r="B298" s="93" t="s">
        <v>368</v>
      </c>
      <c r="C298" s="43" t="s">
        <v>119</v>
      </c>
      <c r="D298" s="43"/>
      <c r="E298" s="18" t="s">
        <v>125</v>
      </c>
      <c r="F298" t="s">
        <v>254</v>
      </c>
    </row>
    <row r="299" spans="1:6">
      <c r="A299" s="81">
        <v>45756</v>
      </c>
      <c r="B299" s="186" t="s">
        <v>367</v>
      </c>
      <c r="C299" s="43" t="s">
        <v>119</v>
      </c>
      <c r="D299" s="43">
        <v>-1</v>
      </c>
      <c r="E299" s="18" t="s">
        <v>125</v>
      </c>
    </row>
    <row r="300" spans="1:6">
      <c r="A300" s="81">
        <v>45756</v>
      </c>
      <c r="B300" s="93" t="s">
        <v>302</v>
      </c>
      <c r="C300" s="43" t="s">
        <v>119</v>
      </c>
      <c r="D300" s="43">
        <v>-2</v>
      </c>
      <c r="E300" s="18" t="s">
        <v>125</v>
      </c>
    </row>
    <row r="301" spans="1:6">
      <c r="A301" s="81">
        <v>45756</v>
      </c>
      <c r="B301" s="93" t="s">
        <v>302</v>
      </c>
      <c r="C301" s="43" t="s">
        <v>119</v>
      </c>
      <c r="D301" s="43">
        <v>-1</v>
      </c>
      <c r="E301" s="18" t="s">
        <v>125</v>
      </c>
    </row>
    <row r="302" spans="1:6">
      <c r="A302" s="81">
        <v>45756</v>
      </c>
      <c r="B302" s="92" t="s">
        <v>76</v>
      </c>
      <c r="C302" s="43" t="s">
        <v>119</v>
      </c>
      <c r="D302" s="43">
        <v>-25</v>
      </c>
      <c r="E302" s="18" t="s">
        <v>125</v>
      </c>
    </row>
    <row r="303" spans="1:6">
      <c r="A303" s="81">
        <v>45756</v>
      </c>
      <c r="B303" s="92" t="s">
        <v>76</v>
      </c>
      <c r="C303" s="43" t="s">
        <v>119</v>
      </c>
      <c r="D303" s="43">
        <v>-4</v>
      </c>
      <c r="E303" s="18" t="s">
        <v>125</v>
      </c>
    </row>
    <row r="304" spans="1:6">
      <c r="A304" s="81">
        <v>45756</v>
      </c>
      <c r="B304" s="93" t="s">
        <v>266</v>
      </c>
      <c r="C304" s="43" t="s">
        <v>119</v>
      </c>
      <c r="D304" s="43">
        <v>-1</v>
      </c>
      <c r="E304" s="18" t="s">
        <v>125</v>
      </c>
    </row>
    <row r="306" spans="1:6">
      <c r="A306" s="81">
        <v>45757</v>
      </c>
      <c r="B306" s="93" t="s">
        <v>266</v>
      </c>
      <c r="C306" s="43" t="s">
        <v>119</v>
      </c>
      <c r="D306" s="43">
        <v>-4</v>
      </c>
      <c r="E306" s="18" t="s">
        <v>125</v>
      </c>
    </row>
    <row r="307" spans="1:6">
      <c r="A307" s="81">
        <v>45757</v>
      </c>
      <c r="B307" s="93" t="s">
        <v>266</v>
      </c>
      <c r="C307" s="43" t="s">
        <v>119</v>
      </c>
      <c r="D307" s="43">
        <v>-2</v>
      </c>
      <c r="E307" s="18" t="s">
        <v>125</v>
      </c>
    </row>
    <row r="308" spans="1:6">
      <c r="A308" s="81">
        <v>45757</v>
      </c>
      <c r="B308" s="93" t="s">
        <v>302</v>
      </c>
      <c r="C308" s="43" t="s">
        <v>119</v>
      </c>
      <c r="D308" s="43">
        <v>-2</v>
      </c>
      <c r="E308" s="18" t="s">
        <v>125</v>
      </c>
    </row>
    <row r="309" spans="1:6">
      <c r="A309" s="81">
        <v>45757</v>
      </c>
      <c r="B309" s="92" t="s">
        <v>76</v>
      </c>
      <c r="C309" s="43" t="s">
        <v>119</v>
      </c>
      <c r="D309" s="43">
        <v>-10</v>
      </c>
      <c r="E309" s="18" t="s">
        <v>125</v>
      </c>
    </row>
    <row r="310" spans="1:6">
      <c r="A310" s="81">
        <v>45757</v>
      </c>
      <c r="B310" s="84" t="s">
        <v>134</v>
      </c>
      <c r="C310" s="43" t="s">
        <v>119</v>
      </c>
      <c r="D310" s="43">
        <v>-2</v>
      </c>
      <c r="E310" s="18" t="s">
        <v>125</v>
      </c>
    </row>
    <row r="312" spans="1:6">
      <c r="A312" s="238">
        <v>45758</v>
      </c>
      <c r="B312" s="239" t="s">
        <v>375</v>
      </c>
      <c r="C312" s="240" t="s">
        <v>142</v>
      </c>
      <c r="D312" s="240">
        <v>37</v>
      </c>
      <c r="E312" s="241" t="s">
        <v>125</v>
      </c>
    </row>
    <row r="313" spans="1:6">
      <c r="A313" s="238">
        <v>45758</v>
      </c>
      <c r="B313" s="242" t="s">
        <v>131</v>
      </c>
      <c r="C313" s="240" t="s">
        <v>386</v>
      </c>
      <c r="D313" s="240">
        <v>9</v>
      </c>
      <c r="E313" s="241" t="s">
        <v>125</v>
      </c>
    </row>
    <row r="314" spans="1:6">
      <c r="A314" s="238">
        <v>45758</v>
      </c>
      <c r="B314" s="239" t="s">
        <v>382</v>
      </c>
      <c r="C314" s="240" t="s">
        <v>386</v>
      </c>
      <c r="D314" s="240">
        <v>18</v>
      </c>
      <c r="E314" s="241" t="s">
        <v>125</v>
      </c>
    </row>
    <row r="315" spans="1:6">
      <c r="A315" s="238">
        <v>45758</v>
      </c>
      <c r="B315" s="239" t="s">
        <v>383</v>
      </c>
      <c r="C315" s="240" t="s">
        <v>386</v>
      </c>
      <c r="D315" s="240">
        <v>1</v>
      </c>
      <c r="E315" s="241" t="s">
        <v>387</v>
      </c>
    </row>
    <row r="316" spans="1:6">
      <c r="A316" s="238">
        <v>45758</v>
      </c>
      <c r="B316" s="239" t="s">
        <v>384</v>
      </c>
      <c r="C316" s="240" t="s">
        <v>386</v>
      </c>
      <c r="D316" s="240">
        <v>30</v>
      </c>
      <c r="E316" s="241" t="s">
        <v>125</v>
      </c>
    </row>
    <row r="317" spans="1:6">
      <c r="A317" s="238">
        <v>45758</v>
      </c>
      <c r="B317" s="239" t="s">
        <v>385</v>
      </c>
      <c r="C317" s="240" t="s">
        <v>386</v>
      </c>
      <c r="D317" s="240">
        <v>12</v>
      </c>
      <c r="E317" s="241" t="s">
        <v>125</v>
      </c>
    </row>
    <row r="318" spans="1:6">
      <c r="A318" s="238">
        <v>45758</v>
      </c>
      <c r="B318" s="239" t="s">
        <v>87</v>
      </c>
      <c r="C318" s="240" t="s">
        <v>386</v>
      </c>
      <c r="D318" s="240">
        <v>19</v>
      </c>
      <c r="E318" s="241" t="s">
        <v>125</v>
      </c>
      <c r="F318" t="s">
        <v>436</v>
      </c>
    </row>
    <row r="319" spans="1:6">
      <c r="A319" s="238">
        <v>45758</v>
      </c>
      <c r="B319" s="239" t="s">
        <v>87</v>
      </c>
      <c r="C319" s="240" t="s">
        <v>386</v>
      </c>
      <c r="D319" s="240">
        <v>3</v>
      </c>
      <c r="E319" s="241" t="s">
        <v>125</v>
      </c>
      <c r="F319" t="s">
        <v>437</v>
      </c>
    </row>
    <row r="321" spans="1:6">
      <c r="A321" s="81">
        <v>45758</v>
      </c>
      <c r="B321" s="93" t="s">
        <v>266</v>
      </c>
      <c r="C321" s="43" t="s">
        <v>119</v>
      </c>
      <c r="D321" s="43">
        <v>-6</v>
      </c>
      <c r="E321" s="18" t="s">
        <v>125</v>
      </c>
    </row>
    <row r="322" spans="1:6">
      <c r="A322" s="81">
        <v>45758</v>
      </c>
      <c r="B322" s="92" t="s">
        <v>85</v>
      </c>
      <c r="C322" s="43" t="s">
        <v>119</v>
      </c>
      <c r="D322" s="43">
        <v>-1</v>
      </c>
      <c r="E322" s="18" t="s">
        <v>125</v>
      </c>
    </row>
    <row r="323" spans="1:6">
      <c r="A323" s="81">
        <v>45758</v>
      </c>
      <c r="B323" s="93" t="s">
        <v>366</v>
      </c>
      <c r="C323" s="43" t="s">
        <v>119</v>
      </c>
      <c r="D323" s="43">
        <v>-1</v>
      </c>
      <c r="E323" s="18" t="s">
        <v>125</v>
      </c>
    </row>
    <row r="324" spans="1:6">
      <c r="A324" s="81">
        <v>45758</v>
      </c>
      <c r="B324" s="93" t="s">
        <v>154</v>
      </c>
      <c r="C324" s="43" t="s">
        <v>119</v>
      </c>
      <c r="D324" s="43">
        <v>-2</v>
      </c>
      <c r="E324" s="18" t="s">
        <v>125</v>
      </c>
    </row>
    <row r="325" spans="1:6">
      <c r="A325" s="81">
        <v>45758</v>
      </c>
      <c r="B325" s="93" t="s">
        <v>384</v>
      </c>
      <c r="C325" s="43" t="s">
        <v>119</v>
      </c>
      <c r="D325" s="43">
        <v>-30</v>
      </c>
      <c r="E325" s="18" t="s">
        <v>125</v>
      </c>
    </row>
    <row r="326" spans="1:6">
      <c r="A326" s="81">
        <v>45758</v>
      </c>
      <c r="B326" s="93" t="s">
        <v>375</v>
      </c>
      <c r="C326" s="43" t="s">
        <v>119</v>
      </c>
      <c r="D326" s="43">
        <v>-37</v>
      </c>
      <c r="E326" s="18" t="s">
        <v>125</v>
      </c>
    </row>
    <row r="327" spans="1:6">
      <c r="A327" s="81">
        <v>45758</v>
      </c>
      <c r="B327" s="93" t="s">
        <v>383</v>
      </c>
      <c r="C327" s="43" t="s">
        <v>119</v>
      </c>
      <c r="D327" s="43">
        <v>-1</v>
      </c>
      <c r="E327" s="18" t="s">
        <v>125</v>
      </c>
    </row>
    <row r="329" spans="1:6">
      <c r="A329" s="81">
        <v>45758</v>
      </c>
      <c r="B329" s="92" t="s">
        <v>85</v>
      </c>
      <c r="C329" s="43" t="s">
        <v>254</v>
      </c>
      <c r="D329" s="43">
        <v>2</v>
      </c>
      <c r="E329" s="18" t="s">
        <v>125</v>
      </c>
    </row>
    <row r="330" spans="1:6">
      <c r="A330" s="107"/>
      <c r="B330" s="108"/>
    </row>
    <row r="331" spans="1:6">
      <c r="A331" s="81">
        <v>45758</v>
      </c>
      <c r="B331" s="92" t="s">
        <v>84</v>
      </c>
      <c r="C331" s="43" t="s">
        <v>49</v>
      </c>
      <c r="D331" s="43">
        <v>10</v>
      </c>
      <c r="E331" s="18" t="s">
        <v>125</v>
      </c>
      <c r="F331" t="s">
        <v>409</v>
      </c>
    </row>
    <row r="332" spans="1:6">
      <c r="A332" s="81">
        <v>45758</v>
      </c>
      <c r="B332" s="93" t="s">
        <v>408</v>
      </c>
      <c r="C332" s="43" t="s">
        <v>49</v>
      </c>
      <c r="D332" s="43">
        <v>13</v>
      </c>
      <c r="E332" s="18" t="s">
        <v>125</v>
      </c>
    </row>
    <row r="333" spans="1:6">
      <c r="A333" s="81">
        <v>45758</v>
      </c>
      <c r="B333" s="93" t="s">
        <v>266</v>
      </c>
      <c r="C333" s="43" t="s">
        <v>49</v>
      </c>
      <c r="D333" s="43">
        <v>5</v>
      </c>
      <c r="E333" s="18" t="s">
        <v>125</v>
      </c>
    </row>
    <row r="334" spans="1:6">
      <c r="A334" s="81"/>
      <c r="B334" s="92"/>
      <c r="C334" s="43"/>
      <c r="D334" s="43"/>
      <c r="E334" s="18"/>
    </row>
    <row r="335" spans="1:6">
      <c r="A335" s="107"/>
      <c r="B335" s="108"/>
    </row>
    <row r="336" spans="1:6">
      <c r="A336" s="81">
        <v>45758</v>
      </c>
      <c r="B336" s="84" t="s">
        <v>410</v>
      </c>
      <c r="C336" s="43" t="s">
        <v>49</v>
      </c>
      <c r="D336" s="43">
        <v>1</v>
      </c>
      <c r="E336" s="18" t="s">
        <v>125</v>
      </c>
    </row>
    <row r="337" spans="1:6">
      <c r="A337" s="81">
        <v>45758</v>
      </c>
      <c r="B337" s="92" t="s">
        <v>84</v>
      </c>
      <c r="C337" s="43" t="s">
        <v>49</v>
      </c>
      <c r="D337" s="43">
        <v>2</v>
      </c>
      <c r="E337" s="18" t="s">
        <v>125</v>
      </c>
      <c r="F337" t="s">
        <v>409</v>
      </c>
    </row>
    <row r="338" spans="1:6" s="107" customFormat="1">
      <c r="A338" s="81">
        <v>45758</v>
      </c>
      <c r="B338" s="92" t="s">
        <v>84</v>
      </c>
      <c r="C338" s="43" t="s">
        <v>49</v>
      </c>
      <c r="D338" s="19">
        <v>8</v>
      </c>
      <c r="E338" s="18" t="s">
        <v>125</v>
      </c>
      <c r="F338" t="s">
        <v>409</v>
      </c>
    </row>
    <row r="339" spans="1:6" s="107" customFormat="1">
      <c r="A339" s="81">
        <v>45758</v>
      </c>
      <c r="B339" s="92" t="s">
        <v>84</v>
      </c>
      <c r="C339" s="43" t="s">
        <v>49</v>
      </c>
      <c r="D339" s="19">
        <v>5</v>
      </c>
      <c r="E339" s="18" t="s">
        <v>125</v>
      </c>
      <c r="F339" t="s">
        <v>409</v>
      </c>
    </row>
    <row r="340" spans="1:6" s="107" customFormat="1" ht="15">
      <c r="B340" s="212"/>
      <c r="D340" s="1"/>
    </row>
    <row r="341" spans="1:6" s="107" customFormat="1">
      <c r="A341" s="81">
        <v>45758</v>
      </c>
      <c r="B341" s="92" t="s">
        <v>84</v>
      </c>
      <c r="C341" s="43" t="s">
        <v>49</v>
      </c>
      <c r="D341" s="19">
        <v>11</v>
      </c>
      <c r="E341" s="18" t="s">
        <v>125</v>
      </c>
      <c r="F341" t="s">
        <v>409</v>
      </c>
    </row>
    <row r="342" spans="1:6" s="107" customFormat="1">
      <c r="A342" s="81">
        <v>45758</v>
      </c>
      <c r="B342" s="93" t="s">
        <v>366</v>
      </c>
      <c r="C342" s="43" t="s">
        <v>49</v>
      </c>
      <c r="D342" s="19">
        <v>4</v>
      </c>
      <c r="E342" s="18" t="s">
        <v>125</v>
      </c>
    </row>
    <row r="344" spans="1:6">
      <c r="A344" s="81">
        <v>45759</v>
      </c>
      <c r="B344" s="92" t="s">
        <v>85</v>
      </c>
      <c r="C344" s="43" t="s">
        <v>119</v>
      </c>
      <c r="D344" s="43">
        <v>-2</v>
      </c>
      <c r="E344" s="18" t="s">
        <v>125</v>
      </c>
    </row>
    <row r="345" spans="1:6">
      <c r="A345" s="81">
        <v>45759</v>
      </c>
      <c r="B345" s="93" t="s">
        <v>266</v>
      </c>
      <c r="C345" s="43" t="s">
        <v>119</v>
      </c>
      <c r="D345" s="43">
        <v>-10</v>
      </c>
      <c r="E345" s="18" t="s">
        <v>125</v>
      </c>
    </row>
    <row r="346" spans="1:6">
      <c r="A346" s="81">
        <v>45759</v>
      </c>
      <c r="B346" s="93" t="s">
        <v>86</v>
      </c>
      <c r="C346" s="43" t="s">
        <v>119</v>
      </c>
      <c r="D346" s="43">
        <v>-9</v>
      </c>
      <c r="E346" s="18" t="s">
        <v>125</v>
      </c>
    </row>
    <row r="347" spans="1:6">
      <c r="A347" s="81">
        <v>45759</v>
      </c>
      <c r="B347" s="84" t="s">
        <v>131</v>
      </c>
      <c r="C347" s="43" t="s">
        <v>119</v>
      </c>
      <c r="D347" s="33">
        <v>-5</v>
      </c>
      <c r="E347" s="18" t="s">
        <v>125</v>
      </c>
    </row>
    <row r="348" spans="1:6">
      <c r="A348" s="81">
        <v>45761</v>
      </c>
      <c r="B348" s="93" t="s">
        <v>166</v>
      </c>
      <c r="C348" s="43" t="s">
        <v>439</v>
      </c>
      <c r="D348" s="43">
        <v>-1</v>
      </c>
      <c r="E348" s="18" t="s">
        <v>125</v>
      </c>
    </row>
    <row r="349" spans="1:6">
      <c r="A349" s="81">
        <v>45761</v>
      </c>
      <c r="B349" s="93" t="s">
        <v>166</v>
      </c>
      <c r="C349" s="43" t="s">
        <v>439</v>
      </c>
      <c r="D349" s="43">
        <v>-1</v>
      </c>
      <c r="E349" s="18" t="s">
        <v>125</v>
      </c>
    </row>
    <row r="350" spans="1:6">
      <c r="A350" s="81">
        <v>45761</v>
      </c>
      <c r="B350" s="93" t="s">
        <v>167</v>
      </c>
      <c r="C350" s="43" t="s">
        <v>439</v>
      </c>
      <c r="D350" s="43">
        <v>-1</v>
      </c>
      <c r="E350" s="18" t="s">
        <v>125</v>
      </c>
    </row>
    <row r="351" spans="1:6">
      <c r="A351" s="81">
        <v>45761</v>
      </c>
      <c r="B351" s="84" t="s">
        <v>134</v>
      </c>
      <c r="C351" s="43" t="s">
        <v>439</v>
      </c>
      <c r="D351" s="43">
        <v>-1</v>
      </c>
      <c r="E351" s="18" t="s">
        <v>125</v>
      </c>
    </row>
    <row r="353" spans="1:9">
      <c r="A353" s="214">
        <v>45761</v>
      </c>
      <c r="B353" s="236" t="s">
        <v>131</v>
      </c>
      <c r="C353" s="235" t="s">
        <v>441</v>
      </c>
      <c r="D353" s="235">
        <v>5</v>
      </c>
      <c r="E353" s="217" t="s">
        <v>125</v>
      </c>
    </row>
    <row r="354" spans="1:9">
      <c r="A354" s="214">
        <v>45761</v>
      </c>
      <c r="B354" s="236" t="s">
        <v>440</v>
      </c>
      <c r="C354" s="235" t="s">
        <v>442</v>
      </c>
      <c r="D354" s="235">
        <v>3</v>
      </c>
      <c r="E354" s="217" t="s">
        <v>125</v>
      </c>
    </row>
    <row r="356" spans="1:9">
      <c r="A356" s="81">
        <v>45761</v>
      </c>
      <c r="B356" s="84" t="s">
        <v>131</v>
      </c>
      <c r="C356" s="43" t="s">
        <v>119</v>
      </c>
      <c r="D356" s="43">
        <v>-5</v>
      </c>
      <c r="E356" s="18" t="s">
        <v>125</v>
      </c>
    </row>
    <row r="357" spans="1:9">
      <c r="A357" s="81">
        <v>45761</v>
      </c>
      <c r="B357" s="84" t="s">
        <v>440</v>
      </c>
      <c r="C357" s="43" t="s">
        <v>119</v>
      </c>
      <c r="D357" s="43">
        <v>-3</v>
      </c>
      <c r="E357" s="18" t="s">
        <v>125</v>
      </c>
    </row>
    <row r="358" spans="1:9">
      <c r="A358" s="81">
        <v>45761</v>
      </c>
      <c r="B358" s="93" t="s">
        <v>382</v>
      </c>
      <c r="C358" s="43" t="s">
        <v>119</v>
      </c>
      <c r="D358" s="33">
        <v>-18</v>
      </c>
      <c r="E358" s="18" t="s">
        <v>125</v>
      </c>
    </row>
    <row r="359" spans="1:9">
      <c r="A359" s="81">
        <v>45761</v>
      </c>
      <c r="B359" s="93" t="s">
        <v>87</v>
      </c>
      <c r="C359" s="43" t="s">
        <v>119</v>
      </c>
      <c r="D359" s="33">
        <v>-22</v>
      </c>
      <c r="E359" s="18" t="s">
        <v>125</v>
      </c>
    </row>
    <row r="360" spans="1:9">
      <c r="A360" s="81">
        <v>45761</v>
      </c>
      <c r="B360" s="93" t="s">
        <v>385</v>
      </c>
      <c r="C360" s="43" t="s">
        <v>119</v>
      </c>
      <c r="D360" s="33">
        <v>-12</v>
      </c>
      <c r="E360" s="18" t="s">
        <v>125</v>
      </c>
    </row>
    <row r="361" spans="1:9" ht="24">
      <c r="H361" s="93" t="s">
        <v>266</v>
      </c>
      <c r="I361" s="41" t="s">
        <v>458</v>
      </c>
    </row>
    <row r="362" spans="1:9">
      <c r="A362" s="105">
        <v>45761</v>
      </c>
      <c r="B362" s="139" t="s">
        <v>266</v>
      </c>
      <c r="C362" s="106" t="s">
        <v>49</v>
      </c>
      <c r="D362" s="106">
        <v>2</v>
      </c>
      <c r="E362" s="94" t="s">
        <v>125</v>
      </c>
    </row>
    <row r="363" spans="1:9">
      <c r="A363" s="105">
        <v>45761</v>
      </c>
      <c r="B363" s="128" t="s">
        <v>84</v>
      </c>
      <c r="C363" s="106" t="s">
        <v>49</v>
      </c>
      <c r="D363" s="106">
        <v>1</v>
      </c>
      <c r="E363" s="94" t="s">
        <v>125</v>
      </c>
      <c r="F363" s="33" t="s">
        <v>459</v>
      </c>
    </row>
    <row r="364" spans="1:9">
      <c r="A364" s="105">
        <v>45761</v>
      </c>
      <c r="B364" s="139" t="s">
        <v>383</v>
      </c>
      <c r="C364" s="106" t="s">
        <v>49</v>
      </c>
      <c r="D364" s="106">
        <v>3</v>
      </c>
      <c r="E364" s="94" t="s">
        <v>125</v>
      </c>
    </row>
    <row r="365" spans="1:9">
      <c r="A365" s="231"/>
      <c r="B365" s="356"/>
      <c r="C365" s="231"/>
      <c r="D365" s="231"/>
      <c r="E365" s="232"/>
    </row>
    <row r="366" spans="1:9">
      <c r="A366" s="105">
        <v>45761</v>
      </c>
      <c r="B366" s="139" t="s">
        <v>266</v>
      </c>
      <c r="C366" s="106" t="s">
        <v>49</v>
      </c>
      <c r="D366" s="106">
        <v>30</v>
      </c>
      <c r="E366" s="94" t="s">
        <v>125</v>
      </c>
    </row>
    <row r="367" spans="1:9">
      <c r="A367" s="231"/>
      <c r="B367" s="356"/>
      <c r="C367" s="231"/>
      <c r="D367" s="231"/>
      <c r="E367" s="232"/>
    </row>
    <row r="368" spans="1:9">
      <c r="A368" s="105">
        <v>45761</v>
      </c>
      <c r="B368" s="139" t="s">
        <v>366</v>
      </c>
      <c r="C368" s="106" t="s">
        <v>49</v>
      </c>
      <c r="D368" s="106">
        <v>10</v>
      </c>
      <c r="E368" s="94" t="s">
        <v>125</v>
      </c>
    </row>
    <row r="369" spans="1:7">
      <c r="A369" s="231"/>
      <c r="B369" s="356"/>
      <c r="C369" s="231"/>
      <c r="D369" s="231"/>
      <c r="E369" s="232"/>
    </row>
    <row r="370" spans="1:7">
      <c r="A370" s="105">
        <v>45761</v>
      </c>
      <c r="B370" s="139" t="s">
        <v>266</v>
      </c>
      <c r="C370" s="106" t="s">
        <v>49</v>
      </c>
      <c r="D370" s="106">
        <v>4</v>
      </c>
      <c r="E370" s="94" t="s">
        <v>125</v>
      </c>
    </row>
    <row r="371" spans="1:7">
      <c r="A371" s="105">
        <v>45761</v>
      </c>
      <c r="B371" s="139" t="s">
        <v>366</v>
      </c>
      <c r="C371" s="106" t="s">
        <v>49</v>
      </c>
      <c r="D371" s="106">
        <v>3</v>
      </c>
      <c r="E371" s="94" t="s">
        <v>125</v>
      </c>
    </row>
    <row r="372" spans="1:7">
      <c r="A372" s="231"/>
      <c r="B372" s="356"/>
      <c r="C372" s="231"/>
      <c r="D372" s="231"/>
      <c r="E372" s="232"/>
    </row>
    <row r="373" spans="1:7">
      <c r="A373" s="105">
        <v>45761</v>
      </c>
      <c r="B373" s="139" t="s">
        <v>123</v>
      </c>
      <c r="C373" s="106" t="s">
        <v>49</v>
      </c>
      <c r="D373" s="106">
        <v>5</v>
      </c>
      <c r="E373" s="94" t="s">
        <v>125</v>
      </c>
    </row>
    <row r="374" spans="1:7">
      <c r="A374" s="105">
        <v>45761</v>
      </c>
      <c r="B374" s="234" t="s">
        <v>467</v>
      </c>
      <c r="C374" s="106" t="s">
        <v>49</v>
      </c>
      <c r="D374" s="106">
        <v>6</v>
      </c>
      <c r="E374" s="94" t="s">
        <v>125</v>
      </c>
      <c r="G374" t="s">
        <v>483</v>
      </c>
    </row>
    <row r="375" spans="1:7">
      <c r="A375" s="231"/>
      <c r="B375" s="356"/>
      <c r="C375" s="231"/>
      <c r="D375" s="231"/>
      <c r="E375" s="232"/>
    </row>
    <row r="376" spans="1:7">
      <c r="A376" s="105">
        <v>45761</v>
      </c>
      <c r="B376" s="234" t="s">
        <v>467</v>
      </c>
      <c r="C376" s="106" t="s">
        <v>49</v>
      </c>
      <c r="D376" s="106">
        <v>20</v>
      </c>
      <c r="E376" s="94" t="s">
        <v>125</v>
      </c>
    </row>
    <row r="377" spans="1:7">
      <c r="A377" s="231"/>
      <c r="B377" s="356"/>
      <c r="C377" s="231"/>
      <c r="D377" s="231"/>
      <c r="E377" s="232"/>
    </row>
    <row r="378" spans="1:7">
      <c r="A378" s="105">
        <v>45761</v>
      </c>
      <c r="B378" s="234" t="s">
        <v>467</v>
      </c>
      <c r="C378" s="106" t="s">
        <v>49</v>
      </c>
      <c r="D378" s="106">
        <v>6</v>
      </c>
      <c r="E378" s="94" t="s">
        <v>125</v>
      </c>
    </row>
    <row r="379" spans="1:7">
      <c r="A379" s="105">
        <v>45761</v>
      </c>
      <c r="B379" s="128" t="s">
        <v>84</v>
      </c>
      <c r="C379" s="106" t="s">
        <v>49</v>
      </c>
      <c r="D379" s="106">
        <v>5</v>
      </c>
      <c r="E379" s="94" t="s">
        <v>125</v>
      </c>
      <c r="F379" s="33" t="s">
        <v>459</v>
      </c>
    </row>
    <row r="380" spans="1:7">
      <c r="A380" s="231"/>
      <c r="B380" s="356"/>
      <c r="C380" s="231"/>
      <c r="D380" s="231"/>
      <c r="E380" s="232"/>
    </row>
    <row r="381" spans="1:7">
      <c r="A381" s="105">
        <v>45761</v>
      </c>
      <c r="B381" s="139" t="s">
        <v>266</v>
      </c>
      <c r="C381" s="106" t="s">
        <v>49</v>
      </c>
      <c r="D381" s="106">
        <v>1</v>
      </c>
      <c r="E381" s="94" t="s">
        <v>125</v>
      </c>
    </row>
    <row r="382" spans="1:7">
      <c r="A382" s="105">
        <v>45761</v>
      </c>
      <c r="B382" s="139" t="s">
        <v>366</v>
      </c>
      <c r="C382" s="106" t="s">
        <v>49</v>
      </c>
      <c r="D382" s="106">
        <v>1</v>
      </c>
      <c r="E382" s="94" t="s">
        <v>125</v>
      </c>
    </row>
    <row r="383" spans="1:7">
      <c r="A383" s="231"/>
      <c r="B383" s="356"/>
      <c r="C383" s="231"/>
      <c r="D383" s="231"/>
      <c r="E383" s="232"/>
    </row>
    <row r="384" spans="1:7">
      <c r="A384" s="105">
        <v>45761</v>
      </c>
      <c r="B384" s="128" t="s">
        <v>84</v>
      </c>
      <c r="C384" s="106" t="s">
        <v>49</v>
      </c>
      <c r="D384" s="106">
        <v>17</v>
      </c>
      <c r="E384" s="94" t="s">
        <v>125</v>
      </c>
      <c r="F384" s="33" t="s">
        <v>459</v>
      </c>
    </row>
    <row r="385" spans="1:7">
      <c r="A385" s="105">
        <v>45761</v>
      </c>
      <c r="B385" s="128" t="s">
        <v>84</v>
      </c>
      <c r="C385" s="106" t="s">
        <v>49</v>
      </c>
      <c r="D385" s="106">
        <v>1</v>
      </c>
      <c r="E385" s="94" t="s">
        <v>125</v>
      </c>
      <c r="F385" s="33" t="s">
        <v>459</v>
      </c>
    </row>
    <row r="386" spans="1:7">
      <c r="A386" s="231"/>
      <c r="B386" s="356"/>
      <c r="C386" s="231"/>
      <c r="D386" s="231"/>
      <c r="E386" s="232"/>
    </row>
    <row r="387" spans="1:7">
      <c r="A387" s="105">
        <v>45761</v>
      </c>
      <c r="B387" s="139" t="s">
        <v>366</v>
      </c>
      <c r="C387" s="106" t="s">
        <v>49</v>
      </c>
      <c r="D387" s="106">
        <v>3</v>
      </c>
      <c r="E387" s="94" t="s">
        <v>125</v>
      </c>
    </row>
    <row r="388" spans="1:7">
      <c r="A388" s="105">
        <v>45761</v>
      </c>
      <c r="B388" s="139" t="s">
        <v>366</v>
      </c>
      <c r="C388" s="106" t="s">
        <v>49</v>
      </c>
      <c r="D388" s="106">
        <v>2</v>
      </c>
      <c r="E388" s="94" t="s">
        <v>125</v>
      </c>
    </row>
    <row r="389" spans="1:7">
      <c r="A389" s="231"/>
      <c r="B389" s="356"/>
      <c r="C389" s="231"/>
      <c r="D389" s="231"/>
      <c r="E389" s="232"/>
    </row>
    <row r="390" spans="1:7">
      <c r="A390" s="105">
        <v>45761</v>
      </c>
      <c r="B390" s="128" t="s">
        <v>84</v>
      </c>
      <c r="C390" s="106" t="s">
        <v>49</v>
      </c>
      <c r="D390" s="106">
        <v>10</v>
      </c>
      <c r="E390" s="94" t="s">
        <v>125</v>
      </c>
      <c r="F390" t="s">
        <v>476</v>
      </c>
    </row>
    <row r="391" spans="1:7">
      <c r="A391" s="231"/>
      <c r="B391" s="234"/>
      <c r="C391" s="231"/>
      <c r="D391" s="231"/>
      <c r="E391" s="232"/>
    </row>
    <row r="392" spans="1:7">
      <c r="A392" s="105">
        <v>45761</v>
      </c>
      <c r="B392" s="234" t="s">
        <v>477</v>
      </c>
      <c r="C392" s="106" t="s">
        <v>49</v>
      </c>
      <c r="D392" s="106">
        <v>1</v>
      </c>
      <c r="E392" s="94" t="s">
        <v>125</v>
      </c>
      <c r="G392" t="s">
        <v>483</v>
      </c>
    </row>
    <row r="393" spans="1:7">
      <c r="A393" s="231"/>
      <c r="B393" s="356"/>
      <c r="C393" s="231"/>
      <c r="D393" s="231"/>
      <c r="E393" s="232"/>
    </row>
    <row r="394" spans="1:7">
      <c r="A394" s="105">
        <v>45761</v>
      </c>
      <c r="B394" s="139" t="s">
        <v>121</v>
      </c>
      <c r="C394" s="106" t="s">
        <v>49</v>
      </c>
      <c r="D394" s="106">
        <v>3</v>
      </c>
      <c r="E394" s="94" t="s">
        <v>125</v>
      </c>
    </row>
    <row r="395" spans="1:7">
      <c r="A395" s="105">
        <v>45761</v>
      </c>
      <c r="B395" s="139" t="s">
        <v>303</v>
      </c>
      <c r="C395" s="106" t="s">
        <v>49</v>
      </c>
      <c r="D395" s="106">
        <v>2</v>
      </c>
      <c r="E395" s="94" t="s">
        <v>125</v>
      </c>
    </row>
    <row r="396" spans="1:7">
      <c r="A396" s="105">
        <v>45761</v>
      </c>
      <c r="B396" s="139" t="s">
        <v>482</v>
      </c>
      <c r="C396" s="106" t="s">
        <v>49</v>
      </c>
      <c r="D396" s="106">
        <v>8</v>
      </c>
      <c r="E396" s="94" t="s">
        <v>125</v>
      </c>
      <c r="G396" t="s">
        <v>483</v>
      </c>
    </row>
    <row r="397" spans="1:7">
      <c r="A397" s="231"/>
      <c r="B397" s="356"/>
      <c r="C397" s="231"/>
      <c r="D397" s="231"/>
      <c r="E397" s="232"/>
    </row>
    <row r="398" spans="1:7">
      <c r="A398" s="105">
        <v>45761</v>
      </c>
      <c r="B398" s="234" t="s">
        <v>467</v>
      </c>
      <c r="C398" s="106" t="s">
        <v>49</v>
      </c>
      <c r="D398" s="106">
        <v>20</v>
      </c>
      <c r="E398" s="94" t="s">
        <v>125</v>
      </c>
    </row>
    <row r="399" spans="1:7">
      <c r="A399" s="231"/>
      <c r="B399" s="356"/>
      <c r="C399" s="231"/>
      <c r="D399" s="231"/>
      <c r="E399" s="232"/>
    </row>
    <row r="400" spans="1:7">
      <c r="A400" s="105">
        <v>45761</v>
      </c>
      <c r="B400" s="128" t="s">
        <v>84</v>
      </c>
      <c r="C400" s="106" t="s">
        <v>49</v>
      </c>
      <c r="D400" s="106">
        <v>4</v>
      </c>
      <c r="E400" s="94" t="s">
        <v>125</v>
      </c>
      <c r="F400" s="33" t="s">
        <v>459</v>
      </c>
      <c r="G400" t="s">
        <v>594</v>
      </c>
    </row>
    <row r="401" spans="1:7">
      <c r="A401" s="231"/>
      <c r="B401" s="356"/>
      <c r="C401" s="231"/>
      <c r="D401" s="231"/>
      <c r="E401" s="232"/>
    </row>
    <row r="402" spans="1:7">
      <c r="A402" s="105">
        <v>45761</v>
      </c>
      <c r="B402" s="139" t="s">
        <v>266</v>
      </c>
      <c r="C402" s="106" t="s">
        <v>49</v>
      </c>
      <c r="D402" s="106">
        <v>1</v>
      </c>
      <c r="E402" s="94" t="s">
        <v>125</v>
      </c>
      <c r="G402" t="s">
        <v>496</v>
      </c>
    </row>
    <row r="403" spans="1:7">
      <c r="A403" s="105">
        <v>45761</v>
      </c>
      <c r="B403" s="139" t="s">
        <v>366</v>
      </c>
      <c r="C403" s="106" t="s">
        <v>49</v>
      </c>
      <c r="D403" s="106">
        <v>1</v>
      </c>
      <c r="E403" s="94" t="s">
        <v>125</v>
      </c>
    </row>
    <row r="404" spans="1:7">
      <c r="A404" s="231"/>
      <c r="B404" s="356"/>
      <c r="C404" s="231"/>
      <c r="D404" s="231"/>
      <c r="E404" s="232"/>
    </row>
    <row r="405" spans="1:7">
      <c r="A405" s="105">
        <v>45761</v>
      </c>
      <c r="B405" s="139" t="s">
        <v>383</v>
      </c>
      <c r="C405" s="106" t="s">
        <v>49</v>
      </c>
      <c r="D405" s="106">
        <v>2</v>
      </c>
      <c r="E405" s="94" t="s">
        <v>125</v>
      </c>
    </row>
    <row r="406" spans="1:7">
      <c r="A406" s="231"/>
      <c r="B406" s="356"/>
      <c r="C406" s="231"/>
      <c r="D406" s="231"/>
      <c r="E406" s="232"/>
    </row>
    <row r="407" spans="1:7">
      <c r="A407" s="105">
        <v>45761</v>
      </c>
      <c r="B407" s="139" t="s">
        <v>482</v>
      </c>
      <c r="C407" s="106" t="s">
        <v>49</v>
      </c>
      <c r="D407" s="106">
        <v>12</v>
      </c>
      <c r="E407" s="94" t="s">
        <v>125</v>
      </c>
    </row>
    <row r="408" spans="1:7">
      <c r="A408" s="105">
        <v>45761</v>
      </c>
      <c r="B408" s="139" t="s">
        <v>121</v>
      </c>
      <c r="C408" s="106" t="s">
        <v>49</v>
      </c>
      <c r="D408" s="106">
        <v>1</v>
      </c>
      <c r="E408" s="94" t="s">
        <v>125</v>
      </c>
    </row>
    <row r="409" spans="1:7">
      <c r="A409" s="105">
        <v>45761</v>
      </c>
      <c r="B409" s="139" t="s">
        <v>303</v>
      </c>
      <c r="C409" s="106" t="s">
        <v>49</v>
      </c>
      <c r="D409" s="106">
        <v>3</v>
      </c>
      <c r="E409" s="94" t="s">
        <v>125</v>
      </c>
    </row>
    <row r="410" spans="1:7">
      <c r="A410" s="231"/>
      <c r="B410" s="356"/>
      <c r="C410" s="231"/>
      <c r="D410" s="231"/>
      <c r="E410" s="232"/>
    </row>
    <row r="411" spans="1:7">
      <c r="A411" s="105">
        <v>45761</v>
      </c>
      <c r="B411" s="139" t="s">
        <v>122</v>
      </c>
      <c r="C411" s="106" t="s">
        <v>49</v>
      </c>
      <c r="D411" s="106">
        <v>6</v>
      </c>
      <c r="E411" s="94" t="s">
        <v>125</v>
      </c>
    </row>
    <row r="412" spans="1:7">
      <c r="A412" s="105">
        <v>45761</v>
      </c>
      <c r="B412" s="139" t="s">
        <v>122</v>
      </c>
      <c r="C412" s="106" t="s">
        <v>49</v>
      </c>
      <c r="D412" s="106">
        <v>3</v>
      </c>
      <c r="E412" s="94" t="s">
        <v>125</v>
      </c>
    </row>
    <row r="413" spans="1:7">
      <c r="A413" s="105">
        <v>45761</v>
      </c>
      <c r="B413" s="139" t="s">
        <v>482</v>
      </c>
      <c r="C413" s="106" t="s">
        <v>49</v>
      </c>
      <c r="D413" s="106">
        <v>11</v>
      </c>
      <c r="E413" s="94" t="s">
        <v>125</v>
      </c>
    </row>
    <row r="414" spans="1:7">
      <c r="A414" s="231"/>
      <c r="B414" s="356"/>
      <c r="C414" s="231"/>
      <c r="D414" s="231"/>
      <c r="E414" s="232"/>
    </row>
    <row r="415" spans="1:7">
      <c r="A415" s="105">
        <v>45761</v>
      </c>
      <c r="B415" s="234" t="s">
        <v>497</v>
      </c>
      <c r="C415" s="106" t="s">
        <v>49</v>
      </c>
      <c r="D415" s="106">
        <v>5</v>
      </c>
      <c r="E415" s="94" t="s">
        <v>125</v>
      </c>
      <c r="G415" t="s">
        <v>496</v>
      </c>
    </row>
    <row r="416" spans="1:7">
      <c r="A416" s="243">
        <v>45761</v>
      </c>
      <c r="B416" s="244" t="s">
        <v>498</v>
      </c>
      <c r="C416" s="245" t="s">
        <v>49</v>
      </c>
      <c r="D416" s="245">
        <v>1</v>
      </c>
      <c r="E416" s="246" t="s">
        <v>125</v>
      </c>
      <c r="G416" t="s">
        <v>496</v>
      </c>
    </row>
    <row r="417" spans="1:6" s="18" customFormat="1">
      <c r="A417" s="243">
        <v>45761</v>
      </c>
      <c r="B417" s="234" t="s">
        <v>467</v>
      </c>
      <c r="C417" s="245" t="s">
        <v>49</v>
      </c>
      <c r="D417" s="106">
        <v>36</v>
      </c>
      <c r="E417" s="246" t="s">
        <v>125</v>
      </c>
      <c r="F417" s="18" t="s">
        <v>536</v>
      </c>
    </row>
    <row r="419" spans="1:6">
      <c r="A419" s="81">
        <v>45762</v>
      </c>
      <c r="B419" s="92" t="s">
        <v>82</v>
      </c>
      <c r="C419" s="43" t="s">
        <v>119</v>
      </c>
      <c r="D419" s="43">
        <v>-152</v>
      </c>
      <c r="E419" s="18" t="s">
        <v>125</v>
      </c>
    </row>
    <row r="420" spans="1:6">
      <c r="A420" s="81">
        <v>45762</v>
      </c>
      <c r="B420" s="84" t="s">
        <v>131</v>
      </c>
      <c r="C420" s="43" t="s">
        <v>119</v>
      </c>
      <c r="D420" s="43">
        <v>-2</v>
      </c>
      <c r="E420" s="18" t="s">
        <v>125</v>
      </c>
    </row>
    <row r="421" spans="1:6">
      <c r="A421" s="81">
        <v>45762</v>
      </c>
      <c r="B421" s="93" t="s">
        <v>86</v>
      </c>
      <c r="C421" s="43" t="s">
        <v>119</v>
      </c>
      <c r="D421" s="43">
        <v>-1</v>
      </c>
      <c r="E421" s="18" t="s">
        <v>125</v>
      </c>
    </row>
    <row r="422" spans="1:6">
      <c r="A422" s="81">
        <v>45762</v>
      </c>
      <c r="B422" s="93" t="s">
        <v>266</v>
      </c>
      <c r="C422" s="43" t="s">
        <v>119</v>
      </c>
      <c r="D422" s="43">
        <v>-11</v>
      </c>
      <c r="E422" s="18" t="s">
        <v>125</v>
      </c>
    </row>
    <row r="423" spans="1:6">
      <c r="A423" s="81">
        <v>45762</v>
      </c>
      <c r="B423" s="93" t="s">
        <v>266</v>
      </c>
      <c r="C423" s="43" t="s">
        <v>119</v>
      </c>
      <c r="D423" s="43">
        <v>-9</v>
      </c>
      <c r="E423" s="18" t="s">
        <v>125</v>
      </c>
    </row>
    <row r="424" spans="1:6">
      <c r="A424" s="214">
        <v>45762</v>
      </c>
      <c r="B424" s="236" t="s">
        <v>513</v>
      </c>
      <c r="C424" s="235" t="s">
        <v>514</v>
      </c>
      <c r="D424" s="237">
        <v>2</v>
      </c>
      <c r="E424" s="217" t="s">
        <v>125</v>
      </c>
    </row>
    <row r="425" spans="1:6">
      <c r="A425" s="81">
        <v>45763</v>
      </c>
      <c r="B425" s="93" t="s">
        <v>266</v>
      </c>
      <c r="C425" s="43" t="s">
        <v>119</v>
      </c>
      <c r="D425" s="43">
        <v>-10</v>
      </c>
      <c r="E425" s="18" t="s">
        <v>125</v>
      </c>
    </row>
    <row r="427" spans="1:6">
      <c r="A427" s="214">
        <v>45764</v>
      </c>
      <c r="B427" s="301" t="s">
        <v>84</v>
      </c>
      <c r="C427" s="235" t="s">
        <v>510</v>
      </c>
      <c r="D427" s="235">
        <v>5</v>
      </c>
      <c r="E427" s="217" t="s">
        <v>125</v>
      </c>
    </row>
    <row r="428" spans="1:6">
      <c r="A428" s="214">
        <v>45764</v>
      </c>
      <c r="B428" s="236" t="s">
        <v>512</v>
      </c>
      <c r="C428" s="235" t="s">
        <v>514</v>
      </c>
      <c r="D428" s="235">
        <v>4</v>
      </c>
      <c r="E428" s="217" t="s">
        <v>125</v>
      </c>
    </row>
    <row r="430" spans="1:6">
      <c r="A430" s="81">
        <v>45764</v>
      </c>
      <c r="B430" s="92" t="s">
        <v>84</v>
      </c>
      <c r="C430" s="43" t="s">
        <v>119</v>
      </c>
      <c r="D430" s="43">
        <v>-5</v>
      </c>
      <c r="E430" s="18" t="s">
        <v>125</v>
      </c>
    </row>
    <row r="431" spans="1:6">
      <c r="A431" s="81">
        <v>45764</v>
      </c>
      <c r="B431" s="92" t="s">
        <v>76</v>
      </c>
      <c r="C431" s="43" t="s">
        <v>119</v>
      </c>
      <c r="D431" s="43">
        <v>-4</v>
      </c>
      <c r="E431" s="18" t="s">
        <v>125</v>
      </c>
    </row>
    <row r="432" spans="1:6">
      <c r="A432" s="81">
        <v>45764</v>
      </c>
      <c r="B432" s="93" t="s">
        <v>334</v>
      </c>
      <c r="C432" s="43" t="s">
        <v>119</v>
      </c>
      <c r="D432" s="43">
        <v>-1</v>
      </c>
      <c r="E432" s="18" t="s">
        <v>125</v>
      </c>
    </row>
    <row r="434" spans="1:8">
      <c r="A434" s="105">
        <v>45761</v>
      </c>
      <c r="B434" s="128" t="s">
        <v>84</v>
      </c>
      <c r="C434" s="106" t="s">
        <v>49</v>
      </c>
      <c r="D434" s="106">
        <v>6</v>
      </c>
      <c r="E434" s="94" t="s">
        <v>125</v>
      </c>
    </row>
    <row r="435" spans="1:8">
      <c r="A435" s="105">
        <v>45762</v>
      </c>
      <c r="B435" s="139" t="s">
        <v>366</v>
      </c>
      <c r="C435" s="106" t="s">
        <v>49</v>
      </c>
      <c r="D435" s="106">
        <v>2</v>
      </c>
      <c r="E435" s="94" t="s">
        <v>125</v>
      </c>
    </row>
    <row r="436" spans="1:8">
      <c r="A436" s="105">
        <v>45762</v>
      </c>
      <c r="B436" s="139" t="s">
        <v>366</v>
      </c>
      <c r="C436" s="106" t="s">
        <v>49</v>
      </c>
      <c r="D436" s="106">
        <v>1</v>
      </c>
      <c r="E436" s="94" t="s">
        <v>125</v>
      </c>
    </row>
    <row r="437" spans="1:8">
      <c r="A437" s="105">
        <v>45762</v>
      </c>
      <c r="B437" s="139" t="s">
        <v>266</v>
      </c>
      <c r="C437" s="106" t="s">
        <v>49</v>
      </c>
      <c r="D437" s="106">
        <v>2</v>
      </c>
      <c r="E437" s="94" t="s">
        <v>125</v>
      </c>
    </row>
    <row r="438" spans="1:8">
      <c r="A438" s="231"/>
      <c r="B438" s="356"/>
      <c r="C438" s="231"/>
      <c r="D438" s="231"/>
      <c r="E438" s="232"/>
    </row>
    <row r="439" spans="1:8">
      <c r="A439" s="105">
        <v>45763</v>
      </c>
      <c r="B439" s="139" t="s">
        <v>375</v>
      </c>
      <c r="C439" s="106" t="s">
        <v>49</v>
      </c>
      <c r="D439" s="106">
        <v>2</v>
      </c>
      <c r="E439" s="94" t="s">
        <v>125</v>
      </c>
    </row>
    <row r="440" spans="1:8">
      <c r="A440" s="105">
        <v>45763</v>
      </c>
      <c r="B440" s="139" t="s">
        <v>121</v>
      </c>
      <c r="C440" s="106" t="s">
        <v>49</v>
      </c>
      <c r="D440" s="106">
        <v>2</v>
      </c>
      <c r="E440" s="94" t="s">
        <v>125</v>
      </c>
    </row>
    <row r="441" spans="1:8">
      <c r="A441" s="105">
        <v>45763</v>
      </c>
      <c r="B441" s="139" t="s">
        <v>482</v>
      </c>
      <c r="C441" s="106" t="s">
        <v>49</v>
      </c>
      <c r="D441" s="106">
        <v>6</v>
      </c>
      <c r="E441" s="94" t="s">
        <v>125</v>
      </c>
    </row>
    <row r="442" spans="1:8">
      <c r="A442" s="231"/>
      <c r="B442" s="356"/>
      <c r="C442" s="231"/>
      <c r="D442" s="231"/>
      <c r="E442" s="232"/>
    </row>
    <row r="443" spans="1:8">
      <c r="A443" s="165">
        <v>45763</v>
      </c>
      <c r="B443" s="168" t="s">
        <v>533</v>
      </c>
      <c r="C443" s="166" t="s">
        <v>49</v>
      </c>
      <c r="D443" s="166">
        <v>0</v>
      </c>
      <c r="E443" s="417" t="s">
        <v>125</v>
      </c>
      <c r="F443" s="441" t="s">
        <v>1013</v>
      </c>
    </row>
    <row r="444" spans="1:8">
      <c r="A444" s="105">
        <v>45763</v>
      </c>
      <c r="B444" s="234" t="s">
        <v>477</v>
      </c>
      <c r="C444" s="106" t="s">
        <v>49</v>
      </c>
      <c r="D444" s="106">
        <v>4</v>
      </c>
      <c r="E444" s="94" t="s">
        <v>125</v>
      </c>
    </row>
    <row r="445" spans="1:8">
      <c r="A445" s="165">
        <v>45763</v>
      </c>
      <c r="B445" s="168" t="s">
        <v>534</v>
      </c>
      <c r="C445" s="166" t="s">
        <v>49</v>
      </c>
      <c r="D445" s="166">
        <v>0</v>
      </c>
      <c r="E445" s="417" t="s">
        <v>125</v>
      </c>
      <c r="F445" s="441" t="s">
        <v>1013</v>
      </c>
    </row>
    <row r="446" spans="1:8">
      <c r="A446" s="231"/>
      <c r="B446" s="356"/>
      <c r="C446" s="231"/>
      <c r="D446" s="231"/>
      <c r="E446" s="232"/>
    </row>
    <row r="447" spans="1:8">
      <c r="A447" s="105">
        <v>45764</v>
      </c>
      <c r="B447" s="139" t="s">
        <v>375</v>
      </c>
      <c r="C447" s="106" t="s">
        <v>49</v>
      </c>
      <c r="D447" s="106">
        <v>15</v>
      </c>
      <c r="E447" s="94" t="s">
        <v>125</v>
      </c>
      <c r="H447" t="s">
        <v>535</v>
      </c>
    </row>
    <row r="448" spans="1:8">
      <c r="A448" s="214">
        <v>45764</v>
      </c>
      <c r="B448" s="248" t="s">
        <v>134</v>
      </c>
      <c r="C448" s="235" t="s">
        <v>538</v>
      </c>
      <c r="D448" s="237">
        <v>2</v>
      </c>
      <c r="E448" s="217" t="s">
        <v>125</v>
      </c>
    </row>
    <row r="449" spans="1:5">
      <c r="A449" s="81">
        <v>45765</v>
      </c>
      <c r="B449" s="92" t="s">
        <v>84</v>
      </c>
      <c r="C449" s="43" t="s">
        <v>119</v>
      </c>
      <c r="D449" s="43">
        <v>-57</v>
      </c>
      <c r="E449" s="18" t="s">
        <v>125</v>
      </c>
    </row>
    <row r="450" spans="1:5">
      <c r="A450" s="81">
        <v>45765</v>
      </c>
      <c r="B450" s="92" t="s">
        <v>88</v>
      </c>
      <c r="C450" s="43" t="s">
        <v>119</v>
      </c>
      <c r="D450" s="43">
        <v>-1</v>
      </c>
      <c r="E450" s="18" t="s">
        <v>125</v>
      </c>
    </row>
    <row r="451" spans="1:5">
      <c r="A451" s="81">
        <v>45765</v>
      </c>
      <c r="B451" s="92" t="s">
        <v>89</v>
      </c>
      <c r="C451" s="43" t="s">
        <v>119</v>
      </c>
      <c r="D451" s="43">
        <v>-1</v>
      </c>
      <c r="E451" s="18" t="s">
        <v>125</v>
      </c>
    </row>
    <row r="452" spans="1:5">
      <c r="A452" s="81">
        <v>45766</v>
      </c>
      <c r="B452" s="84" t="s">
        <v>497</v>
      </c>
      <c r="C452" s="43" t="s">
        <v>119</v>
      </c>
      <c r="D452" s="43">
        <v>-4</v>
      </c>
      <c r="E452" s="18" t="s">
        <v>125</v>
      </c>
    </row>
    <row r="453" spans="1:5">
      <c r="A453" s="81">
        <v>45766</v>
      </c>
      <c r="B453" s="93" t="s">
        <v>366</v>
      </c>
      <c r="C453" s="43" t="s">
        <v>119</v>
      </c>
      <c r="D453" s="43">
        <v>-5</v>
      </c>
      <c r="E453" s="18" t="s">
        <v>125</v>
      </c>
    </row>
    <row r="454" spans="1:5">
      <c r="A454" s="81">
        <v>45766</v>
      </c>
      <c r="B454" s="93" t="s">
        <v>303</v>
      </c>
      <c r="C454" s="43" t="s">
        <v>119</v>
      </c>
      <c r="D454" s="43">
        <v>-1</v>
      </c>
      <c r="E454" s="18" t="s">
        <v>125</v>
      </c>
    </row>
    <row r="457" spans="1:5">
      <c r="A457" s="214">
        <v>45767</v>
      </c>
      <c r="B457" s="248" t="s">
        <v>375</v>
      </c>
      <c r="C457" s="235" t="s">
        <v>540</v>
      </c>
      <c r="D457" s="235">
        <v>9</v>
      </c>
      <c r="E457" s="217" t="s">
        <v>125</v>
      </c>
    </row>
    <row r="459" spans="1:5">
      <c r="A459" s="81">
        <v>45767</v>
      </c>
      <c r="B459" s="93" t="s">
        <v>303</v>
      </c>
      <c r="C459" s="43" t="s">
        <v>119</v>
      </c>
      <c r="D459" s="43">
        <v>-6</v>
      </c>
      <c r="E459" s="18" t="s">
        <v>125</v>
      </c>
    </row>
    <row r="460" spans="1:5">
      <c r="A460" s="81">
        <v>45767</v>
      </c>
      <c r="B460" s="93" t="s">
        <v>383</v>
      </c>
      <c r="C460" s="43" t="s">
        <v>119</v>
      </c>
      <c r="D460" s="43">
        <v>-2</v>
      </c>
      <c r="E460" s="18" t="s">
        <v>125</v>
      </c>
    </row>
    <row r="461" spans="1:5">
      <c r="A461" s="81">
        <v>45767</v>
      </c>
      <c r="B461" s="93" t="s">
        <v>375</v>
      </c>
      <c r="C461" s="43" t="s">
        <v>119</v>
      </c>
      <c r="D461" s="43">
        <v>-2</v>
      </c>
      <c r="E461" s="18" t="s">
        <v>125</v>
      </c>
    </row>
    <row r="462" spans="1:5">
      <c r="A462" s="81">
        <v>45767</v>
      </c>
      <c r="B462" s="93" t="s">
        <v>375</v>
      </c>
      <c r="C462" s="43" t="s">
        <v>119</v>
      </c>
      <c r="D462" s="33">
        <v>-9</v>
      </c>
      <c r="E462" s="18" t="s">
        <v>125</v>
      </c>
    </row>
    <row r="463" spans="1:5">
      <c r="A463" s="81">
        <v>45767</v>
      </c>
      <c r="B463" s="93" t="s">
        <v>86</v>
      </c>
      <c r="C463" s="43" t="s">
        <v>119</v>
      </c>
      <c r="D463" s="43">
        <v>-1</v>
      </c>
      <c r="E463" s="18" t="s">
        <v>125</v>
      </c>
    </row>
    <row r="464" spans="1:5">
      <c r="A464" s="81">
        <v>45767</v>
      </c>
      <c r="B464" s="93" t="s">
        <v>302</v>
      </c>
      <c r="C464" s="43" t="s">
        <v>119</v>
      </c>
      <c r="D464" s="43">
        <v>-1</v>
      </c>
      <c r="E464" s="18" t="s">
        <v>125</v>
      </c>
    </row>
    <row r="466" spans="1:5">
      <c r="A466" s="81">
        <v>45767</v>
      </c>
      <c r="B466" s="93" t="s">
        <v>123</v>
      </c>
      <c r="C466" s="43" t="s">
        <v>119</v>
      </c>
      <c r="D466" s="43">
        <v>-5</v>
      </c>
      <c r="E466" s="18" t="s">
        <v>125</v>
      </c>
    </row>
    <row r="467" spans="1:5">
      <c r="A467" s="81">
        <v>45767</v>
      </c>
      <c r="B467" s="84" t="s">
        <v>410</v>
      </c>
      <c r="C467" s="43" t="s">
        <v>119</v>
      </c>
      <c r="D467" s="43">
        <v>-1</v>
      </c>
      <c r="E467" s="18" t="s">
        <v>125</v>
      </c>
    </row>
    <row r="468" spans="1:5">
      <c r="A468" s="81">
        <v>45767</v>
      </c>
      <c r="B468" s="84" t="s">
        <v>122</v>
      </c>
      <c r="C468" s="43" t="s">
        <v>119</v>
      </c>
      <c r="D468" s="43">
        <v>-9</v>
      </c>
      <c r="E468" s="18" t="s">
        <v>125</v>
      </c>
    </row>
    <row r="469" spans="1:5">
      <c r="A469" s="81">
        <v>45767</v>
      </c>
      <c r="B469" s="84" t="s">
        <v>477</v>
      </c>
      <c r="C469" s="43" t="s">
        <v>119</v>
      </c>
      <c r="D469" s="43">
        <v>-1</v>
      </c>
      <c r="E469" s="18" t="s">
        <v>125</v>
      </c>
    </row>
    <row r="470" spans="1:5">
      <c r="A470" s="81">
        <v>45767</v>
      </c>
      <c r="B470" s="93" t="s">
        <v>482</v>
      </c>
      <c r="C470" s="43" t="s">
        <v>119</v>
      </c>
      <c r="D470" s="43">
        <v>-5</v>
      </c>
      <c r="E470" s="18" t="s">
        <v>125</v>
      </c>
    </row>
    <row r="471" spans="1:5">
      <c r="A471" s="81">
        <v>45768</v>
      </c>
      <c r="B471" s="84" t="s">
        <v>498</v>
      </c>
      <c r="C471" s="43" t="s">
        <v>119</v>
      </c>
      <c r="D471" s="43">
        <v>-1</v>
      </c>
      <c r="E471" s="18" t="s">
        <v>125</v>
      </c>
    </row>
    <row r="472" spans="1:5">
      <c r="A472" s="81">
        <v>45768</v>
      </c>
      <c r="B472" s="93" t="s">
        <v>121</v>
      </c>
      <c r="C472" s="43" t="s">
        <v>119</v>
      </c>
      <c r="D472" s="43">
        <v>-14</v>
      </c>
      <c r="E472" s="18" t="s">
        <v>125</v>
      </c>
    </row>
    <row r="473" spans="1:5">
      <c r="A473" s="81">
        <v>45768</v>
      </c>
      <c r="B473" s="93" t="s">
        <v>303</v>
      </c>
      <c r="C473" s="43" t="s">
        <v>119</v>
      </c>
      <c r="D473" s="43">
        <v>-8</v>
      </c>
      <c r="E473" s="18" t="s">
        <v>125</v>
      </c>
    </row>
    <row r="474" spans="1:5">
      <c r="A474" s="81">
        <v>45768</v>
      </c>
      <c r="B474" s="93" t="s">
        <v>482</v>
      </c>
      <c r="C474" s="43" t="s">
        <v>119</v>
      </c>
      <c r="D474" s="43">
        <v>-16</v>
      </c>
      <c r="E474" s="18" t="s">
        <v>125</v>
      </c>
    </row>
    <row r="475" spans="1:5">
      <c r="A475" s="81">
        <v>45768</v>
      </c>
      <c r="B475" s="93" t="s">
        <v>482</v>
      </c>
      <c r="C475" s="43" t="s">
        <v>119</v>
      </c>
      <c r="D475" s="43">
        <v>-10</v>
      </c>
      <c r="E475" s="18" t="s">
        <v>125</v>
      </c>
    </row>
    <row r="477" spans="1:5">
      <c r="A477" s="214">
        <v>45769</v>
      </c>
      <c r="B477" s="248" t="s">
        <v>87</v>
      </c>
      <c r="C477" s="235" t="s">
        <v>539</v>
      </c>
      <c r="D477" s="235">
        <v>14</v>
      </c>
      <c r="E477" s="217" t="s">
        <v>125</v>
      </c>
    </row>
    <row r="479" spans="1:5">
      <c r="A479" s="105">
        <v>45769</v>
      </c>
      <c r="B479" s="139" t="s">
        <v>375</v>
      </c>
      <c r="C479" s="106" t="s">
        <v>49</v>
      </c>
      <c r="D479" s="106">
        <v>9</v>
      </c>
      <c r="E479" s="18" t="s">
        <v>125</v>
      </c>
    </row>
    <row r="480" spans="1:5">
      <c r="A480" s="105">
        <v>45769</v>
      </c>
      <c r="B480" s="139" t="s">
        <v>375</v>
      </c>
      <c r="C480" s="106" t="s">
        <v>49</v>
      </c>
      <c r="D480" s="106">
        <v>5</v>
      </c>
      <c r="E480" s="18" t="s">
        <v>125</v>
      </c>
    </row>
    <row r="481" spans="1:5">
      <c r="A481" s="105">
        <v>45769</v>
      </c>
      <c r="B481" s="139" t="s">
        <v>534</v>
      </c>
      <c r="C481" s="106" t="s">
        <v>49</v>
      </c>
      <c r="D481" s="106">
        <v>1</v>
      </c>
      <c r="E481" s="18" t="s">
        <v>125</v>
      </c>
    </row>
    <row r="482" spans="1:5">
      <c r="A482" s="105">
        <v>45769</v>
      </c>
      <c r="B482" s="234" t="s">
        <v>497</v>
      </c>
      <c r="C482" s="106" t="s">
        <v>49</v>
      </c>
      <c r="D482" s="106">
        <v>6</v>
      </c>
      <c r="E482" s="18" t="s">
        <v>125</v>
      </c>
    </row>
    <row r="483" spans="1:5">
      <c r="A483" s="105">
        <v>45769</v>
      </c>
      <c r="B483" s="139" t="s">
        <v>482</v>
      </c>
      <c r="C483" s="106" t="s">
        <v>49</v>
      </c>
      <c r="D483" s="106">
        <v>5</v>
      </c>
      <c r="E483" s="18" t="s">
        <v>125</v>
      </c>
    </row>
    <row r="484" spans="1:5">
      <c r="A484" s="105">
        <v>45769</v>
      </c>
      <c r="B484" s="139" t="s">
        <v>375</v>
      </c>
      <c r="C484" s="106" t="s">
        <v>49</v>
      </c>
      <c r="D484" s="106">
        <v>6</v>
      </c>
      <c r="E484" s="18" t="s">
        <v>125</v>
      </c>
    </row>
    <row r="485" spans="1:5">
      <c r="A485" s="105">
        <v>45769</v>
      </c>
      <c r="B485" s="139" t="s">
        <v>375</v>
      </c>
      <c r="C485" s="106" t="s">
        <v>49</v>
      </c>
      <c r="D485" s="106">
        <v>2</v>
      </c>
      <c r="E485" s="18" t="s">
        <v>125</v>
      </c>
    </row>
    <row r="486" spans="1:5">
      <c r="A486" s="105">
        <v>45769</v>
      </c>
      <c r="B486" s="139" t="s">
        <v>375</v>
      </c>
      <c r="C486" s="106" t="s">
        <v>49</v>
      </c>
      <c r="D486" s="106">
        <v>4</v>
      </c>
      <c r="E486" s="18" t="s">
        <v>125</v>
      </c>
    </row>
    <row r="487" spans="1:5">
      <c r="A487" s="105">
        <v>45769</v>
      </c>
      <c r="B487" s="139" t="s">
        <v>375</v>
      </c>
      <c r="C487" s="106" t="s">
        <v>49</v>
      </c>
      <c r="D487" s="106">
        <v>4</v>
      </c>
      <c r="E487" s="18" t="s">
        <v>125</v>
      </c>
    </row>
    <row r="488" spans="1:5">
      <c r="A488" s="105">
        <v>45769</v>
      </c>
      <c r="B488" s="139" t="s">
        <v>266</v>
      </c>
      <c r="C488" s="106" t="s">
        <v>49</v>
      </c>
      <c r="D488" s="106">
        <v>3</v>
      </c>
      <c r="E488" s="18" t="s">
        <v>125</v>
      </c>
    </row>
    <row r="489" spans="1:5">
      <c r="A489" s="105">
        <v>45769</v>
      </c>
      <c r="B489" s="139" t="s">
        <v>266</v>
      </c>
      <c r="C489" s="106" t="s">
        <v>49</v>
      </c>
      <c r="D489" s="106">
        <v>6</v>
      </c>
      <c r="E489" s="18" t="s">
        <v>125</v>
      </c>
    </row>
    <row r="491" spans="1:5">
      <c r="A491" s="105">
        <v>45769</v>
      </c>
      <c r="B491" s="139" t="s">
        <v>87</v>
      </c>
      <c r="C491" s="106" t="s">
        <v>49</v>
      </c>
      <c r="D491" s="106">
        <v>2</v>
      </c>
      <c r="E491" s="18" t="s">
        <v>125</v>
      </c>
    </row>
    <row r="492" spans="1:5">
      <c r="A492" s="105">
        <v>45769</v>
      </c>
      <c r="B492" s="139" t="s">
        <v>303</v>
      </c>
      <c r="C492" s="106" t="s">
        <v>49</v>
      </c>
      <c r="D492" s="106">
        <v>17</v>
      </c>
      <c r="E492" s="18" t="s">
        <v>125</v>
      </c>
    </row>
    <row r="493" spans="1:5">
      <c r="A493" s="105">
        <v>45769</v>
      </c>
      <c r="B493" s="234" t="s">
        <v>497</v>
      </c>
      <c r="C493" s="106" t="s">
        <v>49</v>
      </c>
      <c r="D493" s="106">
        <v>1</v>
      </c>
      <c r="E493" s="18" t="s">
        <v>125</v>
      </c>
    </row>
    <row r="494" spans="1:5">
      <c r="A494" s="105">
        <v>45769</v>
      </c>
      <c r="B494" s="234" t="s">
        <v>498</v>
      </c>
      <c r="C494" s="106" t="s">
        <v>49</v>
      </c>
      <c r="D494" s="106">
        <v>1</v>
      </c>
      <c r="E494" s="18" t="s">
        <v>125</v>
      </c>
    </row>
    <row r="495" spans="1:5">
      <c r="A495" s="105">
        <v>45769</v>
      </c>
      <c r="B495" s="139" t="s">
        <v>266</v>
      </c>
      <c r="C495" s="106" t="s">
        <v>49</v>
      </c>
      <c r="D495" s="106">
        <v>1</v>
      </c>
      <c r="E495" s="18" t="s">
        <v>125</v>
      </c>
    </row>
    <row r="496" spans="1:5">
      <c r="A496" s="105">
        <v>45769</v>
      </c>
      <c r="B496" s="139" t="s">
        <v>366</v>
      </c>
      <c r="C496" s="106" t="s">
        <v>49</v>
      </c>
      <c r="D496" s="106">
        <v>1</v>
      </c>
      <c r="E496" s="18" t="s">
        <v>125</v>
      </c>
    </row>
    <row r="497" spans="1:5">
      <c r="A497" s="105">
        <v>45769</v>
      </c>
      <c r="B497" s="139" t="s">
        <v>366</v>
      </c>
      <c r="C497" s="106" t="s">
        <v>49</v>
      </c>
      <c r="D497" s="106">
        <v>1</v>
      </c>
      <c r="E497" s="18" t="s">
        <v>125</v>
      </c>
    </row>
    <row r="498" spans="1:5">
      <c r="A498" s="105">
        <v>45769</v>
      </c>
      <c r="B498" s="139" t="s">
        <v>266</v>
      </c>
      <c r="C498" s="106" t="s">
        <v>49</v>
      </c>
      <c r="D498" s="106">
        <v>3</v>
      </c>
      <c r="E498" s="18" t="s">
        <v>125</v>
      </c>
    </row>
    <row r="499" spans="1:5">
      <c r="A499" s="105">
        <v>45769</v>
      </c>
      <c r="B499" s="139" t="s">
        <v>87</v>
      </c>
      <c r="C499" s="106" t="s">
        <v>49</v>
      </c>
      <c r="D499" s="106">
        <v>3</v>
      </c>
      <c r="E499" s="18" t="s">
        <v>125</v>
      </c>
    </row>
    <row r="500" spans="1:5">
      <c r="A500" s="105">
        <v>45769</v>
      </c>
      <c r="B500" s="139" t="s">
        <v>303</v>
      </c>
      <c r="C500" s="106" t="s">
        <v>49</v>
      </c>
      <c r="D500" s="106">
        <v>1</v>
      </c>
      <c r="E500" s="18" t="s">
        <v>125</v>
      </c>
    </row>
    <row r="502" spans="1:5">
      <c r="A502" s="81">
        <v>45769</v>
      </c>
      <c r="B502" s="93" t="s">
        <v>168</v>
      </c>
      <c r="C502" s="43" t="s">
        <v>119</v>
      </c>
      <c r="D502" s="43">
        <v>-1</v>
      </c>
      <c r="E502" s="18" t="s">
        <v>125</v>
      </c>
    </row>
    <row r="503" spans="1:5">
      <c r="A503" s="81">
        <v>45769</v>
      </c>
      <c r="B503" s="93" t="s">
        <v>169</v>
      </c>
      <c r="C503" s="43" t="s">
        <v>119</v>
      </c>
      <c r="D503" s="43">
        <v>-1</v>
      </c>
      <c r="E503" s="18" t="s">
        <v>125</v>
      </c>
    </row>
    <row r="504" spans="1:5">
      <c r="A504" s="81">
        <v>45769</v>
      </c>
      <c r="B504" s="93" t="s">
        <v>170</v>
      </c>
      <c r="C504" s="43" t="s">
        <v>119</v>
      </c>
      <c r="D504" s="43">
        <v>-1</v>
      </c>
      <c r="E504" s="18" t="s">
        <v>125</v>
      </c>
    </row>
    <row r="505" spans="1:5">
      <c r="A505" s="81">
        <v>45769</v>
      </c>
      <c r="B505" s="93" t="s">
        <v>171</v>
      </c>
      <c r="C505" s="43" t="s">
        <v>119</v>
      </c>
      <c r="D505" s="43">
        <v>-1</v>
      </c>
      <c r="E505" s="18" t="s">
        <v>125</v>
      </c>
    </row>
    <row r="507" spans="1:5">
      <c r="A507" s="81">
        <v>45770</v>
      </c>
      <c r="B507" s="84" t="s">
        <v>513</v>
      </c>
      <c r="C507" s="43" t="s">
        <v>119</v>
      </c>
      <c r="D507" s="43">
        <v>-1</v>
      </c>
      <c r="E507" s="18" t="s">
        <v>125</v>
      </c>
    </row>
    <row r="508" spans="1:5">
      <c r="A508" s="81">
        <v>45770</v>
      </c>
      <c r="B508" s="84" t="s">
        <v>513</v>
      </c>
      <c r="C508" s="43" t="s">
        <v>119</v>
      </c>
      <c r="D508" s="43">
        <v>-1</v>
      </c>
      <c r="E508" s="18" t="s">
        <v>125</v>
      </c>
    </row>
    <row r="509" spans="1:5">
      <c r="A509" s="81">
        <v>45770</v>
      </c>
      <c r="B509" s="93" t="s">
        <v>169</v>
      </c>
      <c r="C509" s="43" t="s">
        <v>119</v>
      </c>
      <c r="D509" s="43">
        <v>-2</v>
      </c>
      <c r="E509" s="18" t="s">
        <v>125</v>
      </c>
    </row>
    <row r="510" spans="1:5">
      <c r="A510" s="81">
        <v>45770</v>
      </c>
      <c r="B510" s="84" t="s">
        <v>134</v>
      </c>
      <c r="C510" s="43" t="s">
        <v>119</v>
      </c>
      <c r="D510" s="43">
        <v>-1</v>
      </c>
      <c r="E510" s="18" t="s">
        <v>125</v>
      </c>
    </row>
    <row r="511" spans="1:5">
      <c r="A511" s="81">
        <v>45770</v>
      </c>
      <c r="B511" s="84" t="s">
        <v>134</v>
      </c>
      <c r="C511" s="43" t="s">
        <v>119</v>
      </c>
      <c r="D511" s="43">
        <v>-1</v>
      </c>
      <c r="E511" s="18" t="s">
        <v>125</v>
      </c>
    </row>
    <row r="513" spans="1:5">
      <c r="A513" s="81">
        <v>45770</v>
      </c>
      <c r="B513" s="93" t="s">
        <v>86</v>
      </c>
      <c r="C513" s="43" t="s">
        <v>119</v>
      </c>
      <c r="D513" s="43">
        <v>-1</v>
      </c>
      <c r="E513" s="18" t="s">
        <v>125</v>
      </c>
    </row>
    <row r="514" spans="1:5">
      <c r="A514" s="81">
        <v>45770</v>
      </c>
      <c r="B514" s="93" t="s">
        <v>334</v>
      </c>
      <c r="C514" s="43" t="s">
        <v>119</v>
      </c>
      <c r="D514" s="43">
        <v>-7</v>
      </c>
      <c r="E514" s="18" t="s">
        <v>125</v>
      </c>
    </row>
    <row r="516" spans="1:5">
      <c r="A516" s="214">
        <v>45771</v>
      </c>
      <c r="B516" s="236" t="s">
        <v>513</v>
      </c>
      <c r="C516" s="235" t="s">
        <v>275</v>
      </c>
      <c r="D516" s="235">
        <v>2</v>
      </c>
      <c r="E516" s="217" t="s">
        <v>125</v>
      </c>
    </row>
    <row r="517" spans="1:5">
      <c r="A517" s="214">
        <v>45771</v>
      </c>
      <c r="B517" s="236" t="s">
        <v>134</v>
      </c>
      <c r="C517" s="235" t="s">
        <v>275</v>
      </c>
      <c r="D517" s="235">
        <v>2</v>
      </c>
      <c r="E517" s="217" t="s">
        <v>125</v>
      </c>
    </row>
    <row r="519" spans="1:5">
      <c r="A519" s="105">
        <v>45771</v>
      </c>
      <c r="B519" s="234" t="s">
        <v>497</v>
      </c>
      <c r="C519" s="106" t="s">
        <v>49</v>
      </c>
      <c r="D519" s="106">
        <v>4</v>
      </c>
      <c r="E519" s="18" t="s">
        <v>125</v>
      </c>
    </row>
    <row r="520" spans="1:5">
      <c r="A520" s="105">
        <v>45771</v>
      </c>
      <c r="B520" s="234" t="s">
        <v>498</v>
      </c>
      <c r="C520" s="106" t="s">
        <v>49</v>
      </c>
      <c r="D520" s="106">
        <v>4</v>
      </c>
      <c r="E520" s="18" t="s">
        <v>125</v>
      </c>
    </row>
    <row r="521" spans="1:5">
      <c r="A521" s="105">
        <v>45771</v>
      </c>
      <c r="B521" s="139" t="s">
        <v>375</v>
      </c>
      <c r="C521" s="106" t="s">
        <v>49</v>
      </c>
      <c r="D521" s="106">
        <v>3</v>
      </c>
      <c r="E521" s="18" t="s">
        <v>125</v>
      </c>
    </row>
    <row r="522" spans="1:5">
      <c r="A522" s="105">
        <v>45771</v>
      </c>
      <c r="B522" s="139" t="s">
        <v>582</v>
      </c>
      <c r="C522" s="106" t="s">
        <v>49</v>
      </c>
      <c r="D522" s="106">
        <v>12</v>
      </c>
      <c r="E522" s="18" t="s">
        <v>125</v>
      </c>
    </row>
    <row r="523" spans="1:5">
      <c r="A523" s="105">
        <v>45771</v>
      </c>
      <c r="B523" s="139" t="s">
        <v>482</v>
      </c>
      <c r="C523" s="106" t="s">
        <v>49</v>
      </c>
      <c r="D523" s="106">
        <v>15</v>
      </c>
      <c r="E523" s="18" t="s">
        <v>125</v>
      </c>
    </row>
    <row r="524" spans="1:5">
      <c r="A524" s="105">
        <v>45771</v>
      </c>
      <c r="B524" s="139" t="s">
        <v>582</v>
      </c>
      <c r="C524" s="106" t="s">
        <v>49</v>
      </c>
      <c r="D524" s="106">
        <v>35</v>
      </c>
      <c r="E524" s="18" t="s">
        <v>125</v>
      </c>
    </row>
    <row r="525" spans="1:5">
      <c r="A525" s="105">
        <v>45771</v>
      </c>
      <c r="B525" s="139" t="s">
        <v>581</v>
      </c>
      <c r="C525" s="106" t="s">
        <v>49</v>
      </c>
      <c r="D525" s="106">
        <v>1</v>
      </c>
      <c r="E525" s="18" t="s">
        <v>125</v>
      </c>
    </row>
    <row r="526" spans="1:5">
      <c r="A526" s="105">
        <v>45771</v>
      </c>
      <c r="B526" s="139" t="s">
        <v>122</v>
      </c>
      <c r="C526" s="106" t="s">
        <v>49</v>
      </c>
      <c r="D526" s="106">
        <v>2</v>
      </c>
      <c r="E526" s="18" t="s">
        <v>125</v>
      </c>
    </row>
    <row r="527" spans="1:5">
      <c r="A527" s="105">
        <v>45771</v>
      </c>
      <c r="B527" s="139" t="s">
        <v>534</v>
      </c>
      <c r="C527" s="106" t="s">
        <v>49</v>
      </c>
      <c r="D527" s="106">
        <v>4</v>
      </c>
      <c r="E527" s="18" t="s">
        <v>125</v>
      </c>
    </row>
    <row r="528" spans="1:5">
      <c r="A528" s="105">
        <v>45771</v>
      </c>
      <c r="B528" s="139" t="s">
        <v>121</v>
      </c>
      <c r="C528" s="106" t="s">
        <v>49</v>
      </c>
      <c r="D528" s="106">
        <v>4</v>
      </c>
      <c r="E528" s="18" t="s">
        <v>125</v>
      </c>
    </row>
    <row r="529" spans="1:6">
      <c r="A529" s="105">
        <v>45771</v>
      </c>
      <c r="B529" s="139" t="s">
        <v>375</v>
      </c>
      <c r="C529" s="106" t="s">
        <v>49</v>
      </c>
      <c r="D529" s="106">
        <v>3</v>
      </c>
      <c r="E529" s="18" t="s">
        <v>125</v>
      </c>
    </row>
    <row r="530" spans="1:6">
      <c r="A530" s="105">
        <v>45771</v>
      </c>
      <c r="B530" s="234" t="s">
        <v>498</v>
      </c>
      <c r="C530" s="106" t="s">
        <v>49</v>
      </c>
      <c r="D530" s="106">
        <v>2</v>
      </c>
      <c r="E530" s="18" t="s">
        <v>125</v>
      </c>
    </row>
    <row r="531" spans="1:6">
      <c r="A531" s="105">
        <v>45771</v>
      </c>
      <c r="B531" s="139" t="s">
        <v>266</v>
      </c>
      <c r="C531" s="106" t="s">
        <v>49</v>
      </c>
      <c r="D531" s="106">
        <v>2</v>
      </c>
      <c r="E531" s="18" t="s">
        <v>125</v>
      </c>
    </row>
    <row r="533" spans="1:6">
      <c r="A533" s="105">
        <v>45775</v>
      </c>
      <c r="B533" s="139" t="s">
        <v>375</v>
      </c>
      <c r="C533" s="106" t="s">
        <v>49</v>
      </c>
      <c r="D533" s="106">
        <v>3</v>
      </c>
      <c r="E533" s="18" t="s">
        <v>125</v>
      </c>
    </row>
    <row r="534" spans="1:6">
      <c r="A534" s="105">
        <v>45775</v>
      </c>
      <c r="B534" s="234" t="s">
        <v>498</v>
      </c>
      <c r="C534" s="106" t="s">
        <v>49</v>
      </c>
      <c r="D534" s="106">
        <v>2</v>
      </c>
      <c r="E534" s="18" t="s">
        <v>125</v>
      </c>
    </row>
    <row r="535" spans="1:6">
      <c r="A535" s="105">
        <v>45775</v>
      </c>
      <c r="B535" s="234" t="s">
        <v>497</v>
      </c>
      <c r="C535" s="106" t="s">
        <v>49</v>
      </c>
      <c r="D535" s="106">
        <v>1</v>
      </c>
      <c r="E535" s="18" t="s">
        <v>125</v>
      </c>
    </row>
    <row r="536" spans="1:6">
      <c r="A536" s="105">
        <v>45775</v>
      </c>
      <c r="B536" s="234" t="s">
        <v>498</v>
      </c>
      <c r="C536" s="106" t="s">
        <v>49</v>
      </c>
      <c r="D536" s="106">
        <v>2</v>
      </c>
      <c r="E536" s="18" t="s">
        <v>125</v>
      </c>
    </row>
    <row r="537" spans="1:6">
      <c r="A537" s="105">
        <v>45775</v>
      </c>
      <c r="B537" s="234" t="s">
        <v>497</v>
      </c>
      <c r="C537" s="106" t="s">
        <v>49</v>
      </c>
      <c r="D537" s="106">
        <v>2</v>
      </c>
      <c r="E537" s="18" t="s">
        <v>125</v>
      </c>
    </row>
    <row r="538" spans="1:6">
      <c r="A538" s="105">
        <v>45775</v>
      </c>
      <c r="B538" s="139" t="s">
        <v>375</v>
      </c>
      <c r="C538" s="106" t="s">
        <v>49</v>
      </c>
      <c r="D538" s="106">
        <v>1</v>
      </c>
      <c r="E538" s="18" t="s">
        <v>125</v>
      </c>
    </row>
    <row r="540" spans="1:6">
      <c r="A540" s="105">
        <v>45771</v>
      </c>
      <c r="B540" s="139" t="s">
        <v>266</v>
      </c>
      <c r="C540" s="106" t="s">
        <v>49</v>
      </c>
      <c r="D540" s="106"/>
      <c r="E540" t="s">
        <v>593</v>
      </c>
    </row>
    <row r="542" spans="1:6">
      <c r="A542" s="81">
        <v>45776</v>
      </c>
      <c r="B542" s="84" t="s">
        <v>131</v>
      </c>
      <c r="C542" s="43" t="s">
        <v>119</v>
      </c>
      <c r="D542" s="43"/>
      <c r="E542" s="18" t="s">
        <v>125</v>
      </c>
      <c r="F542" t="s">
        <v>628</v>
      </c>
    </row>
    <row r="543" spans="1:6">
      <c r="A543" s="81">
        <v>45776</v>
      </c>
      <c r="B543" s="93" t="s">
        <v>87</v>
      </c>
      <c r="C543" s="43" t="s">
        <v>119</v>
      </c>
      <c r="D543" s="43">
        <v>-2</v>
      </c>
      <c r="E543" s="18" t="s">
        <v>125</v>
      </c>
    </row>
    <row r="545" spans="1:6">
      <c r="A545" s="105">
        <v>45776</v>
      </c>
      <c r="B545" s="139" t="s">
        <v>266</v>
      </c>
      <c r="C545" s="106" t="s">
        <v>49</v>
      </c>
      <c r="D545" s="106">
        <v>6</v>
      </c>
      <c r="E545" s="94" t="s">
        <v>125</v>
      </c>
      <c r="F545" t="s">
        <v>606</v>
      </c>
    </row>
    <row r="546" spans="1:6">
      <c r="A546" s="105">
        <v>45777</v>
      </c>
      <c r="B546" s="139" t="s">
        <v>375</v>
      </c>
      <c r="C546" s="106" t="s">
        <v>49</v>
      </c>
      <c r="D546" s="106">
        <v>2</v>
      </c>
      <c r="E546" s="94" t="s">
        <v>125</v>
      </c>
    </row>
    <row r="548" spans="1:6">
      <c r="A548" s="81">
        <v>45777</v>
      </c>
      <c r="B548" s="93" t="s">
        <v>375</v>
      </c>
      <c r="C548" s="43" t="s">
        <v>119</v>
      </c>
      <c r="D548" s="43">
        <v>-4</v>
      </c>
      <c r="E548" s="18" t="s">
        <v>125</v>
      </c>
    </row>
    <row r="549" spans="1:6">
      <c r="A549" s="81">
        <v>45777</v>
      </c>
      <c r="B549" s="93" t="s">
        <v>121</v>
      </c>
      <c r="C549" s="43" t="s">
        <v>119</v>
      </c>
      <c r="D549" s="43">
        <v>-6</v>
      </c>
      <c r="E549" s="18" t="s">
        <v>125</v>
      </c>
    </row>
    <row r="550" spans="1:6">
      <c r="A550" s="81">
        <v>45777</v>
      </c>
      <c r="B550" s="84" t="s">
        <v>122</v>
      </c>
      <c r="C550" s="43" t="s">
        <v>119</v>
      </c>
      <c r="D550" s="43">
        <v>-2</v>
      </c>
      <c r="E550" s="18" t="s">
        <v>125</v>
      </c>
    </row>
    <row r="551" spans="1:6">
      <c r="A551" s="81"/>
      <c r="B551" s="93"/>
      <c r="C551" s="43"/>
      <c r="D551" s="43"/>
      <c r="E551" s="18"/>
    </row>
    <row r="552" spans="1:6">
      <c r="A552" s="81"/>
      <c r="B552" s="93"/>
      <c r="C552" s="43"/>
      <c r="D552" s="43"/>
      <c r="E552" s="18"/>
    </row>
    <row r="553" spans="1:6">
      <c r="A553" s="81">
        <v>45777</v>
      </c>
      <c r="B553" s="84" t="s">
        <v>497</v>
      </c>
      <c r="C553" s="43" t="s">
        <v>119</v>
      </c>
      <c r="D553" s="43">
        <v>-6</v>
      </c>
      <c r="E553" s="18" t="s">
        <v>125</v>
      </c>
    </row>
    <row r="554" spans="1:6">
      <c r="A554" s="81">
        <v>45777</v>
      </c>
      <c r="B554" s="84" t="s">
        <v>498</v>
      </c>
      <c r="C554" s="43" t="s">
        <v>119</v>
      </c>
      <c r="D554" s="43">
        <v>-4</v>
      </c>
      <c r="E554" s="18" t="s">
        <v>125</v>
      </c>
    </row>
    <row r="555" spans="1:6">
      <c r="A555" s="81">
        <v>45777</v>
      </c>
      <c r="B555" s="84" t="s">
        <v>497</v>
      </c>
      <c r="C555" s="43" t="s">
        <v>119</v>
      </c>
      <c r="D555" s="43">
        <v>-1</v>
      </c>
      <c r="E555" s="18" t="s">
        <v>125</v>
      </c>
    </row>
    <row r="556" spans="1:6">
      <c r="A556" s="81">
        <v>45777</v>
      </c>
      <c r="B556" s="93" t="s">
        <v>366</v>
      </c>
      <c r="C556" s="43" t="s">
        <v>119</v>
      </c>
      <c r="D556" s="43">
        <v>-5</v>
      </c>
      <c r="E556" s="18" t="s">
        <v>125</v>
      </c>
    </row>
    <row r="557" spans="1:6">
      <c r="A557" s="81">
        <v>45777</v>
      </c>
      <c r="B557" s="84" t="s">
        <v>498</v>
      </c>
      <c r="C557" s="43" t="s">
        <v>119</v>
      </c>
      <c r="D557" s="43">
        <v>-5</v>
      </c>
      <c r="E557" s="18" t="s">
        <v>125</v>
      </c>
    </row>
    <row r="559" spans="1:6">
      <c r="A559" s="254">
        <v>45777</v>
      </c>
      <c r="B559" s="255" t="s">
        <v>467</v>
      </c>
      <c r="C559" s="257" t="s">
        <v>49</v>
      </c>
      <c r="D559" s="257">
        <v>10</v>
      </c>
      <c r="E559" s="256" t="s">
        <v>125</v>
      </c>
      <c r="F559" t="s">
        <v>611</v>
      </c>
    </row>
    <row r="561" spans="1:5">
      <c r="A561" s="81">
        <v>45778</v>
      </c>
      <c r="B561" s="93" t="s">
        <v>303</v>
      </c>
      <c r="C561" s="43" t="s">
        <v>119</v>
      </c>
      <c r="D561" s="43">
        <v>-18</v>
      </c>
      <c r="E561" s="18" t="s">
        <v>125</v>
      </c>
    </row>
    <row r="563" spans="1:5">
      <c r="A563" s="214">
        <v>45749</v>
      </c>
      <c r="B563" s="236" t="s">
        <v>134</v>
      </c>
      <c r="C563" s="235" t="s">
        <v>275</v>
      </c>
      <c r="D563" s="235">
        <v>4</v>
      </c>
      <c r="E563" s="18" t="s">
        <v>125</v>
      </c>
    </row>
    <row r="564" spans="1:5">
      <c r="A564" s="81">
        <v>45779</v>
      </c>
      <c r="B564" s="84" t="s">
        <v>497</v>
      </c>
      <c r="C564" s="43" t="s">
        <v>119</v>
      </c>
      <c r="D564" s="43">
        <v>-2</v>
      </c>
      <c r="E564" s="18" t="s">
        <v>125</v>
      </c>
    </row>
    <row r="565" spans="1:5">
      <c r="A565" s="81">
        <v>45779</v>
      </c>
      <c r="B565" s="84" t="s">
        <v>497</v>
      </c>
      <c r="C565" s="43" t="s">
        <v>119</v>
      </c>
      <c r="D565" s="43">
        <v>-2</v>
      </c>
      <c r="E565" s="18" t="s">
        <v>125</v>
      </c>
    </row>
    <row r="566" spans="1:5">
      <c r="A566" s="81">
        <v>45779</v>
      </c>
      <c r="B566" s="84" t="s">
        <v>498</v>
      </c>
      <c r="C566" s="43" t="s">
        <v>119</v>
      </c>
      <c r="D566" s="43">
        <v>-2</v>
      </c>
      <c r="E566" s="18" t="s">
        <v>125</v>
      </c>
    </row>
    <row r="567" spans="1:5">
      <c r="A567" s="81">
        <v>45779</v>
      </c>
      <c r="B567" s="84" t="s">
        <v>497</v>
      </c>
      <c r="C567" s="43" t="s">
        <v>119</v>
      </c>
      <c r="D567" s="43">
        <v>-1</v>
      </c>
      <c r="E567" s="18" t="s">
        <v>125</v>
      </c>
    </row>
    <row r="569" spans="1:5">
      <c r="A569" s="105">
        <v>45779</v>
      </c>
      <c r="B569" s="139" t="s">
        <v>375</v>
      </c>
      <c r="C569" s="106" t="s">
        <v>49</v>
      </c>
      <c r="D569" s="106">
        <v>2</v>
      </c>
      <c r="E569" s="18" t="s">
        <v>125</v>
      </c>
    </row>
    <row r="570" spans="1:5">
      <c r="A570" s="105">
        <v>45779</v>
      </c>
      <c r="B570" s="139" t="s">
        <v>375</v>
      </c>
      <c r="C570" s="106" t="s">
        <v>49</v>
      </c>
      <c r="D570" s="106">
        <v>2</v>
      </c>
      <c r="E570" s="18" t="s">
        <v>125</v>
      </c>
    </row>
    <row r="571" spans="1:5">
      <c r="A571" s="105">
        <v>45779</v>
      </c>
      <c r="B571" s="139" t="s">
        <v>375</v>
      </c>
      <c r="C571" s="106" t="s">
        <v>49</v>
      </c>
      <c r="D571" s="106">
        <v>2</v>
      </c>
      <c r="E571" s="18" t="s">
        <v>125</v>
      </c>
    </row>
    <row r="572" spans="1:5">
      <c r="A572" s="105">
        <v>45779</v>
      </c>
      <c r="B572" s="139" t="s">
        <v>375</v>
      </c>
      <c r="C572" s="106" t="s">
        <v>49</v>
      </c>
      <c r="D572" s="106">
        <v>3</v>
      </c>
      <c r="E572" s="18" t="s">
        <v>125</v>
      </c>
    </row>
    <row r="574" spans="1:5">
      <c r="A574" s="81">
        <v>45782</v>
      </c>
      <c r="B574" s="93" t="s">
        <v>266</v>
      </c>
      <c r="C574" s="43" t="s">
        <v>119</v>
      </c>
      <c r="D574" s="33">
        <v>-1</v>
      </c>
      <c r="E574" s="18" t="s">
        <v>125</v>
      </c>
    </row>
    <row r="575" spans="1:5">
      <c r="A575" s="81">
        <v>45782</v>
      </c>
      <c r="B575" s="93" t="s">
        <v>266</v>
      </c>
      <c r="C575" s="43" t="s">
        <v>119</v>
      </c>
      <c r="D575" s="33">
        <v>-4</v>
      </c>
      <c r="E575" s="18" t="s">
        <v>125</v>
      </c>
    </row>
    <row r="576" spans="1:5">
      <c r="A576" s="81">
        <v>45782</v>
      </c>
      <c r="B576" s="93" t="s">
        <v>366</v>
      </c>
      <c r="C576" s="43" t="s">
        <v>119</v>
      </c>
      <c r="D576" s="33">
        <v>-1</v>
      </c>
      <c r="E576" s="18" t="s">
        <v>125</v>
      </c>
    </row>
    <row r="578" spans="1:6">
      <c r="A578" s="81">
        <v>45782</v>
      </c>
      <c r="B578" s="93" t="s">
        <v>534</v>
      </c>
      <c r="C578" s="43" t="s">
        <v>119</v>
      </c>
      <c r="D578" s="33">
        <v>-5</v>
      </c>
      <c r="E578" s="18" t="s">
        <v>125</v>
      </c>
    </row>
    <row r="579" spans="1:6">
      <c r="A579" s="81">
        <v>45782</v>
      </c>
      <c r="B579" s="93" t="s">
        <v>581</v>
      </c>
      <c r="C579" s="43" t="s">
        <v>119</v>
      </c>
      <c r="E579" s="18" t="s">
        <v>125</v>
      </c>
      <c r="F579" t="s">
        <v>627</v>
      </c>
    </row>
    <row r="580" spans="1:6">
      <c r="A580" s="81">
        <v>45782</v>
      </c>
      <c r="B580" s="93" t="s">
        <v>375</v>
      </c>
      <c r="C580" s="43" t="s">
        <v>119</v>
      </c>
      <c r="D580" s="33">
        <v>-5</v>
      </c>
      <c r="E580" s="18" t="s">
        <v>125</v>
      </c>
    </row>
    <row r="581" spans="1:6">
      <c r="A581" s="81">
        <v>45782</v>
      </c>
      <c r="B581" s="93" t="s">
        <v>375</v>
      </c>
      <c r="C581" s="43" t="s">
        <v>119</v>
      </c>
      <c r="D581" s="33">
        <v>-5</v>
      </c>
      <c r="E581" s="18" t="s">
        <v>125</v>
      </c>
    </row>
    <row r="582" spans="1:6">
      <c r="A582" s="81">
        <v>45782</v>
      </c>
      <c r="B582" s="93" t="s">
        <v>87</v>
      </c>
      <c r="C582" s="43" t="s">
        <v>119</v>
      </c>
      <c r="D582" s="33">
        <v>-17</v>
      </c>
      <c r="E582" s="18" t="s">
        <v>125</v>
      </c>
    </row>
    <row r="583" spans="1:6">
      <c r="A583" s="81">
        <v>45782</v>
      </c>
      <c r="B583" s="93" t="s">
        <v>582</v>
      </c>
      <c r="C583" s="43" t="s">
        <v>119</v>
      </c>
      <c r="D583" s="33">
        <v>-10</v>
      </c>
      <c r="E583" s="18" t="s">
        <v>125</v>
      </c>
    </row>
    <row r="584" spans="1:6">
      <c r="A584" s="214">
        <v>45782</v>
      </c>
      <c r="B584" s="236" t="s">
        <v>619</v>
      </c>
      <c r="C584" s="237" t="s">
        <v>620</v>
      </c>
      <c r="D584" s="237">
        <v>108</v>
      </c>
      <c r="E584" s="217" t="s">
        <v>125</v>
      </c>
    </row>
    <row r="586" spans="1:6">
      <c r="A586" s="81">
        <v>45783</v>
      </c>
      <c r="B586" s="84" t="s">
        <v>497</v>
      </c>
      <c r="C586" s="43" t="s">
        <v>119</v>
      </c>
      <c r="D586" s="43">
        <v>-3</v>
      </c>
      <c r="E586" s="18" t="s">
        <v>125</v>
      </c>
    </row>
    <row r="587" spans="1:6">
      <c r="A587" s="81">
        <v>45783</v>
      </c>
      <c r="B587" s="93" t="s">
        <v>266</v>
      </c>
      <c r="C587" s="43" t="s">
        <v>119</v>
      </c>
      <c r="D587" s="43"/>
      <c r="E587" s="18" t="s">
        <v>125</v>
      </c>
      <c r="F587" t="s">
        <v>676</v>
      </c>
    </row>
    <row r="589" spans="1:6">
      <c r="A589" s="214">
        <v>45784</v>
      </c>
      <c r="B589" s="236" t="s">
        <v>513</v>
      </c>
      <c r="C589" s="235" t="s">
        <v>275</v>
      </c>
      <c r="D589" s="235">
        <v>5</v>
      </c>
      <c r="E589" s="217" t="s">
        <v>125</v>
      </c>
    </row>
    <row r="591" spans="1:6">
      <c r="A591" s="259">
        <v>45784</v>
      </c>
      <c r="B591" s="260" t="s">
        <v>76</v>
      </c>
      <c r="C591" s="261" t="s">
        <v>635</v>
      </c>
      <c r="D591" s="261">
        <v>147</v>
      </c>
      <c r="E591" s="263" t="s">
        <v>125</v>
      </c>
    </row>
    <row r="592" spans="1:6">
      <c r="A592" s="259">
        <v>45784</v>
      </c>
      <c r="B592" s="262" t="s">
        <v>482</v>
      </c>
      <c r="C592" s="261" t="s">
        <v>635</v>
      </c>
      <c r="D592" s="261">
        <v>500</v>
      </c>
      <c r="E592" s="263" t="s">
        <v>125</v>
      </c>
    </row>
    <row r="593" spans="1:5">
      <c r="A593" s="259">
        <v>45784</v>
      </c>
      <c r="B593" s="262" t="s">
        <v>121</v>
      </c>
      <c r="C593" s="261" t="s">
        <v>635</v>
      </c>
      <c r="D593" s="261">
        <v>200</v>
      </c>
      <c r="E593" s="263" t="s">
        <v>125</v>
      </c>
    </row>
    <row r="594" spans="1:5">
      <c r="A594" s="259">
        <v>45784</v>
      </c>
      <c r="B594" s="260" t="s">
        <v>84</v>
      </c>
      <c r="C594" s="261" t="s">
        <v>635</v>
      </c>
      <c r="D594" s="261">
        <v>10</v>
      </c>
      <c r="E594" s="263" t="s">
        <v>125</v>
      </c>
    </row>
    <row r="595" spans="1:5">
      <c r="A595" s="259">
        <v>45784</v>
      </c>
      <c r="B595" s="260" t="s">
        <v>84</v>
      </c>
      <c r="C595" s="261" t="s">
        <v>635</v>
      </c>
      <c r="D595" s="261">
        <v>10</v>
      </c>
      <c r="E595" s="263" t="s">
        <v>125</v>
      </c>
    </row>
    <row r="596" spans="1:5">
      <c r="A596" s="259">
        <v>45784</v>
      </c>
      <c r="B596" s="260" t="s">
        <v>84</v>
      </c>
      <c r="C596" s="261" t="s">
        <v>635</v>
      </c>
      <c r="D596" s="261">
        <v>2</v>
      </c>
      <c r="E596" s="263" t="s">
        <v>125</v>
      </c>
    </row>
    <row r="597" spans="1:5">
      <c r="A597" s="259">
        <v>45784</v>
      </c>
      <c r="B597" s="260" t="s">
        <v>84</v>
      </c>
      <c r="C597" s="261" t="s">
        <v>635</v>
      </c>
      <c r="D597" s="261">
        <v>2</v>
      </c>
      <c r="E597" s="263" t="s">
        <v>125</v>
      </c>
    </row>
    <row r="598" spans="1:5">
      <c r="A598" s="259">
        <v>45784</v>
      </c>
      <c r="B598" s="260" t="s">
        <v>84</v>
      </c>
      <c r="C598" s="261" t="s">
        <v>635</v>
      </c>
      <c r="D598" s="261">
        <v>10</v>
      </c>
      <c r="E598" s="263" t="s">
        <v>125</v>
      </c>
    </row>
    <row r="599" spans="1:5">
      <c r="A599" s="259">
        <v>45784</v>
      </c>
      <c r="B599" s="260" t="s">
        <v>634</v>
      </c>
      <c r="C599" s="261" t="s">
        <v>635</v>
      </c>
      <c r="D599" s="261">
        <v>250</v>
      </c>
      <c r="E599" s="263" t="s">
        <v>125</v>
      </c>
    </row>
    <row r="600" spans="1:5">
      <c r="A600" s="259">
        <v>45784</v>
      </c>
      <c r="B600" s="262" t="s">
        <v>482</v>
      </c>
      <c r="C600" s="261" t="s">
        <v>635</v>
      </c>
      <c r="D600" s="261">
        <v>200</v>
      </c>
      <c r="E600" s="263" t="s">
        <v>125</v>
      </c>
    </row>
    <row r="602" spans="1:5">
      <c r="A602" s="81">
        <v>45785</v>
      </c>
      <c r="B602" s="93" t="s">
        <v>169</v>
      </c>
      <c r="C602" s="43" t="s">
        <v>119</v>
      </c>
      <c r="D602" s="43">
        <v>-2</v>
      </c>
      <c r="E602" s="18" t="s">
        <v>125</v>
      </c>
    </row>
    <row r="603" spans="1:5">
      <c r="A603" s="81">
        <v>45785</v>
      </c>
      <c r="B603" s="93" t="s">
        <v>375</v>
      </c>
      <c r="C603" s="43" t="s">
        <v>119</v>
      </c>
      <c r="D603" s="43">
        <v>-31</v>
      </c>
      <c r="E603" s="18" t="s">
        <v>125</v>
      </c>
    </row>
    <row r="604" spans="1:5">
      <c r="A604" s="81">
        <v>45785</v>
      </c>
      <c r="B604" s="93" t="s">
        <v>482</v>
      </c>
      <c r="C604" s="43" t="s">
        <v>119</v>
      </c>
      <c r="D604" s="43">
        <v>-11</v>
      </c>
      <c r="E604" s="18" t="s">
        <v>125</v>
      </c>
    </row>
    <row r="605" spans="1:5">
      <c r="A605" s="81">
        <v>45785</v>
      </c>
      <c r="B605" s="93" t="s">
        <v>582</v>
      </c>
      <c r="C605" s="43" t="s">
        <v>119</v>
      </c>
      <c r="D605" s="43">
        <v>-13</v>
      </c>
      <c r="E605" s="18" t="s">
        <v>125</v>
      </c>
    </row>
    <row r="606" spans="1:5">
      <c r="A606" s="81">
        <v>45785</v>
      </c>
      <c r="B606" s="93" t="s">
        <v>582</v>
      </c>
      <c r="C606" s="43" t="s">
        <v>119</v>
      </c>
      <c r="D606" s="43">
        <v>-12</v>
      </c>
      <c r="E606" s="18" t="s">
        <v>125</v>
      </c>
    </row>
    <row r="607" spans="1:5">
      <c r="A607" s="81">
        <v>45785</v>
      </c>
      <c r="B607" s="93" t="s">
        <v>482</v>
      </c>
      <c r="C607" s="43" t="s">
        <v>119</v>
      </c>
      <c r="D607" s="43">
        <v>-15</v>
      </c>
      <c r="E607" s="18" t="s">
        <v>125</v>
      </c>
    </row>
    <row r="609" spans="1:6">
      <c r="A609" s="81">
        <v>45786</v>
      </c>
      <c r="B609" s="93" t="s">
        <v>383</v>
      </c>
      <c r="C609" s="43" t="s">
        <v>119</v>
      </c>
      <c r="D609" s="43">
        <v>-3</v>
      </c>
      <c r="E609" s="18" t="s">
        <v>125</v>
      </c>
    </row>
    <row r="611" spans="1:6">
      <c r="A611" s="81">
        <v>45787</v>
      </c>
      <c r="B611" s="93" t="s">
        <v>366</v>
      </c>
      <c r="C611" s="43" t="s">
        <v>119</v>
      </c>
      <c r="D611" s="43">
        <v>-2</v>
      </c>
      <c r="E611" s="18" t="s">
        <v>125</v>
      </c>
    </row>
    <row r="613" spans="1:6">
      <c r="A613" s="214">
        <v>45789</v>
      </c>
      <c r="B613" s="248" t="s">
        <v>121</v>
      </c>
      <c r="C613" s="235" t="s">
        <v>275</v>
      </c>
      <c r="D613" s="235">
        <v>10</v>
      </c>
      <c r="E613" s="217" t="s">
        <v>125</v>
      </c>
    </row>
    <row r="614" spans="1:6">
      <c r="A614" s="214">
        <v>45789</v>
      </c>
      <c r="B614" s="248" t="s">
        <v>121</v>
      </c>
      <c r="C614" s="235" t="s">
        <v>637</v>
      </c>
      <c r="D614" s="235">
        <v>2</v>
      </c>
      <c r="E614" s="217" t="s">
        <v>125</v>
      </c>
    </row>
    <row r="616" spans="1:6">
      <c r="A616" s="265">
        <v>45789</v>
      </c>
      <c r="B616" s="93" t="s">
        <v>121</v>
      </c>
      <c r="C616" s="43" t="s">
        <v>119</v>
      </c>
      <c r="D616" s="43">
        <v>-12</v>
      </c>
      <c r="E616" s="18" t="s">
        <v>125</v>
      </c>
    </row>
    <row r="618" spans="1:6">
      <c r="A618" s="265">
        <v>45790</v>
      </c>
      <c r="B618" s="93" t="s">
        <v>266</v>
      </c>
      <c r="C618" s="43" t="s">
        <v>119</v>
      </c>
      <c r="D618" s="43">
        <v>-1</v>
      </c>
      <c r="E618" s="18" t="s">
        <v>125</v>
      </c>
    </row>
    <row r="620" spans="1:6">
      <c r="A620" s="265">
        <v>45791</v>
      </c>
      <c r="B620" s="93" t="s">
        <v>121</v>
      </c>
      <c r="C620" s="43" t="s">
        <v>119</v>
      </c>
      <c r="D620" s="43">
        <v>-25</v>
      </c>
      <c r="E620" s="18" t="s">
        <v>125</v>
      </c>
    </row>
    <row r="621" spans="1:6">
      <c r="A621" s="265">
        <v>45791</v>
      </c>
      <c r="B621" s="92" t="s">
        <v>84</v>
      </c>
      <c r="C621" s="43" t="s">
        <v>119</v>
      </c>
      <c r="D621" s="43">
        <v>-18</v>
      </c>
      <c r="E621" s="18" t="s">
        <v>125</v>
      </c>
    </row>
    <row r="622" spans="1:6">
      <c r="A622" s="265">
        <v>45791</v>
      </c>
      <c r="B622" s="93" t="s">
        <v>76</v>
      </c>
      <c r="C622" s="43" t="s">
        <v>119</v>
      </c>
      <c r="D622" s="43">
        <v>-115</v>
      </c>
      <c r="E622" s="18" t="s">
        <v>125</v>
      </c>
    </row>
    <row r="623" spans="1:6">
      <c r="A623" s="265">
        <v>45791</v>
      </c>
      <c r="B623" s="93" t="s">
        <v>266</v>
      </c>
      <c r="C623" s="43" t="s">
        <v>119</v>
      </c>
      <c r="D623" s="43">
        <v>-5</v>
      </c>
      <c r="E623" s="18" t="s">
        <v>125</v>
      </c>
      <c r="F623" t="s">
        <v>677</v>
      </c>
    </row>
    <row r="624" spans="1:6">
      <c r="A624" s="265">
        <v>45791</v>
      </c>
      <c r="B624" s="93" t="s">
        <v>266</v>
      </c>
      <c r="C624" s="43" t="s">
        <v>119</v>
      </c>
      <c r="D624" s="43">
        <v>-2</v>
      </c>
      <c r="E624" s="18" t="s">
        <v>125</v>
      </c>
      <c r="F624" t="s">
        <v>721</v>
      </c>
    </row>
    <row r="625" spans="1:5">
      <c r="A625" s="265">
        <v>45791</v>
      </c>
      <c r="B625" s="93" t="s">
        <v>121</v>
      </c>
      <c r="C625" s="43" t="s">
        <v>119</v>
      </c>
      <c r="D625" s="43">
        <v>-30</v>
      </c>
      <c r="E625" s="18" t="s">
        <v>125</v>
      </c>
    </row>
    <row r="626" spans="1:5">
      <c r="A626" s="265">
        <v>45791</v>
      </c>
      <c r="B626" s="93" t="s">
        <v>121</v>
      </c>
      <c r="C626" s="43" t="s">
        <v>119</v>
      </c>
      <c r="D626" s="43">
        <v>-20</v>
      </c>
      <c r="E626" s="18" t="s">
        <v>125</v>
      </c>
    </row>
    <row r="627" spans="1:5">
      <c r="A627" s="265">
        <v>45791</v>
      </c>
      <c r="B627" s="93" t="s">
        <v>121</v>
      </c>
      <c r="C627" s="43" t="s">
        <v>119</v>
      </c>
      <c r="D627" s="43">
        <v>-40</v>
      </c>
      <c r="E627" s="18" t="s">
        <v>125</v>
      </c>
    </row>
    <row r="628" spans="1:5">
      <c r="A628" s="265">
        <v>45791</v>
      </c>
      <c r="B628" s="93" t="s">
        <v>76</v>
      </c>
      <c r="C628" s="43" t="s">
        <v>119</v>
      </c>
      <c r="D628" s="43">
        <v>-32</v>
      </c>
      <c r="E628" s="18" t="s">
        <v>125</v>
      </c>
    </row>
    <row r="629" spans="1:5">
      <c r="A629" s="265">
        <v>45791</v>
      </c>
      <c r="B629" s="93" t="s">
        <v>266</v>
      </c>
      <c r="C629" s="43" t="s">
        <v>119</v>
      </c>
      <c r="D629" s="43">
        <v>-2</v>
      </c>
      <c r="E629" s="18" t="s">
        <v>125</v>
      </c>
    </row>
    <row r="630" spans="1:5">
      <c r="A630" s="265">
        <v>45791</v>
      </c>
      <c r="B630" s="93" t="s">
        <v>366</v>
      </c>
      <c r="C630" s="43" t="s">
        <v>119</v>
      </c>
      <c r="D630" s="43">
        <v>-2</v>
      </c>
      <c r="E630" s="18" t="s">
        <v>125</v>
      </c>
    </row>
    <row r="632" spans="1:5">
      <c r="A632" s="265">
        <v>45792</v>
      </c>
      <c r="B632" s="93" t="s">
        <v>375</v>
      </c>
      <c r="C632" s="43" t="s">
        <v>119</v>
      </c>
      <c r="D632" s="43">
        <v>-8</v>
      </c>
      <c r="E632" s="18" t="s">
        <v>125</v>
      </c>
    </row>
    <row r="633" spans="1:5">
      <c r="A633" s="265">
        <v>45792</v>
      </c>
      <c r="B633" s="93" t="s">
        <v>266</v>
      </c>
      <c r="C633" s="43" t="s">
        <v>119</v>
      </c>
      <c r="D633" s="43">
        <v>-2</v>
      </c>
      <c r="E633" s="18" t="s">
        <v>125</v>
      </c>
    </row>
    <row r="634" spans="1:5">
      <c r="A634" s="265">
        <v>45792</v>
      </c>
      <c r="B634" s="92" t="s">
        <v>84</v>
      </c>
      <c r="C634" s="43" t="s">
        <v>119</v>
      </c>
      <c r="D634" s="33">
        <v>-16</v>
      </c>
      <c r="E634" s="18" t="s">
        <v>125</v>
      </c>
    </row>
    <row r="635" spans="1:5">
      <c r="A635" s="259">
        <v>45785</v>
      </c>
      <c r="B635" s="260" t="s">
        <v>641</v>
      </c>
      <c r="C635" s="261" t="s">
        <v>635</v>
      </c>
      <c r="D635" s="261">
        <v>5</v>
      </c>
      <c r="E635" s="263" t="s">
        <v>125</v>
      </c>
    </row>
    <row r="636" spans="1:5">
      <c r="A636" s="259">
        <v>45785</v>
      </c>
      <c r="B636" s="260" t="s">
        <v>642</v>
      </c>
      <c r="C636" s="261" t="s">
        <v>635</v>
      </c>
      <c r="D636" s="261">
        <v>5</v>
      </c>
      <c r="E636" s="263" t="s">
        <v>125</v>
      </c>
    </row>
    <row r="637" spans="1:5">
      <c r="A637" s="259">
        <v>45785</v>
      </c>
      <c r="B637" s="266" t="s">
        <v>477</v>
      </c>
      <c r="C637" s="261" t="s">
        <v>635</v>
      </c>
      <c r="D637" s="261">
        <v>5</v>
      </c>
      <c r="E637" s="263" t="s">
        <v>125</v>
      </c>
    </row>
    <row r="639" spans="1:5">
      <c r="A639" s="265">
        <v>45793</v>
      </c>
      <c r="B639" s="93" t="s">
        <v>482</v>
      </c>
      <c r="C639" s="267" t="s">
        <v>119</v>
      </c>
      <c r="D639" s="43">
        <v>-700</v>
      </c>
      <c r="E639" s="268" t="s">
        <v>125</v>
      </c>
    </row>
    <row r="640" spans="1:5">
      <c r="A640" s="265">
        <v>45793</v>
      </c>
      <c r="B640" s="93" t="s">
        <v>121</v>
      </c>
      <c r="C640" s="267" t="s">
        <v>119</v>
      </c>
      <c r="D640" s="43">
        <v>-20</v>
      </c>
      <c r="E640" s="268" t="s">
        <v>125</v>
      </c>
    </row>
    <row r="642" spans="1:6">
      <c r="A642" s="265">
        <v>45794</v>
      </c>
      <c r="B642" s="92" t="s">
        <v>642</v>
      </c>
      <c r="C642" s="43" t="s">
        <v>119</v>
      </c>
      <c r="D642" s="43">
        <v>-5</v>
      </c>
      <c r="E642" s="18" t="s">
        <v>125</v>
      </c>
    </row>
    <row r="643" spans="1:6">
      <c r="A643" s="265">
        <v>45794</v>
      </c>
      <c r="B643" s="93" t="s">
        <v>121</v>
      </c>
      <c r="C643" s="267" t="s">
        <v>119</v>
      </c>
      <c r="D643" s="43">
        <v>-25</v>
      </c>
      <c r="E643" s="18" t="s">
        <v>125</v>
      </c>
    </row>
    <row r="644" spans="1:6">
      <c r="A644" s="265">
        <v>45794</v>
      </c>
      <c r="B644" s="185" t="s">
        <v>634</v>
      </c>
      <c r="C644" s="267" t="s">
        <v>119</v>
      </c>
      <c r="D644" s="43">
        <v>-250</v>
      </c>
      <c r="E644" s="18" t="s">
        <v>125</v>
      </c>
    </row>
    <row r="645" spans="1:6">
      <c r="A645" s="265">
        <v>45794</v>
      </c>
      <c r="B645" s="92" t="s">
        <v>82</v>
      </c>
      <c r="C645" s="267" t="s">
        <v>119</v>
      </c>
      <c r="D645" s="43"/>
      <c r="E645" s="18" t="s">
        <v>125</v>
      </c>
      <c r="F645" t="s">
        <v>720</v>
      </c>
    </row>
    <row r="647" spans="1:6">
      <c r="A647" s="265">
        <v>45796</v>
      </c>
      <c r="B647" s="93" t="s">
        <v>121</v>
      </c>
      <c r="C647" s="267" t="s">
        <v>119</v>
      </c>
      <c r="D647" s="43">
        <v>-20</v>
      </c>
      <c r="E647" s="18" t="s">
        <v>125</v>
      </c>
    </row>
    <row r="648" spans="1:6">
      <c r="A648" s="265">
        <v>45796</v>
      </c>
      <c r="B648" s="93" t="s">
        <v>641</v>
      </c>
      <c r="C648" s="267" t="s">
        <v>119</v>
      </c>
      <c r="D648" s="43">
        <v>-5</v>
      </c>
      <c r="E648" s="18" t="s">
        <v>125</v>
      </c>
    </row>
    <row r="649" spans="1:6">
      <c r="A649" s="265">
        <v>45796</v>
      </c>
      <c r="B649" s="93" t="s">
        <v>266</v>
      </c>
      <c r="C649" s="43" t="s">
        <v>119</v>
      </c>
      <c r="D649" s="43">
        <v>-2</v>
      </c>
      <c r="E649" s="18" t="s">
        <v>125</v>
      </c>
    </row>
    <row r="650" spans="1:6">
      <c r="A650" s="265">
        <v>45796</v>
      </c>
      <c r="B650" s="93" t="s">
        <v>366</v>
      </c>
      <c r="C650" s="43" t="s">
        <v>119</v>
      </c>
      <c r="D650" s="43">
        <v>-2</v>
      </c>
      <c r="E650" s="18" t="s">
        <v>125</v>
      </c>
    </row>
    <row r="652" spans="1:6">
      <c r="A652" s="265">
        <v>45797</v>
      </c>
      <c r="B652" s="93" t="s">
        <v>366</v>
      </c>
      <c r="C652" s="43" t="s">
        <v>119</v>
      </c>
      <c r="D652" s="43">
        <v>-2</v>
      </c>
      <c r="E652" s="18" t="s">
        <v>125</v>
      </c>
    </row>
    <row r="653" spans="1:6">
      <c r="A653" s="265">
        <v>45797</v>
      </c>
      <c r="B653" s="93" t="s">
        <v>121</v>
      </c>
      <c r="C653" s="267" t="s">
        <v>119</v>
      </c>
      <c r="D653" s="43">
        <v>-20</v>
      </c>
      <c r="E653" s="18" t="s">
        <v>125</v>
      </c>
    </row>
    <row r="655" spans="1:6">
      <c r="A655" s="265">
        <v>45798</v>
      </c>
      <c r="B655" s="84" t="s">
        <v>619</v>
      </c>
      <c r="C655" s="267" t="s">
        <v>119</v>
      </c>
      <c r="D655" s="43">
        <v>-108</v>
      </c>
      <c r="E655" s="18" t="s">
        <v>125</v>
      </c>
    </row>
    <row r="657" spans="1:5">
      <c r="A657" s="265">
        <v>45799</v>
      </c>
      <c r="B657" s="93" t="s">
        <v>266</v>
      </c>
      <c r="C657" s="43" t="s">
        <v>119</v>
      </c>
      <c r="D657" s="43">
        <v>-5</v>
      </c>
      <c r="E657" s="18" t="s">
        <v>125</v>
      </c>
    </row>
    <row r="658" spans="1:5">
      <c r="A658" s="265">
        <v>45799</v>
      </c>
      <c r="B658" s="93" t="s">
        <v>366</v>
      </c>
      <c r="C658" s="43" t="s">
        <v>119</v>
      </c>
      <c r="D658" s="43">
        <v>-3</v>
      </c>
      <c r="E658" s="18" t="s">
        <v>125</v>
      </c>
    </row>
    <row r="659" spans="1:5">
      <c r="A659" s="265">
        <v>45799</v>
      </c>
      <c r="B659" s="93" t="s">
        <v>266</v>
      </c>
      <c r="C659" s="43" t="s">
        <v>119</v>
      </c>
      <c r="D659" s="43">
        <v>-1</v>
      </c>
      <c r="E659" s="18" t="s">
        <v>125</v>
      </c>
    </row>
    <row r="660" spans="1:5">
      <c r="A660" s="265">
        <v>45799</v>
      </c>
      <c r="B660" s="93" t="s">
        <v>266</v>
      </c>
      <c r="C660" s="43" t="s">
        <v>119</v>
      </c>
      <c r="D660" s="43">
        <v>-2</v>
      </c>
      <c r="E660" s="18" t="s">
        <v>125</v>
      </c>
    </row>
    <row r="661" spans="1:5">
      <c r="A661" s="265">
        <v>45799</v>
      </c>
      <c r="B661" s="93" t="s">
        <v>266</v>
      </c>
      <c r="C661" s="43" t="s">
        <v>119</v>
      </c>
      <c r="D661" s="43">
        <v>-1</v>
      </c>
      <c r="E661" s="18" t="s">
        <v>125</v>
      </c>
    </row>
    <row r="663" spans="1:5">
      <c r="A663" s="214">
        <v>45800</v>
      </c>
      <c r="B663" s="236" t="s">
        <v>134</v>
      </c>
      <c r="C663" s="235" t="s">
        <v>275</v>
      </c>
      <c r="D663" s="235">
        <v>3</v>
      </c>
      <c r="E663" s="217" t="s">
        <v>125</v>
      </c>
    </row>
    <row r="666" spans="1:5">
      <c r="A666" s="272">
        <v>45796</v>
      </c>
      <c r="B666" s="139" t="s">
        <v>375</v>
      </c>
      <c r="C666" s="106" t="s">
        <v>49</v>
      </c>
      <c r="D666" s="106">
        <v>31</v>
      </c>
      <c r="E666" s="94" t="s">
        <v>125</v>
      </c>
    </row>
    <row r="667" spans="1:5">
      <c r="A667" s="272">
        <v>45796</v>
      </c>
      <c r="B667" s="128" t="s">
        <v>670</v>
      </c>
      <c r="C667" s="106" t="s">
        <v>49</v>
      </c>
      <c r="D667" s="106">
        <v>2</v>
      </c>
      <c r="E667" s="94" t="s">
        <v>125</v>
      </c>
    </row>
    <row r="668" spans="1:5">
      <c r="A668" s="272">
        <v>45796</v>
      </c>
      <c r="B668" s="128" t="s">
        <v>671</v>
      </c>
      <c r="C668" s="106" t="s">
        <v>49</v>
      </c>
      <c r="D668" s="106">
        <v>4</v>
      </c>
      <c r="E668" s="94" t="s">
        <v>125</v>
      </c>
    </row>
    <row r="669" spans="1:5">
      <c r="A669" s="272">
        <v>45796</v>
      </c>
      <c r="B669" s="128" t="s">
        <v>672</v>
      </c>
      <c r="C669" s="106" t="s">
        <v>49</v>
      </c>
      <c r="D669" s="106">
        <v>1</v>
      </c>
      <c r="E669" s="94" t="s">
        <v>125</v>
      </c>
    </row>
    <row r="670" spans="1:5">
      <c r="A670" s="272">
        <v>45796</v>
      </c>
      <c r="B670" s="234" t="s">
        <v>498</v>
      </c>
      <c r="C670" s="106" t="s">
        <v>49</v>
      </c>
      <c r="D670" s="106">
        <v>12</v>
      </c>
      <c r="E670" s="94" t="s">
        <v>125</v>
      </c>
    </row>
    <row r="671" spans="1:5">
      <c r="A671" s="272">
        <v>45796</v>
      </c>
      <c r="B671" s="234" t="s">
        <v>497</v>
      </c>
      <c r="C671" s="106" t="s">
        <v>49</v>
      </c>
      <c r="D671" s="106">
        <v>10</v>
      </c>
      <c r="E671" s="94" t="s">
        <v>125</v>
      </c>
    </row>
    <row r="672" spans="1:5">
      <c r="A672" s="272">
        <v>45796</v>
      </c>
      <c r="B672" s="139" t="s">
        <v>303</v>
      </c>
      <c r="C672" s="106" t="s">
        <v>49</v>
      </c>
      <c r="D672" s="106">
        <v>3</v>
      </c>
      <c r="E672" s="94" t="s">
        <v>125</v>
      </c>
    </row>
    <row r="673" spans="1:6">
      <c r="A673" s="272">
        <v>45796</v>
      </c>
      <c r="B673" s="128" t="s">
        <v>662</v>
      </c>
      <c r="C673" s="106" t="s">
        <v>49</v>
      </c>
      <c r="D673" s="106">
        <v>3</v>
      </c>
      <c r="E673" s="94" t="s">
        <v>125</v>
      </c>
    </row>
    <row r="674" spans="1:6">
      <c r="A674" s="272">
        <v>45796</v>
      </c>
      <c r="B674" s="128" t="s">
        <v>662</v>
      </c>
      <c r="C674" s="106" t="s">
        <v>49</v>
      </c>
      <c r="D674" s="106">
        <v>3</v>
      </c>
      <c r="E674" s="94" t="s">
        <v>125</v>
      </c>
    </row>
    <row r="675" spans="1:6">
      <c r="A675" s="272">
        <v>45796</v>
      </c>
      <c r="B675" s="139" t="s">
        <v>375</v>
      </c>
      <c r="C675" s="106" t="s">
        <v>49</v>
      </c>
      <c r="D675" s="106">
        <v>4</v>
      </c>
      <c r="E675" s="94" t="s">
        <v>125</v>
      </c>
      <c r="F675" t="s">
        <v>684</v>
      </c>
    </row>
    <row r="676" spans="1:6">
      <c r="A676" s="272">
        <v>45796</v>
      </c>
      <c r="B676" s="139" t="s">
        <v>673</v>
      </c>
      <c r="C676" s="106" t="s">
        <v>49</v>
      </c>
      <c r="D676" s="106">
        <v>2</v>
      </c>
      <c r="E676" s="94" t="s">
        <v>125</v>
      </c>
    </row>
    <row r="677" spans="1:6">
      <c r="A677" s="272">
        <v>45796</v>
      </c>
      <c r="B677" s="128" t="s">
        <v>662</v>
      </c>
      <c r="C677" s="106" t="s">
        <v>49</v>
      </c>
      <c r="D677" s="106">
        <v>1</v>
      </c>
      <c r="E677" s="94" t="s">
        <v>125</v>
      </c>
    </row>
    <row r="678" spans="1:6">
      <c r="A678" s="272">
        <v>45796</v>
      </c>
      <c r="B678" s="128" t="s">
        <v>671</v>
      </c>
      <c r="C678" s="106" t="s">
        <v>49</v>
      </c>
      <c r="D678" s="106">
        <v>4</v>
      </c>
      <c r="E678" s="94" t="s">
        <v>125</v>
      </c>
    </row>
    <row r="679" spans="1:6">
      <c r="A679" s="272">
        <v>45796</v>
      </c>
      <c r="B679" s="128" t="s">
        <v>662</v>
      </c>
      <c r="C679" s="106" t="s">
        <v>49</v>
      </c>
      <c r="D679" s="106">
        <v>2</v>
      </c>
      <c r="E679" s="94" t="s">
        <v>125</v>
      </c>
    </row>
    <row r="680" spans="1:6">
      <c r="A680" s="272">
        <v>45796</v>
      </c>
      <c r="B680" s="128" t="s">
        <v>662</v>
      </c>
      <c r="C680" s="106" t="s">
        <v>49</v>
      </c>
      <c r="D680" s="106">
        <v>2</v>
      </c>
      <c r="E680" s="94" t="s">
        <v>125</v>
      </c>
    </row>
    <row r="681" spans="1:6">
      <c r="A681" s="272">
        <v>45796</v>
      </c>
      <c r="B681" s="128" t="s">
        <v>662</v>
      </c>
      <c r="C681" s="106" t="s">
        <v>49</v>
      </c>
      <c r="D681" s="106">
        <v>50</v>
      </c>
      <c r="E681" s="94" t="s">
        <v>125</v>
      </c>
    </row>
    <row r="682" spans="1:6">
      <c r="A682" s="272">
        <v>45796</v>
      </c>
      <c r="B682" s="128" t="s">
        <v>642</v>
      </c>
      <c r="C682" s="106" t="s">
        <v>49</v>
      </c>
      <c r="D682" s="106">
        <v>5</v>
      </c>
      <c r="E682" s="94" t="s">
        <v>125</v>
      </c>
    </row>
    <row r="683" spans="1:6">
      <c r="A683" s="272">
        <v>45796</v>
      </c>
      <c r="B683" s="128" t="s">
        <v>642</v>
      </c>
      <c r="C683" s="106" t="s">
        <v>49</v>
      </c>
      <c r="D683" s="106">
        <v>5</v>
      </c>
      <c r="E683" s="94" t="s">
        <v>125</v>
      </c>
    </row>
    <row r="684" spans="1:6">
      <c r="A684" s="272">
        <v>45796</v>
      </c>
      <c r="B684" s="128" t="s">
        <v>662</v>
      </c>
      <c r="C684" s="106" t="s">
        <v>49</v>
      </c>
      <c r="D684" s="106">
        <v>30</v>
      </c>
      <c r="E684" s="94" t="s">
        <v>125</v>
      </c>
    </row>
    <row r="686" spans="1:6">
      <c r="A686" s="265">
        <v>45801</v>
      </c>
      <c r="B686" s="93" t="s">
        <v>366</v>
      </c>
      <c r="C686" s="43" t="s">
        <v>119</v>
      </c>
      <c r="D686" s="43">
        <v>-2</v>
      </c>
      <c r="E686" s="18" t="s">
        <v>125</v>
      </c>
    </row>
    <row r="687" spans="1:6">
      <c r="A687" s="265">
        <v>45801</v>
      </c>
      <c r="B687" s="93" t="s">
        <v>366</v>
      </c>
      <c r="C687" s="43" t="s">
        <v>119</v>
      </c>
      <c r="D687" s="43">
        <v>-1</v>
      </c>
      <c r="E687" s="18" t="s">
        <v>125</v>
      </c>
    </row>
    <row r="688" spans="1:6">
      <c r="A688" s="265">
        <v>45801</v>
      </c>
      <c r="B688" s="92" t="s">
        <v>84</v>
      </c>
      <c r="C688" s="43" t="s">
        <v>119</v>
      </c>
      <c r="D688" s="43">
        <v>-25</v>
      </c>
      <c r="E688" s="18" t="s">
        <v>125</v>
      </c>
    </row>
    <row r="689" spans="1:5">
      <c r="A689" s="265">
        <v>45801</v>
      </c>
      <c r="B689" s="92" t="s">
        <v>84</v>
      </c>
      <c r="C689" s="43" t="s">
        <v>119</v>
      </c>
      <c r="D689" s="43">
        <v>-1</v>
      </c>
      <c r="E689" s="18" t="s">
        <v>125</v>
      </c>
    </row>
    <row r="690" spans="1:5">
      <c r="B690" s="108"/>
    </row>
    <row r="691" spans="1:5">
      <c r="A691" s="265">
        <v>45803</v>
      </c>
      <c r="B691" s="92" t="s">
        <v>498</v>
      </c>
      <c r="C691" s="43" t="s">
        <v>119</v>
      </c>
      <c r="D691" s="43">
        <v>-1</v>
      </c>
      <c r="E691" s="18" t="s">
        <v>125</v>
      </c>
    </row>
    <row r="692" spans="1:5">
      <c r="A692" s="265">
        <v>45803</v>
      </c>
      <c r="B692" s="93" t="s">
        <v>662</v>
      </c>
      <c r="C692" s="43" t="s">
        <v>119</v>
      </c>
      <c r="D692" s="43">
        <v>-61</v>
      </c>
      <c r="E692" s="18" t="s">
        <v>125</v>
      </c>
    </row>
    <row r="693" spans="1:5">
      <c r="A693" s="265">
        <v>45803</v>
      </c>
      <c r="B693" s="93" t="s">
        <v>642</v>
      </c>
      <c r="C693" s="43" t="s">
        <v>119</v>
      </c>
      <c r="D693" s="43">
        <v>-10</v>
      </c>
      <c r="E693" s="18" t="s">
        <v>125</v>
      </c>
    </row>
    <row r="694" spans="1:5">
      <c r="A694" s="265">
        <v>45803</v>
      </c>
      <c r="B694" s="93" t="s">
        <v>671</v>
      </c>
      <c r="C694" s="43" t="s">
        <v>119</v>
      </c>
      <c r="D694" s="43">
        <v>-5</v>
      </c>
      <c r="E694" s="18" t="s">
        <v>125</v>
      </c>
    </row>
    <row r="696" spans="1:5">
      <c r="A696" s="273">
        <v>45803</v>
      </c>
      <c r="B696" s="236" t="s">
        <v>131</v>
      </c>
      <c r="C696" s="235" t="s">
        <v>637</v>
      </c>
      <c r="D696" s="235">
        <v>1</v>
      </c>
      <c r="E696" s="217" t="s">
        <v>125</v>
      </c>
    </row>
    <row r="697" spans="1:5">
      <c r="A697" s="273">
        <v>45803</v>
      </c>
      <c r="B697" s="236" t="s">
        <v>675</v>
      </c>
      <c r="C697" s="235" t="s">
        <v>637</v>
      </c>
      <c r="D697" s="235">
        <v>1</v>
      </c>
      <c r="E697" s="217" t="s">
        <v>125</v>
      </c>
    </row>
    <row r="699" spans="1:5">
      <c r="A699" s="265">
        <v>45803</v>
      </c>
      <c r="B699" s="84" t="s">
        <v>131</v>
      </c>
      <c r="C699" s="43" t="s">
        <v>119</v>
      </c>
      <c r="D699" s="43">
        <v>-3</v>
      </c>
      <c r="E699" s="18" t="s">
        <v>125</v>
      </c>
    </row>
    <row r="700" spans="1:5">
      <c r="A700" s="265">
        <v>45803</v>
      </c>
      <c r="B700" s="84" t="s">
        <v>675</v>
      </c>
      <c r="C700" s="43" t="s">
        <v>119</v>
      </c>
      <c r="D700" s="43">
        <v>-1</v>
      </c>
      <c r="E700" s="18" t="s">
        <v>125</v>
      </c>
    </row>
    <row r="702" spans="1:5">
      <c r="A702" s="265">
        <v>45804</v>
      </c>
      <c r="B702" s="93" t="s">
        <v>408</v>
      </c>
      <c r="C702" s="43" t="s">
        <v>119</v>
      </c>
      <c r="D702" s="43">
        <v>-2</v>
      </c>
      <c r="E702" s="18" t="s">
        <v>125</v>
      </c>
    </row>
    <row r="703" spans="1:5">
      <c r="A703" s="265">
        <v>45804</v>
      </c>
      <c r="B703" s="93" t="s">
        <v>266</v>
      </c>
      <c r="C703" s="43" t="s">
        <v>119</v>
      </c>
      <c r="D703" s="43">
        <v>-2</v>
      </c>
      <c r="E703" s="18" t="s">
        <v>125</v>
      </c>
    </row>
    <row r="704" spans="1:5">
      <c r="A704" s="265">
        <v>45804</v>
      </c>
      <c r="B704" s="93" t="s">
        <v>497</v>
      </c>
      <c r="C704" s="43" t="s">
        <v>119</v>
      </c>
      <c r="D704" s="43">
        <v>-1</v>
      </c>
      <c r="E704" s="18" t="s">
        <v>125</v>
      </c>
    </row>
    <row r="706" spans="1:6">
      <c r="A706" s="265">
        <v>45806</v>
      </c>
      <c r="B706" s="93" t="s">
        <v>266</v>
      </c>
      <c r="C706" s="43" t="s">
        <v>119</v>
      </c>
      <c r="D706" s="43"/>
      <c r="E706" s="18" t="s">
        <v>125</v>
      </c>
      <c r="F706" t="s">
        <v>676</v>
      </c>
    </row>
    <row r="707" spans="1:6">
      <c r="A707" s="265">
        <v>45806</v>
      </c>
      <c r="B707" s="93" t="s">
        <v>266</v>
      </c>
      <c r="C707" s="43" t="s">
        <v>119</v>
      </c>
      <c r="D707" s="43">
        <v>-1</v>
      </c>
      <c r="E707" s="18" t="s">
        <v>125</v>
      </c>
    </row>
    <row r="708" spans="1:6">
      <c r="A708" s="265">
        <v>45806</v>
      </c>
      <c r="B708" s="92" t="s">
        <v>498</v>
      </c>
      <c r="C708" s="43" t="s">
        <v>119</v>
      </c>
      <c r="D708" s="43">
        <v>-2</v>
      </c>
      <c r="E708" s="18" t="s">
        <v>125</v>
      </c>
    </row>
    <row r="710" spans="1:6">
      <c r="A710" s="265">
        <v>45786</v>
      </c>
      <c r="B710" s="84" t="s">
        <v>513</v>
      </c>
      <c r="C710" s="43" t="s">
        <v>678</v>
      </c>
      <c r="D710" s="43">
        <v>-1</v>
      </c>
      <c r="E710" s="18" t="s">
        <v>125</v>
      </c>
    </row>
    <row r="711" spans="1:6">
      <c r="A711" s="265">
        <v>45789</v>
      </c>
      <c r="B711" s="84" t="s">
        <v>134</v>
      </c>
      <c r="C711" s="43" t="s">
        <v>678</v>
      </c>
      <c r="D711" s="43">
        <v>-2</v>
      </c>
      <c r="E711" s="18" t="s">
        <v>125</v>
      </c>
    </row>
    <row r="712" spans="1:6">
      <c r="A712" s="265">
        <v>45792</v>
      </c>
      <c r="B712" s="84" t="s">
        <v>134</v>
      </c>
      <c r="C712" s="43" t="s">
        <v>678</v>
      </c>
      <c r="D712" s="43">
        <v>-1</v>
      </c>
      <c r="E712" s="18" t="s">
        <v>125</v>
      </c>
    </row>
    <row r="713" spans="1:6">
      <c r="A713" s="265">
        <v>45794</v>
      </c>
      <c r="B713" s="84" t="s">
        <v>134</v>
      </c>
      <c r="C713" s="43" t="s">
        <v>678</v>
      </c>
      <c r="D713" s="43">
        <v>-1</v>
      </c>
      <c r="E713" s="18" t="s">
        <v>125</v>
      </c>
    </row>
    <row r="714" spans="1:6">
      <c r="A714" s="265">
        <v>45796</v>
      </c>
      <c r="B714" s="84" t="s">
        <v>513</v>
      </c>
      <c r="C714" s="43" t="s">
        <v>678</v>
      </c>
      <c r="D714" s="43">
        <v>-1</v>
      </c>
      <c r="E714" s="18" t="s">
        <v>125</v>
      </c>
    </row>
    <row r="715" spans="1:6">
      <c r="A715" s="265">
        <v>45796</v>
      </c>
      <c r="B715" s="84" t="s">
        <v>513</v>
      </c>
      <c r="C715" s="43" t="s">
        <v>678</v>
      </c>
      <c r="D715" s="43">
        <v>-1</v>
      </c>
      <c r="E715" s="18" t="s">
        <v>125</v>
      </c>
    </row>
    <row r="716" spans="1:6">
      <c r="A716" s="273">
        <v>45785</v>
      </c>
      <c r="B716" s="236" t="s">
        <v>134</v>
      </c>
      <c r="C716" s="237" t="s">
        <v>685</v>
      </c>
      <c r="D716" s="237">
        <v>2</v>
      </c>
      <c r="E716" s="217" t="s">
        <v>125</v>
      </c>
      <c r="F716" t="s">
        <v>686</v>
      </c>
    </row>
    <row r="717" spans="1:6">
      <c r="A717" s="265">
        <v>45796</v>
      </c>
      <c r="B717" s="84" t="s">
        <v>513</v>
      </c>
      <c r="C717" s="43" t="s">
        <v>678</v>
      </c>
      <c r="D717" s="43">
        <v>-1</v>
      </c>
      <c r="E717" s="18" t="s">
        <v>125</v>
      </c>
    </row>
    <row r="718" spans="1:6">
      <c r="A718" s="265">
        <v>45796</v>
      </c>
      <c r="B718" s="84" t="s">
        <v>513</v>
      </c>
      <c r="C718" s="43" t="s">
        <v>678</v>
      </c>
      <c r="D718" s="43">
        <v>-1</v>
      </c>
      <c r="E718" s="18" t="s">
        <v>125</v>
      </c>
    </row>
    <row r="719" spans="1:6">
      <c r="A719" s="265">
        <v>45797</v>
      </c>
      <c r="B719" s="84" t="s">
        <v>513</v>
      </c>
      <c r="C719" s="43" t="s">
        <v>678</v>
      </c>
      <c r="D719" s="43">
        <v>-1</v>
      </c>
      <c r="E719" s="18" t="s">
        <v>125</v>
      </c>
    </row>
    <row r="720" spans="1:6">
      <c r="A720" s="265">
        <v>45799</v>
      </c>
      <c r="B720" s="84" t="s">
        <v>134</v>
      </c>
      <c r="C720" s="43" t="s">
        <v>678</v>
      </c>
      <c r="D720" s="43">
        <v>-1</v>
      </c>
      <c r="E720" s="18" t="s">
        <v>125</v>
      </c>
    </row>
    <row r="721" spans="1:5">
      <c r="A721" s="280">
        <v>45803</v>
      </c>
      <c r="B721" s="84" t="s">
        <v>134</v>
      </c>
      <c r="C721" s="82" t="s">
        <v>678</v>
      </c>
      <c r="D721" s="82">
        <v>-1</v>
      </c>
      <c r="E721" s="76" t="s">
        <v>125</v>
      </c>
    </row>
    <row r="722" spans="1:5">
      <c r="A722" s="265">
        <v>45804</v>
      </c>
      <c r="B722" s="84" t="s">
        <v>513</v>
      </c>
      <c r="C722" s="43" t="s">
        <v>678</v>
      </c>
      <c r="D722" s="43">
        <v>-1</v>
      </c>
      <c r="E722" s="18" t="s">
        <v>125</v>
      </c>
    </row>
    <row r="723" spans="1:5">
      <c r="A723" s="265">
        <v>45806</v>
      </c>
      <c r="B723" s="84" t="s">
        <v>134</v>
      </c>
      <c r="C723" s="43" t="s">
        <v>678</v>
      </c>
      <c r="D723" s="43">
        <v>-1</v>
      </c>
      <c r="E723" s="18" t="s">
        <v>125</v>
      </c>
    </row>
    <row r="724" spans="1:5">
      <c r="A724" s="285"/>
      <c r="B724" s="44"/>
      <c r="D724" s="1"/>
    </row>
    <row r="725" spans="1:5">
      <c r="A725" s="285"/>
      <c r="D725" s="1"/>
    </row>
    <row r="726" spans="1:5">
      <c r="A726" s="285"/>
      <c r="D726" s="1"/>
    </row>
    <row r="727" spans="1:5">
      <c r="A727" s="285"/>
      <c r="D727" s="1"/>
    </row>
    <row r="728" spans="1:5">
      <c r="A728" s="281"/>
      <c r="B728" s="282"/>
      <c r="C728" s="283"/>
      <c r="D728" s="283"/>
      <c r="E728" s="284"/>
    </row>
    <row r="729" spans="1:5">
      <c r="A729" s="274">
        <v>45806</v>
      </c>
      <c r="B729" s="290" t="s">
        <v>134</v>
      </c>
      <c r="C729" s="276" t="s">
        <v>682</v>
      </c>
      <c r="D729" s="277">
        <v>5</v>
      </c>
      <c r="E729" s="278" t="s">
        <v>125</v>
      </c>
    </row>
    <row r="730" spans="1:5">
      <c r="A730" s="274">
        <v>45806</v>
      </c>
      <c r="B730" s="290" t="s">
        <v>131</v>
      </c>
      <c r="C730" s="276" t="s">
        <v>682</v>
      </c>
      <c r="D730" s="277">
        <v>8</v>
      </c>
      <c r="E730" s="278" t="s">
        <v>125</v>
      </c>
    </row>
    <row r="731" spans="1:5">
      <c r="A731" s="274">
        <v>45806</v>
      </c>
      <c r="B731" s="357" t="s">
        <v>681</v>
      </c>
      <c r="C731" s="276" t="s">
        <v>682</v>
      </c>
      <c r="D731" s="277">
        <v>11</v>
      </c>
      <c r="E731" s="278" t="s">
        <v>125</v>
      </c>
    </row>
    <row r="732" spans="1:5">
      <c r="A732" s="274">
        <v>45806</v>
      </c>
      <c r="B732" s="357" t="s">
        <v>382</v>
      </c>
      <c r="C732" s="276" t="s">
        <v>682</v>
      </c>
      <c r="D732" s="277">
        <v>11</v>
      </c>
      <c r="E732" s="278" t="s">
        <v>125</v>
      </c>
    </row>
    <row r="733" spans="1:5">
      <c r="A733" s="274">
        <v>45806</v>
      </c>
      <c r="B733" s="357" t="s">
        <v>375</v>
      </c>
      <c r="C733" s="276" t="s">
        <v>682</v>
      </c>
      <c r="D733" s="277">
        <v>7</v>
      </c>
      <c r="E733" s="278" t="s">
        <v>125</v>
      </c>
    </row>
    <row r="740" spans="1:5">
      <c r="A740" s="265">
        <v>45806</v>
      </c>
      <c r="B740" s="93" t="s">
        <v>131</v>
      </c>
      <c r="C740" s="43" t="s">
        <v>119</v>
      </c>
      <c r="D740" s="43">
        <v>-3</v>
      </c>
      <c r="E740" s="18" t="s">
        <v>125</v>
      </c>
    </row>
    <row r="741" spans="1:5">
      <c r="A741" s="265">
        <v>45806</v>
      </c>
      <c r="B741" s="93" t="s">
        <v>375</v>
      </c>
      <c r="C741" s="43" t="s">
        <v>119</v>
      </c>
      <c r="D741" s="43">
        <v>-55</v>
      </c>
      <c r="E741" s="18" t="s">
        <v>125</v>
      </c>
    </row>
    <row r="742" spans="1:5">
      <c r="A742" s="265">
        <v>45806</v>
      </c>
      <c r="B742" s="93" t="s">
        <v>382</v>
      </c>
      <c r="C742" s="43" t="s">
        <v>119</v>
      </c>
      <c r="D742" s="43">
        <v>-11</v>
      </c>
      <c r="E742" s="18" t="s">
        <v>125</v>
      </c>
    </row>
    <row r="743" spans="1:5">
      <c r="A743" s="265">
        <v>45806</v>
      </c>
      <c r="B743" s="93" t="s">
        <v>131</v>
      </c>
      <c r="C743" s="43" t="s">
        <v>119</v>
      </c>
      <c r="D743" s="43">
        <v>-5</v>
      </c>
      <c r="E743" s="18" t="s">
        <v>125</v>
      </c>
    </row>
    <row r="744" spans="1:5">
      <c r="A744" s="265">
        <v>45806</v>
      </c>
      <c r="B744" s="93" t="s">
        <v>681</v>
      </c>
      <c r="C744" s="43" t="s">
        <v>119</v>
      </c>
      <c r="D744" s="43">
        <v>-11</v>
      </c>
      <c r="E744" s="18" t="s">
        <v>125</v>
      </c>
    </row>
    <row r="745" spans="1:5">
      <c r="A745" s="265">
        <v>45806</v>
      </c>
      <c r="B745" s="93" t="s">
        <v>477</v>
      </c>
      <c r="C745" s="43" t="s">
        <v>119</v>
      </c>
      <c r="D745" s="43">
        <v>-5</v>
      </c>
      <c r="E745" s="18" t="s">
        <v>125</v>
      </c>
    </row>
    <row r="747" spans="1:5">
      <c r="A747" s="265">
        <v>45807</v>
      </c>
      <c r="B747" s="92" t="s">
        <v>498</v>
      </c>
      <c r="C747" s="43" t="s">
        <v>119</v>
      </c>
      <c r="D747" s="43">
        <v>-2</v>
      </c>
      <c r="E747" s="18" t="s">
        <v>125</v>
      </c>
    </row>
    <row r="748" spans="1:5">
      <c r="A748" s="265">
        <v>45807</v>
      </c>
      <c r="B748" s="93" t="s">
        <v>671</v>
      </c>
      <c r="C748" s="43" t="s">
        <v>119</v>
      </c>
      <c r="D748" s="43">
        <v>-3</v>
      </c>
      <c r="E748" s="18" t="s">
        <v>125</v>
      </c>
    </row>
    <row r="750" spans="1:5">
      <c r="A750" s="265">
        <v>45810</v>
      </c>
      <c r="B750" s="93" t="s">
        <v>266</v>
      </c>
      <c r="C750" s="43" t="s">
        <v>119</v>
      </c>
      <c r="D750" s="43">
        <v>-2</v>
      </c>
      <c r="E750" s="18" t="s">
        <v>125</v>
      </c>
    </row>
    <row r="751" spans="1:5">
      <c r="A751" s="265">
        <v>45810</v>
      </c>
      <c r="B751" s="92" t="s">
        <v>672</v>
      </c>
      <c r="C751" s="43" t="s">
        <v>119</v>
      </c>
      <c r="D751" s="43">
        <v>-1</v>
      </c>
      <c r="E751" s="18" t="s">
        <v>125</v>
      </c>
    </row>
    <row r="752" spans="1:5">
      <c r="C752" s="43"/>
    </row>
    <row r="754" spans="1:6">
      <c r="A754" s="286">
        <v>45811</v>
      </c>
      <c r="B754" s="287" t="s">
        <v>76</v>
      </c>
      <c r="C754" s="288" t="s">
        <v>635</v>
      </c>
      <c r="D754" s="288">
        <v>200</v>
      </c>
      <c r="E754" s="289" t="s">
        <v>125</v>
      </c>
    </row>
    <row r="755" spans="1:6">
      <c r="A755" s="286">
        <v>45811</v>
      </c>
      <c r="B755" s="287" t="s">
        <v>121</v>
      </c>
      <c r="C755" s="288" t="s">
        <v>635</v>
      </c>
      <c r="D755" s="288">
        <v>100</v>
      </c>
      <c r="E755" s="289" t="s">
        <v>125</v>
      </c>
    </row>
    <row r="756" spans="1:6">
      <c r="A756" s="286">
        <v>45811</v>
      </c>
      <c r="B756" s="287" t="s">
        <v>671</v>
      </c>
      <c r="C756" s="288" t="s">
        <v>635</v>
      </c>
      <c r="D756" s="288">
        <v>20</v>
      </c>
      <c r="E756" s="289" t="s">
        <v>125</v>
      </c>
    </row>
    <row r="757" spans="1:6">
      <c r="A757" s="272">
        <v>45811</v>
      </c>
      <c r="B757" s="139" t="s">
        <v>662</v>
      </c>
      <c r="C757" s="106" t="s">
        <v>49</v>
      </c>
      <c r="D757" s="106"/>
      <c r="E757" s="94" t="s">
        <v>125</v>
      </c>
      <c r="F757" s="326" t="s">
        <v>862</v>
      </c>
    </row>
    <row r="759" spans="1:6">
      <c r="A759" s="265">
        <v>45811</v>
      </c>
      <c r="B759" s="93" t="s">
        <v>266</v>
      </c>
      <c r="C759" s="43" t="s">
        <v>119</v>
      </c>
      <c r="D759" s="43">
        <v>-2</v>
      </c>
      <c r="E759" s="268" t="s">
        <v>125</v>
      </c>
    </row>
    <row r="760" spans="1:6">
      <c r="A760" s="265">
        <v>45811</v>
      </c>
      <c r="B760" s="93" t="s">
        <v>76</v>
      </c>
      <c r="C760" s="43" t="s">
        <v>119</v>
      </c>
      <c r="D760" s="43">
        <v>-10</v>
      </c>
      <c r="E760" s="268" t="s">
        <v>125</v>
      </c>
    </row>
    <row r="761" spans="1:6">
      <c r="A761" s="265">
        <v>45811</v>
      </c>
      <c r="B761" s="92" t="s">
        <v>498</v>
      </c>
      <c r="C761" s="43" t="s">
        <v>119</v>
      </c>
      <c r="D761" s="43">
        <v>-1</v>
      </c>
      <c r="E761" s="268" t="s">
        <v>125</v>
      </c>
    </row>
    <row r="762" spans="1:6">
      <c r="A762" s="265">
        <v>45811</v>
      </c>
      <c r="B762" s="93" t="s">
        <v>303</v>
      </c>
      <c r="C762" s="43" t="s">
        <v>119</v>
      </c>
      <c r="D762" s="43">
        <v>-3</v>
      </c>
      <c r="E762" s="268" t="s">
        <v>125</v>
      </c>
    </row>
    <row r="763" spans="1:6">
      <c r="A763" s="265">
        <v>45811</v>
      </c>
      <c r="B763" s="93" t="s">
        <v>581</v>
      </c>
      <c r="C763" s="43" t="s">
        <v>119</v>
      </c>
      <c r="D763" s="43">
        <v>-1</v>
      </c>
      <c r="E763" s="268" t="s">
        <v>125</v>
      </c>
    </row>
    <row r="764" spans="1:6">
      <c r="A764" s="265">
        <v>45811</v>
      </c>
      <c r="B764" s="93" t="s">
        <v>121</v>
      </c>
      <c r="C764" s="43" t="s">
        <v>119</v>
      </c>
      <c r="D764" s="43">
        <v>-25</v>
      </c>
      <c r="E764" s="268" t="s">
        <v>125</v>
      </c>
    </row>
    <row r="765" spans="1:6">
      <c r="A765" s="265">
        <v>45811</v>
      </c>
      <c r="B765" s="93" t="s">
        <v>76</v>
      </c>
      <c r="C765" s="43" t="s">
        <v>119</v>
      </c>
      <c r="D765" s="43">
        <v>-10</v>
      </c>
      <c r="E765" s="268" t="s">
        <v>125</v>
      </c>
    </row>
    <row r="766" spans="1:6">
      <c r="A766" s="265">
        <v>45811</v>
      </c>
      <c r="B766" s="93" t="s">
        <v>121</v>
      </c>
      <c r="C766" s="43" t="s">
        <v>119</v>
      </c>
      <c r="D766" s="43">
        <v>-30</v>
      </c>
      <c r="E766" s="268" t="s">
        <v>125</v>
      </c>
    </row>
    <row r="768" spans="1:6">
      <c r="A768" s="265">
        <v>45812</v>
      </c>
      <c r="B768" s="93" t="s">
        <v>76</v>
      </c>
      <c r="C768" s="43" t="s">
        <v>119</v>
      </c>
      <c r="D768" s="43">
        <v>-20</v>
      </c>
      <c r="E768" s="268" t="s">
        <v>125</v>
      </c>
    </row>
    <row r="769" spans="1:5">
      <c r="A769" s="265">
        <v>45812</v>
      </c>
      <c r="B769" s="93" t="s">
        <v>76</v>
      </c>
      <c r="C769" s="43" t="s">
        <v>119</v>
      </c>
      <c r="D769" s="43">
        <v>-10</v>
      </c>
      <c r="E769" s="268" t="s">
        <v>125</v>
      </c>
    </row>
    <row r="770" spans="1:5">
      <c r="A770" s="265">
        <v>45812</v>
      </c>
      <c r="B770" s="93" t="s">
        <v>121</v>
      </c>
      <c r="C770" s="43" t="s">
        <v>119</v>
      </c>
      <c r="D770" s="43">
        <v>-20</v>
      </c>
      <c r="E770" s="268" t="s">
        <v>125</v>
      </c>
    </row>
    <row r="771" spans="1:5">
      <c r="A771" s="265">
        <v>45812</v>
      </c>
      <c r="B771" s="93" t="s">
        <v>121</v>
      </c>
      <c r="C771" s="43" t="s">
        <v>119</v>
      </c>
      <c r="D771" s="43">
        <v>-10</v>
      </c>
      <c r="E771" s="268" t="s">
        <v>125</v>
      </c>
    </row>
    <row r="772" spans="1:5">
      <c r="A772" s="265">
        <v>45812</v>
      </c>
      <c r="B772" s="93" t="s">
        <v>497</v>
      </c>
      <c r="C772" s="43" t="s">
        <v>119</v>
      </c>
      <c r="D772" s="43">
        <v>-1</v>
      </c>
      <c r="E772" s="268" t="s">
        <v>125</v>
      </c>
    </row>
    <row r="773" spans="1:5">
      <c r="A773" s="265">
        <v>45812</v>
      </c>
      <c r="B773" s="93" t="s">
        <v>121</v>
      </c>
      <c r="C773" s="43" t="s">
        <v>119</v>
      </c>
      <c r="D773" s="43">
        <v>-10</v>
      </c>
      <c r="E773" s="268" t="s">
        <v>125</v>
      </c>
    </row>
    <row r="774" spans="1:5">
      <c r="A774" s="265">
        <v>45812</v>
      </c>
      <c r="B774" s="93" t="s">
        <v>266</v>
      </c>
      <c r="C774" s="43" t="s">
        <v>119</v>
      </c>
      <c r="D774" s="43">
        <v>-2</v>
      </c>
      <c r="E774" s="268" t="s">
        <v>125</v>
      </c>
    </row>
    <row r="775" spans="1:5">
      <c r="A775" s="265">
        <v>45812</v>
      </c>
      <c r="B775" s="93" t="s">
        <v>76</v>
      </c>
      <c r="C775" s="43" t="s">
        <v>119</v>
      </c>
      <c r="D775" s="43">
        <v>-10</v>
      </c>
      <c r="E775" s="268" t="s">
        <v>125</v>
      </c>
    </row>
    <row r="776" spans="1:5">
      <c r="A776" s="265">
        <v>45812</v>
      </c>
      <c r="B776" s="93" t="s">
        <v>76</v>
      </c>
      <c r="C776" s="43" t="s">
        <v>119</v>
      </c>
      <c r="D776" s="43">
        <v>-40</v>
      </c>
      <c r="E776" s="268" t="s">
        <v>125</v>
      </c>
    </row>
    <row r="777" spans="1:5">
      <c r="A777" s="265">
        <v>45812</v>
      </c>
      <c r="B777" s="93" t="s">
        <v>671</v>
      </c>
      <c r="C777" s="43" t="s">
        <v>119</v>
      </c>
      <c r="D777" s="43">
        <v>-5</v>
      </c>
      <c r="E777" s="268" t="s">
        <v>125</v>
      </c>
    </row>
    <row r="778" spans="1:5">
      <c r="A778" s="265">
        <v>45812</v>
      </c>
      <c r="B778" s="93" t="s">
        <v>76</v>
      </c>
      <c r="C778" s="43" t="s">
        <v>119</v>
      </c>
      <c r="D778" s="43">
        <v>-100</v>
      </c>
      <c r="E778" s="268" t="s">
        <v>125</v>
      </c>
    </row>
    <row r="780" spans="1:5">
      <c r="A780" s="265">
        <v>45813</v>
      </c>
      <c r="B780" s="92" t="s">
        <v>82</v>
      </c>
      <c r="C780" s="43" t="s">
        <v>119</v>
      </c>
      <c r="D780" s="43">
        <v>-4</v>
      </c>
      <c r="E780" s="268" t="s">
        <v>125</v>
      </c>
    </row>
    <row r="781" spans="1:5">
      <c r="A781" s="265">
        <v>45813</v>
      </c>
      <c r="B781" s="93" t="s">
        <v>671</v>
      </c>
      <c r="C781" s="43" t="s">
        <v>119</v>
      </c>
      <c r="D781" s="43">
        <v>-5</v>
      </c>
      <c r="E781" s="18" t="s">
        <v>125</v>
      </c>
    </row>
    <row r="783" spans="1:5">
      <c r="A783" s="265">
        <v>45818</v>
      </c>
      <c r="B783" s="93" t="s">
        <v>121</v>
      </c>
      <c r="C783" s="43" t="s">
        <v>119</v>
      </c>
      <c r="D783" s="43">
        <v>-5</v>
      </c>
      <c r="E783" s="18" t="s">
        <v>125</v>
      </c>
    </row>
    <row r="784" spans="1:5">
      <c r="A784" s="265">
        <v>45818</v>
      </c>
      <c r="B784" s="93" t="s">
        <v>266</v>
      </c>
      <c r="C784" s="43" t="s">
        <v>119</v>
      </c>
      <c r="D784" s="43">
        <v>-4</v>
      </c>
      <c r="E784" s="18" t="s">
        <v>125</v>
      </c>
    </row>
    <row r="785" spans="1:5">
      <c r="A785" s="274">
        <v>45787</v>
      </c>
      <c r="B785" s="290" t="s">
        <v>410</v>
      </c>
      <c r="C785" s="276" t="s">
        <v>682</v>
      </c>
      <c r="D785" s="276">
        <v>76</v>
      </c>
      <c r="E785" s="278" t="s">
        <v>125</v>
      </c>
    </row>
    <row r="786" spans="1:5">
      <c r="A786" s="265">
        <v>45818</v>
      </c>
      <c r="B786" s="93" t="s">
        <v>410</v>
      </c>
      <c r="C786" s="43" t="s">
        <v>119</v>
      </c>
      <c r="D786" s="43">
        <v>-76</v>
      </c>
      <c r="E786" s="18" t="s">
        <v>125</v>
      </c>
    </row>
    <row r="788" spans="1:5">
      <c r="A788" s="286">
        <v>45819</v>
      </c>
      <c r="B788" s="287" t="s">
        <v>76</v>
      </c>
      <c r="C788" s="288" t="s">
        <v>635</v>
      </c>
      <c r="D788" s="292">
        <v>300</v>
      </c>
      <c r="E788" s="294" t="s">
        <v>125</v>
      </c>
    </row>
    <row r="789" spans="1:5">
      <c r="A789" s="286">
        <v>45819</v>
      </c>
      <c r="B789" s="291" t="s">
        <v>634</v>
      </c>
      <c r="C789" s="292" t="s">
        <v>635</v>
      </c>
      <c r="D789" s="293">
        <v>250</v>
      </c>
      <c r="E789" s="294" t="s">
        <v>125</v>
      </c>
    </row>
    <row r="791" spans="1:5">
      <c r="A791" s="273">
        <v>45819</v>
      </c>
      <c r="B791" s="236" t="s">
        <v>134</v>
      </c>
      <c r="C791" s="235" t="s">
        <v>730</v>
      </c>
      <c r="D791" s="235">
        <v>3</v>
      </c>
      <c r="E791" s="217" t="s">
        <v>125</v>
      </c>
    </row>
    <row r="792" spans="1:5">
      <c r="A792" s="273">
        <v>45819</v>
      </c>
      <c r="B792" s="248" t="s">
        <v>167</v>
      </c>
      <c r="C792" s="235" t="s">
        <v>731</v>
      </c>
      <c r="D792" s="235">
        <v>4</v>
      </c>
      <c r="E792" s="217" t="s">
        <v>125</v>
      </c>
    </row>
    <row r="794" spans="1:5">
      <c r="A794" s="265">
        <v>45819</v>
      </c>
      <c r="B794" s="93" t="s">
        <v>76</v>
      </c>
      <c r="C794" s="43" t="s">
        <v>119</v>
      </c>
      <c r="D794" s="43">
        <v>-10</v>
      </c>
      <c r="E794" s="18" t="s">
        <v>125</v>
      </c>
    </row>
    <row r="795" spans="1:5">
      <c r="A795" s="265">
        <v>45819</v>
      </c>
      <c r="B795" s="93" t="s">
        <v>76</v>
      </c>
      <c r="C795" s="43" t="s">
        <v>119</v>
      </c>
      <c r="D795" s="43">
        <v>-2</v>
      </c>
      <c r="E795" s="18" t="s">
        <v>125</v>
      </c>
    </row>
    <row r="796" spans="1:5">
      <c r="A796" s="265">
        <v>45819</v>
      </c>
      <c r="B796" s="93" t="s">
        <v>671</v>
      </c>
      <c r="C796" s="43" t="s">
        <v>119</v>
      </c>
      <c r="D796" s="43">
        <v>-5</v>
      </c>
      <c r="E796" s="18" t="s">
        <v>125</v>
      </c>
    </row>
    <row r="797" spans="1:5">
      <c r="A797" s="265">
        <v>45819</v>
      </c>
      <c r="B797" s="93" t="s">
        <v>671</v>
      </c>
      <c r="C797" s="43" t="s">
        <v>119</v>
      </c>
      <c r="D797" s="43">
        <v>-5</v>
      </c>
      <c r="E797" s="18" t="s">
        <v>125</v>
      </c>
    </row>
    <row r="798" spans="1:5">
      <c r="A798" s="265">
        <v>45819</v>
      </c>
      <c r="B798" s="93" t="s">
        <v>497</v>
      </c>
      <c r="C798" s="43" t="s">
        <v>119</v>
      </c>
      <c r="D798" s="43">
        <v>-1</v>
      </c>
      <c r="E798" s="18" t="s">
        <v>125</v>
      </c>
    </row>
    <row r="799" spans="1:5">
      <c r="A799" s="265">
        <v>45819</v>
      </c>
      <c r="B799" s="93" t="s">
        <v>76</v>
      </c>
      <c r="C799" s="43" t="s">
        <v>119</v>
      </c>
      <c r="D799" s="43">
        <v>-56</v>
      </c>
      <c r="E799" s="18" t="s">
        <v>125</v>
      </c>
    </row>
    <row r="800" spans="1:5">
      <c r="A800" s="265">
        <v>45819</v>
      </c>
      <c r="B800" s="93" t="s">
        <v>634</v>
      </c>
      <c r="C800" s="43" t="s">
        <v>119</v>
      </c>
      <c r="D800" s="43">
        <v>-246</v>
      </c>
      <c r="E800" s="18" t="s">
        <v>125</v>
      </c>
    </row>
    <row r="802" spans="1:5">
      <c r="A802" s="265">
        <v>45820</v>
      </c>
      <c r="B802" s="93" t="s">
        <v>497</v>
      </c>
      <c r="C802" s="43" t="s">
        <v>119</v>
      </c>
      <c r="D802" s="43">
        <v>-2</v>
      </c>
      <c r="E802" s="18" t="s">
        <v>125</v>
      </c>
    </row>
    <row r="803" spans="1:5">
      <c r="A803" s="265">
        <v>45820</v>
      </c>
      <c r="B803" s="93" t="s">
        <v>76</v>
      </c>
      <c r="C803" s="43" t="s">
        <v>119</v>
      </c>
      <c r="D803" s="43">
        <v>-22</v>
      </c>
      <c r="E803" s="18" t="s">
        <v>125</v>
      </c>
    </row>
    <row r="805" spans="1:5">
      <c r="A805" s="265">
        <v>45821</v>
      </c>
      <c r="B805" s="93" t="s">
        <v>76</v>
      </c>
      <c r="C805" s="43" t="s">
        <v>119</v>
      </c>
      <c r="D805" s="43">
        <v>-12</v>
      </c>
      <c r="E805" s="18" t="s">
        <v>125</v>
      </c>
    </row>
    <row r="806" spans="1:5">
      <c r="A806" s="265">
        <v>45821</v>
      </c>
      <c r="B806" s="93" t="s">
        <v>76</v>
      </c>
      <c r="C806" s="43" t="s">
        <v>119</v>
      </c>
      <c r="D806" s="43">
        <v>-30</v>
      </c>
      <c r="E806" s="18" t="s">
        <v>125</v>
      </c>
    </row>
    <row r="807" spans="1:5">
      <c r="A807" s="265">
        <v>45821</v>
      </c>
      <c r="B807" s="93" t="s">
        <v>76</v>
      </c>
      <c r="C807" s="43" t="s">
        <v>119</v>
      </c>
      <c r="D807" s="43">
        <v>-2</v>
      </c>
      <c r="E807" s="18" t="s">
        <v>125</v>
      </c>
    </row>
    <row r="808" spans="1:5">
      <c r="A808" s="265">
        <v>45821</v>
      </c>
      <c r="B808" s="93" t="s">
        <v>76</v>
      </c>
      <c r="C808" s="43" t="s">
        <v>119</v>
      </c>
      <c r="D808" s="43">
        <v>-20</v>
      </c>
      <c r="E808" s="18" t="s">
        <v>125</v>
      </c>
    </row>
    <row r="809" spans="1:5">
      <c r="A809" s="265">
        <v>45821</v>
      </c>
      <c r="B809" s="93" t="s">
        <v>76</v>
      </c>
      <c r="C809" s="43" t="s">
        <v>119</v>
      </c>
      <c r="D809" s="43">
        <v>-60</v>
      </c>
      <c r="E809" s="18" t="s">
        <v>125</v>
      </c>
    </row>
    <row r="810" spans="1:5">
      <c r="A810" s="265">
        <v>45821</v>
      </c>
      <c r="B810" s="93" t="s">
        <v>76</v>
      </c>
      <c r="C810" s="43" t="s">
        <v>119</v>
      </c>
      <c r="D810" s="43">
        <v>-34</v>
      </c>
      <c r="E810" s="18" t="s">
        <v>125</v>
      </c>
    </row>
    <row r="813" spans="1:5">
      <c r="A813" s="265">
        <v>45809</v>
      </c>
      <c r="B813" s="84" t="s">
        <v>134</v>
      </c>
      <c r="C813" s="43" t="s">
        <v>678</v>
      </c>
      <c r="D813" s="43">
        <v>-1</v>
      </c>
      <c r="E813" s="18" t="s">
        <v>125</v>
      </c>
    </row>
    <row r="814" spans="1:5">
      <c r="A814" s="265">
        <v>45810</v>
      </c>
      <c r="B814" s="84" t="s">
        <v>134</v>
      </c>
      <c r="C814" s="43" t="s">
        <v>678</v>
      </c>
      <c r="D814" s="43">
        <v>-1</v>
      </c>
      <c r="E814" s="18" t="s">
        <v>125</v>
      </c>
    </row>
    <row r="815" spans="1:5">
      <c r="A815" s="265">
        <v>45810</v>
      </c>
      <c r="B815" s="84" t="s">
        <v>134</v>
      </c>
      <c r="C815" s="43" t="s">
        <v>678</v>
      </c>
      <c r="D815" s="43">
        <v>-1</v>
      </c>
      <c r="E815" s="18" t="s">
        <v>125</v>
      </c>
    </row>
    <row r="816" spans="1:5">
      <c r="A816" s="265">
        <v>45811</v>
      </c>
      <c r="B816" s="84" t="s">
        <v>134</v>
      </c>
      <c r="C816" s="43" t="s">
        <v>678</v>
      </c>
      <c r="D816" s="43">
        <v>-1</v>
      </c>
      <c r="E816" s="18" t="s">
        <v>125</v>
      </c>
    </row>
    <row r="817" spans="1:5">
      <c r="A817" s="265">
        <v>45816</v>
      </c>
      <c r="B817" s="84" t="s">
        <v>134</v>
      </c>
      <c r="C817" s="43" t="s">
        <v>678</v>
      </c>
      <c r="D817" s="43">
        <v>-1</v>
      </c>
      <c r="E817" s="18" t="s">
        <v>125</v>
      </c>
    </row>
    <row r="818" spans="1:5">
      <c r="A818" s="265">
        <v>45820</v>
      </c>
      <c r="B818" s="84" t="s">
        <v>134</v>
      </c>
      <c r="C818" s="43" t="s">
        <v>678</v>
      </c>
      <c r="D818" s="43">
        <v>-5</v>
      </c>
      <c r="E818" s="18" t="s">
        <v>125</v>
      </c>
    </row>
    <row r="819" spans="1:5">
      <c r="A819" s="265">
        <v>45820</v>
      </c>
      <c r="B819" s="84" t="s">
        <v>134</v>
      </c>
      <c r="C819" s="43" t="s">
        <v>678</v>
      </c>
      <c r="D819" s="43">
        <v>-1</v>
      </c>
      <c r="E819" s="18" t="s">
        <v>125</v>
      </c>
    </row>
    <row r="820" spans="1:5">
      <c r="A820" s="265">
        <v>45820</v>
      </c>
      <c r="B820" s="84" t="s">
        <v>134</v>
      </c>
      <c r="C820" s="43" t="s">
        <v>678</v>
      </c>
      <c r="D820" s="43">
        <v>-1</v>
      </c>
      <c r="E820" s="18" t="s">
        <v>125</v>
      </c>
    </row>
    <row r="822" spans="1:5">
      <c r="A822" s="273">
        <v>45822</v>
      </c>
      <c r="B822" s="236" t="s">
        <v>134</v>
      </c>
      <c r="C822" s="235" t="s">
        <v>734</v>
      </c>
      <c r="D822" s="235">
        <v>3</v>
      </c>
      <c r="E822" s="217" t="s">
        <v>125</v>
      </c>
    </row>
    <row r="824" spans="1:5">
      <c r="A824" s="265">
        <v>45821</v>
      </c>
      <c r="B824" s="93" t="s">
        <v>497</v>
      </c>
      <c r="C824" s="43" t="s">
        <v>119</v>
      </c>
      <c r="D824" s="43">
        <v>-1</v>
      </c>
      <c r="E824" s="18" t="s">
        <v>125</v>
      </c>
    </row>
    <row r="825" spans="1:5">
      <c r="A825" s="265">
        <v>45821</v>
      </c>
      <c r="B825" s="93" t="s">
        <v>76</v>
      </c>
      <c r="C825" s="43" t="s">
        <v>119</v>
      </c>
      <c r="D825" s="43">
        <v>-20</v>
      </c>
      <c r="E825" s="18" t="s">
        <v>125</v>
      </c>
    </row>
    <row r="826" spans="1:5">
      <c r="A826" s="265">
        <v>45821</v>
      </c>
      <c r="B826" s="93" t="s">
        <v>497</v>
      </c>
      <c r="C826" s="43" t="s">
        <v>119</v>
      </c>
      <c r="D826" s="43">
        <v>-1</v>
      </c>
      <c r="E826" s="18" t="s">
        <v>125</v>
      </c>
    </row>
    <row r="827" spans="1:5">
      <c r="A827" s="265">
        <v>45821</v>
      </c>
      <c r="B827" s="93" t="s">
        <v>76</v>
      </c>
      <c r="C827" s="43" t="s">
        <v>119</v>
      </c>
      <c r="D827" s="43">
        <v>-2</v>
      </c>
      <c r="E827" s="18" t="s">
        <v>125</v>
      </c>
    </row>
    <row r="828" spans="1:5">
      <c r="A828" s="265">
        <v>45821</v>
      </c>
      <c r="B828" s="93" t="s">
        <v>76</v>
      </c>
      <c r="C828" s="43" t="s">
        <v>119</v>
      </c>
      <c r="D828" s="43">
        <v>-2</v>
      </c>
      <c r="E828" s="18" t="s">
        <v>125</v>
      </c>
    </row>
    <row r="830" spans="1:5">
      <c r="A830" s="265">
        <v>45822</v>
      </c>
      <c r="B830" s="93" t="s">
        <v>76</v>
      </c>
      <c r="C830" s="43" t="s">
        <v>119</v>
      </c>
      <c r="D830" s="43">
        <v>-28</v>
      </c>
      <c r="E830" s="18" t="s">
        <v>125</v>
      </c>
    </row>
    <row r="831" spans="1:5">
      <c r="A831" s="265">
        <v>45822</v>
      </c>
      <c r="B831" s="93" t="s">
        <v>408</v>
      </c>
      <c r="C831" s="43" t="s">
        <v>119</v>
      </c>
      <c r="D831" s="43">
        <v>-1</v>
      </c>
      <c r="E831" s="18" t="s">
        <v>125</v>
      </c>
    </row>
    <row r="839" spans="1:6">
      <c r="A839" s="265">
        <v>45824</v>
      </c>
      <c r="B839" s="84" t="s">
        <v>134</v>
      </c>
      <c r="C839" s="43" t="s">
        <v>678</v>
      </c>
      <c r="D839" s="43">
        <v>-1</v>
      </c>
      <c r="E839" s="18" t="s">
        <v>125</v>
      </c>
    </row>
    <row r="840" spans="1:6">
      <c r="A840" s="265">
        <v>45824</v>
      </c>
      <c r="B840" s="84" t="s">
        <v>134</v>
      </c>
      <c r="C840" s="43" t="s">
        <v>678</v>
      </c>
      <c r="D840" s="43"/>
      <c r="E840" s="18" t="s">
        <v>125</v>
      </c>
      <c r="F840" t="s">
        <v>628</v>
      </c>
    </row>
    <row r="841" spans="1:6">
      <c r="A841" s="265">
        <v>45824</v>
      </c>
      <c r="B841" s="93" t="s">
        <v>167</v>
      </c>
      <c r="C841" s="43" t="s">
        <v>678</v>
      </c>
      <c r="D841" s="43">
        <v>-1</v>
      </c>
      <c r="E841" s="18" t="s">
        <v>125</v>
      </c>
    </row>
    <row r="843" spans="1:6">
      <c r="A843" s="265">
        <v>45822</v>
      </c>
      <c r="B843" s="93" t="s">
        <v>76</v>
      </c>
      <c r="C843" s="43" t="s">
        <v>119</v>
      </c>
      <c r="D843" s="43">
        <v>-19</v>
      </c>
      <c r="E843" s="18" t="s">
        <v>125</v>
      </c>
      <c r="F843" t="s">
        <v>736</v>
      </c>
    </row>
    <row r="845" spans="1:6">
      <c r="A845" s="265">
        <v>45828</v>
      </c>
      <c r="B845" s="93" t="s">
        <v>497</v>
      </c>
      <c r="C845" s="43" t="s">
        <v>119</v>
      </c>
      <c r="D845" s="43">
        <v>-1</v>
      </c>
      <c r="E845" s="18" t="s">
        <v>125</v>
      </c>
    </row>
    <row r="847" spans="1:6">
      <c r="A847" s="265">
        <v>45829</v>
      </c>
      <c r="B847" s="93" t="s">
        <v>497</v>
      </c>
      <c r="C847" s="43" t="s">
        <v>119</v>
      </c>
      <c r="D847" s="43">
        <v>-1</v>
      </c>
      <c r="E847" s="18" t="s">
        <v>125</v>
      </c>
    </row>
    <row r="848" spans="1:6">
      <c r="A848" s="265">
        <v>45829</v>
      </c>
      <c r="B848" s="93" t="s">
        <v>497</v>
      </c>
      <c r="C848" s="43" t="s">
        <v>119</v>
      </c>
      <c r="D848" s="43">
        <v>-1</v>
      </c>
      <c r="E848" s="18" t="s">
        <v>125</v>
      </c>
    </row>
    <row r="850" spans="1:6">
      <c r="A850" s="273">
        <v>45831</v>
      </c>
      <c r="B850" s="236" t="s">
        <v>134</v>
      </c>
      <c r="C850" s="235" t="s">
        <v>774</v>
      </c>
      <c r="D850" s="235">
        <v>2</v>
      </c>
      <c r="E850" s="217" t="s">
        <v>125</v>
      </c>
    </row>
    <row r="851" spans="1:6">
      <c r="A851" s="273">
        <v>45831</v>
      </c>
      <c r="B851" s="301" t="s">
        <v>78</v>
      </c>
      <c r="C851" s="235" t="s">
        <v>775</v>
      </c>
      <c r="D851" s="235">
        <v>270</v>
      </c>
      <c r="E851" s="217" t="s">
        <v>125</v>
      </c>
    </row>
    <row r="852" spans="1:6">
      <c r="A852" s="265">
        <v>45831</v>
      </c>
      <c r="B852" s="93" t="s">
        <v>408</v>
      </c>
      <c r="C852" s="43" t="s">
        <v>119</v>
      </c>
      <c r="D852" s="43">
        <v>-1</v>
      </c>
      <c r="E852" s="18" t="s">
        <v>125</v>
      </c>
    </row>
    <row r="853" spans="1:6">
      <c r="A853" s="286">
        <v>45831</v>
      </c>
      <c r="B853" s="302" t="s">
        <v>78</v>
      </c>
      <c r="C853" s="288" t="s">
        <v>635</v>
      </c>
      <c r="D853" s="303">
        <v>3</v>
      </c>
      <c r="E853" s="289" t="s">
        <v>125</v>
      </c>
      <c r="F853" t="s">
        <v>905</v>
      </c>
    </row>
    <row r="854" spans="1:6">
      <c r="A854" s="265">
        <v>45832</v>
      </c>
      <c r="B854" s="93" t="s">
        <v>266</v>
      </c>
      <c r="C854" s="43" t="s">
        <v>119</v>
      </c>
      <c r="D854" s="43">
        <v>-4</v>
      </c>
      <c r="E854" s="18" t="s">
        <v>125</v>
      </c>
    </row>
    <row r="855" spans="1:6">
      <c r="A855" s="273">
        <v>45832</v>
      </c>
      <c r="B855" s="236" t="s">
        <v>134</v>
      </c>
      <c r="C855" s="235" t="s">
        <v>734</v>
      </c>
      <c r="D855" s="235">
        <v>6</v>
      </c>
      <c r="E855" s="217" t="s">
        <v>125</v>
      </c>
    </row>
    <row r="856" spans="1:6">
      <c r="A856" s="265">
        <v>45832</v>
      </c>
      <c r="B856" s="93" t="s">
        <v>78</v>
      </c>
      <c r="C856" s="43" t="s">
        <v>119</v>
      </c>
      <c r="D856" s="43">
        <v>-130</v>
      </c>
      <c r="E856" s="18" t="s">
        <v>125</v>
      </c>
    </row>
    <row r="858" spans="1:6">
      <c r="A858" s="273">
        <v>45832</v>
      </c>
      <c r="B858" s="248" t="s">
        <v>408</v>
      </c>
      <c r="C858" s="235" t="s">
        <v>776</v>
      </c>
      <c r="D858" s="235">
        <v>1</v>
      </c>
      <c r="E858" s="217" t="s">
        <v>125</v>
      </c>
    </row>
    <row r="860" spans="1:6">
      <c r="A860" s="265">
        <v>45833</v>
      </c>
      <c r="B860" s="93" t="s">
        <v>266</v>
      </c>
      <c r="C860" s="43" t="s">
        <v>119</v>
      </c>
      <c r="D860" s="43">
        <v>-1</v>
      </c>
      <c r="E860" s="18" t="s">
        <v>125</v>
      </c>
    </row>
    <row r="861" spans="1:6">
      <c r="A861" s="265">
        <v>45833</v>
      </c>
      <c r="B861" s="93" t="s">
        <v>78</v>
      </c>
      <c r="C861" s="43" t="s">
        <v>119</v>
      </c>
      <c r="D861" s="43">
        <v>-120</v>
      </c>
      <c r="E861" s="18" t="s">
        <v>125</v>
      </c>
    </row>
    <row r="863" spans="1:6">
      <c r="A863" s="265">
        <v>45834</v>
      </c>
      <c r="B863" s="93" t="s">
        <v>78</v>
      </c>
      <c r="C863" s="43" t="s">
        <v>119</v>
      </c>
      <c r="D863" s="43">
        <v>-20</v>
      </c>
      <c r="E863" s="18" t="s">
        <v>125</v>
      </c>
    </row>
    <row r="865" spans="1:6">
      <c r="A865" s="286">
        <v>45831</v>
      </c>
      <c r="B865" s="302" t="s">
        <v>671</v>
      </c>
      <c r="C865" s="288" t="s">
        <v>635</v>
      </c>
      <c r="D865" s="303">
        <v>4</v>
      </c>
      <c r="E865" s="289" t="s">
        <v>125</v>
      </c>
    </row>
    <row r="867" spans="1:6">
      <c r="A867" s="272">
        <v>45834</v>
      </c>
      <c r="B867" s="128" t="s">
        <v>642</v>
      </c>
      <c r="C867" s="106" t="s">
        <v>49</v>
      </c>
      <c r="D867" s="106">
        <v>6</v>
      </c>
      <c r="E867" s="18" t="s">
        <v>125</v>
      </c>
    </row>
    <row r="868" spans="1:6">
      <c r="A868" s="272">
        <v>45834</v>
      </c>
      <c r="B868" s="234" t="s">
        <v>477</v>
      </c>
      <c r="C868" s="106" t="s">
        <v>49</v>
      </c>
      <c r="D868" s="106">
        <v>3</v>
      </c>
      <c r="E868" s="18" t="s">
        <v>125</v>
      </c>
    </row>
    <row r="869" spans="1:6">
      <c r="A869" s="272">
        <v>45834</v>
      </c>
      <c r="B869" s="128" t="s">
        <v>671</v>
      </c>
      <c r="C869" s="106" t="s">
        <v>49</v>
      </c>
      <c r="D869" s="106">
        <v>5</v>
      </c>
      <c r="E869" s="18" t="s">
        <v>125</v>
      </c>
    </row>
    <row r="870" spans="1:6">
      <c r="A870" s="272">
        <v>45834</v>
      </c>
      <c r="B870" s="128" t="s">
        <v>662</v>
      </c>
      <c r="C870" s="106" t="s">
        <v>49</v>
      </c>
      <c r="D870" s="106">
        <v>3</v>
      </c>
      <c r="E870" s="18" t="s">
        <v>125</v>
      </c>
    </row>
    <row r="871" spans="1:6">
      <c r="A871" s="272">
        <v>45834</v>
      </c>
      <c r="B871" s="128" t="s">
        <v>789</v>
      </c>
      <c r="C871" s="106" t="s">
        <v>49</v>
      </c>
      <c r="D871" s="106">
        <v>3</v>
      </c>
      <c r="E871" s="18" t="s">
        <v>125</v>
      </c>
    </row>
    <row r="872" spans="1:6">
      <c r="A872" s="272">
        <v>45834</v>
      </c>
      <c r="B872" s="128" t="s">
        <v>672</v>
      </c>
      <c r="C872" s="106" t="s">
        <v>49</v>
      </c>
      <c r="D872" s="106">
        <v>2</v>
      </c>
      <c r="E872" s="18" t="s">
        <v>125</v>
      </c>
    </row>
    <row r="873" spans="1:6">
      <c r="A873" s="272">
        <v>45834</v>
      </c>
      <c r="B873" s="234" t="s">
        <v>497</v>
      </c>
      <c r="C873" s="106" t="s">
        <v>49</v>
      </c>
      <c r="D873" s="106">
        <v>6</v>
      </c>
      <c r="E873" s="18" t="s">
        <v>125</v>
      </c>
    </row>
    <row r="874" spans="1:6">
      <c r="A874" s="272">
        <v>45834</v>
      </c>
      <c r="B874" s="234" t="s">
        <v>498</v>
      </c>
      <c r="C874" s="106" t="s">
        <v>49</v>
      </c>
      <c r="D874" s="106">
        <v>6</v>
      </c>
      <c r="E874" s="18" t="s">
        <v>125</v>
      </c>
    </row>
    <row r="875" spans="1:6">
      <c r="A875" s="272">
        <v>45834</v>
      </c>
      <c r="B875" s="128" t="s">
        <v>672</v>
      </c>
      <c r="C875" s="106" t="s">
        <v>49</v>
      </c>
      <c r="D875" s="106">
        <v>6</v>
      </c>
      <c r="E875" s="18" t="s">
        <v>125</v>
      </c>
    </row>
    <row r="876" spans="1:6">
      <c r="A876" s="272">
        <v>45834</v>
      </c>
      <c r="B876" s="128" t="s">
        <v>789</v>
      </c>
      <c r="C876" s="106" t="s">
        <v>49</v>
      </c>
      <c r="D876" s="106">
        <v>8</v>
      </c>
      <c r="E876" s="18" t="s">
        <v>125</v>
      </c>
    </row>
    <row r="877" spans="1:6">
      <c r="A877" s="272">
        <v>45834</v>
      </c>
      <c r="B877" s="128" t="s">
        <v>671</v>
      </c>
      <c r="C877" s="106" t="s">
        <v>49</v>
      </c>
      <c r="D877" s="106">
        <v>2</v>
      </c>
      <c r="E877" s="18"/>
      <c r="F877" t="s">
        <v>803</v>
      </c>
    </row>
    <row r="878" spans="1:6">
      <c r="A878" s="272">
        <v>45834</v>
      </c>
      <c r="B878" s="128" t="s">
        <v>84</v>
      </c>
      <c r="C878" s="106" t="s">
        <v>49</v>
      </c>
      <c r="D878" s="106">
        <v>36</v>
      </c>
      <c r="E878" s="18" t="s">
        <v>125</v>
      </c>
    </row>
    <row r="879" spans="1:6">
      <c r="A879" s="272">
        <v>45834</v>
      </c>
      <c r="B879" s="128" t="s">
        <v>671</v>
      </c>
      <c r="C879" s="106" t="s">
        <v>49</v>
      </c>
      <c r="D879" s="106">
        <v>4</v>
      </c>
      <c r="E879" s="18" t="s">
        <v>125</v>
      </c>
    </row>
    <row r="880" spans="1:6">
      <c r="A880" s="272">
        <v>45834</v>
      </c>
      <c r="B880" s="139" t="s">
        <v>797</v>
      </c>
      <c r="C880" s="106" t="s">
        <v>49</v>
      </c>
      <c r="D880" s="106">
        <v>1</v>
      </c>
      <c r="E880" s="18" t="s">
        <v>125</v>
      </c>
    </row>
    <row r="881" spans="1:5">
      <c r="A881" s="272">
        <v>45834</v>
      </c>
      <c r="B881" s="139" t="s">
        <v>154</v>
      </c>
      <c r="C881" s="106" t="s">
        <v>49</v>
      </c>
      <c r="D881" s="231">
        <v>1</v>
      </c>
      <c r="E881" s="18" t="s">
        <v>125</v>
      </c>
    </row>
    <row r="882" spans="1:5">
      <c r="A882" s="272">
        <v>45834</v>
      </c>
      <c r="B882" s="128" t="s">
        <v>84</v>
      </c>
      <c r="C882" s="106" t="s">
        <v>49</v>
      </c>
      <c r="D882" s="106">
        <v>6</v>
      </c>
      <c r="E882" s="18" t="s">
        <v>125</v>
      </c>
    </row>
    <row r="883" spans="1:5">
      <c r="A883" s="272">
        <v>45834</v>
      </c>
      <c r="B883" s="128" t="s">
        <v>662</v>
      </c>
      <c r="C883" s="106" t="s">
        <v>49</v>
      </c>
      <c r="D883" s="106">
        <v>40</v>
      </c>
      <c r="E883" s="18" t="s">
        <v>125</v>
      </c>
    </row>
    <row r="885" spans="1:5">
      <c r="A885" s="265">
        <v>45836</v>
      </c>
      <c r="B885" s="93" t="s">
        <v>671</v>
      </c>
      <c r="C885" s="43" t="s">
        <v>119</v>
      </c>
      <c r="D885" s="43">
        <v>-5</v>
      </c>
      <c r="E885" s="18" t="s">
        <v>125</v>
      </c>
    </row>
    <row r="886" spans="1:5">
      <c r="A886" s="265">
        <v>45836</v>
      </c>
      <c r="B886" s="93" t="s">
        <v>266</v>
      </c>
      <c r="C886" s="43" t="s">
        <v>119</v>
      </c>
      <c r="D886" s="43">
        <v>-2</v>
      </c>
      <c r="E886" s="18" t="s">
        <v>125</v>
      </c>
    </row>
    <row r="887" spans="1:5">
      <c r="A887" s="265">
        <v>45836</v>
      </c>
      <c r="B887" s="93" t="s">
        <v>497</v>
      </c>
      <c r="C887" s="43" t="s">
        <v>119</v>
      </c>
      <c r="D887" s="43">
        <v>-1</v>
      </c>
      <c r="E887" s="18" t="s">
        <v>125</v>
      </c>
    </row>
    <row r="888" spans="1:5">
      <c r="A888" s="265">
        <v>45836</v>
      </c>
      <c r="B888" s="93" t="s">
        <v>497</v>
      </c>
      <c r="C888" s="43" t="s">
        <v>119</v>
      </c>
      <c r="D888" s="43">
        <v>-5</v>
      </c>
      <c r="E888" s="18" t="s">
        <v>125</v>
      </c>
    </row>
    <row r="890" spans="1:5">
      <c r="A890" s="265">
        <v>45838</v>
      </c>
      <c r="B890" s="92" t="s">
        <v>84</v>
      </c>
      <c r="C890" s="43" t="s">
        <v>119</v>
      </c>
      <c r="D890" s="43">
        <v>-36</v>
      </c>
      <c r="E890" s="18" t="s">
        <v>125</v>
      </c>
    </row>
    <row r="891" spans="1:5">
      <c r="A891" s="273">
        <v>45838</v>
      </c>
      <c r="B891" s="301" t="s">
        <v>78</v>
      </c>
      <c r="C891" s="235" t="s">
        <v>775</v>
      </c>
      <c r="D891" s="235">
        <v>100</v>
      </c>
      <c r="E891" s="217" t="s">
        <v>125</v>
      </c>
    </row>
    <row r="892" spans="1:5">
      <c r="A892" s="265">
        <v>45838</v>
      </c>
      <c r="B892" s="93" t="s">
        <v>78</v>
      </c>
      <c r="C892" s="43" t="s">
        <v>119</v>
      </c>
      <c r="D892" s="43">
        <v>-20</v>
      </c>
      <c r="E892" s="18" t="s">
        <v>125</v>
      </c>
    </row>
    <row r="894" spans="1:5">
      <c r="A894" s="265">
        <v>45839</v>
      </c>
      <c r="B894" s="93" t="s">
        <v>78</v>
      </c>
      <c r="C894" s="43" t="s">
        <v>119</v>
      </c>
      <c r="D894" s="43">
        <v>-5</v>
      </c>
      <c r="E894" s="18" t="s">
        <v>125</v>
      </c>
    </row>
    <row r="895" spans="1:5">
      <c r="A895" s="265">
        <v>45839</v>
      </c>
      <c r="B895" s="92" t="s">
        <v>84</v>
      </c>
      <c r="C895" s="43" t="s">
        <v>119</v>
      </c>
      <c r="D895" s="43">
        <v>-2</v>
      </c>
      <c r="E895" s="18" t="s">
        <v>125</v>
      </c>
    </row>
    <row r="896" spans="1:5">
      <c r="A896" s="265">
        <v>45839</v>
      </c>
      <c r="B896" s="93" t="s">
        <v>266</v>
      </c>
      <c r="C896" s="43" t="s">
        <v>119</v>
      </c>
      <c r="D896" s="43">
        <v>-2</v>
      </c>
      <c r="E896" s="18" t="s">
        <v>125</v>
      </c>
    </row>
    <row r="897" spans="1:5">
      <c r="A897" s="265">
        <v>45839</v>
      </c>
      <c r="B897" s="92" t="s">
        <v>670</v>
      </c>
      <c r="C897" s="43" t="s">
        <v>119</v>
      </c>
      <c r="D897" s="43">
        <v>-2</v>
      </c>
      <c r="E897" s="18" t="s">
        <v>125</v>
      </c>
    </row>
    <row r="898" spans="1:5">
      <c r="A898" s="265">
        <v>45839</v>
      </c>
      <c r="B898" s="92" t="s">
        <v>671</v>
      </c>
      <c r="C898" s="43" t="s">
        <v>119</v>
      </c>
      <c r="D898" s="43">
        <v>-6</v>
      </c>
      <c r="E898" s="18" t="s">
        <v>125</v>
      </c>
    </row>
    <row r="899" spans="1:5">
      <c r="A899" s="265">
        <v>45839</v>
      </c>
      <c r="B899" s="93" t="s">
        <v>266</v>
      </c>
      <c r="C899" s="43" t="s">
        <v>119</v>
      </c>
      <c r="D899" s="43">
        <v>-2</v>
      </c>
      <c r="E899" s="18" t="s">
        <v>125</v>
      </c>
    </row>
    <row r="900" spans="1:5">
      <c r="A900" s="273">
        <v>45839</v>
      </c>
      <c r="B900" s="301" t="s">
        <v>76</v>
      </c>
      <c r="C900" s="235" t="s">
        <v>775</v>
      </c>
      <c r="D900" s="235">
        <v>120</v>
      </c>
      <c r="E900" s="217" t="s">
        <v>125</v>
      </c>
    </row>
    <row r="901" spans="1:5">
      <c r="A901" s="265">
        <v>45839</v>
      </c>
      <c r="B901" s="93" t="s">
        <v>76</v>
      </c>
      <c r="C901" s="43" t="s">
        <v>119</v>
      </c>
      <c r="D901" s="43">
        <v>-10</v>
      </c>
      <c r="E901" s="18" t="s">
        <v>125</v>
      </c>
    </row>
    <row r="902" spans="1:5">
      <c r="A902" s="265">
        <v>45839</v>
      </c>
      <c r="B902" s="93" t="s">
        <v>266</v>
      </c>
      <c r="C902" s="43" t="s">
        <v>119</v>
      </c>
      <c r="D902" s="43">
        <v>-1</v>
      </c>
      <c r="E902" s="18" t="s">
        <v>125</v>
      </c>
    </row>
    <row r="903" spans="1:5">
      <c r="A903" s="265">
        <v>45839</v>
      </c>
      <c r="B903" s="93" t="s">
        <v>76</v>
      </c>
      <c r="C903" s="43" t="s">
        <v>119</v>
      </c>
      <c r="D903" s="43">
        <v>-50</v>
      </c>
      <c r="E903" s="18" t="s">
        <v>125</v>
      </c>
    </row>
    <row r="904" spans="1:5">
      <c r="A904" s="265">
        <v>45839</v>
      </c>
      <c r="B904" s="93" t="s">
        <v>76</v>
      </c>
      <c r="C904" s="43" t="s">
        <v>119</v>
      </c>
      <c r="D904" s="33">
        <v>-1</v>
      </c>
      <c r="E904" s="18" t="s">
        <v>125</v>
      </c>
    </row>
    <row r="905" spans="1:5">
      <c r="A905" s="265">
        <v>45840</v>
      </c>
      <c r="B905" s="93" t="s">
        <v>76</v>
      </c>
      <c r="C905" s="43" t="s">
        <v>119</v>
      </c>
      <c r="D905" s="43">
        <v>-6</v>
      </c>
      <c r="E905" s="18" t="s">
        <v>125</v>
      </c>
    </row>
    <row r="906" spans="1:5">
      <c r="A906" s="265">
        <v>45840</v>
      </c>
      <c r="B906" s="93" t="s">
        <v>76</v>
      </c>
      <c r="C906" s="43" t="s">
        <v>119</v>
      </c>
      <c r="D906" s="43">
        <v>-2</v>
      </c>
      <c r="E906" s="18" t="s">
        <v>125</v>
      </c>
    </row>
    <row r="907" spans="1:5">
      <c r="A907" s="265">
        <v>45840</v>
      </c>
      <c r="B907" s="93" t="s">
        <v>78</v>
      </c>
      <c r="C907" s="43" t="s">
        <v>119</v>
      </c>
      <c r="D907" s="43">
        <v>-3</v>
      </c>
      <c r="E907" s="18" t="s">
        <v>125</v>
      </c>
    </row>
    <row r="908" spans="1:5">
      <c r="A908" s="265">
        <v>45840</v>
      </c>
      <c r="B908" s="93" t="s">
        <v>76</v>
      </c>
      <c r="C908" s="43" t="s">
        <v>119</v>
      </c>
      <c r="D908" s="43">
        <v>-15</v>
      </c>
      <c r="E908" s="18" t="s">
        <v>125</v>
      </c>
    </row>
    <row r="909" spans="1:5">
      <c r="A909" s="265">
        <v>45840</v>
      </c>
      <c r="B909" s="93" t="s">
        <v>78</v>
      </c>
      <c r="C909" s="43" t="s">
        <v>119</v>
      </c>
      <c r="D909" s="43">
        <v>-72</v>
      </c>
      <c r="E909" s="18" t="s">
        <v>125</v>
      </c>
    </row>
    <row r="910" spans="1:5">
      <c r="A910" s="265">
        <v>45840</v>
      </c>
      <c r="B910" s="93" t="s">
        <v>76</v>
      </c>
      <c r="C910" s="43" t="s">
        <v>119</v>
      </c>
      <c r="D910" s="43">
        <v>-15</v>
      </c>
      <c r="E910" s="18" t="s">
        <v>125</v>
      </c>
    </row>
    <row r="911" spans="1:5">
      <c r="A911" s="265">
        <v>45841</v>
      </c>
      <c r="B911" s="93" t="s">
        <v>76</v>
      </c>
      <c r="C911" s="43" t="s">
        <v>119</v>
      </c>
      <c r="D911" s="43">
        <v>-2</v>
      </c>
      <c r="E911" s="18" t="s">
        <v>125</v>
      </c>
    </row>
    <row r="912" spans="1:5">
      <c r="A912" s="265">
        <v>45841</v>
      </c>
      <c r="B912" s="93" t="s">
        <v>92</v>
      </c>
      <c r="C912" s="43" t="s">
        <v>119</v>
      </c>
      <c r="D912" s="43">
        <v>-1</v>
      </c>
      <c r="E912" s="18" t="s">
        <v>125</v>
      </c>
    </row>
    <row r="914" spans="1:6">
      <c r="A914" s="273">
        <v>45842</v>
      </c>
      <c r="B914" s="301" t="s">
        <v>78</v>
      </c>
      <c r="C914" s="235" t="s">
        <v>775</v>
      </c>
      <c r="D914" s="235">
        <v>140</v>
      </c>
      <c r="E914" s="217" t="s">
        <v>125</v>
      </c>
    </row>
    <row r="915" spans="1:6">
      <c r="A915" s="265">
        <v>45842</v>
      </c>
      <c r="B915" s="93" t="s">
        <v>78</v>
      </c>
      <c r="C915" s="43" t="s">
        <v>119</v>
      </c>
      <c r="D915" s="43">
        <v>-128</v>
      </c>
      <c r="E915" s="18" t="s">
        <v>125</v>
      </c>
    </row>
    <row r="917" spans="1:6">
      <c r="A917" s="265">
        <v>45825</v>
      </c>
      <c r="B917" s="93" t="s">
        <v>167</v>
      </c>
      <c r="C917" s="43" t="s">
        <v>678</v>
      </c>
      <c r="D917" s="43">
        <v>-1</v>
      </c>
      <c r="E917" s="18" t="s">
        <v>125</v>
      </c>
    </row>
    <row r="918" spans="1:6">
      <c r="A918" s="265">
        <v>45825</v>
      </c>
      <c r="B918" s="84" t="s">
        <v>134</v>
      </c>
      <c r="C918" s="43" t="s">
        <v>678</v>
      </c>
      <c r="D918" s="43">
        <v>-1</v>
      </c>
      <c r="E918" s="18" t="s">
        <v>125</v>
      </c>
    </row>
    <row r="919" spans="1:6">
      <c r="A919" s="265">
        <v>45826</v>
      </c>
      <c r="B919" s="84" t="s">
        <v>134</v>
      </c>
      <c r="C919" s="43" t="s">
        <v>678</v>
      </c>
      <c r="D919" s="43">
        <v>-1</v>
      </c>
      <c r="E919" s="18" t="s">
        <v>125</v>
      </c>
    </row>
    <row r="920" spans="1:6">
      <c r="A920" s="265">
        <v>45838</v>
      </c>
      <c r="B920" s="84" t="s">
        <v>134</v>
      </c>
      <c r="C920" s="43" t="s">
        <v>678</v>
      </c>
      <c r="D920" s="43">
        <v>-2</v>
      </c>
      <c r="E920" s="18" t="s">
        <v>125</v>
      </c>
    </row>
    <row r="921" spans="1:6">
      <c r="A921" s="265">
        <v>45839</v>
      </c>
      <c r="B921" s="84" t="s">
        <v>134</v>
      </c>
      <c r="C921" s="43" t="s">
        <v>678</v>
      </c>
      <c r="D921" s="43">
        <v>-2</v>
      </c>
      <c r="E921" s="18" t="s">
        <v>125</v>
      </c>
    </row>
    <row r="922" spans="1:6">
      <c r="A922" s="265">
        <v>45839</v>
      </c>
      <c r="B922" s="84" t="s">
        <v>134</v>
      </c>
      <c r="C922" s="43" t="s">
        <v>678</v>
      </c>
      <c r="D922" s="43">
        <v>-1</v>
      </c>
      <c r="E922" s="18" t="s">
        <v>125</v>
      </c>
    </row>
    <row r="923" spans="1:6">
      <c r="A923" s="265">
        <v>45840</v>
      </c>
      <c r="B923" s="93" t="s">
        <v>167</v>
      </c>
      <c r="C923" s="43" t="s">
        <v>678</v>
      </c>
      <c r="D923" s="43">
        <v>-1</v>
      </c>
      <c r="E923" s="18" t="s">
        <v>125</v>
      </c>
    </row>
    <row r="924" spans="1:6">
      <c r="A924" s="265">
        <v>45841</v>
      </c>
      <c r="B924" s="93" t="s">
        <v>167</v>
      </c>
      <c r="C924" s="43" t="s">
        <v>678</v>
      </c>
      <c r="D924" s="43">
        <v>-1</v>
      </c>
      <c r="E924" s="18" t="s">
        <v>125</v>
      </c>
    </row>
    <row r="925" spans="1:6">
      <c r="A925" s="265">
        <v>45841</v>
      </c>
      <c r="B925" s="84" t="s">
        <v>134</v>
      </c>
      <c r="C925" s="43" t="s">
        <v>678</v>
      </c>
      <c r="D925" s="43">
        <v>-1</v>
      </c>
      <c r="E925" s="18" t="s">
        <v>125</v>
      </c>
    </row>
    <row r="927" spans="1:6">
      <c r="A927" s="310">
        <v>45842</v>
      </c>
      <c r="B927" s="311" t="s">
        <v>789</v>
      </c>
      <c r="C927" s="312" t="s">
        <v>119</v>
      </c>
      <c r="D927" s="312"/>
      <c r="E927" s="313" t="s">
        <v>125</v>
      </c>
      <c r="F927" s="314" t="s">
        <v>676</v>
      </c>
    </row>
    <row r="928" spans="1:6">
      <c r="A928" s="310">
        <v>45842</v>
      </c>
      <c r="B928" s="311" t="s">
        <v>672</v>
      </c>
      <c r="C928" s="312" t="s">
        <v>119</v>
      </c>
      <c r="D928" s="312"/>
      <c r="E928" s="313" t="s">
        <v>125</v>
      </c>
      <c r="F928" s="314" t="s">
        <v>676</v>
      </c>
    </row>
    <row r="929" spans="1:6">
      <c r="A929" s="310">
        <v>45842</v>
      </c>
      <c r="B929" s="315" t="s">
        <v>498</v>
      </c>
      <c r="C929" s="312" t="s">
        <v>119</v>
      </c>
      <c r="D929" s="312"/>
      <c r="E929" s="313" t="s">
        <v>125</v>
      </c>
      <c r="F929" s="314" t="s">
        <v>676</v>
      </c>
    </row>
    <row r="931" spans="1:6">
      <c r="A931" s="265">
        <v>45843</v>
      </c>
      <c r="B931" s="93" t="s">
        <v>266</v>
      </c>
      <c r="C931" s="43" t="s">
        <v>119</v>
      </c>
      <c r="D931" s="43">
        <v>-1</v>
      </c>
      <c r="E931" s="18" t="s">
        <v>125</v>
      </c>
    </row>
    <row r="933" spans="1:6">
      <c r="A933" s="265">
        <v>45843</v>
      </c>
      <c r="B933" s="84" t="s">
        <v>134</v>
      </c>
      <c r="C933" s="43" t="s">
        <v>678</v>
      </c>
      <c r="D933" s="43">
        <v>-1</v>
      </c>
      <c r="E933" s="18" t="s">
        <v>125</v>
      </c>
    </row>
    <row r="934" spans="1:6">
      <c r="A934" s="265">
        <v>45843</v>
      </c>
      <c r="B934" s="84" t="s">
        <v>134</v>
      </c>
      <c r="C934" s="43" t="s">
        <v>678</v>
      </c>
      <c r="D934" s="43">
        <v>-1</v>
      </c>
      <c r="E934" s="18" t="s">
        <v>125</v>
      </c>
    </row>
    <row r="935" spans="1:6">
      <c r="A935" s="265"/>
      <c r="B935" s="93"/>
      <c r="C935" s="43"/>
      <c r="D935" s="43"/>
      <c r="E935" s="18"/>
    </row>
    <row r="936" spans="1:6">
      <c r="A936" s="265"/>
      <c r="B936" s="93"/>
      <c r="C936" s="43"/>
      <c r="D936" s="43"/>
      <c r="E936" s="18"/>
    </row>
    <row r="939" spans="1:6">
      <c r="A939" s="265">
        <v>45845</v>
      </c>
      <c r="B939" s="93" t="s">
        <v>76</v>
      </c>
      <c r="C939" s="43" t="s">
        <v>119</v>
      </c>
      <c r="D939" s="43">
        <v>-5</v>
      </c>
      <c r="E939" s="18" t="s">
        <v>125</v>
      </c>
    </row>
    <row r="940" spans="1:6">
      <c r="A940" s="265">
        <v>45845</v>
      </c>
      <c r="B940" s="93" t="s">
        <v>76</v>
      </c>
      <c r="C940" s="43" t="s">
        <v>119</v>
      </c>
      <c r="D940" s="43">
        <v>-4</v>
      </c>
      <c r="E940" s="18" t="s">
        <v>125</v>
      </c>
    </row>
    <row r="941" spans="1:6">
      <c r="A941" s="265">
        <v>45843</v>
      </c>
      <c r="B941" s="93" t="s">
        <v>266</v>
      </c>
      <c r="C941" s="43" t="s">
        <v>119</v>
      </c>
      <c r="D941" s="43">
        <v>-1</v>
      </c>
      <c r="E941" s="18" t="s">
        <v>125</v>
      </c>
    </row>
    <row r="942" spans="1:6">
      <c r="A942" s="265">
        <v>45845</v>
      </c>
      <c r="B942" s="93" t="s">
        <v>76</v>
      </c>
      <c r="C942" s="43" t="s">
        <v>119</v>
      </c>
      <c r="D942" s="43">
        <v>-5</v>
      </c>
      <c r="E942" s="18" t="s">
        <v>125</v>
      </c>
    </row>
    <row r="944" spans="1:6">
      <c r="A944" s="306">
        <v>45845</v>
      </c>
      <c r="B944" s="242" t="s">
        <v>131</v>
      </c>
      <c r="C944" s="240" t="s">
        <v>682</v>
      </c>
      <c r="D944" s="240">
        <v>8</v>
      </c>
      <c r="E944" s="241" t="s">
        <v>125</v>
      </c>
    </row>
    <row r="945" spans="1:5">
      <c r="A945" s="306">
        <v>45845</v>
      </c>
      <c r="B945" s="239" t="s">
        <v>805</v>
      </c>
      <c r="C945" s="240" t="s">
        <v>682</v>
      </c>
      <c r="D945" s="240">
        <v>2</v>
      </c>
      <c r="E945" s="241" t="s">
        <v>125</v>
      </c>
    </row>
    <row r="946" spans="1:5">
      <c r="A946" s="306">
        <v>45845</v>
      </c>
      <c r="B946" s="239" t="s">
        <v>806</v>
      </c>
      <c r="C946" s="240" t="s">
        <v>682</v>
      </c>
      <c r="D946" s="240">
        <v>23</v>
      </c>
      <c r="E946" s="241" t="s">
        <v>125</v>
      </c>
    </row>
    <row r="947" spans="1:5">
      <c r="A947" s="306">
        <v>45845</v>
      </c>
      <c r="B947" s="239" t="s">
        <v>807</v>
      </c>
      <c r="C947" s="240" t="s">
        <v>682</v>
      </c>
      <c r="D947" s="240">
        <v>8</v>
      </c>
      <c r="E947" s="241" t="s">
        <v>125</v>
      </c>
    </row>
    <row r="948" spans="1:5">
      <c r="A948" s="306">
        <v>45845</v>
      </c>
      <c r="B948" s="239" t="s">
        <v>808</v>
      </c>
      <c r="C948" s="240" t="s">
        <v>682</v>
      </c>
      <c r="D948" s="240">
        <v>1</v>
      </c>
      <c r="E948" s="241" t="s">
        <v>125</v>
      </c>
    </row>
    <row r="950" spans="1:5">
      <c r="A950" s="265">
        <v>45845</v>
      </c>
      <c r="B950" s="93" t="s">
        <v>806</v>
      </c>
      <c r="C950" s="43" t="s">
        <v>119</v>
      </c>
      <c r="D950" s="43">
        <v>-23</v>
      </c>
      <c r="E950" s="18" t="s">
        <v>125</v>
      </c>
    </row>
    <row r="951" spans="1:5">
      <c r="A951" s="265">
        <v>45845</v>
      </c>
      <c r="B951" s="93" t="s">
        <v>807</v>
      </c>
      <c r="C951" s="43" t="s">
        <v>119</v>
      </c>
      <c r="D951" s="43">
        <v>-8</v>
      </c>
      <c r="E951" s="18" t="s">
        <v>125</v>
      </c>
    </row>
    <row r="952" spans="1:5">
      <c r="A952" s="265">
        <v>45845</v>
      </c>
      <c r="B952" s="93" t="s">
        <v>808</v>
      </c>
      <c r="C952" s="43" t="s">
        <v>119</v>
      </c>
      <c r="D952" s="43">
        <v>-1</v>
      </c>
      <c r="E952" s="18" t="s">
        <v>125</v>
      </c>
    </row>
    <row r="953" spans="1:5">
      <c r="A953" s="265">
        <v>45845</v>
      </c>
      <c r="B953" s="84" t="s">
        <v>131</v>
      </c>
      <c r="C953" s="43" t="s">
        <v>119</v>
      </c>
      <c r="D953" s="43">
        <v>-8</v>
      </c>
      <c r="E953" s="18" t="s">
        <v>125</v>
      </c>
    </row>
    <row r="954" spans="1:5">
      <c r="A954" s="265">
        <v>45845</v>
      </c>
      <c r="B954" s="93" t="s">
        <v>805</v>
      </c>
      <c r="C954" s="43" t="s">
        <v>119</v>
      </c>
      <c r="D954" s="43">
        <v>-2</v>
      </c>
      <c r="E954" s="18" t="s">
        <v>125</v>
      </c>
    </row>
    <row r="956" spans="1:5">
      <c r="A956" s="265">
        <v>45846</v>
      </c>
      <c r="B956" s="93" t="s">
        <v>76</v>
      </c>
      <c r="C956" s="43" t="s">
        <v>119</v>
      </c>
      <c r="D956" s="43">
        <v>-1</v>
      </c>
      <c r="E956" s="18" t="s">
        <v>125</v>
      </c>
    </row>
    <row r="957" spans="1:5">
      <c r="A957" s="273">
        <v>45846</v>
      </c>
      <c r="B957" s="301" t="s">
        <v>78</v>
      </c>
      <c r="C957" s="235" t="s">
        <v>775</v>
      </c>
      <c r="D957" s="235">
        <v>100</v>
      </c>
      <c r="E957" s="217" t="s">
        <v>125</v>
      </c>
    </row>
    <row r="959" spans="1:5">
      <c r="A959" s="265">
        <v>45847</v>
      </c>
      <c r="B959" s="92" t="s">
        <v>789</v>
      </c>
      <c r="C959" s="43" t="s">
        <v>119</v>
      </c>
      <c r="D959" s="43">
        <v>-1</v>
      </c>
      <c r="E959" s="18" t="s">
        <v>125</v>
      </c>
    </row>
    <row r="960" spans="1:5">
      <c r="A960" s="265">
        <v>45847</v>
      </c>
      <c r="B960" s="93" t="s">
        <v>266</v>
      </c>
      <c r="C960" s="43" t="s">
        <v>119</v>
      </c>
      <c r="D960" s="43">
        <v>-1</v>
      </c>
      <c r="E960" s="18" t="s">
        <v>125</v>
      </c>
    </row>
    <row r="961" spans="1:6">
      <c r="A961" s="265">
        <v>45847</v>
      </c>
      <c r="B961" s="93" t="s">
        <v>266</v>
      </c>
      <c r="C961" s="43" t="s">
        <v>119</v>
      </c>
      <c r="D961" s="43">
        <v>-1</v>
      </c>
      <c r="E961" s="18" t="s">
        <v>125</v>
      </c>
    </row>
    <row r="962" spans="1:6">
      <c r="A962" s="265">
        <v>45847</v>
      </c>
      <c r="B962" s="93" t="s">
        <v>266</v>
      </c>
      <c r="C962" s="43" t="s">
        <v>119</v>
      </c>
      <c r="D962" s="43">
        <v>-1</v>
      </c>
      <c r="E962" s="18" t="s">
        <v>125</v>
      </c>
      <c r="F962" t="s">
        <v>850</v>
      </c>
    </row>
    <row r="963" spans="1:6">
      <c r="A963" s="273">
        <v>45848</v>
      </c>
      <c r="B963" s="301" t="s">
        <v>76</v>
      </c>
      <c r="C963" s="235" t="s">
        <v>809</v>
      </c>
      <c r="D963" s="235">
        <v>5</v>
      </c>
      <c r="E963" s="217" t="s">
        <v>125</v>
      </c>
    </row>
    <row r="964" spans="1:6">
      <c r="A964" s="265">
        <v>45848</v>
      </c>
      <c r="B964" s="93" t="s">
        <v>76</v>
      </c>
      <c r="C964" s="43" t="s">
        <v>119</v>
      </c>
      <c r="D964" s="43">
        <v>-5</v>
      </c>
      <c r="E964" s="18" t="s">
        <v>125</v>
      </c>
    </row>
    <row r="965" spans="1:6">
      <c r="A965" s="265">
        <v>45848</v>
      </c>
      <c r="B965" s="93" t="s">
        <v>78</v>
      </c>
      <c r="C965" s="43" t="s">
        <v>119</v>
      </c>
      <c r="D965" s="43">
        <v>-50</v>
      </c>
      <c r="E965" s="18" t="s">
        <v>125</v>
      </c>
    </row>
    <row r="966" spans="1:6">
      <c r="A966" s="265">
        <v>45848</v>
      </c>
      <c r="B966" s="93" t="s">
        <v>76</v>
      </c>
      <c r="C966" s="43" t="s">
        <v>119</v>
      </c>
      <c r="D966" s="43">
        <v>-2</v>
      </c>
      <c r="E966" s="18" t="s">
        <v>125</v>
      </c>
    </row>
    <row r="967" spans="1:6">
      <c r="A967" s="265">
        <v>45848</v>
      </c>
      <c r="B967" s="93" t="s">
        <v>78</v>
      </c>
      <c r="C967" s="43" t="s">
        <v>119</v>
      </c>
      <c r="D967" s="43">
        <v>-1</v>
      </c>
      <c r="E967" s="18" t="s">
        <v>125</v>
      </c>
    </row>
    <row r="968" spans="1:6">
      <c r="A968" s="265">
        <v>45848</v>
      </c>
      <c r="B968" s="93" t="s">
        <v>76</v>
      </c>
      <c r="C968" s="43" t="s">
        <v>119</v>
      </c>
      <c r="D968" s="43">
        <v>-1</v>
      </c>
      <c r="E968" s="18" t="s">
        <v>125</v>
      </c>
    </row>
    <row r="969" spans="1:6">
      <c r="A969" s="265">
        <v>45849</v>
      </c>
      <c r="B969" s="93" t="s">
        <v>266</v>
      </c>
      <c r="C969" s="43" t="s">
        <v>119</v>
      </c>
      <c r="D969" s="43">
        <v>-1</v>
      </c>
      <c r="E969" s="18" t="s">
        <v>125</v>
      </c>
    </row>
    <row r="970" spans="1:6">
      <c r="A970" s="316">
        <v>45848</v>
      </c>
      <c r="B970" s="317" t="s">
        <v>134</v>
      </c>
      <c r="C970" s="318" t="s">
        <v>851</v>
      </c>
      <c r="D970" s="318">
        <v>5</v>
      </c>
      <c r="E970" s="198" t="s">
        <v>125</v>
      </c>
    </row>
    <row r="971" spans="1:6">
      <c r="A971" s="272">
        <v>45849</v>
      </c>
      <c r="B971" s="128" t="s">
        <v>671</v>
      </c>
      <c r="C971" s="106" t="s">
        <v>49</v>
      </c>
      <c r="D971" s="106">
        <v>2</v>
      </c>
      <c r="E971" s="94" t="s">
        <v>125</v>
      </c>
    </row>
    <row r="973" spans="1:6">
      <c r="A973" s="286">
        <v>45849</v>
      </c>
      <c r="B973" s="302" t="s">
        <v>671</v>
      </c>
      <c r="C973" s="288" t="s">
        <v>635</v>
      </c>
      <c r="D973" s="288">
        <v>4</v>
      </c>
      <c r="E973" s="289" t="s">
        <v>125</v>
      </c>
    </row>
    <row r="975" spans="1:6">
      <c r="A975" s="286">
        <v>45849</v>
      </c>
      <c r="B975" s="287" t="s">
        <v>838</v>
      </c>
      <c r="C975" s="288" t="s">
        <v>635</v>
      </c>
      <c r="D975" s="288">
        <v>5</v>
      </c>
      <c r="E975" s="289" t="s">
        <v>125</v>
      </c>
    </row>
    <row r="976" spans="1:6">
      <c r="A976" s="286">
        <v>45849</v>
      </c>
      <c r="B976" s="287" t="s">
        <v>838</v>
      </c>
      <c r="C976" s="288" t="s">
        <v>635</v>
      </c>
      <c r="D976" s="288">
        <v>1</v>
      </c>
      <c r="E976" s="289" t="s">
        <v>125</v>
      </c>
    </row>
    <row r="977" spans="1:5">
      <c r="A977" s="286">
        <v>45849</v>
      </c>
      <c r="B977" s="287" t="s">
        <v>839</v>
      </c>
      <c r="C977" s="288" t="s">
        <v>635</v>
      </c>
      <c r="D977" s="288">
        <v>1</v>
      </c>
      <c r="E977" s="289" t="s">
        <v>125</v>
      </c>
    </row>
    <row r="978" spans="1:5">
      <c r="A978" s="286">
        <v>45849</v>
      </c>
      <c r="B978" s="287" t="s">
        <v>840</v>
      </c>
      <c r="C978" s="288" t="s">
        <v>635</v>
      </c>
      <c r="D978" s="288">
        <v>1</v>
      </c>
      <c r="E978" s="289" t="s">
        <v>125</v>
      </c>
    </row>
    <row r="979" spans="1:5">
      <c r="A979" s="286">
        <v>45849</v>
      </c>
      <c r="B979" s="287" t="s">
        <v>671</v>
      </c>
      <c r="C979" s="288" t="s">
        <v>635</v>
      </c>
      <c r="D979" s="288">
        <v>4</v>
      </c>
      <c r="E979" s="289" t="s">
        <v>125</v>
      </c>
    </row>
    <row r="981" spans="1:5">
      <c r="A981" s="286">
        <v>45849</v>
      </c>
      <c r="B981" s="287" t="s">
        <v>838</v>
      </c>
      <c r="C981" s="288" t="s">
        <v>635</v>
      </c>
      <c r="D981" s="288">
        <v>2</v>
      </c>
      <c r="E981" s="289" t="s">
        <v>125</v>
      </c>
    </row>
    <row r="982" spans="1:5">
      <c r="A982" s="286">
        <v>45849</v>
      </c>
      <c r="B982" s="287" t="s">
        <v>840</v>
      </c>
      <c r="C982" s="288" t="s">
        <v>635</v>
      </c>
      <c r="D982" s="288">
        <v>1</v>
      </c>
      <c r="E982" s="289" t="s">
        <v>125</v>
      </c>
    </row>
    <row r="983" spans="1:5">
      <c r="A983" s="286">
        <v>45849</v>
      </c>
      <c r="B983" s="287" t="s">
        <v>671</v>
      </c>
      <c r="C983" s="288" t="s">
        <v>635</v>
      </c>
      <c r="D983" s="288">
        <v>3</v>
      </c>
      <c r="E983" s="289" t="s">
        <v>125</v>
      </c>
    </row>
    <row r="984" spans="1:5">
      <c r="A984" s="286">
        <v>45849</v>
      </c>
      <c r="B984" s="287" t="s">
        <v>839</v>
      </c>
      <c r="C984" s="288" t="s">
        <v>635</v>
      </c>
      <c r="D984" s="288">
        <v>1</v>
      </c>
      <c r="E984" s="289" t="s">
        <v>125</v>
      </c>
    </row>
    <row r="985" spans="1:5">
      <c r="A985" s="286">
        <v>45849</v>
      </c>
      <c r="B985" s="287" t="s">
        <v>671</v>
      </c>
      <c r="C985" s="288" t="s">
        <v>635</v>
      </c>
      <c r="D985" s="288">
        <v>3</v>
      </c>
      <c r="E985" s="289" t="s">
        <v>125</v>
      </c>
    </row>
    <row r="986" spans="1:5">
      <c r="A986" s="286">
        <v>45849</v>
      </c>
      <c r="B986" s="287" t="s">
        <v>840</v>
      </c>
      <c r="C986" s="288" t="s">
        <v>635</v>
      </c>
      <c r="D986" s="288">
        <v>1</v>
      </c>
      <c r="E986" s="289" t="s">
        <v>125</v>
      </c>
    </row>
    <row r="987" spans="1:5">
      <c r="A987" s="286">
        <v>45849</v>
      </c>
      <c r="B987" s="287" t="s">
        <v>671</v>
      </c>
      <c r="C987" s="288" t="s">
        <v>635</v>
      </c>
      <c r="D987" s="288">
        <v>1</v>
      </c>
      <c r="E987" s="289" t="s">
        <v>125</v>
      </c>
    </row>
    <row r="988" spans="1:5">
      <c r="A988" s="286">
        <v>45849</v>
      </c>
      <c r="B988" s="287" t="s">
        <v>838</v>
      </c>
      <c r="C988" s="288" t="s">
        <v>635</v>
      </c>
      <c r="D988" s="288">
        <v>1</v>
      </c>
      <c r="E988" s="289" t="s">
        <v>125</v>
      </c>
    </row>
    <row r="989" spans="1:5">
      <c r="A989" s="286">
        <v>45849</v>
      </c>
      <c r="B989" s="287" t="s">
        <v>839</v>
      </c>
      <c r="C989" s="288" t="s">
        <v>635</v>
      </c>
      <c r="D989" s="288">
        <v>1</v>
      </c>
      <c r="E989" s="289" t="s">
        <v>125</v>
      </c>
    </row>
    <row r="990" spans="1:5">
      <c r="A990" s="286">
        <v>45849</v>
      </c>
      <c r="B990" s="287" t="s">
        <v>840</v>
      </c>
      <c r="C990" s="288" t="s">
        <v>635</v>
      </c>
      <c r="D990" s="288">
        <v>1</v>
      </c>
      <c r="E990" s="289" t="s">
        <v>125</v>
      </c>
    </row>
    <row r="991" spans="1:5">
      <c r="A991" s="286">
        <v>45849</v>
      </c>
      <c r="B991" s="287" t="s">
        <v>838</v>
      </c>
      <c r="C991" s="288" t="s">
        <v>635</v>
      </c>
      <c r="D991" s="288">
        <v>1</v>
      </c>
      <c r="E991" s="289" t="s">
        <v>125</v>
      </c>
    </row>
    <row r="992" spans="1:5">
      <c r="A992" s="286">
        <v>45849</v>
      </c>
      <c r="B992" s="287" t="s">
        <v>671</v>
      </c>
      <c r="C992" s="288" t="s">
        <v>635</v>
      </c>
      <c r="D992" s="288">
        <v>1</v>
      </c>
      <c r="E992" s="289" t="s">
        <v>125</v>
      </c>
    </row>
    <row r="994" spans="1:5">
      <c r="A994" s="286">
        <v>45849</v>
      </c>
      <c r="B994" s="287" t="s">
        <v>838</v>
      </c>
      <c r="C994" s="288" t="s">
        <v>635</v>
      </c>
      <c r="D994" s="288">
        <v>4</v>
      </c>
      <c r="E994" s="289" t="s">
        <v>125</v>
      </c>
    </row>
    <row r="995" spans="1:5">
      <c r="A995" s="286">
        <v>45849</v>
      </c>
      <c r="B995" s="287" t="s">
        <v>840</v>
      </c>
      <c r="C995" s="288" t="s">
        <v>635</v>
      </c>
      <c r="D995" s="288">
        <v>1</v>
      </c>
      <c r="E995" s="289" t="s">
        <v>125</v>
      </c>
    </row>
    <row r="996" spans="1:5">
      <c r="A996" s="286">
        <v>45849</v>
      </c>
      <c r="B996" s="287" t="s">
        <v>840</v>
      </c>
      <c r="C996" s="288" t="s">
        <v>635</v>
      </c>
      <c r="D996" s="288">
        <v>1</v>
      </c>
      <c r="E996" s="289" t="s">
        <v>125</v>
      </c>
    </row>
    <row r="997" spans="1:5">
      <c r="A997" s="286">
        <v>45849</v>
      </c>
      <c r="B997" s="287" t="s">
        <v>839</v>
      </c>
      <c r="C997" s="288" t="s">
        <v>635</v>
      </c>
      <c r="D997" s="288">
        <v>1</v>
      </c>
      <c r="E997" s="289" t="s">
        <v>125</v>
      </c>
    </row>
    <row r="998" spans="1:5">
      <c r="A998" s="286">
        <v>45849</v>
      </c>
      <c r="B998" s="287" t="s">
        <v>671</v>
      </c>
      <c r="C998" s="288" t="s">
        <v>635</v>
      </c>
      <c r="D998" s="288">
        <v>1</v>
      </c>
      <c r="E998" s="289" t="s">
        <v>125</v>
      </c>
    </row>
    <row r="999" spans="1:5">
      <c r="A999" s="286">
        <v>45849</v>
      </c>
      <c r="B999" s="287" t="s">
        <v>671</v>
      </c>
      <c r="C999" s="288" t="s">
        <v>635</v>
      </c>
      <c r="D999" s="288">
        <v>4</v>
      </c>
      <c r="E999" s="289" t="s">
        <v>125</v>
      </c>
    </row>
    <row r="1001" spans="1:5">
      <c r="A1001" s="286">
        <v>45849</v>
      </c>
      <c r="B1001" s="287" t="s">
        <v>76</v>
      </c>
      <c r="C1001" s="288" t="s">
        <v>635</v>
      </c>
      <c r="D1001" s="288">
        <v>150</v>
      </c>
      <c r="E1001" s="289" t="s">
        <v>125</v>
      </c>
    </row>
    <row r="1002" spans="1:5">
      <c r="A1002" s="286">
        <v>45849</v>
      </c>
      <c r="B1002" s="287" t="s">
        <v>76</v>
      </c>
      <c r="C1002" s="288" t="s">
        <v>635</v>
      </c>
      <c r="D1002" s="288">
        <v>100</v>
      </c>
      <c r="E1002" s="289" t="s">
        <v>125</v>
      </c>
    </row>
    <row r="1003" spans="1:5">
      <c r="A1003" s="286">
        <v>45849</v>
      </c>
      <c r="B1003" s="287" t="s">
        <v>120</v>
      </c>
      <c r="C1003" s="288" t="s">
        <v>635</v>
      </c>
      <c r="D1003" s="288">
        <v>100</v>
      </c>
      <c r="E1003" s="289" t="s">
        <v>125</v>
      </c>
    </row>
    <row r="1004" spans="1:5">
      <c r="A1004" s="286">
        <v>45849</v>
      </c>
      <c r="B1004" s="287" t="s">
        <v>843</v>
      </c>
      <c r="C1004" s="288" t="s">
        <v>845</v>
      </c>
      <c r="D1004" s="288">
        <v>5</v>
      </c>
      <c r="E1004" s="289" t="s">
        <v>125</v>
      </c>
    </row>
    <row r="1005" spans="1:5">
      <c r="A1005" s="286">
        <v>45849</v>
      </c>
      <c r="B1005" s="287" t="s">
        <v>844</v>
      </c>
      <c r="C1005" s="288" t="s">
        <v>845</v>
      </c>
      <c r="D1005" s="288">
        <v>5</v>
      </c>
      <c r="E1005" s="289" t="s">
        <v>125</v>
      </c>
    </row>
    <row r="1007" spans="1:5">
      <c r="A1007" s="265">
        <v>45849</v>
      </c>
      <c r="B1007" s="93" t="s">
        <v>838</v>
      </c>
      <c r="C1007" s="43" t="s">
        <v>119</v>
      </c>
      <c r="D1007" s="43">
        <v>-4</v>
      </c>
      <c r="E1007" s="18" t="s">
        <v>125</v>
      </c>
    </row>
    <row r="1008" spans="1:5">
      <c r="A1008" s="265">
        <v>45849</v>
      </c>
      <c r="B1008" s="93" t="s">
        <v>76</v>
      </c>
      <c r="C1008" s="43" t="s">
        <v>119</v>
      </c>
      <c r="D1008" s="43">
        <v>-10</v>
      </c>
      <c r="E1008" s="18" t="s">
        <v>125</v>
      </c>
    </row>
    <row r="1009" spans="1:5">
      <c r="A1009" s="265">
        <v>45849</v>
      </c>
      <c r="B1009" s="93" t="s">
        <v>76</v>
      </c>
      <c r="C1009" s="43" t="s">
        <v>119</v>
      </c>
      <c r="D1009" s="43">
        <v>-2</v>
      </c>
      <c r="E1009" s="18" t="s">
        <v>125</v>
      </c>
    </row>
    <row r="1011" spans="1:5">
      <c r="A1011" s="265">
        <v>45850</v>
      </c>
      <c r="B1011" s="93" t="s">
        <v>839</v>
      </c>
      <c r="C1011" s="43" t="s">
        <v>119</v>
      </c>
      <c r="D1011" s="43">
        <v>-3</v>
      </c>
      <c r="E1011" s="18" t="s">
        <v>125</v>
      </c>
    </row>
    <row r="1012" spans="1:5">
      <c r="A1012" s="265">
        <v>45850</v>
      </c>
      <c r="B1012" s="93" t="s">
        <v>671</v>
      </c>
      <c r="C1012" s="43" t="s">
        <v>119</v>
      </c>
      <c r="D1012" s="43">
        <v>-10</v>
      </c>
      <c r="E1012" s="18" t="s">
        <v>125</v>
      </c>
    </row>
    <row r="1013" spans="1:5">
      <c r="A1013" s="265">
        <v>45850</v>
      </c>
      <c r="B1013" s="93" t="s">
        <v>76</v>
      </c>
      <c r="C1013" s="43" t="s">
        <v>119</v>
      </c>
      <c r="D1013" s="43">
        <v>-12</v>
      </c>
      <c r="E1013" s="18" t="s">
        <v>125</v>
      </c>
    </row>
    <row r="1014" spans="1:5">
      <c r="A1014" s="265">
        <v>45850</v>
      </c>
      <c r="B1014" s="93" t="s">
        <v>838</v>
      </c>
      <c r="C1014" s="43" t="s">
        <v>119</v>
      </c>
      <c r="D1014" s="43">
        <v>-5</v>
      </c>
      <c r="E1014" s="18" t="s">
        <v>125</v>
      </c>
    </row>
    <row r="1016" spans="1:5">
      <c r="A1016" s="306">
        <v>45850</v>
      </c>
      <c r="B1016" s="242" t="s">
        <v>410</v>
      </c>
      <c r="C1016" s="240" t="s">
        <v>682</v>
      </c>
      <c r="D1016" s="240">
        <v>112</v>
      </c>
      <c r="E1016" s="241" t="s">
        <v>125</v>
      </c>
    </row>
    <row r="1017" spans="1:5">
      <c r="A1017" s="306">
        <v>45850</v>
      </c>
      <c r="B1017" s="239" t="s">
        <v>806</v>
      </c>
      <c r="C1017" s="240" t="s">
        <v>682</v>
      </c>
      <c r="D1017" s="240">
        <v>24</v>
      </c>
      <c r="E1017" s="241" t="s">
        <v>125</v>
      </c>
    </row>
    <row r="1018" spans="1:5">
      <c r="A1018" s="306">
        <v>45850</v>
      </c>
      <c r="B1018" s="239" t="s">
        <v>807</v>
      </c>
      <c r="C1018" s="240" t="s">
        <v>682</v>
      </c>
      <c r="D1018" s="240">
        <v>1</v>
      </c>
      <c r="E1018" s="241" t="s">
        <v>125</v>
      </c>
    </row>
    <row r="1020" spans="1:5">
      <c r="A1020" s="265">
        <v>45850</v>
      </c>
      <c r="B1020" s="84" t="s">
        <v>410</v>
      </c>
      <c r="C1020" s="43" t="s">
        <v>119</v>
      </c>
      <c r="D1020" s="43">
        <v>-112</v>
      </c>
      <c r="E1020" s="18" t="s">
        <v>125</v>
      </c>
    </row>
    <row r="1021" spans="1:5">
      <c r="A1021" s="265">
        <v>45850</v>
      </c>
      <c r="B1021" s="93" t="s">
        <v>806</v>
      </c>
      <c r="C1021" s="43" t="s">
        <v>119</v>
      </c>
      <c r="D1021" s="43">
        <v>-24</v>
      </c>
      <c r="E1021" s="18" t="s">
        <v>125</v>
      </c>
    </row>
    <row r="1022" spans="1:5">
      <c r="A1022" s="265">
        <v>45850</v>
      </c>
      <c r="B1022" s="93" t="s">
        <v>807</v>
      </c>
      <c r="C1022" s="43" t="s">
        <v>119</v>
      </c>
      <c r="D1022" s="43">
        <v>-1</v>
      </c>
      <c r="E1022" s="18" t="s">
        <v>125</v>
      </c>
    </row>
    <row r="1023" spans="1:5">
      <c r="A1023" s="265">
        <v>45850</v>
      </c>
      <c r="B1023" s="93" t="s">
        <v>76</v>
      </c>
      <c r="C1023" s="43" t="s">
        <v>119</v>
      </c>
      <c r="D1023" s="43">
        <v>-8</v>
      </c>
      <c r="E1023" s="18" t="s">
        <v>125</v>
      </c>
    </row>
    <row r="1024" spans="1:5">
      <c r="A1024" s="265">
        <v>45850</v>
      </c>
      <c r="B1024" s="93" t="s">
        <v>76</v>
      </c>
      <c r="C1024" s="43" t="s">
        <v>119</v>
      </c>
      <c r="D1024" s="43">
        <v>-30</v>
      </c>
      <c r="E1024" s="18" t="s">
        <v>125</v>
      </c>
    </row>
    <row r="1025" spans="1:5">
      <c r="A1025" s="265">
        <v>45850</v>
      </c>
      <c r="B1025" s="93" t="s">
        <v>76</v>
      </c>
      <c r="C1025" s="43" t="s">
        <v>119</v>
      </c>
      <c r="D1025" s="43">
        <v>-20</v>
      </c>
      <c r="E1025" s="18" t="s">
        <v>125</v>
      </c>
    </row>
    <row r="1026" spans="1:5">
      <c r="A1026" s="265">
        <v>45850</v>
      </c>
      <c r="B1026" s="93" t="s">
        <v>76</v>
      </c>
      <c r="C1026" s="43" t="s">
        <v>119</v>
      </c>
      <c r="D1026" s="43">
        <v>-5</v>
      </c>
      <c r="E1026" s="18" t="s">
        <v>125</v>
      </c>
    </row>
    <row r="1027" spans="1:5">
      <c r="A1027" s="265">
        <v>45850</v>
      </c>
      <c r="B1027" s="92" t="s">
        <v>78</v>
      </c>
      <c r="C1027" s="43" t="s">
        <v>119</v>
      </c>
      <c r="D1027" s="43">
        <v>-5</v>
      </c>
      <c r="E1027" s="18" t="s">
        <v>125</v>
      </c>
    </row>
    <row r="1028" spans="1:5">
      <c r="A1028" s="265">
        <v>45850</v>
      </c>
      <c r="B1028" s="93" t="s">
        <v>76</v>
      </c>
      <c r="C1028" s="43" t="s">
        <v>119</v>
      </c>
      <c r="D1028" s="43">
        <v>-30</v>
      </c>
      <c r="E1028" s="18" t="s">
        <v>125</v>
      </c>
    </row>
    <row r="1029" spans="1:5">
      <c r="A1029" s="265">
        <v>45850</v>
      </c>
      <c r="B1029" s="92" t="s">
        <v>789</v>
      </c>
      <c r="C1029" s="43" t="s">
        <v>119</v>
      </c>
      <c r="D1029" s="33">
        <v>-1</v>
      </c>
      <c r="E1029" s="18" t="s">
        <v>125</v>
      </c>
    </row>
    <row r="1031" spans="1:5">
      <c r="A1031" s="265">
        <v>45852</v>
      </c>
      <c r="B1031" s="93" t="s">
        <v>76</v>
      </c>
      <c r="C1031" s="43" t="s">
        <v>119</v>
      </c>
      <c r="D1031" s="43">
        <v>-4</v>
      </c>
      <c r="E1031" s="18" t="s">
        <v>125</v>
      </c>
    </row>
    <row r="1032" spans="1:5">
      <c r="A1032" s="265">
        <v>45852</v>
      </c>
      <c r="B1032" s="92" t="s">
        <v>789</v>
      </c>
      <c r="C1032" s="43" t="s">
        <v>119</v>
      </c>
      <c r="D1032" s="43">
        <v>-5</v>
      </c>
      <c r="E1032" s="18" t="s">
        <v>125</v>
      </c>
    </row>
    <row r="1033" spans="1:5">
      <c r="A1033" s="265">
        <v>45852</v>
      </c>
      <c r="B1033" s="92" t="s">
        <v>78</v>
      </c>
      <c r="C1033" s="43" t="s">
        <v>119</v>
      </c>
      <c r="D1033" s="33">
        <v>-3</v>
      </c>
      <c r="E1033" s="18" t="s">
        <v>125</v>
      </c>
    </row>
    <row r="1034" spans="1:5">
      <c r="A1034" s="265">
        <v>45852</v>
      </c>
      <c r="B1034" s="93" t="s">
        <v>76</v>
      </c>
      <c r="C1034" s="43" t="s">
        <v>119</v>
      </c>
      <c r="D1034" s="43">
        <v>-5</v>
      </c>
      <c r="E1034" s="18" t="s">
        <v>125</v>
      </c>
    </row>
    <row r="1035" spans="1:5">
      <c r="A1035" s="265">
        <v>45852</v>
      </c>
      <c r="B1035" s="92" t="s">
        <v>78</v>
      </c>
      <c r="C1035" s="43" t="s">
        <v>119</v>
      </c>
      <c r="D1035" s="43">
        <v>-1</v>
      </c>
      <c r="E1035" s="18" t="s">
        <v>125</v>
      </c>
    </row>
    <row r="1037" spans="1:5">
      <c r="A1037" s="265">
        <v>45853</v>
      </c>
      <c r="B1037" s="92" t="s">
        <v>78</v>
      </c>
      <c r="C1037" s="43" t="s">
        <v>119</v>
      </c>
      <c r="D1037" s="43">
        <v>-20</v>
      </c>
      <c r="E1037" s="18" t="s">
        <v>125</v>
      </c>
    </row>
    <row r="1038" spans="1:5">
      <c r="A1038" s="265">
        <v>45853</v>
      </c>
      <c r="B1038" s="92" t="s">
        <v>78</v>
      </c>
      <c r="C1038" s="43" t="s">
        <v>119</v>
      </c>
      <c r="D1038" s="43">
        <v>-1</v>
      </c>
      <c r="E1038" s="18" t="s">
        <v>125</v>
      </c>
    </row>
    <row r="1039" spans="1:5">
      <c r="A1039" s="265">
        <v>45853</v>
      </c>
      <c r="B1039" s="84" t="s">
        <v>498</v>
      </c>
      <c r="C1039" s="43" t="s">
        <v>119</v>
      </c>
      <c r="D1039" s="33">
        <v>-1</v>
      </c>
      <c r="E1039" s="18" t="s">
        <v>125</v>
      </c>
    </row>
    <row r="1040" spans="1:5">
      <c r="A1040" s="273">
        <v>45843</v>
      </c>
      <c r="B1040" s="301" t="s">
        <v>78</v>
      </c>
      <c r="C1040" s="235" t="s">
        <v>775</v>
      </c>
      <c r="D1040" s="235">
        <v>40</v>
      </c>
      <c r="E1040" s="217" t="s">
        <v>125</v>
      </c>
    </row>
    <row r="1041" spans="1:5">
      <c r="A1041" s="265">
        <v>45853</v>
      </c>
      <c r="B1041" s="92" t="s">
        <v>78</v>
      </c>
      <c r="C1041" s="43" t="s">
        <v>119</v>
      </c>
      <c r="D1041" s="43">
        <v>-40</v>
      </c>
      <c r="E1041" s="18" t="s">
        <v>125</v>
      </c>
    </row>
    <row r="1042" spans="1:5">
      <c r="A1042" s="265">
        <v>45853</v>
      </c>
      <c r="B1042" s="92" t="s">
        <v>789</v>
      </c>
      <c r="C1042" s="43" t="s">
        <v>119</v>
      </c>
      <c r="D1042" s="43">
        <v>-1</v>
      </c>
      <c r="E1042" s="18" t="s">
        <v>125</v>
      </c>
    </row>
    <row r="1043" spans="1:5">
      <c r="A1043" s="265">
        <v>45853</v>
      </c>
      <c r="B1043" s="93" t="s">
        <v>76</v>
      </c>
      <c r="C1043" s="43" t="s">
        <v>119</v>
      </c>
      <c r="D1043" s="43">
        <v>-20</v>
      </c>
      <c r="E1043" s="18" t="s">
        <v>125</v>
      </c>
    </row>
    <row r="1044" spans="1:5">
      <c r="A1044" s="265">
        <v>45853</v>
      </c>
      <c r="B1044" s="93" t="s">
        <v>76</v>
      </c>
      <c r="C1044" s="43" t="s">
        <v>119</v>
      </c>
      <c r="D1044" s="43">
        <v>-5</v>
      </c>
      <c r="E1044" s="18" t="s">
        <v>125</v>
      </c>
    </row>
    <row r="1045" spans="1:5">
      <c r="A1045" s="265">
        <v>45853</v>
      </c>
      <c r="B1045" s="92" t="s">
        <v>78</v>
      </c>
      <c r="C1045" s="43" t="s">
        <v>119</v>
      </c>
      <c r="D1045" s="43">
        <v>-5</v>
      </c>
      <c r="E1045" s="18" t="s">
        <v>125</v>
      </c>
    </row>
    <row r="1046" spans="1:5">
      <c r="A1046" s="265">
        <v>45853</v>
      </c>
      <c r="B1046" s="92" t="s">
        <v>78</v>
      </c>
      <c r="C1046" s="43" t="s">
        <v>119</v>
      </c>
      <c r="D1046" s="43">
        <v>-11</v>
      </c>
      <c r="E1046" s="18" t="s">
        <v>125</v>
      </c>
    </row>
    <row r="1053" spans="1:5">
      <c r="A1053" s="265">
        <v>45848</v>
      </c>
      <c r="B1053" s="84" t="s">
        <v>134</v>
      </c>
      <c r="C1053" s="43" t="s">
        <v>678</v>
      </c>
      <c r="D1053" s="43">
        <v>-1</v>
      </c>
      <c r="E1053" s="18" t="s">
        <v>125</v>
      </c>
    </row>
    <row r="1054" spans="1:5">
      <c r="A1054" s="265">
        <v>45849</v>
      </c>
      <c r="B1054" s="84" t="s">
        <v>134</v>
      </c>
      <c r="C1054" s="43" t="s">
        <v>678</v>
      </c>
      <c r="D1054" s="43">
        <v>-1</v>
      </c>
      <c r="E1054" s="18" t="s">
        <v>125</v>
      </c>
    </row>
    <row r="1055" spans="1:5">
      <c r="A1055" s="265">
        <v>45850</v>
      </c>
      <c r="B1055" s="84" t="s">
        <v>134</v>
      </c>
      <c r="C1055" s="43" t="s">
        <v>678</v>
      </c>
      <c r="D1055" s="43">
        <v>-1</v>
      </c>
      <c r="E1055" s="18" t="s">
        <v>125</v>
      </c>
    </row>
    <row r="1056" spans="1:5">
      <c r="A1056" s="265">
        <v>45850</v>
      </c>
      <c r="B1056" s="84" t="s">
        <v>134</v>
      </c>
      <c r="C1056" s="43" t="s">
        <v>678</v>
      </c>
      <c r="D1056" s="43">
        <v>-1</v>
      </c>
      <c r="E1056" s="18" t="s">
        <v>125</v>
      </c>
    </row>
    <row r="1057" spans="1:5">
      <c r="A1057" s="265">
        <v>45852</v>
      </c>
      <c r="B1057" s="84" t="s">
        <v>134</v>
      </c>
      <c r="C1057" s="43" t="s">
        <v>678</v>
      </c>
      <c r="D1057" s="43">
        <v>-1</v>
      </c>
      <c r="E1057" s="18" t="s">
        <v>125</v>
      </c>
    </row>
    <row r="1059" spans="1:5">
      <c r="A1059" s="265">
        <v>45854</v>
      </c>
      <c r="B1059" s="92" t="s">
        <v>671</v>
      </c>
      <c r="C1059" s="43" t="s">
        <v>119</v>
      </c>
      <c r="D1059" s="43">
        <v>-7</v>
      </c>
      <c r="E1059" s="18" t="s">
        <v>125</v>
      </c>
    </row>
    <row r="1061" spans="1:5">
      <c r="A1061" s="265">
        <v>45855</v>
      </c>
      <c r="B1061" s="92" t="s">
        <v>78</v>
      </c>
      <c r="C1061" s="43" t="s">
        <v>119</v>
      </c>
      <c r="D1061" s="43">
        <v>-10</v>
      </c>
      <c r="E1061" s="18" t="s">
        <v>125</v>
      </c>
    </row>
    <row r="1062" spans="1:5">
      <c r="A1062" s="265">
        <v>45855</v>
      </c>
      <c r="B1062" s="84" t="s">
        <v>498</v>
      </c>
      <c r="C1062" s="267" t="s">
        <v>119</v>
      </c>
      <c r="D1062" s="43">
        <v>-1</v>
      </c>
      <c r="E1062" s="18" t="s">
        <v>125</v>
      </c>
    </row>
    <row r="1063" spans="1:5">
      <c r="A1063" s="265">
        <v>45855</v>
      </c>
      <c r="B1063" s="93" t="s">
        <v>120</v>
      </c>
      <c r="C1063" s="267" t="s">
        <v>119</v>
      </c>
      <c r="D1063" s="43">
        <v>-32</v>
      </c>
      <c r="E1063" s="18" t="s">
        <v>125</v>
      </c>
    </row>
    <row r="1064" spans="1:5">
      <c r="A1064" s="265">
        <v>45855</v>
      </c>
      <c r="B1064" s="92" t="s">
        <v>81</v>
      </c>
      <c r="C1064" s="267" t="s">
        <v>119</v>
      </c>
      <c r="D1064" s="43">
        <v>-8</v>
      </c>
      <c r="E1064" s="18" t="s">
        <v>125</v>
      </c>
    </row>
    <row r="1065" spans="1:5">
      <c r="A1065" s="265">
        <v>45855</v>
      </c>
      <c r="B1065" s="93" t="s">
        <v>838</v>
      </c>
      <c r="C1065" s="43" t="s">
        <v>119</v>
      </c>
      <c r="D1065" s="43">
        <v>-4</v>
      </c>
      <c r="E1065" s="18" t="s">
        <v>125</v>
      </c>
    </row>
    <row r="1066" spans="1:5">
      <c r="A1066" s="265">
        <v>45855</v>
      </c>
      <c r="B1066" s="92" t="s">
        <v>789</v>
      </c>
      <c r="C1066" s="43" t="s">
        <v>119</v>
      </c>
      <c r="D1066" s="43">
        <v>-1</v>
      </c>
      <c r="E1066" s="18" t="s">
        <v>125</v>
      </c>
    </row>
    <row r="1067" spans="1:5">
      <c r="A1067" s="265">
        <v>45855</v>
      </c>
      <c r="B1067" s="93" t="s">
        <v>76</v>
      </c>
      <c r="C1067" s="43" t="s">
        <v>119</v>
      </c>
      <c r="D1067" s="43">
        <v>-10</v>
      </c>
      <c r="E1067" s="18" t="s">
        <v>125</v>
      </c>
    </row>
    <row r="1068" spans="1:5">
      <c r="A1068" s="265">
        <v>45855</v>
      </c>
      <c r="B1068" s="92" t="s">
        <v>78</v>
      </c>
      <c r="C1068" s="43" t="s">
        <v>119</v>
      </c>
      <c r="D1068" s="43">
        <v>-3</v>
      </c>
      <c r="E1068" s="18" t="s">
        <v>125</v>
      </c>
    </row>
    <row r="1070" spans="1:5">
      <c r="A1070" s="265">
        <v>45856</v>
      </c>
      <c r="B1070" s="93" t="s">
        <v>92</v>
      </c>
      <c r="C1070" s="43" t="s">
        <v>119</v>
      </c>
      <c r="D1070" s="43">
        <v>-1</v>
      </c>
      <c r="E1070" s="18" t="s">
        <v>125</v>
      </c>
    </row>
    <row r="1071" spans="1:5">
      <c r="A1071" s="265">
        <v>45856</v>
      </c>
      <c r="B1071" s="93" t="s">
        <v>76</v>
      </c>
      <c r="C1071" s="43" t="s">
        <v>119</v>
      </c>
      <c r="D1071" s="43">
        <v>-10</v>
      </c>
      <c r="E1071" s="18" t="s">
        <v>125</v>
      </c>
    </row>
    <row r="1073" spans="1:5">
      <c r="A1073" s="265">
        <v>45858</v>
      </c>
      <c r="B1073" s="93" t="s">
        <v>76</v>
      </c>
      <c r="C1073" s="43" t="s">
        <v>119</v>
      </c>
      <c r="D1073" s="43">
        <v>-78</v>
      </c>
      <c r="E1073" s="18" t="s">
        <v>125</v>
      </c>
    </row>
    <row r="1075" spans="1:5">
      <c r="A1075" s="323">
        <v>45859</v>
      </c>
      <c r="B1075" s="324" t="s">
        <v>410</v>
      </c>
      <c r="C1075" s="322" t="s">
        <v>682</v>
      </c>
      <c r="D1075" s="322">
        <v>9</v>
      </c>
      <c r="E1075" s="321" t="s">
        <v>125</v>
      </c>
    </row>
    <row r="1076" spans="1:5">
      <c r="A1076" s="323">
        <v>45859</v>
      </c>
      <c r="B1076" s="324" t="s">
        <v>856</v>
      </c>
      <c r="C1076" s="322" t="s">
        <v>682</v>
      </c>
      <c r="D1076" s="322">
        <v>39</v>
      </c>
      <c r="E1076" s="321" t="s">
        <v>125</v>
      </c>
    </row>
    <row r="1077" spans="1:5">
      <c r="A1077" s="323">
        <v>45859</v>
      </c>
      <c r="B1077" s="325" t="s">
        <v>806</v>
      </c>
      <c r="C1077" s="322" t="s">
        <v>682</v>
      </c>
      <c r="D1077" s="322">
        <v>35</v>
      </c>
      <c r="E1077" s="321" t="s">
        <v>125</v>
      </c>
    </row>
    <row r="1078" spans="1:5">
      <c r="A1078" s="323">
        <v>45859</v>
      </c>
      <c r="B1078" s="325" t="s">
        <v>807</v>
      </c>
      <c r="C1078" s="322" t="s">
        <v>682</v>
      </c>
      <c r="D1078" s="322">
        <v>15</v>
      </c>
      <c r="E1078" s="321" t="s">
        <v>125</v>
      </c>
    </row>
    <row r="1079" spans="1:5">
      <c r="A1079" s="323">
        <v>45859</v>
      </c>
      <c r="B1079" s="325" t="s">
        <v>808</v>
      </c>
      <c r="C1079" s="322" t="s">
        <v>682</v>
      </c>
      <c r="D1079" s="322">
        <v>7</v>
      </c>
      <c r="E1079" s="321" t="s">
        <v>125</v>
      </c>
    </row>
    <row r="1081" spans="1:5">
      <c r="A1081" s="265">
        <v>45859</v>
      </c>
      <c r="B1081" s="84" t="s">
        <v>498</v>
      </c>
      <c r="C1081" s="43" t="s">
        <v>119</v>
      </c>
      <c r="D1081" s="43">
        <v>-1</v>
      </c>
      <c r="E1081" s="18" t="s">
        <v>125</v>
      </c>
    </row>
    <row r="1083" spans="1:5">
      <c r="A1083" s="265">
        <v>45860</v>
      </c>
      <c r="B1083" s="93" t="s">
        <v>806</v>
      </c>
      <c r="C1083" s="43" t="s">
        <v>119</v>
      </c>
      <c r="D1083" s="43">
        <v>-35</v>
      </c>
      <c r="E1083" s="18" t="s">
        <v>125</v>
      </c>
    </row>
    <row r="1084" spans="1:5">
      <c r="A1084" s="265">
        <v>45860</v>
      </c>
      <c r="B1084" s="93" t="s">
        <v>856</v>
      </c>
      <c r="C1084" s="43" t="s">
        <v>119</v>
      </c>
      <c r="D1084" s="43">
        <v>-39</v>
      </c>
      <c r="E1084" s="18" t="s">
        <v>125</v>
      </c>
    </row>
    <row r="1085" spans="1:5">
      <c r="A1085" s="265">
        <v>45860</v>
      </c>
      <c r="B1085" s="93" t="s">
        <v>410</v>
      </c>
      <c r="C1085" s="43" t="s">
        <v>119</v>
      </c>
      <c r="D1085" s="43">
        <v>-8</v>
      </c>
      <c r="E1085" s="18" t="s">
        <v>125</v>
      </c>
    </row>
    <row r="1086" spans="1:5">
      <c r="A1086" s="265">
        <v>45860</v>
      </c>
      <c r="B1086" s="93" t="s">
        <v>808</v>
      </c>
      <c r="C1086" s="43" t="s">
        <v>119</v>
      </c>
      <c r="D1086" s="43">
        <v>-7</v>
      </c>
      <c r="E1086" s="18" t="s">
        <v>125</v>
      </c>
    </row>
    <row r="1087" spans="1:5">
      <c r="A1087" s="265">
        <v>45860</v>
      </c>
      <c r="B1087" s="93" t="s">
        <v>807</v>
      </c>
      <c r="C1087" s="43" t="s">
        <v>119</v>
      </c>
      <c r="D1087" s="43">
        <v>-15</v>
      </c>
      <c r="E1087" s="18" t="s">
        <v>125</v>
      </c>
    </row>
    <row r="1089" spans="1:5">
      <c r="A1089" s="265">
        <v>45860</v>
      </c>
      <c r="B1089" s="92" t="s">
        <v>642</v>
      </c>
      <c r="C1089" s="43" t="s">
        <v>119</v>
      </c>
      <c r="D1089" s="43">
        <v>-5</v>
      </c>
      <c r="E1089" s="18" t="s">
        <v>125</v>
      </c>
    </row>
    <row r="1091" spans="1:5">
      <c r="A1091" s="265">
        <v>45862</v>
      </c>
      <c r="B1091" s="92" t="s">
        <v>642</v>
      </c>
      <c r="C1091" s="43" t="s">
        <v>119</v>
      </c>
      <c r="D1091" s="43">
        <v>-1</v>
      </c>
      <c r="E1091" s="18" t="s">
        <v>125</v>
      </c>
    </row>
    <row r="1092" spans="1:5">
      <c r="A1092" s="265">
        <v>45862</v>
      </c>
      <c r="B1092" s="92" t="s">
        <v>78</v>
      </c>
      <c r="C1092" s="43" t="s">
        <v>119</v>
      </c>
      <c r="D1092" s="33">
        <v>-1</v>
      </c>
      <c r="E1092" s="18" t="s">
        <v>125</v>
      </c>
    </row>
    <row r="1093" spans="1:5">
      <c r="A1093" s="265">
        <v>45863</v>
      </c>
      <c r="B1093" s="92" t="s">
        <v>662</v>
      </c>
      <c r="C1093" s="43" t="s">
        <v>119</v>
      </c>
      <c r="D1093" s="43">
        <v>-15</v>
      </c>
      <c r="E1093" s="18" t="s">
        <v>125</v>
      </c>
    </row>
    <row r="1095" spans="1:5">
      <c r="A1095" s="323">
        <v>45863</v>
      </c>
      <c r="B1095" s="324" t="s">
        <v>131</v>
      </c>
      <c r="C1095" s="322" t="s">
        <v>682</v>
      </c>
      <c r="D1095" s="322">
        <v>15</v>
      </c>
      <c r="E1095" s="321" t="s">
        <v>125</v>
      </c>
    </row>
    <row r="1096" spans="1:5">
      <c r="A1096" s="323">
        <v>45863</v>
      </c>
      <c r="B1096" s="325" t="s">
        <v>806</v>
      </c>
      <c r="C1096" s="322" t="s">
        <v>682</v>
      </c>
      <c r="D1096" s="322">
        <v>21</v>
      </c>
      <c r="E1096" s="321" t="s">
        <v>125</v>
      </c>
    </row>
    <row r="1097" spans="1:5">
      <c r="A1097" s="323">
        <v>45863</v>
      </c>
      <c r="B1097" s="325" t="s">
        <v>807</v>
      </c>
      <c r="C1097" s="322" t="s">
        <v>682</v>
      </c>
      <c r="D1097" s="322">
        <v>3</v>
      </c>
      <c r="E1097" s="321" t="s">
        <v>125</v>
      </c>
    </row>
    <row r="1098" spans="1:5">
      <c r="A1098" s="323">
        <v>45863</v>
      </c>
      <c r="B1098" s="325" t="s">
        <v>808</v>
      </c>
      <c r="C1098" s="322" t="s">
        <v>682</v>
      </c>
      <c r="D1098" s="322">
        <v>6</v>
      </c>
      <c r="E1098" s="321" t="s">
        <v>125</v>
      </c>
    </row>
    <row r="1100" spans="1:5">
      <c r="A1100" s="265">
        <v>45863</v>
      </c>
      <c r="B1100" s="84" t="s">
        <v>498</v>
      </c>
      <c r="C1100" s="43" t="s">
        <v>119</v>
      </c>
      <c r="D1100" s="43">
        <v>-1</v>
      </c>
      <c r="E1100" s="18" t="s">
        <v>125</v>
      </c>
    </row>
    <row r="1101" spans="1:5">
      <c r="A1101" s="265">
        <v>45863</v>
      </c>
      <c r="B1101" s="93" t="s">
        <v>92</v>
      </c>
      <c r="C1101" s="43" t="s">
        <v>119</v>
      </c>
      <c r="D1101" s="43">
        <v>-1</v>
      </c>
      <c r="E1101" s="18" t="s">
        <v>125</v>
      </c>
    </row>
    <row r="1103" spans="1:5">
      <c r="A1103" s="265">
        <v>45864</v>
      </c>
      <c r="B1103" s="92" t="s">
        <v>662</v>
      </c>
      <c r="C1103" s="43" t="s">
        <v>119</v>
      </c>
      <c r="D1103" s="43">
        <v>-18</v>
      </c>
      <c r="E1103" s="18" t="s">
        <v>125</v>
      </c>
    </row>
    <row r="1104" spans="1:5">
      <c r="A1104" s="265">
        <v>45864</v>
      </c>
      <c r="B1104" s="84" t="s">
        <v>498</v>
      </c>
      <c r="C1104" s="43" t="s">
        <v>119</v>
      </c>
      <c r="D1104" s="43">
        <v>-1</v>
      </c>
      <c r="E1104" s="18" t="s">
        <v>125</v>
      </c>
    </row>
    <row r="1105" spans="1:6">
      <c r="A1105" s="265">
        <v>45864</v>
      </c>
      <c r="B1105" s="92" t="s">
        <v>672</v>
      </c>
      <c r="C1105" s="43" t="s">
        <v>119</v>
      </c>
      <c r="D1105" s="43">
        <v>-1</v>
      </c>
      <c r="E1105" s="18" t="s">
        <v>125</v>
      </c>
    </row>
    <row r="1107" spans="1:6">
      <c r="A1107" s="265">
        <v>45866</v>
      </c>
      <c r="B1107" s="92" t="s">
        <v>789</v>
      </c>
      <c r="C1107" s="43" t="s">
        <v>119</v>
      </c>
      <c r="D1107" s="43">
        <v>-2</v>
      </c>
      <c r="E1107" s="18" t="s">
        <v>125</v>
      </c>
    </row>
    <row r="1109" spans="1:6">
      <c r="A1109" s="265">
        <v>45866</v>
      </c>
      <c r="B1109" s="84" t="s">
        <v>131</v>
      </c>
      <c r="C1109" s="43" t="s">
        <v>119</v>
      </c>
      <c r="D1109" s="43">
        <v>-15</v>
      </c>
      <c r="E1109" s="18" t="s">
        <v>125</v>
      </c>
    </row>
    <row r="1110" spans="1:6">
      <c r="A1110" s="265">
        <v>45866</v>
      </c>
      <c r="B1110" s="93" t="s">
        <v>806</v>
      </c>
      <c r="C1110" s="43" t="s">
        <v>119</v>
      </c>
      <c r="D1110" s="43">
        <v>-21</v>
      </c>
      <c r="E1110" s="18" t="s">
        <v>125</v>
      </c>
    </row>
    <row r="1111" spans="1:6">
      <c r="A1111" s="265">
        <v>45866</v>
      </c>
      <c r="B1111" s="93" t="s">
        <v>807</v>
      </c>
      <c r="C1111" s="43" t="s">
        <v>119</v>
      </c>
      <c r="D1111" s="43">
        <v>-3</v>
      </c>
      <c r="E1111" s="18" t="s">
        <v>125</v>
      </c>
    </row>
    <row r="1112" spans="1:6">
      <c r="A1112" s="265">
        <v>45866</v>
      </c>
      <c r="B1112" s="93" t="s">
        <v>808</v>
      </c>
      <c r="C1112" s="43" t="s">
        <v>119</v>
      </c>
      <c r="D1112" s="43">
        <v>-6</v>
      </c>
      <c r="E1112" s="18" t="s">
        <v>125</v>
      </c>
    </row>
    <row r="1113" spans="1:6">
      <c r="A1113" s="265">
        <v>45866</v>
      </c>
      <c r="B1113" s="93" t="s">
        <v>582</v>
      </c>
      <c r="C1113" s="43" t="s">
        <v>119</v>
      </c>
      <c r="D1113" s="33">
        <v>-12</v>
      </c>
      <c r="E1113" s="18" t="s">
        <v>125</v>
      </c>
    </row>
    <row r="1114" spans="1:6">
      <c r="A1114" s="272">
        <v>45867</v>
      </c>
      <c r="B1114" s="128" t="s">
        <v>671</v>
      </c>
      <c r="C1114" s="106" t="s">
        <v>49</v>
      </c>
      <c r="D1114" s="106">
        <v>4</v>
      </c>
      <c r="E1114" s="94" t="s">
        <v>125</v>
      </c>
      <c r="F1114" t="s">
        <v>860</v>
      </c>
    </row>
    <row r="1115" spans="1:6">
      <c r="A1115" s="272">
        <v>45867</v>
      </c>
      <c r="B1115" s="128" t="s">
        <v>789</v>
      </c>
      <c r="C1115" s="106" t="s">
        <v>49</v>
      </c>
      <c r="D1115" s="106">
        <v>3</v>
      </c>
      <c r="E1115" s="94" t="s">
        <v>125</v>
      </c>
    </row>
    <row r="1116" spans="1:6">
      <c r="A1116" s="272">
        <v>45867</v>
      </c>
      <c r="B1116" s="234" t="s">
        <v>497</v>
      </c>
      <c r="C1116" s="106" t="s">
        <v>49</v>
      </c>
      <c r="D1116" s="106">
        <v>10</v>
      </c>
      <c r="E1116" s="94" t="s">
        <v>125</v>
      </c>
    </row>
    <row r="1117" spans="1:6">
      <c r="A1117" s="272">
        <v>45867</v>
      </c>
      <c r="B1117" s="234" t="s">
        <v>881</v>
      </c>
      <c r="C1117" s="106" t="s">
        <v>49</v>
      </c>
      <c r="D1117" s="106">
        <v>30</v>
      </c>
      <c r="E1117" s="94" t="s">
        <v>125</v>
      </c>
    </row>
    <row r="1118" spans="1:6">
      <c r="A1118" s="272">
        <v>45867</v>
      </c>
      <c r="B1118" s="128" t="s">
        <v>882</v>
      </c>
      <c r="C1118" s="106" t="s">
        <v>49</v>
      </c>
      <c r="D1118" s="106">
        <v>28</v>
      </c>
      <c r="E1118" s="94" t="s">
        <v>125</v>
      </c>
    </row>
    <row r="1119" spans="1:6">
      <c r="A1119" s="272">
        <v>45867</v>
      </c>
      <c r="B1119" s="139" t="s">
        <v>865</v>
      </c>
      <c r="C1119" s="106" t="s">
        <v>49</v>
      </c>
      <c r="D1119" s="106">
        <v>1</v>
      </c>
      <c r="E1119" s="94" t="s">
        <v>125</v>
      </c>
    </row>
    <row r="1120" spans="1:6">
      <c r="A1120" s="272">
        <v>45867</v>
      </c>
      <c r="B1120" s="139" t="s">
        <v>671</v>
      </c>
      <c r="C1120" s="106" t="s">
        <v>49</v>
      </c>
      <c r="D1120" s="106">
        <v>6</v>
      </c>
      <c r="E1120" s="94" t="s">
        <v>125</v>
      </c>
    </row>
    <row r="1121" spans="1:5">
      <c r="A1121" s="272">
        <v>45867</v>
      </c>
      <c r="B1121" s="139" t="s">
        <v>671</v>
      </c>
      <c r="C1121" s="106" t="s">
        <v>49</v>
      </c>
      <c r="D1121" s="106">
        <v>3</v>
      </c>
      <c r="E1121" s="94" t="s">
        <v>125</v>
      </c>
    </row>
    <row r="1122" spans="1:5">
      <c r="A1122" s="272">
        <v>45867</v>
      </c>
      <c r="B1122" s="139" t="s">
        <v>838</v>
      </c>
      <c r="C1122" s="106" t="s">
        <v>49</v>
      </c>
      <c r="D1122" s="106">
        <v>1</v>
      </c>
      <c r="E1122" s="94" t="s">
        <v>125</v>
      </c>
    </row>
    <row r="1124" spans="1:5">
      <c r="A1124" s="272">
        <v>45867</v>
      </c>
      <c r="B1124" s="139" t="s">
        <v>671</v>
      </c>
      <c r="C1124" s="106" t="s">
        <v>49</v>
      </c>
      <c r="D1124" s="106">
        <v>2</v>
      </c>
      <c r="E1124" s="94" t="s">
        <v>125</v>
      </c>
    </row>
    <row r="1125" spans="1:5">
      <c r="A1125" s="272">
        <v>45867</v>
      </c>
      <c r="B1125" s="234" t="s">
        <v>881</v>
      </c>
      <c r="C1125" s="106" t="s">
        <v>49</v>
      </c>
      <c r="D1125" s="106">
        <v>1</v>
      </c>
      <c r="E1125" s="94" t="s">
        <v>125</v>
      </c>
    </row>
    <row r="1126" spans="1:5">
      <c r="A1126" s="272">
        <v>45867</v>
      </c>
      <c r="B1126" s="139" t="s">
        <v>808</v>
      </c>
      <c r="C1126" s="106" t="s">
        <v>49</v>
      </c>
      <c r="D1126" s="106">
        <v>1</v>
      </c>
      <c r="E1126" s="94" t="s">
        <v>125</v>
      </c>
    </row>
    <row r="1127" spans="1:5">
      <c r="A1127" s="272">
        <v>45867</v>
      </c>
      <c r="B1127" s="139" t="s">
        <v>807</v>
      </c>
      <c r="C1127" s="106" t="s">
        <v>49</v>
      </c>
      <c r="D1127" s="106">
        <v>1</v>
      </c>
      <c r="E1127" s="94" t="s">
        <v>125</v>
      </c>
    </row>
    <row r="1128" spans="1:5">
      <c r="A1128" s="272">
        <v>45867</v>
      </c>
      <c r="B1128" s="139" t="s">
        <v>154</v>
      </c>
      <c r="C1128" s="106" t="s">
        <v>49</v>
      </c>
      <c r="D1128" s="106">
        <v>2</v>
      </c>
      <c r="E1128" s="94" t="s">
        <v>125</v>
      </c>
    </row>
    <row r="1129" spans="1:5">
      <c r="A1129" s="272">
        <v>45867</v>
      </c>
      <c r="B1129" s="139" t="s">
        <v>807</v>
      </c>
      <c r="C1129" s="106" t="s">
        <v>49</v>
      </c>
      <c r="D1129" s="106">
        <v>1</v>
      </c>
      <c r="E1129" s="94" t="s">
        <v>125</v>
      </c>
    </row>
    <row r="1130" spans="1:5">
      <c r="A1130" s="272">
        <v>45867</v>
      </c>
      <c r="B1130" s="139" t="s">
        <v>807</v>
      </c>
      <c r="C1130" s="106" t="s">
        <v>49</v>
      </c>
      <c r="D1130" s="106">
        <v>1</v>
      </c>
      <c r="E1130" s="94" t="s">
        <v>125</v>
      </c>
    </row>
    <row r="1131" spans="1:5">
      <c r="A1131" s="272">
        <v>45867</v>
      </c>
      <c r="B1131" s="139" t="s">
        <v>808</v>
      </c>
      <c r="C1131" s="106" t="s">
        <v>49</v>
      </c>
      <c r="D1131" s="106">
        <v>2</v>
      </c>
      <c r="E1131" s="94" t="s">
        <v>125</v>
      </c>
    </row>
    <row r="1133" spans="1:5">
      <c r="A1133" s="330">
        <v>45867</v>
      </c>
      <c r="B1133" s="327" t="s">
        <v>84</v>
      </c>
      <c r="C1133" s="328" t="s">
        <v>49</v>
      </c>
      <c r="D1133" s="328">
        <v>200</v>
      </c>
      <c r="E1133" s="331" t="s">
        <v>125</v>
      </c>
    </row>
    <row r="1134" spans="1:5">
      <c r="A1134" s="330">
        <v>45867</v>
      </c>
      <c r="B1134" s="329" t="s">
        <v>154</v>
      </c>
      <c r="C1134" s="328" t="s">
        <v>49</v>
      </c>
      <c r="D1134" s="328">
        <v>80</v>
      </c>
      <c r="E1134" s="331" t="s">
        <v>125</v>
      </c>
    </row>
    <row r="1136" spans="1:5">
      <c r="A1136" s="265">
        <v>45867</v>
      </c>
      <c r="B1136" s="93" t="s">
        <v>266</v>
      </c>
      <c r="C1136" s="43" t="s">
        <v>119</v>
      </c>
      <c r="D1136" s="43">
        <v>-1</v>
      </c>
      <c r="E1136" s="18" t="s">
        <v>125</v>
      </c>
    </row>
    <row r="1137" spans="1:6">
      <c r="A1137" s="265">
        <v>45867</v>
      </c>
      <c r="B1137" s="93" t="s">
        <v>84</v>
      </c>
      <c r="C1137" s="43" t="s">
        <v>119</v>
      </c>
      <c r="D1137" s="43">
        <v>-200</v>
      </c>
      <c r="E1137" s="18" t="s">
        <v>125</v>
      </c>
    </row>
    <row r="1138" spans="1:6">
      <c r="A1138" s="265">
        <v>45867</v>
      </c>
      <c r="B1138" s="93" t="s">
        <v>154</v>
      </c>
      <c r="C1138" s="43" t="s">
        <v>119</v>
      </c>
      <c r="D1138" s="43">
        <v>-80</v>
      </c>
      <c r="E1138" s="18" t="s">
        <v>125</v>
      </c>
    </row>
    <row r="1140" spans="1:6">
      <c r="A1140" s="272">
        <v>45867</v>
      </c>
      <c r="B1140" s="139" t="s">
        <v>808</v>
      </c>
      <c r="C1140" s="106" t="s">
        <v>49</v>
      </c>
      <c r="D1140" s="304">
        <v>2</v>
      </c>
      <c r="E1140" s="18" t="s">
        <v>125</v>
      </c>
    </row>
    <row r="1141" spans="1:6">
      <c r="A1141" s="272">
        <v>45867</v>
      </c>
      <c r="B1141" s="139" t="s">
        <v>808</v>
      </c>
      <c r="C1141" s="106" t="s">
        <v>49</v>
      </c>
      <c r="D1141" s="304">
        <v>2</v>
      </c>
      <c r="E1141" s="18" t="s">
        <v>125</v>
      </c>
    </row>
    <row r="1142" spans="1:6">
      <c r="A1142" s="272">
        <v>45867</v>
      </c>
      <c r="B1142" s="139" t="s">
        <v>808</v>
      </c>
      <c r="C1142" s="106" t="s">
        <v>49</v>
      </c>
      <c r="D1142" s="304">
        <v>1</v>
      </c>
      <c r="E1142" s="18" t="s">
        <v>125</v>
      </c>
    </row>
    <row r="1143" spans="1:6">
      <c r="A1143" s="272">
        <v>45867</v>
      </c>
      <c r="B1143" s="139" t="s">
        <v>808</v>
      </c>
      <c r="C1143" s="106" t="s">
        <v>49</v>
      </c>
      <c r="D1143" s="304">
        <v>1</v>
      </c>
      <c r="E1143" s="18" t="s">
        <v>125</v>
      </c>
    </row>
    <row r="1144" spans="1:6">
      <c r="A1144" s="272">
        <v>45867</v>
      </c>
      <c r="B1144" s="139" t="s">
        <v>808</v>
      </c>
      <c r="C1144" s="106" t="s">
        <v>49</v>
      </c>
      <c r="D1144" s="304">
        <v>1</v>
      </c>
      <c r="E1144" s="18" t="s">
        <v>125</v>
      </c>
    </row>
    <row r="1145" spans="1:6">
      <c r="A1145" s="272">
        <v>45867</v>
      </c>
      <c r="B1145" s="139" t="s">
        <v>808</v>
      </c>
      <c r="C1145" s="106" t="s">
        <v>49</v>
      </c>
      <c r="D1145" s="304">
        <v>2</v>
      </c>
      <c r="E1145" s="18" t="s">
        <v>125</v>
      </c>
    </row>
    <row r="1146" spans="1:6">
      <c r="A1146" s="272">
        <v>45867</v>
      </c>
      <c r="B1146" s="139" t="s">
        <v>808</v>
      </c>
      <c r="C1146" s="106" t="s">
        <v>49</v>
      </c>
      <c r="D1146" s="304">
        <v>2</v>
      </c>
      <c r="E1146" s="18" t="s">
        <v>125</v>
      </c>
    </row>
    <row r="1147" spans="1:6">
      <c r="A1147" s="272">
        <v>45867</v>
      </c>
      <c r="B1147" s="139" t="s">
        <v>808</v>
      </c>
      <c r="C1147" s="106" t="s">
        <v>49</v>
      </c>
      <c r="D1147" s="304"/>
      <c r="E1147" s="18" t="s">
        <v>125</v>
      </c>
      <c r="F1147" t="s">
        <v>1014</v>
      </c>
    </row>
    <row r="1148" spans="1:6">
      <c r="A1148" s="272">
        <v>45867</v>
      </c>
      <c r="B1148" s="139" t="s">
        <v>808</v>
      </c>
      <c r="C1148" s="106" t="s">
        <v>49</v>
      </c>
      <c r="D1148" s="304">
        <v>2</v>
      </c>
      <c r="E1148" s="18" t="s">
        <v>125</v>
      </c>
    </row>
    <row r="1150" spans="1:6">
      <c r="A1150" s="273">
        <v>45868</v>
      </c>
      <c r="B1150" s="248" t="s">
        <v>76</v>
      </c>
      <c r="C1150" s="235" t="s">
        <v>893</v>
      </c>
      <c r="D1150" s="235">
        <v>10</v>
      </c>
      <c r="E1150" s="18" t="s">
        <v>125</v>
      </c>
    </row>
    <row r="1152" spans="1:6">
      <c r="A1152" s="335">
        <v>45869</v>
      </c>
      <c r="B1152" s="93" t="s">
        <v>76</v>
      </c>
      <c r="C1152" s="43" t="s">
        <v>119</v>
      </c>
      <c r="D1152" s="33">
        <v>-1</v>
      </c>
      <c r="E1152" s="18" t="s">
        <v>125</v>
      </c>
    </row>
    <row r="1153" spans="1:6">
      <c r="A1153" s="335">
        <v>45869</v>
      </c>
      <c r="B1153" s="92" t="s">
        <v>78</v>
      </c>
      <c r="C1153" s="43" t="s">
        <v>119</v>
      </c>
      <c r="D1153" s="33">
        <v>-3</v>
      </c>
      <c r="E1153" s="18" t="s">
        <v>125</v>
      </c>
    </row>
    <row r="1155" spans="1:6">
      <c r="A1155" s="286">
        <v>45870</v>
      </c>
      <c r="B1155" s="287" t="s">
        <v>839</v>
      </c>
      <c r="C1155" s="288" t="s">
        <v>49</v>
      </c>
      <c r="D1155" s="338">
        <v>10</v>
      </c>
      <c r="E1155" s="289" t="s">
        <v>125</v>
      </c>
    </row>
    <row r="1156" spans="1:6">
      <c r="A1156" s="286">
        <v>45870</v>
      </c>
      <c r="B1156" s="287" t="s">
        <v>839</v>
      </c>
      <c r="C1156" s="288" t="s">
        <v>49</v>
      </c>
      <c r="D1156" s="338">
        <v>5</v>
      </c>
      <c r="E1156" s="289" t="s">
        <v>125</v>
      </c>
    </row>
    <row r="1157" spans="1:6">
      <c r="A1157" s="286">
        <v>45870</v>
      </c>
      <c r="B1157" s="339" t="s">
        <v>901</v>
      </c>
      <c r="C1157" s="288" t="s">
        <v>49</v>
      </c>
      <c r="D1157" s="338">
        <v>2</v>
      </c>
      <c r="E1157" s="289" t="s">
        <v>125</v>
      </c>
    </row>
    <row r="1158" spans="1:6">
      <c r="A1158" s="286">
        <v>45870</v>
      </c>
      <c r="B1158" s="287" t="s">
        <v>839</v>
      </c>
      <c r="C1158" s="288" t="s">
        <v>49</v>
      </c>
      <c r="D1158" s="338">
        <v>1</v>
      </c>
      <c r="E1158" s="289" t="s">
        <v>125</v>
      </c>
    </row>
    <row r="1159" spans="1:6">
      <c r="A1159" s="286">
        <v>45870</v>
      </c>
      <c r="B1159" s="339" t="s">
        <v>671</v>
      </c>
      <c r="C1159" s="288" t="s">
        <v>49</v>
      </c>
      <c r="D1159" s="340">
        <v>20</v>
      </c>
      <c r="E1159" s="289" t="s">
        <v>125</v>
      </c>
    </row>
    <row r="1160" spans="1:6">
      <c r="A1160" s="286">
        <v>45870</v>
      </c>
      <c r="B1160" s="287" t="s">
        <v>839</v>
      </c>
      <c r="C1160" s="288" t="s">
        <v>49</v>
      </c>
      <c r="D1160" s="338">
        <v>1</v>
      </c>
      <c r="E1160" s="289" t="s">
        <v>125</v>
      </c>
    </row>
    <row r="1162" spans="1:6">
      <c r="A1162" s="335">
        <v>45870</v>
      </c>
      <c r="B1162" s="343" t="s">
        <v>838</v>
      </c>
      <c r="C1162" s="345" t="s">
        <v>119</v>
      </c>
      <c r="D1162" s="345">
        <v>-1</v>
      </c>
      <c r="E1162" s="230" t="s">
        <v>125</v>
      </c>
    </row>
    <row r="1163" spans="1:6">
      <c r="A1163" s="335">
        <v>45870</v>
      </c>
      <c r="B1163" s="93" t="s">
        <v>120</v>
      </c>
      <c r="C1163" s="345" t="s">
        <v>119</v>
      </c>
      <c r="D1163" s="33">
        <v>-3</v>
      </c>
      <c r="E1163" s="230" t="s">
        <v>125</v>
      </c>
    </row>
    <row r="1165" spans="1:6">
      <c r="A1165" s="346">
        <v>45868</v>
      </c>
      <c r="B1165" s="347" t="s">
        <v>919</v>
      </c>
      <c r="C1165" s="348" t="s">
        <v>921</v>
      </c>
      <c r="D1165" s="348">
        <v>4</v>
      </c>
      <c r="E1165" s="230" t="s">
        <v>125</v>
      </c>
      <c r="F1165" t="s">
        <v>922</v>
      </c>
    </row>
    <row r="1166" spans="1:6">
      <c r="A1166" s="346">
        <v>45868</v>
      </c>
      <c r="B1166" s="347" t="s">
        <v>134</v>
      </c>
      <c r="C1166" s="348" t="s">
        <v>921</v>
      </c>
      <c r="D1166" s="348">
        <v>8</v>
      </c>
      <c r="E1166" s="230" t="s">
        <v>125</v>
      </c>
    </row>
    <row r="1167" spans="1:6">
      <c r="A1167" s="346">
        <v>45868</v>
      </c>
      <c r="B1167" s="347" t="s">
        <v>134</v>
      </c>
      <c r="C1167" s="348" t="s">
        <v>921</v>
      </c>
      <c r="D1167" s="348">
        <v>11</v>
      </c>
      <c r="E1167" s="230" t="s">
        <v>125</v>
      </c>
    </row>
    <row r="1168" spans="1:6">
      <c r="A1168" s="346">
        <v>45868</v>
      </c>
      <c r="B1168" s="347" t="s">
        <v>134</v>
      </c>
      <c r="C1168" s="348" t="s">
        <v>921</v>
      </c>
      <c r="D1168" s="348">
        <v>1</v>
      </c>
      <c r="E1168" s="230" t="s">
        <v>125</v>
      </c>
    </row>
    <row r="1169" spans="1:6">
      <c r="A1169" s="346">
        <v>45868</v>
      </c>
      <c r="B1169" s="349" t="s">
        <v>167</v>
      </c>
      <c r="C1169" s="348" t="s">
        <v>921</v>
      </c>
      <c r="D1169" s="348">
        <v>1</v>
      </c>
      <c r="E1169" s="230" t="s">
        <v>125</v>
      </c>
    </row>
    <row r="1170" spans="1:6">
      <c r="A1170" s="346">
        <v>45868</v>
      </c>
      <c r="B1170" s="349" t="s">
        <v>920</v>
      </c>
      <c r="C1170" s="348" t="s">
        <v>921</v>
      </c>
      <c r="D1170" s="348">
        <v>2</v>
      </c>
      <c r="E1170" s="230" t="s">
        <v>125</v>
      </c>
    </row>
    <row r="1172" spans="1:6">
      <c r="A1172" s="346">
        <v>45868</v>
      </c>
      <c r="B1172" s="347" t="s">
        <v>923</v>
      </c>
      <c r="C1172" s="348" t="s">
        <v>921</v>
      </c>
      <c r="D1172" s="348">
        <v>6</v>
      </c>
      <c r="E1172" s="230" t="s">
        <v>125</v>
      </c>
      <c r="F1172" t="s">
        <v>924</v>
      </c>
    </row>
    <row r="1173" spans="1:6">
      <c r="A1173" s="346">
        <v>45868</v>
      </c>
      <c r="B1173" s="347" t="s">
        <v>928</v>
      </c>
      <c r="C1173" s="348" t="s">
        <v>921</v>
      </c>
      <c r="D1173" s="348">
        <v>1</v>
      </c>
      <c r="E1173" s="230" t="s">
        <v>125</v>
      </c>
    </row>
    <row r="1174" spans="1:6">
      <c r="A1174" s="346">
        <v>45868</v>
      </c>
      <c r="B1174" s="347" t="s">
        <v>134</v>
      </c>
      <c r="C1174" s="348" t="s">
        <v>921</v>
      </c>
      <c r="D1174" s="348">
        <v>1</v>
      </c>
      <c r="E1174" s="230" t="s">
        <v>125</v>
      </c>
    </row>
    <row r="1175" spans="1:6">
      <c r="A1175" s="346">
        <v>45868</v>
      </c>
      <c r="B1175" s="347" t="s">
        <v>134</v>
      </c>
      <c r="C1175" s="348" t="s">
        <v>921</v>
      </c>
      <c r="D1175" s="348">
        <v>1</v>
      </c>
      <c r="E1175" s="230" t="s">
        <v>125</v>
      </c>
    </row>
    <row r="1176" spans="1:6">
      <c r="A1176" s="346">
        <v>45868</v>
      </c>
      <c r="B1176" s="347" t="s">
        <v>134</v>
      </c>
      <c r="C1176" s="348" t="s">
        <v>921</v>
      </c>
      <c r="D1176" s="348">
        <v>1</v>
      </c>
      <c r="E1176" s="230" t="s">
        <v>125</v>
      </c>
    </row>
    <row r="1177" spans="1:6">
      <c r="A1177" s="346">
        <v>45868</v>
      </c>
      <c r="B1177" s="347" t="s">
        <v>134</v>
      </c>
      <c r="C1177" s="348" t="s">
        <v>921</v>
      </c>
      <c r="D1177" s="348">
        <v>1</v>
      </c>
      <c r="E1177" s="230" t="s">
        <v>125</v>
      </c>
    </row>
    <row r="1178" spans="1:6">
      <c r="A1178" s="346">
        <v>45868</v>
      </c>
      <c r="B1178" s="347" t="s">
        <v>928</v>
      </c>
      <c r="C1178" s="348" t="s">
        <v>921</v>
      </c>
      <c r="D1178" s="348">
        <v>2</v>
      </c>
      <c r="E1178" s="230" t="s">
        <v>125</v>
      </c>
    </row>
    <row r="1179" spans="1:6">
      <c r="A1179" s="346">
        <v>45868</v>
      </c>
      <c r="B1179" s="347" t="s">
        <v>134</v>
      </c>
      <c r="C1179" s="348" t="s">
        <v>921</v>
      </c>
      <c r="D1179" s="348">
        <v>1</v>
      </c>
      <c r="E1179" s="230" t="s">
        <v>125</v>
      </c>
    </row>
    <row r="1180" spans="1:6">
      <c r="A1180" s="346">
        <v>45868</v>
      </c>
      <c r="B1180" s="347" t="s">
        <v>134</v>
      </c>
      <c r="C1180" s="348" t="s">
        <v>921</v>
      </c>
      <c r="D1180" s="348">
        <v>3</v>
      </c>
      <c r="E1180" s="230" t="s">
        <v>125</v>
      </c>
    </row>
    <row r="1181" spans="1:6">
      <c r="A1181" s="346">
        <v>45868</v>
      </c>
      <c r="B1181" s="347" t="s">
        <v>134</v>
      </c>
      <c r="C1181" s="348" t="s">
        <v>921</v>
      </c>
      <c r="D1181" s="348">
        <v>1</v>
      </c>
      <c r="E1181" s="230" t="s">
        <v>125</v>
      </c>
    </row>
    <row r="1182" spans="1:6">
      <c r="A1182" s="346">
        <v>45868</v>
      </c>
      <c r="B1182" s="349" t="s">
        <v>929</v>
      </c>
      <c r="C1182" s="348" t="s">
        <v>921</v>
      </c>
      <c r="D1182" s="348">
        <v>1</v>
      </c>
      <c r="E1182" s="230" t="s">
        <v>125</v>
      </c>
    </row>
    <row r="1183" spans="1:6">
      <c r="A1183" s="346">
        <v>45868</v>
      </c>
      <c r="B1183" s="347" t="s">
        <v>134</v>
      </c>
      <c r="C1183" s="348" t="s">
        <v>921</v>
      </c>
      <c r="D1183" s="348">
        <v>1</v>
      </c>
      <c r="E1183" s="230" t="s">
        <v>125</v>
      </c>
    </row>
    <row r="1184" spans="1:6">
      <c r="A1184" s="346">
        <v>45868</v>
      </c>
      <c r="B1184" s="349" t="s">
        <v>166</v>
      </c>
      <c r="C1184" s="348" t="s">
        <v>921</v>
      </c>
      <c r="D1184" s="348">
        <v>2</v>
      </c>
      <c r="E1184" s="230" t="s">
        <v>125</v>
      </c>
    </row>
    <row r="1185" spans="1:6">
      <c r="A1185" s="346">
        <v>45868</v>
      </c>
      <c r="B1185" s="347" t="s">
        <v>134</v>
      </c>
      <c r="C1185" s="348" t="s">
        <v>921</v>
      </c>
      <c r="D1185" s="348">
        <v>1</v>
      </c>
      <c r="E1185" s="230" t="s">
        <v>125</v>
      </c>
    </row>
    <row r="1186" spans="1:6">
      <c r="A1186" s="346">
        <v>45868</v>
      </c>
      <c r="B1186" s="347" t="s">
        <v>134</v>
      </c>
      <c r="C1186" s="348" t="s">
        <v>921</v>
      </c>
      <c r="D1186" s="348">
        <v>2</v>
      </c>
      <c r="E1186" s="230" t="s">
        <v>125</v>
      </c>
    </row>
    <row r="1187" spans="1:6">
      <c r="A1187" s="346">
        <v>45868</v>
      </c>
      <c r="B1187" s="347" t="s">
        <v>928</v>
      </c>
      <c r="C1187" s="348" t="s">
        <v>921</v>
      </c>
      <c r="D1187" s="348">
        <v>1</v>
      </c>
      <c r="E1187" s="230" t="s">
        <v>125</v>
      </c>
    </row>
    <row r="1189" spans="1:6">
      <c r="A1189" s="346">
        <v>45868</v>
      </c>
      <c r="B1189" s="347" t="s">
        <v>925</v>
      </c>
      <c r="C1189" s="348" t="s">
        <v>921</v>
      </c>
      <c r="D1189" s="348">
        <v>1</v>
      </c>
      <c r="E1189" s="230" t="s">
        <v>125</v>
      </c>
      <c r="F1189" t="s">
        <v>933</v>
      </c>
    </row>
    <row r="1190" spans="1:6">
      <c r="A1190" s="346">
        <v>45868</v>
      </c>
      <c r="B1190" s="347" t="s">
        <v>135</v>
      </c>
      <c r="C1190" s="348" t="s">
        <v>921</v>
      </c>
      <c r="D1190" s="348">
        <v>1</v>
      </c>
      <c r="E1190" s="230" t="s">
        <v>125</v>
      </c>
    </row>
    <row r="1191" spans="1:6">
      <c r="A1191" s="346">
        <v>45868</v>
      </c>
      <c r="B1191" s="347" t="s">
        <v>919</v>
      </c>
      <c r="C1191" s="348" t="s">
        <v>921</v>
      </c>
      <c r="D1191" s="348">
        <v>10</v>
      </c>
      <c r="E1191" s="230" t="s">
        <v>125</v>
      </c>
    </row>
    <row r="1192" spans="1:6">
      <c r="A1192" s="346">
        <v>45868</v>
      </c>
      <c r="B1192" s="347" t="s">
        <v>923</v>
      </c>
      <c r="C1192" s="348" t="s">
        <v>921</v>
      </c>
      <c r="D1192" s="348">
        <v>1</v>
      </c>
      <c r="E1192" s="230" t="s">
        <v>125</v>
      </c>
    </row>
    <row r="1193" spans="1:6">
      <c r="A1193" s="346">
        <v>45868</v>
      </c>
      <c r="B1193" s="347" t="s">
        <v>926</v>
      </c>
      <c r="C1193" s="348" t="s">
        <v>921</v>
      </c>
      <c r="D1193" s="348">
        <v>1</v>
      </c>
      <c r="E1193" s="230" t="s">
        <v>125</v>
      </c>
    </row>
    <row r="1194" spans="1:6">
      <c r="A1194" s="346">
        <v>45868</v>
      </c>
      <c r="B1194" s="347" t="s">
        <v>928</v>
      </c>
      <c r="C1194" s="348" t="s">
        <v>921</v>
      </c>
      <c r="D1194" s="348">
        <v>1</v>
      </c>
      <c r="E1194" s="230" t="s">
        <v>125</v>
      </c>
    </row>
    <row r="1195" spans="1:6">
      <c r="A1195" s="346">
        <v>45868</v>
      </c>
      <c r="B1195" s="347" t="s">
        <v>134</v>
      </c>
      <c r="C1195" s="348" t="s">
        <v>921</v>
      </c>
      <c r="D1195" s="348">
        <v>11</v>
      </c>
      <c r="E1195" s="230" t="s">
        <v>125</v>
      </c>
    </row>
    <row r="1196" spans="1:6">
      <c r="A1196" s="346">
        <v>45868</v>
      </c>
      <c r="B1196" s="347" t="s">
        <v>134</v>
      </c>
      <c r="C1196" s="348" t="s">
        <v>921</v>
      </c>
      <c r="D1196" s="348">
        <v>1</v>
      </c>
      <c r="E1196" s="230" t="s">
        <v>125</v>
      </c>
    </row>
    <row r="1197" spans="1:6">
      <c r="A1197" s="346">
        <v>45868</v>
      </c>
      <c r="B1197" s="347" t="s">
        <v>134</v>
      </c>
      <c r="C1197" s="348" t="s">
        <v>921</v>
      </c>
      <c r="D1197" s="348">
        <v>1</v>
      </c>
      <c r="E1197" s="230" t="s">
        <v>125</v>
      </c>
    </row>
    <row r="1198" spans="1:6">
      <c r="A1198" s="346">
        <v>45868</v>
      </c>
      <c r="B1198" s="349" t="s">
        <v>167</v>
      </c>
      <c r="C1198" s="348" t="s">
        <v>921</v>
      </c>
      <c r="D1198" s="348">
        <v>2</v>
      </c>
      <c r="E1198" s="230" t="s">
        <v>125</v>
      </c>
    </row>
    <row r="1199" spans="1:6">
      <c r="A1199" s="346">
        <v>45868</v>
      </c>
      <c r="B1199" s="347" t="s">
        <v>927</v>
      </c>
      <c r="C1199" s="348" t="s">
        <v>921</v>
      </c>
      <c r="D1199" s="348">
        <v>2</v>
      </c>
      <c r="E1199" s="230" t="s">
        <v>125</v>
      </c>
    </row>
    <row r="1200" spans="1:6">
      <c r="A1200" s="346">
        <v>45868</v>
      </c>
      <c r="B1200" s="349" t="s">
        <v>166</v>
      </c>
      <c r="C1200" s="348" t="s">
        <v>921</v>
      </c>
      <c r="D1200" s="348">
        <v>1</v>
      </c>
      <c r="E1200" s="230" t="s">
        <v>125</v>
      </c>
    </row>
    <row r="1201" spans="1:5">
      <c r="A1201" s="346">
        <v>45868</v>
      </c>
      <c r="B1201" s="349" t="s">
        <v>167</v>
      </c>
      <c r="C1201" s="348" t="s">
        <v>921</v>
      </c>
      <c r="D1201" s="348">
        <v>1</v>
      </c>
      <c r="E1201" s="230" t="s">
        <v>125</v>
      </c>
    </row>
    <row r="1202" spans="1:5">
      <c r="A1202" s="346">
        <v>45868</v>
      </c>
      <c r="B1202" s="347" t="s">
        <v>927</v>
      </c>
      <c r="C1202" s="348" t="s">
        <v>921</v>
      </c>
      <c r="D1202" s="348">
        <v>2</v>
      </c>
      <c r="E1202" s="230" t="s">
        <v>125</v>
      </c>
    </row>
    <row r="1203" spans="1:5">
      <c r="A1203" s="346">
        <v>45868</v>
      </c>
      <c r="B1203" s="349" t="s">
        <v>166</v>
      </c>
      <c r="C1203" s="348" t="s">
        <v>921</v>
      </c>
      <c r="D1203" s="348">
        <v>2</v>
      </c>
      <c r="E1203" s="230" t="s">
        <v>125</v>
      </c>
    </row>
    <row r="1204" spans="1:5">
      <c r="A1204" s="346">
        <v>45868</v>
      </c>
      <c r="B1204" s="349" t="s">
        <v>167</v>
      </c>
      <c r="C1204" s="348" t="s">
        <v>921</v>
      </c>
      <c r="D1204" s="348">
        <v>1</v>
      </c>
      <c r="E1204" s="230" t="s">
        <v>125</v>
      </c>
    </row>
    <row r="1205" spans="1:5">
      <c r="A1205" s="346">
        <v>45868</v>
      </c>
      <c r="B1205" s="349" t="s">
        <v>166</v>
      </c>
      <c r="C1205" s="348" t="s">
        <v>921</v>
      </c>
      <c r="D1205" s="348">
        <v>1</v>
      </c>
      <c r="E1205" s="230" t="s">
        <v>125</v>
      </c>
    </row>
    <row r="1206" spans="1:5">
      <c r="A1206" s="346">
        <v>45868</v>
      </c>
      <c r="B1206" s="347" t="s">
        <v>930</v>
      </c>
      <c r="C1206" s="348" t="s">
        <v>921</v>
      </c>
      <c r="D1206" s="348">
        <v>2</v>
      </c>
      <c r="E1206" s="230" t="s">
        <v>125</v>
      </c>
    </row>
    <row r="1207" spans="1:5">
      <c r="A1207" s="346">
        <v>45868</v>
      </c>
      <c r="B1207" s="347" t="s">
        <v>931</v>
      </c>
      <c r="C1207" s="348" t="s">
        <v>921</v>
      </c>
      <c r="D1207" s="348">
        <v>1</v>
      </c>
      <c r="E1207" s="230" t="s">
        <v>125</v>
      </c>
    </row>
    <row r="1208" spans="1:5">
      <c r="A1208" s="346">
        <v>45868</v>
      </c>
      <c r="B1208" s="349" t="s">
        <v>920</v>
      </c>
      <c r="C1208" s="348" t="s">
        <v>921</v>
      </c>
      <c r="D1208" s="348">
        <v>2</v>
      </c>
      <c r="E1208" s="230" t="s">
        <v>125</v>
      </c>
    </row>
    <row r="1209" spans="1:5">
      <c r="A1209" s="346">
        <v>45868</v>
      </c>
      <c r="B1209" s="349" t="s">
        <v>932</v>
      </c>
      <c r="C1209" s="348" t="s">
        <v>921</v>
      </c>
      <c r="D1209" s="348">
        <v>8</v>
      </c>
      <c r="E1209" s="230" t="s">
        <v>125</v>
      </c>
    </row>
    <row r="1210" spans="1:5">
      <c r="A1210" s="346">
        <v>45868</v>
      </c>
      <c r="B1210" s="349" t="s">
        <v>934</v>
      </c>
      <c r="C1210" s="348" t="s">
        <v>921</v>
      </c>
      <c r="D1210" s="348">
        <v>2</v>
      </c>
      <c r="E1210" s="230" t="s">
        <v>125</v>
      </c>
    </row>
    <row r="1212" spans="1:5">
      <c r="A1212" s="265">
        <v>45868</v>
      </c>
      <c r="B1212" s="84" t="s">
        <v>134</v>
      </c>
      <c r="C1212" s="43" t="s">
        <v>119</v>
      </c>
      <c r="D1212" s="43">
        <v>-11</v>
      </c>
      <c r="E1212" s="18" t="s">
        <v>125</v>
      </c>
    </row>
    <row r="1213" spans="1:5">
      <c r="A1213" s="265">
        <v>45868</v>
      </c>
      <c r="B1213" s="93" t="s">
        <v>920</v>
      </c>
      <c r="C1213" s="43" t="s">
        <v>119</v>
      </c>
      <c r="D1213" s="43">
        <v>-2</v>
      </c>
      <c r="E1213" s="18" t="s">
        <v>125</v>
      </c>
    </row>
    <row r="1215" spans="1:5">
      <c r="A1215" s="265">
        <v>45868</v>
      </c>
      <c r="B1215" s="84" t="s">
        <v>134</v>
      </c>
      <c r="C1215" s="43" t="s">
        <v>119</v>
      </c>
      <c r="D1215" s="43">
        <v>-10</v>
      </c>
      <c r="E1215" s="18" t="s">
        <v>125</v>
      </c>
    </row>
    <row r="1217" spans="1:5">
      <c r="A1217" s="265">
        <v>45869</v>
      </c>
      <c r="B1217" s="84" t="s">
        <v>134</v>
      </c>
      <c r="C1217" s="43" t="s">
        <v>119</v>
      </c>
      <c r="D1217" s="43">
        <v>-8</v>
      </c>
      <c r="E1217" s="18" t="s">
        <v>125</v>
      </c>
    </row>
    <row r="1218" spans="1:5">
      <c r="A1218" s="265">
        <v>45869</v>
      </c>
      <c r="B1218" s="84" t="s">
        <v>927</v>
      </c>
      <c r="C1218" s="43" t="s">
        <v>119</v>
      </c>
      <c r="D1218" s="43">
        <v>-4</v>
      </c>
      <c r="E1218" s="18" t="s">
        <v>125</v>
      </c>
    </row>
    <row r="1219" spans="1:5">
      <c r="A1219" s="265">
        <v>45869</v>
      </c>
      <c r="B1219" s="93" t="s">
        <v>166</v>
      </c>
      <c r="C1219" s="43" t="s">
        <v>119</v>
      </c>
      <c r="D1219" s="43">
        <v>-5</v>
      </c>
      <c r="E1219" s="18" t="s">
        <v>125</v>
      </c>
    </row>
    <row r="1220" spans="1:5">
      <c r="A1220" s="265">
        <v>45869</v>
      </c>
      <c r="B1220" s="93" t="s">
        <v>167</v>
      </c>
      <c r="C1220" s="43" t="s">
        <v>119</v>
      </c>
      <c r="D1220" s="43">
        <v>-5</v>
      </c>
      <c r="E1220" s="18" t="s">
        <v>125</v>
      </c>
    </row>
    <row r="1221" spans="1:5">
      <c r="A1221" s="265">
        <v>45869</v>
      </c>
      <c r="B1221" s="93" t="s">
        <v>929</v>
      </c>
      <c r="C1221" s="43" t="s">
        <v>119</v>
      </c>
      <c r="D1221" s="43">
        <v>-1</v>
      </c>
      <c r="E1221" s="18" t="s">
        <v>125</v>
      </c>
    </row>
    <row r="1222" spans="1:5">
      <c r="A1222" s="265">
        <v>45869</v>
      </c>
      <c r="B1222" s="84" t="s">
        <v>919</v>
      </c>
      <c r="C1222" s="43" t="s">
        <v>119</v>
      </c>
      <c r="D1222" s="43">
        <v>-6</v>
      </c>
      <c r="E1222" s="18" t="s">
        <v>125</v>
      </c>
    </row>
    <row r="1224" spans="1:5">
      <c r="A1224" s="265">
        <v>45870</v>
      </c>
      <c r="B1224" s="93" t="s">
        <v>266</v>
      </c>
      <c r="C1224" s="43" t="s">
        <v>119</v>
      </c>
      <c r="D1224" s="43">
        <v>-1</v>
      </c>
      <c r="E1224" s="18" t="s">
        <v>125</v>
      </c>
    </row>
    <row r="1225" spans="1:5">
      <c r="A1225" s="265">
        <v>45870</v>
      </c>
      <c r="B1225" s="93" t="s">
        <v>932</v>
      </c>
      <c r="C1225" s="43" t="s">
        <v>119</v>
      </c>
      <c r="D1225" s="43">
        <v>-8</v>
      </c>
      <c r="E1225" s="18" t="s">
        <v>125</v>
      </c>
    </row>
    <row r="1226" spans="1:5">
      <c r="A1226" s="265">
        <v>45871</v>
      </c>
      <c r="B1226" s="84" t="s">
        <v>134</v>
      </c>
      <c r="C1226" s="43" t="s">
        <v>119</v>
      </c>
      <c r="D1226" s="43">
        <v>-1</v>
      </c>
      <c r="E1226" s="18" t="s">
        <v>125</v>
      </c>
    </row>
    <row r="1228" spans="1:5">
      <c r="A1228" s="265">
        <v>45871</v>
      </c>
      <c r="B1228" s="93" t="s">
        <v>671</v>
      </c>
      <c r="C1228" s="43" t="s">
        <v>119</v>
      </c>
      <c r="D1228" s="43">
        <v>-3</v>
      </c>
      <c r="E1228" s="18" t="s">
        <v>125</v>
      </c>
    </row>
    <row r="1229" spans="1:5">
      <c r="A1229" s="265">
        <v>45871</v>
      </c>
      <c r="B1229" s="93" t="s">
        <v>865</v>
      </c>
      <c r="C1229" s="43" t="s">
        <v>119</v>
      </c>
      <c r="D1229" s="43">
        <v>-1</v>
      </c>
      <c r="E1229" s="18" t="s">
        <v>125</v>
      </c>
    </row>
    <row r="1230" spans="1:5">
      <c r="A1230" s="265">
        <v>45871</v>
      </c>
      <c r="B1230" s="84" t="s">
        <v>498</v>
      </c>
      <c r="C1230" s="43" t="s">
        <v>119</v>
      </c>
      <c r="D1230" s="43">
        <v>-6</v>
      </c>
      <c r="E1230" s="18" t="s">
        <v>125</v>
      </c>
    </row>
    <row r="1231" spans="1:5">
      <c r="A1231" s="265">
        <v>45871</v>
      </c>
      <c r="B1231" s="84" t="s">
        <v>497</v>
      </c>
      <c r="C1231" s="43" t="s">
        <v>119</v>
      </c>
      <c r="D1231" s="43">
        <v>-10</v>
      </c>
      <c r="E1231" s="18" t="s">
        <v>125</v>
      </c>
    </row>
    <row r="1232" spans="1:5">
      <c r="A1232" s="265">
        <v>45871</v>
      </c>
      <c r="B1232" s="93" t="s">
        <v>671</v>
      </c>
      <c r="C1232" s="43" t="s">
        <v>119</v>
      </c>
      <c r="D1232" s="43">
        <v>-10</v>
      </c>
      <c r="E1232" s="18" t="s">
        <v>125</v>
      </c>
    </row>
    <row r="1233" spans="1:6">
      <c r="A1233" s="265">
        <v>45871</v>
      </c>
      <c r="B1233" s="84" t="s">
        <v>919</v>
      </c>
      <c r="C1233" s="43" t="s">
        <v>119</v>
      </c>
      <c r="D1233" s="43">
        <v>-8</v>
      </c>
      <c r="E1233" s="18" t="s">
        <v>125</v>
      </c>
    </row>
    <row r="1234" spans="1:6">
      <c r="A1234" s="265">
        <v>45871</v>
      </c>
      <c r="B1234" s="84" t="s">
        <v>923</v>
      </c>
      <c r="C1234" s="43" t="s">
        <v>119</v>
      </c>
      <c r="D1234" s="43">
        <v>-7</v>
      </c>
      <c r="E1234" s="18" t="s">
        <v>125</v>
      </c>
    </row>
    <row r="1235" spans="1:6">
      <c r="A1235" s="265">
        <v>45871</v>
      </c>
      <c r="B1235" s="84" t="s">
        <v>926</v>
      </c>
      <c r="C1235" s="43" t="s">
        <v>119</v>
      </c>
      <c r="D1235" s="43">
        <v>-1</v>
      </c>
      <c r="E1235" s="18" t="s">
        <v>125</v>
      </c>
    </row>
    <row r="1236" spans="1:6">
      <c r="A1236" s="265">
        <v>45871</v>
      </c>
      <c r="B1236" s="93" t="s">
        <v>920</v>
      </c>
      <c r="C1236" s="43" t="s">
        <v>119</v>
      </c>
      <c r="D1236" s="43">
        <v>-2</v>
      </c>
      <c r="E1236" s="18" t="s">
        <v>125</v>
      </c>
    </row>
    <row r="1237" spans="1:6">
      <c r="A1237" s="265">
        <v>45871</v>
      </c>
      <c r="B1237" s="84" t="s">
        <v>931</v>
      </c>
      <c r="C1237" s="43" t="s">
        <v>119</v>
      </c>
      <c r="D1237" s="43">
        <v>-2</v>
      </c>
      <c r="E1237" s="18" t="s">
        <v>125</v>
      </c>
    </row>
    <row r="1238" spans="1:6">
      <c r="A1238" s="265">
        <v>45871</v>
      </c>
      <c r="B1238" s="84" t="s">
        <v>930</v>
      </c>
      <c r="C1238" s="43" t="s">
        <v>119</v>
      </c>
      <c r="D1238" s="43">
        <v>-1</v>
      </c>
      <c r="E1238" s="18" t="s">
        <v>125</v>
      </c>
    </row>
    <row r="1240" spans="1:6">
      <c r="A1240" s="346">
        <v>45871</v>
      </c>
      <c r="B1240" s="349" t="s">
        <v>920</v>
      </c>
      <c r="C1240" s="348" t="s">
        <v>921</v>
      </c>
      <c r="D1240" s="348">
        <v>2</v>
      </c>
      <c r="E1240" s="348" t="s">
        <v>125</v>
      </c>
      <c r="F1240" s="352" t="s">
        <v>957</v>
      </c>
    </row>
    <row r="1241" spans="1:6">
      <c r="A1241" s="346">
        <v>45871</v>
      </c>
      <c r="B1241" s="349" t="s">
        <v>931</v>
      </c>
      <c r="C1241" s="348" t="s">
        <v>921</v>
      </c>
      <c r="D1241" s="348">
        <v>1</v>
      </c>
      <c r="E1241" s="348" t="s">
        <v>125</v>
      </c>
    </row>
    <row r="1242" spans="1:6">
      <c r="A1242" s="346">
        <v>45871</v>
      </c>
      <c r="B1242" s="349" t="s">
        <v>134</v>
      </c>
      <c r="C1242" s="348" t="s">
        <v>921</v>
      </c>
      <c r="D1242" s="348">
        <v>9</v>
      </c>
      <c r="E1242" s="348" t="s">
        <v>125</v>
      </c>
    </row>
    <row r="1243" spans="1:6">
      <c r="A1243" s="346">
        <v>45871</v>
      </c>
      <c r="B1243" s="349" t="s">
        <v>935</v>
      </c>
      <c r="C1243" s="348" t="s">
        <v>921</v>
      </c>
      <c r="D1243" s="348">
        <v>4</v>
      </c>
      <c r="E1243" s="348" t="s">
        <v>125</v>
      </c>
    </row>
    <row r="1244" spans="1:6">
      <c r="A1244" s="346">
        <v>45871</v>
      </c>
      <c r="B1244" s="349" t="s">
        <v>932</v>
      </c>
      <c r="C1244" s="348" t="s">
        <v>921</v>
      </c>
      <c r="D1244" s="348">
        <v>1</v>
      </c>
      <c r="E1244" s="348" t="s">
        <v>125</v>
      </c>
    </row>
    <row r="1245" spans="1:6">
      <c r="A1245" s="346">
        <v>45871</v>
      </c>
      <c r="B1245" s="349" t="s">
        <v>936</v>
      </c>
      <c r="C1245" s="348" t="s">
        <v>921</v>
      </c>
      <c r="D1245" s="348">
        <v>4</v>
      </c>
      <c r="E1245" s="348" t="s">
        <v>125</v>
      </c>
    </row>
    <row r="1246" spans="1:6">
      <c r="A1246" s="346">
        <v>45871</v>
      </c>
      <c r="B1246" s="349" t="s">
        <v>928</v>
      </c>
      <c r="C1246" s="348" t="s">
        <v>921</v>
      </c>
      <c r="D1246" s="348">
        <v>5</v>
      </c>
      <c r="E1246" s="348" t="s">
        <v>125</v>
      </c>
    </row>
    <row r="1248" spans="1:6">
      <c r="A1248" s="346">
        <v>45871</v>
      </c>
      <c r="B1248" s="349" t="s">
        <v>920</v>
      </c>
      <c r="C1248" s="348" t="s">
        <v>921</v>
      </c>
      <c r="D1248" s="348">
        <v>1</v>
      </c>
      <c r="E1248" s="348" t="s">
        <v>125</v>
      </c>
      <c r="F1248" t="s">
        <v>958</v>
      </c>
    </row>
    <row r="1249" spans="1:5">
      <c r="A1249" s="346">
        <v>45871</v>
      </c>
      <c r="B1249" s="349" t="s">
        <v>959</v>
      </c>
      <c r="C1249" s="348" t="s">
        <v>921</v>
      </c>
      <c r="D1249" s="348">
        <v>7</v>
      </c>
      <c r="E1249" s="348" t="s">
        <v>125</v>
      </c>
    </row>
    <row r="1250" spans="1:5">
      <c r="A1250" s="346">
        <v>45871</v>
      </c>
      <c r="B1250" s="349" t="s">
        <v>167</v>
      </c>
      <c r="C1250" s="348" t="s">
        <v>921</v>
      </c>
      <c r="D1250" s="348">
        <v>3</v>
      </c>
      <c r="E1250" s="348" t="s">
        <v>125</v>
      </c>
    </row>
    <row r="1251" spans="1:5">
      <c r="A1251" s="346">
        <v>45871</v>
      </c>
      <c r="B1251" s="349" t="s">
        <v>166</v>
      </c>
      <c r="C1251" s="348" t="s">
        <v>921</v>
      </c>
      <c r="D1251" s="348">
        <v>1</v>
      </c>
      <c r="E1251" s="348" t="s">
        <v>125</v>
      </c>
    </row>
    <row r="1252" spans="1:5">
      <c r="A1252" s="346">
        <v>45871</v>
      </c>
      <c r="B1252" s="349" t="s">
        <v>134</v>
      </c>
      <c r="C1252" s="348" t="s">
        <v>921</v>
      </c>
      <c r="D1252" s="348">
        <v>6</v>
      </c>
      <c r="E1252" s="348" t="s">
        <v>125</v>
      </c>
    </row>
    <row r="1253" spans="1:5">
      <c r="A1253" s="346">
        <v>45871</v>
      </c>
      <c r="B1253" s="349" t="s">
        <v>928</v>
      </c>
      <c r="C1253" s="348" t="s">
        <v>921</v>
      </c>
      <c r="D1253" s="348">
        <v>1</v>
      </c>
      <c r="E1253" s="348" t="s">
        <v>125</v>
      </c>
    </row>
    <row r="1254" spans="1:5">
      <c r="A1254" s="346">
        <v>45871</v>
      </c>
      <c r="B1254" s="349" t="s">
        <v>936</v>
      </c>
      <c r="C1254" s="348" t="s">
        <v>921</v>
      </c>
      <c r="D1254" s="348">
        <v>1</v>
      </c>
      <c r="E1254" s="348" t="s">
        <v>125</v>
      </c>
    </row>
    <row r="1255" spans="1:5">
      <c r="A1255" s="346">
        <v>45871</v>
      </c>
      <c r="B1255" s="349" t="s">
        <v>134</v>
      </c>
      <c r="C1255" s="348" t="s">
        <v>921</v>
      </c>
      <c r="D1255" s="348">
        <v>10</v>
      </c>
      <c r="E1255" s="348" t="s">
        <v>125</v>
      </c>
    </row>
    <row r="1256" spans="1:5">
      <c r="A1256" s="346">
        <v>45871</v>
      </c>
      <c r="B1256" s="349" t="s">
        <v>928</v>
      </c>
      <c r="C1256" s="348" t="s">
        <v>921</v>
      </c>
      <c r="D1256" s="348">
        <v>1</v>
      </c>
      <c r="E1256" s="348" t="s">
        <v>125</v>
      </c>
    </row>
    <row r="1257" spans="1:5">
      <c r="A1257" s="346">
        <v>45871</v>
      </c>
      <c r="B1257" s="349" t="s">
        <v>134</v>
      </c>
      <c r="C1257" s="348" t="s">
        <v>921</v>
      </c>
      <c r="D1257" s="348">
        <v>4</v>
      </c>
      <c r="E1257" s="348" t="s">
        <v>125</v>
      </c>
    </row>
    <row r="1258" spans="1:5">
      <c r="A1258" s="346">
        <v>45871</v>
      </c>
      <c r="B1258" s="349" t="s">
        <v>167</v>
      </c>
      <c r="C1258" s="348" t="s">
        <v>921</v>
      </c>
      <c r="D1258" s="348">
        <v>1</v>
      </c>
      <c r="E1258" s="348" t="s">
        <v>125</v>
      </c>
    </row>
    <row r="1259" spans="1:5">
      <c r="A1259" s="346">
        <v>45871</v>
      </c>
      <c r="B1259" s="349" t="s">
        <v>166</v>
      </c>
      <c r="C1259" s="348" t="s">
        <v>921</v>
      </c>
      <c r="D1259" s="348">
        <v>1</v>
      </c>
      <c r="E1259" s="348" t="s">
        <v>125</v>
      </c>
    </row>
    <row r="1260" spans="1:5">
      <c r="A1260" s="346">
        <v>45871</v>
      </c>
      <c r="B1260" s="349" t="s">
        <v>169</v>
      </c>
      <c r="C1260" s="348" t="s">
        <v>921</v>
      </c>
      <c r="D1260" s="348">
        <v>4</v>
      </c>
      <c r="E1260" s="348" t="s">
        <v>125</v>
      </c>
    </row>
    <row r="1261" spans="1:5">
      <c r="A1261" s="346">
        <v>45871</v>
      </c>
      <c r="B1261" s="349" t="s">
        <v>929</v>
      </c>
      <c r="C1261" s="348" t="s">
        <v>921</v>
      </c>
      <c r="D1261" s="348">
        <v>1</v>
      </c>
      <c r="E1261" s="348" t="s">
        <v>125</v>
      </c>
    </row>
    <row r="1262" spans="1:5">
      <c r="A1262" s="346">
        <v>45871</v>
      </c>
      <c r="B1262" s="349" t="s">
        <v>932</v>
      </c>
      <c r="C1262" s="348" t="s">
        <v>921</v>
      </c>
      <c r="D1262" s="348">
        <v>11</v>
      </c>
      <c r="E1262" s="348" t="s">
        <v>125</v>
      </c>
    </row>
    <row r="1264" spans="1:5">
      <c r="A1264" s="306">
        <v>45871</v>
      </c>
      <c r="B1264" s="239" t="s">
        <v>806</v>
      </c>
      <c r="C1264" s="240" t="s">
        <v>682</v>
      </c>
      <c r="D1264" s="240">
        <v>24</v>
      </c>
      <c r="E1264" s="18" t="s">
        <v>125</v>
      </c>
    </row>
    <row r="1265" spans="1:5">
      <c r="A1265" s="306">
        <v>45871</v>
      </c>
      <c r="B1265" s="239" t="s">
        <v>807</v>
      </c>
      <c r="C1265" s="240" t="s">
        <v>682</v>
      </c>
      <c r="D1265" s="240">
        <v>30</v>
      </c>
      <c r="E1265" s="18" t="s">
        <v>125</v>
      </c>
    </row>
    <row r="1266" spans="1:5">
      <c r="A1266" s="306">
        <v>45871</v>
      </c>
      <c r="B1266" s="239" t="s">
        <v>808</v>
      </c>
      <c r="C1266" s="240" t="s">
        <v>682</v>
      </c>
      <c r="D1266" s="240">
        <v>13</v>
      </c>
      <c r="E1266" s="18" t="s">
        <v>125</v>
      </c>
    </row>
    <row r="1267" spans="1:5">
      <c r="A1267" s="306">
        <v>45871</v>
      </c>
      <c r="B1267" s="242" t="s">
        <v>131</v>
      </c>
      <c r="C1267" s="240" t="s">
        <v>682</v>
      </c>
      <c r="D1267" s="240">
        <v>5</v>
      </c>
      <c r="E1267" s="18" t="s">
        <v>125</v>
      </c>
    </row>
    <row r="1268" spans="1:5">
      <c r="A1268" s="306">
        <v>45871</v>
      </c>
      <c r="B1268" s="239" t="s">
        <v>383</v>
      </c>
      <c r="C1268" s="240" t="s">
        <v>682</v>
      </c>
      <c r="D1268" s="240">
        <v>2</v>
      </c>
      <c r="E1268" s="18" t="s">
        <v>125</v>
      </c>
    </row>
    <row r="1269" spans="1:5">
      <c r="A1269" s="306">
        <v>45871</v>
      </c>
      <c r="B1269" s="358" t="s">
        <v>960</v>
      </c>
      <c r="C1269" s="240" t="s">
        <v>682</v>
      </c>
      <c r="D1269" s="240">
        <v>2</v>
      </c>
      <c r="E1269" s="18" t="s">
        <v>125</v>
      </c>
    </row>
    <row r="1270" spans="1:5">
      <c r="A1270" s="306">
        <v>45871</v>
      </c>
      <c r="B1270" s="239" t="s">
        <v>134</v>
      </c>
      <c r="C1270" s="240" t="s">
        <v>682</v>
      </c>
      <c r="D1270" s="240">
        <v>4</v>
      </c>
      <c r="E1270" s="18" t="s">
        <v>125</v>
      </c>
    </row>
    <row r="1271" spans="1:5">
      <c r="A1271" s="306">
        <v>45871</v>
      </c>
      <c r="B1271" s="242" t="s">
        <v>919</v>
      </c>
      <c r="C1271" s="240" t="s">
        <v>682</v>
      </c>
      <c r="D1271" s="240">
        <v>3</v>
      </c>
      <c r="E1271" s="18" t="s">
        <v>125</v>
      </c>
    </row>
    <row r="1272" spans="1:5">
      <c r="A1272" s="306">
        <v>45871</v>
      </c>
      <c r="B1272" s="358" t="s">
        <v>962</v>
      </c>
      <c r="C1272" s="240" t="s">
        <v>682</v>
      </c>
      <c r="D1272" s="240">
        <v>14</v>
      </c>
      <c r="E1272" s="18" t="s">
        <v>125</v>
      </c>
    </row>
    <row r="1274" spans="1:5">
      <c r="A1274" s="335">
        <v>45871</v>
      </c>
      <c r="B1274" s="343" t="s">
        <v>134</v>
      </c>
      <c r="C1274" s="345" t="s">
        <v>119</v>
      </c>
      <c r="D1274" s="345">
        <v>-19</v>
      </c>
      <c r="E1274" s="18" t="s">
        <v>125</v>
      </c>
    </row>
    <row r="1275" spans="1:5">
      <c r="A1275" s="335">
        <v>45871</v>
      </c>
      <c r="B1275" s="343" t="s">
        <v>928</v>
      </c>
      <c r="C1275" s="345" t="s">
        <v>119</v>
      </c>
      <c r="D1275" s="345">
        <v>-2</v>
      </c>
      <c r="E1275" s="18" t="s">
        <v>125</v>
      </c>
    </row>
    <row r="1276" spans="1:5">
      <c r="A1276" s="335">
        <v>45871</v>
      </c>
      <c r="B1276" s="343" t="s">
        <v>936</v>
      </c>
      <c r="C1276" s="345" t="s">
        <v>119</v>
      </c>
      <c r="D1276" s="345">
        <v>-1</v>
      </c>
      <c r="E1276" s="18" t="s">
        <v>125</v>
      </c>
    </row>
    <row r="1277" spans="1:5">
      <c r="A1277" s="335">
        <v>45871</v>
      </c>
      <c r="B1277" s="343" t="s">
        <v>167</v>
      </c>
      <c r="C1277" s="345" t="s">
        <v>119</v>
      </c>
      <c r="D1277" s="345">
        <v>-4</v>
      </c>
      <c r="E1277" s="18" t="s">
        <v>125</v>
      </c>
    </row>
    <row r="1278" spans="1:5">
      <c r="A1278" s="335">
        <v>45871</v>
      </c>
      <c r="B1278" s="343" t="s">
        <v>166</v>
      </c>
      <c r="C1278" s="345" t="s">
        <v>119</v>
      </c>
      <c r="D1278" s="345">
        <v>-2</v>
      </c>
      <c r="E1278" s="18" t="s">
        <v>125</v>
      </c>
    </row>
    <row r="1279" spans="1:5">
      <c r="A1279" s="335">
        <v>45871</v>
      </c>
      <c r="B1279" s="343" t="s">
        <v>959</v>
      </c>
      <c r="C1279" s="345" t="s">
        <v>119</v>
      </c>
      <c r="D1279" s="345">
        <v>-7</v>
      </c>
      <c r="E1279" s="18" t="s">
        <v>125</v>
      </c>
    </row>
    <row r="1280" spans="1:5">
      <c r="A1280" s="335">
        <v>45871</v>
      </c>
      <c r="B1280" s="343" t="s">
        <v>169</v>
      </c>
      <c r="C1280" s="345" t="s">
        <v>119</v>
      </c>
      <c r="D1280" s="345">
        <v>-4</v>
      </c>
      <c r="E1280" s="18" t="s">
        <v>125</v>
      </c>
    </row>
    <row r="1281" spans="1:5">
      <c r="A1281" s="335">
        <v>45871</v>
      </c>
      <c r="B1281" s="343" t="s">
        <v>929</v>
      </c>
      <c r="C1281" s="345" t="s">
        <v>119</v>
      </c>
      <c r="D1281" s="345">
        <v>-1</v>
      </c>
      <c r="E1281" s="18" t="s">
        <v>125</v>
      </c>
    </row>
    <row r="1283" spans="1:5">
      <c r="A1283" s="265">
        <v>45872</v>
      </c>
      <c r="B1283" s="343" t="s">
        <v>134</v>
      </c>
      <c r="C1283" s="345" t="s">
        <v>119</v>
      </c>
      <c r="D1283" s="43">
        <v>-9</v>
      </c>
      <c r="E1283" s="18" t="s">
        <v>125</v>
      </c>
    </row>
    <row r="1284" spans="1:5">
      <c r="A1284" s="265">
        <v>45872</v>
      </c>
      <c r="B1284" s="343" t="s">
        <v>134</v>
      </c>
      <c r="C1284" s="345" t="s">
        <v>119</v>
      </c>
      <c r="D1284" s="43">
        <v>-4</v>
      </c>
      <c r="E1284" s="18" t="s">
        <v>125</v>
      </c>
    </row>
    <row r="1285" spans="1:5">
      <c r="A1285" s="265">
        <v>45872</v>
      </c>
      <c r="B1285" s="343" t="s">
        <v>932</v>
      </c>
      <c r="C1285" s="345" t="s">
        <v>119</v>
      </c>
      <c r="D1285" s="43">
        <v>-9</v>
      </c>
      <c r="E1285" s="18" t="s">
        <v>125</v>
      </c>
    </row>
    <row r="1286" spans="1:5">
      <c r="A1286" s="265">
        <v>45872</v>
      </c>
      <c r="B1286" s="343" t="s">
        <v>134</v>
      </c>
      <c r="C1286" s="345" t="s">
        <v>119</v>
      </c>
      <c r="D1286" s="43">
        <v>-3</v>
      </c>
      <c r="E1286" s="18" t="s">
        <v>125</v>
      </c>
    </row>
    <row r="1288" spans="1:5">
      <c r="A1288" s="265">
        <v>45873</v>
      </c>
      <c r="B1288" s="92" t="s">
        <v>662</v>
      </c>
      <c r="C1288" s="345" t="s">
        <v>119</v>
      </c>
      <c r="D1288" s="43">
        <v>-10</v>
      </c>
      <c r="E1288" s="18" t="s">
        <v>125</v>
      </c>
    </row>
    <row r="1289" spans="1:5">
      <c r="A1289" s="265">
        <v>45873</v>
      </c>
      <c r="B1289" s="92" t="s">
        <v>672</v>
      </c>
      <c r="C1289" s="345" t="s">
        <v>119</v>
      </c>
      <c r="D1289" s="43">
        <v>-1</v>
      </c>
      <c r="E1289" s="18" t="s">
        <v>125</v>
      </c>
    </row>
    <row r="1291" spans="1:5">
      <c r="A1291" s="335">
        <v>45874</v>
      </c>
      <c r="B1291" s="343" t="s">
        <v>169</v>
      </c>
      <c r="C1291" s="345" t="s">
        <v>119</v>
      </c>
      <c r="D1291" s="345">
        <v>-5</v>
      </c>
      <c r="E1291" s="230" t="s">
        <v>125</v>
      </c>
    </row>
    <row r="1292" spans="1:5">
      <c r="A1292" s="335">
        <v>45874</v>
      </c>
      <c r="B1292" s="343" t="s">
        <v>134</v>
      </c>
      <c r="C1292" s="345" t="s">
        <v>119</v>
      </c>
      <c r="D1292" s="345">
        <v>-10</v>
      </c>
      <c r="E1292" s="230" t="s">
        <v>125</v>
      </c>
    </row>
    <row r="1293" spans="1:5">
      <c r="A1293" s="335">
        <v>45874</v>
      </c>
      <c r="B1293" s="343" t="s">
        <v>935</v>
      </c>
      <c r="C1293" s="345" t="s">
        <v>119</v>
      </c>
      <c r="D1293" s="345">
        <v>-5</v>
      </c>
      <c r="E1293" s="230" t="s">
        <v>125</v>
      </c>
    </row>
    <row r="1294" spans="1:5">
      <c r="A1294" s="335">
        <v>45874</v>
      </c>
      <c r="B1294" s="343" t="s">
        <v>932</v>
      </c>
      <c r="C1294" s="345" t="s">
        <v>119</v>
      </c>
      <c r="D1294" s="345">
        <v>-5</v>
      </c>
      <c r="E1294" s="230" t="s">
        <v>125</v>
      </c>
    </row>
    <row r="1296" spans="1:5">
      <c r="A1296" s="265">
        <v>45871</v>
      </c>
      <c r="B1296" s="93" t="s">
        <v>806</v>
      </c>
      <c r="C1296" s="345" t="s">
        <v>119</v>
      </c>
      <c r="D1296" s="43">
        <v>-24</v>
      </c>
      <c r="E1296" s="230" t="s">
        <v>125</v>
      </c>
    </row>
    <row r="1297" spans="1:5">
      <c r="A1297" s="265">
        <v>45871</v>
      </c>
      <c r="B1297" s="93" t="s">
        <v>807</v>
      </c>
      <c r="C1297" s="345" t="s">
        <v>119</v>
      </c>
      <c r="D1297" s="43">
        <v>-30</v>
      </c>
      <c r="E1297" s="230" t="s">
        <v>125</v>
      </c>
    </row>
    <row r="1298" spans="1:5">
      <c r="A1298" s="265">
        <v>45871</v>
      </c>
      <c r="B1298" s="93" t="s">
        <v>808</v>
      </c>
      <c r="C1298" s="345" t="s">
        <v>119</v>
      </c>
      <c r="D1298" s="43">
        <v>-13</v>
      </c>
      <c r="E1298" s="230" t="s">
        <v>125</v>
      </c>
    </row>
    <row r="1299" spans="1:5">
      <c r="A1299" s="265">
        <v>45871</v>
      </c>
      <c r="B1299" s="84" t="s">
        <v>131</v>
      </c>
      <c r="C1299" s="345" t="s">
        <v>119</v>
      </c>
      <c r="D1299" s="43">
        <v>-5</v>
      </c>
      <c r="E1299" s="230" t="s">
        <v>125</v>
      </c>
    </row>
    <row r="1300" spans="1:5">
      <c r="A1300" s="265">
        <v>45871</v>
      </c>
      <c r="B1300" s="93" t="s">
        <v>383</v>
      </c>
      <c r="C1300" s="345" t="s">
        <v>119</v>
      </c>
      <c r="D1300" s="43">
        <v>-2</v>
      </c>
      <c r="E1300" s="230" t="s">
        <v>125</v>
      </c>
    </row>
    <row r="1301" spans="1:5">
      <c r="A1301" s="265">
        <v>45871</v>
      </c>
      <c r="B1301" s="93" t="s">
        <v>960</v>
      </c>
      <c r="C1301" s="345" t="s">
        <v>119</v>
      </c>
      <c r="D1301" s="43">
        <v>-2</v>
      </c>
      <c r="E1301" s="230" t="s">
        <v>125</v>
      </c>
    </row>
    <row r="1303" spans="1:5">
      <c r="A1303" s="265">
        <v>45873</v>
      </c>
      <c r="B1303" s="343" t="s">
        <v>134</v>
      </c>
      <c r="C1303" s="43" t="s">
        <v>678</v>
      </c>
      <c r="D1303" s="43">
        <v>-1</v>
      </c>
      <c r="E1303" s="230" t="s">
        <v>125</v>
      </c>
    </row>
    <row r="1304" spans="1:5">
      <c r="A1304" s="265">
        <v>45873</v>
      </c>
      <c r="B1304" s="343" t="s">
        <v>928</v>
      </c>
      <c r="C1304" s="43" t="s">
        <v>678</v>
      </c>
      <c r="D1304" s="43">
        <v>-1</v>
      </c>
      <c r="E1304" s="230" t="s">
        <v>125</v>
      </c>
    </row>
    <row r="1305" spans="1:5">
      <c r="A1305" s="265">
        <v>45873</v>
      </c>
      <c r="B1305" s="343" t="s">
        <v>134</v>
      </c>
      <c r="C1305" s="43" t="s">
        <v>678</v>
      </c>
      <c r="D1305" s="43">
        <v>-2</v>
      </c>
      <c r="E1305" s="230" t="s">
        <v>125</v>
      </c>
    </row>
    <row r="1306" spans="1:5">
      <c r="A1306" s="265">
        <v>45873</v>
      </c>
      <c r="B1306" s="343" t="s">
        <v>134</v>
      </c>
      <c r="C1306" s="43" t="s">
        <v>678</v>
      </c>
      <c r="D1306" s="43">
        <v>-1</v>
      </c>
      <c r="E1306" s="230" t="s">
        <v>125</v>
      </c>
    </row>
    <row r="1307" spans="1:5">
      <c r="A1307" s="265">
        <v>45873</v>
      </c>
      <c r="B1307" s="343" t="s">
        <v>134</v>
      </c>
      <c r="C1307" s="43" t="s">
        <v>678</v>
      </c>
      <c r="D1307" s="43">
        <v>-1</v>
      </c>
      <c r="E1307" s="230" t="s">
        <v>125</v>
      </c>
    </row>
    <row r="1308" spans="1:5">
      <c r="A1308" s="265">
        <v>45873</v>
      </c>
      <c r="B1308" s="343" t="s">
        <v>134</v>
      </c>
      <c r="C1308" s="43" t="s">
        <v>678</v>
      </c>
      <c r="D1308" s="43">
        <v>-2</v>
      </c>
      <c r="E1308" s="230" t="s">
        <v>125</v>
      </c>
    </row>
    <row r="1310" spans="1:5">
      <c r="A1310" s="265">
        <v>45874</v>
      </c>
      <c r="B1310" s="343" t="s">
        <v>134</v>
      </c>
      <c r="C1310" s="43" t="s">
        <v>678</v>
      </c>
      <c r="D1310" s="43">
        <v>-1</v>
      </c>
      <c r="E1310" s="230" t="s">
        <v>125</v>
      </c>
    </row>
    <row r="1312" spans="1:5">
      <c r="A1312" s="265">
        <v>45876</v>
      </c>
      <c r="B1312" s="343" t="s">
        <v>134</v>
      </c>
      <c r="C1312" s="43" t="s">
        <v>678</v>
      </c>
      <c r="D1312" s="43">
        <v>-1</v>
      </c>
      <c r="E1312" s="230" t="s">
        <v>125</v>
      </c>
    </row>
    <row r="1314" spans="1:6">
      <c r="A1314" s="346">
        <v>45873</v>
      </c>
      <c r="B1314" s="349" t="s">
        <v>971</v>
      </c>
      <c r="C1314" s="348" t="s">
        <v>921</v>
      </c>
      <c r="D1314" s="348">
        <v>1</v>
      </c>
      <c r="E1314" s="360" t="s">
        <v>125</v>
      </c>
      <c r="F1314" t="s">
        <v>974</v>
      </c>
    </row>
    <row r="1315" spans="1:6">
      <c r="A1315" s="346">
        <v>45873</v>
      </c>
      <c r="B1315" s="347" t="s">
        <v>926</v>
      </c>
      <c r="C1315" s="348" t="s">
        <v>921</v>
      </c>
      <c r="D1315" s="348">
        <v>3</v>
      </c>
      <c r="E1315" s="360" t="s">
        <v>125</v>
      </c>
    </row>
    <row r="1316" spans="1:6">
      <c r="A1316" s="346">
        <v>45873</v>
      </c>
      <c r="B1316" s="349" t="s">
        <v>169</v>
      </c>
      <c r="C1316" s="348" t="s">
        <v>921</v>
      </c>
      <c r="D1316" s="348">
        <v>3</v>
      </c>
      <c r="E1316" s="360" t="s">
        <v>125</v>
      </c>
    </row>
    <row r="1317" spans="1:6">
      <c r="A1317" s="346">
        <v>45873</v>
      </c>
      <c r="B1317" s="349" t="s">
        <v>972</v>
      </c>
      <c r="C1317" s="348" t="s">
        <v>921</v>
      </c>
      <c r="D1317" s="348">
        <v>1</v>
      </c>
      <c r="E1317" s="360" t="s">
        <v>125</v>
      </c>
    </row>
    <row r="1318" spans="1:6">
      <c r="A1318" s="346">
        <v>45873</v>
      </c>
      <c r="B1318" s="349" t="s">
        <v>134</v>
      </c>
      <c r="C1318" s="348" t="s">
        <v>921</v>
      </c>
      <c r="D1318" s="348">
        <v>22</v>
      </c>
      <c r="E1318" s="360" t="s">
        <v>125</v>
      </c>
    </row>
    <row r="1319" spans="1:6">
      <c r="A1319" s="346">
        <v>45873</v>
      </c>
      <c r="B1319" s="349" t="s">
        <v>167</v>
      </c>
      <c r="C1319" s="348" t="s">
        <v>921</v>
      </c>
      <c r="D1319" s="348">
        <v>6</v>
      </c>
      <c r="E1319" s="360" t="s">
        <v>125</v>
      </c>
    </row>
    <row r="1320" spans="1:6">
      <c r="A1320" s="346">
        <v>45873</v>
      </c>
      <c r="B1320" s="349" t="s">
        <v>166</v>
      </c>
      <c r="C1320" s="348" t="s">
        <v>921</v>
      </c>
      <c r="D1320" s="348">
        <v>1</v>
      </c>
      <c r="E1320" s="360" t="s">
        <v>125</v>
      </c>
    </row>
    <row r="1321" spans="1:6">
      <c r="A1321" s="346">
        <v>45873</v>
      </c>
      <c r="B1321" s="349" t="s">
        <v>169</v>
      </c>
      <c r="C1321" s="348" t="s">
        <v>921</v>
      </c>
      <c r="D1321" s="348">
        <v>2</v>
      </c>
      <c r="E1321" s="360" t="s">
        <v>125</v>
      </c>
    </row>
    <row r="1322" spans="1:6">
      <c r="A1322" s="346">
        <v>45873</v>
      </c>
      <c r="B1322" s="349" t="s">
        <v>920</v>
      </c>
      <c r="C1322" s="348" t="s">
        <v>921</v>
      </c>
      <c r="D1322" s="348">
        <v>10</v>
      </c>
      <c r="E1322" s="360" t="s">
        <v>125</v>
      </c>
    </row>
    <row r="1323" spans="1:6">
      <c r="A1323" s="346">
        <v>45873</v>
      </c>
      <c r="B1323" s="351" t="s">
        <v>932</v>
      </c>
      <c r="C1323" s="348" t="s">
        <v>921</v>
      </c>
      <c r="D1323" s="348">
        <v>4</v>
      </c>
      <c r="E1323" s="360" t="s">
        <v>125</v>
      </c>
    </row>
    <row r="1324" spans="1:6">
      <c r="A1324" s="346">
        <v>45873</v>
      </c>
      <c r="B1324" s="349" t="s">
        <v>935</v>
      </c>
      <c r="C1324" s="348" t="s">
        <v>921</v>
      </c>
      <c r="D1324" s="348">
        <v>1</v>
      </c>
      <c r="E1324" s="360" t="s">
        <v>125</v>
      </c>
    </row>
    <row r="1325" spans="1:6">
      <c r="A1325" s="346">
        <v>45873</v>
      </c>
      <c r="B1325" s="349" t="s">
        <v>973</v>
      </c>
      <c r="C1325" s="348" t="s">
        <v>921</v>
      </c>
      <c r="D1325" s="348">
        <v>1</v>
      </c>
      <c r="E1325" s="360" t="s">
        <v>125</v>
      </c>
    </row>
    <row r="1326" spans="1:6">
      <c r="A1326" s="361"/>
      <c r="B1326" s="362"/>
      <c r="C1326" s="361"/>
      <c r="D1326" s="361"/>
      <c r="E1326" s="363"/>
    </row>
    <row r="1327" spans="1:6">
      <c r="A1327" s="335">
        <v>45875</v>
      </c>
      <c r="B1327" s="343" t="s">
        <v>134</v>
      </c>
      <c r="C1327" s="345" t="s">
        <v>119</v>
      </c>
      <c r="D1327" s="345">
        <v>-14</v>
      </c>
      <c r="E1327" s="230" t="s">
        <v>125</v>
      </c>
    </row>
    <row r="1328" spans="1:6">
      <c r="A1328" s="335">
        <v>45875</v>
      </c>
      <c r="B1328" s="343" t="s">
        <v>936</v>
      </c>
      <c r="C1328" s="345" t="s">
        <v>119</v>
      </c>
      <c r="D1328" s="345">
        <v>-4</v>
      </c>
      <c r="E1328" s="230" t="s">
        <v>125</v>
      </c>
    </row>
    <row r="1329" spans="1:5">
      <c r="A1329" s="335">
        <v>45875</v>
      </c>
      <c r="B1329" s="343" t="s">
        <v>167</v>
      </c>
      <c r="C1329" s="345" t="s">
        <v>119</v>
      </c>
      <c r="D1329" s="345">
        <v>-6</v>
      </c>
      <c r="E1329" s="230" t="s">
        <v>125</v>
      </c>
    </row>
    <row r="1330" spans="1:5">
      <c r="A1330" s="335">
        <v>45875</v>
      </c>
      <c r="B1330" s="343" t="s">
        <v>166</v>
      </c>
      <c r="C1330" s="345" t="s">
        <v>119</v>
      </c>
      <c r="D1330" s="345">
        <v>-4</v>
      </c>
      <c r="E1330" s="230" t="s">
        <v>125</v>
      </c>
    </row>
    <row r="1331" spans="1:5">
      <c r="A1331" s="335">
        <v>45875</v>
      </c>
      <c r="B1331" s="343" t="s">
        <v>973</v>
      </c>
      <c r="C1331" s="345" t="s">
        <v>119</v>
      </c>
      <c r="D1331" s="345">
        <v>-1</v>
      </c>
      <c r="E1331" s="230" t="s">
        <v>125</v>
      </c>
    </row>
    <row r="1333" spans="1:5">
      <c r="A1333" s="335">
        <v>45875</v>
      </c>
      <c r="B1333" s="343" t="s">
        <v>134</v>
      </c>
      <c r="C1333" s="345" t="s">
        <v>119</v>
      </c>
      <c r="D1333" s="43">
        <v>-7</v>
      </c>
      <c r="E1333" s="230" t="s">
        <v>125</v>
      </c>
    </row>
    <row r="1334" spans="1:5">
      <c r="A1334" s="335">
        <v>45875</v>
      </c>
      <c r="B1334" s="343" t="s">
        <v>928</v>
      </c>
      <c r="C1334" s="345" t="s">
        <v>119</v>
      </c>
      <c r="D1334" s="43">
        <v>-4</v>
      </c>
      <c r="E1334" s="230" t="s">
        <v>125</v>
      </c>
    </row>
    <row r="1335" spans="1:5">
      <c r="A1335" s="335">
        <v>45875</v>
      </c>
      <c r="B1335" s="92" t="s">
        <v>672</v>
      </c>
      <c r="C1335" s="345" t="s">
        <v>119</v>
      </c>
      <c r="D1335" s="43">
        <v>-2</v>
      </c>
      <c r="E1335" s="230" t="s">
        <v>125</v>
      </c>
    </row>
    <row r="1336" spans="1:5">
      <c r="B1336" s="154"/>
      <c r="C1336" s="364"/>
    </row>
    <row r="1337" spans="1:5">
      <c r="A1337" s="265">
        <v>45876</v>
      </c>
      <c r="B1337" s="92" t="s">
        <v>662</v>
      </c>
      <c r="C1337" s="345" t="s">
        <v>119</v>
      </c>
      <c r="D1337" s="43">
        <v>-10</v>
      </c>
      <c r="E1337" s="230" t="s">
        <v>125</v>
      </c>
    </row>
    <row r="1338" spans="1:5">
      <c r="A1338" s="265">
        <v>45876</v>
      </c>
      <c r="B1338" s="92" t="s">
        <v>672</v>
      </c>
      <c r="C1338" s="345" t="s">
        <v>119</v>
      </c>
      <c r="D1338" s="43">
        <v>-2</v>
      </c>
      <c r="E1338" s="230" t="s">
        <v>125</v>
      </c>
    </row>
    <row r="1340" spans="1:5">
      <c r="A1340" s="323">
        <v>45874</v>
      </c>
      <c r="B1340" s="325" t="s">
        <v>806</v>
      </c>
      <c r="C1340" s="322" t="s">
        <v>682</v>
      </c>
      <c r="D1340" s="322">
        <v>14</v>
      </c>
      <c r="E1340" s="321" t="s">
        <v>125</v>
      </c>
    </row>
    <row r="1341" spans="1:5">
      <c r="A1341" s="323">
        <v>45874</v>
      </c>
      <c r="B1341" s="325" t="s">
        <v>807</v>
      </c>
      <c r="C1341" s="322" t="s">
        <v>682</v>
      </c>
      <c r="D1341" s="322">
        <v>21</v>
      </c>
      <c r="E1341" s="321" t="s">
        <v>125</v>
      </c>
    </row>
    <row r="1342" spans="1:5">
      <c r="A1342" s="323">
        <v>45874</v>
      </c>
      <c r="B1342" s="325" t="s">
        <v>808</v>
      </c>
      <c r="C1342" s="322" t="s">
        <v>682</v>
      </c>
      <c r="D1342" s="322">
        <v>18</v>
      </c>
      <c r="E1342" s="321" t="s">
        <v>125</v>
      </c>
    </row>
    <row r="1343" spans="1:5">
      <c r="A1343" s="323">
        <v>45874</v>
      </c>
      <c r="B1343" s="324" t="s">
        <v>131</v>
      </c>
      <c r="C1343" s="322" t="s">
        <v>682</v>
      </c>
      <c r="D1343" s="322">
        <v>14</v>
      </c>
      <c r="E1343" s="321" t="s">
        <v>125</v>
      </c>
    </row>
    <row r="1344" spans="1:5">
      <c r="A1344" s="323">
        <v>45874</v>
      </c>
      <c r="B1344" s="325" t="s">
        <v>960</v>
      </c>
      <c r="C1344" s="322" t="s">
        <v>682</v>
      </c>
      <c r="D1344" s="322">
        <v>6</v>
      </c>
      <c r="E1344" s="321" t="s">
        <v>125</v>
      </c>
    </row>
    <row r="1345" spans="1:5">
      <c r="A1345" s="323">
        <v>45874</v>
      </c>
      <c r="B1345" s="325" t="s">
        <v>975</v>
      </c>
      <c r="C1345" s="322" t="s">
        <v>682</v>
      </c>
      <c r="D1345" s="322">
        <v>5</v>
      </c>
      <c r="E1345" s="321" t="s">
        <v>125</v>
      </c>
    </row>
    <row r="1346" spans="1:5">
      <c r="A1346" s="323">
        <v>45874</v>
      </c>
      <c r="B1346" s="324" t="s">
        <v>919</v>
      </c>
      <c r="C1346" s="322" t="s">
        <v>682</v>
      </c>
      <c r="D1346" s="322">
        <v>3</v>
      </c>
      <c r="E1346" s="321" t="s">
        <v>125</v>
      </c>
    </row>
    <row r="1347" spans="1:5">
      <c r="A1347" s="323">
        <v>45874</v>
      </c>
      <c r="B1347" s="325" t="s">
        <v>976</v>
      </c>
      <c r="C1347" s="322" t="s">
        <v>682</v>
      </c>
      <c r="D1347" s="322">
        <v>1</v>
      </c>
      <c r="E1347" s="321" t="s">
        <v>125</v>
      </c>
    </row>
    <row r="1348" spans="1:5">
      <c r="A1348" s="323">
        <v>45874</v>
      </c>
      <c r="B1348" s="325" t="s">
        <v>977</v>
      </c>
      <c r="C1348" s="322" t="s">
        <v>682</v>
      </c>
      <c r="D1348" s="322">
        <v>1</v>
      </c>
      <c r="E1348" s="321" t="s">
        <v>125</v>
      </c>
    </row>
    <row r="1350" spans="1:5">
      <c r="A1350" s="335">
        <v>45874</v>
      </c>
      <c r="B1350" s="343" t="s">
        <v>808</v>
      </c>
      <c r="C1350" s="345" t="s">
        <v>119</v>
      </c>
      <c r="D1350" s="345">
        <v>-18</v>
      </c>
      <c r="E1350" s="230" t="s">
        <v>125</v>
      </c>
    </row>
    <row r="1351" spans="1:5">
      <c r="A1351" s="335">
        <v>45874</v>
      </c>
      <c r="B1351" s="343" t="s">
        <v>806</v>
      </c>
      <c r="C1351" s="345" t="s">
        <v>119</v>
      </c>
      <c r="D1351" s="345">
        <v>-10</v>
      </c>
      <c r="E1351" s="230" t="s">
        <v>125</v>
      </c>
    </row>
    <row r="1352" spans="1:5">
      <c r="A1352" s="335">
        <v>45874</v>
      </c>
      <c r="B1352" s="343" t="s">
        <v>807</v>
      </c>
      <c r="C1352" s="345" t="s">
        <v>119</v>
      </c>
      <c r="D1352" s="345">
        <v>-21</v>
      </c>
      <c r="E1352" s="230" t="s">
        <v>125</v>
      </c>
    </row>
    <row r="1353" spans="1:5">
      <c r="A1353" s="335">
        <v>45874</v>
      </c>
      <c r="B1353" s="342" t="s">
        <v>131</v>
      </c>
      <c r="C1353" s="345" t="s">
        <v>119</v>
      </c>
      <c r="D1353" s="345">
        <v>-13</v>
      </c>
      <c r="E1353" s="230" t="s">
        <v>125</v>
      </c>
    </row>
    <row r="1354" spans="1:5">
      <c r="A1354" s="335">
        <v>45874</v>
      </c>
      <c r="B1354" s="343" t="s">
        <v>975</v>
      </c>
      <c r="C1354" s="345" t="s">
        <v>119</v>
      </c>
      <c r="D1354" s="345">
        <v>-2</v>
      </c>
      <c r="E1354" s="230" t="s">
        <v>125</v>
      </c>
    </row>
    <row r="1356" spans="1:5">
      <c r="A1356" s="265">
        <v>45876</v>
      </c>
      <c r="B1356" s="93" t="s">
        <v>76</v>
      </c>
      <c r="C1356" s="43" t="s">
        <v>119</v>
      </c>
      <c r="D1356" s="43">
        <v>-3</v>
      </c>
      <c r="E1356" s="18" t="s">
        <v>125</v>
      </c>
    </row>
    <row r="1358" spans="1:5">
      <c r="A1358" s="335">
        <v>45873</v>
      </c>
      <c r="B1358" s="342" t="s">
        <v>919</v>
      </c>
      <c r="C1358" s="345" t="s">
        <v>119</v>
      </c>
      <c r="D1358" s="345">
        <v>-3</v>
      </c>
      <c r="E1358" s="230" t="s">
        <v>125</v>
      </c>
    </row>
    <row r="1359" spans="1:5">
      <c r="A1359" s="335">
        <v>45873</v>
      </c>
      <c r="B1359" s="343" t="s">
        <v>920</v>
      </c>
      <c r="C1359" s="345" t="s">
        <v>119</v>
      </c>
      <c r="D1359" s="345">
        <v>-1</v>
      </c>
      <c r="E1359" s="230" t="s">
        <v>125</v>
      </c>
    </row>
    <row r="1361" spans="1:5">
      <c r="A1361" s="323">
        <v>45874</v>
      </c>
      <c r="B1361" s="325" t="s">
        <v>134</v>
      </c>
      <c r="C1361" s="322" t="s">
        <v>682</v>
      </c>
      <c r="D1361" s="322">
        <v>4</v>
      </c>
      <c r="E1361" s="321" t="s">
        <v>125</v>
      </c>
    </row>
    <row r="1362" spans="1:5">
      <c r="A1362" s="323">
        <v>45874</v>
      </c>
      <c r="B1362" s="325" t="s">
        <v>167</v>
      </c>
      <c r="C1362" s="322" t="s">
        <v>682</v>
      </c>
      <c r="D1362" s="322">
        <v>2</v>
      </c>
      <c r="E1362" s="321" t="s">
        <v>125</v>
      </c>
    </row>
    <row r="1363" spans="1:5">
      <c r="A1363" s="323">
        <v>45874</v>
      </c>
      <c r="B1363" s="325" t="s">
        <v>166</v>
      </c>
      <c r="C1363" s="322" t="s">
        <v>682</v>
      </c>
      <c r="D1363" s="322">
        <v>2</v>
      </c>
      <c r="E1363" s="321" t="s">
        <v>125</v>
      </c>
    </row>
    <row r="1365" spans="1:5">
      <c r="A1365" s="265">
        <v>45877</v>
      </c>
      <c r="B1365" s="92" t="s">
        <v>662</v>
      </c>
      <c r="C1365" s="345" t="s">
        <v>119</v>
      </c>
      <c r="D1365" s="43">
        <v>-15</v>
      </c>
      <c r="E1365" s="230" t="s">
        <v>125</v>
      </c>
    </row>
    <row r="1366" spans="1:5">
      <c r="A1366" s="265">
        <v>45877</v>
      </c>
      <c r="B1366" s="92" t="s">
        <v>672</v>
      </c>
      <c r="C1366" s="345" t="s">
        <v>119</v>
      </c>
      <c r="D1366" s="43">
        <v>-1</v>
      </c>
      <c r="E1366" s="230" t="s">
        <v>125</v>
      </c>
    </row>
    <row r="1368" spans="1:5">
      <c r="A1368" s="265">
        <v>45878</v>
      </c>
      <c r="B1368" s="92" t="s">
        <v>662</v>
      </c>
      <c r="C1368" s="345" t="s">
        <v>119</v>
      </c>
      <c r="D1368" s="43">
        <v>-5</v>
      </c>
      <c r="E1368" s="230" t="s">
        <v>125</v>
      </c>
    </row>
    <row r="1369" spans="1:5">
      <c r="A1369" s="265">
        <v>45878</v>
      </c>
      <c r="B1369" s="84" t="s">
        <v>498</v>
      </c>
      <c r="C1369" s="345" t="s">
        <v>119</v>
      </c>
      <c r="D1369" s="43">
        <v>-1</v>
      </c>
      <c r="E1369" s="230" t="s">
        <v>125</v>
      </c>
    </row>
    <row r="1371" spans="1:5">
      <c r="A1371" s="265">
        <v>45880</v>
      </c>
      <c r="B1371" s="93" t="s">
        <v>76</v>
      </c>
      <c r="C1371" s="43" t="s">
        <v>119</v>
      </c>
      <c r="D1371" s="43">
        <v>-6</v>
      </c>
      <c r="E1371" s="230" t="s">
        <v>125</v>
      </c>
    </row>
    <row r="1372" spans="1:5">
      <c r="A1372" s="265">
        <v>45880</v>
      </c>
      <c r="B1372" s="343" t="s">
        <v>806</v>
      </c>
      <c r="C1372" s="345" t="s">
        <v>119</v>
      </c>
      <c r="D1372" s="43">
        <v>-4</v>
      </c>
      <c r="E1372" s="230" t="s">
        <v>125</v>
      </c>
    </row>
    <row r="1373" spans="1:5">
      <c r="A1373" s="265">
        <v>45880</v>
      </c>
      <c r="B1373" s="343" t="s">
        <v>975</v>
      </c>
      <c r="C1373" s="345" t="s">
        <v>119</v>
      </c>
      <c r="D1373" s="43">
        <v>-3</v>
      </c>
      <c r="E1373" s="230" t="s">
        <v>125</v>
      </c>
    </row>
    <row r="1374" spans="1:5">
      <c r="A1374" s="265">
        <v>45880</v>
      </c>
      <c r="B1374" s="342" t="s">
        <v>131</v>
      </c>
      <c r="C1374" s="345" t="s">
        <v>119</v>
      </c>
      <c r="D1374" s="43">
        <v>-1</v>
      </c>
      <c r="E1374" s="230" t="s">
        <v>125</v>
      </c>
    </row>
    <row r="1376" spans="1:5">
      <c r="A1376" s="272">
        <v>45871</v>
      </c>
      <c r="B1376" s="139" t="s">
        <v>808</v>
      </c>
      <c r="C1376" s="106" t="s">
        <v>49</v>
      </c>
      <c r="D1376" s="106">
        <v>4</v>
      </c>
      <c r="E1376" s="94" t="s">
        <v>125</v>
      </c>
    </row>
    <row r="1377" spans="1:5">
      <c r="A1377" s="272">
        <v>45871</v>
      </c>
      <c r="B1377" s="139" t="s">
        <v>671</v>
      </c>
      <c r="C1377" s="106" t="s">
        <v>49</v>
      </c>
      <c r="D1377" s="106">
        <v>2</v>
      </c>
      <c r="E1377" s="94" t="s">
        <v>125</v>
      </c>
    </row>
    <row r="1378" spans="1:5">
      <c r="A1378" s="272">
        <v>45871</v>
      </c>
      <c r="B1378" s="139" t="s">
        <v>807</v>
      </c>
      <c r="C1378" s="106" t="s">
        <v>49</v>
      </c>
      <c r="D1378" s="106">
        <v>2</v>
      </c>
      <c r="E1378" s="94" t="s">
        <v>125</v>
      </c>
    </row>
    <row r="1379" spans="1:5">
      <c r="A1379" s="272">
        <v>45871</v>
      </c>
      <c r="B1379" s="139" t="s">
        <v>808</v>
      </c>
      <c r="C1379" s="106" t="s">
        <v>49</v>
      </c>
      <c r="D1379" s="106">
        <v>2</v>
      </c>
      <c r="E1379" s="94" t="s">
        <v>125</v>
      </c>
    </row>
    <row r="1380" spans="1:5">
      <c r="A1380" s="272">
        <v>45871</v>
      </c>
      <c r="B1380" s="139" t="s">
        <v>808</v>
      </c>
      <c r="C1380" s="106" t="s">
        <v>49</v>
      </c>
      <c r="D1380" s="106">
        <v>2</v>
      </c>
      <c r="E1380" s="94" t="s">
        <v>125</v>
      </c>
    </row>
    <row r="1381" spans="1:5">
      <c r="A1381" s="272">
        <v>45871</v>
      </c>
      <c r="B1381" s="139" t="s">
        <v>482</v>
      </c>
      <c r="C1381" s="106" t="s">
        <v>49</v>
      </c>
      <c r="D1381" s="106">
        <v>19</v>
      </c>
      <c r="E1381" s="94" t="s">
        <v>125</v>
      </c>
    </row>
    <row r="1382" spans="1:5">
      <c r="A1382" s="272">
        <v>45871</v>
      </c>
      <c r="B1382" s="139" t="s">
        <v>303</v>
      </c>
      <c r="C1382" s="106" t="s">
        <v>49</v>
      </c>
      <c r="D1382" s="106">
        <v>6</v>
      </c>
      <c r="E1382" s="94" t="s">
        <v>125</v>
      </c>
    </row>
    <row r="1384" spans="1:5">
      <c r="A1384" s="286">
        <v>45871</v>
      </c>
      <c r="B1384" s="287" t="s">
        <v>671</v>
      </c>
      <c r="C1384" s="288" t="s">
        <v>49</v>
      </c>
      <c r="D1384" s="288">
        <v>10</v>
      </c>
      <c r="E1384" s="331" t="s">
        <v>125</v>
      </c>
    </row>
    <row r="1385" spans="1:5">
      <c r="A1385" s="286">
        <v>45871</v>
      </c>
      <c r="B1385" s="287" t="s">
        <v>671</v>
      </c>
      <c r="C1385" s="288" t="s">
        <v>49</v>
      </c>
      <c r="D1385" s="288">
        <v>10</v>
      </c>
      <c r="E1385" s="331" t="s">
        <v>125</v>
      </c>
    </row>
    <row r="1387" spans="1:5">
      <c r="A1387" s="272">
        <v>45880</v>
      </c>
      <c r="B1387" s="139" t="s">
        <v>121</v>
      </c>
      <c r="C1387" s="106" t="s">
        <v>49</v>
      </c>
      <c r="D1387" s="106">
        <v>3</v>
      </c>
      <c r="E1387" s="94" t="s">
        <v>125</v>
      </c>
    </row>
    <row r="1388" spans="1:5">
      <c r="A1388" s="272">
        <v>45880</v>
      </c>
      <c r="B1388" s="139" t="s">
        <v>76</v>
      </c>
      <c r="C1388" s="106" t="s">
        <v>49</v>
      </c>
      <c r="D1388" s="106">
        <v>11</v>
      </c>
      <c r="E1388" s="94" t="s">
        <v>125</v>
      </c>
    </row>
    <row r="1389" spans="1:5">
      <c r="A1389" s="272">
        <v>45880</v>
      </c>
      <c r="B1389" s="139" t="s">
        <v>76</v>
      </c>
      <c r="C1389" s="106" t="s">
        <v>49</v>
      </c>
      <c r="D1389" s="106">
        <v>30</v>
      </c>
      <c r="E1389" s="94" t="s">
        <v>125</v>
      </c>
    </row>
    <row r="1391" spans="1:5">
      <c r="A1391" s="330">
        <v>45880</v>
      </c>
      <c r="B1391" s="329" t="s">
        <v>121</v>
      </c>
      <c r="C1391" s="328" t="s">
        <v>49</v>
      </c>
      <c r="D1391" s="328">
        <v>50</v>
      </c>
      <c r="E1391" s="331" t="s">
        <v>125</v>
      </c>
    </row>
    <row r="1392" spans="1:5">
      <c r="A1392" s="330">
        <v>45880</v>
      </c>
      <c r="B1392" s="329" t="s">
        <v>839</v>
      </c>
      <c r="C1392" s="328" t="s">
        <v>49</v>
      </c>
      <c r="D1392" s="328">
        <v>4</v>
      </c>
      <c r="E1392" s="331" t="s">
        <v>125</v>
      </c>
    </row>
    <row r="1393" spans="1:6">
      <c r="A1393" s="330">
        <v>45880</v>
      </c>
      <c r="B1393" s="329" t="s">
        <v>76</v>
      </c>
      <c r="C1393" s="328" t="s">
        <v>49</v>
      </c>
      <c r="D1393" s="328">
        <v>111</v>
      </c>
      <c r="E1393" s="331" t="s">
        <v>125</v>
      </c>
    </row>
    <row r="1395" spans="1:6">
      <c r="A1395" s="273">
        <v>45880</v>
      </c>
      <c r="B1395" s="301" t="s">
        <v>78</v>
      </c>
      <c r="C1395" s="235" t="s">
        <v>1035</v>
      </c>
      <c r="D1395" s="237">
        <v>30</v>
      </c>
      <c r="E1395" s="217" t="s">
        <v>125</v>
      </c>
    </row>
    <row r="1397" spans="1:6">
      <c r="A1397" s="335">
        <v>45880</v>
      </c>
      <c r="B1397" s="343" t="s">
        <v>962</v>
      </c>
      <c r="C1397" s="345" t="s">
        <v>119</v>
      </c>
      <c r="D1397" s="345">
        <v>-14</v>
      </c>
      <c r="E1397" s="230" t="s">
        <v>125</v>
      </c>
    </row>
    <row r="1398" spans="1:6">
      <c r="A1398" s="335">
        <v>45880</v>
      </c>
      <c r="B1398" s="341" t="s">
        <v>634</v>
      </c>
      <c r="C1398" s="345" t="s">
        <v>119</v>
      </c>
      <c r="D1398" s="345">
        <v>0</v>
      </c>
      <c r="E1398" s="230" t="s">
        <v>125</v>
      </c>
      <c r="F1398" s="441" t="s">
        <v>1181</v>
      </c>
    </row>
    <row r="1399" spans="1:6">
      <c r="A1399" s="335">
        <v>45880</v>
      </c>
      <c r="B1399" s="341" t="s">
        <v>82</v>
      </c>
      <c r="C1399" s="345" t="s">
        <v>119</v>
      </c>
      <c r="D1399" s="345">
        <v>0</v>
      </c>
      <c r="E1399" s="230" t="s">
        <v>125</v>
      </c>
      <c r="F1399" s="441" t="s">
        <v>1181</v>
      </c>
    </row>
    <row r="1400" spans="1:6">
      <c r="A1400" s="335">
        <v>45880</v>
      </c>
      <c r="B1400" s="343" t="s">
        <v>154</v>
      </c>
      <c r="C1400" s="345" t="s">
        <v>119</v>
      </c>
      <c r="D1400" s="345">
        <v>0</v>
      </c>
      <c r="E1400" s="230" t="s">
        <v>125</v>
      </c>
      <c r="F1400" s="441" t="s">
        <v>1181</v>
      </c>
    </row>
    <row r="1401" spans="1:6">
      <c r="A1401" s="335">
        <v>45880</v>
      </c>
      <c r="B1401" s="343" t="s">
        <v>303</v>
      </c>
      <c r="C1401" s="345" t="s">
        <v>119</v>
      </c>
      <c r="D1401" s="345">
        <v>-6</v>
      </c>
      <c r="E1401" s="230" t="s">
        <v>125</v>
      </c>
    </row>
    <row r="1402" spans="1:6">
      <c r="A1402" s="335">
        <v>45880</v>
      </c>
      <c r="B1402" s="343" t="s">
        <v>482</v>
      </c>
      <c r="C1402" s="345" t="s">
        <v>119</v>
      </c>
      <c r="D1402" s="345">
        <v>-19</v>
      </c>
      <c r="E1402" s="230" t="s">
        <v>125</v>
      </c>
    </row>
    <row r="1403" spans="1:6">
      <c r="A1403" s="335">
        <v>45880</v>
      </c>
      <c r="B1403" s="342" t="s">
        <v>477</v>
      </c>
      <c r="C1403" s="345" t="s">
        <v>119</v>
      </c>
      <c r="D1403" s="345">
        <v>-7</v>
      </c>
      <c r="E1403" s="230" t="s">
        <v>125</v>
      </c>
    </row>
    <row r="1404" spans="1:6">
      <c r="A1404" s="335">
        <v>45880</v>
      </c>
      <c r="B1404" s="343" t="s">
        <v>843</v>
      </c>
      <c r="C1404" s="345" t="s">
        <v>119</v>
      </c>
      <c r="D1404" s="345">
        <v>0</v>
      </c>
      <c r="E1404" s="230" t="s">
        <v>125</v>
      </c>
      <c r="F1404" s="441" t="s">
        <v>1181</v>
      </c>
    </row>
    <row r="1406" spans="1:6">
      <c r="A1406" s="335">
        <v>45880</v>
      </c>
      <c r="B1406" s="84" t="s">
        <v>881</v>
      </c>
      <c r="C1406" s="345" t="s">
        <v>119</v>
      </c>
      <c r="D1406" s="43">
        <v>-1</v>
      </c>
      <c r="E1406" s="230" t="s">
        <v>125</v>
      </c>
    </row>
    <row r="1407" spans="1:6">
      <c r="A1407" s="335">
        <v>45880</v>
      </c>
      <c r="B1407" s="92" t="s">
        <v>882</v>
      </c>
      <c r="C1407" s="345" t="s">
        <v>119</v>
      </c>
      <c r="D1407" s="43">
        <v>-2</v>
      </c>
      <c r="E1407" s="230" t="s">
        <v>125</v>
      </c>
    </row>
    <row r="1408" spans="1:6">
      <c r="A1408" s="335">
        <v>45880</v>
      </c>
      <c r="B1408" s="343" t="s">
        <v>134</v>
      </c>
      <c r="C1408" s="43" t="s">
        <v>678</v>
      </c>
      <c r="D1408" s="43">
        <v>-1</v>
      </c>
      <c r="E1408" s="230" t="s">
        <v>125</v>
      </c>
    </row>
    <row r="1410" spans="1:6">
      <c r="A1410" s="265">
        <v>45881</v>
      </c>
      <c r="B1410" s="343" t="s">
        <v>134</v>
      </c>
      <c r="C1410" s="43" t="s">
        <v>1039</v>
      </c>
      <c r="D1410" s="43">
        <v>1</v>
      </c>
      <c r="E1410" s="1525" t="s">
        <v>1040</v>
      </c>
      <c r="F1410" s="1525"/>
    </row>
    <row r="1412" spans="1:6">
      <c r="A1412" s="346">
        <v>45881</v>
      </c>
      <c r="B1412" s="349" t="s">
        <v>134</v>
      </c>
      <c r="C1412" s="348" t="s">
        <v>1076</v>
      </c>
      <c r="D1412" s="348">
        <v>9</v>
      </c>
      <c r="E1412" s="360" t="s">
        <v>125</v>
      </c>
    </row>
    <row r="1413" spans="1:6">
      <c r="A1413" s="346">
        <v>45881</v>
      </c>
      <c r="B1413" s="349" t="s">
        <v>920</v>
      </c>
      <c r="C1413" s="348" t="s">
        <v>1076</v>
      </c>
      <c r="D1413" s="348">
        <v>4</v>
      </c>
      <c r="E1413" s="360" t="s">
        <v>125</v>
      </c>
    </row>
    <row r="1414" spans="1:6">
      <c r="A1414" s="346">
        <v>45881</v>
      </c>
      <c r="B1414" s="349" t="s">
        <v>928</v>
      </c>
      <c r="C1414" s="348" t="s">
        <v>1076</v>
      </c>
      <c r="D1414" s="348">
        <v>1</v>
      </c>
      <c r="E1414" s="360" t="s">
        <v>125</v>
      </c>
    </row>
    <row r="1415" spans="1:6">
      <c r="A1415" s="346">
        <v>45881</v>
      </c>
      <c r="B1415" s="347" t="s">
        <v>919</v>
      </c>
      <c r="C1415" s="348" t="s">
        <v>1076</v>
      </c>
      <c r="D1415" s="397">
        <v>1</v>
      </c>
      <c r="E1415" s="360" t="s">
        <v>125</v>
      </c>
    </row>
    <row r="1416" spans="1:6">
      <c r="A1416" s="335">
        <v>45873</v>
      </c>
      <c r="B1416" s="93" t="s">
        <v>976</v>
      </c>
      <c r="C1416" s="345" t="s">
        <v>119</v>
      </c>
      <c r="D1416" s="43">
        <v>-1</v>
      </c>
      <c r="E1416" s="230" t="s">
        <v>125</v>
      </c>
    </row>
    <row r="1417" spans="1:6">
      <c r="A1417" s="335">
        <v>45873</v>
      </c>
      <c r="B1417" s="84" t="s">
        <v>135</v>
      </c>
      <c r="C1417" s="345" t="s">
        <v>119</v>
      </c>
      <c r="D1417" s="43">
        <v>-1</v>
      </c>
      <c r="E1417" s="230" t="s">
        <v>125</v>
      </c>
    </row>
    <row r="1419" spans="1:6">
      <c r="A1419" s="265">
        <v>45881</v>
      </c>
      <c r="B1419" s="92" t="s">
        <v>882</v>
      </c>
      <c r="C1419" s="345" t="s">
        <v>119</v>
      </c>
      <c r="D1419" s="43">
        <v>-2</v>
      </c>
      <c r="E1419" s="230" t="s">
        <v>125</v>
      </c>
    </row>
    <row r="1420" spans="1:6">
      <c r="A1420" s="265">
        <v>45881</v>
      </c>
      <c r="B1420" s="92" t="s">
        <v>882</v>
      </c>
      <c r="C1420" s="345" t="s">
        <v>119</v>
      </c>
      <c r="D1420" s="43">
        <v>-3</v>
      </c>
      <c r="E1420" s="230" t="s">
        <v>125</v>
      </c>
    </row>
    <row r="1421" spans="1:6">
      <c r="A1421" s="265">
        <v>45881</v>
      </c>
      <c r="B1421" s="104" t="s">
        <v>266</v>
      </c>
      <c r="C1421" s="345" t="s">
        <v>119</v>
      </c>
      <c r="D1421" s="43">
        <v>-1</v>
      </c>
      <c r="E1421" s="230" t="s">
        <v>125</v>
      </c>
    </row>
    <row r="1422" spans="1:6">
      <c r="A1422" s="265">
        <v>45881</v>
      </c>
      <c r="B1422" s="344" t="s">
        <v>932</v>
      </c>
      <c r="C1422" s="43" t="s">
        <v>678</v>
      </c>
      <c r="D1422" s="43">
        <v>-1</v>
      </c>
      <c r="E1422" s="230" t="s">
        <v>125</v>
      </c>
    </row>
    <row r="1423" spans="1:6">
      <c r="A1423" s="265">
        <v>45881</v>
      </c>
      <c r="B1423" s="343" t="s">
        <v>134</v>
      </c>
      <c r="C1423" s="43" t="s">
        <v>678</v>
      </c>
      <c r="D1423" s="43">
        <v>-1</v>
      </c>
      <c r="E1423" s="230" t="s">
        <v>125</v>
      </c>
    </row>
    <row r="1425" spans="1:5">
      <c r="A1425" s="265">
        <v>45882</v>
      </c>
      <c r="B1425" s="343" t="s">
        <v>134</v>
      </c>
      <c r="C1425" s="43" t="s">
        <v>678</v>
      </c>
      <c r="D1425" s="43">
        <v>-1</v>
      </c>
      <c r="E1425" s="230" t="s">
        <v>125</v>
      </c>
    </row>
    <row r="1427" spans="1:5">
      <c r="A1427" s="273">
        <v>45882</v>
      </c>
      <c r="B1427" s="301" t="s">
        <v>78</v>
      </c>
      <c r="C1427" s="235" t="s">
        <v>1035</v>
      </c>
      <c r="D1427" s="237">
        <v>40</v>
      </c>
      <c r="E1427" s="217" t="s">
        <v>125</v>
      </c>
    </row>
    <row r="1429" spans="1:5">
      <c r="A1429" s="265">
        <v>45882</v>
      </c>
      <c r="B1429" s="341" t="s">
        <v>78</v>
      </c>
      <c r="C1429" s="345" t="s">
        <v>119</v>
      </c>
      <c r="D1429" s="43">
        <v>-70</v>
      </c>
      <c r="E1429" s="230" t="s">
        <v>125</v>
      </c>
    </row>
    <row r="1430" spans="1:5">
      <c r="A1430" s="265">
        <v>45882</v>
      </c>
      <c r="B1430" s="343" t="s">
        <v>134</v>
      </c>
      <c r="C1430" s="43" t="s">
        <v>678</v>
      </c>
      <c r="D1430" s="43">
        <v>-1</v>
      </c>
      <c r="E1430" s="230" t="s">
        <v>125</v>
      </c>
    </row>
    <row r="1431" spans="1:5">
      <c r="A1431" s="265">
        <v>45882</v>
      </c>
      <c r="B1431" s="343" t="s">
        <v>920</v>
      </c>
      <c r="C1431" s="345" t="s">
        <v>119</v>
      </c>
      <c r="D1431" s="43">
        <v>-6</v>
      </c>
      <c r="E1431" s="230" t="s">
        <v>125</v>
      </c>
    </row>
    <row r="1432" spans="1:5">
      <c r="A1432" s="265">
        <v>45882</v>
      </c>
      <c r="B1432" s="84" t="s">
        <v>919</v>
      </c>
      <c r="C1432" s="345" t="s">
        <v>119</v>
      </c>
      <c r="D1432" s="43">
        <v>-1</v>
      </c>
      <c r="E1432" s="230" t="s">
        <v>125</v>
      </c>
    </row>
    <row r="1433" spans="1:5">
      <c r="A1433" s="265">
        <v>45882</v>
      </c>
      <c r="B1433" s="84" t="s">
        <v>919</v>
      </c>
      <c r="C1433" s="345" t="s">
        <v>119</v>
      </c>
      <c r="D1433" s="43">
        <v>-2</v>
      </c>
      <c r="E1433" s="230" t="s">
        <v>125</v>
      </c>
    </row>
    <row r="1434" spans="1:5">
      <c r="A1434" s="265">
        <v>45882</v>
      </c>
      <c r="B1434" s="84" t="s">
        <v>926</v>
      </c>
      <c r="C1434" s="345" t="s">
        <v>119</v>
      </c>
      <c r="D1434" s="43">
        <v>-2</v>
      </c>
      <c r="E1434" s="230" t="s">
        <v>125</v>
      </c>
    </row>
    <row r="1435" spans="1:5">
      <c r="A1435" s="265">
        <v>45882</v>
      </c>
      <c r="B1435" s="84" t="s">
        <v>926</v>
      </c>
      <c r="C1435" s="345" t="s">
        <v>119</v>
      </c>
      <c r="D1435" s="43">
        <v>-1</v>
      </c>
      <c r="E1435" s="230" t="s">
        <v>125</v>
      </c>
    </row>
    <row r="1436" spans="1:5">
      <c r="A1436" s="265">
        <v>45882</v>
      </c>
      <c r="B1436" s="147" t="s">
        <v>925</v>
      </c>
      <c r="C1436" s="345" t="s">
        <v>119</v>
      </c>
      <c r="D1436" s="43">
        <v>-1</v>
      </c>
      <c r="E1436" s="230" t="s">
        <v>125</v>
      </c>
    </row>
    <row r="1437" spans="1:5">
      <c r="A1437" s="265">
        <v>45882</v>
      </c>
      <c r="B1437" s="93" t="s">
        <v>971</v>
      </c>
      <c r="C1437" s="345" t="s">
        <v>119</v>
      </c>
      <c r="D1437" s="43">
        <v>-1</v>
      </c>
      <c r="E1437" s="230" t="s">
        <v>125</v>
      </c>
    </row>
    <row r="1439" spans="1:5">
      <c r="A1439" s="272">
        <v>45883</v>
      </c>
      <c r="B1439" s="139" t="s">
        <v>76</v>
      </c>
      <c r="C1439" s="106" t="s">
        <v>49</v>
      </c>
      <c r="D1439" s="106">
        <v>81</v>
      </c>
      <c r="E1439" s="94" t="s">
        <v>125</v>
      </c>
    </row>
    <row r="1440" spans="1:5">
      <c r="A1440" s="272">
        <v>45883</v>
      </c>
      <c r="B1440" s="139" t="s">
        <v>76</v>
      </c>
      <c r="C1440" s="106" t="s">
        <v>49</v>
      </c>
      <c r="D1440" s="106">
        <v>24</v>
      </c>
      <c r="E1440" s="94" t="s">
        <v>125</v>
      </c>
    </row>
    <row r="1441" spans="1:6">
      <c r="A1441" s="272">
        <v>45883</v>
      </c>
      <c r="B1441" s="139" t="s">
        <v>76</v>
      </c>
      <c r="C1441" s="106" t="s">
        <v>49</v>
      </c>
      <c r="D1441" s="106">
        <v>19</v>
      </c>
      <c r="E1441" s="94" t="s">
        <v>125</v>
      </c>
      <c r="F1441" s="441" t="s">
        <v>1394</v>
      </c>
    </row>
    <row r="1442" spans="1:6">
      <c r="A1442" s="272">
        <v>45883</v>
      </c>
      <c r="B1442" s="139" t="s">
        <v>76</v>
      </c>
      <c r="C1442" s="106" t="s">
        <v>49</v>
      </c>
      <c r="D1442" s="106">
        <v>0</v>
      </c>
      <c r="E1442" s="94" t="s">
        <v>125</v>
      </c>
      <c r="F1442" t="s">
        <v>1132</v>
      </c>
    </row>
    <row r="1444" spans="1:6">
      <c r="A1444" s="346">
        <v>45883</v>
      </c>
      <c r="B1444" s="349" t="s">
        <v>1094</v>
      </c>
      <c r="C1444" s="348" t="s">
        <v>921</v>
      </c>
      <c r="D1444" s="348">
        <v>1</v>
      </c>
      <c r="E1444" s="360" t="s">
        <v>125</v>
      </c>
      <c r="F1444" t="s">
        <v>1098</v>
      </c>
    </row>
    <row r="1445" spans="1:6">
      <c r="A1445" s="346">
        <v>45883</v>
      </c>
      <c r="B1445" s="349" t="s">
        <v>1095</v>
      </c>
      <c r="C1445" s="348" t="s">
        <v>921</v>
      </c>
      <c r="D1445" s="348">
        <v>1</v>
      </c>
      <c r="E1445" s="360" t="s">
        <v>125</v>
      </c>
    </row>
    <row r="1446" spans="1:6">
      <c r="A1446" s="346">
        <v>45883</v>
      </c>
      <c r="B1446" s="347" t="s">
        <v>919</v>
      </c>
      <c r="C1446" s="348" t="s">
        <v>921</v>
      </c>
      <c r="D1446" s="348">
        <v>5</v>
      </c>
      <c r="E1446" s="360" t="s">
        <v>125</v>
      </c>
    </row>
    <row r="1447" spans="1:6">
      <c r="A1447" s="346">
        <v>45883</v>
      </c>
      <c r="B1447" s="349" t="s">
        <v>169</v>
      </c>
      <c r="C1447" s="348" t="s">
        <v>921</v>
      </c>
      <c r="D1447" s="348">
        <v>1</v>
      </c>
      <c r="E1447" s="360" t="s">
        <v>125</v>
      </c>
    </row>
    <row r="1448" spans="1:6">
      <c r="A1448" s="346">
        <v>45883</v>
      </c>
      <c r="B1448" s="347" t="s">
        <v>134</v>
      </c>
      <c r="C1448" s="348" t="s">
        <v>921</v>
      </c>
      <c r="D1448" s="348">
        <v>27</v>
      </c>
      <c r="E1448" s="360" t="s">
        <v>125</v>
      </c>
    </row>
    <row r="1449" spans="1:6">
      <c r="A1449" s="346">
        <v>45883</v>
      </c>
      <c r="B1449" s="349" t="s">
        <v>166</v>
      </c>
      <c r="C1449" s="348" t="s">
        <v>921</v>
      </c>
      <c r="D1449" s="348">
        <v>1</v>
      </c>
      <c r="E1449" s="360" t="s">
        <v>125</v>
      </c>
    </row>
    <row r="1450" spans="1:6">
      <c r="A1450" s="346">
        <v>45883</v>
      </c>
      <c r="B1450" s="349" t="s">
        <v>167</v>
      </c>
      <c r="C1450" s="348" t="s">
        <v>921</v>
      </c>
      <c r="D1450" s="348">
        <v>3</v>
      </c>
      <c r="E1450" s="360" t="s">
        <v>125</v>
      </c>
    </row>
    <row r="1451" spans="1:6">
      <c r="A1451" s="346">
        <v>45883</v>
      </c>
      <c r="B1451" s="349" t="s">
        <v>929</v>
      </c>
      <c r="C1451" s="348" t="s">
        <v>921</v>
      </c>
      <c r="D1451" s="348">
        <v>1</v>
      </c>
      <c r="E1451" s="360" t="s">
        <v>125</v>
      </c>
    </row>
    <row r="1452" spans="1:6">
      <c r="A1452" s="346">
        <v>45883</v>
      </c>
      <c r="B1452" s="349" t="s">
        <v>1096</v>
      </c>
      <c r="C1452" s="348" t="s">
        <v>921</v>
      </c>
      <c r="D1452" s="348">
        <v>2</v>
      </c>
      <c r="E1452" s="360" t="s">
        <v>125</v>
      </c>
    </row>
    <row r="1453" spans="1:6">
      <c r="A1453" s="346">
        <v>45883</v>
      </c>
      <c r="B1453" s="350" t="s">
        <v>931</v>
      </c>
      <c r="C1453" s="348" t="s">
        <v>921</v>
      </c>
      <c r="D1453" s="348">
        <v>1</v>
      </c>
      <c r="E1453" s="360" t="s">
        <v>125</v>
      </c>
    </row>
    <row r="1454" spans="1:6">
      <c r="A1454" s="346">
        <v>45883</v>
      </c>
      <c r="B1454" s="351" t="s">
        <v>932</v>
      </c>
      <c r="C1454" s="348" t="s">
        <v>921</v>
      </c>
      <c r="D1454" s="348">
        <v>8</v>
      </c>
      <c r="E1454" s="360" t="s">
        <v>125</v>
      </c>
    </row>
    <row r="1455" spans="1:6">
      <c r="A1455" s="346">
        <v>45883</v>
      </c>
      <c r="B1455" s="349" t="s">
        <v>1097</v>
      </c>
      <c r="C1455" s="348" t="s">
        <v>921</v>
      </c>
      <c r="D1455" s="348">
        <v>1</v>
      </c>
      <c r="E1455" s="360" t="s">
        <v>125</v>
      </c>
    </row>
    <row r="1457" spans="1:6">
      <c r="A1457" s="346">
        <v>45883</v>
      </c>
      <c r="B1457" s="347" t="s">
        <v>134</v>
      </c>
      <c r="C1457" s="348" t="s">
        <v>921</v>
      </c>
      <c r="D1457" s="348">
        <v>16</v>
      </c>
      <c r="E1457" s="360" t="s">
        <v>125</v>
      </c>
      <c r="F1457" t="s">
        <v>1099</v>
      </c>
    </row>
    <row r="1458" spans="1:6">
      <c r="A1458" s="346">
        <v>45883</v>
      </c>
      <c r="B1458" s="349" t="s">
        <v>167</v>
      </c>
      <c r="C1458" s="348" t="s">
        <v>921</v>
      </c>
      <c r="D1458" s="348">
        <v>5</v>
      </c>
      <c r="E1458" s="360" t="s">
        <v>125</v>
      </c>
    </row>
    <row r="1459" spans="1:6">
      <c r="A1459" s="346">
        <v>45883</v>
      </c>
      <c r="B1459" s="349" t="s">
        <v>166</v>
      </c>
      <c r="C1459" s="348" t="s">
        <v>921</v>
      </c>
      <c r="D1459" s="348">
        <v>2</v>
      </c>
      <c r="E1459" s="360" t="s">
        <v>125</v>
      </c>
    </row>
    <row r="1460" spans="1:6">
      <c r="A1460" s="346">
        <v>45883</v>
      </c>
      <c r="B1460" s="351" t="s">
        <v>932</v>
      </c>
      <c r="C1460" s="348" t="s">
        <v>921</v>
      </c>
      <c r="D1460" s="348">
        <v>5</v>
      </c>
      <c r="E1460" s="360" t="s">
        <v>125</v>
      </c>
    </row>
    <row r="1461" spans="1:6">
      <c r="A1461" s="346">
        <v>45883</v>
      </c>
      <c r="B1461" s="349" t="s">
        <v>935</v>
      </c>
      <c r="C1461" s="348" t="s">
        <v>921</v>
      </c>
      <c r="D1461" s="348">
        <v>1</v>
      </c>
      <c r="E1461" s="360" t="s">
        <v>125</v>
      </c>
    </row>
    <row r="1462" spans="1:6">
      <c r="A1462" s="346">
        <v>45883</v>
      </c>
      <c r="B1462" s="349" t="s">
        <v>169</v>
      </c>
      <c r="C1462" s="348" t="s">
        <v>921</v>
      </c>
      <c r="D1462" s="348">
        <v>1</v>
      </c>
      <c r="E1462" s="360" t="s">
        <v>125</v>
      </c>
    </row>
    <row r="1464" spans="1:6">
      <c r="A1464" s="335">
        <v>45883</v>
      </c>
      <c r="B1464" s="344" t="s">
        <v>932</v>
      </c>
      <c r="C1464" s="345" t="s">
        <v>119</v>
      </c>
      <c r="D1464" s="345">
        <v>-8</v>
      </c>
      <c r="E1464" s="230" t="s">
        <v>125</v>
      </c>
    </row>
    <row r="1465" spans="1:6">
      <c r="A1465" s="335">
        <v>45883</v>
      </c>
      <c r="B1465" s="343" t="s">
        <v>134</v>
      </c>
      <c r="C1465" s="345" t="s">
        <v>119</v>
      </c>
      <c r="D1465" s="43">
        <v>-5</v>
      </c>
      <c r="E1465" s="230" t="s">
        <v>125</v>
      </c>
    </row>
    <row r="1466" spans="1:6">
      <c r="A1466" s="335">
        <v>45883</v>
      </c>
      <c r="B1466" s="104" t="s">
        <v>266</v>
      </c>
      <c r="C1466" s="345" t="s">
        <v>119</v>
      </c>
      <c r="D1466" s="43">
        <v>-1</v>
      </c>
      <c r="E1466" s="230" t="s">
        <v>125</v>
      </c>
    </row>
    <row r="1467" spans="1:6">
      <c r="A1467" s="335">
        <v>45883</v>
      </c>
      <c r="B1467" s="344" t="s">
        <v>932</v>
      </c>
      <c r="C1467" s="345" t="s">
        <v>119</v>
      </c>
      <c r="D1467" s="345">
        <v>-4</v>
      </c>
      <c r="E1467" s="230" t="s">
        <v>125</v>
      </c>
    </row>
    <row r="1468" spans="1:6">
      <c r="A1468" s="335">
        <v>45883</v>
      </c>
      <c r="B1468" s="343" t="s">
        <v>935</v>
      </c>
      <c r="C1468" s="345" t="s">
        <v>119</v>
      </c>
      <c r="D1468" s="345">
        <v>-1</v>
      </c>
      <c r="E1468" s="230" t="s">
        <v>125</v>
      </c>
    </row>
    <row r="1469" spans="1:6">
      <c r="A1469" s="335">
        <v>45883</v>
      </c>
      <c r="B1469" s="92" t="s">
        <v>789</v>
      </c>
      <c r="C1469" s="345" t="s">
        <v>119</v>
      </c>
      <c r="D1469" s="43">
        <v>-1</v>
      </c>
      <c r="E1469" s="230" t="s">
        <v>125</v>
      </c>
    </row>
    <row r="1471" spans="1:6">
      <c r="A1471" s="265">
        <v>45881</v>
      </c>
      <c r="B1471" s="343" t="s">
        <v>920</v>
      </c>
      <c r="C1471" s="345" t="s">
        <v>119</v>
      </c>
      <c r="D1471" s="43">
        <v>-2</v>
      </c>
      <c r="E1471" s="230" t="s">
        <v>125</v>
      </c>
    </row>
    <row r="1472" spans="1:6">
      <c r="A1472" s="265">
        <v>45881</v>
      </c>
      <c r="B1472" s="84" t="s">
        <v>923</v>
      </c>
      <c r="C1472" s="345" t="s">
        <v>119</v>
      </c>
      <c r="D1472" s="43">
        <v>-1</v>
      </c>
      <c r="E1472" s="230" t="s">
        <v>125</v>
      </c>
    </row>
    <row r="1474" spans="1:5">
      <c r="A1474" s="335">
        <v>45884</v>
      </c>
      <c r="B1474" s="343" t="s">
        <v>920</v>
      </c>
      <c r="C1474" s="345" t="s">
        <v>119</v>
      </c>
      <c r="D1474" s="43">
        <v>-1</v>
      </c>
      <c r="E1474" s="230" t="s">
        <v>125</v>
      </c>
    </row>
    <row r="1475" spans="1:5">
      <c r="A1475" s="335">
        <v>45884</v>
      </c>
      <c r="B1475" s="343" t="s">
        <v>134</v>
      </c>
      <c r="C1475" s="345" t="s">
        <v>119</v>
      </c>
      <c r="D1475" s="43">
        <v>-15</v>
      </c>
      <c r="E1475" s="230" t="s">
        <v>125</v>
      </c>
    </row>
    <row r="1476" spans="1:5">
      <c r="A1476" s="335">
        <v>45884</v>
      </c>
      <c r="B1476" s="343" t="s">
        <v>134</v>
      </c>
      <c r="C1476" s="345" t="s">
        <v>119</v>
      </c>
      <c r="D1476" s="43">
        <v>-5</v>
      </c>
      <c r="E1476" s="230" t="s">
        <v>125</v>
      </c>
    </row>
    <row r="1477" spans="1:5">
      <c r="A1477" s="335">
        <v>45884</v>
      </c>
      <c r="B1477" s="343" t="s">
        <v>134</v>
      </c>
      <c r="C1477" s="345" t="s">
        <v>119</v>
      </c>
      <c r="D1477" s="43">
        <v>-2</v>
      </c>
      <c r="E1477" s="230" t="s">
        <v>125</v>
      </c>
    </row>
    <row r="1478" spans="1:5">
      <c r="A1478" s="335">
        <v>45884</v>
      </c>
      <c r="B1478" s="147" t="s">
        <v>928</v>
      </c>
      <c r="C1478" s="345" t="s">
        <v>119</v>
      </c>
      <c r="D1478" s="43">
        <v>-1</v>
      </c>
      <c r="E1478" s="230" t="s">
        <v>125</v>
      </c>
    </row>
    <row r="1479" spans="1:5">
      <c r="A1479" s="335">
        <v>45884</v>
      </c>
      <c r="B1479" s="343" t="s">
        <v>166</v>
      </c>
      <c r="C1479" s="345" t="s">
        <v>119</v>
      </c>
      <c r="D1479" s="43">
        <v>-3</v>
      </c>
      <c r="E1479" s="230" t="s">
        <v>125</v>
      </c>
    </row>
    <row r="1480" spans="1:5">
      <c r="A1480" s="335">
        <v>45884</v>
      </c>
      <c r="B1480" s="104" t="s">
        <v>266</v>
      </c>
      <c r="C1480" s="345" t="s">
        <v>119</v>
      </c>
      <c r="D1480" s="43">
        <v>-3</v>
      </c>
      <c r="E1480" s="230" t="s">
        <v>125</v>
      </c>
    </row>
    <row r="1481" spans="1:5">
      <c r="A1481" s="335">
        <v>45884</v>
      </c>
      <c r="B1481" s="104" t="s">
        <v>266</v>
      </c>
      <c r="C1481" s="345" t="s">
        <v>119</v>
      </c>
      <c r="D1481" s="43">
        <v>-3</v>
      </c>
      <c r="E1481" s="230" t="s">
        <v>125</v>
      </c>
    </row>
    <row r="1482" spans="1:5">
      <c r="A1482" s="335">
        <v>45884</v>
      </c>
      <c r="B1482" s="344" t="s">
        <v>932</v>
      </c>
      <c r="C1482" s="345" t="s">
        <v>119</v>
      </c>
      <c r="D1482" s="43">
        <v>-2</v>
      </c>
      <c r="E1482" s="230" t="s">
        <v>125</v>
      </c>
    </row>
    <row r="1483" spans="1:5">
      <c r="A1483" s="335">
        <v>45884</v>
      </c>
      <c r="B1483" s="344" t="s">
        <v>934</v>
      </c>
      <c r="C1483" s="345" t="s">
        <v>119</v>
      </c>
      <c r="D1483" s="43">
        <v>-1</v>
      </c>
      <c r="E1483" s="230" t="s">
        <v>125</v>
      </c>
    </row>
    <row r="1484" spans="1:5">
      <c r="A1484" s="335">
        <v>45884</v>
      </c>
      <c r="B1484" s="343" t="s">
        <v>76</v>
      </c>
      <c r="C1484" s="345" t="s">
        <v>119</v>
      </c>
      <c r="D1484" s="33">
        <v>-100</v>
      </c>
      <c r="E1484" s="230" t="s">
        <v>125</v>
      </c>
    </row>
    <row r="1485" spans="1:5">
      <c r="A1485" s="335">
        <v>45884</v>
      </c>
      <c r="B1485" s="343" t="s">
        <v>76</v>
      </c>
      <c r="C1485" s="345" t="s">
        <v>119</v>
      </c>
      <c r="D1485" s="43">
        <v>-4</v>
      </c>
      <c r="E1485" s="230" t="s">
        <v>125</v>
      </c>
    </row>
    <row r="1486" spans="1:5">
      <c r="A1486" s="335">
        <v>45884</v>
      </c>
      <c r="B1486" s="344" t="s">
        <v>932</v>
      </c>
      <c r="C1486" s="345" t="s">
        <v>119</v>
      </c>
      <c r="D1486" s="43">
        <v>-1</v>
      </c>
      <c r="E1486" s="230" t="s">
        <v>125</v>
      </c>
    </row>
    <row r="1487" spans="1:5">
      <c r="A1487" s="335">
        <v>45884</v>
      </c>
      <c r="B1487" s="92" t="s">
        <v>90</v>
      </c>
      <c r="C1487" s="345" t="s">
        <v>119</v>
      </c>
      <c r="D1487" s="43">
        <v>-2</v>
      </c>
      <c r="E1487" s="230" t="s">
        <v>125</v>
      </c>
    </row>
    <row r="1488" spans="1:5">
      <c r="A1488" s="335">
        <v>45884</v>
      </c>
      <c r="B1488" s="343" t="s">
        <v>134</v>
      </c>
      <c r="C1488" s="345" t="s">
        <v>119</v>
      </c>
      <c r="D1488" s="43">
        <v>-3</v>
      </c>
      <c r="E1488" s="230" t="s">
        <v>125</v>
      </c>
    </row>
    <row r="1489" spans="1:5">
      <c r="A1489" s="335">
        <v>45884</v>
      </c>
      <c r="B1489" s="343" t="s">
        <v>76</v>
      </c>
      <c r="C1489" s="345" t="s">
        <v>119</v>
      </c>
      <c r="D1489" s="33">
        <v>-2</v>
      </c>
      <c r="E1489" s="230" t="s">
        <v>125</v>
      </c>
    </row>
    <row r="1490" spans="1:5">
      <c r="A1490" s="335">
        <v>45884</v>
      </c>
      <c r="B1490" s="93" t="s">
        <v>839</v>
      </c>
      <c r="C1490" s="345" t="s">
        <v>119</v>
      </c>
      <c r="D1490" s="43">
        <v>-4</v>
      </c>
      <c r="E1490" s="230" t="s">
        <v>125</v>
      </c>
    </row>
    <row r="1492" spans="1:5">
      <c r="A1492" s="265">
        <v>45885</v>
      </c>
      <c r="B1492" s="93" t="s">
        <v>839</v>
      </c>
      <c r="C1492" s="345" t="s">
        <v>119</v>
      </c>
      <c r="D1492" s="43">
        <v>-2</v>
      </c>
      <c r="E1492" s="230" t="s">
        <v>125</v>
      </c>
    </row>
    <row r="1493" spans="1:5">
      <c r="A1493" s="265">
        <v>45885</v>
      </c>
      <c r="B1493" s="93" t="s">
        <v>839</v>
      </c>
      <c r="C1493" s="345" t="s">
        <v>119</v>
      </c>
      <c r="D1493" s="43">
        <v>-3</v>
      </c>
      <c r="E1493" s="230" t="s">
        <v>125</v>
      </c>
    </row>
    <row r="1495" spans="1:5">
      <c r="A1495" s="265">
        <v>45886</v>
      </c>
      <c r="B1495" s="343" t="s">
        <v>134</v>
      </c>
      <c r="C1495" s="345" t="s">
        <v>119</v>
      </c>
      <c r="D1495" s="43">
        <v>-6</v>
      </c>
      <c r="E1495" s="230" t="s">
        <v>125</v>
      </c>
    </row>
    <row r="1497" spans="1:5">
      <c r="A1497" s="265">
        <v>45887</v>
      </c>
      <c r="B1497" s="93" t="s">
        <v>839</v>
      </c>
      <c r="C1497" s="345" t="s">
        <v>119</v>
      </c>
      <c r="D1497" s="43">
        <v>-1</v>
      </c>
      <c r="E1497" s="230" t="s">
        <v>125</v>
      </c>
    </row>
    <row r="1498" spans="1:5">
      <c r="A1498" s="265">
        <v>45887</v>
      </c>
      <c r="B1498" s="147" t="s">
        <v>928</v>
      </c>
      <c r="C1498" s="43" t="s">
        <v>678</v>
      </c>
      <c r="D1498" s="43">
        <v>-1</v>
      </c>
      <c r="E1498" s="230" t="s">
        <v>125</v>
      </c>
    </row>
    <row r="1499" spans="1:5">
      <c r="A1499" s="265">
        <v>45887</v>
      </c>
      <c r="B1499" s="147" t="s">
        <v>928</v>
      </c>
      <c r="C1499" s="43" t="s">
        <v>678</v>
      </c>
      <c r="D1499" s="43">
        <v>-1</v>
      </c>
      <c r="E1499" s="230" t="s">
        <v>125</v>
      </c>
    </row>
    <row r="1500" spans="1:5">
      <c r="A1500" s="265">
        <v>45887</v>
      </c>
      <c r="B1500" s="343" t="s">
        <v>134</v>
      </c>
      <c r="C1500" s="43" t="s">
        <v>678</v>
      </c>
      <c r="D1500" s="43">
        <v>-1</v>
      </c>
      <c r="E1500" s="230" t="s">
        <v>125</v>
      </c>
    </row>
    <row r="1501" spans="1:5">
      <c r="A1501" s="265">
        <v>45887</v>
      </c>
      <c r="B1501" s="93" t="s">
        <v>929</v>
      </c>
      <c r="C1501" s="345" t="s">
        <v>119</v>
      </c>
      <c r="D1501" s="43">
        <v>-1</v>
      </c>
      <c r="E1501" s="230" t="s">
        <v>125</v>
      </c>
    </row>
    <row r="1502" spans="1:5">
      <c r="A1502" s="265">
        <v>45887</v>
      </c>
      <c r="B1502" s="343" t="s">
        <v>167</v>
      </c>
      <c r="C1502" s="345" t="s">
        <v>119</v>
      </c>
      <c r="D1502" s="43">
        <v>-8</v>
      </c>
      <c r="E1502" s="230" t="s">
        <v>125</v>
      </c>
    </row>
    <row r="1503" spans="1:5">
      <c r="A1503" s="265">
        <v>45887</v>
      </c>
      <c r="B1503" s="93" t="s">
        <v>169</v>
      </c>
      <c r="C1503" s="345" t="s">
        <v>119</v>
      </c>
      <c r="D1503" s="43">
        <v>-2</v>
      </c>
      <c r="E1503" s="230" t="s">
        <v>125</v>
      </c>
    </row>
    <row r="1504" spans="1:5">
      <c r="A1504" s="265">
        <v>45887</v>
      </c>
      <c r="B1504" s="343" t="s">
        <v>972</v>
      </c>
      <c r="C1504" s="345" t="s">
        <v>119</v>
      </c>
      <c r="D1504" s="43">
        <v>-1</v>
      </c>
      <c r="E1504" s="230" t="s">
        <v>125</v>
      </c>
    </row>
    <row r="1505" spans="1:5">
      <c r="A1505" s="265">
        <v>45887</v>
      </c>
      <c r="B1505" s="343" t="s">
        <v>134</v>
      </c>
      <c r="C1505" s="345" t="s">
        <v>119</v>
      </c>
      <c r="D1505" s="43">
        <v>-2</v>
      </c>
      <c r="E1505" s="230" t="s">
        <v>125</v>
      </c>
    </row>
    <row r="1506" spans="1:5">
      <c r="A1506" s="265">
        <v>45887</v>
      </c>
      <c r="B1506" s="93" t="s">
        <v>839</v>
      </c>
      <c r="C1506" s="345" t="s">
        <v>119</v>
      </c>
      <c r="D1506" s="43">
        <v>-2</v>
      </c>
      <c r="E1506" s="230" t="s">
        <v>125</v>
      </c>
    </row>
    <row r="1508" spans="1:5">
      <c r="A1508" s="265">
        <v>45888</v>
      </c>
      <c r="B1508" s="343" t="s">
        <v>76</v>
      </c>
      <c r="C1508" s="345" t="s">
        <v>119</v>
      </c>
      <c r="D1508" s="43">
        <v>-5</v>
      </c>
      <c r="E1508" s="230" t="s">
        <v>125</v>
      </c>
    </row>
    <row r="1509" spans="1:5">
      <c r="A1509" s="265">
        <v>45888</v>
      </c>
      <c r="B1509" s="343" t="s">
        <v>1097</v>
      </c>
      <c r="C1509" s="345" t="s">
        <v>119</v>
      </c>
      <c r="D1509" s="43">
        <v>-1</v>
      </c>
      <c r="E1509" s="230" t="s">
        <v>125</v>
      </c>
    </row>
    <row r="1510" spans="1:5">
      <c r="A1510" s="265">
        <v>45888</v>
      </c>
      <c r="B1510" s="92" t="s">
        <v>789</v>
      </c>
      <c r="C1510" s="345" t="s">
        <v>119</v>
      </c>
      <c r="D1510" s="43">
        <v>-1</v>
      </c>
      <c r="E1510" s="230" t="s">
        <v>125</v>
      </c>
    </row>
    <row r="1511" spans="1:5">
      <c r="A1511" s="265">
        <v>45888</v>
      </c>
      <c r="B1511" s="93" t="s">
        <v>840</v>
      </c>
      <c r="C1511" s="345" t="s">
        <v>119</v>
      </c>
      <c r="D1511" s="43">
        <v>-6</v>
      </c>
      <c r="E1511" s="230" t="s">
        <v>125</v>
      </c>
    </row>
    <row r="1512" spans="1:5">
      <c r="A1512" s="265">
        <v>45888</v>
      </c>
      <c r="B1512" s="362" t="s">
        <v>901</v>
      </c>
      <c r="C1512" s="345" t="s">
        <v>119</v>
      </c>
      <c r="D1512" s="43">
        <v>-2</v>
      </c>
      <c r="E1512" s="230" t="s">
        <v>125</v>
      </c>
    </row>
    <row r="1513" spans="1:5">
      <c r="A1513" s="265">
        <v>45888</v>
      </c>
      <c r="B1513" s="104" t="s">
        <v>266</v>
      </c>
      <c r="C1513" s="345" t="s">
        <v>119</v>
      </c>
      <c r="D1513" s="43">
        <v>-1</v>
      </c>
      <c r="E1513" s="230" t="s">
        <v>125</v>
      </c>
    </row>
    <row r="1515" spans="1:5">
      <c r="A1515" s="265">
        <v>45889</v>
      </c>
      <c r="B1515" s="343" t="s">
        <v>76</v>
      </c>
      <c r="C1515" s="345" t="s">
        <v>119</v>
      </c>
      <c r="D1515" s="43">
        <v>-50</v>
      </c>
      <c r="E1515" s="230" t="s">
        <v>125</v>
      </c>
    </row>
    <row r="1516" spans="1:5">
      <c r="A1516" s="265">
        <v>45889</v>
      </c>
      <c r="B1516" s="343" t="s">
        <v>76</v>
      </c>
      <c r="C1516" s="345" t="s">
        <v>119</v>
      </c>
      <c r="D1516" s="43">
        <v>-5</v>
      </c>
      <c r="E1516" s="230" t="s">
        <v>125</v>
      </c>
    </row>
    <row r="1517" spans="1:5">
      <c r="A1517" s="265">
        <v>45889</v>
      </c>
      <c r="B1517" s="84" t="s">
        <v>919</v>
      </c>
      <c r="C1517" s="345" t="s">
        <v>119</v>
      </c>
      <c r="D1517" s="43">
        <v>-4</v>
      </c>
      <c r="E1517" s="230" t="s">
        <v>125</v>
      </c>
    </row>
    <row r="1518" spans="1:5">
      <c r="A1518" s="265">
        <v>45889</v>
      </c>
      <c r="B1518" s="84" t="s">
        <v>919</v>
      </c>
      <c r="C1518" s="345" t="s">
        <v>119</v>
      </c>
      <c r="D1518" s="43">
        <v>-1</v>
      </c>
      <c r="E1518" s="230" t="s">
        <v>125</v>
      </c>
    </row>
    <row r="1520" spans="1:5">
      <c r="A1520" s="273">
        <v>45890</v>
      </c>
      <c r="B1520" s="248" t="s">
        <v>134</v>
      </c>
      <c r="C1520" s="235" t="s">
        <v>1131</v>
      </c>
      <c r="D1520" s="235">
        <v>4</v>
      </c>
      <c r="E1520" s="217" t="s">
        <v>125</v>
      </c>
    </row>
    <row r="1522" spans="1:5">
      <c r="A1522" s="335">
        <v>45890</v>
      </c>
      <c r="B1522" s="342" t="s">
        <v>477</v>
      </c>
      <c r="C1522" s="345" t="s">
        <v>119</v>
      </c>
      <c r="D1522" s="345">
        <v>-5</v>
      </c>
      <c r="E1522" s="230" t="s">
        <v>125</v>
      </c>
    </row>
    <row r="1523" spans="1:5">
      <c r="A1523" s="335">
        <v>45890</v>
      </c>
      <c r="B1523" s="343" t="s">
        <v>76</v>
      </c>
      <c r="C1523" s="345" t="s">
        <v>119</v>
      </c>
      <c r="D1523" s="43">
        <v>-30</v>
      </c>
      <c r="E1523" s="230" t="s">
        <v>125</v>
      </c>
    </row>
    <row r="1524" spans="1:5">
      <c r="A1524" s="335">
        <v>45890</v>
      </c>
      <c r="B1524" s="104" t="s">
        <v>266</v>
      </c>
      <c r="C1524" s="345" t="s">
        <v>119</v>
      </c>
      <c r="D1524" s="43">
        <v>-2</v>
      </c>
      <c r="E1524" s="230" t="s">
        <v>125</v>
      </c>
    </row>
    <row r="1525" spans="1:5">
      <c r="A1525" s="335">
        <v>45890</v>
      </c>
      <c r="B1525" s="92" t="s">
        <v>789</v>
      </c>
      <c r="C1525" s="345" t="s">
        <v>119</v>
      </c>
      <c r="D1525" s="43">
        <v>-1</v>
      </c>
      <c r="E1525" s="230" t="s">
        <v>125</v>
      </c>
    </row>
    <row r="1526" spans="1:5">
      <c r="A1526" s="335">
        <v>45890</v>
      </c>
      <c r="B1526" s="92" t="s">
        <v>882</v>
      </c>
      <c r="C1526" s="345" t="s">
        <v>119</v>
      </c>
      <c r="D1526" s="43">
        <v>-4</v>
      </c>
      <c r="E1526" s="230" t="s">
        <v>125</v>
      </c>
    </row>
    <row r="1527" spans="1:5">
      <c r="B1527" s="362"/>
      <c r="C1527" s="361"/>
    </row>
    <row r="1528" spans="1:5">
      <c r="A1528" s="265">
        <v>45891</v>
      </c>
      <c r="B1528" s="92" t="s">
        <v>882</v>
      </c>
      <c r="C1528" s="345" t="s">
        <v>119</v>
      </c>
      <c r="D1528" s="43">
        <v>-2</v>
      </c>
      <c r="E1528" s="230" t="s">
        <v>125</v>
      </c>
    </row>
    <row r="1529" spans="1:5">
      <c r="A1529" s="265">
        <v>45891</v>
      </c>
      <c r="B1529" s="92" t="s">
        <v>882</v>
      </c>
      <c r="C1529" s="345" t="s">
        <v>119</v>
      </c>
      <c r="D1529" s="43">
        <v>-10</v>
      </c>
      <c r="E1529" s="230" t="s">
        <v>125</v>
      </c>
    </row>
    <row r="1530" spans="1:5">
      <c r="B1530" s="420"/>
      <c r="C1530" s="361"/>
    </row>
    <row r="1531" spans="1:5">
      <c r="A1531" s="272">
        <v>45885</v>
      </c>
      <c r="B1531" s="139" t="s">
        <v>76</v>
      </c>
      <c r="C1531" s="106" t="s">
        <v>49</v>
      </c>
      <c r="D1531" s="106">
        <v>5</v>
      </c>
      <c r="E1531" s="94" t="s">
        <v>125</v>
      </c>
    </row>
    <row r="1532" spans="1:5">
      <c r="A1532" s="272">
        <v>45885</v>
      </c>
      <c r="B1532" s="128" t="s">
        <v>672</v>
      </c>
      <c r="C1532" s="106" t="s">
        <v>49</v>
      </c>
      <c r="D1532" s="106">
        <v>8</v>
      </c>
      <c r="E1532" s="94" t="s">
        <v>125</v>
      </c>
    </row>
    <row r="1533" spans="1:5">
      <c r="A1533" s="272">
        <v>45885</v>
      </c>
      <c r="B1533" s="128" t="s">
        <v>671</v>
      </c>
      <c r="C1533" s="106" t="s">
        <v>49</v>
      </c>
      <c r="D1533" s="106">
        <v>2</v>
      </c>
      <c r="E1533" s="94" t="s">
        <v>125</v>
      </c>
    </row>
    <row r="1534" spans="1:5">
      <c r="A1534" s="272">
        <v>45885</v>
      </c>
      <c r="B1534" s="139" t="s">
        <v>865</v>
      </c>
      <c r="C1534" s="106" t="s">
        <v>49</v>
      </c>
      <c r="D1534" s="106">
        <v>5</v>
      </c>
      <c r="E1534" s="94" t="s">
        <v>125</v>
      </c>
    </row>
    <row r="1535" spans="1:5">
      <c r="A1535" s="272">
        <v>45885</v>
      </c>
      <c r="B1535" s="139" t="s">
        <v>808</v>
      </c>
      <c r="C1535" s="106" t="s">
        <v>49</v>
      </c>
      <c r="D1535" s="106">
        <v>2</v>
      </c>
      <c r="E1535" s="94" t="s">
        <v>125</v>
      </c>
    </row>
    <row r="1536" spans="1:5">
      <c r="A1536" s="272">
        <v>45885</v>
      </c>
      <c r="B1536" s="234" t="s">
        <v>881</v>
      </c>
      <c r="C1536" s="106" t="s">
        <v>49</v>
      </c>
      <c r="D1536" s="106">
        <v>15</v>
      </c>
      <c r="E1536" s="94" t="s">
        <v>125</v>
      </c>
    </row>
    <row r="1537" spans="1:5">
      <c r="A1537" s="272">
        <v>45885</v>
      </c>
      <c r="B1537" s="139" t="s">
        <v>807</v>
      </c>
      <c r="C1537" s="106" t="s">
        <v>49</v>
      </c>
      <c r="D1537" s="106">
        <v>1</v>
      </c>
      <c r="E1537" s="94" t="s">
        <v>125</v>
      </c>
    </row>
    <row r="1538" spans="1:5">
      <c r="A1538" s="272">
        <v>45885</v>
      </c>
      <c r="B1538" s="234" t="s">
        <v>477</v>
      </c>
      <c r="C1538" s="106" t="s">
        <v>49</v>
      </c>
      <c r="D1538" s="106">
        <v>5</v>
      </c>
      <c r="E1538" s="94" t="s">
        <v>125</v>
      </c>
    </row>
    <row r="1539" spans="1:5">
      <c r="A1539" s="272">
        <v>45885</v>
      </c>
      <c r="B1539" s="234" t="s">
        <v>497</v>
      </c>
      <c r="C1539" s="106" t="s">
        <v>49</v>
      </c>
      <c r="D1539" s="106">
        <v>2</v>
      </c>
      <c r="E1539" s="94" t="s">
        <v>125</v>
      </c>
    </row>
    <row r="1540" spans="1:5">
      <c r="A1540" s="272">
        <v>45885</v>
      </c>
      <c r="B1540" s="128" t="s">
        <v>882</v>
      </c>
      <c r="C1540" s="106" t="s">
        <v>49</v>
      </c>
      <c r="D1540" s="106">
        <v>12</v>
      </c>
      <c r="E1540" s="94" t="s">
        <v>125</v>
      </c>
    </row>
    <row r="1542" spans="1:5">
      <c r="A1542" s="265">
        <v>45891</v>
      </c>
      <c r="B1542" s="104" t="s">
        <v>304</v>
      </c>
      <c r="C1542" s="345" t="s">
        <v>119</v>
      </c>
      <c r="D1542" s="43">
        <v>-2</v>
      </c>
      <c r="E1542" s="419" t="s">
        <v>125</v>
      </c>
    </row>
    <row r="1543" spans="1:5">
      <c r="A1543" s="265">
        <v>45891</v>
      </c>
      <c r="B1543" s="84" t="s">
        <v>881</v>
      </c>
      <c r="C1543" s="345" t="s">
        <v>119</v>
      </c>
      <c r="D1543" s="43">
        <v>-2</v>
      </c>
      <c r="E1543" s="419" t="s">
        <v>125</v>
      </c>
    </row>
    <row r="1544" spans="1:5">
      <c r="A1544" s="265">
        <v>45891</v>
      </c>
      <c r="B1544" s="343" t="s">
        <v>808</v>
      </c>
      <c r="C1544" s="345" t="s">
        <v>119</v>
      </c>
      <c r="D1544" s="43">
        <v>-26</v>
      </c>
      <c r="E1544" s="419" t="s">
        <v>125</v>
      </c>
    </row>
    <row r="1545" spans="1:5">
      <c r="A1545" s="265">
        <v>45891</v>
      </c>
      <c r="B1545" s="343" t="s">
        <v>807</v>
      </c>
      <c r="C1545" s="345" t="s">
        <v>119</v>
      </c>
      <c r="D1545" s="43">
        <v>-6</v>
      </c>
      <c r="E1545" s="419" t="s">
        <v>125</v>
      </c>
    </row>
    <row r="1546" spans="1:5">
      <c r="A1546" s="265">
        <v>45891</v>
      </c>
      <c r="B1546" s="342" t="s">
        <v>960</v>
      </c>
      <c r="C1546" s="345" t="s">
        <v>119</v>
      </c>
      <c r="D1546" s="43">
        <v>-6</v>
      </c>
      <c r="E1546" s="419" t="s">
        <v>125</v>
      </c>
    </row>
    <row r="1547" spans="1:5">
      <c r="A1547" s="265">
        <v>45891</v>
      </c>
      <c r="B1547" s="92" t="s">
        <v>84</v>
      </c>
      <c r="C1547" s="345" t="s">
        <v>119</v>
      </c>
      <c r="D1547" s="43">
        <v>-3</v>
      </c>
      <c r="E1547" s="419" t="s">
        <v>125</v>
      </c>
    </row>
    <row r="1549" spans="1:5">
      <c r="A1549" s="335">
        <v>45892</v>
      </c>
      <c r="B1549" s="342" t="s">
        <v>497</v>
      </c>
      <c r="C1549" s="345" t="s">
        <v>119</v>
      </c>
      <c r="D1549" s="345">
        <v>-2</v>
      </c>
      <c r="E1549" s="230" t="s">
        <v>125</v>
      </c>
    </row>
    <row r="1550" spans="1:5">
      <c r="A1550" s="335">
        <v>45892</v>
      </c>
      <c r="B1550" s="343" t="s">
        <v>134</v>
      </c>
      <c r="C1550" s="345" t="s">
        <v>119</v>
      </c>
      <c r="D1550" s="43">
        <v>-8</v>
      </c>
      <c r="E1550" s="230" t="s">
        <v>125</v>
      </c>
    </row>
    <row r="1551" spans="1:5">
      <c r="A1551" s="335">
        <v>45892</v>
      </c>
      <c r="B1551" s="343" t="s">
        <v>134</v>
      </c>
      <c r="C1551" s="345" t="s">
        <v>119</v>
      </c>
      <c r="D1551" s="43">
        <v>-2</v>
      </c>
      <c r="E1551" s="230" t="s">
        <v>125</v>
      </c>
    </row>
    <row r="1552" spans="1:5">
      <c r="A1552" s="335">
        <v>45892</v>
      </c>
      <c r="B1552" s="147" t="s">
        <v>928</v>
      </c>
      <c r="C1552" s="345" t="s">
        <v>119</v>
      </c>
      <c r="D1552" s="43">
        <v>-1</v>
      </c>
      <c r="E1552" s="230" t="s">
        <v>125</v>
      </c>
    </row>
    <row r="1553" spans="1:6">
      <c r="A1553" s="335">
        <v>45892</v>
      </c>
      <c r="B1553" s="147" t="s">
        <v>928</v>
      </c>
      <c r="C1553" s="345" t="s">
        <v>119</v>
      </c>
      <c r="D1553" s="43">
        <v>-1</v>
      </c>
      <c r="E1553" s="230" t="s">
        <v>125</v>
      </c>
    </row>
    <row r="1554" spans="1:6">
      <c r="A1554" s="335">
        <v>45892</v>
      </c>
      <c r="B1554" s="343" t="s">
        <v>973</v>
      </c>
      <c r="C1554" s="345" t="s">
        <v>119</v>
      </c>
      <c r="D1554" s="43">
        <v>-1</v>
      </c>
      <c r="E1554" s="230" t="s">
        <v>125</v>
      </c>
    </row>
    <row r="1555" spans="1:6">
      <c r="A1555" s="335">
        <v>45892</v>
      </c>
      <c r="B1555" s="343" t="s">
        <v>973</v>
      </c>
      <c r="C1555" s="345" t="s">
        <v>119</v>
      </c>
      <c r="D1555" s="43">
        <v>-1</v>
      </c>
      <c r="E1555" s="230" t="s">
        <v>125</v>
      </c>
    </row>
    <row r="1556" spans="1:6">
      <c r="A1556" s="335">
        <v>45892</v>
      </c>
      <c r="B1556" s="93" t="s">
        <v>91</v>
      </c>
      <c r="C1556" s="345" t="s">
        <v>119</v>
      </c>
      <c r="D1556" s="43">
        <v>0</v>
      </c>
      <c r="E1556" s="230" t="s">
        <v>125</v>
      </c>
      <c r="F1556" t="s">
        <v>676</v>
      </c>
    </row>
    <row r="1557" spans="1:6">
      <c r="A1557" s="335">
        <v>45892</v>
      </c>
      <c r="B1557" s="104" t="s">
        <v>408</v>
      </c>
      <c r="C1557" s="345" t="s">
        <v>119</v>
      </c>
      <c r="D1557" s="43">
        <v>0</v>
      </c>
      <c r="E1557" s="230" t="s">
        <v>125</v>
      </c>
      <c r="F1557" t="s">
        <v>676</v>
      </c>
    </row>
    <row r="1558" spans="1:6">
      <c r="A1558" s="335">
        <v>45892</v>
      </c>
      <c r="B1558" s="344" t="s">
        <v>932</v>
      </c>
      <c r="C1558" s="345" t="s">
        <v>119</v>
      </c>
      <c r="D1558" s="43">
        <v>-4</v>
      </c>
      <c r="E1558" s="230" t="s">
        <v>125</v>
      </c>
    </row>
    <row r="1559" spans="1:6">
      <c r="A1559" s="335">
        <v>45892</v>
      </c>
      <c r="B1559" s="343" t="s">
        <v>134</v>
      </c>
      <c r="C1559" s="345" t="s">
        <v>119</v>
      </c>
      <c r="D1559" s="43">
        <v>-7</v>
      </c>
      <c r="E1559" s="230" t="s">
        <v>125</v>
      </c>
    </row>
    <row r="1560" spans="1:6">
      <c r="A1560" s="335">
        <v>45892</v>
      </c>
      <c r="B1560" s="343" t="s">
        <v>167</v>
      </c>
      <c r="C1560" s="345" t="s">
        <v>119</v>
      </c>
      <c r="D1560" s="43">
        <v>-5</v>
      </c>
      <c r="E1560" s="230" t="s">
        <v>125</v>
      </c>
    </row>
    <row r="1561" spans="1:6">
      <c r="A1561" s="335">
        <v>45892</v>
      </c>
      <c r="B1561" s="343" t="s">
        <v>134</v>
      </c>
      <c r="C1561" s="345" t="s">
        <v>119</v>
      </c>
      <c r="D1561" s="43">
        <v>-1</v>
      </c>
      <c r="E1561" s="230" t="s">
        <v>125</v>
      </c>
    </row>
    <row r="1563" spans="1:6">
      <c r="A1563" s="265">
        <v>45894</v>
      </c>
      <c r="B1563" s="84" t="s">
        <v>881</v>
      </c>
      <c r="C1563" s="345" t="s">
        <v>119</v>
      </c>
      <c r="D1563" s="43">
        <v>-2</v>
      </c>
      <c r="E1563" s="419" t="s">
        <v>125</v>
      </c>
    </row>
    <row r="1565" spans="1:6">
      <c r="A1565" s="323">
        <v>45894</v>
      </c>
      <c r="B1565" s="325" t="s">
        <v>808</v>
      </c>
      <c r="C1565" s="322" t="s">
        <v>682</v>
      </c>
      <c r="D1565" s="423">
        <v>3</v>
      </c>
      <c r="E1565" s="424" t="s">
        <v>125</v>
      </c>
    </row>
    <row r="1566" spans="1:6">
      <c r="A1566" s="323">
        <v>45894</v>
      </c>
      <c r="B1566" s="325" t="s">
        <v>806</v>
      </c>
      <c r="C1566" s="322" t="s">
        <v>682</v>
      </c>
      <c r="D1566" s="423">
        <v>11</v>
      </c>
      <c r="E1566" s="424" t="s">
        <v>125</v>
      </c>
    </row>
    <row r="1567" spans="1:6">
      <c r="A1567" s="323">
        <v>45894</v>
      </c>
      <c r="B1567" s="325" t="s">
        <v>807</v>
      </c>
      <c r="C1567" s="322" t="s">
        <v>682</v>
      </c>
      <c r="D1567" s="423">
        <v>4</v>
      </c>
      <c r="E1567" s="424" t="s">
        <v>125</v>
      </c>
    </row>
    <row r="1568" spans="1:6">
      <c r="A1568" s="323">
        <v>45894</v>
      </c>
      <c r="B1568" s="324" t="s">
        <v>131</v>
      </c>
      <c r="C1568" s="322" t="s">
        <v>682</v>
      </c>
      <c r="D1568" s="423">
        <v>7</v>
      </c>
      <c r="E1568" s="424" t="s">
        <v>125</v>
      </c>
    </row>
    <row r="1569" spans="1:5">
      <c r="A1569" s="323">
        <v>45894</v>
      </c>
      <c r="B1569" s="324" t="s">
        <v>410</v>
      </c>
      <c r="C1569" s="322" t="s">
        <v>682</v>
      </c>
      <c r="D1569" s="423">
        <v>1</v>
      </c>
      <c r="E1569" s="424" t="s">
        <v>125</v>
      </c>
    </row>
    <row r="1570" spans="1:5">
      <c r="A1570" s="323">
        <v>45894</v>
      </c>
      <c r="B1570" s="425" t="s">
        <v>1146</v>
      </c>
      <c r="C1570" s="322" t="s">
        <v>682</v>
      </c>
      <c r="D1570" s="423">
        <v>2</v>
      </c>
      <c r="E1570" s="424" t="s">
        <v>125</v>
      </c>
    </row>
    <row r="1571" spans="1:5">
      <c r="A1571" s="323">
        <v>45894</v>
      </c>
      <c r="B1571" s="425" t="s">
        <v>1147</v>
      </c>
      <c r="C1571" s="322" t="s">
        <v>682</v>
      </c>
      <c r="D1571" s="423">
        <v>4</v>
      </c>
      <c r="E1571" s="424" t="s">
        <v>125</v>
      </c>
    </row>
    <row r="1572" spans="1:5">
      <c r="A1572" s="323">
        <v>45894</v>
      </c>
      <c r="B1572" s="425" t="s">
        <v>1147</v>
      </c>
      <c r="C1572" s="322" t="s">
        <v>682</v>
      </c>
      <c r="D1572" s="423">
        <v>4</v>
      </c>
      <c r="E1572" s="424" t="s">
        <v>125</v>
      </c>
    </row>
    <row r="1573" spans="1:5">
      <c r="A1573" s="323">
        <v>45894</v>
      </c>
      <c r="B1573" s="425" t="s">
        <v>1148</v>
      </c>
      <c r="C1573" s="322" t="s">
        <v>682</v>
      </c>
      <c r="D1573" s="423">
        <v>2</v>
      </c>
      <c r="E1573" s="424" t="s">
        <v>125</v>
      </c>
    </row>
    <row r="1574" spans="1:5">
      <c r="A1574" s="323">
        <v>45894</v>
      </c>
      <c r="B1574" s="425" t="s">
        <v>1149</v>
      </c>
      <c r="C1574" s="322" t="s">
        <v>682</v>
      </c>
      <c r="D1574" s="423">
        <v>1</v>
      </c>
      <c r="E1574" s="424" t="s">
        <v>125</v>
      </c>
    </row>
    <row r="1575" spans="1:5">
      <c r="A1575" s="323">
        <v>45894</v>
      </c>
      <c r="B1575" s="426" t="s">
        <v>919</v>
      </c>
      <c r="C1575" s="322" t="s">
        <v>682</v>
      </c>
      <c r="D1575" s="423">
        <v>2</v>
      </c>
      <c r="E1575" s="424" t="s">
        <v>125</v>
      </c>
    </row>
    <row r="1576" spans="1:5">
      <c r="A1576" s="323">
        <v>45894</v>
      </c>
      <c r="B1576" s="426" t="s">
        <v>923</v>
      </c>
      <c r="C1576" s="322" t="s">
        <v>682</v>
      </c>
      <c r="D1576" s="423">
        <v>2</v>
      </c>
      <c r="E1576" s="424" t="s">
        <v>125</v>
      </c>
    </row>
    <row r="1577" spans="1:5">
      <c r="A1577" s="323">
        <v>45894</v>
      </c>
      <c r="B1577" s="426" t="s">
        <v>1150</v>
      </c>
      <c r="C1577" s="322" t="s">
        <v>682</v>
      </c>
      <c r="D1577" s="423">
        <v>1</v>
      </c>
      <c r="E1577" s="424" t="s">
        <v>125</v>
      </c>
    </row>
    <row r="1578" spans="1:5">
      <c r="A1578" s="323">
        <v>45894</v>
      </c>
      <c r="B1578" s="325" t="s">
        <v>976</v>
      </c>
      <c r="C1578" s="322" t="s">
        <v>682</v>
      </c>
      <c r="D1578" s="423">
        <v>2</v>
      </c>
      <c r="E1578" s="424" t="s">
        <v>125</v>
      </c>
    </row>
    <row r="1579" spans="1:5">
      <c r="A1579" s="323">
        <v>45894</v>
      </c>
      <c r="B1579" s="325" t="s">
        <v>920</v>
      </c>
      <c r="C1579" s="322" t="s">
        <v>682</v>
      </c>
      <c r="D1579" s="423">
        <v>1</v>
      </c>
      <c r="E1579" s="424" t="s">
        <v>125</v>
      </c>
    </row>
    <row r="1580" spans="1:5">
      <c r="A1580" s="323">
        <v>45894</v>
      </c>
      <c r="B1580" s="426" t="s">
        <v>928</v>
      </c>
      <c r="C1580" s="322" t="s">
        <v>682</v>
      </c>
      <c r="D1580" s="423">
        <v>1</v>
      </c>
      <c r="E1580" s="424" t="s">
        <v>125</v>
      </c>
    </row>
    <row r="1581" spans="1:5">
      <c r="A1581" s="323">
        <v>45894</v>
      </c>
      <c r="B1581" s="426" t="s">
        <v>134</v>
      </c>
      <c r="C1581" s="322" t="s">
        <v>682</v>
      </c>
      <c r="D1581" s="423">
        <v>2</v>
      </c>
      <c r="E1581" s="424" t="s">
        <v>125</v>
      </c>
    </row>
    <row r="1582" spans="1:5">
      <c r="A1582" s="323">
        <v>45894</v>
      </c>
      <c r="B1582" s="426" t="s">
        <v>134</v>
      </c>
      <c r="C1582" s="322" t="s">
        <v>682</v>
      </c>
      <c r="D1582" s="423">
        <v>4</v>
      </c>
      <c r="E1582" s="424" t="s">
        <v>125</v>
      </c>
    </row>
    <row r="1583" spans="1:5">
      <c r="A1583" s="323">
        <v>45894</v>
      </c>
      <c r="B1583" s="426" t="s">
        <v>134</v>
      </c>
      <c r="C1583" s="322" t="s">
        <v>682</v>
      </c>
      <c r="D1583" s="423">
        <v>3</v>
      </c>
      <c r="E1583" s="424" t="s">
        <v>125</v>
      </c>
    </row>
    <row r="1584" spans="1:5">
      <c r="A1584" s="323">
        <v>45894</v>
      </c>
      <c r="B1584" s="426" t="s">
        <v>134</v>
      </c>
      <c r="C1584" s="322" t="s">
        <v>682</v>
      </c>
      <c r="D1584" s="423">
        <v>4</v>
      </c>
      <c r="E1584" s="424" t="s">
        <v>125</v>
      </c>
    </row>
    <row r="1585" spans="1:5">
      <c r="A1585" s="323">
        <v>45894</v>
      </c>
      <c r="B1585" s="425" t="s">
        <v>1151</v>
      </c>
      <c r="C1585" s="322" t="s">
        <v>682</v>
      </c>
      <c r="D1585" s="423">
        <v>4</v>
      </c>
      <c r="E1585" s="424" t="s">
        <v>125</v>
      </c>
    </row>
    <row r="1586" spans="1:5">
      <c r="A1586" s="323">
        <v>45894</v>
      </c>
      <c r="B1586" s="425" t="s">
        <v>167</v>
      </c>
      <c r="C1586" s="322" t="s">
        <v>682</v>
      </c>
      <c r="D1586" s="423">
        <v>1</v>
      </c>
      <c r="E1586" s="424" t="s">
        <v>125</v>
      </c>
    </row>
    <row r="1587" spans="1:5">
      <c r="A1587" s="323">
        <v>45894</v>
      </c>
      <c r="B1587" s="426" t="s">
        <v>134</v>
      </c>
      <c r="C1587" s="322" t="s">
        <v>682</v>
      </c>
      <c r="D1587" s="423">
        <v>1</v>
      </c>
      <c r="E1587" s="424" t="s">
        <v>125</v>
      </c>
    </row>
    <row r="1589" spans="1:5">
      <c r="A1589" s="335">
        <v>45894</v>
      </c>
      <c r="B1589" s="343" t="s">
        <v>806</v>
      </c>
      <c r="C1589" s="345" t="s">
        <v>119</v>
      </c>
      <c r="D1589" s="345">
        <v>-11</v>
      </c>
      <c r="E1589" s="230" t="s">
        <v>125</v>
      </c>
    </row>
    <row r="1590" spans="1:5">
      <c r="A1590" s="335">
        <v>45894</v>
      </c>
      <c r="B1590" s="343" t="s">
        <v>807</v>
      </c>
      <c r="C1590" s="345" t="s">
        <v>119</v>
      </c>
      <c r="D1590" s="345">
        <v>-4</v>
      </c>
      <c r="E1590" s="230" t="s">
        <v>125</v>
      </c>
    </row>
    <row r="1591" spans="1:5">
      <c r="A1591" s="335">
        <v>45894</v>
      </c>
      <c r="B1591" s="343" t="s">
        <v>808</v>
      </c>
      <c r="C1591" s="345" t="s">
        <v>119</v>
      </c>
      <c r="D1591" s="345">
        <v>-1</v>
      </c>
      <c r="E1591" s="230" t="s">
        <v>125</v>
      </c>
    </row>
    <row r="1592" spans="1:5">
      <c r="A1592" s="335">
        <v>45894</v>
      </c>
      <c r="B1592" s="343" t="s">
        <v>808</v>
      </c>
      <c r="C1592" s="345" t="s">
        <v>119</v>
      </c>
      <c r="D1592" s="345">
        <v>-2</v>
      </c>
      <c r="E1592" s="230" t="s">
        <v>125</v>
      </c>
    </row>
    <row r="1593" spans="1:5">
      <c r="A1593" s="335">
        <v>45894</v>
      </c>
      <c r="B1593" s="342" t="s">
        <v>131</v>
      </c>
      <c r="C1593" s="345" t="s">
        <v>119</v>
      </c>
      <c r="D1593" s="345">
        <v>-7</v>
      </c>
      <c r="E1593" s="230" t="s">
        <v>125</v>
      </c>
    </row>
    <row r="1594" spans="1:5">
      <c r="A1594" s="335">
        <v>45894</v>
      </c>
      <c r="B1594" s="342" t="s">
        <v>410</v>
      </c>
      <c r="C1594" s="345" t="s">
        <v>119</v>
      </c>
      <c r="D1594" s="345">
        <v>-1</v>
      </c>
      <c r="E1594" s="230" t="s">
        <v>125</v>
      </c>
    </row>
    <row r="1595" spans="1:5">
      <c r="A1595" s="335">
        <v>45894</v>
      </c>
      <c r="B1595" s="344" t="s">
        <v>932</v>
      </c>
      <c r="C1595" s="345" t="s">
        <v>119</v>
      </c>
      <c r="D1595" s="43">
        <v>-1</v>
      </c>
      <c r="E1595" s="230" t="s">
        <v>125</v>
      </c>
    </row>
    <row r="1596" spans="1:5">
      <c r="A1596" s="335">
        <v>45894</v>
      </c>
      <c r="B1596" s="343" t="s">
        <v>134</v>
      </c>
      <c r="C1596" s="345" t="s">
        <v>119</v>
      </c>
      <c r="D1596" s="43">
        <v>-1</v>
      </c>
      <c r="E1596" s="230" t="s">
        <v>125</v>
      </c>
    </row>
    <row r="1597" spans="1:5">
      <c r="A1597" s="335">
        <v>45894</v>
      </c>
      <c r="B1597" s="343" t="s">
        <v>167</v>
      </c>
      <c r="C1597" s="345" t="s">
        <v>119</v>
      </c>
      <c r="D1597" s="43">
        <v>-2</v>
      </c>
      <c r="E1597" s="230" t="s">
        <v>125</v>
      </c>
    </row>
    <row r="1598" spans="1:5">
      <c r="A1598" s="335">
        <v>45894</v>
      </c>
      <c r="B1598" s="343" t="s">
        <v>167</v>
      </c>
      <c r="C1598" s="345" t="s">
        <v>119</v>
      </c>
      <c r="D1598" s="43">
        <v>-1</v>
      </c>
      <c r="E1598" s="230" t="s">
        <v>125</v>
      </c>
    </row>
    <row r="1599" spans="1:5">
      <c r="A1599" s="335">
        <v>45894</v>
      </c>
      <c r="B1599" s="343" t="s">
        <v>973</v>
      </c>
      <c r="C1599" s="345" t="s">
        <v>119</v>
      </c>
      <c r="D1599" s="43">
        <v>-1</v>
      </c>
      <c r="E1599" s="230" t="s">
        <v>125</v>
      </c>
    </row>
    <row r="1600" spans="1:5">
      <c r="A1600" s="335">
        <v>45894</v>
      </c>
      <c r="B1600" s="343" t="s">
        <v>167</v>
      </c>
      <c r="C1600" s="345" t="s">
        <v>119</v>
      </c>
      <c r="D1600" s="43">
        <v>-1</v>
      </c>
      <c r="E1600" s="230" t="s">
        <v>125</v>
      </c>
    </row>
    <row r="1601" spans="1:6">
      <c r="A1601" s="335">
        <v>45894</v>
      </c>
      <c r="B1601" s="93" t="s">
        <v>166</v>
      </c>
      <c r="C1601" s="345" t="s">
        <v>119</v>
      </c>
      <c r="D1601" s="43">
        <v>-1</v>
      </c>
      <c r="E1601" s="230" t="s">
        <v>125</v>
      </c>
    </row>
    <row r="1602" spans="1:6">
      <c r="A1602" s="335">
        <v>45894</v>
      </c>
      <c r="B1602" s="93" t="s">
        <v>169</v>
      </c>
      <c r="C1602" s="345" t="s">
        <v>119</v>
      </c>
      <c r="D1602" s="43">
        <v>-1</v>
      </c>
      <c r="E1602" s="230" t="s">
        <v>125</v>
      </c>
    </row>
    <row r="1604" spans="1:6">
      <c r="A1604" s="335">
        <v>45892</v>
      </c>
      <c r="B1604" s="147" t="s">
        <v>928</v>
      </c>
      <c r="C1604" s="43" t="s">
        <v>678</v>
      </c>
      <c r="D1604" s="43">
        <v>-1</v>
      </c>
      <c r="E1604" s="230" t="s">
        <v>125</v>
      </c>
    </row>
    <row r="1605" spans="1:6">
      <c r="A1605" s="335">
        <v>45892</v>
      </c>
      <c r="B1605" s="343" t="s">
        <v>134</v>
      </c>
      <c r="C1605" s="43" t="s">
        <v>678</v>
      </c>
      <c r="D1605" s="43">
        <v>-5</v>
      </c>
      <c r="E1605" s="230" t="s">
        <v>125</v>
      </c>
    </row>
    <row r="1607" spans="1:6">
      <c r="A1607" s="346">
        <v>45890</v>
      </c>
      <c r="B1607" s="349" t="s">
        <v>169</v>
      </c>
      <c r="C1607" s="348" t="s">
        <v>921</v>
      </c>
      <c r="D1607" s="348">
        <v>1</v>
      </c>
      <c r="E1607" s="360" t="s">
        <v>125</v>
      </c>
      <c r="F1607" t="s">
        <v>1169</v>
      </c>
    </row>
    <row r="1608" spans="1:6">
      <c r="A1608" s="346">
        <v>45890</v>
      </c>
      <c r="B1608" s="349" t="s">
        <v>134</v>
      </c>
      <c r="C1608" s="348" t="s">
        <v>921</v>
      </c>
      <c r="D1608" s="348">
        <v>9</v>
      </c>
      <c r="E1608" s="360" t="s">
        <v>125</v>
      </c>
    </row>
    <row r="1609" spans="1:6">
      <c r="A1609" s="346">
        <v>45890</v>
      </c>
      <c r="B1609" s="349" t="s">
        <v>134</v>
      </c>
      <c r="C1609" s="348" t="s">
        <v>921</v>
      </c>
      <c r="D1609" s="348">
        <v>10</v>
      </c>
      <c r="E1609" s="360" t="s">
        <v>125</v>
      </c>
    </row>
    <row r="1610" spans="1:6">
      <c r="A1610" s="346">
        <v>45890</v>
      </c>
      <c r="B1610" s="350" t="s">
        <v>928</v>
      </c>
      <c r="C1610" s="348" t="s">
        <v>921</v>
      </c>
      <c r="D1610" s="348">
        <v>1</v>
      </c>
      <c r="E1610" s="360" t="s">
        <v>125</v>
      </c>
    </row>
    <row r="1611" spans="1:6">
      <c r="A1611" s="346">
        <v>45890</v>
      </c>
      <c r="B1611" s="349" t="s">
        <v>134</v>
      </c>
      <c r="C1611" s="348" t="s">
        <v>921</v>
      </c>
      <c r="D1611" s="348">
        <v>1</v>
      </c>
      <c r="E1611" s="360" t="s">
        <v>125</v>
      </c>
    </row>
    <row r="1612" spans="1:6">
      <c r="A1612" s="346">
        <v>45890</v>
      </c>
      <c r="B1612" s="349" t="s">
        <v>167</v>
      </c>
      <c r="C1612" s="348" t="s">
        <v>921</v>
      </c>
      <c r="D1612" s="348">
        <v>2</v>
      </c>
      <c r="E1612" s="360" t="s">
        <v>125</v>
      </c>
    </row>
    <row r="1613" spans="1:6">
      <c r="A1613" s="346">
        <v>45890</v>
      </c>
      <c r="B1613" s="349" t="s">
        <v>167</v>
      </c>
      <c r="C1613" s="348" t="s">
        <v>921</v>
      </c>
      <c r="D1613" s="348">
        <v>6</v>
      </c>
      <c r="E1613" s="360" t="s">
        <v>125</v>
      </c>
    </row>
    <row r="1614" spans="1:6">
      <c r="A1614" s="346">
        <v>45890</v>
      </c>
      <c r="B1614" s="349" t="s">
        <v>973</v>
      </c>
      <c r="C1614" s="348" t="s">
        <v>921</v>
      </c>
      <c r="D1614" s="348">
        <v>1</v>
      </c>
      <c r="E1614" s="360" t="s">
        <v>125</v>
      </c>
    </row>
    <row r="1615" spans="1:6">
      <c r="A1615" s="346">
        <v>45890</v>
      </c>
      <c r="B1615" s="349" t="s">
        <v>973</v>
      </c>
      <c r="C1615" s="348" t="s">
        <v>921</v>
      </c>
      <c r="D1615" s="348">
        <v>1</v>
      </c>
      <c r="E1615" s="360" t="s">
        <v>125</v>
      </c>
    </row>
    <row r="1616" spans="1:6">
      <c r="A1616" s="346">
        <v>45890</v>
      </c>
      <c r="B1616" s="349" t="s">
        <v>167</v>
      </c>
      <c r="C1616" s="348" t="s">
        <v>921</v>
      </c>
      <c r="D1616" s="348">
        <v>1</v>
      </c>
      <c r="E1616" s="360" t="s">
        <v>125</v>
      </c>
    </row>
    <row r="1617" spans="1:6">
      <c r="A1617" s="346">
        <v>45890</v>
      </c>
      <c r="B1617" s="349" t="s">
        <v>166</v>
      </c>
      <c r="C1617" s="348" t="s">
        <v>921</v>
      </c>
      <c r="D1617" s="348">
        <v>1</v>
      </c>
      <c r="E1617" s="360" t="s">
        <v>125</v>
      </c>
    </row>
    <row r="1618" spans="1:6">
      <c r="A1618" s="346">
        <v>45890</v>
      </c>
      <c r="B1618" s="349" t="s">
        <v>973</v>
      </c>
      <c r="C1618" s="348" t="s">
        <v>921</v>
      </c>
      <c r="D1618" s="348">
        <v>1</v>
      </c>
      <c r="E1618" s="360" t="s">
        <v>125</v>
      </c>
    </row>
    <row r="1619" spans="1:6">
      <c r="A1619" s="346">
        <v>45890</v>
      </c>
      <c r="B1619" s="350" t="s">
        <v>919</v>
      </c>
      <c r="C1619" s="348" t="s">
        <v>921</v>
      </c>
      <c r="D1619" s="348">
        <v>4</v>
      </c>
      <c r="E1619" s="360" t="s">
        <v>125</v>
      </c>
    </row>
    <row r="1620" spans="1:6">
      <c r="A1620" s="346">
        <v>45890</v>
      </c>
      <c r="B1620" s="427" t="s">
        <v>1152</v>
      </c>
      <c r="C1620" s="348" t="s">
        <v>921</v>
      </c>
      <c r="D1620" s="348">
        <v>1</v>
      </c>
      <c r="E1620" s="360" t="s">
        <v>125</v>
      </c>
    </row>
    <row r="1621" spans="1:6">
      <c r="A1621" s="346">
        <v>45890</v>
      </c>
      <c r="B1621" s="350" t="s">
        <v>919</v>
      </c>
      <c r="C1621" s="348" t="s">
        <v>921</v>
      </c>
      <c r="D1621" s="348">
        <v>1</v>
      </c>
      <c r="E1621" s="360" t="s">
        <v>125</v>
      </c>
    </row>
    <row r="1622" spans="1:6">
      <c r="A1622" s="346">
        <v>45890</v>
      </c>
      <c r="B1622" s="350" t="s">
        <v>923</v>
      </c>
      <c r="C1622" s="348" t="s">
        <v>921</v>
      </c>
      <c r="D1622" s="348">
        <v>1</v>
      </c>
      <c r="E1622" s="360" t="s">
        <v>125</v>
      </c>
    </row>
    <row r="1623" spans="1:6">
      <c r="A1623" s="346">
        <v>45890</v>
      </c>
      <c r="B1623" s="351" t="s">
        <v>932</v>
      </c>
      <c r="C1623" s="348" t="s">
        <v>921</v>
      </c>
      <c r="D1623" s="348">
        <v>4</v>
      </c>
      <c r="E1623" s="360" t="s">
        <v>125</v>
      </c>
    </row>
    <row r="1624" spans="1:6">
      <c r="A1624" s="346">
        <v>45890</v>
      </c>
      <c r="B1624" s="349" t="s">
        <v>920</v>
      </c>
      <c r="C1624" s="348" t="s">
        <v>921</v>
      </c>
      <c r="D1624" s="348">
        <v>9</v>
      </c>
      <c r="E1624" s="360" t="s">
        <v>125</v>
      </c>
    </row>
    <row r="1625" spans="1:6">
      <c r="A1625" s="346">
        <v>45890</v>
      </c>
      <c r="B1625" s="349" t="s">
        <v>1094</v>
      </c>
      <c r="C1625" s="348" t="s">
        <v>921</v>
      </c>
      <c r="D1625" s="348">
        <v>0</v>
      </c>
      <c r="E1625" s="360" t="s">
        <v>125</v>
      </c>
      <c r="F1625" t="s">
        <v>676</v>
      </c>
    </row>
    <row r="1627" spans="1:6">
      <c r="A1627" s="272">
        <v>45895</v>
      </c>
      <c r="B1627" s="128" t="s">
        <v>671</v>
      </c>
      <c r="C1627" s="106" t="s">
        <v>49</v>
      </c>
      <c r="D1627" s="106">
        <v>5</v>
      </c>
      <c r="E1627" s="94" t="s">
        <v>125</v>
      </c>
    </row>
    <row r="1628" spans="1:6">
      <c r="A1628" s="272">
        <v>45895</v>
      </c>
      <c r="B1628" s="139" t="s">
        <v>76</v>
      </c>
      <c r="C1628" s="106" t="s">
        <v>49</v>
      </c>
      <c r="D1628" s="106">
        <v>400</v>
      </c>
      <c r="E1628" s="94" t="s">
        <v>125</v>
      </c>
    </row>
    <row r="1629" spans="1:6">
      <c r="A1629" s="272">
        <v>45895</v>
      </c>
      <c r="B1629" s="139" t="s">
        <v>76</v>
      </c>
      <c r="C1629" s="106" t="s">
        <v>49</v>
      </c>
      <c r="D1629" s="106">
        <v>60</v>
      </c>
      <c r="E1629" s="94" t="s">
        <v>125</v>
      </c>
    </row>
    <row r="1630" spans="1:6">
      <c r="A1630" s="272">
        <v>45895</v>
      </c>
      <c r="B1630" s="139" t="s">
        <v>76</v>
      </c>
      <c r="C1630" s="106" t="s">
        <v>49</v>
      </c>
      <c r="D1630" s="106">
        <v>57</v>
      </c>
      <c r="E1630" s="94" t="s">
        <v>125</v>
      </c>
    </row>
    <row r="1631" spans="1:6">
      <c r="A1631" s="272">
        <v>45895</v>
      </c>
      <c r="B1631" s="139" t="s">
        <v>76</v>
      </c>
      <c r="C1631" s="106" t="s">
        <v>49</v>
      </c>
      <c r="D1631" s="106">
        <v>56</v>
      </c>
      <c r="E1631" s="94" t="s">
        <v>125</v>
      </c>
    </row>
    <row r="1633" spans="1:6">
      <c r="A1633" s="330">
        <v>45895</v>
      </c>
      <c r="B1633" s="329" t="s">
        <v>671</v>
      </c>
      <c r="C1633" s="328" t="s">
        <v>49</v>
      </c>
      <c r="D1633" s="328">
        <v>0</v>
      </c>
      <c r="E1633" s="331" t="s">
        <v>125</v>
      </c>
      <c r="F1633" t="s">
        <v>1226</v>
      </c>
    </row>
    <row r="1634" spans="1:6">
      <c r="A1634" s="330">
        <v>45895</v>
      </c>
      <c r="B1634" s="329" t="s">
        <v>671</v>
      </c>
      <c r="C1634" s="328" t="s">
        <v>49</v>
      </c>
      <c r="D1634" s="328">
        <v>0</v>
      </c>
      <c r="E1634" s="331" t="s">
        <v>125</v>
      </c>
      <c r="F1634" t="s">
        <v>1226</v>
      </c>
    </row>
    <row r="1635" spans="1:6">
      <c r="A1635" s="330">
        <v>45895</v>
      </c>
      <c r="B1635" s="329" t="s">
        <v>671</v>
      </c>
      <c r="C1635" s="328" t="s">
        <v>49</v>
      </c>
      <c r="D1635" s="328">
        <v>1</v>
      </c>
      <c r="E1635" s="331" t="s">
        <v>125</v>
      </c>
    </row>
    <row r="1636" spans="1:6">
      <c r="A1636" s="330">
        <v>45895</v>
      </c>
      <c r="B1636" s="329" t="s">
        <v>671</v>
      </c>
      <c r="C1636" s="328" t="s">
        <v>49</v>
      </c>
      <c r="D1636" s="328">
        <v>4</v>
      </c>
      <c r="E1636" s="331" t="s">
        <v>125</v>
      </c>
    </row>
    <row r="1637" spans="1:6">
      <c r="A1637" s="330">
        <v>45895</v>
      </c>
      <c r="B1637" s="329" t="s">
        <v>121</v>
      </c>
      <c r="C1637" s="328" t="s">
        <v>49</v>
      </c>
      <c r="D1637" s="328">
        <v>50</v>
      </c>
      <c r="E1637" s="331" t="s">
        <v>125</v>
      </c>
    </row>
    <row r="1638" spans="1:6">
      <c r="A1638" s="330">
        <v>45895</v>
      </c>
      <c r="B1638" s="329" t="s">
        <v>121</v>
      </c>
      <c r="C1638" s="328" t="s">
        <v>49</v>
      </c>
      <c r="D1638" s="328">
        <v>50</v>
      </c>
      <c r="E1638" s="331" t="s">
        <v>125</v>
      </c>
    </row>
    <row r="1640" spans="1:6">
      <c r="A1640" s="335">
        <v>45895</v>
      </c>
      <c r="B1640" s="343" t="s">
        <v>76</v>
      </c>
      <c r="C1640" s="345" t="s">
        <v>119</v>
      </c>
      <c r="D1640" s="345">
        <v>-57</v>
      </c>
      <c r="E1640" s="230" t="s">
        <v>125</v>
      </c>
    </row>
    <row r="1641" spans="1:6">
      <c r="A1641" s="434">
        <v>45895</v>
      </c>
      <c r="B1641" s="168" t="s">
        <v>134</v>
      </c>
      <c r="C1641" s="166" t="s">
        <v>119</v>
      </c>
      <c r="D1641" s="166">
        <v>0</v>
      </c>
      <c r="E1641" s="417" t="s">
        <v>1165</v>
      </c>
    </row>
    <row r="1642" spans="1:6">
      <c r="A1642" s="434">
        <v>45895</v>
      </c>
      <c r="B1642" s="168" t="s">
        <v>134</v>
      </c>
      <c r="C1642" s="166" t="s">
        <v>119</v>
      </c>
      <c r="D1642" s="166">
        <v>0</v>
      </c>
      <c r="E1642" s="417" t="s">
        <v>1165</v>
      </c>
    </row>
    <row r="1643" spans="1:6">
      <c r="A1643" s="434">
        <v>45895</v>
      </c>
      <c r="B1643" s="168" t="s">
        <v>134</v>
      </c>
      <c r="C1643" s="166" t="s">
        <v>119</v>
      </c>
      <c r="D1643" s="166">
        <v>0</v>
      </c>
      <c r="E1643" s="417" t="s">
        <v>1165</v>
      </c>
    </row>
    <row r="1644" spans="1:6">
      <c r="A1644" s="434">
        <v>45895</v>
      </c>
      <c r="B1644" s="435" t="s">
        <v>928</v>
      </c>
      <c r="C1644" s="166" t="s">
        <v>119</v>
      </c>
      <c r="D1644" s="166">
        <v>0</v>
      </c>
      <c r="E1644" s="417" t="s">
        <v>1165</v>
      </c>
    </row>
    <row r="1645" spans="1:6">
      <c r="A1645" s="434">
        <v>45895</v>
      </c>
      <c r="B1645" s="168" t="s">
        <v>973</v>
      </c>
      <c r="C1645" s="166" t="s">
        <v>119</v>
      </c>
      <c r="D1645" s="166">
        <v>0</v>
      </c>
      <c r="E1645" s="417" t="s">
        <v>1165</v>
      </c>
    </row>
    <row r="1646" spans="1:6">
      <c r="A1646" s="335">
        <v>45895</v>
      </c>
      <c r="B1646" s="92" t="s">
        <v>882</v>
      </c>
      <c r="C1646" s="345" t="s">
        <v>119</v>
      </c>
      <c r="D1646" s="43">
        <v>-17</v>
      </c>
      <c r="E1646" s="230" t="s">
        <v>125</v>
      </c>
    </row>
    <row r="1647" spans="1:6">
      <c r="A1647" s="335">
        <v>45895</v>
      </c>
      <c r="B1647" s="343" t="s">
        <v>936</v>
      </c>
      <c r="C1647" s="345" t="s">
        <v>119</v>
      </c>
      <c r="D1647" s="345">
        <v>-1</v>
      </c>
      <c r="E1647" s="230" t="s">
        <v>125</v>
      </c>
    </row>
    <row r="1648" spans="1:6">
      <c r="A1648" s="335">
        <v>45895</v>
      </c>
      <c r="B1648" s="343" t="s">
        <v>134</v>
      </c>
      <c r="C1648" s="345" t="s">
        <v>119</v>
      </c>
      <c r="D1648" s="345">
        <v>-1</v>
      </c>
      <c r="E1648" s="230" t="s">
        <v>125</v>
      </c>
    </row>
    <row r="1649" spans="1:6">
      <c r="A1649" s="335">
        <v>45895</v>
      </c>
      <c r="B1649" s="343" t="s">
        <v>134</v>
      </c>
      <c r="C1649" s="345" t="s">
        <v>119</v>
      </c>
      <c r="D1649" s="345">
        <v>-3</v>
      </c>
      <c r="E1649" s="230" t="s">
        <v>125</v>
      </c>
    </row>
    <row r="1650" spans="1:6">
      <c r="A1650" s="335">
        <v>45895</v>
      </c>
      <c r="B1650" s="343" t="s">
        <v>166</v>
      </c>
      <c r="C1650" s="345" t="s">
        <v>119</v>
      </c>
      <c r="D1650" s="345">
        <v>-1</v>
      </c>
      <c r="E1650" s="230" t="s">
        <v>125</v>
      </c>
    </row>
    <row r="1651" spans="1:6">
      <c r="A1651" s="335">
        <v>45895</v>
      </c>
      <c r="B1651" s="343" t="s">
        <v>167</v>
      </c>
      <c r="C1651" s="345" t="s">
        <v>119</v>
      </c>
      <c r="D1651" s="345">
        <v>-2</v>
      </c>
      <c r="E1651" s="230" t="s">
        <v>125</v>
      </c>
    </row>
    <row r="1652" spans="1:6">
      <c r="A1652" s="335">
        <v>45895</v>
      </c>
      <c r="B1652" s="104" t="s">
        <v>408</v>
      </c>
      <c r="C1652" s="345" t="s">
        <v>119</v>
      </c>
      <c r="D1652" s="43">
        <v>-1</v>
      </c>
      <c r="E1652" s="230" t="s">
        <v>125</v>
      </c>
    </row>
    <row r="1653" spans="1:6">
      <c r="A1653" s="335">
        <v>45895</v>
      </c>
      <c r="B1653" s="343" t="s">
        <v>920</v>
      </c>
      <c r="C1653" s="345" t="s">
        <v>119</v>
      </c>
      <c r="D1653" s="43">
        <v>-19</v>
      </c>
      <c r="E1653" s="230" t="s">
        <v>125</v>
      </c>
    </row>
    <row r="1655" spans="1:6">
      <c r="A1655" s="335">
        <v>45896</v>
      </c>
      <c r="B1655" s="93" t="s">
        <v>1096</v>
      </c>
      <c r="C1655" s="345" t="s">
        <v>119</v>
      </c>
      <c r="D1655" s="43">
        <v>-2</v>
      </c>
      <c r="E1655" s="230" t="s">
        <v>125</v>
      </c>
    </row>
    <row r="1656" spans="1:6">
      <c r="A1656" s="335">
        <v>45896</v>
      </c>
      <c r="B1656" s="147" t="s">
        <v>931</v>
      </c>
      <c r="C1656" s="345" t="s">
        <v>119</v>
      </c>
      <c r="D1656" s="43">
        <v>-1</v>
      </c>
      <c r="E1656" s="230" t="s">
        <v>125</v>
      </c>
    </row>
    <row r="1658" spans="1:6">
      <c r="A1658" s="346">
        <v>45896</v>
      </c>
      <c r="B1658" s="347" t="s">
        <v>135</v>
      </c>
      <c r="C1658" s="348" t="s">
        <v>921</v>
      </c>
      <c r="D1658" s="348">
        <v>1</v>
      </c>
      <c r="E1658" s="360" t="s">
        <v>125</v>
      </c>
      <c r="F1658" t="s">
        <v>1168</v>
      </c>
    </row>
    <row r="1659" spans="1:6">
      <c r="A1659" s="346">
        <v>45896</v>
      </c>
      <c r="B1659" s="350" t="s">
        <v>919</v>
      </c>
      <c r="C1659" s="348" t="s">
        <v>921</v>
      </c>
      <c r="D1659" s="348">
        <v>3</v>
      </c>
      <c r="E1659" s="360" t="s">
        <v>125</v>
      </c>
    </row>
    <row r="1660" spans="1:6">
      <c r="A1660" s="346">
        <v>45896</v>
      </c>
      <c r="B1660" s="349" t="s">
        <v>134</v>
      </c>
      <c r="C1660" s="348" t="s">
        <v>921</v>
      </c>
      <c r="D1660" s="348">
        <v>3</v>
      </c>
      <c r="E1660" s="360" t="s">
        <v>125</v>
      </c>
    </row>
    <row r="1661" spans="1:6">
      <c r="A1661" s="346">
        <v>45896</v>
      </c>
      <c r="B1661" s="349" t="s">
        <v>134</v>
      </c>
      <c r="C1661" s="348" t="s">
        <v>921</v>
      </c>
      <c r="D1661" s="348">
        <v>1</v>
      </c>
      <c r="E1661" s="360" t="s">
        <v>125</v>
      </c>
    </row>
    <row r="1662" spans="1:6">
      <c r="A1662" s="346">
        <v>45896</v>
      </c>
      <c r="B1662" s="349" t="s">
        <v>167</v>
      </c>
      <c r="C1662" s="348" t="s">
        <v>921</v>
      </c>
      <c r="D1662" s="348">
        <v>2</v>
      </c>
      <c r="E1662" s="360" t="s">
        <v>125</v>
      </c>
    </row>
    <row r="1663" spans="1:6">
      <c r="A1663" s="346">
        <v>45896</v>
      </c>
      <c r="B1663" s="349" t="s">
        <v>920</v>
      </c>
      <c r="C1663" s="348" t="s">
        <v>921</v>
      </c>
      <c r="D1663" s="348">
        <v>8</v>
      </c>
      <c r="E1663" s="360" t="s">
        <v>125</v>
      </c>
    </row>
    <row r="1665" spans="1:5">
      <c r="A1665" s="335">
        <v>45896</v>
      </c>
      <c r="B1665" s="344" t="s">
        <v>1148</v>
      </c>
      <c r="C1665" s="345" t="s">
        <v>119</v>
      </c>
      <c r="D1665" s="43">
        <v>-2</v>
      </c>
      <c r="E1665" s="230" t="s">
        <v>125</v>
      </c>
    </row>
    <row r="1666" spans="1:5">
      <c r="A1666" s="335">
        <v>45896</v>
      </c>
      <c r="B1666" s="343" t="s">
        <v>76</v>
      </c>
      <c r="C1666" s="345" t="s">
        <v>119</v>
      </c>
      <c r="D1666" s="43">
        <v>-65</v>
      </c>
      <c r="E1666" s="230" t="s">
        <v>125</v>
      </c>
    </row>
    <row r="1667" spans="1:5">
      <c r="A1667" s="335">
        <v>45896</v>
      </c>
      <c r="B1667" s="343" t="s">
        <v>76</v>
      </c>
      <c r="C1667" s="345" t="s">
        <v>119</v>
      </c>
      <c r="D1667" s="43">
        <v>-60</v>
      </c>
      <c r="E1667" s="230" t="s">
        <v>125</v>
      </c>
    </row>
    <row r="1668" spans="1:5">
      <c r="A1668" s="335">
        <v>45895</v>
      </c>
      <c r="B1668" s="343" t="s">
        <v>134</v>
      </c>
      <c r="C1668" s="43" t="s">
        <v>678</v>
      </c>
      <c r="D1668" s="43">
        <v>-1</v>
      </c>
      <c r="E1668" s="230" t="s">
        <v>125</v>
      </c>
    </row>
    <row r="1669" spans="1:5">
      <c r="A1669" s="335">
        <v>45896</v>
      </c>
      <c r="B1669" s="343" t="s">
        <v>76</v>
      </c>
      <c r="C1669" s="345" t="s">
        <v>119</v>
      </c>
      <c r="D1669" s="43">
        <v>-5</v>
      </c>
      <c r="E1669" s="230" t="s">
        <v>125</v>
      </c>
    </row>
    <row r="1670" spans="1:5">
      <c r="A1670" s="335">
        <v>45896</v>
      </c>
      <c r="B1670" s="343" t="s">
        <v>76</v>
      </c>
      <c r="C1670" s="345" t="s">
        <v>119</v>
      </c>
      <c r="D1670" s="43">
        <v>-15</v>
      </c>
      <c r="E1670" s="230" t="s">
        <v>125</v>
      </c>
    </row>
    <row r="1671" spans="1:5">
      <c r="A1671" s="335">
        <v>45896</v>
      </c>
      <c r="B1671" s="343" t="s">
        <v>134</v>
      </c>
      <c r="C1671" s="345" t="s">
        <v>119</v>
      </c>
      <c r="D1671" s="43">
        <v>-2</v>
      </c>
      <c r="E1671" s="230" t="s">
        <v>125</v>
      </c>
    </row>
    <row r="1672" spans="1:5">
      <c r="A1672" s="335">
        <v>45896</v>
      </c>
      <c r="B1672" s="344" t="s">
        <v>932</v>
      </c>
      <c r="C1672" s="345" t="s">
        <v>119</v>
      </c>
      <c r="D1672" s="43">
        <v>-2</v>
      </c>
      <c r="E1672" s="230" t="s">
        <v>125</v>
      </c>
    </row>
    <row r="1673" spans="1:5">
      <c r="A1673" s="335">
        <v>45896</v>
      </c>
      <c r="B1673" s="343" t="s">
        <v>167</v>
      </c>
      <c r="C1673" s="345" t="s">
        <v>119</v>
      </c>
      <c r="D1673" s="43">
        <v>-1</v>
      </c>
      <c r="E1673" s="230" t="s">
        <v>125</v>
      </c>
    </row>
    <row r="1674" spans="1:5">
      <c r="A1674" s="335">
        <v>45896</v>
      </c>
      <c r="B1674" s="343" t="s">
        <v>76</v>
      </c>
      <c r="C1674" s="345" t="s">
        <v>119</v>
      </c>
      <c r="D1674" s="43">
        <v>-20</v>
      </c>
      <c r="E1674" s="230" t="s">
        <v>125</v>
      </c>
    </row>
    <row r="1676" spans="1:5">
      <c r="A1676" s="437">
        <v>45897</v>
      </c>
      <c r="B1676" s="222" t="s">
        <v>1173</v>
      </c>
      <c r="C1676" s="220" t="s">
        <v>775</v>
      </c>
      <c r="D1676" s="220">
        <v>65</v>
      </c>
      <c r="E1676" s="438" t="s">
        <v>125</v>
      </c>
    </row>
    <row r="1678" spans="1:5">
      <c r="A1678" s="335">
        <v>45897</v>
      </c>
      <c r="B1678" s="343" t="s">
        <v>1173</v>
      </c>
      <c r="C1678" s="345" t="s">
        <v>119</v>
      </c>
      <c r="D1678" s="345">
        <v>-55</v>
      </c>
      <c r="E1678" s="230" t="s">
        <v>125</v>
      </c>
    </row>
    <row r="1679" spans="1:5">
      <c r="A1679" s="335">
        <v>45897</v>
      </c>
      <c r="B1679" s="343" t="s">
        <v>76</v>
      </c>
      <c r="C1679" s="345" t="s">
        <v>119</v>
      </c>
      <c r="D1679" s="43">
        <v>-4</v>
      </c>
      <c r="E1679" s="230" t="s">
        <v>125</v>
      </c>
    </row>
    <row r="1681" spans="1:6">
      <c r="A1681" s="346">
        <v>45897</v>
      </c>
      <c r="B1681" s="350" t="s">
        <v>919</v>
      </c>
      <c r="C1681" s="348" t="s">
        <v>921</v>
      </c>
      <c r="D1681" s="348">
        <v>1</v>
      </c>
      <c r="E1681" s="360" t="s">
        <v>125</v>
      </c>
      <c r="F1681" t="s">
        <v>1177</v>
      </c>
    </row>
    <row r="1682" spans="1:6">
      <c r="A1682" s="346">
        <v>45897</v>
      </c>
      <c r="B1682" s="350" t="s">
        <v>919</v>
      </c>
      <c r="C1682" s="348" t="s">
        <v>921</v>
      </c>
      <c r="D1682" s="348">
        <v>1</v>
      </c>
      <c r="E1682" s="360" t="s">
        <v>125</v>
      </c>
    </row>
    <row r="1683" spans="1:6">
      <c r="A1683" s="346">
        <v>45897</v>
      </c>
      <c r="B1683" s="349" t="s">
        <v>134</v>
      </c>
      <c r="C1683" s="348" t="s">
        <v>921</v>
      </c>
      <c r="D1683" s="348">
        <v>3</v>
      </c>
      <c r="E1683" s="360" t="s">
        <v>125</v>
      </c>
    </row>
    <row r="1684" spans="1:6">
      <c r="A1684" s="346">
        <v>45897</v>
      </c>
      <c r="B1684" s="349" t="s">
        <v>134</v>
      </c>
      <c r="C1684" s="348" t="s">
        <v>921</v>
      </c>
      <c r="D1684" s="348">
        <v>1</v>
      </c>
      <c r="E1684" s="360" t="s">
        <v>125</v>
      </c>
    </row>
    <row r="1685" spans="1:6">
      <c r="A1685" s="346">
        <v>45897</v>
      </c>
      <c r="B1685" s="349" t="s">
        <v>167</v>
      </c>
      <c r="C1685" s="348" t="s">
        <v>921</v>
      </c>
      <c r="D1685" s="348">
        <v>1</v>
      </c>
      <c r="E1685" s="360" t="s">
        <v>125</v>
      </c>
    </row>
    <row r="1686" spans="1:6">
      <c r="A1686" s="346">
        <v>45897</v>
      </c>
      <c r="B1686" s="347" t="s">
        <v>927</v>
      </c>
      <c r="C1686" s="348" t="s">
        <v>921</v>
      </c>
      <c r="D1686" s="348">
        <v>2</v>
      </c>
      <c r="E1686" s="360" t="s">
        <v>125</v>
      </c>
    </row>
    <row r="1687" spans="1:6">
      <c r="A1687" s="346">
        <v>45897</v>
      </c>
      <c r="B1687" s="427" t="s">
        <v>1176</v>
      </c>
      <c r="C1687" s="348" t="s">
        <v>921</v>
      </c>
      <c r="D1687" s="348">
        <v>1</v>
      </c>
      <c r="E1687" s="360" t="s">
        <v>125</v>
      </c>
    </row>
    <row r="1688" spans="1:6">
      <c r="A1688" s="346">
        <v>45897</v>
      </c>
      <c r="B1688" s="349" t="s">
        <v>920</v>
      </c>
      <c r="C1688" s="348" t="s">
        <v>921</v>
      </c>
      <c r="D1688" s="348">
        <v>5</v>
      </c>
      <c r="E1688" s="360" t="s">
        <v>125</v>
      </c>
    </row>
    <row r="1689" spans="1:6">
      <c r="A1689" s="346">
        <v>45897</v>
      </c>
      <c r="B1689" s="351" t="s">
        <v>932</v>
      </c>
      <c r="C1689" s="348" t="s">
        <v>921</v>
      </c>
      <c r="D1689" s="348">
        <v>4</v>
      </c>
      <c r="E1689" s="360" t="s">
        <v>125</v>
      </c>
    </row>
    <row r="1691" spans="1:6">
      <c r="A1691" s="346">
        <v>45896</v>
      </c>
      <c r="B1691" s="349" t="s">
        <v>936</v>
      </c>
      <c r="C1691" s="348" t="s">
        <v>921</v>
      </c>
      <c r="D1691" s="348">
        <v>1</v>
      </c>
      <c r="E1691" s="360" t="s">
        <v>125</v>
      </c>
      <c r="F1691" t="s">
        <v>1178</v>
      </c>
    </row>
    <row r="1692" spans="1:6">
      <c r="A1692" s="346">
        <v>45896</v>
      </c>
      <c r="B1692" s="349" t="s">
        <v>166</v>
      </c>
      <c r="C1692" s="348" t="s">
        <v>921</v>
      </c>
      <c r="D1692" s="348">
        <v>1</v>
      </c>
      <c r="E1692" s="360" t="s">
        <v>125</v>
      </c>
    </row>
    <row r="1693" spans="1:6">
      <c r="A1693" s="346">
        <v>45896</v>
      </c>
      <c r="B1693" s="351" t="s">
        <v>932</v>
      </c>
      <c r="C1693" s="348" t="s">
        <v>921</v>
      </c>
      <c r="D1693" s="348">
        <v>1</v>
      </c>
      <c r="E1693" s="360" t="s">
        <v>125</v>
      </c>
    </row>
    <row r="1695" spans="1:6">
      <c r="A1695" s="335">
        <v>45897</v>
      </c>
      <c r="B1695" s="342" t="s">
        <v>135</v>
      </c>
      <c r="C1695" s="345" t="s">
        <v>119</v>
      </c>
      <c r="D1695" s="43">
        <v>-1</v>
      </c>
      <c r="E1695" s="230" t="s">
        <v>125</v>
      </c>
    </row>
    <row r="1696" spans="1:6">
      <c r="A1696" s="335">
        <v>45897</v>
      </c>
      <c r="B1696" s="439" t="s">
        <v>919</v>
      </c>
      <c r="C1696" s="345" t="s">
        <v>119</v>
      </c>
      <c r="D1696" s="43">
        <v>-11</v>
      </c>
      <c r="E1696" s="230" t="s">
        <v>125</v>
      </c>
    </row>
    <row r="1697" spans="1:6">
      <c r="A1697" s="335">
        <v>45897</v>
      </c>
      <c r="B1697" s="343" t="s">
        <v>920</v>
      </c>
      <c r="C1697" s="345" t="s">
        <v>119</v>
      </c>
      <c r="D1697" s="43">
        <v>-2</v>
      </c>
      <c r="E1697" s="230" t="s">
        <v>125</v>
      </c>
      <c r="F1697" s="314" t="s">
        <v>1225</v>
      </c>
    </row>
    <row r="1698" spans="1:6">
      <c r="A1698" s="335">
        <v>45897</v>
      </c>
      <c r="B1698" s="342" t="s">
        <v>923</v>
      </c>
      <c r="C1698" s="345" t="s">
        <v>119</v>
      </c>
      <c r="D1698" s="43">
        <v>-3</v>
      </c>
      <c r="E1698" s="230" t="s">
        <v>125</v>
      </c>
    </row>
    <row r="1699" spans="1:6">
      <c r="A1699" s="335">
        <v>45897</v>
      </c>
      <c r="B1699" s="439" t="s">
        <v>919</v>
      </c>
      <c r="C1699" s="345" t="s">
        <v>119</v>
      </c>
      <c r="D1699" s="43">
        <v>-1</v>
      </c>
      <c r="E1699" s="230" t="s">
        <v>125</v>
      </c>
    </row>
    <row r="1700" spans="1:6">
      <c r="A1700" s="335">
        <v>45897</v>
      </c>
      <c r="B1700" s="439" t="s">
        <v>1150</v>
      </c>
      <c r="C1700" s="345" t="s">
        <v>119</v>
      </c>
      <c r="D1700" s="43">
        <v>-1</v>
      </c>
      <c r="E1700" s="230" t="s">
        <v>125</v>
      </c>
    </row>
    <row r="1701" spans="1:6">
      <c r="A1701" s="335">
        <v>45897</v>
      </c>
      <c r="B1701" s="343" t="s">
        <v>976</v>
      </c>
      <c r="C1701" s="345" t="s">
        <v>119</v>
      </c>
      <c r="D1701" s="43">
        <v>-2</v>
      </c>
      <c r="E1701" s="230" t="s">
        <v>125</v>
      </c>
    </row>
    <row r="1702" spans="1:6">
      <c r="A1702" s="335">
        <v>45897</v>
      </c>
      <c r="B1702" s="343" t="s">
        <v>76</v>
      </c>
      <c r="C1702" s="345" t="s">
        <v>119</v>
      </c>
      <c r="D1702" s="43">
        <v>-20</v>
      </c>
      <c r="E1702" s="230" t="s">
        <v>125</v>
      </c>
    </row>
    <row r="1703" spans="1:6">
      <c r="A1703" s="335">
        <v>45897</v>
      </c>
      <c r="B1703" s="343" t="s">
        <v>76</v>
      </c>
      <c r="C1703" s="345" t="s">
        <v>119</v>
      </c>
      <c r="D1703" s="43">
        <v>-87</v>
      </c>
      <c r="E1703" s="230" t="s">
        <v>125</v>
      </c>
    </row>
    <row r="1704" spans="1:6">
      <c r="A1704" s="335">
        <v>45897</v>
      </c>
      <c r="B1704" s="343" t="s">
        <v>134</v>
      </c>
      <c r="C1704" s="345" t="s">
        <v>119</v>
      </c>
      <c r="D1704" s="43">
        <v>-2</v>
      </c>
      <c r="E1704" s="230" t="s">
        <v>125</v>
      </c>
    </row>
    <row r="1705" spans="1:6">
      <c r="A1705" s="335">
        <v>45897</v>
      </c>
      <c r="B1705" s="93" t="s">
        <v>1094</v>
      </c>
      <c r="C1705" s="345" t="s">
        <v>119</v>
      </c>
      <c r="D1705" s="43">
        <v>0</v>
      </c>
      <c r="E1705" s="230" t="s">
        <v>125</v>
      </c>
      <c r="F1705" s="441" t="s">
        <v>676</v>
      </c>
    </row>
    <row r="1706" spans="1:6">
      <c r="A1706" s="335">
        <v>45897</v>
      </c>
      <c r="B1706" s="343" t="s">
        <v>76</v>
      </c>
      <c r="C1706" s="345" t="s">
        <v>119</v>
      </c>
      <c r="D1706" s="43">
        <v>-6</v>
      </c>
      <c r="E1706" s="230" t="s">
        <v>125</v>
      </c>
    </row>
    <row r="1707" spans="1:6">
      <c r="A1707" s="335">
        <v>45897</v>
      </c>
      <c r="B1707" s="343" t="s">
        <v>1152</v>
      </c>
      <c r="C1707" s="345" t="s">
        <v>119</v>
      </c>
      <c r="D1707" s="43">
        <v>-1</v>
      </c>
      <c r="E1707" s="230" t="s">
        <v>125</v>
      </c>
    </row>
    <row r="1708" spans="1:6">
      <c r="A1708" s="440">
        <v>45898</v>
      </c>
      <c r="B1708" s="222" t="s">
        <v>806</v>
      </c>
      <c r="C1708" s="220" t="s">
        <v>1180</v>
      </c>
      <c r="D1708" s="220">
        <v>1</v>
      </c>
      <c r="E1708" s="438" t="s">
        <v>125</v>
      </c>
    </row>
    <row r="1710" spans="1:6">
      <c r="A1710" s="335">
        <v>45898</v>
      </c>
      <c r="B1710" s="343" t="s">
        <v>806</v>
      </c>
      <c r="C1710" s="345" t="s">
        <v>119</v>
      </c>
      <c r="D1710" s="345">
        <v>-1</v>
      </c>
      <c r="E1710" s="230" t="s">
        <v>125</v>
      </c>
    </row>
    <row r="1711" spans="1:6">
      <c r="A1711" s="335">
        <v>45898</v>
      </c>
      <c r="B1711" s="343" t="s">
        <v>76</v>
      </c>
      <c r="C1711" s="345" t="s">
        <v>119</v>
      </c>
      <c r="D1711" s="43">
        <v>-5</v>
      </c>
      <c r="E1711" s="230" t="s">
        <v>125</v>
      </c>
    </row>
    <row r="1712" spans="1:6">
      <c r="A1712" s="335">
        <v>45898</v>
      </c>
      <c r="B1712" s="343" t="s">
        <v>76</v>
      </c>
      <c r="C1712" s="345" t="s">
        <v>119</v>
      </c>
      <c r="D1712" s="43">
        <v>-10</v>
      </c>
      <c r="E1712" s="230" t="s">
        <v>125</v>
      </c>
    </row>
    <row r="1713" spans="1:5">
      <c r="A1713" s="335">
        <v>45898</v>
      </c>
      <c r="B1713" s="344" t="s">
        <v>932</v>
      </c>
      <c r="C1713" s="345" t="s">
        <v>119</v>
      </c>
      <c r="D1713" s="43">
        <v>-2</v>
      </c>
      <c r="E1713" s="230" t="s">
        <v>125</v>
      </c>
    </row>
    <row r="1714" spans="1:5">
      <c r="A1714" s="335">
        <v>45898</v>
      </c>
      <c r="B1714" s="343" t="s">
        <v>134</v>
      </c>
      <c r="C1714" s="345" t="s">
        <v>119</v>
      </c>
      <c r="D1714" s="43">
        <v>-2</v>
      </c>
      <c r="E1714" s="230" t="s">
        <v>125</v>
      </c>
    </row>
    <row r="1715" spans="1:5">
      <c r="A1715" s="335">
        <v>45898</v>
      </c>
      <c r="B1715" s="344" t="s">
        <v>1151</v>
      </c>
      <c r="C1715" s="345" t="s">
        <v>119</v>
      </c>
      <c r="D1715" s="43">
        <v>-4</v>
      </c>
      <c r="E1715" s="230" t="s">
        <v>125</v>
      </c>
    </row>
    <row r="1717" spans="1:5">
      <c r="A1717" s="285">
        <v>45899</v>
      </c>
      <c r="B1717" s="343" t="s">
        <v>76</v>
      </c>
      <c r="C1717" s="345" t="s">
        <v>119</v>
      </c>
      <c r="D1717" s="43">
        <v>-20</v>
      </c>
      <c r="E1717" s="230" t="s">
        <v>125</v>
      </c>
    </row>
    <row r="1718" spans="1:5">
      <c r="A1718" s="285">
        <v>45899</v>
      </c>
      <c r="B1718" s="343" t="s">
        <v>76</v>
      </c>
      <c r="C1718" s="345" t="s">
        <v>119</v>
      </c>
      <c r="D1718" s="43">
        <v>-42</v>
      </c>
      <c r="E1718" s="230" t="s">
        <v>125</v>
      </c>
    </row>
    <row r="1719" spans="1:5">
      <c r="A1719" s="285">
        <v>45899</v>
      </c>
      <c r="B1719" s="343" t="s">
        <v>76</v>
      </c>
      <c r="C1719" s="345" t="s">
        <v>119</v>
      </c>
      <c r="D1719" s="43">
        <v>-20</v>
      </c>
      <c r="E1719" s="230" t="s">
        <v>125</v>
      </c>
    </row>
    <row r="1720" spans="1:5">
      <c r="A1720" s="285">
        <v>45899</v>
      </c>
      <c r="B1720" s="92" t="s">
        <v>672</v>
      </c>
      <c r="C1720" s="345" t="s">
        <v>119</v>
      </c>
      <c r="D1720" s="43">
        <v>-1</v>
      </c>
      <c r="E1720" s="230" t="s">
        <v>125</v>
      </c>
    </row>
    <row r="1721" spans="1:5">
      <c r="A1721" s="285">
        <v>45899</v>
      </c>
      <c r="B1721" s="343" t="s">
        <v>76</v>
      </c>
      <c r="C1721" s="345" t="s">
        <v>119</v>
      </c>
      <c r="D1721" s="43">
        <v>-10</v>
      </c>
      <c r="E1721" s="230" t="s">
        <v>125</v>
      </c>
    </row>
    <row r="1722" spans="1:5">
      <c r="A1722" s="285">
        <v>45899</v>
      </c>
      <c r="B1722" s="343" t="s">
        <v>76</v>
      </c>
      <c r="C1722" s="345" t="s">
        <v>119</v>
      </c>
      <c r="D1722" s="43">
        <v>-3</v>
      </c>
      <c r="E1722" s="230" t="s">
        <v>125</v>
      </c>
    </row>
    <row r="1723" spans="1:5">
      <c r="A1723" s="285">
        <v>45899</v>
      </c>
      <c r="B1723" s="343" t="s">
        <v>76</v>
      </c>
      <c r="C1723" s="345" t="s">
        <v>119</v>
      </c>
      <c r="D1723" s="43">
        <v>-8</v>
      </c>
      <c r="E1723" s="230" t="s">
        <v>125</v>
      </c>
    </row>
    <row r="1724" spans="1:5">
      <c r="A1724" s="285">
        <v>45899</v>
      </c>
      <c r="B1724" s="343" t="s">
        <v>134</v>
      </c>
      <c r="C1724" s="43" t="s">
        <v>678</v>
      </c>
      <c r="D1724" s="43">
        <v>-1</v>
      </c>
      <c r="E1724" s="230" t="s">
        <v>125</v>
      </c>
    </row>
    <row r="1725" spans="1:5">
      <c r="A1725" s="285">
        <v>45899</v>
      </c>
      <c r="B1725" s="147" t="s">
        <v>928</v>
      </c>
      <c r="C1725" s="43" t="s">
        <v>678</v>
      </c>
      <c r="D1725" s="43">
        <v>-1</v>
      </c>
      <c r="E1725" s="230" t="s">
        <v>125</v>
      </c>
    </row>
    <row r="1726" spans="1:5">
      <c r="A1726" s="285">
        <v>45899</v>
      </c>
      <c r="B1726" s="343" t="s">
        <v>134</v>
      </c>
      <c r="C1726" s="345" t="s">
        <v>119</v>
      </c>
      <c r="D1726" s="43">
        <v>-1</v>
      </c>
      <c r="E1726" s="230" t="s">
        <v>125</v>
      </c>
    </row>
    <row r="1727" spans="1:5">
      <c r="A1727" s="285">
        <v>45899</v>
      </c>
      <c r="B1727" s="343" t="s">
        <v>134</v>
      </c>
      <c r="C1727" s="345" t="s">
        <v>119</v>
      </c>
      <c r="D1727" s="43">
        <v>-2</v>
      </c>
      <c r="E1727" s="230" t="s">
        <v>125</v>
      </c>
    </row>
    <row r="1728" spans="1:5">
      <c r="A1728" s="285">
        <v>45899</v>
      </c>
      <c r="B1728" s="343" t="s">
        <v>134</v>
      </c>
      <c r="C1728" s="345" t="s">
        <v>119</v>
      </c>
      <c r="D1728" s="43">
        <v>-3</v>
      </c>
      <c r="E1728" s="230" t="s">
        <v>125</v>
      </c>
    </row>
    <row r="1729" spans="1:5">
      <c r="A1729" s="285">
        <v>45899</v>
      </c>
      <c r="B1729" s="343" t="s">
        <v>134</v>
      </c>
      <c r="C1729" s="345" t="s">
        <v>119</v>
      </c>
      <c r="D1729" s="43">
        <v>-1</v>
      </c>
      <c r="E1729" s="230" t="s">
        <v>125</v>
      </c>
    </row>
    <row r="1730" spans="1:5">
      <c r="A1730" s="285">
        <v>45899</v>
      </c>
      <c r="B1730" s="84" t="s">
        <v>927</v>
      </c>
      <c r="C1730" s="345" t="s">
        <v>119</v>
      </c>
      <c r="D1730" s="43">
        <v>-2</v>
      </c>
      <c r="E1730" s="230" t="s">
        <v>125</v>
      </c>
    </row>
    <row r="1731" spans="1:5">
      <c r="A1731" s="285">
        <v>45899</v>
      </c>
      <c r="B1731" s="343" t="s">
        <v>1176</v>
      </c>
      <c r="C1731" s="345" t="s">
        <v>119</v>
      </c>
      <c r="D1731" s="43">
        <v>-1</v>
      </c>
      <c r="E1731" s="230" t="s">
        <v>125</v>
      </c>
    </row>
    <row r="1733" spans="1:5">
      <c r="A1733" s="285">
        <v>45900</v>
      </c>
      <c r="B1733" s="343" t="s">
        <v>920</v>
      </c>
      <c r="C1733" s="345" t="s">
        <v>119</v>
      </c>
      <c r="D1733" s="43">
        <v>-3</v>
      </c>
      <c r="E1733" s="230" t="s">
        <v>125</v>
      </c>
    </row>
    <row r="1735" spans="1:5">
      <c r="A1735" s="265">
        <v>45901</v>
      </c>
      <c r="B1735" s="343" t="s">
        <v>76</v>
      </c>
      <c r="C1735" s="345" t="s">
        <v>119</v>
      </c>
      <c r="D1735" s="43">
        <v>-1</v>
      </c>
      <c r="E1735" s="230" t="s">
        <v>125</v>
      </c>
    </row>
    <row r="1736" spans="1:5">
      <c r="A1736" s="265">
        <v>45901</v>
      </c>
      <c r="B1736" s="344" t="s">
        <v>1147</v>
      </c>
      <c r="C1736" s="345" t="s">
        <v>119</v>
      </c>
      <c r="D1736" s="43">
        <v>-2</v>
      </c>
      <c r="E1736" s="230" t="s">
        <v>125</v>
      </c>
    </row>
    <row r="1737" spans="1:5">
      <c r="A1737" s="265">
        <v>45901</v>
      </c>
      <c r="B1737" s="93" t="s">
        <v>120</v>
      </c>
      <c r="C1737" s="345" t="s">
        <v>119</v>
      </c>
      <c r="D1737" s="43">
        <v>-35</v>
      </c>
      <c r="E1737" s="230" t="s">
        <v>125</v>
      </c>
    </row>
    <row r="1738" spans="1:5">
      <c r="A1738" s="265">
        <v>45901</v>
      </c>
      <c r="B1738" s="343" t="s">
        <v>76</v>
      </c>
      <c r="C1738" s="345" t="s">
        <v>119</v>
      </c>
      <c r="D1738" s="43">
        <v>-10</v>
      </c>
      <c r="E1738" s="230" t="s">
        <v>125</v>
      </c>
    </row>
    <row r="1739" spans="1:5">
      <c r="A1739" s="265">
        <v>45901</v>
      </c>
      <c r="B1739" s="343" t="s">
        <v>76</v>
      </c>
      <c r="C1739" s="345" t="s">
        <v>119</v>
      </c>
      <c r="D1739" s="43">
        <v>-1</v>
      </c>
      <c r="E1739" s="230" t="s">
        <v>125</v>
      </c>
    </row>
    <row r="1741" spans="1:5">
      <c r="A1741" s="265">
        <v>45902</v>
      </c>
      <c r="B1741" s="93" t="s">
        <v>806</v>
      </c>
      <c r="C1741" s="345" t="s">
        <v>119</v>
      </c>
      <c r="D1741" s="43">
        <v>-3</v>
      </c>
      <c r="E1741" s="230" t="s">
        <v>125</v>
      </c>
    </row>
    <row r="1742" spans="1:5">
      <c r="A1742" s="265">
        <v>45902</v>
      </c>
      <c r="B1742" s="343" t="s">
        <v>134</v>
      </c>
      <c r="C1742" s="345" t="s">
        <v>119</v>
      </c>
      <c r="D1742" s="43">
        <v>-2</v>
      </c>
      <c r="E1742" s="230" t="s">
        <v>125</v>
      </c>
    </row>
    <row r="1743" spans="1:5">
      <c r="A1743" s="265">
        <v>45902</v>
      </c>
      <c r="B1743" s="343" t="s">
        <v>76</v>
      </c>
      <c r="C1743" s="345" t="s">
        <v>119</v>
      </c>
      <c r="D1743" s="33">
        <v>-20</v>
      </c>
      <c r="E1743" s="230" t="s">
        <v>125</v>
      </c>
    </row>
    <row r="1744" spans="1:5">
      <c r="A1744" s="265">
        <v>45903</v>
      </c>
      <c r="B1744" s="93" t="s">
        <v>92</v>
      </c>
      <c r="C1744" s="345" t="s">
        <v>119</v>
      </c>
      <c r="D1744" s="43">
        <v>-2</v>
      </c>
      <c r="E1744" s="230" t="s">
        <v>125</v>
      </c>
    </row>
    <row r="1745" spans="1:6">
      <c r="A1745" s="265">
        <v>45903</v>
      </c>
      <c r="B1745" s="104" t="s">
        <v>408</v>
      </c>
      <c r="C1745" s="345" t="s">
        <v>119</v>
      </c>
      <c r="D1745" s="43">
        <v>0</v>
      </c>
      <c r="E1745" s="230" t="s">
        <v>125</v>
      </c>
      <c r="F1745" s="441" t="s">
        <v>1191</v>
      </c>
    </row>
    <row r="1747" spans="1:6">
      <c r="A1747" s="306">
        <v>45902</v>
      </c>
      <c r="B1747" s="242" t="s">
        <v>410</v>
      </c>
      <c r="C1747" s="240" t="s">
        <v>682</v>
      </c>
      <c r="D1747" s="240">
        <v>116</v>
      </c>
      <c r="E1747" s="241" t="s">
        <v>125</v>
      </c>
    </row>
    <row r="1748" spans="1:6">
      <c r="A1748" s="306">
        <v>45902</v>
      </c>
      <c r="B1748" s="307" t="s">
        <v>1182</v>
      </c>
      <c r="C1748" s="240" t="s">
        <v>682</v>
      </c>
      <c r="D1748" s="240">
        <v>1</v>
      </c>
      <c r="E1748" s="241" t="s">
        <v>125</v>
      </c>
    </row>
    <row r="1749" spans="1:6">
      <c r="A1749" s="306">
        <v>45902</v>
      </c>
      <c r="B1749" s="307" t="s">
        <v>1183</v>
      </c>
      <c r="C1749" s="240" t="s">
        <v>682</v>
      </c>
      <c r="D1749" s="240">
        <v>1</v>
      </c>
      <c r="E1749" s="241" t="s">
        <v>125</v>
      </c>
    </row>
    <row r="1750" spans="1:6">
      <c r="A1750" s="306">
        <v>45902</v>
      </c>
      <c r="B1750" s="242" t="s">
        <v>856</v>
      </c>
      <c r="C1750" s="240" t="s">
        <v>682</v>
      </c>
      <c r="D1750" s="240">
        <v>7</v>
      </c>
      <c r="E1750" s="241" t="s">
        <v>125</v>
      </c>
    </row>
    <row r="1751" spans="1:6">
      <c r="A1751" s="306">
        <v>45902</v>
      </c>
      <c r="B1751" s="239" t="s">
        <v>383</v>
      </c>
      <c r="C1751" s="240" t="s">
        <v>682</v>
      </c>
      <c r="D1751" s="240">
        <v>1</v>
      </c>
      <c r="E1751" s="241" t="s">
        <v>125</v>
      </c>
    </row>
    <row r="1752" spans="1:6">
      <c r="A1752" s="306">
        <v>45902</v>
      </c>
      <c r="B1752" s="239" t="s">
        <v>806</v>
      </c>
      <c r="C1752" s="240" t="s">
        <v>682</v>
      </c>
      <c r="D1752" s="240">
        <v>3</v>
      </c>
      <c r="E1752" s="241" t="s">
        <v>125</v>
      </c>
    </row>
    <row r="1753" spans="1:6">
      <c r="A1753" s="306">
        <v>45902</v>
      </c>
      <c r="B1753" s="239" t="s">
        <v>807</v>
      </c>
      <c r="C1753" s="240" t="s">
        <v>682</v>
      </c>
      <c r="D1753" s="240">
        <v>1</v>
      </c>
      <c r="E1753" s="241" t="s">
        <v>125</v>
      </c>
    </row>
    <row r="1754" spans="1:6">
      <c r="A1754" s="306">
        <v>45902</v>
      </c>
      <c r="B1754" s="239" t="s">
        <v>154</v>
      </c>
      <c r="C1754" s="240" t="s">
        <v>682</v>
      </c>
      <c r="D1754" s="240">
        <v>6</v>
      </c>
      <c r="E1754" s="241" t="s">
        <v>125</v>
      </c>
    </row>
    <row r="1755" spans="1:6">
      <c r="A1755" s="306">
        <v>45902</v>
      </c>
      <c r="B1755" s="242" t="s">
        <v>135</v>
      </c>
      <c r="C1755" s="240" t="s">
        <v>682</v>
      </c>
      <c r="D1755" s="240">
        <v>3</v>
      </c>
      <c r="E1755" s="241" t="s">
        <v>125</v>
      </c>
    </row>
    <row r="1756" spans="1:6">
      <c r="A1756" s="306">
        <v>45902</v>
      </c>
      <c r="B1756" s="242" t="s">
        <v>919</v>
      </c>
      <c r="C1756" s="240" t="s">
        <v>682</v>
      </c>
      <c r="D1756" s="240">
        <v>3</v>
      </c>
      <c r="E1756" s="241" t="s">
        <v>125</v>
      </c>
    </row>
    <row r="1757" spans="1:6">
      <c r="A1757" s="306">
        <v>45902</v>
      </c>
      <c r="B1757" s="242" t="s">
        <v>923</v>
      </c>
      <c r="C1757" s="240" t="s">
        <v>682</v>
      </c>
      <c r="D1757" s="240">
        <v>1</v>
      </c>
      <c r="E1757" s="241" t="s">
        <v>125</v>
      </c>
    </row>
    <row r="1758" spans="1:6">
      <c r="A1758" s="306">
        <v>45902</v>
      </c>
      <c r="B1758" s="242" t="s">
        <v>1186</v>
      </c>
      <c r="C1758" s="240" t="s">
        <v>682</v>
      </c>
      <c r="D1758" s="240">
        <v>1</v>
      </c>
      <c r="E1758" s="241" t="s">
        <v>125</v>
      </c>
    </row>
    <row r="1759" spans="1:6">
      <c r="A1759" s="306">
        <v>45902</v>
      </c>
      <c r="B1759" s="307" t="s">
        <v>1148</v>
      </c>
      <c r="C1759" s="240" t="s">
        <v>682</v>
      </c>
      <c r="D1759" s="240">
        <v>1</v>
      </c>
      <c r="E1759" s="241" t="s">
        <v>125</v>
      </c>
    </row>
    <row r="1761" spans="1:6">
      <c r="A1761" s="335">
        <v>45903</v>
      </c>
      <c r="B1761" s="342" t="s">
        <v>135</v>
      </c>
      <c r="C1761" s="345" t="s">
        <v>119</v>
      </c>
      <c r="D1761" s="345">
        <v>-3</v>
      </c>
      <c r="E1761" s="230" t="s">
        <v>125</v>
      </c>
    </row>
    <row r="1762" spans="1:6">
      <c r="A1762" s="335">
        <v>45903</v>
      </c>
      <c r="B1762" s="342" t="s">
        <v>919</v>
      </c>
      <c r="C1762" s="345" t="s">
        <v>119</v>
      </c>
      <c r="D1762" s="345">
        <v>-3</v>
      </c>
      <c r="E1762" s="230" t="s">
        <v>125</v>
      </c>
    </row>
    <row r="1763" spans="1:6">
      <c r="A1763" s="335">
        <v>45903</v>
      </c>
      <c r="B1763" s="342" t="s">
        <v>923</v>
      </c>
      <c r="C1763" s="345" t="s">
        <v>119</v>
      </c>
      <c r="D1763" s="345">
        <v>-1</v>
      </c>
      <c r="E1763" s="230" t="s">
        <v>125</v>
      </c>
    </row>
    <row r="1765" spans="1:6">
      <c r="A1765" s="272">
        <v>45902</v>
      </c>
      <c r="B1765" s="139" t="s">
        <v>76</v>
      </c>
      <c r="C1765" s="106" t="s">
        <v>49</v>
      </c>
      <c r="D1765" s="106">
        <v>56</v>
      </c>
      <c r="E1765" s="94" t="s">
        <v>125</v>
      </c>
    </row>
    <row r="1766" spans="1:6">
      <c r="A1766" s="272">
        <v>45902</v>
      </c>
      <c r="B1766" s="128" t="s">
        <v>789</v>
      </c>
      <c r="C1766" s="106" t="s">
        <v>49</v>
      </c>
      <c r="D1766" s="106">
        <v>10</v>
      </c>
      <c r="E1766" s="94" t="s">
        <v>125</v>
      </c>
    </row>
    <row r="1767" spans="1:6">
      <c r="A1767" s="272">
        <v>45902</v>
      </c>
      <c r="B1767" s="139" t="s">
        <v>76</v>
      </c>
      <c r="C1767" s="106" t="s">
        <v>49</v>
      </c>
      <c r="D1767" s="106">
        <v>30</v>
      </c>
      <c r="E1767" s="94" t="s">
        <v>125</v>
      </c>
    </row>
    <row r="1768" spans="1:6">
      <c r="A1768" s="434">
        <v>45902</v>
      </c>
      <c r="B1768" s="503" t="s">
        <v>881</v>
      </c>
      <c r="C1768" s="166" t="s">
        <v>49</v>
      </c>
      <c r="D1768" s="166">
        <v>0</v>
      </c>
      <c r="E1768" s="417" t="s">
        <v>125</v>
      </c>
      <c r="F1768" s="441" t="s">
        <v>1395</v>
      </c>
    </row>
    <row r="1770" spans="1:6">
      <c r="A1770" s="265">
        <v>45902</v>
      </c>
      <c r="B1770" s="343" t="s">
        <v>76</v>
      </c>
      <c r="C1770" s="345" t="s">
        <v>119</v>
      </c>
      <c r="D1770" s="43">
        <v>-10</v>
      </c>
      <c r="E1770" s="230" t="s">
        <v>125</v>
      </c>
    </row>
    <row r="1772" spans="1:6">
      <c r="A1772" s="265">
        <v>45904</v>
      </c>
      <c r="B1772" s="343" t="s">
        <v>977</v>
      </c>
      <c r="C1772" s="345" t="s">
        <v>119</v>
      </c>
      <c r="D1772" s="43">
        <v>-1</v>
      </c>
      <c r="E1772" s="230" t="s">
        <v>125</v>
      </c>
      <c r="F1772" s="314" t="s">
        <v>1190</v>
      </c>
    </row>
    <row r="1773" spans="1:6">
      <c r="A1773" s="265">
        <v>45904</v>
      </c>
      <c r="B1773" s="344" t="s">
        <v>1148</v>
      </c>
      <c r="C1773" s="345" t="s">
        <v>119</v>
      </c>
      <c r="D1773" s="43">
        <v>-1</v>
      </c>
      <c r="E1773" s="230" t="s">
        <v>125</v>
      </c>
    </row>
    <row r="1774" spans="1:6">
      <c r="A1774" s="265">
        <v>45904</v>
      </c>
      <c r="B1774" s="343" t="s">
        <v>76</v>
      </c>
      <c r="C1774" s="345" t="s">
        <v>119</v>
      </c>
      <c r="D1774" s="43">
        <v>-4</v>
      </c>
      <c r="E1774" s="230" t="s">
        <v>125</v>
      </c>
    </row>
    <row r="1776" spans="1:6">
      <c r="A1776" s="265">
        <v>45906</v>
      </c>
      <c r="B1776" s="84" t="s">
        <v>410</v>
      </c>
      <c r="C1776" s="345" t="s">
        <v>119</v>
      </c>
      <c r="D1776" s="43">
        <v>-116</v>
      </c>
      <c r="E1776" s="230" t="s">
        <v>125</v>
      </c>
    </row>
    <row r="1777" spans="1:5">
      <c r="A1777" s="265">
        <v>45906</v>
      </c>
      <c r="B1777" s="344" t="s">
        <v>1182</v>
      </c>
      <c r="C1777" s="345" t="s">
        <v>119</v>
      </c>
      <c r="D1777" s="43">
        <v>-1</v>
      </c>
      <c r="E1777" s="230" t="s">
        <v>125</v>
      </c>
    </row>
    <row r="1778" spans="1:5">
      <c r="A1778" s="265">
        <v>45906</v>
      </c>
      <c r="B1778" s="344" t="s">
        <v>1183</v>
      </c>
      <c r="C1778" s="345" t="s">
        <v>119</v>
      </c>
      <c r="D1778" s="43">
        <v>-1</v>
      </c>
      <c r="E1778" s="230" t="s">
        <v>125</v>
      </c>
    </row>
    <row r="1779" spans="1:5">
      <c r="A1779" s="265">
        <v>45906</v>
      </c>
      <c r="B1779" s="84" t="s">
        <v>856</v>
      </c>
      <c r="C1779" s="345" t="s">
        <v>119</v>
      </c>
      <c r="D1779" s="43">
        <v>-7</v>
      </c>
      <c r="E1779" s="230" t="s">
        <v>125</v>
      </c>
    </row>
    <row r="1781" spans="1:5">
      <c r="A1781" s="437">
        <v>45906</v>
      </c>
      <c r="B1781" s="222" t="s">
        <v>76</v>
      </c>
      <c r="C1781" s="220" t="s">
        <v>1219</v>
      </c>
      <c r="D1781" s="220">
        <v>10</v>
      </c>
      <c r="E1781" s="438" t="s">
        <v>125</v>
      </c>
    </row>
    <row r="1783" spans="1:5">
      <c r="A1783" s="265">
        <v>45908</v>
      </c>
      <c r="B1783" s="343" t="s">
        <v>76</v>
      </c>
      <c r="C1783" s="345" t="s">
        <v>119</v>
      </c>
      <c r="D1783" s="43">
        <v>-100</v>
      </c>
      <c r="E1783" s="230" t="s">
        <v>125</v>
      </c>
    </row>
    <row r="1785" spans="1:5">
      <c r="A1785" s="437">
        <v>45908</v>
      </c>
      <c r="B1785" s="222" t="s">
        <v>76</v>
      </c>
      <c r="C1785" s="220" t="s">
        <v>1219</v>
      </c>
      <c r="D1785" s="220">
        <v>5</v>
      </c>
      <c r="E1785" s="438" t="s">
        <v>125</v>
      </c>
    </row>
    <row r="1787" spans="1:5">
      <c r="A1787" s="265">
        <v>45908</v>
      </c>
      <c r="B1787" s="343" t="s">
        <v>76</v>
      </c>
      <c r="C1787" s="345" t="s">
        <v>119</v>
      </c>
      <c r="D1787" s="43">
        <v>-5</v>
      </c>
      <c r="E1787" s="230" t="s">
        <v>125</v>
      </c>
    </row>
    <row r="1788" spans="1:5">
      <c r="A1788" s="265">
        <v>45908</v>
      </c>
      <c r="B1788" s="93" t="s">
        <v>806</v>
      </c>
      <c r="C1788" s="345" t="s">
        <v>119</v>
      </c>
      <c r="D1788" s="43">
        <v>-1</v>
      </c>
      <c r="E1788" s="230" t="s">
        <v>125</v>
      </c>
    </row>
    <row r="1790" spans="1:5">
      <c r="A1790" s="437">
        <v>45908</v>
      </c>
      <c r="B1790" s="222" t="s">
        <v>76</v>
      </c>
      <c r="C1790" s="220" t="s">
        <v>1219</v>
      </c>
      <c r="D1790" s="220">
        <v>15</v>
      </c>
      <c r="E1790" s="438" t="s">
        <v>125</v>
      </c>
    </row>
    <row r="1791" spans="1:5">
      <c r="A1791" s="265">
        <v>45908</v>
      </c>
      <c r="B1791" s="343" t="s">
        <v>76</v>
      </c>
      <c r="C1791" s="345" t="s">
        <v>119</v>
      </c>
      <c r="D1791" s="43">
        <v>-15</v>
      </c>
      <c r="E1791" s="230" t="s">
        <v>125</v>
      </c>
    </row>
    <row r="1792" spans="1:5">
      <c r="A1792" s="265">
        <v>45908</v>
      </c>
      <c r="B1792" s="342" t="s">
        <v>919</v>
      </c>
      <c r="C1792" s="345" t="s">
        <v>119</v>
      </c>
      <c r="D1792" s="43">
        <v>-1</v>
      </c>
      <c r="E1792" s="230" t="s">
        <v>125</v>
      </c>
    </row>
    <row r="1793" spans="1:6">
      <c r="A1793" s="265">
        <v>45909</v>
      </c>
      <c r="B1793" s="147" t="s">
        <v>928</v>
      </c>
      <c r="C1793" s="43" t="s">
        <v>678</v>
      </c>
      <c r="D1793" s="33">
        <v>-1</v>
      </c>
      <c r="E1793" s="230" t="s">
        <v>125</v>
      </c>
    </row>
    <row r="1794" spans="1:6">
      <c r="A1794" s="265">
        <v>45909</v>
      </c>
      <c r="B1794" s="344" t="s">
        <v>1147</v>
      </c>
      <c r="C1794" s="345" t="s">
        <v>119</v>
      </c>
      <c r="D1794" s="43">
        <v>-6</v>
      </c>
      <c r="E1794" s="230" t="s">
        <v>125</v>
      </c>
    </row>
    <row r="1796" spans="1:6">
      <c r="A1796" s="346">
        <v>45909</v>
      </c>
      <c r="B1796" s="349" t="s">
        <v>1095</v>
      </c>
      <c r="C1796" s="348" t="s">
        <v>921</v>
      </c>
      <c r="D1796" s="348">
        <v>1</v>
      </c>
      <c r="E1796" s="360" t="s">
        <v>125</v>
      </c>
      <c r="F1796" t="s">
        <v>1240</v>
      </c>
    </row>
    <row r="1797" spans="1:6">
      <c r="A1797" s="346">
        <v>45909</v>
      </c>
      <c r="B1797" s="347" t="s">
        <v>923</v>
      </c>
      <c r="C1797" s="348" t="s">
        <v>921</v>
      </c>
      <c r="D1797" s="348">
        <v>1</v>
      </c>
      <c r="E1797" s="360" t="s">
        <v>125</v>
      </c>
    </row>
    <row r="1798" spans="1:6">
      <c r="A1798" s="346">
        <v>45909</v>
      </c>
      <c r="B1798" s="349" t="s">
        <v>1220</v>
      </c>
      <c r="C1798" s="348" t="s">
        <v>921</v>
      </c>
      <c r="D1798" s="348">
        <v>1</v>
      </c>
      <c r="E1798" s="360" t="s">
        <v>125</v>
      </c>
    </row>
    <row r="1799" spans="1:6">
      <c r="A1799" s="346">
        <v>45909</v>
      </c>
      <c r="B1799" s="347" t="s">
        <v>134</v>
      </c>
      <c r="C1799" s="348" t="s">
        <v>921</v>
      </c>
      <c r="D1799" s="348">
        <v>1</v>
      </c>
      <c r="E1799" s="360" t="s">
        <v>125</v>
      </c>
    </row>
    <row r="1800" spans="1:6">
      <c r="A1800" s="346">
        <v>45909</v>
      </c>
      <c r="B1800" s="350" t="s">
        <v>928</v>
      </c>
      <c r="C1800" s="348" t="s">
        <v>921</v>
      </c>
      <c r="D1800" s="348">
        <v>1</v>
      </c>
      <c r="E1800" s="360" t="s">
        <v>125</v>
      </c>
    </row>
    <row r="1801" spans="1:6">
      <c r="A1801" s="346">
        <v>45909</v>
      </c>
      <c r="B1801" s="347" t="s">
        <v>134</v>
      </c>
      <c r="C1801" s="348" t="s">
        <v>921</v>
      </c>
      <c r="D1801" s="348">
        <v>7</v>
      </c>
      <c r="E1801" s="360" t="s">
        <v>125</v>
      </c>
    </row>
    <row r="1802" spans="1:6">
      <c r="A1802" s="346">
        <v>45909</v>
      </c>
      <c r="B1802" s="349" t="s">
        <v>167</v>
      </c>
      <c r="C1802" s="348" t="s">
        <v>921</v>
      </c>
      <c r="D1802" s="348">
        <v>3</v>
      </c>
      <c r="E1802" s="360" t="s">
        <v>125</v>
      </c>
    </row>
    <row r="1803" spans="1:6">
      <c r="A1803" s="346">
        <v>45909</v>
      </c>
      <c r="B1803" s="349" t="s">
        <v>166</v>
      </c>
      <c r="C1803" s="348" t="s">
        <v>921</v>
      </c>
      <c r="D1803" s="348">
        <v>1</v>
      </c>
      <c r="E1803" s="360" t="s">
        <v>125</v>
      </c>
    </row>
    <row r="1804" spans="1:6">
      <c r="A1804" s="346">
        <v>45909</v>
      </c>
      <c r="B1804" s="349" t="s">
        <v>973</v>
      </c>
      <c r="C1804" s="348" t="s">
        <v>921</v>
      </c>
      <c r="D1804" s="348">
        <v>1</v>
      </c>
      <c r="E1804" s="360" t="s">
        <v>125</v>
      </c>
    </row>
    <row r="1805" spans="1:6">
      <c r="A1805" s="346">
        <v>45909</v>
      </c>
      <c r="B1805" s="349" t="s">
        <v>167</v>
      </c>
      <c r="C1805" s="348" t="s">
        <v>921</v>
      </c>
      <c r="D1805" s="348">
        <v>7</v>
      </c>
      <c r="E1805" s="360" t="s">
        <v>125</v>
      </c>
    </row>
    <row r="1806" spans="1:6">
      <c r="A1806" s="346">
        <v>45909</v>
      </c>
      <c r="B1806" s="349" t="s">
        <v>166</v>
      </c>
      <c r="C1806" s="348" t="s">
        <v>921</v>
      </c>
      <c r="D1806" s="348">
        <v>0</v>
      </c>
      <c r="E1806" s="360" t="s">
        <v>125</v>
      </c>
      <c r="F1806" s="441" t="s">
        <v>1304</v>
      </c>
    </row>
    <row r="1807" spans="1:6">
      <c r="A1807" s="346">
        <v>45909</v>
      </c>
      <c r="B1807" s="349" t="s">
        <v>166</v>
      </c>
      <c r="C1807" s="348" t="s">
        <v>921</v>
      </c>
      <c r="D1807" s="348">
        <v>1</v>
      </c>
      <c r="E1807" s="360" t="s">
        <v>125</v>
      </c>
    </row>
    <row r="1808" spans="1:6">
      <c r="A1808" s="346">
        <v>45909</v>
      </c>
      <c r="B1808" s="349" t="s">
        <v>973</v>
      </c>
      <c r="C1808" s="348" t="s">
        <v>921</v>
      </c>
      <c r="D1808" s="348">
        <v>2</v>
      </c>
      <c r="E1808" s="360" t="s">
        <v>125</v>
      </c>
    </row>
    <row r="1809" spans="1:6">
      <c r="A1809" s="346">
        <v>45909</v>
      </c>
      <c r="B1809" s="349" t="s">
        <v>167</v>
      </c>
      <c r="C1809" s="348" t="s">
        <v>921</v>
      </c>
      <c r="D1809" s="348">
        <v>1</v>
      </c>
      <c r="E1809" s="360" t="s">
        <v>125</v>
      </c>
    </row>
    <row r="1810" spans="1:6">
      <c r="A1810" s="346">
        <v>45909</v>
      </c>
      <c r="B1810" s="350" t="s">
        <v>930</v>
      </c>
      <c r="C1810" s="348" t="s">
        <v>921</v>
      </c>
      <c r="D1810" s="348">
        <v>1</v>
      </c>
      <c r="E1810" s="360" t="s">
        <v>125</v>
      </c>
    </row>
    <row r="1811" spans="1:6">
      <c r="A1811" s="346">
        <v>45909</v>
      </c>
      <c r="B1811" s="349" t="s">
        <v>920</v>
      </c>
      <c r="C1811" s="348" t="s">
        <v>921</v>
      </c>
      <c r="D1811" s="348">
        <v>8</v>
      </c>
      <c r="E1811" s="360" t="s">
        <v>125</v>
      </c>
    </row>
    <row r="1812" spans="1:6">
      <c r="A1812" s="346">
        <v>45909</v>
      </c>
      <c r="B1812" s="349" t="s">
        <v>920</v>
      </c>
      <c r="C1812" s="348" t="s">
        <v>921</v>
      </c>
      <c r="D1812" s="348">
        <v>0</v>
      </c>
      <c r="E1812" s="360" t="s">
        <v>125</v>
      </c>
    </row>
    <row r="1814" spans="1:6">
      <c r="A1814" s="346">
        <v>45909</v>
      </c>
      <c r="B1814" s="347" t="s">
        <v>919</v>
      </c>
      <c r="C1814" s="348" t="s">
        <v>921</v>
      </c>
      <c r="D1814" s="348">
        <v>1</v>
      </c>
      <c r="E1814" s="360" t="s">
        <v>125</v>
      </c>
      <c r="F1814" t="s">
        <v>1241</v>
      </c>
    </row>
    <row r="1815" spans="1:6">
      <c r="A1815" s="346">
        <v>45909</v>
      </c>
      <c r="B1815" s="347" t="s">
        <v>134</v>
      </c>
      <c r="C1815" s="348" t="s">
        <v>921</v>
      </c>
      <c r="D1815" s="348">
        <v>8</v>
      </c>
      <c r="E1815" s="360" t="s">
        <v>125</v>
      </c>
    </row>
    <row r="1816" spans="1:6">
      <c r="A1816" s="346">
        <v>45909</v>
      </c>
      <c r="B1816" s="349" t="s">
        <v>166</v>
      </c>
      <c r="C1816" s="348" t="s">
        <v>921</v>
      </c>
      <c r="D1816" s="348">
        <v>1</v>
      </c>
      <c r="E1816" s="360" t="s">
        <v>125</v>
      </c>
    </row>
    <row r="1817" spans="1:6">
      <c r="A1817" s="346">
        <v>45909</v>
      </c>
      <c r="B1817" s="350" t="s">
        <v>928</v>
      </c>
      <c r="C1817" s="348" t="s">
        <v>921</v>
      </c>
      <c r="D1817" s="348">
        <v>1</v>
      </c>
      <c r="E1817" s="360" t="s">
        <v>125</v>
      </c>
    </row>
    <row r="1818" spans="1:6">
      <c r="A1818" s="346">
        <v>45909</v>
      </c>
      <c r="B1818" s="347" t="s">
        <v>134</v>
      </c>
      <c r="C1818" s="348" t="s">
        <v>921</v>
      </c>
      <c r="D1818" s="348">
        <v>4</v>
      </c>
      <c r="E1818" s="360" t="s">
        <v>125</v>
      </c>
    </row>
    <row r="1819" spans="1:6">
      <c r="A1819" s="346">
        <v>45909</v>
      </c>
      <c r="B1819" s="349" t="s">
        <v>166</v>
      </c>
      <c r="C1819" s="348" t="s">
        <v>921</v>
      </c>
      <c r="D1819" s="348">
        <v>1</v>
      </c>
      <c r="E1819" s="360" t="s">
        <v>125</v>
      </c>
    </row>
    <row r="1820" spans="1:6">
      <c r="A1820" s="346">
        <v>45909</v>
      </c>
      <c r="B1820" s="349" t="s">
        <v>167</v>
      </c>
      <c r="C1820" s="348" t="s">
        <v>921</v>
      </c>
      <c r="D1820" s="348">
        <v>1</v>
      </c>
      <c r="E1820" s="360" t="s">
        <v>125</v>
      </c>
    </row>
    <row r="1821" spans="1:6">
      <c r="A1821" s="346">
        <v>45909</v>
      </c>
      <c r="B1821" s="349" t="s">
        <v>166</v>
      </c>
      <c r="C1821" s="348" t="s">
        <v>921</v>
      </c>
      <c r="D1821" s="348">
        <v>2</v>
      </c>
      <c r="E1821" s="360" t="s">
        <v>125</v>
      </c>
    </row>
    <row r="1822" spans="1:6">
      <c r="A1822" s="346">
        <v>45909</v>
      </c>
      <c r="B1822" s="349" t="s">
        <v>920</v>
      </c>
      <c r="C1822" s="348" t="s">
        <v>921</v>
      </c>
      <c r="D1822" s="348">
        <v>3</v>
      </c>
      <c r="E1822" s="360" t="s">
        <v>125</v>
      </c>
    </row>
    <row r="1823" spans="1:6">
      <c r="A1823" s="346">
        <v>45909</v>
      </c>
      <c r="B1823" s="349" t="s">
        <v>920</v>
      </c>
      <c r="C1823" s="348" t="s">
        <v>921</v>
      </c>
      <c r="D1823" s="348">
        <v>0</v>
      </c>
      <c r="E1823" s="360" t="s">
        <v>125</v>
      </c>
    </row>
    <row r="1824" spans="1:6">
      <c r="A1824" s="346">
        <v>45909</v>
      </c>
      <c r="B1824" s="351" t="s">
        <v>932</v>
      </c>
      <c r="C1824" s="348" t="s">
        <v>921</v>
      </c>
      <c r="D1824" s="348">
        <v>3</v>
      </c>
      <c r="E1824" s="360" t="s">
        <v>125</v>
      </c>
    </row>
    <row r="1826" spans="1:5">
      <c r="A1826" s="323">
        <v>45908</v>
      </c>
      <c r="B1826" s="451" t="s">
        <v>806</v>
      </c>
      <c r="C1826" s="322" t="s">
        <v>682</v>
      </c>
      <c r="D1826" s="322">
        <v>0</v>
      </c>
      <c r="E1826" s="321" t="s">
        <v>125</v>
      </c>
    </row>
    <row r="1827" spans="1:5">
      <c r="A1827" s="323">
        <v>45908</v>
      </c>
      <c r="B1827" s="451" t="s">
        <v>807</v>
      </c>
      <c r="C1827" s="322" t="s">
        <v>682</v>
      </c>
      <c r="D1827" s="322">
        <v>2</v>
      </c>
      <c r="E1827" s="321" t="s">
        <v>125</v>
      </c>
    </row>
    <row r="1828" spans="1:5">
      <c r="A1828" s="323">
        <v>45908</v>
      </c>
      <c r="B1828" s="452" t="s">
        <v>1182</v>
      </c>
      <c r="C1828" s="322" t="s">
        <v>682</v>
      </c>
      <c r="D1828" s="322">
        <v>1</v>
      </c>
      <c r="E1828" s="321" t="s">
        <v>125</v>
      </c>
    </row>
    <row r="1829" spans="1:5">
      <c r="A1829" s="323">
        <v>45908</v>
      </c>
      <c r="B1829" s="453" t="s">
        <v>410</v>
      </c>
      <c r="C1829" s="322" t="s">
        <v>682</v>
      </c>
      <c r="D1829" s="322">
        <v>4</v>
      </c>
      <c r="E1829" s="321" t="s">
        <v>125</v>
      </c>
    </row>
    <row r="1830" spans="1:5">
      <c r="A1830" s="323">
        <v>45908</v>
      </c>
      <c r="B1830" s="453" t="s">
        <v>131</v>
      </c>
      <c r="C1830" s="322" t="s">
        <v>682</v>
      </c>
      <c r="D1830" s="322">
        <v>12</v>
      </c>
      <c r="E1830" s="321" t="s">
        <v>125</v>
      </c>
    </row>
    <row r="1831" spans="1:5">
      <c r="A1831" s="323">
        <v>45908</v>
      </c>
      <c r="B1831" s="453" t="s">
        <v>919</v>
      </c>
      <c r="C1831" s="322" t="s">
        <v>682</v>
      </c>
      <c r="D1831" s="322">
        <v>4</v>
      </c>
      <c r="E1831" s="321" t="s">
        <v>125</v>
      </c>
    </row>
    <row r="1832" spans="1:5">
      <c r="A1832" s="323">
        <v>45908</v>
      </c>
      <c r="B1832" s="453" t="s">
        <v>919</v>
      </c>
      <c r="C1832" s="322" t="s">
        <v>682</v>
      </c>
      <c r="D1832" s="322">
        <v>4</v>
      </c>
      <c r="E1832" s="321" t="s">
        <v>125</v>
      </c>
    </row>
    <row r="1833" spans="1:5">
      <c r="A1833" s="323">
        <v>45908</v>
      </c>
      <c r="B1833" s="453" t="s">
        <v>135</v>
      </c>
      <c r="C1833" s="322" t="s">
        <v>682</v>
      </c>
      <c r="D1833" s="322">
        <v>1</v>
      </c>
      <c r="E1833" s="321" t="s">
        <v>125</v>
      </c>
    </row>
    <row r="1834" spans="1:5">
      <c r="A1834" s="323">
        <v>45908</v>
      </c>
      <c r="B1834" s="453" t="s">
        <v>135</v>
      </c>
      <c r="C1834" s="322" t="s">
        <v>682</v>
      </c>
      <c r="D1834" s="322">
        <v>1</v>
      </c>
      <c r="E1834" s="321" t="s">
        <v>125</v>
      </c>
    </row>
    <row r="1835" spans="1:5">
      <c r="A1835" s="323">
        <v>45908</v>
      </c>
      <c r="B1835" s="453" t="s">
        <v>137</v>
      </c>
      <c r="C1835" s="322" t="s">
        <v>682</v>
      </c>
      <c r="D1835" s="322">
        <v>1</v>
      </c>
      <c r="E1835" s="321" t="s">
        <v>125</v>
      </c>
    </row>
    <row r="1836" spans="1:5">
      <c r="A1836" s="323">
        <v>45908</v>
      </c>
      <c r="B1836" s="451" t="s">
        <v>1152</v>
      </c>
      <c r="C1836" s="322" t="s">
        <v>682</v>
      </c>
      <c r="D1836" s="322">
        <v>1</v>
      </c>
      <c r="E1836" s="321" t="s">
        <v>125</v>
      </c>
    </row>
    <row r="1837" spans="1:5">
      <c r="A1837" s="323">
        <v>45908</v>
      </c>
      <c r="B1837" s="451" t="s">
        <v>1095</v>
      </c>
      <c r="C1837" s="322" t="s">
        <v>682</v>
      </c>
      <c r="D1837" s="322">
        <v>1</v>
      </c>
      <c r="E1837" s="321" t="s">
        <v>125</v>
      </c>
    </row>
    <row r="1838" spans="1:5">
      <c r="A1838" s="323">
        <v>45908</v>
      </c>
      <c r="B1838" s="454" t="s">
        <v>1202</v>
      </c>
      <c r="C1838" s="322" t="s">
        <v>682</v>
      </c>
      <c r="D1838" s="322">
        <v>1</v>
      </c>
      <c r="E1838" s="321" t="s">
        <v>125</v>
      </c>
    </row>
    <row r="1839" spans="1:5">
      <c r="A1839" s="323">
        <v>45908</v>
      </c>
      <c r="B1839" s="453" t="s">
        <v>134</v>
      </c>
      <c r="C1839" s="322" t="s">
        <v>682</v>
      </c>
      <c r="D1839" s="322">
        <v>9</v>
      </c>
      <c r="E1839" s="321" t="s">
        <v>125</v>
      </c>
    </row>
    <row r="1840" spans="1:5">
      <c r="A1840" s="323">
        <v>45908</v>
      </c>
      <c r="B1840" s="455" t="s">
        <v>928</v>
      </c>
      <c r="C1840" s="322" t="s">
        <v>682</v>
      </c>
      <c r="D1840" s="322">
        <v>2</v>
      </c>
      <c r="E1840" s="321" t="s">
        <v>125</v>
      </c>
    </row>
    <row r="1841" spans="1:5">
      <c r="A1841" s="323">
        <v>45908</v>
      </c>
      <c r="B1841" s="453" t="s">
        <v>134</v>
      </c>
      <c r="C1841" s="322" t="s">
        <v>682</v>
      </c>
      <c r="D1841" s="322">
        <v>1</v>
      </c>
      <c r="E1841" s="321" t="s">
        <v>125</v>
      </c>
    </row>
    <row r="1842" spans="1:5">
      <c r="A1842" s="323">
        <v>45908</v>
      </c>
      <c r="B1842" s="451" t="s">
        <v>167</v>
      </c>
      <c r="C1842" s="322" t="s">
        <v>682</v>
      </c>
      <c r="D1842" s="322">
        <v>1</v>
      </c>
      <c r="E1842" s="321" t="s">
        <v>125</v>
      </c>
    </row>
    <row r="1843" spans="1:5">
      <c r="A1843" s="323">
        <v>45908</v>
      </c>
      <c r="B1843" s="451" t="s">
        <v>169</v>
      </c>
      <c r="C1843" s="322" t="s">
        <v>682</v>
      </c>
      <c r="D1843" s="322">
        <v>2</v>
      </c>
      <c r="E1843" s="321" t="s">
        <v>125</v>
      </c>
    </row>
    <row r="1845" spans="1:5">
      <c r="A1845" s="335">
        <v>45910</v>
      </c>
      <c r="B1845" s="342" t="s">
        <v>134</v>
      </c>
      <c r="C1845" s="345" t="s">
        <v>119</v>
      </c>
      <c r="D1845" s="345">
        <v>-6</v>
      </c>
      <c r="E1845" s="230" t="s">
        <v>125</v>
      </c>
    </row>
    <row r="1846" spans="1:5">
      <c r="A1846" s="335">
        <v>45910</v>
      </c>
      <c r="B1846" s="342" t="s">
        <v>134</v>
      </c>
      <c r="C1846" s="345" t="s">
        <v>119</v>
      </c>
      <c r="D1846" s="345">
        <v>-8</v>
      </c>
      <c r="E1846" s="230" t="s">
        <v>125</v>
      </c>
    </row>
    <row r="1847" spans="1:5">
      <c r="A1847" s="335">
        <v>45910</v>
      </c>
      <c r="B1847" s="439" t="s">
        <v>928</v>
      </c>
      <c r="C1847" s="345" t="s">
        <v>119</v>
      </c>
      <c r="D1847" s="345">
        <v>-2</v>
      </c>
      <c r="E1847" s="230" t="s">
        <v>125</v>
      </c>
    </row>
    <row r="1848" spans="1:5">
      <c r="A1848" s="335">
        <v>45910</v>
      </c>
      <c r="B1848" s="343" t="s">
        <v>167</v>
      </c>
      <c r="C1848" s="345" t="s">
        <v>119</v>
      </c>
      <c r="D1848" s="345">
        <v>-2</v>
      </c>
      <c r="E1848" s="230" t="s">
        <v>125</v>
      </c>
    </row>
    <row r="1849" spans="1:5">
      <c r="A1849" s="335">
        <v>45910</v>
      </c>
      <c r="B1849" s="343" t="s">
        <v>166</v>
      </c>
      <c r="C1849" s="345" t="s">
        <v>119</v>
      </c>
      <c r="D1849" s="345">
        <v>-1</v>
      </c>
      <c r="E1849" s="230" t="s">
        <v>125</v>
      </c>
    </row>
    <row r="1850" spans="1:5">
      <c r="A1850" s="335">
        <v>45910</v>
      </c>
      <c r="B1850" s="343" t="s">
        <v>167</v>
      </c>
      <c r="C1850" s="345" t="s">
        <v>119</v>
      </c>
      <c r="D1850" s="345">
        <v>-8</v>
      </c>
      <c r="E1850" s="230" t="s">
        <v>125</v>
      </c>
    </row>
    <row r="1851" spans="1:5">
      <c r="A1851" s="335">
        <v>45910</v>
      </c>
      <c r="B1851" s="343" t="s">
        <v>167</v>
      </c>
      <c r="C1851" s="345" t="s">
        <v>119</v>
      </c>
      <c r="D1851" s="345">
        <v>-3</v>
      </c>
      <c r="E1851" s="230" t="s">
        <v>125</v>
      </c>
    </row>
    <row r="1852" spans="1:5">
      <c r="A1852" s="335">
        <v>45910</v>
      </c>
      <c r="B1852" s="343" t="s">
        <v>166</v>
      </c>
      <c r="C1852" s="345" t="s">
        <v>119</v>
      </c>
      <c r="D1852" s="345">
        <v>-2</v>
      </c>
      <c r="E1852" s="230" t="s">
        <v>125</v>
      </c>
    </row>
    <row r="1853" spans="1:5">
      <c r="A1853" s="335">
        <v>45910</v>
      </c>
      <c r="B1853" s="343" t="s">
        <v>166</v>
      </c>
      <c r="C1853" s="345" t="s">
        <v>119</v>
      </c>
      <c r="D1853" s="345">
        <v>-1</v>
      </c>
      <c r="E1853" s="230" t="s">
        <v>125</v>
      </c>
    </row>
    <row r="1854" spans="1:5">
      <c r="A1854" s="335">
        <v>45910</v>
      </c>
      <c r="B1854" s="343" t="s">
        <v>166</v>
      </c>
      <c r="C1854" s="345" t="s">
        <v>119</v>
      </c>
      <c r="D1854" s="345">
        <v>-2</v>
      </c>
      <c r="E1854" s="230" t="s">
        <v>125</v>
      </c>
    </row>
    <row r="1855" spans="1:5">
      <c r="A1855" s="335">
        <v>45910</v>
      </c>
      <c r="B1855" s="343" t="s">
        <v>973</v>
      </c>
      <c r="C1855" s="345" t="s">
        <v>119</v>
      </c>
      <c r="D1855" s="345">
        <v>-2</v>
      </c>
      <c r="E1855" s="230" t="s">
        <v>125</v>
      </c>
    </row>
    <row r="1856" spans="1:5">
      <c r="A1856" s="335">
        <v>45910</v>
      </c>
      <c r="B1856" s="343" t="s">
        <v>973</v>
      </c>
      <c r="C1856" s="345" t="s">
        <v>119</v>
      </c>
      <c r="D1856" s="345">
        <v>-1</v>
      </c>
      <c r="E1856" s="230" t="s">
        <v>125</v>
      </c>
    </row>
    <row r="1857" spans="1:5">
      <c r="A1857" s="335">
        <v>45910</v>
      </c>
      <c r="B1857" s="343" t="s">
        <v>169</v>
      </c>
      <c r="C1857" s="345" t="s">
        <v>119</v>
      </c>
      <c r="D1857" s="345">
        <v>-2</v>
      </c>
      <c r="E1857" s="230" t="s">
        <v>125</v>
      </c>
    </row>
    <row r="1858" spans="1:5">
      <c r="A1858" s="335">
        <v>45910</v>
      </c>
      <c r="B1858" s="343" t="s">
        <v>1220</v>
      </c>
      <c r="C1858" s="345" t="s">
        <v>119</v>
      </c>
      <c r="D1858" s="345">
        <v>-1</v>
      </c>
      <c r="E1858" s="230" t="s">
        <v>125</v>
      </c>
    </row>
    <row r="1859" spans="1:5">
      <c r="A1859" s="335">
        <v>45910</v>
      </c>
      <c r="B1859" s="342" t="s">
        <v>134</v>
      </c>
      <c r="C1859" s="345" t="s">
        <v>119</v>
      </c>
      <c r="D1859" s="345">
        <v>-2</v>
      </c>
      <c r="E1859" s="230" t="s">
        <v>125</v>
      </c>
    </row>
    <row r="1861" spans="1:5">
      <c r="A1861" s="335">
        <v>45910</v>
      </c>
      <c r="B1861" s="342" t="s">
        <v>134</v>
      </c>
      <c r="C1861" s="345" t="s">
        <v>119</v>
      </c>
      <c r="D1861" s="43">
        <v>-3</v>
      </c>
      <c r="E1861" s="230" t="s">
        <v>125</v>
      </c>
    </row>
    <row r="1862" spans="1:5">
      <c r="A1862" s="335">
        <v>45910</v>
      </c>
      <c r="B1862" s="342" t="s">
        <v>134</v>
      </c>
      <c r="C1862" s="345" t="s">
        <v>119</v>
      </c>
      <c r="D1862" s="43">
        <v>-4</v>
      </c>
      <c r="E1862" s="230" t="s">
        <v>125</v>
      </c>
    </row>
    <row r="1863" spans="1:5">
      <c r="A1863" s="335">
        <v>45910</v>
      </c>
      <c r="B1863" s="439" t="s">
        <v>928</v>
      </c>
      <c r="C1863" s="345" t="s">
        <v>119</v>
      </c>
      <c r="D1863" s="43">
        <v>-2</v>
      </c>
      <c r="E1863" s="230" t="s">
        <v>125</v>
      </c>
    </row>
    <row r="1864" spans="1:5">
      <c r="A1864" s="335">
        <v>45910</v>
      </c>
      <c r="B1864" s="439" t="s">
        <v>928</v>
      </c>
      <c r="C1864" s="345" t="s">
        <v>119</v>
      </c>
      <c r="D1864" s="43">
        <v>-1</v>
      </c>
      <c r="E1864" s="230" t="s">
        <v>125</v>
      </c>
    </row>
    <row r="1865" spans="1:5">
      <c r="A1865" s="335">
        <v>45910</v>
      </c>
      <c r="B1865" s="342" t="s">
        <v>134</v>
      </c>
      <c r="C1865" s="345" t="s">
        <v>119</v>
      </c>
      <c r="D1865" s="43">
        <v>-1</v>
      </c>
      <c r="E1865" s="230" t="s">
        <v>125</v>
      </c>
    </row>
    <row r="1866" spans="1:5">
      <c r="A1866" s="335">
        <v>45910</v>
      </c>
      <c r="B1866" s="342" t="s">
        <v>134</v>
      </c>
      <c r="C1866" s="345" t="s">
        <v>119</v>
      </c>
      <c r="D1866" s="43">
        <v>-1</v>
      </c>
      <c r="E1866" s="230" t="s">
        <v>125</v>
      </c>
    </row>
    <row r="1867" spans="1:5">
      <c r="A1867" s="335">
        <v>45910</v>
      </c>
      <c r="B1867" s="343" t="s">
        <v>167</v>
      </c>
      <c r="C1867" s="345" t="s">
        <v>119</v>
      </c>
      <c r="D1867" s="43">
        <v>-1</v>
      </c>
      <c r="E1867" s="230" t="s">
        <v>125</v>
      </c>
    </row>
    <row r="1869" spans="1:5">
      <c r="A1869" s="335">
        <v>45910</v>
      </c>
      <c r="B1869" s="343" t="s">
        <v>920</v>
      </c>
      <c r="C1869" s="345" t="s">
        <v>119</v>
      </c>
      <c r="D1869" s="345">
        <v>-3</v>
      </c>
      <c r="E1869" s="230" t="s">
        <v>125</v>
      </c>
    </row>
    <row r="1870" spans="1:5">
      <c r="A1870" s="335">
        <v>45910</v>
      </c>
      <c r="B1870" s="343" t="s">
        <v>920</v>
      </c>
      <c r="C1870" s="345" t="s">
        <v>119</v>
      </c>
      <c r="D1870" s="345">
        <v>-9</v>
      </c>
      <c r="E1870" s="230" t="s">
        <v>125</v>
      </c>
    </row>
    <row r="1871" spans="1:5">
      <c r="A1871" s="335">
        <v>45910</v>
      </c>
      <c r="B1871" s="439" t="s">
        <v>930</v>
      </c>
      <c r="C1871" s="345" t="s">
        <v>119</v>
      </c>
      <c r="D1871" s="345">
        <v>-1</v>
      </c>
      <c r="E1871" s="230" t="s">
        <v>125</v>
      </c>
    </row>
    <row r="1872" spans="1:5">
      <c r="A1872" s="335">
        <v>45910</v>
      </c>
      <c r="B1872" s="456" t="s">
        <v>919</v>
      </c>
      <c r="C1872" s="345" t="s">
        <v>119</v>
      </c>
      <c r="D1872" s="345">
        <v>-7</v>
      </c>
      <c r="E1872" s="230" t="s">
        <v>125</v>
      </c>
    </row>
    <row r="1873" spans="1:5">
      <c r="A1873" s="335">
        <v>45910</v>
      </c>
      <c r="B1873" s="342" t="s">
        <v>923</v>
      </c>
      <c r="C1873" s="345" t="s">
        <v>119</v>
      </c>
      <c r="D1873" s="345">
        <v>-1</v>
      </c>
      <c r="E1873" s="230" t="s">
        <v>125</v>
      </c>
    </row>
    <row r="1874" spans="1:5">
      <c r="A1874" s="335">
        <v>45910</v>
      </c>
      <c r="B1874" s="456" t="s">
        <v>135</v>
      </c>
      <c r="C1874" s="345" t="s">
        <v>119</v>
      </c>
      <c r="D1874" s="345">
        <v>-2</v>
      </c>
      <c r="E1874" s="230" t="s">
        <v>125</v>
      </c>
    </row>
    <row r="1875" spans="1:5">
      <c r="A1875" s="335">
        <v>45910</v>
      </c>
      <c r="B1875" s="456" t="s">
        <v>137</v>
      </c>
      <c r="C1875" s="345" t="s">
        <v>119</v>
      </c>
      <c r="D1875" s="345">
        <v>-1</v>
      </c>
      <c r="E1875" s="230" t="s">
        <v>125</v>
      </c>
    </row>
    <row r="1876" spans="1:5">
      <c r="A1876" s="335">
        <v>45910</v>
      </c>
      <c r="B1876" s="457" t="s">
        <v>1095</v>
      </c>
      <c r="C1876" s="345" t="s">
        <v>119</v>
      </c>
      <c r="D1876" s="345">
        <v>-2</v>
      </c>
      <c r="E1876" s="230" t="s">
        <v>125</v>
      </c>
    </row>
    <row r="1877" spans="1:5">
      <c r="A1877" s="335">
        <v>45910</v>
      </c>
      <c r="B1877" s="457" t="s">
        <v>1152</v>
      </c>
      <c r="C1877" s="345" t="s">
        <v>119</v>
      </c>
      <c r="D1877" s="345">
        <v>-1</v>
      </c>
      <c r="E1877" s="230" t="s">
        <v>125</v>
      </c>
    </row>
    <row r="1878" spans="1:5">
      <c r="A1878" s="335">
        <v>45910</v>
      </c>
      <c r="B1878" s="343" t="s">
        <v>1202</v>
      </c>
      <c r="C1878" s="345" t="s">
        <v>119</v>
      </c>
      <c r="D1878" s="345">
        <v>-1</v>
      </c>
      <c r="E1878" s="230" t="s">
        <v>125</v>
      </c>
    </row>
    <row r="1880" spans="1:5">
      <c r="A1880" s="335">
        <v>45910</v>
      </c>
      <c r="B1880" s="93" t="s">
        <v>92</v>
      </c>
      <c r="C1880" s="345" t="s">
        <v>119</v>
      </c>
      <c r="D1880" s="43">
        <v>-2</v>
      </c>
      <c r="E1880" s="230" t="s">
        <v>125</v>
      </c>
    </row>
    <row r="1881" spans="1:5">
      <c r="A1881" s="335">
        <v>45910</v>
      </c>
      <c r="B1881" s="104" t="s">
        <v>932</v>
      </c>
      <c r="C1881" s="345" t="s">
        <v>119</v>
      </c>
      <c r="D1881" s="43">
        <v>-3</v>
      </c>
      <c r="E1881" s="230" t="s">
        <v>125</v>
      </c>
    </row>
    <row r="1883" spans="1:5">
      <c r="A1883" s="335">
        <v>45911</v>
      </c>
      <c r="B1883" s="342" t="s">
        <v>134</v>
      </c>
      <c r="C1883" s="345" t="s">
        <v>119</v>
      </c>
      <c r="D1883" s="43">
        <v>-7</v>
      </c>
      <c r="E1883" s="230" t="s">
        <v>125</v>
      </c>
    </row>
    <row r="1884" spans="1:5">
      <c r="A1884" s="335">
        <v>45911</v>
      </c>
      <c r="B1884" s="84" t="s">
        <v>131</v>
      </c>
      <c r="C1884" s="345" t="s">
        <v>119</v>
      </c>
      <c r="D1884" s="43">
        <v>-13</v>
      </c>
      <c r="E1884" s="230" t="s">
        <v>125</v>
      </c>
    </row>
    <row r="1885" spans="1:5">
      <c r="A1885" s="335">
        <v>45911</v>
      </c>
      <c r="B1885" s="342" t="s">
        <v>134</v>
      </c>
      <c r="C1885" s="43" t="s">
        <v>678</v>
      </c>
      <c r="D1885" s="43">
        <v>-1</v>
      </c>
      <c r="E1885" s="230" t="s">
        <v>125</v>
      </c>
    </row>
    <row r="1886" spans="1:5">
      <c r="A1886" s="335">
        <v>45911</v>
      </c>
      <c r="B1886" s="104" t="s">
        <v>266</v>
      </c>
      <c r="C1886" s="345" t="s">
        <v>119</v>
      </c>
      <c r="D1886" s="43">
        <v>-2</v>
      </c>
      <c r="E1886" s="230" t="s">
        <v>125</v>
      </c>
    </row>
    <row r="1887" spans="1:5">
      <c r="A1887" s="335">
        <v>45911</v>
      </c>
      <c r="B1887" s="93" t="s">
        <v>91</v>
      </c>
      <c r="C1887" s="345" t="s">
        <v>119</v>
      </c>
      <c r="D1887" s="43">
        <v>-1</v>
      </c>
      <c r="E1887" s="230" t="s">
        <v>125</v>
      </c>
    </row>
    <row r="1888" spans="1:5">
      <c r="A1888" s="335">
        <v>45911</v>
      </c>
      <c r="B1888" s="344" t="s">
        <v>1149</v>
      </c>
      <c r="C1888" s="345" t="s">
        <v>119</v>
      </c>
      <c r="D1888" s="43">
        <v>-1</v>
      </c>
      <c r="E1888" s="230" t="s">
        <v>125</v>
      </c>
    </row>
    <row r="1889" spans="1:5">
      <c r="A1889" s="335">
        <v>45911</v>
      </c>
      <c r="B1889" s="342" t="s">
        <v>1186</v>
      </c>
      <c r="C1889" s="345" t="s">
        <v>119</v>
      </c>
      <c r="D1889" s="43">
        <v>-1</v>
      </c>
      <c r="E1889" s="230" t="s">
        <v>125</v>
      </c>
    </row>
    <row r="1891" spans="1:5">
      <c r="A1891" s="330">
        <v>45912</v>
      </c>
      <c r="B1891" s="329" t="s">
        <v>121</v>
      </c>
      <c r="C1891" s="328" t="s">
        <v>49</v>
      </c>
      <c r="D1891" s="328">
        <v>50</v>
      </c>
      <c r="E1891" s="329" t="s">
        <v>125</v>
      </c>
    </row>
    <row r="1892" spans="1:5">
      <c r="A1892" s="330">
        <v>45912</v>
      </c>
      <c r="B1892" s="329" t="s">
        <v>76</v>
      </c>
      <c r="C1892" s="328" t="s">
        <v>49</v>
      </c>
      <c r="D1892" s="328">
        <v>400</v>
      </c>
      <c r="E1892" s="329" t="s">
        <v>125</v>
      </c>
    </row>
    <row r="1894" spans="1:5">
      <c r="A1894" s="272">
        <v>45912</v>
      </c>
      <c r="B1894" s="139" t="s">
        <v>1221</v>
      </c>
      <c r="C1894" s="106" t="s">
        <v>49</v>
      </c>
      <c r="D1894" s="106">
        <v>10</v>
      </c>
      <c r="E1894" s="139" t="s">
        <v>125</v>
      </c>
    </row>
    <row r="1895" spans="1:5">
      <c r="A1895" s="272">
        <v>45912</v>
      </c>
      <c r="B1895" s="139" t="s">
        <v>1222</v>
      </c>
      <c r="C1895" s="106" t="s">
        <v>49</v>
      </c>
      <c r="D1895" s="106">
        <v>10</v>
      </c>
      <c r="E1895" s="139" t="s">
        <v>125</v>
      </c>
    </row>
    <row r="1896" spans="1:5">
      <c r="A1896" s="272">
        <v>45912</v>
      </c>
      <c r="B1896" s="128" t="s">
        <v>882</v>
      </c>
      <c r="C1896" s="106" t="s">
        <v>49</v>
      </c>
      <c r="D1896" s="106">
        <v>5</v>
      </c>
      <c r="E1896" s="139" t="s">
        <v>125</v>
      </c>
    </row>
    <row r="1897" spans="1:5">
      <c r="A1897" s="272">
        <v>45912</v>
      </c>
      <c r="B1897" s="139" t="s">
        <v>1223</v>
      </c>
      <c r="C1897" s="106" t="s">
        <v>49</v>
      </c>
      <c r="D1897" s="106">
        <v>15</v>
      </c>
      <c r="E1897" s="139" t="s">
        <v>125</v>
      </c>
    </row>
    <row r="1898" spans="1:5">
      <c r="A1898" s="272">
        <v>45912</v>
      </c>
      <c r="B1898" s="139" t="s">
        <v>1224</v>
      </c>
      <c r="C1898" s="106" t="s">
        <v>49</v>
      </c>
      <c r="D1898" s="106">
        <v>10</v>
      </c>
      <c r="E1898" s="139" t="s">
        <v>125</v>
      </c>
    </row>
    <row r="1899" spans="1:5">
      <c r="A1899" s="272">
        <v>45912</v>
      </c>
      <c r="B1899" s="128" t="s">
        <v>672</v>
      </c>
      <c r="C1899" s="106" t="s">
        <v>49</v>
      </c>
      <c r="D1899" s="106">
        <v>5</v>
      </c>
      <c r="E1899" s="139" t="s">
        <v>125</v>
      </c>
    </row>
    <row r="1900" spans="1:5">
      <c r="A1900" s="272">
        <v>45912</v>
      </c>
      <c r="B1900" s="128" t="s">
        <v>882</v>
      </c>
      <c r="C1900" s="106" t="s">
        <v>49</v>
      </c>
      <c r="D1900" s="106">
        <v>9</v>
      </c>
      <c r="E1900" s="139" t="s">
        <v>125</v>
      </c>
    </row>
    <row r="1901" spans="1:5">
      <c r="A1901" s="272">
        <v>45912</v>
      </c>
      <c r="B1901" s="139" t="s">
        <v>865</v>
      </c>
      <c r="C1901" s="106" t="s">
        <v>49</v>
      </c>
      <c r="D1901" s="106">
        <v>9</v>
      </c>
      <c r="E1901" s="139" t="s">
        <v>125</v>
      </c>
    </row>
    <row r="1902" spans="1:5">
      <c r="A1902" s="272">
        <v>45912</v>
      </c>
      <c r="B1902" s="128" t="s">
        <v>671</v>
      </c>
      <c r="C1902" s="106" t="s">
        <v>49</v>
      </c>
      <c r="D1902" s="106">
        <v>1</v>
      </c>
      <c r="E1902" s="139" t="s">
        <v>125</v>
      </c>
    </row>
    <row r="1903" spans="1:5">
      <c r="A1903" s="272">
        <v>45912</v>
      </c>
      <c r="B1903" s="233" t="s">
        <v>304</v>
      </c>
      <c r="C1903" s="106" t="s">
        <v>49</v>
      </c>
      <c r="D1903" s="106">
        <v>50</v>
      </c>
      <c r="E1903" s="139" t="s">
        <v>125</v>
      </c>
    </row>
    <row r="1904" spans="1:5">
      <c r="A1904" s="272">
        <v>45912</v>
      </c>
      <c r="B1904" s="128" t="s">
        <v>671</v>
      </c>
      <c r="C1904" s="106" t="s">
        <v>49</v>
      </c>
      <c r="D1904" s="106">
        <v>4</v>
      </c>
      <c r="E1904" s="139" t="s">
        <v>125</v>
      </c>
    </row>
    <row r="1905" spans="1:6">
      <c r="A1905" s="272">
        <v>45912</v>
      </c>
      <c r="B1905" s="234" t="s">
        <v>477</v>
      </c>
      <c r="C1905" s="106" t="s">
        <v>49</v>
      </c>
      <c r="D1905" s="106">
        <v>5</v>
      </c>
      <c r="E1905" s="139" t="s">
        <v>125</v>
      </c>
      <c r="F1905" t="s">
        <v>1227</v>
      </c>
    </row>
    <row r="1906" spans="1:6">
      <c r="A1906" s="272">
        <v>45912</v>
      </c>
      <c r="B1906" s="128" t="s">
        <v>789</v>
      </c>
      <c r="C1906" s="106" t="s">
        <v>49</v>
      </c>
      <c r="D1906" s="106">
        <v>2</v>
      </c>
      <c r="E1906" s="139" t="s">
        <v>125</v>
      </c>
      <c r="F1906" t="s">
        <v>1227</v>
      </c>
    </row>
    <row r="1907" spans="1:6">
      <c r="A1907" s="272">
        <v>45912</v>
      </c>
      <c r="B1907" s="128" t="s">
        <v>881</v>
      </c>
      <c r="C1907" s="106" t="s">
        <v>49</v>
      </c>
      <c r="D1907" s="106">
        <v>20</v>
      </c>
      <c r="E1907" s="139" t="s">
        <v>125</v>
      </c>
      <c r="F1907" t="s">
        <v>1227</v>
      </c>
    </row>
    <row r="1908" spans="1:6">
      <c r="A1908" s="272">
        <v>45912</v>
      </c>
      <c r="B1908" s="128" t="s">
        <v>672</v>
      </c>
      <c r="C1908" s="106" t="s">
        <v>49</v>
      </c>
      <c r="D1908" s="106">
        <v>1</v>
      </c>
      <c r="E1908" s="139" t="s">
        <v>125</v>
      </c>
      <c r="F1908" t="s">
        <v>1227</v>
      </c>
    </row>
    <row r="1910" spans="1:6">
      <c r="A1910" s="265">
        <v>45913</v>
      </c>
      <c r="B1910" s="93" t="s">
        <v>92</v>
      </c>
      <c r="C1910" s="345" t="s">
        <v>119</v>
      </c>
      <c r="D1910" s="43">
        <v>-1</v>
      </c>
      <c r="E1910" s="230" t="s">
        <v>125</v>
      </c>
    </row>
    <row r="1911" spans="1:6">
      <c r="A1911" s="265">
        <v>45913</v>
      </c>
      <c r="B1911" s="343" t="s">
        <v>920</v>
      </c>
      <c r="C1911" s="345" t="s">
        <v>119</v>
      </c>
      <c r="D1911" s="43">
        <v>-3</v>
      </c>
      <c r="E1911" s="230" t="s">
        <v>125</v>
      </c>
    </row>
    <row r="1912" spans="1:6">
      <c r="A1912" s="265">
        <v>45913</v>
      </c>
      <c r="B1912" s="343" t="s">
        <v>920</v>
      </c>
      <c r="C1912" s="345" t="s">
        <v>119</v>
      </c>
      <c r="D1912" s="43">
        <v>-3</v>
      </c>
      <c r="E1912" s="230" t="s">
        <v>125</v>
      </c>
    </row>
    <row r="1913" spans="1:6">
      <c r="A1913" s="265">
        <v>45913</v>
      </c>
      <c r="B1913" s="93" t="s">
        <v>1096</v>
      </c>
      <c r="C1913" s="345" t="s">
        <v>119</v>
      </c>
      <c r="D1913" s="43">
        <v>-1</v>
      </c>
      <c r="E1913" s="230" t="s">
        <v>125</v>
      </c>
    </row>
    <row r="1915" spans="1:6">
      <c r="A1915" s="464">
        <v>45910</v>
      </c>
      <c r="B1915" s="465" t="s">
        <v>154</v>
      </c>
      <c r="C1915" s="466" t="s">
        <v>1231</v>
      </c>
      <c r="D1915" s="466">
        <v>1</v>
      </c>
      <c r="E1915" s="467" t="s">
        <v>125</v>
      </c>
    </row>
    <row r="1916" spans="1:6">
      <c r="A1916" s="464">
        <v>45910</v>
      </c>
      <c r="B1916" s="468" t="s">
        <v>134</v>
      </c>
      <c r="C1916" s="466" t="s">
        <v>1231</v>
      </c>
      <c r="D1916" s="466">
        <v>5</v>
      </c>
      <c r="E1916" s="467" t="s">
        <v>125</v>
      </c>
    </row>
    <row r="1917" spans="1:6">
      <c r="A1917" s="464">
        <v>45910</v>
      </c>
      <c r="B1917" s="468" t="s">
        <v>134</v>
      </c>
      <c r="C1917" s="466" t="s">
        <v>1231</v>
      </c>
      <c r="D1917" s="466">
        <v>1</v>
      </c>
      <c r="E1917" s="467" t="s">
        <v>125</v>
      </c>
    </row>
    <row r="1918" spans="1:6">
      <c r="A1918" s="464">
        <v>45910</v>
      </c>
      <c r="B1918" s="468" t="s">
        <v>134</v>
      </c>
      <c r="C1918" s="466" t="s">
        <v>1231</v>
      </c>
      <c r="D1918" s="466">
        <v>2</v>
      </c>
      <c r="E1918" s="467" t="s">
        <v>125</v>
      </c>
    </row>
    <row r="1919" spans="1:6">
      <c r="A1919" s="464">
        <v>45910</v>
      </c>
      <c r="B1919" s="468" t="s">
        <v>134</v>
      </c>
      <c r="C1919" s="466" t="s">
        <v>1231</v>
      </c>
      <c r="D1919" s="466">
        <v>1</v>
      </c>
      <c r="E1919" s="467" t="s">
        <v>125</v>
      </c>
    </row>
    <row r="1920" spans="1:6">
      <c r="A1920" s="464">
        <v>45910</v>
      </c>
      <c r="B1920" s="465" t="s">
        <v>920</v>
      </c>
      <c r="C1920" s="466" t="s">
        <v>1231</v>
      </c>
      <c r="D1920" s="466">
        <v>1</v>
      </c>
      <c r="E1920" s="467" t="s">
        <v>125</v>
      </c>
    </row>
    <row r="1921" spans="1:5">
      <c r="A1921" s="464">
        <v>45910</v>
      </c>
      <c r="B1921" s="469" t="s">
        <v>919</v>
      </c>
      <c r="C1921" s="466" t="s">
        <v>1231</v>
      </c>
      <c r="D1921" s="466">
        <v>6</v>
      </c>
      <c r="E1921" s="467" t="s">
        <v>125</v>
      </c>
    </row>
    <row r="1922" spans="1:5">
      <c r="A1922" s="464">
        <v>45910</v>
      </c>
      <c r="B1922" s="469" t="s">
        <v>135</v>
      </c>
      <c r="C1922" s="466" t="s">
        <v>1231</v>
      </c>
      <c r="D1922" s="466">
        <v>10</v>
      </c>
      <c r="E1922" s="467" t="s">
        <v>125</v>
      </c>
    </row>
    <row r="1923" spans="1:5">
      <c r="A1923" s="464">
        <v>45910</v>
      </c>
      <c r="B1923" s="470" t="s">
        <v>806</v>
      </c>
      <c r="C1923" s="466" t="s">
        <v>1231</v>
      </c>
      <c r="D1923" s="466">
        <v>1</v>
      </c>
      <c r="E1923" s="467" t="s">
        <v>125</v>
      </c>
    </row>
    <row r="1924" spans="1:5">
      <c r="A1924" s="464">
        <v>45910</v>
      </c>
      <c r="B1924" s="465" t="s">
        <v>1229</v>
      </c>
      <c r="C1924" s="466" t="s">
        <v>1231</v>
      </c>
      <c r="D1924" s="466">
        <v>1</v>
      </c>
      <c r="E1924" s="467" t="s">
        <v>125</v>
      </c>
    </row>
    <row r="1925" spans="1:5">
      <c r="A1925" s="464">
        <v>45910</v>
      </c>
      <c r="B1925" s="465" t="s">
        <v>1230</v>
      </c>
      <c r="C1925" s="466" t="s">
        <v>1231</v>
      </c>
      <c r="D1925" s="466">
        <v>2</v>
      </c>
      <c r="E1925" s="467" t="s">
        <v>125</v>
      </c>
    </row>
    <row r="1927" spans="1:5">
      <c r="A1927" s="471">
        <v>45906</v>
      </c>
      <c r="B1927" s="472" t="s">
        <v>806</v>
      </c>
      <c r="C1927" s="473" t="s">
        <v>1233</v>
      </c>
      <c r="D1927" s="473">
        <v>3</v>
      </c>
      <c r="E1927" s="474" t="s">
        <v>125</v>
      </c>
    </row>
    <row r="1928" spans="1:5">
      <c r="A1928" s="471">
        <v>45906</v>
      </c>
      <c r="B1928" s="475" t="s">
        <v>131</v>
      </c>
      <c r="C1928" s="473" t="s">
        <v>1233</v>
      </c>
      <c r="D1928" s="473">
        <v>2</v>
      </c>
      <c r="E1928" s="474" t="s">
        <v>125</v>
      </c>
    </row>
    <row r="1929" spans="1:5">
      <c r="A1929" s="471">
        <v>45906</v>
      </c>
      <c r="B1929" s="476" t="s">
        <v>134</v>
      </c>
      <c r="C1929" s="473" t="s">
        <v>1233</v>
      </c>
      <c r="D1929" s="473">
        <v>1</v>
      </c>
      <c r="E1929" s="474" t="s">
        <v>125</v>
      </c>
    </row>
    <row r="1930" spans="1:5">
      <c r="A1930" s="471">
        <v>45906</v>
      </c>
      <c r="B1930" s="477" t="s">
        <v>1232</v>
      </c>
      <c r="C1930" s="473" t="s">
        <v>1233</v>
      </c>
      <c r="D1930" s="473">
        <v>1</v>
      </c>
      <c r="E1930" s="474" t="s">
        <v>125</v>
      </c>
    </row>
    <row r="1932" spans="1:5">
      <c r="A1932" s="481">
        <v>45914</v>
      </c>
      <c r="B1932" s="266" t="s">
        <v>919</v>
      </c>
      <c r="C1932" s="261" t="s">
        <v>1235</v>
      </c>
      <c r="D1932" s="261">
        <v>1</v>
      </c>
      <c r="E1932" s="263" t="s">
        <v>125</v>
      </c>
    </row>
    <row r="1933" spans="1:5">
      <c r="A1933" s="481">
        <v>45914</v>
      </c>
      <c r="B1933" s="482" t="s">
        <v>134</v>
      </c>
      <c r="C1933" s="261" t="s">
        <v>1235</v>
      </c>
      <c r="D1933" s="261">
        <v>5</v>
      </c>
      <c r="E1933" s="263" t="s">
        <v>125</v>
      </c>
    </row>
    <row r="1934" spans="1:5">
      <c r="A1934" s="481">
        <v>45914</v>
      </c>
      <c r="B1934" s="482" t="s">
        <v>134</v>
      </c>
      <c r="C1934" s="261" t="s">
        <v>1235</v>
      </c>
      <c r="D1934" s="261">
        <v>4</v>
      </c>
      <c r="E1934" s="263" t="s">
        <v>125</v>
      </c>
    </row>
    <row r="1935" spans="1:5">
      <c r="A1935" s="481">
        <v>45914</v>
      </c>
      <c r="B1935" s="262" t="s">
        <v>169</v>
      </c>
      <c r="C1935" s="261" t="s">
        <v>1235</v>
      </c>
      <c r="D1935" s="261">
        <v>1</v>
      </c>
      <c r="E1935" s="263" t="s">
        <v>125</v>
      </c>
    </row>
    <row r="1937" spans="1:6">
      <c r="A1937" s="335">
        <v>45914</v>
      </c>
      <c r="B1937" s="342" t="s">
        <v>919</v>
      </c>
      <c r="C1937" s="345" t="s">
        <v>119</v>
      </c>
      <c r="D1937" s="345">
        <v>-2</v>
      </c>
      <c r="E1937" s="230" t="s">
        <v>125</v>
      </c>
    </row>
    <row r="1938" spans="1:6">
      <c r="A1938" s="335">
        <v>45914</v>
      </c>
      <c r="B1938" s="342" t="s">
        <v>135</v>
      </c>
      <c r="C1938" s="345" t="s">
        <v>119</v>
      </c>
      <c r="D1938" s="345">
        <v>-4</v>
      </c>
      <c r="E1938" s="230" t="s">
        <v>125</v>
      </c>
    </row>
    <row r="1939" spans="1:6">
      <c r="A1939" s="335">
        <v>45914</v>
      </c>
      <c r="B1939" s="343" t="s">
        <v>1095</v>
      </c>
      <c r="C1939" s="345" t="s">
        <v>119</v>
      </c>
      <c r="D1939" s="345">
        <v>-3</v>
      </c>
      <c r="E1939" s="230" t="s">
        <v>125</v>
      </c>
    </row>
    <row r="1941" spans="1:6">
      <c r="A1941" s="335">
        <v>45914</v>
      </c>
      <c r="B1941" s="93" t="s">
        <v>920</v>
      </c>
      <c r="C1941" s="345" t="s">
        <v>119</v>
      </c>
      <c r="D1941" s="43">
        <v>-2</v>
      </c>
      <c r="E1941" s="230" t="s">
        <v>125</v>
      </c>
      <c r="F1941" t="s">
        <v>1236</v>
      </c>
    </row>
    <row r="1942" spans="1:6">
      <c r="A1942" s="335">
        <v>45914</v>
      </c>
      <c r="B1942" s="93" t="s">
        <v>920</v>
      </c>
      <c r="C1942" s="345" t="s">
        <v>119</v>
      </c>
      <c r="D1942" s="43">
        <v>-3</v>
      </c>
      <c r="E1942" s="230" t="s">
        <v>125</v>
      </c>
      <c r="F1942" t="s">
        <v>1236</v>
      </c>
    </row>
    <row r="1943" spans="1:6">
      <c r="A1943" s="335">
        <v>45914</v>
      </c>
      <c r="B1943" s="147" t="s">
        <v>930</v>
      </c>
      <c r="C1943" s="345" t="s">
        <v>119</v>
      </c>
      <c r="D1943" s="43">
        <v>-1</v>
      </c>
      <c r="E1943" s="230" t="s">
        <v>125</v>
      </c>
      <c r="F1943" t="s">
        <v>1236</v>
      </c>
    </row>
    <row r="1945" spans="1:6">
      <c r="A1945" s="265">
        <v>45915</v>
      </c>
      <c r="B1945" s="84" t="s">
        <v>134</v>
      </c>
      <c r="C1945" s="345" t="s">
        <v>119</v>
      </c>
      <c r="D1945" s="43">
        <v>-5</v>
      </c>
      <c r="E1945" s="230" t="s">
        <v>125</v>
      </c>
    </row>
    <row r="1946" spans="1:6">
      <c r="A1946" s="265">
        <v>45915</v>
      </c>
      <c r="B1946" s="344" t="s">
        <v>934</v>
      </c>
      <c r="C1946" s="345" t="s">
        <v>119</v>
      </c>
      <c r="D1946" s="43">
        <v>-2</v>
      </c>
      <c r="E1946" s="230" t="s">
        <v>125</v>
      </c>
    </row>
    <row r="1948" spans="1:6">
      <c r="A1948" s="265">
        <v>45915</v>
      </c>
      <c r="B1948" s="147" t="s">
        <v>928</v>
      </c>
      <c r="C1948" s="345" t="s">
        <v>119</v>
      </c>
      <c r="D1948" s="43">
        <v>-2</v>
      </c>
      <c r="E1948" s="230" t="s">
        <v>125</v>
      </c>
    </row>
    <row r="1949" spans="1:6">
      <c r="A1949" s="265">
        <v>45915</v>
      </c>
      <c r="B1949" s="84" t="s">
        <v>134</v>
      </c>
      <c r="C1949" s="345" t="s">
        <v>119</v>
      </c>
      <c r="D1949" s="43">
        <v>-1</v>
      </c>
      <c r="E1949" s="230" t="s">
        <v>125</v>
      </c>
    </row>
    <row r="1950" spans="1:6">
      <c r="A1950" s="265">
        <v>45915</v>
      </c>
      <c r="B1950" s="93" t="s">
        <v>166</v>
      </c>
      <c r="C1950" s="345" t="s">
        <v>119</v>
      </c>
      <c r="D1950" s="43">
        <v>-5</v>
      </c>
      <c r="E1950" s="230" t="s">
        <v>125</v>
      </c>
    </row>
    <row r="1951" spans="1:6">
      <c r="A1951" s="265">
        <v>45915</v>
      </c>
      <c r="B1951" s="93" t="s">
        <v>167</v>
      </c>
      <c r="C1951" s="345" t="s">
        <v>119</v>
      </c>
      <c r="D1951" s="43">
        <v>-2</v>
      </c>
      <c r="E1951" s="230" t="s">
        <v>125</v>
      </c>
    </row>
    <row r="1952" spans="1:6">
      <c r="A1952" s="265">
        <v>45915</v>
      </c>
      <c r="B1952" s="84" t="s">
        <v>134</v>
      </c>
      <c r="C1952" s="43" t="s">
        <v>678</v>
      </c>
      <c r="D1952" s="43">
        <v>-1</v>
      </c>
      <c r="E1952" s="230" t="s">
        <v>125</v>
      </c>
    </row>
    <row r="1953" spans="1:6">
      <c r="A1953" s="265">
        <v>45915</v>
      </c>
      <c r="B1953" s="84" t="s">
        <v>134</v>
      </c>
      <c r="C1953" s="43" t="s">
        <v>678</v>
      </c>
      <c r="D1953" s="43">
        <v>-1</v>
      </c>
      <c r="E1953" s="230" t="s">
        <v>125</v>
      </c>
    </row>
    <row r="1955" spans="1:6">
      <c r="A1955" s="265">
        <v>45916</v>
      </c>
      <c r="B1955" s="93" t="s">
        <v>92</v>
      </c>
      <c r="C1955" s="345" t="s">
        <v>119</v>
      </c>
      <c r="D1955" s="43">
        <v>-1</v>
      </c>
      <c r="E1955" s="230" t="s">
        <v>125</v>
      </c>
    </row>
    <row r="1956" spans="1:6">
      <c r="A1956" s="265">
        <v>45916</v>
      </c>
      <c r="B1956" s="92" t="s">
        <v>882</v>
      </c>
      <c r="C1956" s="345" t="s">
        <v>119</v>
      </c>
      <c r="D1956" s="43">
        <v>-5</v>
      </c>
      <c r="E1956" s="230" t="s">
        <v>125</v>
      </c>
    </row>
    <row r="1958" spans="1:6">
      <c r="A1958" s="471">
        <v>45916</v>
      </c>
      <c r="B1958" s="475" t="s">
        <v>134</v>
      </c>
      <c r="C1958" s="473" t="s">
        <v>1238</v>
      </c>
      <c r="D1958" s="473">
        <v>21</v>
      </c>
      <c r="E1958" s="474" t="s">
        <v>125</v>
      </c>
    </row>
    <row r="1959" spans="1:6">
      <c r="A1959" s="471">
        <v>45916</v>
      </c>
      <c r="B1959" s="475" t="s">
        <v>134</v>
      </c>
      <c r="C1959" s="473" t="s">
        <v>1238</v>
      </c>
      <c r="D1959" s="473">
        <v>7</v>
      </c>
      <c r="E1959" s="474" t="s">
        <v>125</v>
      </c>
    </row>
    <row r="1960" spans="1:6">
      <c r="A1960" s="471">
        <v>45916</v>
      </c>
      <c r="B1960" s="477" t="s">
        <v>166</v>
      </c>
      <c r="C1960" s="473" t="s">
        <v>1238</v>
      </c>
      <c r="D1960" s="473">
        <v>19</v>
      </c>
      <c r="E1960" s="474" t="s">
        <v>125</v>
      </c>
    </row>
    <row r="1961" spans="1:6">
      <c r="A1961" s="471">
        <v>45916</v>
      </c>
      <c r="B1961" s="477" t="s">
        <v>166</v>
      </c>
      <c r="C1961" s="473" t="s">
        <v>1238</v>
      </c>
      <c r="D1961" s="473">
        <v>1</v>
      </c>
      <c r="E1961" s="474" t="s">
        <v>125</v>
      </c>
    </row>
    <row r="1962" spans="1:6">
      <c r="A1962" s="471">
        <v>45916</v>
      </c>
      <c r="B1962" s="475" t="s">
        <v>135</v>
      </c>
      <c r="C1962" s="473" t="s">
        <v>1238</v>
      </c>
      <c r="D1962" s="473">
        <v>2</v>
      </c>
      <c r="E1962" s="474" t="s">
        <v>125</v>
      </c>
    </row>
    <row r="1964" spans="1:6">
      <c r="A1964" s="265">
        <v>45917</v>
      </c>
      <c r="B1964" s="93" t="s">
        <v>1223</v>
      </c>
      <c r="C1964" s="345" t="s">
        <v>119</v>
      </c>
      <c r="D1964" s="43">
        <v>-6</v>
      </c>
      <c r="E1964" s="230" t="s">
        <v>125</v>
      </c>
    </row>
    <row r="1965" spans="1:6">
      <c r="A1965" s="265">
        <v>45917</v>
      </c>
      <c r="B1965" s="92" t="s">
        <v>76</v>
      </c>
      <c r="C1965" s="345" t="s">
        <v>119</v>
      </c>
      <c r="D1965" s="43">
        <v>-3</v>
      </c>
      <c r="E1965" s="230" t="s">
        <v>125</v>
      </c>
      <c r="F1965" t="s">
        <v>1243</v>
      </c>
    </row>
    <row r="1966" spans="1:6">
      <c r="A1966" s="265">
        <v>45917</v>
      </c>
      <c r="B1966" s="92" t="s">
        <v>76</v>
      </c>
      <c r="C1966" s="345" t="s">
        <v>119</v>
      </c>
      <c r="D1966" s="43">
        <v>-33</v>
      </c>
      <c r="E1966" s="230" t="s">
        <v>125</v>
      </c>
    </row>
    <row r="1968" spans="1:6">
      <c r="A1968" s="346">
        <v>45914</v>
      </c>
      <c r="B1968" s="349" t="s">
        <v>1096</v>
      </c>
      <c r="C1968" s="348" t="s">
        <v>921</v>
      </c>
      <c r="D1968" s="348">
        <v>1</v>
      </c>
      <c r="E1968" s="360" t="s">
        <v>125</v>
      </c>
      <c r="F1968" t="s">
        <v>1239</v>
      </c>
    </row>
    <row r="1969" spans="1:5">
      <c r="A1969" s="346">
        <v>45914</v>
      </c>
      <c r="B1969" s="349" t="s">
        <v>1095</v>
      </c>
      <c r="C1969" s="348" t="s">
        <v>921</v>
      </c>
      <c r="D1969" s="348">
        <v>3</v>
      </c>
      <c r="E1969" s="360" t="s">
        <v>125</v>
      </c>
    </row>
    <row r="1970" spans="1:5">
      <c r="A1970" s="346">
        <v>45914</v>
      </c>
      <c r="B1970" s="347" t="s">
        <v>135</v>
      </c>
      <c r="C1970" s="348" t="s">
        <v>921</v>
      </c>
      <c r="D1970" s="348">
        <v>4</v>
      </c>
      <c r="E1970" s="360" t="s">
        <v>125</v>
      </c>
    </row>
    <row r="1971" spans="1:5">
      <c r="A1971" s="346">
        <v>45914</v>
      </c>
      <c r="B1971" s="347" t="s">
        <v>919</v>
      </c>
      <c r="C1971" s="348" t="s">
        <v>921</v>
      </c>
      <c r="D1971" s="348">
        <v>2</v>
      </c>
      <c r="E1971" s="360" t="s">
        <v>125</v>
      </c>
    </row>
    <row r="1972" spans="1:5">
      <c r="A1972" s="346">
        <v>45914</v>
      </c>
      <c r="B1972" s="347" t="s">
        <v>134</v>
      </c>
      <c r="C1972" s="348" t="s">
        <v>921</v>
      </c>
      <c r="D1972" s="348">
        <v>5</v>
      </c>
      <c r="E1972" s="360" t="s">
        <v>125</v>
      </c>
    </row>
    <row r="1973" spans="1:5">
      <c r="A1973" s="346">
        <v>45914</v>
      </c>
      <c r="B1973" s="350" t="s">
        <v>928</v>
      </c>
      <c r="C1973" s="348" t="s">
        <v>921</v>
      </c>
      <c r="D1973" s="348">
        <v>2</v>
      </c>
      <c r="E1973" s="360" t="s">
        <v>125</v>
      </c>
    </row>
    <row r="1974" spans="1:5">
      <c r="A1974" s="346">
        <v>45914</v>
      </c>
      <c r="B1974" s="347" t="s">
        <v>134</v>
      </c>
      <c r="C1974" s="348" t="s">
        <v>921</v>
      </c>
      <c r="D1974" s="348">
        <v>2</v>
      </c>
      <c r="E1974" s="360" t="s">
        <v>125</v>
      </c>
    </row>
    <row r="1975" spans="1:5">
      <c r="A1975" s="346">
        <v>45914</v>
      </c>
      <c r="B1975" s="347" t="s">
        <v>134</v>
      </c>
      <c r="C1975" s="348" t="s">
        <v>921</v>
      </c>
      <c r="D1975" s="348">
        <v>1</v>
      </c>
      <c r="E1975" s="360" t="s">
        <v>125</v>
      </c>
    </row>
    <row r="1976" spans="1:5">
      <c r="A1976" s="346">
        <v>45914</v>
      </c>
      <c r="B1976" s="349" t="s">
        <v>167</v>
      </c>
      <c r="C1976" s="348" t="s">
        <v>921</v>
      </c>
      <c r="D1976" s="348">
        <v>1</v>
      </c>
      <c r="E1976" s="360" t="s">
        <v>125</v>
      </c>
    </row>
    <row r="1977" spans="1:5">
      <c r="A1977" s="346">
        <v>45914</v>
      </c>
      <c r="B1977" s="349" t="s">
        <v>166</v>
      </c>
      <c r="C1977" s="348" t="s">
        <v>921</v>
      </c>
      <c r="D1977" s="348">
        <v>2</v>
      </c>
      <c r="E1977" s="360" t="s">
        <v>125</v>
      </c>
    </row>
    <row r="1978" spans="1:5">
      <c r="A1978" s="346">
        <v>45914</v>
      </c>
      <c r="B1978" s="349" t="s">
        <v>167</v>
      </c>
      <c r="C1978" s="348" t="s">
        <v>921</v>
      </c>
      <c r="D1978" s="348">
        <v>1</v>
      </c>
      <c r="E1978" s="360" t="s">
        <v>125</v>
      </c>
    </row>
    <row r="1979" spans="1:5">
      <c r="A1979" s="346">
        <v>45914</v>
      </c>
      <c r="B1979" s="349" t="s">
        <v>166</v>
      </c>
      <c r="C1979" s="348" t="s">
        <v>921</v>
      </c>
      <c r="D1979" s="348">
        <v>1</v>
      </c>
      <c r="E1979" s="360" t="s">
        <v>125</v>
      </c>
    </row>
    <row r="1980" spans="1:5">
      <c r="A1980" s="346">
        <v>45914</v>
      </c>
      <c r="B1980" s="349" t="s">
        <v>166</v>
      </c>
      <c r="C1980" s="348" t="s">
        <v>921</v>
      </c>
      <c r="D1980" s="348">
        <v>1</v>
      </c>
      <c r="E1980" s="360" t="s">
        <v>125</v>
      </c>
    </row>
    <row r="1981" spans="1:5">
      <c r="A1981" s="346">
        <v>45914</v>
      </c>
      <c r="B1981" s="349" t="s">
        <v>166</v>
      </c>
      <c r="C1981" s="348" t="s">
        <v>921</v>
      </c>
      <c r="D1981" s="348">
        <v>1</v>
      </c>
      <c r="E1981" s="360" t="s">
        <v>125</v>
      </c>
    </row>
    <row r="1982" spans="1:5">
      <c r="A1982" s="346">
        <v>45914</v>
      </c>
      <c r="B1982" s="350" t="s">
        <v>930</v>
      </c>
      <c r="C1982" s="348" t="s">
        <v>921</v>
      </c>
      <c r="D1982" s="348">
        <v>1</v>
      </c>
      <c r="E1982" s="360" t="s">
        <v>125</v>
      </c>
    </row>
    <row r="1983" spans="1:5">
      <c r="A1983" s="346">
        <v>45914</v>
      </c>
      <c r="B1983" s="349" t="s">
        <v>920</v>
      </c>
      <c r="C1983" s="348" t="s">
        <v>921</v>
      </c>
      <c r="D1983" s="348">
        <v>10</v>
      </c>
      <c r="E1983" s="360" t="s">
        <v>125</v>
      </c>
    </row>
    <row r="1984" spans="1:5">
      <c r="A1984" s="346">
        <v>45914</v>
      </c>
      <c r="B1984" s="351" t="s">
        <v>932</v>
      </c>
      <c r="C1984" s="348" t="s">
        <v>921</v>
      </c>
      <c r="D1984" s="348">
        <v>2</v>
      </c>
      <c r="E1984" s="360" t="s">
        <v>125</v>
      </c>
    </row>
    <row r="1986" spans="1:6">
      <c r="A1986" s="265">
        <v>45917</v>
      </c>
      <c r="B1986" s="92" t="s">
        <v>76</v>
      </c>
      <c r="C1986" s="345" t="s">
        <v>119</v>
      </c>
      <c r="D1986" s="43">
        <v>-3</v>
      </c>
      <c r="E1986" s="230" t="s">
        <v>125</v>
      </c>
      <c r="F1986" t="s">
        <v>1242</v>
      </c>
    </row>
    <row r="1987" spans="1:6">
      <c r="A1987" s="265">
        <v>45917</v>
      </c>
      <c r="B1987" s="92" t="s">
        <v>76</v>
      </c>
      <c r="C1987" s="345" t="s">
        <v>119</v>
      </c>
      <c r="D1987" s="43">
        <v>-200</v>
      </c>
      <c r="E1987" s="230" t="s">
        <v>125</v>
      </c>
      <c r="F1987" t="s">
        <v>1244</v>
      </c>
    </row>
    <row r="1989" spans="1:6">
      <c r="A1989" s="484">
        <v>45918</v>
      </c>
      <c r="B1989" s="485" t="s">
        <v>1246</v>
      </c>
      <c r="C1989" s="486" t="s">
        <v>1247</v>
      </c>
      <c r="D1989" s="486">
        <v>2</v>
      </c>
      <c r="E1989" s="487" t="s">
        <v>125</v>
      </c>
    </row>
    <row r="1990" spans="1:6">
      <c r="A1990" s="484">
        <v>45918</v>
      </c>
      <c r="B1990" s="485" t="s">
        <v>1246</v>
      </c>
      <c r="C1990" s="486" t="s">
        <v>1247</v>
      </c>
      <c r="D1990" s="486">
        <v>4</v>
      </c>
      <c r="E1990" s="487" t="s">
        <v>125</v>
      </c>
    </row>
    <row r="1992" spans="1:6">
      <c r="A1992" s="265">
        <v>45918</v>
      </c>
      <c r="B1992" s="92" t="s">
        <v>76</v>
      </c>
      <c r="C1992" s="345" t="s">
        <v>119</v>
      </c>
      <c r="D1992" s="43">
        <v>-3</v>
      </c>
      <c r="E1992" s="230" t="s">
        <v>125</v>
      </c>
      <c r="F1992" t="s">
        <v>1242</v>
      </c>
    </row>
    <row r="1993" spans="1:6">
      <c r="A1993" s="265">
        <v>45918</v>
      </c>
      <c r="B1993" s="92" t="s">
        <v>76</v>
      </c>
      <c r="C1993" s="345" t="s">
        <v>119</v>
      </c>
      <c r="D1993" s="43">
        <v>-30</v>
      </c>
      <c r="E1993" s="230" t="s">
        <v>125</v>
      </c>
      <c r="F1993" t="s">
        <v>1248</v>
      </c>
    </row>
    <row r="1994" spans="1:6">
      <c r="A1994" s="265">
        <v>45918</v>
      </c>
      <c r="B1994" s="147" t="s">
        <v>928</v>
      </c>
      <c r="C1994" s="43" t="s">
        <v>678</v>
      </c>
      <c r="D1994" s="33">
        <v>-1</v>
      </c>
      <c r="E1994" s="230" t="s">
        <v>125</v>
      </c>
    </row>
    <row r="1995" spans="1:6">
      <c r="A1995" s="265">
        <v>45919</v>
      </c>
      <c r="B1995" s="92" t="s">
        <v>76</v>
      </c>
      <c r="C1995" s="345" t="s">
        <v>119</v>
      </c>
      <c r="D1995" s="43">
        <v>-20</v>
      </c>
      <c r="E1995" s="230" t="s">
        <v>125</v>
      </c>
    </row>
    <row r="1996" spans="1:6">
      <c r="A1996" s="265">
        <v>45919</v>
      </c>
      <c r="B1996" s="92" t="s">
        <v>76</v>
      </c>
      <c r="C1996" s="345" t="s">
        <v>119</v>
      </c>
      <c r="D1996" s="43">
        <v>-50</v>
      </c>
      <c r="E1996" s="230" t="s">
        <v>125</v>
      </c>
    </row>
    <row r="1998" spans="1:6">
      <c r="A1998" s="265">
        <v>45920</v>
      </c>
      <c r="B1998" s="93" t="s">
        <v>865</v>
      </c>
      <c r="C1998" s="345" t="s">
        <v>119</v>
      </c>
      <c r="D1998" s="43">
        <v>-2</v>
      </c>
      <c r="E1998" s="230" t="s">
        <v>125</v>
      </c>
    </row>
    <row r="2000" spans="1:6">
      <c r="A2000" s="272">
        <v>45920</v>
      </c>
      <c r="B2000" s="139" t="s">
        <v>1246</v>
      </c>
      <c r="C2000" s="106" t="s">
        <v>49</v>
      </c>
      <c r="D2000" s="106">
        <v>28</v>
      </c>
      <c r="E2000" s="94" t="s">
        <v>125</v>
      </c>
    </row>
    <row r="2001" spans="1:5">
      <c r="A2001" s="484">
        <v>45920</v>
      </c>
      <c r="B2001" s="485" t="s">
        <v>1246</v>
      </c>
      <c r="C2001" s="486" t="s">
        <v>1247</v>
      </c>
      <c r="D2001" s="486">
        <v>4</v>
      </c>
      <c r="E2001" s="488" t="s">
        <v>125</v>
      </c>
    </row>
    <row r="2002" spans="1:5">
      <c r="A2002" s="272">
        <v>45920</v>
      </c>
      <c r="B2002" s="139" t="s">
        <v>1249</v>
      </c>
      <c r="C2002" s="106" t="s">
        <v>49</v>
      </c>
      <c r="D2002" s="106">
        <v>6</v>
      </c>
      <c r="E2002" s="94" t="s">
        <v>125</v>
      </c>
    </row>
    <row r="2004" spans="1:5">
      <c r="A2004" s="335">
        <v>45920</v>
      </c>
      <c r="B2004" s="343" t="s">
        <v>1246</v>
      </c>
      <c r="C2004" s="345" t="s">
        <v>119</v>
      </c>
      <c r="D2004" s="345">
        <v>-27</v>
      </c>
      <c r="E2004" s="230" t="s">
        <v>125</v>
      </c>
    </row>
    <row r="2005" spans="1:5">
      <c r="A2005" s="335">
        <v>45920</v>
      </c>
      <c r="B2005" s="343" t="s">
        <v>1249</v>
      </c>
      <c r="C2005" s="345" t="s">
        <v>119</v>
      </c>
      <c r="D2005" s="345">
        <v>-6</v>
      </c>
      <c r="E2005" s="230" t="s">
        <v>125</v>
      </c>
    </row>
    <row r="2006" spans="1:5">
      <c r="A2006" s="335">
        <v>45920</v>
      </c>
      <c r="B2006" s="343" t="s">
        <v>1246</v>
      </c>
      <c r="C2006" s="345" t="s">
        <v>119</v>
      </c>
      <c r="D2006" s="345">
        <v>-4</v>
      </c>
      <c r="E2006" s="230" t="s">
        <v>125</v>
      </c>
    </row>
    <row r="2007" spans="1:5">
      <c r="A2007" s="335">
        <v>45920</v>
      </c>
      <c r="B2007" s="343" t="s">
        <v>1246</v>
      </c>
      <c r="C2007" s="345" t="s">
        <v>119</v>
      </c>
      <c r="D2007" s="345">
        <v>-1</v>
      </c>
      <c r="E2007" s="230" t="s">
        <v>125</v>
      </c>
    </row>
    <row r="2008" spans="1:5">
      <c r="A2008" s="335">
        <v>45920</v>
      </c>
      <c r="B2008" s="93" t="s">
        <v>806</v>
      </c>
      <c r="C2008" s="345" t="s">
        <v>119</v>
      </c>
      <c r="D2008" s="43">
        <v>-2</v>
      </c>
      <c r="E2008" s="230" t="s">
        <v>125</v>
      </c>
    </row>
    <row r="2009" spans="1:5">
      <c r="A2009" s="335">
        <v>45920</v>
      </c>
      <c r="B2009" s="93" t="s">
        <v>807</v>
      </c>
      <c r="C2009" s="345" t="s">
        <v>119</v>
      </c>
      <c r="D2009" s="43">
        <v>-1</v>
      </c>
      <c r="E2009" s="230" t="s">
        <v>125</v>
      </c>
    </row>
    <row r="2010" spans="1:5">
      <c r="A2010" s="335">
        <v>45920</v>
      </c>
      <c r="B2010" s="93" t="s">
        <v>154</v>
      </c>
      <c r="C2010" s="345" t="s">
        <v>119</v>
      </c>
      <c r="D2010" s="43">
        <v>-2</v>
      </c>
      <c r="E2010" s="230" t="s">
        <v>125</v>
      </c>
    </row>
    <row r="2011" spans="1:5">
      <c r="A2011" s="335">
        <v>45920</v>
      </c>
      <c r="B2011" s="93" t="s">
        <v>154</v>
      </c>
      <c r="C2011" s="345" t="s">
        <v>119</v>
      </c>
      <c r="D2011" s="43">
        <v>-4</v>
      </c>
      <c r="E2011" s="230" t="s">
        <v>125</v>
      </c>
    </row>
    <row r="2012" spans="1:5">
      <c r="A2012" s="335">
        <v>45920</v>
      </c>
      <c r="B2012" s="93" t="s">
        <v>383</v>
      </c>
      <c r="C2012" s="345" t="s">
        <v>119</v>
      </c>
      <c r="D2012" s="43">
        <v>-1</v>
      </c>
      <c r="E2012" s="230" t="s">
        <v>125</v>
      </c>
    </row>
    <row r="2013" spans="1:5">
      <c r="A2013" s="335">
        <v>45920</v>
      </c>
      <c r="B2013" s="92" t="s">
        <v>84</v>
      </c>
      <c r="C2013" s="345" t="s">
        <v>119</v>
      </c>
      <c r="D2013" s="43">
        <v>-2</v>
      </c>
      <c r="E2013" s="230" t="s">
        <v>125</v>
      </c>
    </row>
    <row r="2014" spans="1:5">
      <c r="A2014" s="335">
        <v>45920</v>
      </c>
      <c r="B2014" s="93" t="s">
        <v>807</v>
      </c>
      <c r="C2014" s="345" t="s">
        <v>119</v>
      </c>
      <c r="D2014" s="43">
        <v>-2</v>
      </c>
      <c r="E2014" s="230" t="s">
        <v>125</v>
      </c>
    </row>
    <row r="2015" spans="1:5">
      <c r="A2015" s="335">
        <v>45920</v>
      </c>
      <c r="B2015" s="93" t="s">
        <v>154</v>
      </c>
      <c r="C2015" s="345" t="s">
        <v>119</v>
      </c>
      <c r="D2015" s="43">
        <v>-3</v>
      </c>
      <c r="E2015" s="230" t="s">
        <v>125</v>
      </c>
    </row>
    <row r="2017" spans="1:5">
      <c r="A2017" s="265">
        <v>45921</v>
      </c>
      <c r="B2017" s="84" t="s">
        <v>410</v>
      </c>
      <c r="C2017" s="345" t="s">
        <v>119</v>
      </c>
      <c r="D2017" s="43">
        <v>-3</v>
      </c>
      <c r="E2017" s="230" t="s">
        <v>125</v>
      </c>
    </row>
    <row r="2019" spans="1:5">
      <c r="A2019" s="265">
        <v>45922</v>
      </c>
      <c r="B2019" s="93" t="s">
        <v>92</v>
      </c>
      <c r="C2019" s="345" t="s">
        <v>119</v>
      </c>
      <c r="D2019" s="43">
        <v>-1</v>
      </c>
      <c r="E2019" s="230" t="s">
        <v>125</v>
      </c>
    </row>
    <row r="2020" spans="1:5">
      <c r="A2020" s="265">
        <v>45922</v>
      </c>
      <c r="B2020" s="93" t="s">
        <v>1095</v>
      </c>
      <c r="C2020" s="345" t="s">
        <v>119</v>
      </c>
      <c r="D2020" s="43">
        <v>-1</v>
      </c>
      <c r="E2020" s="230" t="s">
        <v>125</v>
      </c>
    </row>
    <row r="2021" spans="1:5">
      <c r="A2021" s="265">
        <v>45922</v>
      </c>
      <c r="B2021" s="84" t="s">
        <v>919</v>
      </c>
      <c r="C2021" s="345" t="s">
        <v>119</v>
      </c>
      <c r="D2021" s="43">
        <v>-1</v>
      </c>
      <c r="E2021" s="230" t="s">
        <v>125</v>
      </c>
    </row>
    <row r="2022" spans="1:5">
      <c r="A2022" s="265">
        <v>45922</v>
      </c>
      <c r="B2022" s="84" t="s">
        <v>135</v>
      </c>
      <c r="C2022" s="345" t="s">
        <v>119</v>
      </c>
      <c r="D2022" s="43">
        <v>-1</v>
      </c>
      <c r="E2022" s="230" t="s">
        <v>125</v>
      </c>
    </row>
    <row r="2023" spans="1:5">
      <c r="A2023" s="265">
        <v>45922</v>
      </c>
      <c r="B2023" s="93" t="s">
        <v>1095</v>
      </c>
      <c r="C2023" s="345" t="s">
        <v>119</v>
      </c>
      <c r="D2023" s="43">
        <v>-1</v>
      </c>
      <c r="E2023" s="230" t="s">
        <v>125</v>
      </c>
    </row>
    <row r="2024" spans="1:5">
      <c r="A2024" s="265">
        <v>45922</v>
      </c>
      <c r="B2024" s="92" t="s">
        <v>76</v>
      </c>
      <c r="C2024" s="345" t="s">
        <v>119</v>
      </c>
      <c r="D2024" s="43">
        <v>-2</v>
      </c>
      <c r="E2024" s="230" t="s">
        <v>125</v>
      </c>
    </row>
    <row r="2025" spans="1:5">
      <c r="A2025" s="265">
        <v>45923</v>
      </c>
      <c r="B2025" s="84" t="s">
        <v>134</v>
      </c>
      <c r="C2025" s="345" t="s">
        <v>119</v>
      </c>
      <c r="D2025" s="43">
        <v>-4</v>
      </c>
      <c r="E2025" s="230" t="s">
        <v>125</v>
      </c>
    </row>
    <row r="2026" spans="1:5">
      <c r="A2026" s="265">
        <v>45923</v>
      </c>
      <c r="B2026" s="93" t="s">
        <v>167</v>
      </c>
      <c r="C2026" s="345" t="s">
        <v>119</v>
      </c>
      <c r="D2026" s="43">
        <v>-4</v>
      </c>
      <c r="E2026" s="230" t="s">
        <v>125</v>
      </c>
    </row>
    <row r="2027" spans="1:5">
      <c r="A2027" s="265">
        <v>45923</v>
      </c>
      <c r="B2027" s="93" t="s">
        <v>166</v>
      </c>
      <c r="C2027" s="345" t="s">
        <v>119</v>
      </c>
      <c r="D2027" s="43">
        <v>-1</v>
      </c>
      <c r="E2027" s="230" t="s">
        <v>125</v>
      </c>
    </row>
    <row r="2028" spans="1:5">
      <c r="A2028" s="265">
        <v>45923</v>
      </c>
      <c r="B2028" s="84" t="s">
        <v>134</v>
      </c>
      <c r="C2028" s="345" t="s">
        <v>119</v>
      </c>
      <c r="D2028" s="43">
        <v>-2</v>
      </c>
      <c r="E2028" s="230" t="s">
        <v>125</v>
      </c>
    </row>
    <row r="2029" spans="1:5">
      <c r="A2029" s="265">
        <v>45923</v>
      </c>
      <c r="B2029" s="104" t="s">
        <v>932</v>
      </c>
      <c r="C2029" s="345" t="s">
        <v>119</v>
      </c>
      <c r="D2029" s="43">
        <v>-8</v>
      </c>
      <c r="E2029" s="230" t="s">
        <v>125</v>
      </c>
    </row>
    <row r="2030" spans="1:5">
      <c r="A2030" s="265">
        <v>45923</v>
      </c>
      <c r="B2030" s="84" t="s">
        <v>134</v>
      </c>
      <c r="C2030" s="345" t="s">
        <v>119</v>
      </c>
      <c r="D2030" s="43">
        <v>-7</v>
      </c>
      <c r="E2030" s="230" t="s">
        <v>125</v>
      </c>
    </row>
    <row r="2031" spans="1:5">
      <c r="A2031" s="265">
        <v>45923</v>
      </c>
      <c r="B2031" s="84" t="s">
        <v>134</v>
      </c>
      <c r="C2031" s="345" t="s">
        <v>119</v>
      </c>
      <c r="D2031" s="43">
        <v>-3</v>
      </c>
      <c r="E2031" s="230" t="s">
        <v>125</v>
      </c>
    </row>
    <row r="2032" spans="1:5">
      <c r="A2032" s="265">
        <v>45923</v>
      </c>
      <c r="B2032" s="93" t="s">
        <v>1097</v>
      </c>
      <c r="C2032" s="345" t="s">
        <v>119</v>
      </c>
      <c r="D2032" s="43">
        <v>-1</v>
      </c>
      <c r="E2032" s="230" t="s">
        <v>125</v>
      </c>
    </row>
    <row r="2033" spans="1:6">
      <c r="A2033" s="265">
        <v>45923</v>
      </c>
      <c r="B2033" s="92" t="s">
        <v>76</v>
      </c>
      <c r="C2033" s="345" t="s">
        <v>119</v>
      </c>
      <c r="D2033" s="43">
        <v>-150</v>
      </c>
      <c r="E2033" s="230" t="s">
        <v>125</v>
      </c>
      <c r="F2033" t="s">
        <v>1255</v>
      </c>
    </row>
    <row r="2034" spans="1:6">
      <c r="A2034" s="265">
        <v>45923</v>
      </c>
      <c r="B2034" s="92" t="s">
        <v>76</v>
      </c>
      <c r="C2034" s="345" t="s">
        <v>119</v>
      </c>
      <c r="D2034" s="43">
        <v>-5</v>
      </c>
      <c r="E2034" s="230" t="s">
        <v>125</v>
      </c>
    </row>
    <row r="2036" spans="1:6">
      <c r="A2036" s="437">
        <v>45924</v>
      </c>
      <c r="B2036" s="222" t="s">
        <v>1246</v>
      </c>
      <c r="C2036" s="220" t="s">
        <v>1256</v>
      </c>
      <c r="D2036" s="220">
        <v>3</v>
      </c>
      <c r="E2036" s="438" t="s">
        <v>125</v>
      </c>
    </row>
    <row r="2038" spans="1:6">
      <c r="A2038" s="265">
        <v>45924</v>
      </c>
      <c r="B2038" s="92" t="s">
        <v>76</v>
      </c>
      <c r="C2038" s="345" t="s">
        <v>119</v>
      </c>
      <c r="D2038" s="43">
        <v>-5</v>
      </c>
      <c r="E2038" s="230" t="s">
        <v>125</v>
      </c>
    </row>
    <row r="2040" spans="1:6">
      <c r="A2040" s="265">
        <v>45925</v>
      </c>
      <c r="B2040" s="92" t="s">
        <v>76</v>
      </c>
      <c r="C2040" s="345" t="s">
        <v>119</v>
      </c>
      <c r="D2040" s="43">
        <v>-20</v>
      </c>
      <c r="E2040" s="230" t="s">
        <v>125</v>
      </c>
    </row>
    <row r="2041" spans="1:6">
      <c r="A2041" s="265">
        <v>45925</v>
      </c>
      <c r="B2041" s="342" t="s">
        <v>477</v>
      </c>
      <c r="C2041" s="345" t="s">
        <v>119</v>
      </c>
      <c r="D2041" s="43">
        <v>-2</v>
      </c>
      <c r="E2041" s="230" t="s">
        <v>125</v>
      </c>
    </row>
    <row r="2043" spans="1:6">
      <c r="A2043" s="346">
        <v>45926</v>
      </c>
      <c r="B2043" s="347" t="s">
        <v>134</v>
      </c>
      <c r="C2043" s="348" t="s">
        <v>921</v>
      </c>
      <c r="D2043" s="348">
        <v>2</v>
      </c>
      <c r="E2043" s="360" t="s">
        <v>125</v>
      </c>
      <c r="F2043" t="s">
        <v>1257</v>
      </c>
    </row>
    <row r="2044" spans="1:6">
      <c r="A2044" s="346">
        <v>45926</v>
      </c>
      <c r="B2044" s="347" t="s">
        <v>134</v>
      </c>
      <c r="C2044" s="348" t="s">
        <v>921</v>
      </c>
      <c r="D2044" s="348">
        <v>3</v>
      </c>
      <c r="E2044" s="360" t="s">
        <v>125</v>
      </c>
    </row>
    <row r="2045" spans="1:6">
      <c r="A2045" s="346">
        <v>45926</v>
      </c>
      <c r="B2045" s="347" t="s">
        <v>134</v>
      </c>
      <c r="C2045" s="348" t="s">
        <v>921</v>
      </c>
      <c r="D2045" s="348">
        <v>7</v>
      </c>
      <c r="E2045" s="360" t="s">
        <v>125</v>
      </c>
    </row>
    <row r="2046" spans="1:6">
      <c r="A2046" s="346">
        <v>45926</v>
      </c>
      <c r="B2046" s="347" t="s">
        <v>134</v>
      </c>
      <c r="C2046" s="348" t="s">
        <v>921</v>
      </c>
      <c r="D2046" s="348">
        <v>4</v>
      </c>
      <c r="E2046" s="360" t="s">
        <v>125</v>
      </c>
    </row>
    <row r="2047" spans="1:6">
      <c r="A2047" s="346">
        <v>45926</v>
      </c>
      <c r="B2047" s="349" t="s">
        <v>166</v>
      </c>
      <c r="C2047" s="348" t="s">
        <v>921</v>
      </c>
      <c r="D2047" s="348">
        <v>1</v>
      </c>
      <c r="E2047" s="360" t="s">
        <v>125</v>
      </c>
    </row>
    <row r="2048" spans="1:6">
      <c r="A2048" s="346">
        <v>45926</v>
      </c>
      <c r="B2048" s="349" t="s">
        <v>167</v>
      </c>
      <c r="C2048" s="348" t="s">
        <v>921</v>
      </c>
      <c r="D2048" s="348">
        <v>4</v>
      </c>
      <c r="E2048" s="360" t="s">
        <v>125</v>
      </c>
    </row>
    <row r="2049" spans="1:6">
      <c r="A2049" s="346">
        <v>45926</v>
      </c>
      <c r="B2049" s="349" t="s">
        <v>1176</v>
      </c>
      <c r="C2049" s="348" t="s">
        <v>921</v>
      </c>
      <c r="D2049" s="348">
        <v>1</v>
      </c>
      <c r="E2049" s="360" t="s">
        <v>125</v>
      </c>
    </row>
    <row r="2050" spans="1:6">
      <c r="A2050" s="346">
        <v>45926</v>
      </c>
      <c r="B2050" s="351" t="s">
        <v>932</v>
      </c>
      <c r="C2050" s="348" t="s">
        <v>921</v>
      </c>
      <c r="D2050" s="348">
        <v>8</v>
      </c>
      <c r="E2050" s="360" t="s">
        <v>125</v>
      </c>
    </row>
    <row r="2051" spans="1:6">
      <c r="A2051" s="346">
        <v>45926</v>
      </c>
      <c r="B2051" s="349" t="s">
        <v>1097</v>
      </c>
      <c r="C2051" s="348" t="s">
        <v>921</v>
      </c>
      <c r="D2051" s="348">
        <v>1</v>
      </c>
      <c r="E2051" s="360" t="s">
        <v>125</v>
      </c>
    </row>
    <row r="2052" spans="1:6">
      <c r="A2052" s="346">
        <v>45926</v>
      </c>
      <c r="B2052" s="349" t="s">
        <v>1095</v>
      </c>
      <c r="C2052" s="348" t="s">
        <v>921</v>
      </c>
      <c r="D2052" s="348">
        <v>2</v>
      </c>
      <c r="E2052" s="360" t="s">
        <v>125</v>
      </c>
    </row>
    <row r="2053" spans="1:6">
      <c r="A2053" s="346">
        <v>45926</v>
      </c>
      <c r="B2053" s="347" t="s">
        <v>135</v>
      </c>
      <c r="C2053" s="348" t="s">
        <v>921</v>
      </c>
      <c r="D2053" s="348">
        <v>1</v>
      </c>
      <c r="E2053" s="360" t="s">
        <v>125</v>
      </c>
    </row>
    <row r="2054" spans="1:6">
      <c r="A2054" s="346">
        <v>45926</v>
      </c>
      <c r="B2054" s="347" t="s">
        <v>919</v>
      </c>
      <c r="C2054" s="348" t="s">
        <v>921</v>
      </c>
      <c r="D2054" s="348">
        <v>1</v>
      </c>
      <c r="E2054" s="360" t="s">
        <v>125</v>
      </c>
    </row>
    <row r="2056" spans="1:6">
      <c r="A2056" s="346">
        <v>45926</v>
      </c>
      <c r="B2056" s="349" t="s">
        <v>1095</v>
      </c>
      <c r="C2056" s="348" t="s">
        <v>921</v>
      </c>
      <c r="D2056" s="348">
        <v>1</v>
      </c>
      <c r="E2056" s="360" t="s">
        <v>125</v>
      </c>
      <c r="F2056" t="s">
        <v>1258</v>
      </c>
    </row>
    <row r="2057" spans="1:6">
      <c r="A2057" s="346">
        <v>45926</v>
      </c>
      <c r="B2057" s="347" t="s">
        <v>135</v>
      </c>
      <c r="C2057" s="348" t="s">
        <v>921</v>
      </c>
      <c r="D2057" s="348">
        <v>1</v>
      </c>
      <c r="E2057" s="360" t="s">
        <v>125</v>
      </c>
    </row>
    <row r="2058" spans="1:6">
      <c r="A2058" s="346">
        <v>45926</v>
      </c>
      <c r="B2058" s="347" t="s">
        <v>919</v>
      </c>
      <c r="C2058" s="348" t="s">
        <v>921</v>
      </c>
      <c r="D2058" s="348">
        <v>1</v>
      </c>
      <c r="E2058" s="360" t="s">
        <v>125</v>
      </c>
    </row>
    <row r="2059" spans="1:6">
      <c r="A2059" s="346">
        <v>45926</v>
      </c>
      <c r="B2059" s="347" t="s">
        <v>134</v>
      </c>
      <c r="C2059" s="348" t="s">
        <v>921</v>
      </c>
      <c r="D2059" s="348">
        <v>1</v>
      </c>
      <c r="E2059" s="360" t="s">
        <v>125</v>
      </c>
    </row>
    <row r="2060" spans="1:6">
      <c r="A2060" s="346">
        <v>45926</v>
      </c>
      <c r="B2060" s="347" t="s">
        <v>134</v>
      </c>
      <c r="C2060" s="348" t="s">
        <v>921</v>
      </c>
      <c r="D2060" s="348">
        <v>6</v>
      </c>
      <c r="E2060" s="360" t="s">
        <v>125</v>
      </c>
    </row>
    <row r="2061" spans="1:6">
      <c r="A2061" s="346">
        <v>45926</v>
      </c>
      <c r="B2061" s="350" t="s">
        <v>928</v>
      </c>
      <c r="C2061" s="348" t="s">
        <v>921</v>
      </c>
      <c r="D2061" s="348">
        <v>1</v>
      </c>
      <c r="E2061" s="360" t="s">
        <v>125</v>
      </c>
    </row>
    <row r="2062" spans="1:6">
      <c r="A2062" s="346">
        <v>45926</v>
      </c>
      <c r="B2062" s="349" t="s">
        <v>167</v>
      </c>
      <c r="C2062" s="348" t="s">
        <v>921</v>
      </c>
      <c r="D2062" s="348">
        <v>3</v>
      </c>
      <c r="E2062" s="360" t="s">
        <v>125</v>
      </c>
    </row>
    <row r="2063" spans="1:6">
      <c r="A2063" s="346">
        <v>45926</v>
      </c>
      <c r="B2063" s="349" t="s">
        <v>167</v>
      </c>
      <c r="C2063" s="348" t="s">
        <v>921</v>
      </c>
      <c r="D2063" s="348">
        <v>2</v>
      </c>
      <c r="E2063" s="360" t="s">
        <v>125</v>
      </c>
    </row>
    <row r="2064" spans="1:6">
      <c r="A2064" s="346">
        <v>45926</v>
      </c>
      <c r="B2064" s="349" t="s">
        <v>166</v>
      </c>
      <c r="C2064" s="348" t="s">
        <v>921</v>
      </c>
      <c r="D2064" s="348">
        <v>1</v>
      </c>
      <c r="E2064" s="360" t="s">
        <v>125</v>
      </c>
    </row>
    <row r="2065" spans="1:6">
      <c r="A2065" s="346">
        <v>45926</v>
      </c>
      <c r="B2065" s="350" t="s">
        <v>931</v>
      </c>
      <c r="C2065" s="348" t="s">
        <v>921</v>
      </c>
      <c r="D2065" s="348">
        <v>2</v>
      </c>
      <c r="E2065" s="360" t="s">
        <v>125</v>
      </c>
    </row>
    <row r="2066" spans="1:6">
      <c r="A2066" s="346">
        <v>45926</v>
      </c>
      <c r="B2066" s="349" t="s">
        <v>920</v>
      </c>
      <c r="C2066" s="348" t="s">
        <v>921</v>
      </c>
      <c r="D2066" s="348">
        <v>3</v>
      </c>
      <c r="E2066" s="360" t="s">
        <v>125</v>
      </c>
    </row>
    <row r="2068" spans="1:6">
      <c r="A2068" s="346">
        <v>45926</v>
      </c>
      <c r="B2068" s="349" t="s">
        <v>1096</v>
      </c>
      <c r="C2068" s="348" t="s">
        <v>921</v>
      </c>
      <c r="D2068" s="348">
        <v>1</v>
      </c>
      <c r="E2068" s="360" t="s">
        <v>125</v>
      </c>
      <c r="F2068" t="s">
        <v>1260</v>
      </c>
    </row>
    <row r="2069" spans="1:6">
      <c r="A2069" s="346">
        <v>45926</v>
      </c>
      <c r="B2069" s="427" t="s">
        <v>1259</v>
      </c>
      <c r="C2069" s="348" t="s">
        <v>921</v>
      </c>
      <c r="D2069" s="348">
        <v>1</v>
      </c>
      <c r="E2069" s="360" t="s">
        <v>125</v>
      </c>
    </row>
    <row r="2070" spans="1:6">
      <c r="A2070" s="346">
        <v>45926</v>
      </c>
      <c r="B2070" s="349" t="s">
        <v>976</v>
      </c>
      <c r="C2070" s="348" t="s">
        <v>921</v>
      </c>
      <c r="D2070" s="348">
        <v>2</v>
      </c>
      <c r="E2070" s="360" t="s">
        <v>125</v>
      </c>
    </row>
    <row r="2071" spans="1:6">
      <c r="A2071" s="346">
        <v>45926</v>
      </c>
      <c r="B2071" s="349" t="s">
        <v>1152</v>
      </c>
      <c r="C2071" s="348" t="s">
        <v>921</v>
      </c>
      <c r="D2071" s="348">
        <v>2</v>
      </c>
      <c r="E2071" s="360" t="s">
        <v>125</v>
      </c>
    </row>
    <row r="2072" spans="1:6">
      <c r="A2072" s="346">
        <v>45926</v>
      </c>
      <c r="B2072" s="347" t="s">
        <v>919</v>
      </c>
      <c r="C2072" s="348" t="s">
        <v>921</v>
      </c>
      <c r="D2072" s="348">
        <v>2</v>
      </c>
      <c r="E2072" s="360" t="s">
        <v>125</v>
      </c>
    </row>
    <row r="2073" spans="1:6">
      <c r="A2073" s="346">
        <v>45926</v>
      </c>
      <c r="B2073" s="347" t="s">
        <v>923</v>
      </c>
      <c r="C2073" s="348" t="s">
        <v>921</v>
      </c>
      <c r="D2073" s="348">
        <v>1</v>
      </c>
      <c r="E2073" s="360" t="s">
        <v>125</v>
      </c>
    </row>
    <row r="2074" spans="1:6">
      <c r="A2074" s="346">
        <v>45926</v>
      </c>
      <c r="B2074" s="347" t="s">
        <v>134</v>
      </c>
      <c r="C2074" s="348" t="s">
        <v>921</v>
      </c>
      <c r="D2074" s="348">
        <v>2</v>
      </c>
      <c r="E2074" s="360" t="s">
        <v>125</v>
      </c>
    </row>
    <row r="2075" spans="1:6">
      <c r="A2075" s="346">
        <v>45926</v>
      </c>
      <c r="B2075" s="347" t="s">
        <v>134</v>
      </c>
      <c r="C2075" s="348" t="s">
        <v>921</v>
      </c>
      <c r="D2075" s="348">
        <v>5</v>
      </c>
      <c r="E2075" s="360" t="s">
        <v>125</v>
      </c>
    </row>
    <row r="2076" spans="1:6">
      <c r="A2076" s="346">
        <v>45926</v>
      </c>
      <c r="B2076" s="347" t="s">
        <v>134</v>
      </c>
      <c r="C2076" s="348" t="s">
        <v>921</v>
      </c>
      <c r="D2076" s="348">
        <v>3</v>
      </c>
      <c r="E2076" s="360" t="s">
        <v>125</v>
      </c>
    </row>
    <row r="2077" spans="1:6">
      <c r="A2077" s="346">
        <v>45926</v>
      </c>
      <c r="B2077" s="349" t="s">
        <v>166</v>
      </c>
      <c r="C2077" s="348" t="s">
        <v>921</v>
      </c>
      <c r="D2077" s="348">
        <v>2</v>
      </c>
      <c r="E2077" s="360" t="s">
        <v>125</v>
      </c>
    </row>
    <row r="2078" spans="1:6">
      <c r="A2078" s="346">
        <v>45926</v>
      </c>
      <c r="B2078" s="349" t="s">
        <v>167</v>
      </c>
      <c r="C2078" s="348" t="s">
        <v>921</v>
      </c>
      <c r="D2078" s="348">
        <v>1</v>
      </c>
      <c r="E2078" s="360" t="s">
        <v>125</v>
      </c>
      <c r="F2078" t="s">
        <v>1276</v>
      </c>
    </row>
    <row r="2079" spans="1:6">
      <c r="A2079" s="346">
        <v>45926</v>
      </c>
      <c r="B2079" s="349" t="s">
        <v>166</v>
      </c>
      <c r="C2079" s="348" t="s">
        <v>921</v>
      </c>
      <c r="D2079" s="348">
        <v>2</v>
      </c>
      <c r="E2079" s="360" t="s">
        <v>125</v>
      </c>
    </row>
    <row r="2080" spans="1:6">
      <c r="A2080" s="346">
        <v>45926</v>
      </c>
      <c r="B2080" s="349" t="s">
        <v>167</v>
      </c>
      <c r="C2080" s="348" t="s">
        <v>921</v>
      </c>
      <c r="D2080" s="348">
        <v>1</v>
      </c>
      <c r="E2080" s="360" t="s">
        <v>125</v>
      </c>
    </row>
    <row r="2081" spans="1:5">
      <c r="A2081" s="346">
        <v>45926</v>
      </c>
      <c r="B2081" s="349" t="s">
        <v>920</v>
      </c>
      <c r="C2081" s="348" t="s">
        <v>921</v>
      </c>
      <c r="D2081" s="348">
        <v>4</v>
      </c>
      <c r="E2081" s="360" t="s">
        <v>125</v>
      </c>
    </row>
    <row r="2082" spans="1:5">
      <c r="A2082" s="346">
        <v>45926</v>
      </c>
      <c r="B2082" s="347" t="s">
        <v>134</v>
      </c>
      <c r="C2082" s="348" t="s">
        <v>921</v>
      </c>
      <c r="D2082" s="397">
        <v>1</v>
      </c>
      <c r="E2082" s="360" t="s">
        <v>125</v>
      </c>
    </row>
    <row r="2083" spans="1:5">
      <c r="A2083" s="335">
        <v>45926</v>
      </c>
      <c r="B2083" s="341" t="s">
        <v>789</v>
      </c>
      <c r="C2083" s="345" t="s">
        <v>119</v>
      </c>
      <c r="D2083" s="345">
        <v>-1</v>
      </c>
      <c r="E2083" s="230" t="s">
        <v>125</v>
      </c>
    </row>
    <row r="2084" spans="1:5">
      <c r="A2084" s="335">
        <v>45926</v>
      </c>
      <c r="B2084" s="342" t="s">
        <v>134</v>
      </c>
      <c r="C2084" s="345" t="s">
        <v>119</v>
      </c>
      <c r="D2084" s="345">
        <v>-2</v>
      </c>
      <c r="E2084" s="230" t="s">
        <v>125</v>
      </c>
    </row>
    <row r="2085" spans="1:5">
      <c r="A2085" s="335">
        <v>45926</v>
      </c>
      <c r="B2085" s="342" t="s">
        <v>134</v>
      </c>
      <c r="C2085" s="345" t="s">
        <v>119</v>
      </c>
      <c r="D2085" s="345">
        <v>-9</v>
      </c>
      <c r="E2085" s="230" t="s">
        <v>125</v>
      </c>
    </row>
    <row r="2086" spans="1:5">
      <c r="A2086" s="335">
        <v>45926</v>
      </c>
      <c r="B2086" s="342" t="s">
        <v>134</v>
      </c>
      <c r="C2086" s="345" t="s">
        <v>119</v>
      </c>
      <c r="D2086" s="345">
        <v>-1</v>
      </c>
      <c r="E2086" s="230" t="s">
        <v>125</v>
      </c>
    </row>
    <row r="2087" spans="1:5">
      <c r="A2087" s="335">
        <v>45926</v>
      </c>
      <c r="B2087" s="342" t="s">
        <v>134</v>
      </c>
      <c r="C2087" s="345" t="s">
        <v>119</v>
      </c>
      <c r="D2087" s="345">
        <v>-3</v>
      </c>
      <c r="E2087" s="230" t="s">
        <v>125</v>
      </c>
    </row>
    <row r="2088" spans="1:5">
      <c r="A2088" s="335">
        <v>45926</v>
      </c>
      <c r="B2088" s="439" t="s">
        <v>928</v>
      </c>
      <c r="C2088" s="345" t="s">
        <v>119</v>
      </c>
      <c r="D2088" s="345">
        <v>-2</v>
      </c>
      <c r="E2088" s="230" t="s">
        <v>125</v>
      </c>
    </row>
    <row r="2089" spans="1:5">
      <c r="A2089" s="335">
        <v>45926</v>
      </c>
      <c r="B2089" s="343" t="s">
        <v>167</v>
      </c>
      <c r="C2089" s="345" t="s">
        <v>119</v>
      </c>
      <c r="D2089" s="345">
        <v>-7</v>
      </c>
      <c r="E2089" s="230" t="s">
        <v>125</v>
      </c>
    </row>
    <row r="2090" spans="1:5">
      <c r="A2090" s="335">
        <v>45926</v>
      </c>
      <c r="B2090" s="343" t="s">
        <v>166</v>
      </c>
      <c r="C2090" s="345" t="s">
        <v>119</v>
      </c>
      <c r="D2090" s="345">
        <v>-5</v>
      </c>
      <c r="E2090" s="230" t="s">
        <v>125</v>
      </c>
    </row>
    <row r="2091" spans="1:5">
      <c r="A2091" s="335">
        <v>45926</v>
      </c>
      <c r="B2091" s="343" t="s">
        <v>1176</v>
      </c>
      <c r="C2091" s="345" t="s">
        <v>119</v>
      </c>
      <c r="D2091" s="345">
        <v>-1</v>
      </c>
      <c r="E2091" s="230" t="s">
        <v>125</v>
      </c>
    </row>
    <row r="2092" spans="1:5">
      <c r="A2092" s="335">
        <v>45926</v>
      </c>
      <c r="B2092" s="439" t="s">
        <v>928</v>
      </c>
      <c r="C2092" s="345" t="s">
        <v>119</v>
      </c>
      <c r="D2092" s="345">
        <v>-4</v>
      </c>
      <c r="E2092" s="230" t="s">
        <v>125</v>
      </c>
    </row>
    <row r="2093" spans="1:5">
      <c r="A2093" s="335">
        <v>45926</v>
      </c>
      <c r="B2093" s="342" t="s">
        <v>134</v>
      </c>
      <c r="C2093" s="345" t="s">
        <v>119</v>
      </c>
      <c r="D2093" s="345">
        <v>-7</v>
      </c>
      <c r="E2093" s="230" t="s">
        <v>125</v>
      </c>
    </row>
    <row r="2094" spans="1:5">
      <c r="A2094" s="335">
        <v>45926</v>
      </c>
      <c r="B2094" s="342" t="s">
        <v>134</v>
      </c>
      <c r="C2094" s="345" t="s">
        <v>119</v>
      </c>
      <c r="D2094" s="345">
        <v>-2</v>
      </c>
      <c r="E2094" s="230" t="s">
        <v>125</v>
      </c>
    </row>
    <row r="2095" spans="1:5">
      <c r="A2095" s="335">
        <v>45926</v>
      </c>
      <c r="B2095" s="342" t="s">
        <v>134</v>
      </c>
      <c r="C2095" s="345" t="s">
        <v>119</v>
      </c>
      <c r="D2095" s="345">
        <v>-6</v>
      </c>
      <c r="E2095" s="230" t="s">
        <v>125</v>
      </c>
    </row>
    <row r="2096" spans="1:5">
      <c r="A2096" s="335">
        <v>45926</v>
      </c>
      <c r="B2096" s="343" t="s">
        <v>167</v>
      </c>
      <c r="C2096" s="345" t="s">
        <v>119</v>
      </c>
      <c r="D2096" s="345">
        <v>-9</v>
      </c>
      <c r="E2096" s="230" t="s">
        <v>125</v>
      </c>
    </row>
    <row r="2097" spans="1:6">
      <c r="A2097" s="335">
        <v>45926</v>
      </c>
      <c r="B2097" s="343" t="s">
        <v>166</v>
      </c>
      <c r="C2097" s="345" t="s">
        <v>119</v>
      </c>
      <c r="D2097" s="345">
        <v>-4</v>
      </c>
      <c r="E2097" s="230" t="s">
        <v>125</v>
      </c>
    </row>
    <row r="2098" spans="1:6">
      <c r="A2098" s="335">
        <v>45926</v>
      </c>
      <c r="B2098" s="343" t="s">
        <v>920</v>
      </c>
      <c r="C2098" s="345" t="s">
        <v>119</v>
      </c>
      <c r="D2098" s="43">
        <v>-1</v>
      </c>
      <c r="E2098" s="230" t="s">
        <v>125</v>
      </c>
    </row>
    <row r="2099" spans="1:6">
      <c r="A2099" s="335">
        <v>45926</v>
      </c>
      <c r="B2099" s="343" t="s">
        <v>920</v>
      </c>
      <c r="C2099" s="345" t="s">
        <v>119</v>
      </c>
      <c r="D2099" s="43">
        <v>-2</v>
      </c>
      <c r="E2099" s="230" t="s">
        <v>125</v>
      </c>
    </row>
    <row r="2100" spans="1:6">
      <c r="A2100" s="335">
        <v>45926</v>
      </c>
      <c r="B2100" s="343" t="s">
        <v>920</v>
      </c>
      <c r="C2100" s="345" t="s">
        <v>119</v>
      </c>
      <c r="D2100" s="43">
        <v>-2</v>
      </c>
      <c r="E2100" s="230" t="s">
        <v>125</v>
      </c>
    </row>
    <row r="2101" spans="1:6">
      <c r="A2101" s="335">
        <v>45926</v>
      </c>
      <c r="B2101" s="343" t="s">
        <v>920</v>
      </c>
      <c r="C2101" s="345" t="s">
        <v>119</v>
      </c>
      <c r="D2101" s="43">
        <v>-1</v>
      </c>
      <c r="E2101" s="230" t="s">
        <v>125</v>
      </c>
    </row>
    <row r="2102" spans="1:6">
      <c r="A2102" s="335">
        <v>45926</v>
      </c>
      <c r="B2102" s="343" t="s">
        <v>920</v>
      </c>
      <c r="C2102" s="345" t="s">
        <v>119</v>
      </c>
      <c r="D2102" s="43">
        <v>0</v>
      </c>
      <c r="E2102" s="230" t="s">
        <v>125</v>
      </c>
      <c r="F2102" t="s">
        <v>1657</v>
      </c>
    </row>
    <row r="2103" spans="1:6">
      <c r="A2103" s="335">
        <v>45926</v>
      </c>
      <c r="B2103" s="439" t="s">
        <v>931</v>
      </c>
      <c r="C2103" s="345" t="s">
        <v>119</v>
      </c>
      <c r="D2103" s="43">
        <v>-1</v>
      </c>
      <c r="E2103" s="230" t="s">
        <v>125</v>
      </c>
    </row>
    <row r="2104" spans="1:6">
      <c r="A2104" s="335">
        <v>45926</v>
      </c>
      <c r="B2104" s="439" t="s">
        <v>931</v>
      </c>
      <c r="C2104" s="345" t="s">
        <v>119</v>
      </c>
      <c r="D2104" s="43">
        <v>-1</v>
      </c>
      <c r="E2104" s="230" t="s">
        <v>125</v>
      </c>
    </row>
    <row r="2105" spans="1:6">
      <c r="A2105" s="335">
        <v>45926</v>
      </c>
      <c r="B2105" s="343" t="s">
        <v>1096</v>
      </c>
      <c r="C2105" s="345" t="s">
        <v>119</v>
      </c>
      <c r="D2105" s="43">
        <v>0</v>
      </c>
      <c r="E2105" s="230" t="s">
        <v>125</v>
      </c>
      <c r="F2105" t="s">
        <v>676</v>
      </c>
    </row>
    <row r="2106" spans="1:6">
      <c r="A2106" s="335">
        <v>45926</v>
      </c>
      <c r="B2106" s="342" t="s">
        <v>919</v>
      </c>
      <c r="C2106" s="345" t="s">
        <v>119</v>
      </c>
      <c r="D2106" s="43">
        <v>-1</v>
      </c>
      <c r="E2106" s="230" t="s">
        <v>125</v>
      </c>
      <c r="F2106" t="s">
        <v>677</v>
      </c>
    </row>
    <row r="2107" spans="1:6">
      <c r="A2107" s="335">
        <v>45926</v>
      </c>
      <c r="B2107" s="342" t="s">
        <v>923</v>
      </c>
      <c r="C2107" s="345" t="s">
        <v>119</v>
      </c>
      <c r="D2107" s="43">
        <v>-1</v>
      </c>
      <c r="E2107" s="230" t="s">
        <v>125</v>
      </c>
    </row>
    <row r="2108" spans="1:6">
      <c r="A2108" s="335">
        <v>45926</v>
      </c>
      <c r="B2108" s="342" t="s">
        <v>135</v>
      </c>
      <c r="C2108" s="345" t="s">
        <v>119</v>
      </c>
      <c r="D2108" s="43">
        <v>-1</v>
      </c>
      <c r="E2108" s="230" t="s">
        <v>125</v>
      </c>
    </row>
    <row r="2109" spans="1:6">
      <c r="A2109" s="335">
        <v>45926</v>
      </c>
      <c r="B2109" s="343" t="s">
        <v>1152</v>
      </c>
      <c r="C2109" s="345" t="s">
        <v>119</v>
      </c>
      <c r="D2109" s="43">
        <v>-2</v>
      </c>
      <c r="E2109" s="230" t="s">
        <v>125</v>
      </c>
    </row>
    <row r="2110" spans="1:6">
      <c r="A2110" s="335">
        <v>45926</v>
      </c>
      <c r="B2110" s="343" t="s">
        <v>976</v>
      </c>
      <c r="C2110" s="345" t="s">
        <v>119</v>
      </c>
      <c r="D2110" s="43">
        <v>-2</v>
      </c>
      <c r="E2110" s="230" t="s">
        <v>125</v>
      </c>
    </row>
    <row r="2111" spans="1:6">
      <c r="A2111" s="335">
        <v>45926</v>
      </c>
      <c r="B2111" s="343" t="s">
        <v>1095</v>
      </c>
      <c r="C2111" s="345" t="s">
        <v>119</v>
      </c>
      <c r="D2111" s="43">
        <v>-1</v>
      </c>
      <c r="E2111" s="230" t="s">
        <v>125</v>
      </c>
    </row>
    <row r="2112" spans="1:6">
      <c r="A2112" s="335">
        <v>45926</v>
      </c>
      <c r="B2112" s="343" t="s">
        <v>1259</v>
      </c>
      <c r="C2112" s="345" t="s">
        <v>119</v>
      </c>
      <c r="D2112" s="43">
        <v>-1</v>
      </c>
      <c r="E2112" s="230" t="s">
        <v>125</v>
      </c>
    </row>
    <row r="2114" spans="1:6">
      <c r="A2114" s="265">
        <v>45927</v>
      </c>
      <c r="B2114" s="342" t="s">
        <v>477</v>
      </c>
      <c r="C2114" s="345" t="s">
        <v>119</v>
      </c>
      <c r="D2114" s="43">
        <v>-3</v>
      </c>
      <c r="E2114" s="230" t="s">
        <v>125</v>
      </c>
    </row>
    <row r="2116" spans="1:6">
      <c r="A2116" s="272">
        <v>45929</v>
      </c>
      <c r="B2116" s="139" t="s">
        <v>1270</v>
      </c>
      <c r="C2116" s="106" t="s">
        <v>49</v>
      </c>
      <c r="D2116" s="106">
        <v>5</v>
      </c>
      <c r="E2116" s="94" t="s">
        <v>125</v>
      </c>
    </row>
    <row r="2117" spans="1:6">
      <c r="A2117" s="272">
        <v>45929</v>
      </c>
      <c r="B2117" s="128" t="s">
        <v>672</v>
      </c>
      <c r="C2117" s="106" t="s">
        <v>49</v>
      </c>
      <c r="D2117" s="106">
        <v>5</v>
      </c>
      <c r="E2117" s="94" t="s">
        <v>125</v>
      </c>
    </row>
    <row r="2118" spans="1:6">
      <c r="A2118" s="272">
        <v>45929</v>
      </c>
      <c r="B2118" s="234" t="s">
        <v>477</v>
      </c>
      <c r="C2118" s="106" t="s">
        <v>49</v>
      </c>
      <c r="D2118" s="106">
        <v>5</v>
      </c>
      <c r="E2118" s="94" t="s">
        <v>125</v>
      </c>
    </row>
    <row r="2119" spans="1:6">
      <c r="A2119" s="272">
        <v>45929</v>
      </c>
      <c r="B2119" s="128" t="s">
        <v>882</v>
      </c>
      <c r="C2119" s="106" t="s">
        <v>49</v>
      </c>
      <c r="D2119" s="106">
        <v>5</v>
      </c>
      <c r="E2119" s="94" t="s">
        <v>125</v>
      </c>
    </row>
    <row r="2120" spans="1:6">
      <c r="A2120" s="272">
        <v>45929</v>
      </c>
      <c r="B2120" s="139" t="s">
        <v>1223</v>
      </c>
      <c r="C2120" s="106" t="s">
        <v>49</v>
      </c>
      <c r="D2120" s="106">
        <v>5</v>
      </c>
      <c r="E2120" s="94" t="s">
        <v>125</v>
      </c>
    </row>
    <row r="2121" spans="1:6">
      <c r="A2121" s="272">
        <v>45929</v>
      </c>
      <c r="B2121" s="139" t="s">
        <v>1246</v>
      </c>
      <c r="C2121" s="106" t="s">
        <v>49</v>
      </c>
      <c r="D2121" s="106">
        <v>23</v>
      </c>
      <c r="E2121" s="94" t="s">
        <v>125</v>
      </c>
    </row>
    <row r="2122" spans="1:6">
      <c r="A2122" s="484">
        <v>45929</v>
      </c>
      <c r="B2122" s="485" t="s">
        <v>1246</v>
      </c>
      <c r="C2122" s="486" t="s">
        <v>1247</v>
      </c>
      <c r="D2122" s="486">
        <v>2</v>
      </c>
      <c r="E2122" s="487" t="s">
        <v>125</v>
      </c>
    </row>
    <row r="2123" spans="1:6">
      <c r="A2123" s="272">
        <v>45929</v>
      </c>
      <c r="B2123" s="128" t="s">
        <v>882</v>
      </c>
      <c r="C2123" s="106" t="s">
        <v>49</v>
      </c>
      <c r="D2123" s="106">
        <v>0</v>
      </c>
      <c r="E2123" s="94" t="s">
        <v>125</v>
      </c>
      <c r="F2123" t="s">
        <v>1272</v>
      </c>
    </row>
    <row r="2124" spans="1:6">
      <c r="A2124" s="272">
        <v>45929</v>
      </c>
      <c r="B2124" s="139" t="s">
        <v>1271</v>
      </c>
      <c r="C2124" s="106" t="s">
        <v>49</v>
      </c>
      <c r="D2124" s="106">
        <v>2</v>
      </c>
      <c r="E2124" s="94" t="s">
        <v>125</v>
      </c>
    </row>
    <row r="2125" spans="1:6">
      <c r="A2125" s="272">
        <v>45929</v>
      </c>
      <c r="B2125" s="128" t="s">
        <v>642</v>
      </c>
      <c r="C2125" s="106" t="s">
        <v>49</v>
      </c>
      <c r="D2125" s="106">
        <v>5</v>
      </c>
      <c r="E2125" s="94" t="s">
        <v>125</v>
      </c>
    </row>
    <row r="2127" spans="1:6">
      <c r="A2127" s="484">
        <v>45929</v>
      </c>
      <c r="B2127" s="485" t="s">
        <v>1246</v>
      </c>
      <c r="C2127" s="486" t="s">
        <v>1247</v>
      </c>
      <c r="D2127" s="486">
        <v>2</v>
      </c>
      <c r="E2127" s="487" t="s">
        <v>125</v>
      </c>
    </row>
    <row r="2129" spans="1:5">
      <c r="A2129" s="330">
        <v>45929</v>
      </c>
      <c r="B2129" s="329" t="s">
        <v>839</v>
      </c>
      <c r="C2129" s="328" t="s">
        <v>49</v>
      </c>
      <c r="D2129" s="328">
        <v>2</v>
      </c>
      <c r="E2129" s="331" t="s">
        <v>125</v>
      </c>
    </row>
    <row r="2130" spans="1:5">
      <c r="A2130" s="330">
        <v>45929</v>
      </c>
      <c r="B2130" s="329" t="s">
        <v>839</v>
      </c>
      <c r="C2130" s="328" t="s">
        <v>49</v>
      </c>
      <c r="D2130" s="328">
        <v>4</v>
      </c>
      <c r="E2130" s="331" t="s">
        <v>125</v>
      </c>
    </row>
    <row r="2131" spans="1:5">
      <c r="A2131" s="330">
        <v>45929</v>
      </c>
      <c r="B2131" s="329" t="s">
        <v>839</v>
      </c>
      <c r="C2131" s="328" t="s">
        <v>49</v>
      </c>
      <c r="D2131" s="328">
        <v>1</v>
      </c>
      <c r="E2131" s="331" t="s">
        <v>125</v>
      </c>
    </row>
    <row r="2132" spans="1:5">
      <c r="A2132" s="330">
        <v>45929</v>
      </c>
      <c r="B2132" s="327" t="s">
        <v>671</v>
      </c>
      <c r="C2132" s="328" t="s">
        <v>49</v>
      </c>
      <c r="D2132" s="328">
        <v>4</v>
      </c>
      <c r="E2132" s="331" t="s">
        <v>125</v>
      </c>
    </row>
    <row r="2133" spans="1:5">
      <c r="A2133" s="330">
        <v>45929</v>
      </c>
      <c r="B2133" s="329" t="s">
        <v>839</v>
      </c>
      <c r="C2133" s="328" t="s">
        <v>49</v>
      </c>
      <c r="D2133" s="328">
        <v>5</v>
      </c>
      <c r="E2133" s="331" t="s">
        <v>125</v>
      </c>
    </row>
    <row r="2135" spans="1:5">
      <c r="A2135" s="335">
        <v>45929</v>
      </c>
      <c r="B2135" s="343" t="s">
        <v>839</v>
      </c>
      <c r="C2135" s="345" t="s">
        <v>119</v>
      </c>
      <c r="D2135" s="345">
        <v>-5</v>
      </c>
      <c r="E2135" s="230" t="s">
        <v>125</v>
      </c>
    </row>
    <row r="2136" spans="1:5">
      <c r="A2136" s="335">
        <v>45929</v>
      </c>
      <c r="B2136" s="343" t="s">
        <v>1246</v>
      </c>
      <c r="C2136" s="345" t="s">
        <v>119</v>
      </c>
      <c r="D2136" s="345">
        <v>-25</v>
      </c>
      <c r="E2136" s="230" t="s">
        <v>125</v>
      </c>
    </row>
    <row r="2137" spans="1:5">
      <c r="A2137" s="335">
        <v>45929</v>
      </c>
      <c r="B2137" s="343" t="s">
        <v>1271</v>
      </c>
      <c r="C2137" s="345" t="s">
        <v>119</v>
      </c>
      <c r="D2137" s="345">
        <v>-2</v>
      </c>
      <c r="E2137" s="230" t="s">
        <v>125</v>
      </c>
    </row>
    <row r="2138" spans="1:5">
      <c r="A2138" s="335">
        <v>45929</v>
      </c>
      <c r="B2138" s="343" t="s">
        <v>1246</v>
      </c>
      <c r="C2138" s="345" t="s">
        <v>119</v>
      </c>
      <c r="D2138" s="345">
        <v>-1</v>
      </c>
      <c r="E2138" s="230" t="s">
        <v>125</v>
      </c>
    </row>
    <row r="2139" spans="1:5">
      <c r="A2139" s="335">
        <v>45929</v>
      </c>
      <c r="B2139" s="92" t="s">
        <v>76</v>
      </c>
      <c r="C2139" s="345" t="s">
        <v>119</v>
      </c>
      <c r="D2139" s="43">
        <v>-6</v>
      </c>
      <c r="E2139" s="230" t="s">
        <v>125</v>
      </c>
    </row>
    <row r="2141" spans="1:5">
      <c r="A2141" s="265">
        <v>45926</v>
      </c>
      <c r="B2141" s="343" t="s">
        <v>1246</v>
      </c>
      <c r="C2141" s="43" t="s">
        <v>678</v>
      </c>
      <c r="D2141" s="43">
        <v>-2</v>
      </c>
      <c r="E2141" s="230" t="s">
        <v>125</v>
      </c>
    </row>
    <row r="2142" spans="1:5">
      <c r="A2142" s="265">
        <v>45926</v>
      </c>
      <c r="B2142" s="343" t="s">
        <v>1246</v>
      </c>
      <c r="C2142" s="43" t="s">
        <v>678</v>
      </c>
      <c r="D2142" s="43">
        <v>-1</v>
      </c>
      <c r="E2142" s="230" t="s">
        <v>125</v>
      </c>
    </row>
    <row r="2144" spans="1:5">
      <c r="A2144" s="335">
        <v>45929</v>
      </c>
      <c r="B2144" s="343" t="s">
        <v>1246</v>
      </c>
      <c r="C2144" s="345" t="s">
        <v>119</v>
      </c>
      <c r="D2144" s="345">
        <v>-7</v>
      </c>
      <c r="E2144" s="230" t="s">
        <v>125</v>
      </c>
    </row>
    <row r="2146" spans="1:6">
      <c r="A2146" s="265">
        <v>45930</v>
      </c>
      <c r="B2146" s="342" t="s">
        <v>134</v>
      </c>
      <c r="C2146" s="345" t="s">
        <v>119</v>
      </c>
      <c r="D2146" s="43">
        <v>-1</v>
      </c>
      <c r="E2146" s="230" t="s">
        <v>125</v>
      </c>
    </row>
    <row r="2147" spans="1:6">
      <c r="A2147" s="265">
        <v>45930</v>
      </c>
      <c r="B2147" s="93" t="s">
        <v>838</v>
      </c>
      <c r="C2147" s="345" t="s">
        <v>119</v>
      </c>
      <c r="D2147" s="43">
        <v>-1</v>
      </c>
      <c r="E2147" s="230" t="s">
        <v>125</v>
      </c>
    </row>
    <row r="2148" spans="1:6">
      <c r="A2148" s="265">
        <v>45930</v>
      </c>
      <c r="B2148" s="93" t="s">
        <v>839</v>
      </c>
      <c r="C2148" s="345" t="s">
        <v>119</v>
      </c>
      <c r="D2148" s="43">
        <v>-2</v>
      </c>
      <c r="E2148" s="230" t="s">
        <v>125</v>
      </c>
    </row>
    <row r="2149" spans="1:6">
      <c r="A2149" s="265">
        <v>45930</v>
      </c>
      <c r="B2149" s="92" t="s">
        <v>789</v>
      </c>
      <c r="C2149" s="345" t="s">
        <v>119</v>
      </c>
      <c r="D2149" s="43">
        <v>-1</v>
      </c>
      <c r="E2149" s="230" t="s">
        <v>125</v>
      </c>
    </row>
    <row r="2151" spans="1:6">
      <c r="A2151" s="346">
        <v>45930</v>
      </c>
      <c r="B2151" s="347" t="s">
        <v>134</v>
      </c>
      <c r="C2151" s="348" t="s">
        <v>921</v>
      </c>
      <c r="D2151" s="348">
        <v>3</v>
      </c>
      <c r="E2151" s="360" t="s">
        <v>125</v>
      </c>
      <c r="F2151" t="s">
        <v>1277</v>
      </c>
    </row>
    <row r="2152" spans="1:6">
      <c r="A2152" s="346">
        <v>45930</v>
      </c>
      <c r="B2152" s="347" t="s">
        <v>134</v>
      </c>
      <c r="C2152" s="348" t="s">
        <v>921</v>
      </c>
      <c r="D2152" s="348">
        <v>2</v>
      </c>
      <c r="E2152" s="360" t="s">
        <v>125</v>
      </c>
    </row>
    <row r="2153" spans="1:6">
      <c r="A2153" s="346">
        <v>45930</v>
      </c>
      <c r="B2153" s="347" t="s">
        <v>134</v>
      </c>
      <c r="C2153" s="348" t="s">
        <v>921</v>
      </c>
      <c r="D2153" s="348">
        <v>5</v>
      </c>
      <c r="E2153" s="360" t="s">
        <v>125</v>
      </c>
    </row>
    <row r="2154" spans="1:6">
      <c r="A2154" s="346">
        <v>45930</v>
      </c>
      <c r="B2154" s="350" t="s">
        <v>928</v>
      </c>
      <c r="C2154" s="348" t="s">
        <v>921</v>
      </c>
      <c r="D2154" s="348">
        <v>3</v>
      </c>
      <c r="E2154" s="360" t="s">
        <v>125</v>
      </c>
    </row>
    <row r="2155" spans="1:6">
      <c r="A2155" s="346">
        <v>45930</v>
      </c>
      <c r="B2155" s="347" t="s">
        <v>134</v>
      </c>
      <c r="C2155" s="348" t="s">
        <v>921</v>
      </c>
      <c r="D2155" s="348">
        <v>6</v>
      </c>
      <c r="E2155" s="360" t="s">
        <v>125</v>
      </c>
    </row>
    <row r="2156" spans="1:6">
      <c r="A2156" s="346">
        <v>45930</v>
      </c>
      <c r="B2156" s="350" t="s">
        <v>928</v>
      </c>
      <c r="C2156" s="348" t="s">
        <v>921</v>
      </c>
      <c r="D2156" s="348">
        <v>1</v>
      </c>
      <c r="E2156" s="360" t="s">
        <v>125</v>
      </c>
    </row>
    <row r="2157" spans="1:6">
      <c r="A2157" s="346">
        <v>45930</v>
      </c>
      <c r="B2157" s="349" t="s">
        <v>167</v>
      </c>
      <c r="C2157" s="348" t="s">
        <v>921</v>
      </c>
      <c r="D2157" s="348">
        <v>2</v>
      </c>
      <c r="E2157" s="360" t="s">
        <v>125</v>
      </c>
    </row>
    <row r="2158" spans="1:6">
      <c r="A2158" s="346">
        <v>45930</v>
      </c>
      <c r="B2158" s="349" t="s">
        <v>167</v>
      </c>
      <c r="C2158" s="348" t="s">
        <v>921</v>
      </c>
      <c r="D2158" s="348">
        <v>2</v>
      </c>
      <c r="E2158" s="360" t="s">
        <v>125</v>
      </c>
    </row>
    <row r="2159" spans="1:6">
      <c r="A2159" s="346">
        <v>45930</v>
      </c>
      <c r="B2159" s="349" t="s">
        <v>166</v>
      </c>
      <c r="C2159" s="348" t="s">
        <v>921</v>
      </c>
      <c r="D2159" s="348">
        <v>1</v>
      </c>
      <c r="E2159" s="360" t="s">
        <v>125</v>
      </c>
    </row>
    <row r="2160" spans="1:6">
      <c r="A2160" s="346">
        <v>45930</v>
      </c>
      <c r="B2160" s="349" t="s">
        <v>166</v>
      </c>
      <c r="C2160" s="348" t="s">
        <v>921</v>
      </c>
      <c r="D2160" s="348">
        <v>2</v>
      </c>
      <c r="E2160" s="360" t="s">
        <v>125</v>
      </c>
    </row>
    <row r="2161" spans="1:5">
      <c r="A2161" s="346">
        <v>45930</v>
      </c>
      <c r="B2161" s="349" t="s">
        <v>167</v>
      </c>
      <c r="C2161" s="348" t="s">
        <v>921</v>
      </c>
      <c r="D2161" s="348">
        <v>3</v>
      </c>
      <c r="E2161" s="360" t="s">
        <v>125</v>
      </c>
    </row>
    <row r="2162" spans="1:5">
      <c r="A2162" s="346">
        <v>45930</v>
      </c>
      <c r="B2162" s="349" t="s">
        <v>167</v>
      </c>
      <c r="C2162" s="348" t="s">
        <v>921</v>
      </c>
      <c r="D2162" s="348">
        <v>3</v>
      </c>
      <c r="E2162" s="360" t="s">
        <v>125</v>
      </c>
    </row>
    <row r="2163" spans="1:5">
      <c r="A2163" s="346">
        <v>45930</v>
      </c>
      <c r="B2163" s="349" t="s">
        <v>166</v>
      </c>
      <c r="C2163" s="348" t="s">
        <v>921</v>
      </c>
      <c r="D2163" s="348">
        <v>1</v>
      </c>
      <c r="E2163" s="360" t="s">
        <v>125</v>
      </c>
    </row>
    <row r="2164" spans="1:5">
      <c r="A2164" s="346">
        <v>45930</v>
      </c>
      <c r="B2164" s="349" t="s">
        <v>920</v>
      </c>
      <c r="C2164" s="348" t="s">
        <v>921</v>
      </c>
      <c r="D2164" s="348">
        <v>1</v>
      </c>
      <c r="E2164" s="360" t="s">
        <v>125</v>
      </c>
    </row>
    <row r="2165" spans="1:5">
      <c r="A2165" s="346">
        <v>45930</v>
      </c>
      <c r="B2165" s="349" t="s">
        <v>1096</v>
      </c>
      <c r="C2165" s="348" t="s">
        <v>921</v>
      </c>
      <c r="D2165" s="348">
        <v>1</v>
      </c>
      <c r="E2165" s="360" t="s">
        <v>125</v>
      </c>
    </row>
    <row r="2166" spans="1:5">
      <c r="A2166" s="346">
        <v>45930</v>
      </c>
      <c r="B2166" s="347" t="s">
        <v>135</v>
      </c>
      <c r="C2166" s="348" t="s">
        <v>921</v>
      </c>
      <c r="D2166" s="348">
        <v>1</v>
      </c>
      <c r="E2166" s="360" t="s">
        <v>125</v>
      </c>
    </row>
    <row r="2167" spans="1:5">
      <c r="A2167" s="346">
        <v>45930</v>
      </c>
      <c r="B2167" s="349" t="s">
        <v>1095</v>
      </c>
      <c r="C2167" s="348" t="s">
        <v>921</v>
      </c>
      <c r="D2167" s="348">
        <v>1</v>
      </c>
      <c r="E2167" s="360" t="s">
        <v>125</v>
      </c>
    </row>
    <row r="2168" spans="1:5">
      <c r="A2168" s="346">
        <v>45930</v>
      </c>
      <c r="B2168" s="349" t="s">
        <v>976</v>
      </c>
      <c r="C2168" s="348" t="s">
        <v>921</v>
      </c>
      <c r="D2168" s="348">
        <v>3</v>
      </c>
      <c r="E2168" s="360" t="s">
        <v>125</v>
      </c>
    </row>
    <row r="2169" spans="1:5">
      <c r="A2169" s="346">
        <v>45930</v>
      </c>
      <c r="B2169" s="351" t="s">
        <v>932</v>
      </c>
      <c r="C2169" s="348" t="s">
        <v>921</v>
      </c>
      <c r="D2169" s="348">
        <v>10</v>
      </c>
      <c r="E2169" s="360" t="s">
        <v>125</v>
      </c>
    </row>
    <row r="2170" spans="1:5">
      <c r="A2170" s="346">
        <v>45930</v>
      </c>
      <c r="B2170" s="349" t="s">
        <v>1097</v>
      </c>
      <c r="C2170" s="348" t="s">
        <v>921</v>
      </c>
      <c r="D2170" s="348">
        <v>1</v>
      </c>
      <c r="E2170" s="360" t="s">
        <v>125</v>
      </c>
    </row>
    <row r="2172" spans="1:5">
      <c r="A2172" s="265">
        <v>45931</v>
      </c>
      <c r="B2172" s="93" t="s">
        <v>839</v>
      </c>
      <c r="C2172" s="345" t="s">
        <v>119</v>
      </c>
      <c r="D2172" s="43">
        <v>-2</v>
      </c>
      <c r="E2172" s="230" t="s">
        <v>125</v>
      </c>
    </row>
    <row r="2173" spans="1:5">
      <c r="A2173" s="265">
        <v>45931</v>
      </c>
      <c r="B2173" s="92" t="s">
        <v>882</v>
      </c>
      <c r="C2173" s="345" t="s">
        <v>119</v>
      </c>
      <c r="D2173" s="43">
        <v>-2</v>
      </c>
      <c r="E2173" s="230" t="s">
        <v>125</v>
      </c>
    </row>
    <row r="2174" spans="1:5">
      <c r="A2174" s="265">
        <v>45931</v>
      </c>
      <c r="B2174" s="104" t="s">
        <v>932</v>
      </c>
      <c r="C2174" s="345" t="s">
        <v>119</v>
      </c>
      <c r="D2174" s="43">
        <v>-9</v>
      </c>
      <c r="E2174" s="230" t="s">
        <v>125</v>
      </c>
    </row>
    <row r="2175" spans="1:5">
      <c r="A2175" s="265">
        <v>45931</v>
      </c>
      <c r="B2175" s="92" t="s">
        <v>76</v>
      </c>
      <c r="C2175" s="345" t="s">
        <v>119</v>
      </c>
      <c r="D2175" s="43">
        <v>-10</v>
      </c>
      <c r="E2175" s="230" t="s">
        <v>125</v>
      </c>
    </row>
    <row r="2176" spans="1:5">
      <c r="A2176" s="265">
        <v>45931</v>
      </c>
      <c r="B2176" s="93" t="s">
        <v>797</v>
      </c>
      <c r="C2176" s="345" t="s">
        <v>119</v>
      </c>
      <c r="D2176" s="43">
        <v>-1</v>
      </c>
      <c r="E2176" s="230" t="s">
        <v>125</v>
      </c>
    </row>
    <row r="2177" spans="1:5">
      <c r="A2177" s="265">
        <v>45931</v>
      </c>
      <c r="B2177" s="92" t="s">
        <v>642</v>
      </c>
      <c r="C2177" s="345" t="s">
        <v>119</v>
      </c>
      <c r="D2177" s="43">
        <v>-5</v>
      </c>
      <c r="E2177" s="230" t="s">
        <v>125</v>
      </c>
    </row>
    <row r="2179" spans="1:5">
      <c r="A2179" s="265">
        <v>45932</v>
      </c>
      <c r="B2179" s="93" t="s">
        <v>1097</v>
      </c>
      <c r="C2179" s="345" t="s">
        <v>119</v>
      </c>
      <c r="D2179" s="43">
        <v>-1</v>
      </c>
      <c r="E2179" s="230" t="s">
        <v>125</v>
      </c>
    </row>
    <row r="2181" spans="1:5">
      <c r="A2181" s="323">
        <v>45932</v>
      </c>
      <c r="B2181" s="425" t="s">
        <v>1151</v>
      </c>
      <c r="C2181" s="322" t="s">
        <v>682</v>
      </c>
      <c r="D2181" s="322">
        <v>8</v>
      </c>
      <c r="E2181" s="321" t="s">
        <v>125</v>
      </c>
    </row>
    <row r="2182" spans="1:5">
      <c r="A2182" s="323">
        <v>45932</v>
      </c>
      <c r="B2182" s="325" t="s">
        <v>1271</v>
      </c>
      <c r="C2182" s="322" t="s">
        <v>682</v>
      </c>
      <c r="D2182" s="322">
        <v>1</v>
      </c>
      <c r="E2182" s="321" t="s">
        <v>125</v>
      </c>
    </row>
    <row r="2183" spans="1:5">
      <c r="A2183" s="323">
        <v>45932</v>
      </c>
      <c r="B2183" s="325" t="s">
        <v>1301</v>
      </c>
      <c r="C2183" s="322" t="s">
        <v>682</v>
      </c>
      <c r="D2183" s="322">
        <v>2</v>
      </c>
      <c r="E2183" s="321" t="s">
        <v>125</v>
      </c>
    </row>
    <row r="2184" spans="1:5">
      <c r="A2184" s="323">
        <v>45932</v>
      </c>
      <c r="B2184" s="325" t="s">
        <v>1301</v>
      </c>
      <c r="C2184" s="322" t="s">
        <v>682</v>
      </c>
      <c r="D2184" s="322">
        <v>4</v>
      </c>
      <c r="E2184" s="321" t="s">
        <v>125</v>
      </c>
    </row>
    <row r="2185" spans="1:5">
      <c r="A2185" s="323">
        <v>45932</v>
      </c>
      <c r="B2185" s="325" t="s">
        <v>1246</v>
      </c>
      <c r="C2185" s="322" t="s">
        <v>682</v>
      </c>
      <c r="D2185" s="322">
        <v>5</v>
      </c>
      <c r="E2185" s="321" t="s">
        <v>125</v>
      </c>
    </row>
    <row r="2186" spans="1:5">
      <c r="A2186" s="323">
        <v>45932</v>
      </c>
      <c r="B2186" s="325" t="s">
        <v>1246</v>
      </c>
      <c r="C2186" s="322" t="s">
        <v>682</v>
      </c>
      <c r="D2186" s="322">
        <v>1</v>
      </c>
      <c r="E2186" s="321" t="s">
        <v>125</v>
      </c>
    </row>
    <row r="2187" spans="1:5">
      <c r="A2187" s="323">
        <v>45932</v>
      </c>
      <c r="B2187" s="325" t="s">
        <v>1249</v>
      </c>
      <c r="C2187" s="322" t="s">
        <v>682</v>
      </c>
      <c r="D2187" s="322">
        <v>2</v>
      </c>
      <c r="E2187" s="321" t="s">
        <v>125</v>
      </c>
    </row>
    <row r="2188" spans="1:5">
      <c r="A2188" s="323">
        <v>45932</v>
      </c>
      <c r="B2188" s="325" t="s">
        <v>1249</v>
      </c>
      <c r="C2188" s="322" t="s">
        <v>682</v>
      </c>
      <c r="D2188" s="322">
        <v>4</v>
      </c>
      <c r="E2188" s="321" t="s">
        <v>125</v>
      </c>
    </row>
    <row r="2189" spans="1:5">
      <c r="A2189" s="323">
        <v>45932</v>
      </c>
      <c r="B2189" s="325" t="s">
        <v>1289</v>
      </c>
      <c r="C2189" s="322" t="s">
        <v>682</v>
      </c>
      <c r="D2189" s="322">
        <v>1</v>
      </c>
      <c r="E2189" s="321" t="s">
        <v>125</v>
      </c>
    </row>
    <row r="2190" spans="1:5">
      <c r="A2190" s="323">
        <v>45932</v>
      </c>
      <c r="B2190" s="325" t="s">
        <v>1290</v>
      </c>
      <c r="C2190" s="322" t="s">
        <v>682</v>
      </c>
      <c r="D2190" s="322">
        <v>1</v>
      </c>
      <c r="E2190" s="321" t="s">
        <v>125</v>
      </c>
    </row>
    <row r="2191" spans="1:5">
      <c r="A2191" s="323">
        <v>45932</v>
      </c>
      <c r="B2191" s="325" t="s">
        <v>1291</v>
      </c>
      <c r="C2191" s="322" t="s">
        <v>682</v>
      </c>
      <c r="D2191" s="322">
        <v>2</v>
      </c>
      <c r="E2191" s="321" t="s">
        <v>125</v>
      </c>
    </row>
    <row r="2192" spans="1:5">
      <c r="A2192" s="323">
        <v>45932</v>
      </c>
      <c r="B2192" s="324" t="s">
        <v>131</v>
      </c>
      <c r="C2192" s="322" t="s">
        <v>682</v>
      </c>
      <c r="D2192" s="322">
        <v>8</v>
      </c>
      <c r="E2192" s="321" t="s">
        <v>125</v>
      </c>
    </row>
    <row r="2193" spans="1:5">
      <c r="A2193" s="323">
        <v>45932</v>
      </c>
      <c r="B2193" s="324" t="s">
        <v>960</v>
      </c>
      <c r="C2193" s="322" t="s">
        <v>682</v>
      </c>
      <c r="D2193" s="322">
        <v>4</v>
      </c>
      <c r="E2193" s="321" t="s">
        <v>125</v>
      </c>
    </row>
    <row r="2194" spans="1:5">
      <c r="A2194" s="323">
        <v>45932</v>
      </c>
      <c r="B2194" s="325" t="s">
        <v>1294</v>
      </c>
      <c r="C2194" s="322" t="s">
        <v>682</v>
      </c>
      <c r="D2194" s="322">
        <v>1</v>
      </c>
      <c r="E2194" s="321" t="s">
        <v>125</v>
      </c>
    </row>
    <row r="2195" spans="1:5">
      <c r="A2195" s="323">
        <v>45932</v>
      </c>
      <c r="B2195" s="324" t="s">
        <v>919</v>
      </c>
      <c r="C2195" s="322" t="s">
        <v>682</v>
      </c>
      <c r="D2195" s="322">
        <v>1</v>
      </c>
      <c r="E2195" s="321" t="s">
        <v>125</v>
      </c>
    </row>
    <row r="2196" spans="1:5">
      <c r="A2196" s="323">
        <v>45932</v>
      </c>
      <c r="B2196" s="325" t="s">
        <v>1296</v>
      </c>
      <c r="C2196" s="322" t="s">
        <v>682</v>
      </c>
      <c r="D2196" s="322">
        <v>1</v>
      </c>
      <c r="E2196" s="321" t="s">
        <v>125</v>
      </c>
    </row>
    <row r="2197" spans="1:5">
      <c r="A2197" s="323">
        <v>45932</v>
      </c>
      <c r="B2197" s="325" t="s">
        <v>1297</v>
      </c>
      <c r="C2197" s="322" t="s">
        <v>682</v>
      </c>
      <c r="D2197" s="322">
        <v>2</v>
      </c>
      <c r="E2197" s="321" t="s">
        <v>125</v>
      </c>
    </row>
    <row r="2198" spans="1:5">
      <c r="A2198" s="323">
        <v>45932</v>
      </c>
      <c r="B2198" s="325" t="s">
        <v>1302</v>
      </c>
      <c r="C2198" s="322" t="s">
        <v>682</v>
      </c>
      <c r="D2198" s="322">
        <v>1</v>
      </c>
      <c r="E2198" s="321" t="s">
        <v>125</v>
      </c>
    </row>
    <row r="2199" spans="1:5">
      <c r="A2199" s="323">
        <v>45932</v>
      </c>
      <c r="B2199" s="425" t="s">
        <v>1147</v>
      </c>
      <c r="C2199" s="322" t="s">
        <v>682</v>
      </c>
      <c r="D2199" s="322">
        <v>1</v>
      </c>
      <c r="E2199" s="321" t="s">
        <v>125</v>
      </c>
    </row>
    <row r="2200" spans="1:5">
      <c r="A2200" s="323">
        <v>45932</v>
      </c>
      <c r="B2200" s="325" t="s">
        <v>1299</v>
      </c>
      <c r="C2200" s="322" t="s">
        <v>682</v>
      </c>
      <c r="D2200" s="322">
        <v>1</v>
      </c>
      <c r="E2200" s="321" t="s">
        <v>125</v>
      </c>
    </row>
    <row r="2201" spans="1:5">
      <c r="A2201" s="323">
        <v>45932</v>
      </c>
      <c r="B2201" s="325" t="s">
        <v>1300</v>
      </c>
      <c r="C2201" s="322" t="s">
        <v>682</v>
      </c>
      <c r="D2201" s="322">
        <v>1</v>
      </c>
      <c r="E2201" s="321" t="s">
        <v>125</v>
      </c>
    </row>
    <row r="2203" spans="1:5">
      <c r="A2203" s="471">
        <v>45932</v>
      </c>
      <c r="B2203" s="472" t="s">
        <v>1095</v>
      </c>
      <c r="C2203" s="473" t="s">
        <v>1238</v>
      </c>
      <c r="D2203" s="473">
        <v>3</v>
      </c>
      <c r="E2203" s="474" t="s">
        <v>125</v>
      </c>
    </row>
    <row r="2204" spans="1:5">
      <c r="A2204" s="471">
        <v>45932</v>
      </c>
      <c r="B2204" s="472" t="s">
        <v>167</v>
      </c>
      <c r="C2204" s="473" t="s">
        <v>1238</v>
      </c>
      <c r="D2204" s="473">
        <v>1</v>
      </c>
      <c r="E2204" s="474" t="s">
        <v>125</v>
      </c>
    </row>
    <row r="2205" spans="1:5">
      <c r="A2205" s="471">
        <v>45932</v>
      </c>
      <c r="B2205" s="472" t="s">
        <v>166</v>
      </c>
      <c r="C2205" s="473" t="s">
        <v>1238</v>
      </c>
      <c r="D2205" s="473">
        <v>1</v>
      </c>
      <c r="E2205" s="474" t="s">
        <v>125</v>
      </c>
    </row>
    <row r="2206" spans="1:5">
      <c r="A2206" s="471">
        <v>45932</v>
      </c>
      <c r="B2206" s="476" t="s">
        <v>134</v>
      </c>
      <c r="C2206" s="473" t="s">
        <v>1238</v>
      </c>
      <c r="D2206" s="473">
        <v>6</v>
      </c>
      <c r="E2206" s="474" t="s">
        <v>125</v>
      </c>
    </row>
    <row r="2207" spans="1:5">
      <c r="A2207" s="471">
        <v>45932</v>
      </c>
      <c r="B2207" s="476" t="s">
        <v>134</v>
      </c>
      <c r="C2207" s="473" t="s">
        <v>1238</v>
      </c>
      <c r="D2207" s="473">
        <v>2</v>
      </c>
      <c r="E2207" s="474" t="s">
        <v>125</v>
      </c>
    </row>
    <row r="2208" spans="1:5">
      <c r="A2208" s="471">
        <v>45932</v>
      </c>
      <c r="B2208" s="476" t="s">
        <v>134</v>
      </c>
      <c r="C2208" s="473" t="s">
        <v>1238</v>
      </c>
      <c r="D2208" s="473">
        <v>2</v>
      </c>
      <c r="E2208" s="474" t="s">
        <v>125</v>
      </c>
    </row>
    <row r="2209" spans="1:5">
      <c r="A2209" s="471">
        <v>45932</v>
      </c>
      <c r="B2209" s="472" t="s">
        <v>1303</v>
      </c>
      <c r="C2209" s="473" t="s">
        <v>1238</v>
      </c>
      <c r="D2209" s="473">
        <v>6</v>
      </c>
      <c r="E2209" s="474" t="s">
        <v>125</v>
      </c>
    </row>
    <row r="2210" spans="1:5">
      <c r="A2210" s="471">
        <v>45932</v>
      </c>
      <c r="B2210" s="476" t="s">
        <v>931</v>
      </c>
      <c r="C2210" s="473" t="s">
        <v>1238</v>
      </c>
      <c r="D2210" s="473">
        <v>5</v>
      </c>
      <c r="E2210" s="474" t="s">
        <v>125</v>
      </c>
    </row>
    <row r="2211" spans="1:5">
      <c r="A2211" s="471">
        <v>45932</v>
      </c>
      <c r="B2211" s="476" t="s">
        <v>930</v>
      </c>
      <c r="C2211" s="473" t="s">
        <v>1238</v>
      </c>
      <c r="D2211" s="473">
        <v>4</v>
      </c>
      <c r="E2211" s="474" t="s">
        <v>125</v>
      </c>
    </row>
    <row r="2212" spans="1:5">
      <c r="A2212" s="471">
        <v>45932</v>
      </c>
      <c r="B2212" s="472" t="s">
        <v>920</v>
      </c>
      <c r="C2212" s="473" t="s">
        <v>1238</v>
      </c>
      <c r="D2212" s="473">
        <v>2</v>
      </c>
      <c r="E2212" s="474" t="s">
        <v>125</v>
      </c>
    </row>
    <row r="2213" spans="1:5">
      <c r="A2213" s="471">
        <v>45932</v>
      </c>
      <c r="B2213" s="472" t="s">
        <v>1096</v>
      </c>
      <c r="C2213" s="473" t="s">
        <v>1238</v>
      </c>
      <c r="D2213" s="473">
        <v>2</v>
      </c>
      <c r="E2213" s="474" t="s">
        <v>125</v>
      </c>
    </row>
    <row r="2215" spans="1:5">
      <c r="A2215" s="265">
        <v>45932</v>
      </c>
      <c r="B2215" s="84" t="s">
        <v>134</v>
      </c>
      <c r="C2215" s="345" t="s">
        <v>119</v>
      </c>
      <c r="D2215" s="43">
        <v>-2</v>
      </c>
      <c r="E2215" s="230" t="s">
        <v>125</v>
      </c>
    </row>
    <row r="2217" spans="1:5">
      <c r="A2217" s="265">
        <v>45933</v>
      </c>
      <c r="B2217" s="342" t="s">
        <v>477</v>
      </c>
      <c r="C2217" s="345" t="s">
        <v>119</v>
      </c>
      <c r="D2217" s="43">
        <v>-5</v>
      </c>
      <c r="E2217" s="230" t="s">
        <v>125</v>
      </c>
    </row>
    <row r="2218" spans="1:5">
      <c r="A2218" s="265">
        <v>45933</v>
      </c>
      <c r="B2218" s="342" t="s">
        <v>960</v>
      </c>
      <c r="C2218" s="345" t="s">
        <v>119</v>
      </c>
      <c r="D2218" s="43">
        <v>-20</v>
      </c>
      <c r="E2218" s="230" t="s">
        <v>125</v>
      </c>
    </row>
    <row r="2219" spans="1:5">
      <c r="A2219" s="265">
        <v>45933</v>
      </c>
      <c r="B2219" s="342" t="s">
        <v>960</v>
      </c>
      <c r="C2219" s="345" t="s">
        <v>119</v>
      </c>
      <c r="D2219" s="43">
        <v>-9</v>
      </c>
      <c r="E2219" s="230" t="s">
        <v>125</v>
      </c>
    </row>
    <row r="2220" spans="1:5">
      <c r="A2220" s="265">
        <v>45933</v>
      </c>
      <c r="B2220" s="93" t="s">
        <v>807</v>
      </c>
      <c r="C2220" s="345" t="s">
        <v>119</v>
      </c>
      <c r="D2220" s="43">
        <v>-4</v>
      </c>
      <c r="E2220" s="230" t="s">
        <v>125</v>
      </c>
    </row>
    <row r="2221" spans="1:5">
      <c r="A2221" s="265">
        <v>45933</v>
      </c>
      <c r="B2221" s="84" t="s">
        <v>131</v>
      </c>
      <c r="C2221" s="345" t="s">
        <v>119</v>
      </c>
      <c r="D2221" s="43">
        <v>-13</v>
      </c>
      <c r="E2221" s="230" t="s">
        <v>125</v>
      </c>
    </row>
    <row r="2222" spans="1:5">
      <c r="A2222" s="265">
        <v>45933</v>
      </c>
      <c r="B2222" s="344" t="s">
        <v>1183</v>
      </c>
      <c r="C2222" s="345" t="s">
        <v>119</v>
      </c>
      <c r="D2222" s="43">
        <v>-6</v>
      </c>
      <c r="E2222" s="230" t="s">
        <v>125</v>
      </c>
    </row>
    <row r="2223" spans="1:5">
      <c r="A2223" s="265">
        <v>45933</v>
      </c>
      <c r="B2223" s="84" t="s">
        <v>131</v>
      </c>
      <c r="C2223" s="345" t="s">
        <v>119</v>
      </c>
      <c r="D2223" s="43">
        <v>-2</v>
      </c>
      <c r="E2223" s="230" t="s">
        <v>125</v>
      </c>
    </row>
    <row r="2224" spans="1:5">
      <c r="A2224" s="265">
        <v>45933</v>
      </c>
      <c r="B2224" s="93" t="s">
        <v>808</v>
      </c>
      <c r="C2224" s="345" t="s">
        <v>119</v>
      </c>
      <c r="D2224" s="43">
        <v>-2</v>
      </c>
      <c r="E2224" s="230" t="s">
        <v>125</v>
      </c>
    </row>
    <row r="2225" spans="1:5">
      <c r="A2225" s="265">
        <v>45933</v>
      </c>
      <c r="B2225" s="93" t="s">
        <v>975</v>
      </c>
      <c r="C2225" s="345" t="s">
        <v>119</v>
      </c>
      <c r="D2225" s="43">
        <v>-13</v>
      </c>
      <c r="E2225" s="230" t="s">
        <v>125</v>
      </c>
    </row>
    <row r="2226" spans="1:5">
      <c r="A2226" s="265">
        <v>45933</v>
      </c>
      <c r="B2226" s="93" t="s">
        <v>806</v>
      </c>
      <c r="C2226" s="345" t="s">
        <v>119</v>
      </c>
      <c r="D2226" s="43">
        <v>-9</v>
      </c>
      <c r="E2226" s="230" t="s">
        <v>125</v>
      </c>
    </row>
    <row r="2227" spans="1:5">
      <c r="A2227" s="265">
        <v>45933</v>
      </c>
      <c r="B2227" s="343" t="s">
        <v>1246</v>
      </c>
      <c r="C2227" s="345" t="s">
        <v>119</v>
      </c>
      <c r="D2227" s="43">
        <v>-3</v>
      </c>
      <c r="E2227" s="230" t="s">
        <v>125</v>
      </c>
    </row>
    <row r="2228" spans="1:5">
      <c r="A2228" s="265">
        <v>45933</v>
      </c>
      <c r="B2228" s="343" t="s">
        <v>1246</v>
      </c>
      <c r="C2228" s="345" t="s">
        <v>119</v>
      </c>
      <c r="D2228" s="43">
        <v>-2</v>
      </c>
      <c r="E2228" s="230" t="s">
        <v>125</v>
      </c>
    </row>
    <row r="2229" spans="1:5">
      <c r="A2229" s="265">
        <v>45933</v>
      </c>
      <c r="B2229" s="343" t="s">
        <v>1249</v>
      </c>
      <c r="C2229" s="345" t="s">
        <v>119</v>
      </c>
      <c r="D2229" s="43">
        <v>-4</v>
      </c>
      <c r="E2229" s="230" t="s">
        <v>125</v>
      </c>
    </row>
    <row r="2230" spans="1:5">
      <c r="A2230" s="265">
        <v>45933</v>
      </c>
      <c r="B2230" s="343" t="s">
        <v>1289</v>
      </c>
      <c r="C2230" s="345" t="s">
        <v>119</v>
      </c>
      <c r="D2230" s="43">
        <v>-1</v>
      </c>
      <c r="E2230" s="230" t="s">
        <v>125</v>
      </c>
    </row>
    <row r="2231" spans="1:5">
      <c r="A2231" s="265">
        <v>45933</v>
      </c>
      <c r="B2231" s="343" t="s">
        <v>1271</v>
      </c>
      <c r="C2231" s="345" t="s">
        <v>119</v>
      </c>
      <c r="D2231" s="43">
        <v>-1</v>
      </c>
      <c r="E2231" s="230" t="s">
        <v>125</v>
      </c>
    </row>
    <row r="2232" spans="1:5">
      <c r="A2232" s="265">
        <v>45933</v>
      </c>
      <c r="B2232" s="343" t="s">
        <v>1301</v>
      </c>
      <c r="C2232" s="345" t="s">
        <v>119</v>
      </c>
      <c r="D2232" s="43">
        <v>-2</v>
      </c>
      <c r="E2232" s="230" t="s">
        <v>125</v>
      </c>
    </row>
    <row r="2233" spans="1:5">
      <c r="A2233" s="265">
        <v>45933</v>
      </c>
      <c r="B2233" s="343" t="s">
        <v>1301</v>
      </c>
      <c r="C2233" s="345" t="s">
        <v>119</v>
      </c>
      <c r="D2233" s="43">
        <v>-3</v>
      </c>
      <c r="E2233" s="230" t="s">
        <v>125</v>
      </c>
    </row>
    <row r="2234" spans="1:5">
      <c r="A2234" s="265">
        <v>45933</v>
      </c>
      <c r="B2234" s="84" t="s">
        <v>134</v>
      </c>
      <c r="C2234" s="345" t="s">
        <v>119</v>
      </c>
      <c r="D2234" s="43">
        <v>-2</v>
      </c>
      <c r="E2234" s="230" t="s">
        <v>125</v>
      </c>
    </row>
    <row r="2235" spans="1:5">
      <c r="A2235" s="265">
        <v>45933</v>
      </c>
      <c r="B2235" s="84" t="s">
        <v>134</v>
      </c>
      <c r="C2235" s="345" t="s">
        <v>119</v>
      </c>
      <c r="D2235" s="43">
        <v>-4</v>
      </c>
      <c r="E2235" s="230" t="s">
        <v>125</v>
      </c>
    </row>
    <row r="2236" spans="1:5">
      <c r="A2236" s="265">
        <v>45933</v>
      </c>
      <c r="B2236" s="84" t="s">
        <v>134</v>
      </c>
      <c r="C2236" s="345" t="s">
        <v>119</v>
      </c>
      <c r="D2236" s="43">
        <v>-2</v>
      </c>
      <c r="E2236" s="230" t="s">
        <v>125</v>
      </c>
    </row>
    <row r="2237" spans="1:5">
      <c r="A2237" s="265">
        <v>45933</v>
      </c>
      <c r="B2237" s="93" t="s">
        <v>166</v>
      </c>
      <c r="C2237" s="345" t="s">
        <v>119</v>
      </c>
      <c r="D2237" s="43">
        <v>-1</v>
      </c>
      <c r="E2237" s="230" t="s">
        <v>125</v>
      </c>
    </row>
    <row r="2238" spans="1:5">
      <c r="A2238" s="265">
        <v>45933</v>
      </c>
      <c r="B2238" s="93" t="s">
        <v>167</v>
      </c>
      <c r="C2238" s="345" t="s">
        <v>119</v>
      </c>
      <c r="D2238" s="43">
        <v>-1</v>
      </c>
      <c r="E2238" s="230" t="s">
        <v>125</v>
      </c>
    </row>
    <row r="2239" spans="1:5">
      <c r="A2239" s="265">
        <v>45933</v>
      </c>
      <c r="B2239" s="344" t="s">
        <v>1303</v>
      </c>
      <c r="C2239" s="345" t="s">
        <v>119</v>
      </c>
      <c r="D2239" s="43">
        <v>-6</v>
      </c>
      <c r="E2239" s="230" t="s">
        <v>125</v>
      </c>
    </row>
    <row r="2241" spans="1:6">
      <c r="A2241" s="323">
        <v>45933</v>
      </c>
      <c r="B2241" s="325" t="s">
        <v>975</v>
      </c>
      <c r="C2241" s="322" t="s">
        <v>682</v>
      </c>
      <c r="D2241" s="322">
        <v>13</v>
      </c>
      <c r="E2241" s="321" t="s">
        <v>125</v>
      </c>
    </row>
    <row r="2242" spans="1:6">
      <c r="A2242" s="323">
        <v>45933</v>
      </c>
      <c r="B2242" s="325" t="s">
        <v>807</v>
      </c>
      <c r="C2242" s="322" t="s">
        <v>682</v>
      </c>
      <c r="D2242" s="322">
        <v>4</v>
      </c>
      <c r="E2242" s="321" t="s">
        <v>125</v>
      </c>
    </row>
    <row r="2243" spans="1:6">
      <c r="A2243" s="323">
        <v>45933</v>
      </c>
      <c r="B2243" s="325" t="s">
        <v>806</v>
      </c>
      <c r="C2243" s="322" t="s">
        <v>682</v>
      </c>
      <c r="D2243" s="322">
        <v>9</v>
      </c>
      <c r="E2243" s="321" t="s">
        <v>125</v>
      </c>
    </row>
    <row r="2244" spans="1:6">
      <c r="A2244" s="323">
        <v>45933</v>
      </c>
      <c r="B2244" s="324" t="s">
        <v>960</v>
      </c>
      <c r="C2244" s="322" t="s">
        <v>682</v>
      </c>
      <c r="D2244" s="322">
        <v>25</v>
      </c>
      <c r="E2244" s="321" t="s">
        <v>125</v>
      </c>
    </row>
    <row r="2245" spans="1:6">
      <c r="A2245" s="323">
        <v>45933</v>
      </c>
      <c r="B2245" s="325" t="s">
        <v>808</v>
      </c>
      <c r="C2245" s="322" t="s">
        <v>682</v>
      </c>
      <c r="D2245" s="322">
        <v>2</v>
      </c>
      <c r="E2245" s="321" t="s">
        <v>125</v>
      </c>
    </row>
    <row r="2246" spans="1:6">
      <c r="A2246" s="323">
        <v>45933</v>
      </c>
      <c r="B2246" s="324" t="s">
        <v>131</v>
      </c>
      <c r="C2246" s="322" t="s">
        <v>682</v>
      </c>
      <c r="D2246" s="322">
        <v>2</v>
      </c>
      <c r="E2246" s="321" t="s">
        <v>125</v>
      </c>
    </row>
    <row r="2247" spans="1:6">
      <c r="A2247" s="323">
        <v>45933</v>
      </c>
      <c r="B2247" s="324" t="s">
        <v>131</v>
      </c>
      <c r="C2247" s="322" t="s">
        <v>682</v>
      </c>
      <c r="D2247" s="322">
        <v>13</v>
      </c>
      <c r="E2247" s="321" t="s">
        <v>125</v>
      </c>
    </row>
    <row r="2248" spans="1:6">
      <c r="A2248" s="323">
        <v>45933</v>
      </c>
      <c r="B2248" s="425" t="s">
        <v>1183</v>
      </c>
      <c r="C2248" s="322" t="s">
        <v>682</v>
      </c>
      <c r="D2248" s="322">
        <v>6</v>
      </c>
      <c r="E2248" s="321" t="s">
        <v>125</v>
      </c>
    </row>
    <row r="2250" spans="1:6">
      <c r="A2250" s="265">
        <v>45934</v>
      </c>
      <c r="B2250" s="344" t="s">
        <v>1151</v>
      </c>
      <c r="C2250" s="345" t="s">
        <v>119</v>
      </c>
      <c r="D2250" s="43">
        <v>-8</v>
      </c>
      <c r="E2250" s="230" t="s">
        <v>125</v>
      </c>
    </row>
    <row r="2251" spans="1:6">
      <c r="A2251" s="265">
        <v>45934</v>
      </c>
      <c r="B2251" s="93" t="s">
        <v>167</v>
      </c>
      <c r="C2251" s="345" t="s">
        <v>119</v>
      </c>
      <c r="D2251" s="43">
        <v>-1</v>
      </c>
      <c r="E2251" s="230" t="s">
        <v>125</v>
      </c>
    </row>
    <row r="2252" spans="1:6">
      <c r="A2252" s="265">
        <v>45934</v>
      </c>
      <c r="B2252" s="93" t="s">
        <v>166</v>
      </c>
      <c r="C2252" s="345" t="s">
        <v>119</v>
      </c>
      <c r="D2252" s="43">
        <v>-19</v>
      </c>
      <c r="E2252" s="230" t="s">
        <v>125</v>
      </c>
    </row>
    <row r="2253" spans="1:6">
      <c r="A2253" s="265">
        <v>45934</v>
      </c>
      <c r="B2253" s="84" t="s">
        <v>134</v>
      </c>
      <c r="C2253" s="345" t="s">
        <v>119</v>
      </c>
      <c r="D2253" s="43">
        <v>-2</v>
      </c>
      <c r="E2253" s="230" t="s">
        <v>125</v>
      </c>
    </row>
    <row r="2254" spans="1:6">
      <c r="A2254" s="265">
        <v>45934</v>
      </c>
      <c r="B2254" s="343" t="s">
        <v>1301</v>
      </c>
      <c r="C2254" s="345" t="s">
        <v>119</v>
      </c>
      <c r="D2254" s="43">
        <v>0</v>
      </c>
      <c r="E2254" s="230" t="s">
        <v>125</v>
      </c>
      <c r="F2254" t="s">
        <v>676</v>
      </c>
    </row>
    <row r="2255" spans="1:6">
      <c r="A2255" s="265">
        <v>45934</v>
      </c>
      <c r="B2255" s="343" t="s">
        <v>1249</v>
      </c>
      <c r="C2255" s="345" t="s">
        <v>119</v>
      </c>
      <c r="D2255" s="43">
        <v>-2</v>
      </c>
      <c r="E2255" s="230" t="s">
        <v>125</v>
      </c>
    </row>
    <row r="2256" spans="1:6">
      <c r="A2256" s="265">
        <v>45934</v>
      </c>
      <c r="B2256" s="343" t="s">
        <v>1290</v>
      </c>
      <c r="C2256" s="345" t="s">
        <v>119</v>
      </c>
      <c r="D2256" s="43">
        <v>-1</v>
      </c>
      <c r="E2256" s="230" t="s">
        <v>125</v>
      </c>
    </row>
    <row r="2257" spans="1:6">
      <c r="A2257" s="265">
        <v>45934</v>
      </c>
      <c r="B2257" s="343" t="s">
        <v>1246</v>
      </c>
      <c r="C2257" s="345" t="s">
        <v>119</v>
      </c>
      <c r="D2257" s="43">
        <v>-1</v>
      </c>
      <c r="E2257" s="230" t="s">
        <v>125</v>
      </c>
    </row>
    <row r="2258" spans="1:6">
      <c r="A2258" s="265">
        <v>45934</v>
      </c>
      <c r="B2258" s="84" t="s">
        <v>134</v>
      </c>
      <c r="C2258" s="345" t="s">
        <v>119</v>
      </c>
      <c r="D2258" s="43">
        <v>-5</v>
      </c>
      <c r="E2258" s="230" t="s">
        <v>125</v>
      </c>
    </row>
    <row r="2259" spans="1:6">
      <c r="A2259" s="265">
        <v>45934</v>
      </c>
      <c r="B2259" s="84" t="s">
        <v>134</v>
      </c>
      <c r="C2259" s="345" t="s">
        <v>119</v>
      </c>
      <c r="D2259" s="43">
        <v>-21</v>
      </c>
      <c r="E2259" s="230" t="s">
        <v>125</v>
      </c>
    </row>
    <row r="2261" spans="1:6">
      <c r="A2261" s="265">
        <v>45931</v>
      </c>
      <c r="B2261" s="93" t="s">
        <v>976</v>
      </c>
      <c r="C2261" s="345" t="s">
        <v>119</v>
      </c>
      <c r="D2261" s="43">
        <v>-3</v>
      </c>
      <c r="E2261" s="230" t="s">
        <v>125</v>
      </c>
    </row>
    <row r="2262" spans="1:6">
      <c r="A2262" s="265">
        <v>45931</v>
      </c>
      <c r="B2262" s="84" t="s">
        <v>135</v>
      </c>
      <c r="C2262" s="345" t="s">
        <v>119</v>
      </c>
      <c r="D2262" s="43">
        <v>-1</v>
      </c>
      <c r="E2262" s="230" t="s">
        <v>125</v>
      </c>
    </row>
    <row r="2263" spans="1:6">
      <c r="A2263" s="265">
        <v>45931</v>
      </c>
      <c r="B2263" s="343" t="s">
        <v>920</v>
      </c>
      <c r="C2263" s="345" t="s">
        <v>119</v>
      </c>
      <c r="D2263" s="43">
        <v>-1</v>
      </c>
      <c r="E2263" s="230" t="s">
        <v>125</v>
      </c>
    </row>
    <row r="2264" spans="1:6">
      <c r="A2264" s="265">
        <v>45931</v>
      </c>
      <c r="B2264" s="343" t="s">
        <v>1095</v>
      </c>
      <c r="C2264" s="345" t="s">
        <v>119</v>
      </c>
      <c r="D2264" s="43">
        <v>-2</v>
      </c>
      <c r="E2264" s="230" t="s">
        <v>125</v>
      </c>
      <c r="F2264" t="s">
        <v>733</v>
      </c>
    </row>
    <row r="2265" spans="1:6">
      <c r="A2265" s="265">
        <v>45931</v>
      </c>
      <c r="B2265" s="343" t="s">
        <v>920</v>
      </c>
      <c r="C2265" s="345" t="s">
        <v>119</v>
      </c>
      <c r="D2265" s="43">
        <v>0</v>
      </c>
      <c r="E2265" s="230" t="s">
        <v>125</v>
      </c>
      <c r="F2265" t="s">
        <v>676</v>
      </c>
    </row>
    <row r="2267" spans="1:6">
      <c r="A2267" s="265">
        <v>45934</v>
      </c>
      <c r="B2267" s="93" t="s">
        <v>94</v>
      </c>
      <c r="C2267" s="43" t="s">
        <v>1306</v>
      </c>
      <c r="D2267" s="43">
        <v>-1</v>
      </c>
      <c r="E2267" s="18"/>
    </row>
    <row r="2269" spans="1:6">
      <c r="A2269" s="265">
        <v>45936</v>
      </c>
      <c r="B2269" s="84" t="s">
        <v>131</v>
      </c>
      <c r="C2269" s="345" t="s">
        <v>119</v>
      </c>
      <c r="D2269" s="43">
        <v>-3</v>
      </c>
      <c r="E2269" s="230" t="s">
        <v>125</v>
      </c>
    </row>
    <row r="2270" spans="1:6">
      <c r="A2270" s="265">
        <v>45936</v>
      </c>
      <c r="B2270" s="84" t="s">
        <v>131</v>
      </c>
      <c r="C2270" s="345" t="s">
        <v>119</v>
      </c>
      <c r="D2270" s="43">
        <v>-5</v>
      </c>
      <c r="E2270" s="230" t="s">
        <v>125</v>
      </c>
    </row>
    <row r="2271" spans="1:6">
      <c r="A2271" s="265">
        <v>45936</v>
      </c>
      <c r="B2271" s="93" t="s">
        <v>806</v>
      </c>
      <c r="C2271" s="345" t="s">
        <v>119</v>
      </c>
      <c r="D2271" s="43">
        <v>-2</v>
      </c>
      <c r="E2271" s="230" t="s">
        <v>125</v>
      </c>
    </row>
    <row r="2272" spans="1:6">
      <c r="A2272" s="265">
        <v>45936</v>
      </c>
      <c r="B2272" s="93" t="s">
        <v>807</v>
      </c>
      <c r="C2272" s="345" t="s">
        <v>119</v>
      </c>
      <c r="D2272" s="43">
        <v>-3</v>
      </c>
      <c r="E2272" s="230" t="s">
        <v>125</v>
      </c>
    </row>
    <row r="2273" spans="1:5">
      <c r="A2273" s="265">
        <v>45936</v>
      </c>
      <c r="B2273" s="93" t="s">
        <v>808</v>
      </c>
      <c r="C2273" s="345" t="s">
        <v>119</v>
      </c>
      <c r="D2273" s="43">
        <v>-1</v>
      </c>
      <c r="E2273" s="230" t="s">
        <v>125</v>
      </c>
    </row>
    <row r="2274" spans="1:5">
      <c r="A2274" s="265">
        <v>45936</v>
      </c>
      <c r="B2274" s="84" t="s">
        <v>410</v>
      </c>
      <c r="C2274" s="345" t="s">
        <v>119</v>
      </c>
      <c r="D2274" s="43">
        <v>-1</v>
      </c>
      <c r="E2274" s="230" t="s">
        <v>125</v>
      </c>
    </row>
    <row r="2275" spans="1:5">
      <c r="A2275" s="265">
        <v>45936</v>
      </c>
      <c r="B2275" s="93" t="s">
        <v>975</v>
      </c>
      <c r="C2275" s="345" t="s">
        <v>119</v>
      </c>
      <c r="D2275" s="43">
        <v>-6</v>
      </c>
      <c r="E2275" s="230" t="s">
        <v>125</v>
      </c>
    </row>
    <row r="2276" spans="1:5">
      <c r="A2276" s="265">
        <v>45936</v>
      </c>
      <c r="B2276" s="93" t="s">
        <v>121</v>
      </c>
      <c r="C2276" s="345" t="s">
        <v>119</v>
      </c>
      <c r="D2276" s="43">
        <v>-30</v>
      </c>
      <c r="E2276" s="230" t="s">
        <v>125</v>
      </c>
    </row>
    <row r="2277" spans="1:5">
      <c r="A2277" s="265">
        <v>45936</v>
      </c>
      <c r="B2277" s="93" t="s">
        <v>121</v>
      </c>
      <c r="C2277" s="345" t="s">
        <v>119</v>
      </c>
      <c r="D2277" s="43">
        <v>-30</v>
      </c>
      <c r="E2277" s="230" t="s">
        <v>125</v>
      </c>
    </row>
    <row r="2278" spans="1:5">
      <c r="A2278" s="265">
        <v>45936</v>
      </c>
      <c r="B2278" s="93" t="s">
        <v>120</v>
      </c>
      <c r="C2278" s="345" t="s">
        <v>119</v>
      </c>
      <c r="D2278" s="43">
        <v>-30</v>
      </c>
      <c r="E2278" s="230" t="s">
        <v>125</v>
      </c>
    </row>
    <row r="2279" spans="1:5">
      <c r="A2279" s="265">
        <v>45936</v>
      </c>
      <c r="B2279" s="93" t="s">
        <v>1307</v>
      </c>
      <c r="C2279" s="345" t="s">
        <v>119</v>
      </c>
      <c r="D2279" s="43">
        <v>-4</v>
      </c>
      <c r="E2279" s="230" t="s">
        <v>125</v>
      </c>
    </row>
    <row r="2280" spans="1:5">
      <c r="A2280" s="265">
        <v>45936</v>
      </c>
      <c r="B2280" s="84" t="s">
        <v>131</v>
      </c>
      <c r="C2280" s="345" t="s">
        <v>119</v>
      </c>
      <c r="D2280" s="43">
        <v>-8</v>
      </c>
      <c r="E2280" s="230" t="s">
        <v>125</v>
      </c>
    </row>
    <row r="2281" spans="1:5">
      <c r="A2281" s="265">
        <v>45936</v>
      </c>
      <c r="B2281" s="84" t="s">
        <v>131</v>
      </c>
      <c r="C2281" s="345" t="s">
        <v>119</v>
      </c>
      <c r="D2281" s="43">
        <v>-5</v>
      </c>
      <c r="E2281" s="230" t="s">
        <v>125</v>
      </c>
    </row>
    <row r="2283" spans="1:5">
      <c r="A2283" s="323">
        <v>45936</v>
      </c>
      <c r="B2283" s="325" t="s">
        <v>1318</v>
      </c>
      <c r="C2283" s="322" t="s">
        <v>682</v>
      </c>
      <c r="D2283" s="322">
        <v>1</v>
      </c>
      <c r="E2283" s="321" t="s">
        <v>125</v>
      </c>
    </row>
    <row r="2284" spans="1:5">
      <c r="A2284" s="323">
        <v>45936</v>
      </c>
      <c r="B2284" s="325" t="s">
        <v>169</v>
      </c>
      <c r="C2284" s="322" t="s">
        <v>682</v>
      </c>
      <c r="D2284" s="322">
        <v>1</v>
      </c>
      <c r="E2284" s="321" t="s">
        <v>125</v>
      </c>
    </row>
    <row r="2285" spans="1:5">
      <c r="A2285" s="323">
        <v>45936</v>
      </c>
      <c r="B2285" s="325" t="s">
        <v>167</v>
      </c>
      <c r="C2285" s="322" t="s">
        <v>682</v>
      </c>
      <c r="D2285" s="322">
        <v>1</v>
      </c>
      <c r="E2285" s="321" t="s">
        <v>125</v>
      </c>
    </row>
    <row r="2286" spans="1:5">
      <c r="A2286" s="323">
        <v>45936</v>
      </c>
      <c r="B2286" s="324" t="s">
        <v>134</v>
      </c>
      <c r="C2286" s="322" t="s">
        <v>682</v>
      </c>
      <c r="D2286" s="322">
        <v>12</v>
      </c>
      <c r="E2286" s="321" t="s">
        <v>125</v>
      </c>
    </row>
    <row r="2287" spans="1:5">
      <c r="A2287" s="323">
        <v>45936</v>
      </c>
      <c r="B2287" s="324" t="s">
        <v>134</v>
      </c>
      <c r="C2287" s="322" t="s">
        <v>682</v>
      </c>
      <c r="D2287" s="322">
        <v>5</v>
      </c>
      <c r="E2287" s="321" t="s">
        <v>125</v>
      </c>
    </row>
    <row r="2288" spans="1:5">
      <c r="A2288" s="323">
        <v>45936</v>
      </c>
      <c r="B2288" s="325" t="s">
        <v>1319</v>
      </c>
      <c r="C2288" s="322" t="s">
        <v>682</v>
      </c>
      <c r="D2288" s="322">
        <v>1</v>
      </c>
      <c r="E2288" s="321" t="s">
        <v>125</v>
      </c>
    </row>
    <row r="2289" spans="1:6">
      <c r="A2289" s="323">
        <v>45936</v>
      </c>
      <c r="B2289" s="325" t="s">
        <v>1307</v>
      </c>
      <c r="C2289" s="322" t="s">
        <v>682</v>
      </c>
      <c r="D2289" s="322">
        <v>4</v>
      </c>
      <c r="E2289" s="321" t="s">
        <v>125</v>
      </c>
    </row>
    <row r="2290" spans="1:6">
      <c r="A2290" s="323">
        <v>45936</v>
      </c>
      <c r="B2290" s="325" t="s">
        <v>976</v>
      </c>
      <c r="C2290" s="322" t="s">
        <v>682</v>
      </c>
      <c r="D2290" s="322">
        <v>2</v>
      </c>
      <c r="E2290" s="321" t="s">
        <v>125</v>
      </c>
    </row>
    <row r="2291" spans="1:6">
      <c r="A2291" s="323">
        <v>45936</v>
      </c>
      <c r="B2291" s="324" t="s">
        <v>131</v>
      </c>
      <c r="C2291" s="322" t="s">
        <v>682</v>
      </c>
      <c r="D2291" s="322">
        <v>13</v>
      </c>
      <c r="E2291" s="321" t="s">
        <v>125</v>
      </c>
    </row>
    <row r="2292" spans="1:6">
      <c r="A2292" s="323">
        <v>45936</v>
      </c>
      <c r="B2292" s="325" t="s">
        <v>1311</v>
      </c>
      <c r="C2292" s="322" t="s">
        <v>682</v>
      </c>
      <c r="D2292" s="322">
        <v>15</v>
      </c>
      <c r="E2292" s="321" t="s">
        <v>125</v>
      </c>
    </row>
    <row r="2293" spans="1:6">
      <c r="A2293" s="323">
        <v>45936</v>
      </c>
      <c r="B2293" s="325" t="s">
        <v>1296</v>
      </c>
      <c r="C2293" s="322" t="s">
        <v>682</v>
      </c>
      <c r="D2293" s="322">
        <v>1</v>
      </c>
      <c r="E2293" s="321" t="s">
        <v>125</v>
      </c>
    </row>
    <row r="2294" spans="1:6">
      <c r="A2294" s="323">
        <v>45936</v>
      </c>
      <c r="B2294" s="325" t="s">
        <v>1148</v>
      </c>
      <c r="C2294" s="322" t="s">
        <v>682</v>
      </c>
      <c r="D2294" s="322">
        <v>1</v>
      </c>
      <c r="E2294" s="321" t="s">
        <v>125</v>
      </c>
    </row>
    <row r="2295" spans="1:6">
      <c r="A2295" s="323">
        <v>45936</v>
      </c>
      <c r="B2295" s="325" t="s">
        <v>1147</v>
      </c>
      <c r="C2295" s="322" t="s">
        <v>682</v>
      </c>
      <c r="D2295" s="322">
        <v>2</v>
      </c>
      <c r="E2295" s="321" t="s">
        <v>125</v>
      </c>
    </row>
    <row r="2296" spans="1:6">
      <c r="A2296" s="323">
        <v>45936</v>
      </c>
      <c r="B2296" s="325" t="s">
        <v>136</v>
      </c>
      <c r="C2296" s="322" t="s">
        <v>682</v>
      </c>
      <c r="D2296" s="322">
        <v>9</v>
      </c>
      <c r="E2296" s="321" t="s">
        <v>125</v>
      </c>
    </row>
    <row r="2297" spans="1:6">
      <c r="A2297" s="323">
        <v>45936</v>
      </c>
      <c r="B2297" s="325" t="s">
        <v>1312</v>
      </c>
      <c r="C2297" s="322" t="s">
        <v>682</v>
      </c>
      <c r="D2297" s="322">
        <v>14</v>
      </c>
      <c r="E2297" s="321" t="s">
        <v>125</v>
      </c>
    </row>
    <row r="2298" spans="1:6">
      <c r="A2298" s="323">
        <v>45936</v>
      </c>
      <c r="B2298" s="324" t="s">
        <v>135</v>
      </c>
      <c r="C2298" s="322" t="s">
        <v>682</v>
      </c>
      <c r="D2298" s="322">
        <v>2</v>
      </c>
      <c r="E2298" s="321" t="s">
        <v>125</v>
      </c>
    </row>
    <row r="2299" spans="1:6">
      <c r="A2299" s="323">
        <v>45936</v>
      </c>
      <c r="B2299" s="324" t="s">
        <v>919</v>
      </c>
      <c r="C2299" s="322" t="s">
        <v>682</v>
      </c>
      <c r="D2299" s="322">
        <v>3</v>
      </c>
      <c r="E2299" s="321" t="s">
        <v>125</v>
      </c>
    </row>
    <row r="2300" spans="1:6">
      <c r="A2300" s="323">
        <v>45936</v>
      </c>
      <c r="B2300" s="324" t="s">
        <v>919</v>
      </c>
      <c r="C2300" s="322" t="s">
        <v>682</v>
      </c>
      <c r="D2300" s="322">
        <v>1</v>
      </c>
      <c r="E2300" s="321" t="s">
        <v>125</v>
      </c>
    </row>
    <row r="2301" spans="1:6">
      <c r="A2301" s="323">
        <v>45936</v>
      </c>
      <c r="B2301" s="325" t="s">
        <v>1313</v>
      </c>
      <c r="C2301" s="322" t="s">
        <v>682</v>
      </c>
      <c r="D2301" s="322">
        <v>1</v>
      </c>
      <c r="E2301" s="321" t="s">
        <v>125</v>
      </c>
    </row>
    <row r="2302" spans="1:6">
      <c r="A2302" s="323">
        <v>45936</v>
      </c>
      <c r="B2302" s="325" t="s">
        <v>807</v>
      </c>
      <c r="C2302" s="322" t="s">
        <v>682</v>
      </c>
      <c r="D2302" s="322">
        <v>2</v>
      </c>
      <c r="E2302" s="321" t="s">
        <v>125</v>
      </c>
      <c r="F2302" s="230"/>
    </row>
    <row r="2303" spans="1:6">
      <c r="A2303" s="323">
        <v>45936</v>
      </c>
      <c r="B2303" s="325" t="s">
        <v>806</v>
      </c>
      <c r="C2303" s="322" t="s">
        <v>682</v>
      </c>
      <c r="D2303" s="322">
        <v>1</v>
      </c>
      <c r="E2303" s="321" t="s">
        <v>125</v>
      </c>
      <c r="F2303" s="230"/>
    </row>
    <row r="2304" spans="1:6">
      <c r="A2304" s="323">
        <v>45936</v>
      </c>
      <c r="B2304" s="425" t="s">
        <v>932</v>
      </c>
      <c r="C2304" s="322" t="s">
        <v>682</v>
      </c>
      <c r="D2304" s="322">
        <v>1</v>
      </c>
      <c r="E2304" s="321" t="s">
        <v>125</v>
      </c>
    </row>
    <row r="2305" spans="1:6">
      <c r="A2305" s="323">
        <v>45936</v>
      </c>
      <c r="B2305" s="325" t="s">
        <v>1314</v>
      </c>
      <c r="C2305" s="322" t="s">
        <v>682</v>
      </c>
      <c r="D2305" s="322">
        <v>12</v>
      </c>
      <c r="E2305" s="321" t="s">
        <v>125</v>
      </c>
      <c r="F2305" s="230"/>
    </row>
    <row r="2306" spans="1:6">
      <c r="A2306" s="323">
        <v>45936</v>
      </c>
      <c r="B2306" s="325" t="s">
        <v>975</v>
      </c>
      <c r="C2306" s="322" t="s">
        <v>682</v>
      </c>
      <c r="D2306" s="322">
        <v>6</v>
      </c>
      <c r="E2306" s="321" t="s">
        <v>125</v>
      </c>
    </row>
    <row r="2307" spans="1:6">
      <c r="A2307" s="323">
        <v>45936</v>
      </c>
      <c r="B2307" s="325" t="s">
        <v>1095</v>
      </c>
      <c r="C2307" s="322" t="s">
        <v>682</v>
      </c>
      <c r="D2307" s="322">
        <v>1</v>
      </c>
      <c r="E2307" s="321" t="s">
        <v>125</v>
      </c>
    </row>
    <row r="2308" spans="1:6">
      <c r="A2308" s="361"/>
      <c r="B2308" s="362"/>
      <c r="C2308" s="361"/>
      <c r="D2308" s="361"/>
      <c r="E2308" s="363"/>
    </row>
    <row r="2309" spans="1:6">
      <c r="A2309" s="265">
        <v>45936</v>
      </c>
      <c r="B2309" s="84" t="s">
        <v>134</v>
      </c>
      <c r="C2309" s="345" t="s">
        <v>119</v>
      </c>
      <c r="D2309" s="43">
        <v>-5</v>
      </c>
      <c r="E2309" s="230" t="s">
        <v>125</v>
      </c>
    </row>
    <row r="2310" spans="1:6">
      <c r="A2310" s="265">
        <v>45936</v>
      </c>
      <c r="B2310" s="84" t="s">
        <v>134</v>
      </c>
      <c r="C2310" s="345" t="s">
        <v>119</v>
      </c>
      <c r="D2310" s="43">
        <v>-2</v>
      </c>
      <c r="E2310" s="230" t="s">
        <v>125</v>
      </c>
      <c r="F2310" t="s">
        <v>677</v>
      </c>
    </row>
    <row r="2311" spans="1:6">
      <c r="A2311" s="265">
        <v>45936</v>
      </c>
      <c r="B2311" s="84" t="s">
        <v>134</v>
      </c>
      <c r="C2311" s="345" t="s">
        <v>119</v>
      </c>
      <c r="D2311" s="43">
        <v>-3</v>
      </c>
      <c r="E2311" s="230" t="s">
        <v>125</v>
      </c>
    </row>
    <row r="2312" spans="1:6">
      <c r="A2312" s="265">
        <v>45936</v>
      </c>
      <c r="B2312" s="84" t="s">
        <v>134</v>
      </c>
      <c r="C2312" s="345" t="s">
        <v>119</v>
      </c>
      <c r="D2312" s="43">
        <v>-4</v>
      </c>
      <c r="E2312" s="230" t="s">
        <v>125</v>
      </c>
    </row>
    <row r="2313" spans="1:6">
      <c r="A2313" s="265">
        <v>45936</v>
      </c>
      <c r="B2313" s="84" t="s">
        <v>134</v>
      </c>
      <c r="C2313" s="345" t="s">
        <v>119</v>
      </c>
      <c r="D2313" s="43">
        <v>-2</v>
      </c>
      <c r="E2313" s="230" t="s">
        <v>125</v>
      </c>
    </row>
    <row r="2314" spans="1:6">
      <c r="A2314" s="265">
        <v>45936</v>
      </c>
      <c r="B2314" s="84" t="s">
        <v>134</v>
      </c>
      <c r="C2314" s="345" t="s">
        <v>119</v>
      </c>
      <c r="D2314" s="43">
        <v>-3</v>
      </c>
      <c r="E2314" s="230" t="s">
        <v>125</v>
      </c>
    </row>
    <row r="2315" spans="1:6">
      <c r="A2315" s="265">
        <v>45936</v>
      </c>
      <c r="B2315" s="93" t="s">
        <v>167</v>
      </c>
      <c r="C2315" s="345" t="s">
        <v>119</v>
      </c>
      <c r="D2315" s="43">
        <v>-1</v>
      </c>
      <c r="E2315" s="230" t="s">
        <v>125</v>
      </c>
    </row>
    <row r="2316" spans="1:6">
      <c r="A2316" s="265">
        <v>45936</v>
      </c>
      <c r="B2316" s="93" t="s">
        <v>167</v>
      </c>
      <c r="C2316" s="345" t="s">
        <v>119</v>
      </c>
      <c r="D2316" s="43">
        <v>-1</v>
      </c>
      <c r="E2316" s="230" t="s">
        <v>125</v>
      </c>
    </row>
    <row r="2317" spans="1:6">
      <c r="A2317" s="265">
        <v>45936</v>
      </c>
      <c r="B2317" s="343" t="s">
        <v>1319</v>
      </c>
      <c r="C2317" s="345" t="s">
        <v>119</v>
      </c>
      <c r="D2317" s="43">
        <v>-1</v>
      </c>
      <c r="E2317" s="230" t="s">
        <v>125</v>
      </c>
    </row>
    <row r="2319" spans="1:6">
      <c r="A2319" s="437">
        <v>45936</v>
      </c>
      <c r="B2319" s="222" t="s">
        <v>807</v>
      </c>
      <c r="C2319" s="220" t="s">
        <v>1324</v>
      </c>
      <c r="D2319" s="220">
        <v>1</v>
      </c>
      <c r="E2319" s="438" t="s">
        <v>125</v>
      </c>
    </row>
    <row r="2320" spans="1:6">
      <c r="A2320" s="437">
        <v>45936</v>
      </c>
      <c r="B2320" s="222" t="s">
        <v>808</v>
      </c>
      <c r="C2320" s="220" t="s">
        <v>1324</v>
      </c>
      <c r="D2320" s="220">
        <v>1</v>
      </c>
      <c r="E2320" s="438" t="s">
        <v>125</v>
      </c>
    </row>
    <row r="2322" spans="1:6">
      <c r="A2322" s="265">
        <v>45936</v>
      </c>
      <c r="B2322" s="84" t="s">
        <v>134</v>
      </c>
      <c r="C2322" s="345" t="s">
        <v>119</v>
      </c>
      <c r="D2322" s="43">
        <v>-3</v>
      </c>
      <c r="E2322" s="230" t="s">
        <v>125</v>
      </c>
    </row>
    <row r="2323" spans="1:6">
      <c r="A2323" s="265">
        <v>45936</v>
      </c>
      <c r="B2323" s="84" t="s">
        <v>134</v>
      </c>
      <c r="C2323" s="345" t="s">
        <v>119</v>
      </c>
      <c r="D2323" s="43">
        <v>-3</v>
      </c>
      <c r="E2323" s="230" t="s">
        <v>125</v>
      </c>
    </row>
    <row r="2324" spans="1:6">
      <c r="A2324" s="265">
        <v>45936</v>
      </c>
      <c r="B2324" s="84" t="s">
        <v>134</v>
      </c>
      <c r="C2324" s="345" t="s">
        <v>119</v>
      </c>
      <c r="D2324" s="43">
        <v>-2</v>
      </c>
      <c r="E2324" s="230" t="s">
        <v>125</v>
      </c>
    </row>
    <row r="2326" spans="1:6">
      <c r="A2326" s="265">
        <v>45937</v>
      </c>
      <c r="B2326" s="92" t="s">
        <v>672</v>
      </c>
      <c r="C2326" s="345" t="s">
        <v>119</v>
      </c>
      <c r="D2326" s="43">
        <v>-3</v>
      </c>
      <c r="E2326" s="230" t="s">
        <v>125</v>
      </c>
    </row>
    <row r="2327" spans="1:6">
      <c r="A2327" s="265">
        <v>45937</v>
      </c>
      <c r="B2327" s="343" t="s">
        <v>1270</v>
      </c>
      <c r="C2327" s="345" t="s">
        <v>119</v>
      </c>
      <c r="D2327" s="43">
        <v>-2</v>
      </c>
      <c r="E2327" s="230" t="s">
        <v>125</v>
      </c>
    </row>
    <row r="2328" spans="1:6">
      <c r="A2328" s="265">
        <v>45937</v>
      </c>
      <c r="B2328" s="343" t="s">
        <v>1314</v>
      </c>
      <c r="C2328" s="345" t="s">
        <v>119</v>
      </c>
      <c r="D2328" s="43">
        <v>-4</v>
      </c>
      <c r="E2328" s="230" t="s">
        <v>125</v>
      </c>
    </row>
    <row r="2330" spans="1:6">
      <c r="A2330" s="265">
        <v>45938</v>
      </c>
      <c r="B2330" s="343" t="s">
        <v>1291</v>
      </c>
      <c r="C2330" s="345" t="s">
        <v>119</v>
      </c>
      <c r="D2330" s="43">
        <v>-3</v>
      </c>
      <c r="E2330" s="230" t="s">
        <v>125</v>
      </c>
    </row>
    <row r="2331" spans="1:6">
      <c r="A2331" s="265">
        <v>45938</v>
      </c>
      <c r="B2331" s="84" t="s">
        <v>919</v>
      </c>
      <c r="C2331" s="345" t="s">
        <v>119</v>
      </c>
      <c r="D2331" s="43">
        <v>-3</v>
      </c>
      <c r="E2331" s="230" t="s">
        <v>125</v>
      </c>
      <c r="F2331" t="s">
        <v>1396</v>
      </c>
    </row>
    <row r="2332" spans="1:6">
      <c r="A2332" s="265">
        <v>45938</v>
      </c>
      <c r="B2332" s="93" t="s">
        <v>976</v>
      </c>
      <c r="C2332" s="345" t="s">
        <v>119</v>
      </c>
      <c r="D2332" s="43">
        <v>-2</v>
      </c>
      <c r="E2332" s="230" t="s">
        <v>125</v>
      </c>
    </row>
    <row r="2333" spans="1:6">
      <c r="A2333" s="265">
        <v>45938</v>
      </c>
      <c r="B2333" s="343" t="s">
        <v>1313</v>
      </c>
      <c r="C2333" s="345" t="s">
        <v>119</v>
      </c>
      <c r="D2333" s="43">
        <v>0</v>
      </c>
      <c r="E2333" s="230" t="s">
        <v>125</v>
      </c>
      <c r="F2333" t="s">
        <v>676</v>
      </c>
    </row>
    <row r="2334" spans="1:6">
      <c r="A2334" s="265">
        <v>45938</v>
      </c>
      <c r="B2334" s="343" t="s">
        <v>136</v>
      </c>
      <c r="C2334" s="345" t="s">
        <v>119</v>
      </c>
      <c r="D2334" s="43">
        <v>-9</v>
      </c>
      <c r="E2334" s="230" t="s">
        <v>125</v>
      </c>
    </row>
    <row r="2336" spans="1:6">
      <c r="A2336" s="346">
        <v>45938</v>
      </c>
      <c r="B2336" s="349" t="s">
        <v>1095</v>
      </c>
      <c r="C2336" s="348" t="s">
        <v>921</v>
      </c>
      <c r="D2336" s="348">
        <v>1</v>
      </c>
      <c r="E2336" s="360" t="s">
        <v>125</v>
      </c>
      <c r="F2336" t="s">
        <v>1335</v>
      </c>
    </row>
    <row r="2337" spans="1:5">
      <c r="A2337" s="346">
        <v>45938</v>
      </c>
      <c r="B2337" s="347" t="s">
        <v>919</v>
      </c>
      <c r="C2337" s="348" t="s">
        <v>921</v>
      </c>
      <c r="D2337" s="348">
        <v>1</v>
      </c>
      <c r="E2337" s="360" t="s">
        <v>125</v>
      </c>
    </row>
    <row r="2338" spans="1:5">
      <c r="A2338" s="346">
        <v>45938</v>
      </c>
      <c r="B2338" s="349" t="s">
        <v>1318</v>
      </c>
      <c r="C2338" s="348" t="s">
        <v>921</v>
      </c>
      <c r="D2338" s="348">
        <v>1</v>
      </c>
      <c r="E2338" s="360" t="s">
        <v>125</v>
      </c>
    </row>
    <row r="2339" spans="1:5">
      <c r="A2339" s="346">
        <v>45938</v>
      </c>
      <c r="B2339" s="347" t="s">
        <v>134</v>
      </c>
      <c r="C2339" s="348" t="s">
        <v>921</v>
      </c>
      <c r="D2339" s="348">
        <v>1</v>
      </c>
      <c r="E2339" s="360" t="s">
        <v>125</v>
      </c>
    </row>
    <row r="2340" spans="1:5">
      <c r="A2340" s="346">
        <v>45938</v>
      </c>
      <c r="B2340" s="350" t="s">
        <v>928</v>
      </c>
      <c r="C2340" s="348" t="s">
        <v>921</v>
      </c>
      <c r="D2340" s="348">
        <v>2</v>
      </c>
      <c r="E2340" s="360" t="s">
        <v>125</v>
      </c>
    </row>
    <row r="2341" spans="1:5">
      <c r="A2341" s="346">
        <v>45938</v>
      </c>
      <c r="B2341" s="349" t="s">
        <v>167</v>
      </c>
      <c r="C2341" s="348" t="s">
        <v>921</v>
      </c>
      <c r="D2341" s="348">
        <v>1</v>
      </c>
      <c r="E2341" s="360" t="s">
        <v>125</v>
      </c>
    </row>
    <row r="2342" spans="1:5">
      <c r="A2342" s="346">
        <v>45938</v>
      </c>
      <c r="B2342" s="349" t="s">
        <v>1319</v>
      </c>
      <c r="C2342" s="348" t="s">
        <v>921</v>
      </c>
      <c r="D2342" s="348">
        <v>1</v>
      </c>
      <c r="E2342" s="360" t="s">
        <v>125</v>
      </c>
    </row>
    <row r="2343" spans="1:5">
      <c r="A2343" s="346">
        <v>45938</v>
      </c>
      <c r="B2343" s="349" t="s">
        <v>1326</v>
      </c>
      <c r="C2343" s="348" t="s">
        <v>921</v>
      </c>
      <c r="D2343" s="348">
        <v>1</v>
      </c>
      <c r="E2343" s="360" t="s">
        <v>125</v>
      </c>
    </row>
    <row r="2344" spans="1:5">
      <c r="A2344" s="346">
        <v>45938</v>
      </c>
      <c r="B2344" s="349" t="s">
        <v>1246</v>
      </c>
      <c r="C2344" s="348" t="s">
        <v>921</v>
      </c>
      <c r="D2344" s="348">
        <v>1</v>
      </c>
      <c r="E2344" s="360" t="s">
        <v>125</v>
      </c>
    </row>
    <row r="2345" spans="1:5">
      <c r="A2345" s="346">
        <v>45938</v>
      </c>
      <c r="B2345" s="349" t="s">
        <v>1249</v>
      </c>
      <c r="C2345" s="348" t="s">
        <v>921</v>
      </c>
      <c r="D2345" s="348">
        <v>1</v>
      </c>
      <c r="E2345" s="360" t="s">
        <v>125</v>
      </c>
    </row>
    <row r="2346" spans="1:5">
      <c r="A2346" s="346">
        <v>45938</v>
      </c>
      <c r="B2346" s="349" t="s">
        <v>1271</v>
      </c>
      <c r="C2346" s="348" t="s">
        <v>921</v>
      </c>
      <c r="D2346" s="348">
        <v>1</v>
      </c>
      <c r="E2346" s="360" t="s">
        <v>125</v>
      </c>
    </row>
    <row r="2347" spans="1:5">
      <c r="A2347" s="346">
        <v>45938</v>
      </c>
      <c r="B2347" s="349" t="s">
        <v>1327</v>
      </c>
      <c r="C2347" s="348" t="s">
        <v>921</v>
      </c>
      <c r="D2347" s="348">
        <v>3</v>
      </c>
      <c r="E2347" s="360" t="s">
        <v>125</v>
      </c>
    </row>
    <row r="2348" spans="1:5">
      <c r="A2348" s="346">
        <v>45938</v>
      </c>
      <c r="B2348" s="349" t="s">
        <v>1334</v>
      </c>
      <c r="C2348" s="348" t="s">
        <v>921</v>
      </c>
      <c r="D2348" s="348">
        <v>2</v>
      </c>
      <c r="E2348" s="360" t="s">
        <v>125</v>
      </c>
    </row>
    <row r="2349" spans="1:5">
      <c r="A2349" s="346">
        <v>45938</v>
      </c>
      <c r="B2349" s="349" t="s">
        <v>1291</v>
      </c>
      <c r="C2349" s="348" t="s">
        <v>921</v>
      </c>
      <c r="D2349" s="348">
        <v>1</v>
      </c>
      <c r="E2349" s="360" t="s">
        <v>125</v>
      </c>
    </row>
    <row r="2350" spans="1:5">
      <c r="A2350" s="346">
        <v>45938</v>
      </c>
      <c r="B2350" s="349" t="s">
        <v>1097</v>
      </c>
      <c r="C2350" s="348" t="s">
        <v>921</v>
      </c>
      <c r="D2350" s="348">
        <v>1</v>
      </c>
      <c r="E2350" s="360" t="s">
        <v>125</v>
      </c>
    </row>
    <row r="2351" spans="1:5">
      <c r="A2351" s="346">
        <v>45938</v>
      </c>
      <c r="B2351" s="351" t="s">
        <v>932</v>
      </c>
      <c r="C2351" s="348" t="s">
        <v>921</v>
      </c>
      <c r="D2351" s="348">
        <v>6</v>
      </c>
      <c r="E2351" s="360" t="s">
        <v>125</v>
      </c>
    </row>
    <row r="2352" spans="1:5">
      <c r="A2352" s="346">
        <v>45938</v>
      </c>
      <c r="B2352" s="349" t="s">
        <v>1094</v>
      </c>
      <c r="C2352" s="348" t="s">
        <v>921</v>
      </c>
      <c r="D2352" s="348">
        <v>1</v>
      </c>
      <c r="E2352" s="360" t="s">
        <v>125</v>
      </c>
    </row>
    <row r="2353" spans="1:6">
      <c r="A2353" s="346">
        <v>45938</v>
      </c>
      <c r="B2353" s="349" t="s">
        <v>169</v>
      </c>
      <c r="C2353" s="348" t="s">
        <v>921</v>
      </c>
      <c r="D2353" s="348">
        <v>1</v>
      </c>
      <c r="E2353" s="360" t="s">
        <v>125</v>
      </c>
    </row>
    <row r="2355" spans="1:6">
      <c r="A2355" s="265">
        <v>45939</v>
      </c>
      <c r="B2355" s="343" t="s">
        <v>1314</v>
      </c>
      <c r="C2355" s="345" t="s">
        <v>119</v>
      </c>
      <c r="D2355" s="43">
        <v>-8</v>
      </c>
      <c r="E2355" s="230" t="s">
        <v>125</v>
      </c>
    </row>
    <row r="2356" spans="1:6">
      <c r="A2356" s="265">
        <v>45939</v>
      </c>
      <c r="B2356" s="343" t="s">
        <v>1312</v>
      </c>
      <c r="C2356" s="345" t="s">
        <v>119</v>
      </c>
      <c r="D2356" s="43">
        <v>-14</v>
      </c>
      <c r="E2356" s="230" t="s">
        <v>125</v>
      </c>
    </row>
    <row r="2357" spans="1:6">
      <c r="A2357" s="265">
        <v>45939</v>
      </c>
      <c r="B2357" s="343" t="s">
        <v>1311</v>
      </c>
      <c r="C2357" s="345" t="s">
        <v>119</v>
      </c>
      <c r="D2357" s="43">
        <v>-15</v>
      </c>
      <c r="E2357" s="230" t="s">
        <v>125</v>
      </c>
    </row>
    <row r="2358" spans="1:6">
      <c r="A2358" s="265">
        <v>45939</v>
      </c>
      <c r="B2358" s="84" t="s">
        <v>134</v>
      </c>
      <c r="C2358" s="345" t="s">
        <v>119</v>
      </c>
      <c r="D2358" s="43">
        <v>-1</v>
      </c>
      <c r="E2358" s="230" t="s">
        <v>125</v>
      </c>
    </row>
    <row r="2359" spans="1:6">
      <c r="A2359" s="265">
        <v>45939</v>
      </c>
      <c r="B2359" s="92" t="s">
        <v>671</v>
      </c>
      <c r="C2359" s="345" t="s">
        <v>119</v>
      </c>
      <c r="D2359" s="43">
        <v>-10</v>
      </c>
      <c r="E2359" s="230" t="s">
        <v>125</v>
      </c>
    </row>
    <row r="2360" spans="1:6">
      <c r="A2360" s="265">
        <v>45939</v>
      </c>
      <c r="B2360" s="343" t="s">
        <v>1246</v>
      </c>
      <c r="C2360" s="43" t="s">
        <v>678</v>
      </c>
      <c r="D2360" s="43">
        <v>-1</v>
      </c>
      <c r="E2360" s="230" t="s">
        <v>125</v>
      </c>
    </row>
    <row r="2361" spans="1:6">
      <c r="A2361" s="265">
        <v>45938</v>
      </c>
      <c r="B2361" s="343" t="s">
        <v>1327</v>
      </c>
      <c r="C2361" s="345" t="s">
        <v>119</v>
      </c>
      <c r="D2361" s="43">
        <v>-3</v>
      </c>
      <c r="E2361" s="230" t="s">
        <v>125</v>
      </c>
    </row>
    <row r="2362" spans="1:6">
      <c r="A2362" s="265">
        <v>45938</v>
      </c>
      <c r="B2362" s="84" t="s">
        <v>134</v>
      </c>
      <c r="C2362" s="345" t="s">
        <v>119</v>
      </c>
      <c r="D2362" s="43">
        <v>-1</v>
      </c>
      <c r="E2362" s="230" t="s">
        <v>125</v>
      </c>
      <c r="F2362" t="s">
        <v>1336</v>
      </c>
    </row>
    <row r="2363" spans="1:6">
      <c r="A2363" s="265">
        <v>45938</v>
      </c>
      <c r="B2363" s="84" t="s">
        <v>134</v>
      </c>
      <c r="C2363" s="345" t="s">
        <v>119</v>
      </c>
      <c r="D2363" s="43">
        <v>-1</v>
      </c>
      <c r="E2363" s="230" t="s">
        <v>125</v>
      </c>
      <c r="F2363" t="s">
        <v>1336</v>
      </c>
    </row>
    <row r="2364" spans="1:6">
      <c r="A2364" s="265">
        <v>45938</v>
      </c>
      <c r="B2364" s="147" t="s">
        <v>928</v>
      </c>
      <c r="C2364" s="345" t="s">
        <v>119</v>
      </c>
      <c r="D2364" s="43">
        <v>-2</v>
      </c>
      <c r="E2364" s="230" t="s">
        <v>125</v>
      </c>
    </row>
    <row r="2365" spans="1:6">
      <c r="A2365" s="265">
        <v>45938</v>
      </c>
      <c r="B2365" s="93" t="s">
        <v>167</v>
      </c>
      <c r="C2365" s="345" t="s">
        <v>119</v>
      </c>
      <c r="D2365" s="43">
        <v>-1</v>
      </c>
      <c r="E2365" s="230" t="s">
        <v>125</v>
      </c>
    </row>
    <row r="2366" spans="1:6">
      <c r="A2366" s="265">
        <v>45938</v>
      </c>
      <c r="B2366" s="93" t="s">
        <v>169</v>
      </c>
      <c r="C2366" s="345" t="s">
        <v>119</v>
      </c>
      <c r="D2366" s="43">
        <v>-1</v>
      </c>
      <c r="E2366" s="230" t="s">
        <v>125</v>
      </c>
    </row>
    <row r="2367" spans="1:6">
      <c r="A2367" s="265">
        <v>45938</v>
      </c>
      <c r="B2367" s="343" t="s">
        <v>1319</v>
      </c>
      <c r="C2367" s="345" t="s">
        <v>119</v>
      </c>
      <c r="D2367" s="43">
        <v>-1</v>
      </c>
      <c r="E2367" s="230" t="s">
        <v>125</v>
      </c>
    </row>
    <row r="2368" spans="1:6">
      <c r="A2368" s="265">
        <v>45938</v>
      </c>
      <c r="B2368" s="343" t="s">
        <v>1326</v>
      </c>
      <c r="C2368" s="345" t="s">
        <v>119</v>
      </c>
      <c r="D2368" s="43">
        <v>-1</v>
      </c>
      <c r="E2368" s="230" t="s">
        <v>125</v>
      </c>
    </row>
    <row r="2369" spans="1:6">
      <c r="A2369" s="265">
        <v>45938</v>
      </c>
      <c r="B2369" s="93" t="s">
        <v>1095</v>
      </c>
      <c r="C2369" s="345" t="s">
        <v>119</v>
      </c>
      <c r="D2369" s="43">
        <v>-7</v>
      </c>
      <c r="E2369" s="230" t="s">
        <v>125</v>
      </c>
    </row>
    <row r="2370" spans="1:6">
      <c r="A2370" s="265">
        <v>45938</v>
      </c>
      <c r="B2370" s="343" t="s">
        <v>1259</v>
      </c>
      <c r="C2370" s="345" t="s">
        <v>119</v>
      </c>
      <c r="D2370" s="43">
        <v>-1</v>
      </c>
      <c r="E2370" s="230" t="s">
        <v>125</v>
      </c>
    </row>
    <row r="2371" spans="1:6">
      <c r="A2371" s="265">
        <v>45938</v>
      </c>
      <c r="B2371" s="84" t="s">
        <v>135</v>
      </c>
      <c r="C2371" s="345" t="s">
        <v>119</v>
      </c>
      <c r="D2371" s="43">
        <v>-14</v>
      </c>
      <c r="E2371" s="230" t="s">
        <v>125</v>
      </c>
    </row>
    <row r="2372" spans="1:6">
      <c r="A2372" s="265">
        <v>45938</v>
      </c>
      <c r="B2372" s="84" t="s">
        <v>919</v>
      </c>
      <c r="C2372" s="345" t="s">
        <v>119</v>
      </c>
      <c r="D2372" s="43">
        <v>-9</v>
      </c>
      <c r="E2372" s="230" t="s">
        <v>125</v>
      </c>
    </row>
    <row r="2373" spans="1:6">
      <c r="A2373" s="265">
        <v>45938</v>
      </c>
      <c r="B2373" s="344" t="s">
        <v>1147</v>
      </c>
      <c r="C2373" s="345" t="s">
        <v>119</v>
      </c>
      <c r="D2373" s="43">
        <v>-2</v>
      </c>
      <c r="E2373" s="230" t="s">
        <v>125</v>
      </c>
    </row>
    <row r="2374" spans="1:6">
      <c r="A2374" s="265">
        <v>45938</v>
      </c>
      <c r="B2374" s="344" t="s">
        <v>1147</v>
      </c>
      <c r="C2374" s="345" t="s">
        <v>119</v>
      </c>
      <c r="D2374" s="43">
        <v>-1</v>
      </c>
      <c r="E2374" s="230" t="s">
        <v>125</v>
      </c>
    </row>
    <row r="2375" spans="1:6">
      <c r="A2375" s="265">
        <v>45938</v>
      </c>
      <c r="B2375" s="343" t="s">
        <v>1299</v>
      </c>
      <c r="C2375" s="345" t="s">
        <v>119</v>
      </c>
      <c r="D2375" s="43">
        <v>-1</v>
      </c>
      <c r="E2375" s="230" t="s">
        <v>125</v>
      </c>
    </row>
    <row r="2376" spans="1:6">
      <c r="A2376" s="265">
        <v>45938</v>
      </c>
      <c r="B2376" s="344" t="s">
        <v>1148</v>
      </c>
      <c r="C2376" s="345" t="s">
        <v>119</v>
      </c>
      <c r="D2376" s="43">
        <v>-1</v>
      </c>
      <c r="E2376" s="230" t="s">
        <v>125</v>
      </c>
    </row>
    <row r="2377" spans="1:6">
      <c r="A2377" s="265">
        <v>45938</v>
      </c>
      <c r="B2377" s="343" t="s">
        <v>1296</v>
      </c>
      <c r="C2377" s="345" t="s">
        <v>119</v>
      </c>
      <c r="D2377" s="43">
        <v>-2</v>
      </c>
      <c r="E2377" s="230" t="s">
        <v>125</v>
      </c>
    </row>
    <row r="2378" spans="1:6">
      <c r="A2378" s="265">
        <v>45938</v>
      </c>
      <c r="B2378" s="343" t="s">
        <v>1297</v>
      </c>
      <c r="C2378" s="345" t="s">
        <v>119</v>
      </c>
      <c r="D2378" s="43">
        <v>-2</v>
      </c>
      <c r="E2378" s="230" t="s">
        <v>125</v>
      </c>
    </row>
    <row r="2379" spans="1:6">
      <c r="A2379" s="265">
        <v>45938</v>
      </c>
      <c r="B2379" s="343" t="s">
        <v>1300</v>
      </c>
      <c r="C2379" s="345" t="s">
        <v>119</v>
      </c>
      <c r="D2379" s="43">
        <v>0</v>
      </c>
      <c r="E2379" s="230" t="s">
        <v>125</v>
      </c>
      <c r="F2379" t="s">
        <v>676</v>
      </c>
    </row>
    <row r="2380" spans="1:6">
      <c r="A2380" s="265">
        <v>45938</v>
      </c>
      <c r="B2380" s="343" t="s">
        <v>1302</v>
      </c>
      <c r="C2380" s="345" t="s">
        <v>119</v>
      </c>
      <c r="D2380" s="43">
        <v>-1</v>
      </c>
      <c r="E2380" s="230" t="s">
        <v>125</v>
      </c>
    </row>
    <row r="2381" spans="1:6">
      <c r="A2381" s="265">
        <v>45939</v>
      </c>
      <c r="B2381" s="93" t="s">
        <v>169</v>
      </c>
      <c r="C2381" s="345" t="s">
        <v>119</v>
      </c>
      <c r="D2381" s="43">
        <v>-2</v>
      </c>
      <c r="E2381" s="230" t="s">
        <v>125</v>
      </c>
    </row>
    <row r="2382" spans="1:6">
      <c r="A2382" s="265">
        <v>45939</v>
      </c>
      <c r="B2382" s="343" t="s">
        <v>1318</v>
      </c>
      <c r="C2382" s="345" t="s">
        <v>119</v>
      </c>
      <c r="D2382" s="43">
        <v>-2</v>
      </c>
      <c r="E2382" s="230" t="s">
        <v>125</v>
      </c>
    </row>
    <row r="2383" spans="1:6">
      <c r="A2383" s="265">
        <v>45939</v>
      </c>
      <c r="B2383" s="84" t="s">
        <v>513</v>
      </c>
      <c r="C2383" s="345" t="s">
        <v>119</v>
      </c>
      <c r="D2383" s="43">
        <v>-1</v>
      </c>
      <c r="E2383" s="230" t="s">
        <v>125</v>
      </c>
    </row>
    <row r="2384" spans="1:6">
      <c r="A2384" s="265">
        <v>45939</v>
      </c>
      <c r="B2384" s="104" t="s">
        <v>932</v>
      </c>
      <c r="C2384" s="345" t="s">
        <v>119</v>
      </c>
      <c r="D2384" s="43">
        <v>-3</v>
      </c>
      <c r="E2384" s="230" t="s">
        <v>125</v>
      </c>
    </row>
    <row r="2385" spans="1:6">
      <c r="A2385" s="265">
        <v>45939</v>
      </c>
      <c r="B2385" s="93" t="s">
        <v>1097</v>
      </c>
      <c r="C2385" s="345" t="s">
        <v>119</v>
      </c>
      <c r="D2385" s="43">
        <v>-1</v>
      </c>
      <c r="E2385" s="230" t="s">
        <v>125</v>
      </c>
    </row>
    <row r="2386" spans="1:6">
      <c r="A2386" s="265">
        <v>45939</v>
      </c>
      <c r="B2386" s="104" t="s">
        <v>932</v>
      </c>
      <c r="C2386" s="345" t="s">
        <v>119</v>
      </c>
      <c r="D2386" s="43">
        <v>-4</v>
      </c>
      <c r="E2386" s="230" t="s">
        <v>125</v>
      </c>
    </row>
    <row r="2388" spans="1:6">
      <c r="A2388" s="265">
        <v>45940</v>
      </c>
      <c r="B2388" s="93" t="s">
        <v>121</v>
      </c>
      <c r="C2388" s="345" t="s">
        <v>119</v>
      </c>
      <c r="D2388" s="43">
        <v>-20</v>
      </c>
      <c r="E2388" s="230" t="s">
        <v>125</v>
      </c>
    </row>
    <row r="2389" spans="1:6">
      <c r="A2389" s="265">
        <v>45940</v>
      </c>
      <c r="B2389" s="84" t="s">
        <v>134</v>
      </c>
      <c r="C2389" s="43" t="s">
        <v>678</v>
      </c>
      <c r="D2389" s="43">
        <v>-1</v>
      </c>
      <c r="E2389" s="230" t="s">
        <v>125</v>
      </c>
    </row>
    <row r="2390" spans="1:6">
      <c r="A2390" s="265">
        <v>45940</v>
      </c>
      <c r="B2390" s="84" t="s">
        <v>134</v>
      </c>
      <c r="C2390" s="43" t="s">
        <v>678</v>
      </c>
      <c r="D2390" s="43">
        <v>-1</v>
      </c>
      <c r="E2390" s="230" t="s">
        <v>125</v>
      </c>
    </row>
    <row r="2392" spans="1:6">
      <c r="A2392" s="265">
        <v>45941</v>
      </c>
      <c r="B2392" s="84" t="s">
        <v>134</v>
      </c>
      <c r="C2392" s="43" t="s">
        <v>678</v>
      </c>
      <c r="D2392" s="43">
        <v>-1</v>
      </c>
      <c r="E2392" s="230" t="s">
        <v>125</v>
      </c>
    </row>
    <row r="2393" spans="1:6">
      <c r="A2393" s="265">
        <v>45941</v>
      </c>
      <c r="B2393" s="84" t="s">
        <v>134</v>
      </c>
      <c r="C2393" s="345" t="s">
        <v>119</v>
      </c>
      <c r="D2393" s="43">
        <v>-1</v>
      </c>
      <c r="E2393" s="230" t="s">
        <v>125</v>
      </c>
    </row>
    <row r="2395" spans="1:6">
      <c r="A2395" s="265">
        <v>45943</v>
      </c>
      <c r="B2395" s="93" t="s">
        <v>865</v>
      </c>
      <c r="C2395" s="345" t="s">
        <v>119</v>
      </c>
      <c r="D2395" s="43">
        <v>-12</v>
      </c>
      <c r="E2395" s="230" t="s">
        <v>125</v>
      </c>
    </row>
    <row r="2396" spans="1:6">
      <c r="A2396" s="265">
        <v>45943</v>
      </c>
      <c r="B2396" s="84" t="s">
        <v>881</v>
      </c>
      <c r="C2396" s="345" t="s">
        <v>119</v>
      </c>
      <c r="D2396" s="43">
        <v>-2</v>
      </c>
      <c r="E2396" s="230" t="s">
        <v>125</v>
      </c>
    </row>
    <row r="2397" spans="1:6">
      <c r="A2397" s="265">
        <v>45943</v>
      </c>
      <c r="B2397" s="104" t="s">
        <v>673</v>
      </c>
      <c r="C2397" s="345" t="s">
        <v>119</v>
      </c>
      <c r="D2397" s="43">
        <v>-1</v>
      </c>
      <c r="E2397" s="230" t="s">
        <v>125</v>
      </c>
      <c r="F2397" t="s">
        <v>1385</v>
      </c>
    </row>
    <row r="2398" spans="1:6">
      <c r="A2398" s="265">
        <v>45943</v>
      </c>
      <c r="B2398" s="343" t="s">
        <v>936</v>
      </c>
      <c r="C2398" s="43" t="s">
        <v>678</v>
      </c>
      <c r="D2398" s="33">
        <v>-1</v>
      </c>
      <c r="E2398" s="230" t="s">
        <v>125</v>
      </c>
    </row>
    <row r="2399" spans="1:6">
      <c r="A2399" s="346">
        <v>45944</v>
      </c>
      <c r="B2399" s="349" t="s">
        <v>976</v>
      </c>
      <c r="C2399" s="348" t="s">
        <v>921</v>
      </c>
      <c r="D2399" s="348">
        <v>1</v>
      </c>
      <c r="E2399" s="360" t="s">
        <v>125</v>
      </c>
      <c r="F2399" t="s">
        <v>1388</v>
      </c>
    </row>
    <row r="2400" spans="1:6">
      <c r="A2400" s="346">
        <v>45944</v>
      </c>
      <c r="B2400" s="349" t="s">
        <v>976</v>
      </c>
      <c r="C2400" s="348" t="s">
        <v>921</v>
      </c>
      <c r="D2400" s="348">
        <v>1</v>
      </c>
      <c r="E2400" s="360" t="s">
        <v>125</v>
      </c>
    </row>
    <row r="2401" spans="1:5">
      <c r="A2401" s="346">
        <v>45944</v>
      </c>
      <c r="B2401" s="349" t="s">
        <v>1386</v>
      </c>
      <c r="C2401" s="348" t="s">
        <v>921</v>
      </c>
      <c r="D2401" s="348">
        <v>1</v>
      </c>
      <c r="E2401" s="360" t="s">
        <v>125</v>
      </c>
    </row>
    <row r="2402" spans="1:5">
      <c r="A2402" s="346">
        <v>45944</v>
      </c>
      <c r="B2402" s="347" t="s">
        <v>919</v>
      </c>
      <c r="C2402" s="348" t="s">
        <v>921</v>
      </c>
      <c r="D2402" s="348">
        <v>2</v>
      </c>
      <c r="E2402" s="360" t="s">
        <v>125</v>
      </c>
    </row>
    <row r="2403" spans="1:5">
      <c r="A2403" s="346">
        <v>45944</v>
      </c>
      <c r="B2403" s="347" t="s">
        <v>134</v>
      </c>
      <c r="C2403" s="348" t="s">
        <v>921</v>
      </c>
      <c r="D2403" s="348">
        <v>2</v>
      </c>
      <c r="E2403" s="360" t="s">
        <v>125</v>
      </c>
    </row>
    <row r="2404" spans="1:5">
      <c r="A2404" s="346">
        <v>45944</v>
      </c>
      <c r="B2404" s="347" t="s">
        <v>134</v>
      </c>
      <c r="C2404" s="348" t="s">
        <v>921</v>
      </c>
      <c r="D2404" s="348">
        <v>1</v>
      </c>
      <c r="E2404" s="360" t="s">
        <v>125</v>
      </c>
    </row>
    <row r="2405" spans="1:5">
      <c r="A2405" s="346">
        <v>45944</v>
      </c>
      <c r="B2405" s="347" t="s">
        <v>134</v>
      </c>
      <c r="C2405" s="348" t="s">
        <v>921</v>
      </c>
      <c r="D2405" s="348">
        <v>2</v>
      </c>
      <c r="E2405" s="360" t="s">
        <v>125</v>
      </c>
    </row>
    <row r="2406" spans="1:5">
      <c r="A2406" s="346">
        <v>45944</v>
      </c>
      <c r="B2406" s="349" t="s">
        <v>167</v>
      </c>
      <c r="C2406" s="348" t="s">
        <v>921</v>
      </c>
      <c r="D2406" s="348">
        <v>1</v>
      </c>
      <c r="E2406" s="360" t="s">
        <v>125</v>
      </c>
    </row>
    <row r="2407" spans="1:5">
      <c r="A2407" s="346">
        <v>45944</v>
      </c>
      <c r="B2407" s="349" t="s">
        <v>167</v>
      </c>
      <c r="C2407" s="348" t="s">
        <v>921</v>
      </c>
      <c r="D2407" s="348">
        <v>2</v>
      </c>
      <c r="E2407" s="360" t="s">
        <v>125</v>
      </c>
    </row>
    <row r="2408" spans="1:5">
      <c r="A2408" s="346">
        <v>45944</v>
      </c>
      <c r="B2408" s="349" t="s">
        <v>167</v>
      </c>
      <c r="C2408" s="348" t="s">
        <v>921</v>
      </c>
      <c r="D2408" s="348">
        <v>1</v>
      </c>
      <c r="E2408" s="360" t="s">
        <v>125</v>
      </c>
    </row>
    <row r="2409" spans="1:5">
      <c r="A2409" s="346">
        <v>45944</v>
      </c>
      <c r="B2409" s="349" t="s">
        <v>1271</v>
      </c>
      <c r="C2409" s="348" t="s">
        <v>921</v>
      </c>
      <c r="D2409" s="348">
        <v>1</v>
      </c>
      <c r="E2409" s="360" t="s">
        <v>125</v>
      </c>
    </row>
    <row r="2410" spans="1:5">
      <c r="A2410" s="346">
        <v>45944</v>
      </c>
      <c r="B2410" s="347" t="s">
        <v>1387</v>
      </c>
      <c r="C2410" s="348" t="s">
        <v>921</v>
      </c>
      <c r="D2410" s="348">
        <v>1</v>
      </c>
      <c r="E2410" s="360" t="s">
        <v>125</v>
      </c>
    </row>
    <row r="2411" spans="1:5">
      <c r="A2411" s="346">
        <v>45944</v>
      </c>
      <c r="B2411" s="349" t="s">
        <v>1334</v>
      </c>
      <c r="C2411" s="348" t="s">
        <v>921</v>
      </c>
      <c r="D2411" s="348">
        <v>3</v>
      </c>
      <c r="E2411" s="360" t="s">
        <v>125</v>
      </c>
    </row>
    <row r="2412" spans="1:5">
      <c r="A2412" s="346">
        <v>45944</v>
      </c>
      <c r="B2412" s="349" t="s">
        <v>1291</v>
      </c>
      <c r="C2412" s="348" t="s">
        <v>921</v>
      </c>
      <c r="D2412" s="348">
        <v>2</v>
      </c>
      <c r="E2412" s="360" t="s">
        <v>125</v>
      </c>
    </row>
    <row r="2413" spans="1:5">
      <c r="A2413" s="346">
        <v>45944</v>
      </c>
      <c r="B2413" s="349" t="s">
        <v>1097</v>
      </c>
      <c r="C2413" s="348" t="s">
        <v>921</v>
      </c>
      <c r="D2413" s="348">
        <v>2</v>
      </c>
      <c r="E2413" s="360" t="s">
        <v>125</v>
      </c>
    </row>
    <row r="2414" spans="1:5">
      <c r="A2414" s="346">
        <v>45944</v>
      </c>
      <c r="B2414" s="351" t="s">
        <v>934</v>
      </c>
      <c r="C2414" s="348" t="s">
        <v>921</v>
      </c>
      <c r="D2414" s="348">
        <v>1</v>
      </c>
      <c r="E2414" s="360" t="s">
        <v>125</v>
      </c>
    </row>
    <row r="2415" spans="1:5">
      <c r="A2415" s="346">
        <v>45944</v>
      </c>
      <c r="B2415" s="349" t="s">
        <v>1094</v>
      </c>
      <c r="C2415" s="348" t="s">
        <v>921</v>
      </c>
      <c r="D2415" s="348">
        <v>1</v>
      </c>
      <c r="E2415" s="360" t="s">
        <v>125</v>
      </c>
    </row>
    <row r="2416" spans="1:5">
      <c r="A2416" s="346">
        <v>45944</v>
      </c>
      <c r="B2416" s="349" t="s">
        <v>973</v>
      </c>
      <c r="C2416" s="348" t="s">
        <v>921</v>
      </c>
      <c r="D2416" s="348">
        <v>1</v>
      </c>
      <c r="E2416" s="360" t="s">
        <v>125</v>
      </c>
    </row>
    <row r="2417" spans="1:6">
      <c r="A2417" s="346">
        <v>45944</v>
      </c>
      <c r="B2417" s="349" t="s">
        <v>166</v>
      </c>
      <c r="C2417" s="348" t="s">
        <v>921</v>
      </c>
      <c r="D2417" s="348">
        <v>1</v>
      </c>
      <c r="E2417" s="360" t="s">
        <v>125</v>
      </c>
    </row>
    <row r="2418" spans="1:6">
      <c r="A2418" s="346">
        <v>45944</v>
      </c>
      <c r="B2418" s="349" t="s">
        <v>920</v>
      </c>
      <c r="C2418" s="348" t="s">
        <v>921</v>
      </c>
      <c r="D2418" s="348">
        <v>1</v>
      </c>
      <c r="E2418" s="360" t="s">
        <v>125</v>
      </c>
    </row>
    <row r="2420" spans="1:6">
      <c r="A2420" s="323">
        <v>45944</v>
      </c>
      <c r="B2420" s="425" t="s">
        <v>1182</v>
      </c>
      <c r="C2420" s="322" t="s">
        <v>682</v>
      </c>
      <c r="D2420" s="322">
        <v>6</v>
      </c>
      <c r="E2420" s="321" t="s">
        <v>125</v>
      </c>
      <c r="F2420" t="s">
        <v>1393</v>
      </c>
    </row>
    <row r="2421" spans="1:6">
      <c r="A2421" s="323">
        <v>45944</v>
      </c>
      <c r="B2421" s="324" t="s">
        <v>410</v>
      </c>
      <c r="C2421" s="322" t="s">
        <v>682</v>
      </c>
      <c r="D2421" s="322">
        <v>4</v>
      </c>
      <c r="E2421" s="321" t="s">
        <v>125</v>
      </c>
    </row>
    <row r="2422" spans="1:6">
      <c r="A2422" s="323">
        <v>45944</v>
      </c>
      <c r="B2422" s="425" t="s">
        <v>1183</v>
      </c>
      <c r="C2422" s="322" t="s">
        <v>682</v>
      </c>
      <c r="D2422" s="322">
        <v>10</v>
      </c>
      <c r="E2422" s="321" t="s">
        <v>125</v>
      </c>
    </row>
    <row r="2423" spans="1:6">
      <c r="A2423" s="323">
        <v>45944</v>
      </c>
      <c r="B2423" s="324" t="s">
        <v>131</v>
      </c>
      <c r="C2423" s="322" t="s">
        <v>682</v>
      </c>
      <c r="D2423" s="322">
        <v>19</v>
      </c>
      <c r="E2423" s="321" t="s">
        <v>125</v>
      </c>
    </row>
    <row r="2424" spans="1:6">
      <c r="A2424" s="323">
        <v>45944</v>
      </c>
      <c r="B2424" s="324" t="s">
        <v>960</v>
      </c>
      <c r="C2424" s="322" t="s">
        <v>682</v>
      </c>
      <c r="D2424" s="322">
        <v>13</v>
      </c>
      <c r="E2424" s="321" t="s">
        <v>125</v>
      </c>
    </row>
    <row r="2425" spans="1:6">
      <c r="A2425" s="323">
        <v>45944</v>
      </c>
      <c r="B2425" s="325" t="s">
        <v>1327</v>
      </c>
      <c r="C2425" s="322" t="s">
        <v>682</v>
      </c>
      <c r="D2425" s="322">
        <v>9</v>
      </c>
      <c r="E2425" s="321" t="s">
        <v>125</v>
      </c>
    </row>
    <row r="2426" spans="1:6">
      <c r="A2426" s="323">
        <v>45944</v>
      </c>
      <c r="B2426" s="325" t="s">
        <v>1271</v>
      </c>
      <c r="C2426" s="322" t="s">
        <v>682</v>
      </c>
      <c r="D2426" s="322">
        <v>2</v>
      </c>
      <c r="E2426" s="321" t="s">
        <v>125</v>
      </c>
    </row>
    <row r="2427" spans="1:6">
      <c r="A2427" s="323">
        <v>45944</v>
      </c>
      <c r="B2427" s="325" t="s">
        <v>1301</v>
      </c>
      <c r="C2427" s="322" t="s">
        <v>682</v>
      </c>
      <c r="D2427" s="322">
        <v>3</v>
      </c>
      <c r="E2427" s="321" t="s">
        <v>125</v>
      </c>
    </row>
    <row r="2428" spans="1:6">
      <c r="A2428" s="323">
        <v>45944</v>
      </c>
      <c r="B2428" s="325" t="s">
        <v>1301</v>
      </c>
      <c r="C2428" s="322" t="s">
        <v>682</v>
      </c>
      <c r="D2428" s="322">
        <v>1</v>
      </c>
      <c r="E2428" s="321" t="s">
        <v>125</v>
      </c>
    </row>
    <row r="2429" spans="1:6">
      <c r="A2429" s="323">
        <v>45944</v>
      </c>
      <c r="B2429" s="325" t="s">
        <v>1271</v>
      </c>
      <c r="C2429" s="322" t="s">
        <v>682</v>
      </c>
      <c r="D2429" s="322">
        <v>1</v>
      </c>
      <c r="E2429" s="321" t="s">
        <v>125</v>
      </c>
    </row>
    <row r="2430" spans="1:6">
      <c r="A2430" s="323">
        <v>45944</v>
      </c>
      <c r="B2430" s="325" t="s">
        <v>1289</v>
      </c>
      <c r="C2430" s="322" t="s">
        <v>682</v>
      </c>
      <c r="D2430" s="322">
        <v>1</v>
      </c>
      <c r="E2430" s="321" t="s">
        <v>125</v>
      </c>
    </row>
    <row r="2431" spans="1:6">
      <c r="A2431" s="323">
        <v>45944</v>
      </c>
      <c r="B2431" s="325" t="s">
        <v>1246</v>
      </c>
      <c r="C2431" s="322" t="s">
        <v>682</v>
      </c>
      <c r="D2431" s="322">
        <v>1</v>
      </c>
      <c r="E2431" s="321" t="s">
        <v>125</v>
      </c>
    </row>
    <row r="2432" spans="1:6">
      <c r="A2432" s="323">
        <v>45944</v>
      </c>
      <c r="B2432" s="325" t="s">
        <v>1249</v>
      </c>
      <c r="C2432" s="322" t="s">
        <v>682</v>
      </c>
      <c r="D2432" s="322">
        <v>1</v>
      </c>
      <c r="E2432" s="321" t="s">
        <v>125</v>
      </c>
    </row>
    <row r="2433" spans="1:5">
      <c r="A2433" s="323">
        <v>45944</v>
      </c>
      <c r="B2433" s="325" t="s">
        <v>1249</v>
      </c>
      <c r="C2433" s="322" t="s">
        <v>682</v>
      </c>
      <c r="D2433" s="322">
        <v>2</v>
      </c>
      <c r="E2433" s="321" t="s">
        <v>125</v>
      </c>
    </row>
    <row r="2434" spans="1:5">
      <c r="A2434" s="323">
        <v>45944</v>
      </c>
      <c r="B2434" s="325" t="s">
        <v>1246</v>
      </c>
      <c r="C2434" s="322" t="s">
        <v>682</v>
      </c>
      <c r="D2434" s="322">
        <v>6</v>
      </c>
      <c r="E2434" s="321" t="s">
        <v>125</v>
      </c>
    </row>
    <row r="2435" spans="1:5">
      <c r="A2435" s="323">
        <v>45944</v>
      </c>
      <c r="B2435" s="324" t="s">
        <v>134</v>
      </c>
      <c r="C2435" s="322" t="s">
        <v>682</v>
      </c>
      <c r="D2435" s="322">
        <v>4</v>
      </c>
      <c r="E2435" s="321" t="s">
        <v>125</v>
      </c>
    </row>
    <row r="2436" spans="1:5">
      <c r="A2436" s="323">
        <v>45944</v>
      </c>
      <c r="B2436" s="325" t="s">
        <v>1311</v>
      </c>
      <c r="C2436" s="322" t="s">
        <v>682</v>
      </c>
      <c r="D2436" s="322">
        <v>1</v>
      </c>
      <c r="E2436" s="321" t="s">
        <v>125</v>
      </c>
    </row>
    <row r="2437" spans="1:5">
      <c r="A2437" s="323">
        <v>45944</v>
      </c>
      <c r="B2437" s="324" t="s">
        <v>1387</v>
      </c>
      <c r="C2437" s="322" t="s">
        <v>682</v>
      </c>
      <c r="D2437" s="322">
        <v>1</v>
      </c>
      <c r="E2437" s="321" t="s">
        <v>125</v>
      </c>
    </row>
    <row r="2438" spans="1:5">
      <c r="A2438" s="323">
        <v>45944</v>
      </c>
      <c r="B2438" s="325" t="s">
        <v>1291</v>
      </c>
      <c r="C2438" s="322" t="s">
        <v>682</v>
      </c>
      <c r="D2438" s="322">
        <v>1</v>
      </c>
      <c r="E2438" s="321" t="s">
        <v>125</v>
      </c>
    </row>
    <row r="2439" spans="1:5">
      <c r="A2439" s="323">
        <v>45944</v>
      </c>
      <c r="B2439" s="325" t="s">
        <v>806</v>
      </c>
      <c r="C2439" s="322" t="s">
        <v>682</v>
      </c>
      <c r="D2439" s="322">
        <v>1</v>
      </c>
      <c r="E2439" s="321" t="s">
        <v>125</v>
      </c>
    </row>
    <row r="2440" spans="1:5">
      <c r="A2440" s="323">
        <v>45944</v>
      </c>
      <c r="B2440" s="425" t="s">
        <v>1148</v>
      </c>
      <c r="C2440" s="322" t="s">
        <v>682</v>
      </c>
      <c r="D2440" s="322">
        <v>1</v>
      </c>
      <c r="E2440" s="321" t="s">
        <v>125</v>
      </c>
    </row>
    <row r="2441" spans="1:5">
      <c r="A2441" s="323">
        <v>45944</v>
      </c>
      <c r="B2441" s="425" t="s">
        <v>1149</v>
      </c>
      <c r="C2441" s="322" t="s">
        <v>682</v>
      </c>
      <c r="D2441" s="322">
        <v>1</v>
      </c>
      <c r="E2441" s="321" t="s">
        <v>125</v>
      </c>
    </row>
    <row r="2442" spans="1:5">
      <c r="A2442" s="323">
        <v>45944</v>
      </c>
      <c r="B2442" s="425" t="s">
        <v>1147</v>
      </c>
      <c r="C2442" s="322" t="s">
        <v>682</v>
      </c>
      <c r="D2442" s="322">
        <v>1</v>
      </c>
      <c r="E2442" s="321" t="s">
        <v>125</v>
      </c>
    </row>
    <row r="2443" spans="1:5">
      <c r="A2443" s="323">
        <v>45944</v>
      </c>
      <c r="B2443" s="325" t="s">
        <v>1246</v>
      </c>
      <c r="C2443" s="322" t="s">
        <v>682</v>
      </c>
      <c r="D2443" s="322">
        <v>1</v>
      </c>
      <c r="E2443" s="321" t="s">
        <v>125</v>
      </c>
    </row>
    <row r="2444" spans="1:5">
      <c r="A2444" s="323">
        <v>45944</v>
      </c>
      <c r="B2444" s="325" t="s">
        <v>1096</v>
      </c>
      <c r="C2444" s="322" t="s">
        <v>682</v>
      </c>
      <c r="D2444" s="322">
        <v>2</v>
      </c>
      <c r="E2444" s="321" t="s">
        <v>125</v>
      </c>
    </row>
    <row r="2446" spans="1:5">
      <c r="A2446" s="335">
        <v>45944</v>
      </c>
      <c r="B2446" s="343" t="s">
        <v>1246</v>
      </c>
      <c r="C2446" s="345" t="s">
        <v>678</v>
      </c>
      <c r="D2446" s="345">
        <v>-1</v>
      </c>
      <c r="E2446" s="230" t="s">
        <v>125</v>
      </c>
    </row>
    <row r="2448" spans="1:5">
      <c r="A2448" s="265">
        <v>45946</v>
      </c>
      <c r="B2448" s="343" t="s">
        <v>1249</v>
      </c>
      <c r="C2448" s="345" t="s">
        <v>678</v>
      </c>
      <c r="D2448" s="43">
        <v>-1</v>
      </c>
      <c r="E2448" s="230" t="s">
        <v>125</v>
      </c>
    </row>
    <row r="2449" spans="1:6">
      <c r="A2449" s="265">
        <v>45946</v>
      </c>
      <c r="B2449" s="93" t="s">
        <v>1094</v>
      </c>
      <c r="C2449" s="345" t="s">
        <v>119</v>
      </c>
      <c r="D2449" s="43">
        <v>0</v>
      </c>
      <c r="E2449" s="230" t="s">
        <v>125</v>
      </c>
      <c r="F2449" t="s">
        <v>676</v>
      </c>
    </row>
    <row r="2450" spans="1:6">
      <c r="A2450" s="265">
        <v>45946</v>
      </c>
      <c r="B2450" s="343" t="s">
        <v>1291</v>
      </c>
      <c r="C2450" s="345" t="s">
        <v>119</v>
      </c>
      <c r="D2450" s="43">
        <v>-3</v>
      </c>
      <c r="E2450" s="230" t="s">
        <v>125</v>
      </c>
    </row>
    <row r="2451" spans="1:6">
      <c r="A2451" s="265">
        <v>45946</v>
      </c>
      <c r="B2451" s="343" t="s">
        <v>1291</v>
      </c>
      <c r="C2451" s="345" t="s">
        <v>119</v>
      </c>
      <c r="D2451" s="43">
        <v>-2</v>
      </c>
      <c r="E2451" s="230" t="s">
        <v>125</v>
      </c>
    </row>
    <row r="2452" spans="1:6">
      <c r="A2452" s="265">
        <v>45946</v>
      </c>
      <c r="B2452" s="93" t="s">
        <v>920</v>
      </c>
      <c r="C2452" s="345" t="s">
        <v>119</v>
      </c>
      <c r="D2452" s="43">
        <v>-3</v>
      </c>
      <c r="E2452" s="230" t="s">
        <v>125</v>
      </c>
    </row>
    <row r="2453" spans="1:6">
      <c r="A2453" s="265">
        <v>45946</v>
      </c>
      <c r="B2453" s="93" t="s">
        <v>920</v>
      </c>
      <c r="C2453" s="345" t="s">
        <v>119</v>
      </c>
      <c r="D2453" s="43">
        <v>-2</v>
      </c>
      <c r="E2453" s="230" t="s">
        <v>125</v>
      </c>
    </row>
    <row r="2455" spans="1:6">
      <c r="A2455" s="346">
        <v>45947</v>
      </c>
      <c r="B2455" s="349" t="s">
        <v>1095</v>
      </c>
      <c r="C2455" s="348" t="s">
        <v>921</v>
      </c>
      <c r="D2455" s="348">
        <v>1</v>
      </c>
      <c r="E2455" s="360" t="s">
        <v>125</v>
      </c>
      <c r="F2455" t="s">
        <v>1398</v>
      </c>
    </row>
    <row r="2456" spans="1:6">
      <c r="A2456" s="346">
        <v>45947</v>
      </c>
      <c r="B2456" s="349" t="s">
        <v>976</v>
      </c>
      <c r="C2456" s="348" t="s">
        <v>921</v>
      </c>
      <c r="D2456" s="348">
        <v>1</v>
      </c>
      <c r="E2456" s="360" t="s">
        <v>125</v>
      </c>
    </row>
    <row r="2457" spans="1:6">
      <c r="A2457" s="346">
        <v>45947</v>
      </c>
      <c r="B2457" s="349" t="s">
        <v>1397</v>
      </c>
      <c r="C2457" s="348" t="s">
        <v>921</v>
      </c>
      <c r="D2457" s="348">
        <v>2</v>
      </c>
      <c r="E2457" s="360" t="s">
        <v>125</v>
      </c>
    </row>
    <row r="2458" spans="1:6">
      <c r="A2458" s="346">
        <v>45947</v>
      </c>
      <c r="B2458" s="349" t="s">
        <v>1386</v>
      </c>
      <c r="C2458" s="348" t="s">
        <v>921</v>
      </c>
      <c r="D2458" s="348">
        <v>1</v>
      </c>
      <c r="E2458" s="360" t="s">
        <v>125</v>
      </c>
    </row>
    <row r="2459" spans="1:6">
      <c r="A2459" s="346">
        <v>45947</v>
      </c>
      <c r="B2459" s="347" t="s">
        <v>919</v>
      </c>
      <c r="C2459" s="348" t="s">
        <v>921</v>
      </c>
      <c r="D2459" s="348">
        <v>1</v>
      </c>
      <c r="E2459" s="360" t="s">
        <v>125</v>
      </c>
    </row>
    <row r="2460" spans="1:6">
      <c r="A2460" s="346">
        <v>45947</v>
      </c>
      <c r="B2460" s="350" t="s">
        <v>928</v>
      </c>
      <c r="C2460" s="348" t="s">
        <v>921</v>
      </c>
      <c r="D2460" s="348">
        <v>3</v>
      </c>
      <c r="E2460" s="360" t="s">
        <v>125</v>
      </c>
    </row>
    <row r="2461" spans="1:6">
      <c r="A2461" s="346">
        <v>45947</v>
      </c>
      <c r="B2461" s="347" t="s">
        <v>134</v>
      </c>
      <c r="C2461" s="348" t="s">
        <v>921</v>
      </c>
      <c r="D2461" s="348">
        <v>6</v>
      </c>
      <c r="E2461" s="360" t="s">
        <v>125</v>
      </c>
    </row>
    <row r="2462" spans="1:6">
      <c r="A2462" s="346">
        <v>45947</v>
      </c>
      <c r="B2462" s="347" t="s">
        <v>134</v>
      </c>
      <c r="C2462" s="348" t="s">
        <v>921</v>
      </c>
      <c r="D2462" s="348">
        <v>1</v>
      </c>
      <c r="E2462" s="360" t="s">
        <v>125</v>
      </c>
    </row>
    <row r="2463" spans="1:6">
      <c r="A2463" s="346">
        <v>45947</v>
      </c>
      <c r="B2463" s="349" t="s">
        <v>167</v>
      </c>
      <c r="C2463" s="348" t="s">
        <v>921</v>
      </c>
      <c r="D2463" s="348">
        <v>1</v>
      </c>
      <c r="E2463" s="360" t="s">
        <v>125</v>
      </c>
    </row>
    <row r="2464" spans="1:6">
      <c r="A2464" s="346">
        <v>45947</v>
      </c>
      <c r="B2464" s="349" t="s">
        <v>167</v>
      </c>
      <c r="C2464" s="348" t="s">
        <v>921</v>
      </c>
      <c r="D2464" s="348">
        <v>2</v>
      </c>
      <c r="E2464" s="360" t="s">
        <v>125</v>
      </c>
    </row>
    <row r="2465" spans="1:5">
      <c r="A2465" s="346">
        <v>45947</v>
      </c>
      <c r="B2465" s="349" t="s">
        <v>166</v>
      </c>
      <c r="C2465" s="348" t="s">
        <v>921</v>
      </c>
      <c r="D2465" s="348">
        <v>5</v>
      </c>
      <c r="E2465" s="360" t="s">
        <v>125</v>
      </c>
    </row>
    <row r="2466" spans="1:5">
      <c r="A2466" s="346">
        <v>45947</v>
      </c>
      <c r="B2466" s="349" t="s">
        <v>169</v>
      </c>
      <c r="C2466" s="348" t="s">
        <v>921</v>
      </c>
      <c r="D2466" s="348">
        <v>2</v>
      </c>
      <c r="E2466" s="360" t="s">
        <v>125</v>
      </c>
    </row>
    <row r="2467" spans="1:5">
      <c r="A2467" s="346">
        <v>45947</v>
      </c>
      <c r="B2467" s="349" t="s">
        <v>1326</v>
      </c>
      <c r="C2467" s="348" t="s">
        <v>921</v>
      </c>
      <c r="D2467" s="348">
        <v>6</v>
      </c>
      <c r="E2467" s="360" t="s">
        <v>125</v>
      </c>
    </row>
    <row r="2468" spans="1:5">
      <c r="A2468" s="346">
        <v>45947</v>
      </c>
      <c r="B2468" s="349" t="s">
        <v>1271</v>
      </c>
      <c r="C2468" s="348" t="s">
        <v>921</v>
      </c>
      <c r="D2468" s="348">
        <v>2</v>
      </c>
      <c r="E2468" s="360" t="s">
        <v>125</v>
      </c>
    </row>
    <row r="2469" spans="1:5">
      <c r="A2469" s="346">
        <v>45947</v>
      </c>
      <c r="B2469" s="349" t="s">
        <v>1327</v>
      </c>
      <c r="C2469" s="348" t="s">
        <v>921</v>
      </c>
      <c r="D2469" s="348">
        <v>2</v>
      </c>
      <c r="E2469" s="360" t="s">
        <v>125</v>
      </c>
    </row>
    <row r="2470" spans="1:5">
      <c r="A2470" s="346">
        <v>45947</v>
      </c>
      <c r="B2470" s="349" t="s">
        <v>1327</v>
      </c>
      <c r="C2470" s="348" t="s">
        <v>921</v>
      </c>
      <c r="D2470" s="348">
        <v>1</v>
      </c>
      <c r="E2470" s="360" t="s">
        <v>125</v>
      </c>
    </row>
    <row r="2471" spans="1:5">
      <c r="A2471" s="346">
        <v>45947</v>
      </c>
      <c r="B2471" s="347" t="s">
        <v>1387</v>
      </c>
      <c r="C2471" s="348" t="s">
        <v>921</v>
      </c>
      <c r="D2471" s="348">
        <v>1</v>
      </c>
      <c r="E2471" s="360" t="s">
        <v>125</v>
      </c>
    </row>
    <row r="2472" spans="1:5">
      <c r="A2472" s="346">
        <v>45947</v>
      </c>
      <c r="B2472" s="349" t="s">
        <v>1334</v>
      </c>
      <c r="C2472" s="348" t="s">
        <v>921</v>
      </c>
      <c r="D2472" s="348">
        <v>1</v>
      </c>
      <c r="E2472" s="360" t="s">
        <v>125</v>
      </c>
    </row>
    <row r="2473" spans="1:5">
      <c r="A2473" s="346">
        <v>45947</v>
      </c>
      <c r="B2473" s="349" t="s">
        <v>1334</v>
      </c>
      <c r="C2473" s="348" t="s">
        <v>921</v>
      </c>
      <c r="D2473" s="348">
        <v>1</v>
      </c>
      <c r="E2473" s="360" t="s">
        <v>125</v>
      </c>
    </row>
    <row r="2474" spans="1:5">
      <c r="A2474" s="346">
        <v>45947</v>
      </c>
      <c r="B2474" s="349" t="s">
        <v>1291</v>
      </c>
      <c r="C2474" s="348" t="s">
        <v>921</v>
      </c>
      <c r="D2474" s="348">
        <v>3</v>
      </c>
      <c r="E2474" s="360" t="s">
        <v>125</v>
      </c>
    </row>
    <row r="2475" spans="1:5">
      <c r="A2475" s="346">
        <v>45947</v>
      </c>
      <c r="B2475" s="351" t="s">
        <v>932</v>
      </c>
      <c r="C2475" s="348" t="s">
        <v>921</v>
      </c>
      <c r="D2475" s="348">
        <v>3</v>
      </c>
      <c r="E2475" s="360" t="s">
        <v>125</v>
      </c>
    </row>
    <row r="2477" spans="1:5">
      <c r="A2477" s="335">
        <v>45947</v>
      </c>
      <c r="B2477" s="342" t="s">
        <v>134</v>
      </c>
      <c r="C2477" s="345" t="s">
        <v>119</v>
      </c>
      <c r="D2477" s="345">
        <v>-4</v>
      </c>
      <c r="E2477" s="230" t="s">
        <v>125</v>
      </c>
    </row>
    <row r="2478" spans="1:5">
      <c r="A2478" s="335">
        <v>45947</v>
      </c>
      <c r="B2478" s="439" t="s">
        <v>928</v>
      </c>
      <c r="C2478" s="345" t="s">
        <v>119</v>
      </c>
      <c r="D2478" s="43">
        <v>-3</v>
      </c>
      <c r="E2478" s="230" t="s">
        <v>125</v>
      </c>
    </row>
    <row r="2479" spans="1:5">
      <c r="A2479" s="335">
        <v>45947</v>
      </c>
      <c r="B2479" s="342" t="s">
        <v>134</v>
      </c>
      <c r="C2479" s="345" t="s">
        <v>119</v>
      </c>
      <c r="D2479" s="43">
        <v>-1</v>
      </c>
      <c r="E2479" s="230" t="s">
        <v>125</v>
      </c>
    </row>
    <row r="2480" spans="1:5">
      <c r="A2480" s="335">
        <v>45947</v>
      </c>
      <c r="B2480" s="342" t="s">
        <v>134</v>
      </c>
      <c r="C2480" s="345" t="s">
        <v>119</v>
      </c>
      <c r="D2480" s="43">
        <v>-2</v>
      </c>
      <c r="E2480" s="230" t="s">
        <v>125</v>
      </c>
    </row>
    <row r="2481" spans="1:5">
      <c r="A2481" s="335">
        <v>45947</v>
      </c>
      <c r="B2481" s="342" t="s">
        <v>134</v>
      </c>
      <c r="C2481" s="345" t="s">
        <v>119</v>
      </c>
      <c r="D2481" s="43">
        <v>-1</v>
      </c>
      <c r="E2481" s="230" t="s">
        <v>125</v>
      </c>
    </row>
    <row r="2482" spans="1:5">
      <c r="A2482" s="335">
        <v>45947</v>
      </c>
      <c r="B2482" s="342" t="s">
        <v>134</v>
      </c>
      <c r="C2482" s="345" t="s">
        <v>119</v>
      </c>
      <c r="D2482" s="43">
        <v>-1</v>
      </c>
      <c r="E2482" s="230" t="s">
        <v>125</v>
      </c>
    </row>
    <row r="2483" spans="1:5">
      <c r="A2483" s="335">
        <v>45947</v>
      </c>
      <c r="B2483" s="342" t="s">
        <v>134</v>
      </c>
      <c r="C2483" s="345" t="s">
        <v>119</v>
      </c>
      <c r="D2483" s="43">
        <v>-2</v>
      </c>
      <c r="E2483" s="230" t="s">
        <v>125</v>
      </c>
    </row>
    <row r="2484" spans="1:5">
      <c r="A2484" s="335">
        <v>45947</v>
      </c>
      <c r="B2484" s="342" t="s">
        <v>134</v>
      </c>
      <c r="C2484" s="345" t="s">
        <v>119</v>
      </c>
      <c r="D2484" s="43">
        <v>-2</v>
      </c>
      <c r="E2484" s="230" t="s">
        <v>125</v>
      </c>
    </row>
    <row r="2485" spans="1:5">
      <c r="A2485" s="335">
        <v>45947</v>
      </c>
      <c r="B2485" s="93" t="s">
        <v>92</v>
      </c>
      <c r="C2485" s="345" t="s">
        <v>119</v>
      </c>
      <c r="D2485" s="43">
        <v>-1</v>
      </c>
      <c r="E2485" s="230" t="s">
        <v>125</v>
      </c>
    </row>
    <row r="2486" spans="1:5">
      <c r="A2486" s="335">
        <v>45947</v>
      </c>
      <c r="B2486" s="92" t="s">
        <v>672</v>
      </c>
      <c r="C2486" s="345" t="s">
        <v>119</v>
      </c>
      <c r="D2486" s="43">
        <v>-1</v>
      </c>
      <c r="E2486" s="230" t="s">
        <v>125</v>
      </c>
    </row>
    <row r="2487" spans="1:5">
      <c r="A2487" s="335">
        <v>45947</v>
      </c>
      <c r="B2487" s="84" t="s">
        <v>919</v>
      </c>
      <c r="C2487" s="345" t="s">
        <v>119</v>
      </c>
      <c r="D2487" s="43">
        <v>-7</v>
      </c>
      <c r="E2487" s="230" t="s">
        <v>125</v>
      </c>
    </row>
    <row r="2488" spans="1:5">
      <c r="A2488" s="335">
        <v>45947</v>
      </c>
      <c r="B2488" s="343" t="s">
        <v>1386</v>
      </c>
      <c r="C2488" s="345" t="s">
        <v>119</v>
      </c>
      <c r="D2488" s="43">
        <v>-1</v>
      </c>
      <c r="E2488" s="230" t="s">
        <v>125</v>
      </c>
    </row>
    <row r="2489" spans="1:5">
      <c r="A2489" s="335">
        <v>45947</v>
      </c>
      <c r="B2489" s="93" t="s">
        <v>976</v>
      </c>
      <c r="C2489" s="345" t="s">
        <v>119</v>
      </c>
      <c r="D2489" s="43">
        <v>-3</v>
      </c>
      <c r="E2489" s="230" t="s">
        <v>125</v>
      </c>
    </row>
    <row r="2490" spans="1:5">
      <c r="A2490" s="335">
        <v>45947</v>
      </c>
      <c r="B2490" s="84" t="s">
        <v>1397</v>
      </c>
      <c r="C2490" s="345" t="s">
        <v>119</v>
      </c>
      <c r="D2490" s="43">
        <v>-2</v>
      </c>
      <c r="E2490" s="230" t="s">
        <v>125</v>
      </c>
    </row>
    <row r="2491" spans="1:5">
      <c r="A2491" s="335">
        <v>45947</v>
      </c>
      <c r="B2491" s="343" t="s">
        <v>1152</v>
      </c>
      <c r="C2491" s="345" t="s">
        <v>119</v>
      </c>
      <c r="D2491" s="43">
        <v>-2</v>
      </c>
      <c r="E2491" s="230" t="s">
        <v>125</v>
      </c>
    </row>
    <row r="2492" spans="1:5">
      <c r="A2492" s="335">
        <v>45947</v>
      </c>
      <c r="B2492" s="93" t="s">
        <v>1095</v>
      </c>
      <c r="C2492" s="345" t="s">
        <v>119</v>
      </c>
      <c r="D2492" s="43">
        <v>-3</v>
      </c>
      <c r="E2492" s="230" t="s">
        <v>125</v>
      </c>
    </row>
    <row r="2494" spans="1:5">
      <c r="A2494" s="323">
        <v>45946</v>
      </c>
      <c r="B2494" s="325" t="s">
        <v>1249</v>
      </c>
      <c r="C2494" s="322" t="s">
        <v>682</v>
      </c>
      <c r="D2494" s="322">
        <v>1</v>
      </c>
      <c r="E2494" s="321" t="s">
        <v>125</v>
      </c>
    </row>
    <row r="2495" spans="1:5">
      <c r="A2495" s="323">
        <v>45946</v>
      </c>
      <c r="B2495" s="325" t="s">
        <v>1246</v>
      </c>
      <c r="C2495" s="322" t="s">
        <v>682</v>
      </c>
      <c r="D2495" s="322">
        <v>3</v>
      </c>
      <c r="E2495" s="321" t="s">
        <v>125</v>
      </c>
    </row>
    <row r="2496" spans="1:5">
      <c r="A2496" s="323">
        <v>45946</v>
      </c>
      <c r="B2496" s="325" t="s">
        <v>1290</v>
      </c>
      <c r="C2496" s="322" t="s">
        <v>682</v>
      </c>
      <c r="D2496" s="322">
        <v>1</v>
      </c>
      <c r="E2496" s="321" t="s">
        <v>125</v>
      </c>
    </row>
    <row r="2497" spans="1:5">
      <c r="A2497" s="323">
        <v>45946</v>
      </c>
      <c r="B2497" s="325" t="s">
        <v>1249</v>
      </c>
      <c r="C2497" s="322" t="s">
        <v>682</v>
      </c>
      <c r="D2497" s="322">
        <v>2</v>
      </c>
      <c r="E2497" s="321" t="s">
        <v>125</v>
      </c>
    </row>
    <row r="2498" spans="1:5">
      <c r="A2498" s="323">
        <v>45946</v>
      </c>
      <c r="B2498" s="325" t="s">
        <v>1246</v>
      </c>
      <c r="C2498" s="322" t="s">
        <v>682</v>
      </c>
      <c r="D2498" s="322">
        <v>3</v>
      </c>
      <c r="E2498" s="321" t="s">
        <v>125</v>
      </c>
    </row>
    <row r="2499" spans="1:5">
      <c r="A2499" s="323">
        <v>45946</v>
      </c>
      <c r="B2499" s="325" t="s">
        <v>1407</v>
      </c>
      <c r="C2499" s="322" t="s">
        <v>682</v>
      </c>
      <c r="D2499" s="322">
        <v>1</v>
      </c>
      <c r="E2499" s="321" t="s">
        <v>125</v>
      </c>
    </row>
    <row r="2500" spans="1:5">
      <c r="A2500" s="323">
        <v>45946</v>
      </c>
      <c r="B2500" s="325" t="s">
        <v>1301</v>
      </c>
      <c r="C2500" s="322" t="s">
        <v>682</v>
      </c>
      <c r="D2500" s="322">
        <v>3</v>
      </c>
      <c r="E2500" s="321" t="s">
        <v>125</v>
      </c>
    </row>
    <row r="2501" spans="1:5">
      <c r="A2501" s="323">
        <v>45946</v>
      </c>
      <c r="B2501" s="325" t="s">
        <v>1271</v>
      </c>
      <c r="C2501" s="322" t="s">
        <v>682</v>
      </c>
      <c r="D2501" s="322">
        <v>7</v>
      </c>
      <c r="E2501" s="321" t="s">
        <v>125</v>
      </c>
    </row>
    <row r="2502" spans="1:5">
      <c r="A2502" s="323">
        <v>45946</v>
      </c>
      <c r="B2502" s="325" t="s">
        <v>1271</v>
      </c>
      <c r="C2502" s="322" t="s">
        <v>682</v>
      </c>
      <c r="D2502" s="322">
        <v>1</v>
      </c>
      <c r="E2502" s="321" t="s">
        <v>125</v>
      </c>
    </row>
    <row r="2503" spans="1:5">
      <c r="A2503" s="323">
        <v>45946</v>
      </c>
      <c r="B2503" s="325" t="s">
        <v>1407</v>
      </c>
      <c r="C2503" s="322" t="s">
        <v>682</v>
      </c>
      <c r="D2503" s="322">
        <v>1</v>
      </c>
      <c r="E2503" s="321" t="s">
        <v>125</v>
      </c>
    </row>
    <row r="2504" spans="1:5">
      <c r="A2504" s="323">
        <v>45946</v>
      </c>
      <c r="B2504" s="325" t="s">
        <v>1301</v>
      </c>
      <c r="C2504" s="322" t="s">
        <v>682</v>
      </c>
      <c r="D2504" s="322">
        <v>3</v>
      </c>
      <c r="E2504" s="321" t="s">
        <v>125</v>
      </c>
    </row>
    <row r="2505" spans="1:5">
      <c r="A2505" s="323">
        <v>45946</v>
      </c>
      <c r="B2505" s="325" t="s">
        <v>1271</v>
      </c>
      <c r="C2505" s="322" t="s">
        <v>682</v>
      </c>
      <c r="D2505" s="322">
        <v>4</v>
      </c>
      <c r="E2505" s="321" t="s">
        <v>125</v>
      </c>
    </row>
    <row r="2506" spans="1:5">
      <c r="A2506" s="323">
        <v>45946</v>
      </c>
      <c r="B2506" s="325" t="s">
        <v>1408</v>
      </c>
      <c r="C2506" s="322" t="s">
        <v>682</v>
      </c>
      <c r="D2506" s="322">
        <v>1</v>
      </c>
      <c r="E2506" s="321" t="s">
        <v>125</v>
      </c>
    </row>
    <row r="2507" spans="1:5">
      <c r="A2507" s="323">
        <v>45946</v>
      </c>
      <c r="B2507" s="325" t="s">
        <v>1327</v>
      </c>
      <c r="C2507" s="322" t="s">
        <v>682</v>
      </c>
      <c r="D2507" s="322">
        <v>4</v>
      </c>
      <c r="E2507" s="321" t="s">
        <v>125</v>
      </c>
    </row>
    <row r="2508" spans="1:5">
      <c r="A2508" s="323">
        <v>45946</v>
      </c>
      <c r="B2508" s="426" t="s">
        <v>928</v>
      </c>
      <c r="C2508" s="322" t="s">
        <v>682</v>
      </c>
      <c r="D2508" s="322">
        <v>1</v>
      </c>
      <c r="E2508" s="321" t="s">
        <v>125</v>
      </c>
    </row>
    <row r="2509" spans="1:5">
      <c r="A2509" s="323">
        <v>45946</v>
      </c>
      <c r="B2509" s="325" t="s">
        <v>973</v>
      </c>
      <c r="C2509" s="322" t="s">
        <v>682</v>
      </c>
      <c r="D2509" s="322">
        <v>1</v>
      </c>
      <c r="E2509" s="321" t="s">
        <v>125</v>
      </c>
    </row>
    <row r="2510" spans="1:5">
      <c r="A2510" s="323">
        <v>45946</v>
      </c>
      <c r="B2510" s="426" t="s">
        <v>928</v>
      </c>
      <c r="C2510" s="322" t="s">
        <v>682</v>
      </c>
      <c r="D2510" s="322">
        <v>1</v>
      </c>
      <c r="E2510" s="321" t="s">
        <v>125</v>
      </c>
    </row>
    <row r="2511" spans="1:5">
      <c r="A2511" s="323">
        <v>45946</v>
      </c>
      <c r="B2511" s="324" t="s">
        <v>134</v>
      </c>
      <c r="C2511" s="322" t="s">
        <v>682</v>
      </c>
      <c r="D2511" s="322">
        <v>4</v>
      </c>
      <c r="E2511" s="321" t="s">
        <v>125</v>
      </c>
    </row>
    <row r="2512" spans="1:5">
      <c r="A2512" s="323">
        <v>45946</v>
      </c>
      <c r="B2512" s="426" t="s">
        <v>928</v>
      </c>
      <c r="C2512" s="322" t="s">
        <v>682</v>
      </c>
      <c r="D2512" s="322">
        <v>1</v>
      </c>
      <c r="E2512" s="321" t="s">
        <v>125</v>
      </c>
    </row>
    <row r="2513" spans="1:5">
      <c r="A2513" s="323">
        <v>45946</v>
      </c>
      <c r="B2513" s="324" t="s">
        <v>919</v>
      </c>
      <c r="C2513" s="322" t="s">
        <v>682</v>
      </c>
      <c r="D2513" s="322">
        <v>2</v>
      </c>
      <c r="E2513" s="321" t="s">
        <v>125</v>
      </c>
    </row>
    <row r="2514" spans="1:5">
      <c r="A2514" s="323">
        <v>45946</v>
      </c>
      <c r="B2514" s="324" t="s">
        <v>919</v>
      </c>
      <c r="C2514" s="322" t="s">
        <v>682</v>
      </c>
      <c r="D2514" s="322">
        <v>2</v>
      </c>
      <c r="E2514" s="321" t="s">
        <v>125</v>
      </c>
    </row>
    <row r="2515" spans="1:5">
      <c r="A2515" s="323">
        <v>45946</v>
      </c>
      <c r="B2515" s="325" t="s">
        <v>1152</v>
      </c>
      <c r="C2515" s="322" t="s">
        <v>682</v>
      </c>
      <c r="D2515" s="322">
        <v>2</v>
      </c>
      <c r="E2515" s="321" t="s">
        <v>125</v>
      </c>
    </row>
    <row r="2516" spans="1:5">
      <c r="A2516" s="323">
        <v>45946</v>
      </c>
      <c r="B2516" s="325" t="s">
        <v>1095</v>
      </c>
      <c r="C2516" s="322" t="s">
        <v>682</v>
      </c>
      <c r="D2516" s="322">
        <v>2</v>
      </c>
      <c r="E2516" s="321" t="s">
        <v>125</v>
      </c>
    </row>
    <row r="2517" spans="1:5">
      <c r="A2517" s="323">
        <v>45946</v>
      </c>
      <c r="B2517" s="325" t="s">
        <v>1404</v>
      </c>
      <c r="C2517" s="322" t="s">
        <v>682</v>
      </c>
      <c r="D2517" s="322">
        <v>3</v>
      </c>
      <c r="E2517" s="321" t="s">
        <v>125</v>
      </c>
    </row>
    <row r="2518" spans="1:5">
      <c r="A2518" s="323">
        <v>45946</v>
      </c>
      <c r="B2518" s="425" t="s">
        <v>1148</v>
      </c>
      <c r="C2518" s="322" t="s">
        <v>682</v>
      </c>
      <c r="D2518" s="322">
        <v>1</v>
      </c>
      <c r="E2518" s="321" t="s">
        <v>125</v>
      </c>
    </row>
    <row r="2519" spans="1:5">
      <c r="A2519" s="323">
        <v>45946</v>
      </c>
      <c r="B2519" s="325" t="s">
        <v>1409</v>
      </c>
      <c r="C2519" s="322" t="s">
        <v>682</v>
      </c>
      <c r="D2519" s="322">
        <v>4</v>
      </c>
      <c r="E2519" s="321" t="s">
        <v>125</v>
      </c>
    </row>
    <row r="2520" spans="1:5">
      <c r="A2520" s="323">
        <v>45946</v>
      </c>
      <c r="B2520" s="325" t="s">
        <v>1311</v>
      </c>
      <c r="C2520" s="322" t="s">
        <v>682</v>
      </c>
      <c r="D2520" s="322">
        <v>1</v>
      </c>
      <c r="E2520" s="321" t="s">
        <v>125</v>
      </c>
    </row>
    <row r="2521" spans="1:5">
      <c r="A2521" s="323">
        <v>45946</v>
      </c>
      <c r="B2521" s="325" t="s">
        <v>1291</v>
      </c>
      <c r="C2521" s="322" t="s">
        <v>682</v>
      </c>
      <c r="D2521" s="322">
        <v>2</v>
      </c>
      <c r="E2521" s="321" t="s">
        <v>125</v>
      </c>
    </row>
    <row r="2522" spans="1:5">
      <c r="A2522" s="323">
        <v>45946</v>
      </c>
      <c r="B2522" s="325" t="s">
        <v>1334</v>
      </c>
      <c r="C2522" s="322" t="s">
        <v>682</v>
      </c>
      <c r="D2522" s="322">
        <v>1</v>
      </c>
      <c r="E2522" s="321" t="s">
        <v>125</v>
      </c>
    </row>
    <row r="2523" spans="1:5">
      <c r="A2523" s="323">
        <v>45946</v>
      </c>
      <c r="B2523" s="325" t="s">
        <v>1406</v>
      </c>
      <c r="C2523" s="322" t="s">
        <v>682</v>
      </c>
      <c r="D2523" s="322">
        <v>1</v>
      </c>
      <c r="E2523" s="321" t="s">
        <v>125</v>
      </c>
    </row>
    <row r="2524" spans="1:5">
      <c r="A2524" s="323">
        <v>45946</v>
      </c>
      <c r="B2524" s="324" t="s">
        <v>131</v>
      </c>
      <c r="C2524" s="322" t="s">
        <v>682</v>
      </c>
      <c r="D2524" s="322">
        <v>3</v>
      </c>
      <c r="E2524" s="321" t="s">
        <v>125</v>
      </c>
    </row>
    <row r="2525" spans="1:5">
      <c r="A2525" s="323">
        <v>45946</v>
      </c>
      <c r="B2525" s="324" t="s">
        <v>960</v>
      </c>
      <c r="C2525" s="322" t="s">
        <v>682</v>
      </c>
      <c r="D2525" s="322">
        <v>14</v>
      </c>
      <c r="E2525" s="321" t="s">
        <v>125</v>
      </c>
    </row>
    <row r="2527" spans="1:5">
      <c r="A2527" s="265">
        <v>45948</v>
      </c>
      <c r="B2527" s="343" t="s">
        <v>1404</v>
      </c>
      <c r="C2527" s="345" t="s">
        <v>119</v>
      </c>
      <c r="D2527" s="43">
        <v>-3</v>
      </c>
      <c r="E2527" s="230" t="s">
        <v>125</v>
      </c>
    </row>
    <row r="2528" spans="1:5">
      <c r="A2528" s="265">
        <v>45948</v>
      </c>
      <c r="B2528" s="344" t="s">
        <v>1148</v>
      </c>
      <c r="C2528" s="345" t="s">
        <v>119</v>
      </c>
      <c r="D2528" s="43">
        <v>-2</v>
      </c>
      <c r="E2528" s="230" t="s">
        <v>125</v>
      </c>
    </row>
    <row r="2529" spans="1:6">
      <c r="A2529" s="265">
        <v>45948</v>
      </c>
      <c r="B2529" s="344" t="s">
        <v>1147</v>
      </c>
      <c r="C2529" s="345" t="s">
        <v>119</v>
      </c>
      <c r="D2529" s="43">
        <v>0</v>
      </c>
      <c r="E2529" s="230" t="s">
        <v>125</v>
      </c>
      <c r="F2529" t="s">
        <v>676</v>
      </c>
    </row>
    <row r="2530" spans="1:6">
      <c r="A2530" s="265">
        <v>45948</v>
      </c>
      <c r="B2530" s="93" t="s">
        <v>91</v>
      </c>
      <c r="C2530" s="345" t="s">
        <v>119</v>
      </c>
      <c r="D2530" s="43">
        <v>-1</v>
      </c>
      <c r="E2530" s="230" t="s">
        <v>125</v>
      </c>
    </row>
    <row r="2531" spans="1:6">
      <c r="A2531" s="265">
        <v>45948</v>
      </c>
      <c r="B2531" s="344" t="s">
        <v>1149</v>
      </c>
      <c r="C2531" s="345" t="s">
        <v>119</v>
      </c>
      <c r="D2531" s="43">
        <v>-1</v>
      </c>
      <c r="E2531" s="230" t="s">
        <v>125</v>
      </c>
    </row>
    <row r="2532" spans="1:6">
      <c r="A2532" s="265">
        <v>45948</v>
      </c>
      <c r="B2532" s="104" t="s">
        <v>366</v>
      </c>
      <c r="C2532" s="345" t="s">
        <v>119</v>
      </c>
      <c r="D2532" s="43">
        <v>-2</v>
      </c>
      <c r="E2532" s="230" t="s">
        <v>125</v>
      </c>
    </row>
    <row r="2533" spans="1:6">
      <c r="A2533" s="265">
        <v>45948</v>
      </c>
      <c r="B2533" s="104" t="s">
        <v>366</v>
      </c>
      <c r="C2533" s="345" t="s">
        <v>119</v>
      </c>
      <c r="D2533" s="43">
        <v>-1</v>
      </c>
      <c r="E2533" s="230" t="s">
        <v>125</v>
      </c>
    </row>
    <row r="2534" spans="1:6">
      <c r="A2534" s="265">
        <v>45948</v>
      </c>
      <c r="B2534" s="84" t="s">
        <v>131</v>
      </c>
      <c r="C2534" s="345" t="s">
        <v>119</v>
      </c>
      <c r="D2534" s="43">
        <v>-5</v>
      </c>
      <c r="E2534" s="230" t="s">
        <v>125</v>
      </c>
    </row>
    <row r="2535" spans="1:6">
      <c r="A2535" s="265">
        <v>45948</v>
      </c>
      <c r="B2535" s="84" t="s">
        <v>131</v>
      </c>
      <c r="C2535" s="345" t="s">
        <v>119</v>
      </c>
      <c r="D2535" s="43">
        <v>-15</v>
      </c>
      <c r="E2535" s="230" t="s">
        <v>125</v>
      </c>
    </row>
    <row r="2536" spans="1:6">
      <c r="A2536" s="265">
        <v>45948</v>
      </c>
      <c r="B2536" s="344" t="s">
        <v>1183</v>
      </c>
      <c r="C2536" s="345" t="s">
        <v>119</v>
      </c>
      <c r="D2536" s="43">
        <v>-10</v>
      </c>
      <c r="E2536" s="230" t="s">
        <v>125</v>
      </c>
    </row>
    <row r="2537" spans="1:6">
      <c r="A2537" s="265">
        <v>45948</v>
      </c>
      <c r="B2537" s="343" t="s">
        <v>1311</v>
      </c>
      <c r="C2537" s="345" t="s">
        <v>119</v>
      </c>
      <c r="D2537" s="43">
        <v>-2</v>
      </c>
      <c r="E2537" s="230" t="s">
        <v>125</v>
      </c>
    </row>
    <row r="2538" spans="1:6">
      <c r="A2538" s="265">
        <v>45948</v>
      </c>
      <c r="B2538" s="343" t="s">
        <v>1409</v>
      </c>
      <c r="C2538" s="345" t="s">
        <v>119</v>
      </c>
      <c r="D2538" s="43">
        <v>-4</v>
      </c>
      <c r="E2538" s="230" t="s">
        <v>125</v>
      </c>
    </row>
    <row r="2539" spans="1:6">
      <c r="A2539" s="265">
        <v>45948</v>
      </c>
      <c r="B2539" s="84" t="s">
        <v>134</v>
      </c>
      <c r="C2539" s="345" t="s">
        <v>119</v>
      </c>
      <c r="D2539" s="43">
        <v>-3</v>
      </c>
      <c r="E2539" s="230" t="s">
        <v>125</v>
      </c>
    </row>
    <row r="2540" spans="1:6">
      <c r="A2540" s="265">
        <v>45948</v>
      </c>
      <c r="B2540" s="93" t="s">
        <v>167</v>
      </c>
      <c r="C2540" s="345" t="s">
        <v>119</v>
      </c>
      <c r="D2540" s="43">
        <v>-3</v>
      </c>
      <c r="E2540" s="230" t="s">
        <v>125</v>
      </c>
    </row>
    <row r="2541" spans="1:6">
      <c r="A2541" s="265">
        <v>45948</v>
      </c>
      <c r="B2541" s="93" t="s">
        <v>167</v>
      </c>
      <c r="C2541" s="345" t="s">
        <v>119</v>
      </c>
      <c r="D2541" s="43">
        <v>-4</v>
      </c>
      <c r="E2541" s="230" t="s">
        <v>125</v>
      </c>
    </row>
    <row r="2542" spans="1:6">
      <c r="A2542" s="265">
        <v>45948</v>
      </c>
      <c r="B2542" s="147" t="s">
        <v>928</v>
      </c>
      <c r="C2542" s="345" t="s">
        <v>119</v>
      </c>
      <c r="D2542" s="43">
        <v>0</v>
      </c>
      <c r="E2542" s="230" t="s">
        <v>125</v>
      </c>
      <c r="F2542" t="s">
        <v>676</v>
      </c>
    </row>
    <row r="2543" spans="1:6">
      <c r="A2543" s="265">
        <v>45948</v>
      </c>
      <c r="B2543" s="93" t="s">
        <v>166</v>
      </c>
      <c r="C2543" s="345" t="s">
        <v>119</v>
      </c>
      <c r="D2543" s="43">
        <v>-1</v>
      </c>
      <c r="E2543" s="230" t="s">
        <v>125</v>
      </c>
    </row>
    <row r="2544" spans="1:6">
      <c r="A2544" s="265">
        <v>45948</v>
      </c>
      <c r="B2544" s="343" t="s">
        <v>1327</v>
      </c>
      <c r="C2544" s="345" t="s">
        <v>119</v>
      </c>
      <c r="D2544" s="43">
        <v>-2</v>
      </c>
      <c r="E2544" s="230" t="s">
        <v>125</v>
      </c>
    </row>
    <row r="2545" spans="1:6">
      <c r="A2545" s="265">
        <v>45948</v>
      </c>
      <c r="B2545" s="93" t="s">
        <v>166</v>
      </c>
      <c r="C2545" s="345" t="s">
        <v>119</v>
      </c>
      <c r="D2545" s="43">
        <v>-5</v>
      </c>
      <c r="E2545" s="230" t="s">
        <v>125</v>
      </c>
    </row>
    <row r="2546" spans="1:6">
      <c r="A2546" s="265">
        <v>45948</v>
      </c>
      <c r="B2546" s="343" t="s">
        <v>973</v>
      </c>
      <c r="C2546" s="345" t="s">
        <v>119</v>
      </c>
      <c r="D2546" s="43">
        <v>-1</v>
      </c>
      <c r="E2546" s="230" t="s">
        <v>125</v>
      </c>
      <c r="F2546" t="s">
        <v>676</v>
      </c>
    </row>
    <row r="2547" spans="1:6">
      <c r="A2547" s="265">
        <v>45948</v>
      </c>
      <c r="B2547" s="93" t="s">
        <v>169</v>
      </c>
      <c r="C2547" s="345" t="s">
        <v>119</v>
      </c>
      <c r="D2547" s="43">
        <v>-2</v>
      </c>
      <c r="E2547" s="230" t="s">
        <v>125</v>
      </c>
    </row>
    <row r="2548" spans="1:6">
      <c r="A2548" s="265">
        <v>45948</v>
      </c>
      <c r="B2548" s="343" t="s">
        <v>1327</v>
      </c>
      <c r="C2548" s="345" t="s">
        <v>119</v>
      </c>
      <c r="D2548" s="43">
        <v>-2</v>
      </c>
      <c r="E2548" s="230" t="s">
        <v>125</v>
      </c>
    </row>
    <row r="2549" spans="1:6">
      <c r="A2549" s="265">
        <v>45948</v>
      </c>
      <c r="B2549" s="343" t="s">
        <v>1327</v>
      </c>
      <c r="C2549" s="345" t="s">
        <v>119</v>
      </c>
      <c r="D2549" s="43">
        <v>-2</v>
      </c>
      <c r="E2549" s="230" t="s">
        <v>125</v>
      </c>
    </row>
    <row r="2551" spans="1:6">
      <c r="A2551" s="437">
        <v>45948</v>
      </c>
      <c r="B2551" s="222" t="s">
        <v>1410</v>
      </c>
      <c r="C2551" s="220" t="s">
        <v>1411</v>
      </c>
      <c r="D2551" s="220">
        <v>6</v>
      </c>
      <c r="E2551" s="438" t="s">
        <v>125</v>
      </c>
    </row>
    <row r="2553" spans="1:6">
      <c r="A2553" s="265">
        <v>45948</v>
      </c>
      <c r="B2553" s="344" t="s">
        <v>1147</v>
      </c>
      <c r="C2553" s="345" t="s">
        <v>119</v>
      </c>
      <c r="D2553" s="43">
        <v>-1</v>
      </c>
      <c r="E2553" s="230" t="s">
        <v>125</v>
      </c>
    </row>
    <row r="2555" spans="1:6">
      <c r="A2555" s="464">
        <v>45948</v>
      </c>
      <c r="B2555" s="465" t="s">
        <v>1407</v>
      </c>
      <c r="C2555" s="466" t="s">
        <v>1231</v>
      </c>
      <c r="D2555" s="466">
        <v>1</v>
      </c>
      <c r="E2555" s="467" t="s">
        <v>125</v>
      </c>
    </row>
    <row r="2556" spans="1:6">
      <c r="A2556" s="464">
        <v>45948</v>
      </c>
      <c r="B2556" s="465" t="s">
        <v>1249</v>
      </c>
      <c r="C2556" s="466" t="s">
        <v>1231</v>
      </c>
      <c r="D2556" s="466">
        <v>2</v>
      </c>
      <c r="E2556" s="467" t="s">
        <v>125</v>
      </c>
    </row>
    <row r="2557" spans="1:6">
      <c r="A2557" s="464">
        <v>45948</v>
      </c>
      <c r="B2557" s="465" t="s">
        <v>1301</v>
      </c>
      <c r="C2557" s="466" t="s">
        <v>1231</v>
      </c>
      <c r="D2557" s="466">
        <v>2</v>
      </c>
      <c r="E2557" s="467" t="s">
        <v>125</v>
      </c>
    </row>
    <row r="2558" spans="1:6">
      <c r="A2558" s="464">
        <v>45948</v>
      </c>
      <c r="B2558" s="465" t="s">
        <v>1289</v>
      </c>
      <c r="C2558" s="466" t="s">
        <v>1231</v>
      </c>
      <c r="D2558" s="466">
        <v>1</v>
      </c>
      <c r="E2558" s="467" t="s">
        <v>125</v>
      </c>
    </row>
    <row r="2559" spans="1:6">
      <c r="A2559" s="464">
        <v>45948</v>
      </c>
      <c r="B2559" s="465" t="s">
        <v>1271</v>
      </c>
      <c r="C2559" s="466" t="s">
        <v>1231</v>
      </c>
      <c r="D2559" s="466">
        <v>9</v>
      </c>
      <c r="E2559" s="467" t="s">
        <v>125</v>
      </c>
    </row>
    <row r="2560" spans="1:6">
      <c r="A2560" s="464">
        <v>45948</v>
      </c>
      <c r="B2560" s="465" t="s">
        <v>1301</v>
      </c>
      <c r="C2560" s="466" t="s">
        <v>1231</v>
      </c>
      <c r="D2560" s="466">
        <v>1</v>
      </c>
      <c r="E2560" s="467" t="s">
        <v>125</v>
      </c>
    </row>
    <row r="2561" spans="1:5">
      <c r="A2561" s="464">
        <v>45948</v>
      </c>
      <c r="B2561" s="465" t="s">
        <v>1326</v>
      </c>
      <c r="C2561" s="466" t="s">
        <v>1231</v>
      </c>
      <c r="D2561" s="466">
        <v>4</v>
      </c>
      <c r="E2561" s="467" t="s">
        <v>125</v>
      </c>
    </row>
    <row r="2562" spans="1:5">
      <c r="A2562" s="464">
        <v>45948</v>
      </c>
      <c r="B2562" s="469" t="s">
        <v>134</v>
      </c>
      <c r="C2562" s="466" t="s">
        <v>1231</v>
      </c>
      <c r="D2562" s="466">
        <v>4</v>
      </c>
      <c r="E2562" s="467" t="s">
        <v>125</v>
      </c>
    </row>
    <row r="2563" spans="1:5">
      <c r="A2563" s="464">
        <v>45948</v>
      </c>
      <c r="B2563" s="469" t="s">
        <v>134</v>
      </c>
      <c r="C2563" s="466" t="s">
        <v>1231</v>
      </c>
      <c r="D2563" s="466">
        <v>2</v>
      </c>
      <c r="E2563" s="467" t="s">
        <v>125</v>
      </c>
    </row>
    <row r="2564" spans="1:5">
      <c r="A2564" s="464">
        <v>45948</v>
      </c>
      <c r="B2564" s="465" t="s">
        <v>1327</v>
      </c>
      <c r="C2564" s="466" t="s">
        <v>1231</v>
      </c>
      <c r="D2564" s="466">
        <v>7</v>
      </c>
      <c r="E2564" s="467" t="s">
        <v>125</v>
      </c>
    </row>
    <row r="2565" spans="1:5">
      <c r="A2565" s="464">
        <v>45948</v>
      </c>
      <c r="B2565" s="465" t="s">
        <v>169</v>
      </c>
      <c r="C2565" s="466" t="s">
        <v>1231</v>
      </c>
      <c r="D2565" s="466">
        <v>5</v>
      </c>
      <c r="E2565" s="467" t="s">
        <v>125</v>
      </c>
    </row>
    <row r="2566" spans="1:5">
      <c r="A2566" s="464">
        <v>45948</v>
      </c>
      <c r="B2566" s="465" t="s">
        <v>167</v>
      </c>
      <c r="C2566" s="466" t="s">
        <v>1231</v>
      </c>
      <c r="D2566" s="466">
        <v>3</v>
      </c>
      <c r="E2566" s="467" t="s">
        <v>125</v>
      </c>
    </row>
    <row r="2567" spans="1:5">
      <c r="A2567" s="464">
        <v>45948</v>
      </c>
      <c r="B2567" s="469" t="s">
        <v>134</v>
      </c>
      <c r="C2567" s="466" t="s">
        <v>1231</v>
      </c>
      <c r="D2567" s="466">
        <v>1</v>
      </c>
      <c r="E2567" s="467" t="s">
        <v>125</v>
      </c>
    </row>
    <row r="2568" spans="1:5">
      <c r="A2568" s="464">
        <v>45948</v>
      </c>
      <c r="B2568" s="465" t="s">
        <v>1301</v>
      </c>
      <c r="C2568" s="466" t="s">
        <v>1231</v>
      </c>
      <c r="D2568" s="466">
        <v>1</v>
      </c>
      <c r="E2568" s="467" t="s">
        <v>125</v>
      </c>
    </row>
    <row r="2569" spans="1:5">
      <c r="A2569" s="464">
        <v>45948</v>
      </c>
      <c r="B2569" s="465" t="s">
        <v>1318</v>
      </c>
      <c r="C2569" s="466" t="s">
        <v>1231</v>
      </c>
      <c r="D2569" s="466">
        <v>2</v>
      </c>
      <c r="E2569" s="467" t="s">
        <v>125</v>
      </c>
    </row>
    <row r="2570" spans="1:5">
      <c r="A2570" s="464">
        <v>45948</v>
      </c>
      <c r="B2570" s="465" t="s">
        <v>1246</v>
      </c>
      <c r="C2570" s="466" t="s">
        <v>1231</v>
      </c>
      <c r="D2570" s="466">
        <v>1</v>
      </c>
      <c r="E2570" s="467" t="s">
        <v>125</v>
      </c>
    </row>
    <row r="2571" spans="1:5">
      <c r="A2571" s="464">
        <v>45948</v>
      </c>
      <c r="B2571" s="465" t="s">
        <v>1319</v>
      </c>
      <c r="C2571" s="466" t="s">
        <v>1231</v>
      </c>
      <c r="D2571" s="466">
        <v>4</v>
      </c>
      <c r="E2571" s="467" t="s">
        <v>125</v>
      </c>
    </row>
    <row r="2572" spans="1:5">
      <c r="A2572" s="310">
        <v>45948</v>
      </c>
      <c r="B2572" s="526" t="s">
        <v>1246</v>
      </c>
      <c r="C2572" s="312" t="s">
        <v>1517</v>
      </c>
      <c r="D2572" s="312">
        <v>1</v>
      </c>
      <c r="E2572" s="313" t="s">
        <v>125</v>
      </c>
    </row>
    <row r="2573" spans="1:5">
      <c r="A2573" s="310">
        <v>45948</v>
      </c>
      <c r="B2573" s="315" t="s">
        <v>134</v>
      </c>
      <c r="C2573" s="312" t="s">
        <v>1517</v>
      </c>
      <c r="D2573" s="312">
        <v>2</v>
      </c>
      <c r="E2573" s="313" t="s">
        <v>125</v>
      </c>
    </row>
    <row r="2574" spans="1:5">
      <c r="A2574" s="310">
        <v>45948</v>
      </c>
      <c r="B2574" s="527" t="s">
        <v>928</v>
      </c>
      <c r="C2574" s="312" t="s">
        <v>1517</v>
      </c>
      <c r="D2574" s="312">
        <v>2</v>
      </c>
      <c r="E2574" s="313" t="s">
        <v>125</v>
      </c>
    </row>
    <row r="2575" spans="1:5">
      <c r="A2575" s="310">
        <v>45948</v>
      </c>
      <c r="B2575" s="526" t="s">
        <v>1434</v>
      </c>
      <c r="C2575" s="312" t="s">
        <v>1517</v>
      </c>
      <c r="D2575" s="312">
        <v>1</v>
      </c>
      <c r="E2575" s="313" t="s">
        <v>125</v>
      </c>
    </row>
    <row r="2576" spans="1:5">
      <c r="A2576" s="310">
        <v>45948</v>
      </c>
      <c r="B2576" s="526" t="s">
        <v>1334</v>
      </c>
      <c r="C2576" s="312" t="s">
        <v>1517</v>
      </c>
      <c r="D2576" s="312">
        <v>2</v>
      </c>
      <c r="E2576" s="313" t="s">
        <v>125</v>
      </c>
    </row>
    <row r="2577" spans="1:5">
      <c r="A2577" s="310">
        <v>45948</v>
      </c>
      <c r="B2577" s="315" t="s">
        <v>1387</v>
      </c>
      <c r="C2577" s="312" t="s">
        <v>1517</v>
      </c>
      <c r="D2577" s="312">
        <v>1</v>
      </c>
      <c r="E2577" s="313" t="s">
        <v>125</v>
      </c>
    </row>
    <row r="2578" spans="1:5">
      <c r="A2578" s="310">
        <v>45948</v>
      </c>
      <c r="B2578" s="527" t="s">
        <v>931</v>
      </c>
      <c r="C2578" s="312" t="s">
        <v>1517</v>
      </c>
      <c r="D2578" s="312">
        <v>1</v>
      </c>
      <c r="E2578" s="313" t="s">
        <v>125</v>
      </c>
    </row>
    <row r="2580" spans="1:5">
      <c r="A2580" s="323">
        <v>45948</v>
      </c>
      <c r="B2580" s="325" t="s">
        <v>1246</v>
      </c>
      <c r="C2580" s="322" t="s">
        <v>682</v>
      </c>
      <c r="D2580" s="322">
        <v>1</v>
      </c>
      <c r="E2580" s="321" t="s">
        <v>125</v>
      </c>
    </row>
    <row r="2581" spans="1:5">
      <c r="A2581" s="323">
        <v>45948</v>
      </c>
      <c r="B2581" s="325" t="s">
        <v>1246</v>
      </c>
      <c r="C2581" s="322" t="s">
        <v>682</v>
      </c>
      <c r="D2581" s="322">
        <v>1</v>
      </c>
      <c r="E2581" s="321" t="s">
        <v>125</v>
      </c>
    </row>
    <row r="2582" spans="1:5">
      <c r="A2582" s="323">
        <v>45948</v>
      </c>
      <c r="B2582" s="325" t="s">
        <v>1289</v>
      </c>
      <c r="C2582" s="322" t="s">
        <v>682</v>
      </c>
      <c r="D2582" s="322">
        <v>3</v>
      </c>
      <c r="E2582" s="321" t="s">
        <v>125</v>
      </c>
    </row>
    <row r="2583" spans="1:5">
      <c r="A2583" s="323">
        <v>45948</v>
      </c>
      <c r="B2583" s="325" t="s">
        <v>1246</v>
      </c>
      <c r="C2583" s="322" t="s">
        <v>682</v>
      </c>
      <c r="D2583" s="322">
        <v>8</v>
      </c>
      <c r="E2583" s="321" t="s">
        <v>125</v>
      </c>
    </row>
    <row r="2584" spans="1:5">
      <c r="A2584" s="323">
        <v>45948</v>
      </c>
      <c r="B2584" s="325" t="s">
        <v>1249</v>
      </c>
      <c r="C2584" s="322" t="s">
        <v>682</v>
      </c>
      <c r="D2584" s="322">
        <v>2</v>
      </c>
      <c r="E2584" s="321" t="s">
        <v>125</v>
      </c>
    </row>
    <row r="2585" spans="1:5">
      <c r="A2585" s="323">
        <v>45948</v>
      </c>
      <c r="B2585" s="325" t="s">
        <v>1289</v>
      </c>
      <c r="C2585" s="322" t="s">
        <v>682</v>
      </c>
      <c r="D2585" s="322">
        <v>1</v>
      </c>
      <c r="E2585" s="321" t="s">
        <v>125</v>
      </c>
    </row>
    <row r="2586" spans="1:5">
      <c r="A2586" s="323">
        <v>45948</v>
      </c>
      <c r="B2586" s="325" t="s">
        <v>1271</v>
      </c>
      <c r="C2586" s="322" t="s">
        <v>682</v>
      </c>
      <c r="D2586" s="322">
        <v>1</v>
      </c>
      <c r="E2586" s="321" t="s">
        <v>125</v>
      </c>
    </row>
    <row r="2587" spans="1:5">
      <c r="A2587" s="323">
        <v>45948</v>
      </c>
      <c r="B2587" s="325" t="s">
        <v>1271</v>
      </c>
      <c r="C2587" s="322" t="s">
        <v>682</v>
      </c>
      <c r="D2587" s="322">
        <v>20</v>
      </c>
      <c r="E2587" s="321" t="s">
        <v>125</v>
      </c>
    </row>
    <row r="2588" spans="1:5">
      <c r="A2588" s="323">
        <v>45948</v>
      </c>
      <c r="B2588" s="325" t="s">
        <v>1301</v>
      </c>
      <c r="C2588" s="322" t="s">
        <v>682</v>
      </c>
      <c r="D2588" s="322">
        <v>5</v>
      </c>
      <c r="E2588" s="321" t="s">
        <v>125</v>
      </c>
    </row>
    <row r="2589" spans="1:5">
      <c r="A2589" s="323">
        <v>45948</v>
      </c>
      <c r="B2589" s="325" t="s">
        <v>1271</v>
      </c>
      <c r="C2589" s="322" t="s">
        <v>682</v>
      </c>
      <c r="D2589" s="322">
        <v>2</v>
      </c>
      <c r="E2589" s="321" t="s">
        <v>125</v>
      </c>
    </row>
    <row r="2590" spans="1:5">
      <c r="A2590" s="323">
        <v>45948</v>
      </c>
      <c r="B2590" s="325" t="s">
        <v>1301</v>
      </c>
      <c r="C2590" s="322" t="s">
        <v>682</v>
      </c>
      <c r="D2590" s="322">
        <v>1</v>
      </c>
      <c r="E2590" s="321" t="s">
        <v>125</v>
      </c>
    </row>
    <row r="2591" spans="1:5">
      <c r="A2591" s="323">
        <v>45948</v>
      </c>
      <c r="B2591" s="325" t="s">
        <v>1301</v>
      </c>
      <c r="C2591" s="322" t="s">
        <v>682</v>
      </c>
      <c r="D2591" s="322">
        <v>1</v>
      </c>
      <c r="E2591" s="321" t="s">
        <v>125</v>
      </c>
    </row>
    <row r="2592" spans="1:5">
      <c r="A2592" s="323">
        <v>45948</v>
      </c>
      <c r="B2592" s="325" t="s">
        <v>1407</v>
      </c>
      <c r="C2592" s="322" t="s">
        <v>682</v>
      </c>
      <c r="D2592" s="322">
        <v>1</v>
      </c>
      <c r="E2592" s="321" t="s">
        <v>125</v>
      </c>
    </row>
    <row r="2593" spans="1:5">
      <c r="A2593" s="323">
        <v>45948</v>
      </c>
      <c r="B2593" s="325" t="s">
        <v>1327</v>
      </c>
      <c r="C2593" s="322" t="s">
        <v>682</v>
      </c>
      <c r="D2593" s="322">
        <v>6</v>
      </c>
      <c r="E2593" s="321" t="s">
        <v>125</v>
      </c>
    </row>
    <row r="2594" spans="1:5">
      <c r="A2594" s="323">
        <v>45948</v>
      </c>
      <c r="B2594" s="325" t="s">
        <v>1326</v>
      </c>
      <c r="C2594" s="322" t="s">
        <v>682</v>
      </c>
      <c r="D2594" s="322">
        <v>2</v>
      </c>
      <c r="E2594" s="321" t="s">
        <v>125</v>
      </c>
    </row>
    <row r="2595" spans="1:5">
      <c r="A2595" s="323">
        <v>45948</v>
      </c>
      <c r="B2595" s="324" t="s">
        <v>134</v>
      </c>
      <c r="C2595" s="322" t="s">
        <v>682</v>
      </c>
      <c r="D2595" s="322">
        <v>1</v>
      </c>
      <c r="E2595" s="321" t="s">
        <v>125</v>
      </c>
    </row>
    <row r="2596" spans="1:5">
      <c r="A2596" s="323">
        <v>45948</v>
      </c>
      <c r="B2596" s="325" t="s">
        <v>166</v>
      </c>
      <c r="C2596" s="322" t="s">
        <v>682</v>
      </c>
      <c r="D2596" s="322">
        <v>2</v>
      </c>
      <c r="E2596" s="321" t="s">
        <v>125</v>
      </c>
    </row>
    <row r="2597" spans="1:5">
      <c r="A2597" s="323">
        <v>45948</v>
      </c>
      <c r="B2597" s="325" t="s">
        <v>1319</v>
      </c>
      <c r="C2597" s="322" t="s">
        <v>682</v>
      </c>
      <c r="D2597" s="322">
        <v>1</v>
      </c>
      <c r="E2597" s="321" t="s">
        <v>125</v>
      </c>
    </row>
    <row r="2598" spans="1:5">
      <c r="A2598" s="323">
        <v>45948</v>
      </c>
      <c r="B2598" s="325" t="s">
        <v>1477</v>
      </c>
      <c r="C2598" s="322" t="s">
        <v>682</v>
      </c>
      <c r="D2598" s="322">
        <v>1</v>
      </c>
      <c r="E2598" s="321" t="s">
        <v>125</v>
      </c>
    </row>
    <row r="2599" spans="1:5">
      <c r="A2599" s="323">
        <v>45948</v>
      </c>
      <c r="B2599" s="325" t="s">
        <v>1318</v>
      </c>
      <c r="C2599" s="322" t="s">
        <v>682</v>
      </c>
      <c r="D2599" s="322">
        <v>1</v>
      </c>
      <c r="E2599" s="321" t="s">
        <v>125</v>
      </c>
    </row>
    <row r="2600" spans="1:5">
      <c r="A2600" s="323">
        <v>45948</v>
      </c>
      <c r="B2600" s="425" t="s">
        <v>1151</v>
      </c>
      <c r="C2600" s="322" t="s">
        <v>682</v>
      </c>
      <c r="D2600" s="322">
        <v>8</v>
      </c>
      <c r="E2600" s="321" t="s">
        <v>125</v>
      </c>
    </row>
    <row r="2601" spans="1:5">
      <c r="A2601" s="323">
        <v>45948</v>
      </c>
      <c r="B2601" s="324" t="s">
        <v>919</v>
      </c>
      <c r="C2601" s="322" t="s">
        <v>682</v>
      </c>
      <c r="D2601" s="322">
        <v>2</v>
      </c>
      <c r="E2601" s="321" t="s">
        <v>125</v>
      </c>
    </row>
    <row r="2602" spans="1:5">
      <c r="A2602" s="323">
        <v>45948</v>
      </c>
      <c r="B2602" s="324" t="s">
        <v>919</v>
      </c>
      <c r="C2602" s="322" t="s">
        <v>682</v>
      </c>
      <c r="D2602" s="322">
        <v>1</v>
      </c>
      <c r="E2602" s="321" t="s">
        <v>125</v>
      </c>
    </row>
    <row r="2603" spans="1:5">
      <c r="A2603" s="323">
        <v>45948</v>
      </c>
      <c r="B2603" s="324" t="s">
        <v>135</v>
      </c>
      <c r="C2603" s="322" t="s">
        <v>682</v>
      </c>
      <c r="D2603" s="322">
        <v>4</v>
      </c>
      <c r="E2603" s="321" t="s">
        <v>125</v>
      </c>
    </row>
    <row r="2604" spans="1:5">
      <c r="A2604" s="323">
        <v>45948</v>
      </c>
      <c r="B2604" s="325" t="s">
        <v>1152</v>
      </c>
      <c r="C2604" s="322" t="s">
        <v>682</v>
      </c>
      <c r="D2604" s="322">
        <v>6</v>
      </c>
      <c r="E2604" s="321" t="s">
        <v>125</v>
      </c>
    </row>
    <row r="2605" spans="1:5">
      <c r="A2605" s="323">
        <v>45948</v>
      </c>
      <c r="B2605" s="325" t="s">
        <v>1259</v>
      </c>
      <c r="C2605" s="322" t="s">
        <v>682</v>
      </c>
      <c r="D2605" s="322">
        <v>2</v>
      </c>
      <c r="E2605" s="321" t="s">
        <v>125</v>
      </c>
    </row>
    <row r="2606" spans="1:5">
      <c r="A2606" s="323">
        <v>45948</v>
      </c>
      <c r="B2606" s="325" t="s">
        <v>1291</v>
      </c>
      <c r="C2606" s="322" t="s">
        <v>682</v>
      </c>
      <c r="D2606" s="322">
        <v>2</v>
      </c>
      <c r="E2606" s="321" t="s">
        <v>125</v>
      </c>
    </row>
    <row r="2607" spans="1:5">
      <c r="A2607" s="323">
        <v>45948</v>
      </c>
      <c r="B2607" s="325" t="s">
        <v>1334</v>
      </c>
      <c r="C2607" s="322" t="s">
        <v>682</v>
      </c>
      <c r="D2607" s="322">
        <v>1</v>
      </c>
      <c r="E2607" s="321" t="s">
        <v>125</v>
      </c>
    </row>
    <row r="2608" spans="1:5">
      <c r="A2608" s="323">
        <v>45948</v>
      </c>
      <c r="B2608" s="325" t="s">
        <v>1409</v>
      </c>
      <c r="C2608" s="322" t="s">
        <v>682</v>
      </c>
      <c r="D2608" s="322">
        <v>2</v>
      </c>
      <c r="E2608" s="321" t="s">
        <v>125</v>
      </c>
    </row>
    <row r="2609" spans="1:5">
      <c r="A2609" s="323">
        <v>45948</v>
      </c>
      <c r="B2609" s="325" t="s">
        <v>136</v>
      </c>
      <c r="C2609" s="322" t="s">
        <v>682</v>
      </c>
      <c r="D2609" s="322">
        <v>12</v>
      </c>
      <c r="E2609" s="321" t="s">
        <v>125</v>
      </c>
    </row>
    <row r="2610" spans="1:5">
      <c r="A2610" s="323">
        <v>45948</v>
      </c>
      <c r="B2610" s="325" t="s">
        <v>1312</v>
      </c>
      <c r="C2610" s="322" t="s">
        <v>682</v>
      </c>
      <c r="D2610" s="322">
        <v>2</v>
      </c>
      <c r="E2610" s="321" t="s">
        <v>125</v>
      </c>
    </row>
    <row r="2611" spans="1:5">
      <c r="A2611" s="323">
        <v>45948</v>
      </c>
      <c r="B2611" s="325" t="s">
        <v>1404</v>
      </c>
      <c r="C2611" s="322" t="s">
        <v>682</v>
      </c>
      <c r="D2611" s="322">
        <v>1</v>
      </c>
      <c r="E2611" s="321" t="s">
        <v>125</v>
      </c>
    </row>
    <row r="2612" spans="1:5">
      <c r="A2612" s="323">
        <v>45948</v>
      </c>
      <c r="B2612" s="324" t="s">
        <v>960</v>
      </c>
      <c r="C2612" s="322" t="s">
        <v>682</v>
      </c>
      <c r="D2612" s="322">
        <v>6</v>
      </c>
      <c r="E2612" s="321" t="s">
        <v>125</v>
      </c>
    </row>
    <row r="2613" spans="1:5">
      <c r="A2613" s="323">
        <v>45948</v>
      </c>
      <c r="B2613" s="324" t="s">
        <v>960</v>
      </c>
      <c r="C2613" s="322" t="s">
        <v>682</v>
      </c>
      <c r="D2613" s="322">
        <v>1</v>
      </c>
      <c r="E2613" s="321" t="s">
        <v>125</v>
      </c>
    </row>
    <row r="2614" spans="1:5">
      <c r="A2614" s="323">
        <v>45948</v>
      </c>
      <c r="B2614" s="325" t="s">
        <v>1478</v>
      </c>
      <c r="C2614" s="322" t="s">
        <v>682</v>
      </c>
      <c r="D2614" s="322">
        <v>1</v>
      </c>
      <c r="E2614" s="321" t="s">
        <v>125</v>
      </c>
    </row>
    <row r="2615" spans="1:5">
      <c r="A2615" s="310">
        <v>45948</v>
      </c>
      <c r="B2615" s="526" t="s">
        <v>1291</v>
      </c>
      <c r="C2615" s="312" t="s">
        <v>1517</v>
      </c>
      <c r="D2615" s="312">
        <v>1</v>
      </c>
      <c r="E2615" s="313" t="s">
        <v>125</v>
      </c>
    </row>
    <row r="2616" spans="1:5">
      <c r="A2616" s="310">
        <v>45948</v>
      </c>
      <c r="B2616" s="526" t="s">
        <v>1095</v>
      </c>
      <c r="C2616" s="312" t="s">
        <v>1517</v>
      </c>
      <c r="D2616" s="312">
        <v>1</v>
      </c>
      <c r="E2616" s="313" t="s">
        <v>125</v>
      </c>
    </row>
    <row r="2617" spans="1:5">
      <c r="A2617" s="310">
        <v>45948</v>
      </c>
      <c r="B2617" s="315" t="s">
        <v>134</v>
      </c>
      <c r="C2617" s="312" t="s">
        <v>1517</v>
      </c>
      <c r="D2617" s="312">
        <v>3</v>
      </c>
      <c r="E2617" s="313" t="s">
        <v>125</v>
      </c>
    </row>
    <row r="2618" spans="1:5">
      <c r="A2618" s="310">
        <v>45948</v>
      </c>
      <c r="B2618" s="315" t="s">
        <v>134</v>
      </c>
      <c r="C2618" s="312" t="s">
        <v>1517</v>
      </c>
      <c r="D2618" s="312">
        <v>3</v>
      </c>
      <c r="E2618" s="313" t="s">
        <v>125</v>
      </c>
    </row>
    <row r="2619" spans="1:5">
      <c r="A2619" s="310">
        <v>45948</v>
      </c>
      <c r="B2619" s="526" t="s">
        <v>1271</v>
      </c>
      <c r="C2619" s="312" t="s">
        <v>1517</v>
      </c>
      <c r="D2619" s="312">
        <v>1</v>
      </c>
      <c r="E2619" s="313" t="s">
        <v>125</v>
      </c>
    </row>
    <row r="2621" spans="1:5">
      <c r="A2621" s="265">
        <v>45949</v>
      </c>
      <c r="B2621" s="84" t="s">
        <v>134</v>
      </c>
      <c r="C2621" s="345" t="s">
        <v>119</v>
      </c>
      <c r="D2621" s="43">
        <v>-6</v>
      </c>
      <c r="E2621" s="230" t="s">
        <v>125</v>
      </c>
    </row>
    <row r="2622" spans="1:5">
      <c r="A2622" s="265">
        <v>45949</v>
      </c>
      <c r="B2622" s="84" t="s">
        <v>134</v>
      </c>
      <c r="C2622" s="345" t="s">
        <v>119</v>
      </c>
      <c r="D2622" s="43">
        <v>-4</v>
      </c>
      <c r="E2622" s="230" t="s">
        <v>125</v>
      </c>
    </row>
    <row r="2623" spans="1:5">
      <c r="A2623" s="265">
        <v>45949</v>
      </c>
      <c r="B2623" s="343" t="s">
        <v>1271</v>
      </c>
      <c r="C2623" s="345" t="s">
        <v>119</v>
      </c>
      <c r="D2623" s="43">
        <v>-19</v>
      </c>
      <c r="E2623" s="230" t="s">
        <v>125</v>
      </c>
    </row>
    <row r="2624" spans="1:5">
      <c r="A2624" s="265">
        <v>45949</v>
      </c>
      <c r="B2624" s="343" t="s">
        <v>1327</v>
      </c>
      <c r="C2624" s="345" t="s">
        <v>119</v>
      </c>
      <c r="D2624" s="43">
        <v>-10</v>
      </c>
      <c r="E2624" s="230" t="s">
        <v>125</v>
      </c>
    </row>
    <row r="2625" spans="1:5">
      <c r="A2625" s="265">
        <v>45949</v>
      </c>
      <c r="B2625" s="343" t="s">
        <v>1327</v>
      </c>
      <c r="C2625" s="345" t="s">
        <v>119</v>
      </c>
      <c r="D2625" s="43">
        <v>-13</v>
      </c>
      <c r="E2625" s="230" t="s">
        <v>125</v>
      </c>
    </row>
    <row r="2626" spans="1:5">
      <c r="A2626" s="265">
        <v>45949</v>
      </c>
      <c r="B2626" s="104" t="s">
        <v>932</v>
      </c>
      <c r="C2626" s="345" t="s">
        <v>119</v>
      </c>
      <c r="D2626" s="43">
        <v>-3</v>
      </c>
      <c r="E2626" s="230" t="s">
        <v>125</v>
      </c>
    </row>
    <row r="2627" spans="1:5">
      <c r="A2627" s="265">
        <v>45949</v>
      </c>
      <c r="B2627" s="93" t="s">
        <v>1097</v>
      </c>
      <c r="C2627" s="345" t="s">
        <v>119</v>
      </c>
      <c r="D2627" s="43">
        <v>-2</v>
      </c>
      <c r="E2627" s="230" t="s">
        <v>125</v>
      </c>
    </row>
    <row r="2629" spans="1:5">
      <c r="A2629" s="265">
        <v>45950</v>
      </c>
      <c r="B2629" s="342" t="s">
        <v>960</v>
      </c>
      <c r="C2629" s="345" t="s">
        <v>119</v>
      </c>
      <c r="D2629" s="43">
        <v>-5</v>
      </c>
      <c r="E2629" s="230" t="s">
        <v>125</v>
      </c>
    </row>
    <row r="2630" spans="1:5">
      <c r="A2630" s="265">
        <v>45950</v>
      </c>
      <c r="B2630" s="343" t="s">
        <v>1326</v>
      </c>
      <c r="C2630" s="345" t="s">
        <v>119</v>
      </c>
      <c r="D2630" s="43">
        <v>-12</v>
      </c>
      <c r="E2630" s="230" t="s">
        <v>125</v>
      </c>
    </row>
    <row r="2631" spans="1:5">
      <c r="A2631" s="265">
        <v>45950</v>
      </c>
      <c r="B2631" s="92" t="s">
        <v>672</v>
      </c>
      <c r="C2631" s="345" t="s">
        <v>119</v>
      </c>
      <c r="D2631" s="43">
        <v>-1</v>
      </c>
      <c r="E2631" s="230" t="s">
        <v>125</v>
      </c>
    </row>
    <row r="2632" spans="1:5">
      <c r="A2632" s="265">
        <v>45950</v>
      </c>
      <c r="B2632" s="343" t="s">
        <v>1271</v>
      </c>
      <c r="C2632" s="345" t="s">
        <v>119</v>
      </c>
      <c r="D2632" s="43">
        <v>-32</v>
      </c>
      <c r="E2632" s="230" t="s">
        <v>125</v>
      </c>
    </row>
    <row r="2633" spans="1:5">
      <c r="A2633" s="265">
        <v>45950</v>
      </c>
      <c r="B2633" s="343" t="s">
        <v>1291</v>
      </c>
      <c r="C2633" s="345" t="s">
        <v>119</v>
      </c>
      <c r="D2633" s="43">
        <v>-3</v>
      </c>
      <c r="E2633" s="230" t="s">
        <v>125</v>
      </c>
    </row>
    <row r="2635" spans="1:5">
      <c r="A2635" s="265">
        <v>45951</v>
      </c>
      <c r="B2635" s="343" t="s">
        <v>1246</v>
      </c>
      <c r="C2635" s="345" t="s">
        <v>119</v>
      </c>
      <c r="D2635" s="43">
        <v>-9</v>
      </c>
      <c r="E2635" s="230" t="s">
        <v>125</v>
      </c>
    </row>
    <row r="2636" spans="1:5">
      <c r="A2636" s="265">
        <v>45951</v>
      </c>
      <c r="B2636" s="343" t="s">
        <v>1249</v>
      </c>
      <c r="C2636" s="345" t="s">
        <v>119</v>
      </c>
      <c r="D2636" s="43">
        <v>-1</v>
      </c>
      <c r="E2636" s="230" t="s">
        <v>125</v>
      </c>
    </row>
    <row r="2637" spans="1:5">
      <c r="A2637" s="265">
        <v>45951</v>
      </c>
      <c r="B2637" s="343" t="s">
        <v>1289</v>
      </c>
      <c r="C2637" s="345" t="s">
        <v>119</v>
      </c>
      <c r="D2637" s="43">
        <v>-3</v>
      </c>
      <c r="E2637" s="230" t="s">
        <v>125</v>
      </c>
    </row>
    <row r="2638" spans="1:5">
      <c r="A2638" s="265">
        <v>45951</v>
      </c>
      <c r="B2638" s="343" t="s">
        <v>1246</v>
      </c>
      <c r="C2638" s="345" t="s">
        <v>119</v>
      </c>
      <c r="D2638" s="43">
        <v>-8</v>
      </c>
      <c r="E2638" s="230" t="s">
        <v>125</v>
      </c>
    </row>
    <row r="2639" spans="1:5">
      <c r="A2639" s="265">
        <v>45951</v>
      </c>
      <c r="B2639" s="343" t="s">
        <v>1249</v>
      </c>
      <c r="C2639" s="345" t="s">
        <v>119</v>
      </c>
      <c r="D2639" s="43">
        <v>-7</v>
      </c>
      <c r="E2639" s="230" t="s">
        <v>125</v>
      </c>
    </row>
    <row r="2640" spans="1:5">
      <c r="A2640" s="265">
        <v>45951</v>
      </c>
      <c r="B2640" s="343" t="s">
        <v>1246</v>
      </c>
      <c r="C2640" s="345" t="s">
        <v>119</v>
      </c>
      <c r="D2640" s="43">
        <v>-6</v>
      </c>
      <c r="E2640" s="230" t="s">
        <v>125</v>
      </c>
    </row>
    <row r="2641" spans="1:5">
      <c r="A2641" s="265">
        <v>45951</v>
      </c>
      <c r="B2641" s="343" t="s">
        <v>1289</v>
      </c>
      <c r="C2641" s="345" t="s">
        <v>119</v>
      </c>
      <c r="D2641" s="43">
        <v>-1</v>
      </c>
      <c r="E2641" s="230" t="s">
        <v>125</v>
      </c>
    </row>
    <row r="2642" spans="1:5">
      <c r="A2642" s="265">
        <v>45951</v>
      </c>
      <c r="B2642" s="343" t="s">
        <v>1249</v>
      </c>
      <c r="C2642" s="345" t="s">
        <v>119</v>
      </c>
      <c r="D2642" s="43">
        <v>-1</v>
      </c>
      <c r="E2642" s="230" t="s">
        <v>125</v>
      </c>
    </row>
    <row r="2644" spans="1:5">
      <c r="A2644" s="265">
        <v>45951</v>
      </c>
      <c r="B2644" s="343" t="s">
        <v>1291</v>
      </c>
      <c r="C2644" s="345" t="s">
        <v>119</v>
      </c>
      <c r="D2644" s="43">
        <v>-2</v>
      </c>
      <c r="E2644" s="230" t="s">
        <v>125</v>
      </c>
    </row>
    <row r="2645" spans="1:5">
      <c r="A2645" s="265">
        <v>45951</v>
      </c>
      <c r="B2645" s="343" t="s">
        <v>1334</v>
      </c>
      <c r="C2645" s="345" t="s">
        <v>119</v>
      </c>
      <c r="D2645" s="43">
        <v>-9</v>
      </c>
      <c r="E2645" s="230" t="s">
        <v>125</v>
      </c>
    </row>
    <row r="2646" spans="1:5">
      <c r="A2646" s="265">
        <v>45951</v>
      </c>
      <c r="B2646" s="343" t="s">
        <v>1334</v>
      </c>
      <c r="C2646" s="345" t="s">
        <v>119</v>
      </c>
      <c r="D2646" s="43">
        <v>-2</v>
      </c>
      <c r="E2646" s="230" t="s">
        <v>125</v>
      </c>
    </row>
    <row r="2647" spans="1:5">
      <c r="A2647" s="265">
        <v>45951</v>
      </c>
      <c r="B2647" s="84" t="s">
        <v>1387</v>
      </c>
      <c r="C2647" s="345" t="s">
        <v>119</v>
      </c>
      <c r="D2647" s="43">
        <v>-2</v>
      </c>
      <c r="E2647" s="230" t="s">
        <v>125</v>
      </c>
    </row>
    <row r="2648" spans="1:5">
      <c r="A2648" s="265">
        <v>45951</v>
      </c>
      <c r="B2648" s="84" t="s">
        <v>1387</v>
      </c>
      <c r="C2648" s="345" t="s">
        <v>119</v>
      </c>
      <c r="D2648" s="43">
        <v>-2</v>
      </c>
      <c r="E2648" s="230" t="s">
        <v>125</v>
      </c>
    </row>
    <row r="2649" spans="1:5">
      <c r="A2649" s="265">
        <v>45951</v>
      </c>
      <c r="B2649" s="147" t="s">
        <v>930</v>
      </c>
      <c r="C2649" s="345" t="s">
        <v>119</v>
      </c>
      <c r="D2649" s="43">
        <v>-4</v>
      </c>
      <c r="E2649" s="230" t="s">
        <v>125</v>
      </c>
    </row>
    <row r="2650" spans="1:5">
      <c r="A2650" s="265">
        <v>45951</v>
      </c>
      <c r="B2650" s="93" t="s">
        <v>1096</v>
      </c>
      <c r="C2650" s="345" t="s">
        <v>119</v>
      </c>
      <c r="D2650" s="43">
        <v>-1</v>
      </c>
      <c r="E2650" s="230" t="s">
        <v>125</v>
      </c>
    </row>
    <row r="2651" spans="1:5">
      <c r="A2651" s="265">
        <v>45951</v>
      </c>
      <c r="B2651" s="93" t="s">
        <v>1490</v>
      </c>
      <c r="C2651" s="345" t="s">
        <v>119</v>
      </c>
      <c r="D2651" s="43">
        <v>-1</v>
      </c>
      <c r="E2651" s="230" t="s">
        <v>125</v>
      </c>
    </row>
    <row r="2652" spans="1:5">
      <c r="A2652" s="265">
        <v>45951</v>
      </c>
      <c r="B2652" s="93" t="s">
        <v>1491</v>
      </c>
      <c r="C2652" s="345" t="s">
        <v>119</v>
      </c>
      <c r="D2652" s="43">
        <v>-1</v>
      </c>
      <c r="E2652" s="230" t="s">
        <v>125</v>
      </c>
    </row>
    <row r="2653" spans="1:5">
      <c r="A2653" s="265">
        <v>45951</v>
      </c>
      <c r="B2653" s="93" t="s">
        <v>1096</v>
      </c>
      <c r="C2653" s="345" t="s">
        <v>119</v>
      </c>
      <c r="D2653" s="43">
        <v>-2</v>
      </c>
      <c r="E2653" s="230" t="s">
        <v>125</v>
      </c>
    </row>
    <row r="2654" spans="1:5">
      <c r="A2654" s="265">
        <v>45951</v>
      </c>
      <c r="B2654" s="147" t="s">
        <v>931</v>
      </c>
      <c r="C2654" s="345" t="s">
        <v>119</v>
      </c>
      <c r="D2654" s="43">
        <v>-6</v>
      </c>
      <c r="E2654" s="230" t="s">
        <v>125</v>
      </c>
    </row>
    <row r="2655" spans="1:5">
      <c r="A2655" s="265">
        <v>45951</v>
      </c>
      <c r="B2655" s="84" t="s">
        <v>881</v>
      </c>
      <c r="C2655" s="345" t="s">
        <v>119</v>
      </c>
      <c r="D2655" s="43">
        <v>-2</v>
      </c>
      <c r="E2655" s="230" t="s">
        <v>125</v>
      </c>
    </row>
    <row r="2656" spans="1:5">
      <c r="A2656" s="265">
        <v>45951</v>
      </c>
      <c r="B2656" s="84" t="s">
        <v>881</v>
      </c>
      <c r="C2656" s="345" t="s">
        <v>119</v>
      </c>
      <c r="D2656" s="43">
        <v>-1</v>
      </c>
      <c r="E2656" s="230" t="s">
        <v>125</v>
      </c>
    </row>
    <row r="2658" spans="1:6">
      <c r="A2658" s="434">
        <v>45951</v>
      </c>
      <c r="B2658" s="168" t="s">
        <v>1327</v>
      </c>
      <c r="C2658" s="166" t="s">
        <v>1492</v>
      </c>
      <c r="D2658" s="166">
        <v>3</v>
      </c>
      <c r="E2658" s="417" t="s">
        <v>125</v>
      </c>
    </row>
    <row r="2660" spans="1:6">
      <c r="A2660" s="265">
        <v>45951</v>
      </c>
      <c r="B2660" s="84" t="s">
        <v>134</v>
      </c>
      <c r="C2660" s="345" t="s">
        <v>119</v>
      </c>
      <c r="D2660" s="43">
        <v>-5</v>
      </c>
      <c r="E2660" s="230" t="s">
        <v>125</v>
      </c>
    </row>
    <row r="2661" spans="1:6">
      <c r="A2661" s="265">
        <v>45951</v>
      </c>
      <c r="B2661" s="343" t="s">
        <v>1301</v>
      </c>
      <c r="C2661" s="345" t="s">
        <v>119</v>
      </c>
      <c r="D2661" s="43">
        <v>-4</v>
      </c>
      <c r="E2661" s="230" t="s">
        <v>125</v>
      </c>
    </row>
    <row r="2662" spans="1:6">
      <c r="A2662" s="265">
        <v>45951</v>
      </c>
      <c r="B2662" s="343" t="s">
        <v>1407</v>
      </c>
      <c r="C2662" s="345" t="s">
        <v>119</v>
      </c>
      <c r="D2662" s="43">
        <v>-1</v>
      </c>
      <c r="E2662" s="230" t="s">
        <v>125</v>
      </c>
    </row>
    <row r="2663" spans="1:6">
      <c r="A2663" s="265">
        <v>45951</v>
      </c>
      <c r="B2663" s="343" t="s">
        <v>1301</v>
      </c>
      <c r="C2663" s="345" t="s">
        <v>119</v>
      </c>
      <c r="D2663" s="43">
        <v>-1</v>
      </c>
      <c r="E2663" s="230" t="s">
        <v>125</v>
      </c>
    </row>
    <row r="2664" spans="1:6">
      <c r="A2664" s="265">
        <v>45951</v>
      </c>
      <c r="B2664" s="343" t="s">
        <v>1301</v>
      </c>
      <c r="C2664" s="345" t="s">
        <v>119</v>
      </c>
      <c r="D2664" s="43">
        <v>-1</v>
      </c>
      <c r="E2664" s="230" t="s">
        <v>125</v>
      </c>
    </row>
    <row r="2665" spans="1:6">
      <c r="A2665" s="265">
        <v>45951</v>
      </c>
      <c r="B2665" s="343" t="s">
        <v>1246</v>
      </c>
      <c r="C2665" s="345" t="s">
        <v>678</v>
      </c>
      <c r="D2665" s="43">
        <v>-1</v>
      </c>
      <c r="E2665" s="230" t="s">
        <v>125</v>
      </c>
    </row>
    <row r="2667" spans="1:6">
      <c r="A2667" s="346">
        <v>45952</v>
      </c>
      <c r="B2667" s="349" t="s">
        <v>1246</v>
      </c>
      <c r="C2667" s="348" t="s">
        <v>921</v>
      </c>
      <c r="D2667" s="348">
        <v>2</v>
      </c>
      <c r="E2667" s="360" t="s">
        <v>125</v>
      </c>
      <c r="F2667" t="s">
        <v>1493</v>
      </c>
    </row>
    <row r="2668" spans="1:6">
      <c r="A2668" s="346">
        <v>45952</v>
      </c>
      <c r="B2668" s="349" t="s">
        <v>1326</v>
      </c>
      <c r="C2668" s="348" t="s">
        <v>921</v>
      </c>
      <c r="D2668" s="348">
        <v>1</v>
      </c>
      <c r="E2668" s="360" t="s">
        <v>125</v>
      </c>
    </row>
    <row r="2669" spans="1:6">
      <c r="A2669" s="346">
        <v>45952</v>
      </c>
      <c r="B2669" s="349" t="s">
        <v>1327</v>
      </c>
      <c r="C2669" s="348" t="s">
        <v>921</v>
      </c>
      <c r="D2669" s="348">
        <v>3</v>
      </c>
      <c r="E2669" s="360" t="s">
        <v>125</v>
      </c>
    </row>
    <row r="2670" spans="1:6">
      <c r="A2670" s="346">
        <v>45952</v>
      </c>
      <c r="B2670" s="349" t="s">
        <v>1327</v>
      </c>
      <c r="C2670" s="348" t="s">
        <v>921</v>
      </c>
      <c r="D2670" s="348">
        <v>1</v>
      </c>
      <c r="E2670" s="360" t="s">
        <v>125</v>
      </c>
    </row>
    <row r="2671" spans="1:6">
      <c r="A2671" s="346">
        <v>45952</v>
      </c>
      <c r="B2671" s="347" t="s">
        <v>134</v>
      </c>
      <c r="C2671" s="348" t="s">
        <v>921</v>
      </c>
      <c r="D2671" s="348">
        <v>6</v>
      </c>
      <c r="E2671" s="360" t="s">
        <v>125</v>
      </c>
    </row>
    <row r="2672" spans="1:6">
      <c r="A2672" s="346">
        <v>45952</v>
      </c>
      <c r="B2672" s="349" t="s">
        <v>167</v>
      </c>
      <c r="C2672" s="348" t="s">
        <v>921</v>
      </c>
      <c r="D2672" s="348">
        <v>2</v>
      </c>
      <c r="E2672" s="360" t="s">
        <v>125</v>
      </c>
    </row>
    <row r="2673" spans="1:6">
      <c r="A2673" s="346">
        <v>45952</v>
      </c>
      <c r="B2673" s="349" t="s">
        <v>166</v>
      </c>
      <c r="C2673" s="348" t="s">
        <v>921</v>
      </c>
      <c r="D2673" s="348">
        <v>2</v>
      </c>
      <c r="E2673" s="360" t="s">
        <v>125</v>
      </c>
    </row>
    <row r="2674" spans="1:6">
      <c r="A2674" s="346">
        <v>45952</v>
      </c>
      <c r="B2674" s="349" t="s">
        <v>166</v>
      </c>
      <c r="C2674" s="348" t="s">
        <v>921</v>
      </c>
      <c r="D2674" s="348">
        <v>2</v>
      </c>
      <c r="E2674" s="360" t="s">
        <v>125</v>
      </c>
    </row>
    <row r="2675" spans="1:6">
      <c r="A2675" s="346">
        <v>45952</v>
      </c>
      <c r="B2675" s="347" t="s">
        <v>135</v>
      </c>
      <c r="C2675" s="348" t="s">
        <v>921</v>
      </c>
      <c r="D2675" s="348">
        <v>1</v>
      </c>
      <c r="E2675" s="360" t="s">
        <v>125</v>
      </c>
    </row>
    <row r="2676" spans="1:6">
      <c r="A2676" s="346">
        <v>45952</v>
      </c>
      <c r="B2676" s="347" t="s">
        <v>919</v>
      </c>
      <c r="C2676" s="348" t="s">
        <v>921</v>
      </c>
      <c r="D2676" s="348">
        <v>2</v>
      </c>
      <c r="E2676" s="360" t="s">
        <v>125</v>
      </c>
    </row>
    <row r="2677" spans="1:6">
      <c r="A2677" s="346">
        <v>45952</v>
      </c>
      <c r="B2677" s="347" t="s">
        <v>923</v>
      </c>
      <c r="C2677" s="348" t="s">
        <v>921</v>
      </c>
      <c r="D2677" s="348">
        <v>1</v>
      </c>
      <c r="E2677" s="360" t="s">
        <v>125</v>
      </c>
    </row>
    <row r="2678" spans="1:6">
      <c r="A2678" s="346">
        <v>45952</v>
      </c>
      <c r="B2678" s="349" t="s">
        <v>1386</v>
      </c>
      <c r="C2678" s="348" t="s">
        <v>921</v>
      </c>
      <c r="D2678" s="348">
        <v>1</v>
      </c>
      <c r="E2678" s="360" t="s">
        <v>125</v>
      </c>
    </row>
    <row r="2679" spans="1:6">
      <c r="A2679" s="346">
        <v>45952</v>
      </c>
      <c r="B2679" s="349" t="s">
        <v>1291</v>
      </c>
      <c r="C2679" s="348" t="s">
        <v>921</v>
      </c>
      <c r="D2679" s="348">
        <v>5</v>
      </c>
      <c r="E2679" s="360" t="s">
        <v>125</v>
      </c>
    </row>
    <row r="2680" spans="1:6">
      <c r="A2680" s="346">
        <v>45952</v>
      </c>
      <c r="B2680" s="349" t="s">
        <v>1491</v>
      </c>
      <c r="C2680" s="348" t="s">
        <v>921</v>
      </c>
      <c r="D2680" s="348">
        <v>0</v>
      </c>
      <c r="E2680" s="360" t="s">
        <v>125</v>
      </c>
      <c r="F2680" t="s">
        <v>676</v>
      </c>
    </row>
    <row r="2681" spans="1:6">
      <c r="A2681" s="346">
        <v>45952</v>
      </c>
      <c r="B2681" s="349" t="s">
        <v>1334</v>
      </c>
      <c r="C2681" s="348" t="s">
        <v>921</v>
      </c>
      <c r="D2681" s="348">
        <v>1</v>
      </c>
      <c r="E2681" s="360" t="s">
        <v>125</v>
      </c>
    </row>
    <row r="2682" spans="1:6">
      <c r="A2682" s="346">
        <v>45952</v>
      </c>
      <c r="B2682" s="351" t="s">
        <v>932</v>
      </c>
      <c r="C2682" s="348" t="s">
        <v>921</v>
      </c>
      <c r="D2682" s="348">
        <v>7</v>
      </c>
      <c r="E2682" s="360" t="s">
        <v>125</v>
      </c>
    </row>
    <row r="2684" spans="1:6">
      <c r="A2684" s="272">
        <v>45952</v>
      </c>
      <c r="B2684" s="233" t="s">
        <v>375</v>
      </c>
      <c r="C2684" s="106" t="s">
        <v>49</v>
      </c>
      <c r="D2684" s="106">
        <v>9</v>
      </c>
      <c r="E2684" s="94" t="s">
        <v>125</v>
      </c>
    </row>
    <row r="2685" spans="1:6">
      <c r="A2685" s="272">
        <v>45952</v>
      </c>
      <c r="B2685" s="128" t="s">
        <v>76</v>
      </c>
      <c r="C2685" s="106" t="s">
        <v>49</v>
      </c>
      <c r="D2685" s="106">
        <v>100</v>
      </c>
      <c r="E2685" s="94" t="s">
        <v>125</v>
      </c>
    </row>
    <row r="2686" spans="1:6">
      <c r="A2686" s="272">
        <v>45952</v>
      </c>
      <c r="B2686" s="128" t="s">
        <v>671</v>
      </c>
      <c r="C2686" s="106" t="s">
        <v>49</v>
      </c>
      <c r="D2686" s="106">
        <v>2</v>
      </c>
      <c r="E2686" s="94" t="s">
        <v>125</v>
      </c>
    </row>
    <row r="2687" spans="1:6">
      <c r="A2687" s="272">
        <v>45952</v>
      </c>
      <c r="B2687" s="139" t="s">
        <v>839</v>
      </c>
      <c r="C2687" s="106" t="s">
        <v>49</v>
      </c>
      <c r="D2687" s="106">
        <v>4</v>
      </c>
      <c r="E2687" s="94" t="s">
        <v>125</v>
      </c>
    </row>
    <row r="2688" spans="1:6">
      <c r="A2688" s="272">
        <v>45952</v>
      </c>
      <c r="B2688" s="139" t="s">
        <v>1289</v>
      </c>
      <c r="C2688" s="106" t="s">
        <v>49</v>
      </c>
      <c r="D2688" s="106">
        <v>2</v>
      </c>
      <c r="E2688" s="94" t="s">
        <v>125</v>
      </c>
    </row>
    <row r="2689" spans="1:6">
      <c r="A2689" s="272">
        <v>45952</v>
      </c>
      <c r="B2689" s="139" t="s">
        <v>1289</v>
      </c>
      <c r="C2689" s="106" t="s">
        <v>49</v>
      </c>
      <c r="D2689" s="106">
        <v>2</v>
      </c>
      <c r="E2689" s="94" t="s">
        <v>125</v>
      </c>
    </row>
    <row r="2690" spans="1:6">
      <c r="A2690" s="272">
        <v>45952</v>
      </c>
      <c r="B2690" s="139" t="s">
        <v>1289</v>
      </c>
      <c r="C2690" s="106" t="s">
        <v>49</v>
      </c>
      <c r="D2690" s="106">
        <v>1</v>
      </c>
      <c r="E2690" s="94" t="s">
        <v>125</v>
      </c>
    </row>
    <row r="2691" spans="1:6">
      <c r="A2691" s="272">
        <v>45952</v>
      </c>
      <c r="B2691" s="139" t="s">
        <v>1246</v>
      </c>
      <c r="C2691" s="106" t="s">
        <v>49</v>
      </c>
      <c r="D2691" s="106">
        <v>0</v>
      </c>
      <c r="E2691" s="94" t="s">
        <v>125</v>
      </c>
      <c r="F2691" s="206" t="s">
        <v>1013</v>
      </c>
    </row>
    <row r="2692" spans="1:6">
      <c r="A2692" s="272">
        <v>45952</v>
      </c>
      <c r="B2692" s="139" t="s">
        <v>1246</v>
      </c>
      <c r="C2692" s="106" t="s">
        <v>49</v>
      </c>
      <c r="D2692" s="106">
        <v>0</v>
      </c>
      <c r="E2692" s="94" t="s">
        <v>125</v>
      </c>
      <c r="F2692" s="206" t="s">
        <v>1013</v>
      </c>
    </row>
    <row r="2693" spans="1:6">
      <c r="A2693" s="272">
        <v>45952</v>
      </c>
      <c r="B2693" s="139" t="s">
        <v>1246</v>
      </c>
      <c r="C2693" s="106" t="s">
        <v>49</v>
      </c>
      <c r="D2693" s="106">
        <v>0</v>
      </c>
      <c r="E2693" s="94" t="s">
        <v>125</v>
      </c>
      <c r="F2693" s="206" t="s">
        <v>1013</v>
      </c>
    </row>
    <row r="2694" spans="1:6">
      <c r="A2694" s="272">
        <v>45952</v>
      </c>
      <c r="B2694" s="139" t="s">
        <v>1289</v>
      </c>
      <c r="C2694" s="106" t="s">
        <v>49</v>
      </c>
      <c r="D2694" s="106">
        <v>12</v>
      </c>
      <c r="E2694" s="94" t="s">
        <v>125</v>
      </c>
    </row>
    <row r="2695" spans="1:6">
      <c r="A2695" s="272">
        <v>45952</v>
      </c>
      <c r="B2695" s="139" t="s">
        <v>1249</v>
      </c>
      <c r="C2695" s="106" t="s">
        <v>49</v>
      </c>
      <c r="D2695" s="106">
        <v>0</v>
      </c>
      <c r="E2695" s="94" t="s">
        <v>125</v>
      </c>
      <c r="F2695" s="206" t="s">
        <v>1013</v>
      </c>
    </row>
    <row r="2696" spans="1:6">
      <c r="A2696" s="272">
        <v>45952</v>
      </c>
      <c r="B2696" s="139" t="s">
        <v>1289</v>
      </c>
      <c r="C2696" s="106" t="s">
        <v>49</v>
      </c>
      <c r="D2696" s="106">
        <v>2</v>
      </c>
      <c r="E2696" s="94" t="s">
        <v>125</v>
      </c>
    </row>
    <row r="2697" spans="1:6">
      <c r="A2697" s="272">
        <v>45952</v>
      </c>
      <c r="B2697" s="139" t="s">
        <v>1289</v>
      </c>
      <c r="C2697" s="106" t="s">
        <v>49</v>
      </c>
      <c r="D2697" s="106">
        <v>2</v>
      </c>
      <c r="E2697" s="94" t="s">
        <v>125</v>
      </c>
    </row>
    <row r="2698" spans="1:6">
      <c r="A2698" s="272">
        <v>45952</v>
      </c>
      <c r="B2698" s="139" t="s">
        <v>1289</v>
      </c>
      <c r="C2698" s="106" t="s">
        <v>49</v>
      </c>
      <c r="D2698" s="106">
        <v>1</v>
      </c>
      <c r="E2698" s="94" t="s">
        <v>125</v>
      </c>
    </row>
    <row r="2700" spans="1:6">
      <c r="A2700" s="265">
        <v>45952</v>
      </c>
      <c r="B2700" s="343" t="s">
        <v>1301</v>
      </c>
      <c r="C2700" s="345" t="s">
        <v>119</v>
      </c>
      <c r="D2700" s="43">
        <v>-2</v>
      </c>
      <c r="E2700" s="230" t="s">
        <v>125</v>
      </c>
    </row>
    <row r="2701" spans="1:6">
      <c r="A2701" s="265">
        <v>45952</v>
      </c>
      <c r="B2701" s="343" t="s">
        <v>1301</v>
      </c>
      <c r="C2701" s="345" t="s">
        <v>119</v>
      </c>
      <c r="D2701" s="43">
        <v>-1</v>
      </c>
      <c r="E2701" s="230" t="s">
        <v>125</v>
      </c>
    </row>
    <row r="2702" spans="1:6">
      <c r="A2702" s="265">
        <v>45952</v>
      </c>
      <c r="B2702" s="84" t="s">
        <v>134</v>
      </c>
      <c r="C2702" s="345" t="s">
        <v>119</v>
      </c>
      <c r="D2702" s="43">
        <v>-1</v>
      </c>
      <c r="E2702" s="230" t="s">
        <v>125</v>
      </c>
    </row>
    <row r="2703" spans="1:6">
      <c r="A2703" s="265">
        <v>45952</v>
      </c>
      <c r="B2703" s="84" t="s">
        <v>919</v>
      </c>
      <c r="C2703" s="345" t="s">
        <v>119</v>
      </c>
      <c r="D2703" s="43">
        <v>-4</v>
      </c>
      <c r="E2703" s="230" t="s">
        <v>125</v>
      </c>
    </row>
    <row r="2704" spans="1:6">
      <c r="A2704" s="265">
        <v>45952</v>
      </c>
      <c r="B2704" s="343" t="s">
        <v>1313</v>
      </c>
      <c r="C2704" s="345" t="s">
        <v>119</v>
      </c>
      <c r="D2704" s="43">
        <v>-1</v>
      </c>
      <c r="E2704" s="230" t="s">
        <v>125</v>
      </c>
    </row>
    <row r="2705" spans="1:5">
      <c r="A2705" s="265">
        <v>45952</v>
      </c>
      <c r="B2705" s="84" t="s">
        <v>135</v>
      </c>
      <c r="C2705" s="345" t="s">
        <v>119</v>
      </c>
      <c r="D2705" s="43">
        <v>-4</v>
      </c>
      <c r="E2705" s="230" t="s">
        <v>125</v>
      </c>
    </row>
    <row r="2706" spans="1:5">
      <c r="A2706" s="265">
        <v>45952</v>
      </c>
      <c r="B2706" s="343" t="s">
        <v>1259</v>
      </c>
      <c r="C2706" s="345" t="s">
        <v>119</v>
      </c>
      <c r="D2706" s="43">
        <v>-2</v>
      </c>
      <c r="E2706" s="230" t="s">
        <v>125</v>
      </c>
    </row>
    <row r="2707" spans="1:5">
      <c r="A2707" s="265">
        <v>45952</v>
      </c>
      <c r="B2707" s="93" t="s">
        <v>1095</v>
      </c>
      <c r="C2707" s="345" t="s">
        <v>119</v>
      </c>
      <c r="D2707" s="43">
        <v>-1</v>
      </c>
      <c r="E2707" s="230" t="s">
        <v>125</v>
      </c>
    </row>
    <row r="2708" spans="1:5">
      <c r="A2708" s="265">
        <v>45952</v>
      </c>
      <c r="B2708" s="343" t="s">
        <v>1152</v>
      </c>
      <c r="C2708" s="345" t="s">
        <v>119</v>
      </c>
      <c r="D2708" s="43">
        <v>-3</v>
      </c>
      <c r="E2708" s="230" t="s">
        <v>125</v>
      </c>
    </row>
    <row r="2709" spans="1:5">
      <c r="A2709" s="265">
        <v>45952</v>
      </c>
      <c r="B2709" s="343" t="s">
        <v>1152</v>
      </c>
      <c r="C2709" s="345" t="s">
        <v>119</v>
      </c>
      <c r="D2709" s="43">
        <v>-3</v>
      </c>
      <c r="E2709" s="230" t="s">
        <v>125</v>
      </c>
    </row>
    <row r="2711" spans="1:5">
      <c r="A2711" s="434">
        <v>45952</v>
      </c>
      <c r="B2711" s="503" t="s">
        <v>919</v>
      </c>
      <c r="C2711" s="166" t="s">
        <v>1508</v>
      </c>
      <c r="D2711" s="166">
        <v>4</v>
      </c>
      <c r="E2711" s="417" t="s">
        <v>125</v>
      </c>
    </row>
    <row r="2712" spans="1:5">
      <c r="A2712" s="434">
        <v>45952</v>
      </c>
      <c r="B2712" s="168" t="s">
        <v>1313</v>
      </c>
      <c r="C2712" s="166" t="s">
        <v>1508</v>
      </c>
      <c r="D2712" s="166">
        <v>1</v>
      </c>
      <c r="E2712" s="417" t="s">
        <v>125</v>
      </c>
    </row>
    <row r="2713" spans="1:5">
      <c r="A2713" s="434">
        <v>45952</v>
      </c>
      <c r="B2713" s="168" t="s">
        <v>1095</v>
      </c>
      <c r="C2713" s="166" t="s">
        <v>1508</v>
      </c>
      <c r="D2713" s="166">
        <v>2</v>
      </c>
      <c r="E2713" s="417" t="s">
        <v>125</v>
      </c>
    </row>
    <row r="2715" spans="1:5">
      <c r="A2715" s="335">
        <v>45952</v>
      </c>
      <c r="B2715" s="342" t="s">
        <v>919</v>
      </c>
      <c r="C2715" s="345" t="s">
        <v>119</v>
      </c>
      <c r="D2715" s="345">
        <v>-4</v>
      </c>
      <c r="E2715" s="230" t="s">
        <v>125</v>
      </c>
    </row>
    <row r="2716" spans="1:5">
      <c r="A2716" s="335">
        <v>45952</v>
      </c>
      <c r="B2716" s="343" t="s">
        <v>1313</v>
      </c>
      <c r="C2716" s="345" t="s">
        <v>119</v>
      </c>
      <c r="D2716" s="345">
        <v>-1</v>
      </c>
      <c r="E2716" s="230" t="s">
        <v>125</v>
      </c>
    </row>
    <row r="2717" spans="1:5">
      <c r="A2717" s="335">
        <v>45952</v>
      </c>
      <c r="B2717" s="343" t="s">
        <v>1095</v>
      </c>
      <c r="C2717" s="345" t="s">
        <v>119</v>
      </c>
      <c r="D2717" s="345">
        <v>-2</v>
      </c>
      <c r="E2717" s="230" t="s">
        <v>125</v>
      </c>
    </row>
    <row r="2718" spans="1:5">
      <c r="A2718" s="335">
        <v>45952</v>
      </c>
      <c r="B2718" s="84" t="s">
        <v>134</v>
      </c>
      <c r="C2718" s="345" t="s">
        <v>119</v>
      </c>
      <c r="D2718" s="43">
        <v>-2</v>
      </c>
      <c r="E2718" s="230" t="s">
        <v>125</v>
      </c>
    </row>
    <row r="2719" spans="1:5">
      <c r="A2719" s="335">
        <v>45952</v>
      </c>
      <c r="B2719" s="84" t="s">
        <v>134</v>
      </c>
      <c r="C2719" s="345" t="s">
        <v>119</v>
      </c>
      <c r="D2719" s="43">
        <v>-5</v>
      </c>
      <c r="E2719" s="230" t="s">
        <v>125</v>
      </c>
    </row>
    <row r="2720" spans="1:5">
      <c r="A2720" s="335">
        <v>45952</v>
      </c>
      <c r="B2720" s="343" t="s">
        <v>1291</v>
      </c>
      <c r="C2720" s="345" t="s">
        <v>119</v>
      </c>
      <c r="D2720" s="43">
        <v>-1</v>
      </c>
      <c r="E2720" s="230" t="s">
        <v>125</v>
      </c>
    </row>
    <row r="2722" spans="1:5">
      <c r="A2722" s="434">
        <v>45952</v>
      </c>
      <c r="B2722" s="503" t="s">
        <v>134</v>
      </c>
      <c r="C2722" s="166" t="s">
        <v>1509</v>
      </c>
      <c r="D2722" s="166">
        <v>1</v>
      </c>
      <c r="E2722" s="417" t="s">
        <v>125</v>
      </c>
    </row>
    <row r="2724" spans="1:5">
      <c r="A2724" s="265">
        <v>45953</v>
      </c>
      <c r="B2724" s="93" t="s">
        <v>121</v>
      </c>
      <c r="C2724" s="345" t="s">
        <v>119</v>
      </c>
      <c r="D2724" s="43">
        <v>-25</v>
      </c>
      <c r="E2724" s="230" t="s">
        <v>125</v>
      </c>
    </row>
    <row r="2725" spans="1:5">
      <c r="A2725" s="265">
        <v>45953</v>
      </c>
      <c r="B2725" s="92" t="s">
        <v>672</v>
      </c>
      <c r="C2725" s="345" t="s">
        <v>119</v>
      </c>
      <c r="D2725" s="43">
        <v>-1</v>
      </c>
      <c r="E2725" s="230" t="s">
        <v>125</v>
      </c>
    </row>
    <row r="2726" spans="1:5">
      <c r="A2726" s="265">
        <v>45953</v>
      </c>
      <c r="B2726" s="92" t="s">
        <v>76</v>
      </c>
      <c r="C2726" s="345" t="s">
        <v>119</v>
      </c>
      <c r="D2726" s="43">
        <v>-2</v>
      </c>
      <c r="E2726" s="230" t="s">
        <v>125</v>
      </c>
    </row>
    <row r="2727" spans="1:5">
      <c r="A2727" s="265">
        <v>45953</v>
      </c>
      <c r="B2727" s="93" t="s">
        <v>1221</v>
      </c>
      <c r="C2727" s="345" t="s">
        <v>119</v>
      </c>
      <c r="D2727" s="43">
        <v>-1</v>
      </c>
      <c r="E2727" s="230" t="s">
        <v>125</v>
      </c>
    </row>
    <row r="2728" spans="1:5">
      <c r="A2728" s="265">
        <v>45953</v>
      </c>
      <c r="B2728" s="93" t="s">
        <v>121</v>
      </c>
      <c r="C2728" s="345" t="s">
        <v>119</v>
      </c>
      <c r="D2728" s="43">
        <v>-25</v>
      </c>
      <c r="E2728" s="230" t="s">
        <v>125</v>
      </c>
    </row>
    <row r="2729" spans="1:5">
      <c r="A2729" s="265">
        <v>45953</v>
      </c>
      <c r="B2729" s="343" t="s">
        <v>1246</v>
      </c>
      <c r="C2729" s="345" t="s">
        <v>678</v>
      </c>
      <c r="D2729" s="43">
        <v>-1</v>
      </c>
      <c r="E2729" s="230" t="s">
        <v>125</v>
      </c>
    </row>
    <row r="2730" spans="1:5">
      <c r="A2730" s="265">
        <v>45953</v>
      </c>
      <c r="B2730" s="343" t="s">
        <v>1291</v>
      </c>
      <c r="C2730" s="345" t="s">
        <v>119</v>
      </c>
      <c r="D2730" s="43">
        <v>-1</v>
      </c>
      <c r="E2730" s="230" t="s">
        <v>125</v>
      </c>
    </row>
    <row r="2731" spans="1:5">
      <c r="A2731" s="265">
        <v>45953</v>
      </c>
      <c r="B2731" s="343" t="s">
        <v>1301</v>
      </c>
      <c r="C2731" s="345" t="s">
        <v>119</v>
      </c>
      <c r="D2731" s="43">
        <v>-4</v>
      </c>
      <c r="E2731" s="230" t="s">
        <v>125</v>
      </c>
    </row>
    <row r="2732" spans="1:5">
      <c r="A2732" s="265">
        <v>45953</v>
      </c>
      <c r="B2732" s="343" t="s">
        <v>1301</v>
      </c>
      <c r="C2732" s="345" t="s">
        <v>119</v>
      </c>
      <c r="D2732" s="43">
        <v>-1</v>
      </c>
      <c r="E2732" s="230" t="s">
        <v>125</v>
      </c>
    </row>
    <row r="2734" spans="1:5">
      <c r="A2734" s="265">
        <v>45954</v>
      </c>
      <c r="B2734" s="84" t="s">
        <v>134</v>
      </c>
      <c r="C2734" s="345" t="s">
        <v>119</v>
      </c>
      <c r="D2734" s="43">
        <v>-6</v>
      </c>
      <c r="E2734" s="230" t="s">
        <v>125</v>
      </c>
    </row>
    <row r="2735" spans="1:5">
      <c r="A2735" s="265">
        <v>45954</v>
      </c>
      <c r="B2735" s="92" t="s">
        <v>76</v>
      </c>
      <c r="C2735" s="345" t="s">
        <v>119</v>
      </c>
      <c r="D2735" s="43">
        <v>-25</v>
      </c>
      <c r="E2735" s="230" t="s">
        <v>125</v>
      </c>
    </row>
    <row r="2736" spans="1:5">
      <c r="A2736" s="265">
        <v>45954</v>
      </c>
      <c r="B2736" s="93" t="s">
        <v>167</v>
      </c>
      <c r="C2736" s="345" t="s">
        <v>119</v>
      </c>
      <c r="D2736" s="43">
        <v>-3</v>
      </c>
      <c r="E2736" s="230" t="s">
        <v>125</v>
      </c>
    </row>
    <row r="2737" spans="1:5">
      <c r="A2737" s="265">
        <v>45954</v>
      </c>
      <c r="B2737" s="104" t="s">
        <v>932</v>
      </c>
      <c r="C2737" s="345" t="s">
        <v>119</v>
      </c>
      <c r="D2737" s="43">
        <v>-3</v>
      </c>
      <c r="E2737" s="230" t="s">
        <v>125</v>
      </c>
    </row>
    <row r="2738" spans="1:5">
      <c r="A2738" s="265">
        <v>45954</v>
      </c>
      <c r="B2738" s="92" t="s">
        <v>76</v>
      </c>
      <c r="C2738" s="345" t="s">
        <v>119</v>
      </c>
      <c r="D2738" s="43">
        <v>-30</v>
      </c>
      <c r="E2738" s="230" t="s">
        <v>125</v>
      </c>
    </row>
    <row r="2739" spans="1:5">
      <c r="A2739" s="265">
        <v>45954</v>
      </c>
      <c r="B2739" s="93" t="s">
        <v>166</v>
      </c>
      <c r="C2739" s="345" t="s">
        <v>119</v>
      </c>
      <c r="D2739" s="43">
        <v>-2</v>
      </c>
      <c r="E2739" s="230" t="s">
        <v>125</v>
      </c>
    </row>
    <row r="2740" spans="1:5">
      <c r="A2740" s="265">
        <v>45954</v>
      </c>
      <c r="B2740" s="104" t="s">
        <v>304</v>
      </c>
      <c r="C2740" s="345" t="s">
        <v>119</v>
      </c>
      <c r="D2740" s="43">
        <v>-50</v>
      </c>
      <c r="E2740" s="230" t="s">
        <v>125</v>
      </c>
    </row>
    <row r="2741" spans="1:5">
      <c r="A2741" s="265">
        <v>45954</v>
      </c>
      <c r="B2741" s="93" t="s">
        <v>1221</v>
      </c>
      <c r="C2741" s="345" t="s">
        <v>119</v>
      </c>
      <c r="D2741" s="43">
        <v>-1</v>
      </c>
      <c r="E2741" s="230" t="s">
        <v>125</v>
      </c>
    </row>
    <row r="2742" spans="1:5">
      <c r="A2742" s="265">
        <v>45954</v>
      </c>
      <c r="B2742" s="344" t="s">
        <v>1151</v>
      </c>
      <c r="C2742" s="345" t="s">
        <v>119</v>
      </c>
      <c r="D2742" s="43">
        <v>-8</v>
      </c>
      <c r="E2742" s="230" t="s">
        <v>125</v>
      </c>
    </row>
    <row r="2743" spans="1:5">
      <c r="A2743" s="265">
        <v>45954</v>
      </c>
      <c r="B2743" s="93" t="s">
        <v>166</v>
      </c>
      <c r="C2743" s="345" t="s">
        <v>119</v>
      </c>
      <c r="D2743" s="43">
        <v>-1</v>
      </c>
      <c r="E2743" s="230" t="s">
        <v>125</v>
      </c>
    </row>
    <row r="2744" spans="1:5">
      <c r="A2744" s="265">
        <v>45954</v>
      </c>
      <c r="B2744" s="93" t="s">
        <v>166</v>
      </c>
      <c r="C2744" s="345" t="s">
        <v>119</v>
      </c>
      <c r="D2744" s="43">
        <v>-2</v>
      </c>
      <c r="E2744" s="230" t="s">
        <v>125</v>
      </c>
    </row>
    <row r="2745" spans="1:5">
      <c r="A2745" s="265">
        <v>45954</v>
      </c>
      <c r="B2745" s="343" t="s">
        <v>1407</v>
      </c>
      <c r="C2745" s="345" t="s">
        <v>119</v>
      </c>
      <c r="D2745" s="43">
        <v>-1</v>
      </c>
      <c r="E2745" s="230" t="s">
        <v>125</v>
      </c>
    </row>
    <row r="2746" spans="1:5">
      <c r="A2746" s="265">
        <v>45954</v>
      </c>
      <c r="B2746" s="343" t="s">
        <v>1407</v>
      </c>
      <c r="C2746" s="345" t="s">
        <v>119</v>
      </c>
      <c r="D2746" s="43">
        <v>-2</v>
      </c>
      <c r="E2746" s="230" t="s">
        <v>125</v>
      </c>
    </row>
    <row r="2747" spans="1:5">
      <c r="A2747" s="265">
        <v>45954</v>
      </c>
      <c r="B2747" s="343" t="s">
        <v>1290</v>
      </c>
      <c r="C2747" s="345" t="s">
        <v>119</v>
      </c>
      <c r="D2747" s="43">
        <v>-1</v>
      </c>
      <c r="E2747" s="230" t="s">
        <v>125</v>
      </c>
    </row>
    <row r="2749" spans="1:5">
      <c r="A2749" s="265">
        <v>45955</v>
      </c>
      <c r="B2749" s="343" t="s">
        <v>1301</v>
      </c>
      <c r="C2749" s="345" t="s">
        <v>678</v>
      </c>
      <c r="D2749" s="43">
        <v>-1</v>
      </c>
      <c r="E2749" s="230" t="s">
        <v>125</v>
      </c>
    </row>
    <row r="2750" spans="1:5">
      <c r="A2750" s="265">
        <v>45955</v>
      </c>
      <c r="B2750" s="343" t="s">
        <v>1246</v>
      </c>
      <c r="C2750" s="345" t="s">
        <v>678</v>
      </c>
      <c r="D2750" s="43">
        <v>-1</v>
      </c>
      <c r="E2750" s="230" t="s">
        <v>125</v>
      </c>
    </row>
    <row r="2751" spans="1:5">
      <c r="A2751" s="346">
        <v>45955</v>
      </c>
      <c r="B2751" s="351" t="s">
        <v>932</v>
      </c>
      <c r="C2751" s="348" t="s">
        <v>921</v>
      </c>
      <c r="D2751" s="348">
        <v>1</v>
      </c>
      <c r="E2751" s="360" t="s">
        <v>125</v>
      </c>
    </row>
    <row r="2753" spans="1:5">
      <c r="A2753" s="346">
        <v>45957</v>
      </c>
      <c r="B2753" s="347" t="s">
        <v>134</v>
      </c>
      <c r="C2753" s="348" t="s">
        <v>921</v>
      </c>
      <c r="D2753" s="348">
        <v>4</v>
      </c>
      <c r="E2753" s="360" t="s">
        <v>125</v>
      </c>
    </row>
    <row r="2754" spans="1:5">
      <c r="A2754" s="346">
        <v>45957</v>
      </c>
      <c r="B2754" s="349" t="s">
        <v>1520</v>
      </c>
      <c r="C2754" s="348" t="s">
        <v>921</v>
      </c>
      <c r="D2754" s="348">
        <v>1</v>
      </c>
      <c r="E2754" s="360" t="s">
        <v>125</v>
      </c>
    </row>
    <row r="2755" spans="1:5">
      <c r="A2755" s="346">
        <v>45957</v>
      </c>
      <c r="B2755" s="349" t="s">
        <v>1521</v>
      </c>
      <c r="C2755" s="348" t="s">
        <v>921</v>
      </c>
      <c r="D2755" s="348">
        <v>1</v>
      </c>
      <c r="E2755" s="360" t="s">
        <v>125</v>
      </c>
    </row>
    <row r="2756" spans="1:5">
      <c r="A2756" s="346">
        <v>45957</v>
      </c>
      <c r="B2756" s="349" t="s">
        <v>1522</v>
      </c>
      <c r="C2756" s="348" t="s">
        <v>921</v>
      </c>
      <c r="D2756" s="348">
        <v>1</v>
      </c>
      <c r="E2756" s="360" t="s">
        <v>125</v>
      </c>
    </row>
    <row r="2757" spans="1:5">
      <c r="A2757" s="272">
        <v>45957</v>
      </c>
      <c r="B2757" s="139" t="s">
        <v>1289</v>
      </c>
      <c r="C2757" s="106" t="s">
        <v>49</v>
      </c>
      <c r="D2757" s="231">
        <v>8</v>
      </c>
      <c r="E2757" s="94" t="s">
        <v>125</v>
      </c>
    </row>
    <row r="2758" spans="1:5">
      <c r="A2758" s="272">
        <v>45957</v>
      </c>
      <c r="B2758" s="139" t="s">
        <v>1289</v>
      </c>
      <c r="C2758" s="106" t="s">
        <v>49</v>
      </c>
      <c r="D2758" s="106">
        <v>4</v>
      </c>
      <c r="E2758" s="94" t="s">
        <v>125</v>
      </c>
    </row>
    <row r="2759" spans="1:5">
      <c r="A2759" s="330">
        <v>45957</v>
      </c>
      <c r="B2759" s="329" t="s">
        <v>839</v>
      </c>
      <c r="C2759" s="328" t="s">
        <v>49</v>
      </c>
      <c r="D2759" s="328">
        <v>1</v>
      </c>
      <c r="E2759" s="331" t="s">
        <v>125</v>
      </c>
    </row>
    <row r="2760" spans="1:5">
      <c r="A2760" s="330">
        <v>45957</v>
      </c>
      <c r="B2760" s="329" t="s">
        <v>839</v>
      </c>
      <c r="C2760" s="328" t="s">
        <v>49</v>
      </c>
      <c r="D2760" s="328">
        <v>2</v>
      </c>
      <c r="E2760" s="331" t="s">
        <v>125</v>
      </c>
    </row>
    <row r="2762" spans="1:5">
      <c r="A2762" s="265">
        <v>45955</v>
      </c>
      <c r="B2762" s="92" t="s">
        <v>672</v>
      </c>
      <c r="C2762" s="345" t="s">
        <v>119</v>
      </c>
      <c r="D2762" s="43">
        <v>-1</v>
      </c>
      <c r="E2762" s="230" t="s">
        <v>125</v>
      </c>
    </row>
    <row r="2764" spans="1:5">
      <c r="A2764" s="434">
        <v>45955</v>
      </c>
      <c r="B2764" s="503" t="s">
        <v>134</v>
      </c>
      <c r="C2764" s="166" t="s">
        <v>1526</v>
      </c>
      <c r="D2764" s="166">
        <v>2</v>
      </c>
      <c r="E2764" s="417" t="s">
        <v>125</v>
      </c>
    </row>
    <row r="2766" spans="1:5">
      <c r="A2766" s="265">
        <v>45955</v>
      </c>
      <c r="B2766" s="343" t="s">
        <v>1289</v>
      </c>
      <c r="C2766" s="345" t="s">
        <v>119</v>
      </c>
      <c r="D2766" s="43">
        <v>-1</v>
      </c>
      <c r="E2766" s="230" t="s">
        <v>125</v>
      </c>
    </row>
    <row r="2768" spans="1:5">
      <c r="A2768" s="434">
        <v>45955</v>
      </c>
      <c r="B2768" s="168" t="s">
        <v>1407</v>
      </c>
      <c r="C2768" s="166" t="s">
        <v>1527</v>
      </c>
      <c r="D2768" s="166">
        <v>1</v>
      </c>
      <c r="E2768" s="417" t="s">
        <v>125</v>
      </c>
    </row>
    <row r="2769" spans="1:5">
      <c r="A2769" s="434">
        <v>45955</v>
      </c>
      <c r="B2769" s="168" t="s">
        <v>1407</v>
      </c>
      <c r="C2769" s="166" t="s">
        <v>1527</v>
      </c>
      <c r="D2769" s="166">
        <v>2</v>
      </c>
      <c r="E2769" s="417" t="s">
        <v>125</v>
      </c>
    </row>
    <row r="2770" spans="1:5">
      <c r="A2770" s="434">
        <v>45955</v>
      </c>
      <c r="B2770" s="168" t="s">
        <v>1290</v>
      </c>
      <c r="C2770" s="166" t="s">
        <v>1527</v>
      </c>
      <c r="D2770" s="166">
        <v>1</v>
      </c>
      <c r="E2770" s="417" t="s">
        <v>125</v>
      </c>
    </row>
    <row r="2772" spans="1:5">
      <c r="A2772" s="265">
        <v>45957</v>
      </c>
      <c r="B2772" s="92" t="s">
        <v>789</v>
      </c>
      <c r="C2772" s="345" t="s">
        <v>119</v>
      </c>
      <c r="D2772" s="43">
        <v>-3</v>
      </c>
      <c r="E2772" s="230" t="s">
        <v>125</v>
      </c>
    </row>
    <row r="2773" spans="1:5">
      <c r="A2773" s="265">
        <v>45957</v>
      </c>
      <c r="B2773" s="93" t="s">
        <v>1528</v>
      </c>
      <c r="C2773" s="345" t="s">
        <v>119</v>
      </c>
      <c r="D2773" s="43">
        <v>-2</v>
      </c>
      <c r="E2773" s="230" t="s">
        <v>125</v>
      </c>
    </row>
    <row r="2775" spans="1:5">
      <c r="A2775" s="434">
        <v>45957</v>
      </c>
      <c r="B2775" s="168" t="s">
        <v>1271</v>
      </c>
      <c r="C2775" s="166" t="s">
        <v>1529</v>
      </c>
      <c r="D2775" s="166">
        <v>2</v>
      </c>
      <c r="E2775" s="417" t="s">
        <v>125</v>
      </c>
    </row>
    <row r="2776" spans="1:5">
      <c r="A2776" s="434">
        <v>45957</v>
      </c>
      <c r="B2776" s="168" t="s">
        <v>1327</v>
      </c>
      <c r="C2776" s="166" t="s">
        <v>1529</v>
      </c>
      <c r="D2776" s="166">
        <v>1</v>
      </c>
      <c r="E2776" s="417" t="s">
        <v>125</v>
      </c>
    </row>
    <row r="2778" spans="1:5">
      <c r="A2778" s="265">
        <v>45957</v>
      </c>
      <c r="B2778" s="93" t="s">
        <v>167</v>
      </c>
      <c r="C2778" s="345" t="s">
        <v>119</v>
      </c>
      <c r="D2778" s="43">
        <v>-4</v>
      </c>
      <c r="E2778" s="230" t="s">
        <v>125</v>
      </c>
    </row>
    <row r="2779" spans="1:5">
      <c r="A2779" s="265">
        <v>45957</v>
      </c>
      <c r="B2779" s="343" t="s">
        <v>1319</v>
      </c>
      <c r="C2779" s="345" t="s">
        <v>119</v>
      </c>
      <c r="D2779" s="43">
        <v>-4</v>
      </c>
      <c r="E2779" s="230" t="s">
        <v>125</v>
      </c>
    </row>
    <row r="2780" spans="1:5">
      <c r="A2780" s="265">
        <v>45957</v>
      </c>
      <c r="B2780" s="343" t="s">
        <v>1318</v>
      </c>
      <c r="C2780" s="345" t="s">
        <v>119</v>
      </c>
      <c r="D2780" s="43">
        <v>-2</v>
      </c>
      <c r="E2780" s="230" t="s">
        <v>125</v>
      </c>
    </row>
    <row r="2781" spans="1:5">
      <c r="A2781" s="265">
        <v>45957</v>
      </c>
      <c r="B2781" s="93" t="s">
        <v>166</v>
      </c>
      <c r="C2781" s="345" t="s">
        <v>119</v>
      </c>
      <c r="D2781" s="43">
        <v>-2</v>
      </c>
      <c r="E2781" s="230" t="s">
        <v>125</v>
      </c>
    </row>
    <row r="2782" spans="1:5">
      <c r="A2782" s="265">
        <v>45957</v>
      </c>
      <c r="B2782" s="93" t="s">
        <v>167</v>
      </c>
      <c r="C2782" s="345" t="s">
        <v>119</v>
      </c>
      <c r="D2782" s="43">
        <v>-2</v>
      </c>
      <c r="E2782" s="230" t="s">
        <v>125</v>
      </c>
    </row>
    <row r="2783" spans="1:5">
      <c r="A2783" s="265">
        <v>45957</v>
      </c>
      <c r="B2783" s="84" t="s">
        <v>134</v>
      </c>
      <c r="C2783" s="345" t="s">
        <v>119</v>
      </c>
      <c r="D2783" s="43">
        <v>-1</v>
      </c>
      <c r="E2783" s="230" t="s">
        <v>125</v>
      </c>
    </row>
    <row r="2785" spans="1:5">
      <c r="A2785" s="437">
        <v>45957</v>
      </c>
      <c r="B2785" s="222" t="s">
        <v>1528</v>
      </c>
      <c r="C2785" s="220" t="s">
        <v>1530</v>
      </c>
      <c r="D2785" s="220">
        <v>2</v>
      </c>
      <c r="E2785" s="438" t="s">
        <v>125</v>
      </c>
    </row>
    <row r="2787" spans="1:5">
      <c r="A2787" s="434">
        <v>45958</v>
      </c>
      <c r="B2787" s="179" t="s">
        <v>671</v>
      </c>
      <c r="C2787" s="166" t="s">
        <v>1531</v>
      </c>
      <c r="D2787" s="166">
        <v>1</v>
      </c>
      <c r="E2787" s="417" t="s">
        <v>125</v>
      </c>
    </row>
    <row r="2789" spans="1:5">
      <c r="A2789" s="335">
        <v>45958</v>
      </c>
      <c r="B2789" s="341" t="s">
        <v>671</v>
      </c>
      <c r="C2789" s="345" t="s">
        <v>119</v>
      </c>
      <c r="D2789" s="345">
        <v>-25</v>
      </c>
      <c r="E2789" s="230" t="s">
        <v>125</v>
      </c>
    </row>
    <row r="2790" spans="1:5">
      <c r="A2790" s="335">
        <v>45958</v>
      </c>
      <c r="B2790" s="341" t="s">
        <v>671</v>
      </c>
      <c r="C2790" s="345" t="s">
        <v>119</v>
      </c>
      <c r="D2790" s="345">
        <v>-1</v>
      </c>
      <c r="E2790" s="230" t="s">
        <v>125</v>
      </c>
    </row>
    <row r="2791" spans="1:5">
      <c r="A2791" s="335">
        <v>45958</v>
      </c>
      <c r="B2791" s="92" t="s">
        <v>672</v>
      </c>
      <c r="C2791" s="345" t="s">
        <v>119</v>
      </c>
      <c r="D2791" s="43">
        <v>-1</v>
      </c>
      <c r="E2791" s="230" t="s">
        <v>125</v>
      </c>
    </row>
    <row r="2792" spans="1:5">
      <c r="A2792" s="335">
        <v>45958</v>
      </c>
      <c r="B2792" s="92" t="s">
        <v>76</v>
      </c>
      <c r="C2792" s="345" t="s">
        <v>119</v>
      </c>
      <c r="D2792" s="43">
        <v>-43</v>
      </c>
      <c r="E2792" s="230" t="s">
        <v>125</v>
      </c>
    </row>
    <row r="2793" spans="1:5">
      <c r="A2793" s="335">
        <v>45958</v>
      </c>
      <c r="B2793" s="84" t="s">
        <v>923</v>
      </c>
      <c r="C2793" s="345" t="s">
        <v>119</v>
      </c>
      <c r="D2793" s="43">
        <v>-1</v>
      </c>
      <c r="E2793" s="230" t="s">
        <v>125</v>
      </c>
    </row>
    <row r="2794" spans="1:5">
      <c r="A2794" s="335">
        <v>45958</v>
      </c>
      <c r="B2794" s="84" t="s">
        <v>919</v>
      </c>
      <c r="C2794" s="345" t="s">
        <v>119</v>
      </c>
      <c r="D2794" s="43">
        <v>-3</v>
      </c>
      <c r="E2794" s="230" t="s">
        <v>125</v>
      </c>
    </row>
    <row r="2795" spans="1:5">
      <c r="A2795" s="335">
        <v>45958</v>
      </c>
      <c r="B2795" s="84" t="s">
        <v>135</v>
      </c>
      <c r="C2795" s="345" t="s">
        <v>119</v>
      </c>
      <c r="D2795" s="43">
        <v>-2</v>
      </c>
      <c r="E2795" s="230" t="s">
        <v>125</v>
      </c>
    </row>
    <row r="2796" spans="1:5">
      <c r="A2796" s="335">
        <v>45958</v>
      </c>
      <c r="B2796" s="343" t="s">
        <v>1386</v>
      </c>
      <c r="C2796" s="345" t="s">
        <v>119</v>
      </c>
      <c r="D2796" s="43">
        <v>-1</v>
      </c>
      <c r="E2796" s="230" t="s">
        <v>125</v>
      </c>
    </row>
    <row r="2797" spans="1:5">
      <c r="A2797" s="335">
        <v>45958</v>
      </c>
      <c r="B2797" s="343" t="s">
        <v>1152</v>
      </c>
      <c r="C2797" s="345" t="s">
        <v>119</v>
      </c>
      <c r="D2797" s="43">
        <v>-1</v>
      </c>
      <c r="E2797" s="230" t="s">
        <v>125</v>
      </c>
    </row>
    <row r="2798" spans="1:5">
      <c r="A2798" s="335">
        <v>45958</v>
      </c>
      <c r="B2798" s="343" t="s">
        <v>1386</v>
      </c>
      <c r="C2798" s="345" t="s">
        <v>119</v>
      </c>
      <c r="D2798" s="43">
        <v>-1</v>
      </c>
      <c r="E2798" s="230" t="s">
        <v>125</v>
      </c>
    </row>
    <row r="2799" spans="1:5">
      <c r="A2799" s="335">
        <v>45958</v>
      </c>
      <c r="B2799" s="93" t="s">
        <v>976</v>
      </c>
      <c r="C2799" s="345" t="s">
        <v>119</v>
      </c>
      <c r="D2799" s="43">
        <v>-1</v>
      </c>
      <c r="E2799" s="230" t="s">
        <v>125</v>
      </c>
    </row>
    <row r="2800" spans="1:5">
      <c r="A2800" s="335">
        <v>45958</v>
      </c>
      <c r="B2800" s="93" t="s">
        <v>1221</v>
      </c>
      <c r="C2800" s="345" t="s">
        <v>119</v>
      </c>
      <c r="D2800" s="43">
        <v>-1</v>
      </c>
      <c r="E2800" s="230" t="s">
        <v>125</v>
      </c>
    </row>
    <row r="2802" spans="1:6">
      <c r="A2802" s="346">
        <v>45958</v>
      </c>
      <c r="B2802" s="349" t="s">
        <v>1271</v>
      </c>
      <c r="C2802" s="348" t="s">
        <v>921</v>
      </c>
      <c r="D2802" s="348">
        <v>4</v>
      </c>
      <c r="E2802" s="360" t="s">
        <v>125</v>
      </c>
      <c r="F2802" t="s">
        <v>1534</v>
      </c>
    </row>
    <row r="2803" spans="1:6">
      <c r="A2803" s="346">
        <v>45958</v>
      </c>
      <c r="B2803" s="349" t="s">
        <v>1326</v>
      </c>
      <c r="C2803" s="348" t="s">
        <v>921</v>
      </c>
      <c r="D2803" s="348">
        <v>2</v>
      </c>
      <c r="E2803" s="360" t="s">
        <v>125</v>
      </c>
    </row>
    <row r="2804" spans="1:6">
      <c r="A2804" s="346">
        <v>45958</v>
      </c>
      <c r="B2804" s="347" t="s">
        <v>134</v>
      </c>
      <c r="C2804" s="348" t="s">
        <v>921</v>
      </c>
      <c r="D2804" s="348">
        <v>1</v>
      </c>
      <c r="E2804" s="360" t="s">
        <v>125</v>
      </c>
    </row>
    <row r="2805" spans="1:6">
      <c r="A2805" s="346">
        <v>45958</v>
      </c>
      <c r="B2805" s="349" t="s">
        <v>1327</v>
      </c>
      <c r="C2805" s="348" t="s">
        <v>921</v>
      </c>
      <c r="D2805" s="348">
        <v>17</v>
      </c>
      <c r="E2805" s="360" t="s">
        <v>125</v>
      </c>
    </row>
    <row r="2806" spans="1:6">
      <c r="A2806" s="346">
        <v>45958</v>
      </c>
      <c r="B2806" s="349" t="s">
        <v>167</v>
      </c>
      <c r="C2806" s="348" t="s">
        <v>921</v>
      </c>
      <c r="D2806" s="348">
        <v>2</v>
      </c>
      <c r="E2806" s="360" t="s">
        <v>125</v>
      </c>
    </row>
    <row r="2807" spans="1:6">
      <c r="A2807" s="346">
        <v>45958</v>
      </c>
      <c r="B2807" s="349" t="s">
        <v>166</v>
      </c>
      <c r="C2807" s="348" t="s">
        <v>921</v>
      </c>
      <c r="D2807" s="348">
        <v>1</v>
      </c>
      <c r="E2807" s="360" t="s">
        <v>125</v>
      </c>
    </row>
    <row r="2808" spans="1:6">
      <c r="A2808" s="346">
        <v>45958</v>
      </c>
      <c r="B2808" s="349" t="s">
        <v>167</v>
      </c>
      <c r="C2808" s="348" t="s">
        <v>921</v>
      </c>
      <c r="D2808" s="348">
        <v>2</v>
      </c>
      <c r="E2808" s="360" t="s">
        <v>125</v>
      </c>
    </row>
    <row r="2809" spans="1:6">
      <c r="A2809" s="346">
        <v>45958</v>
      </c>
      <c r="B2809" s="349" t="s">
        <v>169</v>
      </c>
      <c r="C2809" s="348" t="s">
        <v>921</v>
      </c>
      <c r="D2809" s="348">
        <v>1</v>
      </c>
      <c r="E2809" s="360" t="s">
        <v>125</v>
      </c>
    </row>
    <row r="2810" spans="1:6">
      <c r="A2810" s="346">
        <v>45958</v>
      </c>
      <c r="B2810" s="349" t="s">
        <v>1532</v>
      </c>
      <c r="C2810" s="348" t="s">
        <v>921</v>
      </c>
      <c r="D2810" s="348">
        <v>1</v>
      </c>
      <c r="E2810" s="360" t="s">
        <v>125</v>
      </c>
    </row>
    <row r="2811" spans="1:6">
      <c r="A2811" s="346">
        <v>45958</v>
      </c>
      <c r="B2811" s="347" t="s">
        <v>919</v>
      </c>
      <c r="C2811" s="348" t="s">
        <v>921</v>
      </c>
      <c r="D2811" s="348">
        <v>2</v>
      </c>
      <c r="E2811" s="360" t="s">
        <v>125</v>
      </c>
    </row>
    <row r="2812" spans="1:6">
      <c r="A2812" s="346">
        <v>45958</v>
      </c>
      <c r="B2812" s="349" t="s">
        <v>1291</v>
      </c>
      <c r="C2812" s="348" t="s">
        <v>921</v>
      </c>
      <c r="D2812" s="348">
        <v>2</v>
      </c>
      <c r="E2812" s="360" t="s">
        <v>125</v>
      </c>
    </row>
    <row r="2813" spans="1:6">
      <c r="A2813" s="346">
        <v>45958</v>
      </c>
      <c r="B2813" s="349" t="s">
        <v>1334</v>
      </c>
      <c r="C2813" s="348" t="s">
        <v>921</v>
      </c>
      <c r="D2813" s="348">
        <v>3</v>
      </c>
      <c r="E2813" s="360" t="s">
        <v>125</v>
      </c>
    </row>
    <row r="2814" spans="1:6">
      <c r="A2814" s="346">
        <v>45958</v>
      </c>
      <c r="B2814" s="347" t="s">
        <v>1387</v>
      </c>
      <c r="C2814" s="348" t="s">
        <v>921</v>
      </c>
      <c r="D2814" s="348">
        <v>1</v>
      </c>
      <c r="E2814" s="360" t="s">
        <v>125</v>
      </c>
    </row>
    <row r="2815" spans="1:6">
      <c r="A2815" s="346">
        <v>45958</v>
      </c>
      <c r="B2815" s="349" t="s">
        <v>1533</v>
      </c>
      <c r="C2815" s="348" t="s">
        <v>921</v>
      </c>
      <c r="D2815" s="348">
        <v>1</v>
      </c>
      <c r="E2815" s="360" t="s">
        <v>125</v>
      </c>
    </row>
    <row r="2816" spans="1:6">
      <c r="A2816" s="346">
        <v>45958</v>
      </c>
      <c r="B2816" s="349" t="s">
        <v>1097</v>
      </c>
      <c r="C2816" s="348" t="s">
        <v>921</v>
      </c>
      <c r="D2816" s="348">
        <v>1</v>
      </c>
      <c r="E2816" s="360" t="s">
        <v>125</v>
      </c>
    </row>
    <row r="2817" spans="1:5">
      <c r="A2817" s="346">
        <v>45958</v>
      </c>
      <c r="B2817" s="351" t="s">
        <v>932</v>
      </c>
      <c r="C2817" s="348" t="s">
        <v>921</v>
      </c>
      <c r="D2817" s="348">
        <v>5</v>
      </c>
      <c r="E2817" s="360" t="s">
        <v>125</v>
      </c>
    </row>
    <row r="2818" spans="1:5">
      <c r="A2818" s="346">
        <v>45958</v>
      </c>
      <c r="B2818" s="349" t="s">
        <v>935</v>
      </c>
      <c r="C2818" s="348" t="s">
        <v>921</v>
      </c>
      <c r="D2818" s="348">
        <v>1</v>
      </c>
      <c r="E2818" s="360" t="s">
        <v>125</v>
      </c>
    </row>
    <row r="2819" spans="1:5">
      <c r="A2819" s="346">
        <v>45958</v>
      </c>
      <c r="B2819" s="349" t="s">
        <v>1271</v>
      </c>
      <c r="C2819" s="348" t="s">
        <v>921</v>
      </c>
      <c r="D2819" s="348">
        <v>1</v>
      </c>
      <c r="E2819" s="360" t="s">
        <v>125</v>
      </c>
    </row>
    <row r="2821" spans="1:5">
      <c r="A2821" s="335">
        <v>45958</v>
      </c>
      <c r="B2821" s="104" t="s">
        <v>932</v>
      </c>
      <c r="C2821" s="345" t="s">
        <v>119</v>
      </c>
      <c r="D2821" s="43">
        <v>-10</v>
      </c>
      <c r="E2821" s="230" t="s">
        <v>125</v>
      </c>
    </row>
    <row r="2822" spans="1:5">
      <c r="A2822" s="335">
        <v>45958</v>
      </c>
      <c r="B2822" s="343" t="s">
        <v>1289</v>
      </c>
      <c r="C2822" s="345" t="s">
        <v>119</v>
      </c>
      <c r="D2822" s="43">
        <v>-3</v>
      </c>
      <c r="E2822" s="230" t="s">
        <v>125</v>
      </c>
    </row>
    <row r="2823" spans="1:5">
      <c r="A2823" s="335">
        <v>45958</v>
      </c>
      <c r="B2823" s="343" t="s">
        <v>1246</v>
      </c>
      <c r="C2823" s="345" t="s">
        <v>119</v>
      </c>
      <c r="D2823" s="43">
        <v>-1</v>
      </c>
      <c r="E2823" s="230" t="s">
        <v>125</v>
      </c>
    </row>
    <row r="2824" spans="1:5">
      <c r="A2824" s="335">
        <v>45958</v>
      </c>
      <c r="B2824" s="84" t="s">
        <v>134</v>
      </c>
      <c r="C2824" s="345" t="s">
        <v>119</v>
      </c>
      <c r="D2824" s="43">
        <v>-4</v>
      </c>
      <c r="E2824" s="230" t="s">
        <v>125</v>
      </c>
    </row>
    <row r="2825" spans="1:5">
      <c r="A2825" s="335">
        <v>45958</v>
      </c>
      <c r="B2825" s="343" t="s">
        <v>1326</v>
      </c>
      <c r="C2825" s="345" t="s">
        <v>119</v>
      </c>
      <c r="D2825" s="43">
        <v>-3</v>
      </c>
      <c r="E2825" s="230" t="s">
        <v>125</v>
      </c>
    </row>
    <row r="2826" spans="1:5">
      <c r="A2826" s="335">
        <v>45958</v>
      </c>
      <c r="B2826" s="92" t="s">
        <v>882</v>
      </c>
      <c r="C2826" s="345" t="s">
        <v>119</v>
      </c>
      <c r="D2826" s="43">
        <v>-2</v>
      </c>
      <c r="E2826" s="230" t="s">
        <v>125</v>
      </c>
    </row>
    <row r="2827" spans="1:5">
      <c r="A2827" s="335">
        <v>45958</v>
      </c>
      <c r="B2827" s="343" t="s">
        <v>1289</v>
      </c>
      <c r="C2827" s="345" t="s">
        <v>119</v>
      </c>
      <c r="D2827" s="43">
        <v>-20</v>
      </c>
      <c r="E2827" s="230" t="s">
        <v>125</v>
      </c>
    </row>
    <row r="2828" spans="1:5">
      <c r="A2828" s="335">
        <v>45958</v>
      </c>
      <c r="B2828" s="93" t="s">
        <v>167</v>
      </c>
      <c r="C2828" s="345" t="s">
        <v>119</v>
      </c>
      <c r="D2828" s="43">
        <v>-1</v>
      </c>
      <c r="E2828" s="230" t="s">
        <v>125</v>
      </c>
    </row>
    <row r="2829" spans="1:5">
      <c r="A2829" s="335">
        <v>45958</v>
      </c>
      <c r="B2829" s="93" t="s">
        <v>169</v>
      </c>
      <c r="C2829" s="345" t="s">
        <v>119</v>
      </c>
      <c r="D2829" s="43">
        <v>-1</v>
      </c>
      <c r="E2829" s="230" t="s">
        <v>125</v>
      </c>
    </row>
    <row r="2831" spans="1:5">
      <c r="A2831" s="265">
        <v>45959</v>
      </c>
      <c r="B2831" s="92" t="s">
        <v>672</v>
      </c>
      <c r="C2831" s="345" t="s">
        <v>119</v>
      </c>
      <c r="D2831" s="43">
        <v>-2</v>
      </c>
      <c r="E2831" s="230" t="s">
        <v>125</v>
      </c>
    </row>
    <row r="2832" spans="1:5">
      <c r="A2832" s="265">
        <v>45959</v>
      </c>
      <c r="B2832" s="343" t="s">
        <v>1289</v>
      </c>
      <c r="C2832" s="345" t="s">
        <v>119</v>
      </c>
      <c r="D2832" s="43">
        <v>-1</v>
      </c>
      <c r="E2832" s="230" t="s">
        <v>125</v>
      </c>
    </row>
    <row r="2833" spans="1:6">
      <c r="A2833" s="265">
        <v>45959</v>
      </c>
      <c r="B2833" s="92" t="s">
        <v>672</v>
      </c>
      <c r="C2833" s="345" t="s">
        <v>119</v>
      </c>
      <c r="D2833" s="43">
        <v>-3</v>
      </c>
      <c r="E2833" s="230" t="s">
        <v>125</v>
      </c>
    </row>
    <row r="2834" spans="1:6">
      <c r="A2834" s="265">
        <v>45959</v>
      </c>
      <c r="B2834" s="343" t="s">
        <v>1434</v>
      </c>
      <c r="C2834" s="345" t="s">
        <v>119</v>
      </c>
      <c r="D2834" s="43">
        <v>-1</v>
      </c>
      <c r="E2834" s="230" t="s">
        <v>125</v>
      </c>
    </row>
    <row r="2836" spans="1:6">
      <c r="A2836" s="434">
        <v>45959</v>
      </c>
      <c r="B2836" s="168" t="s">
        <v>1386</v>
      </c>
      <c r="C2836" s="166" t="s">
        <v>1535</v>
      </c>
      <c r="D2836" s="166">
        <v>1</v>
      </c>
      <c r="E2836" s="417" t="s">
        <v>125</v>
      </c>
    </row>
    <row r="2837" spans="1:6">
      <c r="A2837" s="434">
        <v>45959</v>
      </c>
      <c r="B2837" s="168" t="s">
        <v>976</v>
      </c>
      <c r="C2837" s="166" t="s">
        <v>1535</v>
      </c>
      <c r="D2837" s="166">
        <v>1</v>
      </c>
      <c r="E2837" s="417" t="s">
        <v>125</v>
      </c>
    </row>
    <row r="2838" spans="1:6">
      <c r="A2838" s="434">
        <v>45959</v>
      </c>
      <c r="B2838" s="503" t="s">
        <v>919</v>
      </c>
      <c r="C2838" s="166" t="s">
        <v>1535</v>
      </c>
      <c r="D2838" s="166">
        <v>1</v>
      </c>
      <c r="E2838" s="417" t="s">
        <v>125</v>
      </c>
    </row>
    <row r="2840" spans="1:6">
      <c r="A2840" s="346">
        <v>45959</v>
      </c>
      <c r="B2840" s="349" t="s">
        <v>1246</v>
      </c>
      <c r="C2840" s="348" t="s">
        <v>921</v>
      </c>
      <c r="D2840" s="348">
        <v>1</v>
      </c>
      <c r="E2840" s="360" t="s">
        <v>125</v>
      </c>
      <c r="F2840" t="s">
        <v>1541</v>
      </c>
    </row>
    <row r="2841" spans="1:6">
      <c r="A2841" s="346">
        <v>45959</v>
      </c>
      <c r="B2841" s="349" t="s">
        <v>1327</v>
      </c>
      <c r="C2841" s="348" t="s">
        <v>921</v>
      </c>
      <c r="D2841" s="348">
        <v>11</v>
      </c>
      <c r="E2841" s="360" t="s">
        <v>125</v>
      </c>
    </row>
    <row r="2842" spans="1:6">
      <c r="A2842" s="346">
        <v>45959</v>
      </c>
      <c r="B2842" s="349" t="s">
        <v>1326</v>
      </c>
      <c r="C2842" s="348" t="s">
        <v>921</v>
      </c>
      <c r="D2842" s="348">
        <v>2</v>
      </c>
      <c r="E2842" s="360" t="s">
        <v>125</v>
      </c>
    </row>
    <row r="2843" spans="1:6">
      <c r="A2843" s="346">
        <v>45959</v>
      </c>
      <c r="B2843" s="347" t="s">
        <v>134</v>
      </c>
      <c r="C2843" s="348" t="s">
        <v>921</v>
      </c>
      <c r="D2843" s="348">
        <v>1</v>
      </c>
      <c r="E2843" s="360" t="s">
        <v>125</v>
      </c>
    </row>
    <row r="2844" spans="1:6">
      <c r="A2844" s="346">
        <v>45959</v>
      </c>
      <c r="B2844" s="349" t="s">
        <v>166</v>
      </c>
      <c r="C2844" s="348" t="s">
        <v>921</v>
      </c>
      <c r="D2844" s="348">
        <v>4</v>
      </c>
      <c r="E2844" s="360" t="s">
        <v>125</v>
      </c>
    </row>
    <row r="2845" spans="1:6">
      <c r="A2845" s="346">
        <v>45959</v>
      </c>
      <c r="B2845" s="349" t="s">
        <v>167</v>
      </c>
      <c r="C2845" s="348" t="s">
        <v>921</v>
      </c>
      <c r="D2845" s="348">
        <v>1</v>
      </c>
      <c r="E2845" s="360" t="s">
        <v>125</v>
      </c>
    </row>
    <row r="2846" spans="1:6">
      <c r="A2846" s="346">
        <v>45959</v>
      </c>
      <c r="B2846" s="349" t="s">
        <v>1319</v>
      </c>
      <c r="C2846" s="348" t="s">
        <v>921</v>
      </c>
      <c r="D2846" s="348">
        <v>1</v>
      </c>
      <c r="E2846" s="360" t="s">
        <v>125</v>
      </c>
    </row>
    <row r="2847" spans="1:6">
      <c r="A2847" s="346">
        <v>45959</v>
      </c>
      <c r="B2847" s="349" t="s">
        <v>1536</v>
      </c>
      <c r="C2847" s="348" t="s">
        <v>921</v>
      </c>
      <c r="D2847" s="348">
        <v>1</v>
      </c>
      <c r="E2847" s="360" t="s">
        <v>125</v>
      </c>
    </row>
    <row r="2848" spans="1:6">
      <c r="A2848" s="346">
        <v>45959</v>
      </c>
      <c r="B2848" s="349" t="s">
        <v>1537</v>
      </c>
      <c r="C2848" s="348" t="s">
        <v>921</v>
      </c>
      <c r="D2848" s="348">
        <v>2</v>
      </c>
      <c r="E2848" s="360" t="s">
        <v>125</v>
      </c>
    </row>
    <row r="2849" spans="1:5">
      <c r="A2849" s="346">
        <v>45959</v>
      </c>
      <c r="B2849" s="351" t="s">
        <v>932</v>
      </c>
      <c r="C2849" s="348" t="s">
        <v>921</v>
      </c>
      <c r="D2849" s="348">
        <v>5</v>
      </c>
      <c r="E2849" s="360" t="s">
        <v>125</v>
      </c>
    </row>
    <row r="2850" spans="1:5">
      <c r="A2850" s="346">
        <v>45959</v>
      </c>
      <c r="B2850" s="349" t="s">
        <v>1538</v>
      </c>
      <c r="C2850" s="348" t="s">
        <v>921</v>
      </c>
      <c r="D2850" s="348">
        <v>1</v>
      </c>
      <c r="E2850" s="360" t="s">
        <v>125</v>
      </c>
    </row>
    <row r="2851" spans="1:5">
      <c r="A2851" s="346">
        <v>45959</v>
      </c>
      <c r="B2851" s="349" t="s">
        <v>1539</v>
      </c>
      <c r="C2851" s="348" t="s">
        <v>921</v>
      </c>
      <c r="D2851" s="348">
        <v>2</v>
      </c>
      <c r="E2851" s="360" t="s">
        <v>125</v>
      </c>
    </row>
    <row r="2852" spans="1:5">
      <c r="A2852" s="346">
        <v>45959</v>
      </c>
      <c r="B2852" s="349" t="s">
        <v>1540</v>
      </c>
      <c r="C2852" s="348" t="s">
        <v>921</v>
      </c>
      <c r="D2852" s="348">
        <v>1</v>
      </c>
      <c r="E2852" s="360" t="s">
        <v>125</v>
      </c>
    </row>
    <row r="2853" spans="1:5">
      <c r="A2853" s="346">
        <v>45959</v>
      </c>
      <c r="B2853" s="347" t="s">
        <v>135</v>
      </c>
      <c r="C2853" s="348" t="s">
        <v>921</v>
      </c>
      <c r="D2853" s="348">
        <v>1</v>
      </c>
      <c r="E2853" s="360" t="s">
        <v>125</v>
      </c>
    </row>
    <row r="2854" spans="1:5">
      <c r="A2854" s="346">
        <v>45959</v>
      </c>
      <c r="B2854" s="349" t="s">
        <v>1152</v>
      </c>
      <c r="C2854" s="348" t="s">
        <v>921</v>
      </c>
      <c r="D2854" s="348">
        <v>1</v>
      </c>
      <c r="E2854" s="360" t="s">
        <v>125</v>
      </c>
    </row>
    <row r="2855" spans="1:5">
      <c r="A2855" s="346">
        <v>45959</v>
      </c>
      <c r="B2855" s="349" t="s">
        <v>976</v>
      </c>
      <c r="C2855" s="348" t="s">
        <v>921</v>
      </c>
      <c r="D2855" s="348">
        <v>1</v>
      </c>
      <c r="E2855" s="360" t="s">
        <v>125</v>
      </c>
    </row>
    <row r="2856" spans="1:5">
      <c r="A2856" s="346">
        <v>45959</v>
      </c>
      <c r="B2856" s="349" t="s">
        <v>1334</v>
      </c>
      <c r="C2856" s="348" t="s">
        <v>921</v>
      </c>
      <c r="D2856" s="348">
        <v>1</v>
      </c>
      <c r="E2856" s="360" t="s">
        <v>125</v>
      </c>
    </row>
    <row r="2857" spans="1:5">
      <c r="A2857" s="346">
        <v>45959</v>
      </c>
      <c r="B2857" s="347" t="s">
        <v>1387</v>
      </c>
      <c r="C2857" s="348" t="s">
        <v>921</v>
      </c>
      <c r="D2857" s="348">
        <v>1</v>
      </c>
      <c r="E2857" s="360" t="s">
        <v>125</v>
      </c>
    </row>
    <row r="2858" spans="1:5">
      <c r="A2858" s="346">
        <v>45959</v>
      </c>
      <c r="B2858" s="349" t="s">
        <v>1491</v>
      </c>
      <c r="C2858" s="348" t="s">
        <v>921</v>
      </c>
      <c r="D2858" s="348">
        <v>1</v>
      </c>
      <c r="E2858" s="360" t="s">
        <v>125</v>
      </c>
    </row>
    <row r="2859" spans="1:5">
      <c r="A2859" s="346">
        <v>45959</v>
      </c>
      <c r="B2859" s="349" t="s">
        <v>1533</v>
      </c>
      <c r="C2859" s="348" t="s">
        <v>921</v>
      </c>
      <c r="D2859" s="348">
        <v>1</v>
      </c>
      <c r="E2859" s="360" t="s">
        <v>125</v>
      </c>
    </row>
    <row r="2861" spans="1:5">
      <c r="A2861" s="335">
        <v>45959</v>
      </c>
      <c r="B2861" s="343" t="s">
        <v>1386</v>
      </c>
      <c r="C2861" s="345" t="s">
        <v>119</v>
      </c>
      <c r="D2861" s="345">
        <v>-1</v>
      </c>
      <c r="E2861" s="230" t="s">
        <v>125</v>
      </c>
    </row>
    <row r="2862" spans="1:5">
      <c r="A2862" s="335">
        <v>45959</v>
      </c>
      <c r="B2862" s="343" t="s">
        <v>1478</v>
      </c>
      <c r="C2862" s="345" t="s">
        <v>119</v>
      </c>
      <c r="D2862" s="345">
        <v>-1</v>
      </c>
      <c r="E2862" s="230" t="s">
        <v>125</v>
      </c>
    </row>
    <row r="2863" spans="1:5">
      <c r="A2863" s="335">
        <v>45959</v>
      </c>
      <c r="B2863" s="343" t="s">
        <v>1404</v>
      </c>
      <c r="C2863" s="345" t="s">
        <v>119</v>
      </c>
      <c r="D2863" s="345">
        <v>-1</v>
      </c>
      <c r="E2863" s="230" t="s">
        <v>125</v>
      </c>
    </row>
    <row r="2864" spans="1:5">
      <c r="A2864" s="335">
        <v>45959</v>
      </c>
      <c r="B2864" s="343" t="s">
        <v>976</v>
      </c>
      <c r="C2864" s="345" t="s">
        <v>119</v>
      </c>
      <c r="D2864" s="345">
        <v>-1</v>
      </c>
      <c r="E2864" s="230" t="s">
        <v>125</v>
      </c>
    </row>
    <row r="2865" spans="1:5">
      <c r="A2865" s="335">
        <v>45959</v>
      </c>
      <c r="B2865" s="342" t="s">
        <v>919</v>
      </c>
      <c r="C2865" s="345" t="s">
        <v>119</v>
      </c>
      <c r="D2865" s="345">
        <v>-1</v>
      </c>
      <c r="E2865" s="230" t="s">
        <v>125</v>
      </c>
    </row>
    <row r="2866" spans="1:5">
      <c r="A2866" s="335">
        <v>45959</v>
      </c>
      <c r="B2866" s="343" t="s">
        <v>1289</v>
      </c>
      <c r="C2866" s="345" t="s">
        <v>119</v>
      </c>
      <c r="D2866" s="43">
        <v>-3</v>
      </c>
      <c r="E2866" s="230" t="s">
        <v>125</v>
      </c>
    </row>
    <row r="2867" spans="1:5">
      <c r="A2867" s="335">
        <v>45959</v>
      </c>
      <c r="B2867" s="343" t="s">
        <v>1289</v>
      </c>
      <c r="C2867" s="345" t="s">
        <v>119</v>
      </c>
      <c r="D2867" s="43">
        <v>-1</v>
      </c>
      <c r="E2867" s="230" t="s">
        <v>125</v>
      </c>
    </row>
    <row r="2868" spans="1:5">
      <c r="A2868" s="335">
        <v>45959</v>
      </c>
      <c r="B2868" s="93" t="s">
        <v>839</v>
      </c>
      <c r="C2868" s="345" t="s">
        <v>119</v>
      </c>
      <c r="D2868" s="43">
        <v>-4</v>
      </c>
      <c r="E2868" s="230" t="s">
        <v>125</v>
      </c>
    </row>
    <row r="2869" spans="1:5">
      <c r="A2869" s="335">
        <v>45960</v>
      </c>
      <c r="B2869" s="343" t="s">
        <v>1289</v>
      </c>
      <c r="C2869" s="345" t="s">
        <v>119</v>
      </c>
      <c r="D2869" s="43">
        <v>-2</v>
      </c>
      <c r="E2869" s="230" t="s">
        <v>125</v>
      </c>
    </row>
    <row r="2871" spans="1:5">
      <c r="A2871" s="310">
        <v>45960</v>
      </c>
      <c r="B2871" s="526" t="s">
        <v>1327</v>
      </c>
      <c r="C2871" s="312" t="s">
        <v>1543</v>
      </c>
      <c r="D2871" s="312">
        <v>-11</v>
      </c>
      <c r="E2871" s="313" t="s">
        <v>125</v>
      </c>
    </row>
    <row r="2872" spans="1:5">
      <c r="A2872" s="434">
        <v>45960</v>
      </c>
      <c r="B2872" s="168" t="s">
        <v>1289</v>
      </c>
      <c r="C2872" s="166" t="s">
        <v>1544</v>
      </c>
      <c r="D2872" s="166">
        <v>3</v>
      </c>
      <c r="E2872" s="417" t="s">
        <v>125</v>
      </c>
    </row>
    <row r="2874" spans="1:5">
      <c r="A2874" s="335">
        <v>45960</v>
      </c>
      <c r="B2874" s="343" t="s">
        <v>1289</v>
      </c>
      <c r="C2874" s="345" t="s">
        <v>119</v>
      </c>
      <c r="D2874" s="43">
        <v>-3</v>
      </c>
      <c r="E2874" s="230" t="s">
        <v>125</v>
      </c>
    </row>
    <row r="2875" spans="1:5">
      <c r="A2875" s="335">
        <v>45960</v>
      </c>
      <c r="B2875" s="84" t="s">
        <v>881</v>
      </c>
      <c r="C2875" s="345" t="s">
        <v>119</v>
      </c>
      <c r="D2875" s="43">
        <v>-3</v>
      </c>
      <c r="E2875" s="230" t="s">
        <v>125</v>
      </c>
    </row>
    <row r="2877" spans="1:5">
      <c r="A2877" s="265">
        <v>45961</v>
      </c>
      <c r="B2877" s="343" t="s">
        <v>1289</v>
      </c>
      <c r="C2877" s="345" t="s">
        <v>119</v>
      </c>
      <c r="D2877" s="43">
        <v>-3</v>
      </c>
      <c r="E2877" s="230" t="s">
        <v>125</v>
      </c>
    </row>
    <row r="2878" spans="1:5">
      <c r="A2878" s="265">
        <v>45961</v>
      </c>
      <c r="B2878" s="93" t="s">
        <v>1545</v>
      </c>
      <c r="C2878" s="345" t="s">
        <v>119</v>
      </c>
      <c r="D2878" s="43">
        <v>-1</v>
      </c>
      <c r="E2878" s="230" t="s">
        <v>125</v>
      </c>
    </row>
    <row r="2879" spans="1:5">
      <c r="A2879" s="265">
        <v>45961</v>
      </c>
      <c r="B2879" s="93" t="s">
        <v>976</v>
      </c>
      <c r="C2879" s="345" t="s">
        <v>119</v>
      </c>
      <c r="D2879" s="43">
        <v>-2</v>
      </c>
      <c r="E2879" s="230" t="s">
        <v>125</v>
      </c>
    </row>
    <row r="2880" spans="1:5">
      <c r="A2880" s="265">
        <v>45961</v>
      </c>
      <c r="B2880" s="84" t="s">
        <v>134</v>
      </c>
      <c r="C2880" s="345" t="s">
        <v>119</v>
      </c>
      <c r="D2880" s="43">
        <v>-3</v>
      </c>
      <c r="E2880" s="230" t="s">
        <v>125</v>
      </c>
    </row>
    <row r="2881" spans="1:6">
      <c r="A2881" s="265">
        <v>45961</v>
      </c>
      <c r="B2881" s="84" t="s">
        <v>134</v>
      </c>
      <c r="C2881" s="345" t="s">
        <v>119</v>
      </c>
      <c r="D2881" s="43">
        <v>-1</v>
      </c>
      <c r="E2881" s="230" t="s">
        <v>125</v>
      </c>
    </row>
    <row r="2883" spans="1:6">
      <c r="A2883" s="323">
        <v>45959</v>
      </c>
      <c r="B2883" s="324" t="s">
        <v>960</v>
      </c>
      <c r="C2883" s="322" t="s">
        <v>682</v>
      </c>
      <c r="D2883" s="322">
        <v>42</v>
      </c>
      <c r="E2883" s="321" t="s">
        <v>125</v>
      </c>
      <c r="F2883" t="s">
        <v>1570</v>
      </c>
    </row>
    <row r="2884" spans="1:6">
      <c r="A2884" s="323">
        <v>45959</v>
      </c>
      <c r="B2884" s="324" t="s">
        <v>131</v>
      </c>
      <c r="C2884" s="322" t="s">
        <v>682</v>
      </c>
      <c r="D2884" s="322">
        <v>16</v>
      </c>
      <c r="E2884" s="321" t="s">
        <v>125</v>
      </c>
    </row>
    <row r="2885" spans="1:6">
      <c r="A2885" s="323">
        <v>45959</v>
      </c>
      <c r="B2885" s="325" t="s">
        <v>1271</v>
      </c>
      <c r="C2885" s="322" t="s">
        <v>682</v>
      </c>
      <c r="D2885" s="322">
        <v>12</v>
      </c>
      <c r="E2885" s="321" t="s">
        <v>125</v>
      </c>
    </row>
    <row r="2886" spans="1:6">
      <c r="A2886" s="323">
        <v>45959</v>
      </c>
      <c r="B2886" s="325" t="s">
        <v>1409</v>
      </c>
      <c r="C2886" s="322" t="s">
        <v>682</v>
      </c>
      <c r="D2886" s="322">
        <v>10</v>
      </c>
      <c r="E2886" s="321" t="s">
        <v>125</v>
      </c>
    </row>
    <row r="2887" spans="1:6">
      <c r="A2887" s="323">
        <v>45959</v>
      </c>
      <c r="B2887" s="425" t="s">
        <v>1182</v>
      </c>
      <c r="C2887" s="322" t="s">
        <v>682</v>
      </c>
      <c r="D2887" s="322">
        <v>6</v>
      </c>
      <c r="E2887" s="321" t="s">
        <v>125</v>
      </c>
    </row>
    <row r="2888" spans="1:6">
      <c r="A2888" s="323">
        <v>45959</v>
      </c>
      <c r="B2888" s="425" t="s">
        <v>1151</v>
      </c>
      <c r="C2888" s="322" t="s">
        <v>682</v>
      </c>
      <c r="D2888" s="322">
        <v>5</v>
      </c>
      <c r="E2888" s="321" t="s">
        <v>125</v>
      </c>
    </row>
    <row r="2889" spans="1:6">
      <c r="A2889" s="323">
        <v>45959</v>
      </c>
      <c r="B2889" s="325" t="s">
        <v>1291</v>
      </c>
      <c r="C2889" s="322" t="s">
        <v>682</v>
      </c>
      <c r="D2889" s="322">
        <v>5</v>
      </c>
      <c r="E2889" s="321" t="s">
        <v>125</v>
      </c>
    </row>
    <row r="2890" spans="1:6">
      <c r="A2890" s="323">
        <v>45959</v>
      </c>
      <c r="B2890" s="325" t="s">
        <v>1326</v>
      </c>
      <c r="C2890" s="322" t="s">
        <v>682</v>
      </c>
      <c r="D2890" s="322">
        <v>3</v>
      </c>
      <c r="E2890" s="321" t="s">
        <v>125</v>
      </c>
    </row>
    <row r="2891" spans="1:6">
      <c r="A2891" s="323">
        <v>45959</v>
      </c>
      <c r="B2891" s="325" t="s">
        <v>1246</v>
      </c>
      <c r="C2891" s="322" t="s">
        <v>682</v>
      </c>
      <c r="D2891" s="322">
        <v>3</v>
      </c>
      <c r="E2891" s="321" t="s">
        <v>125</v>
      </c>
    </row>
    <row r="2892" spans="1:6">
      <c r="A2892" s="323">
        <v>45959</v>
      </c>
      <c r="B2892" s="324" t="s">
        <v>134</v>
      </c>
      <c r="C2892" s="322" t="s">
        <v>682</v>
      </c>
      <c r="D2892" s="322">
        <v>2</v>
      </c>
      <c r="E2892" s="321" t="s">
        <v>125</v>
      </c>
    </row>
    <row r="2893" spans="1:6">
      <c r="A2893" s="323">
        <v>45959</v>
      </c>
      <c r="B2893" s="325" t="s">
        <v>1271</v>
      </c>
      <c r="C2893" s="322" t="s">
        <v>682</v>
      </c>
      <c r="D2893" s="322">
        <v>2</v>
      </c>
      <c r="E2893" s="321" t="s">
        <v>125</v>
      </c>
    </row>
    <row r="2894" spans="1:6">
      <c r="A2894" s="323">
        <v>45959</v>
      </c>
      <c r="B2894" s="325" t="s">
        <v>1301</v>
      </c>
      <c r="C2894" s="322" t="s">
        <v>682</v>
      </c>
      <c r="D2894" s="322">
        <v>2</v>
      </c>
      <c r="E2894" s="321" t="s">
        <v>125</v>
      </c>
    </row>
    <row r="2895" spans="1:6">
      <c r="A2895" s="323">
        <v>45959</v>
      </c>
      <c r="B2895" s="325" t="s">
        <v>1249</v>
      </c>
      <c r="C2895" s="322" t="s">
        <v>682</v>
      </c>
      <c r="D2895" s="322">
        <v>2</v>
      </c>
      <c r="E2895" s="321" t="s">
        <v>125</v>
      </c>
    </row>
    <row r="2896" spans="1:6">
      <c r="A2896" s="323">
        <v>45959</v>
      </c>
      <c r="B2896" s="325" t="s">
        <v>1327</v>
      </c>
      <c r="C2896" s="322" t="s">
        <v>682</v>
      </c>
      <c r="D2896" s="322">
        <v>2</v>
      </c>
      <c r="E2896" s="321" t="s">
        <v>125</v>
      </c>
    </row>
    <row r="2897" spans="1:5">
      <c r="A2897" s="323">
        <v>45959</v>
      </c>
      <c r="B2897" s="325" t="s">
        <v>976</v>
      </c>
      <c r="C2897" s="322" t="s">
        <v>682</v>
      </c>
      <c r="D2897" s="322">
        <v>2</v>
      </c>
      <c r="E2897" s="321" t="s">
        <v>125</v>
      </c>
    </row>
    <row r="2898" spans="1:5">
      <c r="A2898" s="323">
        <v>45959</v>
      </c>
      <c r="B2898" s="324" t="s">
        <v>410</v>
      </c>
      <c r="C2898" s="322" t="s">
        <v>682</v>
      </c>
      <c r="D2898" s="322">
        <v>2</v>
      </c>
      <c r="E2898" s="321" t="s">
        <v>125</v>
      </c>
    </row>
    <row r="2899" spans="1:5">
      <c r="A2899" s="323">
        <v>45959</v>
      </c>
      <c r="B2899" s="425" t="s">
        <v>1183</v>
      </c>
      <c r="C2899" s="322" t="s">
        <v>682</v>
      </c>
      <c r="D2899" s="322">
        <v>2</v>
      </c>
      <c r="E2899" s="321" t="s">
        <v>125</v>
      </c>
    </row>
    <row r="2900" spans="1:5">
      <c r="A2900" s="323">
        <v>45959</v>
      </c>
      <c r="B2900" s="325" t="s">
        <v>1567</v>
      </c>
      <c r="C2900" s="322" t="s">
        <v>682</v>
      </c>
      <c r="D2900" s="322">
        <v>1</v>
      </c>
      <c r="E2900" s="321" t="s">
        <v>125</v>
      </c>
    </row>
    <row r="2901" spans="1:5">
      <c r="A2901" s="323">
        <v>45959</v>
      </c>
      <c r="B2901" s="325" t="s">
        <v>1434</v>
      </c>
      <c r="C2901" s="322" t="s">
        <v>682</v>
      </c>
      <c r="D2901" s="322">
        <v>1</v>
      </c>
      <c r="E2901" s="321" t="s">
        <v>125</v>
      </c>
    </row>
    <row r="2902" spans="1:5">
      <c r="A2902" s="323">
        <v>45959</v>
      </c>
      <c r="B2902" s="325" t="s">
        <v>166</v>
      </c>
      <c r="C2902" s="322" t="s">
        <v>682</v>
      </c>
      <c r="D2902" s="322">
        <v>1</v>
      </c>
      <c r="E2902" s="321" t="s">
        <v>125</v>
      </c>
    </row>
    <row r="2903" spans="1:5">
      <c r="A2903" s="323">
        <v>45959</v>
      </c>
      <c r="B2903" s="324" t="s">
        <v>134</v>
      </c>
      <c r="C2903" s="322" t="s">
        <v>682</v>
      </c>
      <c r="D2903" s="322">
        <v>1</v>
      </c>
      <c r="E2903" s="321" t="s">
        <v>125</v>
      </c>
    </row>
    <row r="2904" spans="1:5">
      <c r="A2904" s="323">
        <v>45959</v>
      </c>
      <c r="B2904" s="426" t="s">
        <v>928</v>
      </c>
      <c r="C2904" s="322" t="s">
        <v>682</v>
      </c>
      <c r="D2904" s="322">
        <v>1</v>
      </c>
      <c r="E2904" s="321" t="s">
        <v>125</v>
      </c>
    </row>
    <row r="2905" spans="1:5">
      <c r="A2905" s="323">
        <v>45959</v>
      </c>
      <c r="B2905" s="324" t="s">
        <v>134</v>
      </c>
      <c r="C2905" s="322" t="s">
        <v>682</v>
      </c>
      <c r="D2905" s="322">
        <v>1</v>
      </c>
      <c r="E2905" s="321" t="s">
        <v>125</v>
      </c>
    </row>
    <row r="2906" spans="1:5">
      <c r="A2906" s="323">
        <v>45959</v>
      </c>
      <c r="B2906" s="324" t="s">
        <v>134</v>
      </c>
      <c r="C2906" s="322" t="s">
        <v>682</v>
      </c>
      <c r="D2906" s="322">
        <v>1</v>
      </c>
      <c r="E2906" s="321" t="s">
        <v>125</v>
      </c>
    </row>
    <row r="2907" spans="1:5">
      <c r="A2907" s="323">
        <v>45959</v>
      </c>
      <c r="B2907" s="325" t="s">
        <v>936</v>
      </c>
      <c r="C2907" s="322" t="s">
        <v>682</v>
      </c>
      <c r="D2907" s="322">
        <v>1</v>
      </c>
      <c r="E2907" s="321" t="s">
        <v>125</v>
      </c>
    </row>
    <row r="2908" spans="1:5">
      <c r="A2908" s="323">
        <v>45959</v>
      </c>
      <c r="B2908" s="325" t="s">
        <v>1289</v>
      </c>
      <c r="C2908" s="322" t="s">
        <v>682</v>
      </c>
      <c r="D2908" s="322">
        <v>1</v>
      </c>
      <c r="E2908" s="321" t="s">
        <v>125</v>
      </c>
    </row>
    <row r="2909" spans="1:5">
      <c r="A2909" s="323">
        <v>45959</v>
      </c>
      <c r="B2909" s="425" t="s">
        <v>1183</v>
      </c>
      <c r="C2909" s="322" t="s">
        <v>682</v>
      </c>
      <c r="D2909" s="322">
        <v>1</v>
      </c>
      <c r="E2909" s="321" t="s">
        <v>125</v>
      </c>
    </row>
    <row r="2910" spans="1:5">
      <c r="A2910" s="323">
        <v>45959</v>
      </c>
      <c r="B2910" s="325" t="s">
        <v>1561</v>
      </c>
      <c r="C2910" s="322" t="s">
        <v>682</v>
      </c>
      <c r="D2910" s="322">
        <v>1</v>
      </c>
      <c r="E2910" s="321" t="s">
        <v>125</v>
      </c>
    </row>
    <row r="2911" spans="1:5">
      <c r="A2911" s="323">
        <v>45959</v>
      </c>
      <c r="B2911" s="325" t="s">
        <v>1545</v>
      </c>
      <c r="C2911" s="322" t="s">
        <v>682</v>
      </c>
      <c r="D2911" s="322">
        <v>1</v>
      </c>
      <c r="E2911" s="321" t="s">
        <v>125</v>
      </c>
    </row>
    <row r="2912" spans="1:5">
      <c r="A2912" s="323">
        <v>45959</v>
      </c>
      <c r="B2912" s="325" t="s">
        <v>1568</v>
      </c>
      <c r="C2912" s="322" t="s">
        <v>682</v>
      </c>
      <c r="D2912" s="322">
        <v>1</v>
      </c>
      <c r="E2912" s="321" t="s">
        <v>125</v>
      </c>
    </row>
    <row r="2913" spans="1:6">
      <c r="A2913" s="323">
        <v>45959</v>
      </c>
      <c r="B2913" s="325" t="s">
        <v>1568</v>
      </c>
      <c r="C2913" s="322" t="s">
        <v>682</v>
      </c>
      <c r="D2913" s="322">
        <v>1</v>
      </c>
      <c r="E2913" s="321" t="s">
        <v>125</v>
      </c>
    </row>
    <row r="2914" spans="1:6">
      <c r="A2914" s="323">
        <v>45959</v>
      </c>
      <c r="B2914" s="425" t="s">
        <v>1146</v>
      </c>
      <c r="C2914" s="322" t="s">
        <v>682</v>
      </c>
      <c r="D2914" s="322">
        <v>1</v>
      </c>
      <c r="E2914" s="321" t="s">
        <v>125</v>
      </c>
    </row>
    <row r="2915" spans="1:6">
      <c r="A2915" s="323">
        <v>45959</v>
      </c>
      <c r="B2915" s="325" t="s">
        <v>807</v>
      </c>
      <c r="C2915" s="322" t="s">
        <v>682</v>
      </c>
      <c r="D2915" s="322">
        <v>1</v>
      </c>
      <c r="E2915" s="321" t="s">
        <v>125</v>
      </c>
    </row>
    <row r="2916" spans="1:6">
      <c r="A2916" s="323">
        <v>45959</v>
      </c>
      <c r="B2916" s="325" t="s">
        <v>1569</v>
      </c>
      <c r="C2916" s="322" t="s">
        <v>682</v>
      </c>
      <c r="D2916" s="322">
        <v>1</v>
      </c>
      <c r="E2916" s="321" t="s">
        <v>125</v>
      </c>
    </row>
    <row r="2918" spans="1:6">
      <c r="A2918" s="272">
        <v>45961</v>
      </c>
      <c r="B2918" s="139" t="s">
        <v>1575</v>
      </c>
      <c r="C2918" s="106" t="s">
        <v>49</v>
      </c>
      <c r="D2918" s="106">
        <v>5</v>
      </c>
      <c r="E2918" s="94" t="s">
        <v>125</v>
      </c>
    </row>
    <row r="2919" spans="1:6">
      <c r="A2919" s="272">
        <v>45961</v>
      </c>
      <c r="B2919" s="139" t="s">
        <v>1575</v>
      </c>
      <c r="C2919" s="106" t="s">
        <v>49</v>
      </c>
      <c r="D2919" s="106">
        <v>4</v>
      </c>
      <c r="E2919" s="94" t="s">
        <v>125</v>
      </c>
    </row>
    <row r="2920" spans="1:6">
      <c r="A2920" s="272">
        <v>45961</v>
      </c>
      <c r="B2920" s="139" t="s">
        <v>1270</v>
      </c>
      <c r="C2920" s="106" t="s">
        <v>49</v>
      </c>
      <c r="D2920" s="106">
        <v>10</v>
      </c>
      <c r="E2920" s="94" t="s">
        <v>125</v>
      </c>
    </row>
    <row r="2921" spans="1:6">
      <c r="A2921" s="272">
        <v>45961</v>
      </c>
      <c r="B2921" s="128" t="s">
        <v>642</v>
      </c>
      <c r="C2921" s="106" t="s">
        <v>49</v>
      </c>
      <c r="D2921" s="106">
        <v>5</v>
      </c>
      <c r="E2921" s="94" t="s">
        <v>125</v>
      </c>
    </row>
    <row r="2923" spans="1:6">
      <c r="A2923" s="330">
        <v>45961</v>
      </c>
      <c r="B2923" s="329" t="s">
        <v>839</v>
      </c>
      <c r="C2923" s="328" t="s">
        <v>49</v>
      </c>
      <c r="D2923" s="328">
        <v>10</v>
      </c>
      <c r="E2923" s="331" t="s">
        <v>125</v>
      </c>
    </row>
    <row r="2924" spans="1:6">
      <c r="A2924" s="330">
        <v>45961</v>
      </c>
      <c r="B2924" s="327" t="s">
        <v>671</v>
      </c>
      <c r="C2924" s="328" t="s">
        <v>49</v>
      </c>
      <c r="D2924" s="328">
        <v>3</v>
      </c>
      <c r="E2924" s="331" t="s">
        <v>125</v>
      </c>
    </row>
    <row r="2925" spans="1:6">
      <c r="A2925" s="330">
        <v>45961</v>
      </c>
      <c r="B2925" s="329" t="s">
        <v>839</v>
      </c>
      <c r="C2925" s="328" t="s">
        <v>49</v>
      </c>
      <c r="D2925" s="328">
        <v>6</v>
      </c>
      <c r="E2925" s="331" t="s">
        <v>125</v>
      </c>
    </row>
    <row r="2926" spans="1:6">
      <c r="A2926" s="330">
        <v>45961</v>
      </c>
      <c r="B2926" s="329" t="s">
        <v>839</v>
      </c>
      <c r="C2926" s="328" t="s">
        <v>49</v>
      </c>
      <c r="D2926" s="328">
        <v>1</v>
      </c>
      <c r="E2926" s="331" t="s">
        <v>125</v>
      </c>
    </row>
    <row r="2928" spans="1:6">
      <c r="A2928" s="346">
        <v>45962</v>
      </c>
      <c r="B2928" s="349" t="s">
        <v>1271</v>
      </c>
      <c r="C2928" s="348" t="s">
        <v>921</v>
      </c>
      <c r="D2928" s="348">
        <v>2</v>
      </c>
      <c r="E2928" s="360" t="s">
        <v>125</v>
      </c>
      <c r="F2928" t="s">
        <v>1591</v>
      </c>
    </row>
    <row r="2929" spans="1:5">
      <c r="A2929" s="346">
        <v>45962</v>
      </c>
      <c r="B2929" s="347" t="s">
        <v>134</v>
      </c>
      <c r="C2929" s="348" t="s">
        <v>921</v>
      </c>
      <c r="D2929" s="348">
        <v>1</v>
      </c>
      <c r="E2929" s="360" t="s">
        <v>125</v>
      </c>
    </row>
    <row r="2930" spans="1:5">
      <c r="A2930" s="346">
        <v>45962</v>
      </c>
      <c r="B2930" s="347" t="s">
        <v>134</v>
      </c>
      <c r="C2930" s="348" t="s">
        <v>921</v>
      </c>
      <c r="D2930" s="348">
        <v>1</v>
      </c>
      <c r="E2930" s="360" t="s">
        <v>125</v>
      </c>
    </row>
    <row r="2931" spans="1:5">
      <c r="A2931" s="346">
        <v>45962</v>
      </c>
      <c r="B2931" s="349" t="s">
        <v>166</v>
      </c>
      <c r="C2931" s="348" t="s">
        <v>921</v>
      </c>
      <c r="D2931" s="348">
        <v>1</v>
      </c>
      <c r="E2931" s="360" t="s">
        <v>125</v>
      </c>
    </row>
    <row r="2932" spans="1:5">
      <c r="A2932" s="346">
        <v>45962</v>
      </c>
      <c r="B2932" s="349" t="s">
        <v>166</v>
      </c>
      <c r="C2932" s="348" t="s">
        <v>921</v>
      </c>
      <c r="D2932" s="348">
        <v>2</v>
      </c>
      <c r="E2932" s="360" t="s">
        <v>125</v>
      </c>
    </row>
    <row r="2933" spans="1:5">
      <c r="A2933" s="346">
        <v>45962</v>
      </c>
      <c r="B2933" s="349" t="s">
        <v>167</v>
      </c>
      <c r="C2933" s="348" t="s">
        <v>921</v>
      </c>
      <c r="D2933" s="348">
        <v>2</v>
      </c>
      <c r="E2933" s="360" t="s">
        <v>125</v>
      </c>
    </row>
    <row r="2934" spans="1:5">
      <c r="A2934" s="346">
        <v>45962</v>
      </c>
      <c r="B2934" s="351" t="s">
        <v>932</v>
      </c>
      <c r="C2934" s="348" t="s">
        <v>921</v>
      </c>
      <c r="D2934" s="348">
        <v>1</v>
      </c>
      <c r="E2934" s="360" t="s">
        <v>125</v>
      </c>
    </row>
    <row r="2935" spans="1:5">
      <c r="A2935" s="346">
        <v>45962</v>
      </c>
      <c r="B2935" s="349" t="s">
        <v>976</v>
      </c>
      <c r="C2935" s="348" t="s">
        <v>921</v>
      </c>
      <c r="D2935" s="348">
        <v>1</v>
      </c>
      <c r="E2935" s="360" t="s">
        <v>125</v>
      </c>
    </row>
    <row r="2936" spans="1:5">
      <c r="A2936" s="346">
        <v>45962</v>
      </c>
      <c r="B2936" s="349" t="s">
        <v>1095</v>
      </c>
      <c r="C2936" s="348" t="s">
        <v>921</v>
      </c>
      <c r="D2936" s="348">
        <v>2</v>
      </c>
      <c r="E2936" s="360" t="s">
        <v>125</v>
      </c>
    </row>
    <row r="2937" spans="1:5">
      <c r="A2937" s="346">
        <v>45962</v>
      </c>
      <c r="B2937" s="349" t="s">
        <v>1532</v>
      </c>
      <c r="C2937" s="348" t="s">
        <v>921</v>
      </c>
      <c r="D2937" s="348">
        <v>1</v>
      </c>
      <c r="E2937" s="360" t="s">
        <v>125</v>
      </c>
    </row>
    <row r="2938" spans="1:5">
      <c r="A2938" s="346">
        <v>45962</v>
      </c>
      <c r="B2938" s="349" t="s">
        <v>1291</v>
      </c>
      <c r="C2938" s="348" t="s">
        <v>921</v>
      </c>
      <c r="D2938" s="348">
        <v>5</v>
      </c>
      <c r="E2938" s="360" t="s">
        <v>125</v>
      </c>
    </row>
    <row r="2939" spans="1:5">
      <c r="A2939" s="346">
        <v>45962</v>
      </c>
      <c r="B2939" s="349" t="s">
        <v>1334</v>
      </c>
      <c r="C2939" s="348" t="s">
        <v>921</v>
      </c>
      <c r="D2939" s="348">
        <v>2</v>
      </c>
      <c r="E2939" s="360" t="s">
        <v>125</v>
      </c>
    </row>
    <row r="2940" spans="1:5">
      <c r="A2940" s="346">
        <v>45962</v>
      </c>
      <c r="B2940" s="347" t="s">
        <v>1387</v>
      </c>
      <c r="C2940" s="348" t="s">
        <v>921</v>
      </c>
      <c r="D2940" s="348">
        <v>1</v>
      </c>
      <c r="E2940" s="360" t="s">
        <v>125</v>
      </c>
    </row>
    <row r="2941" spans="1:5">
      <c r="A2941" s="346">
        <v>45962</v>
      </c>
      <c r="B2941" s="349" t="s">
        <v>1490</v>
      </c>
      <c r="C2941" s="348" t="s">
        <v>921</v>
      </c>
      <c r="D2941" s="348">
        <v>1</v>
      </c>
      <c r="E2941" s="360" t="s">
        <v>125</v>
      </c>
    </row>
    <row r="2942" spans="1:5">
      <c r="A2942" s="346">
        <v>45962</v>
      </c>
      <c r="B2942" s="349" t="s">
        <v>1533</v>
      </c>
      <c r="C2942" s="348" t="s">
        <v>921</v>
      </c>
      <c r="D2942" s="348">
        <v>1</v>
      </c>
      <c r="E2942" s="360" t="s">
        <v>125</v>
      </c>
    </row>
    <row r="2944" spans="1:5">
      <c r="A2944" s="335">
        <v>45962</v>
      </c>
      <c r="B2944" s="343" t="s">
        <v>1568</v>
      </c>
      <c r="C2944" s="345" t="s">
        <v>1592</v>
      </c>
      <c r="D2944" s="345">
        <v>-1</v>
      </c>
      <c r="E2944" s="230" t="s">
        <v>125</v>
      </c>
    </row>
    <row r="2945" spans="1:5">
      <c r="A2945" s="335">
        <v>45962</v>
      </c>
      <c r="B2945" s="343" t="s">
        <v>1568</v>
      </c>
      <c r="C2945" s="345" t="s">
        <v>1592</v>
      </c>
      <c r="D2945" s="345">
        <v>-1</v>
      </c>
      <c r="E2945" s="230" t="s">
        <v>125</v>
      </c>
    </row>
    <row r="2946" spans="1:5">
      <c r="A2946" s="335">
        <v>45962</v>
      </c>
      <c r="B2946" s="342" t="s">
        <v>919</v>
      </c>
      <c r="C2946" s="345" t="s">
        <v>1592</v>
      </c>
      <c r="D2946" s="345">
        <v>-1</v>
      </c>
      <c r="E2946" s="230" t="s">
        <v>125</v>
      </c>
    </row>
    <row r="2948" spans="1:5">
      <c r="A2948" s="335"/>
      <c r="B2948" s="343"/>
      <c r="C2948" s="345"/>
      <c r="D2948" s="345"/>
      <c r="E2948" s="230"/>
    </row>
    <row r="2950" spans="1:5">
      <c r="A2950" s="335">
        <v>45962</v>
      </c>
      <c r="B2950" s="343" t="s">
        <v>136</v>
      </c>
      <c r="C2950" s="43" t="s">
        <v>1593</v>
      </c>
      <c r="D2950" s="43">
        <v>-12</v>
      </c>
      <c r="E2950" s="230" t="s">
        <v>125</v>
      </c>
    </row>
    <row r="2951" spans="1:5">
      <c r="A2951" s="335">
        <v>45962</v>
      </c>
      <c r="B2951" s="343" t="s">
        <v>1312</v>
      </c>
      <c r="C2951" s="43" t="s">
        <v>1593</v>
      </c>
      <c r="D2951" s="43">
        <v>-1</v>
      </c>
      <c r="E2951" s="230" t="s">
        <v>125</v>
      </c>
    </row>
    <row r="2952" spans="1:5">
      <c r="A2952" s="335">
        <v>45962</v>
      </c>
      <c r="B2952" s="147" t="s">
        <v>928</v>
      </c>
      <c r="C2952" s="43" t="s">
        <v>1594</v>
      </c>
      <c r="D2952" s="43">
        <v>-1</v>
      </c>
      <c r="E2952" s="230" t="s">
        <v>125</v>
      </c>
    </row>
    <row r="2953" spans="1:5">
      <c r="A2953" s="335">
        <v>45962</v>
      </c>
      <c r="B2953" s="147" t="s">
        <v>928</v>
      </c>
      <c r="C2953" s="43" t="s">
        <v>1594</v>
      </c>
      <c r="D2953" s="43">
        <v>-1</v>
      </c>
      <c r="E2953" s="230" t="s">
        <v>125</v>
      </c>
    </row>
    <row r="2954" spans="1:5">
      <c r="A2954" s="335">
        <v>45962</v>
      </c>
      <c r="B2954" s="344" t="s">
        <v>1151</v>
      </c>
      <c r="C2954" s="43" t="s">
        <v>1594</v>
      </c>
      <c r="D2954" s="43">
        <v>-5</v>
      </c>
      <c r="E2954" s="230" t="s">
        <v>125</v>
      </c>
    </row>
    <row r="2956" spans="1:5">
      <c r="A2956" s="265">
        <v>45964</v>
      </c>
      <c r="B2956" s="93" t="s">
        <v>806</v>
      </c>
      <c r="C2956" s="43" t="s">
        <v>1595</v>
      </c>
      <c r="D2956" s="43">
        <v>-1</v>
      </c>
      <c r="E2956" s="230" t="s">
        <v>125</v>
      </c>
    </row>
    <row r="2957" spans="1:5">
      <c r="A2957" s="265">
        <v>45964</v>
      </c>
      <c r="B2957" s="343" t="s">
        <v>1249</v>
      </c>
      <c r="C2957" s="43" t="s">
        <v>1594</v>
      </c>
      <c r="D2957" s="43">
        <v>-2</v>
      </c>
      <c r="E2957" s="230" t="s">
        <v>125</v>
      </c>
    </row>
    <row r="2958" spans="1:5">
      <c r="A2958" s="265">
        <v>45964</v>
      </c>
      <c r="B2958" s="343" t="s">
        <v>1289</v>
      </c>
      <c r="C2958" s="43" t="s">
        <v>1594</v>
      </c>
      <c r="D2958" s="43">
        <v>-1</v>
      </c>
      <c r="E2958" s="230" t="s">
        <v>125</v>
      </c>
    </row>
    <row r="2959" spans="1:5">
      <c r="A2959" s="265">
        <v>45964</v>
      </c>
      <c r="B2959" s="343" t="s">
        <v>1407</v>
      </c>
      <c r="C2959" s="43" t="s">
        <v>1594</v>
      </c>
      <c r="D2959" s="43">
        <v>-2</v>
      </c>
      <c r="E2959" s="230" t="s">
        <v>125</v>
      </c>
    </row>
    <row r="2960" spans="1:5">
      <c r="A2960" s="265">
        <v>45964</v>
      </c>
      <c r="B2960" s="343" t="s">
        <v>1301</v>
      </c>
      <c r="C2960" s="43" t="s">
        <v>1594</v>
      </c>
      <c r="D2960" s="43">
        <v>-2</v>
      </c>
      <c r="E2960" s="230" t="s">
        <v>125</v>
      </c>
    </row>
    <row r="2961" spans="1:5">
      <c r="A2961" s="265">
        <v>45964</v>
      </c>
      <c r="B2961" s="343" t="s">
        <v>1407</v>
      </c>
      <c r="C2961" s="43" t="s">
        <v>1594</v>
      </c>
      <c r="D2961" s="43">
        <v>-1</v>
      </c>
      <c r="E2961" s="230" t="s">
        <v>125</v>
      </c>
    </row>
    <row r="2962" spans="1:5">
      <c r="A2962" s="265">
        <v>45964</v>
      </c>
      <c r="B2962" s="343" t="s">
        <v>1326</v>
      </c>
      <c r="C2962" s="43" t="s">
        <v>1594</v>
      </c>
      <c r="D2962" s="43">
        <v>-1</v>
      </c>
      <c r="E2962" s="230" t="s">
        <v>125</v>
      </c>
    </row>
    <row r="2963" spans="1:5">
      <c r="A2963" s="265">
        <v>45964</v>
      </c>
      <c r="B2963" s="343" t="s">
        <v>1326</v>
      </c>
      <c r="C2963" s="43" t="s">
        <v>1594</v>
      </c>
      <c r="D2963" s="43">
        <v>-4</v>
      </c>
      <c r="E2963" s="230" t="s">
        <v>125</v>
      </c>
    </row>
    <row r="2964" spans="1:5">
      <c r="A2964" s="265">
        <v>45964</v>
      </c>
      <c r="B2964" s="93" t="s">
        <v>166</v>
      </c>
      <c r="C2964" s="43" t="s">
        <v>1594</v>
      </c>
      <c r="D2964" s="43">
        <v>-1</v>
      </c>
      <c r="E2964" s="230" t="s">
        <v>125</v>
      </c>
    </row>
    <row r="2965" spans="1:5">
      <c r="A2965" s="265">
        <v>45964</v>
      </c>
      <c r="B2965" s="93" t="s">
        <v>166</v>
      </c>
      <c r="C2965" s="43" t="s">
        <v>1594</v>
      </c>
      <c r="D2965" s="43">
        <v>-7</v>
      </c>
      <c r="E2965" s="230" t="s">
        <v>125</v>
      </c>
    </row>
    <row r="2966" spans="1:5">
      <c r="A2966" s="265">
        <v>45964</v>
      </c>
      <c r="B2966" s="93" t="s">
        <v>167</v>
      </c>
      <c r="C2966" s="43" t="s">
        <v>1594</v>
      </c>
      <c r="D2966" s="43">
        <v>-2</v>
      </c>
      <c r="E2966" s="230" t="s">
        <v>125</v>
      </c>
    </row>
    <row r="2967" spans="1:5">
      <c r="A2967" s="265">
        <v>45964</v>
      </c>
      <c r="B2967" s="343" t="s">
        <v>1319</v>
      </c>
      <c r="C2967" s="43" t="s">
        <v>1594</v>
      </c>
      <c r="D2967" s="43">
        <v>-1</v>
      </c>
      <c r="E2967" s="230" t="s">
        <v>125</v>
      </c>
    </row>
    <row r="2969" spans="1:5">
      <c r="A2969" s="434">
        <v>45964</v>
      </c>
      <c r="B2969" s="435" t="s">
        <v>928</v>
      </c>
      <c r="C2969" s="166" t="s">
        <v>1596</v>
      </c>
      <c r="D2969" s="166">
        <v>1</v>
      </c>
      <c r="E2969" s="417" t="s">
        <v>125</v>
      </c>
    </row>
    <row r="2971" spans="1:5">
      <c r="A2971" s="265">
        <v>45964</v>
      </c>
      <c r="B2971" s="84" t="s">
        <v>134</v>
      </c>
      <c r="C2971" s="43" t="s">
        <v>1597</v>
      </c>
      <c r="D2971" s="43">
        <v>-2</v>
      </c>
      <c r="E2971" s="230" t="s">
        <v>125</v>
      </c>
    </row>
    <row r="2973" spans="1:5">
      <c r="A2973" s="265">
        <v>45965</v>
      </c>
      <c r="B2973" s="104" t="s">
        <v>932</v>
      </c>
      <c r="C2973" s="43" t="s">
        <v>1597</v>
      </c>
      <c r="D2973" s="43">
        <v>-6</v>
      </c>
      <c r="E2973" s="230" t="s">
        <v>125</v>
      </c>
    </row>
    <row r="2974" spans="1:5">
      <c r="A2974" s="265">
        <v>45965</v>
      </c>
      <c r="B2974" s="92" t="s">
        <v>789</v>
      </c>
      <c r="C2974" s="43" t="s">
        <v>1598</v>
      </c>
      <c r="D2974" s="43">
        <v>-1</v>
      </c>
      <c r="E2974" s="230" t="s">
        <v>125</v>
      </c>
    </row>
    <row r="2975" spans="1:5">
      <c r="A2975" s="265">
        <v>45965</v>
      </c>
      <c r="B2975" s="343" t="s">
        <v>1409</v>
      </c>
      <c r="C2975" s="43" t="s">
        <v>1599</v>
      </c>
      <c r="D2975" s="43">
        <v>-13</v>
      </c>
      <c r="E2975" s="230" t="s">
        <v>125</v>
      </c>
    </row>
    <row r="2976" spans="1:5">
      <c r="A2976" s="265">
        <v>45965</v>
      </c>
      <c r="B2976" s="343" t="s">
        <v>1271</v>
      </c>
      <c r="C2976" s="43" t="s">
        <v>1600</v>
      </c>
      <c r="D2976" s="43">
        <v>-5</v>
      </c>
      <c r="E2976" s="230" t="s">
        <v>125</v>
      </c>
    </row>
    <row r="2977" spans="1:6">
      <c r="A2977" s="265">
        <v>45965</v>
      </c>
      <c r="B2977" s="343" t="s">
        <v>1327</v>
      </c>
      <c r="C2977" s="43" t="s">
        <v>1600</v>
      </c>
      <c r="D2977" s="43">
        <v>-3</v>
      </c>
      <c r="E2977" s="230" t="s">
        <v>125</v>
      </c>
    </row>
    <row r="2979" spans="1:6">
      <c r="A2979" s="434">
        <v>45965</v>
      </c>
      <c r="B2979" s="168" t="s">
        <v>1568</v>
      </c>
      <c r="C2979" s="166" t="s">
        <v>1601</v>
      </c>
      <c r="D2979" s="166">
        <v>1</v>
      </c>
      <c r="E2979" s="417" t="s">
        <v>125</v>
      </c>
    </row>
    <row r="2980" spans="1:6">
      <c r="A2980" s="434">
        <v>45965</v>
      </c>
      <c r="B2980" s="168" t="s">
        <v>1568</v>
      </c>
      <c r="C2980" s="166" t="s">
        <v>1601</v>
      </c>
      <c r="D2980" s="166">
        <v>1</v>
      </c>
      <c r="E2980" s="417" t="s">
        <v>125</v>
      </c>
    </row>
    <row r="2981" spans="1:6">
      <c r="A2981" s="434">
        <v>45965</v>
      </c>
      <c r="B2981" s="503" t="s">
        <v>919</v>
      </c>
      <c r="C2981" s="166" t="s">
        <v>1601</v>
      </c>
      <c r="D2981" s="166">
        <v>1</v>
      </c>
      <c r="E2981" s="417" t="s">
        <v>125</v>
      </c>
    </row>
    <row r="2982" spans="1:6">
      <c r="A2982" s="434">
        <v>45965</v>
      </c>
      <c r="B2982" s="168" t="s">
        <v>1313</v>
      </c>
      <c r="C2982" s="166" t="s">
        <v>1601</v>
      </c>
      <c r="D2982" s="166">
        <v>1</v>
      </c>
      <c r="E2982" s="417" t="s">
        <v>125</v>
      </c>
    </row>
    <row r="2983" spans="1:6">
      <c r="A2983" s="434">
        <v>45965</v>
      </c>
      <c r="B2983" s="168" t="s">
        <v>1386</v>
      </c>
      <c r="C2983" s="166" t="s">
        <v>1601</v>
      </c>
      <c r="D2983" s="166">
        <v>1</v>
      </c>
      <c r="E2983" s="417" t="s">
        <v>125</v>
      </c>
    </row>
    <row r="2984" spans="1:6">
      <c r="A2984" s="434">
        <v>45965</v>
      </c>
      <c r="B2984" s="168" t="s">
        <v>1095</v>
      </c>
      <c r="C2984" s="166" t="s">
        <v>1601</v>
      </c>
      <c r="D2984" s="166">
        <v>1</v>
      </c>
      <c r="E2984" s="417" t="s">
        <v>125</v>
      </c>
    </row>
    <row r="2985" spans="1:6">
      <c r="A2985" s="434">
        <v>45965</v>
      </c>
      <c r="B2985" s="168" t="s">
        <v>1404</v>
      </c>
      <c r="C2985" s="166" t="s">
        <v>1601</v>
      </c>
      <c r="D2985" s="166">
        <v>1</v>
      </c>
      <c r="E2985" s="417" t="s">
        <v>125</v>
      </c>
    </row>
    <row r="2987" spans="1:6">
      <c r="A2987" s="335">
        <v>45965</v>
      </c>
      <c r="B2987" s="343" t="s">
        <v>1404</v>
      </c>
      <c r="C2987" s="345" t="s">
        <v>1606</v>
      </c>
      <c r="D2987" s="345">
        <v>-1</v>
      </c>
      <c r="E2987" s="230" t="s">
        <v>125</v>
      </c>
    </row>
    <row r="2989" spans="1:6">
      <c r="A2989" s="346">
        <v>45959</v>
      </c>
      <c r="B2989" s="349" t="s">
        <v>166</v>
      </c>
      <c r="C2989" s="348" t="s">
        <v>921</v>
      </c>
      <c r="D2989" s="348">
        <v>1</v>
      </c>
      <c r="E2989" s="360" t="s">
        <v>125</v>
      </c>
      <c r="F2989" t="s">
        <v>1602</v>
      </c>
    </row>
    <row r="2990" spans="1:6">
      <c r="A2990" s="346">
        <v>45959</v>
      </c>
      <c r="B2990" s="349" t="s">
        <v>166</v>
      </c>
      <c r="C2990" s="348" t="s">
        <v>921</v>
      </c>
      <c r="D2990" s="348">
        <v>1</v>
      </c>
      <c r="E2990" s="360" t="s">
        <v>125</v>
      </c>
    </row>
    <row r="2991" spans="1:6">
      <c r="A2991" s="346">
        <v>45959</v>
      </c>
      <c r="B2991" s="349" t="s">
        <v>1271</v>
      </c>
      <c r="C2991" s="348" t="s">
        <v>921</v>
      </c>
      <c r="D2991" s="348">
        <v>1</v>
      </c>
      <c r="E2991" s="360" t="s">
        <v>125</v>
      </c>
    </row>
    <row r="2992" spans="1:6">
      <c r="A2992" s="346">
        <v>45959</v>
      </c>
      <c r="B2992" s="349" t="s">
        <v>1246</v>
      </c>
      <c r="C2992" s="348" t="s">
        <v>921</v>
      </c>
      <c r="D2992" s="348">
        <v>1</v>
      </c>
      <c r="E2992" s="360" t="s">
        <v>125</v>
      </c>
    </row>
    <row r="2994" spans="1:5">
      <c r="A2994" s="335">
        <v>45966</v>
      </c>
      <c r="B2994" s="343" t="s">
        <v>92</v>
      </c>
      <c r="C2994" s="345" t="s">
        <v>1603</v>
      </c>
      <c r="D2994" s="345">
        <v>-1</v>
      </c>
      <c r="E2994" s="230" t="s">
        <v>125</v>
      </c>
    </row>
    <row r="2995" spans="1:5">
      <c r="A2995" s="335">
        <v>45966</v>
      </c>
      <c r="B2995" s="343" t="s">
        <v>1568</v>
      </c>
      <c r="C2995" s="345" t="s">
        <v>1604</v>
      </c>
      <c r="D2995" s="345">
        <v>-2</v>
      </c>
      <c r="E2995" s="230" t="s">
        <v>125</v>
      </c>
    </row>
    <row r="2996" spans="1:5">
      <c r="A2996" s="335">
        <v>45966</v>
      </c>
      <c r="B2996" s="343" t="s">
        <v>1386</v>
      </c>
      <c r="C2996" s="345" t="s">
        <v>1604</v>
      </c>
      <c r="D2996" s="345">
        <v>-1</v>
      </c>
      <c r="E2996" s="230" t="s">
        <v>125</v>
      </c>
    </row>
    <row r="2997" spans="1:5">
      <c r="A2997" s="335">
        <v>45966</v>
      </c>
      <c r="B2997" s="343" t="s">
        <v>1095</v>
      </c>
      <c r="C2997" s="345" t="s">
        <v>1604</v>
      </c>
      <c r="D2997" s="345">
        <v>-2</v>
      </c>
      <c r="E2997" s="230" t="s">
        <v>125</v>
      </c>
    </row>
    <row r="2998" spans="1:5">
      <c r="A2998" s="335">
        <v>45966</v>
      </c>
      <c r="B2998" s="343" t="s">
        <v>1095</v>
      </c>
      <c r="C2998" s="345" t="s">
        <v>1604</v>
      </c>
      <c r="D2998" s="345">
        <v>-1</v>
      </c>
      <c r="E2998" s="230" t="s">
        <v>125</v>
      </c>
    </row>
    <row r="2999" spans="1:5">
      <c r="A2999" s="335">
        <v>45966</v>
      </c>
      <c r="B2999" s="343" t="s">
        <v>976</v>
      </c>
      <c r="C2999" s="345" t="s">
        <v>1604</v>
      </c>
      <c r="D2999" s="345">
        <v>-1</v>
      </c>
      <c r="E2999" s="230" t="s">
        <v>125</v>
      </c>
    </row>
    <row r="3000" spans="1:5">
      <c r="A3000" s="335">
        <v>45966</v>
      </c>
      <c r="B3000" s="343" t="s">
        <v>1246</v>
      </c>
      <c r="C3000" s="43" t="s">
        <v>678</v>
      </c>
      <c r="D3000" s="43">
        <v>-1</v>
      </c>
      <c r="E3000" s="230" t="s">
        <v>125</v>
      </c>
    </row>
    <row r="3001" spans="1:5">
      <c r="A3001" s="335">
        <v>45966</v>
      </c>
      <c r="B3001" s="343" t="s">
        <v>1327</v>
      </c>
      <c r="C3001" s="43" t="s">
        <v>1605</v>
      </c>
      <c r="D3001" s="43">
        <v>-1</v>
      </c>
      <c r="E3001" s="230" t="s">
        <v>125</v>
      </c>
    </row>
    <row r="3002" spans="1:5">
      <c r="A3002" s="335">
        <v>45966</v>
      </c>
      <c r="B3002" s="92" t="s">
        <v>789</v>
      </c>
      <c r="C3002" s="43" t="s">
        <v>1598</v>
      </c>
      <c r="D3002" s="43">
        <v>-1</v>
      </c>
      <c r="E3002" s="230" t="s">
        <v>125</v>
      </c>
    </row>
    <row r="3004" spans="1:5">
      <c r="A3004" s="265">
        <v>45967</v>
      </c>
      <c r="B3004" s="93" t="s">
        <v>121</v>
      </c>
      <c r="C3004" s="43" t="s">
        <v>1613</v>
      </c>
      <c r="D3004" s="43">
        <v>-23</v>
      </c>
      <c r="E3004" s="230" t="s">
        <v>125</v>
      </c>
    </row>
    <row r="3005" spans="1:5">
      <c r="A3005" s="265">
        <v>45967</v>
      </c>
      <c r="B3005" s="344" t="s">
        <v>1183</v>
      </c>
      <c r="C3005" s="43" t="s">
        <v>1614</v>
      </c>
      <c r="D3005" s="43">
        <v>-3</v>
      </c>
      <c r="E3005" s="230" t="s">
        <v>125</v>
      </c>
    </row>
    <row r="3006" spans="1:5">
      <c r="A3006" s="265">
        <v>45967</v>
      </c>
      <c r="B3006" s="84" t="s">
        <v>410</v>
      </c>
      <c r="C3006" s="43" t="s">
        <v>1614</v>
      </c>
      <c r="D3006" s="43">
        <v>-6</v>
      </c>
      <c r="E3006" s="230" t="s">
        <v>125</v>
      </c>
    </row>
    <row r="3007" spans="1:5">
      <c r="A3007" s="265">
        <v>45967</v>
      </c>
      <c r="B3007" s="84" t="s">
        <v>131</v>
      </c>
      <c r="C3007" s="43" t="s">
        <v>1614</v>
      </c>
      <c r="D3007" s="43">
        <v>-18</v>
      </c>
      <c r="E3007" s="230" t="s">
        <v>125</v>
      </c>
    </row>
    <row r="3008" spans="1:5">
      <c r="A3008" s="265">
        <v>45967</v>
      </c>
      <c r="B3008" s="104" t="s">
        <v>375</v>
      </c>
      <c r="C3008" s="43" t="s">
        <v>1614</v>
      </c>
      <c r="D3008" s="43">
        <v>-9</v>
      </c>
      <c r="E3008" s="230" t="s">
        <v>125</v>
      </c>
    </row>
    <row r="3009" spans="1:6">
      <c r="A3009" s="265">
        <v>45967</v>
      </c>
      <c r="B3009" s="92" t="s">
        <v>672</v>
      </c>
      <c r="C3009" s="43" t="s">
        <v>1615</v>
      </c>
      <c r="D3009" s="43">
        <v>-2</v>
      </c>
      <c r="E3009" s="230" t="s">
        <v>125</v>
      </c>
    </row>
    <row r="3010" spans="1:6">
      <c r="A3010" s="265">
        <v>45967</v>
      </c>
      <c r="B3010" s="343" t="s">
        <v>1270</v>
      </c>
      <c r="C3010" s="43" t="s">
        <v>1615</v>
      </c>
      <c r="D3010" s="43">
        <v>-4</v>
      </c>
      <c r="E3010" s="230" t="s">
        <v>125</v>
      </c>
    </row>
    <row r="3012" spans="1:6">
      <c r="A3012" s="434">
        <v>45967</v>
      </c>
      <c r="B3012" s="167" t="s">
        <v>366</v>
      </c>
      <c r="C3012" s="166" t="s">
        <v>1601</v>
      </c>
      <c r="D3012" s="166">
        <v>3</v>
      </c>
      <c r="E3012" s="417" t="s">
        <v>125</v>
      </c>
    </row>
    <row r="3013" spans="1:6">
      <c r="A3013" s="434">
        <v>45967</v>
      </c>
      <c r="B3013" s="168" t="s">
        <v>1478</v>
      </c>
      <c r="C3013" s="166" t="s">
        <v>1601</v>
      </c>
      <c r="D3013" s="166">
        <v>1</v>
      </c>
      <c r="E3013" s="417" t="s">
        <v>125</v>
      </c>
    </row>
    <row r="3014" spans="1:6">
      <c r="A3014" s="434">
        <v>45967</v>
      </c>
      <c r="B3014" s="168" t="s">
        <v>1327</v>
      </c>
      <c r="C3014" s="166" t="s">
        <v>1618</v>
      </c>
      <c r="D3014" s="166">
        <v>1</v>
      </c>
      <c r="E3014" s="417" t="s">
        <v>125</v>
      </c>
    </row>
    <row r="3016" spans="1:6">
      <c r="A3016" s="265">
        <v>45967</v>
      </c>
      <c r="B3016" s="343" t="s">
        <v>1246</v>
      </c>
      <c r="C3016" s="43" t="s">
        <v>1619</v>
      </c>
      <c r="D3016" s="43">
        <v>-1</v>
      </c>
      <c r="E3016" s="230" t="s">
        <v>125</v>
      </c>
    </row>
    <row r="3017" spans="1:6">
      <c r="A3017" s="265">
        <v>45967</v>
      </c>
      <c r="B3017" s="343" t="s">
        <v>1271</v>
      </c>
      <c r="C3017" s="43" t="s">
        <v>1619</v>
      </c>
      <c r="D3017" s="43">
        <v>-2</v>
      </c>
      <c r="E3017" s="230" t="s">
        <v>125</v>
      </c>
    </row>
    <row r="3018" spans="1:6">
      <c r="A3018" s="265">
        <v>45967</v>
      </c>
      <c r="B3018" s="343" t="s">
        <v>1246</v>
      </c>
      <c r="C3018" s="43" t="s">
        <v>1619</v>
      </c>
      <c r="D3018" s="43">
        <v>-3</v>
      </c>
      <c r="E3018" s="230" t="s">
        <v>125</v>
      </c>
    </row>
    <row r="3019" spans="1:6">
      <c r="A3019" s="265">
        <v>45967</v>
      </c>
      <c r="B3019" s="93" t="s">
        <v>166</v>
      </c>
      <c r="C3019" s="43" t="s">
        <v>1619</v>
      </c>
      <c r="D3019" s="43">
        <v>-1</v>
      </c>
      <c r="E3019" s="230" t="s">
        <v>125</v>
      </c>
    </row>
    <row r="3020" spans="1:6">
      <c r="A3020" s="265">
        <v>45967</v>
      </c>
      <c r="B3020" s="93" t="s">
        <v>169</v>
      </c>
      <c r="C3020" s="43" t="s">
        <v>1619</v>
      </c>
      <c r="D3020" s="43">
        <v>-4</v>
      </c>
      <c r="E3020" s="230" t="s">
        <v>125</v>
      </c>
    </row>
    <row r="3021" spans="1:6">
      <c r="A3021" s="265">
        <v>45967</v>
      </c>
      <c r="B3021" s="93" t="s">
        <v>169</v>
      </c>
      <c r="C3021" s="43" t="s">
        <v>1619</v>
      </c>
      <c r="D3021" s="43">
        <v>-1</v>
      </c>
      <c r="E3021" s="230" t="s">
        <v>125</v>
      </c>
    </row>
    <row r="3022" spans="1:6">
      <c r="A3022" s="265">
        <v>45967</v>
      </c>
      <c r="B3022" s="343" t="s">
        <v>1477</v>
      </c>
      <c r="C3022" s="43" t="s">
        <v>1619</v>
      </c>
      <c r="D3022" s="43">
        <v>-1</v>
      </c>
      <c r="E3022" s="230" t="s">
        <v>125</v>
      </c>
    </row>
    <row r="3024" spans="1:6">
      <c r="A3024" s="323">
        <v>45966</v>
      </c>
      <c r="B3024" s="325" t="s">
        <v>1246</v>
      </c>
      <c r="C3024" s="322" t="s">
        <v>682</v>
      </c>
      <c r="D3024" s="322">
        <v>1</v>
      </c>
      <c r="E3024" s="321" t="s">
        <v>125</v>
      </c>
      <c r="F3024" t="s">
        <v>1639</v>
      </c>
    </row>
    <row r="3025" spans="1:5">
      <c r="A3025" s="323">
        <v>45966</v>
      </c>
      <c r="B3025" s="325" t="s">
        <v>1246</v>
      </c>
      <c r="C3025" s="322" t="s">
        <v>682</v>
      </c>
      <c r="D3025" s="322">
        <v>16</v>
      </c>
      <c r="E3025" s="321" t="s">
        <v>125</v>
      </c>
    </row>
    <row r="3026" spans="1:5">
      <c r="A3026" s="323">
        <v>45966</v>
      </c>
      <c r="B3026" s="325" t="s">
        <v>1249</v>
      </c>
      <c r="C3026" s="322" t="s">
        <v>682</v>
      </c>
      <c r="D3026" s="322">
        <v>2</v>
      </c>
      <c r="E3026" s="321" t="s">
        <v>125</v>
      </c>
    </row>
    <row r="3027" spans="1:5">
      <c r="A3027" s="323">
        <v>45966</v>
      </c>
      <c r="B3027" s="325" t="s">
        <v>1271</v>
      </c>
      <c r="C3027" s="322" t="s">
        <v>682</v>
      </c>
      <c r="D3027" s="322">
        <v>4</v>
      </c>
      <c r="E3027" s="321" t="s">
        <v>125</v>
      </c>
    </row>
    <row r="3028" spans="1:5">
      <c r="A3028" s="323">
        <v>45966</v>
      </c>
      <c r="B3028" s="325" t="s">
        <v>1301</v>
      </c>
      <c r="C3028" s="322" t="s">
        <v>682</v>
      </c>
      <c r="D3028" s="322">
        <v>1</v>
      </c>
      <c r="E3028" s="321" t="s">
        <v>125</v>
      </c>
    </row>
    <row r="3029" spans="1:5">
      <c r="A3029" s="323">
        <v>45966</v>
      </c>
      <c r="B3029" s="325" t="s">
        <v>1407</v>
      </c>
      <c r="C3029" s="322" t="s">
        <v>682</v>
      </c>
      <c r="D3029" s="322">
        <v>3</v>
      </c>
      <c r="E3029" s="321" t="s">
        <v>125</v>
      </c>
    </row>
    <row r="3030" spans="1:5">
      <c r="A3030" s="323">
        <v>45966</v>
      </c>
      <c r="B3030" s="325" t="s">
        <v>1271</v>
      </c>
      <c r="C3030" s="322" t="s">
        <v>682</v>
      </c>
      <c r="D3030" s="322">
        <v>1</v>
      </c>
      <c r="E3030" s="321" t="s">
        <v>125</v>
      </c>
    </row>
    <row r="3031" spans="1:5">
      <c r="A3031" s="323">
        <v>45966</v>
      </c>
      <c r="B3031" s="325" t="s">
        <v>1271</v>
      </c>
      <c r="C3031" s="322" t="s">
        <v>682</v>
      </c>
      <c r="D3031" s="322">
        <v>3</v>
      </c>
      <c r="E3031" s="321" t="s">
        <v>125</v>
      </c>
    </row>
    <row r="3032" spans="1:5">
      <c r="A3032" s="323">
        <v>45966</v>
      </c>
      <c r="B3032" s="325" t="s">
        <v>1326</v>
      </c>
      <c r="C3032" s="322" t="s">
        <v>682</v>
      </c>
      <c r="D3032" s="322">
        <v>3</v>
      </c>
      <c r="E3032" s="321" t="s">
        <v>125</v>
      </c>
    </row>
    <row r="3033" spans="1:5">
      <c r="A3033" s="323">
        <v>45966</v>
      </c>
      <c r="B3033" s="324" t="s">
        <v>134</v>
      </c>
      <c r="C3033" s="322" t="s">
        <v>682</v>
      </c>
      <c r="D3033" s="322">
        <v>2</v>
      </c>
      <c r="E3033" s="321" t="s">
        <v>125</v>
      </c>
    </row>
    <row r="3034" spans="1:5">
      <c r="A3034" s="323">
        <v>45966</v>
      </c>
      <c r="B3034" s="324" t="s">
        <v>134</v>
      </c>
      <c r="C3034" s="322" t="s">
        <v>682</v>
      </c>
      <c r="D3034" s="322">
        <v>1</v>
      </c>
      <c r="E3034" s="321" t="s">
        <v>125</v>
      </c>
    </row>
    <row r="3035" spans="1:5">
      <c r="A3035" s="323">
        <v>45966</v>
      </c>
      <c r="B3035" s="324" t="s">
        <v>134</v>
      </c>
      <c r="C3035" s="322" t="s">
        <v>682</v>
      </c>
      <c r="D3035" s="322">
        <v>2</v>
      </c>
      <c r="E3035" s="321" t="s">
        <v>125</v>
      </c>
    </row>
    <row r="3036" spans="1:5">
      <c r="A3036" s="323">
        <v>45966</v>
      </c>
      <c r="B3036" s="426" t="s">
        <v>928</v>
      </c>
      <c r="C3036" s="322" t="s">
        <v>682</v>
      </c>
      <c r="D3036" s="322">
        <v>1</v>
      </c>
      <c r="E3036" s="321" t="s">
        <v>125</v>
      </c>
    </row>
    <row r="3037" spans="1:5">
      <c r="A3037" s="323">
        <v>45966</v>
      </c>
      <c r="B3037" s="325" t="s">
        <v>166</v>
      </c>
      <c r="C3037" s="322" t="s">
        <v>682</v>
      </c>
      <c r="D3037" s="322">
        <v>1</v>
      </c>
      <c r="E3037" s="321" t="s">
        <v>125</v>
      </c>
    </row>
    <row r="3038" spans="1:5">
      <c r="A3038" s="323">
        <v>45966</v>
      </c>
      <c r="B3038" s="325" t="s">
        <v>166</v>
      </c>
      <c r="C3038" s="322" t="s">
        <v>682</v>
      </c>
      <c r="D3038" s="322">
        <v>1</v>
      </c>
      <c r="E3038" s="321" t="s">
        <v>125</v>
      </c>
    </row>
    <row r="3039" spans="1:5">
      <c r="A3039" s="323">
        <v>45966</v>
      </c>
      <c r="B3039" s="425" t="s">
        <v>1151</v>
      </c>
      <c r="C3039" s="322" t="s">
        <v>682</v>
      </c>
      <c r="D3039" s="322">
        <v>2</v>
      </c>
      <c r="E3039" s="321" t="s">
        <v>125</v>
      </c>
    </row>
    <row r="3040" spans="1:5">
      <c r="A3040" s="323">
        <v>45966</v>
      </c>
      <c r="B3040" s="425" t="s">
        <v>932</v>
      </c>
      <c r="C3040" s="322" t="s">
        <v>682</v>
      </c>
      <c r="D3040" s="322">
        <v>1</v>
      </c>
      <c r="E3040" s="321" t="s">
        <v>125</v>
      </c>
    </row>
    <row r="3041" spans="1:5">
      <c r="A3041" s="323">
        <v>45966</v>
      </c>
      <c r="B3041" s="325" t="s">
        <v>1568</v>
      </c>
      <c r="C3041" s="322" t="s">
        <v>682</v>
      </c>
      <c r="D3041" s="322">
        <v>4</v>
      </c>
      <c r="E3041" s="321" t="s">
        <v>125</v>
      </c>
    </row>
    <row r="3042" spans="1:5">
      <c r="A3042" s="323">
        <v>45966</v>
      </c>
      <c r="B3042" s="325" t="s">
        <v>1640</v>
      </c>
      <c r="C3042" s="322" t="s">
        <v>682</v>
      </c>
      <c r="D3042" s="322">
        <v>3</v>
      </c>
      <c r="E3042" s="321" t="s">
        <v>125</v>
      </c>
    </row>
    <row r="3043" spans="1:5">
      <c r="A3043" s="323">
        <v>45966</v>
      </c>
      <c r="B3043" s="325" t="s">
        <v>1641</v>
      </c>
      <c r="C3043" s="322" t="s">
        <v>682</v>
      </c>
      <c r="D3043" s="322">
        <v>3</v>
      </c>
      <c r="E3043" s="321" t="s">
        <v>125</v>
      </c>
    </row>
    <row r="3044" spans="1:5">
      <c r="A3044" s="323">
        <v>45966</v>
      </c>
      <c r="B3044" s="324" t="s">
        <v>919</v>
      </c>
      <c r="C3044" s="322" t="s">
        <v>682</v>
      </c>
      <c r="D3044" s="322">
        <v>4</v>
      </c>
      <c r="E3044" s="321" t="s">
        <v>125</v>
      </c>
    </row>
    <row r="3045" spans="1:5">
      <c r="A3045" s="323">
        <v>45966</v>
      </c>
      <c r="B3045" s="324" t="s">
        <v>926</v>
      </c>
      <c r="C3045" s="322" t="s">
        <v>682</v>
      </c>
      <c r="D3045" s="322">
        <v>1</v>
      </c>
      <c r="E3045" s="321" t="s">
        <v>125</v>
      </c>
    </row>
    <row r="3046" spans="1:5">
      <c r="A3046" s="323">
        <v>45966</v>
      </c>
      <c r="B3046" s="325" t="s">
        <v>1291</v>
      </c>
      <c r="C3046" s="322" t="s">
        <v>682</v>
      </c>
      <c r="D3046" s="322">
        <v>1</v>
      </c>
      <c r="E3046" s="321" t="s">
        <v>125</v>
      </c>
    </row>
    <row r="3047" spans="1:5">
      <c r="A3047" s="323">
        <v>45966</v>
      </c>
      <c r="B3047" s="325" t="s">
        <v>1409</v>
      </c>
      <c r="C3047" s="322" t="s">
        <v>682</v>
      </c>
      <c r="D3047" s="322">
        <v>43</v>
      </c>
      <c r="E3047" s="321" t="s">
        <v>125</v>
      </c>
    </row>
    <row r="3048" spans="1:5">
      <c r="A3048" s="323">
        <v>45966</v>
      </c>
      <c r="B3048" s="325" t="s">
        <v>1642</v>
      </c>
      <c r="C3048" s="322" t="s">
        <v>682</v>
      </c>
      <c r="D3048" s="322">
        <v>2</v>
      </c>
      <c r="E3048" s="321" t="s">
        <v>125</v>
      </c>
    </row>
    <row r="3050" spans="1:5">
      <c r="A3050" s="272">
        <v>45968</v>
      </c>
      <c r="B3050" s="139" t="s">
        <v>1617</v>
      </c>
      <c r="C3050" s="106" t="s">
        <v>49</v>
      </c>
      <c r="D3050" s="106">
        <v>10</v>
      </c>
      <c r="E3050" s="94" t="s">
        <v>125</v>
      </c>
    </row>
    <row r="3051" spans="1:5">
      <c r="A3051" s="272">
        <v>45968</v>
      </c>
      <c r="B3051" s="128" t="s">
        <v>882</v>
      </c>
      <c r="C3051" s="106" t="s">
        <v>49</v>
      </c>
      <c r="D3051" s="106">
        <v>20</v>
      </c>
      <c r="E3051" s="94" t="s">
        <v>125</v>
      </c>
    </row>
    <row r="3052" spans="1:5">
      <c r="A3052" s="272">
        <v>45968</v>
      </c>
      <c r="B3052" s="128" t="s">
        <v>672</v>
      </c>
      <c r="C3052" s="106" t="s">
        <v>49</v>
      </c>
      <c r="D3052" s="106">
        <v>12</v>
      </c>
      <c r="E3052" s="94" t="s">
        <v>125</v>
      </c>
    </row>
    <row r="3053" spans="1:5">
      <c r="A3053" s="272">
        <v>45968</v>
      </c>
      <c r="B3053" s="139" t="s">
        <v>1617</v>
      </c>
      <c r="C3053" s="106" t="s">
        <v>49</v>
      </c>
      <c r="D3053" s="106">
        <v>30</v>
      </c>
      <c r="E3053" s="94" t="s">
        <v>125</v>
      </c>
    </row>
    <row r="3054" spans="1:5">
      <c r="A3054" s="272">
        <v>45968</v>
      </c>
      <c r="B3054" s="139" t="s">
        <v>1575</v>
      </c>
      <c r="C3054" s="106" t="s">
        <v>49</v>
      </c>
      <c r="D3054" s="106">
        <v>7</v>
      </c>
      <c r="E3054" s="94" t="s">
        <v>125</v>
      </c>
    </row>
    <row r="3055" spans="1:5">
      <c r="A3055" s="272">
        <v>45968</v>
      </c>
      <c r="B3055" s="139" t="s">
        <v>1575</v>
      </c>
      <c r="C3055" s="106" t="s">
        <v>49</v>
      </c>
      <c r="D3055" s="106">
        <v>4</v>
      </c>
      <c r="E3055" s="94" t="s">
        <v>125</v>
      </c>
    </row>
    <row r="3056" spans="1:5">
      <c r="A3056" s="272">
        <v>45968</v>
      </c>
      <c r="B3056" s="139" t="s">
        <v>1575</v>
      </c>
      <c r="C3056" s="106" t="s">
        <v>49</v>
      </c>
      <c r="D3056" s="106">
        <v>4</v>
      </c>
      <c r="E3056" s="94" t="s">
        <v>125</v>
      </c>
    </row>
    <row r="3057" spans="1:5">
      <c r="A3057" s="272">
        <v>45968</v>
      </c>
      <c r="B3057" s="128" t="s">
        <v>76</v>
      </c>
      <c r="C3057" s="106" t="s">
        <v>49</v>
      </c>
      <c r="D3057" s="106">
        <v>1</v>
      </c>
      <c r="E3057" s="94" t="s">
        <v>125</v>
      </c>
    </row>
    <row r="3058" spans="1:5">
      <c r="A3058" s="272">
        <v>45968</v>
      </c>
      <c r="B3058" s="128" t="s">
        <v>76</v>
      </c>
      <c r="C3058" s="106" t="s">
        <v>49</v>
      </c>
      <c r="D3058" s="106">
        <v>1</v>
      </c>
      <c r="E3058" s="94" t="s">
        <v>125</v>
      </c>
    </row>
    <row r="3059" spans="1:5">
      <c r="A3059" s="272">
        <v>45968</v>
      </c>
      <c r="B3059" s="128" t="s">
        <v>76</v>
      </c>
      <c r="C3059" s="106" t="s">
        <v>49</v>
      </c>
      <c r="D3059" s="106">
        <v>4</v>
      </c>
      <c r="E3059" s="94" t="s">
        <v>125</v>
      </c>
    </row>
    <row r="3060" spans="1:5">
      <c r="A3060" s="272">
        <v>45968</v>
      </c>
      <c r="B3060" s="128" t="s">
        <v>76</v>
      </c>
      <c r="C3060" s="106" t="s">
        <v>49</v>
      </c>
      <c r="D3060" s="106">
        <v>5</v>
      </c>
      <c r="E3060" s="94" t="s">
        <v>125</v>
      </c>
    </row>
    <row r="3061" spans="1:5">
      <c r="A3061" s="272">
        <v>45968</v>
      </c>
      <c r="B3061" s="128" t="s">
        <v>76</v>
      </c>
      <c r="C3061" s="106" t="s">
        <v>49</v>
      </c>
      <c r="D3061" s="106">
        <v>11</v>
      </c>
      <c r="E3061" s="94" t="s">
        <v>125</v>
      </c>
    </row>
    <row r="3063" spans="1:5">
      <c r="A3063" s="335">
        <v>45968</v>
      </c>
      <c r="B3063" s="343" t="s">
        <v>1617</v>
      </c>
      <c r="C3063" s="345" t="s">
        <v>1613</v>
      </c>
      <c r="D3063" s="345">
        <v>-5</v>
      </c>
      <c r="E3063" s="230" t="s">
        <v>125</v>
      </c>
    </row>
    <row r="3064" spans="1:5">
      <c r="A3064" s="335">
        <v>45968</v>
      </c>
      <c r="B3064" s="343" t="s">
        <v>1617</v>
      </c>
      <c r="C3064" s="43" t="s">
        <v>1615</v>
      </c>
      <c r="D3064" s="43">
        <v>-5</v>
      </c>
      <c r="E3064" s="230" t="s">
        <v>125</v>
      </c>
    </row>
    <row r="3065" spans="1:5">
      <c r="A3065" s="335">
        <v>45968</v>
      </c>
      <c r="B3065" s="92" t="s">
        <v>642</v>
      </c>
      <c r="C3065" s="43" t="s">
        <v>1615</v>
      </c>
      <c r="D3065" s="43">
        <v>-5</v>
      </c>
      <c r="E3065" s="230" t="s">
        <v>125</v>
      </c>
    </row>
    <row r="3066" spans="1:5">
      <c r="A3066" s="335">
        <v>45968</v>
      </c>
      <c r="B3066" s="343" t="s">
        <v>1270</v>
      </c>
      <c r="C3066" s="43" t="s">
        <v>1615</v>
      </c>
      <c r="D3066" s="43">
        <v>-7</v>
      </c>
      <c r="E3066" s="230" t="s">
        <v>125</v>
      </c>
    </row>
    <row r="3067" spans="1:5">
      <c r="A3067" s="335">
        <v>45968</v>
      </c>
      <c r="B3067" s="92" t="s">
        <v>671</v>
      </c>
      <c r="C3067" s="43" t="s">
        <v>1655</v>
      </c>
      <c r="D3067" s="43">
        <v>-2</v>
      </c>
      <c r="E3067" s="230" t="s">
        <v>125</v>
      </c>
    </row>
    <row r="3068" spans="1:5">
      <c r="A3068" s="335">
        <v>45968</v>
      </c>
      <c r="B3068" s="343" t="s">
        <v>1575</v>
      </c>
      <c r="C3068" s="345" t="s">
        <v>1656</v>
      </c>
      <c r="D3068" s="345">
        <v>-24</v>
      </c>
      <c r="E3068" s="230" t="s">
        <v>125</v>
      </c>
    </row>
    <row r="3069" spans="1:5">
      <c r="A3069" s="335">
        <v>45968</v>
      </c>
      <c r="B3069" s="92" t="s">
        <v>81</v>
      </c>
      <c r="C3069" s="345" t="s">
        <v>1656</v>
      </c>
      <c r="D3069" s="345">
        <v>-2</v>
      </c>
      <c r="E3069" s="230" t="s">
        <v>125</v>
      </c>
    </row>
    <row r="3071" spans="1:5">
      <c r="A3071" s="265">
        <v>45969</v>
      </c>
      <c r="B3071" s="343" t="s">
        <v>1409</v>
      </c>
      <c r="C3071" s="345" t="s">
        <v>1656</v>
      </c>
      <c r="D3071" s="43">
        <v>-35</v>
      </c>
      <c r="E3071" s="230" t="s">
        <v>125</v>
      </c>
    </row>
    <row r="3072" spans="1:5">
      <c r="A3072" s="265">
        <v>45969</v>
      </c>
      <c r="B3072" s="343" t="s">
        <v>1271</v>
      </c>
      <c r="C3072" s="43" t="s">
        <v>1605</v>
      </c>
      <c r="D3072" s="43">
        <v>-1</v>
      </c>
      <c r="E3072" s="230" t="s">
        <v>125</v>
      </c>
    </row>
    <row r="3073" spans="1:6">
      <c r="A3073" s="265">
        <v>45969</v>
      </c>
      <c r="B3073" s="84" t="s">
        <v>1387</v>
      </c>
      <c r="C3073" s="43" t="s">
        <v>1658</v>
      </c>
      <c r="D3073" s="43">
        <v>-3</v>
      </c>
      <c r="E3073" s="230" t="s">
        <v>125</v>
      </c>
    </row>
    <row r="3074" spans="1:6">
      <c r="A3074" s="265">
        <v>45969</v>
      </c>
      <c r="B3074" s="343" t="s">
        <v>1334</v>
      </c>
      <c r="C3074" s="43" t="s">
        <v>1658</v>
      </c>
      <c r="D3074" s="43">
        <v>-7</v>
      </c>
      <c r="E3074" s="230" t="s">
        <v>125</v>
      </c>
    </row>
    <row r="3075" spans="1:6">
      <c r="A3075" s="265">
        <v>45969</v>
      </c>
      <c r="B3075" s="93" t="s">
        <v>1490</v>
      </c>
      <c r="C3075" s="43" t="s">
        <v>1658</v>
      </c>
      <c r="D3075" s="43">
        <v>-1</v>
      </c>
      <c r="E3075" s="230" t="s">
        <v>125</v>
      </c>
    </row>
    <row r="3076" spans="1:6">
      <c r="A3076" s="265">
        <v>45969</v>
      </c>
      <c r="B3076" s="93" t="s">
        <v>1491</v>
      </c>
      <c r="C3076" s="43" t="s">
        <v>1658</v>
      </c>
      <c r="D3076" s="43">
        <v>-1</v>
      </c>
      <c r="E3076" s="230" t="s">
        <v>125</v>
      </c>
    </row>
    <row r="3077" spans="1:6">
      <c r="A3077" s="265">
        <v>45969</v>
      </c>
      <c r="B3077" s="343" t="s">
        <v>1271</v>
      </c>
      <c r="C3077" s="43" t="s">
        <v>1659</v>
      </c>
      <c r="D3077" s="43">
        <v>-1</v>
      </c>
      <c r="E3077" s="230" t="s">
        <v>125</v>
      </c>
    </row>
    <row r="3078" spans="1:6">
      <c r="A3078" s="265">
        <v>45969</v>
      </c>
      <c r="B3078" s="343" t="s">
        <v>1291</v>
      </c>
      <c r="C3078" s="43" t="s">
        <v>1592</v>
      </c>
      <c r="D3078" s="43">
        <v>-2</v>
      </c>
      <c r="E3078" s="230" t="s">
        <v>125</v>
      </c>
    </row>
    <row r="3079" spans="1:6">
      <c r="A3079" s="265">
        <v>45969</v>
      </c>
      <c r="B3079" s="343" t="s">
        <v>1334</v>
      </c>
      <c r="C3079" s="43" t="s">
        <v>1592</v>
      </c>
      <c r="D3079" s="43">
        <v>-1</v>
      </c>
      <c r="E3079" s="230" t="s">
        <v>125</v>
      </c>
    </row>
    <row r="3080" spans="1:6">
      <c r="A3080" s="265">
        <v>45969</v>
      </c>
      <c r="B3080" s="84" t="s">
        <v>1387</v>
      </c>
      <c r="C3080" s="43" t="s">
        <v>1592</v>
      </c>
      <c r="D3080" s="43">
        <v>-1</v>
      </c>
      <c r="E3080" s="230" t="s">
        <v>125</v>
      </c>
    </row>
    <row r="3081" spans="1:6">
      <c r="A3081" s="434">
        <v>45969</v>
      </c>
      <c r="B3081" s="168" t="s">
        <v>1249</v>
      </c>
      <c r="C3081" s="166" t="s">
        <v>1594</v>
      </c>
      <c r="D3081" s="166">
        <v>0</v>
      </c>
      <c r="E3081" s="417" t="s">
        <v>125</v>
      </c>
      <c r="F3081" s="441" t="s">
        <v>254</v>
      </c>
    </row>
    <row r="3082" spans="1:6">
      <c r="A3082" s="434">
        <v>45969</v>
      </c>
      <c r="B3082" s="168" t="s">
        <v>1290</v>
      </c>
      <c r="C3082" s="166" t="s">
        <v>1594</v>
      </c>
      <c r="D3082" s="166">
        <v>0</v>
      </c>
      <c r="E3082" s="417" t="s">
        <v>125</v>
      </c>
      <c r="F3082" s="441" t="s">
        <v>254</v>
      </c>
    </row>
    <row r="3083" spans="1:6">
      <c r="A3083" s="434">
        <v>45969</v>
      </c>
      <c r="B3083" s="168" t="s">
        <v>1246</v>
      </c>
      <c r="C3083" s="166" t="s">
        <v>1594</v>
      </c>
      <c r="D3083" s="166">
        <v>0</v>
      </c>
      <c r="E3083" s="417" t="s">
        <v>125</v>
      </c>
      <c r="F3083" s="441" t="s">
        <v>254</v>
      </c>
    </row>
    <row r="3084" spans="1:6">
      <c r="A3084" s="434">
        <v>45969</v>
      </c>
      <c r="B3084" s="168" t="s">
        <v>1327</v>
      </c>
      <c r="C3084" s="166" t="s">
        <v>1594</v>
      </c>
      <c r="D3084" s="166">
        <v>0</v>
      </c>
      <c r="E3084" s="417" t="s">
        <v>125</v>
      </c>
      <c r="F3084" s="441" t="s">
        <v>254</v>
      </c>
    </row>
    <row r="3085" spans="1:6">
      <c r="A3085" s="434">
        <v>45969</v>
      </c>
      <c r="B3085" s="168" t="s">
        <v>1327</v>
      </c>
      <c r="C3085" s="166" t="s">
        <v>1594</v>
      </c>
      <c r="D3085" s="166">
        <v>0</v>
      </c>
      <c r="E3085" s="417" t="s">
        <v>125</v>
      </c>
      <c r="F3085" s="441" t="s">
        <v>254</v>
      </c>
    </row>
    <row r="3086" spans="1:6">
      <c r="A3086" s="434">
        <v>45969</v>
      </c>
      <c r="B3086" s="168" t="s">
        <v>1326</v>
      </c>
      <c r="C3086" s="166" t="s">
        <v>1594</v>
      </c>
      <c r="D3086" s="166">
        <v>0</v>
      </c>
      <c r="E3086" s="417" t="s">
        <v>125</v>
      </c>
      <c r="F3086" s="441" t="s">
        <v>254</v>
      </c>
    </row>
    <row r="3087" spans="1:6">
      <c r="A3087" s="434">
        <v>45969</v>
      </c>
      <c r="B3087" s="168" t="s">
        <v>167</v>
      </c>
      <c r="C3087" s="166" t="s">
        <v>1594</v>
      </c>
      <c r="D3087" s="166">
        <v>0</v>
      </c>
      <c r="E3087" s="417" t="s">
        <v>125</v>
      </c>
      <c r="F3087" s="441" t="s">
        <v>254</v>
      </c>
    </row>
    <row r="3088" spans="1:6">
      <c r="A3088" s="434">
        <v>45969</v>
      </c>
      <c r="B3088" s="168" t="s">
        <v>166</v>
      </c>
      <c r="C3088" s="166" t="s">
        <v>1594</v>
      </c>
      <c r="D3088" s="166">
        <v>0</v>
      </c>
      <c r="E3088" s="417" t="s">
        <v>125</v>
      </c>
      <c r="F3088" s="441" t="s">
        <v>254</v>
      </c>
    </row>
    <row r="3089" spans="1:6">
      <c r="A3089" s="434">
        <v>45969</v>
      </c>
      <c r="B3089" s="167" t="s">
        <v>1151</v>
      </c>
      <c r="C3089" s="166" t="s">
        <v>1594</v>
      </c>
      <c r="D3089" s="166">
        <v>0</v>
      </c>
      <c r="E3089" s="417" t="s">
        <v>125</v>
      </c>
      <c r="F3089" s="441" t="s">
        <v>254</v>
      </c>
    </row>
    <row r="3090" spans="1:6">
      <c r="A3090" s="265">
        <v>45969</v>
      </c>
      <c r="B3090" s="343" t="s">
        <v>1271</v>
      </c>
      <c r="C3090" s="43" t="s">
        <v>1660</v>
      </c>
      <c r="D3090" s="43">
        <v>-3</v>
      </c>
      <c r="E3090" s="230" t="s">
        <v>125</v>
      </c>
    </row>
    <row r="3091" spans="1:6">
      <c r="A3091" s="265">
        <v>45969</v>
      </c>
      <c r="B3091" s="343" t="s">
        <v>1270</v>
      </c>
      <c r="C3091" s="43" t="s">
        <v>1661</v>
      </c>
      <c r="D3091" s="43">
        <v>-1</v>
      </c>
      <c r="E3091" s="230" t="s">
        <v>125</v>
      </c>
    </row>
    <row r="3093" spans="1:6">
      <c r="A3093" s="434">
        <v>45969</v>
      </c>
      <c r="B3093" s="503" t="s">
        <v>1387</v>
      </c>
      <c r="C3093" s="166" t="s">
        <v>1662</v>
      </c>
      <c r="D3093" s="166">
        <v>3</v>
      </c>
      <c r="E3093" s="417" t="s">
        <v>125</v>
      </c>
    </row>
    <row r="3094" spans="1:6">
      <c r="A3094" s="434">
        <v>45969</v>
      </c>
      <c r="B3094" s="168" t="s">
        <v>1490</v>
      </c>
      <c r="C3094" s="166" t="s">
        <v>1662</v>
      </c>
      <c r="D3094" s="166">
        <v>1</v>
      </c>
      <c r="E3094" s="417" t="s">
        <v>125</v>
      </c>
    </row>
    <row r="3095" spans="1:6">
      <c r="A3095" s="434">
        <v>45969</v>
      </c>
      <c r="B3095" s="168" t="s">
        <v>1334</v>
      </c>
      <c r="C3095" s="166" t="s">
        <v>1662</v>
      </c>
      <c r="D3095" s="166">
        <v>1</v>
      </c>
      <c r="E3095" s="417" t="s">
        <v>125</v>
      </c>
    </row>
    <row r="3097" spans="1:6">
      <c r="A3097" s="265">
        <v>45970</v>
      </c>
      <c r="B3097" s="343" t="s">
        <v>1246</v>
      </c>
      <c r="C3097" s="43" t="s">
        <v>1663</v>
      </c>
      <c r="D3097" s="43">
        <v>-8</v>
      </c>
      <c r="E3097" s="230" t="s">
        <v>125</v>
      </c>
    </row>
    <row r="3099" spans="1:6">
      <c r="A3099" s="265">
        <v>45971</v>
      </c>
      <c r="B3099" s="343" t="s">
        <v>1246</v>
      </c>
      <c r="C3099" s="43" t="s">
        <v>1664</v>
      </c>
      <c r="D3099" s="43">
        <v>-5</v>
      </c>
      <c r="E3099" s="230" t="s">
        <v>125</v>
      </c>
    </row>
    <row r="3100" spans="1:6">
      <c r="A3100" s="265">
        <v>45971</v>
      </c>
      <c r="B3100" s="343" t="s">
        <v>1246</v>
      </c>
      <c r="C3100" s="43" t="s">
        <v>1666</v>
      </c>
      <c r="D3100" s="43">
        <v>-1</v>
      </c>
      <c r="E3100" s="230" t="s">
        <v>125</v>
      </c>
    </row>
    <row r="3101" spans="1:6">
      <c r="A3101" s="265">
        <v>45971</v>
      </c>
      <c r="B3101" s="343" t="s">
        <v>1246</v>
      </c>
      <c r="C3101" s="43" t="s">
        <v>1666</v>
      </c>
      <c r="D3101" s="43">
        <v>-2</v>
      </c>
      <c r="E3101" s="230" t="s">
        <v>125</v>
      </c>
    </row>
    <row r="3103" spans="1:6">
      <c r="A3103" s="581">
        <v>45968</v>
      </c>
      <c r="B3103" s="582" t="s">
        <v>839</v>
      </c>
      <c r="C3103" s="292" t="s">
        <v>1669</v>
      </c>
      <c r="D3103" s="292">
        <v>2</v>
      </c>
      <c r="E3103" s="294" t="s">
        <v>125</v>
      </c>
    </row>
    <row r="3104" spans="1:6">
      <c r="A3104" s="581">
        <v>45968</v>
      </c>
      <c r="B3104" s="582" t="s">
        <v>839</v>
      </c>
      <c r="C3104" s="292" t="s">
        <v>1669</v>
      </c>
      <c r="D3104" s="292">
        <v>2</v>
      </c>
      <c r="E3104" s="294" t="s">
        <v>125</v>
      </c>
    </row>
    <row r="3105" spans="1:5">
      <c r="A3105" s="581">
        <v>45968</v>
      </c>
      <c r="B3105" s="582" t="s">
        <v>839</v>
      </c>
      <c r="C3105" s="292" t="s">
        <v>1669</v>
      </c>
      <c r="D3105" s="292">
        <v>1</v>
      </c>
      <c r="E3105" s="294" t="s">
        <v>125</v>
      </c>
    </row>
    <row r="3106" spans="1:5">
      <c r="A3106" s="581">
        <v>45968</v>
      </c>
      <c r="B3106" s="582" t="s">
        <v>839</v>
      </c>
      <c r="C3106" s="292" t="s">
        <v>1669</v>
      </c>
      <c r="D3106" s="292">
        <v>4</v>
      </c>
      <c r="E3106" s="294" t="s">
        <v>125</v>
      </c>
    </row>
    <row r="3107" spans="1:5">
      <c r="A3107" s="581">
        <v>45968</v>
      </c>
      <c r="B3107" s="582" t="s">
        <v>839</v>
      </c>
      <c r="C3107" s="292" t="s">
        <v>1669</v>
      </c>
      <c r="D3107" s="292">
        <v>2</v>
      </c>
      <c r="E3107" s="294" t="s">
        <v>125</v>
      </c>
    </row>
    <row r="3109" spans="1:5">
      <c r="A3109" s="272">
        <v>45971</v>
      </c>
      <c r="B3109" s="139" t="s">
        <v>1673</v>
      </c>
      <c r="C3109" s="106" t="s">
        <v>1675</v>
      </c>
      <c r="D3109" s="106">
        <v>1</v>
      </c>
      <c r="E3109" s="94" t="s">
        <v>125</v>
      </c>
    </row>
    <row r="3110" spans="1:5">
      <c r="A3110" s="272">
        <v>45971</v>
      </c>
      <c r="B3110" s="139" t="s">
        <v>1674</v>
      </c>
      <c r="C3110" s="106" t="s">
        <v>1675</v>
      </c>
      <c r="D3110" s="106">
        <v>3</v>
      </c>
      <c r="E3110" s="94" t="s">
        <v>125</v>
      </c>
    </row>
    <row r="3111" spans="1:5">
      <c r="A3111" s="272">
        <v>45971</v>
      </c>
      <c r="B3111" s="139" t="s">
        <v>1673</v>
      </c>
      <c r="C3111" s="106" t="s">
        <v>1675</v>
      </c>
      <c r="D3111" s="106">
        <v>3</v>
      </c>
      <c r="E3111" s="94" t="s">
        <v>125</v>
      </c>
    </row>
    <row r="3113" spans="1:5">
      <c r="A3113" s="272">
        <v>45971</v>
      </c>
      <c r="B3113" s="128" t="s">
        <v>76</v>
      </c>
      <c r="C3113" s="106" t="s">
        <v>49</v>
      </c>
      <c r="D3113" s="106">
        <v>10</v>
      </c>
      <c r="E3113" s="94" t="s">
        <v>125</v>
      </c>
    </row>
    <row r="3114" spans="1:5">
      <c r="A3114" s="272">
        <v>45971</v>
      </c>
      <c r="B3114" s="139" t="s">
        <v>1674</v>
      </c>
      <c r="C3114" s="106" t="s">
        <v>49</v>
      </c>
      <c r="D3114" s="106">
        <v>2</v>
      </c>
      <c r="E3114" s="94" t="s">
        <v>125</v>
      </c>
    </row>
    <row r="3115" spans="1:5">
      <c r="A3115" s="272">
        <v>45971</v>
      </c>
      <c r="B3115" s="128" t="s">
        <v>76</v>
      </c>
      <c r="C3115" s="106" t="s">
        <v>49</v>
      </c>
      <c r="D3115" s="106">
        <v>1</v>
      </c>
      <c r="E3115" s="94" t="s">
        <v>125</v>
      </c>
    </row>
    <row r="3116" spans="1:5">
      <c r="A3116" s="272">
        <v>45971</v>
      </c>
      <c r="B3116" s="139" t="s">
        <v>1674</v>
      </c>
      <c r="C3116" s="106" t="s">
        <v>49</v>
      </c>
      <c r="D3116" s="106">
        <v>1</v>
      </c>
      <c r="E3116" s="94" t="s">
        <v>125</v>
      </c>
    </row>
    <row r="3117" spans="1:5">
      <c r="A3117" s="272">
        <v>45971</v>
      </c>
      <c r="B3117" s="139" t="s">
        <v>1674</v>
      </c>
      <c r="C3117" s="106" t="s">
        <v>49</v>
      </c>
      <c r="D3117" s="106">
        <v>1</v>
      </c>
      <c r="E3117" s="94" t="s">
        <v>125</v>
      </c>
    </row>
    <row r="3118" spans="1:5">
      <c r="A3118" s="272">
        <v>45971</v>
      </c>
      <c r="B3118" s="128" t="s">
        <v>76</v>
      </c>
      <c r="C3118" s="106" t="s">
        <v>49</v>
      </c>
      <c r="D3118" s="106">
        <v>2</v>
      </c>
      <c r="E3118" s="94" t="s">
        <v>125</v>
      </c>
    </row>
    <row r="3119" spans="1:5">
      <c r="A3119" s="272">
        <v>45971</v>
      </c>
      <c r="B3119" s="139" t="s">
        <v>1674</v>
      </c>
      <c r="C3119" s="106" t="s">
        <v>49</v>
      </c>
      <c r="D3119" s="106">
        <v>1</v>
      </c>
      <c r="E3119" s="94" t="s">
        <v>125</v>
      </c>
    </row>
    <row r="3120" spans="1:5">
      <c r="A3120" s="272">
        <v>45971</v>
      </c>
      <c r="B3120" s="139" t="s">
        <v>1674</v>
      </c>
      <c r="C3120" s="106" t="s">
        <v>49</v>
      </c>
      <c r="D3120" s="106">
        <v>1</v>
      </c>
      <c r="E3120" s="94" t="s">
        <v>125</v>
      </c>
    </row>
    <row r="3121" spans="1:5">
      <c r="A3121" s="272">
        <v>45971</v>
      </c>
      <c r="B3121" s="139" t="s">
        <v>1674</v>
      </c>
      <c r="C3121" s="106" t="s">
        <v>49</v>
      </c>
      <c r="D3121" s="106">
        <v>1</v>
      </c>
      <c r="E3121" s="94" t="s">
        <v>125</v>
      </c>
    </row>
    <row r="3122" spans="1:5">
      <c r="A3122" s="272">
        <v>45971</v>
      </c>
      <c r="B3122" s="128" t="s">
        <v>76</v>
      </c>
      <c r="C3122" s="106" t="s">
        <v>49</v>
      </c>
      <c r="D3122" s="106">
        <v>5</v>
      </c>
      <c r="E3122" s="94" t="s">
        <v>125</v>
      </c>
    </row>
    <row r="3123" spans="1:5">
      <c r="A3123" s="272">
        <v>45971</v>
      </c>
      <c r="B3123" s="139" t="s">
        <v>1617</v>
      </c>
      <c r="C3123" s="106" t="s">
        <v>49</v>
      </c>
      <c r="D3123" s="106">
        <v>5</v>
      </c>
      <c r="E3123" s="94" t="s">
        <v>125</v>
      </c>
    </row>
    <row r="3125" spans="1:5">
      <c r="A3125" s="265">
        <v>45971</v>
      </c>
      <c r="B3125" s="343" t="s">
        <v>1246</v>
      </c>
      <c r="C3125" s="43" t="s">
        <v>1605</v>
      </c>
      <c r="D3125" s="43">
        <v>-1</v>
      </c>
      <c r="E3125" s="230" t="s">
        <v>125</v>
      </c>
    </row>
    <row r="3126" spans="1:5">
      <c r="A3126" s="265">
        <v>45971</v>
      </c>
      <c r="B3126" s="343" t="s">
        <v>1271</v>
      </c>
      <c r="C3126" s="43" t="s">
        <v>1605</v>
      </c>
      <c r="D3126" s="43">
        <v>-1</v>
      </c>
      <c r="E3126" s="230" t="s">
        <v>125</v>
      </c>
    </row>
    <row r="3127" spans="1:5">
      <c r="A3127" s="265">
        <v>45971</v>
      </c>
      <c r="B3127" s="343" t="s">
        <v>1301</v>
      </c>
      <c r="C3127" s="43" t="s">
        <v>1605</v>
      </c>
      <c r="D3127" s="43">
        <v>-1</v>
      </c>
      <c r="E3127" s="230" t="s">
        <v>125</v>
      </c>
    </row>
    <row r="3129" spans="1:5">
      <c r="A3129" s="265">
        <v>45970</v>
      </c>
      <c r="B3129" s="343" t="s">
        <v>1407</v>
      </c>
      <c r="C3129" s="43" t="s">
        <v>1684</v>
      </c>
      <c r="D3129" s="43">
        <v>-3</v>
      </c>
      <c r="E3129" s="230" t="s">
        <v>125</v>
      </c>
    </row>
    <row r="3130" spans="1:5">
      <c r="A3130" s="265">
        <v>45970</v>
      </c>
      <c r="B3130" s="84" t="s">
        <v>134</v>
      </c>
      <c r="C3130" s="43" t="s">
        <v>1684</v>
      </c>
      <c r="D3130" s="43">
        <v>-2</v>
      </c>
      <c r="E3130" s="230" t="s">
        <v>125</v>
      </c>
    </row>
    <row r="3132" spans="1:5">
      <c r="A3132" s="265">
        <v>45971</v>
      </c>
      <c r="B3132" s="343" t="s">
        <v>1406</v>
      </c>
      <c r="C3132" s="43" t="s">
        <v>1656</v>
      </c>
      <c r="D3132" s="43">
        <v>-1</v>
      </c>
      <c r="E3132" s="230" t="s">
        <v>125</v>
      </c>
    </row>
    <row r="3133" spans="1:5">
      <c r="A3133" s="265">
        <v>45971</v>
      </c>
      <c r="B3133" s="344" t="s">
        <v>1182</v>
      </c>
      <c r="C3133" s="43" t="s">
        <v>1656</v>
      </c>
      <c r="D3133" s="43">
        <v>-1</v>
      </c>
      <c r="E3133" s="230" t="s">
        <v>125</v>
      </c>
    </row>
    <row r="3134" spans="1:5">
      <c r="A3134" s="265">
        <v>45971</v>
      </c>
      <c r="B3134" s="84" t="s">
        <v>131</v>
      </c>
      <c r="C3134" s="43" t="s">
        <v>1656</v>
      </c>
      <c r="D3134" s="43">
        <v>-3</v>
      </c>
      <c r="E3134" s="230" t="s">
        <v>125</v>
      </c>
    </row>
    <row r="3135" spans="1:5">
      <c r="A3135" s="265">
        <v>45971</v>
      </c>
      <c r="B3135" s="342" t="s">
        <v>960</v>
      </c>
      <c r="C3135" s="43" t="s">
        <v>1656</v>
      </c>
      <c r="D3135" s="43">
        <v>-5</v>
      </c>
      <c r="E3135" s="230" t="s">
        <v>125</v>
      </c>
    </row>
    <row r="3136" spans="1:5">
      <c r="A3136" s="265">
        <v>45971</v>
      </c>
      <c r="B3136" s="84" t="s">
        <v>919</v>
      </c>
      <c r="C3136" s="43" t="s">
        <v>1592</v>
      </c>
      <c r="D3136" s="43">
        <v>-5</v>
      </c>
      <c r="E3136" s="230" t="s">
        <v>125</v>
      </c>
    </row>
    <row r="3137" spans="1:5">
      <c r="A3137" s="265">
        <v>45971</v>
      </c>
      <c r="B3137" s="93" t="s">
        <v>976</v>
      </c>
      <c r="C3137" s="43" t="s">
        <v>1592</v>
      </c>
      <c r="D3137" s="43">
        <v>-2</v>
      </c>
      <c r="E3137" s="230" t="s">
        <v>125</v>
      </c>
    </row>
    <row r="3138" spans="1:5">
      <c r="A3138" s="265">
        <v>45971</v>
      </c>
      <c r="B3138" s="93" t="s">
        <v>1095</v>
      </c>
      <c r="C3138" s="43" t="s">
        <v>1592</v>
      </c>
      <c r="D3138" s="43">
        <v>-4</v>
      </c>
      <c r="E3138" s="230" t="s">
        <v>125</v>
      </c>
    </row>
    <row r="3139" spans="1:5">
      <c r="A3139" s="265">
        <v>45971</v>
      </c>
      <c r="B3139" s="343" t="s">
        <v>1291</v>
      </c>
      <c r="C3139" s="43" t="s">
        <v>1592</v>
      </c>
      <c r="D3139" s="43">
        <v>-26</v>
      </c>
      <c r="E3139" s="230" t="s">
        <v>125</v>
      </c>
    </row>
    <row r="3140" spans="1:5">
      <c r="A3140" s="265">
        <v>45971</v>
      </c>
      <c r="B3140" s="93" t="s">
        <v>920</v>
      </c>
      <c r="C3140" s="43" t="s">
        <v>1592</v>
      </c>
      <c r="D3140" s="43">
        <v>-2</v>
      </c>
      <c r="E3140" s="230" t="s">
        <v>125</v>
      </c>
    </row>
    <row r="3141" spans="1:5">
      <c r="A3141" s="265">
        <v>45971</v>
      </c>
      <c r="B3141" s="343" t="s">
        <v>1246</v>
      </c>
      <c r="C3141" s="43" t="s">
        <v>1685</v>
      </c>
      <c r="D3141" s="43">
        <v>-13</v>
      </c>
      <c r="E3141" s="230" t="s">
        <v>125</v>
      </c>
    </row>
    <row r="3143" spans="1:5">
      <c r="A3143" s="265">
        <v>45972</v>
      </c>
      <c r="B3143" s="343" t="s">
        <v>1271</v>
      </c>
      <c r="C3143" s="43" t="s">
        <v>1686</v>
      </c>
      <c r="D3143" s="43">
        <v>-3</v>
      </c>
      <c r="E3143" s="230" t="s">
        <v>125</v>
      </c>
    </row>
    <row r="3144" spans="1:5">
      <c r="A3144" s="265">
        <v>45972</v>
      </c>
      <c r="B3144" s="343" t="s">
        <v>1271</v>
      </c>
      <c r="C3144" s="43" t="s">
        <v>1686</v>
      </c>
      <c r="D3144" s="43">
        <v>-7</v>
      </c>
      <c r="E3144" s="230" t="s">
        <v>125</v>
      </c>
    </row>
    <row r="3145" spans="1:5">
      <c r="A3145" s="265">
        <v>45972</v>
      </c>
      <c r="B3145" s="343" t="s">
        <v>1271</v>
      </c>
      <c r="C3145" s="43" t="s">
        <v>1686</v>
      </c>
      <c r="D3145" s="43">
        <v>-2</v>
      </c>
      <c r="E3145" s="230" t="s">
        <v>125</v>
      </c>
    </row>
    <row r="3146" spans="1:5">
      <c r="A3146" s="265">
        <v>45972</v>
      </c>
      <c r="B3146" s="343" t="s">
        <v>1326</v>
      </c>
      <c r="C3146" s="43" t="s">
        <v>1594</v>
      </c>
      <c r="D3146" s="43">
        <v>-7</v>
      </c>
      <c r="E3146" s="230" t="s">
        <v>125</v>
      </c>
    </row>
    <row r="3147" spans="1:5">
      <c r="A3147" s="265">
        <v>45972</v>
      </c>
      <c r="B3147" s="343" t="s">
        <v>1249</v>
      </c>
      <c r="C3147" s="43" t="s">
        <v>1594</v>
      </c>
      <c r="D3147" s="43">
        <v>-2</v>
      </c>
      <c r="E3147" s="230" t="s">
        <v>125</v>
      </c>
    </row>
    <row r="3148" spans="1:5">
      <c r="A3148" s="265">
        <v>45972</v>
      </c>
      <c r="B3148" s="343" t="s">
        <v>1246</v>
      </c>
      <c r="C3148" s="43" t="s">
        <v>1594</v>
      </c>
      <c r="D3148" s="43">
        <v>-1</v>
      </c>
      <c r="E3148" s="230" t="s">
        <v>125</v>
      </c>
    </row>
    <row r="3149" spans="1:5">
      <c r="A3149" s="265">
        <v>45972</v>
      </c>
      <c r="B3149" s="93" t="s">
        <v>166</v>
      </c>
      <c r="C3149" s="43" t="s">
        <v>1594</v>
      </c>
      <c r="D3149" s="43">
        <v>-2</v>
      </c>
      <c r="E3149" s="230" t="s">
        <v>125</v>
      </c>
    </row>
    <row r="3150" spans="1:5">
      <c r="A3150" s="265">
        <v>45972</v>
      </c>
      <c r="B3150" s="93" t="s">
        <v>166</v>
      </c>
      <c r="C3150" s="43" t="s">
        <v>1594</v>
      </c>
      <c r="D3150" s="43">
        <v>-1</v>
      </c>
      <c r="E3150" s="230" t="s">
        <v>125</v>
      </c>
    </row>
    <row r="3151" spans="1:5">
      <c r="A3151" s="265">
        <v>45972</v>
      </c>
      <c r="B3151" s="93" t="s">
        <v>167</v>
      </c>
      <c r="C3151" s="43" t="s">
        <v>1594</v>
      </c>
      <c r="D3151" s="43">
        <v>-5</v>
      </c>
      <c r="E3151" s="230" t="s">
        <v>125</v>
      </c>
    </row>
    <row r="3152" spans="1:5">
      <c r="A3152" s="265">
        <v>45972</v>
      </c>
      <c r="B3152" s="343" t="s">
        <v>1290</v>
      </c>
      <c r="C3152" s="43" t="s">
        <v>1594</v>
      </c>
      <c r="D3152" s="43">
        <v>-1</v>
      </c>
      <c r="E3152" s="230" t="s">
        <v>125</v>
      </c>
    </row>
    <row r="3153" spans="1:6">
      <c r="A3153" s="265">
        <v>45972</v>
      </c>
      <c r="B3153" s="344" t="s">
        <v>1151</v>
      </c>
      <c r="C3153" s="43" t="s">
        <v>1594</v>
      </c>
      <c r="D3153" s="43">
        <v>-2</v>
      </c>
      <c r="E3153" s="230" t="s">
        <v>125</v>
      </c>
    </row>
    <row r="3154" spans="1:6">
      <c r="A3154" s="265">
        <v>45972</v>
      </c>
      <c r="B3154" s="343" t="s">
        <v>1327</v>
      </c>
      <c r="C3154" s="43" t="s">
        <v>1594</v>
      </c>
      <c r="D3154" s="43">
        <v>-8</v>
      </c>
      <c r="E3154" s="230" t="s">
        <v>125</v>
      </c>
    </row>
    <row r="3155" spans="1:6">
      <c r="A3155" s="265">
        <v>45972</v>
      </c>
      <c r="B3155" s="343" t="s">
        <v>1271</v>
      </c>
      <c r="C3155" s="43" t="s">
        <v>1687</v>
      </c>
      <c r="D3155" s="43">
        <v>-1</v>
      </c>
      <c r="E3155" s="230" t="s">
        <v>125</v>
      </c>
    </row>
    <row r="3156" spans="1:6">
      <c r="A3156" s="265">
        <v>45972</v>
      </c>
      <c r="B3156" s="343" t="s">
        <v>1271</v>
      </c>
      <c r="C3156" s="43" t="s">
        <v>1687</v>
      </c>
      <c r="D3156" s="43">
        <v>-1</v>
      </c>
      <c r="E3156" s="230" t="s">
        <v>125</v>
      </c>
    </row>
    <row r="3157" spans="1:6">
      <c r="A3157" s="335">
        <v>45972</v>
      </c>
      <c r="B3157" s="343" t="s">
        <v>1568</v>
      </c>
      <c r="C3157" s="345" t="s">
        <v>1688</v>
      </c>
      <c r="D3157" s="345">
        <v>-11</v>
      </c>
      <c r="E3157" s="230" t="s">
        <v>125</v>
      </c>
    </row>
    <row r="3158" spans="1:6">
      <c r="A3158" s="335">
        <v>45972</v>
      </c>
      <c r="B3158" s="343" t="s">
        <v>1640</v>
      </c>
      <c r="C3158" s="345" t="s">
        <v>1688</v>
      </c>
      <c r="D3158" s="345">
        <v>-1</v>
      </c>
      <c r="E3158" s="230" t="s">
        <v>125</v>
      </c>
    </row>
    <row r="3159" spans="1:6">
      <c r="A3159" s="335">
        <v>45972</v>
      </c>
      <c r="B3159" s="343" t="s">
        <v>1641</v>
      </c>
      <c r="C3159" s="345" t="s">
        <v>1688</v>
      </c>
      <c r="D3159" s="345">
        <v>-3</v>
      </c>
      <c r="E3159" s="230" t="s">
        <v>125</v>
      </c>
    </row>
    <row r="3160" spans="1:6">
      <c r="A3160" s="335">
        <v>45972</v>
      </c>
      <c r="B3160" s="343" t="s">
        <v>1689</v>
      </c>
      <c r="C3160" s="345" t="s">
        <v>1688</v>
      </c>
      <c r="D3160" s="345">
        <v>-2</v>
      </c>
      <c r="E3160" s="230" t="s">
        <v>125</v>
      </c>
    </row>
    <row r="3161" spans="1:6">
      <c r="A3161" s="335">
        <v>45972</v>
      </c>
      <c r="B3161" s="343" t="s">
        <v>1640</v>
      </c>
      <c r="C3161" s="345" t="s">
        <v>1688</v>
      </c>
      <c r="D3161" s="43">
        <v>-2</v>
      </c>
      <c r="E3161" s="230" t="s">
        <v>125</v>
      </c>
      <c r="F3161" t="s">
        <v>1690</v>
      </c>
    </row>
    <row r="3162" spans="1:6">
      <c r="A3162" s="335">
        <v>45972</v>
      </c>
      <c r="B3162" s="343" t="s">
        <v>1568</v>
      </c>
      <c r="C3162" s="345" t="s">
        <v>1688</v>
      </c>
      <c r="D3162" s="43">
        <v>-1</v>
      </c>
      <c r="E3162" s="230" t="s">
        <v>125</v>
      </c>
      <c r="F3162" t="s">
        <v>1690</v>
      </c>
    </row>
    <row r="3163" spans="1:6">
      <c r="A3163" s="335">
        <v>45972</v>
      </c>
      <c r="B3163" s="343" t="s">
        <v>1689</v>
      </c>
      <c r="C3163" s="345" t="s">
        <v>1688</v>
      </c>
      <c r="D3163" s="43">
        <v>-1</v>
      </c>
      <c r="E3163" s="230" t="s">
        <v>125</v>
      </c>
      <c r="F3163" t="s">
        <v>1690</v>
      </c>
    </row>
    <row r="3164" spans="1:6">
      <c r="A3164" s="335">
        <v>45972</v>
      </c>
      <c r="B3164" s="343" t="s">
        <v>1301</v>
      </c>
      <c r="C3164" s="43" t="s">
        <v>1605</v>
      </c>
      <c r="D3164" s="43">
        <v>-1</v>
      </c>
      <c r="E3164" s="230" t="s">
        <v>125</v>
      </c>
    </row>
    <row r="3165" spans="1:6">
      <c r="A3165" s="265">
        <v>45972</v>
      </c>
      <c r="B3165" s="343" t="s">
        <v>1271</v>
      </c>
      <c r="C3165" s="43" t="s">
        <v>1691</v>
      </c>
      <c r="D3165" s="43">
        <v>-3</v>
      </c>
      <c r="E3165" s="230" t="s">
        <v>125</v>
      </c>
    </row>
    <row r="3166" spans="1:6">
      <c r="A3166" s="265">
        <v>45972</v>
      </c>
      <c r="B3166" s="343" t="s">
        <v>1271</v>
      </c>
      <c r="C3166" s="43" t="s">
        <v>1691</v>
      </c>
      <c r="D3166" s="43">
        <v>-3</v>
      </c>
      <c r="E3166" s="230" t="s">
        <v>125</v>
      </c>
    </row>
    <row r="3167" spans="1:6">
      <c r="A3167" s="265">
        <v>45972</v>
      </c>
      <c r="B3167" s="343" t="s">
        <v>1271</v>
      </c>
      <c r="C3167" s="43" t="s">
        <v>1691</v>
      </c>
      <c r="D3167" s="43">
        <v>-1</v>
      </c>
      <c r="E3167" s="230" t="s">
        <v>125</v>
      </c>
    </row>
    <row r="3169" spans="1:6">
      <c r="A3169" s="346">
        <v>45973</v>
      </c>
      <c r="B3169" s="349" t="s">
        <v>1326</v>
      </c>
      <c r="C3169" s="348" t="s">
        <v>921</v>
      </c>
      <c r="D3169" s="348">
        <v>1</v>
      </c>
      <c r="E3169" s="360" t="s">
        <v>125</v>
      </c>
      <c r="F3169" t="s">
        <v>1692</v>
      </c>
    </row>
    <row r="3170" spans="1:6">
      <c r="A3170" s="346">
        <v>45973</v>
      </c>
      <c r="B3170" s="347" t="s">
        <v>134</v>
      </c>
      <c r="C3170" s="348" t="s">
        <v>921</v>
      </c>
      <c r="D3170" s="348">
        <v>1</v>
      </c>
      <c r="E3170" s="360" t="s">
        <v>125</v>
      </c>
    </row>
    <row r="3171" spans="1:6">
      <c r="A3171" s="346">
        <v>45973</v>
      </c>
      <c r="B3171" s="349" t="s">
        <v>167</v>
      </c>
      <c r="C3171" s="348" t="s">
        <v>921</v>
      </c>
      <c r="D3171" s="348">
        <v>3</v>
      </c>
      <c r="E3171" s="360" t="s">
        <v>125</v>
      </c>
    </row>
    <row r="3172" spans="1:6">
      <c r="A3172" s="346">
        <v>45973</v>
      </c>
      <c r="B3172" s="349" t="s">
        <v>166</v>
      </c>
      <c r="C3172" s="348" t="s">
        <v>921</v>
      </c>
      <c r="D3172" s="348">
        <v>2</v>
      </c>
      <c r="E3172" s="360" t="s">
        <v>125</v>
      </c>
    </row>
    <row r="3173" spans="1:6">
      <c r="A3173" s="346">
        <v>45973</v>
      </c>
      <c r="B3173" s="349" t="s">
        <v>1568</v>
      </c>
      <c r="C3173" s="348" t="s">
        <v>921</v>
      </c>
      <c r="D3173" s="348">
        <v>2</v>
      </c>
      <c r="E3173" s="360" t="s">
        <v>125</v>
      </c>
    </row>
    <row r="3174" spans="1:6">
      <c r="A3174" s="346">
        <v>45973</v>
      </c>
      <c r="B3174" s="347" t="s">
        <v>919</v>
      </c>
      <c r="C3174" s="348" t="s">
        <v>921</v>
      </c>
      <c r="D3174" s="348">
        <v>1</v>
      </c>
      <c r="E3174" s="360" t="s">
        <v>125</v>
      </c>
    </row>
    <row r="3175" spans="1:6">
      <c r="A3175" s="346">
        <v>45973</v>
      </c>
      <c r="B3175" s="349" t="s">
        <v>976</v>
      </c>
      <c r="C3175" s="348" t="s">
        <v>921</v>
      </c>
      <c r="D3175" s="348">
        <v>1</v>
      </c>
      <c r="E3175" s="360" t="s">
        <v>125</v>
      </c>
    </row>
    <row r="3176" spans="1:6">
      <c r="A3176" s="346">
        <v>45973</v>
      </c>
      <c r="B3176" s="349" t="s">
        <v>1095</v>
      </c>
      <c r="C3176" s="348" t="s">
        <v>921</v>
      </c>
      <c r="D3176" s="348">
        <v>1</v>
      </c>
      <c r="E3176" s="360" t="s">
        <v>125</v>
      </c>
    </row>
    <row r="3177" spans="1:6">
      <c r="A3177" s="346">
        <v>45973</v>
      </c>
      <c r="B3177" s="349" t="s">
        <v>1094</v>
      </c>
      <c r="C3177" s="348" t="s">
        <v>921</v>
      </c>
      <c r="D3177" s="348">
        <v>0</v>
      </c>
      <c r="E3177" s="360" t="s">
        <v>125</v>
      </c>
      <c r="F3177" t="s">
        <v>676</v>
      </c>
    </row>
    <row r="3178" spans="1:6">
      <c r="A3178" s="346">
        <v>45973</v>
      </c>
      <c r="B3178" s="349" t="s">
        <v>1291</v>
      </c>
      <c r="C3178" s="348" t="s">
        <v>921</v>
      </c>
      <c r="D3178" s="348">
        <v>3</v>
      </c>
      <c r="E3178" s="360" t="s">
        <v>125</v>
      </c>
    </row>
    <row r="3179" spans="1:6">
      <c r="A3179" s="346">
        <v>45973</v>
      </c>
      <c r="B3179" s="349" t="s">
        <v>920</v>
      </c>
      <c r="C3179" s="348" t="s">
        <v>921</v>
      </c>
      <c r="D3179" s="348">
        <v>1</v>
      </c>
      <c r="E3179" s="360" t="s">
        <v>125</v>
      </c>
    </row>
    <row r="3180" spans="1:6">
      <c r="A3180" s="346">
        <v>45973</v>
      </c>
      <c r="B3180" s="349" t="s">
        <v>1334</v>
      </c>
      <c r="C3180" s="348" t="s">
        <v>921</v>
      </c>
      <c r="D3180" s="348">
        <v>3</v>
      </c>
      <c r="E3180" s="360" t="s">
        <v>125</v>
      </c>
    </row>
    <row r="3181" spans="1:6">
      <c r="A3181" s="346">
        <v>45973</v>
      </c>
      <c r="B3181" s="347" t="s">
        <v>1387</v>
      </c>
      <c r="C3181" s="348" t="s">
        <v>921</v>
      </c>
      <c r="D3181" s="348">
        <v>2</v>
      </c>
      <c r="E3181" s="360" t="s">
        <v>125</v>
      </c>
    </row>
    <row r="3182" spans="1:6">
      <c r="A3182" s="346">
        <v>45973</v>
      </c>
      <c r="B3182" s="349" t="s">
        <v>1533</v>
      </c>
      <c r="C3182" s="348" t="s">
        <v>921</v>
      </c>
      <c r="D3182" s="348">
        <v>1</v>
      </c>
      <c r="E3182" s="360" t="s">
        <v>125</v>
      </c>
    </row>
    <row r="3184" spans="1:6">
      <c r="A3184" s="346">
        <v>45973</v>
      </c>
      <c r="B3184" s="349" t="s">
        <v>1246</v>
      </c>
      <c r="C3184" s="348" t="s">
        <v>921</v>
      </c>
      <c r="D3184" s="348">
        <v>1</v>
      </c>
      <c r="E3184" s="360" t="s">
        <v>125</v>
      </c>
      <c r="F3184" t="s">
        <v>1693</v>
      </c>
    </row>
    <row r="3185" spans="1:6">
      <c r="A3185" s="346">
        <v>45973</v>
      </c>
      <c r="B3185" s="349" t="s">
        <v>1271</v>
      </c>
      <c r="C3185" s="348" t="s">
        <v>921</v>
      </c>
      <c r="D3185" s="348">
        <v>7</v>
      </c>
      <c r="E3185" s="360" t="s">
        <v>125</v>
      </c>
    </row>
    <row r="3186" spans="1:6">
      <c r="A3186" s="346">
        <v>45973</v>
      </c>
      <c r="B3186" s="349" t="s">
        <v>1326</v>
      </c>
      <c r="C3186" s="348" t="s">
        <v>921</v>
      </c>
      <c r="D3186" s="348">
        <v>2</v>
      </c>
      <c r="E3186" s="360" t="s">
        <v>125</v>
      </c>
    </row>
    <row r="3187" spans="1:6">
      <c r="A3187" s="346">
        <v>45973</v>
      </c>
      <c r="B3187" s="349" t="s">
        <v>166</v>
      </c>
      <c r="C3187" s="348" t="s">
        <v>921</v>
      </c>
      <c r="D3187" s="348">
        <v>2</v>
      </c>
      <c r="E3187" s="360" t="s">
        <v>125</v>
      </c>
    </row>
    <row r="3188" spans="1:6">
      <c r="A3188" s="346">
        <v>45973</v>
      </c>
      <c r="B3188" s="349" t="s">
        <v>1568</v>
      </c>
      <c r="C3188" s="348" t="s">
        <v>921</v>
      </c>
      <c r="D3188" s="348">
        <v>2</v>
      </c>
      <c r="E3188" s="360" t="s">
        <v>125</v>
      </c>
    </row>
    <row r="3189" spans="1:6">
      <c r="A3189" s="346">
        <v>45973</v>
      </c>
      <c r="B3189" s="349" t="s">
        <v>976</v>
      </c>
      <c r="C3189" s="348" t="s">
        <v>921</v>
      </c>
      <c r="D3189" s="348">
        <v>1</v>
      </c>
      <c r="E3189" s="360" t="s">
        <v>125</v>
      </c>
    </row>
    <row r="3190" spans="1:6">
      <c r="A3190" s="346">
        <v>45973</v>
      </c>
      <c r="B3190" s="349" t="s">
        <v>1291</v>
      </c>
      <c r="C3190" s="348" t="s">
        <v>921</v>
      </c>
      <c r="D3190" s="348">
        <v>3</v>
      </c>
      <c r="E3190" s="360" t="s">
        <v>125</v>
      </c>
    </row>
    <row r="3191" spans="1:6">
      <c r="A3191" s="346">
        <v>45973</v>
      </c>
      <c r="B3191" s="349" t="s">
        <v>920</v>
      </c>
      <c r="C3191" s="348" t="s">
        <v>921</v>
      </c>
      <c r="D3191" s="348">
        <v>0</v>
      </c>
      <c r="E3191" s="360" t="s">
        <v>125</v>
      </c>
      <c r="F3191" t="s">
        <v>1759</v>
      </c>
    </row>
    <row r="3192" spans="1:6">
      <c r="A3192" s="346">
        <v>45973</v>
      </c>
      <c r="B3192" s="349" t="s">
        <v>1334</v>
      </c>
      <c r="C3192" s="348" t="s">
        <v>921</v>
      </c>
      <c r="D3192" s="348">
        <v>1</v>
      </c>
      <c r="E3192" s="360" t="s">
        <v>125</v>
      </c>
    </row>
    <row r="3193" spans="1:6">
      <c r="A3193" s="346">
        <v>45973</v>
      </c>
      <c r="B3193" s="347" t="s">
        <v>1387</v>
      </c>
      <c r="C3193" s="348" t="s">
        <v>921</v>
      </c>
      <c r="D3193" s="348">
        <v>1</v>
      </c>
      <c r="E3193" s="360" t="s">
        <v>125</v>
      </c>
    </row>
    <row r="3195" spans="1:6">
      <c r="A3195" s="346">
        <v>45973</v>
      </c>
      <c r="B3195" s="349" t="s">
        <v>1326</v>
      </c>
      <c r="C3195" s="348" t="s">
        <v>921</v>
      </c>
      <c r="D3195" s="348">
        <v>1</v>
      </c>
      <c r="E3195" s="360" t="s">
        <v>125</v>
      </c>
      <c r="F3195" t="s">
        <v>1695</v>
      </c>
    </row>
    <row r="3196" spans="1:6">
      <c r="A3196" s="346">
        <v>45973</v>
      </c>
      <c r="B3196" s="349" t="s">
        <v>167</v>
      </c>
      <c r="C3196" s="348" t="s">
        <v>921</v>
      </c>
      <c r="D3196" s="348">
        <v>2</v>
      </c>
      <c r="E3196" s="360" t="s">
        <v>125</v>
      </c>
    </row>
    <row r="3197" spans="1:6">
      <c r="A3197" s="346">
        <v>45973</v>
      </c>
      <c r="B3197" s="349" t="s">
        <v>169</v>
      </c>
      <c r="C3197" s="348" t="s">
        <v>921</v>
      </c>
      <c r="D3197" s="348">
        <v>1</v>
      </c>
      <c r="E3197" s="360" t="s">
        <v>125</v>
      </c>
    </row>
    <row r="3198" spans="1:6">
      <c r="A3198" s="346">
        <v>45973</v>
      </c>
      <c r="B3198" s="349" t="s">
        <v>169</v>
      </c>
      <c r="C3198" s="348" t="s">
        <v>921</v>
      </c>
      <c r="D3198" s="348">
        <v>1</v>
      </c>
      <c r="E3198" s="360" t="s">
        <v>125</v>
      </c>
    </row>
    <row r="3199" spans="1:6">
      <c r="A3199" s="346">
        <v>45973</v>
      </c>
      <c r="B3199" s="349" t="s">
        <v>1095</v>
      </c>
      <c r="C3199" s="348" t="s">
        <v>921</v>
      </c>
      <c r="D3199" s="348">
        <v>2</v>
      </c>
      <c r="E3199" s="360" t="s">
        <v>125</v>
      </c>
    </row>
    <row r="3200" spans="1:6">
      <c r="A3200" s="346">
        <v>45973</v>
      </c>
      <c r="B3200" s="349" t="s">
        <v>1532</v>
      </c>
      <c r="C3200" s="348" t="s">
        <v>921</v>
      </c>
      <c r="D3200" s="348">
        <v>0</v>
      </c>
      <c r="E3200" s="360" t="s">
        <v>125</v>
      </c>
      <c r="F3200" t="s">
        <v>1181</v>
      </c>
    </row>
    <row r="3201" spans="1:5">
      <c r="A3201" s="346">
        <v>45973</v>
      </c>
      <c r="B3201" s="349" t="s">
        <v>1533</v>
      </c>
      <c r="C3201" s="348" t="s">
        <v>921</v>
      </c>
      <c r="D3201" s="348">
        <v>1</v>
      </c>
      <c r="E3201" s="360" t="s">
        <v>125</v>
      </c>
    </row>
    <row r="3202" spans="1:5">
      <c r="A3202" s="346">
        <v>45973</v>
      </c>
      <c r="B3202" s="349" t="s">
        <v>1271</v>
      </c>
      <c r="C3202" s="348" t="s">
        <v>921</v>
      </c>
      <c r="D3202" s="348">
        <v>2</v>
      </c>
      <c r="E3202" s="360" t="s">
        <v>125</v>
      </c>
    </row>
    <row r="3203" spans="1:5">
      <c r="A3203" s="346">
        <v>45973</v>
      </c>
      <c r="B3203" s="349" t="s">
        <v>1271</v>
      </c>
      <c r="C3203" s="348" t="s">
        <v>921</v>
      </c>
      <c r="D3203" s="348">
        <v>1</v>
      </c>
      <c r="E3203" s="360" t="s">
        <v>125</v>
      </c>
    </row>
    <row r="3204" spans="1:5">
      <c r="A3204" s="346">
        <v>45973</v>
      </c>
      <c r="B3204" s="349" t="s">
        <v>167</v>
      </c>
      <c r="C3204" s="348" t="s">
        <v>921</v>
      </c>
      <c r="D3204" s="348">
        <v>1</v>
      </c>
      <c r="E3204" s="360" t="s">
        <v>125</v>
      </c>
    </row>
    <row r="3205" spans="1:5">
      <c r="A3205" s="346">
        <v>45973</v>
      </c>
      <c r="B3205" s="427" t="s">
        <v>1694</v>
      </c>
      <c r="C3205" s="348" t="s">
        <v>921</v>
      </c>
      <c r="D3205" s="348">
        <v>1</v>
      </c>
      <c r="E3205" s="360" t="s">
        <v>125</v>
      </c>
    </row>
    <row r="3206" spans="1:5">
      <c r="A3206" s="346">
        <v>45973</v>
      </c>
      <c r="B3206" s="349" t="s">
        <v>1095</v>
      </c>
      <c r="C3206" s="348" t="s">
        <v>921</v>
      </c>
      <c r="D3206" s="348">
        <v>1</v>
      </c>
      <c r="E3206" s="360" t="s">
        <v>125</v>
      </c>
    </row>
    <row r="3207" spans="1:5">
      <c r="A3207" s="346">
        <v>45973</v>
      </c>
      <c r="B3207" s="349" t="s">
        <v>1291</v>
      </c>
      <c r="C3207" s="348" t="s">
        <v>921</v>
      </c>
      <c r="D3207" s="348">
        <v>3</v>
      </c>
      <c r="E3207" s="360" t="s">
        <v>125</v>
      </c>
    </row>
    <row r="3208" spans="1:5">
      <c r="A3208" s="346">
        <v>45973</v>
      </c>
      <c r="B3208" s="349" t="s">
        <v>1334</v>
      </c>
      <c r="C3208" s="348" t="s">
        <v>921</v>
      </c>
      <c r="D3208" s="348">
        <v>1</v>
      </c>
      <c r="E3208" s="360" t="s">
        <v>125</v>
      </c>
    </row>
    <row r="3210" spans="1:5">
      <c r="A3210" s="434">
        <v>45973</v>
      </c>
      <c r="B3210" s="168" t="s">
        <v>1301</v>
      </c>
      <c r="C3210" s="166" t="s">
        <v>1618</v>
      </c>
      <c r="D3210" s="166">
        <v>1</v>
      </c>
      <c r="E3210" s="417" t="s">
        <v>125</v>
      </c>
    </row>
    <row r="3211" spans="1:5">
      <c r="A3211" s="434">
        <v>45973</v>
      </c>
      <c r="B3211" s="168" t="s">
        <v>1689</v>
      </c>
      <c r="C3211" s="166" t="s">
        <v>1696</v>
      </c>
      <c r="D3211" s="166">
        <v>1</v>
      </c>
      <c r="E3211" s="417" t="s">
        <v>125</v>
      </c>
    </row>
    <row r="3212" spans="1:5">
      <c r="A3212" s="434">
        <v>45973</v>
      </c>
      <c r="B3212" s="168" t="s">
        <v>1640</v>
      </c>
      <c r="C3212" s="166" t="s">
        <v>1696</v>
      </c>
      <c r="D3212" s="166">
        <v>1</v>
      </c>
      <c r="E3212" s="417" t="s">
        <v>125</v>
      </c>
    </row>
    <row r="3213" spans="1:5">
      <c r="A3213" s="434">
        <v>45973</v>
      </c>
      <c r="B3213" s="503" t="s">
        <v>919</v>
      </c>
      <c r="C3213" s="166" t="s">
        <v>1592</v>
      </c>
      <c r="D3213" s="166">
        <v>1</v>
      </c>
      <c r="E3213" s="417" t="s">
        <v>125</v>
      </c>
    </row>
    <row r="3215" spans="1:5">
      <c r="A3215" s="265">
        <v>45973</v>
      </c>
      <c r="B3215" s="343" t="s">
        <v>1327</v>
      </c>
      <c r="C3215" s="43" t="s">
        <v>1686</v>
      </c>
      <c r="D3215" s="43">
        <v>-2</v>
      </c>
      <c r="E3215" s="230" t="s">
        <v>125</v>
      </c>
    </row>
    <row r="3216" spans="1:5">
      <c r="A3216" s="265">
        <v>45973</v>
      </c>
      <c r="B3216" s="343" t="s">
        <v>1327</v>
      </c>
      <c r="C3216" s="43" t="s">
        <v>1686</v>
      </c>
      <c r="D3216" s="43">
        <v>-3</v>
      </c>
      <c r="E3216" s="230" t="s">
        <v>125</v>
      </c>
    </row>
    <row r="3217" spans="1:5">
      <c r="A3217" s="265">
        <v>45973</v>
      </c>
      <c r="B3217" s="84" t="s">
        <v>134</v>
      </c>
      <c r="C3217" s="43" t="s">
        <v>1686</v>
      </c>
      <c r="D3217" s="43">
        <v>-2</v>
      </c>
      <c r="E3217" s="230" t="s">
        <v>125</v>
      </c>
    </row>
    <row r="3218" spans="1:5">
      <c r="A3218" s="265">
        <v>45973</v>
      </c>
      <c r="B3218" s="147" t="s">
        <v>928</v>
      </c>
      <c r="C3218" s="43" t="s">
        <v>1686</v>
      </c>
      <c r="D3218" s="43">
        <v>-1</v>
      </c>
      <c r="E3218" s="230" t="s">
        <v>125</v>
      </c>
    </row>
    <row r="3219" spans="1:5">
      <c r="A3219" s="265">
        <v>45973</v>
      </c>
      <c r="B3219" s="147" t="s">
        <v>928</v>
      </c>
      <c r="C3219" s="43" t="s">
        <v>1686</v>
      </c>
      <c r="D3219" s="43">
        <v>-1</v>
      </c>
      <c r="E3219" s="230" t="s">
        <v>125</v>
      </c>
    </row>
    <row r="3220" spans="1:5">
      <c r="A3220" s="265">
        <v>45973</v>
      </c>
      <c r="B3220" s="84" t="s">
        <v>134</v>
      </c>
      <c r="C3220" s="43" t="s">
        <v>1686</v>
      </c>
      <c r="D3220" s="43">
        <v>-3</v>
      </c>
      <c r="E3220" s="230" t="s">
        <v>125</v>
      </c>
    </row>
    <row r="3221" spans="1:5">
      <c r="A3221" s="265">
        <v>45973</v>
      </c>
      <c r="B3221" s="147" t="s">
        <v>928</v>
      </c>
      <c r="C3221" s="43" t="s">
        <v>1686</v>
      </c>
      <c r="D3221" s="43">
        <v>-1</v>
      </c>
      <c r="E3221" s="230" t="s">
        <v>125</v>
      </c>
    </row>
    <row r="3222" spans="1:5">
      <c r="A3222" s="335">
        <v>45973</v>
      </c>
      <c r="B3222" s="343" t="s">
        <v>973</v>
      </c>
      <c r="C3222" s="345" t="s">
        <v>1686</v>
      </c>
      <c r="D3222" s="43">
        <v>-1</v>
      </c>
      <c r="E3222" s="230" t="s">
        <v>125</v>
      </c>
    </row>
    <row r="3224" spans="1:5">
      <c r="A3224" s="265">
        <v>45974</v>
      </c>
      <c r="B3224" s="343" t="s">
        <v>1291</v>
      </c>
      <c r="C3224" s="43" t="s">
        <v>1705</v>
      </c>
      <c r="D3224" s="43">
        <v>-4</v>
      </c>
      <c r="E3224" s="230" t="s">
        <v>125</v>
      </c>
    </row>
    <row r="3226" spans="1:5">
      <c r="A3226" s="434">
        <v>45974</v>
      </c>
      <c r="B3226" s="168" t="s">
        <v>1640</v>
      </c>
      <c r="C3226" s="166" t="s">
        <v>1696</v>
      </c>
      <c r="D3226" s="166">
        <v>1</v>
      </c>
      <c r="E3226" s="417" t="s">
        <v>125</v>
      </c>
    </row>
    <row r="3228" spans="1:5">
      <c r="A3228" s="335">
        <v>45974</v>
      </c>
      <c r="B3228" s="343" t="s">
        <v>1640</v>
      </c>
      <c r="C3228" s="345" t="s">
        <v>1706</v>
      </c>
      <c r="D3228" s="345">
        <v>-1</v>
      </c>
      <c r="E3228" s="230" t="s">
        <v>125</v>
      </c>
    </row>
    <row r="3230" spans="1:5">
      <c r="A3230" s="434">
        <v>45974</v>
      </c>
      <c r="B3230" s="168" t="s">
        <v>1291</v>
      </c>
      <c r="C3230" s="387" t="s">
        <v>1601</v>
      </c>
      <c r="D3230" s="387">
        <v>6</v>
      </c>
      <c r="E3230" s="417" t="s">
        <v>125</v>
      </c>
    </row>
    <row r="3232" spans="1:5">
      <c r="A3232" s="335">
        <v>45974</v>
      </c>
      <c r="B3232" s="343" t="s">
        <v>1291</v>
      </c>
      <c r="C3232" s="345" t="s">
        <v>1705</v>
      </c>
      <c r="D3232" s="345">
        <v>-6</v>
      </c>
      <c r="E3232" s="230" t="s">
        <v>125</v>
      </c>
    </row>
    <row r="3234" spans="1:6">
      <c r="A3234" s="323">
        <v>45974</v>
      </c>
      <c r="B3234" s="325" t="s">
        <v>1326</v>
      </c>
      <c r="C3234" s="322" t="s">
        <v>682</v>
      </c>
      <c r="D3234" s="322">
        <v>1</v>
      </c>
      <c r="E3234" s="321" t="s">
        <v>125</v>
      </c>
      <c r="F3234" t="s">
        <v>1718</v>
      </c>
    </row>
    <row r="3235" spans="1:6">
      <c r="A3235" s="323">
        <v>45974</v>
      </c>
      <c r="B3235" s="325" t="s">
        <v>1694</v>
      </c>
      <c r="C3235" s="322" t="s">
        <v>682</v>
      </c>
      <c r="D3235" s="322">
        <v>1</v>
      </c>
      <c r="E3235" s="321" t="s">
        <v>125</v>
      </c>
    </row>
    <row r="3236" spans="1:6">
      <c r="A3236" s="323">
        <v>45974</v>
      </c>
      <c r="B3236" s="325" t="s">
        <v>167</v>
      </c>
      <c r="C3236" s="322" t="s">
        <v>682</v>
      </c>
      <c r="D3236" s="322">
        <v>5</v>
      </c>
      <c r="E3236" s="321" t="s">
        <v>125</v>
      </c>
    </row>
    <row r="3237" spans="1:6">
      <c r="A3237" s="323">
        <v>45974</v>
      </c>
      <c r="B3237" s="325" t="s">
        <v>973</v>
      </c>
      <c r="C3237" s="322" t="s">
        <v>682</v>
      </c>
      <c r="D3237" s="322">
        <v>1</v>
      </c>
      <c r="E3237" s="321" t="s">
        <v>125</v>
      </c>
    </row>
    <row r="3238" spans="1:6">
      <c r="A3238" s="323">
        <v>45974</v>
      </c>
      <c r="B3238" s="324" t="s">
        <v>134</v>
      </c>
      <c r="C3238" s="322" t="s">
        <v>682</v>
      </c>
      <c r="D3238" s="322">
        <v>3</v>
      </c>
      <c r="E3238" s="321" t="s">
        <v>125</v>
      </c>
    </row>
    <row r="3239" spans="1:6">
      <c r="A3239" s="323">
        <v>45974</v>
      </c>
      <c r="B3239" s="325" t="s">
        <v>1301</v>
      </c>
      <c r="C3239" s="322" t="s">
        <v>682</v>
      </c>
      <c r="D3239" s="322">
        <v>1</v>
      </c>
      <c r="E3239" s="321" t="s">
        <v>125</v>
      </c>
    </row>
    <row r="3240" spans="1:6">
      <c r="A3240" s="323">
        <v>45974</v>
      </c>
      <c r="B3240" s="325" t="s">
        <v>1271</v>
      </c>
      <c r="C3240" s="322" t="s">
        <v>682</v>
      </c>
      <c r="D3240" s="322">
        <v>6</v>
      </c>
      <c r="E3240" s="321" t="s">
        <v>125</v>
      </c>
    </row>
    <row r="3241" spans="1:6">
      <c r="A3241" s="323">
        <v>45974</v>
      </c>
      <c r="B3241" s="325" t="s">
        <v>1301</v>
      </c>
      <c r="C3241" s="322" t="s">
        <v>682</v>
      </c>
      <c r="D3241" s="322">
        <v>2</v>
      </c>
      <c r="E3241" s="321" t="s">
        <v>125</v>
      </c>
    </row>
    <row r="3242" spans="1:6">
      <c r="A3242" s="323">
        <v>45974</v>
      </c>
      <c r="B3242" s="325" t="s">
        <v>1271</v>
      </c>
      <c r="C3242" s="322" t="s">
        <v>682</v>
      </c>
      <c r="D3242" s="322">
        <v>7</v>
      </c>
      <c r="E3242" s="321" t="s">
        <v>125</v>
      </c>
    </row>
    <row r="3243" spans="1:6">
      <c r="A3243" s="323">
        <v>45974</v>
      </c>
      <c r="B3243" s="325" t="s">
        <v>1246</v>
      </c>
      <c r="C3243" s="322" t="s">
        <v>682</v>
      </c>
      <c r="D3243" s="322">
        <v>5</v>
      </c>
      <c r="E3243" s="321" t="s">
        <v>125</v>
      </c>
    </row>
    <row r="3244" spans="1:6">
      <c r="A3244" s="323">
        <v>45974</v>
      </c>
      <c r="B3244" s="325" t="s">
        <v>1246</v>
      </c>
      <c r="C3244" s="322" t="s">
        <v>682</v>
      </c>
      <c r="D3244" s="322">
        <v>13</v>
      </c>
      <c r="E3244" s="321" t="s">
        <v>125</v>
      </c>
    </row>
    <row r="3245" spans="1:6">
      <c r="A3245" s="323">
        <v>45974</v>
      </c>
      <c r="B3245" s="325" t="s">
        <v>1249</v>
      </c>
      <c r="C3245" s="322" t="s">
        <v>682</v>
      </c>
      <c r="D3245" s="322">
        <v>1</v>
      </c>
      <c r="E3245" s="321" t="s">
        <v>125</v>
      </c>
    </row>
    <row r="3246" spans="1:6">
      <c r="A3246" s="323">
        <v>45974</v>
      </c>
      <c r="B3246" s="325" t="s">
        <v>1246</v>
      </c>
      <c r="C3246" s="322" t="s">
        <v>682</v>
      </c>
      <c r="D3246" s="322">
        <v>2</v>
      </c>
      <c r="E3246" s="321" t="s">
        <v>125</v>
      </c>
    </row>
    <row r="3247" spans="1:6">
      <c r="A3247" s="323">
        <v>45974</v>
      </c>
      <c r="B3247" s="325" t="s">
        <v>136</v>
      </c>
      <c r="C3247" s="322" t="s">
        <v>682</v>
      </c>
      <c r="D3247" s="322">
        <v>2</v>
      </c>
      <c r="E3247" s="321" t="s">
        <v>125</v>
      </c>
    </row>
    <row r="3248" spans="1:6">
      <c r="A3248" s="323">
        <v>45974</v>
      </c>
      <c r="B3248" s="325" t="s">
        <v>1717</v>
      </c>
      <c r="C3248" s="322" t="s">
        <v>682</v>
      </c>
      <c r="D3248" s="322">
        <v>1</v>
      </c>
      <c r="E3248" s="321" t="s">
        <v>125</v>
      </c>
    </row>
    <row r="3249" spans="1:6">
      <c r="A3249" s="323">
        <v>45974</v>
      </c>
      <c r="B3249" s="325" t="s">
        <v>1409</v>
      </c>
      <c r="C3249" s="322" t="s">
        <v>682</v>
      </c>
      <c r="D3249" s="322">
        <v>48</v>
      </c>
      <c r="E3249" s="321" t="s">
        <v>125</v>
      </c>
    </row>
    <row r="3250" spans="1:6">
      <c r="A3250" s="323">
        <v>45974</v>
      </c>
      <c r="B3250" s="325" t="s">
        <v>1714</v>
      </c>
      <c r="C3250" s="322" t="s">
        <v>682</v>
      </c>
      <c r="D3250" s="322">
        <v>1</v>
      </c>
      <c r="E3250" s="321" t="s">
        <v>125</v>
      </c>
    </row>
    <row r="3251" spans="1:6">
      <c r="A3251" s="323">
        <v>45974</v>
      </c>
      <c r="B3251" s="325" t="s">
        <v>1689</v>
      </c>
      <c r="C3251" s="322" t="s">
        <v>682</v>
      </c>
      <c r="D3251" s="322">
        <v>2</v>
      </c>
      <c r="E3251" s="321" t="s">
        <v>125</v>
      </c>
    </row>
    <row r="3252" spans="1:6">
      <c r="A3252" s="323">
        <v>45974</v>
      </c>
      <c r="B3252" s="325" t="s">
        <v>1568</v>
      </c>
      <c r="C3252" s="322" t="s">
        <v>682</v>
      </c>
      <c r="D3252" s="322">
        <v>4</v>
      </c>
      <c r="E3252" s="321" t="s">
        <v>125</v>
      </c>
    </row>
    <row r="3253" spans="1:6">
      <c r="A3253" s="323">
        <v>45974</v>
      </c>
      <c r="B3253" s="325" t="s">
        <v>1291</v>
      </c>
      <c r="C3253" s="322" t="s">
        <v>682</v>
      </c>
      <c r="D3253" s="322">
        <v>10</v>
      </c>
      <c r="E3253" s="321" t="s">
        <v>125</v>
      </c>
    </row>
    <row r="3254" spans="1:6">
      <c r="A3254" s="323">
        <v>45974</v>
      </c>
      <c r="B3254" s="425" t="s">
        <v>1182</v>
      </c>
      <c r="C3254" s="322" t="s">
        <v>682</v>
      </c>
      <c r="D3254" s="322">
        <v>1</v>
      </c>
      <c r="E3254" s="321" t="s">
        <v>125</v>
      </c>
    </row>
    <row r="3255" spans="1:6">
      <c r="A3255" s="323">
        <v>45974</v>
      </c>
      <c r="B3255" s="324" t="s">
        <v>131</v>
      </c>
      <c r="C3255" s="322" t="s">
        <v>682</v>
      </c>
      <c r="D3255" s="322">
        <v>3</v>
      </c>
      <c r="E3255" s="321" t="s">
        <v>125</v>
      </c>
    </row>
    <row r="3256" spans="1:6">
      <c r="A3256" s="323">
        <v>45974</v>
      </c>
      <c r="B3256" s="325" t="s">
        <v>975</v>
      </c>
      <c r="C3256" s="322" t="s">
        <v>682</v>
      </c>
      <c r="D3256" s="322">
        <v>1</v>
      </c>
      <c r="E3256" s="321" t="s">
        <v>125</v>
      </c>
    </row>
    <row r="3257" spans="1:6">
      <c r="A3257" s="323">
        <v>45974</v>
      </c>
      <c r="B3257" s="325" t="s">
        <v>1312</v>
      </c>
      <c r="C3257" s="322" t="s">
        <v>682</v>
      </c>
      <c r="D3257" s="322">
        <v>1</v>
      </c>
      <c r="E3257" s="321" t="s">
        <v>125</v>
      </c>
    </row>
    <row r="3258" spans="1:6">
      <c r="A3258" s="323">
        <v>45974</v>
      </c>
      <c r="B3258" s="324" t="s">
        <v>960</v>
      </c>
      <c r="C3258" s="322" t="s">
        <v>682</v>
      </c>
      <c r="D3258" s="322">
        <v>1</v>
      </c>
      <c r="E3258" s="321" t="s">
        <v>125</v>
      </c>
    </row>
    <row r="3260" spans="1:6">
      <c r="A3260" s="323">
        <v>45974</v>
      </c>
      <c r="B3260" s="325" t="s">
        <v>1246</v>
      </c>
      <c r="C3260" s="322" t="s">
        <v>682</v>
      </c>
      <c r="D3260" s="322">
        <v>1</v>
      </c>
      <c r="E3260" s="321" t="s">
        <v>125</v>
      </c>
      <c r="F3260" t="s">
        <v>1720</v>
      </c>
    </row>
    <row r="3261" spans="1:6">
      <c r="A3261" s="323">
        <v>45974</v>
      </c>
      <c r="B3261" s="325" t="s">
        <v>1290</v>
      </c>
      <c r="C3261" s="322" t="s">
        <v>682</v>
      </c>
      <c r="D3261" s="322">
        <v>2</v>
      </c>
      <c r="E3261" s="321" t="s">
        <v>125</v>
      </c>
    </row>
    <row r="3262" spans="1:6">
      <c r="A3262" s="323">
        <v>45974</v>
      </c>
      <c r="B3262" s="325" t="s">
        <v>1271</v>
      </c>
      <c r="C3262" s="322" t="s">
        <v>682</v>
      </c>
      <c r="D3262" s="322">
        <v>1</v>
      </c>
      <c r="E3262" s="321" t="s">
        <v>125</v>
      </c>
    </row>
    <row r="3263" spans="1:6">
      <c r="A3263" s="323">
        <v>45974</v>
      </c>
      <c r="B3263" s="325" t="s">
        <v>1301</v>
      </c>
      <c r="C3263" s="322" t="s">
        <v>682</v>
      </c>
      <c r="D3263" s="322">
        <v>2</v>
      </c>
      <c r="E3263" s="321" t="s">
        <v>125</v>
      </c>
    </row>
    <row r="3264" spans="1:6">
      <c r="A3264" s="323">
        <v>45974</v>
      </c>
      <c r="B3264" s="325" t="s">
        <v>1271</v>
      </c>
      <c r="C3264" s="322" t="s">
        <v>682</v>
      </c>
      <c r="D3264" s="322">
        <v>4</v>
      </c>
      <c r="E3264" s="321" t="s">
        <v>125</v>
      </c>
    </row>
    <row r="3265" spans="1:5">
      <c r="A3265" s="323">
        <v>45974</v>
      </c>
      <c r="B3265" s="325" t="s">
        <v>1301</v>
      </c>
      <c r="C3265" s="322" t="s">
        <v>682</v>
      </c>
      <c r="D3265" s="322">
        <v>2</v>
      </c>
      <c r="E3265" s="321" t="s">
        <v>125</v>
      </c>
    </row>
    <row r="3266" spans="1:5">
      <c r="A3266" s="323">
        <v>45974</v>
      </c>
      <c r="B3266" s="325" t="s">
        <v>1271</v>
      </c>
      <c r="C3266" s="322" t="s">
        <v>682</v>
      </c>
      <c r="D3266" s="322">
        <v>4</v>
      </c>
      <c r="E3266" s="321" t="s">
        <v>125</v>
      </c>
    </row>
    <row r="3267" spans="1:5">
      <c r="A3267" s="323">
        <v>45974</v>
      </c>
      <c r="B3267" s="325" t="s">
        <v>1326</v>
      </c>
      <c r="C3267" s="322" t="s">
        <v>682</v>
      </c>
      <c r="D3267" s="322">
        <v>2</v>
      </c>
      <c r="E3267" s="321" t="s">
        <v>125</v>
      </c>
    </row>
    <row r="3268" spans="1:5">
      <c r="A3268" s="323">
        <v>45974</v>
      </c>
      <c r="B3268" s="325" t="s">
        <v>920</v>
      </c>
      <c r="C3268" s="322" t="s">
        <v>682</v>
      </c>
      <c r="D3268" s="322">
        <v>2</v>
      </c>
      <c r="E3268" s="321" t="s">
        <v>125</v>
      </c>
    </row>
    <row r="3269" spans="1:5">
      <c r="A3269" s="323">
        <v>45974</v>
      </c>
      <c r="B3269" s="425" t="s">
        <v>1716</v>
      </c>
      <c r="C3269" s="322" t="s">
        <v>682</v>
      </c>
      <c r="D3269" s="322">
        <v>1</v>
      </c>
      <c r="E3269" s="321" t="s">
        <v>125</v>
      </c>
    </row>
    <row r="3271" spans="1:5">
      <c r="A3271" s="335">
        <v>45974</v>
      </c>
      <c r="B3271" s="343" t="s">
        <v>1409</v>
      </c>
      <c r="C3271" s="43" t="s">
        <v>1723</v>
      </c>
      <c r="D3271" s="43">
        <v>-15</v>
      </c>
      <c r="E3271" s="230" t="s">
        <v>125</v>
      </c>
    </row>
    <row r="3272" spans="1:5">
      <c r="A3272" s="335">
        <v>45974</v>
      </c>
      <c r="B3272" s="343" t="s">
        <v>1271</v>
      </c>
      <c r="C3272" s="43" t="s">
        <v>1724</v>
      </c>
      <c r="D3272" s="43">
        <v>-8</v>
      </c>
      <c r="E3272" s="230" t="s">
        <v>125</v>
      </c>
    </row>
    <row r="3273" spans="1:5">
      <c r="A3273" s="335">
        <v>45974</v>
      </c>
      <c r="B3273" s="343" t="s">
        <v>1271</v>
      </c>
      <c r="C3273" s="43" t="s">
        <v>1724</v>
      </c>
      <c r="D3273" s="43">
        <v>-2</v>
      </c>
      <c r="E3273" s="230" t="s">
        <v>125</v>
      </c>
    </row>
    <row r="3274" spans="1:5">
      <c r="A3274" s="335">
        <v>45974</v>
      </c>
      <c r="B3274" s="343" t="s">
        <v>1271</v>
      </c>
      <c r="C3274" s="43" t="s">
        <v>1725</v>
      </c>
      <c r="D3274" s="43">
        <v>-2</v>
      </c>
      <c r="E3274" s="230" t="s">
        <v>125</v>
      </c>
    </row>
    <row r="3275" spans="1:5">
      <c r="A3275" s="335">
        <v>45974</v>
      </c>
      <c r="B3275" s="343" t="s">
        <v>1271</v>
      </c>
      <c r="C3275" s="43" t="s">
        <v>1725</v>
      </c>
      <c r="D3275" s="43">
        <v>-2</v>
      </c>
      <c r="E3275" s="230" t="s">
        <v>125</v>
      </c>
    </row>
    <row r="3276" spans="1:5">
      <c r="A3276" s="335">
        <v>45974</v>
      </c>
      <c r="B3276" s="343" t="s">
        <v>1290</v>
      </c>
      <c r="C3276" s="43" t="s">
        <v>1594</v>
      </c>
      <c r="D3276" s="43">
        <v>-1</v>
      </c>
      <c r="E3276" s="230" t="s">
        <v>125</v>
      </c>
    </row>
    <row r="3277" spans="1:5">
      <c r="A3277" s="335">
        <v>45974</v>
      </c>
      <c r="B3277" s="343" t="s">
        <v>1290</v>
      </c>
      <c r="C3277" s="43" t="s">
        <v>1594</v>
      </c>
      <c r="D3277" s="43">
        <v>-1</v>
      </c>
      <c r="E3277" s="230" t="s">
        <v>125</v>
      </c>
    </row>
    <row r="3278" spans="1:5">
      <c r="A3278" s="335">
        <v>45974</v>
      </c>
      <c r="B3278" s="343" t="s">
        <v>1301</v>
      </c>
      <c r="C3278" s="43" t="s">
        <v>1594</v>
      </c>
      <c r="D3278" s="43">
        <v>-2</v>
      </c>
      <c r="E3278" s="230" t="s">
        <v>125</v>
      </c>
    </row>
    <row r="3279" spans="1:5">
      <c r="A3279" s="335">
        <v>45974</v>
      </c>
      <c r="B3279" s="343" t="s">
        <v>1271</v>
      </c>
      <c r="C3279" s="43" t="s">
        <v>1594</v>
      </c>
      <c r="D3279" s="43">
        <v>-5</v>
      </c>
      <c r="E3279" s="230" t="s">
        <v>125</v>
      </c>
    </row>
    <row r="3280" spans="1:5">
      <c r="A3280" s="335">
        <v>45974</v>
      </c>
      <c r="B3280" s="343" t="s">
        <v>1301</v>
      </c>
      <c r="C3280" s="43" t="s">
        <v>1594</v>
      </c>
      <c r="D3280" s="43">
        <v>-1</v>
      </c>
      <c r="E3280" s="230" t="s">
        <v>125</v>
      </c>
    </row>
    <row r="3281" spans="1:5">
      <c r="A3281" s="335">
        <v>45974</v>
      </c>
      <c r="B3281" s="343" t="s">
        <v>1327</v>
      </c>
      <c r="C3281" s="43" t="s">
        <v>1594</v>
      </c>
      <c r="D3281" s="43">
        <v>-4</v>
      </c>
      <c r="E3281" s="230" t="s">
        <v>125</v>
      </c>
    </row>
    <row r="3282" spans="1:5">
      <c r="A3282" s="335">
        <v>45974</v>
      </c>
      <c r="B3282" s="343" t="s">
        <v>1327</v>
      </c>
      <c r="C3282" s="43" t="s">
        <v>1594</v>
      </c>
      <c r="D3282" s="43">
        <v>-5</v>
      </c>
      <c r="E3282" s="230" t="s">
        <v>125</v>
      </c>
    </row>
    <row r="3283" spans="1:5">
      <c r="A3283" s="335">
        <v>45974</v>
      </c>
      <c r="B3283" s="343" t="s">
        <v>1327</v>
      </c>
      <c r="C3283" s="43" t="s">
        <v>1594</v>
      </c>
      <c r="D3283" s="43">
        <v>-1</v>
      </c>
      <c r="E3283" s="230" t="s">
        <v>125</v>
      </c>
    </row>
    <row r="3284" spans="1:5">
      <c r="A3284" s="335">
        <v>45974</v>
      </c>
      <c r="B3284" s="343" t="s">
        <v>1326</v>
      </c>
      <c r="C3284" s="43" t="s">
        <v>1594</v>
      </c>
      <c r="D3284" s="43">
        <v>-1</v>
      </c>
      <c r="E3284" s="230" t="s">
        <v>125</v>
      </c>
    </row>
    <row r="3285" spans="1:5">
      <c r="A3285" s="335">
        <v>45974</v>
      </c>
      <c r="B3285" s="343" t="s">
        <v>1326</v>
      </c>
      <c r="C3285" s="43" t="s">
        <v>1594</v>
      </c>
      <c r="D3285" s="43">
        <v>-2</v>
      </c>
      <c r="E3285" s="230" t="s">
        <v>125</v>
      </c>
    </row>
    <row r="3286" spans="1:5">
      <c r="A3286" s="335">
        <v>45974</v>
      </c>
      <c r="B3286" s="93" t="s">
        <v>166</v>
      </c>
      <c r="C3286" s="43" t="s">
        <v>1594</v>
      </c>
      <c r="D3286" s="43">
        <v>-1</v>
      </c>
      <c r="E3286" s="230" t="s">
        <v>125</v>
      </c>
    </row>
    <row r="3287" spans="1:5">
      <c r="A3287" s="335">
        <v>45974</v>
      </c>
      <c r="B3287" s="343" t="s">
        <v>1327</v>
      </c>
      <c r="C3287" s="43" t="s">
        <v>1594</v>
      </c>
      <c r="D3287" s="43">
        <v>-1</v>
      </c>
      <c r="E3287" s="230" t="s">
        <v>125</v>
      </c>
    </row>
    <row r="3289" spans="1:5">
      <c r="A3289" s="265">
        <v>45975</v>
      </c>
      <c r="B3289" s="342" t="s">
        <v>960</v>
      </c>
      <c r="C3289" s="43" t="s">
        <v>1726</v>
      </c>
      <c r="D3289" s="43">
        <v>-50</v>
      </c>
      <c r="E3289" s="230" t="s">
        <v>125</v>
      </c>
    </row>
    <row r="3291" spans="1:5">
      <c r="A3291" s="434">
        <v>45975</v>
      </c>
      <c r="B3291" s="503" t="s">
        <v>960</v>
      </c>
      <c r="C3291" s="166" t="s">
        <v>1727</v>
      </c>
      <c r="D3291" s="166">
        <v>6</v>
      </c>
      <c r="E3291" s="417" t="s">
        <v>125</v>
      </c>
    </row>
    <row r="3293" spans="1:5">
      <c r="A3293" s="265">
        <v>45975</v>
      </c>
      <c r="B3293" s="84" t="s">
        <v>134</v>
      </c>
      <c r="C3293" s="43" t="s">
        <v>1728</v>
      </c>
      <c r="D3293" s="43">
        <v>-2</v>
      </c>
      <c r="E3293" s="230" t="s">
        <v>125</v>
      </c>
    </row>
    <row r="3294" spans="1:5">
      <c r="A3294" s="265">
        <v>45975</v>
      </c>
      <c r="B3294" s="343" t="s">
        <v>1291</v>
      </c>
      <c r="C3294" s="43" t="s">
        <v>1729</v>
      </c>
      <c r="D3294" s="43">
        <v>-1</v>
      </c>
      <c r="E3294" s="230" t="s">
        <v>125</v>
      </c>
    </row>
    <row r="3295" spans="1:5">
      <c r="A3295" s="265">
        <v>45975</v>
      </c>
      <c r="B3295" s="343" t="s">
        <v>1409</v>
      </c>
      <c r="C3295" s="43" t="s">
        <v>1729</v>
      </c>
      <c r="D3295" s="43">
        <v>-2</v>
      </c>
      <c r="E3295" s="230" t="s">
        <v>125</v>
      </c>
    </row>
    <row r="3296" spans="1:5">
      <c r="A3296" s="265">
        <v>45975</v>
      </c>
      <c r="B3296" s="343" t="s">
        <v>1409</v>
      </c>
      <c r="C3296" s="43" t="s">
        <v>1730</v>
      </c>
      <c r="D3296" s="43">
        <v>-25</v>
      </c>
      <c r="E3296" s="230" t="s">
        <v>125</v>
      </c>
    </row>
    <row r="3298" spans="1:5">
      <c r="A3298" s="265">
        <v>45976</v>
      </c>
      <c r="B3298" s="93" t="s">
        <v>92</v>
      </c>
      <c r="C3298" s="43" t="s">
        <v>1731</v>
      </c>
      <c r="D3298" s="43">
        <v>-2</v>
      </c>
      <c r="E3298" s="230" t="s">
        <v>125</v>
      </c>
    </row>
    <row r="3299" spans="1:5">
      <c r="A3299" s="265">
        <v>45976</v>
      </c>
      <c r="B3299" s="92" t="s">
        <v>789</v>
      </c>
      <c r="C3299" s="43" t="s">
        <v>1598</v>
      </c>
      <c r="D3299" s="43">
        <v>-1</v>
      </c>
      <c r="E3299" s="230" t="s">
        <v>125</v>
      </c>
    </row>
    <row r="3300" spans="1:5">
      <c r="A3300" s="265">
        <v>45976</v>
      </c>
      <c r="B3300" s="343" t="s">
        <v>1246</v>
      </c>
      <c r="C3300" s="43" t="s">
        <v>1706</v>
      </c>
      <c r="D3300" s="43">
        <v>-1</v>
      </c>
      <c r="E3300" s="230" t="s">
        <v>125</v>
      </c>
    </row>
    <row r="3301" spans="1:5">
      <c r="A3301" s="265">
        <v>45976</v>
      </c>
      <c r="B3301" s="343" t="s">
        <v>1313</v>
      </c>
      <c r="C3301" s="43" t="s">
        <v>1733</v>
      </c>
      <c r="D3301" s="43">
        <v>-1</v>
      </c>
      <c r="E3301" s="230" t="s">
        <v>125</v>
      </c>
    </row>
    <row r="3302" spans="1:5">
      <c r="A3302" s="265">
        <v>45976</v>
      </c>
      <c r="B3302" s="84" t="s">
        <v>926</v>
      </c>
      <c r="C3302" s="43" t="s">
        <v>1733</v>
      </c>
      <c r="D3302" s="43">
        <v>-1</v>
      </c>
      <c r="E3302" s="230" t="s">
        <v>125</v>
      </c>
    </row>
    <row r="3304" spans="1:5">
      <c r="A3304" s="434">
        <v>45976</v>
      </c>
      <c r="B3304" s="168" t="s">
        <v>1246</v>
      </c>
      <c r="C3304" s="166" t="s">
        <v>1734</v>
      </c>
      <c r="D3304" s="166">
        <v>1</v>
      </c>
      <c r="E3304" s="417" t="s">
        <v>125</v>
      </c>
    </row>
    <row r="3305" spans="1:5">
      <c r="A3305" s="434">
        <v>45976</v>
      </c>
      <c r="B3305" s="168" t="s">
        <v>1640</v>
      </c>
      <c r="C3305" s="166" t="s">
        <v>1734</v>
      </c>
      <c r="D3305" s="166">
        <v>1</v>
      </c>
      <c r="E3305" s="417" t="s">
        <v>125</v>
      </c>
    </row>
    <row r="3307" spans="1:5">
      <c r="A3307" s="335">
        <v>45976</v>
      </c>
      <c r="B3307" s="343" t="s">
        <v>1640</v>
      </c>
      <c r="C3307" s="345" t="s">
        <v>1688</v>
      </c>
      <c r="D3307" s="345">
        <v>-2</v>
      </c>
      <c r="E3307" s="230" t="s">
        <v>125</v>
      </c>
    </row>
    <row r="3308" spans="1:5">
      <c r="A3308" s="335">
        <v>45976</v>
      </c>
      <c r="B3308" s="104" t="s">
        <v>673</v>
      </c>
      <c r="C3308" s="43" t="s">
        <v>1735</v>
      </c>
      <c r="D3308" s="43">
        <v>-1</v>
      </c>
      <c r="E3308" s="230" t="s">
        <v>125</v>
      </c>
    </row>
    <row r="3309" spans="1:5">
      <c r="A3309" s="335">
        <v>45976</v>
      </c>
      <c r="B3309" s="343" t="s">
        <v>1246</v>
      </c>
      <c r="C3309" s="345" t="s">
        <v>1736</v>
      </c>
      <c r="D3309" s="345">
        <v>-2</v>
      </c>
      <c r="E3309" s="230" t="s">
        <v>125</v>
      </c>
    </row>
    <row r="3310" spans="1:5">
      <c r="A3310" s="335">
        <v>45976</v>
      </c>
      <c r="B3310" s="343" t="s">
        <v>1271</v>
      </c>
      <c r="C3310" s="345" t="s">
        <v>1736</v>
      </c>
      <c r="D3310" s="345">
        <v>-2</v>
      </c>
      <c r="E3310" s="230" t="s">
        <v>125</v>
      </c>
    </row>
    <row r="3311" spans="1:5">
      <c r="A3311" s="335">
        <v>45976</v>
      </c>
      <c r="B3311" s="93" t="s">
        <v>167</v>
      </c>
      <c r="C3311" s="345" t="s">
        <v>1736</v>
      </c>
      <c r="D3311" s="43">
        <v>-1</v>
      </c>
      <c r="E3311" s="230" t="s">
        <v>125</v>
      </c>
    </row>
    <row r="3312" spans="1:5">
      <c r="A3312" s="335">
        <v>45976</v>
      </c>
      <c r="B3312" s="93" t="s">
        <v>169</v>
      </c>
      <c r="C3312" s="345" t="s">
        <v>1736</v>
      </c>
      <c r="D3312" s="43">
        <v>-2</v>
      </c>
      <c r="E3312" s="230" t="s">
        <v>125</v>
      </c>
    </row>
    <row r="3314" spans="1:5">
      <c r="A3314" s="437">
        <v>45976</v>
      </c>
      <c r="B3314" s="222" t="s">
        <v>1246</v>
      </c>
      <c r="C3314" s="220" t="s">
        <v>1737</v>
      </c>
      <c r="D3314" s="220">
        <v>3</v>
      </c>
      <c r="E3314" s="438" t="s">
        <v>125</v>
      </c>
    </row>
    <row r="3316" spans="1:5">
      <c r="A3316" s="265">
        <v>45977</v>
      </c>
      <c r="B3316" s="343" t="s">
        <v>1271</v>
      </c>
      <c r="C3316" s="43" t="s">
        <v>1738</v>
      </c>
      <c r="D3316" s="43">
        <v>-1</v>
      </c>
      <c r="E3316" s="230" t="s">
        <v>125</v>
      </c>
    </row>
    <row r="3317" spans="1:5">
      <c r="A3317" s="265">
        <v>45977</v>
      </c>
      <c r="B3317" s="343" t="s">
        <v>1271</v>
      </c>
      <c r="C3317" s="43" t="s">
        <v>1738</v>
      </c>
      <c r="D3317" s="43">
        <v>-1</v>
      </c>
      <c r="E3317" s="230" t="s">
        <v>125</v>
      </c>
    </row>
    <row r="3319" spans="1:5">
      <c r="A3319" s="265">
        <v>45978</v>
      </c>
      <c r="B3319" s="343" t="s">
        <v>1246</v>
      </c>
      <c r="C3319" s="43" t="s">
        <v>1739</v>
      </c>
      <c r="D3319" s="43">
        <v>-5</v>
      </c>
      <c r="E3319" s="230" t="s">
        <v>125</v>
      </c>
    </row>
    <row r="3320" spans="1:5">
      <c r="A3320" s="265">
        <v>45978</v>
      </c>
      <c r="B3320" s="343" t="s">
        <v>1271</v>
      </c>
      <c r="C3320" s="345" t="s">
        <v>1736</v>
      </c>
      <c r="D3320" s="43">
        <v>-4</v>
      </c>
      <c r="E3320" s="230" t="s">
        <v>125</v>
      </c>
    </row>
    <row r="3321" spans="1:5">
      <c r="A3321" s="265">
        <v>45978</v>
      </c>
      <c r="B3321" s="343" t="s">
        <v>1232</v>
      </c>
      <c r="C3321" s="43" t="s">
        <v>1684</v>
      </c>
      <c r="D3321" s="43">
        <v>-1</v>
      </c>
      <c r="E3321" s="230" t="s">
        <v>125</v>
      </c>
    </row>
    <row r="3323" spans="1:5">
      <c r="A3323" s="437">
        <v>45978</v>
      </c>
      <c r="B3323" s="222" t="s">
        <v>1246</v>
      </c>
      <c r="C3323" s="220" t="s">
        <v>1740</v>
      </c>
      <c r="D3323" s="220">
        <v>6</v>
      </c>
      <c r="E3323" s="438" t="s">
        <v>125</v>
      </c>
    </row>
    <row r="3325" spans="1:5">
      <c r="A3325" s="335">
        <v>45978</v>
      </c>
      <c r="B3325" s="343" t="s">
        <v>1246</v>
      </c>
      <c r="C3325" s="345" t="s">
        <v>678</v>
      </c>
      <c r="D3325" s="345">
        <v>-1</v>
      </c>
      <c r="E3325" s="230" t="s">
        <v>125</v>
      </c>
    </row>
    <row r="3326" spans="1:5">
      <c r="A3326" s="335">
        <v>45978</v>
      </c>
      <c r="B3326" s="343" t="s">
        <v>1271</v>
      </c>
      <c r="C3326" s="345" t="s">
        <v>678</v>
      </c>
      <c r="D3326" s="345">
        <v>-1</v>
      </c>
      <c r="E3326" s="230" t="s">
        <v>125</v>
      </c>
    </row>
    <row r="3327" spans="1:5">
      <c r="A3327" s="335">
        <v>45978</v>
      </c>
      <c r="B3327" s="343" t="s">
        <v>936</v>
      </c>
      <c r="C3327" s="345" t="s">
        <v>678</v>
      </c>
      <c r="D3327" s="345">
        <v>-1</v>
      </c>
      <c r="E3327" s="230" t="s">
        <v>125</v>
      </c>
    </row>
    <row r="3328" spans="1:5">
      <c r="A3328" s="335">
        <v>45978</v>
      </c>
      <c r="B3328" s="342" t="s">
        <v>134</v>
      </c>
      <c r="C3328" s="345" t="s">
        <v>678</v>
      </c>
      <c r="D3328" s="345">
        <v>-1</v>
      </c>
      <c r="E3328" s="230" t="s">
        <v>125</v>
      </c>
    </row>
    <row r="3330" spans="1:5">
      <c r="A3330" s="265">
        <v>45979</v>
      </c>
      <c r="B3330" s="343" t="s">
        <v>1301</v>
      </c>
      <c r="C3330" s="43" t="s">
        <v>1747</v>
      </c>
      <c r="D3330" s="43">
        <v>-1</v>
      </c>
      <c r="E3330" s="230" t="s">
        <v>125</v>
      </c>
    </row>
    <row r="3332" spans="1:5">
      <c r="A3332" s="272">
        <v>45979</v>
      </c>
      <c r="B3332" s="139" t="s">
        <v>1617</v>
      </c>
      <c r="C3332" s="106" t="s">
        <v>49</v>
      </c>
      <c r="D3332" s="106">
        <v>30</v>
      </c>
      <c r="E3332" s="94" t="s">
        <v>125</v>
      </c>
    </row>
    <row r="3333" spans="1:5">
      <c r="A3333" s="272">
        <v>45979</v>
      </c>
      <c r="B3333" s="139" t="s">
        <v>1270</v>
      </c>
      <c r="C3333" s="106" t="s">
        <v>49</v>
      </c>
      <c r="D3333" s="106">
        <v>5</v>
      </c>
      <c r="E3333" s="94" t="s">
        <v>125</v>
      </c>
    </row>
    <row r="3334" spans="1:5">
      <c r="A3334" s="272">
        <v>45979</v>
      </c>
      <c r="B3334" s="128" t="s">
        <v>789</v>
      </c>
      <c r="C3334" s="106" t="s">
        <v>49</v>
      </c>
      <c r="D3334" s="106">
        <v>5</v>
      </c>
      <c r="E3334" s="94" t="s">
        <v>125</v>
      </c>
    </row>
    <row r="3335" spans="1:5">
      <c r="A3335" s="272">
        <v>45979</v>
      </c>
      <c r="B3335" s="128" t="s">
        <v>672</v>
      </c>
      <c r="C3335" s="106" t="s">
        <v>49</v>
      </c>
      <c r="D3335" s="106">
        <v>10</v>
      </c>
      <c r="E3335" s="94" t="s">
        <v>125</v>
      </c>
    </row>
    <row r="3336" spans="1:5">
      <c r="A3336" s="272">
        <v>45979</v>
      </c>
      <c r="B3336" s="233" t="s">
        <v>1183</v>
      </c>
      <c r="C3336" s="106" t="s">
        <v>49</v>
      </c>
      <c r="D3336" s="106">
        <v>2</v>
      </c>
      <c r="E3336" s="94" t="s">
        <v>125</v>
      </c>
    </row>
    <row r="3337" spans="1:5">
      <c r="A3337" s="272">
        <v>45979</v>
      </c>
      <c r="B3337" s="233" t="s">
        <v>1183</v>
      </c>
      <c r="C3337" s="106" t="s">
        <v>49</v>
      </c>
      <c r="D3337" s="106">
        <v>2</v>
      </c>
      <c r="E3337" s="94" t="s">
        <v>125</v>
      </c>
    </row>
    <row r="3338" spans="1:5">
      <c r="A3338" s="272">
        <v>45979</v>
      </c>
      <c r="B3338" s="233" t="s">
        <v>1183</v>
      </c>
      <c r="C3338" s="106" t="s">
        <v>49</v>
      </c>
      <c r="D3338" s="106">
        <v>2</v>
      </c>
      <c r="E3338" s="94" t="s">
        <v>125</v>
      </c>
    </row>
    <row r="3339" spans="1:5">
      <c r="A3339" s="272">
        <v>45979</v>
      </c>
      <c r="B3339" s="233" t="s">
        <v>1183</v>
      </c>
      <c r="C3339" s="106" t="s">
        <v>49</v>
      </c>
      <c r="D3339" s="106">
        <v>2</v>
      </c>
      <c r="E3339" s="94" t="s">
        <v>125</v>
      </c>
    </row>
    <row r="3340" spans="1:5">
      <c r="A3340" s="272">
        <v>45979</v>
      </c>
      <c r="B3340" s="233" t="s">
        <v>1183</v>
      </c>
      <c r="C3340" s="106" t="s">
        <v>49</v>
      </c>
      <c r="D3340" s="106">
        <v>2</v>
      </c>
      <c r="E3340" s="94" t="s">
        <v>125</v>
      </c>
    </row>
    <row r="3341" spans="1:5">
      <c r="A3341" s="272">
        <v>45979</v>
      </c>
      <c r="B3341" s="139" t="s">
        <v>1575</v>
      </c>
      <c r="C3341" s="106" t="s">
        <v>49</v>
      </c>
      <c r="D3341" s="106">
        <v>3</v>
      </c>
      <c r="E3341" s="94" t="s">
        <v>125</v>
      </c>
    </row>
    <row r="3343" spans="1:5">
      <c r="A3343" s="272">
        <v>45979</v>
      </c>
      <c r="B3343" s="139" t="s">
        <v>1754</v>
      </c>
      <c r="C3343" s="106" t="s">
        <v>1675</v>
      </c>
      <c r="D3343" s="106">
        <v>9</v>
      </c>
      <c r="E3343" s="94" t="s">
        <v>125</v>
      </c>
    </row>
    <row r="3345" spans="1:5">
      <c r="A3345" s="335">
        <v>45979</v>
      </c>
      <c r="B3345" s="343" t="s">
        <v>1246</v>
      </c>
      <c r="C3345" s="345" t="s">
        <v>1605</v>
      </c>
      <c r="D3345" s="345">
        <v>-6</v>
      </c>
      <c r="E3345" s="230" t="s">
        <v>125</v>
      </c>
    </row>
    <row r="3346" spans="1:5">
      <c r="A3346" s="335">
        <v>45979</v>
      </c>
      <c r="B3346" s="343" t="s">
        <v>1291</v>
      </c>
      <c r="C3346" s="43" t="s">
        <v>1730</v>
      </c>
      <c r="D3346" s="43">
        <v>-10</v>
      </c>
      <c r="E3346" s="230" t="s">
        <v>125</v>
      </c>
    </row>
    <row r="3347" spans="1:5">
      <c r="A3347" s="335">
        <v>45979</v>
      </c>
      <c r="B3347" s="343" t="s">
        <v>1271</v>
      </c>
      <c r="C3347" s="345" t="s">
        <v>1605</v>
      </c>
      <c r="D3347" s="43">
        <v>-1</v>
      </c>
      <c r="E3347" s="230" t="s">
        <v>125</v>
      </c>
    </row>
    <row r="3349" spans="1:5">
      <c r="A3349" s="434">
        <v>45979</v>
      </c>
      <c r="B3349" s="168" t="s">
        <v>1313</v>
      </c>
      <c r="C3349" s="166" t="s">
        <v>1601</v>
      </c>
      <c r="D3349" s="166">
        <v>1</v>
      </c>
      <c r="E3349" s="417" t="s">
        <v>125</v>
      </c>
    </row>
    <row r="3350" spans="1:5">
      <c r="A3350" s="434">
        <v>45979</v>
      </c>
      <c r="B3350" s="503" t="s">
        <v>926</v>
      </c>
      <c r="C3350" s="166" t="s">
        <v>1601</v>
      </c>
      <c r="D3350" s="166">
        <v>1</v>
      </c>
      <c r="E3350" s="417" t="s">
        <v>125</v>
      </c>
    </row>
    <row r="3351" spans="1:5">
      <c r="A3351" s="434">
        <v>45979</v>
      </c>
      <c r="B3351" s="168" t="s">
        <v>1291</v>
      </c>
      <c r="C3351" s="166" t="s">
        <v>1601</v>
      </c>
      <c r="D3351" s="166">
        <v>13</v>
      </c>
      <c r="E3351" s="417" t="s">
        <v>125</v>
      </c>
    </row>
    <row r="3352" spans="1:5">
      <c r="A3352" s="434">
        <v>45979</v>
      </c>
      <c r="B3352" s="168" t="s">
        <v>920</v>
      </c>
      <c r="C3352" s="166" t="s">
        <v>1601</v>
      </c>
      <c r="D3352" s="166">
        <v>2</v>
      </c>
      <c r="E3352" s="417" t="s">
        <v>125</v>
      </c>
    </row>
    <row r="3354" spans="1:5">
      <c r="A3354" s="265">
        <v>45979</v>
      </c>
      <c r="B3354" s="343" t="s">
        <v>1301</v>
      </c>
      <c r="C3354" s="43" t="s">
        <v>1747</v>
      </c>
      <c r="D3354" s="43">
        <v>-2</v>
      </c>
      <c r="E3354" s="230" t="s">
        <v>125</v>
      </c>
    </row>
    <row r="3356" spans="1:5">
      <c r="A3356" s="265">
        <v>45980</v>
      </c>
      <c r="B3356" s="92" t="s">
        <v>672</v>
      </c>
      <c r="C3356" s="43" t="s">
        <v>1760</v>
      </c>
      <c r="D3356" s="43">
        <v>-2</v>
      </c>
      <c r="E3356" s="230" t="s">
        <v>125</v>
      </c>
    </row>
    <row r="3357" spans="1:5">
      <c r="A3357" s="265">
        <v>45980</v>
      </c>
      <c r="B3357" s="343" t="s">
        <v>1270</v>
      </c>
      <c r="C3357" s="43" t="s">
        <v>1760</v>
      </c>
      <c r="D3357" s="43">
        <v>-1</v>
      </c>
      <c r="E3357" s="230" t="s">
        <v>125</v>
      </c>
    </row>
    <row r="3358" spans="1:5">
      <c r="A3358" s="265">
        <v>45980</v>
      </c>
      <c r="B3358" s="92" t="s">
        <v>672</v>
      </c>
      <c r="C3358" s="43" t="s">
        <v>1598</v>
      </c>
      <c r="D3358" s="43">
        <v>-1</v>
      </c>
      <c r="E3358" s="230" t="s">
        <v>125</v>
      </c>
    </row>
    <row r="3360" spans="1:5">
      <c r="A3360" s="272">
        <v>45980</v>
      </c>
      <c r="B3360" s="139" t="s">
        <v>1575</v>
      </c>
      <c r="C3360" s="106" t="s">
        <v>49</v>
      </c>
      <c r="D3360" s="106">
        <v>6</v>
      </c>
      <c r="E3360" s="94" t="s">
        <v>125</v>
      </c>
    </row>
    <row r="3361" spans="1:5">
      <c r="A3361" s="272">
        <v>45980</v>
      </c>
      <c r="B3361" s="233" t="s">
        <v>304</v>
      </c>
      <c r="C3361" s="106" t="s">
        <v>49</v>
      </c>
      <c r="D3361" s="106">
        <v>10</v>
      </c>
      <c r="E3361" s="94" t="s">
        <v>125</v>
      </c>
    </row>
    <row r="3362" spans="1:5">
      <c r="A3362" s="272">
        <v>45980</v>
      </c>
      <c r="B3362" s="128" t="s">
        <v>642</v>
      </c>
      <c r="C3362" s="106" t="s">
        <v>49</v>
      </c>
      <c r="D3362" s="106">
        <v>6</v>
      </c>
      <c r="E3362" s="94" t="s">
        <v>125</v>
      </c>
    </row>
    <row r="3363" spans="1:5">
      <c r="A3363" s="272">
        <v>45980</v>
      </c>
      <c r="B3363" s="234" t="s">
        <v>477</v>
      </c>
      <c r="C3363" s="106" t="s">
        <v>49</v>
      </c>
      <c r="D3363" s="106">
        <v>6</v>
      </c>
      <c r="E3363" s="94" t="s">
        <v>125</v>
      </c>
    </row>
    <row r="3364" spans="1:5">
      <c r="A3364" s="272">
        <v>45980</v>
      </c>
      <c r="B3364" s="234" t="s">
        <v>477</v>
      </c>
      <c r="C3364" s="106" t="s">
        <v>49</v>
      </c>
      <c r="D3364" s="106">
        <v>3</v>
      </c>
      <c r="E3364" s="94" t="s">
        <v>125</v>
      </c>
    </row>
    <row r="3365" spans="1:5">
      <c r="A3365" s="272">
        <v>45980</v>
      </c>
      <c r="B3365" s="233" t="s">
        <v>1183</v>
      </c>
      <c r="C3365" s="106" t="s">
        <v>49</v>
      </c>
      <c r="D3365" s="106">
        <v>4</v>
      </c>
      <c r="E3365" s="94" t="s">
        <v>125</v>
      </c>
    </row>
    <row r="3366" spans="1:5">
      <c r="A3366" s="272">
        <v>45980</v>
      </c>
      <c r="B3366" s="128" t="s">
        <v>642</v>
      </c>
      <c r="C3366" s="106" t="s">
        <v>49</v>
      </c>
      <c r="D3366" s="106">
        <v>10</v>
      </c>
      <c r="E3366" s="94" t="s">
        <v>125</v>
      </c>
    </row>
    <row r="3367" spans="1:5">
      <c r="A3367" s="272">
        <v>45980</v>
      </c>
      <c r="B3367" s="139" t="s">
        <v>1270</v>
      </c>
      <c r="C3367" s="106" t="s">
        <v>49</v>
      </c>
      <c r="D3367" s="106">
        <v>10</v>
      </c>
      <c r="E3367" s="94" t="s">
        <v>125</v>
      </c>
    </row>
    <row r="3368" spans="1:5">
      <c r="A3368" s="272">
        <v>45980</v>
      </c>
      <c r="B3368" s="234" t="s">
        <v>477</v>
      </c>
      <c r="C3368" s="106" t="s">
        <v>49</v>
      </c>
      <c r="D3368" s="106">
        <v>7</v>
      </c>
      <c r="E3368" s="94" t="s">
        <v>125</v>
      </c>
    </row>
    <row r="3369" spans="1:5">
      <c r="A3369" s="272">
        <v>45980</v>
      </c>
      <c r="B3369" s="128" t="s">
        <v>642</v>
      </c>
      <c r="C3369" s="106" t="s">
        <v>49</v>
      </c>
      <c r="D3369" s="106">
        <v>6</v>
      </c>
      <c r="E3369" s="94" t="s">
        <v>125</v>
      </c>
    </row>
    <row r="3370" spans="1:5">
      <c r="A3370" s="272">
        <v>45980</v>
      </c>
      <c r="B3370" s="139" t="s">
        <v>1575</v>
      </c>
      <c r="C3370" s="106" t="s">
        <v>49</v>
      </c>
      <c r="D3370" s="106">
        <v>4</v>
      </c>
      <c r="E3370" s="94" t="s">
        <v>125</v>
      </c>
    </row>
    <row r="3371" spans="1:5">
      <c r="A3371" s="272">
        <v>45980</v>
      </c>
      <c r="B3371" s="234" t="s">
        <v>960</v>
      </c>
      <c r="C3371" s="106" t="s">
        <v>49</v>
      </c>
      <c r="D3371" s="106">
        <v>1</v>
      </c>
      <c r="E3371" s="94" t="s">
        <v>125</v>
      </c>
    </row>
    <row r="3372" spans="1:5">
      <c r="A3372" s="272">
        <v>45980</v>
      </c>
      <c r="B3372" s="139" t="s">
        <v>1575</v>
      </c>
      <c r="C3372" s="106" t="s">
        <v>49</v>
      </c>
      <c r="D3372" s="106">
        <v>15</v>
      </c>
      <c r="E3372" s="94" t="s">
        <v>125</v>
      </c>
    </row>
    <row r="3374" spans="1:5">
      <c r="A3374" s="265">
        <v>45980</v>
      </c>
      <c r="B3374" s="343" t="s">
        <v>1291</v>
      </c>
      <c r="C3374" s="43" t="s">
        <v>1730</v>
      </c>
      <c r="D3374" s="43">
        <v>-7</v>
      </c>
      <c r="E3374" s="230" t="s">
        <v>125</v>
      </c>
    </row>
    <row r="3375" spans="1:5">
      <c r="A3375" s="265">
        <v>45980</v>
      </c>
      <c r="B3375" s="93" t="s">
        <v>920</v>
      </c>
      <c r="C3375" s="43" t="s">
        <v>1730</v>
      </c>
      <c r="D3375" s="43">
        <v>-3</v>
      </c>
      <c r="E3375" s="230" t="s">
        <v>125</v>
      </c>
    </row>
    <row r="3376" spans="1:5">
      <c r="A3376" s="265">
        <v>45980</v>
      </c>
      <c r="B3376" s="343" t="s">
        <v>1334</v>
      </c>
      <c r="C3376" s="43" t="s">
        <v>1730</v>
      </c>
      <c r="D3376" s="43">
        <v>-6</v>
      </c>
      <c r="E3376" s="230" t="s">
        <v>125</v>
      </c>
    </row>
    <row r="3377" spans="1:6">
      <c r="A3377" s="265">
        <v>45980</v>
      </c>
      <c r="B3377" s="84" t="s">
        <v>1387</v>
      </c>
      <c r="C3377" s="43" t="s">
        <v>1730</v>
      </c>
      <c r="D3377" s="43">
        <v>-4</v>
      </c>
      <c r="E3377" s="230" t="s">
        <v>125</v>
      </c>
    </row>
    <row r="3379" spans="1:6">
      <c r="A3379" s="272">
        <v>45981</v>
      </c>
      <c r="B3379" s="139" t="s">
        <v>1575</v>
      </c>
      <c r="C3379" s="106" t="s">
        <v>49</v>
      </c>
      <c r="D3379" s="106">
        <v>12</v>
      </c>
      <c r="E3379" s="94" t="s">
        <v>125</v>
      </c>
    </row>
    <row r="3380" spans="1:6">
      <c r="A3380" s="272">
        <v>45981</v>
      </c>
      <c r="B3380" s="139" t="s">
        <v>1575</v>
      </c>
      <c r="C3380" s="106" t="s">
        <v>49</v>
      </c>
      <c r="D3380" s="106">
        <v>22</v>
      </c>
      <c r="E3380" s="94" t="s">
        <v>125</v>
      </c>
      <c r="F3380" t="s">
        <v>1394</v>
      </c>
    </row>
    <row r="3381" spans="1:6">
      <c r="A3381" s="272">
        <v>45981</v>
      </c>
      <c r="B3381" s="234" t="s">
        <v>960</v>
      </c>
      <c r="C3381" s="106" t="s">
        <v>49</v>
      </c>
      <c r="D3381" s="106">
        <v>1</v>
      </c>
      <c r="E3381" s="94" t="s">
        <v>125</v>
      </c>
    </row>
    <row r="3382" spans="1:6">
      <c r="A3382" s="272">
        <v>45981</v>
      </c>
      <c r="B3382" s="139" t="s">
        <v>1246</v>
      </c>
      <c r="C3382" s="106" t="s">
        <v>49</v>
      </c>
      <c r="D3382" s="106">
        <v>2</v>
      </c>
      <c r="E3382" s="94" t="s">
        <v>125</v>
      </c>
    </row>
    <row r="3383" spans="1:6">
      <c r="A3383" s="272">
        <v>45981</v>
      </c>
      <c r="B3383" s="139" t="s">
        <v>1246</v>
      </c>
      <c r="C3383" s="106" t="s">
        <v>49</v>
      </c>
      <c r="D3383" s="106">
        <v>3</v>
      </c>
      <c r="E3383" s="94" t="s">
        <v>125</v>
      </c>
    </row>
    <row r="3384" spans="1:6">
      <c r="A3384" s="272">
        <v>45981</v>
      </c>
      <c r="B3384" s="139" t="s">
        <v>1246</v>
      </c>
      <c r="C3384" s="106" t="s">
        <v>49</v>
      </c>
      <c r="D3384" s="106">
        <v>2</v>
      </c>
      <c r="E3384" s="94" t="s">
        <v>125</v>
      </c>
    </row>
    <row r="3385" spans="1:6">
      <c r="A3385" s="272">
        <v>45981</v>
      </c>
      <c r="B3385" s="234" t="s">
        <v>477</v>
      </c>
      <c r="C3385" s="106" t="s">
        <v>49</v>
      </c>
      <c r="D3385" s="106">
        <v>5</v>
      </c>
      <c r="E3385" s="94" t="s">
        <v>125</v>
      </c>
    </row>
    <row r="3386" spans="1:6">
      <c r="A3386" s="272">
        <v>45981</v>
      </c>
      <c r="B3386" s="139" t="s">
        <v>1782</v>
      </c>
      <c r="C3386" s="106" t="s">
        <v>49</v>
      </c>
      <c r="D3386" s="106">
        <v>10</v>
      </c>
      <c r="E3386" s="94" t="s">
        <v>125</v>
      </c>
    </row>
    <row r="3387" spans="1:6">
      <c r="A3387" s="272">
        <v>45981</v>
      </c>
      <c r="B3387" s="139" t="s">
        <v>1575</v>
      </c>
      <c r="C3387" s="106" t="s">
        <v>49</v>
      </c>
      <c r="D3387" s="106">
        <v>3</v>
      </c>
      <c r="E3387" s="94" t="s">
        <v>125</v>
      </c>
    </row>
    <row r="3388" spans="1:6">
      <c r="A3388" s="272">
        <v>45981</v>
      </c>
      <c r="B3388" s="139" t="s">
        <v>1246</v>
      </c>
      <c r="C3388" s="106" t="s">
        <v>49</v>
      </c>
      <c r="D3388" s="106">
        <v>3</v>
      </c>
      <c r="E3388" s="94" t="s">
        <v>125</v>
      </c>
    </row>
    <row r="3389" spans="1:6">
      <c r="A3389" s="272">
        <v>45981</v>
      </c>
      <c r="B3389" s="139" t="s">
        <v>1246</v>
      </c>
      <c r="C3389" s="106" t="s">
        <v>49</v>
      </c>
      <c r="D3389" s="106">
        <v>3</v>
      </c>
      <c r="E3389" s="94" t="s">
        <v>125</v>
      </c>
    </row>
    <row r="3390" spans="1:6">
      <c r="A3390" s="272">
        <v>45981</v>
      </c>
      <c r="B3390" s="128" t="s">
        <v>76</v>
      </c>
      <c r="C3390" s="106" t="s">
        <v>49</v>
      </c>
      <c r="D3390" s="106">
        <v>12</v>
      </c>
      <c r="E3390" s="94" t="s">
        <v>125</v>
      </c>
    </row>
    <row r="3392" spans="1:6">
      <c r="A3392" s="335">
        <v>45981</v>
      </c>
      <c r="B3392" s="343" t="s">
        <v>1094</v>
      </c>
      <c r="C3392" s="345" t="s">
        <v>1605</v>
      </c>
      <c r="D3392" s="345">
        <v>-2</v>
      </c>
      <c r="E3392" s="230" t="s">
        <v>125</v>
      </c>
    </row>
    <row r="3393" spans="1:6">
      <c r="A3393" s="335">
        <v>45981</v>
      </c>
      <c r="B3393" s="343" t="s">
        <v>1409</v>
      </c>
      <c r="C3393" s="43" t="s">
        <v>1599</v>
      </c>
      <c r="D3393" s="43">
        <v>-13</v>
      </c>
      <c r="E3393" s="230" t="s">
        <v>125</v>
      </c>
    </row>
    <row r="3394" spans="1:6">
      <c r="A3394" s="335">
        <v>45981</v>
      </c>
      <c r="B3394" s="343" t="s">
        <v>136</v>
      </c>
      <c r="C3394" s="43" t="s">
        <v>1599</v>
      </c>
      <c r="D3394" s="43">
        <v>-2</v>
      </c>
      <c r="E3394" s="230" t="s">
        <v>125</v>
      </c>
    </row>
    <row r="3395" spans="1:6">
      <c r="A3395" s="335">
        <v>45981</v>
      </c>
      <c r="B3395" s="343" t="s">
        <v>1312</v>
      </c>
      <c r="C3395" s="43" t="s">
        <v>1599</v>
      </c>
      <c r="D3395" s="43">
        <v>-1</v>
      </c>
      <c r="E3395" s="230" t="s">
        <v>125</v>
      </c>
    </row>
    <row r="3396" spans="1:6">
      <c r="A3396" s="335">
        <v>45981</v>
      </c>
      <c r="B3396" s="343" t="s">
        <v>1327</v>
      </c>
      <c r="C3396" s="43" t="s">
        <v>1783</v>
      </c>
      <c r="D3396" s="43">
        <v>-3</v>
      </c>
      <c r="E3396" s="230" t="s">
        <v>125</v>
      </c>
    </row>
    <row r="3397" spans="1:6">
      <c r="A3397" s="335">
        <v>45981</v>
      </c>
      <c r="B3397" s="343" t="s">
        <v>1327</v>
      </c>
      <c r="C3397" s="43" t="s">
        <v>1783</v>
      </c>
      <c r="D3397" s="43">
        <v>-2</v>
      </c>
      <c r="E3397" s="230" t="s">
        <v>125</v>
      </c>
    </row>
    <row r="3398" spans="1:6">
      <c r="A3398" s="335">
        <v>45981</v>
      </c>
      <c r="B3398" s="343" t="s">
        <v>1327</v>
      </c>
      <c r="C3398" s="43" t="s">
        <v>1784</v>
      </c>
      <c r="D3398" s="43">
        <v>-1</v>
      </c>
      <c r="E3398" s="230" t="s">
        <v>125</v>
      </c>
    </row>
    <row r="3399" spans="1:6">
      <c r="A3399" s="335">
        <v>45981</v>
      </c>
      <c r="B3399" s="343" t="s">
        <v>1291</v>
      </c>
      <c r="C3399" s="43" t="s">
        <v>1730</v>
      </c>
      <c r="D3399" s="43">
        <v>-3</v>
      </c>
      <c r="E3399" s="230" t="s">
        <v>125</v>
      </c>
    </row>
    <row r="3400" spans="1:6">
      <c r="A3400" s="335">
        <v>45981</v>
      </c>
      <c r="B3400" s="92" t="s">
        <v>76</v>
      </c>
      <c r="C3400" s="43" t="s">
        <v>1786</v>
      </c>
      <c r="D3400" s="43">
        <v>-6</v>
      </c>
      <c r="E3400" s="230" t="s">
        <v>125</v>
      </c>
    </row>
    <row r="3401" spans="1:6">
      <c r="A3401" s="335">
        <v>45981</v>
      </c>
      <c r="B3401" s="92" t="s">
        <v>76</v>
      </c>
      <c r="C3401" s="43" t="s">
        <v>1603</v>
      </c>
      <c r="D3401" s="43">
        <v>-15</v>
      </c>
      <c r="E3401" s="230" t="s">
        <v>125</v>
      </c>
    </row>
    <row r="3402" spans="1:6">
      <c r="A3402" s="335">
        <v>45981</v>
      </c>
      <c r="B3402" s="343" t="s">
        <v>1270</v>
      </c>
      <c r="C3402" s="43" t="s">
        <v>1787</v>
      </c>
      <c r="D3402" s="43">
        <v>-2</v>
      </c>
      <c r="E3402" s="230" t="s">
        <v>125</v>
      </c>
    </row>
    <row r="3403" spans="1:6">
      <c r="A3403" s="335">
        <v>45981</v>
      </c>
      <c r="B3403" s="343" t="s">
        <v>1327</v>
      </c>
      <c r="C3403" s="43" t="s">
        <v>1788</v>
      </c>
      <c r="D3403" s="43">
        <v>-3</v>
      </c>
      <c r="E3403" s="230" t="s">
        <v>125</v>
      </c>
    </row>
    <row r="3404" spans="1:6">
      <c r="A3404" s="335">
        <v>45981</v>
      </c>
      <c r="B3404" s="92" t="s">
        <v>76</v>
      </c>
      <c r="C3404" s="43" t="s">
        <v>1603</v>
      </c>
      <c r="D3404" s="43">
        <v>-15</v>
      </c>
      <c r="E3404" s="230" t="s">
        <v>125</v>
      </c>
    </row>
    <row r="3405" spans="1:6">
      <c r="A3405" s="335">
        <v>45981</v>
      </c>
      <c r="B3405" s="343" t="s">
        <v>1327</v>
      </c>
      <c r="C3405" s="43" t="s">
        <v>1660</v>
      </c>
      <c r="D3405" s="43">
        <v>-1</v>
      </c>
      <c r="E3405" s="230" t="s">
        <v>125</v>
      </c>
    </row>
    <row r="3407" spans="1:6">
      <c r="A3407" s="346">
        <v>45982</v>
      </c>
      <c r="B3407" s="349" t="s">
        <v>1327</v>
      </c>
      <c r="C3407" s="348" t="s">
        <v>921</v>
      </c>
      <c r="D3407" s="348">
        <v>2</v>
      </c>
      <c r="E3407" s="360" t="s">
        <v>125</v>
      </c>
      <c r="F3407" t="s">
        <v>1801</v>
      </c>
    </row>
    <row r="3408" spans="1:6">
      <c r="A3408" s="346">
        <v>45982</v>
      </c>
      <c r="B3408" s="349" t="s">
        <v>1327</v>
      </c>
      <c r="C3408" s="348" t="s">
        <v>921</v>
      </c>
      <c r="D3408" s="348">
        <v>2</v>
      </c>
      <c r="E3408" s="360" t="s">
        <v>125</v>
      </c>
    </row>
    <row r="3409" spans="1:5">
      <c r="A3409" s="346">
        <v>45982</v>
      </c>
      <c r="B3409" s="349" t="s">
        <v>1326</v>
      </c>
      <c r="C3409" s="348" t="s">
        <v>921</v>
      </c>
      <c r="D3409" s="348">
        <v>6</v>
      </c>
      <c r="E3409" s="360" t="s">
        <v>125</v>
      </c>
    </row>
    <row r="3410" spans="1:5">
      <c r="A3410" s="346">
        <v>45982</v>
      </c>
      <c r="B3410" s="349" t="s">
        <v>166</v>
      </c>
      <c r="C3410" s="348" t="s">
        <v>921</v>
      </c>
      <c r="D3410" s="348">
        <v>1</v>
      </c>
      <c r="E3410" s="360" t="s">
        <v>125</v>
      </c>
    </row>
    <row r="3411" spans="1:5">
      <c r="A3411" s="346">
        <v>45982</v>
      </c>
      <c r="B3411" s="351" t="s">
        <v>932</v>
      </c>
      <c r="C3411" s="348" t="s">
        <v>921</v>
      </c>
      <c r="D3411" s="348">
        <v>2</v>
      </c>
      <c r="E3411" s="360" t="s">
        <v>125</v>
      </c>
    </row>
    <row r="3412" spans="1:5">
      <c r="A3412" s="346">
        <v>45982</v>
      </c>
      <c r="B3412" s="349" t="s">
        <v>1291</v>
      </c>
      <c r="C3412" s="348" t="s">
        <v>921</v>
      </c>
      <c r="D3412" s="348">
        <v>1</v>
      </c>
      <c r="E3412" s="360" t="s">
        <v>125</v>
      </c>
    </row>
    <row r="3413" spans="1:5">
      <c r="A3413" s="346">
        <v>45982</v>
      </c>
      <c r="B3413" s="349" t="s">
        <v>1334</v>
      </c>
      <c r="C3413" s="348" t="s">
        <v>921</v>
      </c>
      <c r="D3413" s="348">
        <v>1</v>
      </c>
      <c r="E3413" s="360" t="s">
        <v>125</v>
      </c>
    </row>
    <row r="3414" spans="1:5">
      <c r="A3414" s="346">
        <v>45982</v>
      </c>
      <c r="B3414" s="349" t="s">
        <v>1533</v>
      </c>
      <c r="C3414" s="348" t="s">
        <v>921</v>
      </c>
      <c r="D3414" s="348">
        <v>2</v>
      </c>
      <c r="E3414" s="360" t="s">
        <v>125</v>
      </c>
    </row>
    <row r="3415" spans="1:5">
      <c r="A3415" s="346">
        <v>45982</v>
      </c>
      <c r="B3415" s="349" t="s">
        <v>1568</v>
      </c>
      <c r="C3415" s="348" t="s">
        <v>921</v>
      </c>
      <c r="D3415" s="348">
        <v>1</v>
      </c>
      <c r="E3415" s="360" t="s">
        <v>125</v>
      </c>
    </row>
    <row r="3416" spans="1:5">
      <c r="A3416" s="346">
        <v>45982</v>
      </c>
      <c r="B3416" s="347" t="s">
        <v>919</v>
      </c>
      <c r="C3416" s="348" t="s">
        <v>921</v>
      </c>
      <c r="D3416" s="348">
        <v>1</v>
      </c>
      <c r="E3416" s="360" t="s">
        <v>125</v>
      </c>
    </row>
    <row r="3418" spans="1:5">
      <c r="A3418" s="272">
        <v>45982</v>
      </c>
      <c r="B3418" s="139" t="s">
        <v>1246</v>
      </c>
      <c r="C3418" s="106" t="s">
        <v>49</v>
      </c>
      <c r="D3418" s="106">
        <v>4</v>
      </c>
      <c r="E3418" s="94" t="s">
        <v>125</v>
      </c>
    </row>
    <row r="3419" spans="1:5">
      <c r="A3419" s="272">
        <v>45982</v>
      </c>
      <c r="B3419" s="139" t="s">
        <v>1246</v>
      </c>
      <c r="C3419" s="106" t="s">
        <v>49</v>
      </c>
      <c r="D3419" s="106">
        <v>6</v>
      </c>
      <c r="E3419" s="94" t="s">
        <v>125</v>
      </c>
    </row>
    <row r="3420" spans="1:5">
      <c r="A3420" s="272">
        <v>45982</v>
      </c>
      <c r="B3420" s="139" t="s">
        <v>1246</v>
      </c>
      <c r="C3420" s="106" t="s">
        <v>49</v>
      </c>
      <c r="D3420" s="106">
        <v>6</v>
      </c>
      <c r="E3420" s="94" t="s">
        <v>125</v>
      </c>
    </row>
    <row r="3421" spans="1:5">
      <c r="A3421" s="272">
        <v>45982</v>
      </c>
      <c r="B3421" s="128" t="s">
        <v>76</v>
      </c>
      <c r="C3421" s="106" t="s">
        <v>49</v>
      </c>
      <c r="D3421" s="106">
        <v>20</v>
      </c>
      <c r="E3421" s="94" t="s">
        <v>125</v>
      </c>
    </row>
    <row r="3422" spans="1:5">
      <c r="A3422" s="272">
        <v>45982</v>
      </c>
      <c r="B3422" s="128" t="s">
        <v>76</v>
      </c>
      <c r="C3422" s="106" t="s">
        <v>49</v>
      </c>
      <c r="D3422" s="106">
        <v>9</v>
      </c>
      <c r="E3422" s="94" t="s">
        <v>125</v>
      </c>
    </row>
    <row r="3423" spans="1:5">
      <c r="A3423" s="272">
        <v>45982</v>
      </c>
      <c r="B3423" s="139" t="s">
        <v>807</v>
      </c>
      <c r="C3423" s="106" t="s">
        <v>49</v>
      </c>
      <c r="D3423" s="106">
        <v>3</v>
      </c>
      <c r="E3423" s="94" t="s">
        <v>125</v>
      </c>
    </row>
    <row r="3424" spans="1:5">
      <c r="A3424" s="272">
        <v>45982</v>
      </c>
      <c r="B3424" s="139" t="s">
        <v>807</v>
      </c>
      <c r="C3424" s="106" t="s">
        <v>49</v>
      </c>
      <c r="D3424" s="106">
        <v>1</v>
      </c>
      <c r="E3424" s="94" t="s">
        <v>125</v>
      </c>
    </row>
    <row r="3425" spans="1:5">
      <c r="A3425" s="272">
        <v>45982</v>
      </c>
      <c r="B3425" s="139" t="s">
        <v>807</v>
      </c>
      <c r="C3425" s="106" t="s">
        <v>49</v>
      </c>
      <c r="D3425" s="106">
        <v>1</v>
      </c>
      <c r="E3425" s="94" t="s">
        <v>125</v>
      </c>
    </row>
    <row r="3426" spans="1:5">
      <c r="A3426" s="272">
        <v>45982</v>
      </c>
      <c r="B3426" s="139" t="s">
        <v>808</v>
      </c>
      <c r="C3426" s="106" t="s">
        <v>49</v>
      </c>
      <c r="D3426" s="106">
        <v>5</v>
      </c>
      <c r="E3426" s="94" t="s">
        <v>125</v>
      </c>
    </row>
    <row r="3427" spans="1:5">
      <c r="A3427" s="272">
        <v>45982</v>
      </c>
      <c r="B3427" s="139" t="s">
        <v>807</v>
      </c>
      <c r="C3427" s="106" t="s">
        <v>49</v>
      </c>
      <c r="D3427" s="106">
        <v>6</v>
      </c>
      <c r="E3427" s="94" t="s">
        <v>125</v>
      </c>
    </row>
    <row r="3428" spans="1:5">
      <c r="A3428" s="272">
        <v>45982</v>
      </c>
      <c r="B3428" s="139" t="s">
        <v>807</v>
      </c>
      <c r="C3428" s="106" t="s">
        <v>49</v>
      </c>
      <c r="D3428" s="106">
        <v>3</v>
      </c>
      <c r="E3428" s="94" t="s">
        <v>125</v>
      </c>
    </row>
    <row r="3429" spans="1:5">
      <c r="A3429" s="272">
        <v>45982</v>
      </c>
      <c r="B3429" s="139" t="s">
        <v>808</v>
      </c>
      <c r="C3429" s="106" t="s">
        <v>49</v>
      </c>
      <c r="D3429" s="106">
        <v>7</v>
      </c>
      <c r="E3429" s="94" t="s">
        <v>125</v>
      </c>
    </row>
    <row r="3430" spans="1:5">
      <c r="A3430" s="272">
        <v>45982</v>
      </c>
      <c r="B3430" s="139" t="s">
        <v>807</v>
      </c>
      <c r="C3430" s="106" t="s">
        <v>49</v>
      </c>
      <c r="D3430" s="106">
        <v>5</v>
      </c>
      <c r="E3430" s="94" t="s">
        <v>125</v>
      </c>
    </row>
    <row r="3431" spans="1:5">
      <c r="A3431" s="272">
        <v>45982</v>
      </c>
      <c r="B3431" s="139" t="s">
        <v>808</v>
      </c>
      <c r="C3431" s="106" t="s">
        <v>49</v>
      </c>
      <c r="D3431" s="106">
        <v>9</v>
      </c>
      <c r="E3431" s="94" t="s">
        <v>125</v>
      </c>
    </row>
    <row r="3432" spans="1:5">
      <c r="A3432" s="272">
        <v>45982</v>
      </c>
      <c r="B3432" s="139" t="s">
        <v>808</v>
      </c>
      <c r="C3432" s="106" t="s">
        <v>49</v>
      </c>
      <c r="D3432" s="106">
        <v>7</v>
      </c>
      <c r="E3432" s="94" t="s">
        <v>125</v>
      </c>
    </row>
    <row r="3434" spans="1:5">
      <c r="A3434" s="335">
        <v>45982</v>
      </c>
      <c r="B3434" s="343" t="s">
        <v>1271</v>
      </c>
      <c r="C3434" s="345" t="s">
        <v>1802</v>
      </c>
      <c r="D3434" s="345">
        <v>-4</v>
      </c>
      <c r="E3434" s="230" t="s">
        <v>125</v>
      </c>
    </row>
    <row r="3435" spans="1:5">
      <c r="A3435" s="335">
        <v>45982</v>
      </c>
      <c r="B3435" s="93" t="s">
        <v>1617</v>
      </c>
      <c r="C3435" s="43" t="s">
        <v>1803</v>
      </c>
      <c r="D3435" s="43">
        <v>-3</v>
      </c>
      <c r="E3435" s="230" t="s">
        <v>125</v>
      </c>
    </row>
    <row r="3436" spans="1:5">
      <c r="A3436" s="335">
        <v>45982</v>
      </c>
      <c r="B3436" s="93" t="s">
        <v>1617</v>
      </c>
      <c r="C3436" s="43" t="s">
        <v>1787</v>
      </c>
      <c r="D3436" s="43">
        <v>-20</v>
      </c>
      <c r="E3436" s="230" t="s">
        <v>125</v>
      </c>
    </row>
    <row r="3437" spans="1:5">
      <c r="A3437" s="335">
        <v>45982</v>
      </c>
      <c r="B3437" s="343" t="s">
        <v>1327</v>
      </c>
      <c r="C3437" s="43" t="s">
        <v>1804</v>
      </c>
      <c r="D3437" s="43">
        <v>-4</v>
      </c>
      <c r="E3437" s="230" t="s">
        <v>125</v>
      </c>
    </row>
    <row r="3438" spans="1:5">
      <c r="A3438" s="335">
        <v>45982</v>
      </c>
      <c r="B3438" s="343" t="s">
        <v>1271</v>
      </c>
      <c r="C3438" s="43" t="s">
        <v>1805</v>
      </c>
      <c r="D3438" s="43">
        <v>-1</v>
      </c>
      <c r="E3438" s="230" t="s">
        <v>125</v>
      </c>
    </row>
    <row r="3440" spans="1:5">
      <c r="A3440" s="265">
        <v>45983</v>
      </c>
      <c r="B3440" s="343" t="s">
        <v>1326</v>
      </c>
      <c r="C3440" s="43" t="s">
        <v>1806</v>
      </c>
      <c r="D3440" s="43">
        <v>-12</v>
      </c>
      <c r="E3440" s="230" t="s">
        <v>125</v>
      </c>
    </row>
    <row r="3441" spans="1:5">
      <c r="A3441" s="265">
        <v>45983</v>
      </c>
      <c r="B3441" s="343" t="s">
        <v>1327</v>
      </c>
      <c r="C3441" s="43" t="s">
        <v>1605</v>
      </c>
      <c r="D3441" s="43">
        <v>-1</v>
      </c>
      <c r="E3441" s="230" t="s">
        <v>125</v>
      </c>
    </row>
    <row r="3442" spans="1:5">
      <c r="A3442" s="265">
        <v>45983</v>
      </c>
      <c r="B3442" s="84" t="s">
        <v>134</v>
      </c>
      <c r="C3442" s="43" t="s">
        <v>1807</v>
      </c>
      <c r="D3442" s="43">
        <v>0</v>
      </c>
      <c r="E3442" s="230" t="s">
        <v>125</v>
      </c>
    </row>
    <row r="3443" spans="1:5">
      <c r="A3443" s="265">
        <v>45983</v>
      </c>
      <c r="B3443" s="343" t="s">
        <v>1327</v>
      </c>
      <c r="C3443" s="43" t="s">
        <v>1605</v>
      </c>
      <c r="D3443" s="43">
        <v>-4</v>
      </c>
      <c r="E3443" s="230" t="s">
        <v>125</v>
      </c>
    </row>
    <row r="3444" spans="1:5">
      <c r="A3444" s="265">
        <v>45983</v>
      </c>
      <c r="B3444" s="343" t="s">
        <v>1327</v>
      </c>
      <c r="C3444" s="43" t="s">
        <v>1808</v>
      </c>
      <c r="D3444" s="43">
        <v>-6</v>
      </c>
      <c r="E3444" s="230" t="s">
        <v>125</v>
      </c>
    </row>
    <row r="3445" spans="1:5">
      <c r="A3445" s="265">
        <v>45983</v>
      </c>
      <c r="B3445" s="93" t="s">
        <v>1617</v>
      </c>
      <c r="C3445" s="43" t="s">
        <v>1803</v>
      </c>
      <c r="D3445" s="43">
        <v>-5</v>
      </c>
      <c r="E3445" s="230" t="s">
        <v>125</v>
      </c>
    </row>
    <row r="3446" spans="1:5">
      <c r="A3446" s="265">
        <v>45983</v>
      </c>
      <c r="B3446" s="343" t="s">
        <v>1270</v>
      </c>
      <c r="C3446" s="43" t="s">
        <v>1613</v>
      </c>
      <c r="D3446" s="43">
        <v>-1</v>
      </c>
      <c r="E3446" s="230" t="s">
        <v>125</v>
      </c>
    </row>
    <row r="3447" spans="1:5">
      <c r="A3447" s="265">
        <v>45983</v>
      </c>
      <c r="B3447" s="92" t="s">
        <v>789</v>
      </c>
      <c r="C3447" s="43" t="s">
        <v>1613</v>
      </c>
      <c r="D3447" s="43">
        <v>-1</v>
      </c>
      <c r="E3447" s="230" t="s">
        <v>125</v>
      </c>
    </row>
    <row r="3448" spans="1:5">
      <c r="A3448" s="265">
        <v>45983</v>
      </c>
      <c r="B3448" s="343" t="s">
        <v>1270</v>
      </c>
      <c r="C3448" s="43" t="s">
        <v>1613</v>
      </c>
      <c r="D3448" s="43">
        <v>-1</v>
      </c>
      <c r="E3448" s="230" t="s">
        <v>125</v>
      </c>
    </row>
    <row r="3449" spans="1:5">
      <c r="A3449" s="265">
        <v>45983</v>
      </c>
      <c r="B3449" s="93" t="s">
        <v>839</v>
      </c>
      <c r="C3449" s="43" t="s">
        <v>1809</v>
      </c>
      <c r="D3449" s="43">
        <v>-5</v>
      </c>
      <c r="E3449" s="230" t="s">
        <v>125</v>
      </c>
    </row>
    <row r="3450" spans="1:5">
      <c r="A3450" s="265">
        <v>45983</v>
      </c>
      <c r="B3450" s="104" t="s">
        <v>932</v>
      </c>
      <c r="C3450" s="43" t="s">
        <v>1808</v>
      </c>
      <c r="D3450" s="43">
        <v>-2</v>
      </c>
      <c r="E3450" s="230" t="s">
        <v>125</v>
      </c>
    </row>
    <row r="3451" spans="1:5">
      <c r="A3451" s="265">
        <v>45983</v>
      </c>
      <c r="B3451" s="343" t="s">
        <v>1536</v>
      </c>
      <c r="C3451" s="43" t="s">
        <v>1808</v>
      </c>
      <c r="D3451" s="43">
        <v>-1</v>
      </c>
      <c r="E3451" s="230" t="s">
        <v>125</v>
      </c>
    </row>
    <row r="3453" spans="1:5">
      <c r="A3453" s="434">
        <v>45983</v>
      </c>
      <c r="B3453" s="168" t="s">
        <v>1327</v>
      </c>
      <c r="C3453" s="166" t="s">
        <v>1618</v>
      </c>
      <c r="D3453" s="166">
        <v>3</v>
      </c>
      <c r="E3453" s="417" t="s">
        <v>125</v>
      </c>
    </row>
    <row r="3455" spans="1:5">
      <c r="A3455" s="335">
        <v>45983</v>
      </c>
      <c r="B3455" s="343" t="s">
        <v>1271</v>
      </c>
      <c r="C3455" s="345" t="s">
        <v>1810</v>
      </c>
      <c r="D3455" s="345">
        <v>-1</v>
      </c>
      <c r="E3455" s="230" t="s">
        <v>125</v>
      </c>
    </row>
    <row r="3456" spans="1:5">
      <c r="A3456" s="335">
        <v>45983</v>
      </c>
      <c r="B3456" s="93" t="s">
        <v>1568</v>
      </c>
      <c r="C3456" s="43" t="s">
        <v>1811</v>
      </c>
      <c r="D3456" s="43">
        <v>-1</v>
      </c>
      <c r="E3456" s="230" t="s">
        <v>125</v>
      </c>
    </row>
    <row r="3457" spans="1:5">
      <c r="A3457" s="335">
        <v>45983</v>
      </c>
      <c r="B3457" s="84" t="s">
        <v>919</v>
      </c>
      <c r="C3457" s="43" t="s">
        <v>1811</v>
      </c>
      <c r="D3457" s="43">
        <v>-1</v>
      </c>
      <c r="E3457" s="230" t="s">
        <v>125</v>
      </c>
    </row>
    <row r="3458" spans="1:5">
      <c r="A3458" s="335">
        <v>45983</v>
      </c>
      <c r="B3458" s="93" t="s">
        <v>1095</v>
      </c>
      <c r="C3458" s="43" t="s">
        <v>1811</v>
      </c>
      <c r="D3458" s="43">
        <v>-4</v>
      </c>
      <c r="E3458" s="230" t="s">
        <v>125</v>
      </c>
    </row>
    <row r="3459" spans="1:5">
      <c r="A3459" s="335">
        <v>45983</v>
      </c>
      <c r="B3459" s="343" t="s">
        <v>1246</v>
      </c>
      <c r="C3459" s="43" t="s">
        <v>1812</v>
      </c>
      <c r="D3459" s="43">
        <v>-23</v>
      </c>
      <c r="E3459" s="230" t="s">
        <v>125</v>
      </c>
    </row>
    <row r="3460" spans="1:5">
      <c r="A3460" s="335">
        <v>45983</v>
      </c>
      <c r="B3460" s="93" t="s">
        <v>1094</v>
      </c>
      <c r="C3460" s="43" t="s">
        <v>1660</v>
      </c>
      <c r="D3460" s="43">
        <v>-1</v>
      </c>
      <c r="E3460" s="230" t="s">
        <v>125</v>
      </c>
    </row>
    <row r="3462" spans="1:5">
      <c r="A3462" s="265">
        <v>45985</v>
      </c>
      <c r="B3462" s="92" t="s">
        <v>76</v>
      </c>
      <c r="C3462" s="43" t="s">
        <v>1814</v>
      </c>
      <c r="D3462" s="43">
        <v>-31</v>
      </c>
      <c r="E3462" s="230" t="s">
        <v>125</v>
      </c>
    </row>
    <row r="3463" spans="1:5">
      <c r="A3463" s="265">
        <v>45985</v>
      </c>
      <c r="B3463" s="93" t="s">
        <v>1617</v>
      </c>
      <c r="C3463" s="43" t="s">
        <v>1787</v>
      </c>
      <c r="D3463" s="43">
        <v>-20</v>
      </c>
      <c r="E3463" s="230" t="s">
        <v>125</v>
      </c>
    </row>
    <row r="3464" spans="1:5">
      <c r="A3464" s="265">
        <v>45985</v>
      </c>
      <c r="B3464" s="342" t="s">
        <v>960</v>
      </c>
      <c r="C3464" s="43" t="s">
        <v>1726</v>
      </c>
      <c r="D3464" s="43">
        <v>-16</v>
      </c>
      <c r="E3464" s="230" t="s">
        <v>125</v>
      </c>
    </row>
    <row r="3465" spans="1:5">
      <c r="A3465" s="265">
        <v>45985</v>
      </c>
      <c r="B3465" s="92" t="s">
        <v>882</v>
      </c>
      <c r="C3465" s="43" t="s">
        <v>1815</v>
      </c>
      <c r="D3465" s="43">
        <v>-2</v>
      </c>
      <c r="E3465" s="230" t="s">
        <v>125</v>
      </c>
    </row>
    <row r="3466" spans="1:5">
      <c r="A3466" s="265">
        <v>45985</v>
      </c>
      <c r="B3466" s="343" t="s">
        <v>1271</v>
      </c>
      <c r="C3466" s="43" t="s">
        <v>1738</v>
      </c>
      <c r="D3466" s="43">
        <v>-1</v>
      </c>
      <c r="E3466" s="230" t="s">
        <v>125</v>
      </c>
    </row>
    <row r="3467" spans="1:5">
      <c r="A3467" s="265">
        <v>45985</v>
      </c>
      <c r="B3467" s="343" t="s">
        <v>1327</v>
      </c>
      <c r="C3467" s="43" t="s">
        <v>1686</v>
      </c>
      <c r="D3467" s="43">
        <v>-1</v>
      </c>
      <c r="E3467" s="230" t="s">
        <v>125</v>
      </c>
    </row>
    <row r="3468" spans="1:5">
      <c r="A3468" s="265">
        <v>45985</v>
      </c>
      <c r="B3468" s="343" t="s">
        <v>1327</v>
      </c>
      <c r="C3468" s="43" t="s">
        <v>1686</v>
      </c>
      <c r="D3468" s="43">
        <v>-1</v>
      </c>
      <c r="E3468" s="230" t="s">
        <v>125</v>
      </c>
    </row>
    <row r="3469" spans="1:5">
      <c r="A3469" s="265">
        <v>45985</v>
      </c>
      <c r="B3469" s="343" t="s">
        <v>1617</v>
      </c>
      <c r="C3469" s="43" t="s">
        <v>1656</v>
      </c>
      <c r="D3469" s="43">
        <v>-14</v>
      </c>
      <c r="E3469" s="230" t="s">
        <v>125</v>
      </c>
    </row>
    <row r="3470" spans="1:5">
      <c r="A3470" s="265">
        <v>45985</v>
      </c>
      <c r="B3470" s="343" t="s">
        <v>1782</v>
      </c>
      <c r="C3470" s="43" t="s">
        <v>1656</v>
      </c>
      <c r="D3470" s="43">
        <v>-10</v>
      </c>
      <c r="E3470" s="230" t="s">
        <v>125</v>
      </c>
    </row>
    <row r="3471" spans="1:5">
      <c r="A3471" s="265">
        <v>45985</v>
      </c>
      <c r="B3471" s="344" t="s">
        <v>1183</v>
      </c>
      <c r="C3471" s="43" t="s">
        <v>1656</v>
      </c>
      <c r="D3471" s="43">
        <v>-4</v>
      </c>
      <c r="E3471" s="230" t="s">
        <v>125</v>
      </c>
    </row>
    <row r="3472" spans="1:5">
      <c r="A3472" s="265">
        <v>45985</v>
      </c>
      <c r="B3472" s="343" t="s">
        <v>1575</v>
      </c>
      <c r="C3472" s="43" t="s">
        <v>1656</v>
      </c>
      <c r="D3472" s="43">
        <v>-16</v>
      </c>
      <c r="E3472" s="230" t="s">
        <v>125</v>
      </c>
    </row>
    <row r="3474" spans="1:5">
      <c r="A3474" s="272">
        <v>45986</v>
      </c>
      <c r="B3474" s="128" t="s">
        <v>76</v>
      </c>
      <c r="C3474" s="106" t="s">
        <v>49</v>
      </c>
      <c r="D3474" s="106">
        <v>14</v>
      </c>
      <c r="E3474" s="94" t="s">
        <v>125</v>
      </c>
    </row>
    <row r="3475" spans="1:5">
      <c r="A3475" s="272">
        <v>45986</v>
      </c>
      <c r="B3475" s="128" t="s">
        <v>76</v>
      </c>
      <c r="C3475" s="106" t="s">
        <v>49</v>
      </c>
      <c r="D3475" s="106">
        <v>5</v>
      </c>
      <c r="E3475" s="94" t="s">
        <v>125</v>
      </c>
    </row>
    <row r="3476" spans="1:5">
      <c r="A3476" s="272">
        <v>45986</v>
      </c>
      <c r="B3476" s="128" t="s">
        <v>76</v>
      </c>
      <c r="C3476" s="106" t="s">
        <v>49</v>
      </c>
      <c r="D3476" s="106">
        <v>27</v>
      </c>
      <c r="E3476" s="94" t="s">
        <v>125</v>
      </c>
    </row>
    <row r="3477" spans="1:5">
      <c r="A3477" s="272">
        <v>45986</v>
      </c>
      <c r="B3477" s="128" t="s">
        <v>76</v>
      </c>
      <c r="C3477" s="106" t="s">
        <v>49</v>
      </c>
      <c r="D3477" s="106">
        <v>20</v>
      </c>
      <c r="E3477" s="94" t="s">
        <v>125</v>
      </c>
    </row>
    <row r="3478" spans="1:5">
      <c r="A3478" s="272">
        <v>45986</v>
      </c>
      <c r="B3478" s="128" t="s">
        <v>76</v>
      </c>
      <c r="C3478" s="106" t="s">
        <v>49</v>
      </c>
      <c r="D3478" s="106">
        <v>12</v>
      </c>
      <c r="E3478" s="94" t="s">
        <v>125</v>
      </c>
    </row>
    <row r="3479" spans="1:5">
      <c r="A3479" s="272">
        <v>45986</v>
      </c>
      <c r="B3479" s="128" t="s">
        <v>76</v>
      </c>
      <c r="C3479" s="106" t="s">
        <v>49</v>
      </c>
      <c r="D3479" s="106">
        <v>19</v>
      </c>
      <c r="E3479" s="94" t="s">
        <v>125</v>
      </c>
    </row>
    <row r="3480" spans="1:5">
      <c r="A3480" s="272">
        <v>45986</v>
      </c>
      <c r="B3480" s="128" t="s">
        <v>76</v>
      </c>
      <c r="C3480" s="106" t="s">
        <v>49</v>
      </c>
      <c r="D3480" s="106">
        <v>10</v>
      </c>
      <c r="E3480" s="94" t="s">
        <v>125</v>
      </c>
    </row>
    <row r="3481" spans="1:5">
      <c r="A3481" s="272">
        <v>45986</v>
      </c>
      <c r="B3481" s="128" t="s">
        <v>76</v>
      </c>
      <c r="C3481" s="106" t="s">
        <v>49</v>
      </c>
      <c r="D3481" s="106">
        <v>17</v>
      </c>
      <c r="E3481" s="94" t="s">
        <v>125</v>
      </c>
    </row>
    <row r="3482" spans="1:5">
      <c r="A3482" s="272">
        <v>45986</v>
      </c>
      <c r="B3482" s="128" t="s">
        <v>76</v>
      </c>
      <c r="C3482" s="106" t="s">
        <v>49</v>
      </c>
      <c r="D3482" s="106">
        <v>27</v>
      </c>
      <c r="E3482" s="94" t="s">
        <v>125</v>
      </c>
    </row>
    <row r="3483" spans="1:5">
      <c r="A3483" s="272">
        <v>45986</v>
      </c>
      <c r="B3483" s="128" t="s">
        <v>76</v>
      </c>
      <c r="C3483" s="106" t="s">
        <v>49</v>
      </c>
      <c r="D3483" s="106">
        <v>11</v>
      </c>
      <c r="E3483" s="94" t="s">
        <v>125</v>
      </c>
    </row>
    <row r="3484" spans="1:5">
      <c r="A3484" s="272">
        <v>45986</v>
      </c>
      <c r="B3484" s="128" t="s">
        <v>671</v>
      </c>
      <c r="C3484" s="106" t="s">
        <v>49</v>
      </c>
      <c r="D3484" s="106">
        <v>2</v>
      </c>
      <c r="E3484" s="94" t="s">
        <v>125</v>
      </c>
    </row>
    <row r="3486" spans="1:5">
      <c r="A3486" s="265">
        <v>45986</v>
      </c>
      <c r="B3486" s="92" t="s">
        <v>642</v>
      </c>
      <c r="C3486" s="43" t="s">
        <v>1825</v>
      </c>
      <c r="D3486" s="43">
        <v>-5</v>
      </c>
      <c r="E3486" s="230" t="s">
        <v>125</v>
      </c>
    </row>
    <row r="3487" spans="1:5">
      <c r="A3487" s="265">
        <v>45986</v>
      </c>
      <c r="B3487" s="92" t="s">
        <v>642</v>
      </c>
      <c r="C3487" s="43" t="s">
        <v>1825</v>
      </c>
      <c r="D3487" s="43">
        <v>-5</v>
      </c>
      <c r="E3487" s="230" t="s">
        <v>125</v>
      </c>
    </row>
    <row r="3488" spans="1:5">
      <c r="A3488" s="265">
        <v>45986</v>
      </c>
      <c r="B3488" s="343" t="s">
        <v>1249</v>
      </c>
      <c r="C3488" s="43" t="s">
        <v>1594</v>
      </c>
      <c r="D3488" s="43">
        <v>-1</v>
      </c>
      <c r="E3488" s="230" t="s">
        <v>125</v>
      </c>
    </row>
    <row r="3489" spans="1:5">
      <c r="A3489" s="265">
        <v>45986</v>
      </c>
      <c r="B3489" s="343" t="s">
        <v>1249</v>
      </c>
      <c r="C3489" s="43" t="s">
        <v>1594</v>
      </c>
      <c r="D3489" s="43">
        <v>-1</v>
      </c>
      <c r="E3489" s="230" t="s">
        <v>125</v>
      </c>
    </row>
    <row r="3490" spans="1:5">
      <c r="A3490" s="265">
        <v>45986</v>
      </c>
      <c r="B3490" s="343" t="s">
        <v>1290</v>
      </c>
      <c r="C3490" s="43" t="s">
        <v>1594</v>
      </c>
      <c r="D3490" s="43">
        <v>-1</v>
      </c>
      <c r="E3490" s="230" t="s">
        <v>125</v>
      </c>
    </row>
    <row r="3491" spans="1:5">
      <c r="A3491" s="265">
        <v>45986</v>
      </c>
      <c r="B3491" s="343" t="s">
        <v>1301</v>
      </c>
      <c r="C3491" s="43" t="s">
        <v>1594</v>
      </c>
      <c r="D3491" s="43">
        <v>-1</v>
      </c>
      <c r="E3491" s="230" t="s">
        <v>125</v>
      </c>
    </row>
    <row r="3492" spans="1:5">
      <c r="A3492" s="265">
        <v>45986</v>
      </c>
      <c r="B3492" s="343" t="s">
        <v>1301</v>
      </c>
      <c r="C3492" s="43" t="s">
        <v>1594</v>
      </c>
      <c r="D3492" s="43">
        <v>-1</v>
      </c>
      <c r="E3492" s="230" t="s">
        <v>125</v>
      </c>
    </row>
    <row r="3493" spans="1:5">
      <c r="A3493" s="265">
        <v>45986</v>
      </c>
      <c r="B3493" s="343" t="s">
        <v>1327</v>
      </c>
      <c r="C3493" s="43" t="s">
        <v>1594</v>
      </c>
      <c r="D3493" s="43">
        <v>-3</v>
      </c>
      <c r="E3493" s="230" t="s">
        <v>125</v>
      </c>
    </row>
    <row r="3494" spans="1:5">
      <c r="A3494" s="265">
        <v>45986</v>
      </c>
      <c r="B3494" s="343" t="s">
        <v>1327</v>
      </c>
      <c r="C3494" s="43" t="s">
        <v>1594</v>
      </c>
      <c r="D3494" s="43">
        <v>-2</v>
      </c>
      <c r="E3494" s="230" t="s">
        <v>125</v>
      </c>
    </row>
    <row r="3495" spans="1:5">
      <c r="A3495" s="265">
        <v>45986</v>
      </c>
      <c r="B3495" s="93" t="s">
        <v>166</v>
      </c>
      <c r="C3495" s="43" t="s">
        <v>1594</v>
      </c>
      <c r="D3495" s="43">
        <v>-1</v>
      </c>
      <c r="E3495" s="230" t="s">
        <v>125</v>
      </c>
    </row>
    <row r="3496" spans="1:5">
      <c r="A3496" s="265">
        <v>45986</v>
      </c>
      <c r="B3496" s="93" t="s">
        <v>839</v>
      </c>
      <c r="C3496" s="43" t="s">
        <v>1826</v>
      </c>
      <c r="D3496" s="43">
        <v>-10</v>
      </c>
      <c r="E3496" s="230" t="s">
        <v>125</v>
      </c>
    </row>
    <row r="3497" spans="1:5">
      <c r="A3497" s="265">
        <v>45986</v>
      </c>
      <c r="B3497" s="92" t="s">
        <v>671</v>
      </c>
      <c r="C3497" s="43" t="s">
        <v>1826</v>
      </c>
      <c r="D3497" s="43">
        <v>-10</v>
      </c>
      <c r="E3497" s="230" t="s">
        <v>125</v>
      </c>
    </row>
    <row r="3498" spans="1:5">
      <c r="A3498" s="265">
        <v>45986</v>
      </c>
      <c r="B3498" s="343" t="s">
        <v>1246</v>
      </c>
      <c r="C3498" s="43" t="s">
        <v>1812</v>
      </c>
      <c r="D3498" s="43">
        <v>-4</v>
      </c>
      <c r="E3498" s="230" t="s">
        <v>125</v>
      </c>
    </row>
    <row r="3500" spans="1:5">
      <c r="A3500" s="335">
        <v>45987</v>
      </c>
      <c r="B3500" s="343" t="s">
        <v>1246</v>
      </c>
      <c r="C3500" s="345" t="s">
        <v>1827</v>
      </c>
      <c r="D3500" s="345">
        <v>-2</v>
      </c>
      <c r="E3500" s="230" t="s">
        <v>125</v>
      </c>
    </row>
    <row r="3501" spans="1:5">
      <c r="A3501" s="335">
        <v>45987</v>
      </c>
      <c r="B3501" s="343" t="s">
        <v>1674</v>
      </c>
      <c r="C3501" s="345" t="s">
        <v>1828</v>
      </c>
      <c r="D3501" s="345">
        <v>-10</v>
      </c>
      <c r="E3501" s="230" t="s">
        <v>125</v>
      </c>
    </row>
    <row r="3502" spans="1:5">
      <c r="A3502" s="335">
        <v>45987</v>
      </c>
      <c r="B3502" s="343" t="s">
        <v>1673</v>
      </c>
      <c r="C3502" s="345" t="s">
        <v>1828</v>
      </c>
      <c r="D3502" s="345">
        <v>-4</v>
      </c>
      <c r="E3502" s="230" t="s">
        <v>125</v>
      </c>
    </row>
    <row r="3503" spans="1:5">
      <c r="A3503" s="335">
        <v>45987</v>
      </c>
      <c r="B3503" s="343" t="s">
        <v>1754</v>
      </c>
      <c r="C3503" s="345" t="s">
        <v>1828</v>
      </c>
      <c r="D3503" s="345">
        <v>-9</v>
      </c>
      <c r="E3503" s="230" t="s">
        <v>125</v>
      </c>
    </row>
    <row r="3504" spans="1:5">
      <c r="A3504" s="335">
        <v>45987</v>
      </c>
      <c r="B3504" s="93" t="s">
        <v>1561</v>
      </c>
      <c r="C3504" s="345" t="s">
        <v>1828</v>
      </c>
      <c r="D3504" s="43">
        <v>-1</v>
      </c>
      <c r="E3504" s="230" t="s">
        <v>125</v>
      </c>
    </row>
    <row r="3505" spans="1:5">
      <c r="A3505" s="335">
        <v>45987</v>
      </c>
      <c r="B3505" s="343" t="s">
        <v>1334</v>
      </c>
      <c r="C3505" s="43" t="s">
        <v>1829</v>
      </c>
      <c r="D3505" s="43">
        <v>-2</v>
      </c>
      <c r="E3505" s="230" t="s">
        <v>125</v>
      </c>
    </row>
    <row r="3506" spans="1:5">
      <c r="A3506" s="335">
        <v>45987</v>
      </c>
      <c r="B3506" s="343" t="s">
        <v>1246</v>
      </c>
      <c r="C3506" s="43" t="s">
        <v>1830</v>
      </c>
      <c r="D3506" s="43">
        <v>-1</v>
      </c>
      <c r="E3506" s="230" t="s">
        <v>125</v>
      </c>
    </row>
    <row r="3507" spans="1:5">
      <c r="A3507" s="335">
        <v>45987</v>
      </c>
      <c r="B3507" s="343" t="s">
        <v>1271</v>
      </c>
      <c r="C3507" s="43" t="s">
        <v>1830</v>
      </c>
      <c r="D3507" s="43">
        <v>-1</v>
      </c>
      <c r="E3507" s="230" t="s">
        <v>125</v>
      </c>
    </row>
    <row r="3508" spans="1:5">
      <c r="A3508" s="335">
        <v>45987</v>
      </c>
      <c r="B3508" s="92" t="s">
        <v>642</v>
      </c>
      <c r="C3508" s="43" t="s">
        <v>1787</v>
      </c>
      <c r="D3508" s="43">
        <v>-12</v>
      </c>
      <c r="E3508" s="230" t="s">
        <v>125</v>
      </c>
    </row>
    <row r="3509" spans="1:5">
      <c r="A3509" s="335">
        <v>45987</v>
      </c>
      <c r="B3509" s="93" t="s">
        <v>1097</v>
      </c>
      <c r="C3509" s="43" t="s">
        <v>1808</v>
      </c>
      <c r="D3509" s="43">
        <v>-1</v>
      </c>
      <c r="E3509" s="230" t="s">
        <v>125</v>
      </c>
    </row>
    <row r="3511" spans="1:5">
      <c r="A3511" s="437">
        <v>45987</v>
      </c>
      <c r="B3511" s="598" t="s">
        <v>642</v>
      </c>
      <c r="C3511" s="220" t="s">
        <v>1831</v>
      </c>
      <c r="D3511" s="220">
        <v>10</v>
      </c>
      <c r="E3511" s="438" t="s">
        <v>125</v>
      </c>
    </row>
    <row r="3512" spans="1:5">
      <c r="A3512" s="437">
        <v>45988</v>
      </c>
      <c r="B3512" s="598" t="s">
        <v>642</v>
      </c>
      <c r="C3512" s="220" t="s">
        <v>1831</v>
      </c>
      <c r="D3512" s="220">
        <v>30</v>
      </c>
      <c r="E3512" s="438" t="s">
        <v>125</v>
      </c>
    </row>
    <row r="3514" spans="1:5">
      <c r="A3514" s="265">
        <v>45988</v>
      </c>
      <c r="B3514" s="92" t="s">
        <v>76</v>
      </c>
      <c r="C3514" s="43" t="s">
        <v>1814</v>
      </c>
      <c r="D3514" s="43">
        <v>-50</v>
      </c>
      <c r="E3514" s="230" t="s">
        <v>125</v>
      </c>
    </row>
    <row r="3515" spans="1:5">
      <c r="A3515" s="265">
        <v>45988</v>
      </c>
      <c r="B3515" s="92" t="s">
        <v>76</v>
      </c>
      <c r="C3515" s="43" t="s">
        <v>1814</v>
      </c>
      <c r="D3515" s="43">
        <v>-32</v>
      </c>
      <c r="E3515" s="230" t="s">
        <v>125</v>
      </c>
    </row>
    <row r="3516" spans="1:5">
      <c r="A3516" s="265">
        <v>45988</v>
      </c>
      <c r="B3516" s="92" t="s">
        <v>76</v>
      </c>
      <c r="C3516" s="43" t="s">
        <v>1835</v>
      </c>
      <c r="D3516" s="43">
        <v>-2</v>
      </c>
      <c r="E3516" s="230" t="s">
        <v>125</v>
      </c>
    </row>
    <row r="3517" spans="1:5">
      <c r="A3517" s="265">
        <v>45988</v>
      </c>
      <c r="B3517" s="92" t="s">
        <v>671</v>
      </c>
      <c r="C3517" s="43" t="s">
        <v>1836</v>
      </c>
      <c r="D3517" s="43">
        <v>-12</v>
      </c>
      <c r="E3517" s="230" t="s">
        <v>125</v>
      </c>
    </row>
    <row r="3518" spans="1:5">
      <c r="A3518" s="265">
        <v>45988</v>
      </c>
      <c r="B3518" s="92" t="s">
        <v>76</v>
      </c>
      <c r="C3518" s="43" t="s">
        <v>1837</v>
      </c>
      <c r="D3518" s="43">
        <v>-36</v>
      </c>
      <c r="E3518" s="230" t="s">
        <v>125</v>
      </c>
    </row>
    <row r="3519" spans="1:5">
      <c r="A3519" s="265">
        <v>45988</v>
      </c>
      <c r="B3519" s="92" t="s">
        <v>76</v>
      </c>
      <c r="C3519" s="43" t="s">
        <v>1838</v>
      </c>
      <c r="D3519" s="43">
        <v>-9</v>
      </c>
      <c r="E3519" s="230" t="s">
        <v>125</v>
      </c>
    </row>
    <row r="3520" spans="1:5">
      <c r="A3520" s="265">
        <v>45988</v>
      </c>
      <c r="B3520" s="344" t="s">
        <v>1182</v>
      </c>
      <c r="C3520" s="43" t="s">
        <v>1836</v>
      </c>
      <c r="D3520" s="43">
        <v>-13</v>
      </c>
      <c r="E3520" s="230" t="s">
        <v>125</v>
      </c>
    </row>
    <row r="3522" spans="1:5">
      <c r="A3522" s="437">
        <v>45988</v>
      </c>
      <c r="B3522" s="222" t="s">
        <v>1617</v>
      </c>
      <c r="C3522" s="220" t="s">
        <v>1842</v>
      </c>
      <c r="D3522" s="220">
        <v>30</v>
      </c>
      <c r="E3522" s="438" t="s">
        <v>125</v>
      </c>
    </row>
    <row r="3524" spans="1:5">
      <c r="A3524" s="265">
        <v>45988</v>
      </c>
      <c r="B3524" s="84" t="s">
        <v>134</v>
      </c>
      <c r="C3524" s="43" t="s">
        <v>439</v>
      </c>
      <c r="D3524" s="43">
        <v>-1</v>
      </c>
      <c r="E3524" s="230" t="s">
        <v>125</v>
      </c>
    </row>
    <row r="3525" spans="1:5">
      <c r="A3525" s="265">
        <v>45988</v>
      </c>
      <c r="B3525" s="343" t="s">
        <v>1642</v>
      </c>
      <c r="C3525" s="43" t="s">
        <v>439</v>
      </c>
      <c r="D3525" s="43">
        <v>-1</v>
      </c>
      <c r="E3525" s="230" t="s">
        <v>125</v>
      </c>
    </row>
    <row r="3526" spans="1:5">
      <c r="A3526" s="265">
        <v>45988</v>
      </c>
      <c r="B3526" s="343" t="s">
        <v>1319</v>
      </c>
      <c r="C3526" s="43" t="s">
        <v>439</v>
      </c>
      <c r="D3526" s="43">
        <v>-1</v>
      </c>
      <c r="E3526" s="230" t="s">
        <v>125</v>
      </c>
    </row>
    <row r="3527" spans="1:5">
      <c r="A3527" s="265">
        <v>45988</v>
      </c>
      <c r="B3527" s="84" t="s">
        <v>134</v>
      </c>
      <c r="C3527" s="43" t="s">
        <v>439</v>
      </c>
      <c r="D3527" s="43">
        <v>-1</v>
      </c>
      <c r="E3527" s="230" t="s">
        <v>125</v>
      </c>
    </row>
    <row r="3528" spans="1:5">
      <c r="A3528" s="265">
        <v>45988</v>
      </c>
      <c r="B3528" s="93" t="s">
        <v>1617</v>
      </c>
      <c r="C3528" s="43" t="s">
        <v>1843</v>
      </c>
      <c r="D3528" s="43">
        <v>-30</v>
      </c>
      <c r="E3528" s="230" t="s">
        <v>125</v>
      </c>
    </row>
    <row r="3529" spans="1:5">
      <c r="A3529" s="265">
        <v>45988</v>
      </c>
      <c r="B3529" s="92" t="s">
        <v>642</v>
      </c>
      <c r="C3529" s="43" t="s">
        <v>1843</v>
      </c>
      <c r="D3529" s="43">
        <v>-30</v>
      </c>
      <c r="E3529" s="230" t="s">
        <v>125</v>
      </c>
    </row>
    <row r="3530" spans="1:5">
      <c r="A3530" s="265">
        <v>45988</v>
      </c>
      <c r="B3530" s="343" t="s">
        <v>1327</v>
      </c>
      <c r="C3530" s="43" t="s">
        <v>1605</v>
      </c>
      <c r="D3530" s="43">
        <v>-1</v>
      </c>
      <c r="E3530" s="230" t="s">
        <v>125</v>
      </c>
    </row>
    <row r="3531" spans="1:5">
      <c r="A3531" s="265">
        <v>45988</v>
      </c>
      <c r="B3531" s="92" t="s">
        <v>672</v>
      </c>
      <c r="C3531" s="43" t="s">
        <v>1598</v>
      </c>
      <c r="D3531" s="43">
        <v>-2</v>
      </c>
      <c r="E3531" s="230" t="s">
        <v>125</v>
      </c>
    </row>
    <row r="3532" spans="1:5">
      <c r="A3532" s="265">
        <v>45988</v>
      </c>
      <c r="B3532" s="343" t="s">
        <v>1271</v>
      </c>
      <c r="C3532" s="43" t="s">
        <v>1605</v>
      </c>
      <c r="D3532" s="43">
        <v>-1</v>
      </c>
      <c r="E3532" s="230" t="s">
        <v>125</v>
      </c>
    </row>
    <row r="3533" spans="1:5">
      <c r="A3533" s="265">
        <v>45988</v>
      </c>
      <c r="B3533" s="104" t="s">
        <v>932</v>
      </c>
      <c r="C3533" s="43" t="s">
        <v>1660</v>
      </c>
      <c r="D3533" s="43">
        <v>-3</v>
      </c>
      <c r="E3533" s="230" t="s">
        <v>125</v>
      </c>
    </row>
    <row r="3534" spans="1:5">
      <c r="A3534" s="265">
        <v>45988</v>
      </c>
      <c r="B3534" s="343" t="s">
        <v>935</v>
      </c>
      <c r="C3534" s="43" t="s">
        <v>1660</v>
      </c>
      <c r="D3534" s="43">
        <v>-2</v>
      </c>
      <c r="E3534" s="230" t="s">
        <v>125</v>
      </c>
    </row>
    <row r="3535" spans="1:5">
      <c r="A3535" s="265">
        <v>45988</v>
      </c>
      <c r="B3535" s="93" t="s">
        <v>166</v>
      </c>
      <c r="C3535" s="43" t="s">
        <v>1660</v>
      </c>
      <c r="D3535" s="43">
        <v>-1</v>
      </c>
      <c r="E3535" s="230" t="s">
        <v>125</v>
      </c>
    </row>
    <row r="3536" spans="1:5">
      <c r="A3536" s="335">
        <v>45988</v>
      </c>
      <c r="B3536" s="342" t="s">
        <v>477</v>
      </c>
      <c r="C3536" s="361" t="s">
        <v>1613</v>
      </c>
      <c r="D3536" s="361">
        <v>-1</v>
      </c>
      <c r="E3536" s="230" t="s">
        <v>125</v>
      </c>
    </row>
    <row r="3537" spans="1:6">
      <c r="A3537" s="346">
        <v>45988</v>
      </c>
      <c r="B3537" s="349" t="s">
        <v>1246</v>
      </c>
      <c r="C3537" s="348" t="s">
        <v>921</v>
      </c>
      <c r="D3537" s="348">
        <v>2</v>
      </c>
      <c r="E3537" s="360" t="s">
        <v>125</v>
      </c>
      <c r="F3537" t="s">
        <v>1844</v>
      </c>
    </row>
    <row r="3538" spans="1:6">
      <c r="A3538" s="346">
        <v>45988</v>
      </c>
      <c r="B3538" s="349" t="s">
        <v>1249</v>
      </c>
      <c r="C3538" s="348" t="s">
        <v>921</v>
      </c>
      <c r="D3538" s="348">
        <v>1</v>
      </c>
      <c r="E3538" s="360" t="s">
        <v>125</v>
      </c>
    </row>
    <row r="3539" spans="1:6">
      <c r="A3539" s="346">
        <v>45988</v>
      </c>
      <c r="B3539" s="349" t="s">
        <v>1290</v>
      </c>
      <c r="C3539" s="348" t="s">
        <v>921</v>
      </c>
      <c r="D3539" s="348">
        <v>1</v>
      </c>
      <c r="E3539" s="360" t="s">
        <v>125</v>
      </c>
    </row>
    <row r="3540" spans="1:6">
      <c r="A3540" s="346">
        <v>45988</v>
      </c>
      <c r="B3540" s="349" t="s">
        <v>1271</v>
      </c>
      <c r="C3540" s="348" t="s">
        <v>921</v>
      </c>
      <c r="D3540" s="348">
        <v>6</v>
      </c>
      <c r="E3540" s="360" t="s">
        <v>125</v>
      </c>
    </row>
    <row r="3541" spans="1:6">
      <c r="A3541" s="346">
        <v>45988</v>
      </c>
      <c r="B3541" s="349" t="s">
        <v>1327</v>
      </c>
      <c r="C3541" s="348" t="s">
        <v>921</v>
      </c>
      <c r="D3541" s="348">
        <v>20</v>
      </c>
      <c r="E3541" s="360" t="s">
        <v>125</v>
      </c>
    </row>
    <row r="3542" spans="1:6">
      <c r="A3542" s="346">
        <v>45988</v>
      </c>
      <c r="B3542" s="349" t="s">
        <v>1326</v>
      </c>
      <c r="C3542" s="348" t="s">
        <v>921</v>
      </c>
      <c r="D3542" s="348">
        <v>6</v>
      </c>
      <c r="E3542" s="360" t="s">
        <v>125</v>
      </c>
    </row>
    <row r="3543" spans="1:6">
      <c r="A3543" s="346">
        <v>45988</v>
      </c>
      <c r="B3543" s="349" t="s">
        <v>167</v>
      </c>
      <c r="C3543" s="348" t="s">
        <v>921</v>
      </c>
      <c r="D3543" s="348">
        <v>1</v>
      </c>
      <c r="E3543" s="360" t="s">
        <v>125</v>
      </c>
    </row>
    <row r="3544" spans="1:6">
      <c r="A3544" s="346">
        <v>45988</v>
      </c>
      <c r="B3544" s="349" t="s">
        <v>1641</v>
      </c>
      <c r="C3544" s="348" t="s">
        <v>921</v>
      </c>
      <c r="D3544" s="348">
        <v>1</v>
      </c>
      <c r="E3544" s="360" t="s">
        <v>125</v>
      </c>
    </row>
    <row r="3545" spans="1:6">
      <c r="A3545" s="346">
        <v>45988</v>
      </c>
      <c r="B3545" s="349" t="s">
        <v>1095</v>
      </c>
      <c r="C3545" s="348" t="s">
        <v>921</v>
      </c>
      <c r="D3545" s="348">
        <v>4</v>
      </c>
      <c r="E3545" s="360" t="s">
        <v>125</v>
      </c>
    </row>
    <row r="3546" spans="1:6">
      <c r="A3546" s="346">
        <v>45988</v>
      </c>
      <c r="B3546" s="349" t="s">
        <v>1094</v>
      </c>
      <c r="C3546" s="348" t="s">
        <v>921</v>
      </c>
      <c r="D3546" s="348">
        <v>2</v>
      </c>
      <c r="E3546" s="360" t="s">
        <v>125</v>
      </c>
    </row>
    <row r="3547" spans="1:6">
      <c r="A3547" s="346">
        <v>45988</v>
      </c>
      <c r="B3547" s="349" t="s">
        <v>1291</v>
      </c>
      <c r="C3547" s="348" t="s">
        <v>921</v>
      </c>
      <c r="D3547" s="348">
        <v>4</v>
      </c>
      <c r="E3547" s="360" t="s">
        <v>125</v>
      </c>
    </row>
    <row r="3548" spans="1:6">
      <c r="A3548" s="346">
        <v>45988</v>
      </c>
      <c r="B3548" s="349" t="s">
        <v>1334</v>
      </c>
      <c r="C3548" s="348" t="s">
        <v>921</v>
      </c>
      <c r="D3548" s="348">
        <v>1</v>
      </c>
      <c r="E3548" s="360" t="s">
        <v>125</v>
      </c>
    </row>
    <row r="3549" spans="1:6">
      <c r="A3549" s="346">
        <v>45988</v>
      </c>
      <c r="B3549" s="349" t="s">
        <v>1533</v>
      </c>
      <c r="C3549" s="348" t="s">
        <v>921</v>
      </c>
      <c r="D3549" s="348">
        <v>1</v>
      </c>
      <c r="E3549" s="360" t="s">
        <v>125</v>
      </c>
    </row>
    <row r="3550" spans="1:6">
      <c r="A3550" s="346">
        <v>45988</v>
      </c>
      <c r="B3550" s="349" t="s">
        <v>1533</v>
      </c>
      <c r="C3550" s="348" t="s">
        <v>921</v>
      </c>
      <c r="D3550" s="348">
        <v>1</v>
      </c>
      <c r="E3550" s="360" t="s">
        <v>125</v>
      </c>
    </row>
    <row r="3551" spans="1:6">
      <c r="A3551" s="310">
        <v>45988</v>
      </c>
      <c r="B3551" s="526" t="s">
        <v>1334</v>
      </c>
      <c r="C3551" s="312" t="s">
        <v>1845</v>
      </c>
      <c r="D3551" s="312">
        <v>2</v>
      </c>
      <c r="E3551" s="313" t="s">
        <v>125</v>
      </c>
    </row>
    <row r="3553" spans="1:6">
      <c r="A3553" s="346">
        <v>45988</v>
      </c>
      <c r="B3553" s="349" t="s">
        <v>1246</v>
      </c>
      <c r="C3553" s="348" t="s">
        <v>921</v>
      </c>
      <c r="D3553" s="348">
        <v>2</v>
      </c>
      <c r="E3553" s="360" t="s">
        <v>125</v>
      </c>
      <c r="F3553" t="s">
        <v>1846</v>
      </c>
    </row>
    <row r="3554" spans="1:6">
      <c r="A3554" s="346">
        <v>45988</v>
      </c>
      <c r="B3554" s="349" t="s">
        <v>1271</v>
      </c>
      <c r="C3554" s="348" t="s">
        <v>921</v>
      </c>
      <c r="D3554" s="348">
        <v>2</v>
      </c>
      <c r="E3554" s="360" t="s">
        <v>125</v>
      </c>
    </row>
    <row r="3555" spans="1:6">
      <c r="A3555" s="346">
        <v>45988</v>
      </c>
      <c r="B3555" s="349" t="s">
        <v>1271</v>
      </c>
      <c r="C3555" s="348" t="s">
        <v>921</v>
      </c>
      <c r="D3555" s="348">
        <v>3</v>
      </c>
      <c r="E3555" s="360" t="s">
        <v>125</v>
      </c>
    </row>
    <row r="3556" spans="1:6">
      <c r="A3556" s="346">
        <v>45988</v>
      </c>
      <c r="B3556" s="349" t="s">
        <v>1271</v>
      </c>
      <c r="C3556" s="348" t="s">
        <v>921</v>
      </c>
      <c r="D3556" s="348">
        <v>1</v>
      </c>
      <c r="E3556" s="360" t="s">
        <v>125</v>
      </c>
    </row>
    <row r="3557" spans="1:6">
      <c r="A3557" s="346">
        <v>45988</v>
      </c>
      <c r="B3557" s="349" t="s">
        <v>1327</v>
      </c>
      <c r="C3557" s="348" t="s">
        <v>921</v>
      </c>
      <c r="D3557" s="348">
        <v>4</v>
      </c>
      <c r="E3557" s="360" t="s">
        <v>125</v>
      </c>
    </row>
    <row r="3558" spans="1:6">
      <c r="A3558" s="346">
        <v>45988</v>
      </c>
      <c r="B3558" s="349" t="s">
        <v>1327</v>
      </c>
      <c r="C3558" s="348" t="s">
        <v>921</v>
      </c>
      <c r="D3558" s="348">
        <v>1</v>
      </c>
      <c r="E3558" s="360" t="s">
        <v>125</v>
      </c>
    </row>
    <row r="3559" spans="1:6">
      <c r="A3559" s="346">
        <v>45988</v>
      </c>
      <c r="B3559" s="349" t="s">
        <v>1326</v>
      </c>
      <c r="C3559" s="348" t="s">
        <v>921</v>
      </c>
      <c r="D3559" s="348">
        <v>1</v>
      </c>
      <c r="E3559" s="360" t="s">
        <v>125</v>
      </c>
    </row>
    <row r="3560" spans="1:6">
      <c r="A3560" s="346">
        <v>45988</v>
      </c>
      <c r="B3560" s="349" t="s">
        <v>169</v>
      </c>
      <c r="C3560" s="348" t="s">
        <v>921</v>
      </c>
      <c r="D3560" s="348">
        <v>1</v>
      </c>
      <c r="E3560" s="360" t="s">
        <v>125</v>
      </c>
    </row>
    <row r="3561" spans="1:6">
      <c r="A3561" s="346">
        <v>45988</v>
      </c>
      <c r="B3561" s="349" t="s">
        <v>169</v>
      </c>
      <c r="C3561" s="348" t="s">
        <v>921</v>
      </c>
      <c r="D3561" s="348">
        <v>5</v>
      </c>
      <c r="E3561" s="360" t="s">
        <v>125</v>
      </c>
    </row>
    <row r="3562" spans="1:6">
      <c r="A3562" s="346">
        <v>45988</v>
      </c>
      <c r="B3562" s="351" t="s">
        <v>932</v>
      </c>
      <c r="C3562" s="348" t="s">
        <v>921</v>
      </c>
      <c r="D3562" s="348">
        <v>2</v>
      </c>
      <c r="E3562" s="360" t="s">
        <v>125</v>
      </c>
    </row>
    <row r="3563" spans="1:6">
      <c r="A3563" s="346">
        <v>45988</v>
      </c>
      <c r="B3563" s="349" t="s">
        <v>935</v>
      </c>
      <c r="C3563" s="348" t="s">
        <v>921</v>
      </c>
      <c r="D3563" s="348">
        <v>1</v>
      </c>
      <c r="E3563" s="360" t="s">
        <v>125</v>
      </c>
    </row>
    <row r="3564" spans="1:6">
      <c r="A3564" s="346">
        <v>45988</v>
      </c>
      <c r="B3564" s="349" t="s">
        <v>1291</v>
      </c>
      <c r="C3564" s="348" t="s">
        <v>921</v>
      </c>
      <c r="D3564" s="348">
        <v>1</v>
      </c>
      <c r="E3564" s="360" t="s">
        <v>125</v>
      </c>
    </row>
    <row r="3566" spans="1:6">
      <c r="A3566" s="434">
        <v>45989</v>
      </c>
      <c r="B3566" s="168" t="s">
        <v>1561</v>
      </c>
      <c r="C3566" s="166" t="s">
        <v>254</v>
      </c>
      <c r="D3566" s="166">
        <v>1</v>
      </c>
      <c r="E3566" s="417" t="s">
        <v>125</v>
      </c>
    </row>
    <row r="3568" spans="1:6">
      <c r="A3568" s="265">
        <v>45989</v>
      </c>
      <c r="B3568" s="84" t="s">
        <v>881</v>
      </c>
      <c r="C3568" s="43" t="s">
        <v>1655</v>
      </c>
      <c r="D3568" s="43">
        <v>-2</v>
      </c>
      <c r="E3568" s="230" t="s">
        <v>125</v>
      </c>
    </row>
    <row r="3569" spans="1:5">
      <c r="A3569" s="265">
        <v>45989</v>
      </c>
      <c r="B3569" s="343" t="s">
        <v>1271</v>
      </c>
      <c r="C3569" s="43" t="s">
        <v>1847</v>
      </c>
      <c r="D3569" s="43">
        <v>-2</v>
      </c>
      <c r="E3569" s="230" t="s">
        <v>125</v>
      </c>
    </row>
    <row r="3570" spans="1:5">
      <c r="A3570" s="265">
        <v>45989</v>
      </c>
      <c r="B3570" s="343" t="s">
        <v>1246</v>
      </c>
      <c r="C3570" s="43" t="s">
        <v>1848</v>
      </c>
      <c r="D3570" s="43">
        <v>-2</v>
      </c>
      <c r="E3570" s="230" t="s">
        <v>125</v>
      </c>
    </row>
    <row r="3571" spans="1:5">
      <c r="A3571" s="265">
        <v>45989</v>
      </c>
      <c r="B3571" s="343" t="s">
        <v>1246</v>
      </c>
      <c r="C3571" s="43" t="s">
        <v>1849</v>
      </c>
      <c r="D3571" s="43">
        <v>-1</v>
      </c>
      <c r="E3571" s="230" t="s">
        <v>125</v>
      </c>
    </row>
    <row r="3572" spans="1:5">
      <c r="A3572" s="265">
        <v>45989</v>
      </c>
      <c r="B3572" s="343" t="s">
        <v>1271</v>
      </c>
      <c r="C3572" s="43" t="s">
        <v>1850</v>
      </c>
      <c r="D3572" s="43">
        <v>-2</v>
      </c>
      <c r="E3572" s="230" t="s">
        <v>125</v>
      </c>
    </row>
    <row r="3573" spans="1:5">
      <c r="A3573" s="265">
        <v>45989</v>
      </c>
      <c r="B3573" s="343" t="s">
        <v>1327</v>
      </c>
      <c r="C3573" s="43" t="s">
        <v>1850</v>
      </c>
      <c r="D3573" s="43">
        <v>-3</v>
      </c>
      <c r="E3573" s="230" t="s">
        <v>125</v>
      </c>
    </row>
    <row r="3575" spans="1:5">
      <c r="A3575" s="272">
        <v>45990</v>
      </c>
      <c r="B3575" s="128" t="s">
        <v>76</v>
      </c>
      <c r="C3575" s="106" t="s">
        <v>49</v>
      </c>
      <c r="D3575" s="106">
        <v>50</v>
      </c>
      <c r="E3575" s="94" t="s">
        <v>125</v>
      </c>
    </row>
    <row r="3576" spans="1:5">
      <c r="A3576" s="272">
        <v>45990</v>
      </c>
      <c r="B3576" s="139" t="s">
        <v>1617</v>
      </c>
      <c r="C3576" s="106" t="s">
        <v>49</v>
      </c>
      <c r="D3576" s="106">
        <v>10</v>
      </c>
      <c r="E3576" s="94" t="s">
        <v>125</v>
      </c>
    </row>
    <row r="3577" spans="1:5">
      <c r="A3577" s="272">
        <v>45990</v>
      </c>
      <c r="B3577" s="139" t="s">
        <v>1617</v>
      </c>
      <c r="C3577" s="106" t="s">
        <v>49</v>
      </c>
      <c r="D3577" s="106">
        <v>6</v>
      </c>
      <c r="E3577" s="94" t="s">
        <v>125</v>
      </c>
    </row>
    <row r="3578" spans="1:5">
      <c r="A3578" s="272">
        <v>45990</v>
      </c>
      <c r="B3578" s="139" t="s">
        <v>1575</v>
      </c>
      <c r="C3578" s="106" t="s">
        <v>49</v>
      </c>
      <c r="D3578" s="106">
        <v>10</v>
      </c>
      <c r="E3578" s="94" t="s">
        <v>125</v>
      </c>
    </row>
    <row r="3579" spans="1:5">
      <c r="A3579" s="272">
        <v>45990</v>
      </c>
      <c r="B3579" s="139" t="s">
        <v>1617</v>
      </c>
      <c r="C3579" s="106" t="s">
        <v>49</v>
      </c>
      <c r="D3579" s="106">
        <v>3</v>
      </c>
      <c r="E3579" s="94" t="s">
        <v>125</v>
      </c>
    </row>
    <row r="3580" spans="1:5">
      <c r="A3580" s="272">
        <v>45990</v>
      </c>
      <c r="B3580" s="139" t="s">
        <v>1617</v>
      </c>
      <c r="C3580" s="106" t="s">
        <v>49</v>
      </c>
      <c r="D3580" s="106">
        <v>2</v>
      </c>
      <c r="E3580" s="94" t="s">
        <v>125</v>
      </c>
    </row>
    <row r="3581" spans="1:5">
      <c r="A3581" s="272">
        <v>45990</v>
      </c>
      <c r="B3581" s="139" t="s">
        <v>808</v>
      </c>
      <c r="C3581" s="106" t="s">
        <v>49</v>
      </c>
      <c r="D3581" s="106">
        <v>1</v>
      </c>
      <c r="E3581" s="94" t="s">
        <v>125</v>
      </c>
    </row>
    <row r="3582" spans="1:5">
      <c r="A3582" s="272">
        <v>45990</v>
      </c>
      <c r="B3582" s="139" t="s">
        <v>808</v>
      </c>
      <c r="C3582" s="106" t="s">
        <v>49</v>
      </c>
      <c r="D3582" s="106">
        <v>2</v>
      </c>
      <c r="E3582" s="94" t="s">
        <v>125</v>
      </c>
    </row>
    <row r="3583" spans="1:5">
      <c r="A3583" s="272">
        <v>45990</v>
      </c>
      <c r="B3583" s="128" t="s">
        <v>76</v>
      </c>
      <c r="C3583" s="106" t="s">
        <v>49</v>
      </c>
      <c r="D3583" s="106">
        <v>2</v>
      </c>
      <c r="E3583" s="94" t="s">
        <v>125</v>
      </c>
    </row>
    <row r="3584" spans="1:5">
      <c r="A3584" s="272">
        <v>45990</v>
      </c>
      <c r="B3584" s="139" t="s">
        <v>1617</v>
      </c>
      <c r="C3584" s="106" t="s">
        <v>49</v>
      </c>
      <c r="D3584" s="106">
        <v>3</v>
      </c>
      <c r="E3584" s="94" t="s">
        <v>125</v>
      </c>
    </row>
    <row r="3585" spans="1:6">
      <c r="A3585" s="272">
        <v>45990</v>
      </c>
      <c r="B3585" s="139" t="s">
        <v>808</v>
      </c>
      <c r="C3585" s="106" t="s">
        <v>49</v>
      </c>
      <c r="D3585" s="106">
        <v>2</v>
      </c>
      <c r="E3585" s="94" t="s">
        <v>125</v>
      </c>
    </row>
    <row r="3586" spans="1:6">
      <c r="A3586" s="272">
        <v>45990</v>
      </c>
      <c r="B3586" s="139" t="s">
        <v>1782</v>
      </c>
      <c r="C3586" s="106" t="s">
        <v>49</v>
      </c>
      <c r="D3586" s="106">
        <v>3</v>
      </c>
      <c r="E3586" s="94" t="s">
        <v>125</v>
      </c>
    </row>
    <row r="3587" spans="1:6">
      <c r="A3587" s="272">
        <v>45990</v>
      </c>
      <c r="B3587" s="128" t="s">
        <v>76</v>
      </c>
      <c r="C3587" s="106" t="s">
        <v>49</v>
      </c>
      <c r="D3587" s="106">
        <v>2</v>
      </c>
      <c r="E3587" s="94" t="s">
        <v>125</v>
      </c>
    </row>
    <row r="3588" spans="1:6">
      <c r="A3588" s="272">
        <v>45990</v>
      </c>
      <c r="B3588" s="233" t="s">
        <v>375</v>
      </c>
      <c r="C3588" s="106" t="s">
        <v>49</v>
      </c>
      <c r="D3588" s="106">
        <v>1</v>
      </c>
      <c r="E3588" s="94" t="s">
        <v>125</v>
      </c>
    </row>
    <row r="3589" spans="1:6">
      <c r="A3589" s="272">
        <v>45990</v>
      </c>
      <c r="B3589" s="128" t="s">
        <v>76</v>
      </c>
      <c r="C3589" s="106" t="s">
        <v>49</v>
      </c>
      <c r="D3589" s="106">
        <v>4</v>
      </c>
      <c r="E3589" s="94" t="s">
        <v>125</v>
      </c>
    </row>
    <row r="3590" spans="1:6">
      <c r="A3590" s="272">
        <v>45990</v>
      </c>
      <c r="B3590" s="128" t="s">
        <v>76</v>
      </c>
      <c r="C3590" s="106" t="s">
        <v>49</v>
      </c>
      <c r="D3590" s="106">
        <v>2</v>
      </c>
      <c r="E3590" s="94" t="s">
        <v>125</v>
      </c>
    </row>
    <row r="3591" spans="1:6">
      <c r="A3591" s="272">
        <v>45990</v>
      </c>
      <c r="B3591" s="128" t="s">
        <v>76</v>
      </c>
      <c r="C3591" s="106" t="s">
        <v>49</v>
      </c>
      <c r="D3591" s="106">
        <v>4</v>
      </c>
      <c r="E3591" s="94" t="s">
        <v>125</v>
      </c>
    </row>
    <row r="3592" spans="1:6">
      <c r="A3592" s="272">
        <v>45990</v>
      </c>
      <c r="B3592" s="128" t="s">
        <v>76</v>
      </c>
      <c r="C3592" s="106" t="s">
        <v>49</v>
      </c>
      <c r="D3592" s="106">
        <v>3</v>
      </c>
      <c r="E3592" s="94" t="s">
        <v>125</v>
      </c>
    </row>
    <row r="3593" spans="1:6">
      <c r="A3593" s="272">
        <v>45990</v>
      </c>
      <c r="B3593" s="128" t="s">
        <v>76</v>
      </c>
      <c r="C3593" s="106" t="s">
        <v>49</v>
      </c>
      <c r="D3593" s="106">
        <v>0</v>
      </c>
      <c r="E3593" s="94" t="s">
        <v>125</v>
      </c>
      <c r="F3593" t="s">
        <v>1340</v>
      </c>
    </row>
    <row r="3595" spans="1:6">
      <c r="A3595" s="330">
        <v>45990</v>
      </c>
      <c r="B3595" s="329" t="s">
        <v>839</v>
      </c>
      <c r="C3595" s="328" t="s">
        <v>49</v>
      </c>
      <c r="D3595" s="328">
        <v>1</v>
      </c>
      <c r="E3595" s="331" t="s">
        <v>125</v>
      </c>
    </row>
    <row r="3596" spans="1:6">
      <c r="A3596" s="330">
        <v>45990</v>
      </c>
      <c r="B3596" s="329" t="s">
        <v>839</v>
      </c>
      <c r="C3596" s="328" t="s">
        <v>49</v>
      </c>
      <c r="D3596" s="328">
        <v>1</v>
      </c>
      <c r="E3596" s="331" t="s">
        <v>125</v>
      </c>
    </row>
    <row r="3597" spans="1:6">
      <c r="A3597" s="330">
        <v>45990</v>
      </c>
      <c r="B3597" s="329" t="s">
        <v>839</v>
      </c>
      <c r="C3597" s="328" t="s">
        <v>49</v>
      </c>
      <c r="D3597" s="328">
        <v>3</v>
      </c>
      <c r="E3597" s="331" t="s">
        <v>125</v>
      </c>
    </row>
    <row r="3598" spans="1:6">
      <c r="A3598" s="330">
        <v>45990</v>
      </c>
      <c r="B3598" s="329" t="s">
        <v>839</v>
      </c>
      <c r="C3598" s="328" t="s">
        <v>49</v>
      </c>
      <c r="D3598" s="328">
        <v>10</v>
      </c>
      <c r="E3598" s="331" t="s">
        <v>125</v>
      </c>
    </row>
    <row r="3599" spans="1:6">
      <c r="A3599" s="330">
        <v>45990</v>
      </c>
      <c r="B3599" s="329" t="s">
        <v>839</v>
      </c>
      <c r="C3599" s="328" t="s">
        <v>49</v>
      </c>
      <c r="D3599" s="328">
        <v>12</v>
      </c>
      <c r="E3599" s="331" t="s">
        <v>125</v>
      </c>
    </row>
    <row r="3601" spans="1:5">
      <c r="A3601" s="335">
        <v>45990</v>
      </c>
      <c r="B3601" s="344" t="s">
        <v>934</v>
      </c>
      <c r="C3601" s="345" t="s">
        <v>1875</v>
      </c>
      <c r="D3601" s="345">
        <v>-1</v>
      </c>
      <c r="E3601" s="230" t="s">
        <v>125</v>
      </c>
    </row>
    <row r="3602" spans="1:5">
      <c r="A3602" s="335">
        <v>45990</v>
      </c>
      <c r="B3602" s="343" t="s">
        <v>1538</v>
      </c>
      <c r="C3602" s="345" t="s">
        <v>1875</v>
      </c>
      <c r="D3602" s="345">
        <v>-1</v>
      </c>
      <c r="E3602" s="230" t="s">
        <v>125</v>
      </c>
    </row>
    <row r="3603" spans="1:5">
      <c r="A3603" s="335">
        <v>45990</v>
      </c>
      <c r="B3603" s="92" t="s">
        <v>76</v>
      </c>
      <c r="C3603" s="43" t="s">
        <v>1876</v>
      </c>
      <c r="D3603" s="43">
        <v>-1</v>
      </c>
      <c r="E3603" s="230" t="s">
        <v>125</v>
      </c>
    </row>
    <row r="3605" spans="1:5">
      <c r="A3605" s="434">
        <v>45990</v>
      </c>
      <c r="B3605" s="168" t="s">
        <v>1334</v>
      </c>
      <c r="C3605" s="166" t="s">
        <v>1877</v>
      </c>
      <c r="D3605" s="166">
        <v>1</v>
      </c>
      <c r="E3605" s="417" t="s">
        <v>125</v>
      </c>
    </row>
    <row r="3607" spans="1:5">
      <c r="A3607" s="335">
        <v>45990</v>
      </c>
      <c r="B3607" s="92" t="s">
        <v>76</v>
      </c>
      <c r="C3607" s="43" t="s">
        <v>1878</v>
      </c>
      <c r="D3607" s="43">
        <v>-5</v>
      </c>
      <c r="E3607" s="230" t="s">
        <v>125</v>
      </c>
    </row>
    <row r="3608" spans="1:5">
      <c r="A3608" s="335">
        <v>45990</v>
      </c>
      <c r="B3608" s="92" t="s">
        <v>76</v>
      </c>
      <c r="C3608" s="43" t="s">
        <v>1814</v>
      </c>
      <c r="D3608" s="43">
        <v>-50</v>
      </c>
      <c r="E3608" s="230" t="s">
        <v>125</v>
      </c>
    </row>
    <row r="3609" spans="1:5">
      <c r="A3609" s="335">
        <v>45990</v>
      </c>
      <c r="B3609" s="93" t="s">
        <v>807</v>
      </c>
      <c r="C3609" s="43" t="s">
        <v>1879</v>
      </c>
      <c r="D3609" s="43">
        <v>-1</v>
      </c>
      <c r="E3609" s="230" t="s">
        <v>125</v>
      </c>
    </row>
    <row r="3610" spans="1:5">
      <c r="A3610" s="335">
        <v>45990</v>
      </c>
      <c r="B3610" s="93" t="s">
        <v>807</v>
      </c>
      <c r="C3610" s="43" t="s">
        <v>1879</v>
      </c>
      <c r="D3610" s="43">
        <v>-1</v>
      </c>
      <c r="E3610" s="230" t="s">
        <v>125</v>
      </c>
    </row>
    <row r="3611" spans="1:5">
      <c r="A3611" s="335">
        <v>45990</v>
      </c>
      <c r="B3611" s="93" t="s">
        <v>975</v>
      </c>
      <c r="C3611" s="43" t="s">
        <v>1879</v>
      </c>
      <c r="D3611" s="43">
        <v>-1</v>
      </c>
      <c r="E3611" s="230" t="s">
        <v>125</v>
      </c>
    </row>
    <row r="3612" spans="1:5">
      <c r="A3612" s="335">
        <v>45990</v>
      </c>
      <c r="B3612" s="344" t="s">
        <v>1146</v>
      </c>
      <c r="C3612" s="43" t="s">
        <v>1879</v>
      </c>
      <c r="D3612" s="43">
        <v>-1</v>
      </c>
      <c r="E3612" s="230" t="s">
        <v>125</v>
      </c>
    </row>
    <row r="3613" spans="1:5">
      <c r="A3613" s="335">
        <v>45990</v>
      </c>
      <c r="B3613" s="93" t="s">
        <v>154</v>
      </c>
      <c r="C3613" s="43" t="s">
        <v>1879</v>
      </c>
      <c r="D3613" s="43">
        <v>-1</v>
      </c>
      <c r="E3613" s="230" t="s">
        <v>125</v>
      </c>
    </row>
    <row r="3614" spans="1:5">
      <c r="A3614" s="335">
        <v>45990</v>
      </c>
      <c r="B3614" s="84" t="s">
        <v>134</v>
      </c>
      <c r="C3614" s="43" t="s">
        <v>1880</v>
      </c>
      <c r="D3614" s="43">
        <v>-1</v>
      </c>
      <c r="E3614" s="230" t="s">
        <v>125</v>
      </c>
    </row>
    <row r="3615" spans="1:5">
      <c r="A3615" s="335">
        <v>45990</v>
      </c>
      <c r="B3615" s="343" t="s">
        <v>1434</v>
      </c>
      <c r="C3615" s="43" t="s">
        <v>1880</v>
      </c>
      <c r="D3615" s="43">
        <v>-1</v>
      </c>
      <c r="E3615" s="230" t="s">
        <v>125</v>
      </c>
    </row>
    <row r="3617" spans="1:5">
      <c r="A3617" s="272">
        <v>45991</v>
      </c>
      <c r="B3617" s="128" t="s">
        <v>76</v>
      </c>
      <c r="C3617" s="106" t="s">
        <v>49</v>
      </c>
      <c r="D3617" s="106">
        <v>18</v>
      </c>
      <c r="E3617" s="94" t="s">
        <v>125</v>
      </c>
    </row>
    <row r="3618" spans="1:5">
      <c r="A3618" s="272">
        <v>45991</v>
      </c>
      <c r="B3618" s="128" t="s">
        <v>76</v>
      </c>
      <c r="C3618" s="106" t="s">
        <v>49</v>
      </c>
      <c r="D3618" s="106">
        <v>9</v>
      </c>
      <c r="E3618" s="94" t="s">
        <v>125</v>
      </c>
    </row>
    <row r="3619" spans="1:5">
      <c r="A3619" s="272">
        <v>45991</v>
      </c>
      <c r="B3619" s="128" t="s">
        <v>76</v>
      </c>
      <c r="C3619" s="106" t="s">
        <v>49</v>
      </c>
      <c r="D3619" s="106">
        <v>1</v>
      </c>
      <c r="E3619" s="94" t="s">
        <v>125</v>
      </c>
    </row>
    <row r="3620" spans="1:5">
      <c r="A3620" s="272">
        <v>45991</v>
      </c>
      <c r="B3620" s="139" t="s">
        <v>808</v>
      </c>
      <c r="C3620" s="106" t="s">
        <v>49</v>
      </c>
      <c r="D3620" s="106">
        <v>2</v>
      </c>
      <c r="E3620" s="94" t="s">
        <v>125</v>
      </c>
    </row>
    <row r="3621" spans="1:5">
      <c r="A3621" s="272">
        <v>45991</v>
      </c>
      <c r="B3621" s="139" t="s">
        <v>1575</v>
      </c>
      <c r="C3621" s="106" t="s">
        <v>49</v>
      </c>
      <c r="D3621" s="106">
        <v>8</v>
      </c>
      <c r="E3621" s="94" t="s">
        <v>125</v>
      </c>
    </row>
    <row r="3622" spans="1:5">
      <c r="A3622" s="272">
        <v>45991</v>
      </c>
      <c r="B3622" s="233" t="s">
        <v>375</v>
      </c>
      <c r="C3622" s="106" t="s">
        <v>49</v>
      </c>
      <c r="D3622" s="106">
        <v>1</v>
      </c>
      <c r="E3622" s="94" t="s">
        <v>125</v>
      </c>
    </row>
    <row r="3623" spans="1:5">
      <c r="A3623" s="272">
        <v>45991</v>
      </c>
      <c r="B3623" s="139" t="s">
        <v>1617</v>
      </c>
      <c r="C3623" s="106" t="s">
        <v>49</v>
      </c>
      <c r="D3623" s="106">
        <v>1</v>
      </c>
      <c r="E3623" s="94" t="s">
        <v>125</v>
      </c>
    </row>
    <row r="3624" spans="1:5">
      <c r="A3624" s="272">
        <v>45991</v>
      </c>
      <c r="B3624" s="128" t="s">
        <v>76</v>
      </c>
      <c r="C3624" s="106" t="s">
        <v>49</v>
      </c>
      <c r="D3624" s="106">
        <v>2</v>
      </c>
      <c r="E3624" s="94" t="s">
        <v>125</v>
      </c>
    </row>
    <row r="3625" spans="1:5">
      <c r="A3625" s="272">
        <v>45991</v>
      </c>
      <c r="B3625" s="128" t="s">
        <v>76</v>
      </c>
      <c r="C3625" s="106" t="s">
        <v>49</v>
      </c>
      <c r="D3625" s="106">
        <v>2</v>
      </c>
      <c r="E3625" s="94" t="s">
        <v>125</v>
      </c>
    </row>
    <row r="3626" spans="1:5">
      <c r="A3626" s="272">
        <v>45991</v>
      </c>
      <c r="B3626" s="128" t="s">
        <v>76</v>
      </c>
      <c r="C3626" s="106" t="s">
        <v>49</v>
      </c>
      <c r="D3626" s="106">
        <v>4</v>
      </c>
      <c r="E3626" s="94" t="s">
        <v>125</v>
      </c>
    </row>
    <row r="3627" spans="1:5">
      <c r="A3627" s="272">
        <v>45991</v>
      </c>
      <c r="B3627" s="128" t="s">
        <v>76</v>
      </c>
      <c r="C3627" s="106" t="s">
        <v>49</v>
      </c>
      <c r="D3627" s="106">
        <v>2</v>
      </c>
      <c r="E3627" s="94" t="s">
        <v>125</v>
      </c>
    </row>
    <row r="3628" spans="1:5">
      <c r="A3628" s="272">
        <v>45991</v>
      </c>
      <c r="B3628" s="128" t="s">
        <v>76</v>
      </c>
      <c r="C3628" s="106" t="s">
        <v>49</v>
      </c>
      <c r="D3628" s="106">
        <v>3</v>
      </c>
      <c r="E3628" s="94" t="s">
        <v>125</v>
      </c>
    </row>
    <row r="3629" spans="1:5">
      <c r="A3629" s="272">
        <v>45991</v>
      </c>
      <c r="B3629" s="139" t="s">
        <v>808</v>
      </c>
      <c r="C3629" s="106" t="s">
        <v>49</v>
      </c>
      <c r="D3629" s="106">
        <v>2</v>
      </c>
      <c r="E3629" s="94" t="s">
        <v>125</v>
      </c>
    </row>
    <row r="3630" spans="1:5">
      <c r="A3630" s="272">
        <v>45991</v>
      </c>
      <c r="B3630" s="139" t="s">
        <v>1575</v>
      </c>
      <c r="C3630" s="106" t="s">
        <v>49</v>
      </c>
      <c r="D3630" s="106">
        <v>8</v>
      </c>
      <c r="E3630" s="94" t="s">
        <v>125</v>
      </c>
    </row>
    <row r="3631" spans="1:5">
      <c r="A3631" s="272">
        <v>45991</v>
      </c>
      <c r="B3631" s="233" t="s">
        <v>375</v>
      </c>
      <c r="C3631" s="106" t="s">
        <v>49</v>
      </c>
      <c r="D3631" s="106">
        <v>7</v>
      </c>
      <c r="E3631" s="94" t="s">
        <v>125</v>
      </c>
    </row>
    <row r="3632" spans="1:5">
      <c r="A3632" s="272">
        <v>45991</v>
      </c>
      <c r="B3632" s="139" t="s">
        <v>1617</v>
      </c>
      <c r="C3632" s="106" t="s">
        <v>49</v>
      </c>
      <c r="D3632" s="106">
        <v>3</v>
      </c>
      <c r="E3632" s="94" t="s">
        <v>125</v>
      </c>
    </row>
    <row r="3633" spans="1:5">
      <c r="A3633" s="272">
        <v>45991</v>
      </c>
      <c r="B3633" s="128" t="s">
        <v>76</v>
      </c>
      <c r="C3633" s="106" t="s">
        <v>49</v>
      </c>
      <c r="D3633" s="106">
        <v>47</v>
      </c>
      <c r="E3633" s="94" t="s">
        <v>125</v>
      </c>
    </row>
    <row r="3635" spans="1:5">
      <c r="A3635" s="434">
        <v>45991</v>
      </c>
      <c r="B3635" s="168" t="s">
        <v>166</v>
      </c>
      <c r="C3635" s="166" t="s">
        <v>1596</v>
      </c>
      <c r="D3635" s="166">
        <v>1</v>
      </c>
      <c r="E3635" s="615" t="s">
        <v>125</v>
      </c>
    </row>
    <row r="3636" spans="1:5">
      <c r="A3636" s="434">
        <v>45991</v>
      </c>
      <c r="B3636" s="503" t="s">
        <v>134</v>
      </c>
      <c r="C3636" s="166" t="s">
        <v>1899</v>
      </c>
      <c r="D3636" s="166">
        <v>2</v>
      </c>
      <c r="E3636" s="615" t="s">
        <v>125</v>
      </c>
    </row>
    <row r="3637" spans="1:5">
      <c r="A3637" s="434">
        <v>45991</v>
      </c>
      <c r="B3637" s="503" t="s">
        <v>134</v>
      </c>
      <c r="C3637" s="166" t="s">
        <v>1899</v>
      </c>
      <c r="D3637" s="166">
        <v>3</v>
      </c>
      <c r="E3637" s="615" t="s">
        <v>125</v>
      </c>
    </row>
    <row r="3638" spans="1:5">
      <c r="A3638" s="434">
        <v>45991</v>
      </c>
      <c r="B3638" s="435" t="s">
        <v>928</v>
      </c>
      <c r="C3638" s="166" t="s">
        <v>1899</v>
      </c>
      <c r="D3638" s="166">
        <v>1</v>
      </c>
      <c r="E3638" s="615" t="s">
        <v>125</v>
      </c>
    </row>
    <row r="3639" spans="1:5">
      <c r="A3639" s="434">
        <v>45991</v>
      </c>
      <c r="B3639" s="435" t="s">
        <v>928</v>
      </c>
      <c r="C3639" s="166" t="s">
        <v>1899</v>
      </c>
      <c r="D3639" s="166">
        <v>1</v>
      </c>
      <c r="E3639" s="615" t="s">
        <v>125</v>
      </c>
    </row>
    <row r="3640" spans="1:5">
      <c r="A3640" s="434">
        <v>45991</v>
      </c>
      <c r="B3640" s="435" t="s">
        <v>928</v>
      </c>
      <c r="C3640" s="166" t="s">
        <v>1899</v>
      </c>
      <c r="D3640" s="166">
        <v>1</v>
      </c>
      <c r="E3640" s="615" t="s">
        <v>125</v>
      </c>
    </row>
    <row r="3641" spans="1:5">
      <c r="A3641" s="434">
        <v>45991</v>
      </c>
      <c r="B3641" s="168" t="s">
        <v>973</v>
      </c>
      <c r="C3641" s="166" t="s">
        <v>1899</v>
      </c>
      <c r="D3641" s="166">
        <v>1</v>
      </c>
      <c r="E3641" s="615" t="s">
        <v>125</v>
      </c>
    </row>
    <row r="3643" spans="1:5">
      <c r="A3643" s="265">
        <v>45991</v>
      </c>
      <c r="B3643" s="93" t="s">
        <v>1900</v>
      </c>
      <c r="C3643" s="43" t="s">
        <v>1603</v>
      </c>
      <c r="D3643" s="43">
        <v>-1</v>
      </c>
      <c r="E3643" s="230" t="s">
        <v>125</v>
      </c>
    </row>
    <row r="3644" spans="1:5">
      <c r="A3644" s="265">
        <v>45991</v>
      </c>
      <c r="B3644" s="93" t="s">
        <v>843</v>
      </c>
      <c r="C3644" s="43" t="s">
        <v>1603</v>
      </c>
      <c r="D3644" s="43">
        <v>-5</v>
      </c>
      <c r="E3644" s="230" t="s">
        <v>125</v>
      </c>
    </row>
    <row r="3645" spans="1:5">
      <c r="A3645" s="265">
        <v>45991</v>
      </c>
      <c r="B3645" s="93" t="s">
        <v>1901</v>
      </c>
      <c r="C3645" s="43" t="s">
        <v>1603</v>
      </c>
      <c r="D3645" s="43">
        <v>-1</v>
      </c>
      <c r="E3645" s="230" t="s">
        <v>125</v>
      </c>
    </row>
    <row r="3646" spans="1:5">
      <c r="A3646" s="265">
        <v>45991</v>
      </c>
      <c r="B3646" s="93" t="s">
        <v>1902</v>
      </c>
      <c r="C3646" s="43" t="s">
        <v>1603</v>
      </c>
      <c r="D3646" s="43">
        <v>-4</v>
      </c>
      <c r="E3646" s="230" t="s">
        <v>125</v>
      </c>
    </row>
    <row r="3647" spans="1:5">
      <c r="A3647" s="265">
        <v>45991</v>
      </c>
      <c r="B3647" s="93" t="s">
        <v>1903</v>
      </c>
      <c r="C3647" s="43" t="s">
        <v>1603</v>
      </c>
      <c r="D3647" s="43">
        <v>-2</v>
      </c>
      <c r="E3647" s="230" t="s">
        <v>125</v>
      </c>
    </row>
    <row r="3649" spans="1:5">
      <c r="A3649" s="265">
        <v>45992</v>
      </c>
      <c r="B3649" s="92" t="s">
        <v>789</v>
      </c>
      <c r="C3649" s="43" t="s">
        <v>1815</v>
      </c>
      <c r="D3649" s="43">
        <v>-4</v>
      </c>
      <c r="E3649" s="230" t="s">
        <v>125</v>
      </c>
    </row>
    <row r="3651" spans="1:5">
      <c r="A3651" s="434">
        <v>45993</v>
      </c>
      <c r="B3651" s="503" t="s">
        <v>134</v>
      </c>
      <c r="C3651" s="166" t="s">
        <v>1904</v>
      </c>
      <c r="D3651" s="166">
        <v>2</v>
      </c>
      <c r="E3651" s="615" t="s">
        <v>125</v>
      </c>
    </row>
    <row r="3652" spans="1:5">
      <c r="A3652" s="434">
        <v>45993</v>
      </c>
      <c r="B3652" s="168" t="s">
        <v>1407</v>
      </c>
      <c r="C3652" s="166" t="s">
        <v>1904</v>
      </c>
      <c r="D3652" s="166">
        <v>3</v>
      </c>
      <c r="E3652" s="615" t="s">
        <v>125</v>
      </c>
    </row>
    <row r="3654" spans="1:5">
      <c r="A3654" s="265">
        <v>45993</v>
      </c>
      <c r="B3654" s="343" t="s">
        <v>1533</v>
      </c>
      <c r="C3654" s="43" t="s">
        <v>1905</v>
      </c>
      <c r="D3654" s="43">
        <v>-1</v>
      </c>
      <c r="E3654" s="230" t="s">
        <v>125</v>
      </c>
    </row>
    <row r="3655" spans="1:5">
      <c r="A3655" s="265">
        <v>45993</v>
      </c>
      <c r="B3655" s="343" t="s">
        <v>1246</v>
      </c>
      <c r="C3655" s="43" t="s">
        <v>678</v>
      </c>
      <c r="D3655" s="43">
        <v>-1</v>
      </c>
      <c r="E3655" s="230" t="s">
        <v>125</v>
      </c>
    </row>
    <row r="3656" spans="1:5">
      <c r="A3656" s="265">
        <v>45993</v>
      </c>
      <c r="B3656" s="92" t="s">
        <v>672</v>
      </c>
      <c r="C3656" s="43" t="s">
        <v>1906</v>
      </c>
      <c r="D3656" s="43">
        <v>-2</v>
      </c>
      <c r="E3656" s="230" t="s">
        <v>125</v>
      </c>
    </row>
    <row r="3658" spans="1:5">
      <c r="A3658" s="265">
        <v>45994</v>
      </c>
      <c r="B3658" s="93" t="s">
        <v>1617</v>
      </c>
      <c r="C3658" s="43" t="s">
        <v>1843</v>
      </c>
      <c r="D3658" s="43">
        <v>-20</v>
      </c>
      <c r="E3658" s="230" t="s">
        <v>125</v>
      </c>
    </row>
    <row r="3659" spans="1:5">
      <c r="A3659" s="335">
        <v>45994</v>
      </c>
      <c r="B3659" s="343" t="s">
        <v>1641</v>
      </c>
      <c r="C3659" s="345" t="s">
        <v>1592</v>
      </c>
      <c r="D3659" s="345">
        <v>-1</v>
      </c>
      <c r="E3659" s="230" t="s">
        <v>125</v>
      </c>
    </row>
    <row r="3660" spans="1:5">
      <c r="A3660" s="335">
        <v>45994</v>
      </c>
      <c r="B3660" s="342" t="s">
        <v>919</v>
      </c>
      <c r="C3660" s="345" t="s">
        <v>1592</v>
      </c>
      <c r="D3660" s="345">
        <v>-1</v>
      </c>
      <c r="E3660" s="230" t="s">
        <v>125</v>
      </c>
    </row>
    <row r="3661" spans="1:5">
      <c r="A3661" s="335">
        <v>45994</v>
      </c>
      <c r="B3661" s="343" t="s">
        <v>1313</v>
      </c>
      <c r="C3661" s="345" t="s">
        <v>1592</v>
      </c>
      <c r="D3661" s="345">
        <v>-3</v>
      </c>
      <c r="E3661" s="230" t="s">
        <v>125</v>
      </c>
    </row>
    <row r="3662" spans="1:5">
      <c r="A3662" s="335">
        <v>45994</v>
      </c>
      <c r="B3662" s="342" t="s">
        <v>138</v>
      </c>
      <c r="C3662" s="345" t="s">
        <v>1592</v>
      </c>
      <c r="D3662" s="345">
        <v>-1</v>
      </c>
      <c r="E3662" s="230" t="s">
        <v>125</v>
      </c>
    </row>
    <row r="3663" spans="1:5">
      <c r="A3663" s="335">
        <v>45994</v>
      </c>
      <c r="B3663" s="342" t="s">
        <v>1397</v>
      </c>
      <c r="C3663" s="345" t="s">
        <v>1592</v>
      </c>
      <c r="D3663" s="345">
        <v>-1</v>
      </c>
      <c r="E3663" s="230" t="s">
        <v>125</v>
      </c>
    </row>
    <row r="3664" spans="1:5">
      <c r="A3664" s="335">
        <v>45994</v>
      </c>
      <c r="B3664" s="343" t="s">
        <v>1259</v>
      </c>
      <c r="C3664" s="345" t="s">
        <v>1592</v>
      </c>
      <c r="D3664" s="345">
        <v>-1</v>
      </c>
      <c r="E3664" s="230" t="s">
        <v>125</v>
      </c>
    </row>
    <row r="3665" spans="1:5">
      <c r="A3665" s="335">
        <v>45994</v>
      </c>
      <c r="B3665" s="343" t="s">
        <v>1907</v>
      </c>
      <c r="C3665" s="345" t="s">
        <v>1592</v>
      </c>
      <c r="D3665" s="345">
        <v>-1</v>
      </c>
      <c r="E3665" s="230" t="s">
        <v>125</v>
      </c>
    </row>
    <row r="3666" spans="1:5">
      <c r="A3666" s="335">
        <v>45994</v>
      </c>
      <c r="B3666" s="343" t="s">
        <v>1908</v>
      </c>
      <c r="C3666" s="345" t="s">
        <v>1592</v>
      </c>
      <c r="D3666" s="345">
        <v>-1</v>
      </c>
      <c r="E3666" s="230" t="s">
        <v>125</v>
      </c>
    </row>
    <row r="3668" spans="1:5">
      <c r="A3668" s="437">
        <v>45994</v>
      </c>
      <c r="B3668" s="222" t="s">
        <v>1617</v>
      </c>
      <c r="C3668" s="220" t="s">
        <v>1909</v>
      </c>
      <c r="D3668" s="220">
        <v>20</v>
      </c>
      <c r="E3668" s="438" t="s">
        <v>125</v>
      </c>
    </row>
    <row r="3670" spans="1:5">
      <c r="A3670" s="323">
        <v>45994</v>
      </c>
      <c r="B3670" s="325" t="s">
        <v>1096</v>
      </c>
      <c r="C3670" s="322" t="s">
        <v>682</v>
      </c>
      <c r="D3670" s="322">
        <v>1</v>
      </c>
      <c r="E3670" s="321" t="s">
        <v>125</v>
      </c>
    </row>
    <row r="3671" spans="1:5">
      <c r="A3671" s="323">
        <v>45994</v>
      </c>
      <c r="B3671" s="325" t="s">
        <v>1259</v>
      </c>
      <c r="C3671" s="322" t="s">
        <v>682</v>
      </c>
      <c r="D3671" s="322">
        <v>1</v>
      </c>
      <c r="E3671" s="321" t="s">
        <v>125</v>
      </c>
    </row>
    <row r="3672" spans="1:5">
      <c r="A3672" s="323">
        <v>45994</v>
      </c>
      <c r="B3672" s="325" t="s">
        <v>920</v>
      </c>
      <c r="C3672" s="322" t="s">
        <v>682</v>
      </c>
      <c r="D3672" s="322">
        <v>1</v>
      </c>
      <c r="E3672" s="321" t="s">
        <v>125</v>
      </c>
    </row>
    <row r="3673" spans="1:5">
      <c r="A3673" s="323">
        <v>45994</v>
      </c>
      <c r="B3673" s="325" t="s">
        <v>1296</v>
      </c>
      <c r="C3673" s="322" t="s">
        <v>682</v>
      </c>
      <c r="D3673" s="322">
        <v>1</v>
      </c>
      <c r="E3673" s="321" t="s">
        <v>125</v>
      </c>
    </row>
    <row r="3674" spans="1:5">
      <c r="A3674" s="323">
        <v>45994</v>
      </c>
      <c r="B3674" s="325" t="s">
        <v>1271</v>
      </c>
      <c r="C3674" s="322" t="s">
        <v>682</v>
      </c>
      <c r="D3674" s="322">
        <v>1</v>
      </c>
      <c r="E3674" s="321" t="s">
        <v>125</v>
      </c>
    </row>
    <row r="3675" spans="1:5">
      <c r="A3675" s="323">
        <v>45994</v>
      </c>
      <c r="B3675" s="325" t="s">
        <v>1407</v>
      </c>
      <c r="C3675" s="322" t="s">
        <v>682</v>
      </c>
      <c r="D3675" s="322">
        <v>1</v>
      </c>
      <c r="E3675" s="321" t="s">
        <v>125</v>
      </c>
    </row>
    <row r="3676" spans="1:5">
      <c r="A3676" s="323">
        <v>45994</v>
      </c>
      <c r="B3676" s="325" t="s">
        <v>1246</v>
      </c>
      <c r="C3676" s="322" t="s">
        <v>682</v>
      </c>
      <c r="D3676" s="322">
        <v>1</v>
      </c>
      <c r="E3676" s="321" t="s">
        <v>125</v>
      </c>
    </row>
    <row r="3677" spans="1:5">
      <c r="A3677" s="323">
        <v>45994</v>
      </c>
      <c r="B3677" s="325" t="s">
        <v>1246</v>
      </c>
      <c r="C3677" s="322" t="s">
        <v>682</v>
      </c>
      <c r="D3677" s="322">
        <v>1</v>
      </c>
      <c r="E3677" s="321" t="s">
        <v>125</v>
      </c>
    </row>
    <row r="3678" spans="1:5">
      <c r="A3678" s="323">
        <v>45994</v>
      </c>
      <c r="B3678" s="324" t="s">
        <v>919</v>
      </c>
      <c r="C3678" s="322" t="s">
        <v>682</v>
      </c>
      <c r="D3678" s="322">
        <v>1</v>
      </c>
      <c r="E3678" s="321" t="s">
        <v>125</v>
      </c>
    </row>
    <row r="3679" spans="1:5">
      <c r="A3679" s="323">
        <v>45994</v>
      </c>
      <c r="B3679" s="325" t="s">
        <v>1290</v>
      </c>
      <c r="C3679" s="322" t="s">
        <v>682</v>
      </c>
      <c r="D3679" s="322">
        <v>3</v>
      </c>
      <c r="E3679" s="321" t="s">
        <v>125</v>
      </c>
    </row>
    <row r="3680" spans="1:5">
      <c r="A3680" s="323">
        <v>45994</v>
      </c>
      <c r="B3680" s="324" t="s">
        <v>960</v>
      </c>
      <c r="C3680" s="322" t="s">
        <v>682</v>
      </c>
      <c r="D3680" s="322">
        <v>1</v>
      </c>
      <c r="E3680" s="321" t="s">
        <v>125</v>
      </c>
    </row>
    <row r="3681" spans="1:5">
      <c r="A3681" s="323">
        <v>45994</v>
      </c>
      <c r="B3681" s="324" t="s">
        <v>138</v>
      </c>
      <c r="C3681" s="322" t="s">
        <v>682</v>
      </c>
      <c r="D3681" s="322">
        <v>1</v>
      </c>
      <c r="E3681" s="321" t="s">
        <v>125</v>
      </c>
    </row>
    <row r="3682" spans="1:5">
      <c r="A3682" s="323">
        <v>45994</v>
      </c>
      <c r="B3682" s="324" t="s">
        <v>1397</v>
      </c>
      <c r="C3682" s="322" t="s">
        <v>682</v>
      </c>
      <c r="D3682" s="322">
        <v>1</v>
      </c>
      <c r="E3682" s="321" t="s">
        <v>125</v>
      </c>
    </row>
    <row r="3683" spans="1:5">
      <c r="A3683" s="323">
        <v>45994</v>
      </c>
      <c r="B3683" s="325" t="s">
        <v>806</v>
      </c>
      <c r="C3683" s="322" t="s">
        <v>682</v>
      </c>
      <c r="D3683" s="322">
        <v>1</v>
      </c>
      <c r="E3683" s="321" t="s">
        <v>125</v>
      </c>
    </row>
    <row r="3684" spans="1:5">
      <c r="A3684" s="323">
        <v>45994</v>
      </c>
      <c r="B3684" s="325" t="s">
        <v>1296</v>
      </c>
      <c r="C3684" s="322" t="s">
        <v>682</v>
      </c>
      <c r="D3684" s="322">
        <v>1</v>
      </c>
      <c r="E3684" s="321" t="s">
        <v>125</v>
      </c>
    </row>
    <row r="3685" spans="1:5">
      <c r="A3685" s="323">
        <v>45994</v>
      </c>
      <c r="B3685" s="325" t="s">
        <v>1296</v>
      </c>
      <c r="C3685" s="322" t="s">
        <v>682</v>
      </c>
      <c r="D3685" s="322">
        <v>1</v>
      </c>
      <c r="E3685" s="321" t="s">
        <v>125</v>
      </c>
    </row>
    <row r="3686" spans="1:5">
      <c r="A3686" s="323">
        <v>45994</v>
      </c>
      <c r="B3686" s="325" t="s">
        <v>1907</v>
      </c>
      <c r="C3686" s="322" t="s">
        <v>682</v>
      </c>
      <c r="D3686" s="322">
        <v>1</v>
      </c>
      <c r="E3686" s="321" t="s">
        <v>125</v>
      </c>
    </row>
    <row r="3687" spans="1:5">
      <c r="A3687" s="323">
        <v>45994</v>
      </c>
      <c r="B3687" s="325" t="s">
        <v>1908</v>
      </c>
      <c r="C3687" s="322" t="s">
        <v>682</v>
      </c>
      <c r="D3687" s="322">
        <v>1</v>
      </c>
      <c r="E3687" s="321" t="s">
        <v>125</v>
      </c>
    </row>
    <row r="3688" spans="1:5">
      <c r="A3688" s="323">
        <v>45994</v>
      </c>
      <c r="B3688" s="325" t="s">
        <v>1246</v>
      </c>
      <c r="C3688" s="322" t="s">
        <v>682</v>
      </c>
      <c r="D3688" s="322">
        <v>1</v>
      </c>
      <c r="E3688" s="321" t="s">
        <v>125</v>
      </c>
    </row>
    <row r="3689" spans="1:5">
      <c r="A3689" s="323">
        <v>45994</v>
      </c>
      <c r="B3689" s="324" t="s">
        <v>134</v>
      </c>
      <c r="C3689" s="322" t="s">
        <v>682</v>
      </c>
      <c r="D3689" s="322">
        <v>1</v>
      </c>
      <c r="E3689" s="321" t="s">
        <v>125</v>
      </c>
    </row>
    <row r="3690" spans="1:5">
      <c r="A3690" s="323">
        <v>45994</v>
      </c>
      <c r="B3690" s="325" t="s">
        <v>973</v>
      </c>
      <c r="C3690" s="322" t="s">
        <v>682</v>
      </c>
      <c r="D3690" s="322">
        <v>1</v>
      </c>
      <c r="E3690" s="321" t="s">
        <v>125</v>
      </c>
    </row>
    <row r="3691" spans="1:5">
      <c r="A3691" s="323">
        <v>45994</v>
      </c>
      <c r="B3691" s="325" t="s">
        <v>1641</v>
      </c>
      <c r="C3691" s="322" t="s">
        <v>682</v>
      </c>
      <c r="D3691" s="322">
        <v>1</v>
      </c>
      <c r="E3691" s="321" t="s">
        <v>125</v>
      </c>
    </row>
    <row r="3692" spans="1:5">
      <c r="A3692" s="323">
        <v>45994</v>
      </c>
      <c r="B3692" s="325" t="s">
        <v>1313</v>
      </c>
      <c r="C3692" s="322" t="s">
        <v>682</v>
      </c>
      <c r="D3692" s="322">
        <v>3</v>
      </c>
      <c r="E3692" s="321" t="s">
        <v>125</v>
      </c>
    </row>
    <row r="3693" spans="1:5">
      <c r="A3693" s="323">
        <v>45994</v>
      </c>
      <c r="B3693" s="325" t="s">
        <v>1246</v>
      </c>
      <c r="C3693" s="322" t="s">
        <v>682</v>
      </c>
      <c r="D3693" s="322">
        <v>1</v>
      </c>
      <c r="E3693" s="321" t="s">
        <v>125</v>
      </c>
    </row>
    <row r="3694" spans="1:5">
      <c r="A3694" s="323">
        <v>45994</v>
      </c>
      <c r="B3694" s="325" t="s">
        <v>1407</v>
      </c>
      <c r="C3694" s="322" t="s">
        <v>682</v>
      </c>
      <c r="D3694" s="322">
        <v>1</v>
      </c>
      <c r="E3694" s="321" t="s">
        <v>125</v>
      </c>
    </row>
    <row r="3695" spans="1:5">
      <c r="A3695" s="323">
        <v>45994</v>
      </c>
      <c r="B3695" s="325" t="s">
        <v>1936</v>
      </c>
      <c r="C3695" s="322" t="s">
        <v>682</v>
      </c>
      <c r="D3695" s="322">
        <v>1</v>
      </c>
      <c r="E3695" s="321" t="s">
        <v>125</v>
      </c>
    </row>
    <row r="3697" spans="1:5">
      <c r="A3697" s="265">
        <v>45995</v>
      </c>
      <c r="B3697" s="93" t="s">
        <v>1094</v>
      </c>
      <c r="C3697" s="43" t="s">
        <v>1605</v>
      </c>
      <c r="D3697" s="43">
        <v>-1</v>
      </c>
      <c r="E3697" s="230" t="s">
        <v>125</v>
      </c>
    </row>
    <row r="3698" spans="1:5">
      <c r="A3698" s="265">
        <v>45995</v>
      </c>
      <c r="B3698" s="93" t="s">
        <v>839</v>
      </c>
      <c r="C3698" s="43" t="s">
        <v>1836</v>
      </c>
      <c r="D3698" s="43">
        <v>-4</v>
      </c>
      <c r="E3698" s="230" t="s">
        <v>125</v>
      </c>
    </row>
    <row r="3699" spans="1:5">
      <c r="A3699" s="265">
        <v>45995</v>
      </c>
      <c r="B3699" s="93" t="s">
        <v>839</v>
      </c>
      <c r="C3699" s="43" t="s">
        <v>1836</v>
      </c>
      <c r="D3699" s="43">
        <v>-10</v>
      </c>
      <c r="E3699" s="230" t="s">
        <v>125</v>
      </c>
    </row>
    <row r="3700" spans="1:5">
      <c r="A3700" s="265">
        <v>45995</v>
      </c>
      <c r="B3700" s="93" t="s">
        <v>1223</v>
      </c>
      <c r="C3700" s="43" t="s">
        <v>1815</v>
      </c>
      <c r="D3700" s="43">
        <v>-2</v>
      </c>
      <c r="E3700" s="230" t="s">
        <v>125</v>
      </c>
    </row>
    <row r="3701" spans="1:5">
      <c r="A3701" s="265">
        <v>45995</v>
      </c>
      <c r="B3701" s="93" t="s">
        <v>1094</v>
      </c>
      <c r="C3701" s="43" t="s">
        <v>1605</v>
      </c>
      <c r="D3701" s="43">
        <v>-1</v>
      </c>
      <c r="E3701" s="230" t="s">
        <v>125</v>
      </c>
    </row>
    <row r="3702" spans="1:5">
      <c r="A3702" s="265">
        <v>45995</v>
      </c>
      <c r="B3702" s="343" t="s">
        <v>1641</v>
      </c>
      <c r="C3702" s="43" t="s">
        <v>1605</v>
      </c>
      <c r="D3702" s="43">
        <v>-1</v>
      </c>
      <c r="E3702" s="230" t="s">
        <v>125</v>
      </c>
    </row>
    <row r="3704" spans="1:5">
      <c r="A3704" s="272">
        <v>45992</v>
      </c>
      <c r="B3704" s="128" t="s">
        <v>76</v>
      </c>
      <c r="C3704" s="106" t="s">
        <v>49</v>
      </c>
      <c r="D3704" s="106">
        <v>2</v>
      </c>
      <c r="E3704" s="94" t="s">
        <v>125</v>
      </c>
    </row>
    <row r="3705" spans="1:5">
      <c r="A3705" s="272">
        <v>45992</v>
      </c>
      <c r="B3705" s="128" t="s">
        <v>76</v>
      </c>
      <c r="C3705" s="106" t="s">
        <v>49</v>
      </c>
      <c r="D3705" s="106">
        <v>2</v>
      </c>
      <c r="E3705" s="94" t="s">
        <v>125</v>
      </c>
    </row>
    <row r="3706" spans="1:5">
      <c r="A3706" s="272">
        <v>45992</v>
      </c>
      <c r="B3706" s="139" t="s">
        <v>808</v>
      </c>
      <c r="C3706" s="106" t="s">
        <v>49</v>
      </c>
      <c r="D3706" s="106">
        <v>2</v>
      </c>
      <c r="E3706" s="94" t="s">
        <v>125</v>
      </c>
    </row>
    <row r="3707" spans="1:5">
      <c r="A3707" s="272">
        <v>45992</v>
      </c>
      <c r="B3707" s="128" t="s">
        <v>76</v>
      </c>
      <c r="C3707" s="106" t="s">
        <v>49</v>
      </c>
      <c r="D3707" s="106">
        <v>2</v>
      </c>
      <c r="E3707" s="94" t="s">
        <v>125</v>
      </c>
    </row>
    <row r="3708" spans="1:5">
      <c r="A3708" s="272">
        <v>45992</v>
      </c>
      <c r="B3708" s="139" t="s">
        <v>1617</v>
      </c>
      <c r="C3708" s="106" t="s">
        <v>49</v>
      </c>
      <c r="D3708" s="106">
        <v>3</v>
      </c>
      <c r="E3708" s="94" t="s">
        <v>125</v>
      </c>
    </row>
    <row r="3709" spans="1:5">
      <c r="A3709" s="272">
        <v>45992</v>
      </c>
      <c r="B3709" s="139" t="s">
        <v>1575</v>
      </c>
      <c r="C3709" s="106" t="s">
        <v>49</v>
      </c>
      <c r="D3709" s="106">
        <v>10</v>
      </c>
      <c r="E3709" s="94" t="s">
        <v>125</v>
      </c>
    </row>
    <row r="3710" spans="1:5">
      <c r="A3710" s="272">
        <v>45992</v>
      </c>
      <c r="B3710" s="139" t="s">
        <v>808</v>
      </c>
      <c r="C3710" s="106" t="s">
        <v>49</v>
      </c>
      <c r="D3710" s="106">
        <v>2</v>
      </c>
      <c r="E3710" s="94" t="s">
        <v>125</v>
      </c>
    </row>
    <row r="3711" spans="1:5">
      <c r="A3711" s="272">
        <v>45992</v>
      </c>
      <c r="B3711" s="128" t="s">
        <v>76</v>
      </c>
      <c r="C3711" s="106" t="s">
        <v>49</v>
      </c>
      <c r="D3711" s="106">
        <v>1</v>
      </c>
      <c r="E3711" s="94" t="s">
        <v>125</v>
      </c>
    </row>
    <row r="3712" spans="1:5">
      <c r="A3712" s="272">
        <v>45992</v>
      </c>
      <c r="B3712" s="139" t="s">
        <v>1617</v>
      </c>
      <c r="C3712" s="106" t="s">
        <v>49</v>
      </c>
      <c r="D3712" s="245">
        <v>3</v>
      </c>
      <c r="E3712" s="94" t="s">
        <v>125</v>
      </c>
    </row>
    <row r="3713" spans="1:5">
      <c r="A3713" s="272">
        <v>45992</v>
      </c>
      <c r="B3713" s="139" t="s">
        <v>807</v>
      </c>
      <c r="C3713" s="106" t="s">
        <v>49</v>
      </c>
      <c r="D3713" s="106">
        <v>1</v>
      </c>
      <c r="E3713" s="94" t="s">
        <v>125</v>
      </c>
    </row>
    <row r="3714" spans="1:5">
      <c r="A3714" s="272">
        <v>45992</v>
      </c>
      <c r="B3714" s="139" t="s">
        <v>808</v>
      </c>
      <c r="C3714" s="106" t="s">
        <v>49</v>
      </c>
      <c r="D3714" s="106">
        <v>1</v>
      </c>
      <c r="E3714" s="94" t="s">
        <v>125</v>
      </c>
    </row>
    <row r="3715" spans="1:5">
      <c r="A3715" s="272">
        <v>45992</v>
      </c>
      <c r="B3715" s="128" t="s">
        <v>76</v>
      </c>
      <c r="C3715" s="106" t="s">
        <v>49</v>
      </c>
      <c r="D3715" s="106">
        <v>12</v>
      </c>
      <c r="E3715" s="94" t="s">
        <v>125</v>
      </c>
    </row>
    <row r="3717" spans="1:5">
      <c r="A3717" s="272">
        <v>45993</v>
      </c>
      <c r="B3717" s="128" t="s">
        <v>76</v>
      </c>
      <c r="C3717" s="106" t="s">
        <v>49</v>
      </c>
      <c r="D3717" s="106">
        <v>2</v>
      </c>
      <c r="E3717" s="94" t="s">
        <v>125</v>
      </c>
    </row>
    <row r="3718" spans="1:5">
      <c r="A3718" s="272">
        <v>45993</v>
      </c>
      <c r="B3718" s="128" t="s">
        <v>76</v>
      </c>
      <c r="C3718" s="106" t="s">
        <v>49</v>
      </c>
      <c r="D3718" s="106">
        <v>2</v>
      </c>
      <c r="E3718" s="94" t="s">
        <v>125</v>
      </c>
    </row>
    <row r="3719" spans="1:5">
      <c r="A3719" s="272">
        <v>45993</v>
      </c>
      <c r="B3719" s="128" t="s">
        <v>76</v>
      </c>
      <c r="C3719" s="106" t="s">
        <v>49</v>
      </c>
      <c r="D3719" s="106">
        <v>1</v>
      </c>
      <c r="E3719" s="94" t="s">
        <v>125</v>
      </c>
    </row>
    <row r="3720" spans="1:5">
      <c r="A3720" s="272">
        <v>45993</v>
      </c>
      <c r="B3720" s="139" t="s">
        <v>1782</v>
      </c>
      <c r="C3720" s="106" t="s">
        <v>49</v>
      </c>
      <c r="D3720" s="106">
        <v>5</v>
      </c>
      <c r="E3720" s="94" t="s">
        <v>125</v>
      </c>
    </row>
    <row r="3721" spans="1:5">
      <c r="A3721" s="272">
        <v>45993</v>
      </c>
      <c r="B3721" s="128" t="s">
        <v>76</v>
      </c>
      <c r="C3721" s="106" t="s">
        <v>49</v>
      </c>
      <c r="D3721" s="106">
        <v>2</v>
      </c>
      <c r="E3721" s="94" t="s">
        <v>125</v>
      </c>
    </row>
    <row r="3722" spans="1:5">
      <c r="A3722" s="272">
        <v>45993</v>
      </c>
      <c r="B3722" s="139" t="s">
        <v>1575</v>
      </c>
      <c r="C3722" s="106" t="s">
        <v>49</v>
      </c>
      <c r="D3722" s="106">
        <v>4</v>
      </c>
      <c r="E3722" s="94" t="s">
        <v>125</v>
      </c>
    </row>
    <row r="3723" spans="1:5">
      <c r="A3723" s="272">
        <v>45993</v>
      </c>
      <c r="B3723" s="139" t="s">
        <v>808</v>
      </c>
      <c r="C3723" s="106" t="s">
        <v>49</v>
      </c>
      <c r="D3723" s="106">
        <v>2</v>
      </c>
      <c r="E3723" s="94" t="s">
        <v>125</v>
      </c>
    </row>
    <row r="3724" spans="1:5">
      <c r="A3724" s="272">
        <v>45993</v>
      </c>
      <c r="B3724" s="128" t="s">
        <v>76</v>
      </c>
      <c r="C3724" s="106" t="s">
        <v>49</v>
      </c>
      <c r="D3724" s="106">
        <v>1</v>
      </c>
      <c r="E3724" s="94" t="s">
        <v>125</v>
      </c>
    </row>
    <row r="3725" spans="1:5">
      <c r="A3725" s="272">
        <v>45993</v>
      </c>
      <c r="B3725" s="139" t="s">
        <v>808</v>
      </c>
      <c r="C3725" s="106" t="s">
        <v>49</v>
      </c>
      <c r="D3725" s="106">
        <v>2</v>
      </c>
      <c r="E3725" s="94" t="s">
        <v>125</v>
      </c>
    </row>
    <row r="3726" spans="1:5">
      <c r="A3726" s="272">
        <v>45993</v>
      </c>
      <c r="B3726" s="128" t="s">
        <v>76</v>
      </c>
      <c r="C3726" s="106" t="s">
        <v>49</v>
      </c>
      <c r="D3726" s="106">
        <v>3</v>
      </c>
      <c r="E3726" s="94" t="s">
        <v>125</v>
      </c>
    </row>
    <row r="3728" spans="1:5">
      <c r="A3728" s="272">
        <v>45994</v>
      </c>
      <c r="B3728" s="128" t="s">
        <v>76</v>
      </c>
      <c r="C3728" s="106" t="s">
        <v>49</v>
      </c>
      <c r="D3728" s="106">
        <v>12</v>
      </c>
      <c r="E3728" s="94" t="s">
        <v>125</v>
      </c>
    </row>
    <row r="3729" spans="1:5">
      <c r="A3729" s="272">
        <v>45994</v>
      </c>
      <c r="B3729" s="139" t="s">
        <v>807</v>
      </c>
      <c r="C3729" s="106" t="s">
        <v>49</v>
      </c>
      <c r="D3729" s="106">
        <v>1</v>
      </c>
      <c r="E3729" s="94" t="s">
        <v>125</v>
      </c>
    </row>
    <row r="3730" spans="1:5">
      <c r="A3730" s="272">
        <v>45994</v>
      </c>
      <c r="B3730" s="139" t="s">
        <v>1782</v>
      </c>
      <c r="C3730" s="106" t="s">
        <v>49</v>
      </c>
      <c r="D3730" s="106">
        <v>6</v>
      </c>
      <c r="E3730" s="94" t="s">
        <v>125</v>
      </c>
    </row>
    <row r="3731" spans="1:5">
      <c r="A3731" s="272">
        <v>45994</v>
      </c>
      <c r="B3731" s="139" t="s">
        <v>807</v>
      </c>
      <c r="C3731" s="106" t="s">
        <v>49</v>
      </c>
      <c r="D3731" s="106">
        <v>2</v>
      </c>
      <c r="E3731" s="94" t="s">
        <v>125</v>
      </c>
    </row>
    <row r="3732" spans="1:5">
      <c r="A3732" s="272">
        <v>45994</v>
      </c>
      <c r="B3732" s="139" t="s">
        <v>154</v>
      </c>
      <c r="C3732" s="106" t="s">
        <v>49</v>
      </c>
      <c r="D3732" s="106">
        <v>1</v>
      </c>
      <c r="E3732" s="94" t="s">
        <v>125</v>
      </c>
    </row>
    <row r="3733" spans="1:5">
      <c r="A3733" s="272">
        <v>45994</v>
      </c>
      <c r="B3733" s="128" t="s">
        <v>76</v>
      </c>
      <c r="C3733" s="106" t="s">
        <v>49</v>
      </c>
      <c r="D3733" s="106">
        <v>2</v>
      </c>
      <c r="E3733" s="94" t="s">
        <v>125</v>
      </c>
    </row>
    <row r="3734" spans="1:5">
      <c r="A3734" s="272">
        <v>45994</v>
      </c>
      <c r="B3734" s="139" t="s">
        <v>1575</v>
      </c>
      <c r="C3734" s="106" t="s">
        <v>49</v>
      </c>
      <c r="D3734" s="106">
        <v>14</v>
      </c>
      <c r="E3734" s="94" t="s">
        <v>125</v>
      </c>
    </row>
    <row r="3735" spans="1:5">
      <c r="A3735" s="272">
        <v>45994</v>
      </c>
      <c r="B3735" s="139" t="s">
        <v>1617</v>
      </c>
      <c r="C3735" s="106" t="s">
        <v>49</v>
      </c>
      <c r="D3735" s="106">
        <v>1</v>
      </c>
      <c r="E3735" s="94" t="s">
        <v>125</v>
      </c>
    </row>
    <row r="3736" spans="1:5">
      <c r="A3736" s="272">
        <v>45994</v>
      </c>
      <c r="B3736" s="139" t="s">
        <v>1617</v>
      </c>
      <c r="C3736" s="106" t="s">
        <v>49</v>
      </c>
      <c r="D3736" s="106">
        <v>5</v>
      </c>
      <c r="E3736" s="94" t="s">
        <v>125</v>
      </c>
    </row>
    <row r="3737" spans="1:5">
      <c r="A3737" s="272">
        <v>45994</v>
      </c>
      <c r="B3737" s="128" t="s">
        <v>76</v>
      </c>
      <c r="C3737" s="106" t="s">
        <v>49</v>
      </c>
      <c r="D3737" s="106">
        <v>1</v>
      </c>
      <c r="E3737" s="94" t="s">
        <v>125</v>
      </c>
    </row>
    <row r="3738" spans="1:5">
      <c r="A3738" s="272">
        <v>45994</v>
      </c>
      <c r="B3738" s="128" t="s">
        <v>76</v>
      </c>
      <c r="C3738" s="106" t="s">
        <v>49</v>
      </c>
      <c r="D3738" s="106">
        <v>2</v>
      </c>
      <c r="E3738" s="94" t="s">
        <v>125</v>
      </c>
    </row>
    <row r="3739" spans="1:5">
      <c r="A3739" s="272">
        <v>45994</v>
      </c>
      <c r="B3739" s="128" t="s">
        <v>76</v>
      </c>
      <c r="C3739" s="106" t="s">
        <v>49</v>
      </c>
      <c r="D3739" s="106">
        <v>1</v>
      </c>
      <c r="E3739" s="94" t="s">
        <v>125</v>
      </c>
    </row>
    <row r="3740" spans="1:5">
      <c r="A3740" s="272">
        <v>45994</v>
      </c>
      <c r="B3740" s="139" t="s">
        <v>808</v>
      </c>
      <c r="C3740" s="106" t="s">
        <v>49</v>
      </c>
      <c r="D3740" s="106">
        <v>2</v>
      </c>
      <c r="E3740" s="94" t="s">
        <v>125</v>
      </c>
    </row>
    <row r="3741" spans="1:5">
      <c r="A3741" s="272">
        <v>45994</v>
      </c>
      <c r="B3741" s="139" t="s">
        <v>808</v>
      </c>
      <c r="C3741" s="106" t="s">
        <v>49</v>
      </c>
      <c r="D3741" s="106">
        <v>2</v>
      </c>
      <c r="E3741" s="94" t="s">
        <v>125</v>
      </c>
    </row>
    <row r="3742" spans="1:5">
      <c r="A3742" s="272">
        <v>45994</v>
      </c>
      <c r="B3742" s="139" t="s">
        <v>808</v>
      </c>
      <c r="C3742" s="106" t="s">
        <v>49</v>
      </c>
      <c r="D3742" s="106">
        <v>1</v>
      </c>
      <c r="E3742" s="94" t="s">
        <v>125</v>
      </c>
    </row>
    <row r="3743" spans="1:5">
      <c r="A3743" s="272">
        <v>45994</v>
      </c>
      <c r="B3743" s="128" t="s">
        <v>76</v>
      </c>
      <c r="C3743" s="106" t="s">
        <v>49</v>
      </c>
      <c r="D3743" s="106">
        <v>4</v>
      </c>
      <c r="E3743" s="94" t="s">
        <v>125</v>
      </c>
    </row>
    <row r="3744" spans="1:5">
      <c r="A3744" s="272">
        <v>45994</v>
      </c>
      <c r="B3744" s="139" t="s">
        <v>1967</v>
      </c>
      <c r="C3744" s="106" t="s">
        <v>49</v>
      </c>
      <c r="D3744" s="106">
        <v>1</v>
      </c>
      <c r="E3744" s="94" t="s">
        <v>125</v>
      </c>
    </row>
    <row r="3746" spans="1:5">
      <c r="A3746" s="335">
        <v>45966</v>
      </c>
      <c r="B3746" s="341" t="s">
        <v>76</v>
      </c>
      <c r="C3746" s="345" t="s">
        <v>1838</v>
      </c>
      <c r="D3746" s="345">
        <v>-1</v>
      </c>
      <c r="E3746" s="230" t="s">
        <v>125</v>
      </c>
    </row>
    <row r="3747" spans="1:5">
      <c r="A3747" s="335">
        <v>45966</v>
      </c>
      <c r="B3747" s="343" t="s">
        <v>1575</v>
      </c>
      <c r="C3747" s="43" t="s">
        <v>1970</v>
      </c>
      <c r="D3747" s="43">
        <v>-65</v>
      </c>
      <c r="E3747" s="230" t="s">
        <v>125</v>
      </c>
    </row>
    <row r="3748" spans="1:5">
      <c r="A3748" s="335">
        <v>45966</v>
      </c>
      <c r="B3748" s="344" t="s">
        <v>1183</v>
      </c>
      <c r="C3748" s="43" t="s">
        <v>1970</v>
      </c>
      <c r="D3748" s="43">
        <v>-10</v>
      </c>
      <c r="E3748" s="230" t="s">
        <v>125</v>
      </c>
    </row>
    <row r="3749" spans="1:5">
      <c r="A3749" s="335">
        <v>45966</v>
      </c>
      <c r="B3749" s="341" t="s">
        <v>76</v>
      </c>
      <c r="C3749" s="43" t="s">
        <v>1603</v>
      </c>
      <c r="D3749" s="43">
        <v>-2</v>
      </c>
      <c r="E3749" s="230" t="s">
        <v>125</v>
      </c>
    </row>
    <row r="3751" spans="1:5">
      <c r="A3751" s="330">
        <v>45966</v>
      </c>
      <c r="B3751" s="329" t="s">
        <v>839</v>
      </c>
      <c r="C3751" s="328" t="s">
        <v>49</v>
      </c>
      <c r="D3751" s="328">
        <v>10</v>
      </c>
      <c r="E3751" s="331" t="s">
        <v>125</v>
      </c>
    </row>
    <row r="3752" spans="1:5">
      <c r="A3752" s="330">
        <v>45966</v>
      </c>
      <c r="B3752" s="329" t="s">
        <v>839</v>
      </c>
      <c r="C3752" s="328" t="s">
        <v>49</v>
      </c>
      <c r="D3752" s="328">
        <v>1</v>
      </c>
      <c r="E3752" s="331" t="s">
        <v>125</v>
      </c>
    </row>
    <row r="3753" spans="1:5">
      <c r="A3753" s="330">
        <v>45966</v>
      </c>
      <c r="B3753" s="327" t="s">
        <v>671</v>
      </c>
      <c r="C3753" s="328" t="s">
        <v>49</v>
      </c>
      <c r="D3753" s="328">
        <v>3</v>
      </c>
      <c r="E3753" s="331" t="s">
        <v>125</v>
      </c>
    </row>
    <row r="3754" spans="1:5">
      <c r="A3754" s="330">
        <v>45966</v>
      </c>
      <c r="B3754" s="329" t="s">
        <v>839</v>
      </c>
      <c r="C3754" s="328" t="s">
        <v>49</v>
      </c>
      <c r="D3754" s="328">
        <v>2</v>
      </c>
      <c r="E3754" s="331" t="s">
        <v>125</v>
      </c>
    </row>
    <row r="3755" spans="1:5">
      <c r="A3755" s="330">
        <v>45966</v>
      </c>
      <c r="B3755" s="329" t="s">
        <v>839</v>
      </c>
      <c r="C3755" s="328" t="s">
        <v>49</v>
      </c>
      <c r="D3755" s="328">
        <v>2</v>
      </c>
      <c r="E3755" s="331" t="s">
        <v>125</v>
      </c>
    </row>
    <row r="3757" spans="1:5">
      <c r="A3757" s="335">
        <v>45966</v>
      </c>
      <c r="B3757" s="343" t="s">
        <v>1246</v>
      </c>
      <c r="C3757" s="43" t="s">
        <v>678</v>
      </c>
      <c r="D3757" s="43">
        <v>-1</v>
      </c>
      <c r="E3757" s="230" t="s">
        <v>125</v>
      </c>
    </row>
    <row r="3759" spans="1:5">
      <c r="A3759" s="265">
        <v>45997</v>
      </c>
      <c r="B3759" s="342" t="s">
        <v>960</v>
      </c>
      <c r="C3759" s="43" t="s">
        <v>1838</v>
      </c>
      <c r="D3759" s="43">
        <v>-1</v>
      </c>
      <c r="E3759" s="230" t="s">
        <v>125</v>
      </c>
    </row>
    <row r="3760" spans="1:5">
      <c r="A3760" s="265">
        <v>45997</v>
      </c>
      <c r="B3760" s="343" t="s">
        <v>1270</v>
      </c>
      <c r="C3760" s="43" t="s">
        <v>1598</v>
      </c>
      <c r="D3760" s="43">
        <v>-2</v>
      </c>
      <c r="E3760" s="230" t="s">
        <v>125</v>
      </c>
    </row>
    <row r="3761" spans="1:5">
      <c r="A3761" s="265">
        <v>45997</v>
      </c>
      <c r="B3761" s="343" t="s">
        <v>1782</v>
      </c>
      <c r="C3761" s="43" t="s">
        <v>1598</v>
      </c>
      <c r="D3761" s="43">
        <v>-8</v>
      </c>
      <c r="E3761" s="230" t="s">
        <v>125</v>
      </c>
    </row>
    <row r="3762" spans="1:5">
      <c r="A3762" s="265">
        <v>45997</v>
      </c>
      <c r="B3762" s="84" t="s">
        <v>881</v>
      </c>
      <c r="C3762" s="43" t="s">
        <v>1976</v>
      </c>
      <c r="D3762" s="43">
        <v>-3</v>
      </c>
      <c r="E3762" s="230" t="s">
        <v>125</v>
      </c>
    </row>
    <row r="3763" spans="1:5">
      <c r="A3763" s="265">
        <v>45997</v>
      </c>
      <c r="B3763" s="92" t="s">
        <v>671</v>
      </c>
      <c r="C3763" s="43" t="s">
        <v>1976</v>
      </c>
      <c r="D3763" s="43">
        <v>-4</v>
      </c>
      <c r="E3763" s="230" t="s">
        <v>125</v>
      </c>
    </row>
    <row r="3764" spans="1:5">
      <c r="A3764" s="265">
        <v>45997</v>
      </c>
      <c r="B3764" s="93" t="s">
        <v>1617</v>
      </c>
      <c r="C3764" s="43" t="s">
        <v>1656</v>
      </c>
      <c r="D3764" s="43">
        <v>-20</v>
      </c>
      <c r="E3764" s="230" t="s">
        <v>125</v>
      </c>
    </row>
    <row r="3765" spans="1:5">
      <c r="A3765" s="265">
        <v>45997</v>
      </c>
      <c r="B3765" s="92" t="s">
        <v>76</v>
      </c>
      <c r="C3765" s="43" t="s">
        <v>1977</v>
      </c>
      <c r="D3765" s="43">
        <v>-20</v>
      </c>
      <c r="E3765" s="230" t="s">
        <v>125</v>
      </c>
    </row>
    <row r="3766" spans="1:5">
      <c r="A3766" s="265">
        <v>45997</v>
      </c>
      <c r="B3766" s="92" t="s">
        <v>789</v>
      </c>
      <c r="C3766" s="43" t="s">
        <v>1598</v>
      </c>
      <c r="D3766" s="43">
        <v>-1</v>
      </c>
      <c r="E3766" s="230" t="s">
        <v>125</v>
      </c>
    </row>
    <row r="3768" spans="1:5">
      <c r="A3768" s="434">
        <v>45967</v>
      </c>
      <c r="B3768" s="168" t="s">
        <v>1641</v>
      </c>
      <c r="C3768" s="166" t="s">
        <v>1618</v>
      </c>
      <c r="D3768" s="166">
        <v>1</v>
      </c>
      <c r="E3768" s="615" t="s">
        <v>125</v>
      </c>
    </row>
    <row r="3770" spans="1:5">
      <c r="A3770" s="265">
        <v>45997</v>
      </c>
      <c r="B3770" s="343" t="s">
        <v>1327</v>
      </c>
      <c r="C3770" s="43" t="s">
        <v>678</v>
      </c>
      <c r="D3770" s="43">
        <v>-1</v>
      </c>
      <c r="E3770" s="230" t="s">
        <v>125</v>
      </c>
    </row>
    <row r="3771" spans="1:5">
      <c r="A3771" s="265">
        <v>45997</v>
      </c>
      <c r="B3771" s="84" t="s">
        <v>134</v>
      </c>
      <c r="C3771" s="43" t="s">
        <v>678</v>
      </c>
      <c r="D3771" s="43">
        <v>-1</v>
      </c>
      <c r="E3771" s="230" t="s">
        <v>125</v>
      </c>
    </row>
    <row r="3772" spans="1:5">
      <c r="A3772" s="265">
        <v>45997</v>
      </c>
      <c r="B3772" s="147" t="s">
        <v>928</v>
      </c>
      <c r="C3772" s="43" t="s">
        <v>678</v>
      </c>
      <c r="D3772" s="43">
        <v>-1</v>
      </c>
      <c r="E3772" s="230" t="s">
        <v>125</v>
      </c>
    </row>
    <row r="3774" spans="1:5">
      <c r="A3774" s="434">
        <v>45997</v>
      </c>
      <c r="B3774" s="168" t="s">
        <v>1327</v>
      </c>
      <c r="C3774" s="166" t="s">
        <v>1978</v>
      </c>
      <c r="D3774" s="166">
        <v>1</v>
      </c>
      <c r="E3774" s="615" t="s">
        <v>125</v>
      </c>
    </row>
    <row r="3776" spans="1:5">
      <c r="A3776" s="265">
        <v>45997</v>
      </c>
      <c r="B3776" s="92" t="s">
        <v>76</v>
      </c>
      <c r="C3776" s="43" t="s">
        <v>1981</v>
      </c>
      <c r="D3776" s="43">
        <v>-10</v>
      </c>
      <c r="E3776" s="230" t="s">
        <v>125</v>
      </c>
    </row>
    <row r="3777" spans="1:6">
      <c r="A3777" s="265">
        <v>45997</v>
      </c>
      <c r="B3777" s="92" t="s">
        <v>76</v>
      </c>
      <c r="C3777" s="43" t="s">
        <v>1984</v>
      </c>
      <c r="D3777" s="43">
        <v>-100</v>
      </c>
      <c r="E3777" s="230" t="s">
        <v>125</v>
      </c>
    </row>
    <row r="3779" spans="1:6">
      <c r="A3779" s="265">
        <v>45999</v>
      </c>
      <c r="B3779" s="92" t="s">
        <v>672</v>
      </c>
      <c r="C3779" s="43" t="s">
        <v>1787</v>
      </c>
      <c r="D3779" s="43">
        <v>-1</v>
      </c>
      <c r="E3779" s="230" t="s">
        <v>125</v>
      </c>
    </row>
    <row r="3780" spans="1:6">
      <c r="A3780" s="265">
        <v>45999</v>
      </c>
      <c r="B3780" s="92" t="s">
        <v>76</v>
      </c>
      <c r="C3780" s="43" t="s">
        <v>1977</v>
      </c>
      <c r="D3780" s="43">
        <v>-1</v>
      </c>
      <c r="E3780" s="230" t="s">
        <v>125</v>
      </c>
    </row>
    <row r="3781" spans="1:6">
      <c r="A3781" s="265">
        <v>45999</v>
      </c>
      <c r="B3781" s="92" t="s">
        <v>76</v>
      </c>
      <c r="C3781" s="43" t="s">
        <v>1603</v>
      </c>
      <c r="D3781" s="43">
        <v>-5</v>
      </c>
      <c r="E3781" s="230" t="s">
        <v>125</v>
      </c>
    </row>
    <row r="3782" spans="1:6">
      <c r="A3782" s="265">
        <v>45999</v>
      </c>
      <c r="B3782" s="92" t="s">
        <v>76</v>
      </c>
      <c r="C3782" s="43" t="s">
        <v>1838</v>
      </c>
      <c r="D3782" s="43">
        <v>-1</v>
      </c>
      <c r="E3782" s="230" t="s">
        <v>125</v>
      </c>
    </row>
    <row r="3783" spans="1:6">
      <c r="A3783" s="265">
        <v>45999</v>
      </c>
      <c r="B3783" s="92" t="s">
        <v>76</v>
      </c>
      <c r="C3783" s="43" t="s">
        <v>1977</v>
      </c>
      <c r="D3783" s="43">
        <v>-2</v>
      </c>
      <c r="E3783" s="230" t="s">
        <v>125</v>
      </c>
    </row>
    <row r="3784" spans="1:6">
      <c r="A3784" s="265">
        <v>45999</v>
      </c>
      <c r="B3784" s="92" t="s">
        <v>76</v>
      </c>
      <c r="C3784" s="43" t="s">
        <v>1603</v>
      </c>
      <c r="D3784" s="43">
        <v>-15</v>
      </c>
      <c r="E3784" s="230" t="s">
        <v>125</v>
      </c>
    </row>
    <row r="3786" spans="1:6">
      <c r="A3786" s="434">
        <v>45999</v>
      </c>
      <c r="B3786" s="168" t="s">
        <v>1094</v>
      </c>
      <c r="C3786" s="166" t="s">
        <v>1986</v>
      </c>
      <c r="D3786" s="166">
        <v>2</v>
      </c>
      <c r="E3786" s="615" t="s">
        <v>125</v>
      </c>
    </row>
    <row r="3788" spans="1:6">
      <c r="A3788" s="323">
        <v>46000</v>
      </c>
      <c r="B3788" s="325" t="s">
        <v>136</v>
      </c>
      <c r="C3788" s="322" t="s">
        <v>682</v>
      </c>
      <c r="D3788" s="322">
        <v>78</v>
      </c>
      <c r="E3788" s="321" t="s">
        <v>125</v>
      </c>
      <c r="F3788" t="s">
        <v>2012</v>
      </c>
    </row>
    <row r="3789" spans="1:6">
      <c r="A3789" s="323">
        <v>46000</v>
      </c>
      <c r="B3789" s="325" t="s">
        <v>1409</v>
      </c>
      <c r="C3789" s="322" t="s">
        <v>682</v>
      </c>
      <c r="D3789" s="322">
        <v>3</v>
      </c>
      <c r="E3789" s="321" t="s">
        <v>125</v>
      </c>
    </row>
    <row r="3790" spans="1:6">
      <c r="A3790" s="323">
        <v>46000</v>
      </c>
      <c r="B3790" s="325" t="s">
        <v>1096</v>
      </c>
      <c r="C3790" s="322" t="s">
        <v>682</v>
      </c>
      <c r="D3790" s="322">
        <v>1</v>
      </c>
      <c r="E3790" s="321" t="s">
        <v>125</v>
      </c>
    </row>
    <row r="3791" spans="1:6">
      <c r="A3791" s="323">
        <v>46000</v>
      </c>
      <c r="B3791" s="325" t="s">
        <v>1096</v>
      </c>
      <c r="C3791" s="322" t="s">
        <v>682</v>
      </c>
      <c r="D3791" s="322">
        <v>1</v>
      </c>
      <c r="E3791" s="321" t="s">
        <v>125</v>
      </c>
    </row>
    <row r="3792" spans="1:6">
      <c r="A3792" s="323">
        <v>46000</v>
      </c>
      <c r="B3792" s="325" t="s">
        <v>1491</v>
      </c>
      <c r="C3792" s="322" t="s">
        <v>682</v>
      </c>
      <c r="D3792" s="322">
        <v>1</v>
      </c>
      <c r="E3792" s="321" t="s">
        <v>125</v>
      </c>
    </row>
    <row r="3793" spans="1:5">
      <c r="A3793" s="323">
        <v>46000</v>
      </c>
      <c r="B3793" s="426" t="s">
        <v>931</v>
      </c>
      <c r="C3793" s="322" t="s">
        <v>682</v>
      </c>
      <c r="D3793" s="322">
        <v>1</v>
      </c>
      <c r="E3793" s="321" t="s">
        <v>125</v>
      </c>
    </row>
    <row r="3794" spans="1:5">
      <c r="A3794" s="323">
        <v>46000</v>
      </c>
      <c r="B3794" s="324" t="s">
        <v>1387</v>
      </c>
      <c r="C3794" s="322" t="s">
        <v>682</v>
      </c>
      <c r="D3794" s="322">
        <v>1</v>
      </c>
      <c r="E3794" s="321" t="s">
        <v>125</v>
      </c>
    </row>
    <row r="3795" spans="1:5">
      <c r="A3795" s="323">
        <v>46000</v>
      </c>
      <c r="B3795" s="325" t="s">
        <v>1291</v>
      </c>
      <c r="C3795" s="322" t="s">
        <v>682</v>
      </c>
      <c r="D3795" s="322">
        <v>2</v>
      </c>
      <c r="E3795" s="321" t="s">
        <v>125</v>
      </c>
    </row>
    <row r="3796" spans="1:5">
      <c r="A3796" s="323">
        <v>46000</v>
      </c>
      <c r="B3796" s="325" t="s">
        <v>1095</v>
      </c>
      <c r="C3796" s="322" t="s">
        <v>682</v>
      </c>
      <c r="D3796" s="322">
        <v>5</v>
      </c>
      <c r="E3796" s="321" t="s">
        <v>125</v>
      </c>
    </row>
    <row r="3797" spans="1:5">
      <c r="A3797" s="323">
        <v>46000</v>
      </c>
      <c r="B3797" s="325" t="s">
        <v>1907</v>
      </c>
      <c r="C3797" s="322" t="s">
        <v>682</v>
      </c>
      <c r="D3797" s="322">
        <v>1</v>
      </c>
      <c r="E3797" s="321" t="s">
        <v>125</v>
      </c>
    </row>
    <row r="3798" spans="1:5">
      <c r="A3798" s="323">
        <v>46000</v>
      </c>
      <c r="B3798" s="324" t="s">
        <v>923</v>
      </c>
      <c r="C3798" s="322" t="s">
        <v>682</v>
      </c>
      <c r="D3798" s="322">
        <v>1</v>
      </c>
      <c r="E3798" s="321" t="s">
        <v>125</v>
      </c>
    </row>
    <row r="3799" spans="1:5">
      <c r="A3799" s="323">
        <v>46000</v>
      </c>
      <c r="B3799" s="324" t="s">
        <v>1991</v>
      </c>
      <c r="C3799" s="322" t="s">
        <v>682</v>
      </c>
      <c r="D3799" s="322">
        <v>1</v>
      </c>
      <c r="E3799" s="321" t="s">
        <v>125</v>
      </c>
    </row>
    <row r="3800" spans="1:5">
      <c r="A3800" s="323">
        <v>46000</v>
      </c>
      <c r="B3800" s="324" t="s">
        <v>1992</v>
      </c>
      <c r="C3800" s="322" t="s">
        <v>682</v>
      </c>
      <c r="D3800" s="322">
        <v>1</v>
      </c>
      <c r="E3800" s="321" t="s">
        <v>125</v>
      </c>
    </row>
    <row r="3801" spans="1:5">
      <c r="A3801" s="323">
        <v>46000</v>
      </c>
      <c r="B3801" s="325" t="s">
        <v>1641</v>
      </c>
      <c r="C3801" s="322" t="s">
        <v>682</v>
      </c>
      <c r="D3801" s="322">
        <v>1</v>
      </c>
      <c r="E3801" s="321" t="s">
        <v>125</v>
      </c>
    </row>
    <row r="3802" spans="1:5">
      <c r="A3802" s="323">
        <v>46000</v>
      </c>
      <c r="B3802" s="324" t="s">
        <v>1994</v>
      </c>
      <c r="C3802" s="322" t="s">
        <v>682</v>
      </c>
      <c r="D3802" s="322">
        <v>2</v>
      </c>
      <c r="E3802" s="321" t="s">
        <v>125</v>
      </c>
    </row>
    <row r="3803" spans="1:5">
      <c r="A3803" s="323">
        <v>46000</v>
      </c>
      <c r="B3803" s="325" t="s">
        <v>1568</v>
      </c>
      <c r="C3803" s="322" t="s">
        <v>682</v>
      </c>
      <c r="D3803" s="322">
        <v>1</v>
      </c>
      <c r="E3803" s="321" t="s">
        <v>125</v>
      </c>
    </row>
    <row r="3804" spans="1:5">
      <c r="A3804" s="323">
        <v>46000</v>
      </c>
      <c r="B3804" s="325" t="s">
        <v>1640</v>
      </c>
      <c r="C3804" s="322" t="s">
        <v>682</v>
      </c>
      <c r="D3804" s="322">
        <v>1</v>
      </c>
      <c r="E3804" s="321" t="s">
        <v>125</v>
      </c>
    </row>
    <row r="3805" spans="1:5">
      <c r="A3805" s="323">
        <v>46000</v>
      </c>
      <c r="B3805" s="325" t="s">
        <v>1232</v>
      </c>
      <c r="C3805" s="322" t="s">
        <v>682</v>
      </c>
      <c r="D3805" s="322">
        <v>1</v>
      </c>
      <c r="E3805" s="321" t="s">
        <v>125</v>
      </c>
    </row>
    <row r="3806" spans="1:5">
      <c r="A3806" s="323">
        <v>46000</v>
      </c>
      <c r="B3806" s="425" t="s">
        <v>1151</v>
      </c>
      <c r="C3806" s="322" t="s">
        <v>682</v>
      </c>
      <c r="D3806" s="322">
        <v>3</v>
      </c>
      <c r="E3806" s="321" t="s">
        <v>125</v>
      </c>
    </row>
    <row r="3807" spans="1:5">
      <c r="A3807" s="323">
        <v>46000</v>
      </c>
      <c r="B3807" s="425" t="s">
        <v>170</v>
      </c>
      <c r="C3807" s="322" t="s">
        <v>682</v>
      </c>
      <c r="D3807" s="322">
        <v>1</v>
      </c>
      <c r="E3807" s="321" t="s">
        <v>125</v>
      </c>
    </row>
    <row r="3808" spans="1:5">
      <c r="A3808" s="323">
        <v>46000</v>
      </c>
      <c r="B3808" s="325" t="s">
        <v>2014</v>
      </c>
      <c r="C3808" s="322" t="s">
        <v>682</v>
      </c>
      <c r="D3808" s="322">
        <v>1</v>
      </c>
      <c r="E3808" s="321" t="s">
        <v>125</v>
      </c>
    </row>
    <row r="3809" spans="1:5">
      <c r="A3809" s="323">
        <v>46000</v>
      </c>
      <c r="B3809" s="325" t="s">
        <v>1434</v>
      </c>
      <c r="C3809" s="322" t="s">
        <v>682</v>
      </c>
      <c r="D3809" s="322">
        <v>1</v>
      </c>
      <c r="E3809" s="321" t="s">
        <v>125</v>
      </c>
    </row>
    <row r="3810" spans="1:5">
      <c r="A3810" s="323">
        <v>46000</v>
      </c>
      <c r="B3810" s="325" t="s">
        <v>1434</v>
      </c>
      <c r="C3810" s="322" t="s">
        <v>682</v>
      </c>
      <c r="D3810" s="322">
        <v>2</v>
      </c>
      <c r="E3810" s="321" t="s">
        <v>125</v>
      </c>
    </row>
    <row r="3811" spans="1:5">
      <c r="A3811" s="323">
        <v>46000</v>
      </c>
      <c r="B3811" s="324" t="s">
        <v>134</v>
      </c>
      <c r="C3811" s="322" t="s">
        <v>682</v>
      </c>
      <c r="D3811" s="322">
        <v>1</v>
      </c>
      <c r="E3811" s="321" t="s">
        <v>125</v>
      </c>
    </row>
    <row r="3812" spans="1:5">
      <c r="A3812" s="323">
        <v>46000</v>
      </c>
      <c r="B3812" s="325" t="s">
        <v>1271</v>
      </c>
      <c r="C3812" s="322" t="s">
        <v>682</v>
      </c>
      <c r="D3812" s="322">
        <v>3</v>
      </c>
      <c r="E3812" s="321" t="s">
        <v>125</v>
      </c>
    </row>
    <row r="3813" spans="1:5">
      <c r="A3813" s="323">
        <v>46000</v>
      </c>
      <c r="B3813" s="325" t="s">
        <v>1271</v>
      </c>
      <c r="C3813" s="322" t="s">
        <v>682</v>
      </c>
      <c r="D3813" s="322">
        <v>1</v>
      </c>
      <c r="E3813" s="321" t="s">
        <v>125</v>
      </c>
    </row>
    <row r="3814" spans="1:5">
      <c r="A3814" s="323">
        <v>46000</v>
      </c>
      <c r="B3814" s="325" t="s">
        <v>1271</v>
      </c>
      <c r="C3814" s="322" t="s">
        <v>682</v>
      </c>
      <c r="D3814" s="322">
        <v>1</v>
      </c>
      <c r="E3814" s="321" t="s">
        <v>125</v>
      </c>
    </row>
    <row r="3815" spans="1:5">
      <c r="A3815" s="323">
        <v>46000</v>
      </c>
      <c r="B3815" s="325" t="s">
        <v>1301</v>
      </c>
      <c r="C3815" s="322" t="s">
        <v>682</v>
      </c>
      <c r="D3815" s="322">
        <v>3</v>
      </c>
      <c r="E3815" s="321" t="s">
        <v>125</v>
      </c>
    </row>
    <row r="3816" spans="1:5">
      <c r="A3816" s="323">
        <v>46000</v>
      </c>
      <c r="B3816" s="325" t="s">
        <v>1246</v>
      </c>
      <c r="C3816" s="322" t="s">
        <v>682</v>
      </c>
      <c r="D3816" s="322">
        <v>21</v>
      </c>
      <c r="E3816" s="321" t="s">
        <v>125</v>
      </c>
    </row>
    <row r="3817" spans="1:5">
      <c r="A3817" s="323">
        <v>46000</v>
      </c>
      <c r="B3817" s="325" t="s">
        <v>1246</v>
      </c>
      <c r="C3817" s="322" t="s">
        <v>682</v>
      </c>
      <c r="D3817" s="322">
        <v>1</v>
      </c>
      <c r="E3817" s="321" t="s">
        <v>125</v>
      </c>
    </row>
    <row r="3818" spans="1:5">
      <c r="A3818" s="323">
        <v>46000</v>
      </c>
      <c r="B3818" s="325" t="s">
        <v>1246</v>
      </c>
      <c r="C3818" s="322" t="s">
        <v>682</v>
      </c>
      <c r="D3818" s="322">
        <v>1</v>
      </c>
      <c r="E3818" s="321" t="s">
        <v>125</v>
      </c>
    </row>
    <row r="3819" spans="1:5">
      <c r="A3819" s="323">
        <v>46000</v>
      </c>
      <c r="B3819" s="325" t="s">
        <v>1289</v>
      </c>
      <c r="C3819" s="322" t="s">
        <v>682</v>
      </c>
      <c r="D3819" s="322">
        <v>1</v>
      </c>
      <c r="E3819" s="321" t="s">
        <v>125</v>
      </c>
    </row>
    <row r="3820" spans="1:5">
      <c r="A3820" s="323">
        <v>46000</v>
      </c>
      <c r="B3820" s="325" t="s">
        <v>1290</v>
      </c>
      <c r="C3820" s="322" t="s">
        <v>682</v>
      </c>
      <c r="D3820" s="322">
        <v>1</v>
      </c>
      <c r="E3820" s="321" t="s">
        <v>125</v>
      </c>
    </row>
    <row r="3822" spans="1:5">
      <c r="A3822" s="335">
        <v>46000</v>
      </c>
      <c r="B3822" s="341" t="s">
        <v>76</v>
      </c>
      <c r="C3822" s="345" t="s">
        <v>2015</v>
      </c>
      <c r="D3822" s="345">
        <v>-1</v>
      </c>
      <c r="E3822" s="230" t="s">
        <v>125</v>
      </c>
    </row>
    <row r="3823" spans="1:5">
      <c r="A3823" s="335">
        <v>46000</v>
      </c>
      <c r="B3823" s="341" t="s">
        <v>76</v>
      </c>
      <c r="C3823" s="43" t="s">
        <v>1603</v>
      </c>
      <c r="D3823" s="43">
        <v>-1</v>
      </c>
      <c r="E3823" s="230" t="s">
        <v>125</v>
      </c>
    </row>
    <row r="3824" spans="1:5">
      <c r="A3824" s="335">
        <v>46000</v>
      </c>
      <c r="B3824" s="341" t="s">
        <v>76</v>
      </c>
      <c r="C3824" s="43" t="s">
        <v>1977</v>
      </c>
      <c r="D3824" s="43">
        <v>-40</v>
      </c>
      <c r="E3824" s="230" t="s">
        <v>125</v>
      </c>
    </row>
    <row r="3825" spans="1:5">
      <c r="A3825" s="335">
        <v>46000</v>
      </c>
      <c r="B3825" s="341" t="s">
        <v>76</v>
      </c>
      <c r="C3825" s="43" t="s">
        <v>1603</v>
      </c>
      <c r="D3825" s="43">
        <v>-1</v>
      </c>
      <c r="E3825" s="230" t="s">
        <v>125</v>
      </c>
    </row>
    <row r="3826" spans="1:5">
      <c r="A3826" s="335">
        <v>46000</v>
      </c>
      <c r="B3826" s="341" t="s">
        <v>76</v>
      </c>
      <c r="C3826" s="43" t="s">
        <v>1603</v>
      </c>
      <c r="D3826" s="43">
        <v>-2</v>
      </c>
      <c r="E3826" s="230" t="s">
        <v>125</v>
      </c>
    </row>
    <row r="3827" spans="1:5">
      <c r="A3827" s="335">
        <v>46000</v>
      </c>
      <c r="B3827" s="343" t="s">
        <v>1270</v>
      </c>
      <c r="C3827" s="43" t="s">
        <v>1613</v>
      </c>
      <c r="D3827" s="43">
        <v>-3</v>
      </c>
      <c r="E3827" s="230" t="s">
        <v>125</v>
      </c>
    </row>
    <row r="3828" spans="1:5">
      <c r="A3828" s="335">
        <v>46000</v>
      </c>
      <c r="B3828" s="343" t="s">
        <v>1270</v>
      </c>
      <c r="C3828" s="43" t="s">
        <v>1803</v>
      </c>
      <c r="D3828" s="43">
        <v>-3</v>
      </c>
      <c r="E3828" s="230" t="s">
        <v>125</v>
      </c>
    </row>
    <row r="3829" spans="1:5">
      <c r="A3829" s="335">
        <v>46000</v>
      </c>
      <c r="B3829" s="93" t="s">
        <v>1224</v>
      </c>
      <c r="C3829" s="43" t="s">
        <v>1803</v>
      </c>
      <c r="D3829" s="43">
        <v>-1</v>
      </c>
      <c r="E3829" s="230" t="s">
        <v>125</v>
      </c>
    </row>
    <row r="3830" spans="1:5">
      <c r="A3830" s="335">
        <v>46000</v>
      </c>
      <c r="B3830" s="84" t="s">
        <v>134</v>
      </c>
      <c r="C3830" s="43" t="s">
        <v>678</v>
      </c>
      <c r="D3830" s="43">
        <v>-1</v>
      </c>
      <c r="E3830" s="230" t="s">
        <v>125</v>
      </c>
    </row>
    <row r="3831" spans="1:5">
      <c r="A3831" s="335">
        <v>46000</v>
      </c>
      <c r="B3831" s="343" t="s">
        <v>1326</v>
      </c>
      <c r="C3831" s="43" t="s">
        <v>678</v>
      </c>
      <c r="D3831" s="43">
        <v>-1</v>
      </c>
      <c r="E3831" s="230" t="s">
        <v>125</v>
      </c>
    </row>
    <row r="3832" spans="1:5">
      <c r="A3832" s="335">
        <v>46000</v>
      </c>
      <c r="B3832" s="92" t="s">
        <v>672</v>
      </c>
      <c r="C3832" s="43" t="s">
        <v>1598</v>
      </c>
      <c r="D3832" s="43">
        <v>-1</v>
      </c>
      <c r="E3832" s="230" t="s">
        <v>125</v>
      </c>
    </row>
    <row r="3833" spans="1:5">
      <c r="A3833" s="335">
        <v>46000</v>
      </c>
      <c r="B3833" s="92" t="s">
        <v>672</v>
      </c>
      <c r="C3833" s="43" t="s">
        <v>1615</v>
      </c>
      <c r="D3833" s="43">
        <v>-2</v>
      </c>
      <c r="E3833" s="230" t="s">
        <v>125</v>
      </c>
    </row>
    <row r="3834" spans="1:5">
      <c r="A3834" s="335">
        <v>46000</v>
      </c>
      <c r="B3834" s="343" t="s">
        <v>1271</v>
      </c>
      <c r="C3834" s="43" t="s">
        <v>1725</v>
      </c>
      <c r="D3834" s="43">
        <v>-3</v>
      </c>
      <c r="E3834" s="230" t="s">
        <v>125</v>
      </c>
    </row>
    <row r="3835" spans="1:5">
      <c r="A3835" s="335">
        <v>46000</v>
      </c>
      <c r="B3835" s="92" t="s">
        <v>642</v>
      </c>
      <c r="C3835" s="43" t="s">
        <v>1787</v>
      </c>
      <c r="D3835" s="43">
        <v>-7</v>
      </c>
      <c r="E3835" s="230" t="s">
        <v>125</v>
      </c>
    </row>
    <row r="3836" spans="1:5">
      <c r="A3836" s="335">
        <v>46000</v>
      </c>
      <c r="B3836" s="343" t="s">
        <v>1271</v>
      </c>
      <c r="C3836" s="43" t="s">
        <v>1600</v>
      </c>
      <c r="D3836" s="43">
        <v>-7</v>
      </c>
      <c r="E3836" s="230" t="s">
        <v>125</v>
      </c>
    </row>
    <row r="3837" spans="1:5">
      <c r="A3837" s="335">
        <v>46000</v>
      </c>
      <c r="B3837" s="342" t="s">
        <v>134</v>
      </c>
      <c r="C3837" s="43" t="s">
        <v>1600</v>
      </c>
      <c r="D3837" s="43">
        <v>-3</v>
      </c>
      <c r="E3837" s="230" t="s">
        <v>125</v>
      </c>
    </row>
    <row r="3838" spans="1:5">
      <c r="A3838" s="335">
        <v>46000</v>
      </c>
      <c r="B3838" s="343" t="s">
        <v>1271</v>
      </c>
      <c r="C3838" s="43" t="s">
        <v>1600</v>
      </c>
      <c r="D3838" s="43">
        <v>-1</v>
      </c>
      <c r="E3838" s="230" t="s">
        <v>125</v>
      </c>
    </row>
    <row r="3839" spans="1:5">
      <c r="A3839" s="335">
        <v>46000</v>
      </c>
      <c r="B3839" s="343" t="s">
        <v>1246</v>
      </c>
      <c r="C3839" s="43" t="s">
        <v>2030</v>
      </c>
      <c r="D3839" s="43">
        <v>-1</v>
      </c>
      <c r="E3839" s="230" t="s">
        <v>125</v>
      </c>
    </row>
    <row r="3841" spans="1:5">
      <c r="A3841" s="310">
        <v>46000</v>
      </c>
      <c r="B3841" s="526" t="s">
        <v>1641</v>
      </c>
      <c r="C3841" s="312" t="s">
        <v>2031</v>
      </c>
      <c r="D3841" s="312">
        <v>-1</v>
      </c>
      <c r="E3841" s="313" t="s">
        <v>125</v>
      </c>
    </row>
    <row r="3843" spans="1:5">
      <c r="A3843" s="323">
        <v>46001</v>
      </c>
      <c r="B3843" s="325" t="s">
        <v>1311</v>
      </c>
      <c r="C3843" s="322" t="s">
        <v>682</v>
      </c>
      <c r="D3843" s="322">
        <v>1</v>
      </c>
      <c r="E3843" s="321" t="s">
        <v>125</v>
      </c>
    </row>
    <row r="3844" spans="1:5">
      <c r="A3844" s="323">
        <v>46001</v>
      </c>
      <c r="B3844" s="325" t="s">
        <v>1409</v>
      </c>
      <c r="C3844" s="322" t="s">
        <v>682</v>
      </c>
      <c r="D3844" s="322">
        <v>4</v>
      </c>
      <c r="E3844" s="321" t="s">
        <v>125</v>
      </c>
    </row>
    <row r="3845" spans="1:5">
      <c r="A3845" s="323">
        <v>46001</v>
      </c>
      <c r="B3845" s="325" t="s">
        <v>1490</v>
      </c>
      <c r="C3845" s="322" t="s">
        <v>682</v>
      </c>
      <c r="D3845" s="322">
        <v>1</v>
      </c>
      <c r="E3845" s="321" t="s">
        <v>125</v>
      </c>
    </row>
    <row r="3846" spans="1:5">
      <c r="A3846" s="323">
        <v>46001</v>
      </c>
      <c r="B3846" s="324" t="s">
        <v>1387</v>
      </c>
      <c r="C3846" s="322" t="s">
        <v>682</v>
      </c>
      <c r="D3846" s="322">
        <v>1</v>
      </c>
      <c r="E3846" s="321" t="s">
        <v>125</v>
      </c>
    </row>
    <row r="3847" spans="1:5">
      <c r="A3847" s="323">
        <v>46001</v>
      </c>
      <c r="B3847" s="325" t="s">
        <v>920</v>
      </c>
      <c r="C3847" s="322" t="s">
        <v>682</v>
      </c>
      <c r="D3847" s="322">
        <v>1</v>
      </c>
      <c r="E3847" s="321" t="s">
        <v>125</v>
      </c>
    </row>
    <row r="3848" spans="1:5">
      <c r="A3848" s="323">
        <v>46001</v>
      </c>
      <c r="B3848" s="325" t="s">
        <v>1291</v>
      </c>
      <c r="C3848" s="322" t="s">
        <v>682</v>
      </c>
      <c r="D3848" s="322">
        <v>4</v>
      </c>
      <c r="E3848" s="321" t="s">
        <v>125</v>
      </c>
    </row>
    <row r="3849" spans="1:5">
      <c r="A3849" s="323">
        <v>46001</v>
      </c>
      <c r="B3849" s="425" t="s">
        <v>932</v>
      </c>
      <c r="C3849" s="322" t="s">
        <v>682</v>
      </c>
      <c r="D3849" s="322">
        <v>1</v>
      </c>
      <c r="E3849" s="321" t="s">
        <v>125</v>
      </c>
    </row>
    <row r="3850" spans="1:5">
      <c r="A3850" s="323">
        <v>46001</v>
      </c>
      <c r="B3850" s="324" t="s">
        <v>135</v>
      </c>
      <c r="C3850" s="322" t="s">
        <v>682</v>
      </c>
      <c r="D3850" s="322">
        <v>1</v>
      </c>
      <c r="E3850" s="321" t="s">
        <v>125</v>
      </c>
    </row>
    <row r="3851" spans="1:5">
      <c r="A3851" s="323">
        <v>46001</v>
      </c>
      <c r="B3851" s="324" t="s">
        <v>1991</v>
      </c>
      <c r="C3851" s="322" t="s">
        <v>682</v>
      </c>
      <c r="D3851" s="322">
        <v>1</v>
      </c>
      <c r="E3851" s="321" t="s">
        <v>125</v>
      </c>
    </row>
    <row r="3852" spans="1:5">
      <c r="A3852" s="323">
        <v>46001</v>
      </c>
      <c r="B3852" s="325" t="s">
        <v>1641</v>
      </c>
      <c r="C3852" s="322" t="s">
        <v>682</v>
      </c>
      <c r="D3852" s="322">
        <v>1</v>
      </c>
      <c r="E3852" s="321" t="s">
        <v>125</v>
      </c>
    </row>
    <row r="3853" spans="1:5">
      <c r="A3853" s="323">
        <v>46001</v>
      </c>
      <c r="B3853" s="325" t="s">
        <v>1641</v>
      </c>
      <c r="C3853" s="322" t="s">
        <v>682</v>
      </c>
      <c r="D3853" s="322">
        <v>2</v>
      </c>
      <c r="E3853" s="321" t="s">
        <v>125</v>
      </c>
    </row>
    <row r="3854" spans="1:5">
      <c r="A3854" s="323">
        <v>46001</v>
      </c>
      <c r="B3854" s="325" t="s">
        <v>1568</v>
      </c>
      <c r="C3854" s="322" t="s">
        <v>682</v>
      </c>
      <c r="D3854" s="322">
        <v>5</v>
      </c>
      <c r="E3854" s="321" t="s">
        <v>125</v>
      </c>
    </row>
    <row r="3855" spans="1:5">
      <c r="A3855" s="323">
        <v>46001</v>
      </c>
      <c r="B3855" s="325" t="s">
        <v>1318</v>
      </c>
      <c r="C3855" s="322" t="s">
        <v>682</v>
      </c>
      <c r="D3855" s="322">
        <v>8</v>
      </c>
      <c r="E3855" s="321" t="s">
        <v>125</v>
      </c>
    </row>
    <row r="3856" spans="1:5">
      <c r="A3856" s="323">
        <v>46001</v>
      </c>
      <c r="B3856" s="324" t="s">
        <v>134</v>
      </c>
      <c r="C3856" s="322" t="s">
        <v>682</v>
      </c>
      <c r="D3856" s="322">
        <v>2</v>
      </c>
      <c r="E3856" s="321" t="s">
        <v>125</v>
      </c>
    </row>
    <row r="3857" spans="1:5">
      <c r="A3857" s="323">
        <v>46001</v>
      </c>
      <c r="B3857" s="325" t="s">
        <v>1407</v>
      </c>
      <c r="C3857" s="322" t="s">
        <v>682</v>
      </c>
      <c r="D3857" s="322">
        <v>1</v>
      </c>
      <c r="E3857" s="321" t="s">
        <v>125</v>
      </c>
    </row>
    <row r="3858" spans="1:5">
      <c r="A3858" s="323">
        <v>46001</v>
      </c>
      <c r="B3858" s="325" t="s">
        <v>1271</v>
      </c>
      <c r="C3858" s="322" t="s">
        <v>682</v>
      </c>
      <c r="D3858" s="322">
        <v>4</v>
      </c>
      <c r="E3858" s="321" t="s">
        <v>125</v>
      </c>
    </row>
    <row r="3859" spans="1:5">
      <c r="A3859" s="323">
        <v>46001</v>
      </c>
      <c r="B3859" s="325" t="s">
        <v>1301</v>
      </c>
      <c r="C3859" s="322" t="s">
        <v>682</v>
      </c>
      <c r="D3859" s="322">
        <v>1</v>
      </c>
      <c r="E3859" s="321" t="s">
        <v>125</v>
      </c>
    </row>
    <row r="3860" spans="1:5">
      <c r="A3860" s="323">
        <v>46001</v>
      </c>
      <c r="B3860" s="325" t="s">
        <v>1246</v>
      </c>
      <c r="C3860" s="322" t="s">
        <v>682</v>
      </c>
      <c r="D3860" s="322">
        <v>23</v>
      </c>
      <c r="E3860" s="321" t="s">
        <v>125</v>
      </c>
    </row>
    <row r="3861" spans="1:5">
      <c r="A3861" s="323">
        <v>46001</v>
      </c>
      <c r="B3861" s="325" t="s">
        <v>1249</v>
      </c>
      <c r="C3861" s="322" t="s">
        <v>682</v>
      </c>
      <c r="D3861" s="322">
        <v>5</v>
      </c>
      <c r="E3861" s="321" t="s">
        <v>125</v>
      </c>
    </row>
    <row r="3862" spans="1:5">
      <c r="A3862" s="323">
        <v>46001</v>
      </c>
      <c r="B3862" s="325" t="s">
        <v>1249</v>
      </c>
      <c r="C3862" s="322" t="s">
        <v>682</v>
      </c>
      <c r="D3862" s="322">
        <v>1</v>
      </c>
      <c r="E3862" s="321" t="s">
        <v>125</v>
      </c>
    </row>
    <row r="3863" spans="1:5">
      <c r="A3863" s="323">
        <v>46001</v>
      </c>
      <c r="B3863" s="325" t="s">
        <v>1290</v>
      </c>
      <c r="C3863" s="322" t="s">
        <v>682</v>
      </c>
      <c r="D3863" s="322">
        <v>1</v>
      </c>
      <c r="E3863" s="321" t="s">
        <v>125</v>
      </c>
    </row>
    <row r="3864" spans="1:5">
      <c r="A3864" s="323">
        <v>46001</v>
      </c>
      <c r="B3864" s="325" t="s">
        <v>1246</v>
      </c>
      <c r="C3864" s="322" t="s">
        <v>682</v>
      </c>
      <c r="D3864" s="322">
        <v>7</v>
      </c>
      <c r="E3864" s="321" t="s">
        <v>125</v>
      </c>
    </row>
    <row r="3865" spans="1:5">
      <c r="A3865" s="323">
        <v>46001</v>
      </c>
      <c r="B3865" s="425" t="s">
        <v>1716</v>
      </c>
      <c r="C3865" s="322" t="s">
        <v>682</v>
      </c>
      <c r="D3865" s="322">
        <v>1</v>
      </c>
      <c r="E3865" s="321" t="s">
        <v>125</v>
      </c>
    </row>
    <row r="3866" spans="1:5">
      <c r="A3866" s="323">
        <v>46001</v>
      </c>
      <c r="B3866" s="325" t="s">
        <v>2019</v>
      </c>
      <c r="C3866" s="322" t="s">
        <v>682</v>
      </c>
      <c r="D3866" s="322">
        <v>1</v>
      </c>
      <c r="E3866" s="321" t="s">
        <v>125</v>
      </c>
    </row>
    <row r="3867" spans="1:5">
      <c r="A3867" s="323">
        <v>46001</v>
      </c>
      <c r="B3867" s="325" t="s">
        <v>1296</v>
      </c>
      <c r="C3867" s="322" t="s">
        <v>682</v>
      </c>
      <c r="D3867" s="322">
        <v>3</v>
      </c>
      <c r="E3867" s="321" t="s">
        <v>125</v>
      </c>
    </row>
    <row r="3868" spans="1:5">
      <c r="A3868" s="323">
        <v>46001</v>
      </c>
      <c r="B3868" s="324" t="s">
        <v>131</v>
      </c>
      <c r="C3868" s="322" t="s">
        <v>682</v>
      </c>
      <c r="D3868" s="322">
        <v>4</v>
      </c>
      <c r="E3868" s="321" t="s">
        <v>125</v>
      </c>
    </row>
    <row r="3869" spans="1:5">
      <c r="A3869" s="323">
        <v>46001</v>
      </c>
      <c r="B3869" s="325" t="s">
        <v>2032</v>
      </c>
      <c r="C3869" s="322" t="s">
        <v>682</v>
      </c>
      <c r="D3869" s="322">
        <v>1</v>
      </c>
      <c r="E3869" s="321" t="s">
        <v>125</v>
      </c>
    </row>
    <row r="3871" spans="1:5">
      <c r="A3871" s="272">
        <v>45995</v>
      </c>
      <c r="B3871" s="128" t="s">
        <v>76</v>
      </c>
      <c r="C3871" s="106" t="s">
        <v>49</v>
      </c>
      <c r="D3871" s="106">
        <v>1</v>
      </c>
      <c r="E3871" s="94" t="s">
        <v>125</v>
      </c>
    </row>
    <row r="3872" spans="1:5">
      <c r="A3872" s="272">
        <v>45995</v>
      </c>
      <c r="B3872" s="128" t="s">
        <v>76</v>
      </c>
      <c r="C3872" s="106" t="s">
        <v>49</v>
      </c>
      <c r="D3872" s="106">
        <v>2</v>
      </c>
      <c r="E3872" s="94" t="s">
        <v>125</v>
      </c>
    </row>
    <row r="3873" spans="1:6">
      <c r="A3873" s="272">
        <v>45995</v>
      </c>
      <c r="B3873" s="139" t="s">
        <v>1617</v>
      </c>
      <c r="C3873" s="106" t="s">
        <v>49</v>
      </c>
      <c r="D3873" s="106">
        <v>3</v>
      </c>
      <c r="E3873" s="94" t="s">
        <v>125</v>
      </c>
    </row>
    <row r="3874" spans="1:6">
      <c r="A3874" s="272">
        <v>45995</v>
      </c>
      <c r="B3874" s="128" t="s">
        <v>76</v>
      </c>
      <c r="C3874" s="106" t="s">
        <v>49</v>
      </c>
      <c r="D3874" s="106">
        <v>2</v>
      </c>
      <c r="E3874" s="94" t="s">
        <v>125</v>
      </c>
    </row>
    <row r="3875" spans="1:6">
      <c r="A3875" s="272">
        <v>45995</v>
      </c>
      <c r="B3875" s="128" t="s">
        <v>76</v>
      </c>
      <c r="C3875" s="106" t="s">
        <v>49</v>
      </c>
      <c r="D3875" s="106">
        <v>2</v>
      </c>
      <c r="E3875" s="94" t="s">
        <v>125</v>
      </c>
    </row>
    <row r="3876" spans="1:6">
      <c r="A3876" s="272">
        <v>45995</v>
      </c>
      <c r="B3876" s="128" t="s">
        <v>76</v>
      </c>
      <c r="C3876" s="106" t="s">
        <v>49</v>
      </c>
      <c r="D3876" s="106">
        <v>2</v>
      </c>
      <c r="E3876" s="94" t="s">
        <v>125</v>
      </c>
    </row>
    <row r="3877" spans="1:6">
      <c r="A3877" s="272">
        <v>45995</v>
      </c>
      <c r="B3877" s="128" t="s">
        <v>76</v>
      </c>
      <c r="C3877" s="106" t="s">
        <v>49</v>
      </c>
      <c r="D3877" s="106">
        <v>2</v>
      </c>
      <c r="E3877" s="94" t="s">
        <v>125</v>
      </c>
    </row>
    <row r="3878" spans="1:6">
      <c r="A3878" s="272">
        <v>45995</v>
      </c>
      <c r="B3878" s="128" t="s">
        <v>76</v>
      </c>
      <c r="C3878" s="106" t="s">
        <v>49</v>
      </c>
      <c r="D3878" s="106">
        <v>1</v>
      </c>
      <c r="E3878" s="94" t="s">
        <v>125</v>
      </c>
    </row>
    <row r="3879" spans="1:6">
      <c r="A3879" s="272">
        <v>45995</v>
      </c>
      <c r="B3879" s="128" t="s">
        <v>76</v>
      </c>
      <c r="C3879" s="106" t="s">
        <v>49</v>
      </c>
      <c r="D3879" s="106">
        <v>1</v>
      </c>
      <c r="E3879" s="94" t="s">
        <v>125</v>
      </c>
    </row>
    <row r="3880" spans="1:6">
      <c r="A3880" s="272">
        <v>45995</v>
      </c>
      <c r="B3880" s="139" t="s">
        <v>1575</v>
      </c>
      <c r="C3880" s="106" t="s">
        <v>49</v>
      </c>
      <c r="D3880" s="106">
        <v>5</v>
      </c>
      <c r="E3880" s="94" t="s">
        <v>125</v>
      </c>
    </row>
    <row r="3881" spans="1:6">
      <c r="A3881" s="272">
        <v>45995</v>
      </c>
      <c r="B3881" s="128" t="s">
        <v>76</v>
      </c>
      <c r="C3881" s="106" t="s">
        <v>49</v>
      </c>
      <c r="D3881" s="106">
        <v>1</v>
      </c>
      <c r="E3881" s="94" t="s">
        <v>125</v>
      </c>
    </row>
    <row r="3882" spans="1:6">
      <c r="A3882" s="272">
        <v>45995</v>
      </c>
      <c r="B3882" s="139" t="s">
        <v>1617</v>
      </c>
      <c r="C3882" s="106" t="s">
        <v>49</v>
      </c>
      <c r="D3882" s="106">
        <v>4</v>
      </c>
      <c r="E3882" s="94" t="s">
        <v>125</v>
      </c>
    </row>
    <row r="3883" spans="1:6">
      <c r="A3883" s="272">
        <v>45995</v>
      </c>
      <c r="B3883" s="128" t="s">
        <v>76</v>
      </c>
      <c r="C3883" s="106" t="s">
        <v>49</v>
      </c>
      <c r="D3883" s="106">
        <v>1</v>
      </c>
      <c r="E3883" s="94" t="s">
        <v>125</v>
      </c>
    </row>
    <row r="3884" spans="1:6">
      <c r="A3884" s="272">
        <v>45995</v>
      </c>
      <c r="B3884" s="139" t="s">
        <v>808</v>
      </c>
      <c r="C3884" s="106" t="s">
        <v>49</v>
      </c>
      <c r="D3884" s="106">
        <v>0</v>
      </c>
      <c r="E3884" s="94" t="s">
        <v>125</v>
      </c>
      <c r="F3884" t="s">
        <v>1340</v>
      </c>
    </row>
    <row r="3886" spans="1:6">
      <c r="A3886" s="272">
        <v>45996</v>
      </c>
      <c r="B3886" s="139" t="s">
        <v>1575</v>
      </c>
      <c r="C3886" s="106" t="s">
        <v>49</v>
      </c>
      <c r="D3886" s="106">
        <v>2</v>
      </c>
      <c r="E3886" s="94" t="s">
        <v>125</v>
      </c>
    </row>
    <row r="3887" spans="1:6">
      <c r="A3887" s="272">
        <v>45996</v>
      </c>
      <c r="B3887" s="128" t="s">
        <v>76</v>
      </c>
      <c r="C3887" s="106" t="s">
        <v>49</v>
      </c>
      <c r="D3887" s="106">
        <v>3</v>
      </c>
      <c r="E3887" s="94" t="s">
        <v>125</v>
      </c>
    </row>
    <row r="3888" spans="1:6">
      <c r="A3888" s="272">
        <v>45996</v>
      </c>
      <c r="B3888" s="139" t="s">
        <v>1617</v>
      </c>
      <c r="C3888" s="106" t="s">
        <v>49</v>
      </c>
      <c r="D3888" s="106">
        <v>1</v>
      </c>
      <c r="E3888" s="94" t="s">
        <v>125</v>
      </c>
    </row>
    <row r="3889" spans="1:5">
      <c r="A3889" s="272">
        <v>45996</v>
      </c>
      <c r="B3889" s="139" t="s">
        <v>807</v>
      </c>
      <c r="C3889" s="106" t="s">
        <v>49</v>
      </c>
      <c r="D3889" s="106">
        <v>2</v>
      </c>
      <c r="E3889" s="94" t="s">
        <v>125</v>
      </c>
    </row>
    <row r="3890" spans="1:5">
      <c r="A3890" s="272">
        <v>45996</v>
      </c>
      <c r="B3890" s="128" t="s">
        <v>76</v>
      </c>
      <c r="C3890" s="106" t="s">
        <v>49</v>
      </c>
      <c r="D3890" s="106">
        <v>2</v>
      </c>
      <c r="E3890" s="94" t="s">
        <v>125</v>
      </c>
    </row>
    <row r="3891" spans="1:5">
      <c r="A3891" s="272">
        <v>45996</v>
      </c>
      <c r="B3891" s="128" t="s">
        <v>76</v>
      </c>
      <c r="C3891" s="106" t="s">
        <v>49</v>
      </c>
      <c r="D3891" s="106">
        <v>4</v>
      </c>
      <c r="E3891" s="94" t="s">
        <v>125</v>
      </c>
    </row>
    <row r="3892" spans="1:5">
      <c r="A3892" s="272">
        <v>45996</v>
      </c>
      <c r="B3892" s="128" t="s">
        <v>76</v>
      </c>
      <c r="C3892" s="106" t="s">
        <v>49</v>
      </c>
      <c r="D3892" s="106">
        <v>2</v>
      </c>
      <c r="E3892" s="94" t="s">
        <v>125</v>
      </c>
    </row>
    <row r="3893" spans="1:5">
      <c r="A3893" s="272">
        <v>45996</v>
      </c>
      <c r="B3893" s="128" t="s">
        <v>76</v>
      </c>
      <c r="C3893" s="106" t="s">
        <v>49</v>
      </c>
      <c r="D3893" s="106">
        <v>20</v>
      </c>
      <c r="E3893" s="94" t="s">
        <v>125</v>
      </c>
    </row>
    <row r="3894" spans="1:5">
      <c r="A3894" s="272">
        <v>45996</v>
      </c>
      <c r="B3894" s="128" t="s">
        <v>76</v>
      </c>
      <c r="C3894" s="106" t="s">
        <v>49</v>
      </c>
      <c r="D3894" s="106">
        <v>4</v>
      </c>
      <c r="E3894" s="94" t="s">
        <v>125</v>
      </c>
    </row>
    <row r="3895" spans="1:5">
      <c r="A3895" s="272">
        <v>45996</v>
      </c>
      <c r="B3895" s="128" t="s">
        <v>76</v>
      </c>
      <c r="C3895" s="106" t="s">
        <v>49</v>
      </c>
      <c r="D3895" s="106">
        <v>2</v>
      </c>
      <c r="E3895" s="94" t="s">
        <v>125</v>
      </c>
    </row>
    <row r="3896" spans="1:5">
      <c r="A3896" s="272">
        <v>45996</v>
      </c>
      <c r="B3896" s="128" t="s">
        <v>76</v>
      </c>
      <c r="C3896" s="106" t="s">
        <v>49</v>
      </c>
      <c r="D3896" s="106">
        <v>2</v>
      </c>
      <c r="E3896" s="94" t="s">
        <v>125</v>
      </c>
    </row>
    <row r="3897" spans="1:5">
      <c r="A3897" s="272">
        <v>45996</v>
      </c>
      <c r="B3897" s="128" t="s">
        <v>76</v>
      </c>
      <c r="C3897" s="106" t="s">
        <v>49</v>
      </c>
      <c r="D3897" s="106">
        <v>2</v>
      </c>
      <c r="E3897" s="94" t="s">
        <v>125</v>
      </c>
    </row>
    <row r="3898" spans="1:5">
      <c r="A3898" s="272">
        <v>45996</v>
      </c>
      <c r="B3898" s="139" t="s">
        <v>1270</v>
      </c>
      <c r="C3898" s="106" t="s">
        <v>49</v>
      </c>
      <c r="D3898" s="106">
        <v>3</v>
      </c>
      <c r="E3898" s="94" t="s">
        <v>125</v>
      </c>
    </row>
    <row r="3899" spans="1:5">
      <c r="A3899" s="272">
        <v>45996</v>
      </c>
      <c r="B3899" s="128" t="s">
        <v>76</v>
      </c>
      <c r="C3899" s="106" t="s">
        <v>49</v>
      </c>
      <c r="D3899" s="106">
        <v>1</v>
      </c>
      <c r="E3899" s="94" t="s">
        <v>125</v>
      </c>
    </row>
    <row r="3900" spans="1:5">
      <c r="A3900" s="272">
        <v>45996</v>
      </c>
      <c r="B3900" s="128" t="s">
        <v>76</v>
      </c>
      <c r="C3900" s="106" t="s">
        <v>49</v>
      </c>
      <c r="D3900" s="106">
        <v>7</v>
      </c>
      <c r="E3900" s="94" t="s">
        <v>125</v>
      </c>
    </row>
    <row r="3901" spans="1:5">
      <c r="A3901" s="272">
        <v>45996</v>
      </c>
      <c r="B3901" s="128" t="s">
        <v>76</v>
      </c>
      <c r="C3901" s="106" t="s">
        <v>49</v>
      </c>
      <c r="D3901" s="106">
        <v>2</v>
      </c>
      <c r="E3901" s="94" t="s">
        <v>125</v>
      </c>
    </row>
    <row r="3902" spans="1:5">
      <c r="A3902" s="272">
        <v>45996</v>
      </c>
      <c r="B3902" s="128" t="s">
        <v>76</v>
      </c>
      <c r="C3902" s="106" t="s">
        <v>49</v>
      </c>
      <c r="D3902" s="106">
        <v>30</v>
      </c>
      <c r="E3902" s="94" t="s">
        <v>125</v>
      </c>
    </row>
    <row r="3903" spans="1:5">
      <c r="A3903" s="272">
        <v>45996</v>
      </c>
      <c r="B3903" s="128" t="s">
        <v>76</v>
      </c>
      <c r="C3903" s="106" t="s">
        <v>49</v>
      </c>
      <c r="D3903" s="106">
        <v>26</v>
      </c>
      <c r="E3903" s="94" t="s">
        <v>125</v>
      </c>
    </row>
    <row r="3905" spans="1:5">
      <c r="A3905" s="272">
        <v>45999</v>
      </c>
      <c r="B3905" s="139" t="s">
        <v>1575</v>
      </c>
      <c r="C3905" s="106" t="s">
        <v>49</v>
      </c>
      <c r="D3905" s="106">
        <v>15</v>
      </c>
      <c r="E3905" s="94" t="s">
        <v>125</v>
      </c>
    </row>
    <row r="3906" spans="1:5">
      <c r="A3906" s="272">
        <v>45999</v>
      </c>
      <c r="B3906" s="128" t="s">
        <v>76</v>
      </c>
      <c r="C3906" s="106" t="s">
        <v>49</v>
      </c>
      <c r="D3906" s="106">
        <v>1</v>
      </c>
      <c r="E3906" s="94" t="s">
        <v>125</v>
      </c>
    </row>
    <row r="3907" spans="1:5">
      <c r="A3907" s="272">
        <v>45999</v>
      </c>
      <c r="B3907" s="128" t="s">
        <v>76</v>
      </c>
      <c r="C3907" s="106" t="s">
        <v>49</v>
      </c>
      <c r="D3907" s="106">
        <v>2</v>
      </c>
      <c r="E3907" s="94" t="s">
        <v>125</v>
      </c>
    </row>
    <row r="3908" spans="1:5">
      <c r="A3908" s="272">
        <v>45999</v>
      </c>
      <c r="B3908" s="139" t="s">
        <v>1617</v>
      </c>
      <c r="C3908" s="106" t="s">
        <v>49</v>
      </c>
      <c r="D3908" s="106">
        <v>2</v>
      </c>
      <c r="E3908" s="94" t="s">
        <v>125</v>
      </c>
    </row>
    <row r="3909" spans="1:5">
      <c r="A3909" s="272">
        <v>45999</v>
      </c>
      <c r="B3909" s="139" t="s">
        <v>1575</v>
      </c>
      <c r="C3909" s="106" t="s">
        <v>49</v>
      </c>
      <c r="D3909" s="106">
        <v>18</v>
      </c>
      <c r="E3909" s="94" t="s">
        <v>125</v>
      </c>
    </row>
    <row r="3910" spans="1:5">
      <c r="A3910" s="272">
        <v>45999</v>
      </c>
      <c r="B3910" s="139" t="s">
        <v>1246</v>
      </c>
      <c r="C3910" s="106" t="s">
        <v>49</v>
      </c>
      <c r="D3910" s="106">
        <v>2</v>
      </c>
      <c r="E3910" s="94" t="s">
        <v>125</v>
      </c>
    </row>
    <row r="3911" spans="1:5">
      <c r="A3911" s="272">
        <v>45999</v>
      </c>
      <c r="B3911" s="128" t="s">
        <v>76</v>
      </c>
      <c r="C3911" s="106" t="s">
        <v>49</v>
      </c>
      <c r="D3911" s="106">
        <v>1</v>
      </c>
      <c r="E3911" s="94" t="s">
        <v>125</v>
      </c>
    </row>
    <row r="3912" spans="1:5">
      <c r="A3912" s="272">
        <v>45999</v>
      </c>
      <c r="B3912" s="128" t="s">
        <v>76</v>
      </c>
      <c r="C3912" s="106" t="s">
        <v>49</v>
      </c>
      <c r="D3912" s="106">
        <v>1</v>
      </c>
      <c r="E3912" s="94" t="s">
        <v>125</v>
      </c>
    </row>
    <row r="3913" spans="1:5">
      <c r="A3913" s="272">
        <v>46000</v>
      </c>
      <c r="B3913" s="128" t="s">
        <v>76</v>
      </c>
      <c r="C3913" s="106" t="s">
        <v>49</v>
      </c>
      <c r="D3913" s="106">
        <v>12</v>
      </c>
      <c r="E3913" s="94" t="s">
        <v>125</v>
      </c>
    </row>
    <row r="3914" spans="1:5">
      <c r="A3914" s="272">
        <v>46000</v>
      </c>
      <c r="B3914" s="128" t="s">
        <v>76</v>
      </c>
      <c r="C3914" s="106" t="s">
        <v>49</v>
      </c>
      <c r="D3914" s="106">
        <v>40</v>
      </c>
      <c r="E3914" s="94" t="s">
        <v>125</v>
      </c>
    </row>
    <row r="3915" spans="1:5">
      <c r="A3915" s="272">
        <v>46000</v>
      </c>
      <c r="B3915" s="128" t="s">
        <v>76</v>
      </c>
      <c r="C3915" s="106" t="s">
        <v>49</v>
      </c>
      <c r="D3915" s="106">
        <v>1</v>
      </c>
      <c r="E3915" s="94" t="s">
        <v>125</v>
      </c>
    </row>
    <row r="3916" spans="1:5">
      <c r="A3916" s="272">
        <v>46000</v>
      </c>
      <c r="B3916" s="128" t="s">
        <v>76</v>
      </c>
      <c r="C3916" s="106" t="s">
        <v>49</v>
      </c>
      <c r="D3916" s="106">
        <v>1</v>
      </c>
      <c r="E3916" s="94" t="s">
        <v>125</v>
      </c>
    </row>
    <row r="3917" spans="1:5">
      <c r="A3917" s="272">
        <v>46001</v>
      </c>
      <c r="B3917" s="128" t="s">
        <v>76</v>
      </c>
      <c r="C3917" s="106" t="s">
        <v>49</v>
      </c>
      <c r="D3917" s="106">
        <v>10</v>
      </c>
      <c r="E3917" s="94" t="s">
        <v>125</v>
      </c>
    </row>
    <row r="3918" spans="1:5">
      <c r="A3918" s="272">
        <v>46001</v>
      </c>
      <c r="B3918" s="128" t="s">
        <v>76</v>
      </c>
      <c r="C3918" s="106" t="s">
        <v>49</v>
      </c>
      <c r="D3918" s="106">
        <v>2</v>
      </c>
      <c r="E3918" s="94" t="s">
        <v>125</v>
      </c>
    </row>
    <row r="3919" spans="1:5">
      <c r="A3919" s="272">
        <v>46001</v>
      </c>
      <c r="B3919" s="128" t="s">
        <v>76</v>
      </c>
      <c r="C3919" s="106" t="s">
        <v>49</v>
      </c>
      <c r="D3919" s="106">
        <v>2</v>
      </c>
      <c r="E3919" s="94" t="s">
        <v>125</v>
      </c>
    </row>
    <row r="3920" spans="1:5">
      <c r="A3920" s="272">
        <v>46001</v>
      </c>
      <c r="B3920" s="128" t="s">
        <v>76</v>
      </c>
      <c r="C3920" s="106" t="s">
        <v>49</v>
      </c>
      <c r="D3920" s="106">
        <v>1</v>
      </c>
      <c r="E3920" s="94" t="s">
        <v>125</v>
      </c>
    </row>
    <row r="3922" spans="1:5">
      <c r="A3922" s="581">
        <v>46001</v>
      </c>
      <c r="B3922" s="582" t="s">
        <v>482</v>
      </c>
      <c r="C3922" s="292" t="s">
        <v>49</v>
      </c>
      <c r="D3922" s="292">
        <v>500</v>
      </c>
      <c r="E3922" s="294" t="s">
        <v>125</v>
      </c>
    </row>
    <row r="3923" spans="1:5">
      <c r="A3923" s="581">
        <v>46001</v>
      </c>
      <c r="B3923" s="582" t="s">
        <v>121</v>
      </c>
      <c r="C3923" s="292" t="s">
        <v>49</v>
      </c>
      <c r="D3923" s="292">
        <v>100</v>
      </c>
      <c r="E3923" s="294" t="s">
        <v>125</v>
      </c>
    </row>
    <row r="3924" spans="1:5">
      <c r="A3924" s="581">
        <v>46001</v>
      </c>
      <c r="B3924" s="582" t="s">
        <v>121</v>
      </c>
      <c r="C3924" s="292" t="s">
        <v>49</v>
      </c>
      <c r="D3924" s="292">
        <v>100</v>
      </c>
      <c r="E3924" s="294" t="s">
        <v>125</v>
      </c>
    </row>
    <row r="3926" spans="1:5">
      <c r="A3926" s="335">
        <v>46001</v>
      </c>
      <c r="B3926" s="341" t="s">
        <v>672</v>
      </c>
      <c r="C3926" s="345" t="s">
        <v>1615</v>
      </c>
      <c r="D3926" s="345">
        <v>-2</v>
      </c>
      <c r="E3926" s="230" t="s">
        <v>125</v>
      </c>
    </row>
    <row r="3927" spans="1:5">
      <c r="A3927" s="335">
        <v>46001</v>
      </c>
      <c r="B3927" s="343" t="s">
        <v>1270</v>
      </c>
      <c r="C3927" s="43" t="s">
        <v>1613</v>
      </c>
      <c r="D3927" s="43">
        <v>-2</v>
      </c>
      <c r="E3927" s="230" t="s">
        <v>125</v>
      </c>
    </row>
    <row r="3928" spans="1:5">
      <c r="A3928" s="335">
        <v>46001</v>
      </c>
      <c r="B3928" s="343" t="s">
        <v>1246</v>
      </c>
      <c r="C3928" s="43" t="s">
        <v>2074</v>
      </c>
      <c r="D3928" s="43">
        <v>-2</v>
      </c>
      <c r="E3928" s="230" t="s">
        <v>125</v>
      </c>
    </row>
    <row r="3929" spans="1:5">
      <c r="A3929" s="335">
        <v>46001</v>
      </c>
      <c r="B3929" s="343" t="s">
        <v>1246</v>
      </c>
      <c r="C3929" s="43" t="s">
        <v>2074</v>
      </c>
      <c r="D3929" s="43">
        <v>-2</v>
      </c>
      <c r="E3929" s="230" t="s">
        <v>125</v>
      </c>
    </row>
    <row r="3930" spans="1:5">
      <c r="A3930" s="335">
        <v>46001</v>
      </c>
      <c r="B3930" s="92" t="s">
        <v>76</v>
      </c>
      <c r="C3930" s="43" t="s">
        <v>2075</v>
      </c>
      <c r="D3930" s="43">
        <v>-127</v>
      </c>
      <c r="E3930" s="230" t="s">
        <v>125</v>
      </c>
    </row>
    <row r="3931" spans="1:5">
      <c r="A3931" s="335">
        <v>46001</v>
      </c>
      <c r="B3931" s="343" t="s">
        <v>1568</v>
      </c>
      <c r="C3931" s="345" t="s">
        <v>1592</v>
      </c>
      <c r="D3931" s="345">
        <v>-8</v>
      </c>
      <c r="E3931" s="230" t="s">
        <v>125</v>
      </c>
    </row>
    <row r="3932" spans="1:5">
      <c r="A3932" s="335">
        <v>46001</v>
      </c>
      <c r="B3932" s="343" t="s">
        <v>1640</v>
      </c>
      <c r="C3932" s="345" t="s">
        <v>1592</v>
      </c>
      <c r="D3932" s="345">
        <v>-1</v>
      </c>
      <c r="E3932" s="230" t="s">
        <v>125</v>
      </c>
    </row>
    <row r="3933" spans="1:5">
      <c r="A3933" s="335">
        <v>46001</v>
      </c>
      <c r="B3933" s="342" t="s">
        <v>1994</v>
      </c>
      <c r="C3933" s="345" t="s">
        <v>1592</v>
      </c>
      <c r="D3933" s="345">
        <v>-2</v>
      </c>
      <c r="E3933" s="230" t="s">
        <v>125</v>
      </c>
    </row>
    <row r="3934" spans="1:5">
      <c r="A3934" s="335">
        <v>46001</v>
      </c>
      <c r="B3934" s="343" t="s">
        <v>2019</v>
      </c>
      <c r="C3934" s="345" t="s">
        <v>1592</v>
      </c>
      <c r="D3934" s="345">
        <v>-1</v>
      </c>
      <c r="E3934" s="230" t="s">
        <v>125</v>
      </c>
    </row>
    <row r="3935" spans="1:5">
      <c r="A3935" s="335">
        <v>46001</v>
      </c>
      <c r="B3935" s="343" t="s">
        <v>1641</v>
      </c>
      <c r="C3935" s="345" t="s">
        <v>1592</v>
      </c>
      <c r="D3935" s="345">
        <v>-4</v>
      </c>
      <c r="E3935" s="230" t="s">
        <v>125</v>
      </c>
    </row>
    <row r="3936" spans="1:5">
      <c r="A3936" s="335">
        <v>46001</v>
      </c>
      <c r="B3936" s="84" t="s">
        <v>923</v>
      </c>
      <c r="C3936" s="345" t="s">
        <v>1592</v>
      </c>
      <c r="D3936" s="345">
        <v>-1</v>
      </c>
      <c r="E3936" s="230" t="s">
        <v>125</v>
      </c>
    </row>
    <row r="3937" spans="1:5">
      <c r="A3937" s="335">
        <v>46001</v>
      </c>
      <c r="B3937" s="343" t="s">
        <v>1270</v>
      </c>
      <c r="C3937" s="43" t="s">
        <v>1803</v>
      </c>
      <c r="D3937" s="43">
        <v>-1</v>
      </c>
      <c r="E3937" s="230" t="s">
        <v>125</v>
      </c>
    </row>
    <row r="3938" spans="1:5">
      <c r="A3938" s="335">
        <v>46001</v>
      </c>
      <c r="B3938" s="343" t="s">
        <v>1575</v>
      </c>
      <c r="C3938" s="43" t="s">
        <v>2076</v>
      </c>
      <c r="D3938" s="43">
        <v>-24</v>
      </c>
      <c r="E3938" s="230" t="s">
        <v>125</v>
      </c>
    </row>
    <row r="3939" spans="1:5">
      <c r="A3939" s="335">
        <v>46001</v>
      </c>
      <c r="B3939" s="343" t="s">
        <v>1246</v>
      </c>
      <c r="C3939" s="43" t="s">
        <v>2077</v>
      </c>
      <c r="D3939" s="43">
        <v>-3</v>
      </c>
      <c r="E3939" s="230" t="s">
        <v>125</v>
      </c>
    </row>
    <row r="3940" spans="1:5">
      <c r="A3940" s="335">
        <v>46001</v>
      </c>
      <c r="B3940" s="343" t="s">
        <v>1246</v>
      </c>
      <c r="C3940" s="43" t="s">
        <v>2077</v>
      </c>
      <c r="D3940" s="43">
        <v>-2</v>
      </c>
      <c r="E3940" s="230" t="s">
        <v>125</v>
      </c>
    </row>
    <row r="3941" spans="1:5">
      <c r="A3941" s="335">
        <v>46001</v>
      </c>
      <c r="B3941" s="343" t="s">
        <v>1246</v>
      </c>
      <c r="C3941" s="43" t="s">
        <v>1600</v>
      </c>
      <c r="D3941" s="43">
        <v>-8</v>
      </c>
      <c r="E3941" s="230" t="s">
        <v>125</v>
      </c>
    </row>
    <row r="3942" spans="1:5">
      <c r="A3942" s="335">
        <v>46001</v>
      </c>
      <c r="B3942" s="93" t="s">
        <v>167</v>
      </c>
      <c r="C3942" s="43" t="s">
        <v>1600</v>
      </c>
      <c r="D3942" s="43">
        <v>-4</v>
      </c>
      <c r="E3942" s="230" t="s">
        <v>125</v>
      </c>
    </row>
    <row r="3943" spans="1:5">
      <c r="A3943" s="335">
        <v>46001</v>
      </c>
      <c r="B3943" s="343" t="s">
        <v>1246</v>
      </c>
      <c r="C3943" s="43" t="s">
        <v>2078</v>
      </c>
      <c r="D3943" s="43">
        <v>-7</v>
      </c>
      <c r="E3943" s="230" t="s">
        <v>125</v>
      </c>
    </row>
    <row r="3944" spans="1:5">
      <c r="A3944" s="335">
        <v>46001</v>
      </c>
      <c r="B3944" s="343" t="s">
        <v>1271</v>
      </c>
      <c r="C3944" s="43" t="s">
        <v>2079</v>
      </c>
      <c r="D3944" s="43">
        <v>-3</v>
      </c>
      <c r="E3944" s="230" t="s">
        <v>125</v>
      </c>
    </row>
    <row r="3945" spans="1:5">
      <c r="A3945" s="335">
        <v>46001</v>
      </c>
      <c r="B3945" s="342" t="s">
        <v>1991</v>
      </c>
      <c r="C3945" s="43" t="s">
        <v>2080</v>
      </c>
      <c r="D3945" s="43">
        <v>-2</v>
      </c>
      <c r="E3945" s="230" t="s">
        <v>125</v>
      </c>
    </row>
    <row r="3946" spans="1:5">
      <c r="A3946" s="335">
        <v>46001</v>
      </c>
      <c r="B3946" s="342" t="s">
        <v>1992</v>
      </c>
      <c r="C3946" s="43" t="s">
        <v>2080</v>
      </c>
      <c r="D3946" s="43">
        <v>-1</v>
      </c>
      <c r="E3946" s="230" t="s">
        <v>125</v>
      </c>
    </row>
    <row r="3947" spans="1:5">
      <c r="A3947" s="335">
        <v>46001</v>
      </c>
      <c r="B3947" s="84" t="s">
        <v>135</v>
      </c>
      <c r="C3947" s="43" t="s">
        <v>2080</v>
      </c>
      <c r="D3947" s="43">
        <v>-1</v>
      </c>
      <c r="E3947" s="230" t="s">
        <v>125</v>
      </c>
    </row>
    <row r="3948" spans="1:5">
      <c r="A3948" s="335">
        <v>46001</v>
      </c>
      <c r="B3948" s="343" t="s">
        <v>1907</v>
      </c>
      <c r="C3948" s="43" t="s">
        <v>2080</v>
      </c>
      <c r="D3948" s="43">
        <v>-1</v>
      </c>
      <c r="E3948" s="230" t="s">
        <v>125</v>
      </c>
    </row>
    <row r="3949" spans="1:5">
      <c r="A3949" s="335">
        <v>46001</v>
      </c>
      <c r="B3949" s="93" t="s">
        <v>1095</v>
      </c>
      <c r="C3949" s="43" t="s">
        <v>2080</v>
      </c>
      <c r="D3949" s="43">
        <v>-4</v>
      </c>
      <c r="E3949" s="230" t="s">
        <v>125</v>
      </c>
    </row>
    <row r="3950" spans="1:5">
      <c r="A3950" s="335">
        <v>46001</v>
      </c>
      <c r="B3950" s="93" t="s">
        <v>1095</v>
      </c>
      <c r="C3950" s="43" t="s">
        <v>2080</v>
      </c>
      <c r="D3950" s="43">
        <v>-1</v>
      </c>
      <c r="E3950" s="230" t="s">
        <v>125</v>
      </c>
    </row>
    <row r="3952" spans="1:5">
      <c r="A3952" s="335">
        <v>46002</v>
      </c>
      <c r="B3952" s="341" t="s">
        <v>672</v>
      </c>
      <c r="C3952" s="345" t="s">
        <v>1615</v>
      </c>
      <c r="D3952" s="345">
        <v>-2</v>
      </c>
      <c r="E3952" s="230" t="s">
        <v>125</v>
      </c>
    </row>
    <row r="3953" spans="1:5">
      <c r="A3953" s="335">
        <v>46002</v>
      </c>
      <c r="B3953" s="343" t="s">
        <v>839</v>
      </c>
      <c r="C3953" s="345" t="s">
        <v>1613</v>
      </c>
      <c r="D3953" s="345">
        <v>-3</v>
      </c>
      <c r="E3953" s="230" t="s">
        <v>125</v>
      </c>
    </row>
    <row r="3954" spans="1:5">
      <c r="A3954" s="335">
        <v>46002</v>
      </c>
      <c r="B3954" s="343" t="s">
        <v>1617</v>
      </c>
      <c r="C3954" s="345" t="s">
        <v>1615</v>
      </c>
      <c r="D3954" s="345">
        <v>-10</v>
      </c>
      <c r="E3954" s="230" t="s">
        <v>125</v>
      </c>
    </row>
    <row r="3955" spans="1:5">
      <c r="A3955" s="335">
        <v>46002</v>
      </c>
      <c r="B3955" s="341" t="s">
        <v>882</v>
      </c>
      <c r="C3955" s="345" t="s">
        <v>1598</v>
      </c>
      <c r="D3955" s="345">
        <v>-2</v>
      </c>
      <c r="E3955" s="230" t="s">
        <v>125</v>
      </c>
    </row>
    <row r="3956" spans="1:5">
      <c r="A3956" s="335">
        <v>46002</v>
      </c>
      <c r="B3956" s="343" t="s">
        <v>808</v>
      </c>
      <c r="C3956" s="345" t="s">
        <v>2090</v>
      </c>
      <c r="D3956" s="345">
        <v>-5</v>
      </c>
      <c r="E3956" s="230" t="s">
        <v>125</v>
      </c>
    </row>
    <row r="3957" spans="1:5">
      <c r="A3957" s="335">
        <v>46002</v>
      </c>
      <c r="B3957" s="343" t="s">
        <v>1246</v>
      </c>
      <c r="C3957" s="345" t="s">
        <v>1663</v>
      </c>
      <c r="D3957" s="345">
        <v>-3</v>
      </c>
      <c r="E3957" s="230" t="s">
        <v>125</v>
      </c>
    </row>
    <row r="3958" spans="1:5">
      <c r="A3958" s="335">
        <v>46002</v>
      </c>
      <c r="B3958" s="343" t="s">
        <v>1246</v>
      </c>
      <c r="C3958" s="345" t="s">
        <v>2091</v>
      </c>
      <c r="D3958" s="345">
        <v>-10</v>
      </c>
      <c r="E3958" s="230" t="s">
        <v>125</v>
      </c>
    </row>
    <row r="3959" spans="1:5">
      <c r="A3959" s="335">
        <v>46002</v>
      </c>
      <c r="B3959" s="343" t="s">
        <v>136</v>
      </c>
      <c r="C3959" s="345" t="s">
        <v>1594</v>
      </c>
      <c r="D3959" s="345">
        <v>-78</v>
      </c>
      <c r="E3959" s="230" t="s">
        <v>125</v>
      </c>
    </row>
    <row r="3960" spans="1:5">
      <c r="A3960" s="335">
        <v>46002</v>
      </c>
      <c r="B3960" s="343" t="s">
        <v>1409</v>
      </c>
      <c r="C3960" s="345" t="s">
        <v>1594</v>
      </c>
      <c r="D3960" s="345">
        <v>-8</v>
      </c>
      <c r="E3960" s="230" t="s">
        <v>125</v>
      </c>
    </row>
    <row r="3961" spans="1:5">
      <c r="A3961" s="335">
        <v>46002</v>
      </c>
      <c r="B3961" s="343" t="s">
        <v>1311</v>
      </c>
      <c r="C3961" s="345" t="s">
        <v>1594</v>
      </c>
      <c r="D3961" s="345">
        <v>-1</v>
      </c>
      <c r="E3961" s="230" t="s">
        <v>125</v>
      </c>
    </row>
    <row r="3962" spans="1:5">
      <c r="A3962" s="335">
        <v>46002</v>
      </c>
      <c r="B3962" s="343" t="s">
        <v>1249</v>
      </c>
      <c r="C3962" s="345" t="s">
        <v>1594</v>
      </c>
      <c r="D3962" s="345">
        <v>-2</v>
      </c>
      <c r="E3962" s="230" t="s">
        <v>125</v>
      </c>
    </row>
    <row r="3963" spans="1:5">
      <c r="A3963" s="335">
        <v>46002</v>
      </c>
      <c r="B3963" s="343" t="s">
        <v>1246</v>
      </c>
      <c r="C3963" s="345" t="s">
        <v>1594</v>
      </c>
      <c r="D3963" s="345">
        <v>-1</v>
      </c>
      <c r="E3963" s="230" t="s">
        <v>125</v>
      </c>
    </row>
    <row r="3964" spans="1:5">
      <c r="A3964" s="335">
        <v>46002</v>
      </c>
      <c r="B3964" s="343" t="s">
        <v>1407</v>
      </c>
      <c r="C3964" s="345" t="s">
        <v>1594</v>
      </c>
      <c r="D3964" s="345">
        <v>-4</v>
      </c>
      <c r="E3964" s="230" t="s">
        <v>125</v>
      </c>
    </row>
    <row r="3965" spans="1:5">
      <c r="A3965" s="335">
        <v>46002</v>
      </c>
      <c r="B3965" s="343" t="s">
        <v>1301</v>
      </c>
      <c r="C3965" s="345" t="s">
        <v>1594</v>
      </c>
      <c r="D3965" s="345">
        <v>-4</v>
      </c>
      <c r="E3965" s="230" t="s">
        <v>125</v>
      </c>
    </row>
    <row r="3966" spans="1:5">
      <c r="A3966" s="335">
        <v>46002</v>
      </c>
      <c r="B3966" s="343" t="s">
        <v>1271</v>
      </c>
      <c r="C3966" s="345" t="s">
        <v>1594</v>
      </c>
      <c r="D3966" s="345">
        <v>-1</v>
      </c>
      <c r="E3966" s="230" t="s">
        <v>125</v>
      </c>
    </row>
    <row r="3967" spans="1:5">
      <c r="A3967" s="335">
        <v>46002</v>
      </c>
      <c r="B3967" s="343" t="s">
        <v>1301</v>
      </c>
      <c r="C3967" s="345" t="s">
        <v>1594</v>
      </c>
      <c r="D3967" s="345">
        <v>-1</v>
      </c>
      <c r="E3967" s="230" t="s">
        <v>125</v>
      </c>
    </row>
    <row r="3968" spans="1:5">
      <c r="A3968" s="335"/>
      <c r="B3968" s="343"/>
      <c r="C3968" s="345"/>
      <c r="D3968" s="345"/>
      <c r="E3968" s="230"/>
    </row>
    <row r="3969" spans="1:5">
      <c r="A3969" s="335">
        <v>46002</v>
      </c>
      <c r="B3969" s="343" t="s">
        <v>1327</v>
      </c>
      <c r="C3969" s="345" t="s">
        <v>1594</v>
      </c>
      <c r="D3969" s="345">
        <v>-1</v>
      </c>
      <c r="E3969" s="230" t="s">
        <v>125</v>
      </c>
    </row>
    <row r="3970" spans="1:5">
      <c r="A3970" s="335">
        <v>46002</v>
      </c>
      <c r="B3970" s="342" t="s">
        <v>134</v>
      </c>
      <c r="C3970" s="345" t="s">
        <v>1594</v>
      </c>
      <c r="D3970" s="345">
        <v>-4</v>
      </c>
      <c r="E3970" s="230" t="s">
        <v>125</v>
      </c>
    </row>
    <row r="3971" spans="1:5">
      <c r="A3971" s="335">
        <v>46002</v>
      </c>
      <c r="B3971" s="343" t="s">
        <v>973</v>
      </c>
      <c r="C3971" s="345" t="s">
        <v>1594</v>
      </c>
      <c r="D3971" s="345">
        <v>-1</v>
      </c>
      <c r="E3971" s="230" t="s">
        <v>125</v>
      </c>
    </row>
    <row r="3972" spans="1:5">
      <c r="A3972" s="335">
        <v>46002</v>
      </c>
      <c r="B3972" s="343" t="s">
        <v>1318</v>
      </c>
      <c r="C3972" s="345" t="s">
        <v>1594</v>
      </c>
      <c r="D3972" s="345">
        <v>-8</v>
      </c>
      <c r="E3972" s="230" t="s">
        <v>125</v>
      </c>
    </row>
    <row r="3973" spans="1:5">
      <c r="A3973" s="335">
        <v>46002</v>
      </c>
      <c r="B3973" s="344" t="s">
        <v>1151</v>
      </c>
      <c r="C3973" s="345" t="s">
        <v>1594</v>
      </c>
      <c r="D3973" s="345">
        <v>-3</v>
      </c>
      <c r="E3973" s="230" t="s">
        <v>125</v>
      </c>
    </row>
    <row r="3975" spans="1:5">
      <c r="A3975" s="434">
        <v>45973</v>
      </c>
      <c r="B3975" s="503" t="s">
        <v>134</v>
      </c>
      <c r="C3975" s="166" t="s">
        <v>1596</v>
      </c>
      <c r="D3975" s="166">
        <v>2</v>
      </c>
      <c r="E3975" s="615" t="s">
        <v>125</v>
      </c>
    </row>
    <row r="3976" spans="1:5">
      <c r="A3976" s="434">
        <v>45973</v>
      </c>
      <c r="B3976" s="168" t="s">
        <v>1249</v>
      </c>
      <c r="C3976" s="166" t="s">
        <v>1596</v>
      </c>
      <c r="D3976" s="166">
        <v>2</v>
      </c>
      <c r="E3976" s="615" t="s">
        <v>125</v>
      </c>
    </row>
    <row r="3977" spans="1:5">
      <c r="A3977" s="434">
        <v>45973</v>
      </c>
      <c r="B3977" s="168" t="s">
        <v>1407</v>
      </c>
      <c r="C3977" s="166" t="s">
        <v>1596</v>
      </c>
      <c r="D3977" s="166">
        <v>1</v>
      </c>
      <c r="E3977" s="615" t="s">
        <v>125</v>
      </c>
    </row>
    <row r="3978" spans="1:5">
      <c r="A3978" s="434">
        <v>45973</v>
      </c>
      <c r="B3978" s="168" t="s">
        <v>1327</v>
      </c>
      <c r="C3978" s="166" t="s">
        <v>1596</v>
      </c>
      <c r="D3978" s="166">
        <v>1</v>
      </c>
      <c r="E3978" s="615" t="s">
        <v>125</v>
      </c>
    </row>
    <row r="3980" spans="1:5">
      <c r="A3980" s="335">
        <v>45973</v>
      </c>
      <c r="B3980" s="343" t="s">
        <v>1246</v>
      </c>
      <c r="C3980" s="345" t="s">
        <v>1725</v>
      </c>
      <c r="D3980" s="345">
        <v>-3</v>
      </c>
      <c r="E3980" s="230" t="s">
        <v>125</v>
      </c>
    </row>
    <row r="3981" spans="1:5">
      <c r="A3981" s="335">
        <v>45973</v>
      </c>
      <c r="B3981" s="84" t="s">
        <v>881</v>
      </c>
      <c r="C3981" s="43" t="s">
        <v>1615</v>
      </c>
      <c r="D3981" s="43">
        <v>-2</v>
      </c>
      <c r="E3981" s="230" t="s">
        <v>125</v>
      </c>
    </row>
    <row r="3982" spans="1:5">
      <c r="A3982" s="335">
        <v>45973</v>
      </c>
      <c r="B3982" s="343" t="s">
        <v>1249</v>
      </c>
      <c r="C3982" s="43" t="s">
        <v>1600</v>
      </c>
      <c r="D3982" s="43">
        <v>-2</v>
      </c>
      <c r="E3982" s="230" t="s">
        <v>125</v>
      </c>
    </row>
    <row r="3983" spans="1:5">
      <c r="A3983" s="335">
        <v>45973</v>
      </c>
      <c r="B3983" s="343" t="s">
        <v>1246</v>
      </c>
      <c r="C3983" s="43" t="s">
        <v>1600</v>
      </c>
      <c r="D3983" s="43">
        <v>-1</v>
      </c>
      <c r="E3983" s="230" t="s">
        <v>125</v>
      </c>
    </row>
    <row r="3984" spans="1:5">
      <c r="A3984" s="335">
        <v>45973</v>
      </c>
      <c r="B3984" s="343" t="s">
        <v>1271</v>
      </c>
      <c r="C3984" s="43" t="s">
        <v>1600</v>
      </c>
      <c r="D3984" s="43">
        <v>-1</v>
      </c>
      <c r="E3984" s="230" t="s">
        <v>125</v>
      </c>
    </row>
    <row r="3985" spans="1:6">
      <c r="A3985" s="335">
        <v>45973</v>
      </c>
      <c r="B3985" s="104" t="s">
        <v>932</v>
      </c>
      <c r="C3985" s="345" t="s">
        <v>1725</v>
      </c>
      <c r="D3985" s="43">
        <v>-2</v>
      </c>
      <c r="E3985" s="230" t="s">
        <v>125</v>
      </c>
    </row>
    <row r="3986" spans="1:6">
      <c r="A3986" s="335">
        <v>45973</v>
      </c>
      <c r="B3986" s="84" t="s">
        <v>134</v>
      </c>
      <c r="C3986" s="43" t="s">
        <v>2074</v>
      </c>
      <c r="D3986" s="43">
        <v>-2</v>
      </c>
      <c r="E3986" s="230" t="s">
        <v>125</v>
      </c>
    </row>
    <row r="3987" spans="1:6">
      <c r="A3987" s="335">
        <v>45973</v>
      </c>
      <c r="B3987" s="84" t="s">
        <v>1387</v>
      </c>
      <c r="C3987" s="43" t="s">
        <v>2092</v>
      </c>
      <c r="D3987" s="43">
        <v>-1</v>
      </c>
      <c r="E3987" s="230" t="s">
        <v>125</v>
      </c>
    </row>
    <row r="3988" spans="1:6">
      <c r="A3988" s="335">
        <v>45973</v>
      </c>
      <c r="B3988" s="93" t="s">
        <v>1490</v>
      </c>
      <c r="C3988" s="43" t="s">
        <v>2092</v>
      </c>
      <c r="D3988" s="43">
        <v>-1</v>
      </c>
      <c r="E3988" s="230" t="s">
        <v>125</v>
      </c>
    </row>
    <row r="3989" spans="1:6">
      <c r="A3989" s="335">
        <v>45973</v>
      </c>
      <c r="B3989" s="93" t="s">
        <v>1491</v>
      </c>
      <c r="C3989" s="43" t="s">
        <v>2092</v>
      </c>
      <c r="D3989" s="43">
        <v>-1</v>
      </c>
      <c r="E3989" s="230" t="s">
        <v>125</v>
      </c>
    </row>
    <row r="3990" spans="1:6">
      <c r="A3990" s="335">
        <v>45973</v>
      </c>
      <c r="B3990" s="343" t="s">
        <v>1291</v>
      </c>
      <c r="C3990" s="43" t="s">
        <v>2092</v>
      </c>
      <c r="D3990" s="43">
        <v>-1</v>
      </c>
      <c r="E3990" s="230" t="s">
        <v>125</v>
      </c>
    </row>
    <row r="3991" spans="1:6">
      <c r="A3991" s="335">
        <v>45973</v>
      </c>
      <c r="B3991" s="343" t="s">
        <v>1291</v>
      </c>
      <c r="C3991" s="43" t="s">
        <v>2092</v>
      </c>
      <c r="D3991" s="43">
        <v>-1</v>
      </c>
      <c r="E3991" s="230" t="s">
        <v>125</v>
      </c>
    </row>
    <row r="3992" spans="1:6">
      <c r="A3992" s="335">
        <v>45973</v>
      </c>
      <c r="B3992" s="343" t="s">
        <v>1291</v>
      </c>
      <c r="C3992" s="43" t="s">
        <v>2092</v>
      </c>
      <c r="D3992" s="43">
        <v>-1</v>
      </c>
      <c r="E3992" s="230" t="s">
        <v>125</v>
      </c>
    </row>
    <row r="3993" spans="1:6">
      <c r="A3993" s="335">
        <v>45973</v>
      </c>
      <c r="B3993" s="343" t="s">
        <v>1291</v>
      </c>
      <c r="C3993" s="43" t="s">
        <v>2092</v>
      </c>
      <c r="D3993" s="43">
        <v>-10</v>
      </c>
      <c r="E3993" s="230" t="s">
        <v>125</v>
      </c>
    </row>
    <row r="3995" spans="1:6">
      <c r="A3995" s="346">
        <v>45973</v>
      </c>
      <c r="B3995" s="349" t="s">
        <v>1246</v>
      </c>
      <c r="C3995" s="348" t="s">
        <v>2093</v>
      </c>
      <c r="D3995" s="348">
        <v>1</v>
      </c>
      <c r="E3995" s="360" t="s">
        <v>125</v>
      </c>
      <c r="F3995" t="s">
        <v>2094</v>
      </c>
    </row>
    <row r="3996" spans="1:6">
      <c r="A3996" s="346">
        <v>45973</v>
      </c>
      <c r="B3996" s="349" t="s">
        <v>1249</v>
      </c>
      <c r="C3996" s="348" t="s">
        <v>2093</v>
      </c>
      <c r="D3996" s="348">
        <v>1</v>
      </c>
      <c r="E3996" s="360" t="s">
        <v>125</v>
      </c>
    </row>
    <row r="3997" spans="1:6">
      <c r="A3997" s="346">
        <v>45973</v>
      </c>
      <c r="B3997" s="349" t="s">
        <v>1271</v>
      </c>
      <c r="C3997" s="348" t="s">
        <v>2093</v>
      </c>
      <c r="D3997" s="348">
        <v>6</v>
      </c>
      <c r="E3997" s="360" t="s">
        <v>125</v>
      </c>
    </row>
    <row r="3998" spans="1:6">
      <c r="A3998" s="346">
        <v>45973</v>
      </c>
      <c r="B3998" s="349" t="s">
        <v>1271</v>
      </c>
      <c r="C3998" s="348" t="s">
        <v>2093</v>
      </c>
      <c r="D3998" s="348">
        <v>2</v>
      </c>
      <c r="E3998" s="360" t="s">
        <v>125</v>
      </c>
    </row>
    <row r="3999" spans="1:6">
      <c r="A3999" s="346">
        <v>45973</v>
      </c>
      <c r="B3999" s="349" t="s">
        <v>1327</v>
      </c>
      <c r="C3999" s="348" t="s">
        <v>2093</v>
      </c>
      <c r="D3999" s="348">
        <v>5</v>
      </c>
      <c r="E3999" s="360" t="s">
        <v>125</v>
      </c>
    </row>
    <row r="4000" spans="1:6">
      <c r="A4000" s="346">
        <v>45973</v>
      </c>
      <c r="B4000" s="349" t="s">
        <v>169</v>
      </c>
      <c r="C4000" s="348" t="s">
        <v>2093</v>
      </c>
      <c r="D4000" s="348">
        <v>2</v>
      </c>
      <c r="E4000" s="360" t="s">
        <v>125</v>
      </c>
    </row>
    <row r="4001" spans="1:5">
      <c r="A4001" s="346">
        <v>45973</v>
      </c>
      <c r="B4001" s="351" t="s">
        <v>932</v>
      </c>
      <c r="C4001" s="348" t="s">
        <v>2093</v>
      </c>
      <c r="D4001" s="348">
        <v>4</v>
      </c>
      <c r="E4001" s="360" t="s">
        <v>125</v>
      </c>
    </row>
    <row r="4002" spans="1:5">
      <c r="A4002" s="346">
        <v>45973</v>
      </c>
      <c r="B4002" s="349" t="s">
        <v>1568</v>
      </c>
      <c r="C4002" s="348" t="s">
        <v>2093</v>
      </c>
      <c r="D4002" s="348">
        <v>2</v>
      </c>
      <c r="E4002" s="360" t="s">
        <v>125</v>
      </c>
    </row>
    <row r="4003" spans="1:5">
      <c r="A4003" s="346">
        <v>45973</v>
      </c>
      <c r="B4003" s="349" t="s">
        <v>1291</v>
      </c>
      <c r="C4003" s="348" t="s">
        <v>2093</v>
      </c>
      <c r="D4003" s="348">
        <v>3</v>
      </c>
      <c r="E4003" s="360" t="s">
        <v>125</v>
      </c>
    </row>
    <row r="4004" spans="1:5">
      <c r="A4004" s="346">
        <v>45973</v>
      </c>
      <c r="B4004" s="349" t="s">
        <v>1334</v>
      </c>
      <c r="C4004" s="348" t="s">
        <v>2093</v>
      </c>
      <c r="D4004" s="348">
        <v>1</v>
      </c>
      <c r="E4004" s="360" t="s">
        <v>125</v>
      </c>
    </row>
    <row r="4005" spans="1:5">
      <c r="A4005" s="346">
        <v>45973</v>
      </c>
      <c r="B4005" s="349" t="s">
        <v>1490</v>
      </c>
      <c r="C4005" s="348" t="s">
        <v>2093</v>
      </c>
      <c r="D4005" s="348">
        <v>1</v>
      </c>
      <c r="E4005" s="360" t="s">
        <v>125</v>
      </c>
    </row>
    <row r="4007" spans="1:5">
      <c r="A4007" s="265">
        <v>46004</v>
      </c>
      <c r="B4007" s="92" t="s">
        <v>672</v>
      </c>
      <c r="C4007" s="43" t="s">
        <v>1615</v>
      </c>
      <c r="D4007" s="43">
        <v>-1</v>
      </c>
      <c r="E4007" s="230" t="s">
        <v>125</v>
      </c>
    </row>
    <row r="4008" spans="1:5">
      <c r="A4008" s="265">
        <v>46004</v>
      </c>
      <c r="B4008" s="343" t="s">
        <v>1249</v>
      </c>
      <c r="C4008" s="43" t="s">
        <v>1600</v>
      </c>
      <c r="D4008" s="43">
        <v>-1</v>
      </c>
      <c r="E4008" s="230" t="s">
        <v>125</v>
      </c>
    </row>
    <row r="4009" spans="1:5">
      <c r="A4009" s="265">
        <v>46004</v>
      </c>
      <c r="B4009" s="343" t="s">
        <v>1249</v>
      </c>
      <c r="C4009" s="43" t="s">
        <v>1600</v>
      </c>
      <c r="D4009" s="43">
        <v>-1</v>
      </c>
      <c r="E4009" s="230" t="s">
        <v>125</v>
      </c>
    </row>
    <row r="4010" spans="1:5">
      <c r="A4010" s="265">
        <v>46004</v>
      </c>
      <c r="B4010" s="92" t="s">
        <v>672</v>
      </c>
      <c r="C4010" s="43" t="s">
        <v>1615</v>
      </c>
      <c r="D4010" s="43">
        <v>-3</v>
      </c>
      <c r="E4010" s="230" t="s">
        <v>125</v>
      </c>
    </row>
    <row r="4012" spans="1:5">
      <c r="A4012" s="434">
        <v>46004</v>
      </c>
      <c r="B4012" s="168" t="s">
        <v>1246</v>
      </c>
      <c r="C4012" s="166" t="s">
        <v>2095</v>
      </c>
      <c r="D4012" s="166">
        <v>1</v>
      </c>
      <c r="E4012" s="615" t="s">
        <v>125</v>
      </c>
    </row>
    <row r="4014" spans="1:5">
      <c r="A4014" s="265">
        <v>46004</v>
      </c>
      <c r="B4014" s="343" t="s">
        <v>1327</v>
      </c>
      <c r="C4014" s="43" t="s">
        <v>1875</v>
      </c>
      <c r="D4014" s="43">
        <v>-1</v>
      </c>
      <c r="E4014" s="230" t="s">
        <v>125</v>
      </c>
    </row>
    <row r="4015" spans="1:5">
      <c r="A4015" s="265">
        <v>46004</v>
      </c>
      <c r="B4015" s="92" t="s">
        <v>76</v>
      </c>
      <c r="C4015" s="43" t="s">
        <v>2110</v>
      </c>
      <c r="D4015" s="43">
        <v>-3</v>
      </c>
      <c r="E4015" s="230" t="s">
        <v>125</v>
      </c>
    </row>
    <row r="4017" spans="1:6">
      <c r="A4017" s="265">
        <v>46006</v>
      </c>
      <c r="B4017" s="92" t="s">
        <v>882</v>
      </c>
      <c r="C4017" s="43" t="s">
        <v>1615</v>
      </c>
      <c r="D4017" s="43">
        <v>-1</v>
      </c>
      <c r="E4017" s="230" t="s">
        <v>125</v>
      </c>
    </row>
    <row r="4018" spans="1:6">
      <c r="A4018" s="265">
        <v>46006</v>
      </c>
      <c r="B4018" s="84" t="s">
        <v>131</v>
      </c>
      <c r="C4018" s="43" t="s">
        <v>1970</v>
      </c>
      <c r="D4018" s="43">
        <v>-12</v>
      </c>
      <c r="E4018" s="230" t="s">
        <v>125</v>
      </c>
    </row>
    <row r="4019" spans="1:6">
      <c r="A4019" s="265">
        <v>46006</v>
      </c>
      <c r="B4019" s="93" t="s">
        <v>2111</v>
      </c>
      <c r="C4019" s="43" t="s">
        <v>1970</v>
      </c>
      <c r="D4019" s="43">
        <v>-3</v>
      </c>
      <c r="E4019" s="230" t="s">
        <v>125</v>
      </c>
    </row>
    <row r="4020" spans="1:6">
      <c r="A4020" s="265">
        <v>46006</v>
      </c>
      <c r="B4020" s="84" t="s">
        <v>881</v>
      </c>
      <c r="C4020" s="43" t="s">
        <v>1615</v>
      </c>
      <c r="D4020" s="43">
        <v>-3</v>
      </c>
      <c r="E4020" s="230" t="s">
        <v>125</v>
      </c>
    </row>
    <row r="4021" spans="1:6">
      <c r="A4021" s="265">
        <v>46006</v>
      </c>
      <c r="B4021" s="343" t="s">
        <v>1246</v>
      </c>
      <c r="C4021" s="43" t="s">
        <v>2112</v>
      </c>
      <c r="D4021" s="43">
        <v>-2</v>
      </c>
      <c r="E4021" s="230" t="s">
        <v>125</v>
      </c>
    </row>
    <row r="4022" spans="1:6">
      <c r="A4022" s="265">
        <v>46006</v>
      </c>
      <c r="B4022" s="343" t="s">
        <v>1246</v>
      </c>
      <c r="C4022" s="43" t="s">
        <v>2112</v>
      </c>
      <c r="D4022" s="43">
        <v>-2</v>
      </c>
      <c r="E4022" s="230" t="s">
        <v>125</v>
      </c>
    </row>
    <row r="4023" spans="1:6">
      <c r="A4023" s="265">
        <v>46006</v>
      </c>
      <c r="B4023" s="343" t="s">
        <v>1271</v>
      </c>
      <c r="C4023" s="43" t="s">
        <v>2112</v>
      </c>
      <c r="D4023" s="43">
        <v>-1</v>
      </c>
      <c r="E4023" s="230" t="s">
        <v>125</v>
      </c>
    </row>
    <row r="4024" spans="1:6">
      <c r="A4024" s="265">
        <v>46006</v>
      </c>
      <c r="B4024" s="343" t="s">
        <v>1246</v>
      </c>
      <c r="C4024" s="43" t="s">
        <v>1600</v>
      </c>
      <c r="D4024" s="43">
        <v>-3</v>
      </c>
      <c r="E4024" s="230" t="s">
        <v>125</v>
      </c>
    </row>
    <row r="4025" spans="1:6">
      <c r="A4025" s="265">
        <v>46006</v>
      </c>
      <c r="B4025" s="343" t="s">
        <v>1327</v>
      </c>
      <c r="C4025" s="43" t="s">
        <v>2113</v>
      </c>
      <c r="D4025" s="43">
        <v>-1</v>
      </c>
      <c r="E4025" s="230" t="s">
        <v>125</v>
      </c>
    </row>
    <row r="4027" spans="1:6">
      <c r="A4027" s="323">
        <v>46007</v>
      </c>
      <c r="B4027" s="324" t="s">
        <v>131</v>
      </c>
      <c r="C4027" s="322" t="s">
        <v>682</v>
      </c>
      <c r="D4027" s="322">
        <v>8</v>
      </c>
      <c r="E4027" s="321" t="s">
        <v>125</v>
      </c>
      <c r="F4027" t="s">
        <v>2139</v>
      </c>
    </row>
    <row r="4028" spans="1:6">
      <c r="A4028" s="323">
        <v>46007</v>
      </c>
      <c r="B4028" s="325" t="s">
        <v>2115</v>
      </c>
      <c r="C4028" s="322" t="s">
        <v>682</v>
      </c>
      <c r="D4028" s="322">
        <v>2</v>
      </c>
      <c r="E4028" s="321" t="s">
        <v>125</v>
      </c>
    </row>
    <row r="4029" spans="1:6">
      <c r="A4029" s="323">
        <v>46007</v>
      </c>
      <c r="B4029" s="325" t="s">
        <v>2160</v>
      </c>
      <c r="C4029" s="322" t="s">
        <v>682</v>
      </c>
      <c r="D4029" s="322">
        <v>6</v>
      </c>
      <c r="E4029" s="321" t="s">
        <v>125</v>
      </c>
    </row>
    <row r="4030" spans="1:6">
      <c r="A4030" s="323">
        <v>46007</v>
      </c>
      <c r="B4030" s="325" t="s">
        <v>154</v>
      </c>
      <c r="C4030" s="322" t="s">
        <v>682</v>
      </c>
      <c r="D4030" s="322">
        <v>16</v>
      </c>
      <c r="E4030" s="321" t="s">
        <v>125</v>
      </c>
    </row>
    <row r="4031" spans="1:6">
      <c r="A4031" s="323">
        <v>46007</v>
      </c>
      <c r="B4031" s="425" t="s">
        <v>1716</v>
      </c>
      <c r="C4031" s="322" t="s">
        <v>682</v>
      </c>
      <c r="D4031" s="322">
        <v>6</v>
      </c>
      <c r="E4031" s="321" t="s">
        <v>125</v>
      </c>
    </row>
    <row r="4032" spans="1:6">
      <c r="A4032" s="323">
        <v>46007</v>
      </c>
      <c r="B4032" s="325" t="s">
        <v>808</v>
      </c>
      <c r="C4032" s="322" t="s">
        <v>682</v>
      </c>
      <c r="D4032" s="322">
        <v>3</v>
      </c>
      <c r="E4032" s="321" t="s">
        <v>125</v>
      </c>
    </row>
    <row r="4033" spans="1:5">
      <c r="A4033" s="323">
        <v>46007</v>
      </c>
      <c r="B4033" s="325" t="s">
        <v>807</v>
      </c>
      <c r="C4033" s="322" t="s">
        <v>682</v>
      </c>
      <c r="D4033" s="322">
        <v>2</v>
      </c>
      <c r="E4033" s="321" t="s">
        <v>125</v>
      </c>
    </row>
    <row r="4034" spans="1:5">
      <c r="A4034" s="323">
        <v>46007</v>
      </c>
      <c r="B4034" s="325" t="s">
        <v>975</v>
      </c>
      <c r="C4034" s="322" t="s">
        <v>682</v>
      </c>
      <c r="D4034" s="322">
        <v>2</v>
      </c>
      <c r="E4034" s="321" t="s">
        <v>125</v>
      </c>
    </row>
    <row r="4035" spans="1:5">
      <c r="A4035" s="323">
        <v>46007</v>
      </c>
      <c r="B4035" s="325" t="s">
        <v>2111</v>
      </c>
      <c r="C4035" s="322" t="s">
        <v>682</v>
      </c>
      <c r="D4035" s="322">
        <v>3</v>
      </c>
      <c r="E4035" s="321" t="s">
        <v>125</v>
      </c>
    </row>
    <row r="4036" spans="1:5">
      <c r="A4036" s="323">
        <v>46007</v>
      </c>
      <c r="B4036" s="325" t="s">
        <v>1246</v>
      </c>
      <c r="C4036" s="322" t="s">
        <v>682</v>
      </c>
      <c r="D4036" s="322">
        <v>13</v>
      </c>
      <c r="E4036" s="321" t="s">
        <v>125</v>
      </c>
    </row>
    <row r="4037" spans="1:5">
      <c r="A4037" s="323">
        <v>46007</v>
      </c>
      <c r="B4037" s="325" t="s">
        <v>1246</v>
      </c>
      <c r="C4037" s="322" t="s">
        <v>682</v>
      </c>
      <c r="D4037" s="322">
        <v>1</v>
      </c>
      <c r="E4037" s="321" t="s">
        <v>125</v>
      </c>
    </row>
    <row r="4038" spans="1:5">
      <c r="A4038" s="323">
        <v>46007</v>
      </c>
      <c r="B4038" s="325" t="s">
        <v>1246</v>
      </c>
      <c r="C4038" s="322" t="s">
        <v>682</v>
      </c>
      <c r="D4038" s="322">
        <v>7</v>
      </c>
      <c r="E4038" s="321" t="s">
        <v>125</v>
      </c>
    </row>
    <row r="4039" spans="1:5">
      <c r="A4039" s="323">
        <v>46007</v>
      </c>
      <c r="B4039" s="325" t="s">
        <v>1290</v>
      </c>
      <c r="C4039" s="322" t="s">
        <v>682</v>
      </c>
      <c r="D4039" s="322">
        <v>1</v>
      </c>
      <c r="E4039" s="321" t="s">
        <v>125</v>
      </c>
    </row>
    <row r="4040" spans="1:5">
      <c r="A4040" s="323">
        <v>46007</v>
      </c>
      <c r="B4040" s="325" t="s">
        <v>1246</v>
      </c>
      <c r="C4040" s="322" t="s">
        <v>682</v>
      </c>
      <c r="D4040" s="322">
        <v>1</v>
      </c>
      <c r="E4040" s="321" t="s">
        <v>125</v>
      </c>
    </row>
    <row r="4041" spans="1:5">
      <c r="A4041" s="323">
        <v>46007</v>
      </c>
      <c r="B4041" s="325" t="s">
        <v>1271</v>
      </c>
      <c r="C4041" s="322" t="s">
        <v>682</v>
      </c>
      <c r="D4041" s="322">
        <v>1</v>
      </c>
      <c r="E4041" s="321" t="s">
        <v>125</v>
      </c>
    </row>
    <row r="4042" spans="1:5">
      <c r="A4042" s="323">
        <v>46007</v>
      </c>
      <c r="B4042" s="325" t="s">
        <v>1271</v>
      </c>
      <c r="C4042" s="322" t="s">
        <v>682</v>
      </c>
      <c r="D4042" s="322">
        <v>1</v>
      </c>
      <c r="E4042" s="321" t="s">
        <v>125</v>
      </c>
    </row>
    <row r="4043" spans="1:5">
      <c r="A4043" s="323">
        <v>46007</v>
      </c>
      <c r="B4043" s="325" t="s">
        <v>1271</v>
      </c>
      <c r="C4043" s="322" t="s">
        <v>682</v>
      </c>
      <c r="D4043" s="322">
        <v>3</v>
      </c>
      <c r="E4043" s="321" t="s">
        <v>125</v>
      </c>
    </row>
    <row r="4044" spans="1:5">
      <c r="A4044" s="323">
        <v>46007</v>
      </c>
      <c r="B4044" s="325" t="s">
        <v>1408</v>
      </c>
      <c r="C4044" s="322" t="s">
        <v>682</v>
      </c>
      <c r="D4044" s="322">
        <v>2</v>
      </c>
      <c r="E4044" s="321" t="s">
        <v>125</v>
      </c>
    </row>
    <row r="4045" spans="1:5">
      <c r="A4045" s="323">
        <v>46007</v>
      </c>
      <c r="B4045" s="325" t="s">
        <v>1434</v>
      </c>
      <c r="C4045" s="322" t="s">
        <v>682</v>
      </c>
      <c r="D4045" s="322">
        <v>3</v>
      </c>
      <c r="E4045" s="321" t="s">
        <v>125</v>
      </c>
    </row>
    <row r="4046" spans="1:5">
      <c r="A4046" s="323">
        <v>46007</v>
      </c>
      <c r="B4046" s="325" t="s">
        <v>169</v>
      </c>
      <c r="C4046" s="322" t="s">
        <v>682</v>
      </c>
      <c r="D4046" s="322">
        <v>1</v>
      </c>
      <c r="E4046" s="321" t="s">
        <v>125</v>
      </c>
    </row>
    <row r="4047" spans="1:5">
      <c r="A4047" s="323">
        <v>46007</v>
      </c>
      <c r="B4047" s="325" t="s">
        <v>1318</v>
      </c>
      <c r="C4047" s="322" t="s">
        <v>682</v>
      </c>
      <c r="D4047" s="322">
        <v>1</v>
      </c>
      <c r="E4047" s="321" t="s">
        <v>125</v>
      </c>
    </row>
    <row r="4048" spans="1:5">
      <c r="A4048" s="323">
        <v>46007</v>
      </c>
      <c r="B4048" s="425" t="s">
        <v>170</v>
      </c>
      <c r="C4048" s="322" t="s">
        <v>682</v>
      </c>
      <c r="D4048" s="322">
        <v>1</v>
      </c>
      <c r="E4048" s="321" t="s">
        <v>125</v>
      </c>
    </row>
    <row r="4049" spans="1:5">
      <c r="A4049" s="323">
        <v>46007</v>
      </c>
      <c r="B4049" s="325" t="s">
        <v>1259</v>
      </c>
      <c r="C4049" s="322" t="s">
        <v>682</v>
      </c>
      <c r="D4049" s="322">
        <v>4</v>
      </c>
      <c r="E4049" s="321" t="s">
        <v>125</v>
      </c>
    </row>
    <row r="4050" spans="1:5">
      <c r="A4050" s="323">
        <v>46007</v>
      </c>
      <c r="B4050" s="325" t="s">
        <v>1095</v>
      </c>
      <c r="C4050" s="322" t="s">
        <v>682</v>
      </c>
      <c r="D4050" s="322">
        <v>1</v>
      </c>
      <c r="E4050" s="321" t="s">
        <v>125</v>
      </c>
    </row>
    <row r="4051" spans="1:5">
      <c r="A4051" s="323">
        <v>46007</v>
      </c>
      <c r="B4051" s="325" t="s">
        <v>1259</v>
      </c>
      <c r="C4051" s="322" t="s">
        <v>682</v>
      </c>
      <c r="D4051" s="322">
        <v>1</v>
      </c>
      <c r="E4051" s="321" t="s">
        <v>125</v>
      </c>
    </row>
    <row r="4052" spans="1:5">
      <c r="A4052" s="323">
        <v>46007</v>
      </c>
      <c r="B4052" s="325" t="s">
        <v>136</v>
      </c>
      <c r="C4052" s="322" t="s">
        <v>682</v>
      </c>
      <c r="D4052" s="322">
        <v>3</v>
      </c>
      <c r="E4052" s="321" t="s">
        <v>125</v>
      </c>
    </row>
    <row r="4053" spans="1:5">
      <c r="A4053" s="323">
        <v>46007</v>
      </c>
      <c r="B4053" s="325" t="s">
        <v>136</v>
      </c>
      <c r="C4053" s="322" t="s">
        <v>682</v>
      </c>
      <c r="D4053" s="322">
        <v>2</v>
      </c>
      <c r="E4053" s="321" t="s">
        <v>125</v>
      </c>
    </row>
    <row r="4054" spans="1:5">
      <c r="A4054" s="323">
        <v>46007</v>
      </c>
      <c r="B4054" s="325" t="s">
        <v>1312</v>
      </c>
      <c r="C4054" s="322" t="s">
        <v>682</v>
      </c>
      <c r="D4054" s="322">
        <v>2</v>
      </c>
      <c r="E4054" s="321" t="s">
        <v>125</v>
      </c>
    </row>
    <row r="4055" spans="1:5">
      <c r="A4055" s="323">
        <v>46007</v>
      </c>
      <c r="B4055" s="325" t="s">
        <v>1246</v>
      </c>
      <c r="C4055" s="322" t="s">
        <v>682</v>
      </c>
      <c r="D4055" s="322">
        <v>1</v>
      </c>
      <c r="E4055" s="321" t="s">
        <v>125</v>
      </c>
    </row>
    <row r="4056" spans="1:5">
      <c r="A4056" s="323">
        <v>46007</v>
      </c>
      <c r="B4056" s="325" t="s">
        <v>1568</v>
      </c>
      <c r="C4056" s="322" t="s">
        <v>682</v>
      </c>
      <c r="D4056" s="322">
        <v>7</v>
      </c>
      <c r="E4056" s="321" t="s">
        <v>125</v>
      </c>
    </row>
    <row r="4057" spans="1:5">
      <c r="A4057" s="323">
        <v>46007</v>
      </c>
      <c r="B4057" s="325" t="s">
        <v>1568</v>
      </c>
      <c r="C4057" s="322" t="s">
        <v>682</v>
      </c>
      <c r="D4057" s="322">
        <v>2</v>
      </c>
      <c r="E4057" s="321" t="s">
        <v>125</v>
      </c>
    </row>
    <row r="4058" spans="1:5">
      <c r="A4058" s="323">
        <v>46007</v>
      </c>
      <c r="B4058" s="325" t="s">
        <v>1640</v>
      </c>
      <c r="C4058" s="322" t="s">
        <v>682</v>
      </c>
      <c r="D4058" s="322">
        <v>2</v>
      </c>
      <c r="E4058" s="321" t="s">
        <v>125</v>
      </c>
    </row>
    <row r="4059" spans="1:5">
      <c r="A4059" s="323">
        <v>46007</v>
      </c>
      <c r="B4059" s="325" t="s">
        <v>2019</v>
      </c>
      <c r="C4059" s="322" t="s">
        <v>682</v>
      </c>
      <c r="D4059" s="322">
        <v>4</v>
      </c>
      <c r="E4059" s="321" t="s">
        <v>125</v>
      </c>
    </row>
    <row r="4060" spans="1:5">
      <c r="A4060" s="323">
        <v>46007</v>
      </c>
      <c r="B4060" s="325" t="s">
        <v>1641</v>
      </c>
      <c r="C4060" s="322" t="s">
        <v>682</v>
      </c>
      <c r="D4060" s="322">
        <v>3</v>
      </c>
      <c r="E4060" s="321" t="s">
        <v>125</v>
      </c>
    </row>
    <row r="4061" spans="1:5">
      <c r="A4061" s="323">
        <v>46007</v>
      </c>
      <c r="B4061" s="325" t="s">
        <v>1641</v>
      </c>
      <c r="C4061" s="322" t="s">
        <v>682</v>
      </c>
      <c r="D4061" s="322">
        <v>1</v>
      </c>
      <c r="E4061" s="321" t="s">
        <v>125</v>
      </c>
    </row>
    <row r="4062" spans="1:5">
      <c r="A4062" s="323">
        <v>46007</v>
      </c>
      <c r="B4062" s="325" t="s">
        <v>1907</v>
      </c>
      <c r="C4062" s="322" t="s">
        <v>682</v>
      </c>
      <c r="D4062" s="322">
        <v>2</v>
      </c>
      <c r="E4062" s="321" t="s">
        <v>125</v>
      </c>
    </row>
    <row r="4063" spans="1:5">
      <c r="A4063" s="323">
        <v>46007</v>
      </c>
      <c r="B4063" s="325" t="s">
        <v>2140</v>
      </c>
      <c r="C4063" s="322" t="s">
        <v>682</v>
      </c>
      <c r="D4063" s="322">
        <v>2</v>
      </c>
      <c r="E4063" s="321" t="s">
        <v>125</v>
      </c>
    </row>
    <row r="4064" spans="1:5">
      <c r="A4064" s="323">
        <v>46007</v>
      </c>
      <c r="B4064" s="325" t="s">
        <v>2141</v>
      </c>
      <c r="C4064" s="322" t="s">
        <v>682</v>
      </c>
      <c r="D4064" s="322">
        <v>2</v>
      </c>
      <c r="E4064" s="321" t="s">
        <v>125</v>
      </c>
    </row>
    <row r="4065" spans="1:5">
      <c r="A4065" s="323">
        <v>46007</v>
      </c>
      <c r="B4065" s="325" t="s">
        <v>2142</v>
      </c>
      <c r="C4065" s="322" t="s">
        <v>682</v>
      </c>
      <c r="D4065" s="322">
        <v>1</v>
      </c>
      <c r="E4065" s="321" t="s">
        <v>125</v>
      </c>
    </row>
    <row r="4066" spans="1:5">
      <c r="A4066" s="323">
        <v>46007</v>
      </c>
      <c r="B4066" s="325" t="s">
        <v>2143</v>
      </c>
      <c r="C4066" s="322" t="s">
        <v>682</v>
      </c>
      <c r="D4066" s="322">
        <v>1</v>
      </c>
      <c r="E4066" s="321" t="s">
        <v>125</v>
      </c>
    </row>
    <row r="4067" spans="1:5">
      <c r="A4067" s="323">
        <v>46007</v>
      </c>
      <c r="B4067" s="325" t="s">
        <v>2144</v>
      </c>
      <c r="C4067" s="322" t="s">
        <v>682</v>
      </c>
      <c r="D4067" s="322">
        <v>1</v>
      </c>
      <c r="E4067" s="321" t="s">
        <v>125</v>
      </c>
    </row>
    <row r="4068" spans="1:5">
      <c r="A4068" s="323">
        <v>46007</v>
      </c>
      <c r="B4068" s="324" t="s">
        <v>410</v>
      </c>
      <c r="C4068" s="322" t="s">
        <v>682</v>
      </c>
      <c r="D4068" s="322">
        <v>1</v>
      </c>
      <c r="E4068" s="321" t="s">
        <v>125</v>
      </c>
    </row>
    <row r="4069" spans="1:5">
      <c r="A4069" s="323">
        <v>46007</v>
      </c>
      <c r="B4069" s="425" t="s">
        <v>375</v>
      </c>
      <c r="C4069" s="322" t="s">
        <v>682</v>
      </c>
      <c r="D4069" s="322">
        <v>7</v>
      </c>
      <c r="E4069" s="321" t="s">
        <v>125</v>
      </c>
    </row>
    <row r="4070" spans="1:5">
      <c r="A4070" s="323">
        <v>46007</v>
      </c>
      <c r="B4070" s="425" t="s">
        <v>375</v>
      </c>
      <c r="C4070" s="322" t="s">
        <v>682</v>
      </c>
      <c r="D4070" s="322">
        <v>1</v>
      </c>
      <c r="E4070" s="321" t="s">
        <v>125</v>
      </c>
    </row>
    <row r="4071" spans="1:5">
      <c r="A4071" s="323">
        <v>46007</v>
      </c>
      <c r="B4071" s="425" t="s">
        <v>375</v>
      </c>
      <c r="C4071" s="322" t="s">
        <v>682</v>
      </c>
      <c r="D4071" s="322">
        <v>1</v>
      </c>
      <c r="E4071" s="321" t="s">
        <v>125</v>
      </c>
    </row>
    <row r="4072" spans="1:5">
      <c r="A4072" s="323">
        <v>46007</v>
      </c>
      <c r="B4072" s="325" t="s">
        <v>1717</v>
      </c>
      <c r="C4072" s="322" t="s">
        <v>682</v>
      </c>
      <c r="D4072" s="322">
        <v>1</v>
      </c>
      <c r="E4072" s="321" t="s">
        <v>125</v>
      </c>
    </row>
    <row r="4073" spans="1:5">
      <c r="A4073" s="323">
        <v>46007</v>
      </c>
      <c r="B4073" s="325" t="s">
        <v>977</v>
      </c>
      <c r="C4073" s="322" t="s">
        <v>682</v>
      </c>
      <c r="D4073" s="322">
        <v>1</v>
      </c>
      <c r="E4073" s="321" t="s">
        <v>125</v>
      </c>
    </row>
    <row r="4074" spans="1:5">
      <c r="A4074" s="323">
        <v>46007</v>
      </c>
      <c r="B4074" s="324" t="s">
        <v>960</v>
      </c>
      <c r="C4074" s="322" t="s">
        <v>682</v>
      </c>
      <c r="D4074" s="322">
        <v>1</v>
      </c>
      <c r="E4074" s="321" t="s">
        <v>125</v>
      </c>
    </row>
    <row r="4075" spans="1:5">
      <c r="A4075" s="323">
        <v>46007</v>
      </c>
      <c r="B4075" s="324" t="s">
        <v>960</v>
      </c>
      <c r="C4075" s="322" t="s">
        <v>682</v>
      </c>
      <c r="D4075" s="322">
        <v>1</v>
      </c>
      <c r="E4075" s="321" t="s">
        <v>125</v>
      </c>
    </row>
    <row r="4076" spans="1:5">
      <c r="A4076" s="323">
        <v>46007</v>
      </c>
      <c r="B4076" s="325" t="s">
        <v>1291</v>
      </c>
      <c r="C4076" s="322" t="s">
        <v>682</v>
      </c>
      <c r="D4076" s="322">
        <v>1</v>
      </c>
      <c r="E4076" s="321" t="s">
        <v>125</v>
      </c>
    </row>
    <row r="4077" spans="1:5">
      <c r="A4077" s="323">
        <v>46007</v>
      </c>
      <c r="B4077" s="325" t="s">
        <v>2148</v>
      </c>
      <c r="C4077" s="322" t="s">
        <v>682</v>
      </c>
      <c r="D4077" s="322">
        <v>1</v>
      </c>
      <c r="E4077" s="321" t="s">
        <v>125</v>
      </c>
    </row>
    <row r="4078" spans="1:5">
      <c r="A4078" s="323">
        <v>46007</v>
      </c>
      <c r="B4078" s="325" t="s">
        <v>2149</v>
      </c>
      <c r="C4078" s="322" t="s">
        <v>682</v>
      </c>
      <c r="D4078" s="322">
        <v>1</v>
      </c>
      <c r="E4078" s="321" t="s">
        <v>125</v>
      </c>
    </row>
    <row r="4079" spans="1:5">
      <c r="A4079" s="323">
        <v>46007</v>
      </c>
      <c r="B4079" s="325" t="s">
        <v>1528</v>
      </c>
      <c r="C4079" s="322" t="s">
        <v>682</v>
      </c>
      <c r="D4079" s="322">
        <v>1</v>
      </c>
      <c r="E4079" s="321" t="s">
        <v>125</v>
      </c>
    </row>
    <row r="4080" spans="1:5">
      <c r="A4080" s="323">
        <v>46007</v>
      </c>
      <c r="B4080" s="325" t="s">
        <v>2151</v>
      </c>
      <c r="C4080" s="322" t="s">
        <v>682</v>
      </c>
      <c r="D4080" s="322">
        <v>2</v>
      </c>
      <c r="E4080" s="321" t="s">
        <v>125</v>
      </c>
    </row>
    <row r="4081" spans="1:6">
      <c r="A4081" s="323">
        <v>46007</v>
      </c>
      <c r="B4081" s="325" t="s">
        <v>2152</v>
      </c>
      <c r="C4081" s="322" t="s">
        <v>682</v>
      </c>
      <c r="D4081" s="322">
        <v>1</v>
      </c>
      <c r="E4081" s="321" t="s">
        <v>125</v>
      </c>
    </row>
    <row r="4082" spans="1:6">
      <c r="A4082" s="323">
        <v>46007</v>
      </c>
      <c r="B4082" s="425" t="s">
        <v>1149</v>
      </c>
      <c r="C4082" s="322" t="s">
        <v>682</v>
      </c>
      <c r="D4082" s="322">
        <v>1</v>
      </c>
      <c r="E4082" s="321" t="s">
        <v>125</v>
      </c>
    </row>
    <row r="4083" spans="1:6">
      <c r="A4083" s="323">
        <v>46007</v>
      </c>
      <c r="B4083" s="425" t="s">
        <v>1149</v>
      </c>
      <c r="C4083" s="322" t="s">
        <v>682</v>
      </c>
      <c r="D4083" s="322">
        <v>1</v>
      </c>
      <c r="E4083" s="321" t="s">
        <v>125</v>
      </c>
    </row>
    <row r="4084" spans="1:6">
      <c r="A4084" s="323">
        <v>46007</v>
      </c>
      <c r="B4084" s="325" t="s">
        <v>1404</v>
      </c>
      <c r="C4084" s="322" t="s">
        <v>682</v>
      </c>
      <c r="D4084" s="322">
        <v>1</v>
      </c>
      <c r="E4084" s="321" t="s">
        <v>125</v>
      </c>
    </row>
    <row r="4085" spans="1:6">
      <c r="A4085" s="323">
        <v>46007</v>
      </c>
      <c r="B4085" s="324" t="s">
        <v>467</v>
      </c>
      <c r="C4085" s="322" t="s">
        <v>682</v>
      </c>
      <c r="D4085" s="322">
        <v>3</v>
      </c>
      <c r="E4085" s="321" t="s">
        <v>125</v>
      </c>
    </row>
    <row r="4086" spans="1:6">
      <c r="A4086" s="323">
        <v>46007</v>
      </c>
      <c r="B4086" s="324" t="s">
        <v>2153</v>
      </c>
      <c r="C4086" s="322" t="s">
        <v>682</v>
      </c>
      <c r="D4086" s="322">
        <v>1</v>
      </c>
      <c r="E4086" s="321" t="s">
        <v>125</v>
      </c>
    </row>
    <row r="4087" spans="1:6">
      <c r="A4087" s="323">
        <v>46007</v>
      </c>
      <c r="B4087" s="324" t="s">
        <v>2154</v>
      </c>
      <c r="C4087" s="322" t="s">
        <v>682</v>
      </c>
      <c r="D4087" s="322">
        <v>1</v>
      </c>
      <c r="E4087" s="321" t="s">
        <v>125</v>
      </c>
    </row>
    <row r="4088" spans="1:6">
      <c r="A4088" s="323">
        <v>46007</v>
      </c>
      <c r="B4088" s="324" t="s">
        <v>2155</v>
      </c>
      <c r="C4088" s="322" t="s">
        <v>682</v>
      </c>
      <c r="D4088" s="322">
        <v>1</v>
      </c>
      <c r="E4088" s="321" t="s">
        <v>125</v>
      </c>
    </row>
    <row r="4089" spans="1:6">
      <c r="A4089" s="323">
        <v>46007</v>
      </c>
      <c r="B4089" s="324" t="s">
        <v>2156</v>
      </c>
      <c r="C4089" s="322" t="s">
        <v>682</v>
      </c>
      <c r="D4089" s="322">
        <v>1</v>
      </c>
      <c r="E4089" s="321" t="s">
        <v>125</v>
      </c>
    </row>
    <row r="4091" spans="1:6">
      <c r="A4091" s="323">
        <v>46007</v>
      </c>
      <c r="B4091" s="324" t="s">
        <v>2161</v>
      </c>
      <c r="C4091" s="322" t="s">
        <v>682</v>
      </c>
      <c r="D4091" s="322">
        <v>1</v>
      </c>
      <c r="E4091" s="321" t="s">
        <v>125</v>
      </c>
      <c r="F4091" t="s">
        <v>2165</v>
      </c>
    </row>
    <row r="4092" spans="1:6">
      <c r="A4092" s="323">
        <v>46007</v>
      </c>
      <c r="B4092" s="324" t="s">
        <v>2162</v>
      </c>
      <c r="C4092" s="322" t="s">
        <v>682</v>
      </c>
      <c r="D4092" s="322">
        <v>1</v>
      </c>
      <c r="E4092" s="321" t="s">
        <v>125</v>
      </c>
    </row>
    <row r="4093" spans="1:6">
      <c r="A4093" s="323">
        <v>46007</v>
      </c>
      <c r="B4093" s="324" t="s">
        <v>2163</v>
      </c>
      <c r="C4093" s="322" t="s">
        <v>682</v>
      </c>
      <c r="D4093" s="322">
        <v>1</v>
      </c>
      <c r="E4093" s="321" t="s">
        <v>125</v>
      </c>
    </row>
    <row r="4094" spans="1:6">
      <c r="A4094" s="323">
        <v>46007</v>
      </c>
      <c r="B4094" s="324" t="s">
        <v>2164</v>
      </c>
      <c r="C4094" s="322" t="s">
        <v>682</v>
      </c>
      <c r="D4094" s="322">
        <v>1</v>
      </c>
      <c r="E4094" s="321" t="s">
        <v>125</v>
      </c>
    </row>
    <row r="4096" spans="1:6">
      <c r="A4096" s="272">
        <v>46008</v>
      </c>
      <c r="B4096" s="139" t="s">
        <v>1617</v>
      </c>
      <c r="C4096" s="106" t="s">
        <v>49</v>
      </c>
      <c r="D4096" s="106">
        <v>2</v>
      </c>
      <c r="E4096" s="94" t="s">
        <v>125</v>
      </c>
    </row>
    <row r="4097" spans="1:5">
      <c r="A4097" s="272">
        <v>46008</v>
      </c>
      <c r="B4097" s="128" t="s">
        <v>76</v>
      </c>
      <c r="C4097" s="106" t="s">
        <v>49</v>
      </c>
      <c r="D4097" s="106">
        <v>3</v>
      </c>
      <c r="E4097" s="94" t="s">
        <v>125</v>
      </c>
    </row>
    <row r="4098" spans="1:5">
      <c r="A4098" s="272">
        <v>46008</v>
      </c>
      <c r="B4098" s="139" t="s">
        <v>1782</v>
      </c>
      <c r="C4098" s="106" t="s">
        <v>49</v>
      </c>
      <c r="D4098" s="106">
        <v>4</v>
      </c>
      <c r="E4098" s="94" t="s">
        <v>125</v>
      </c>
    </row>
    <row r="4099" spans="1:5">
      <c r="A4099" s="272">
        <v>46008</v>
      </c>
      <c r="B4099" s="128" t="s">
        <v>671</v>
      </c>
      <c r="C4099" s="106" t="s">
        <v>49</v>
      </c>
      <c r="D4099" s="106">
        <v>1</v>
      </c>
      <c r="E4099" s="94" t="s">
        <v>125</v>
      </c>
    </row>
    <row r="4100" spans="1:5">
      <c r="A4100" s="272">
        <v>46008</v>
      </c>
      <c r="B4100" s="139" t="s">
        <v>839</v>
      </c>
      <c r="C4100" s="106" t="s">
        <v>49</v>
      </c>
      <c r="D4100" s="106">
        <v>3</v>
      </c>
      <c r="E4100" s="94" t="s">
        <v>125</v>
      </c>
    </row>
    <row r="4101" spans="1:5">
      <c r="A4101" s="272">
        <v>46008</v>
      </c>
      <c r="B4101" s="139" t="s">
        <v>1270</v>
      </c>
      <c r="C4101" s="106" t="s">
        <v>49</v>
      </c>
      <c r="D4101" s="106">
        <v>2</v>
      </c>
      <c r="E4101" s="94" t="s">
        <v>125</v>
      </c>
    </row>
    <row r="4102" spans="1:5">
      <c r="A4102" s="272">
        <v>46008</v>
      </c>
      <c r="B4102" s="128" t="s">
        <v>76</v>
      </c>
      <c r="C4102" s="106" t="s">
        <v>49</v>
      </c>
      <c r="D4102" s="106">
        <v>2</v>
      </c>
      <c r="E4102" s="94" t="s">
        <v>125</v>
      </c>
    </row>
    <row r="4103" spans="1:5">
      <c r="A4103" s="272">
        <v>46008</v>
      </c>
      <c r="B4103" s="139" t="s">
        <v>1575</v>
      </c>
      <c r="C4103" s="106" t="s">
        <v>49</v>
      </c>
      <c r="D4103" s="106">
        <v>10</v>
      </c>
      <c r="E4103" s="94" t="s">
        <v>125</v>
      </c>
    </row>
    <row r="4104" spans="1:5">
      <c r="A4104" s="272">
        <v>46008</v>
      </c>
      <c r="B4104" s="139" t="s">
        <v>1270</v>
      </c>
      <c r="C4104" s="106" t="s">
        <v>49</v>
      </c>
      <c r="D4104" s="106">
        <v>2</v>
      </c>
      <c r="E4104" s="94" t="s">
        <v>125</v>
      </c>
    </row>
    <row r="4105" spans="1:5">
      <c r="A4105" s="272">
        <v>46008</v>
      </c>
      <c r="B4105" s="128" t="s">
        <v>76</v>
      </c>
      <c r="C4105" s="106" t="s">
        <v>49</v>
      </c>
      <c r="D4105" s="106">
        <v>20</v>
      </c>
      <c r="E4105" s="94" t="s">
        <v>125</v>
      </c>
    </row>
    <row r="4106" spans="1:5">
      <c r="A4106" s="272">
        <v>46008</v>
      </c>
      <c r="B4106" s="139" t="s">
        <v>1270</v>
      </c>
      <c r="C4106" s="106" t="s">
        <v>49</v>
      </c>
      <c r="D4106" s="106">
        <v>10</v>
      </c>
      <c r="E4106" s="94" t="s">
        <v>125</v>
      </c>
    </row>
    <row r="4107" spans="1:5">
      <c r="A4107" s="272">
        <v>46008</v>
      </c>
      <c r="B4107" s="128" t="s">
        <v>789</v>
      </c>
      <c r="C4107" s="106" t="s">
        <v>49</v>
      </c>
      <c r="D4107" s="106">
        <v>3</v>
      </c>
      <c r="E4107" s="94" t="s">
        <v>125</v>
      </c>
    </row>
    <row r="4108" spans="1:5">
      <c r="A4108" s="272">
        <v>46008</v>
      </c>
      <c r="B4108" s="128" t="s">
        <v>76</v>
      </c>
      <c r="C4108" s="106" t="s">
        <v>49</v>
      </c>
      <c r="D4108" s="106">
        <v>100</v>
      </c>
      <c r="E4108" s="94" t="s">
        <v>125</v>
      </c>
    </row>
    <row r="4109" spans="1:5">
      <c r="A4109" s="272">
        <v>46008</v>
      </c>
      <c r="B4109" s="139" t="s">
        <v>1575</v>
      </c>
      <c r="C4109" s="106" t="s">
        <v>49</v>
      </c>
      <c r="D4109" s="106">
        <v>70</v>
      </c>
      <c r="E4109" s="94" t="s">
        <v>125</v>
      </c>
    </row>
    <row r="4110" spans="1:5">
      <c r="A4110" s="272">
        <v>46008</v>
      </c>
      <c r="B4110" s="128" t="s">
        <v>672</v>
      </c>
      <c r="C4110" s="106" t="s">
        <v>49</v>
      </c>
      <c r="D4110" s="106">
        <v>3</v>
      </c>
      <c r="E4110" s="94" t="s">
        <v>125</v>
      </c>
    </row>
    <row r="4111" spans="1:5">
      <c r="A4111" s="272">
        <v>46008</v>
      </c>
      <c r="B4111" s="128" t="s">
        <v>76</v>
      </c>
      <c r="C4111" s="106" t="s">
        <v>49</v>
      </c>
      <c r="D4111" s="106">
        <v>23</v>
      </c>
      <c r="E4111" s="94" t="s">
        <v>125</v>
      </c>
    </row>
    <row r="4112" spans="1:5">
      <c r="A4112" s="272">
        <v>46008</v>
      </c>
      <c r="B4112" s="139" t="s">
        <v>1575</v>
      </c>
      <c r="C4112" s="106" t="s">
        <v>49</v>
      </c>
      <c r="D4112" s="106">
        <v>10</v>
      </c>
      <c r="E4112" s="94" t="s">
        <v>125</v>
      </c>
    </row>
    <row r="4113" spans="1:5">
      <c r="A4113" s="272">
        <v>46008</v>
      </c>
      <c r="B4113" s="128" t="s">
        <v>671</v>
      </c>
      <c r="C4113" s="106" t="s">
        <v>49</v>
      </c>
      <c r="D4113" s="106">
        <v>3</v>
      </c>
      <c r="E4113" s="94" t="s">
        <v>125</v>
      </c>
    </row>
    <row r="4115" spans="1:5">
      <c r="A4115" s="272">
        <v>46008</v>
      </c>
      <c r="B4115" s="139" t="s">
        <v>2167</v>
      </c>
      <c r="C4115" s="106" t="s">
        <v>2185</v>
      </c>
      <c r="D4115" s="106">
        <v>10</v>
      </c>
      <c r="E4115" s="94" t="s">
        <v>125</v>
      </c>
    </row>
    <row r="4117" spans="1:5">
      <c r="A4117" s="330">
        <v>46008</v>
      </c>
      <c r="B4117" s="327" t="s">
        <v>671</v>
      </c>
      <c r="C4117" s="328" t="s">
        <v>49</v>
      </c>
      <c r="D4117" s="328">
        <v>2</v>
      </c>
      <c r="E4117" s="331" t="s">
        <v>125</v>
      </c>
    </row>
    <row r="4119" spans="1:5">
      <c r="A4119" s="335">
        <v>46007</v>
      </c>
      <c r="B4119" s="342" t="s">
        <v>881</v>
      </c>
      <c r="C4119" s="345" t="s">
        <v>1615</v>
      </c>
      <c r="D4119" s="345">
        <v>-2</v>
      </c>
      <c r="E4119" s="230" t="s">
        <v>125</v>
      </c>
    </row>
    <row r="4120" spans="1:5">
      <c r="A4120" s="335">
        <v>46007</v>
      </c>
      <c r="B4120" s="92" t="s">
        <v>672</v>
      </c>
      <c r="C4120" s="345" t="s">
        <v>1615</v>
      </c>
      <c r="D4120" s="43">
        <v>-4</v>
      </c>
      <c r="E4120" s="230" t="s">
        <v>125</v>
      </c>
    </row>
    <row r="4121" spans="1:5">
      <c r="A4121" s="335">
        <v>46007</v>
      </c>
      <c r="B4121" s="93" t="s">
        <v>839</v>
      </c>
      <c r="C4121" s="345" t="s">
        <v>1615</v>
      </c>
      <c r="D4121" s="43">
        <v>-8</v>
      </c>
      <c r="E4121" s="230" t="s">
        <v>125</v>
      </c>
    </row>
    <row r="4122" spans="1:5">
      <c r="A4122" s="335">
        <v>46007</v>
      </c>
      <c r="B4122" s="93" t="s">
        <v>839</v>
      </c>
      <c r="C4122" s="345" t="s">
        <v>1615</v>
      </c>
      <c r="D4122" s="43">
        <v>-3</v>
      </c>
      <c r="E4122" s="230" t="s">
        <v>125</v>
      </c>
    </row>
    <row r="4124" spans="1:5">
      <c r="A4124" s="434">
        <v>46007</v>
      </c>
      <c r="B4124" s="168" t="s">
        <v>1641</v>
      </c>
      <c r="C4124" s="166" t="s">
        <v>1601</v>
      </c>
      <c r="D4124" s="166">
        <v>1</v>
      </c>
      <c r="E4124" s="615" t="s">
        <v>125</v>
      </c>
    </row>
    <row r="4125" spans="1:5">
      <c r="A4125" s="434">
        <v>46007</v>
      </c>
      <c r="B4125" s="168" t="s">
        <v>1641</v>
      </c>
      <c r="C4125" s="166" t="s">
        <v>1601</v>
      </c>
      <c r="D4125" s="166">
        <v>1</v>
      </c>
      <c r="E4125" s="615" t="s">
        <v>125</v>
      </c>
    </row>
    <row r="4126" spans="1:5">
      <c r="A4126" s="434">
        <v>46007</v>
      </c>
      <c r="B4126" s="503" t="s">
        <v>923</v>
      </c>
      <c r="C4126" s="166" t="s">
        <v>1601</v>
      </c>
      <c r="D4126" s="166">
        <v>1</v>
      </c>
      <c r="E4126" s="615" t="s">
        <v>125</v>
      </c>
    </row>
    <row r="4128" spans="1:5">
      <c r="A4128" s="335">
        <v>46007</v>
      </c>
      <c r="B4128" s="93" t="s">
        <v>1094</v>
      </c>
      <c r="C4128" s="43" t="s">
        <v>1660</v>
      </c>
      <c r="D4128" s="43">
        <v>-1</v>
      </c>
      <c r="E4128" s="230" t="s">
        <v>125</v>
      </c>
    </row>
    <row r="4129" spans="1:5">
      <c r="A4129" s="335">
        <v>46007</v>
      </c>
      <c r="B4129" s="343" t="s">
        <v>1271</v>
      </c>
      <c r="C4129" s="345" t="s">
        <v>1600</v>
      </c>
      <c r="D4129" s="345">
        <v>-1</v>
      </c>
      <c r="E4129" s="230" t="s">
        <v>125</v>
      </c>
    </row>
    <row r="4130" spans="1:5">
      <c r="A4130" s="335">
        <v>46007</v>
      </c>
      <c r="B4130" s="343" t="s">
        <v>1301</v>
      </c>
      <c r="C4130" s="345" t="s">
        <v>1600</v>
      </c>
      <c r="D4130" s="345">
        <v>-1</v>
      </c>
      <c r="E4130" s="230" t="s">
        <v>125</v>
      </c>
    </row>
    <row r="4131" spans="1:5">
      <c r="A4131" s="335">
        <v>46007</v>
      </c>
      <c r="B4131" s="343" t="s">
        <v>1290</v>
      </c>
      <c r="C4131" s="43" t="s">
        <v>1738</v>
      </c>
      <c r="D4131" s="43">
        <v>-1</v>
      </c>
      <c r="E4131" s="230" t="s">
        <v>125</v>
      </c>
    </row>
    <row r="4132" spans="1:5">
      <c r="A4132" s="335">
        <v>46007</v>
      </c>
      <c r="B4132" s="343" t="s">
        <v>1246</v>
      </c>
      <c r="C4132" s="43" t="s">
        <v>1739</v>
      </c>
      <c r="D4132" s="43">
        <v>-3</v>
      </c>
      <c r="E4132" s="230" t="s">
        <v>125</v>
      </c>
    </row>
    <row r="4133" spans="1:5">
      <c r="A4133" s="335">
        <v>46007</v>
      </c>
      <c r="B4133" s="343" t="s">
        <v>1246</v>
      </c>
      <c r="C4133" s="43" t="s">
        <v>1739</v>
      </c>
      <c r="D4133" s="43">
        <v>-1</v>
      </c>
      <c r="E4133" s="230" t="s">
        <v>125</v>
      </c>
    </row>
    <row r="4134" spans="1:5">
      <c r="A4134" s="335">
        <v>46007</v>
      </c>
      <c r="B4134" s="343" t="s">
        <v>1327</v>
      </c>
      <c r="C4134" s="43" t="s">
        <v>1600</v>
      </c>
      <c r="D4134" s="43">
        <v>-3</v>
      </c>
      <c r="E4134" s="230" t="s">
        <v>125</v>
      </c>
    </row>
    <row r="4136" spans="1:5">
      <c r="A4136" s="335">
        <v>46008</v>
      </c>
      <c r="B4136" s="343" t="s">
        <v>1296</v>
      </c>
      <c r="C4136" s="345" t="s">
        <v>2186</v>
      </c>
      <c r="D4136" s="345">
        <v>-1</v>
      </c>
      <c r="E4136" s="230" t="s">
        <v>125</v>
      </c>
    </row>
    <row r="4137" spans="1:5">
      <c r="A4137" s="335">
        <v>46008</v>
      </c>
      <c r="B4137" s="343" t="s">
        <v>1296</v>
      </c>
      <c r="C4137" s="345" t="s">
        <v>2186</v>
      </c>
      <c r="D4137" s="345">
        <v>-3</v>
      </c>
      <c r="E4137" s="230" t="s">
        <v>125</v>
      </c>
    </row>
    <row r="4138" spans="1:5">
      <c r="A4138" s="335">
        <v>46008</v>
      </c>
      <c r="B4138" s="343" t="s">
        <v>1782</v>
      </c>
      <c r="C4138" s="345" t="s">
        <v>1803</v>
      </c>
      <c r="D4138" s="345">
        <v>-6</v>
      </c>
      <c r="E4138" s="230" t="s">
        <v>125</v>
      </c>
    </row>
    <row r="4139" spans="1:5">
      <c r="A4139" s="335">
        <v>46008</v>
      </c>
      <c r="B4139" s="92" t="s">
        <v>672</v>
      </c>
      <c r="C4139" s="43" t="s">
        <v>1615</v>
      </c>
      <c r="D4139" s="43">
        <v>-1</v>
      </c>
      <c r="E4139" s="230" t="s">
        <v>125</v>
      </c>
    </row>
    <row r="4140" spans="1:5">
      <c r="A4140" s="335">
        <v>46008</v>
      </c>
      <c r="B4140" s="92" t="s">
        <v>76</v>
      </c>
      <c r="C4140" s="43" t="s">
        <v>2187</v>
      </c>
      <c r="D4140" s="43">
        <v>-10</v>
      </c>
      <c r="E4140" s="230" t="s">
        <v>125</v>
      </c>
    </row>
    <row r="4141" spans="1:5">
      <c r="A4141" s="335">
        <v>46008</v>
      </c>
      <c r="B4141" s="92" t="s">
        <v>76</v>
      </c>
      <c r="C4141" s="43" t="s">
        <v>1603</v>
      </c>
      <c r="D4141" s="43">
        <v>-100</v>
      </c>
      <c r="E4141" s="230" t="s">
        <v>125</v>
      </c>
    </row>
    <row r="4142" spans="1:5">
      <c r="A4142" s="335">
        <v>46008</v>
      </c>
      <c r="B4142" s="343" t="s">
        <v>1290</v>
      </c>
      <c r="C4142" s="43" t="s">
        <v>1660</v>
      </c>
      <c r="D4142" s="43">
        <v>-1</v>
      </c>
      <c r="E4142" s="230" t="s">
        <v>125</v>
      </c>
    </row>
    <row r="4143" spans="1:5">
      <c r="A4143" s="335">
        <v>46008</v>
      </c>
      <c r="B4143" s="343" t="s">
        <v>1246</v>
      </c>
      <c r="C4143" s="43" t="s">
        <v>2188</v>
      </c>
      <c r="D4143" s="43">
        <v>-1</v>
      </c>
      <c r="E4143" s="230" t="s">
        <v>125</v>
      </c>
    </row>
    <row r="4144" spans="1:5">
      <c r="A4144" s="335">
        <v>46008</v>
      </c>
      <c r="B4144" s="343" t="s">
        <v>1289</v>
      </c>
      <c r="C4144" s="43" t="s">
        <v>2188</v>
      </c>
      <c r="D4144" s="43">
        <v>-1</v>
      </c>
      <c r="E4144" s="230" t="s">
        <v>125</v>
      </c>
    </row>
    <row r="4145" spans="1:5">
      <c r="A4145" s="335">
        <v>46008</v>
      </c>
      <c r="B4145" s="343" t="s">
        <v>1246</v>
      </c>
      <c r="C4145" s="43" t="s">
        <v>2113</v>
      </c>
      <c r="D4145" s="43">
        <v>-1</v>
      </c>
      <c r="E4145" s="230" t="s">
        <v>125</v>
      </c>
    </row>
    <row r="4146" spans="1:5">
      <c r="A4146" s="335">
        <v>46008</v>
      </c>
      <c r="B4146" s="343" t="s">
        <v>1407</v>
      </c>
      <c r="C4146" s="43" t="s">
        <v>1660</v>
      </c>
      <c r="D4146" s="43">
        <v>-1</v>
      </c>
      <c r="E4146" s="230" t="s">
        <v>125</v>
      </c>
    </row>
    <row r="4147" spans="1:5">
      <c r="A4147" s="335">
        <v>46008</v>
      </c>
      <c r="B4147" s="344" t="s">
        <v>1716</v>
      </c>
      <c r="C4147" s="43" t="s">
        <v>1659</v>
      </c>
      <c r="D4147" s="43">
        <v>-1</v>
      </c>
      <c r="E4147" s="230" t="s">
        <v>125</v>
      </c>
    </row>
    <row r="4148" spans="1:5">
      <c r="A4148" s="335">
        <v>46008</v>
      </c>
      <c r="B4148" s="93" t="s">
        <v>169</v>
      </c>
      <c r="C4148" s="43" t="s">
        <v>678</v>
      </c>
      <c r="D4148" s="43">
        <v>-1</v>
      </c>
      <c r="E4148" s="230" t="s">
        <v>125</v>
      </c>
    </row>
    <row r="4149" spans="1:5">
      <c r="A4149" s="335">
        <v>46008</v>
      </c>
      <c r="B4149" s="93" t="s">
        <v>167</v>
      </c>
      <c r="C4149" s="43" t="s">
        <v>678</v>
      </c>
      <c r="D4149" s="43">
        <v>-1</v>
      </c>
      <c r="E4149" s="230" t="s">
        <v>125</v>
      </c>
    </row>
    <row r="4150" spans="1:5">
      <c r="A4150" s="335">
        <v>46008</v>
      </c>
      <c r="B4150" s="93" t="s">
        <v>169</v>
      </c>
      <c r="C4150" s="43" t="s">
        <v>678</v>
      </c>
      <c r="D4150" s="43">
        <v>-1</v>
      </c>
      <c r="E4150" s="230" t="s">
        <v>125</v>
      </c>
    </row>
    <row r="4152" spans="1:5">
      <c r="A4152" s="346">
        <v>46009</v>
      </c>
      <c r="B4152" s="349" t="s">
        <v>1246</v>
      </c>
      <c r="C4152" s="348" t="s">
        <v>2193</v>
      </c>
      <c r="D4152" s="348">
        <v>4</v>
      </c>
      <c r="E4152" s="360" t="s">
        <v>125</v>
      </c>
    </row>
    <row r="4154" spans="1:5">
      <c r="A4154" s="335">
        <v>46009</v>
      </c>
      <c r="B4154" s="341" t="s">
        <v>76</v>
      </c>
      <c r="C4154" s="345" t="s">
        <v>2201</v>
      </c>
      <c r="D4154" s="345">
        <v>-38</v>
      </c>
      <c r="E4154" s="230" t="s">
        <v>125</v>
      </c>
    </row>
    <row r="4155" spans="1:5">
      <c r="A4155" s="335">
        <v>46009</v>
      </c>
      <c r="B4155" s="104" t="s">
        <v>375</v>
      </c>
      <c r="C4155" s="43" t="s">
        <v>1970</v>
      </c>
      <c r="D4155" s="43">
        <v>-1</v>
      </c>
      <c r="E4155" s="230" t="s">
        <v>125</v>
      </c>
    </row>
    <row r="4156" spans="1:5">
      <c r="A4156" s="335">
        <v>46009</v>
      </c>
      <c r="B4156" s="104" t="s">
        <v>375</v>
      </c>
      <c r="C4156" s="43" t="s">
        <v>1970</v>
      </c>
      <c r="D4156" s="43">
        <v>-1</v>
      </c>
      <c r="E4156" s="230" t="s">
        <v>125</v>
      </c>
    </row>
    <row r="4157" spans="1:5">
      <c r="A4157" s="335">
        <v>46009</v>
      </c>
      <c r="B4157" s="341" t="s">
        <v>76</v>
      </c>
      <c r="C4157" s="43" t="s">
        <v>1603</v>
      </c>
      <c r="D4157" s="43">
        <v>-5</v>
      </c>
      <c r="E4157" s="230" t="s">
        <v>125</v>
      </c>
    </row>
    <row r="4158" spans="1:5">
      <c r="A4158" s="335">
        <v>46009</v>
      </c>
      <c r="B4158" s="92" t="s">
        <v>671</v>
      </c>
      <c r="C4158" s="43" t="s">
        <v>1613</v>
      </c>
      <c r="D4158" s="43">
        <v>-3</v>
      </c>
      <c r="E4158" s="230" t="s">
        <v>125</v>
      </c>
    </row>
    <row r="4159" spans="1:5">
      <c r="A4159" s="335">
        <v>46009</v>
      </c>
      <c r="B4159" s="341" t="s">
        <v>76</v>
      </c>
      <c r="C4159" s="43" t="s">
        <v>1603</v>
      </c>
      <c r="D4159" s="43">
        <v>-60</v>
      </c>
      <c r="E4159" s="230" t="s">
        <v>125</v>
      </c>
    </row>
    <row r="4160" spans="1:5">
      <c r="A4160" s="335">
        <v>46009</v>
      </c>
      <c r="B4160" s="343" t="s">
        <v>1271</v>
      </c>
      <c r="C4160" s="345" t="s">
        <v>1660</v>
      </c>
      <c r="D4160" s="345">
        <v>-2</v>
      </c>
      <c r="E4160" s="230" t="s">
        <v>125</v>
      </c>
    </row>
    <row r="4161" spans="1:5">
      <c r="A4161" s="335">
        <v>46009</v>
      </c>
      <c r="B4161" s="343" t="s">
        <v>1327</v>
      </c>
      <c r="C4161" s="43" t="s">
        <v>2202</v>
      </c>
      <c r="D4161" s="43">
        <v>-1</v>
      </c>
      <c r="E4161" s="230" t="s">
        <v>125</v>
      </c>
    </row>
    <row r="4162" spans="1:5">
      <c r="A4162" s="335">
        <v>46009</v>
      </c>
      <c r="B4162" s="343" t="s">
        <v>1246</v>
      </c>
      <c r="C4162" s="43" t="s">
        <v>2203</v>
      </c>
      <c r="D4162" s="43">
        <v>-3</v>
      </c>
      <c r="E4162" s="230" t="s">
        <v>125</v>
      </c>
    </row>
    <row r="4163" spans="1:5">
      <c r="A4163" s="335">
        <v>46009</v>
      </c>
      <c r="B4163" s="343" t="s">
        <v>1246</v>
      </c>
      <c r="C4163" s="43" t="s">
        <v>2203</v>
      </c>
      <c r="D4163" s="43">
        <v>-1</v>
      </c>
      <c r="E4163" s="230" t="s">
        <v>125</v>
      </c>
    </row>
    <row r="4164" spans="1:5">
      <c r="A4164" s="335">
        <v>46009</v>
      </c>
      <c r="B4164" s="343" t="s">
        <v>1434</v>
      </c>
      <c r="C4164" s="345" t="s">
        <v>2113</v>
      </c>
      <c r="D4164" s="345">
        <v>-3</v>
      </c>
      <c r="E4164" s="230" t="s">
        <v>125</v>
      </c>
    </row>
    <row r="4165" spans="1:5">
      <c r="A4165" s="335">
        <v>46009</v>
      </c>
      <c r="B4165" s="343" t="s">
        <v>1246</v>
      </c>
      <c r="C4165" s="345" t="s">
        <v>2113</v>
      </c>
      <c r="D4165" s="345">
        <v>-1</v>
      </c>
      <c r="E4165" s="230" t="s">
        <v>125</v>
      </c>
    </row>
    <row r="4166" spans="1:5">
      <c r="A4166" s="335">
        <v>46009</v>
      </c>
      <c r="B4166" s="343" t="s">
        <v>1246</v>
      </c>
      <c r="C4166" s="43" t="s">
        <v>2204</v>
      </c>
      <c r="D4166" s="43">
        <v>-3</v>
      </c>
      <c r="E4166" s="230" t="s">
        <v>125</v>
      </c>
    </row>
    <row r="4167" spans="1:5">
      <c r="A4167" s="335">
        <v>46009</v>
      </c>
      <c r="B4167" s="343" t="s">
        <v>1246</v>
      </c>
      <c r="C4167" s="43" t="s">
        <v>2205</v>
      </c>
      <c r="D4167" s="43">
        <v>-3</v>
      </c>
      <c r="E4167" s="230" t="s">
        <v>125</v>
      </c>
    </row>
    <row r="4168" spans="1:5">
      <c r="A4168" s="335">
        <v>46009</v>
      </c>
      <c r="B4168" s="341" t="s">
        <v>76</v>
      </c>
      <c r="C4168" s="43" t="s">
        <v>1603</v>
      </c>
      <c r="D4168" s="43">
        <v>-25</v>
      </c>
      <c r="E4168" s="230" t="s">
        <v>125</v>
      </c>
    </row>
    <row r="4170" spans="1:5">
      <c r="A4170" s="265">
        <v>46010</v>
      </c>
      <c r="B4170" s="93" t="s">
        <v>1617</v>
      </c>
      <c r="C4170" s="43" t="s">
        <v>1787</v>
      </c>
      <c r="D4170" s="43">
        <v>-10</v>
      </c>
      <c r="E4170" s="230" t="s">
        <v>125</v>
      </c>
    </row>
    <row r="4171" spans="1:5">
      <c r="A4171" s="265">
        <v>46010</v>
      </c>
      <c r="B4171" s="343" t="s">
        <v>1575</v>
      </c>
      <c r="C4171" s="345" t="s">
        <v>2207</v>
      </c>
      <c r="D4171" s="345">
        <v>-64</v>
      </c>
      <c r="E4171" s="230" t="s">
        <v>125</v>
      </c>
    </row>
    <row r="4173" spans="1:5">
      <c r="A4173" s="272">
        <v>46010</v>
      </c>
      <c r="B4173" s="128" t="s">
        <v>76</v>
      </c>
      <c r="C4173" s="106" t="s">
        <v>49</v>
      </c>
      <c r="D4173" s="106">
        <v>12</v>
      </c>
      <c r="E4173" s="94" t="s">
        <v>125</v>
      </c>
    </row>
    <row r="4174" spans="1:5">
      <c r="A4174" s="272">
        <v>46010</v>
      </c>
      <c r="B4174" s="128" t="s">
        <v>76</v>
      </c>
      <c r="C4174" s="106" t="s">
        <v>49</v>
      </c>
      <c r="D4174" s="106">
        <v>12</v>
      </c>
      <c r="E4174" s="94" t="s">
        <v>125</v>
      </c>
    </row>
    <row r="4175" spans="1:5">
      <c r="A4175" s="272">
        <v>46010</v>
      </c>
      <c r="B4175" s="128" t="s">
        <v>76</v>
      </c>
      <c r="C4175" s="106" t="s">
        <v>49</v>
      </c>
      <c r="D4175" s="106">
        <v>15</v>
      </c>
      <c r="E4175" s="94" t="s">
        <v>125</v>
      </c>
    </row>
    <row r="4176" spans="1:5">
      <c r="A4176" s="272">
        <v>46010</v>
      </c>
      <c r="B4176" s="139" t="s">
        <v>839</v>
      </c>
      <c r="C4176" s="106" t="s">
        <v>49</v>
      </c>
      <c r="D4176" s="106">
        <v>3</v>
      </c>
      <c r="E4176" s="94" t="s">
        <v>125</v>
      </c>
    </row>
    <row r="4177" spans="1:6">
      <c r="A4177" s="272">
        <v>46010</v>
      </c>
      <c r="B4177" s="128" t="s">
        <v>671</v>
      </c>
      <c r="C4177" s="106" t="s">
        <v>49</v>
      </c>
      <c r="D4177" s="106">
        <v>1</v>
      </c>
      <c r="E4177" s="94" t="s">
        <v>125</v>
      </c>
    </row>
    <row r="4178" spans="1:6">
      <c r="A4178" s="272">
        <v>46010</v>
      </c>
      <c r="B4178" s="128" t="s">
        <v>76</v>
      </c>
      <c r="C4178" s="106" t="s">
        <v>49</v>
      </c>
      <c r="D4178" s="106">
        <v>7</v>
      </c>
      <c r="E4178" s="94" t="s">
        <v>125</v>
      </c>
    </row>
    <row r="4179" spans="1:6">
      <c r="A4179" s="272">
        <v>46010</v>
      </c>
      <c r="B4179" s="139" t="s">
        <v>1246</v>
      </c>
      <c r="C4179" s="106" t="s">
        <v>49</v>
      </c>
      <c r="D4179" s="106">
        <v>2</v>
      </c>
      <c r="E4179" s="94" t="s">
        <v>125</v>
      </c>
    </row>
    <row r="4180" spans="1:6">
      <c r="A4180" s="272">
        <v>46010</v>
      </c>
      <c r="B4180" s="128" t="s">
        <v>76</v>
      </c>
      <c r="C4180" s="106" t="s">
        <v>49</v>
      </c>
      <c r="D4180" s="106">
        <v>23</v>
      </c>
      <c r="E4180" s="94" t="s">
        <v>125</v>
      </c>
    </row>
    <row r="4181" spans="1:6">
      <c r="A4181" s="272">
        <v>46010</v>
      </c>
      <c r="B4181" s="128" t="s">
        <v>76</v>
      </c>
      <c r="C4181" s="106" t="s">
        <v>49</v>
      </c>
      <c r="D4181" s="106">
        <v>4</v>
      </c>
      <c r="E4181" s="94" t="s">
        <v>125</v>
      </c>
    </row>
    <row r="4182" spans="1:6">
      <c r="A4182" s="272">
        <v>46010</v>
      </c>
      <c r="B4182" s="128" t="s">
        <v>76</v>
      </c>
      <c r="C4182" s="106" t="s">
        <v>49</v>
      </c>
      <c r="D4182" s="106">
        <v>44</v>
      </c>
      <c r="E4182" s="94" t="s">
        <v>125</v>
      </c>
    </row>
    <row r="4183" spans="1:6">
      <c r="A4183" s="272">
        <v>46010</v>
      </c>
      <c r="B4183" s="128" t="s">
        <v>76</v>
      </c>
      <c r="C4183" s="106" t="s">
        <v>49</v>
      </c>
      <c r="D4183" s="106">
        <v>159</v>
      </c>
      <c r="E4183" s="94" t="s">
        <v>125</v>
      </c>
    </row>
    <row r="4184" spans="1:6">
      <c r="A4184" s="272">
        <v>46010</v>
      </c>
      <c r="B4184" s="128" t="s">
        <v>76</v>
      </c>
      <c r="C4184" s="106" t="s">
        <v>49</v>
      </c>
      <c r="D4184" s="106">
        <v>9</v>
      </c>
      <c r="E4184" s="94" t="s">
        <v>125</v>
      </c>
    </row>
    <row r="4185" spans="1:6">
      <c r="A4185" s="272">
        <v>46010</v>
      </c>
      <c r="B4185" s="139" t="s">
        <v>808</v>
      </c>
      <c r="C4185" s="106" t="s">
        <v>49</v>
      </c>
      <c r="D4185" s="106">
        <v>2</v>
      </c>
      <c r="E4185" s="94" t="s">
        <v>125</v>
      </c>
    </row>
    <row r="4186" spans="1:6">
      <c r="A4186" s="272">
        <v>46010</v>
      </c>
      <c r="B4186" s="139" t="s">
        <v>808</v>
      </c>
      <c r="C4186" s="106" t="s">
        <v>49</v>
      </c>
      <c r="D4186" s="106">
        <v>2</v>
      </c>
      <c r="E4186" s="94" t="s">
        <v>125</v>
      </c>
    </row>
    <row r="4187" spans="1:6">
      <c r="A4187" s="272">
        <v>46010</v>
      </c>
      <c r="B4187" s="139" t="s">
        <v>808</v>
      </c>
      <c r="C4187" s="106" t="s">
        <v>49</v>
      </c>
      <c r="D4187" s="106">
        <v>2</v>
      </c>
      <c r="E4187" s="94" t="s">
        <v>125</v>
      </c>
    </row>
    <row r="4188" spans="1:6">
      <c r="A4188" s="272">
        <v>46010</v>
      </c>
      <c r="B4188" s="139" t="s">
        <v>808</v>
      </c>
      <c r="C4188" s="106" t="s">
        <v>49</v>
      </c>
      <c r="D4188" s="106">
        <v>0</v>
      </c>
      <c r="E4188" s="94" t="s">
        <v>125</v>
      </c>
      <c r="F4188" t="s">
        <v>1340</v>
      </c>
    </row>
    <row r="4189" spans="1:6">
      <c r="A4189" s="272">
        <v>46010</v>
      </c>
      <c r="B4189" s="139" t="s">
        <v>808</v>
      </c>
      <c r="C4189" s="106" t="s">
        <v>49</v>
      </c>
      <c r="D4189" s="106">
        <v>2</v>
      </c>
      <c r="E4189" s="94" t="s">
        <v>125</v>
      </c>
    </row>
    <row r="4190" spans="1:6">
      <c r="A4190" s="272">
        <v>46010</v>
      </c>
      <c r="B4190" s="139" t="s">
        <v>808</v>
      </c>
      <c r="C4190" s="106" t="s">
        <v>49</v>
      </c>
      <c r="D4190" s="106">
        <v>2</v>
      </c>
      <c r="E4190" s="94" t="s">
        <v>125</v>
      </c>
    </row>
    <row r="4191" spans="1:6">
      <c r="A4191" s="272">
        <v>46010</v>
      </c>
      <c r="B4191" s="139" t="s">
        <v>808</v>
      </c>
      <c r="C4191" s="106" t="s">
        <v>49</v>
      </c>
      <c r="D4191" s="106">
        <v>2</v>
      </c>
      <c r="E4191" s="94" t="s">
        <v>125</v>
      </c>
    </row>
    <row r="4192" spans="1:6">
      <c r="A4192" s="272">
        <v>46010</v>
      </c>
      <c r="B4192" s="139" t="s">
        <v>808</v>
      </c>
      <c r="C4192" s="106" t="s">
        <v>49</v>
      </c>
      <c r="D4192" s="106">
        <v>2</v>
      </c>
      <c r="E4192" s="94" t="s">
        <v>125</v>
      </c>
    </row>
    <row r="4193" spans="1:5">
      <c r="A4193" s="272">
        <v>46010</v>
      </c>
      <c r="B4193" s="139" t="s">
        <v>808</v>
      </c>
      <c r="C4193" s="106" t="s">
        <v>49</v>
      </c>
      <c r="D4193" s="106">
        <v>4</v>
      </c>
      <c r="E4193" s="94" t="s">
        <v>125</v>
      </c>
    </row>
    <row r="4194" spans="1:5">
      <c r="A4194" s="272">
        <v>46010</v>
      </c>
      <c r="B4194" s="139" t="s">
        <v>807</v>
      </c>
      <c r="C4194" s="106" t="s">
        <v>49</v>
      </c>
      <c r="D4194" s="106">
        <v>4</v>
      </c>
      <c r="E4194" s="94" t="s">
        <v>125</v>
      </c>
    </row>
    <row r="4195" spans="1:5">
      <c r="A4195" s="272">
        <v>46010</v>
      </c>
      <c r="B4195" s="139" t="s">
        <v>808</v>
      </c>
      <c r="C4195" s="106" t="s">
        <v>49</v>
      </c>
      <c r="D4195" s="106">
        <v>4</v>
      </c>
      <c r="E4195" s="94" t="s">
        <v>125</v>
      </c>
    </row>
    <row r="4196" spans="1:5">
      <c r="A4196" s="272">
        <v>46010</v>
      </c>
      <c r="B4196" s="139" t="s">
        <v>807</v>
      </c>
      <c r="C4196" s="106" t="s">
        <v>49</v>
      </c>
      <c r="D4196" s="106">
        <v>4</v>
      </c>
      <c r="E4196" s="94" t="s">
        <v>125</v>
      </c>
    </row>
    <row r="4197" spans="1:5">
      <c r="A4197" s="272">
        <v>46010</v>
      </c>
      <c r="B4197" s="139" t="s">
        <v>808</v>
      </c>
      <c r="C4197" s="106" t="s">
        <v>49</v>
      </c>
      <c r="D4197" s="106">
        <v>3</v>
      </c>
      <c r="E4197" s="94" t="s">
        <v>125</v>
      </c>
    </row>
    <row r="4198" spans="1:5">
      <c r="A4198" s="272">
        <v>46010</v>
      </c>
      <c r="B4198" s="139" t="s">
        <v>807</v>
      </c>
      <c r="C4198" s="106" t="s">
        <v>49</v>
      </c>
      <c r="D4198" s="106">
        <v>3</v>
      </c>
      <c r="E4198" s="94" t="s">
        <v>125</v>
      </c>
    </row>
    <row r="4199" spans="1:5">
      <c r="A4199" s="272">
        <v>46010</v>
      </c>
      <c r="B4199" s="139" t="s">
        <v>808</v>
      </c>
      <c r="C4199" s="106" t="s">
        <v>49</v>
      </c>
      <c r="D4199" s="106">
        <v>2</v>
      </c>
      <c r="E4199" s="94" t="s">
        <v>125</v>
      </c>
    </row>
    <row r="4200" spans="1:5">
      <c r="A4200" s="272">
        <v>46010</v>
      </c>
      <c r="B4200" s="139" t="s">
        <v>1270</v>
      </c>
      <c r="C4200" s="106" t="s">
        <v>49</v>
      </c>
      <c r="D4200" s="106">
        <v>10</v>
      </c>
      <c r="E4200" s="94" t="s">
        <v>125</v>
      </c>
    </row>
    <row r="4201" spans="1:5">
      <c r="A4201" s="272">
        <v>46010</v>
      </c>
      <c r="B4201" s="139" t="s">
        <v>1617</v>
      </c>
      <c r="C4201" s="106" t="s">
        <v>49</v>
      </c>
      <c r="D4201" s="106">
        <v>10</v>
      </c>
      <c r="E4201" s="94" t="s">
        <v>125</v>
      </c>
    </row>
    <row r="4202" spans="1:5">
      <c r="A4202" s="272">
        <v>46010</v>
      </c>
      <c r="B4202" s="128" t="s">
        <v>642</v>
      </c>
      <c r="C4202" s="106" t="s">
        <v>49</v>
      </c>
      <c r="D4202" s="106">
        <v>20</v>
      </c>
      <c r="E4202" s="94" t="s">
        <v>125</v>
      </c>
    </row>
    <row r="4203" spans="1:5">
      <c r="A4203" s="272">
        <v>46010</v>
      </c>
      <c r="B4203" s="128" t="s">
        <v>672</v>
      </c>
      <c r="C4203" s="106" t="s">
        <v>49</v>
      </c>
      <c r="D4203" s="106">
        <v>3</v>
      </c>
      <c r="E4203" s="94" t="s">
        <v>125</v>
      </c>
    </row>
    <row r="4204" spans="1:5">
      <c r="A4204" s="272">
        <v>46010</v>
      </c>
      <c r="B4204" s="128" t="s">
        <v>789</v>
      </c>
      <c r="C4204" s="106" t="s">
        <v>49</v>
      </c>
      <c r="D4204" s="106">
        <v>2</v>
      </c>
      <c r="E4204" s="94" t="s">
        <v>125</v>
      </c>
    </row>
    <row r="4206" spans="1:5">
      <c r="A4206" s="335">
        <v>46010</v>
      </c>
      <c r="B4206" s="343" t="s">
        <v>839</v>
      </c>
      <c r="C4206" s="345" t="s">
        <v>2231</v>
      </c>
      <c r="D4206" s="345">
        <v>-2</v>
      </c>
      <c r="E4206" s="230" t="s">
        <v>125</v>
      </c>
    </row>
    <row r="4207" spans="1:5">
      <c r="A4207" s="335">
        <v>46010</v>
      </c>
      <c r="B4207" s="343" t="s">
        <v>1312</v>
      </c>
      <c r="C4207" s="43" t="s">
        <v>2232</v>
      </c>
      <c r="D4207" s="43">
        <v>-1</v>
      </c>
      <c r="E4207" s="230" t="s">
        <v>125</v>
      </c>
    </row>
    <row r="4208" spans="1:5">
      <c r="A4208" s="335">
        <v>46010</v>
      </c>
      <c r="B4208" s="343" t="s">
        <v>1907</v>
      </c>
      <c r="C4208" s="43" t="s">
        <v>1594</v>
      </c>
      <c r="D4208" s="43">
        <v>-2</v>
      </c>
      <c r="E4208" s="230" t="s">
        <v>125</v>
      </c>
    </row>
    <row r="4209" spans="1:5">
      <c r="A4209" s="335">
        <v>46010</v>
      </c>
      <c r="B4209" s="343" t="s">
        <v>2142</v>
      </c>
      <c r="C4209" s="43" t="s">
        <v>1594</v>
      </c>
      <c r="D4209" s="43">
        <v>-1</v>
      </c>
      <c r="E4209" s="230" t="s">
        <v>125</v>
      </c>
    </row>
    <row r="4210" spans="1:5">
      <c r="A4210" s="335">
        <v>46010</v>
      </c>
      <c r="B4210" s="343" t="s">
        <v>2140</v>
      </c>
      <c r="C4210" s="43" t="s">
        <v>1594</v>
      </c>
      <c r="D4210" s="43">
        <v>-2</v>
      </c>
      <c r="E4210" s="230" t="s">
        <v>125</v>
      </c>
    </row>
    <row r="4211" spans="1:5">
      <c r="A4211" s="335">
        <v>46010</v>
      </c>
      <c r="B4211" s="343" t="s">
        <v>2152</v>
      </c>
      <c r="C4211" s="43" t="s">
        <v>1594</v>
      </c>
      <c r="D4211" s="43">
        <v>-1</v>
      </c>
      <c r="E4211" s="230" t="s">
        <v>125</v>
      </c>
    </row>
    <row r="4212" spans="1:5">
      <c r="A4212" s="335">
        <v>46010</v>
      </c>
      <c r="B4212" s="93" t="s">
        <v>1095</v>
      </c>
      <c r="C4212" s="43" t="s">
        <v>1594</v>
      </c>
      <c r="D4212" s="43">
        <v>-1</v>
      </c>
      <c r="E4212" s="230" t="s">
        <v>125</v>
      </c>
    </row>
    <row r="4213" spans="1:5">
      <c r="A4213" s="335">
        <v>46010</v>
      </c>
      <c r="B4213" s="343" t="s">
        <v>1259</v>
      </c>
      <c r="C4213" s="43" t="s">
        <v>1594</v>
      </c>
      <c r="D4213" s="43">
        <v>-4</v>
      </c>
      <c r="E4213" s="230" t="s">
        <v>125</v>
      </c>
    </row>
    <row r="4214" spans="1:5">
      <c r="A4214" s="335">
        <v>46010</v>
      </c>
      <c r="B4214" s="343" t="s">
        <v>1312</v>
      </c>
      <c r="C4214" s="43" t="s">
        <v>1594</v>
      </c>
      <c r="D4214" s="43">
        <v>-2</v>
      </c>
      <c r="E4214" s="230" t="s">
        <v>125</v>
      </c>
    </row>
    <row r="4215" spans="1:5">
      <c r="A4215" s="335">
        <v>46010</v>
      </c>
      <c r="B4215" s="343" t="s">
        <v>136</v>
      </c>
      <c r="C4215" s="43" t="s">
        <v>1594</v>
      </c>
      <c r="D4215" s="43">
        <v>-1</v>
      </c>
      <c r="E4215" s="230" t="s">
        <v>125</v>
      </c>
    </row>
    <row r="4216" spans="1:5">
      <c r="A4216" s="335">
        <v>46010</v>
      </c>
      <c r="B4216" s="93" t="s">
        <v>1568</v>
      </c>
      <c r="C4216" s="43" t="s">
        <v>1592</v>
      </c>
      <c r="D4216" s="43">
        <v>-10</v>
      </c>
      <c r="E4216" s="230" t="s">
        <v>125</v>
      </c>
    </row>
    <row r="4217" spans="1:5">
      <c r="A4217" s="335">
        <v>46010</v>
      </c>
      <c r="B4217" s="343" t="s">
        <v>1640</v>
      </c>
      <c r="C4217" s="43" t="s">
        <v>1592</v>
      </c>
      <c r="D4217" s="43">
        <v>-2</v>
      </c>
      <c r="E4217" s="230" t="s">
        <v>125</v>
      </c>
    </row>
    <row r="4218" spans="1:5">
      <c r="A4218" s="335">
        <v>46010</v>
      </c>
      <c r="B4218" s="343" t="s">
        <v>2019</v>
      </c>
      <c r="C4218" s="43" t="s">
        <v>1592</v>
      </c>
      <c r="D4218" s="43">
        <v>-4</v>
      </c>
      <c r="E4218" s="230" t="s">
        <v>125</v>
      </c>
    </row>
    <row r="4219" spans="1:5">
      <c r="A4219" s="335">
        <v>46010</v>
      </c>
      <c r="B4219" s="343" t="s">
        <v>1641</v>
      </c>
      <c r="C4219" s="43" t="s">
        <v>1592</v>
      </c>
      <c r="D4219" s="43">
        <v>-4</v>
      </c>
      <c r="E4219" s="230" t="s">
        <v>125</v>
      </c>
    </row>
    <row r="4220" spans="1:5">
      <c r="A4220" s="335">
        <v>46010</v>
      </c>
      <c r="B4220" s="343" t="s">
        <v>2143</v>
      </c>
      <c r="C4220" s="43" t="s">
        <v>1592</v>
      </c>
      <c r="D4220" s="43">
        <v>-1</v>
      </c>
      <c r="E4220" s="230" t="s">
        <v>125</v>
      </c>
    </row>
    <row r="4221" spans="1:5">
      <c r="A4221" s="335">
        <v>46010</v>
      </c>
      <c r="B4221" s="343" t="s">
        <v>2141</v>
      </c>
      <c r="C4221" s="43" t="s">
        <v>1592</v>
      </c>
      <c r="D4221" s="43">
        <v>-2</v>
      </c>
      <c r="E4221" s="230" t="s">
        <v>125</v>
      </c>
    </row>
    <row r="4223" spans="1:5">
      <c r="A4223" s="434">
        <v>46010</v>
      </c>
      <c r="B4223" s="168" t="s">
        <v>136</v>
      </c>
      <c r="C4223" s="166" t="s">
        <v>2233</v>
      </c>
      <c r="D4223" s="166">
        <v>1</v>
      </c>
      <c r="E4223" s="615" t="s">
        <v>125</v>
      </c>
    </row>
    <row r="4224" spans="1:5">
      <c r="A4224" s="434">
        <v>46010</v>
      </c>
      <c r="B4224" s="168" t="s">
        <v>1259</v>
      </c>
      <c r="C4224" s="166" t="s">
        <v>2233</v>
      </c>
      <c r="D4224" s="166">
        <v>1</v>
      </c>
      <c r="E4224" s="615" t="s">
        <v>125</v>
      </c>
    </row>
    <row r="4226" spans="1:6">
      <c r="A4226" s="346">
        <v>46010</v>
      </c>
      <c r="B4226" s="349" t="s">
        <v>1246</v>
      </c>
      <c r="C4226" s="348" t="s">
        <v>2093</v>
      </c>
      <c r="D4226" s="348">
        <v>3</v>
      </c>
      <c r="E4226" s="360" t="s">
        <v>125</v>
      </c>
      <c r="F4226" t="s">
        <v>2234</v>
      </c>
    </row>
    <row r="4227" spans="1:6">
      <c r="A4227" s="346">
        <v>46010</v>
      </c>
      <c r="B4227" s="349" t="s">
        <v>1246</v>
      </c>
      <c r="C4227" s="348" t="s">
        <v>2093</v>
      </c>
      <c r="D4227" s="348">
        <v>5</v>
      </c>
      <c r="E4227" s="360" t="s">
        <v>125</v>
      </c>
    </row>
    <row r="4228" spans="1:6">
      <c r="A4228" s="346">
        <v>46010</v>
      </c>
      <c r="B4228" s="349" t="s">
        <v>1271</v>
      </c>
      <c r="C4228" s="348" t="s">
        <v>2093</v>
      </c>
      <c r="D4228" s="348">
        <v>3</v>
      </c>
      <c r="E4228" s="360" t="s">
        <v>125</v>
      </c>
    </row>
    <row r="4229" spans="1:6">
      <c r="A4229" s="346">
        <v>46010</v>
      </c>
      <c r="B4229" s="349" t="s">
        <v>1271</v>
      </c>
      <c r="C4229" s="348" t="s">
        <v>2093</v>
      </c>
      <c r="D4229" s="348">
        <v>3</v>
      </c>
      <c r="E4229" s="360" t="s">
        <v>125</v>
      </c>
    </row>
    <row r="4230" spans="1:6">
      <c r="A4230" s="346">
        <v>46010</v>
      </c>
      <c r="B4230" s="349" t="s">
        <v>1327</v>
      </c>
      <c r="C4230" s="348" t="s">
        <v>2093</v>
      </c>
      <c r="D4230" s="348">
        <v>1</v>
      </c>
      <c r="E4230" s="360" t="s">
        <v>125</v>
      </c>
    </row>
    <row r="4231" spans="1:6">
      <c r="A4231" s="346">
        <v>46010</v>
      </c>
      <c r="B4231" s="349" t="s">
        <v>1568</v>
      </c>
      <c r="C4231" s="348" t="s">
        <v>2093</v>
      </c>
      <c r="D4231" s="348">
        <v>1</v>
      </c>
      <c r="E4231" s="360" t="s">
        <v>125</v>
      </c>
    </row>
    <row r="4232" spans="1:6">
      <c r="A4232" s="346">
        <v>46010</v>
      </c>
      <c r="B4232" s="349" t="s">
        <v>1291</v>
      </c>
      <c r="C4232" s="348" t="s">
        <v>2093</v>
      </c>
      <c r="D4232" s="348">
        <v>2</v>
      </c>
      <c r="E4232" s="360" t="s">
        <v>125</v>
      </c>
    </row>
    <row r="4233" spans="1:6">
      <c r="A4233" s="346">
        <v>46010</v>
      </c>
      <c r="B4233" s="351" t="s">
        <v>932</v>
      </c>
      <c r="C4233" s="348" t="s">
        <v>2093</v>
      </c>
      <c r="D4233" s="348">
        <v>5</v>
      </c>
      <c r="E4233" s="360" t="s">
        <v>125</v>
      </c>
    </row>
    <row r="4234" spans="1:6">
      <c r="A4234" s="346">
        <v>46010</v>
      </c>
      <c r="B4234" s="349" t="s">
        <v>935</v>
      </c>
      <c r="C4234" s="348" t="s">
        <v>2093</v>
      </c>
      <c r="D4234" s="348">
        <v>1</v>
      </c>
      <c r="E4234" s="360" t="s">
        <v>125</v>
      </c>
    </row>
    <row r="4236" spans="1:6">
      <c r="A4236" s="437">
        <v>46010</v>
      </c>
      <c r="B4236" s="598" t="s">
        <v>76</v>
      </c>
      <c r="C4236" s="220" t="s">
        <v>2235</v>
      </c>
      <c r="D4236" s="220">
        <v>5</v>
      </c>
      <c r="E4236" s="438" t="s">
        <v>125</v>
      </c>
    </row>
    <row r="4237" spans="1:6">
      <c r="A4237" s="437">
        <v>46010</v>
      </c>
      <c r="B4237" s="223" t="s">
        <v>134</v>
      </c>
      <c r="C4237" s="220" t="s">
        <v>2236</v>
      </c>
      <c r="D4237" s="220">
        <v>1</v>
      </c>
      <c r="E4237" s="438" t="s">
        <v>125</v>
      </c>
    </row>
    <row r="4238" spans="1:6">
      <c r="A4238" s="437">
        <v>46010</v>
      </c>
      <c r="B4238" s="222" t="s">
        <v>167</v>
      </c>
      <c r="C4238" s="220" t="s">
        <v>2236</v>
      </c>
      <c r="D4238" s="220">
        <v>1</v>
      </c>
      <c r="E4238" s="438" t="s">
        <v>125</v>
      </c>
    </row>
    <row r="4240" spans="1:6">
      <c r="A4240" s="335">
        <v>46010</v>
      </c>
      <c r="B4240" s="343" t="s">
        <v>1291</v>
      </c>
      <c r="C4240" s="345" t="s">
        <v>1659</v>
      </c>
      <c r="D4240" s="345">
        <v>-3</v>
      </c>
      <c r="E4240" s="230" t="s">
        <v>125</v>
      </c>
    </row>
    <row r="4241" spans="1:5">
      <c r="A4241" s="335">
        <v>46010</v>
      </c>
      <c r="B4241" s="343" t="s">
        <v>1271</v>
      </c>
      <c r="C4241" s="345" t="s">
        <v>1788</v>
      </c>
      <c r="D4241" s="345">
        <v>-3</v>
      </c>
      <c r="E4241" s="230" t="s">
        <v>125</v>
      </c>
    </row>
    <row r="4242" spans="1:5">
      <c r="A4242" s="335">
        <v>46010</v>
      </c>
      <c r="B4242" s="343" t="s">
        <v>1301</v>
      </c>
      <c r="C4242" s="345" t="s">
        <v>1788</v>
      </c>
      <c r="D4242" s="345">
        <v>-1</v>
      </c>
      <c r="E4242" s="230" t="s">
        <v>125</v>
      </c>
    </row>
    <row r="4244" spans="1:5">
      <c r="A4244" s="434">
        <v>46010</v>
      </c>
      <c r="B4244" s="503" t="s">
        <v>134</v>
      </c>
      <c r="C4244" s="166" t="s">
        <v>2237</v>
      </c>
      <c r="D4244" s="166">
        <v>1</v>
      </c>
      <c r="E4244" s="615" t="s">
        <v>125</v>
      </c>
    </row>
    <row r="4246" spans="1:5">
      <c r="A4246" s="335">
        <v>46010</v>
      </c>
      <c r="B4246" s="342" t="s">
        <v>134</v>
      </c>
      <c r="C4246" s="345" t="s">
        <v>678</v>
      </c>
      <c r="D4246" s="345">
        <v>-1</v>
      </c>
      <c r="E4246" s="230" t="s">
        <v>125</v>
      </c>
    </row>
    <row r="4247" spans="1:5">
      <c r="A4247" s="335">
        <v>46010</v>
      </c>
      <c r="B4247" s="343" t="s">
        <v>1271</v>
      </c>
      <c r="C4247" s="345" t="s">
        <v>678</v>
      </c>
      <c r="D4247" s="345">
        <v>-1</v>
      </c>
      <c r="E4247" s="230" t="s">
        <v>125</v>
      </c>
    </row>
    <row r="4248" spans="1:5">
      <c r="A4248" s="335">
        <v>46010</v>
      </c>
      <c r="B4248" s="343" t="s">
        <v>1271</v>
      </c>
      <c r="C4248" s="345" t="s">
        <v>678</v>
      </c>
      <c r="D4248" s="345">
        <v>-1</v>
      </c>
      <c r="E4248" s="230" t="s">
        <v>125</v>
      </c>
    </row>
    <row r="4249" spans="1:5">
      <c r="A4249" s="335">
        <v>46010</v>
      </c>
      <c r="B4249" s="343" t="s">
        <v>1246</v>
      </c>
      <c r="C4249" s="345" t="s">
        <v>678</v>
      </c>
      <c r="D4249" s="43">
        <v>-1</v>
      </c>
      <c r="E4249" s="230" t="s">
        <v>125</v>
      </c>
    </row>
    <row r="4251" spans="1:5">
      <c r="A4251" s="265">
        <v>46011</v>
      </c>
      <c r="B4251" s="84" t="s">
        <v>881</v>
      </c>
      <c r="C4251" s="43" t="s">
        <v>1598</v>
      </c>
      <c r="D4251" s="43">
        <v>-3</v>
      </c>
      <c r="E4251" s="230" t="s">
        <v>125</v>
      </c>
    </row>
    <row r="4252" spans="1:5">
      <c r="A4252" s="265">
        <v>46011</v>
      </c>
      <c r="B4252" s="344" t="s">
        <v>1149</v>
      </c>
      <c r="C4252" s="43" t="s">
        <v>2238</v>
      </c>
      <c r="D4252" s="43">
        <v>-2</v>
      </c>
      <c r="E4252" s="230" t="s">
        <v>125</v>
      </c>
    </row>
    <row r="4253" spans="1:5">
      <c r="A4253" s="265">
        <v>46011</v>
      </c>
      <c r="B4253" s="93" t="s">
        <v>975</v>
      </c>
      <c r="C4253" s="43" t="s">
        <v>2090</v>
      </c>
      <c r="D4253" s="43">
        <v>-1</v>
      </c>
      <c r="E4253" s="230" t="s">
        <v>125</v>
      </c>
    </row>
    <row r="4254" spans="1:5">
      <c r="A4254" s="265">
        <v>46011</v>
      </c>
      <c r="B4254" s="343" t="s">
        <v>1246</v>
      </c>
      <c r="C4254" s="43" t="s">
        <v>1663</v>
      </c>
      <c r="D4254" s="43">
        <v>-13</v>
      </c>
      <c r="E4254" s="230" t="s">
        <v>125</v>
      </c>
    </row>
    <row r="4255" spans="1:5">
      <c r="A4255" s="265">
        <v>46011</v>
      </c>
      <c r="B4255" s="93" t="s">
        <v>975</v>
      </c>
      <c r="C4255" s="43" t="s">
        <v>2090</v>
      </c>
      <c r="D4255" s="43">
        <v>-1</v>
      </c>
      <c r="E4255" s="230" t="s">
        <v>125</v>
      </c>
    </row>
    <row r="4257" spans="1:6">
      <c r="A4257" s="323">
        <v>46000</v>
      </c>
      <c r="B4257" s="325" t="s">
        <v>167</v>
      </c>
      <c r="C4257" s="322" t="s">
        <v>682</v>
      </c>
      <c r="D4257" s="322">
        <v>1</v>
      </c>
      <c r="E4257" s="321" t="s">
        <v>125</v>
      </c>
      <c r="F4257" t="s">
        <v>2239</v>
      </c>
    </row>
    <row r="4258" spans="1:6">
      <c r="A4258" s="323">
        <v>46000</v>
      </c>
      <c r="B4258" s="325" t="s">
        <v>2195</v>
      </c>
      <c r="C4258" s="322" t="s">
        <v>682</v>
      </c>
      <c r="D4258" s="322">
        <v>1</v>
      </c>
      <c r="E4258" s="321" t="s">
        <v>125</v>
      </c>
    </row>
    <row r="4259" spans="1:6">
      <c r="A4259" s="323">
        <v>46000</v>
      </c>
      <c r="B4259" s="325" t="s">
        <v>1096</v>
      </c>
      <c r="C4259" s="322" t="s">
        <v>682</v>
      </c>
      <c r="D4259" s="322">
        <v>1</v>
      </c>
      <c r="E4259" s="321" t="s">
        <v>125</v>
      </c>
    </row>
    <row r="4260" spans="1:6">
      <c r="A4260" s="323">
        <v>46000</v>
      </c>
      <c r="B4260" s="325" t="s">
        <v>1569</v>
      </c>
      <c r="C4260" s="322" t="s">
        <v>682</v>
      </c>
      <c r="D4260" s="322">
        <v>1</v>
      </c>
      <c r="E4260" s="321" t="s">
        <v>125</v>
      </c>
    </row>
    <row r="4261" spans="1:6">
      <c r="A4261" s="323">
        <v>46000</v>
      </c>
      <c r="B4261" s="325" t="s">
        <v>973</v>
      </c>
      <c r="C4261" s="322" t="s">
        <v>682</v>
      </c>
      <c r="D4261" s="322">
        <v>1</v>
      </c>
      <c r="E4261" s="321" t="s">
        <v>125</v>
      </c>
    </row>
    <row r="4262" spans="1:6">
      <c r="A4262" s="323">
        <v>46000</v>
      </c>
      <c r="B4262" s="325" t="s">
        <v>1694</v>
      </c>
      <c r="C4262" s="322" t="s">
        <v>682</v>
      </c>
      <c r="D4262" s="322">
        <v>1</v>
      </c>
      <c r="E4262" s="321" t="s">
        <v>125</v>
      </c>
    </row>
    <row r="4264" spans="1:6">
      <c r="A4264" s="265">
        <v>46011</v>
      </c>
      <c r="B4264" s="343" t="s">
        <v>1246</v>
      </c>
      <c r="C4264" s="43" t="s">
        <v>2240</v>
      </c>
      <c r="D4264" s="43">
        <v>-1</v>
      </c>
      <c r="E4264" s="230" t="s">
        <v>125</v>
      </c>
    </row>
    <row r="4266" spans="1:6">
      <c r="A4266" s="272">
        <v>46013</v>
      </c>
      <c r="B4266" s="139" t="s">
        <v>1617</v>
      </c>
      <c r="C4266" s="106" t="s">
        <v>49</v>
      </c>
      <c r="D4266" s="106">
        <v>1</v>
      </c>
      <c r="E4266" s="94" t="s">
        <v>125</v>
      </c>
    </row>
    <row r="4267" spans="1:6">
      <c r="A4267" s="272">
        <v>46013</v>
      </c>
      <c r="B4267" s="128" t="s">
        <v>76</v>
      </c>
      <c r="C4267" s="106" t="s">
        <v>49</v>
      </c>
      <c r="D4267" s="106">
        <v>4</v>
      </c>
      <c r="E4267" s="94" t="s">
        <v>125</v>
      </c>
    </row>
    <row r="4268" spans="1:6">
      <c r="A4268" s="272">
        <v>46013</v>
      </c>
      <c r="B4268" s="139" t="s">
        <v>808</v>
      </c>
      <c r="C4268" s="106" t="s">
        <v>49</v>
      </c>
      <c r="D4268" s="106">
        <v>5</v>
      </c>
      <c r="E4268" s="94" t="s">
        <v>125</v>
      </c>
    </row>
    <row r="4269" spans="1:6">
      <c r="A4269" s="272">
        <v>46013</v>
      </c>
      <c r="B4269" s="139" t="s">
        <v>865</v>
      </c>
      <c r="C4269" s="106" t="s">
        <v>49</v>
      </c>
      <c r="D4269" s="106">
        <v>1</v>
      </c>
      <c r="E4269" s="94" t="s">
        <v>125</v>
      </c>
    </row>
    <row r="4270" spans="1:6">
      <c r="A4270" s="272">
        <v>46013</v>
      </c>
      <c r="B4270" s="139" t="s">
        <v>808</v>
      </c>
      <c r="C4270" s="106" t="s">
        <v>49</v>
      </c>
      <c r="D4270" s="106">
        <v>2</v>
      </c>
      <c r="E4270" s="94" t="s">
        <v>125</v>
      </c>
    </row>
    <row r="4271" spans="1:6">
      <c r="A4271" s="272">
        <v>46013</v>
      </c>
      <c r="B4271" s="139" t="s">
        <v>807</v>
      </c>
      <c r="C4271" s="106" t="s">
        <v>49</v>
      </c>
      <c r="D4271" s="106">
        <v>2</v>
      </c>
      <c r="E4271" s="94" t="s">
        <v>125</v>
      </c>
    </row>
    <row r="4272" spans="1:6">
      <c r="A4272" s="272">
        <v>46013</v>
      </c>
      <c r="B4272" s="139" t="s">
        <v>808</v>
      </c>
      <c r="C4272" s="106" t="s">
        <v>49</v>
      </c>
      <c r="D4272" s="106">
        <v>2</v>
      </c>
      <c r="E4272" s="94" t="s">
        <v>125</v>
      </c>
    </row>
    <row r="4273" spans="1:5">
      <c r="A4273" s="272">
        <v>46013</v>
      </c>
      <c r="B4273" s="139" t="s">
        <v>808</v>
      </c>
      <c r="C4273" s="106" t="s">
        <v>49</v>
      </c>
      <c r="D4273" s="106">
        <v>2</v>
      </c>
      <c r="E4273" s="94" t="s">
        <v>125</v>
      </c>
    </row>
    <row r="4274" spans="1:5">
      <c r="A4274" s="272">
        <v>46013</v>
      </c>
      <c r="B4274" s="139" t="s">
        <v>865</v>
      </c>
      <c r="C4274" s="106" t="s">
        <v>49</v>
      </c>
      <c r="D4274" s="106">
        <v>3</v>
      </c>
      <c r="E4274" s="94" t="s">
        <v>125</v>
      </c>
    </row>
    <row r="4275" spans="1:5">
      <c r="A4275" s="272">
        <v>46013</v>
      </c>
      <c r="B4275" s="139" t="s">
        <v>808</v>
      </c>
      <c r="C4275" s="106" t="s">
        <v>49</v>
      </c>
      <c r="D4275" s="106">
        <v>2</v>
      </c>
      <c r="E4275" s="94" t="s">
        <v>125</v>
      </c>
    </row>
    <row r="4276" spans="1:5">
      <c r="A4276" s="272">
        <v>46013</v>
      </c>
      <c r="B4276" s="139" t="s">
        <v>865</v>
      </c>
      <c r="C4276" s="106" t="s">
        <v>49</v>
      </c>
      <c r="D4276" s="106">
        <v>3</v>
      </c>
      <c r="E4276" s="94" t="s">
        <v>125</v>
      </c>
    </row>
    <row r="4277" spans="1:5">
      <c r="A4277" s="272">
        <v>46013</v>
      </c>
      <c r="B4277" s="139" t="s">
        <v>808</v>
      </c>
      <c r="C4277" s="106" t="s">
        <v>49</v>
      </c>
      <c r="D4277" s="106">
        <v>3</v>
      </c>
      <c r="E4277" s="94" t="s">
        <v>125</v>
      </c>
    </row>
    <row r="4278" spans="1:5">
      <c r="A4278" s="272">
        <v>46013</v>
      </c>
      <c r="B4278" s="139" t="s">
        <v>807</v>
      </c>
      <c r="C4278" s="106" t="s">
        <v>49</v>
      </c>
      <c r="D4278" s="106">
        <v>9</v>
      </c>
      <c r="E4278" s="94" t="s">
        <v>125</v>
      </c>
    </row>
    <row r="4279" spans="1:5">
      <c r="A4279" s="272">
        <v>46013</v>
      </c>
      <c r="B4279" s="139" t="s">
        <v>865</v>
      </c>
      <c r="C4279" s="106" t="s">
        <v>49</v>
      </c>
      <c r="D4279" s="106">
        <v>4</v>
      </c>
      <c r="E4279" s="94" t="s">
        <v>125</v>
      </c>
    </row>
    <row r="4280" spans="1:5">
      <c r="A4280" s="272">
        <v>46013</v>
      </c>
      <c r="B4280" s="139" t="s">
        <v>808</v>
      </c>
      <c r="C4280" s="106" t="s">
        <v>49</v>
      </c>
      <c r="D4280" s="106">
        <v>2</v>
      </c>
      <c r="E4280" s="94" t="s">
        <v>125</v>
      </c>
    </row>
    <row r="4281" spans="1:5">
      <c r="A4281" s="272">
        <v>46013</v>
      </c>
      <c r="B4281" s="139" t="s">
        <v>808</v>
      </c>
      <c r="C4281" s="106" t="s">
        <v>49</v>
      </c>
      <c r="D4281" s="106">
        <v>2</v>
      </c>
      <c r="E4281" s="94" t="s">
        <v>125</v>
      </c>
    </row>
    <row r="4282" spans="1:5">
      <c r="A4282" s="272">
        <v>46013</v>
      </c>
      <c r="B4282" s="139" t="s">
        <v>1575</v>
      </c>
      <c r="C4282" s="106" t="s">
        <v>49</v>
      </c>
      <c r="D4282" s="106">
        <v>2</v>
      </c>
      <c r="E4282" s="94" t="s">
        <v>125</v>
      </c>
    </row>
    <row r="4283" spans="1:5">
      <c r="A4283" s="272">
        <v>46013</v>
      </c>
      <c r="B4283" s="139" t="s">
        <v>865</v>
      </c>
      <c r="C4283" s="106" t="s">
        <v>49</v>
      </c>
      <c r="D4283" s="106">
        <v>7</v>
      </c>
      <c r="E4283" s="94" t="s">
        <v>125</v>
      </c>
    </row>
    <row r="4284" spans="1:5">
      <c r="A4284" s="272">
        <v>46013</v>
      </c>
      <c r="B4284" s="139" t="s">
        <v>808</v>
      </c>
      <c r="C4284" s="106" t="s">
        <v>49</v>
      </c>
      <c r="D4284" s="106">
        <v>10</v>
      </c>
      <c r="E4284" s="94" t="s">
        <v>125</v>
      </c>
    </row>
    <row r="4285" spans="1:5">
      <c r="A4285" s="272">
        <v>46013</v>
      </c>
      <c r="B4285" s="139" t="s">
        <v>807</v>
      </c>
      <c r="C4285" s="106" t="s">
        <v>49</v>
      </c>
      <c r="D4285" s="106">
        <v>5</v>
      </c>
      <c r="E4285" s="94" t="s">
        <v>125</v>
      </c>
    </row>
    <row r="4286" spans="1:5">
      <c r="A4286" s="272">
        <v>46013</v>
      </c>
      <c r="B4286" s="139" t="s">
        <v>2275</v>
      </c>
      <c r="C4286" s="106" t="s">
        <v>49</v>
      </c>
      <c r="D4286" s="106">
        <v>2</v>
      </c>
      <c r="E4286" s="94" t="s">
        <v>125</v>
      </c>
    </row>
    <row r="4287" spans="1:5">
      <c r="A4287" s="272">
        <v>46013</v>
      </c>
      <c r="B4287" s="139" t="s">
        <v>808</v>
      </c>
      <c r="C4287" s="106" t="s">
        <v>49</v>
      </c>
      <c r="D4287" s="106">
        <v>4</v>
      </c>
      <c r="E4287" s="94" t="s">
        <v>125</v>
      </c>
    </row>
    <row r="4288" spans="1:5">
      <c r="A4288" s="272">
        <v>46013</v>
      </c>
      <c r="B4288" s="128" t="s">
        <v>76</v>
      </c>
      <c r="C4288" s="106" t="s">
        <v>49</v>
      </c>
      <c r="D4288" s="106">
        <v>22</v>
      </c>
      <c r="E4288" s="94" t="s">
        <v>125</v>
      </c>
    </row>
    <row r="4289" spans="1:5">
      <c r="A4289" s="272">
        <v>46013</v>
      </c>
      <c r="B4289" s="139" t="s">
        <v>807</v>
      </c>
      <c r="C4289" s="106" t="s">
        <v>49</v>
      </c>
      <c r="D4289" s="106">
        <v>3</v>
      </c>
      <c r="E4289" s="94" t="s">
        <v>125</v>
      </c>
    </row>
    <row r="4290" spans="1:5">
      <c r="A4290" s="272">
        <v>46013</v>
      </c>
      <c r="B4290" s="139" t="s">
        <v>808</v>
      </c>
      <c r="C4290" s="106" t="s">
        <v>49</v>
      </c>
      <c r="D4290" s="106">
        <v>2</v>
      </c>
      <c r="E4290" s="94" t="s">
        <v>125</v>
      </c>
    </row>
    <row r="4292" spans="1:5">
      <c r="A4292" s="272">
        <v>46013</v>
      </c>
      <c r="B4292" s="139" t="s">
        <v>807</v>
      </c>
      <c r="C4292" s="106" t="s">
        <v>49</v>
      </c>
      <c r="D4292" s="106">
        <v>3</v>
      </c>
      <c r="E4292" s="94" t="s">
        <v>125</v>
      </c>
    </row>
    <row r="4293" spans="1:5">
      <c r="A4293" s="272">
        <v>46013</v>
      </c>
      <c r="B4293" s="139" t="s">
        <v>808</v>
      </c>
      <c r="C4293" s="106" t="s">
        <v>49</v>
      </c>
      <c r="D4293" s="106">
        <v>2</v>
      </c>
      <c r="E4293" s="94" t="s">
        <v>125</v>
      </c>
    </row>
    <row r="4294" spans="1:5">
      <c r="A4294" s="272">
        <v>46013</v>
      </c>
      <c r="B4294" s="139" t="s">
        <v>808</v>
      </c>
      <c r="C4294" s="106" t="s">
        <v>49</v>
      </c>
      <c r="D4294" s="106">
        <v>2</v>
      </c>
      <c r="E4294" s="94" t="s">
        <v>125</v>
      </c>
    </row>
    <row r="4295" spans="1:5">
      <c r="A4295" s="272">
        <v>46013</v>
      </c>
      <c r="B4295" s="139" t="s">
        <v>808</v>
      </c>
      <c r="C4295" s="106" t="s">
        <v>49</v>
      </c>
      <c r="D4295" s="106">
        <v>2</v>
      </c>
      <c r="E4295" s="94" t="s">
        <v>125</v>
      </c>
    </row>
    <row r="4296" spans="1:5">
      <c r="A4296" s="272">
        <v>46013</v>
      </c>
      <c r="B4296" s="139" t="s">
        <v>808</v>
      </c>
      <c r="C4296" s="106" t="s">
        <v>49</v>
      </c>
      <c r="D4296" s="106">
        <v>2</v>
      </c>
      <c r="E4296" s="94" t="s">
        <v>125</v>
      </c>
    </row>
    <row r="4297" spans="1:5">
      <c r="A4297" s="272">
        <v>46013</v>
      </c>
      <c r="B4297" s="139" t="s">
        <v>808</v>
      </c>
      <c r="C4297" s="106" t="s">
        <v>49</v>
      </c>
      <c r="D4297" s="106">
        <v>2</v>
      </c>
      <c r="E4297" s="94" t="s">
        <v>125</v>
      </c>
    </row>
    <row r="4298" spans="1:5">
      <c r="A4298" s="272">
        <v>46013</v>
      </c>
      <c r="B4298" s="139" t="s">
        <v>808</v>
      </c>
      <c r="C4298" s="106" t="s">
        <v>49</v>
      </c>
      <c r="D4298" s="106">
        <v>2</v>
      </c>
      <c r="E4298" s="94" t="s">
        <v>125</v>
      </c>
    </row>
    <row r="4299" spans="1:5">
      <c r="A4299" s="272">
        <v>46013</v>
      </c>
      <c r="B4299" s="139" t="s">
        <v>807</v>
      </c>
      <c r="C4299" s="106" t="s">
        <v>49</v>
      </c>
      <c r="D4299" s="106">
        <v>2</v>
      </c>
      <c r="E4299" s="94" t="s">
        <v>125</v>
      </c>
    </row>
    <row r="4300" spans="1:5">
      <c r="A4300" s="272">
        <v>46013</v>
      </c>
      <c r="B4300" s="139" t="s">
        <v>808</v>
      </c>
      <c r="C4300" s="106" t="s">
        <v>49</v>
      </c>
      <c r="D4300" s="106">
        <v>2</v>
      </c>
      <c r="E4300" s="94" t="s">
        <v>125</v>
      </c>
    </row>
    <row r="4301" spans="1:5">
      <c r="A4301" s="272">
        <v>46013</v>
      </c>
      <c r="B4301" s="139" t="s">
        <v>808</v>
      </c>
      <c r="C4301" s="106" t="s">
        <v>49</v>
      </c>
      <c r="D4301" s="106">
        <v>2</v>
      </c>
      <c r="E4301" s="94" t="s">
        <v>125</v>
      </c>
    </row>
    <row r="4302" spans="1:5">
      <c r="A4302" s="272">
        <v>46013</v>
      </c>
      <c r="B4302" s="139" t="s">
        <v>808</v>
      </c>
      <c r="C4302" s="106" t="s">
        <v>49</v>
      </c>
      <c r="D4302" s="106">
        <v>2</v>
      </c>
      <c r="E4302" s="94" t="s">
        <v>125</v>
      </c>
    </row>
    <row r="4303" spans="1:5">
      <c r="A4303" s="272">
        <v>46013</v>
      </c>
      <c r="B4303" s="139" t="s">
        <v>808</v>
      </c>
      <c r="C4303" s="106" t="s">
        <v>49</v>
      </c>
      <c r="D4303" s="106">
        <v>2</v>
      </c>
      <c r="E4303" s="94" t="s">
        <v>125</v>
      </c>
    </row>
    <row r="4304" spans="1:5">
      <c r="A4304" s="272">
        <v>46013</v>
      </c>
      <c r="B4304" s="139" t="s">
        <v>808</v>
      </c>
      <c r="C4304" s="106" t="s">
        <v>49</v>
      </c>
      <c r="D4304" s="106">
        <v>2</v>
      </c>
      <c r="E4304" s="94" t="s">
        <v>125</v>
      </c>
    </row>
    <row r="4305" spans="1:5">
      <c r="A4305" s="272">
        <v>46013</v>
      </c>
      <c r="B4305" s="139" t="s">
        <v>808</v>
      </c>
      <c r="C4305" s="106" t="s">
        <v>49</v>
      </c>
      <c r="D4305" s="106">
        <v>2</v>
      </c>
      <c r="E4305" s="94" t="s">
        <v>125</v>
      </c>
    </row>
    <row r="4306" spans="1:5">
      <c r="A4306" s="272">
        <v>46013</v>
      </c>
      <c r="B4306" s="139" t="s">
        <v>808</v>
      </c>
      <c r="C4306" s="106" t="s">
        <v>49</v>
      </c>
      <c r="D4306" s="106">
        <v>2</v>
      </c>
      <c r="E4306" s="94" t="s">
        <v>125</v>
      </c>
    </row>
    <row r="4307" spans="1:5">
      <c r="A4307" s="272">
        <v>46013</v>
      </c>
      <c r="B4307" s="139" t="s">
        <v>807</v>
      </c>
      <c r="C4307" s="106" t="s">
        <v>49</v>
      </c>
      <c r="D4307" s="106">
        <v>2</v>
      </c>
      <c r="E4307" s="94" t="s">
        <v>125</v>
      </c>
    </row>
    <row r="4308" spans="1:5">
      <c r="A4308" s="272">
        <v>46013</v>
      </c>
      <c r="B4308" s="139" t="s">
        <v>2275</v>
      </c>
      <c r="C4308" s="106" t="s">
        <v>49</v>
      </c>
      <c r="D4308" s="106">
        <v>2</v>
      </c>
      <c r="E4308" s="94" t="s">
        <v>125</v>
      </c>
    </row>
    <row r="4309" spans="1:5">
      <c r="A4309" s="272">
        <v>46013</v>
      </c>
      <c r="B4309" s="139" t="s">
        <v>807</v>
      </c>
      <c r="C4309" s="106" t="s">
        <v>49</v>
      </c>
      <c r="D4309" s="106">
        <v>4</v>
      </c>
      <c r="E4309" s="94" t="s">
        <v>125</v>
      </c>
    </row>
    <row r="4310" spans="1:5">
      <c r="A4310" s="272">
        <v>46013</v>
      </c>
      <c r="B4310" s="139" t="s">
        <v>808</v>
      </c>
      <c r="C4310" s="106" t="s">
        <v>49</v>
      </c>
      <c r="D4310" s="106">
        <v>2</v>
      </c>
      <c r="E4310" s="94" t="s">
        <v>125</v>
      </c>
    </row>
    <row r="4311" spans="1:5">
      <c r="A4311" s="272">
        <v>46013</v>
      </c>
      <c r="B4311" s="139" t="s">
        <v>808</v>
      </c>
      <c r="C4311" s="106" t="s">
        <v>49</v>
      </c>
      <c r="D4311" s="106">
        <v>3</v>
      </c>
      <c r="E4311" s="94" t="s">
        <v>125</v>
      </c>
    </row>
    <row r="4312" spans="1:5">
      <c r="A4312" s="272">
        <v>46013</v>
      </c>
      <c r="B4312" s="139" t="s">
        <v>807</v>
      </c>
      <c r="C4312" s="106" t="s">
        <v>49</v>
      </c>
      <c r="D4312" s="106">
        <v>2</v>
      </c>
      <c r="E4312" s="94" t="s">
        <v>125</v>
      </c>
    </row>
    <row r="4313" spans="1:5">
      <c r="A4313" s="272">
        <v>46013</v>
      </c>
      <c r="B4313" s="139" t="s">
        <v>808</v>
      </c>
      <c r="C4313" s="106" t="s">
        <v>49</v>
      </c>
      <c r="D4313" s="106">
        <v>2</v>
      </c>
      <c r="E4313" s="94" t="s">
        <v>125</v>
      </c>
    </row>
    <row r="4314" spans="1:5">
      <c r="A4314" s="272">
        <v>46013</v>
      </c>
      <c r="B4314" s="139" t="s">
        <v>808</v>
      </c>
      <c r="C4314" s="106" t="s">
        <v>49</v>
      </c>
      <c r="D4314" s="106">
        <v>1</v>
      </c>
      <c r="E4314" s="94" t="s">
        <v>125</v>
      </c>
    </row>
    <row r="4316" spans="1:5">
      <c r="A4316" s="272">
        <v>46013</v>
      </c>
      <c r="B4316" s="139" t="s">
        <v>808</v>
      </c>
      <c r="C4316" s="106" t="s">
        <v>49</v>
      </c>
      <c r="D4316" s="106">
        <v>2</v>
      </c>
      <c r="E4316" s="94" t="s">
        <v>125</v>
      </c>
    </row>
    <row r="4317" spans="1:5">
      <c r="A4317" s="272">
        <v>46013</v>
      </c>
      <c r="B4317" s="139" t="s">
        <v>808</v>
      </c>
      <c r="C4317" s="106" t="s">
        <v>49</v>
      </c>
      <c r="D4317" s="106">
        <v>2</v>
      </c>
      <c r="E4317" s="94" t="s">
        <v>125</v>
      </c>
    </row>
    <row r="4318" spans="1:5">
      <c r="A4318" s="272">
        <v>46013</v>
      </c>
      <c r="B4318" s="139" t="s">
        <v>808</v>
      </c>
      <c r="C4318" s="106" t="s">
        <v>49</v>
      </c>
      <c r="D4318" s="106">
        <v>2</v>
      </c>
      <c r="E4318" s="94" t="s">
        <v>125</v>
      </c>
    </row>
    <row r="4319" spans="1:5">
      <c r="A4319" s="272">
        <v>46013</v>
      </c>
      <c r="B4319" s="139" t="s">
        <v>808</v>
      </c>
      <c r="C4319" s="106" t="s">
        <v>49</v>
      </c>
      <c r="D4319" s="106">
        <v>2</v>
      </c>
      <c r="E4319" s="94" t="s">
        <v>125</v>
      </c>
    </row>
    <row r="4320" spans="1:5">
      <c r="A4320" s="272">
        <v>46013</v>
      </c>
      <c r="B4320" s="139" t="s">
        <v>808</v>
      </c>
      <c r="C4320" s="106" t="s">
        <v>49</v>
      </c>
      <c r="D4320" s="106">
        <v>2</v>
      </c>
      <c r="E4320" s="94" t="s">
        <v>125</v>
      </c>
    </row>
    <row r="4321" spans="1:5">
      <c r="A4321" s="272">
        <v>46013</v>
      </c>
      <c r="B4321" s="139" t="s">
        <v>808</v>
      </c>
      <c r="C4321" s="106" t="s">
        <v>49</v>
      </c>
      <c r="D4321" s="106">
        <v>2</v>
      </c>
      <c r="E4321" s="94" t="s">
        <v>125</v>
      </c>
    </row>
    <row r="4322" spans="1:5">
      <c r="A4322" s="272">
        <v>46013</v>
      </c>
      <c r="B4322" s="139" t="s">
        <v>807</v>
      </c>
      <c r="C4322" s="106" t="s">
        <v>49</v>
      </c>
      <c r="D4322" s="106">
        <v>2</v>
      </c>
      <c r="E4322" s="94" t="s">
        <v>125</v>
      </c>
    </row>
    <row r="4323" spans="1:5">
      <c r="A4323" s="272">
        <v>46013</v>
      </c>
      <c r="B4323" s="139" t="s">
        <v>807</v>
      </c>
      <c r="C4323" s="106" t="s">
        <v>49</v>
      </c>
      <c r="D4323" s="106">
        <v>2</v>
      </c>
      <c r="E4323" s="94" t="s">
        <v>125</v>
      </c>
    </row>
    <row r="4324" spans="1:5">
      <c r="A4324" s="272">
        <v>46013</v>
      </c>
      <c r="B4324" s="139" t="s">
        <v>808</v>
      </c>
      <c r="C4324" s="106" t="s">
        <v>49</v>
      </c>
      <c r="D4324" s="106">
        <v>2</v>
      </c>
      <c r="E4324" s="94" t="s">
        <v>125</v>
      </c>
    </row>
    <row r="4325" spans="1:5">
      <c r="A4325" s="272">
        <v>46013</v>
      </c>
      <c r="B4325" s="139" t="s">
        <v>808</v>
      </c>
      <c r="C4325" s="106" t="s">
        <v>49</v>
      </c>
      <c r="D4325" s="106">
        <v>2</v>
      </c>
      <c r="E4325" s="94" t="s">
        <v>125</v>
      </c>
    </row>
    <row r="4327" spans="1:5">
      <c r="A4327" s="330">
        <v>46013</v>
      </c>
      <c r="B4327" s="329" t="s">
        <v>839</v>
      </c>
      <c r="C4327" s="328" t="s">
        <v>49</v>
      </c>
      <c r="D4327" s="328">
        <v>5</v>
      </c>
      <c r="E4327" s="331" t="s">
        <v>125</v>
      </c>
    </row>
    <row r="4329" spans="1:5">
      <c r="A4329" s="335">
        <v>46013</v>
      </c>
      <c r="B4329" s="342" t="s">
        <v>881</v>
      </c>
      <c r="C4329" s="345" t="s">
        <v>1615</v>
      </c>
      <c r="D4329" s="345">
        <v>-4</v>
      </c>
      <c r="E4329" s="230" t="s">
        <v>125</v>
      </c>
    </row>
    <row r="4330" spans="1:5">
      <c r="A4330" s="335">
        <v>46013</v>
      </c>
      <c r="B4330" s="92" t="s">
        <v>672</v>
      </c>
      <c r="C4330" s="345" t="s">
        <v>1615</v>
      </c>
      <c r="D4330" s="43">
        <v>-3</v>
      </c>
      <c r="E4330" s="230" t="s">
        <v>125</v>
      </c>
    </row>
    <row r="4331" spans="1:5">
      <c r="A4331" s="335">
        <v>46013</v>
      </c>
      <c r="B4331" s="343" t="s">
        <v>1246</v>
      </c>
      <c r="C4331" s="43" t="s">
        <v>1659</v>
      </c>
      <c r="D4331" s="43">
        <v>-2</v>
      </c>
      <c r="E4331" s="230" t="s">
        <v>125</v>
      </c>
    </row>
    <row r="4333" spans="1:5">
      <c r="A4333" s="265">
        <v>46014</v>
      </c>
      <c r="B4333" s="343" t="s">
        <v>1246</v>
      </c>
      <c r="C4333" s="43" t="s">
        <v>678</v>
      </c>
      <c r="D4333" s="43">
        <v>-1</v>
      </c>
      <c r="E4333" s="230" t="s">
        <v>125</v>
      </c>
    </row>
    <row r="4334" spans="1:5">
      <c r="A4334" s="265">
        <v>46014</v>
      </c>
      <c r="B4334" s="147" t="s">
        <v>928</v>
      </c>
      <c r="C4334" s="43" t="s">
        <v>678</v>
      </c>
      <c r="D4334" s="43">
        <v>-1</v>
      </c>
      <c r="E4334" s="230" t="s">
        <v>125</v>
      </c>
    </row>
    <row r="4335" spans="1:5">
      <c r="A4335" s="265">
        <v>46014</v>
      </c>
      <c r="B4335" s="84" t="s">
        <v>134</v>
      </c>
      <c r="C4335" s="43" t="s">
        <v>678</v>
      </c>
      <c r="D4335" s="43">
        <v>-1</v>
      </c>
      <c r="E4335" s="230" t="s">
        <v>125</v>
      </c>
    </row>
    <row r="4336" spans="1:5">
      <c r="A4336" s="265">
        <v>46014</v>
      </c>
      <c r="B4336" s="343" t="s">
        <v>1271</v>
      </c>
      <c r="C4336" s="43" t="s">
        <v>678</v>
      </c>
      <c r="D4336" s="43">
        <v>-1</v>
      </c>
      <c r="E4336" s="230" t="s">
        <v>125</v>
      </c>
    </row>
    <row r="4337" spans="1:6">
      <c r="A4337" s="265">
        <v>46014</v>
      </c>
      <c r="B4337" s="343" t="s">
        <v>1246</v>
      </c>
      <c r="C4337" s="43" t="s">
        <v>678</v>
      </c>
      <c r="D4337" s="43">
        <v>-1</v>
      </c>
      <c r="E4337" s="230" t="s">
        <v>125</v>
      </c>
    </row>
    <row r="4338" spans="1:6">
      <c r="A4338" s="265">
        <v>46014</v>
      </c>
      <c r="B4338" s="343" t="s">
        <v>1296</v>
      </c>
      <c r="C4338" s="43" t="s">
        <v>1659</v>
      </c>
      <c r="D4338" s="43">
        <v>-1</v>
      </c>
      <c r="E4338" s="230" t="s">
        <v>125</v>
      </c>
    </row>
    <row r="4340" spans="1:6">
      <c r="A4340" s="323">
        <v>46014</v>
      </c>
      <c r="B4340" s="325" t="s">
        <v>154</v>
      </c>
      <c r="C4340" s="322" t="s">
        <v>682</v>
      </c>
      <c r="D4340" s="322">
        <v>19</v>
      </c>
      <c r="E4340" s="321" t="s">
        <v>125</v>
      </c>
      <c r="F4340" t="s">
        <v>2322</v>
      </c>
    </row>
    <row r="4341" spans="1:6">
      <c r="A4341" s="323">
        <v>46014</v>
      </c>
      <c r="B4341" s="325" t="s">
        <v>154</v>
      </c>
      <c r="C4341" s="322" t="s">
        <v>682</v>
      </c>
      <c r="D4341" s="322">
        <v>2</v>
      </c>
      <c r="E4341" s="321" t="s">
        <v>125</v>
      </c>
    </row>
    <row r="4342" spans="1:6">
      <c r="A4342" s="323">
        <v>46014</v>
      </c>
      <c r="B4342" s="325" t="s">
        <v>806</v>
      </c>
      <c r="C4342" s="322" t="s">
        <v>682</v>
      </c>
      <c r="D4342" s="322">
        <v>9</v>
      </c>
      <c r="E4342" s="321" t="s">
        <v>125</v>
      </c>
    </row>
    <row r="4343" spans="1:6">
      <c r="A4343" s="323">
        <v>46014</v>
      </c>
      <c r="B4343" s="325" t="s">
        <v>807</v>
      </c>
      <c r="C4343" s="322" t="s">
        <v>682</v>
      </c>
      <c r="D4343" s="322">
        <v>13</v>
      </c>
      <c r="E4343" s="321" t="s">
        <v>125</v>
      </c>
    </row>
    <row r="4344" spans="1:6">
      <c r="A4344" s="323">
        <v>46014</v>
      </c>
      <c r="B4344" s="325" t="s">
        <v>808</v>
      </c>
      <c r="C4344" s="322" t="s">
        <v>682</v>
      </c>
      <c r="D4344" s="322">
        <v>2</v>
      </c>
      <c r="E4344" s="321" t="s">
        <v>125</v>
      </c>
    </row>
    <row r="4345" spans="1:6">
      <c r="A4345" s="323">
        <v>46014</v>
      </c>
      <c r="B4345" s="325" t="s">
        <v>383</v>
      </c>
      <c r="C4345" s="322" t="s">
        <v>682</v>
      </c>
      <c r="D4345" s="322">
        <v>2</v>
      </c>
      <c r="E4345" s="321" t="s">
        <v>125</v>
      </c>
    </row>
    <row r="4346" spans="1:6">
      <c r="A4346" s="323">
        <v>46014</v>
      </c>
      <c r="B4346" s="325" t="s">
        <v>2275</v>
      </c>
      <c r="C4346" s="322" t="s">
        <v>682</v>
      </c>
      <c r="D4346" s="322">
        <v>1</v>
      </c>
      <c r="E4346" s="321" t="s">
        <v>125</v>
      </c>
    </row>
    <row r="4347" spans="1:6">
      <c r="A4347" s="323">
        <v>46014</v>
      </c>
      <c r="B4347" s="325" t="s">
        <v>1334</v>
      </c>
      <c r="C4347" s="322" t="s">
        <v>682</v>
      </c>
      <c r="D4347" s="322">
        <v>6</v>
      </c>
      <c r="E4347" s="321" t="s">
        <v>125</v>
      </c>
    </row>
    <row r="4348" spans="1:6">
      <c r="A4348" s="323">
        <v>46014</v>
      </c>
      <c r="B4348" s="325" t="s">
        <v>1409</v>
      </c>
      <c r="C4348" s="322" t="s">
        <v>682</v>
      </c>
      <c r="D4348" s="322">
        <v>4</v>
      </c>
      <c r="E4348" s="321" t="s">
        <v>125</v>
      </c>
    </row>
    <row r="4349" spans="1:6">
      <c r="A4349" s="323">
        <v>46014</v>
      </c>
      <c r="B4349" s="325" t="s">
        <v>1095</v>
      </c>
      <c r="C4349" s="322" t="s">
        <v>682</v>
      </c>
      <c r="D4349" s="322">
        <v>7</v>
      </c>
      <c r="E4349" s="321" t="s">
        <v>125</v>
      </c>
    </row>
    <row r="4350" spans="1:6">
      <c r="A4350" s="323">
        <v>46014</v>
      </c>
      <c r="B4350" s="325" t="s">
        <v>1095</v>
      </c>
      <c r="C4350" s="322" t="s">
        <v>682</v>
      </c>
      <c r="D4350" s="322">
        <v>4</v>
      </c>
      <c r="E4350" s="321" t="s">
        <v>125</v>
      </c>
    </row>
    <row r="4351" spans="1:6">
      <c r="A4351" s="323">
        <v>46014</v>
      </c>
      <c r="B4351" s="325" t="s">
        <v>1259</v>
      </c>
      <c r="C4351" s="322" t="s">
        <v>682</v>
      </c>
      <c r="D4351" s="322">
        <v>5</v>
      </c>
      <c r="E4351" s="321" t="s">
        <v>125</v>
      </c>
    </row>
    <row r="4352" spans="1:6">
      <c r="A4352" s="323">
        <v>46014</v>
      </c>
      <c r="B4352" s="324" t="s">
        <v>2156</v>
      </c>
      <c r="C4352" s="322" t="s">
        <v>682</v>
      </c>
      <c r="D4352" s="322">
        <v>8</v>
      </c>
      <c r="E4352" s="321" t="s">
        <v>125</v>
      </c>
    </row>
    <row r="4353" spans="1:5">
      <c r="A4353" s="323">
        <v>46014</v>
      </c>
      <c r="B4353" s="425" t="s">
        <v>1147</v>
      </c>
      <c r="C4353" s="322" t="s">
        <v>682</v>
      </c>
      <c r="D4353" s="322">
        <v>3</v>
      </c>
      <c r="E4353" s="321" t="s">
        <v>125</v>
      </c>
    </row>
    <row r="4354" spans="1:5">
      <c r="A4354" s="323">
        <v>46014</v>
      </c>
      <c r="B4354" s="325" t="s">
        <v>1246</v>
      </c>
      <c r="C4354" s="322" t="s">
        <v>682</v>
      </c>
      <c r="D4354" s="322">
        <v>8</v>
      </c>
      <c r="E4354" s="321" t="s">
        <v>125</v>
      </c>
    </row>
    <row r="4355" spans="1:5">
      <c r="A4355" s="323">
        <v>46014</v>
      </c>
      <c r="B4355" s="325" t="s">
        <v>1246</v>
      </c>
      <c r="C4355" s="322" t="s">
        <v>682</v>
      </c>
      <c r="D4355" s="322">
        <v>2</v>
      </c>
      <c r="E4355" s="321" t="s">
        <v>125</v>
      </c>
    </row>
    <row r="4356" spans="1:5">
      <c r="A4356" s="323">
        <v>46014</v>
      </c>
      <c r="B4356" s="324" t="s">
        <v>131</v>
      </c>
      <c r="C4356" s="322" t="s">
        <v>682</v>
      </c>
      <c r="D4356" s="322">
        <v>4</v>
      </c>
      <c r="E4356" s="321" t="s">
        <v>125</v>
      </c>
    </row>
    <row r="4357" spans="1:5">
      <c r="A4357" s="323">
        <v>46014</v>
      </c>
      <c r="B4357" s="425" t="s">
        <v>375</v>
      </c>
      <c r="C4357" s="322" t="s">
        <v>682</v>
      </c>
      <c r="D4357" s="322">
        <v>3</v>
      </c>
      <c r="E4357" s="321" t="s">
        <v>125</v>
      </c>
    </row>
    <row r="4358" spans="1:5">
      <c r="A4358" s="323">
        <v>46014</v>
      </c>
      <c r="B4358" s="425" t="s">
        <v>375</v>
      </c>
      <c r="C4358" s="322" t="s">
        <v>682</v>
      </c>
      <c r="D4358" s="322">
        <v>2</v>
      </c>
      <c r="E4358" s="321" t="s">
        <v>125</v>
      </c>
    </row>
    <row r="4359" spans="1:5">
      <c r="A4359" s="323">
        <v>46014</v>
      </c>
      <c r="B4359" s="324" t="s">
        <v>960</v>
      </c>
      <c r="C4359" s="322" t="s">
        <v>682</v>
      </c>
      <c r="D4359" s="322">
        <v>2</v>
      </c>
      <c r="E4359" s="321" t="s">
        <v>125</v>
      </c>
    </row>
    <row r="4360" spans="1:5">
      <c r="A4360" s="323">
        <v>46014</v>
      </c>
      <c r="B4360" s="325" t="s">
        <v>1246</v>
      </c>
      <c r="C4360" s="322" t="s">
        <v>682</v>
      </c>
      <c r="D4360" s="322">
        <v>16</v>
      </c>
      <c r="E4360" s="321" t="s">
        <v>125</v>
      </c>
    </row>
    <row r="4361" spans="1:5">
      <c r="A4361" s="323">
        <v>46014</v>
      </c>
      <c r="B4361" s="325" t="s">
        <v>1246</v>
      </c>
      <c r="C4361" s="322" t="s">
        <v>682</v>
      </c>
      <c r="D4361" s="322">
        <v>1</v>
      </c>
      <c r="E4361" s="321" t="s">
        <v>125</v>
      </c>
    </row>
    <row r="4362" spans="1:5">
      <c r="A4362" s="323">
        <v>46014</v>
      </c>
      <c r="B4362" s="325" t="s">
        <v>1246</v>
      </c>
      <c r="C4362" s="322" t="s">
        <v>682</v>
      </c>
      <c r="D4362" s="322">
        <v>2</v>
      </c>
      <c r="E4362" s="321" t="s">
        <v>125</v>
      </c>
    </row>
    <row r="4363" spans="1:5">
      <c r="A4363" s="323">
        <v>46014</v>
      </c>
      <c r="B4363" s="325" t="s">
        <v>1246</v>
      </c>
      <c r="C4363" s="322" t="s">
        <v>682</v>
      </c>
      <c r="D4363" s="322">
        <v>1</v>
      </c>
      <c r="E4363" s="321" t="s">
        <v>125</v>
      </c>
    </row>
    <row r="4364" spans="1:5">
      <c r="A4364" s="323">
        <v>46014</v>
      </c>
      <c r="B4364" s="325" t="s">
        <v>1301</v>
      </c>
      <c r="C4364" s="322" t="s">
        <v>682</v>
      </c>
      <c r="D4364" s="322">
        <v>2</v>
      </c>
      <c r="E4364" s="321" t="s">
        <v>125</v>
      </c>
    </row>
    <row r="4365" spans="1:5">
      <c r="A4365" s="323">
        <v>46014</v>
      </c>
      <c r="B4365" s="325" t="s">
        <v>1301</v>
      </c>
      <c r="C4365" s="322" t="s">
        <v>682</v>
      </c>
      <c r="D4365" s="322">
        <v>1</v>
      </c>
      <c r="E4365" s="321" t="s">
        <v>125</v>
      </c>
    </row>
    <row r="4366" spans="1:5">
      <c r="A4366" s="323">
        <v>46014</v>
      </c>
      <c r="B4366" s="325" t="s">
        <v>167</v>
      </c>
      <c r="C4366" s="322" t="s">
        <v>682</v>
      </c>
      <c r="D4366" s="322">
        <v>1</v>
      </c>
      <c r="E4366" s="321" t="s">
        <v>125</v>
      </c>
    </row>
    <row r="4367" spans="1:5">
      <c r="A4367" s="323">
        <v>46014</v>
      </c>
      <c r="B4367" s="325" t="s">
        <v>1246</v>
      </c>
      <c r="C4367" s="322" t="s">
        <v>682</v>
      </c>
      <c r="D4367" s="322">
        <v>1</v>
      </c>
      <c r="E4367" s="321" t="s">
        <v>125</v>
      </c>
    </row>
    <row r="4368" spans="1:5">
      <c r="A4368" s="323">
        <v>46014</v>
      </c>
      <c r="B4368" s="324" t="s">
        <v>134</v>
      </c>
      <c r="C4368" s="322" t="s">
        <v>682</v>
      </c>
      <c r="D4368" s="322">
        <v>1</v>
      </c>
      <c r="E4368" s="321" t="s">
        <v>125</v>
      </c>
    </row>
    <row r="4369" spans="1:5">
      <c r="A4369" s="323">
        <v>46014</v>
      </c>
      <c r="B4369" s="325" t="s">
        <v>1434</v>
      </c>
      <c r="C4369" s="322" t="s">
        <v>682</v>
      </c>
      <c r="D4369" s="322">
        <v>1</v>
      </c>
      <c r="E4369" s="321" t="s">
        <v>125</v>
      </c>
    </row>
    <row r="4370" spans="1:5">
      <c r="A4370" s="323">
        <v>46014</v>
      </c>
      <c r="B4370" s="325" t="s">
        <v>167</v>
      </c>
      <c r="C4370" s="322" t="s">
        <v>682</v>
      </c>
      <c r="D4370" s="322">
        <v>1</v>
      </c>
      <c r="E4370" s="321" t="s">
        <v>125</v>
      </c>
    </row>
    <row r="4371" spans="1:5">
      <c r="A4371" s="323">
        <v>46014</v>
      </c>
      <c r="B4371" s="425" t="s">
        <v>170</v>
      </c>
      <c r="C4371" s="322" t="s">
        <v>682</v>
      </c>
      <c r="D4371" s="322">
        <v>1</v>
      </c>
      <c r="E4371" s="321" t="s">
        <v>125</v>
      </c>
    </row>
    <row r="4372" spans="1:5">
      <c r="A4372" s="323">
        <v>46014</v>
      </c>
      <c r="B4372" s="325" t="s">
        <v>975</v>
      </c>
      <c r="C4372" s="322" t="s">
        <v>682</v>
      </c>
      <c r="D4372" s="322">
        <v>1</v>
      </c>
      <c r="E4372" s="321" t="s">
        <v>125</v>
      </c>
    </row>
    <row r="4373" spans="1:5">
      <c r="A4373" s="323">
        <v>46014</v>
      </c>
      <c r="B4373" s="325" t="s">
        <v>1568</v>
      </c>
      <c r="C4373" s="322" t="s">
        <v>682</v>
      </c>
      <c r="D4373" s="322">
        <v>4</v>
      </c>
      <c r="E4373" s="321" t="s">
        <v>125</v>
      </c>
    </row>
    <row r="4374" spans="1:5">
      <c r="A4374" s="323">
        <v>46014</v>
      </c>
      <c r="B4374" s="325" t="s">
        <v>1568</v>
      </c>
      <c r="C4374" s="322" t="s">
        <v>682</v>
      </c>
      <c r="D4374" s="322">
        <v>1</v>
      </c>
      <c r="E4374" s="321" t="s">
        <v>125</v>
      </c>
    </row>
    <row r="4375" spans="1:5">
      <c r="A4375" s="323">
        <v>46014</v>
      </c>
      <c r="B4375" s="325" t="s">
        <v>1641</v>
      </c>
      <c r="C4375" s="322" t="s">
        <v>682</v>
      </c>
      <c r="D4375" s="322">
        <v>1</v>
      </c>
      <c r="E4375" s="321" t="s">
        <v>125</v>
      </c>
    </row>
    <row r="4376" spans="1:5">
      <c r="A4376" s="323">
        <v>46014</v>
      </c>
      <c r="B4376" s="325" t="s">
        <v>2141</v>
      </c>
      <c r="C4376" s="322" t="s">
        <v>682</v>
      </c>
      <c r="D4376" s="322">
        <v>1</v>
      </c>
      <c r="E4376" s="321" t="s">
        <v>125</v>
      </c>
    </row>
    <row r="4377" spans="1:5">
      <c r="A4377" s="323">
        <v>46014</v>
      </c>
      <c r="B4377" s="325" t="s">
        <v>1312</v>
      </c>
      <c r="C4377" s="322" t="s">
        <v>682</v>
      </c>
      <c r="D4377" s="322">
        <v>1</v>
      </c>
      <c r="E4377" s="321" t="s">
        <v>125</v>
      </c>
    </row>
    <row r="4378" spans="1:5">
      <c r="A4378" s="323">
        <v>46014</v>
      </c>
      <c r="B4378" s="325" t="s">
        <v>1291</v>
      </c>
      <c r="C4378" s="322" t="s">
        <v>682</v>
      </c>
      <c r="D4378" s="322">
        <v>1</v>
      </c>
      <c r="E4378" s="321" t="s">
        <v>125</v>
      </c>
    </row>
    <row r="4379" spans="1:5">
      <c r="A4379" s="323">
        <v>46014</v>
      </c>
      <c r="B4379" s="325" t="s">
        <v>1299</v>
      </c>
      <c r="C4379" s="322" t="s">
        <v>682</v>
      </c>
      <c r="D4379" s="322">
        <v>1</v>
      </c>
      <c r="E4379" s="321" t="s">
        <v>125</v>
      </c>
    </row>
    <row r="4380" spans="1:5">
      <c r="A4380" s="323">
        <v>46014</v>
      </c>
      <c r="B4380" s="425" t="s">
        <v>1716</v>
      </c>
      <c r="C4380" s="322" t="s">
        <v>682</v>
      </c>
      <c r="D4380" s="322">
        <v>1</v>
      </c>
      <c r="E4380" s="321" t="s">
        <v>125</v>
      </c>
    </row>
    <row r="4381" spans="1:5">
      <c r="A4381" s="323">
        <v>46014</v>
      </c>
      <c r="B4381" s="325" t="s">
        <v>1296</v>
      </c>
      <c r="C4381" s="322" t="s">
        <v>682</v>
      </c>
      <c r="D4381" s="322">
        <v>1</v>
      </c>
      <c r="E4381" s="321" t="s">
        <v>125</v>
      </c>
    </row>
    <row r="4382" spans="1:5">
      <c r="A4382" s="323">
        <v>46014</v>
      </c>
      <c r="B4382" s="425" t="s">
        <v>1148</v>
      </c>
      <c r="C4382" s="322" t="s">
        <v>682</v>
      </c>
      <c r="D4382" s="322">
        <v>1</v>
      </c>
      <c r="E4382" s="321" t="s">
        <v>125</v>
      </c>
    </row>
    <row r="4383" spans="1:5">
      <c r="A4383" s="323">
        <v>46014</v>
      </c>
      <c r="B4383" s="325" t="s">
        <v>1561</v>
      </c>
      <c r="C4383" s="322" t="s">
        <v>682</v>
      </c>
      <c r="D4383" s="322">
        <v>1</v>
      </c>
      <c r="E4383" s="321" t="s">
        <v>125</v>
      </c>
    </row>
    <row r="4384" spans="1:5">
      <c r="A4384" s="323">
        <v>46014</v>
      </c>
      <c r="B4384" s="325" t="s">
        <v>2295</v>
      </c>
      <c r="C4384" s="322" t="s">
        <v>682</v>
      </c>
      <c r="D4384" s="322">
        <v>2</v>
      </c>
      <c r="E4384" s="321" t="s">
        <v>125</v>
      </c>
    </row>
    <row r="4385" spans="1:6">
      <c r="A4385" s="323">
        <v>46014</v>
      </c>
      <c r="B4385" s="325" t="s">
        <v>2296</v>
      </c>
      <c r="C4385" s="322" t="s">
        <v>682</v>
      </c>
      <c r="D4385" s="322">
        <v>2</v>
      </c>
      <c r="E4385" s="321" t="s">
        <v>125</v>
      </c>
    </row>
    <row r="4386" spans="1:6">
      <c r="A4386" s="323">
        <v>46014</v>
      </c>
      <c r="B4386" s="325" t="s">
        <v>2321</v>
      </c>
      <c r="C4386" s="322" t="s">
        <v>682</v>
      </c>
      <c r="D4386" s="322">
        <v>1</v>
      </c>
      <c r="E4386" s="321" t="s">
        <v>125</v>
      </c>
    </row>
    <row r="4387" spans="1:6">
      <c r="A4387" s="323">
        <v>46014</v>
      </c>
      <c r="B4387" s="325" t="s">
        <v>2309</v>
      </c>
      <c r="C4387" s="322" t="s">
        <v>682</v>
      </c>
      <c r="D4387" s="322">
        <v>1</v>
      </c>
      <c r="E4387" s="321" t="s">
        <v>125</v>
      </c>
    </row>
    <row r="4388" spans="1:6">
      <c r="A4388" s="323">
        <v>46014</v>
      </c>
      <c r="B4388" s="325" t="s">
        <v>2312</v>
      </c>
      <c r="C4388" s="322" t="s">
        <v>682</v>
      </c>
      <c r="D4388" s="322">
        <v>1</v>
      </c>
      <c r="E4388" s="321" t="s">
        <v>125</v>
      </c>
    </row>
    <row r="4389" spans="1:6">
      <c r="A4389" s="323">
        <v>46014</v>
      </c>
      <c r="B4389" s="325" t="s">
        <v>2317</v>
      </c>
      <c r="C4389" s="322" t="s">
        <v>682</v>
      </c>
      <c r="D4389" s="322">
        <v>1</v>
      </c>
      <c r="E4389" s="321" t="s">
        <v>125</v>
      </c>
    </row>
    <row r="4390" spans="1:6">
      <c r="A4390" s="323">
        <v>46014</v>
      </c>
      <c r="B4390" s="325" t="s">
        <v>2318</v>
      </c>
      <c r="C4390" s="322" t="s">
        <v>682</v>
      </c>
      <c r="D4390" s="322">
        <v>1</v>
      </c>
      <c r="E4390" s="321" t="s">
        <v>125</v>
      </c>
    </row>
    <row r="4391" spans="1:6">
      <c r="A4391" s="323">
        <v>46014</v>
      </c>
      <c r="B4391" s="325" t="s">
        <v>2285</v>
      </c>
      <c r="C4391" s="322" t="s">
        <v>682</v>
      </c>
      <c r="D4391" s="322">
        <v>1</v>
      </c>
      <c r="E4391" s="321" t="s">
        <v>125</v>
      </c>
    </row>
    <row r="4392" spans="1:6">
      <c r="A4392" s="323">
        <v>46014</v>
      </c>
      <c r="B4392" s="325" t="s">
        <v>2319</v>
      </c>
      <c r="C4392" s="322" t="s">
        <v>682</v>
      </c>
      <c r="D4392" s="322">
        <v>1</v>
      </c>
      <c r="E4392" s="321" t="s">
        <v>125</v>
      </c>
    </row>
    <row r="4394" spans="1:6">
      <c r="A4394" s="323">
        <v>46014</v>
      </c>
      <c r="B4394" s="325" t="s">
        <v>2314</v>
      </c>
      <c r="C4394" s="322" t="s">
        <v>682</v>
      </c>
      <c r="D4394" s="322">
        <v>1</v>
      </c>
      <c r="E4394" s="321" t="s">
        <v>125</v>
      </c>
      <c r="F4394" t="s">
        <v>2323</v>
      </c>
    </row>
    <row r="4395" spans="1:6">
      <c r="A4395" s="323">
        <v>46014</v>
      </c>
      <c r="B4395" s="325" t="s">
        <v>2315</v>
      </c>
      <c r="C4395" s="322" t="s">
        <v>682</v>
      </c>
      <c r="D4395" s="322">
        <v>1</v>
      </c>
      <c r="E4395" s="321" t="s">
        <v>125</v>
      </c>
    </row>
    <row r="4396" spans="1:6">
      <c r="A4396" s="323">
        <v>46014</v>
      </c>
      <c r="B4396" s="325" t="s">
        <v>2316</v>
      </c>
      <c r="C4396" s="322" t="s">
        <v>682</v>
      </c>
      <c r="D4396" s="322">
        <v>1</v>
      </c>
      <c r="E4396" s="321" t="s">
        <v>125</v>
      </c>
    </row>
    <row r="4398" spans="1:6">
      <c r="A4398" s="265">
        <v>46015</v>
      </c>
      <c r="B4398" s="92" t="s">
        <v>789</v>
      </c>
      <c r="C4398" s="43" t="s">
        <v>1615</v>
      </c>
      <c r="D4398" s="43">
        <v>-3</v>
      </c>
      <c r="E4398" s="230" t="s">
        <v>125</v>
      </c>
    </row>
    <row r="4399" spans="1:6">
      <c r="A4399" s="265">
        <v>46015</v>
      </c>
      <c r="B4399" s="84" t="s">
        <v>881</v>
      </c>
      <c r="C4399" s="43" t="s">
        <v>1615</v>
      </c>
      <c r="D4399" s="43">
        <v>-3</v>
      </c>
      <c r="E4399" s="230" t="s">
        <v>125</v>
      </c>
    </row>
    <row r="4400" spans="1:6">
      <c r="A4400" s="265">
        <v>46015</v>
      </c>
      <c r="B4400" s="84" t="s">
        <v>881</v>
      </c>
      <c r="C4400" s="43" t="s">
        <v>1836</v>
      </c>
      <c r="D4400" s="43">
        <v>-3</v>
      </c>
      <c r="E4400" s="230" t="s">
        <v>125</v>
      </c>
    </row>
    <row r="4401" spans="1:5">
      <c r="A4401" s="265">
        <v>46015</v>
      </c>
      <c r="B4401" s="343" t="s">
        <v>1246</v>
      </c>
      <c r="C4401" s="43" t="s">
        <v>678</v>
      </c>
      <c r="D4401" s="43">
        <v>-1</v>
      </c>
      <c r="E4401" s="230" t="s">
        <v>125</v>
      </c>
    </row>
    <row r="4402" spans="1:5">
      <c r="A4402" s="265">
        <v>46015</v>
      </c>
      <c r="B4402" s="343" t="s">
        <v>1694</v>
      </c>
      <c r="C4402" s="43" t="s">
        <v>678</v>
      </c>
      <c r="D4402" s="43">
        <v>-1</v>
      </c>
      <c r="E4402" s="230" t="s">
        <v>125</v>
      </c>
    </row>
    <row r="4403" spans="1:5">
      <c r="A4403" s="265">
        <v>46015</v>
      </c>
      <c r="B4403" s="343" t="s">
        <v>1246</v>
      </c>
      <c r="C4403" s="43" t="s">
        <v>678</v>
      </c>
      <c r="D4403" s="43">
        <v>-1</v>
      </c>
      <c r="E4403" s="230" t="s">
        <v>125</v>
      </c>
    </row>
    <row r="4404" spans="1:5">
      <c r="A4404" s="265">
        <v>46015</v>
      </c>
      <c r="B4404" s="343" t="s">
        <v>1290</v>
      </c>
      <c r="C4404" s="43" t="s">
        <v>1659</v>
      </c>
      <c r="D4404" s="43">
        <v>-1</v>
      </c>
      <c r="E4404" s="230" t="s">
        <v>125</v>
      </c>
    </row>
    <row r="4405" spans="1:5">
      <c r="A4405" s="265">
        <v>46015</v>
      </c>
      <c r="B4405" s="343" t="s">
        <v>1246</v>
      </c>
      <c r="C4405" s="43" t="s">
        <v>2334</v>
      </c>
      <c r="D4405" s="43">
        <v>-3</v>
      </c>
      <c r="E4405" s="230" t="s">
        <v>125</v>
      </c>
    </row>
    <row r="4406" spans="1:5">
      <c r="A4406" s="265">
        <v>46015</v>
      </c>
      <c r="B4406" s="93" t="s">
        <v>1095</v>
      </c>
      <c r="C4406" s="43" t="s">
        <v>1659</v>
      </c>
      <c r="D4406" s="43">
        <v>-1</v>
      </c>
      <c r="E4406" s="230" t="s">
        <v>125</v>
      </c>
    </row>
    <row r="4407" spans="1:5">
      <c r="A4407" s="265">
        <v>46015</v>
      </c>
      <c r="B4407" s="343" t="s">
        <v>1259</v>
      </c>
      <c r="C4407" s="43" t="s">
        <v>1659</v>
      </c>
      <c r="D4407" s="43">
        <v>-1</v>
      </c>
      <c r="E4407" s="230" t="s">
        <v>125</v>
      </c>
    </row>
    <row r="4408" spans="1:5">
      <c r="A4408" s="265">
        <v>46015</v>
      </c>
      <c r="B4408" s="343" t="s">
        <v>1246</v>
      </c>
      <c r="C4408" s="43" t="s">
        <v>2113</v>
      </c>
      <c r="D4408" s="43">
        <v>-1</v>
      </c>
      <c r="E4408" s="230" t="s">
        <v>125</v>
      </c>
    </row>
    <row r="4409" spans="1:5">
      <c r="A4409" s="265">
        <v>46015</v>
      </c>
      <c r="B4409" s="343" t="s">
        <v>1246</v>
      </c>
      <c r="C4409" s="43" t="s">
        <v>2113</v>
      </c>
      <c r="D4409" s="43">
        <v>-1</v>
      </c>
      <c r="E4409" s="230" t="s">
        <v>125</v>
      </c>
    </row>
    <row r="4410" spans="1:5">
      <c r="A4410" s="265">
        <v>46015</v>
      </c>
      <c r="B4410" s="92" t="s">
        <v>789</v>
      </c>
      <c r="C4410" s="43" t="s">
        <v>2335</v>
      </c>
      <c r="D4410" s="43">
        <v>-3</v>
      </c>
      <c r="E4410" s="230" t="s">
        <v>125</v>
      </c>
    </row>
    <row r="4411" spans="1:5">
      <c r="A4411" s="265">
        <v>46015</v>
      </c>
      <c r="B4411" s="343" t="s">
        <v>977</v>
      </c>
      <c r="C4411" s="43" t="s">
        <v>1970</v>
      </c>
      <c r="D4411" s="43">
        <v>-1</v>
      </c>
      <c r="E4411" s="230" t="s">
        <v>125</v>
      </c>
    </row>
    <row r="4412" spans="1:5">
      <c r="A4412" s="265">
        <v>46015</v>
      </c>
      <c r="B4412" s="343" t="s">
        <v>2151</v>
      </c>
      <c r="C4412" s="43" t="s">
        <v>1970</v>
      </c>
      <c r="D4412" s="43">
        <v>-2</v>
      </c>
      <c r="E4412" s="230" t="s">
        <v>125</v>
      </c>
    </row>
    <row r="4413" spans="1:5">
      <c r="A4413" s="265">
        <v>46015</v>
      </c>
      <c r="B4413" s="342" t="s">
        <v>960</v>
      </c>
      <c r="C4413" s="43" t="s">
        <v>1970</v>
      </c>
      <c r="D4413" s="43">
        <v>-4</v>
      </c>
      <c r="E4413" s="230" t="s">
        <v>125</v>
      </c>
    </row>
    <row r="4414" spans="1:5">
      <c r="A4414" s="265">
        <v>46015</v>
      </c>
      <c r="B4414" s="343" t="s">
        <v>2149</v>
      </c>
      <c r="C4414" s="43" t="s">
        <v>1970</v>
      </c>
      <c r="D4414" s="43">
        <v>-1</v>
      </c>
      <c r="E4414" s="230" t="s">
        <v>125</v>
      </c>
    </row>
    <row r="4415" spans="1:5">
      <c r="A4415" s="265">
        <v>46015</v>
      </c>
      <c r="B4415" s="343" t="s">
        <v>2148</v>
      </c>
      <c r="C4415" s="43" t="s">
        <v>1970</v>
      </c>
      <c r="D4415" s="43">
        <v>-1</v>
      </c>
      <c r="E4415" s="230" t="s">
        <v>125</v>
      </c>
    </row>
    <row r="4416" spans="1:5">
      <c r="A4416" s="265">
        <v>46015</v>
      </c>
      <c r="B4416" s="104" t="s">
        <v>375</v>
      </c>
      <c r="C4416" s="43" t="s">
        <v>1970</v>
      </c>
      <c r="D4416" s="43">
        <v>-1</v>
      </c>
      <c r="E4416" s="230" t="s">
        <v>125</v>
      </c>
    </row>
    <row r="4417" spans="1:5">
      <c r="A4417" s="265">
        <v>46015</v>
      </c>
      <c r="B4417" s="343" t="s">
        <v>1522</v>
      </c>
      <c r="C4417" s="43" t="s">
        <v>1970</v>
      </c>
      <c r="D4417" s="33">
        <v>-1</v>
      </c>
      <c r="E4417" s="230" t="s">
        <v>125</v>
      </c>
    </row>
    <row r="4418" spans="1:5">
      <c r="A4418" s="265">
        <v>46016</v>
      </c>
      <c r="B4418" s="343" t="s">
        <v>935</v>
      </c>
      <c r="C4418" s="43" t="s">
        <v>2337</v>
      </c>
      <c r="D4418" s="43">
        <v>-1</v>
      </c>
      <c r="E4418" s="230" t="s">
        <v>125</v>
      </c>
    </row>
    <row r="4419" spans="1:5">
      <c r="A4419" s="265">
        <v>46016</v>
      </c>
      <c r="B4419" s="343" t="s">
        <v>1537</v>
      </c>
      <c r="C4419" s="43" t="s">
        <v>2337</v>
      </c>
      <c r="D4419" s="43">
        <v>-1</v>
      </c>
      <c r="E4419" s="230" t="s">
        <v>125</v>
      </c>
    </row>
    <row r="4420" spans="1:5">
      <c r="A4420" s="265">
        <v>46016</v>
      </c>
      <c r="B4420" s="343" t="s">
        <v>1540</v>
      </c>
      <c r="C4420" s="43" t="s">
        <v>2337</v>
      </c>
      <c r="D4420" s="43">
        <v>-1</v>
      </c>
      <c r="E4420" s="230" t="s">
        <v>125</v>
      </c>
    </row>
    <row r="4421" spans="1:5">
      <c r="A4421" s="265">
        <v>46016</v>
      </c>
      <c r="B4421" s="93" t="s">
        <v>1095</v>
      </c>
      <c r="C4421" s="43" t="s">
        <v>2338</v>
      </c>
      <c r="D4421" s="43">
        <v>-6</v>
      </c>
      <c r="E4421" s="230" t="s">
        <v>125</v>
      </c>
    </row>
    <row r="4422" spans="1:5">
      <c r="A4422" s="265">
        <v>46016</v>
      </c>
      <c r="B4422" s="343" t="s">
        <v>1246</v>
      </c>
      <c r="C4422" s="43" t="s">
        <v>1788</v>
      </c>
      <c r="D4422" s="43">
        <v>-5</v>
      </c>
      <c r="E4422" s="230" t="s">
        <v>125</v>
      </c>
    </row>
    <row r="4423" spans="1:5">
      <c r="A4423" s="265">
        <v>46016</v>
      </c>
      <c r="B4423" s="93" t="s">
        <v>1223</v>
      </c>
      <c r="C4423" s="43" t="s">
        <v>1615</v>
      </c>
      <c r="D4423" s="43">
        <v>-1</v>
      </c>
      <c r="E4423" s="230" t="s">
        <v>125</v>
      </c>
    </row>
    <row r="4424" spans="1:5">
      <c r="A4424" s="265">
        <v>46016</v>
      </c>
      <c r="B4424" s="343" t="s">
        <v>1259</v>
      </c>
      <c r="C4424" s="43" t="s">
        <v>2339</v>
      </c>
      <c r="D4424" s="43">
        <v>-4</v>
      </c>
      <c r="E4424" s="230" t="s">
        <v>125</v>
      </c>
    </row>
    <row r="4425" spans="1:5">
      <c r="A4425" s="265">
        <v>46016</v>
      </c>
      <c r="B4425" s="343" t="s">
        <v>1259</v>
      </c>
      <c r="C4425" s="43" t="s">
        <v>2339</v>
      </c>
      <c r="D4425" s="43">
        <v>-1</v>
      </c>
      <c r="E4425" s="230" t="s">
        <v>125</v>
      </c>
    </row>
    <row r="4426" spans="1:5">
      <c r="A4426" s="265">
        <v>46016</v>
      </c>
      <c r="B4426" s="93" t="s">
        <v>1095</v>
      </c>
      <c r="C4426" s="43" t="s">
        <v>2339</v>
      </c>
      <c r="D4426" s="43">
        <v>-1</v>
      </c>
      <c r="E4426" s="230" t="s">
        <v>125</v>
      </c>
    </row>
    <row r="4427" spans="1:5">
      <c r="A4427" s="265">
        <v>46016</v>
      </c>
      <c r="B4427" s="343" t="s">
        <v>2141</v>
      </c>
      <c r="C4427" s="43" t="s">
        <v>2339</v>
      </c>
      <c r="D4427" s="43">
        <v>-1</v>
      </c>
      <c r="E4427" s="230" t="s">
        <v>125</v>
      </c>
    </row>
    <row r="4428" spans="1:5">
      <c r="A4428" s="265">
        <v>46016</v>
      </c>
      <c r="B4428" s="343" t="s">
        <v>1259</v>
      </c>
      <c r="C4428" s="43" t="s">
        <v>2339</v>
      </c>
      <c r="D4428" s="43">
        <v>-1</v>
      </c>
      <c r="E4428" s="230" t="s">
        <v>125</v>
      </c>
    </row>
    <row r="4429" spans="1:5">
      <c r="A4429" s="265">
        <v>46016</v>
      </c>
      <c r="B4429" s="343" t="s">
        <v>1334</v>
      </c>
      <c r="C4429" s="43" t="s">
        <v>2339</v>
      </c>
      <c r="D4429" s="43">
        <v>-4</v>
      </c>
      <c r="E4429" s="230" t="s">
        <v>125</v>
      </c>
    </row>
    <row r="4430" spans="1:5">
      <c r="A4430" s="265">
        <v>46016</v>
      </c>
      <c r="B4430" s="343" t="s">
        <v>1291</v>
      </c>
      <c r="C4430" s="43" t="s">
        <v>2339</v>
      </c>
      <c r="D4430" s="43">
        <v>-1</v>
      </c>
      <c r="E4430" s="230" t="s">
        <v>125</v>
      </c>
    </row>
    <row r="4431" spans="1:5">
      <c r="A4431" s="265">
        <v>46016</v>
      </c>
      <c r="B4431" s="84" t="s">
        <v>919</v>
      </c>
      <c r="C4431" s="43" t="s">
        <v>2339</v>
      </c>
      <c r="D4431" s="43">
        <v>-1</v>
      </c>
      <c r="E4431" s="230" t="s">
        <v>125</v>
      </c>
    </row>
    <row r="4432" spans="1:5">
      <c r="A4432" s="265">
        <v>46016</v>
      </c>
      <c r="B4432" s="343" t="s">
        <v>1334</v>
      </c>
      <c r="C4432" s="43" t="s">
        <v>2339</v>
      </c>
      <c r="D4432" s="43">
        <v>-2</v>
      </c>
      <c r="E4432" s="230" t="s">
        <v>125</v>
      </c>
    </row>
    <row r="4433" spans="1:5">
      <c r="A4433" s="265">
        <v>46016</v>
      </c>
      <c r="B4433" s="343" t="s">
        <v>1246</v>
      </c>
      <c r="C4433" s="43" t="s">
        <v>2203</v>
      </c>
      <c r="D4433" s="43">
        <v>-8</v>
      </c>
      <c r="E4433" s="230" t="s">
        <v>125</v>
      </c>
    </row>
    <row r="4434" spans="1:5">
      <c r="A4434" s="265">
        <v>46016</v>
      </c>
      <c r="B4434" s="343" t="s">
        <v>1246</v>
      </c>
      <c r="C4434" s="43" t="s">
        <v>2113</v>
      </c>
      <c r="D4434" s="43">
        <v>-1</v>
      </c>
      <c r="E4434" s="230" t="s">
        <v>125</v>
      </c>
    </row>
    <row r="4435" spans="1:5">
      <c r="A4435" s="265">
        <v>46016</v>
      </c>
      <c r="B4435" s="344" t="s">
        <v>1716</v>
      </c>
      <c r="C4435" s="43" t="s">
        <v>2341</v>
      </c>
      <c r="D4435" s="43">
        <v>-6</v>
      </c>
      <c r="E4435" s="230" t="s">
        <v>125</v>
      </c>
    </row>
    <row r="4436" spans="1:5">
      <c r="A4436" s="265">
        <v>46016</v>
      </c>
      <c r="B4436" s="342" t="s">
        <v>2156</v>
      </c>
      <c r="C4436" s="43" t="s">
        <v>2341</v>
      </c>
      <c r="D4436" s="43">
        <v>-9</v>
      </c>
      <c r="E4436" s="230" t="s">
        <v>125</v>
      </c>
    </row>
    <row r="4437" spans="1:5">
      <c r="A4437" s="265">
        <v>46016</v>
      </c>
      <c r="B4437" s="343" t="s">
        <v>2312</v>
      </c>
      <c r="C4437" s="43" t="s">
        <v>2341</v>
      </c>
      <c r="D4437" s="43">
        <v>-1</v>
      </c>
      <c r="E4437" s="230" t="s">
        <v>125</v>
      </c>
    </row>
    <row r="4438" spans="1:5">
      <c r="A4438" s="265">
        <v>46016</v>
      </c>
      <c r="B4438" s="344" t="s">
        <v>1716</v>
      </c>
      <c r="C4438" s="43" t="s">
        <v>2341</v>
      </c>
      <c r="D4438" s="43">
        <v>-1</v>
      </c>
      <c r="E4438" s="230" t="s">
        <v>125</v>
      </c>
    </row>
    <row r="4439" spans="1:5">
      <c r="A4439" s="265">
        <v>46016</v>
      </c>
      <c r="B4439" s="344" t="s">
        <v>1716</v>
      </c>
      <c r="C4439" s="43" t="s">
        <v>2341</v>
      </c>
      <c r="D4439" s="43">
        <v>-1</v>
      </c>
      <c r="E4439" s="230" t="s">
        <v>125</v>
      </c>
    </row>
    <row r="4440" spans="1:5">
      <c r="A4440" s="265">
        <v>46016</v>
      </c>
      <c r="B4440" s="344" t="s">
        <v>1148</v>
      </c>
      <c r="C4440" s="43" t="s">
        <v>2341</v>
      </c>
      <c r="D4440" s="43">
        <v>-1</v>
      </c>
      <c r="E4440" s="230" t="s">
        <v>125</v>
      </c>
    </row>
    <row r="4441" spans="1:5">
      <c r="A4441" s="265">
        <v>46016</v>
      </c>
      <c r="B4441" s="343" t="s">
        <v>1246</v>
      </c>
      <c r="C4441" s="43" t="s">
        <v>1594</v>
      </c>
      <c r="D4441" s="43">
        <v>-2</v>
      </c>
      <c r="E4441" s="230" t="s">
        <v>125</v>
      </c>
    </row>
    <row r="4442" spans="1:5">
      <c r="A4442" s="265">
        <v>46016</v>
      </c>
      <c r="B4442" s="343" t="s">
        <v>1246</v>
      </c>
      <c r="C4442" s="43" t="s">
        <v>1594</v>
      </c>
      <c r="D4442" s="43">
        <v>-2</v>
      </c>
      <c r="E4442" s="230" t="s">
        <v>125</v>
      </c>
    </row>
    <row r="4443" spans="1:5">
      <c r="A4443" s="265">
        <v>46016</v>
      </c>
      <c r="B4443" s="93" t="s">
        <v>169</v>
      </c>
      <c r="C4443" s="43" t="s">
        <v>1594</v>
      </c>
      <c r="D4443" s="43">
        <v>-1</v>
      </c>
      <c r="E4443" s="230" t="s">
        <v>125</v>
      </c>
    </row>
    <row r="4444" spans="1:5">
      <c r="A4444" s="265">
        <v>46016</v>
      </c>
      <c r="B4444" s="343" t="s">
        <v>1408</v>
      </c>
      <c r="C4444" s="43" t="s">
        <v>1594</v>
      </c>
      <c r="D4444" s="43">
        <v>-2</v>
      </c>
      <c r="E4444" s="230" t="s">
        <v>125</v>
      </c>
    </row>
    <row r="4445" spans="1:5">
      <c r="A4445" s="265">
        <v>46016</v>
      </c>
      <c r="B4445" s="343" t="s">
        <v>1301</v>
      </c>
      <c r="C4445" s="43" t="s">
        <v>1594</v>
      </c>
      <c r="D4445" s="43">
        <v>-1</v>
      </c>
      <c r="E4445" s="230" t="s">
        <v>125</v>
      </c>
    </row>
    <row r="4446" spans="1:5">
      <c r="A4446" s="265">
        <v>46016</v>
      </c>
      <c r="B4446" s="343" t="s">
        <v>1246</v>
      </c>
      <c r="C4446" s="43" t="s">
        <v>1594</v>
      </c>
      <c r="D4446" s="43">
        <v>-4</v>
      </c>
      <c r="E4446" s="230" t="s">
        <v>125</v>
      </c>
    </row>
    <row r="4447" spans="1:5">
      <c r="A4447" s="265">
        <v>46016</v>
      </c>
      <c r="B4447" s="93" t="s">
        <v>167</v>
      </c>
      <c r="C4447" s="43" t="s">
        <v>1594</v>
      </c>
      <c r="D4447" s="43">
        <v>-1</v>
      </c>
      <c r="E4447" s="230" t="s">
        <v>125</v>
      </c>
    </row>
    <row r="4448" spans="1:5">
      <c r="A4448" s="265">
        <v>46016</v>
      </c>
      <c r="B4448" s="343" t="s">
        <v>1301</v>
      </c>
      <c r="C4448" s="43" t="s">
        <v>1594</v>
      </c>
      <c r="D4448" s="43">
        <v>-2</v>
      </c>
      <c r="E4448" s="230" t="s">
        <v>125</v>
      </c>
    </row>
    <row r="4449" spans="1:5">
      <c r="A4449" s="265">
        <v>46016</v>
      </c>
      <c r="B4449" s="343" t="s">
        <v>1246</v>
      </c>
      <c r="C4449" s="43" t="s">
        <v>1594</v>
      </c>
      <c r="D4449" s="43">
        <v>-6</v>
      </c>
      <c r="E4449" s="230" t="s">
        <v>125</v>
      </c>
    </row>
    <row r="4450" spans="1:5">
      <c r="A4450" s="265">
        <v>46016</v>
      </c>
      <c r="B4450" s="343" t="s">
        <v>1246</v>
      </c>
      <c r="C4450" s="43" t="s">
        <v>678</v>
      </c>
      <c r="D4450" s="43">
        <v>-1</v>
      </c>
      <c r="E4450" s="230" t="s">
        <v>125</v>
      </c>
    </row>
    <row r="4452" spans="1:5">
      <c r="A4452" s="265">
        <v>46017</v>
      </c>
      <c r="B4452" s="93" t="s">
        <v>1224</v>
      </c>
      <c r="C4452" s="43" t="s">
        <v>1615</v>
      </c>
      <c r="D4452" s="43">
        <v>-2</v>
      </c>
      <c r="E4452" s="230" t="s">
        <v>125</v>
      </c>
    </row>
    <row r="4453" spans="1:5">
      <c r="A4453" s="265">
        <v>46017</v>
      </c>
      <c r="B4453" s="344" t="s">
        <v>1147</v>
      </c>
      <c r="C4453" s="43" t="s">
        <v>1659</v>
      </c>
      <c r="D4453" s="43">
        <v>-1</v>
      </c>
      <c r="E4453" s="230" t="s">
        <v>125</v>
      </c>
    </row>
    <row r="4454" spans="1:5">
      <c r="A4454" s="265">
        <v>46017</v>
      </c>
      <c r="B4454" s="343" t="s">
        <v>1246</v>
      </c>
      <c r="C4454" s="43" t="s">
        <v>1663</v>
      </c>
      <c r="D4454" s="43">
        <v>-3</v>
      </c>
      <c r="E4454" s="230" t="s">
        <v>125</v>
      </c>
    </row>
    <row r="4455" spans="1:5">
      <c r="A4455" s="265">
        <v>46017</v>
      </c>
      <c r="B4455" s="343" t="s">
        <v>1246</v>
      </c>
      <c r="C4455" s="43" t="s">
        <v>678</v>
      </c>
      <c r="D4455" s="43">
        <v>-1</v>
      </c>
      <c r="E4455" s="230" t="s">
        <v>125</v>
      </c>
    </row>
    <row r="4456" spans="1:5">
      <c r="A4456" s="265">
        <v>46017</v>
      </c>
      <c r="B4456" s="343" t="s">
        <v>1271</v>
      </c>
      <c r="C4456" s="43" t="s">
        <v>678</v>
      </c>
      <c r="D4456" s="43">
        <v>-1</v>
      </c>
      <c r="E4456" s="230" t="s">
        <v>125</v>
      </c>
    </row>
    <row r="4457" spans="1:5">
      <c r="A4457" s="265">
        <v>46017</v>
      </c>
      <c r="B4457" s="343" t="s">
        <v>1434</v>
      </c>
      <c r="C4457" s="43" t="s">
        <v>678</v>
      </c>
      <c r="D4457" s="43">
        <v>-1</v>
      </c>
      <c r="E4457" s="230" t="s">
        <v>125</v>
      </c>
    </row>
    <row r="4458" spans="1:5">
      <c r="A4458" s="265">
        <v>46017</v>
      </c>
      <c r="B4458" s="104" t="s">
        <v>170</v>
      </c>
      <c r="C4458" s="43" t="s">
        <v>678</v>
      </c>
      <c r="D4458" s="43">
        <v>-1</v>
      </c>
      <c r="E4458" s="230" t="s">
        <v>125</v>
      </c>
    </row>
    <row r="4460" spans="1:5">
      <c r="A4460" s="272">
        <v>46017</v>
      </c>
      <c r="B4460" s="128" t="s">
        <v>76</v>
      </c>
      <c r="C4460" s="106" t="s">
        <v>2348</v>
      </c>
      <c r="D4460" s="106">
        <v>20</v>
      </c>
      <c r="E4460" s="94" t="s">
        <v>125</v>
      </c>
    </row>
    <row r="4461" spans="1:5">
      <c r="A4461" s="272">
        <v>46017</v>
      </c>
      <c r="B4461" s="128" t="s">
        <v>76</v>
      </c>
      <c r="C4461" s="106" t="s">
        <v>2348</v>
      </c>
      <c r="D4461" s="106">
        <v>16</v>
      </c>
      <c r="E4461" s="94" t="s">
        <v>125</v>
      </c>
    </row>
    <row r="4462" spans="1:5">
      <c r="A4462" s="272">
        <v>46017</v>
      </c>
      <c r="B4462" s="139" t="s">
        <v>807</v>
      </c>
      <c r="C4462" s="106" t="s">
        <v>2348</v>
      </c>
      <c r="D4462" s="106">
        <v>1</v>
      </c>
      <c r="E4462" s="94" t="s">
        <v>125</v>
      </c>
    </row>
    <row r="4463" spans="1:5">
      <c r="A4463" s="272">
        <v>46017</v>
      </c>
      <c r="B4463" s="139" t="s">
        <v>807</v>
      </c>
      <c r="C4463" s="106" t="s">
        <v>2348</v>
      </c>
      <c r="D4463" s="106">
        <v>1</v>
      </c>
      <c r="E4463" s="94" t="s">
        <v>125</v>
      </c>
    </row>
    <row r="4464" spans="1:5">
      <c r="A4464" s="272">
        <v>46017</v>
      </c>
      <c r="B4464" s="128" t="s">
        <v>76</v>
      </c>
      <c r="C4464" s="106" t="s">
        <v>2348</v>
      </c>
      <c r="D4464" s="106">
        <v>20</v>
      </c>
      <c r="E4464" s="94" t="s">
        <v>125</v>
      </c>
    </row>
    <row r="4465" spans="1:5">
      <c r="A4465" s="272">
        <v>46017</v>
      </c>
      <c r="B4465" s="139" t="s">
        <v>808</v>
      </c>
      <c r="C4465" s="106" t="s">
        <v>2348</v>
      </c>
      <c r="D4465" s="106">
        <v>9</v>
      </c>
      <c r="E4465" s="94" t="s">
        <v>125</v>
      </c>
    </row>
    <row r="4466" spans="1:5">
      <c r="A4466" s="272">
        <v>46017</v>
      </c>
      <c r="B4466" s="139" t="s">
        <v>807</v>
      </c>
      <c r="C4466" s="106" t="s">
        <v>2348</v>
      </c>
      <c r="D4466" s="106">
        <v>11</v>
      </c>
      <c r="E4466" s="94" t="s">
        <v>125</v>
      </c>
    </row>
    <row r="4467" spans="1:5">
      <c r="A4467" s="272">
        <v>46017</v>
      </c>
      <c r="B4467" s="139" t="s">
        <v>807</v>
      </c>
      <c r="C4467" s="106" t="s">
        <v>2348</v>
      </c>
      <c r="D4467" s="106">
        <v>2</v>
      </c>
      <c r="E4467" s="94" t="s">
        <v>125</v>
      </c>
    </row>
    <row r="4469" spans="1:5">
      <c r="A4469" s="265">
        <v>46017</v>
      </c>
      <c r="B4469" s="344" t="s">
        <v>1147</v>
      </c>
      <c r="C4469" s="43" t="s">
        <v>1659</v>
      </c>
      <c r="D4469" s="43">
        <v>-2</v>
      </c>
      <c r="E4469" s="230" t="s">
        <v>125</v>
      </c>
    </row>
    <row r="4470" spans="1:5">
      <c r="A4470" s="265">
        <v>46017</v>
      </c>
      <c r="B4470" s="343" t="s">
        <v>2032</v>
      </c>
      <c r="C4470" s="43" t="s">
        <v>1659</v>
      </c>
      <c r="D4470" s="43">
        <v>-1</v>
      </c>
      <c r="E4470" s="230" t="s">
        <v>125</v>
      </c>
    </row>
    <row r="4471" spans="1:5">
      <c r="A4471" s="265">
        <v>46017</v>
      </c>
      <c r="B4471" s="342" t="s">
        <v>2155</v>
      </c>
      <c r="C4471" s="43" t="s">
        <v>1659</v>
      </c>
      <c r="D4471" s="43">
        <v>-1</v>
      </c>
      <c r="E4471" s="230" t="s">
        <v>125</v>
      </c>
    </row>
    <row r="4473" spans="1:5">
      <c r="A4473" s="434">
        <v>46018</v>
      </c>
      <c r="B4473" s="168" t="s">
        <v>1232</v>
      </c>
      <c r="C4473" s="166" t="s">
        <v>1904</v>
      </c>
      <c r="D4473" s="166">
        <v>1</v>
      </c>
      <c r="E4473" s="615" t="s">
        <v>125</v>
      </c>
    </row>
    <row r="4475" spans="1:5">
      <c r="A4475" s="335">
        <v>46018</v>
      </c>
      <c r="B4475" s="341" t="s">
        <v>76</v>
      </c>
      <c r="C4475" s="345" t="s">
        <v>2350</v>
      </c>
      <c r="D4475" s="345">
        <v>-5</v>
      </c>
      <c r="E4475" s="230" t="s">
        <v>125</v>
      </c>
    </row>
    <row r="4476" spans="1:5">
      <c r="A4476" s="335">
        <v>46018</v>
      </c>
      <c r="B4476" s="93" t="s">
        <v>1224</v>
      </c>
      <c r="C4476" s="43" t="s">
        <v>1615</v>
      </c>
      <c r="D4476" s="43">
        <v>-3</v>
      </c>
      <c r="E4476" s="230" t="s">
        <v>125</v>
      </c>
    </row>
    <row r="4477" spans="1:5">
      <c r="A4477" s="335">
        <v>46018</v>
      </c>
      <c r="B4477" s="343" t="s">
        <v>1532</v>
      </c>
      <c r="C4477" s="43" t="s">
        <v>1660</v>
      </c>
      <c r="D4477" s="43">
        <v>-1</v>
      </c>
      <c r="E4477" s="230" t="s">
        <v>125</v>
      </c>
    </row>
    <row r="4478" spans="1:5">
      <c r="A4478" s="335">
        <v>46018</v>
      </c>
      <c r="B4478" s="343" t="s">
        <v>1246</v>
      </c>
      <c r="C4478" s="43" t="s">
        <v>2113</v>
      </c>
      <c r="D4478" s="43">
        <v>-1</v>
      </c>
      <c r="E4478" s="230" t="s">
        <v>125</v>
      </c>
    </row>
    <row r="4479" spans="1:5">
      <c r="A4479" s="335">
        <v>46018</v>
      </c>
      <c r="B4479" s="343" t="s">
        <v>1249</v>
      </c>
      <c r="C4479" s="43" t="s">
        <v>1660</v>
      </c>
      <c r="D4479" s="43">
        <v>-1</v>
      </c>
      <c r="E4479" s="230" t="s">
        <v>125</v>
      </c>
    </row>
    <row r="4480" spans="1:5">
      <c r="A4480" s="335">
        <v>46018</v>
      </c>
      <c r="B4480" s="93" t="s">
        <v>1224</v>
      </c>
      <c r="C4480" s="43" t="s">
        <v>1615</v>
      </c>
      <c r="D4480" s="43">
        <v>-1</v>
      </c>
      <c r="E4480" s="230" t="s">
        <v>125</v>
      </c>
    </row>
    <row r="4482" spans="1:5">
      <c r="A4482" s="581">
        <v>46020</v>
      </c>
      <c r="B4482" s="582" t="s">
        <v>839</v>
      </c>
      <c r="C4482" s="292" t="s">
        <v>49</v>
      </c>
      <c r="D4482" s="292">
        <v>4</v>
      </c>
      <c r="E4482" s="294" t="s">
        <v>125</v>
      </c>
    </row>
    <row r="4484" spans="1:5">
      <c r="A4484" s="272">
        <v>46020</v>
      </c>
      <c r="B4484" s="128" t="s">
        <v>76</v>
      </c>
      <c r="C4484" s="106" t="s">
        <v>49</v>
      </c>
      <c r="D4484" s="106">
        <v>6</v>
      </c>
      <c r="E4484" s="94" t="s">
        <v>125</v>
      </c>
    </row>
    <row r="4485" spans="1:5">
      <c r="A4485" s="272">
        <v>46020</v>
      </c>
      <c r="B4485" s="128" t="s">
        <v>76</v>
      </c>
      <c r="C4485" s="106" t="s">
        <v>49</v>
      </c>
      <c r="D4485" s="106">
        <v>20</v>
      </c>
      <c r="E4485" s="94" t="s">
        <v>125</v>
      </c>
    </row>
    <row r="4486" spans="1:5">
      <c r="A4486" s="272">
        <v>46020</v>
      </c>
      <c r="B4486" s="128" t="s">
        <v>76</v>
      </c>
      <c r="C4486" s="106" t="s">
        <v>49</v>
      </c>
      <c r="D4486" s="106">
        <v>1</v>
      </c>
      <c r="E4486" s="94" t="s">
        <v>125</v>
      </c>
    </row>
    <row r="4487" spans="1:5">
      <c r="A4487" s="272">
        <v>46020</v>
      </c>
      <c r="B4487" s="128" t="s">
        <v>76</v>
      </c>
      <c r="C4487" s="106" t="s">
        <v>49</v>
      </c>
      <c r="D4487" s="106">
        <v>12</v>
      </c>
      <c r="E4487" s="94" t="s">
        <v>125</v>
      </c>
    </row>
    <row r="4488" spans="1:5">
      <c r="A4488" s="272">
        <v>46020</v>
      </c>
      <c r="B4488" s="128" t="s">
        <v>672</v>
      </c>
      <c r="C4488" s="106" t="s">
        <v>49</v>
      </c>
      <c r="D4488" s="106">
        <v>3</v>
      </c>
      <c r="E4488" s="94" t="s">
        <v>125</v>
      </c>
    </row>
    <row r="4489" spans="1:5">
      <c r="A4489" s="272">
        <v>46020</v>
      </c>
      <c r="B4489" s="128" t="s">
        <v>672</v>
      </c>
      <c r="C4489" s="106" t="s">
        <v>49</v>
      </c>
      <c r="D4489" s="106">
        <v>2</v>
      </c>
      <c r="E4489" s="94" t="s">
        <v>125</v>
      </c>
    </row>
    <row r="4490" spans="1:5">
      <c r="A4490" s="272">
        <v>46020</v>
      </c>
      <c r="B4490" s="128" t="s">
        <v>672</v>
      </c>
      <c r="C4490" s="106" t="s">
        <v>49</v>
      </c>
      <c r="D4490" s="106">
        <v>1</v>
      </c>
      <c r="E4490" s="94" t="s">
        <v>125</v>
      </c>
    </row>
    <row r="4491" spans="1:5">
      <c r="A4491" s="272">
        <v>46020</v>
      </c>
      <c r="B4491" s="128" t="s">
        <v>672</v>
      </c>
      <c r="C4491" s="106" t="s">
        <v>49</v>
      </c>
      <c r="D4491" s="106">
        <v>1</v>
      </c>
      <c r="E4491" s="94" t="s">
        <v>125</v>
      </c>
    </row>
    <row r="4492" spans="1:5">
      <c r="A4492" s="272">
        <v>46020</v>
      </c>
      <c r="B4492" s="128" t="s">
        <v>672</v>
      </c>
      <c r="C4492" s="106" t="s">
        <v>49</v>
      </c>
      <c r="D4492" s="106">
        <v>1</v>
      </c>
      <c r="E4492" s="94" t="s">
        <v>125</v>
      </c>
    </row>
    <row r="4493" spans="1:5">
      <c r="A4493" s="272">
        <v>46020</v>
      </c>
      <c r="B4493" s="128" t="s">
        <v>672</v>
      </c>
      <c r="C4493" s="106" t="s">
        <v>49</v>
      </c>
      <c r="D4493" s="106">
        <v>2</v>
      </c>
      <c r="E4493" s="94" t="s">
        <v>125</v>
      </c>
    </row>
    <row r="4494" spans="1:5">
      <c r="A4494" s="272">
        <v>46020</v>
      </c>
      <c r="B4494" s="128" t="s">
        <v>76</v>
      </c>
      <c r="C4494" s="106" t="s">
        <v>49</v>
      </c>
      <c r="D4494" s="106">
        <v>8</v>
      </c>
      <c r="E4494" s="94" t="s">
        <v>125</v>
      </c>
    </row>
    <row r="4495" spans="1:5">
      <c r="A4495" s="272">
        <v>46020</v>
      </c>
      <c r="B4495" s="233" t="s">
        <v>375</v>
      </c>
      <c r="C4495" s="106" t="s">
        <v>49</v>
      </c>
      <c r="D4495" s="106">
        <v>3</v>
      </c>
      <c r="E4495" s="94" t="s">
        <v>125</v>
      </c>
    </row>
    <row r="4496" spans="1:5">
      <c r="A4496" s="272">
        <v>46020</v>
      </c>
      <c r="B4496" s="139" t="s">
        <v>1617</v>
      </c>
      <c r="C4496" s="106" t="s">
        <v>49</v>
      </c>
      <c r="D4496" s="106">
        <v>3</v>
      </c>
      <c r="E4496" s="94" t="s">
        <v>125</v>
      </c>
    </row>
    <row r="4497" spans="1:5">
      <c r="A4497" s="272">
        <v>46020</v>
      </c>
      <c r="B4497" s="139" t="s">
        <v>1782</v>
      </c>
      <c r="C4497" s="106" t="s">
        <v>49</v>
      </c>
      <c r="D4497" s="106">
        <v>3</v>
      </c>
      <c r="E4497" s="94" t="s">
        <v>125</v>
      </c>
    </row>
    <row r="4498" spans="1:5">
      <c r="A4498" s="272">
        <v>46020</v>
      </c>
      <c r="B4498" s="139" t="s">
        <v>2357</v>
      </c>
      <c r="C4498" s="106" t="s">
        <v>49</v>
      </c>
      <c r="D4498" s="106">
        <v>1</v>
      </c>
      <c r="E4498" s="94" t="s">
        <v>125</v>
      </c>
    </row>
    <row r="4499" spans="1:5">
      <c r="A4499" s="272">
        <v>46020</v>
      </c>
      <c r="B4499" s="128" t="s">
        <v>642</v>
      </c>
      <c r="C4499" s="106" t="s">
        <v>49</v>
      </c>
      <c r="D4499" s="106">
        <v>3</v>
      </c>
      <c r="E4499" s="94" t="s">
        <v>125</v>
      </c>
    </row>
    <row r="4500" spans="1:5">
      <c r="A4500" s="272">
        <v>46020</v>
      </c>
      <c r="B4500" s="139" t="s">
        <v>2358</v>
      </c>
      <c r="C4500" s="106" t="s">
        <v>49</v>
      </c>
      <c r="D4500" s="106">
        <v>3</v>
      </c>
      <c r="E4500" s="94" t="s">
        <v>125</v>
      </c>
    </row>
    <row r="4501" spans="1:5">
      <c r="A4501" s="272">
        <v>46020</v>
      </c>
      <c r="B4501" s="139" t="s">
        <v>1249</v>
      </c>
      <c r="C4501" s="106" t="s">
        <v>49</v>
      </c>
      <c r="D4501" s="106">
        <v>3</v>
      </c>
      <c r="E4501" s="94" t="s">
        <v>125</v>
      </c>
    </row>
    <row r="4502" spans="1:5">
      <c r="A4502" s="272">
        <v>46020</v>
      </c>
      <c r="B4502" s="139" t="s">
        <v>935</v>
      </c>
      <c r="C4502" s="106" t="s">
        <v>49</v>
      </c>
      <c r="D4502" s="106">
        <v>1</v>
      </c>
      <c r="E4502" s="94" t="s">
        <v>125</v>
      </c>
    </row>
    <row r="4503" spans="1:5">
      <c r="A4503" s="272">
        <v>46020</v>
      </c>
      <c r="B4503" s="139" t="s">
        <v>1246</v>
      </c>
      <c r="C4503" s="106" t="s">
        <v>49</v>
      </c>
      <c r="D4503" s="106">
        <v>6</v>
      </c>
      <c r="E4503" s="94" t="s">
        <v>125</v>
      </c>
    </row>
    <row r="4504" spans="1:5">
      <c r="A4504" s="272">
        <v>46020</v>
      </c>
      <c r="B4504" s="139" t="s">
        <v>1575</v>
      </c>
      <c r="C4504" s="106" t="s">
        <v>49</v>
      </c>
      <c r="D4504" s="106">
        <v>9</v>
      </c>
      <c r="E4504" s="94" t="s">
        <v>125</v>
      </c>
    </row>
    <row r="4505" spans="1:5">
      <c r="A4505" s="272">
        <v>46020</v>
      </c>
      <c r="B4505" s="139" t="s">
        <v>2386</v>
      </c>
      <c r="C4505" s="106" t="s">
        <v>49</v>
      </c>
      <c r="D4505" s="106">
        <v>6</v>
      </c>
      <c r="E4505" s="94" t="s">
        <v>125</v>
      </c>
    </row>
    <row r="4506" spans="1:5">
      <c r="A4506" s="272">
        <v>46020</v>
      </c>
      <c r="B4506" s="139" t="s">
        <v>807</v>
      </c>
      <c r="C4506" s="106" t="s">
        <v>49</v>
      </c>
      <c r="D4506" s="106">
        <v>9</v>
      </c>
      <c r="E4506" s="94" t="s">
        <v>125</v>
      </c>
    </row>
    <row r="4507" spans="1:5">
      <c r="A4507" s="272">
        <v>46020</v>
      </c>
      <c r="B4507" s="139" t="s">
        <v>1575</v>
      </c>
      <c r="C4507" s="106" t="s">
        <v>49</v>
      </c>
      <c r="D4507" s="106">
        <v>6</v>
      </c>
      <c r="E4507" s="94" t="s">
        <v>125</v>
      </c>
    </row>
    <row r="4508" spans="1:5">
      <c r="A4508" s="272">
        <v>46020</v>
      </c>
      <c r="B4508" s="139" t="s">
        <v>1617</v>
      </c>
      <c r="C4508" s="106" t="s">
        <v>49</v>
      </c>
      <c r="D4508" s="106">
        <v>3</v>
      </c>
      <c r="E4508" s="94" t="s">
        <v>125</v>
      </c>
    </row>
    <row r="4509" spans="1:5">
      <c r="A4509" s="272">
        <v>46020</v>
      </c>
      <c r="B4509" s="139" t="s">
        <v>807</v>
      </c>
      <c r="C4509" s="106" t="s">
        <v>49</v>
      </c>
      <c r="D4509" s="106">
        <v>2</v>
      </c>
      <c r="E4509" s="94" t="s">
        <v>125</v>
      </c>
    </row>
    <row r="4510" spans="1:5">
      <c r="A4510" s="272">
        <v>46020</v>
      </c>
      <c r="B4510" s="139" t="s">
        <v>1617</v>
      </c>
      <c r="C4510" s="106" t="s">
        <v>49</v>
      </c>
      <c r="D4510" s="106">
        <v>3</v>
      </c>
      <c r="E4510" s="94" t="s">
        <v>125</v>
      </c>
    </row>
    <row r="4511" spans="1:5">
      <c r="A4511" s="272">
        <v>46020</v>
      </c>
      <c r="B4511" s="139" t="s">
        <v>2374</v>
      </c>
      <c r="C4511" s="106" t="s">
        <v>49</v>
      </c>
      <c r="D4511" s="106">
        <v>2</v>
      </c>
      <c r="E4511" s="94" t="s">
        <v>125</v>
      </c>
    </row>
    <row r="4512" spans="1:5">
      <c r="A4512" s="272">
        <v>46020</v>
      </c>
      <c r="B4512" s="139" t="s">
        <v>2375</v>
      </c>
      <c r="C4512" s="106" t="s">
        <v>49</v>
      </c>
      <c r="D4512" s="106">
        <v>1</v>
      </c>
      <c r="E4512" s="94" t="s">
        <v>125</v>
      </c>
    </row>
    <row r="4513" spans="1:6">
      <c r="A4513" s="272">
        <v>46020</v>
      </c>
      <c r="B4513" s="139" t="s">
        <v>807</v>
      </c>
      <c r="C4513" s="106" t="s">
        <v>49</v>
      </c>
      <c r="D4513" s="106">
        <v>1</v>
      </c>
      <c r="E4513" s="94" t="s">
        <v>125</v>
      </c>
    </row>
    <row r="4514" spans="1:6">
      <c r="A4514" s="272">
        <v>46020</v>
      </c>
      <c r="B4514" s="139" t="s">
        <v>808</v>
      </c>
      <c r="C4514" s="106" t="s">
        <v>49</v>
      </c>
      <c r="D4514" s="106">
        <v>50</v>
      </c>
      <c r="E4514" s="94" t="s">
        <v>125</v>
      </c>
    </row>
    <row r="4515" spans="1:6">
      <c r="A4515" s="272">
        <v>46020</v>
      </c>
      <c r="B4515" s="139" t="s">
        <v>807</v>
      </c>
      <c r="C4515" s="106" t="s">
        <v>49</v>
      </c>
      <c r="D4515" s="106">
        <v>37</v>
      </c>
      <c r="E4515" s="94" t="s">
        <v>125</v>
      </c>
    </row>
    <row r="4516" spans="1:6">
      <c r="A4516" s="272">
        <v>46020</v>
      </c>
      <c r="B4516" s="128" t="s">
        <v>76</v>
      </c>
      <c r="C4516" s="106" t="s">
        <v>49</v>
      </c>
      <c r="D4516" s="106">
        <v>50</v>
      </c>
      <c r="E4516" s="94" t="s">
        <v>125</v>
      </c>
    </row>
    <row r="4518" spans="1:6">
      <c r="A4518" s="272">
        <v>46020</v>
      </c>
      <c r="B4518" s="139" t="s">
        <v>1246</v>
      </c>
      <c r="C4518" s="106" t="s">
        <v>49</v>
      </c>
      <c r="D4518" s="106">
        <v>2</v>
      </c>
      <c r="E4518" s="94" t="s">
        <v>125</v>
      </c>
      <c r="F4518" t="s">
        <v>2387</v>
      </c>
    </row>
    <row r="4519" spans="1:6">
      <c r="A4519" s="272">
        <v>46020</v>
      </c>
      <c r="B4519" s="139" t="s">
        <v>1249</v>
      </c>
      <c r="C4519" s="106" t="s">
        <v>49</v>
      </c>
      <c r="D4519" s="106">
        <v>2</v>
      </c>
      <c r="E4519" s="94" t="s">
        <v>125</v>
      </c>
    </row>
    <row r="4520" spans="1:6">
      <c r="A4520" s="272">
        <v>46020</v>
      </c>
      <c r="B4520" s="139" t="s">
        <v>807</v>
      </c>
      <c r="C4520" s="106" t="s">
        <v>49</v>
      </c>
      <c r="D4520" s="106">
        <v>2</v>
      </c>
      <c r="E4520" s="94" t="s">
        <v>125</v>
      </c>
    </row>
    <row r="4521" spans="1:6">
      <c r="A4521" s="272">
        <v>46020</v>
      </c>
      <c r="B4521" s="139" t="s">
        <v>1249</v>
      </c>
      <c r="C4521" s="106" t="s">
        <v>49</v>
      </c>
      <c r="D4521" s="106">
        <v>2</v>
      </c>
      <c r="E4521" s="94" t="s">
        <v>125</v>
      </c>
    </row>
    <row r="4522" spans="1:6">
      <c r="A4522" s="272">
        <v>46020</v>
      </c>
      <c r="B4522" s="139" t="s">
        <v>1249</v>
      </c>
      <c r="C4522" s="106" t="s">
        <v>49</v>
      </c>
      <c r="D4522" s="106">
        <v>3</v>
      </c>
      <c r="E4522" s="94" t="s">
        <v>125</v>
      </c>
    </row>
    <row r="4523" spans="1:6">
      <c r="A4523" s="272">
        <v>46020</v>
      </c>
      <c r="B4523" s="139" t="s">
        <v>807</v>
      </c>
      <c r="C4523" s="106" t="s">
        <v>49</v>
      </c>
      <c r="D4523" s="106">
        <v>3</v>
      </c>
      <c r="E4523" s="94" t="s">
        <v>125</v>
      </c>
    </row>
    <row r="4525" spans="1:6">
      <c r="A4525" s="434">
        <v>46020</v>
      </c>
      <c r="B4525" s="168" t="s">
        <v>1334</v>
      </c>
      <c r="C4525" s="166" t="s">
        <v>2388</v>
      </c>
      <c r="D4525" s="166">
        <v>2</v>
      </c>
      <c r="E4525" s="615" t="s">
        <v>125</v>
      </c>
    </row>
    <row r="4527" spans="1:6">
      <c r="A4527" s="310">
        <v>46020</v>
      </c>
      <c r="B4527" s="526" t="s">
        <v>2389</v>
      </c>
      <c r="C4527" s="312" t="s">
        <v>2390</v>
      </c>
      <c r="D4527" s="312">
        <v>1</v>
      </c>
      <c r="E4527" s="313" t="s">
        <v>125</v>
      </c>
    </row>
    <row r="4529" spans="1:6">
      <c r="A4529" s="335">
        <v>46020</v>
      </c>
      <c r="B4529" s="343" t="s">
        <v>1537</v>
      </c>
      <c r="C4529" s="345" t="s">
        <v>2391</v>
      </c>
      <c r="D4529" s="345">
        <v>-1</v>
      </c>
      <c r="E4529" s="230" t="s">
        <v>125</v>
      </c>
    </row>
    <row r="4530" spans="1:6">
      <c r="A4530" s="335">
        <v>46020</v>
      </c>
      <c r="B4530" s="343" t="s">
        <v>2389</v>
      </c>
      <c r="C4530" s="345" t="s">
        <v>2391</v>
      </c>
      <c r="D4530" s="345">
        <v>-1</v>
      </c>
      <c r="E4530" s="230" t="s">
        <v>125</v>
      </c>
    </row>
    <row r="4531" spans="1:6">
      <c r="A4531" s="335">
        <v>46020</v>
      </c>
      <c r="B4531" s="343" t="s">
        <v>1539</v>
      </c>
      <c r="C4531" s="345" t="s">
        <v>2391</v>
      </c>
      <c r="D4531" s="345">
        <v>-2</v>
      </c>
      <c r="E4531" s="230" t="s">
        <v>125</v>
      </c>
    </row>
    <row r="4532" spans="1:6">
      <c r="A4532" s="335">
        <v>46020</v>
      </c>
      <c r="B4532" s="344" t="s">
        <v>932</v>
      </c>
      <c r="C4532" s="345" t="s">
        <v>2391</v>
      </c>
      <c r="D4532" s="345">
        <v>-8</v>
      </c>
      <c r="E4532" s="230" t="s">
        <v>125</v>
      </c>
    </row>
    <row r="4533" spans="1:6">
      <c r="A4533" s="335">
        <v>46020</v>
      </c>
      <c r="B4533" s="343" t="s">
        <v>1521</v>
      </c>
      <c r="C4533" s="345" t="s">
        <v>2391</v>
      </c>
      <c r="D4533" s="345">
        <v>-1</v>
      </c>
      <c r="E4533" s="230" t="s">
        <v>125</v>
      </c>
    </row>
    <row r="4534" spans="1:6">
      <c r="A4534" s="335">
        <v>46020</v>
      </c>
      <c r="B4534" s="343" t="s">
        <v>1520</v>
      </c>
      <c r="C4534" s="345" t="s">
        <v>2391</v>
      </c>
      <c r="D4534" s="345">
        <v>-1</v>
      </c>
      <c r="E4534" s="230" t="s">
        <v>125</v>
      </c>
    </row>
    <row r="4536" spans="1:6">
      <c r="A4536" s="272">
        <v>46021</v>
      </c>
      <c r="B4536" s="139" t="s">
        <v>1575</v>
      </c>
      <c r="C4536" s="106" t="s">
        <v>49</v>
      </c>
      <c r="D4536" s="106">
        <v>40</v>
      </c>
      <c r="E4536" s="94" t="s">
        <v>125</v>
      </c>
      <c r="F4536" t="s">
        <v>2387</v>
      </c>
    </row>
    <row r="4537" spans="1:6">
      <c r="A4537" s="272">
        <v>46021</v>
      </c>
      <c r="B4537" s="139" t="s">
        <v>807</v>
      </c>
      <c r="C4537" s="106" t="s">
        <v>49</v>
      </c>
      <c r="D4537" s="106">
        <v>2</v>
      </c>
      <c r="E4537" s="94" t="s">
        <v>125</v>
      </c>
    </row>
    <row r="4538" spans="1:6">
      <c r="A4538" s="272">
        <v>46021</v>
      </c>
      <c r="B4538" s="139" t="s">
        <v>2375</v>
      </c>
      <c r="C4538" s="106" t="s">
        <v>49</v>
      </c>
      <c r="D4538" s="106">
        <v>3</v>
      </c>
      <c r="E4538" s="94" t="s">
        <v>125</v>
      </c>
    </row>
    <row r="4539" spans="1:6">
      <c r="A4539" s="272">
        <v>46021</v>
      </c>
      <c r="B4539" s="139" t="s">
        <v>2386</v>
      </c>
      <c r="C4539" s="106" t="s">
        <v>49</v>
      </c>
      <c r="D4539" s="106">
        <v>2</v>
      </c>
      <c r="E4539" s="94" t="s">
        <v>125</v>
      </c>
    </row>
    <row r="4540" spans="1:6">
      <c r="A4540" s="272">
        <v>46021</v>
      </c>
      <c r="B4540" s="139" t="s">
        <v>807</v>
      </c>
      <c r="C4540" s="106" t="s">
        <v>49</v>
      </c>
      <c r="D4540" s="106">
        <v>2</v>
      </c>
      <c r="E4540" s="94" t="s">
        <v>125</v>
      </c>
    </row>
    <row r="4541" spans="1:6">
      <c r="A4541" s="272">
        <v>46021</v>
      </c>
      <c r="B4541" s="139" t="s">
        <v>1249</v>
      </c>
      <c r="C4541" s="106" t="s">
        <v>49</v>
      </c>
      <c r="D4541" s="106">
        <v>2</v>
      </c>
      <c r="E4541" s="94" t="s">
        <v>125</v>
      </c>
    </row>
    <row r="4542" spans="1:6">
      <c r="A4542" s="272">
        <v>46021</v>
      </c>
      <c r="B4542" s="139" t="s">
        <v>2392</v>
      </c>
      <c r="C4542" s="106" t="s">
        <v>49</v>
      </c>
      <c r="D4542" s="106">
        <v>1</v>
      </c>
      <c r="E4542" s="94" t="s">
        <v>125</v>
      </c>
    </row>
    <row r="4543" spans="1:6">
      <c r="A4543" s="272">
        <v>46021</v>
      </c>
      <c r="B4543" s="139" t="s">
        <v>2401</v>
      </c>
      <c r="C4543" s="106" t="s">
        <v>49</v>
      </c>
      <c r="D4543" s="106">
        <v>2</v>
      </c>
      <c r="E4543" s="94" t="s">
        <v>125</v>
      </c>
    </row>
    <row r="4544" spans="1:6">
      <c r="A4544" s="272">
        <v>46021</v>
      </c>
      <c r="B4544" s="139" t="s">
        <v>2394</v>
      </c>
      <c r="C4544" s="106" t="s">
        <v>49</v>
      </c>
      <c r="D4544" s="106">
        <v>3</v>
      </c>
      <c r="E4544" s="94" t="s">
        <v>125</v>
      </c>
    </row>
    <row r="4545" spans="1:5">
      <c r="A4545" s="272">
        <v>46021</v>
      </c>
      <c r="B4545" s="139" t="s">
        <v>2395</v>
      </c>
      <c r="C4545" s="106" t="s">
        <v>49</v>
      </c>
      <c r="D4545" s="106">
        <v>3</v>
      </c>
      <c r="E4545" s="94" t="s">
        <v>125</v>
      </c>
    </row>
    <row r="4547" spans="1:5">
      <c r="A4547" s="265">
        <v>46021</v>
      </c>
      <c r="B4547" s="84" t="s">
        <v>134</v>
      </c>
      <c r="C4547" s="43" t="s">
        <v>678</v>
      </c>
      <c r="D4547" s="43">
        <v>-1</v>
      </c>
      <c r="E4547" s="230" t="s">
        <v>125</v>
      </c>
    </row>
    <row r="4548" spans="1:5">
      <c r="A4548" s="265">
        <v>46021</v>
      </c>
      <c r="B4548" s="343" t="s">
        <v>1291</v>
      </c>
      <c r="C4548" s="43" t="s">
        <v>2339</v>
      </c>
      <c r="D4548" s="43">
        <v>-2</v>
      </c>
      <c r="E4548" s="230" t="s">
        <v>125</v>
      </c>
    </row>
    <row r="4549" spans="1:5">
      <c r="A4549" s="265">
        <v>46021</v>
      </c>
      <c r="B4549" s="343" t="s">
        <v>1291</v>
      </c>
      <c r="C4549" s="43" t="s">
        <v>2339</v>
      </c>
      <c r="D4549" s="43">
        <v>-3</v>
      </c>
      <c r="E4549" s="230" t="s">
        <v>125</v>
      </c>
    </row>
    <row r="4550" spans="1:5">
      <c r="A4550" s="265">
        <v>46021</v>
      </c>
      <c r="B4550" s="343" t="s">
        <v>1271</v>
      </c>
      <c r="C4550" s="43" t="s">
        <v>1605</v>
      </c>
      <c r="D4550" s="43">
        <v>-1</v>
      </c>
      <c r="E4550" s="230" t="s">
        <v>125</v>
      </c>
    </row>
    <row r="4551" spans="1:5">
      <c r="A4551" s="265">
        <v>46021</v>
      </c>
      <c r="B4551" s="343" t="s">
        <v>1271</v>
      </c>
      <c r="C4551" s="43" t="s">
        <v>1605</v>
      </c>
      <c r="D4551" s="43">
        <v>-2</v>
      </c>
      <c r="E4551" s="230" t="s">
        <v>125</v>
      </c>
    </row>
    <row r="4552" spans="1:5">
      <c r="A4552" s="265">
        <v>46021</v>
      </c>
      <c r="B4552" s="343" t="s">
        <v>1327</v>
      </c>
      <c r="C4552" s="43" t="s">
        <v>1605</v>
      </c>
      <c r="D4552" s="43">
        <v>-5</v>
      </c>
      <c r="E4552" s="230" t="s">
        <v>125</v>
      </c>
    </row>
    <row r="4553" spans="1:5">
      <c r="A4553" s="265">
        <v>46021</v>
      </c>
      <c r="B4553" s="343" t="s">
        <v>2160</v>
      </c>
      <c r="C4553" s="43" t="s">
        <v>2402</v>
      </c>
      <c r="D4553" s="43">
        <v>-6</v>
      </c>
      <c r="E4553" s="230" t="s">
        <v>125</v>
      </c>
    </row>
    <row r="4555" spans="1:5">
      <c r="A4555" s="265">
        <v>46022</v>
      </c>
      <c r="B4555" s="343" t="s">
        <v>1297</v>
      </c>
      <c r="C4555" s="43" t="s">
        <v>2403</v>
      </c>
      <c r="D4555" s="43">
        <v>-1</v>
      </c>
      <c r="E4555" s="230" t="s">
        <v>125</v>
      </c>
    </row>
    <row r="4556" spans="1:5">
      <c r="A4556" s="265">
        <v>46022</v>
      </c>
      <c r="B4556" s="343" t="s">
        <v>1717</v>
      </c>
      <c r="C4556" s="43" t="s">
        <v>2403</v>
      </c>
      <c r="D4556" s="43">
        <v>-1</v>
      </c>
      <c r="E4556" s="230" t="s">
        <v>125</v>
      </c>
    </row>
    <row r="4557" spans="1:5">
      <c r="A4557" s="265">
        <v>46022</v>
      </c>
      <c r="B4557" s="92" t="s">
        <v>642</v>
      </c>
      <c r="C4557" s="43" t="s">
        <v>2404</v>
      </c>
      <c r="D4557" s="43">
        <v>-1</v>
      </c>
      <c r="E4557" s="230" t="s">
        <v>125</v>
      </c>
    </row>
    <row r="4559" spans="1:5">
      <c r="A4559" s="434">
        <v>46022</v>
      </c>
      <c r="B4559" s="503" t="s">
        <v>960</v>
      </c>
      <c r="C4559" s="166" t="s">
        <v>2405</v>
      </c>
      <c r="D4559" s="166">
        <v>1</v>
      </c>
      <c r="E4559" s="615" t="s">
        <v>125</v>
      </c>
    </row>
    <row r="4560" spans="1:5">
      <c r="A4560" s="434">
        <v>46022</v>
      </c>
      <c r="B4560" s="167" t="s">
        <v>375</v>
      </c>
      <c r="C4560" s="166" t="s">
        <v>2405</v>
      </c>
      <c r="D4560" s="166">
        <v>1</v>
      </c>
      <c r="E4560" s="615" t="s">
        <v>125</v>
      </c>
    </row>
    <row r="4561" spans="1:5">
      <c r="A4561" s="434">
        <v>46022</v>
      </c>
      <c r="B4561" s="168" t="s">
        <v>2148</v>
      </c>
      <c r="C4561" s="166" t="s">
        <v>2405</v>
      </c>
      <c r="D4561" s="166">
        <v>1</v>
      </c>
      <c r="E4561" s="615" t="s">
        <v>125</v>
      </c>
    </row>
    <row r="4562" spans="1:5">
      <c r="A4562" s="434">
        <v>46022</v>
      </c>
      <c r="B4562" s="168" t="s">
        <v>2151</v>
      </c>
      <c r="C4562" s="166" t="s">
        <v>2405</v>
      </c>
      <c r="D4562" s="166">
        <v>2</v>
      </c>
      <c r="E4562" s="615" t="s">
        <v>125</v>
      </c>
    </row>
    <row r="4564" spans="1:5">
      <c r="A4564" s="335">
        <v>46022</v>
      </c>
      <c r="B4564" s="343" t="s">
        <v>1575</v>
      </c>
      <c r="C4564" s="345" t="s">
        <v>1656</v>
      </c>
      <c r="D4564" s="345">
        <v>-31</v>
      </c>
      <c r="E4564" s="230" t="s">
        <v>125</v>
      </c>
    </row>
    <row r="4565" spans="1:5">
      <c r="A4565" s="335">
        <v>46022</v>
      </c>
      <c r="B4565" s="343" t="s">
        <v>1575</v>
      </c>
      <c r="C4565" s="345" t="s">
        <v>1656</v>
      </c>
      <c r="D4565" s="345">
        <v>-42</v>
      </c>
      <c r="E4565" s="230" t="s">
        <v>125</v>
      </c>
    </row>
    <row r="4566" spans="1:5">
      <c r="A4566" s="335">
        <v>46022</v>
      </c>
      <c r="B4566" s="343" t="s">
        <v>1246</v>
      </c>
      <c r="C4566" s="43" t="s">
        <v>2406</v>
      </c>
      <c r="D4566" s="43">
        <v>-4</v>
      </c>
      <c r="E4566" s="230" t="s">
        <v>125</v>
      </c>
    </row>
    <row r="4567" spans="1:5">
      <c r="A4567" s="335">
        <v>46022</v>
      </c>
      <c r="B4567" s="343" t="s">
        <v>1246</v>
      </c>
      <c r="C4567" s="43" t="s">
        <v>2407</v>
      </c>
      <c r="D4567" s="43">
        <v>-4</v>
      </c>
      <c r="E4567" s="230" t="s">
        <v>125</v>
      </c>
    </row>
    <row r="4568" spans="1:5">
      <c r="A4568" s="335">
        <v>46022</v>
      </c>
      <c r="B4568" s="343" t="s">
        <v>1246</v>
      </c>
      <c r="C4568" s="43" t="s">
        <v>2407</v>
      </c>
      <c r="D4568" s="43">
        <v>-1</v>
      </c>
      <c r="E4568" s="230" t="s">
        <v>125</v>
      </c>
    </row>
    <row r="4569" spans="1:5">
      <c r="A4569" s="335">
        <v>46022</v>
      </c>
      <c r="B4569" s="343" t="s">
        <v>1246</v>
      </c>
      <c r="C4569" s="43" t="s">
        <v>2407</v>
      </c>
      <c r="D4569" s="43">
        <v>-2</v>
      </c>
      <c r="E4569" s="230" t="s">
        <v>125</v>
      </c>
    </row>
    <row r="4570" spans="1:5">
      <c r="A4570" s="335">
        <v>46022</v>
      </c>
      <c r="B4570" s="104" t="s">
        <v>932</v>
      </c>
      <c r="C4570" s="43" t="s">
        <v>2406</v>
      </c>
      <c r="D4570" s="43">
        <v>-3</v>
      </c>
      <c r="E4570" s="230" t="s">
        <v>125</v>
      </c>
    </row>
    <row r="4571" spans="1:5">
      <c r="A4571" s="335">
        <v>46022</v>
      </c>
      <c r="B4571" s="343" t="s">
        <v>2314</v>
      </c>
      <c r="C4571" s="43" t="s">
        <v>2406</v>
      </c>
      <c r="D4571" s="43">
        <v>-1</v>
      </c>
      <c r="E4571" s="230" t="s">
        <v>125</v>
      </c>
    </row>
    <row r="4573" spans="1:5">
      <c r="A4573" s="272">
        <v>46023</v>
      </c>
      <c r="B4573" s="128" t="s">
        <v>76</v>
      </c>
      <c r="C4573" s="106" t="s">
        <v>49</v>
      </c>
      <c r="D4573" s="106">
        <v>8</v>
      </c>
      <c r="E4573" s="94" t="s">
        <v>125</v>
      </c>
    </row>
    <row r="4574" spans="1:5">
      <c r="A4574" s="272">
        <v>46023</v>
      </c>
      <c r="B4574" s="139" t="s">
        <v>808</v>
      </c>
      <c r="C4574" s="106" t="s">
        <v>49</v>
      </c>
      <c r="D4574" s="106">
        <v>2</v>
      </c>
      <c r="E4574" s="94" t="s">
        <v>125</v>
      </c>
    </row>
    <row r="4576" spans="1:5">
      <c r="A4576" s="272">
        <v>46023</v>
      </c>
      <c r="B4576" s="139" t="s">
        <v>807</v>
      </c>
      <c r="C4576" s="106" t="s">
        <v>49</v>
      </c>
      <c r="D4576" s="106">
        <v>1</v>
      </c>
      <c r="E4576" s="94" t="s">
        <v>125</v>
      </c>
    </row>
    <row r="4577" spans="1:6">
      <c r="A4577" s="272">
        <v>46023</v>
      </c>
      <c r="B4577" s="128" t="s">
        <v>76</v>
      </c>
      <c r="C4577" s="106" t="s">
        <v>49</v>
      </c>
      <c r="D4577" s="106">
        <v>3</v>
      </c>
      <c r="E4577" s="94" t="s">
        <v>125</v>
      </c>
    </row>
    <row r="4579" spans="1:6">
      <c r="A4579" s="323">
        <v>45660</v>
      </c>
      <c r="B4579" s="325" t="s">
        <v>1246</v>
      </c>
      <c r="C4579" s="322" t="s">
        <v>682</v>
      </c>
      <c r="D4579" s="322">
        <v>7</v>
      </c>
      <c r="E4579" s="321" t="s">
        <v>125</v>
      </c>
      <c r="F4579" t="s">
        <v>2522</v>
      </c>
    </row>
    <row r="4580" spans="1:6">
      <c r="A4580" s="323">
        <v>45660</v>
      </c>
      <c r="B4580" s="325" t="s">
        <v>1246</v>
      </c>
      <c r="C4580" s="322" t="s">
        <v>682</v>
      </c>
      <c r="D4580" s="322">
        <v>3</v>
      </c>
      <c r="E4580" s="321" t="s">
        <v>125</v>
      </c>
    </row>
    <row r="4581" spans="1:6">
      <c r="A4581" s="323">
        <v>45660</v>
      </c>
      <c r="B4581" s="325" t="s">
        <v>1249</v>
      </c>
      <c r="C4581" s="322" t="s">
        <v>682</v>
      </c>
      <c r="D4581" s="322">
        <v>1</v>
      </c>
      <c r="E4581" s="321" t="s">
        <v>125</v>
      </c>
    </row>
    <row r="4582" spans="1:6">
      <c r="A4582" s="323">
        <v>45660</v>
      </c>
      <c r="B4582" s="324" t="s">
        <v>134</v>
      </c>
      <c r="C4582" s="322" t="s">
        <v>682</v>
      </c>
      <c r="D4582" s="322">
        <v>1</v>
      </c>
      <c r="E4582" s="321" t="s">
        <v>125</v>
      </c>
    </row>
    <row r="4583" spans="1:6">
      <c r="A4583" s="323">
        <v>45660</v>
      </c>
      <c r="B4583" s="325" t="s">
        <v>936</v>
      </c>
      <c r="C4583" s="322" t="s">
        <v>682</v>
      </c>
      <c r="D4583" s="322">
        <v>1</v>
      </c>
      <c r="E4583" s="321" t="s">
        <v>125</v>
      </c>
    </row>
    <row r="4584" spans="1:6">
      <c r="A4584" s="323">
        <v>45660</v>
      </c>
      <c r="B4584" s="325" t="s">
        <v>166</v>
      </c>
      <c r="C4584" s="322" t="s">
        <v>682</v>
      </c>
      <c r="D4584" s="322">
        <v>1</v>
      </c>
      <c r="E4584" s="321" t="s">
        <v>125</v>
      </c>
    </row>
    <row r="4585" spans="1:6">
      <c r="A4585" s="323">
        <v>45660</v>
      </c>
      <c r="B4585" s="325" t="s">
        <v>929</v>
      </c>
      <c r="C4585" s="322" t="s">
        <v>682</v>
      </c>
      <c r="D4585" s="322">
        <v>2</v>
      </c>
      <c r="E4585" s="321" t="s">
        <v>125</v>
      </c>
    </row>
    <row r="4586" spans="1:6">
      <c r="A4586" s="323">
        <v>45660</v>
      </c>
      <c r="B4586" s="325" t="s">
        <v>169</v>
      </c>
      <c r="C4586" s="322" t="s">
        <v>682</v>
      </c>
      <c r="D4586" s="322">
        <v>1</v>
      </c>
      <c r="E4586" s="321" t="s">
        <v>125</v>
      </c>
    </row>
    <row r="4587" spans="1:6">
      <c r="A4587" s="323">
        <v>45660</v>
      </c>
      <c r="B4587" s="325" t="s">
        <v>1319</v>
      </c>
      <c r="C4587" s="322" t="s">
        <v>682</v>
      </c>
      <c r="D4587" s="322">
        <v>4</v>
      </c>
      <c r="E4587" s="321" t="s">
        <v>125</v>
      </c>
    </row>
    <row r="4588" spans="1:6">
      <c r="A4588" s="323">
        <v>45660</v>
      </c>
      <c r="B4588" s="325" t="s">
        <v>1318</v>
      </c>
      <c r="C4588" s="322" t="s">
        <v>682</v>
      </c>
      <c r="D4588" s="322">
        <v>1</v>
      </c>
      <c r="E4588" s="321" t="s">
        <v>125</v>
      </c>
    </row>
    <row r="4589" spans="1:6">
      <c r="A4589" s="323">
        <v>45660</v>
      </c>
      <c r="B4589" s="425" t="s">
        <v>170</v>
      </c>
      <c r="C4589" s="322" t="s">
        <v>682</v>
      </c>
      <c r="D4589" s="322">
        <v>1</v>
      </c>
      <c r="E4589" s="321" t="s">
        <v>125</v>
      </c>
    </row>
    <row r="4590" spans="1:6">
      <c r="A4590" s="323">
        <v>45660</v>
      </c>
      <c r="B4590" s="325" t="s">
        <v>2517</v>
      </c>
      <c r="C4590" s="322" t="s">
        <v>682</v>
      </c>
      <c r="D4590" s="322">
        <v>1</v>
      </c>
      <c r="E4590" s="321" t="s">
        <v>125</v>
      </c>
    </row>
    <row r="4591" spans="1:6">
      <c r="A4591" s="323">
        <v>45660</v>
      </c>
      <c r="B4591" s="324" t="s">
        <v>513</v>
      </c>
      <c r="C4591" s="322" t="s">
        <v>682</v>
      </c>
      <c r="D4591" s="322">
        <v>1</v>
      </c>
      <c r="E4591" s="321" t="s">
        <v>125</v>
      </c>
    </row>
    <row r="4592" spans="1:6">
      <c r="A4592" s="323">
        <v>45660</v>
      </c>
      <c r="B4592" s="325" t="s">
        <v>1641</v>
      </c>
      <c r="C4592" s="322" t="s">
        <v>682</v>
      </c>
      <c r="D4592" s="322">
        <v>1</v>
      </c>
      <c r="E4592" s="321" t="s">
        <v>125</v>
      </c>
    </row>
    <row r="4593" spans="1:5">
      <c r="A4593" s="323">
        <v>45660</v>
      </c>
      <c r="B4593" s="324" t="s">
        <v>919</v>
      </c>
      <c r="C4593" s="322" t="s">
        <v>682</v>
      </c>
      <c r="D4593" s="322">
        <v>1</v>
      </c>
      <c r="E4593" s="321" t="s">
        <v>125</v>
      </c>
    </row>
    <row r="4594" spans="1:5">
      <c r="A4594" s="323">
        <v>45660</v>
      </c>
      <c r="B4594" s="325" t="s">
        <v>2142</v>
      </c>
      <c r="C4594" s="322" t="s">
        <v>682</v>
      </c>
      <c r="D4594" s="322">
        <v>1</v>
      </c>
      <c r="E4594" s="321" t="s">
        <v>125</v>
      </c>
    </row>
    <row r="4595" spans="1:5">
      <c r="A4595" s="323">
        <v>45660</v>
      </c>
      <c r="B4595" s="325" t="s">
        <v>2142</v>
      </c>
      <c r="C4595" s="322" t="s">
        <v>682</v>
      </c>
      <c r="D4595" s="322">
        <v>1</v>
      </c>
      <c r="E4595" s="321" t="s">
        <v>125</v>
      </c>
    </row>
    <row r="4596" spans="1:5">
      <c r="A4596" s="323">
        <v>45660</v>
      </c>
      <c r="B4596" s="325" t="s">
        <v>1095</v>
      </c>
      <c r="C4596" s="322" t="s">
        <v>682</v>
      </c>
      <c r="D4596" s="322">
        <v>2</v>
      </c>
      <c r="E4596" s="321" t="s">
        <v>125</v>
      </c>
    </row>
    <row r="4597" spans="1:5">
      <c r="A4597" s="323">
        <v>45660</v>
      </c>
      <c r="B4597" s="324" t="s">
        <v>2156</v>
      </c>
      <c r="C4597" s="322" t="s">
        <v>682</v>
      </c>
      <c r="D4597" s="322">
        <v>2</v>
      </c>
      <c r="E4597" s="321" t="s">
        <v>125</v>
      </c>
    </row>
    <row r="4598" spans="1:5">
      <c r="A4598" s="323">
        <v>45660</v>
      </c>
      <c r="B4598" s="325" t="s">
        <v>2312</v>
      </c>
      <c r="C4598" s="322" t="s">
        <v>682</v>
      </c>
      <c r="D4598" s="322">
        <v>1</v>
      </c>
      <c r="E4598" s="321" t="s">
        <v>125</v>
      </c>
    </row>
    <row r="4599" spans="1:5">
      <c r="A4599" s="323">
        <v>45660</v>
      </c>
      <c r="B4599" s="425" t="s">
        <v>1149</v>
      </c>
      <c r="C4599" s="322" t="s">
        <v>682</v>
      </c>
      <c r="D4599" s="322">
        <v>1</v>
      </c>
      <c r="E4599" s="321" t="s">
        <v>125</v>
      </c>
    </row>
    <row r="4600" spans="1:5">
      <c r="A4600" s="323">
        <v>45660</v>
      </c>
      <c r="B4600" s="325" t="s">
        <v>1291</v>
      </c>
      <c r="C4600" s="322" t="s">
        <v>682</v>
      </c>
      <c r="D4600" s="322">
        <v>1</v>
      </c>
      <c r="E4600" s="321" t="s">
        <v>125</v>
      </c>
    </row>
    <row r="4601" spans="1:5">
      <c r="A4601" s="323">
        <v>45660</v>
      </c>
      <c r="B4601" s="325" t="s">
        <v>1491</v>
      </c>
      <c r="C4601" s="322" t="s">
        <v>682</v>
      </c>
      <c r="D4601" s="322">
        <v>1</v>
      </c>
      <c r="E4601" s="321" t="s">
        <v>125</v>
      </c>
    </row>
    <row r="4602" spans="1:5">
      <c r="A4602" s="323">
        <v>45660</v>
      </c>
      <c r="B4602" s="325" t="s">
        <v>1490</v>
      </c>
      <c r="C4602" s="322" t="s">
        <v>682</v>
      </c>
      <c r="D4602" s="322">
        <v>1</v>
      </c>
      <c r="E4602" s="321" t="s">
        <v>125</v>
      </c>
    </row>
    <row r="4603" spans="1:5">
      <c r="A4603" s="323">
        <v>45660</v>
      </c>
      <c r="B4603" s="325" t="s">
        <v>1409</v>
      </c>
      <c r="C4603" s="322" t="s">
        <v>682</v>
      </c>
      <c r="D4603" s="322">
        <v>4</v>
      </c>
      <c r="E4603" s="321" t="s">
        <v>125</v>
      </c>
    </row>
    <row r="4604" spans="1:5">
      <c r="A4604" s="323">
        <v>45660</v>
      </c>
      <c r="B4604" s="325" t="s">
        <v>1312</v>
      </c>
      <c r="C4604" s="322" t="s">
        <v>682</v>
      </c>
      <c r="D4604" s="322">
        <v>3</v>
      </c>
      <c r="E4604" s="321" t="s">
        <v>125</v>
      </c>
    </row>
    <row r="4605" spans="1:5">
      <c r="A4605" s="323">
        <v>45660</v>
      </c>
      <c r="B4605" s="425" t="s">
        <v>375</v>
      </c>
      <c r="C4605" s="322" t="s">
        <v>682</v>
      </c>
      <c r="D4605" s="322">
        <v>4</v>
      </c>
      <c r="E4605" s="321" t="s">
        <v>125</v>
      </c>
    </row>
    <row r="4606" spans="1:5">
      <c r="A4606" s="323">
        <v>45660</v>
      </c>
      <c r="B4606" s="425" t="s">
        <v>375</v>
      </c>
      <c r="C4606" s="322" t="s">
        <v>682</v>
      </c>
      <c r="D4606" s="322">
        <v>2</v>
      </c>
      <c r="E4606" s="321" t="s">
        <v>125</v>
      </c>
    </row>
    <row r="4607" spans="1:5">
      <c r="A4607" s="323">
        <v>45660</v>
      </c>
      <c r="B4607" s="325" t="s">
        <v>2518</v>
      </c>
      <c r="C4607" s="322" t="s">
        <v>682</v>
      </c>
      <c r="D4607" s="322">
        <v>1</v>
      </c>
      <c r="E4607" s="321" t="s">
        <v>125</v>
      </c>
    </row>
    <row r="4608" spans="1:5">
      <c r="A4608" s="323">
        <v>45660</v>
      </c>
      <c r="B4608" s="325" t="s">
        <v>2519</v>
      </c>
      <c r="C4608" s="322" t="s">
        <v>682</v>
      </c>
      <c r="D4608" s="322">
        <v>1</v>
      </c>
      <c r="E4608" s="321" t="s">
        <v>125</v>
      </c>
    </row>
    <row r="4609" spans="1:5">
      <c r="A4609" s="323">
        <v>45660</v>
      </c>
      <c r="B4609" s="325" t="s">
        <v>2520</v>
      </c>
      <c r="C4609" s="322" t="s">
        <v>682</v>
      </c>
      <c r="D4609" s="322">
        <v>1</v>
      </c>
      <c r="E4609" s="321" t="s">
        <v>125</v>
      </c>
    </row>
    <row r="4610" spans="1:5">
      <c r="A4610" s="323">
        <v>45660</v>
      </c>
      <c r="B4610" s="325" t="s">
        <v>2521</v>
      </c>
      <c r="C4610" s="322" t="s">
        <v>682</v>
      </c>
      <c r="D4610" s="322">
        <v>1</v>
      </c>
      <c r="E4610" s="321" t="s">
        <v>125</v>
      </c>
    </row>
    <row r="4612" spans="1:5">
      <c r="A4612" s="323">
        <v>45660</v>
      </c>
      <c r="B4612" s="325" t="s">
        <v>1537</v>
      </c>
      <c r="C4612" s="322" t="s">
        <v>2523</v>
      </c>
      <c r="D4612" s="322">
        <v>3</v>
      </c>
      <c r="E4612" s="321" t="s">
        <v>125</v>
      </c>
    </row>
    <row r="4614" spans="1:5">
      <c r="A4614" s="346">
        <v>46023</v>
      </c>
      <c r="B4614" s="349" t="s">
        <v>1246</v>
      </c>
      <c r="C4614" s="348" t="s">
        <v>2093</v>
      </c>
      <c r="D4614" s="348">
        <v>6</v>
      </c>
      <c r="E4614" s="360" t="s">
        <v>125</v>
      </c>
    </row>
    <row r="4615" spans="1:5">
      <c r="A4615" s="346">
        <v>46023</v>
      </c>
      <c r="B4615" s="349" t="s">
        <v>1246</v>
      </c>
      <c r="C4615" s="348" t="s">
        <v>2093</v>
      </c>
      <c r="D4615" s="348">
        <v>4</v>
      </c>
      <c r="E4615" s="360" t="s">
        <v>125</v>
      </c>
    </row>
    <row r="4616" spans="1:5">
      <c r="A4616" s="346">
        <v>46023</v>
      </c>
      <c r="B4616" s="349" t="s">
        <v>1246</v>
      </c>
      <c r="C4616" s="348" t="s">
        <v>2093</v>
      </c>
      <c r="D4616" s="348">
        <v>2</v>
      </c>
      <c r="E4616" s="360" t="s">
        <v>125</v>
      </c>
    </row>
    <row r="4617" spans="1:5">
      <c r="A4617" s="346">
        <v>46023</v>
      </c>
      <c r="B4617" s="349" t="s">
        <v>1271</v>
      </c>
      <c r="C4617" s="348" t="s">
        <v>2093</v>
      </c>
      <c r="D4617" s="348">
        <v>2</v>
      </c>
      <c r="E4617" s="360" t="s">
        <v>125</v>
      </c>
    </row>
    <row r="4618" spans="1:5">
      <c r="A4618" s="346">
        <v>46023</v>
      </c>
      <c r="B4618" s="349" t="s">
        <v>1271</v>
      </c>
      <c r="C4618" s="348" t="s">
        <v>2093</v>
      </c>
      <c r="D4618" s="348">
        <v>2</v>
      </c>
      <c r="E4618" s="360" t="s">
        <v>125</v>
      </c>
    </row>
    <row r="4619" spans="1:5">
      <c r="A4619" s="346">
        <v>46023</v>
      </c>
      <c r="B4619" s="349" t="s">
        <v>1327</v>
      </c>
      <c r="C4619" s="348" t="s">
        <v>2093</v>
      </c>
      <c r="D4619" s="348">
        <v>5</v>
      </c>
      <c r="E4619" s="360" t="s">
        <v>125</v>
      </c>
    </row>
    <row r="4620" spans="1:5">
      <c r="A4620" s="346">
        <v>46023</v>
      </c>
      <c r="B4620" s="349" t="s">
        <v>1326</v>
      </c>
      <c r="C4620" s="348" t="s">
        <v>2093</v>
      </c>
      <c r="D4620" s="348">
        <v>2</v>
      </c>
      <c r="E4620" s="360" t="s">
        <v>125</v>
      </c>
    </row>
    <row r="4621" spans="1:5">
      <c r="A4621" s="346">
        <v>46023</v>
      </c>
      <c r="B4621" s="349" t="s">
        <v>1641</v>
      </c>
      <c r="C4621" s="348" t="s">
        <v>2093</v>
      </c>
      <c r="D4621" s="348">
        <v>1</v>
      </c>
      <c r="E4621" s="360" t="s">
        <v>125</v>
      </c>
    </row>
    <row r="4622" spans="1:5">
      <c r="A4622" s="346">
        <v>46023</v>
      </c>
      <c r="B4622" s="349" t="s">
        <v>1291</v>
      </c>
      <c r="C4622" s="348" t="s">
        <v>2093</v>
      </c>
      <c r="D4622" s="348">
        <v>5</v>
      </c>
      <c r="E4622" s="360" t="s">
        <v>125</v>
      </c>
    </row>
    <row r="4623" spans="1:5">
      <c r="A4623" s="346">
        <v>46023</v>
      </c>
      <c r="B4623" s="349" t="s">
        <v>1491</v>
      </c>
      <c r="C4623" s="348" t="s">
        <v>2093</v>
      </c>
      <c r="D4623" s="348">
        <v>2</v>
      </c>
      <c r="E4623" s="360" t="s">
        <v>125</v>
      </c>
    </row>
    <row r="4624" spans="1:5">
      <c r="A4624" s="346">
        <v>46023</v>
      </c>
      <c r="B4624" s="351" t="s">
        <v>932</v>
      </c>
      <c r="C4624" s="348" t="s">
        <v>2093</v>
      </c>
      <c r="D4624" s="348">
        <v>3</v>
      </c>
      <c r="E4624" s="360" t="s">
        <v>125</v>
      </c>
    </row>
    <row r="4626" spans="1:6">
      <c r="A4626" s="346">
        <v>46023</v>
      </c>
      <c r="B4626" s="349" t="s">
        <v>1246</v>
      </c>
      <c r="C4626" s="348" t="s">
        <v>2093</v>
      </c>
      <c r="D4626" s="348">
        <v>6</v>
      </c>
      <c r="E4626" s="360" t="s">
        <v>125</v>
      </c>
      <c r="F4626" t="s">
        <v>2565</v>
      </c>
    </row>
    <row r="4627" spans="1:6">
      <c r="A4627" s="346">
        <v>46023</v>
      </c>
      <c r="B4627" s="349" t="s">
        <v>1246</v>
      </c>
      <c r="C4627" s="348" t="s">
        <v>2093</v>
      </c>
      <c r="D4627" s="348">
        <v>1</v>
      </c>
      <c r="E4627" s="360" t="s">
        <v>125</v>
      </c>
    </row>
    <row r="4628" spans="1:6">
      <c r="A4628" s="346">
        <v>46023</v>
      </c>
      <c r="B4628" s="349" t="s">
        <v>1271</v>
      </c>
      <c r="C4628" s="348" t="s">
        <v>2093</v>
      </c>
      <c r="D4628" s="348">
        <v>7</v>
      </c>
      <c r="E4628" s="360" t="s">
        <v>125</v>
      </c>
    </row>
    <row r="4629" spans="1:6">
      <c r="A4629" s="346">
        <v>46023</v>
      </c>
      <c r="B4629" s="349" t="s">
        <v>1271</v>
      </c>
      <c r="C4629" s="348" t="s">
        <v>2093</v>
      </c>
      <c r="D4629" s="348">
        <v>1</v>
      </c>
      <c r="E4629" s="360" t="s">
        <v>125</v>
      </c>
    </row>
    <row r="4630" spans="1:6">
      <c r="A4630" s="346">
        <v>46023</v>
      </c>
      <c r="B4630" s="349" t="s">
        <v>1301</v>
      </c>
      <c r="C4630" s="348" t="s">
        <v>2093</v>
      </c>
      <c r="D4630" s="348">
        <v>2</v>
      </c>
      <c r="E4630" s="360" t="s">
        <v>125</v>
      </c>
    </row>
    <row r="4631" spans="1:6">
      <c r="A4631" s="346">
        <v>46023</v>
      </c>
      <c r="B4631" s="349" t="s">
        <v>1327</v>
      </c>
      <c r="C4631" s="348" t="s">
        <v>2093</v>
      </c>
      <c r="D4631" s="348">
        <v>2</v>
      </c>
      <c r="E4631" s="360" t="s">
        <v>125</v>
      </c>
    </row>
    <row r="4632" spans="1:6">
      <c r="A4632" s="346">
        <v>46023</v>
      </c>
      <c r="B4632" s="349" t="s">
        <v>1568</v>
      </c>
      <c r="C4632" s="348" t="s">
        <v>2093</v>
      </c>
      <c r="D4632" s="348">
        <v>1</v>
      </c>
      <c r="E4632" s="360" t="s">
        <v>125</v>
      </c>
    </row>
    <row r="4633" spans="1:6">
      <c r="A4633" s="346">
        <v>46023</v>
      </c>
      <c r="B4633" s="349" t="s">
        <v>1291</v>
      </c>
      <c r="C4633" s="348" t="s">
        <v>2093</v>
      </c>
      <c r="D4633" s="348">
        <v>7</v>
      </c>
      <c r="E4633" s="360" t="s">
        <v>125</v>
      </c>
    </row>
    <row r="4634" spans="1:6">
      <c r="A4634" s="346">
        <v>46023</v>
      </c>
      <c r="B4634" s="349" t="s">
        <v>1291</v>
      </c>
      <c r="C4634" s="348" t="s">
        <v>2093</v>
      </c>
      <c r="D4634" s="348">
        <v>2</v>
      </c>
      <c r="E4634" s="360" t="s">
        <v>125</v>
      </c>
    </row>
    <row r="4635" spans="1:6">
      <c r="A4635" s="346">
        <v>46023</v>
      </c>
      <c r="B4635" s="349" t="s">
        <v>1291</v>
      </c>
      <c r="C4635" s="348" t="s">
        <v>2093</v>
      </c>
      <c r="D4635" s="348">
        <v>1</v>
      </c>
      <c r="E4635" s="360" t="s">
        <v>125</v>
      </c>
    </row>
    <row r="4636" spans="1:6">
      <c r="A4636" s="346">
        <v>46023</v>
      </c>
      <c r="B4636" s="349" t="s">
        <v>1271</v>
      </c>
      <c r="C4636" s="348" t="s">
        <v>2093</v>
      </c>
      <c r="D4636" s="348">
        <v>1</v>
      </c>
      <c r="E4636" s="360" t="s">
        <v>125</v>
      </c>
    </row>
    <row r="4638" spans="1:6">
      <c r="A4638" s="346">
        <v>46023</v>
      </c>
      <c r="B4638" s="349" t="s">
        <v>1246</v>
      </c>
      <c r="C4638" s="348" t="s">
        <v>2093</v>
      </c>
      <c r="D4638" s="348">
        <v>6</v>
      </c>
      <c r="E4638" s="360" t="s">
        <v>125</v>
      </c>
      <c r="F4638" t="s">
        <v>2567</v>
      </c>
    </row>
    <row r="4639" spans="1:6">
      <c r="A4639" s="346">
        <v>46023</v>
      </c>
      <c r="B4639" s="349" t="s">
        <v>1246</v>
      </c>
      <c r="C4639" s="348" t="s">
        <v>2093</v>
      </c>
      <c r="D4639" s="348">
        <v>2</v>
      </c>
      <c r="E4639" s="360" t="s">
        <v>125</v>
      </c>
    </row>
    <row r="4640" spans="1:6">
      <c r="A4640" s="346">
        <v>46023</v>
      </c>
      <c r="B4640" s="349" t="s">
        <v>1271</v>
      </c>
      <c r="C4640" s="348" t="s">
        <v>2093</v>
      </c>
      <c r="D4640" s="348">
        <v>7</v>
      </c>
      <c r="E4640" s="360" t="s">
        <v>125</v>
      </c>
    </row>
    <row r="4641" spans="1:5">
      <c r="A4641" s="346">
        <v>46023</v>
      </c>
      <c r="B4641" s="349" t="s">
        <v>1327</v>
      </c>
      <c r="C4641" s="348" t="s">
        <v>2093</v>
      </c>
      <c r="D4641" s="348">
        <v>4</v>
      </c>
      <c r="E4641" s="360" t="s">
        <v>125</v>
      </c>
    </row>
    <row r="4642" spans="1:5">
      <c r="A4642" s="346">
        <v>46023</v>
      </c>
      <c r="B4642" s="349" t="s">
        <v>1568</v>
      </c>
      <c r="C4642" s="348" t="s">
        <v>2093</v>
      </c>
      <c r="D4642" s="348">
        <v>1</v>
      </c>
      <c r="E4642" s="360" t="s">
        <v>125</v>
      </c>
    </row>
    <row r="4643" spans="1:5">
      <c r="A4643" s="346">
        <v>46023</v>
      </c>
      <c r="B4643" s="349" t="s">
        <v>1291</v>
      </c>
      <c r="C4643" s="348" t="s">
        <v>2093</v>
      </c>
      <c r="D4643" s="348">
        <v>7</v>
      </c>
      <c r="E4643" s="360" t="s">
        <v>125</v>
      </c>
    </row>
    <row r="4644" spans="1:5">
      <c r="A4644" s="346">
        <v>46023</v>
      </c>
      <c r="B4644" s="349" t="s">
        <v>1491</v>
      </c>
      <c r="C4644" s="348" t="s">
        <v>2093</v>
      </c>
      <c r="D4644" s="348">
        <v>2</v>
      </c>
      <c r="E4644" s="360" t="s">
        <v>125</v>
      </c>
    </row>
    <row r="4645" spans="1:5">
      <c r="A4645" s="346">
        <v>46023</v>
      </c>
      <c r="B4645" s="351" t="s">
        <v>932</v>
      </c>
      <c r="C4645" s="348" t="s">
        <v>2093</v>
      </c>
      <c r="D4645" s="348">
        <v>3</v>
      </c>
      <c r="E4645" s="360" t="s">
        <v>125</v>
      </c>
    </row>
    <row r="4647" spans="1:5">
      <c r="A4647" s="335">
        <v>46023</v>
      </c>
      <c r="B4647" s="341" t="s">
        <v>789</v>
      </c>
      <c r="C4647" s="345" t="s">
        <v>1615</v>
      </c>
      <c r="D4647" s="345">
        <v>-2</v>
      </c>
      <c r="E4647" s="230" t="s">
        <v>125</v>
      </c>
    </row>
    <row r="4648" spans="1:5">
      <c r="A4648" s="335">
        <v>46023</v>
      </c>
      <c r="B4648" s="93" t="s">
        <v>839</v>
      </c>
      <c r="C4648" s="43" t="s">
        <v>1598</v>
      </c>
      <c r="D4648" s="43">
        <v>-2</v>
      </c>
      <c r="E4648" s="230" t="s">
        <v>125</v>
      </c>
    </row>
    <row r="4650" spans="1:5">
      <c r="A4650" s="265">
        <v>46024</v>
      </c>
      <c r="B4650" s="84" t="s">
        <v>881</v>
      </c>
      <c r="C4650" s="43" t="s">
        <v>2076</v>
      </c>
      <c r="D4650" s="43">
        <v>-2</v>
      </c>
      <c r="E4650" s="230" t="s">
        <v>125</v>
      </c>
    </row>
    <row r="4651" spans="1:5">
      <c r="A4651" s="265">
        <v>46024</v>
      </c>
      <c r="B4651" s="93" t="s">
        <v>1568</v>
      </c>
      <c r="C4651" s="43" t="s">
        <v>2080</v>
      </c>
      <c r="D4651" s="43">
        <v>-2</v>
      </c>
      <c r="E4651" s="230" t="s">
        <v>125</v>
      </c>
    </row>
    <row r="4652" spans="1:5">
      <c r="A4652" s="265">
        <v>46024</v>
      </c>
      <c r="B4652" s="343" t="s">
        <v>1641</v>
      </c>
      <c r="C4652" s="43" t="s">
        <v>2080</v>
      </c>
      <c r="D4652" s="43">
        <v>-3</v>
      </c>
      <c r="E4652" s="230" t="s">
        <v>125</v>
      </c>
    </row>
    <row r="4653" spans="1:5">
      <c r="A4653" s="265">
        <v>46024</v>
      </c>
      <c r="B4653" s="93" t="s">
        <v>1568</v>
      </c>
      <c r="C4653" s="43" t="s">
        <v>2080</v>
      </c>
      <c r="D4653" s="43">
        <v>-3</v>
      </c>
      <c r="E4653" s="230" t="s">
        <v>125</v>
      </c>
    </row>
    <row r="4654" spans="1:5">
      <c r="A4654" s="265">
        <v>46024</v>
      </c>
      <c r="B4654" s="84" t="s">
        <v>919</v>
      </c>
      <c r="C4654" s="43" t="s">
        <v>2080</v>
      </c>
      <c r="D4654" s="43">
        <v>-1</v>
      </c>
      <c r="E4654" s="230" t="s">
        <v>125</v>
      </c>
    </row>
    <row r="4655" spans="1:5">
      <c r="A4655" s="265">
        <v>46024</v>
      </c>
      <c r="B4655" s="93" t="s">
        <v>1095</v>
      </c>
      <c r="C4655" s="43" t="s">
        <v>2080</v>
      </c>
      <c r="D4655" s="43">
        <v>-3</v>
      </c>
      <c r="E4655" s="230" t="s">
        <v>125</v>
      </c>
    </row>
    <row r="4656" spans="1:5">
      <c r="A4656" s="265">
        <v>46024</v>
      </c>
      <c r="B4656" s="92" t="s">
        <v>672</v>
      </c>
      <c r="C4656" s="43" t="s">
        <v>2568</v>
      </c>
      <c r="D4656" s="43">
        <v>-1</v>
      </c>
      <c r="E4656" s="230" t="s">
        <v>125</v>
      </c>
    </row>
    <row r="4658" spans="1:5">
      <c r="A4658" s="265">
        <v>46025</v>
      </c>
      <c r="B4658" s="343" t="s">
        <v>1249</v>
      </c>
      <c r="C4658" s="43" t="s">
        <v>1661</v>
      </c>
      <c r="D4658" s="43">
        <v>-5</v>
      </c>
      <c r="E4658" s="230" t="s">
        <v>125</v>
      </c>
    </row>
    <row r="4659" spans="1:5">
      <c r="A4659" s="265">
        <v>46025</v>
      </c>
      <c r="B4659" s="93" t="s">
        <v>839</v>
      </c>
      <c r="C4659" s="43" t="s">
        <v>1836</v>
      </c>
      <c r="D4659" s="43">
        <v>-20</v>
      </c>
      <c r="E4659" s="230" t="s">
        <v>125</v>
      </c>
    </row>
    <row r="4660" spans="1:5">
      <c r="A4660" s="265">
        <v>46025</v>
      </c>
      <c r="B4660" s="93" t="s">
        <v>839</v>
      </c>
      <c r="C4660" s="43" t="s">
        <v>2569</v>
      </c>
      <c r="D4660" s="43">
        <v>-2</v>
      </c>
      <c r="E4660" s="230" t="s">
        <v>125</v>
      </c>
    </row>
    <row r="4661" spans="1:5">
      <c r="A4661" s="265">
        <v>46025</v>
      </c>
      <c r="B4661" s="92" t="s">
        <v>672</v>
      </c>
      <c r="C4661" s="43" t="s">
        <v>1613</v>
      </c>
      <c r="D4661" s="43">
        <v>-1</v>
      </c>
      <c r="E4661" s="230" t="s">
        <v>125</v>
      </c>
    </row>
    <row r="4662" spans="1:5">
      <c r="A4662" s="265">
        <v>46025</v>
      </c>
      <c r="B4662" s="93" t="s">
        <v>482</v>
      </c>
      <c r="C4662" s="43" t="s">
        <v>1598</v>
      </c>
      <c r="D4662" s="43">
        <v>-300</v>
      </c>
      <c r="E4662" s="230" t="s">
        <v>125</v>
      </c>
    </row>
    <row r="4663" spans="1:5">
      <c r="A4663" s="265">
        <v>46025</v>
      </c>
      <c r="B4663" s="84" t="s">
        <v>881</v>
      </c>
      <c r="C4663" s="43" t="s">
        <v>1613</v>
      </c>
      <c r="D4663" s="43">
        <v>-1</v>
      </c>
      <c r="E4663" s="230" t="s">
        <v>125</v>
      </c>
    </row>
    <row r="4664" spans="1:5">
      <c r="A4664" s="265">
        <v>46025</v>
      </c>
      <c r="B4664" s="93" t="s">
        <v>839</v>
      </c>
      <c r="C4664" s="43" t="s">
        <v>1598</v>
      </c>
      <c r="D4664" s="43">
        <v>-3</v>
      </c>
      <c r="E4664" s="230" t="s">
        <v>125</v>
      </c>
    </row>
    <row r="4665" spans="1:5">
      <c r="A4665" s="265">
        <v>46025</v>
      </c>
      <c r="B4665" s="93" t="s">
        <v>1617</v>
      </c>
      <c r="C4665" s="43" t="s">
        <v>1598</v>
      </c>
      <c r="D4665" s="43">
        <v>-10</v>
      </c>
      <c r="E4665" s="230" t="s">
        <v>125</v>
      </c>
    </row>
    <row r="4666" spans="1:5">
      <c r="A4666" s="434">
        <v>46025</v>
      </c>
      <c r="B4666" s="168" t="s">
        <v>1094</v>
      </c>
      <c r="C4666" s="387" t="s">
        <v>2605</v>
      </c>
      <c r="D4666" s="387">
        <v>1</v>
      </c>
      <c r="E4666" s="615" t="s">
        <v>125</v>
      </c>
    </row>
    <row r="4667" spans="1:5">
      <c r="A4667" s="265">
        <v>46361</v>
      </c>
      <c r="B4667" s="93" t="s">
        <v>482</v>
      </c>
      <c r="C4667" s="43" t="s">
        <v>2570</v>
      </c>
      <c r="D4667" s="43">
        <v>-164</v>
      </c>
      <c r="E4667" s="230" t="s">
        <v>125</v>
      </c>
    </row>
    <row r="4668" spans="1:5">
      <c r="A4668" s="265">
        <v>46361</v>
      </c>
      <c r="B4668" s="343" t="s">
        <v>1249</v>
      </c>
      <c r="C4668" s="43" t="s">
        <v>2090</v>
      </c>
      <c r="D4668" s="43">
        <v>-1</v>
      </c>
      <c r="E4668" s="230" t="s">
        <v>125</v>
      </c>
    </row>
    <row r="4669" spans="1:5">
      <c r="A4669" s="265">
        <v>46361</v>
      </c>
      <c r="B4669" s="92" t="s">
        <v>76</v>
      </c>
      <c r="C4669" s="43" t="s">
        <v>1661</v>
      </c>
      <c r="D4669" s="43">
        <v>-100</v>
      </c>
      <c r="E4669" s="230" t="s">
        <v>125</v>
      </c>
    </row>
    <row r="4670" spans="1:5">
      <c r="A4670" s="265">
        <v>46361</v>
      </c>
      <c r="B4670" s="343" t="s">
        <v>1246</v>
      </c>
      <c r="C4670" s="43" t="s">
        <v>2571</v>
      </c>
      <c r="D4670" s="43">
        <v>-5</v>
      </c>
      <c r="E4670" s="230" t="s">
        <v>125</v>
      </c>
    </row>
    <row r="4671" spans="1:5">
      <c r="A4671" s="265">
        <v>46361</v>
      </c>
      <c r="B4671" s="343" t="s">
        <v>1404</v>
      </c>
      <c r="C4671" s="43" t="s">
        <v>2572</v>
      </c>
      <c r="D4671" s="43">
        <v>-1</v>
      </c>
      <c r="E4671" s="230" t="s">
        <v>125</v>
      </c>
    </row>
    <row r="4672" spans="1:5">
      <c r="A4672" s="265">
        <v>46361</v>
      </c>
      <c r="B4672" s="93" t="s">
        <v>839</v>
      </c>
      <c r="C4672" s="43" t="s">
        <v>1595</v>
      </c>
      <c r="D4672" s="43">
        <v>-5</v>
      </c>
      <c r="E4672" s="230" t="s">
        <v>125</v>
      </c>
    </row>
    <row r="4673" spans="1:5">
      <c r="A4673" s="265">
        <v>46361</v>
      </c>
      <c r="B4673" s="92" t="s">
        <v>671</v>
      </c>
      <c r="C4673" s="43" t="s">
        <v>1595</v>
      </c>
      <c r="D4673" s="43">
        <v>-5</v>
      </c>
      <c r="E4673" s="230" t="s">
        <v>125</v>
      </c>
    </row>
    <row r="4674" spans="1:5">
      <c r="A4674" s="265">
        <v>46361</v>
      </c>
      <c r="B4674" s="343" t="s">
        <v>1246</v>
      </c>
      <c r="C4674" s="43" t="s">
        <v>2610</v>
      </c>
      <c r="D4674" s="43">
        <v>-5</v>
      </c>
      <c r="E4674" s="230" t="s">
        <v>125</v>
      </c>
    </row>
    <row r="4675" spans="1:5">
      <c r="A4675" s="265">
        <v>46028</v>
      </c>
      <c r="B4675" s="93" t="s">
        <v>839</v>
      </c>
      <c r="C4675" s="43" t="s">
        <v>2570</v>
      </c>
      <c r="D4675" s="43">
        <v>-2</v>
      </c>
      <c r="E4675" s="230" t="s">
        <v>125</v>
      </c>
    </row>
    <row r="4676" spans="1:5">
      <c r="A4676" s="265">
        <v>46028</v>
      </c>
      <c r="B4676" s="92" t="s">
        <v>76</v>
      </c>
      <c r="C4676" s="43" t="s">
        <v>2570</v>
      </c>
      <c r="D4676" s="43">
        <v>-4</v>
      </c>
      <c r="E4676" s="230" t="s">
        <v>125</v>
      </c>
    </row>
    <row r="4677" spans="1:5">
      <c r="A4677" s="265">
        <v>46028</v>
      </c>
      <c r="B4677" s="92" t="s">
        <v>76</v>
      </c>
      <c r="C4677" s="43" t="s">
        <v>1814</v>
      </c>
      <c r="D4677" s="43">
        <v>-30</v>
      </c>
      <c r="E4677" s="230" t="s">
        <v>125</v>
      </c>
    </row>
    <row r="4678" spans="1:5">
      <c r="A4678" s="265">
        <v>46028</v>
      </c>
      <c r="B4678" s="343" t="s">
        <v>1249</v>
      </c>
      <c r="C4678" s="43" t="s">
        <v>1661</v>
      </c>
      <c r="D4678" s="43">
        <v>-6</v>
      </c>
      <c r="E4678" s="230" t="s">
        <v>125</v>
      </c>
    </row>
    <row r="4679" spans="1:5">
      <c r="A4679" s="265">
        <v>46028</v>
      </c>
      <c r="B4679" s="343" t="s">
        <v>1270</v>
      </c>
      <c r="C4679" s="43" t="s">
        <v>2570</v>
      </c>
      <c r="D4679" s="43">
        <v>-2</v>
      </c>
      <c r="E4679" s="230" t="s">
        <v>125</v>
      </c>
    </row>
    <row r="4680" spans="1:5">
      <c r="A4680" s="265">
        <v>46028</v>
      </c>
      <c r="B4680" s="342" t="s">
        <v>2155</v>
      </c>
      <c r="C4680" s="43" t="s">
        <v>2595</v>
      </c>
      <c r="D4680" s="43">
        <v>-1</v>
      </c>
      <c r="E4680" s="230" t="s">
        <v>125</v>
      </c>
    </row>
    <row r="4681" spans="1:5">
      <c r="A4681" s="265">
        <v>46028</v>
      </c>
      <c r="B4681" s="342" t="s">
        <v>2154</v>
      </c>
      <c r="C4681" s="43" t="s">
        <v>2595</v>
      </c>
      <c r="D4681" s="43">
        <v>-1</v>
      </c>
      <c r="E4681" s="230" t="s">
        <v>125</v>
      </c>
    </row>
    <row r="4682" spans="1:5">
      <c r="A4682" s="265">
        <v>46028</v>
      </c>
      <c r="B4682" s="104" t="s">
        <v>366</v>
      </c>
      <c r="C4682" s="43" t="s">
        <v>2595</v>
      </c>
      <c r="D4682" s="43">
        <v>-3</v>
      </c>
      <c r="E4682" s="230" t="s">
        <v>125</v>
      </c>
    </row>
    <row r="4683" spans="1:5">
      <c r="A4683" s="265">
        <v>46028</v>
      </c>
      <c r="B4683" s="92" t="s">
        <v>882</v>
      </c>
      <c r="C4683" s="43" t="s">
        <v>1598</v>
      </c>
      <c r="D4683" s="43">
        <v>-3</v>
      </c>
      <c r="E4683" s="230" t="s">
        <v>125</v>
      </c>
    </row>
    <row r="4685" spans="1:5">
      <c r="A4685" s="265">
        <v>46029</v>
      </c>
      <c r="B4685" s="92" t="s">
        <v>76</v>
      </c>
      <c r="C4685" s="43" t="s">
        <v>2595</v>
      </c>
      <c r="D4685" s="43">
        <v>-25</v>
      </c>
      <c r="E4685" s="230" t="s">
        <v>125</v>
      </c>
    </row>
    <row r="4686" spans="1:5">
      <c r="A4686" s="265">
        <v>46029</v>
      </c>
      <c r="B4686" s="92" t="s">
        <v>76</v>
      </c>
      <c r="C4686" s="43" t="s">
        <v>1977</v>
      </c>
      <c r="D4686" s="43">
        <v>-100</v>
      </c>
      <c r="E4686" s="230" t="s">
        <v>125</v>
      </c>
    </row>
    <row r="4687" spans="1:5">
      <c r="A4687" s="265">
        <v>46029</v>
      </c>
      <c r="B4687" s="343" t="s">
        <v>1271</v>
      </c>
      <c r="C4687" s="345" t="s">
        <v>1605</v>
      </c>
      <c r="D4687" s="345">
        <v>-3</v>
      </c>
      <c r="E4687" s="230" t="s">
        <v>125</v>
      </c>
    </row>
    <row r="4688" spans="1:5">
      <c r="A4688" s="265">
        <v>46029</v>
      </c>
      <c r="B4688" s="343" t="s">
        <v>1246</v>
      </c>
      <c r="C4688" s="43" t="s">
        <v>2602</v>
      </c>
      <c r="D4688" s="43">
        <v>-3</v>
      </c>
      <c r="E4688" s="230" t="s">
        <v>125</v>
      </c>
    </row>
    <row r="4689" spans="1:5">
      <c r="A4689" s="265">
        <v>46029</v>
      </c>
      <c r="B4689" s="343" t="s">
        <v>1246</v>
      </c>
      <c r="C4689" s="43" t="s">
        <v>2602</v>
      </c>
      <c r="D4689" s="43">
        <v>-1</v>
      </c>
      <c r="E4689" s="230" t="s">
        <v>125</v>
      </c>
    </row>
    <row r="4690" spans="1:5">
      <c r="A4690" s="265">
        <v>46029</v>
      </c>
      <c r="B4690" s="343" t="s">
        <v>1327</v>
      </c>
      <c r="C4690" s="43" t="s">
        <v>1605</v>
      </c>
      <c r="D4690" s="43">
        <v>-6</v>
      </c>
      <c r="E4690" s="230" t="s">
        <v>125</v>
      </c>
    </row>
    <row r="4691" spans="1:5">
      <c r="A4691" s="265">
        <v>46029</v>
      </c>
      <c r="B4691" s="343" t="s">
        <v>1249</v>
      </c>
      <c r="C4691" s="43" t="s">
        <v>1600</v>
      </c>
      <c r="D4691" s="43">
        <v>-1</v>
      </c>
      <c r="E4691" s="230" t="s">
        <v>125</v>
      </c>
    </row>
    <row r="4692" spans="1:5">
      <c r="A4692" s="265">
        <v>46029</v>
      </c>
      <c r="B4692" s="343" t="s">
        <v>1271</v>
      </c>
      <c r="C4692" s="43" t="s">
        <v>1600</v>
      </c>
      <c r="D4692" s="43">
        <v>-7</v>
      </c>
      <c r="E4692" s="230" t="s">
        <v>125</v>
      </c>
    </row>
    <row r="4693" spans="1:5">
      <c r="A4693" s="265">
        <v>46029</v>
      </c>
      <c r="B4693" s="343" t="s">
        <v>1271</v>
      </c>
      <c r="C4693" s="43" t="s">
        <v>1600</v>
      </c>
      <c r="D4693" s="43">
        <v>-1</v>
      </c>
      <c r="E4693" s="230" t="s">
        <v>125</v>
      </c>
    </row>
    <row r="4694" spans="1:5">
      <c r="A4694" s="265">
        <v>46029</v>
      </c>
      <c r="B4694" s="343" t="s">
        <v>1271</v>
      </c>
      <c r="C4694" s="43" t="s">
        <v>1600</v>
      </c>
      <c r="D4694" s="43">
        <v>-1</v>
      </c>
      <c r="E4694" s="230" t="s">
        <v>125</v>
      </c>
    </row>
    <row r="4695" spans="1:5">
      <c r="A4695" s="265">
        <v>46029</v>
      </c>
      <c r="B4695" s="343" t="s">
        <v>1290</v>
      </c>
      <c r="C4695" s="43" t="s">
        <v>2603</v>
      </c>
      <c r="D4695" s="43">
        <v>-2</v>
      </c>
      <c r="E4695" s="230" t="s">
        <v>125</v>
      </c>
    </row>
    <row r="4696" spans="1:5">
      <c r="A4696" s="265">
        <v>46029</v>
      </c>
      <c r="B4696" s="343" t="s">
        <v>1291</v>
      </c>
      <c r="C4696" s="43" t="s">
        <v>2604</v>
      </c>
      <c r="D4696" s="43">
        <v>-3</v>
      </c>
      <c r="E4696" s="230" t="s">
        <v>125</v>
      </c>
    </row>
    <row r="4697" spans="1:5">
      <c r="A4697" s="265">
        <v>46029</v>
      </c>
      <c r="B4697" s="343" t="s">
        <v>1291</v>
      </c>
      <c r="C4697" s="43" t="s">
        <v>2604</v>
      </c>
      <c r="D4697" s="43">
        <v>-10</v>
      </c>
      <c r="E4697" s="230" t="s">
        <v>125</v>
      </c>
    </row>
    <row r="4698" spans="1:5">
      <c r="A4698" s="265">
        <v>46029</v>
      </c>
      <c r="B4698" s="343" t="s">
        <v>1291</v>
      </c>
      <c r="C4698" s="43" t="s">
        <v>2604</v>
      </c>
      <c r="D4698" s="43">
        <v>-4</v>
      </c>
      <c r="E4698" s="230" t="s">
        <v>125</v>
      </c>
    </row>
    <row r="4699" spans="1:5">
      <c r="A4699" s="265">
        <v>46029</v>
      </c>
      <c r="B4699" s="93" t="s">
        <v>1491</v>
      </c>
      <c r="C4699" s="43" t="s">
        <v>2604</v>
      </c>
      <c r="D4699" s="43">
        <v>-4</v>
      </c>
      <c r="E4699" s="230" t="s">
        <v>125</v>
      </c>
    </row>
    <row r="4700" spans="1:5">
      <c r="A4700" s="265">
        <v>46029</v>
      </c>
      <c r="B4700" s="93" t="s">
        <v>1490</v>
      </c>
      <c r="C4700" s="43" t="s">
        <v>2604</v>
      </c>
      <c r="D4700" s="43">
        <v>-2</v>
      </c>
      <c r="E4700" s="230" t="s">
        <v>125</v>
      </c>
    </row>
    <row r="4701" spans="1:5">
      <c r="A4701" s="265">
        <v>46029</v>
      </c>
      <c r="B4701" s="343" t="s">
        <v>1246</v>
      </c>
      <c r="C4701" s="43" t="s">
        <v>2074</v>
      </c>
      <c r="D4701" s="43">
        <v>-3</v>
      </c>
      <c r="E4701" s="230" t="s">
        <v>125</v>
      </c>
    </row>
    <row r="4702" spans="1:5">
      <c r="A4702" s="265">
        <v>46029</v>
      </c>
      <c r="B4702" s="343" t="s">
        <v>1271</v>
      </c>
      <c r="C4702" s="43" t="s">
        <v>2074</v>
      </c>
      <c r="D4702" s="43">
        <v>-4</v>
      </c>
      <c r="E4702" s="230" t="s">
        <v>125</v>
      </c>
    </row>
    <row r="4703" spans="1:5">
      <c r="A4703" s="265">
        <v>46029</v>
      </c>
      <c r="B4703" s="343" t="s">
        <v>1301</v>
      </c>
      <c r="C4703" s="43" t="s">
        <v>2074</v>
      </c>
      <c r="D4703" s="43">
        <v>-2</v>
      </c>
      <c r="E4703" s="230" t="s">
        <v>125</v>
      </c>
    </row>
    <row r="4704" spans="1:5">
      <c r="A4704" s="265">
        <v>46029</v>
      </c>
      <c r="B4704" s="343" t="s">
        <v>1246</v>
      </c>
      <c r="C4704" s="43" t="s">
        <v>1600</v>
      </c>
      <c r="D4704" s="43">
        <v>-3</v>
      </c>
      <c r="E4704" s="230" t="s">
        <v>125</v>
      </c>
    </row>
    <row r="4705" spans="1:5">
      <c r="A4705" s="265">
        <v>46030</v>
      </c>
      <c r="B4705" s="93" t="s">
        <v>808</v>
      </c>
      <c r="C4705" s="43" t="s">
        <v>1661</v>
      </c>
      <c r="D4705" s="43">
        <v>-2</v>
      </c>
      <c r="E4705" s="230" t="s">
        <v>125</v>
      </c>
    </row>
    <row r="4706" spans="1:5">
      <c r="A4706" s="265">
        <v>46030</v>
      </c>
      <c r="B4706" s="84" t="s">
        <v>881</v>
      </c>
      <c r="C4706" s="43" t="s">
        <v>1615</v>
      </c>
      <c r="D4706" s="43">
        <v>-3</v>
      </c>
      <c r="E4706" s="230" t="s">
        <v>125</v>
      </c>
    </row>
    <row r="4707" spans="1:5">
      <c r="A4707" s="265">
        <v>46030</v>
      </c>
      <c r="B4707" s="92" t="s">
        <v>642</v>
      </c>
      <c r="C4707" s="43" t="s">
        <v>1598</v>
      </c>
      <c r="D4707" s="43">
        <v>-15</v>
      </c>
      <c r="E4707" s="230" t="s">
        <v>125</v>
      </c>
    </row>
    <row r="4708" spans="1:5">
      <c r="A4708" s="265">
        <v>46030</v>
      </c>
      <c r="B4708" s="93" t="s">
        <v>1094</v>
      </c>
      <c r="C4708" s="43" t="s">
        <v>1605</v>
      </c>
      <c r="D4708" s="43">
        <v>-1</v>
      </c>
      <c r="E4708" s="230" t="s">
        <v>125</v>
      </c>
    </row>
    <row r="4709" spans="1:5">
      <c r="A4709" s="265">
        <v>46030</v>
      </c>
      <c r="B4709" s="84" t="s">
        <v>881</v>
      </c>
      <c r="C4709" s="43" t="s">
        <v>2606</v>
      </c>
      <c r="D4709" s="43">
        <v>-2</v>
      </c>
      <c r="E4709" s="230" t="s">
        <v>125</v>
      </c>
    </row>
    <row r="4710" spans="1:5">
      <c r="A4710" s="265">
        <v>46030</v>
      </c>
      <c r="B4710" s="343" t="s">
        <v>1246</v>
      </c>
      <c r="C4710" s="43" t="s">
        <v>2078</v>
      </c>
      <c r="D4710" s="43">
        <v>-2</v>
      </c>
      <c r="E4710" s="230" t="s">
        <v>125</v>
      </c>
    </row>
    <row r="4711" spans="1:5">
      <c r="A4711" s="265">
        <v>46030</v>
      </c>
      <c r="B4711" s="92" t="s">
        <v>76</v>
      </c>
      <c r="C4711" s="43" t="s">
        <v>2570</v>
      </c>
      <c r="D4711" s="43">
        <v>-6</v>
      </c>
      <c r="E4711" s="230" t="s">
        <v>125</v>
      </c>
    </row>
    <row r="4712" spans="1:5">
      <c r="A4712" s="265">
        <v>46030</v>
      </c>
      <c r="B4712" s="84" t="s">
        <v>881</v>
      </c>
      <c r="C4712" s="43" t="s">
        <v>1598</v>
      </c>
      <c r="D4712" s="43">
        <v>-3</v>
      </c>
      <c r="E4712" s="230" t="s">
        <v>125</v>
      </c>
    </row>
    <row r="4714" spans="1:5">
      <c r="A4714" s="265">
        <v>46031</v>
      </c>
      <c r="B4714" s="343" t="s">
        <v>1246</v>
      </c>
      <c r="C4714" s="43" t="s">
        <v>1605</v>
      </c>
      <c r="D4714" s="43">
        <v>-6</v>
      </c>
      <c r="E4714" s="230" t="s">
        <v>125</v>
      </c>
    </row>
    <row r="4715" spans="1:5">
      <c r="A4715" s="265">
        <v>46031</v>
      </c>
      <c r="B4715" s="343" t="s">
        <v>1246</v>
      </c>
      <c r="C4715" s="43" t="s">
        <v>1605</v>
      </c>
      <c r="D4715" s="43">
        <v>-5</v>
      </c>
      <c r="E4715" s="230" t="s">
        <v>125</v>
      </c>
    </row>
    <row r="4716" spans="1:5">
      <c r="A4716" s="265">
        <v>46031</v>
      </c>
      <c r="B4716" s="343" t="s">
        <v>1327</v>
      </c>
      <c r="C4716" s="43" t="s">
        <v>1605</v>
      </c>
      <c r="D4716" s="43">
        <v>-1</v>
      </c>
      <c r="E4716" s="230" t="s">
        <v>125</v>
      </c>
    </row>
    <row r="4717" spans="1:5">
      <c r="A4717" s="265">
        <v>46031</v>
      </c>
      <c r="B4717" s="93" t="s">
        <v>839</v>
      </c>
      <c r="C4717" s="43" t="s">
        <v>2607</v>
      </c>
      <c r="D4717" s="43">
        <v>-8</v>
      </c>
      <c r="E4717" s="230" t="s">
        <v>125</v>
      </c>
    </row>
    <row r="4718" spans="1:5">
      <c r="A4718" s="265">
        <v>46031</v>
      </c>
      <c r="B4718" s="343" t="s">
        <v>1246</v>
      </c>
      <c r="C4718" s="43" t="s">
        <v>2113</v>
      </c>
      <c r="D4718" s="43">
        <v>-1</v>
      </c>
      <c r="E4718" s="230" t="s">
        <v>125</v>
      </c>
    </row>
    <row r="4719" spans="1:5">
      <c r="A4719" s="265">
        <v>46031</v>
      </c>
      <c r="B4719" s="84" t="s">
        <v>881</v>
      </c>
      <c r="C4719" s="43" t="s">
        <v>2606</v>
      </c>
      <c r="D4719" s="43">
        <v>-2</v>
      </c>
      <c r="E4719" s="230" t="s">
        <v>125</v>
      </c>
    </row>
    <row r="4720" spans="1:5">
      <c r="A4720" s="265">
        <v>46031</v>
      </c>
      <c r="B4720" s="343" t="s">
        <v>1246</v>
      </c>
      <c r="C4720" s="43" t="s">
        <v>1663</v>
      </c>
      <c r="D4720" s="43">
        <v>-6</v>
      </c>
      <c r="E4720" s="230" t="s">
        <v>125</v>
      </c>
    </row>
    <row r="4721" spans="1:5">
      <c r="A4721" s="265">
        <v>46031</v>
      </c>
      <c r="B4721" s="343" t="s">
        <v>1246</v>
      </c>
      <c r="C4721" s="43" t="s">
        <v>2078</v>
      </c>
      <c r="D4721" s="43">
        <v>-2</v>
      </c>
      <c r="E4721" s="230" t="s">
        <v>125</v>
      </c>
    </row>
    <row r="4722" spans="1:5">
      <c r="A4722" s="265">
        <v>46031</v>
      </c>
      <c r="B4722" s="343" t="s">
        <v>1246</v>
      </c>
      <c r="C4722" s="43" t="s">
        <v>2078</v>
      </c>
      <c r="D4722" s="43">
        <v>-1</v>
      </c>
      <c r="E4722" s="230" t="s">
        <v>125</v>
      </c>
    </row>
    <row r="4723" spans="1:5">
      <c r="A4723" s="265">
        <v>46031</v>
      </c>
      <c r="B4723" s="93" t="s">
        <v>1095</v>
      </c>
      <c r="C4723" s="43" t="s">
        <v>2608</v>
      </c>
      <c r="D4723" s="43">
        <v>-2</v>
      </c>
      <c r="E4723" s="230" t="s">
        <v>125</v>
      </c>
    </row>
    <row r="4725" spans="1:5">
      <c r="A4725" s="265">
        <v>46032</v>
      </c>
      <c r="B4725" s="343" t="s">
        <v>1246</v>
      </c>
      <c r="C4725" s="43" t="s">
        <v>2203</v>
      </c>
      <c r="D4725" s="43">
        <v>-6</v>
      </c>
      <c r="E4725" s="230" t="s">
        <v>125</v>
      </c>
    </row>
    <row r="4726" spans="1:5">
      <c r="A4726" s="265">
        <v>46032</v>
      </c>
      <c r="B4726" s="343" t="s">
        <v>1246</v>
      </c>
      <c r="C4726" s="43" t="s">
        <v>2203</v>
      </c>
      <c r="D4726" s="43">
        <v>-3</v>
      </c>
      <c r="E4726" s="230" t="s">
        <v>125</v>
      </c>
    </row>
    <row r="4727" spans="1:5">
      <c r="A4727" s="265">
        <v>46032</v>
      </c>
      <c r="B4727" s="343" t="s">
        <v>1936</v>
      </c>
      <c r="C4727" s="43" t="s">
        <v>2203</v>
      </c>
      <c r="D4727" s="43">
        <v>-1</v>
      </c>
      <c r="E4727" s="230" t="s">
        <v>125</v>
      </c>
    </row>
    <row r="4728" spans="1:5">
      <c r="A4728" s="265">
        <v>46032</v>
      </c>
      <c r="B4728" s="84" t="s">
        <v>881</v>
      </c>
      <c r="C4728" s="43" t="s">
        <v>1815</v>
      </c>
      <c r="D4728" s="43">
        <v>-5</v>
      </c>
      <c r="E4728" s="230" t="s">
        <v>125</v>
      </c>
    </row>
    <row r="4729" spans="1:5">
      <c r="A4729" s="265">
        <v>46032</v>
      </c>
      <c r="B4729" s="93" t="s">
        <v>1224</v>
      </c>
      <c r="C4729" s="43" t="s">
        <v>1615</v>
      </c>
      <c r="D4729" s="43">
        <v>-2</v>
      </c>
      <c r="E4729" s="230" t="s">
        <v>125</v>
      </c>
    </row>
    <row r="4730" spans="1:5">
      <c r="A4730" s="265">
        <v>46032</v>
      </c>
      <c r="B4730" s="92" t="s">
        <v>882</v>
      </c>
      <c r="C4730" s="43" t="s">
        <v>1613</v>
      </c>
      <c r="D4730" s="43">
        <v>-1</v>
      </c>
      <c r="E4730" s="230" t="s">
        <v>125</v>
      </c>
    </row>
    <row r="4732" spans="1:5">
      <c r="A4732" s="265">
        <v>46033</v>
      </c>
      <c r="B4732" s="104" t="s">
        <v>932</v>
      </c>
      <c r="C4732" s="43" t="s">
        <v>2078</v>
      </c>
      <c r="D4732" s="43">
        <v>-2</v>
      </c>
      <c r="E4732" s="230" t="s">
        <v>125</v>
      </c>
    </row>
    <row r="4734" spans="1:5">
      <c r="A4734" s="265">
        <v>46034</v>
      </c>
      <c r="B4734" s="92" t="s">
        <v>76</v>
      </c>
      <c r="C4734" s="43" t="s">
        <v>2609</v>
      </c>
      <c r="D4734" s="43">
        <v>-4</v>
      </c>
      <c r="E4734" s="230" t="s">
        <v>125</v>
      </c>
    </row>
    <row r="4735" spans="1:5">
      <c r="A4735" s="265">
        <v>46034</v>
      </c>
      <c r="B4735" s="92" t="s">
        <v>672</v>
      </c>
      <c r="C4735" s="43" t="s">
        <v>1615</v>
      </c>
      <c r="D4735" s="43">
        <v>-2</v>
      </c>
      <c r="E4735" s="230" t="s">
        <v>125</v>
      </c>
    </row>
    <row r="4736" spans="1:5">
      <c r="A4736" s="265">
        <v>46034</v>
      </c>
      <c r="B4736" s="93" t="s">
        <v>1224</v>
      </c>
      <c r="C4736" s="43" t="s">
        <v>1615</v>
      </c>
      <c r="D4736" s="43">
        <v>0</v>
      </c>
      <c r="E4736" s="230" t="s">
        <v>125</v>
      </c>
    </row>
    <row r="4737" spans="1:6">
      <c r="A4737" s="265">
        <v>46034</v>
      </c>
      <c r="B4737" s="84" t="s">
        <v>881</v>
      </c>
      <c r="C4737" s="43" t="s">
        <v>1615</v>
      </c>
      <c r="D4737" s="43">
        <v>-2</v>
      </c>
      <c r="E4737" s="230" t="s">
        <v>125</v>
      </c>
    </row>
    <row r="4738" spans="1:6">
      <c r="A4738" s="265">
        <v>46034</v>
      </c>
      <c r="B4738" s="93" t="s">
        <v>1224</v>
      </c>
      <c r="C4738" s="43" t="s">
        <v>1615</v>
      </c>
      <c r="D4738" s="43">
        <v>-1</v>
      </c>
      <c r="E4738" s="230" t="s">
        <v>125</v>
      </c>
    </row>
    <row r="4740" spans="1:6">
      <c r="A4740" s="323">
        <v>46030</v>
      </c>
      <c r="B4740" s="325" t="s">
        <v>1246</v>
      </c>
      <c r="C4740" s="322" t="s">
        <v>682</v>
      </c>
      <c r="D4740" s="322">
        <v>20</v>
      </c>
      <c r="E4740" s="321" t="s">
        <v>125</v>
      </c>
      <c r="F4740" t="s">
        <v>2626</v>
      </c>
    </row>
    <row r="4741" spans="1:6">
      <c r="A4741" s="323">
        <v>46030</v>
      </c>
      <c r="B4741" s="325" t="s">
        <v>1246</v>
      </c>
      <c r="C4741" s="322" t="s">
        <v>682</v>
      </c>
      <c r="D4741" s="322">
        <v>6</v>
      </c>
      <c r="E4741" s="321" t="s">
        <v>125</v>
      </c>
    </row>
    <row r="4742" spans="1:6">
      <c r="A4742" s="323">
        <v>46030</v>
      </c>
      <c r="B4742" s="325" t="s">
        <v>1246</v>
      </c>
      <c r="C4742" s="322" t="s">
        <v>682</v>
      </c>
      <c r="D4742" s="322">
        <v>11</v>
      </c>
      <c r="E4742" s="321" t="s">
        <v>125</v>
      </c>
    </row>
    <row r="4743" spans="1:6">
      <c r="A4743" s="323">
        <v>46030</v>
      </c>
      <c r="B4743" s="325" t="s">
        <v>1271</v>
      </c>
      <c r="C4743" s="322" t="s">
        <v>682</v>
      </c>
      <c r="D4743" s="322">
        <v>1</v>
      </c>
      <c r="E4743" s="321" t="s">
        <v>125</v>
      </c>
    </row>
    <row r="4744" spans="1:6">
      <c r="A4744" s="323">
        <v>46030</v>
      </c>
      <c r="B4744" s="325" t="s">
        <v>154</v>
      </c>
      <c r="C4744" s="322" t="s">
        <v>682</v>
      </c>
      <c r="D4744" s="322">
        <v>6</v>
      </c>
      <c r="E4744" s="321" t="s">
        <v>125</v>
      </c>
    </row>
    <row r="4745" spans="1:6">
      <c r="A4745" s="323">
        <v>46030</v>
      </c>
      <c r="B4745" s="325" t="s">
        <v>2625</v>
      </c>
      <c r="C4745" s="322" t="s">
        <v>682</v>
      </c>
      <c r="D4745" s="322">
        <v>8</v>
      </c>
      <c r="E4745" s="321" t="s">
        <v>125</v>
      </c>
    </row>
    <row r="4747" spans="1:6">
      <c r="A4747" s="265">
        <v>46023</v>
      </c>
      <c r="B4747" s="93" t="s">
        <v>169</v>
      </c>
      <c r="C4747" s="43" t="s">
        <v>678</v>
      </c>
      <c r="D4747" s="43">
        <v>-1</v>
      </c>
      <c r="E4747" s="230" t="s">
        <v>125</v>
      </c>
    </row>
    <row r="4748" spans="1:6">
      <c r="A4748" s="265">
        <v>46024</v>
      </c>
      <c r="B4748" s="84" t="s">
        <v>134</v>
      </c>
      <c r="C4748" s="43" t="s">
        <v>678</v>
      </c>
      <c r="D4748" s="43">
        <v>-1</v>
      </c>
      <c r="E4748" s="230" t="s">
        <v>125</v>
      </c>
    </row>
    <row r="4749" spans="1:6">
      <c r="A4749" s="265">
        <v>46025</v>
      </c>
      <c r="B4749" s="93" t="s">
        <v>167</v>
      </c>
      <c r="C4749" s="43" t="s">
        <v>678</v>
      </c>
      <c r="D4749" s="43">
        <v>-1</v>
      </c>
      <c r="E4749" s="230" t="s">
        <v>125</v>
      </c>
    </row>
    <row r="4750" spans="1:6">
      <c r="A4750" s="265">
        <v>46025</v>
      </c>
      <c r="B4750" s="84" t="s">
        <v>134</v>
      </c>
      <c r="C4750" s="43" t="s">
        <v>678</v>
      </c>
      <c r="D4750" s="43">
        <v>-1</v>
      </c>
      <c r="E4750" s="230" t="s">
        <v>125</v>
      </c>
    </row>
    <row r="4751" spans="1:6">
      <c r="A4751" s="265">
        <v>46025</v>
      </c>
      <c r="B4751" s="343" t="s">
        <v>1249</v>
      </c>
      <c r="C4751" s="43" t="s">
        <v>678</v>
      </c>
      <c r="D4751" s="43">
        <v>-1</v>
      </c>
      <c r="E4751" s="230" t="s">
        <v>125</v>
      </c>
    </row>
    <row r="4752" spans="1:6">
      <c r="A4752" s="265">
        <v>46026</v>
      </c>
      <c r="B4752" s="343" t="s">
        <v>1694</v>
      </c>
      <c r="C4752" s="43" t="s">
        <v>678</v>
      </c>
      <c r="D4752" s="43">
        <v>-1</v>
      </c>
      <c r="E4752" s="230" t="s">
        <v>125</v>
      </c>
    </row>
    <row r="4753" spans="1:5">
      <c r="A4753" s="265">
        <v>46026</v>
      </c>
      <c r="B4753" s="93" t="s">
        <v>169</v>
      </c>
      <c r="C4753" s="43" t="s">
        <v>678</v>
      </c>
      <c r="D4753" s="43">
        <v>-1</v>
      </c>
      <c r="E4753" s="230" t="s">
        <v>125</v>
      </c>
    </row>
    <row r="4754" spans="1:5">
      <c r="A4754" s="265">
        <v>46028</v>
      </c>
      <c r="B4754" s="104" t="s">
        <v>170</v>
      </c>
      <c r="C4754" s="43" t="s">
        <v>678</v>
      </c>
      <c r="D4754" s="43">
        <v>-1</v>
      </c>
      <c r="E4754" s="230" t="s">
        <v>125</v>
      </c>
    </row>
    <row r="4755" spans="1:5">
      <c r="A4755" s="265">
        <v>46028</v>
      </c>
      <c r="B4755" s="343" t="s">
        <v>1318</v>
      </c>
      <c r="C4755" s="43" t="s">
        <v>678</v>
      </c>
      <c r="D4755" s="43">
        <v>-1</v>
      </c>
      <c r="E4755" s="230" t="s">
        <v>125</v>
      </c>
    </row>
    <row r="4756" spans="1:5">
      <c r="A4756" s="265">
        <v>46028</v>
      </c>
      <c r="B4756" s="343" t="s">
        <v>1334</v>
      </c>
      <c r="C4756" s="43" t="s">
        <v>678</v>
      </c>
      <c r="D4756" s="43">
        <v>-1</v>
      </c>
      <c r="E4756" s="230" t="s">
        <v>125</v>
      </c>
    </row>
    <row r="4757" spans="1:5">
      <c r="A4757" s="265">
        <v>46030</v>
      </c>
      <c r="B4757" s="93" t="s">
        <v>167</v>
      </c>
      <c r="C4757" s="43" t="s">
        <v>678</v>
      </c>
      <c r="D4757" s="43">
        <v>-1</v>
      </c>
      <c r="E4757" s="230" t="s">
        <v>125</v>
      </c>
    </row>
    <row r="4758" spans="1:5">
      <c r="A4758" s="265">
        <v>46034</v>
      </c>
      <c r="B4758" s="343" t="s">
        <v>1407</v>
      </c>
      <c r="C4758" s="43" t="s">
        <v>678</v>
      </c>
      <c r="D4758" s="43">
        <v>-1</v>
      </c>
      <c r="E4758" s="230" t="s">
        <v>125</v>
      </c>
    </row>
    <row r="4760" spans="1:5">
      <c r="A4760" s="265">
        <v>46035</v>
      </c>
      <c r="B4760" s="93" t="s">
        <v>169</v>
      </c>
      <c r="C4760" s="43" t="s">
        <v>678</v>
      </c>
      <c r="D4760" s="43">
        <v>-1</v>
      </c>
      <c r="E4760" s="230" t="s">
        <v>125</v>
      </c>
    </row>
    <row r="4761" spans="1:5">
      <c r="A4761" s="265">
        <v>46035</v>
      </c>
      <c r="B4761" s="343" t="s">
        <v>1478</v>
      </c>
      <c r="C4761" s="43" t="s">
        <v>1592</v>
      </c>
      <c r="D4761" s="43">
        <v>-1</v>
      </c>
      <c r="E4761" s="230" t="s">
        <v>125</v>
      </c>
    </row>
    <row r="4762" spans="1:5">
      <c r="A4762" s="265">
        <v>46035</v>
      </c>
      <c r="B4762" s="84" t="s">
        <v>1714</v>
      </c>
      <c r="C4762" s="43" t="s">
        <v>1592</v>
      </c>
      <c r="D4762" s="43">
        <v>-1</v>
      </c>
      <c r="E4762" s="230" t="s">
        <v>125</v>
      </c>
    </row>
    <row r="4763" spans="1:5">
      <c r="A4763" s="265">
        <v>46035</v>
      </c>
      <c r="B4763" s="343" t="s">
        <v>1296</v>
      </c>
      <c r="C4763" s="43" t="s">
        <v>1592</v>
      </c>
      <c r="D4763" s="43">
        <v>-1</v>
      </c>
      <c r="E4763" s="230" t="s">
        <v>125</v>
      </c>
    </row>
    <row r="4764" spans="1:5">
      <c r="A4764" s="265">
        <v>46035</v>
      </c>
      <c r="B4764" s="344" t="s">
        <v>1716</v>
      </c>
      <c r="C4764" s="43" t="s">
        <v>1592</v>
      </c>
      <c r="D4764" s="43">
        <v>-1</v>
      </c>
      <c r="E4764" s="230" t="s">
        <v>125</v>
      </c>
    </row>
    <row r="4765" spans="1:5">
      <c r="A4765" s="265">
        <v>46035</v>
      </c>
      <c r="B4765" s="344" t="s">
        <v>1149</v>
      </c>
      <c r="C4765" s="43" t="s">
        <v>1592</v>
      </c>
      <c r="D4765" s="43">
        <v>-1</v>
      </c>
      <c r="E4765" s="230" t="s">
        <v>125</v>
      </c>
    </row>
    <row r="4766" spans="1:5">
      <c r="A4766" s="265">
        <v>46035</v>
      </c>
      <c r="B4766" s="93" t="s">
        <v>2627</v>
      </c>
      <c r="C4766" s="43" t="s">
        <v>1592</v>
      </c>
      <c r="D4766" s="43">
        <v>-6</v>
      </c>
      <c r="E4766" s="230" t="s">
        <v>125</v>
      </c>
    </row>
    <row r="4767" spans="1:5">
      <c r="A4767" s="265">
        <v>46035</v>
      </c>
      <c r="B4767" s="343" t="s">
        <v>1300</v>
      </c>
      <c r="C4767" s="43" t="s">
        <v>1592</v>
      </c>
      <c r="D4767" s="43">
        <v>-1</v>
      </c>
      <c r="E4767" s="230" t="s">
        <v>125</v>
      </c>
    </row>
    <row r="4768" spans="1:5">
      <c r="A4768" s="265">
        <v>46035</v>
      </c>
      <c r="B4768" s="343" t="s">
        <v>1296</v>
      </c>
      <c r="C4768" s="43" t="s">
        <v>1592</v>
      </c>
      <c r="D4768" s="43">
        <v>-1</v>
      </c>
      <c r="E4768" s="230" t="s">
        <v>125</v>
      </c>
    </row>
    <row r="4769" spans="1:6">
      <c r="A4769" s="265">
        <v>46035</v>
      </c>
      <c r="B4769" s="343" t="s">
        <v>1299</v>
      </c>
      <c r="C4769" s="43" t="s">
        <v>1592</v>
      </c>
      <c r="D4769" s="43">
        <v>-1</v>
      </c>
      <c r="E4769" s="230" t="s">
        <v>125</v>
      </c>
    </row>
    <row r="4770" spans="1:6">
      <c r="A4770" s="265">
        <v>46035</v>
      </c>
      <c r="B4770" s="342" t="s">
        <v>2156</v>
      </c>
      <c r="C4770" s="43" t="s">
        <v>1592</v>
      </c>
      <c r="D4770" s="43">
        <v>-2</v>
      </c>
      <c r="E4770" s="230" t="s">
        <v>125</v>
      </c>
      <c r="F4770" t="s">
        <v>2628</v>
      </c>
    </row>
    <row r="4771" spans="1:6">
      <c r="A4771" s="265">
        <v>46035</v>
      </c>
      <c r="B4771" s="343" t="s">
        <v>2312</v>
      </c>
      <c r="C4771" s="43" t="s">
        <v>1592</v>
      </c>
      <c r="D4771" s="43">
        <v>-1</v>
      </c>
      <c r="E4771" s="230" t="s">
        <v>125</v>
      </c>
      <c r="F4771" s="611" t="s">
        <v>2628</v>
      </c>
    </row>
    <row r="4772" spans="1:6">
      <c r="A4772" s="265">
        <v>46035</v>
      </c>
      <c r="B4772" s="343" t="s">
        <v>1297</v>
      </c>
      <c r="C4772" s="43" t="s">
        <v>1592</v>
      </c>
      <c r="D4772" s="43">
        <v>-1</v>
      </c>
      <c r="E4772" s="230" t="s">
        <v>125</v>
      </c>
      <c r="F4772" s="611" t="s">
        <v>2628</v>
      </c>
    </row>
    <row r="4773" spans="1:6">
      <c r="A4773" s="265">
        <v>46035</v>
      </c>
      <c r="B4773" s="343" t="s">
        <v>2195</v>
      </c>
      <c r="C4773" s="43" t="s">
        <v>1592</v>
      </c>
      <c r="D4773" s="43">
        <v>-1</v>
      </c>
      <c r="E4773" s="230" t="s">
        <v>125</v>
      </c>
      <c r="F4773" s="611" t="s">
        <v>2628</v>
      </c>
    </row>
    <row r="4774" spans="1:6">
      <c r="A4774" s="265">
        <v>46035</v>
      </c>
      <c r="B4774" s="92" t="s">
        <v>76</v>
      </c>
      <c r="C4774" s="43" t="s">
        <v>1786</v>
      </c>
      <c r="D4774" s="43">
        <v>-4</v>
      </c>
      <c r="E4774" s="230" t="s">
        <v>125</v>
      </c>
    </row>
    <row r="4776" spans="1:6">
      <c r="A4776" s="346">
        <v>46036</v>
      </c>
      <c r="B4776" s="349" t="s">
        <v>2646</v>
      </c>
      <c r="C4776" s="348" t="s">
        <v>2093</v>
      </c>
      <c r="D4776" s="348">
        <v>1</v>
      </c>
      <c r="E4776" s="360" t="s">
        <v>125</v>
      </c>
    </row>
    <row r="4777" spans="1:6">
      <c r="A4777" s="346">
        <v>46036</v>
      </c>
      <c r="B4777" s="349" t="s">
        <v>1259</v>
      </c>
      <c r="C4777" s="348" t="s">
        <v>2093</v>
      </c>
      <c r="D4777" s="348">
        <v>1</v>
      </c>
      <c r="E4777" s="360" t="s">
        <v>125</v>
      </c>
    </row>
    <row r="4778" spans="1:6">
      <c r="A4778" s="346">
        <v>46036</v>
      </c>
      <c r="B4778" s="351" t="s">
        <v>1716</v>
      </c>
      <c r="C4778" s="348" t="s">
        <v>2093</v>
      </c>
      <c r="D4778" s="348">
        <v>1</v>
      </c>
      <c r="E4778" s="360" t="s">
        <v>125</v>
      </c>
    </row>
    <row r="4779" spans="1:6">
      <c r="A4779" s="346">
        <v>46036</v>
      </c>
      <c r="B4779" s="349" t="s">
        <v>1297</v>
      </c>
      <c r="C4779" s="348" t="s">
        <v>2093</v>
      </c>
      <c r="D4779" s="348">
        <v>2</v>
      </c>
      <c r="E4779" s="360" t="s">
        <v>125</v>
      </c>
    </row>
    <row r="4780" spans="1:6">
      <c r="A4780" s="346">
        <v>46036</v>
      </c>
      <c r="B4780" s="347" t="s">
        <v>2155</v>
      </c>
      <c r="C4780" s="348" t="s">
        <v>2093</v>
      </c>
      <c r="D4780" s="348">
        <v>1</v>
      </c>
      <c r="E4780" s="360" t="s">
        <v>125</v>
      </c>
    </row>
    <row r="4781" spans="1:6">
      <c r="A4781" s="346">
        <v>46036</v>
      </c>
      <c r="B4781" s="349" t="s">
        <v>1296</v>
      </c>
      <c r="C4781" s="348" t="s">
        <v>2093</v>
      </c>
      <c r="D4781" s="348">
        <v>1</v>
      </c>
      <c r="E4781" s="360" t="s">
        <v>125</v>
      </c>
    </row>
    <row r="4782" spans="1:6">
      <c r="A4782" s="346">
        <v>46036</v>
      </c>
      <c r="B4782" s="349" t="s">
        <v>2627</v>
      </c>
      <c r="C4782" s="348" t="s">
        <v>2093</v>
      </c>
      <c r="D4782" s="348">
        <v>6</v>
      </c>
      <c r="E4782" s="360" t="s">
        <v>125</v>
      </c>
    </row>
    <row r="4784" spans="1:6">
      <c r="A4784" s="265">
        <v>46036</v>
      </c>
      <c r="B4784" s="343" t="s">
        <v>1717</v>
      </c>
      <c r="C4784" s="43" t="s">
        <v>2608</v>
      </c>
      <c r="D4784" s="43">
        <v>-1</v>
      </c>
      <c r="E4784" s="230" t="s">
        <v>125</v>
      </c>
    </row>
    <row r="4785" spans="1:5">
      <c r="A4785" s="265">
        <v>46036</v>
      </c>
      <c r="B4785" s="343" t="s">
        <v>1246</v>
      </c>
      <c r="C4785" s="43" t="s">
        <v>2113</v>
      </c>
      <c r="D4785" s="43">
        <v>-2</v>
      </c>
      <c r="E4785" s="230" t="s">
        <v>125</v>
      </c>
    </row>
    <row r="4786" spans="1:5">
      <c r="A4786" s="265">
        <v>46036</v>
      </c>
      <c r="B4786" s="343" t="s">
        <v>1271</v>
      </c>
      <c r="C4786" s="43" t="s">
        <v>2113</v>
      </c>
      <c r="D4786" s="43">
        <v>-1</v>
      </c>
      <c r="E4786" s="230" t="s">
        <v>125</v>
      </c>
    </row>
    <row r="4787" spans="1:5">
      <c r="A4787" s="265">
        <v>46036</v>
      </c>
      <c r="B4787" s="343" t="s">
        <v>1270</v>
      </c>
      <c r="C4787" s="43" t="s">
        <v>2570</v>
      </c>
      <c r="D4787" s="43">
        <v>-3</v>
      </c>
      <c r="E4787" s="230" t="s">
        <v>125</v>
      </c>
    </row>
    <row r="4788" spans="1:5">
      <c r="A4788" s="265">
        <v>46036</v>
      </c>
      <c r="B4788" s="104" t="s">
        <v>932</v>
      </c>
      <c r="C4788" s="43" t="s">
        <v>2647</v>
      </c>
      <c r="D4788" s="43">
        <v>-2</v>
      </c>
      <c r="E4788" s="230" t="s">
        <v>125</v>
      </c>
    </row>
    <row r="4789" spans="1:5">
      <c r="A4789" s="265">
        <v>46036</v>
      </c>
      <c r="B4789" s="343" t="s">
        <v>1246</v>
      </c>
      <c r="C4789" s="43" t="s">
        <v>2074</v>
      </c>
      <c r="D4789" s="43">
        <v>-4</v>
      </c>
      <c r="E4789" s="230" t="s">
        <v>125</v>
      </c>
    </row>
    <row r="4790" spans="1:5">
      <c r="A4790" s="265">
        <v>46036</v>
      </c>
      <c r="B4790" s="343" t="s">
        <v>1246</v>
      </c>
      <c r="C4790" s="43" t="s">
        <v>2074</v>
      </c>
      <c r="D4790" s="43">
        <v>-4</v>
      </c>
      <c r="E4790" s="230" t="s">
        <v>125</v>
      </c>
    </row>
    <row r="4791" spans="1:5">
      <c r="A4791" s="265">
        <v>46036</v>
      </c>
      <c r="B4791" s="343" t="s">
        <v>1271</v>
      </c>
      <c r="C4791" s="43" t="s">
        <v>2074</v>
      </c>
      <c r="D4791" s="43">
        <v>-1</v>
      </c>
      <c r="E4791" s="230" t="s">
        <v>125</v>
      </c>
    </row>
    <row r="4792" spans="1:5">
      <c r="A4792" s="265">
        <v>46036</v>
      </c>
      <c r="B4792" s="343" t="s">
        <v>1271</v>
      </c>
      <c r="C4792" s="43" t="s">
        <v>2074</v>
      </c>
      <c r="D4792" s="43">
        <v>-1</v>
      </c>
      <c r="E4792" s="230" t="s">
        <v>125</v>
      </c>
    </row>
    <row r="4793" spans="1:5">
      <c r="A4793" s="265">
        <v>46036</v>
      </c>
      <c r="B4793" s="343" t="s">
        <v>1271</v>
      </c>
      <c r="C4793" s="43" t="s">
        <v>2074</v>
      </c>
      <c r="D4793" s="43">
        <v>-2</v>
      </c>
      <c r="E4793" s="230" t="s">
        <v>125</v>
      </c>
    </row>
    <row r="4794" spans="1:5">
      <c r="A4794" s="265">
        <v>46036</v>
      </c>
      <c r="B4794" s="343" t="s">
        <v>1301</v>
      </c>
      <c r="C4794" s="43" t="s">
        <v>2074</v>
      </c>
      <c r="D4794" s="43">
        <v>-1</v>
      </c>
      <c r="E4794" s="230" t="s">
        <v>125</v>
      </c>
    </row>
    <row r="4795" spans="1:5">
      <c r="A4795" s="265">
        <v>46036</v>
      </c>
      <c r="B4795" s="93" t="s">
        <v>808</v>
      </c>
      <c r="C4795" s="43" t="s">
        <v>1879</v>
      </c>
      <c r="D4795" s="43">
        <v>-37</v>
      </c>
      <c r="E4795" s="230" t="s">
        <v>125</v>
      </c>
    </row>
    <row r="4796" spans="1:5">
      <c r="A4796" s="265">
        <v>46036</v>
      </c>
      <c r="B4796" s="93" t="s">
        <v>154</v>
      </c>
      <c r="C4796" s="43" t="s">
        <v>1879</v>
      </c>
      <c r="D4796" s="43">
        <v>-11</v>
      </c>
      <c r="E4796" s="230" t="s">
        <v>125</v>
      </c>
    </row>
    <row r="4797" spans="1:5">
      <c r="A4797" s="265">
        <v>46036</v>
      </c>
      <c r="B4797" s="93" t="s">
        <v>154</v>
      </c>
      <c r="C4797" s="43" t="s">
        <v>1879</v>
      </c>
      <c r="D4797" s="43">
        <v>-8</v>
      </c>
      <c r="E4797" s="230" t="s">
        <v>125</v>
      </c>
    </row>
    <row r="4798" spans="1:5">
      <c r="A4798" s="265">
        <v>46036</v>
      </c>
      <c r="B4798" s="93" t="s">
        <v>154</v>
      </c>
      <c r="C4798" s="43" t="s">
        <v>1879</v>
      </c>
      <c r="D4798" s="43">
        <v>-6</v>
      </c>
      <c r="E4798" s="230" t="s">
        <v>125</v>
      </c>
    </row>
    <row r="4799" spans="1:5">
      <c r="A4799" s="265">
        <v>46036</v>
      </c>
      <c r="B4799" s="93" t="s">
        <v>383</v>
      </c>
      <c r="C4799" s="43" t="s">
        <v>1879</v>
      </c>
      <c r="D4799" s="43">
        <v>-2</v>
      </c>
      <c r="E4799" s="230" t="s">
        <v>125</v>
      </c>
    </row>
    <row r="4800" spans="1:5">
      <c r="A4800" s="265">
        <v>46036</v>
      </c>
      <c r="B4800" s="93" t="s">
        <v>154</v>
      </c>
      <c r="C4800" s="43" t="s">
        <v>1879</v>
      </c>
      <c r="D4800" s="43">
        <v>-4</v>
      </c>
      <c r="E4800" s="230" t="s">
        <v>125</v>
      </c>
    </row>
    <row r="4801" spans="1:5">
      <c r="A4801" s="265">
        <v>46036</v>
      </c>
      <c r="B4801" s="93" t="s">
        <v>154</v>
      </c>
      <c r="C4801" s="43" t="s">
        <v>1879</v>
      </c>
      <c r="D4801" s="43">
        <v>-6</v>
      </c>
      <c r="E4801" s="230" t="s">
        <v>125</v>
      </c>
    </row>
    <row r="4802" spans="1:5">
      <c r="A4802" s="265">
        <v>46036</v>
      </c>
      <c r="B4802" s="93" t="s">
        <v>154</v>
      </c>
      <c r="C4802" s="43" t="s">
        <v>1879</v>
      </c>
      <c r="D4802" s="43">
        <v>-2</v>
      </c>
      <c r="E4802" s="230" t="s">
        <v>125</v>
      </c>
    </row>
    <row r="4803" spans="1:5">
      <c r="A4803" s="265">
        <v>46036</v>
      </c>
      <c r="B4803" s="93" t="s">
        <v>154</v>
      </c>
      <c r="C4803" s="43" t="s">
        <v>1879</v>
      </c>
      <c r="D4803" s="43">
        <v>-4</v>
      </c>
      <c r="E4803" s="230" t="s">
        <v>125</v>
      </c>
    </row>
    <row r="4804" spans="1:5">
      <c r="A4804" s="265">
        <v>46036</v>
      </c>
      <c r="B4804" s="93" t="s">
        <v>2625</v>
      </c>
      <c r="C4804" s="43" t="s">
        <v>1879</v>
      </c>
      <c r="D4804" s="43">
        <v>-5</v>
      </c>
      <c r="E4804" s="230" t="s">
        <v>125</v>
      </c>
    </row>
    <row r="4805" spans="1:5">
      <c r="A4805" s="265">
        <v>46036</v>
      </c>
      <c r="B4805" s="93" t="s">
        <v>2625</v>
      </c>
      <c r="C4805" s="43" t="s">
        <v>1879</v>
      </c>
      <c r="D4805" s="43">
        <v>-3</v>
      </c>
      <c r="E4805" s="230" t="s">
        <v>125</v>
      </c>
    </row>
    <row r="4806" spans="1:5">
      <c r="A4806" s="265">
        <v>46036</v>
      </c>
      <c r="B4806" s="93" t="s">
        <v>154</v>
      </c>
      <c r="C4806" s="43" t="s">
        <v>1879</v>
      </c>
      <c r="D4806" s="43">
        <v>-2</v>
      </c>
      <c r="E4806" s="230" t="s">
        <v>125</v>
      </c>
    </row>
    <row r="4807" spans="1:5">
      <c r="A4807" s="265">
        <v>46036</v>
      </c>
      <c r="B4807" s="93" t="s">
        <v>154</v>
      </c>
      <c r="C4807" s="43" t="s">
        <v>1879</v>
      </c>
      <c r="D4807" s="43">
        <v>-1</v>
      </c>
      <c r="E4807" s="230" t="s">
        <v>125</v>
      </c>
    </row>
    <row r="4809" spans="1:5">
      <c r="A4809" s="272">
        <v>46026</v>
      </c>
      <c r="B4809" s="139" t="s">
        <v>1246</v>
      </c>
      <c r="C4809" s="106" t="s">
        <v>49</v>
      </c>
      <c r="D4809" s="106">
        <v>2</v>
      </c>
      <c r="E4809" s="94" t="s">
        <v>125</v>
      </c>
    </row>
    <row r="4810" spans="1:5">
      <c r="A4810" s="272">
        <v>46026</v>
      </c>
      <c r="B4810" s="139" t="s">
        <v>1246</v>
      </c>
      <c r="C4810" s="106" t="s">
        <v>49</v>
      </c>
      <c r="D4810" s="106">
        <v>2</v>
      </c>
      <c r="E4810" s="94" t="s">
        <v>125</v>
      </c>
    </row>
    <row r="4811" spans="1:5">
      <c r="A4811" s="272">
        <v>46025</v>
      </c>
      <c r="B4811" s="128" t="s">
        <v>76</v>
      </c>
      <c r="C4811" s="106" t="s">
        <v>49</v>
      </c>
      <c r="D4811" s="106">
        <v>2</v>
      </c>
      <c r="E4811" s="94" t="s">
        <v>125</v>
      </c>
    </row>
    <row r="4812" spans="1:5">
      <c r="A4812" s="272">
        <v>46025</v>
      </c>
      <c r="B4812" s="139" t="s">
        <v>807</v>
      </c>
      <c r="C4812" s="106" t="s">
        <v>49</v>
      </c>
      <c r="D4812" s="106">
        <v>8</v>
      </c>
      <c r="E4812" s="94" t="s">
        <v>125</v>
      </c>
    </row>
    <row r="4813" spans="1:5">
      <c r="A4813" s="272">
        <v>46025</v>
      </c>
      <c r="B4813" s="139" t="s">
        <v>807</v>
      </c>
      <c r="C4813" s="106" t="s">
        <v>49</v>
      </c>
      <c r="D4813" s="106">
        <v>2</v>
      </c>
      <c r="E4813" s="94" t="s">
        <v>125</v>
      </c>
    </row>
    <row r="4814" spans="1:5">
      <c r="A4814" s="272">
        <v>46025</v>
      </c>
      <c r="B4814" s="139" t="s">
        <v>808</v>
      </c>
      <c r="C4814" s="106" t="s">
        <v>49</v>
      </c>
      <c r="D4814" s="106">
        <v>4</v>
      </c>
      <c r="E4814" s="94" t="s">
        <v>125</v>
      </c>
    </row>
    <row r="4815" spans="1:5">
      <c r="A4815" s="272">
        <v>46025</v>
      </c>
      <c r="B4815" s="139" t="s">
        <v>807</v>
      </c>
      <c r="C4815" s="106" t="s">
        <v>49</v>
      </c>
      <c r="D4815" s="106">
        <v>2</v>
      </c>
      <c r="E4815" s="94" t="s">
        <v>125</v>
      </c>
    </row>
    <row r="4817" spans="1:6">
      <c r="A4817" s="272">
        <v>46028</v>
      </c>
      <c r="B4817" s="139" t="s">
        <v>1246</v>
      </c>
      <c r="C4817" s="106" t="s">
        <v>49</v>
      </c>
      <c r="D4817" s="106">
        <v>2</v>
      </c>
      <c r="E4817" s="94" t="s">
        <v>125</v>
      </c>
    </row>
    <row r="4818" spans="1:6">
      <c r="A4818" s="272">
        <v>46028</v>
      </c>
      <c r="B4818" s="139" t="s">
        <v>1246</v>
      </c>
      <c r="C4818" s="106" t="s">
        <v>49</v>
      </c>
      <c r="D4818" s="106">
        <v>2</v>
      </c>
      <c r="E4818" s="94" t="s">
        <v>125</v>
      </c>
    </row>
    <row r="4819" spans="1:6">
      <c r="A4819" s="272">
        <v>46028</v>
      </c>
      <c r="B4819" s="139" t="s">
        <v>1246</v>
      </c>
      <c r="C4819" s="106" t="s">
        <v>49</v>
      </c>
      <c r="D4819" s="106">
        <v>2</v>
      </c>
      <c r="E4819" s="94" t="s">
        <v>125</v>
      </c>
    </row>
    <row r="4820" spans="1:6">
      <c r="A4820" s="272">
        <v>46028</v>
      </c>
      <c r="B4820" s="139" t="s">
        <v>1246</v>
      </c>
      <c r="C4820" s="106" t="s">
        <v>49</v>
      </c>
      <c r="D4820" s="106">
        <v>2</v>
      </c>
      <c r="E4820" s="94" t="s">
        <v>125</v>
      </c>
    </row>
    <row r="4821" spans="1:6">
      <c r="A4821" s="272">
        <v>46028</v>
      </c>
      <c r="B4821" s="139" t="s">
        <v>1246</v>
      </c>
      <c r="C4821" s="106" t="s">
        <v>49</v>
      </c>
      <c r="D4821" s="106">
        <v>1</v>
      </c>
      <c r="E4821" s="94" t="s">
        <v>125</v>
      </c>
    </row>
    <row r="4822" spans="1:6">
      <c r="A4822" s="272">
        <v>46031</v>
      </c>
      <c r="B4822" s="139" t="s">
        <v>1246</v>
      </c>
      <c r="C4822" s="106" t="s">
        <v>49</v>
      </c>
      <c r="D4822" s="106">
        <v>2</v>
      </c>
      <c r="E4822" s="94" t="s">
        <v>125</v>
      </c>
    </row>
    <row r="4823" spans="1:6">
      <c r="A4823" s="272">
        <v>46031</v>
      </c>
      <c r="B4823" s="139" t="s">
        <v>1246</v>
      </c>
      <c r="C4823" s="106" t="s">
        <v>49</v>
      </c>
      <c r="D4823" s="106">
        <v>2</v>
      </c>
      <c r="E4823" s="94" t="s">
        <v>125</v>
      </c>
    </row>
    <row r="4824" spans="1:6">
      <c r="A4824" s="272">
        <v>46031</v>
      </c>
      <c r="B4824" s="139" t="s">
        <v>1246</v>
      </c>
      <c r="C4824" s="106" t="s">
        <v>49</v>
      </c>
      <c r="D4824" s="106">
        <v>2</v>
      </c>
      <c r="E4824" s="94" t="s">
        <v>125</v>
      </c>
    </row>
    <row r="4825" spans="1:6">
      <c r="A4825" s="272">
        <v>46031</v>
      </c>
      <c r="B4825" s="139" t="s">
        <v>1246</v>
      </c>
      <c r="C4825" s="106" t="s">
        <v>49</v>
      </c>
      <c r="D4825" s="106">
        <v>1</v>
      </c>
      <c r="E4825" s="94" t="s">
        <v>125</v>
      </c>
    </row>
    <row r="4826" spans="1:6">
      <c r="A4826" s="272">
        <v>46031</v>
      </c>
      <c r="B4826" s="139" t="s">
        <v>1246</v>
      </c>
      <c r="C4826" s="106" t="s">
        <v>49</v>
      </c>
      <c r="D4826" s="106">
        <v>2</v>
      </c>
      <c r="E4826" s="94" t="s">
        <v>125</v>
      </c>
    </row>
    <row r="4828" spans="1:6">
      <c r="A4828" s="323">
        <v>46036</v>
      </c>
      <c r="B4828" s="325" t="s">
        <v>1246</v>
      </c>
      <c r="C4828" s="322" t="s">
        <v>682</v>
      </c>
      <c r="D4828" s="322">
        <v>11</v>
      </c>
      <c r="E4828" s="321" t="s">
        <v>125</v>
      </c>
      <c r="F4828" t="s">
        <v>2718</v>
      </c>
    </row>
    <row r="4829" spans="1:6">
      <c r="A4829" s="323">
        <v>46036</v>
      </c>
      <c r="B4829" s="325" t="s">
        <v>1246</v>
      </c>
      <c r="C4829" s="322" t="s">
        <v>682</v>
      </c>
      <c r="D4829" s="322">
        <v>15</v>
      </c>
      <c r="E4829" s="321" t="s">
        <v>125</v>
      </c>
    </row>
    <row r="4830" spans="1:6">
      <c r="A4830" s="323">
        <v>46036</v>
      </c>
      <c r="B4830" s="325" t="s">
        <v>1249</v>
      </c>
      <c r="C4830" s="322" t="s">
        <v>682</v>
      </c>
      <c r="D4830" s="322">
        <v>1</v>
      </c>
      <c r="E4830" s="321" t="s">
        <v>125</v>
      </c>
    </row>
    <row r="4831" spans="1:6">
      <c r="A4831" s="323">
        <v>46036</v>
      </c>
      <c r="B4831" s="325" t="s">
        <v>1246</v>
      </c>
      <c r="C4831" s="322" t="s">
        <v>682</v>
      </c>
      <c r="D4831" s="322">
        <v>8</v>
      </c>
      <c r="E4831" s="321" t="s">
        <v>125</v>
      </c>
    </row>
    <row r="4832" spans="1:6">
      <c r="A4832" s="323">
        <v>46036</v>
      </c>
      <c r="B4832" s="325" t="s">
        <v>1246</v>
      </c>
      <c r="C4832" s="322" t="s">
        <v>682</v>
      </c>
      <c r="D4832" s="322">
        <v>1</v>
      </c>
      <c r="E4832" s="321" t="s">
        <v>125</v>
      </c>
    </row>
    <row r="4833" spans="1:5">
      <c r="A4833" s="323">
        <v>46036</v>
      </c>
      <c r="B4833" s="325" t="s">
        <v>1246</v>
      </c>
      <c r="C4833" s="322" t="s">
        <v>682</v>
      </c>
      <c r="D4833" s="322">
        <v>12</v>
      </c>
      <c r="E4833" s="321" t="s">
        <v>125</v>
      </c>
    </row>
    <row r="4834" spans="1:5">
      <c r="A4834" s="323">
        <v>46036</v>
      </c>
      <c r="B4834" s="325" t="s">
        <v>1246</v>
      </c>
      <c r="C4834" s="322" t="s">
        <v>682</v>
      </c>
      <c r="D4834" s="322">
        <v>1</v>
      </c>
      <c r="E4834" s="321" t="s">
        <v>125</v>
      </c>
    </row>
    <row r="4835" spans="1:5">
      <c r="A4835" s="323">
        <v>46036</v>
      </c>
      <c r="B4835" s="325" t="s">
        <v>1246</v>
      </c>
      <c r="C4835" s="322" t="s">
        <v>682</v>
      </c>
      <c r="D4835" s="322">
        <v>1</v>
      </c>
      <c r="E4835" s="321" t="s">
        <v>125</v>
      </c>
    </row>
    <row r="4836" spans="1:5">
      <c r="A4836" s="323">
        <v>46036</v>
      </c>
      <c r="B4836" s="325" t="s">
        <v>1271</v>
      </c>
      <c r="C4836" s="322" t="s">
        <v>682</v>
      </c>
      <c r="D4836" s="322">
        <v>4</v>
      </c>
      <c r="E4836" s="321" t="s">
        <v>125</v>
      </c>
    </row>
    <row r="4837" spans="1:5">
      <c r="A4837" s="323">
        <v>46036</v>
      </c>
      <c r="B4837" s="325" t="s">
        <v>1327</v>
      </c>
      <c r="C4837" s="322" t="s">
        <v>682</v>
      </c>
      <c r="D4837" s="322">
        <v>1</v>
      </c>
      <c r="E4837" s="321" t="s">
        <v>125</v>
      </c>
    </row>
    <row r="4838" spans="1:5">
      <c r="A4838" s="323">
        <v>46036</v>
      </c>
      <c r="B4838" s="325" t="s">
        <v>1326</v>
      </c>
      <c r="C4838" s="322" t="s">
        <v>682</v>
      </c>
      <c r="D4838" s="322">
        <v>2</v>
      </c>
      <c r="E4838" s="321" t="s">
        <v>125</v>
      </c>
    </row>
    <row r="4839" spans="1:5">
      <c r="A4839" s="323">
        <v>46036</v>
      </c>
      <c r="B4839" s="325" t="s">
        <v>1326</v>
      </c>
      <c r="C4839" s="322" t="s">
        <v>682</v>
      </c>
      <c r="D4839" s="322">
        <v>1</v>
      </c>
      <c r="E4839" s="321" t="s">
        <v>125</v>
      </c>
    </row>
    <row r="4840" spans="1:5">
      <c r="A4840" s="323">
        <v>46036</v>
      </c>
      <c r="B4840" s="324" t="s">
        <v>134</v>
      </c>
      <c r="C4840" s="322" t="s">
        <v>682</v>
      </c>
      <c r="D4840" s="322">
        <v>1</v>
      </c>
      <c r="E4840" s="321" t="s">
        <v>125</v>
      </c>
    </row>
    <row r="4841" spans="1:5">
      <c r="A4841" s="323">
        <v>46036</v>
      </c>
      <c r="B4841" s="426" t="s">
        <v>928</v>
      </c>
      <c r="C4841" s="322" t="s">
        <v>682</v>
      </c>
      <c r="D4841" s="322">
        <v>1</v>
      </c>
      <c r="E4841" s="321" t="s">
        <v>125</v>
      </c>
    </row>
    <row r="4842" spans="1:5">
      <c r="A4842" s="323">
        <v>46036</v>
      </c>
      <c r="B4842" s="325" t="s">
        <v>1319</v>
      </c>
      <c r="C4842" s="322" t="s">
        <v>682</v>
      </c>
      <c r="D4842" s="322">
        <v>4</v>
      </c>
      <c r="E4842" s="321" t="s">
        <v>125</v>
      </c>
    </row>
    <row r="4843" spans="1:5">
      <c r="A4843" s="323">
        <v>46036</v>
      </c>
      <c r="B4843" s="325" t="s">
        <v>1568</v>
      </c>
      <c r="C4843" s="322" t="s">
        <v>682</v>
      </c>
      <c r="D4843" s="322">
        <v>1</v>
      </c>
      <c r="E4843" s="321" t="s">
        <v>125</v>
      </c>
    </row>
    <row r="4844" spans="1:5">
      <c r="A4844" s="323">
        <v>46036</v>
      </c>
      <c r="B4844" s="325" t="s">
        <v>2019</v>
      </c>
      <c r="C4844" s="322" t="s">
        <v>682</v>
      </c>
      <c r="D4844" s="322">
        <v>2</v>
      </c>
      <c r="E4844" s="321" t="s">
        <v>125</v>
      </c>
    </row>
    <row r="4845" spans="1:5">
      <c r="A4845" s="323">
        <v>46036</v>
      </c>
      <c r="B4845" s="325" t="s">
        <v>2142</v>
      </c>
      <c r="C4845" s="322" t="s">
        <v>682</v>
      </c>
      <c r="D4845" s="322">
        <v>2</v>
      </c>
      <c r="E4845" s="321" t="s">
        <v>125</v>
      </c>
    </row>
    <row r="4846" spans="1:5">
      <c r="A4846" s="323">
        <v>46036</v>
      </c>
      <c r="B4846" s="325" t="s">
        <v>2141</v>
      </c>
      <c r="C4846" s="322" t="s">
        <v>682</v>
      </c>
      <c r="D4846" s="322">
        <v>1</v>
      </c>
      <c r="E4846" s="321" t="s">
        <v>125</v>
      </c>
    </row>
    <row r="4847" spans="1:5">
      <c r="A4847" s="323">
        <v>46036</v>
      </c>
      <c r="B4847" s="425" t="s">
        <v>1149</v>
      </c>
      <c r="C4847" s="322" t="s">
        <v>682</v>
      </c>
      <c r="D4847" s="322">
        <v>2</v>
      </c>
      <c r="E4847" s="321" t="s">
        <v>125</v>
      </c>
    </row>
    <row r="4848" spans="1:5">
      <c r="A4848" s="323">
        <v>46036</v>
      </c>
      <c r="B4848" s="325" t="s">
        <v>1291</v>
      </c>
      <c r="C4848" s="322" t="s">
        <v>682</v>
      </c>
      <c r="D4848" s="322">
        <v>5</v>
      </c>
      <c r="E4848" s="321" t="s">
        <v>125</v>
      </c>
    </row>
    <row r="4849" spans="1:6">
      <c r="A4849" s="323">
        <v>46036</v>
      </c>
      <c r="B4849" s="325" t="s">
        <v>1334</v>
      </c>
      <c r="C4849" s="322" t="s">
        <v>682</v>
      </c>
      <c r="D4849" s="322">
        <v>1</v>
      </c>
      <c r="E4849" s="321" t="s">
        <v>125</v>
      </c>
    </row>
    <row r="4850" spans="1:6">
      <c r="A4850" s="323">
        <v>46036</v>
      </c>
      <c r="B4850" s="324" t="s">
        <v>1387</v>
      </c>
      <c r="C4850" s="322" t="s">
        <v>682</v>
      </c>
      <c r="D4850" s="322">
        <v>1</v>
      </c>
      <c r="E4850" s="321" t="s">
        <v>125</v>
      </c>
    </row>
    <row r="4851" spans="1:6">
      <c r="A4851" s="323">
        <v>46036</v>
      </c>
      <c r="B4851" s="325" t="s">
        <v>1490</v>
      </c>
      <c r="C4851" s="322" t="s">
        <v>682</v>
      </c>
      <c r="D4851" s="322">
        <v>2</v>
      </c>
      <c r="E4851" s="321" t="s">
        <v>125</v>
      </c>
    </row>
    <row r="4852" spans="1:6">
      <c r="A4852" s="323">
        <v>46036</v>
      </c>
      <c r="B4852" s="325" t="s">
        <v>1409</v>
      </c>
      <c r="C4852" s="322" t="s">
        <v>682</v>
      </c>
      <c r="D4852" s="322">
        <v>4</v>
      </c>
      <c r="E4852" s="321" t="s">
        <v>125</v>
      </c>
    </row>
    <row r="4853" spans="1:6">
      <c r="A4853" s="323">
        <v>46036</v>
      </c>
      <c r="B4853" s="325" t="s">
        <v>1311</v>
      </c>
      <c r="C4853" s="322" t="s">
        <v>682</v>
      </c>
      <c r="D4853" s="322">
        <v>1</v>
      </c>
      <c r="E4853" s="321" t="s">
        <v>125</v>
      </c>
    </row>
    <row r="4854" spans="1:6">
      <c r="A4854" s="323">
        <v>46036</v>
      </c>
      <c r="B4854" s="324" t="s">
        <v>131</v>
      </c>
      <c r="C4854" s="322" t="s">
        <v>682</v>
      </c>
      <c r="D4854" s="322">
        <v>4</v>
      </c>
      <c r="E4854" s="321" t="s">
        <v>125</v>
      </c>
    </row>
    <row r="4855" spans="1:6">
      <c r="A4855" s="323">
        <v>46036</v>
      </c>
      <c r="B4855" s="425" t="s">
        <v>375</v>
      </c>
      <c r="C4855" s="322" t="s">
        <v>682</v>
      </c>
      <c r="D4855" s="322">
        <v>2</v>
      </c>
      <c r="E4855" s="321" t="s">
        <v>125</v>
      </c>
    </row>
    <row r="4856" spans="1:6">
      <c r="A4856" s="323">
        <v>46036</v>
      </c>
      <c r="B4856" s="425" t="s">
        <v>375</v>
      </c>
      <c r="C4856" s="322" t="s">
        <v>682</v>
      </c>
      <c r="D4856" s="322">
        <v>1</v>
      </c>
      <c r="E4856" s="321" t="s">
        <v>125</v>
      </c>
    </row>
    <row r="4858" spans="1:6">
      <c r="A4858" s="323">
        <v>46036</v>
      </c>
      <c r="B4858" s="325" t="s">
        <v>1271</v>
      </c>
      <c r="C4858" s="322" t="s">
        <v>682</v>
      </c>
      <c r="D4858" s="322">
        <v>1</v>
      </c>
      <c r="E4858" s="321" t="s">
        <v>125</v>
      </c>
      <c r="F4858" t="s">
        <v>2720</v>
      </c>
    </row>
    <row r="4859" spans="1:6">
      <c r="A4859" s="323">
        <v>46036</v>
      </c>
      <c r="B4859" s="325" t="s">
        <v>1095</v>
      </c>
      <c r="C4859" s="322" t="s">
        <v>682</v>
      </c>
      <c r="D4859" s="322">
        <v>1</v>
      </c>
      <c r="E4859" s="321" t="s">
        <v>125</v>
      </c>
    </row>
    <row r="4860" spans="1:6">
      <c r="A4860" s="323">
        <v>46036</v>
      </c>
      <c r="B4860" s="325" t="s">
        <v>2719</v>
      </c>
      <c r="C4860" s="322" t="s">
        <v>682</v>
      </c>
      <c r="D4860" s="322">
        <v>1</v>
      </c>
      <c r="E4860" s="321" t="s">
        <v>125</v>
      </c>
    </row>
    <row r="4861" spans="1:6">
      <c r="A4861" s="323">
        <v>46036</v>
      </c>
      <c r="B4861" s="425" t="s">
        <v>375</v>
      </c>
      <c r="C4861" s="322" t="s">
        <v>682</v>
      </c>
      <c r="D4861" s="322">
        <v>1</v>
      </c>
      <c r="E4861" s="321" t="s">
        <v>125</v>
      </c>
    </row>
    <row r="4862" spans="1:6">
      <c r="A4862" s="323">
        <v>46036</v>
      </c>
      <c r="B4862" s="325" t="s">
        <v>2706</v>
      </c>
      <c r="C4862" s="322" t="s">
        <v>682</v>
      </c>
      <c r="D4862" s="322">
        <v>1</v>
      </c>
      <c r="E4862" s="321" t="s">
        <v>125</v>
      </c>
    </row>
    <row r="4863" spans="1:6">
      <c r="A4863" s="323">
        <v>46036</v>
      </c>
      <c r="B4863" s="325" t="s">
        <v>2708</v>
      </c>
      <c r="C4863" s="322" t="s">
        <v>682</v>
      </c>
      <c r="D4863" s="322">
        <v>3</v>
      </c>
      <c r="E4863" s="321" t="s">
        <v>125</v>
      </c>
    </row>
    <row r="4864" spans="1:6">
      <c r="A4864" s="323">
        <v>46036</v>
      </c>
      <c r="B4864" s="325" t="s">
        <v>2712</v>
      </c>
      <c r="C4864" s="322" t="s">
        <v>682</v>
      </c>
      <c r="D4864" s="322">
        <v>3</v>
      </c>
      <c r="E4864" s="321" t="s">
        <v>125</v>
      </c>
      <c r="F4864" s="731" t="s">
        <v>2720</v>
      </c>
    </row>
    <row r="4866" spans="1:5">
      <c r="A4866" s="335">
        <v>46037</v>
      </c>
      <c r="B4866" s="343" t="s">
        <v>1246</v>
      </c>
      <c r="C4866" s="345" t="s">
        <v>2406</v>
      </c>
      <c r="D4866" s="345">
        <v>-8</v>
      </c>
      <c r="E4866" s="230" t="s">
        <v>125</v>
      </c>
    </row>
    <row r="4867" spans="1:5">
      <c r="A4867" s="335">
        <v>46037</v>
      </c>
      <c r="B4867" s="343" t="s">
        <v>1246</v>
      </c>
      <c r="C4867" s="345" t="s">
        <v>2406</v>
      </c>
      <c r="D4867" s="345">
        <v>-8</v>
      </c>
      <c r="E4867" s="230" t="s">
        <v>125</v>
      </c>
    </row>
    <row r="4868" spans="1:5">
      <c r="A4868" s="335">
        <v>46037</v>
      </c>
      <c r="B4868" s="343" t="s">
        <v>1246</v>
      </c>
      <c r="C4868" s="43" t="s">
        <v>1663</v>
      </c>
      <c r="D4868" s="43">
        <v>-6</v>
      </c>
      <c r="E4868" s="230" t="s">
        <v>125</v>
      </c>
    </row>
    <row r="4869" spans="1:5">
      <c r="A4869" s="335">
        <v>46037</v>
      </c>
      <c r="B4869" s="343" t="s">
        <v>1246</v>
      </c>
      <c r="C4869" s="43" t="s">
        <v>1663</v>
      </c>
      <c r="D4869" s="43">
        <v>-6</v>
      </c>
      <c r="E4869" s="230" t="s">
        <v>125</v>
      </c>
    </row>
    <row r="4870" spans="1:5">
      <c r="A4870" s="335">
        <v>46037</v>
      </c>
      <c r="B4870" s="92" t="s">
        <v>76</v>
      </c>
      <c r="C4870" s="43" t="s">
        <v>1603</v>
      </c>
      <c r="D4870" s="43">
        <v>-10</v>
      </c>
      <c r="E4870" s="230" t="s">
        <v>125</v>
      </c>
    </row>
    <row r="4871" spans="1:5">
      <c r="A4871" s="335">
        <v>46037</v>
      </c>
      <c r="B4871" s="92" t="s">
        <v>642</v>
      </c>
      <c r="C4871" s="43" t="s">
        <v>1661</v>
      </c>
      <c r="D4871" s="43">
        <v>-3</v>
      </c>
      <c r="E4871" s="230" t="s">
        <v>125</v>
      </c>
    </row>
    <row r="4872" spans="1:5">
      <c r="A4872" s="335">
        <v>46037</v>
      </c>
      <c r="B4872" s="92" t="s">
        <v>76</v>
      </c>
      <c r="C4872" s="43" t="s">
        <v>2721</v>
      </c>
      <c r="D4872" s="43">
        <v>-60</v>
      </c>
      <c r="E4872" s="230" t="s">
        <v>125</v>
      </c>
    </row>
    <row r="4873" spans="1:5">
      <c r="A4873" s="335">
        <v>46037</v>
      </c>
      <c r="B4873" s="343" t="s">
        <v>1246</v>
      </c>
      <c r="C4873" s="43" t="s">
        <v>2113</v>
      </c>
      <c r="D4873" s="43">
        <v>-3</v>
      </c>
      <c r="E4873" s="230" t="s">
        <v>125</v>
      </c>
    </row>
    <row r="4874" spans="1:5">
      <c r="A4874" s="335">
        <v>46037</v>
      </c>
      <c r="B4874" s="343" t="s">
        <v>1290</v>
      </c>
      <c r="C4874" s="43" t="s">
        <v>2113</v>
      </c>
      <c r="D4874" s="43">
        <v>-1</v>
      </c>
      <c r="E4874" s="230" t="s">
        <v>125</v>
      </c>
    </row>
    <row r="4875" spans="1:5">
      <c r="A4875" s="335">
        <v>46037</v>
      </c>
      <c r="B4875" s="84" t="s">
        <v>881</v>
      </c>
      <c r="C4875" s="43" t="s">
        <v>1615</v>
      </c>
      <c r="D4875" s="43">
        <v>-3</v>
      </c>
      <c r="E4875" s="230" t="s">
        <v>125</v>
      </c>
    </row>
    <row r="4876" spans="1:5">
      <c r="A4876" s="335">
        <v>46037</v>
      </c>
      <c r="B4876" s="93" t="s">
        <v>1223</v>
      </c>
      <c r="C4876" s="43" t="s">
        <v>1615</v>
      </c>
      <c r="D4876" s="43">
        <v>-1</v>
      </c>
      <c r="E4876" s="230" t="s">
        <v>125</v>
      </c>
    </row>
    <row r="4877" spans="1:5">
      <c r="A4877" s="335">
        <v>46037</v>
      </c>
      <c r="B4877" s="343" t="s">
        <v>1246</v>
      </c>
      <c r="C4877" s="43" t="s">
        <v>2203</v>
      </c>
      <c r="D4877" s="43">
        <v>-3</v>
      </c>
      <c r="E4877" s="230" t="s">
        <v>125</v>
      </c>
    </row>
    <row r="4878" spans="1:5">
      <c r="A4878" s="335">
        <v>46037</v>
      </c>
      <c r="B4878" s="343" t="s">
        <v>1246</v>
      </c>
      <c r="C4878" s="43" t="s">
        <v>2203</v>
      </c>
      <c r="D4878" s="43">
        <v>-3</v>
      </c>
      <c r="E4878" s="230" t="s">
        <v>125</v>
      </c>
    </row>
    <row r="4879" spans="1:5">
      <c r="A4879" s="335">
        <v>46037</v>
      </c>
      <c r="B4879" s="343" t="s">
        <v>1246</v>
      </c>
      <c r="C4879" s="43" t="s">
        <v>2722</v>
      </c>
      <c r="D4879" s="43">
        <v>-2</v>
      </c>
      <c r="E4879" s="230" t="s">
        <v>125</v>
      </c>
    </row>
    <row r="4880" spans="1:5">
      <c r="A4880" s="335">
        <v>46037</v>
      </c>
      <c r="B4880" s="343" t="s">
        <v>1246</v>
      </c>
      <c r="C4880" s="345" t="s">
        <v>2723</v>
      </c>
      <c r="D4880" s="345">
        <v>-1</v>
      </c>
      <c r="E4880" s="230" t="s">
        <v>125</v>
      </c>
    </row>
    <row r="4881" spans="1:6">
      <c r="A4881" s="335">
        <v>46037</v>
      </c>
      <c r="B4881" s="343" t="s">
        <v>1271</v>
      </c>
      <c r="C4881" s="345" t="s">
        <v>2723</v>
      </c>
      <c r="D4881" s="345">
        <v>-1</v>
      </c>
      <c r="E4881" s="230" t="s">
        <v>125</v>
      </c>
    </row>
    <row r="4882" spans="1:6">
      <c r="A4882" s="335">
        <v>46037</v>
      </c>
      <c r="B4882" s="343" t="s">
        <v>1246</v>
      </c>
      <c r="C4882" s="345" t="s">
        <v>2723</v>
      </c>
      <c r="D4882" s="345">
        <v>-1</v>
      </c>
      <c r="E4882" s="230" t="s">
        <v>125</v>
      </c>
    </row>
    <row r="4883" spans="1:6">
      <c r="A4883" s="335">
        <v>46037</v>
      </c>
      <c r="B4883" s="343" t="s">
        <v>1246</v>
      </c>
      <c r="C4883" s="345" t="s">
        <v>2723</v>
      </c>
      <c r="D4883" s="345">
        <v>-3</v>
      </c>
      <c r="E4883" s="230" t="s">
        <v>125</v>
      </c>
    </row>
    <row r="4884" spans="1:6">
      <c r="A4884" s="335">
        <v>46037</v>
      </c>
      <c r="B4884" s="343" t="s">
        <v>1291</v>
      </c>
      <c r="C4884" s="43" t="s">
        <v>2724</v>
      </c>
      <c r="D4884" s="43">
        <v>-8</v>
      </c>
      <c r="E4884" s="230" t="s">
        <v>125</v>
      </c>
    </row>
    <row r="4885" spans="1:6">
      <c r="A4885" s="335">
        <v>46037</v>
      </c>
      <c r="B4885" s="343" t="s">
        <v>1291</v>
      </c>
      <c r="C4885" s="43" t="s">
        <v>2724</v>
      </c>
      <c r="D4885" s="43">
        <v>-2</v>
      </c>
      <c r="E4885" s="230" t="s">
        <v>125</v>
      </c>
    </row>
    <row r="4886" spans="1:6">
      <c r="A4886" s="335">
        <v>46037</v>
      </c>
      <c r="B4886" s="343" t="s">
        <v>1334</v>
      </c>
      <c r="C4886" s="43" t="s">
        <v>2724</v>
      </c>
      <c r="D4886" s="43">
        <v>-1</v>
      </c>
      <c r="E4886" s="230" t="s">
        <v>125</v>
      </c>
    </row>
    <row r="4887" spans="1:6">
      <c r="A4887" s="335">
        <v>46037</v>
      </c>
      <c r="B4887" s="343" t="s">
        <v>1246</v>
      </c>
      <c r="C4887" s="43" t="s">
        <v>1605</v>
      </c>
      <c r="D4887" s="43">
        <v>-1</v>
      </c>
      <c r="E4887" s="230" t="s">
        <v>125</v>
      </c>
      <c r="F4887" t="s">
        <v>2725</v>
      </c>
    </row>
    <row r="4888" spans="1:6">
      <c r="A4888" s="335">
        <v>46037</v>
      </c>
      <c r="B4888" s="343" t="s">
        <v>1271</v>
      </c>
      <c r="C4888" s="43" t="s">
        <v>1605</v>
      </c>
      <c r="D4888" s="43">
        <v>-1</v>
      </c>
      <c r="E4888" s="230" t="s">
        <v>125</v>
      </c>
      <c r="F4888" s="611" t="s">
        <v>2725</v>
      </c>
    </row>
    <row r="4889" spans="1:6">
      <c r="A4889" s="335">
        <v>46037</v>
      </c>
      <c r="B4889" s="439" t="s">
        <v>1150</v>
      </c>
      <c r="C4889" s="43" t="s">
        <v>2647</v>
      </c>
      <c r="D4889" s="43">
        <v>-1</v>
      </c>
      <c r="E4889" s="230" t="s">
        <v>125</v>
      </c>
    </row>
    <row r="4891" spans="1:6">
      <c r="A4891" s="346">
        <v>46037</v>
      </c>
      <c r="B4891" s="350" t="s">
        <v>1150</v>
      </c>
      <c r="C4891" s="348" t="s">
        <v>1845</v>
      </c>
      <c r="D4891" s="348">
        <v>1</v>
      </c>
      <c r="E4891" s="360" t="s">
        <v>125</v>
      </c>
    </row>
    <row r="4893" spans="1:6">
      <c r="A4893" s="335">
        <v>46037</v>
      </c>
      <c r="B4893" s="343" t="s">
        <v>1246</v>
      </c>
      <c r="C4893" s="43" t="s">
        <v>1605</v>
      </c>
      <c r="D4893" s="43">
        <v>-1</v>
      </c>
      <c r="E4893" s="230" t="s">
        <v>125</v>
      </c>
    </row>
    <row r="4895" spans="1:6">
      <c r="A4895" s="265">
        <v>46038</v>
      </c>
      <c r="B4895" s="343" t="s">
        <v>1246</v>
      </c>
      <c r="C4895" s="43" t="s">
        <v>2749</v>
      </c>
      <c r="D4895" s="43">
        <v>-4</v>
      </c>
      <c r="E4895" s="230" t="s">
        <v>125</v>
      </c>
    </row>
    <row r="4896" spans="1:6">
      <c r="A4896" s="265">
        <v>46038</v>
      </c>
      <c r="B4896" s="343" t="s">
        <v>1246</v>
      </c>
      <c r="C4896" s="43" t="s">
        <v>2749</v>
      </c>
      <c r="D4896" s="43">
        <v>-1</v>
      </c>
      <c r="E4896" s="230" t="s">
        <v>125</v>
      </c>
    </row>
    <row r="4898" spans="1:5">
      <c r="A4898" s="437">
        <v>46039</v>
      </c>
      <c r="B4898" s="598" t="s">
        <v>78</v>
      </c>
      <c r="C4898" s="220" t="s">
        <v>2750</v>
      </c>
      <c r="D4898" s="220">
        <v>20</v>
      </c>
      <c r="E4898" s="438" t="s">
        <v>125</v>
      </c>
    </row>
    <row r="4900" spans="1:5">
      <c r="A4900" s="265">
        <v>46039</v>
      </c>
      <c r="B4900" s="92" t="s">
        <v>78</v>
      </c>
      <c r="C4900" s="43" t="s">
        <v>2751</v>
      </c>
      <c r="D4900" s="43">
        <v>-3</v>
      </c>
      <c r="E4900" s="230" t="s">
        <v>125</v>
      </c>
    </row>
    <row r="4901" spans="1:5">
      <c r="A4901" s="265">
        <v>46039</v>
      </c>
      <c r="B4901" s="92" t="s">
        <v>78</v>
      </c>
      <c r="C4901" s="43" t="s">
        <v>1814</v>
      </c>
      <c r="D4901" s="43">
        <v>-17</v>
      </c>
      <c r="E4901" s="230" t="s">
        <v>125</v>
      </c>
    </row>
    <row r="4902" spans="1:5">
      <c r="A4902" s="265">
        <v>46039</v>
      </c>
      <c r="B4902" s="343" t="s">
        <v>1271</v>
      </c>
      <c r="C4902" s="345" t="s">
        <v>2074</v>
      </c>
      <c r="D4902" s="345">
        <v>-1</v>
      </c>
      <c r="E4902" s="230" t="s">
        <v>125</v>
      </c>
    </row>
    <row r="4903" spans="1:5">
      <c r="A4903" s="265">
        <v>46039</v>
      </c>
      <c r="B4903" s="343" t="s">
        <v>1270</v>
      </c>
      <c r="C4903" s="43" t="s">
        <v>1615</v>
      </c>
      <c r="D4903" s="43">
        <v>-5</v>
      </c>
      <c r="E4903" s="230" t="s">
        <v>125</v>
      </c>
    </row>
    <row r="4904" spans="1:5">
      <c r="A4904" s="265">
        <v>46039</v>
      </c>
      <c r="B4904" s="343" t="s">
        <v>1291</v>
      </c>
      <c r="C4904" s="43" t="s">
        <v>2752</v>
      </c>
      <c r="D4904" s="43">
        <v>-6</v>
      </c>
      <c r="E4904" s="230" t="s">
        <v>125</v>
      </c>
    </row>
    <row r="4905" spans="1:5">
      <c r="A4905" s="265">
        <v>46039</v>
      </c>
      <c r="B4905" s="93" t="s">
        <v>1490</v>
      </c>
      <c r="C4905" s="43" t="s">
        <v>2752</v>
      </c>
      <c r="D4905" s="43">
        <v>-3</v>
      </c>
      <c r="E4905" s="230" t="s">
        <v>125</v>
      </c>
    </row>
    <row r="4906" spans="1:5">
      <c r="A4906" s="265">
        <v>46039</v>
      </c>
      <c r="B4906" s="84" t="s">
        <v>1387</v>
      </c>
      <c r="C4906" s="43" t="s">
        <v>2752</v>
      </c>
      <c r="D4906" s="43">
        <v>-1</v>
      </c>
      <c r="E4906" s="230" t="s">
        <v>125</v>
      </c>
    </row>
    <row r="4907" spans="1:5">
      <c r="A4907" s="265">
        <v>46039</v>
      </c>
      <c r="B4907" s="343" t="s">
        <v>1270</v>
      </c>
      <c r="C4907" s="43" t="s">
        <v>1615</v>
      </c>
      <c r="D4907" s="43">
        <v>-4</v>
      </c>
      <c r="E4907" s="230" t="s">
        <v>125</v>
      </c>
    </row>
    <row r="4908" spans="1:5">
      <c r="A4908" s="265">
        <v>46039</v>
      </c>
      <c r="B4908" s="343" t="s">
        <v>1334</v>
      </c>
      <c r="C4908" s="43" t="s">
        <v>2752</v>
      </c>
      <c r="D4908" s="43">
        <v>-2</v>
      </c>
      <c r="E4908" s="230" t="s">
        <v>125</v>
      </c>
    </row>
    <row r="4909" spans="1:5">
      <c r="A4909" s="265">
        <v>46039</v>
      </c>
      <c r="B4909" s="343" t="s">
        <v>1291</v>
      </c>
      <c r="C4909" s="43" t="s">
        <v>2752</v>
      </c>
      <c r="D4909" s="43">
        <v>-1</v>
      </c>
      <c r="E4909" s="230" t="s">
        <v>125</v>
      </c>
    </row>
    <row r="4910" spans="1:5">
      <c r="A4910" s="265">
        <v>46039</v>
      </c>
      <c r="B4910" s="343" t="s">
        <v>1319</v>
      </c>
      <c r="C4910" s="43" t="s">
        <v>678</v>
      </c>
      <c r="D4910" s="43">
        <v>-1</v>
      </c>
      <c r="E4910" s="230" t="s">
        <v>125</v>
      </c>
    </row>
    <row r="4911" spans="1:5">
      <c r="A4911" s="265">
        <v>46039</v>
      </c>
      <c r="B4911" s="84" t="s">
        <v>134</v>
      </c>
      <c r="C4911" s="43" t="s">
        <v>678</v>
      </c>
      <c r="D4911" s="43">
        <v>-1</v>
      </c>
      <c r="E4911" s="230" t="s">
        <v>125</v>
      </c>
    </row>
    <row r="4912" spans="1:5">
      <c r="A4912" s="265">
        <v>46039</v>
      </c>
      <c r="B4912" s="343" t="s">
        <v>1246</v>
      </c>
      <c r="C4912" s="43" t="s">
        <v>678</v>
      </c>
      <c r="D4912" s="43">
        <v>-1</v>
      </c>
      <c r="E4912" s="230" t="s">
        <v>125</v>
      </c>
    </row>
    <row r="4913" spans="1:6">
      <c r="A4913" s="265">
        <v>46039</v>
      </c>
      <c r="B4913" s="343" t="s">
        <v>1246</v>
      </c>
      <c r="C4913" s="43" t="s">
        <v>678</v>
      </c>
      <c r="D4913" s="43">
        <v>-1</v>
      </c>
      <c r="E4913" s="230" t="s">
        <v>125</v>
      </c>
    </row>
    <row r="4915" spans="1:6">
      <c r="A4915" s="346">
        <v>46039</v>
      </c>
      <c r="B4915" s="349" t="s">
        <v>1246</v>
      </c>
      <c r="C4915" s="348" t="s">
        <v>2093</v>
      </c>
      <c r="D4915" s="348">
        <v>2</v>
      </c>
      <c r="E4915" s="360" t="s">
        <v>125</v>
      </c>
      <c r="F4915" t="s">
        <v>2757</v>
      </c>
    </row>
    <row r="4916" spans="1:6">
      <c r="A4916" s="346">
        <v>46039</v>
      </c>
      <c r="B4916" s="349" t="s">
        <v>1246</v>
      </c>
      <c r="C4916" s="348" t="s">
        <v>2093</v>
      </c>
      <c r="D4916" s="348">
        <v>4</v>
      </c>
      <c r="E4916" s="360" t="s">
        <v>125</v>
      </c>
    </row>
    <row r="4917" spans="1:6">
      <c r="A4917" s="346">
        <v>46039</v>
      </c>
      <c r="B4917" s="349" t="s">
        <v>1246</v>
      </c>
      <c r="C4917" s="348" t="s">
        <v>2093</v>
      </c>
      <c r="D4917" s="348">
        <v>4</v>
      </c>
      <c r="E4917" s="360" t="s">
        <v>125</v>
      </c>
    </row>
    <row r="4918" spans="1:6">
      <c r="A4918" s="346">
        <v>46039</v>
      </c>
      <c r="B4918" s="349" t="s">
        <v>1271</v>
      </c>
      <c r="C4918" s="348" t="s">
        <v>2093</v>
      </c>
      <c r="D4918" s="348">
        <v>2</v>
      </c>
      <c r="E4918" s="360" t="s">
        <v>125</v>
      </c>
    </row>
    <row r="4919" spans="1:6">
      <c r="A4919" s="346">
        <v>46039</v>
      </c>
      <c r="B4919" s="349" t="s">
        <v>1271</v>
      </c>
      <c r="C4919" s="348" t="s">
        <v>2093</v>
      </c>
      <c r="D4919" s="348">
        <v>2</v>
      </c>
      <c r="E4919" s="360" t="s">
        <v>125</v>
      </c>
    </row>
    <row r="4920" spans="1:6">
      <c r="A4920" s="346">
        <v>46039</v>
      </c>
      <c r="B4920" s="349" t="s">
        <v>1271</v>
      </c>
      <c r="C4920" s="348" t="s">
        <v>2093</v>
      </c>
      <c r="D4920" s="348">
        <v>2</v>
      </c>
      <c r="E4920" s="360" t="s">
        <v>125</v>
      </c>
    </row>
    <row r="4921" spans="1:6">
      <c r="A4921" s="346">
        <v>46039</v>
      </c>
      <c r="B4921" s="349" t="s">
        <v>1568</v>
      </c>
      <c r="C4921" s="348" t="s">
        <v>2093</v>
      </c>
      <c r="D4921" s="348">
        <v>1</v>
      </c>
      <c r="E4921" s="360" t="s">
        <v>125</v>
      </c>
    </row>
    <row r="4922" spans="1:6">
      <c r="A4922" s="346">
        <v>46039</v>
      </c>
      <c r="B4922" s="349" t="s">
        <v>1291</v>
      </c>
      <c r="C4922" s="348" t="s">
        <v>2093</v>
      </c>
      <c r="D4922" s="348">
        <v>5</v>
      </c>
      <c r="E4922" s="360" t="s">
        <v>125</v>
      </c>
    </row>
    <row r="4923" spans="1:6">
      <c r="A4923" s="346">
        <v>46039</v>
      </c>
      <c r="B4923" s="349" t="s">
        <v>1334</v>
      </c>
      <c r="C4923" s="348" t="s">
        <v>2093</v>
      </c>
      <c r="D4923" s="348">
        <v>1</v>
      </c>
      <c r="E4923" s="360" t="s">
        <v>125</v>
      </c>
    </row>
    <row r="4924" spans="1:6">
      <c r="A4924" s="346">
        <v>46039</v>
      </c>
      <c r="B4924" s="351" t="s">
        <v>932</v>
      </c>
      <c r="C4924" s="348" t="s">
        <v>2093</v>
      </c>
      <c r="D4924" s="348">
        <v>2</v>
      </c>
      <c r="E4924" s="360" t="s">
        <v>125</v>
      </c>
    </row>
    <row r="4926" spans="1:6">
      <c r="A4926" s="265">
        <v>46039</v>
      </c>
      <c r="B4926" s="343" t="s">
        <v>1409</v>
      </c>
      <c r="C4926" s="43" t="s">
        <v>1599</v>
      </c>
      <c r="D4926" s="43">
        <v>-4</v>
      </c>
      <c r="E4926" s="230" t="s">
        <v>125</v>
      </c>
    </row>
    <row r="4928" spans="1:6">
      <c r="A4928" s="330">
        <v>46034</v>
      </c>
      <c r="B4928" s="329" t="s">
        <v>839</v>
      </c>
      <c r="C4928" s="328" t="s">
        <v>49</v>
      </c>
      <c r="D4928" s="328">
        <v>10</v>
      </c>
      <c r="E4928" s="331" t="s">
        <v>125</v>
      </c>
    </row>
    <row r="4930" spans="1:6">
      <c r="A4930" s="272">
        <v>46033</v>
      </c>
      <c r="B4930" s="139" t="s">
        <v>1246</v>
      </c>
      <c r="C4930" s="106" t="s">
        <v>49</v>
      </c>
      <c r="D4930" s="106">
        <v>7</v>
      </c>
      <c r="E4930" s="94" t="s">
        <v>125</v>
      </c>
    </row>
    <row r="4931" spans="1:6">
      <c r="A4931" s="272">
        <v>46036</v>
      </c>
      <c r="B4931" s="128" t="s">
        <v>789</v>
      </c>
      <c r="C4931" s="106" t="s">
        <v>49</v>
      </c>
      <c r="D4931" s="106">
        <v>8</v>
      </c>
      <c r="E4931" s="94" t="s">
        <v>125</v>
      </c>
    </row>
    <row r="4932" spans="1:6">
      <c r="A4932" s="272">
        <v>46036</v>
      </c>
      <c r="B4932" s="139" t="s">
        <v>1617</v>
      </c>
      <c r="C4932" s="106" t="s">
        <v>49</v>
      </c>
      <c r="D4932" s="106">
        <v>25</v>
      </c>
      <c r="E4932" s="94" t="s">
        <v>125</v>
      </c>
    </row>
    <row r="4933" spans="1:6">
      <c r="A4933" s="272">
        <v>46037</v>
      </c>
      <c r="B4933" s="139" t="s">
        <v>2312</v>
      </c>
      <c r="C4933" s="106" t="s">
        <v>49</v>
      </c>
      <c r="D4933" s="106">
        <v>3</v>
      </c>
      <c r="E4933" s="94" t="s">
        <v>125</v>
      </c>
    </row>
    <row r="4934" spans="1:6">
      <c r="A4934" s="272">
        <v>46037</v>
      </c>
      <c r="B4934" s="139" t="s">
        <v>1312</v>
      </c>
      <c r="C4934" s="106" t="s">
        <v>49</v>
      </c>
      <c r="D4934" s="106">
        <v>3</v>
      </c>
      <c r="E4934" s="94" t="s">
        <v>125</v>
      </c>
    </row>
    <row r="4935" spans="1:6">
      <c r="A4935" s="272">
        <v>46037</v>
      </c>
      <c r="B4935" s="234" t="s">
        <v>881</v>
      </c>
      <c r="C4935" s="106" t="s">
        <v>49</v>
      </c>
      <c r="D4935" s="106">
        <v>3</v>
      </c>
      <c r="E4935" s="94" t="s">
        <v>125</v>
      </c>
    </row>
    <row r="4936" spans="1:6">
      <c r="A4936" s="272">
        <v>46037</v>
      </c>
      <c r="B4936" s="139" t="s">
        <v>1617</v>
      </c>
      <c r="C4936" s="106" t="s">
        <v>49</v>
      </c>
      <c r="D4936" s="106">
        <v>3</v>
      </c>
      <c r="E4936" s="94" t="s">
        <v>125</v>
      </c>
    </row>
    <row r="4938" spans="1:6">
      <c r="A4938" s="437">
        <v>46041</v>
      </c>
      <c r="B4938" s="222" t="s">
        <v>1246</v>
      </c>
      <c r="C4938" s="220" t="s">
        <v>2778</v>
      </c>
      <c r="D4938" s="220">
        <v>2</v>
      </c>
      <c r="E4938" s="438" t="s">
        <v>125</v>
      </c>
    </row>
    <row r="4940" spans="1:6">
      <c r="A4940" s="346">
        <v>46041</v>
      </c>
      <c r="B4940" s="349" t="s">
        <v>1246</v>
      </c>
      <c r="C4940" s="348" t="s">
        <v>2093</v>
      </c>
      <c r="D4940" s="348">
        <v>2</v>
      </c>
      <c r="E4940" s="360" t="s">
        <v>125</v>
      </c>
      <c r="F4940" t="s">
        <v>2779</v>
      </c>
    </row>
    <row r="4941" spans="1:6">
      <c r="A4941" s="346">
        <v>46041</v>
      </c>
      <c r="B4941" s="349" t="s">
        <v>1246</v>
      </c>
      <c r="C4941" s="348" t="s">
        <v>2093</v>
      </c>
      <c r="D4941" s="348">
        <v>1</v>
      </c>
      <c r="E4941" s="360" t="s">
        <v>125</v>
      </c>
    </row>
    <row r="4942" spans="1:6">
      <c r="A4942" s="346">
        <v>46041</v>
      </c>
      <c r="B4942" s="349" t="s">
        <v>1271</v>
      </c>
      <c r="C4942" s="348" t="s">
        <v>2093</v>
      </c>
      <c r="D4942" s="348">
        <v>1</v>
      </c>
      <c r="E4942" s="360" t="s">
        <v>125</v>
      </c>
    </row>
    <row r="4943" spans="1:6">
      <c r="A4943" s="346">
        <v>46041</v>
      </c>
      <c r="B4943" s="349" t="s">
        <v>1327</v>
      </c>
      <c r="C4943" s="348" t="s">
        <v>2093</v>
      </c>
      <c r="D4943" s="348">
        <v>3</v>
      </c>
      <c r="E4943" s="360" t="s">
        <v>125</v>
      </c>
    </row>
    <row r="4944" spans="1:6">
      <c r="A4944" s="346">
        <v>46041</v>
      </c>
      <c r="B4944" s="349" t="s">
        <v>1291</v>
      </c>
      <c r="C4944" s="348" t="s">
        <v>2093</v>
      </c>
      <c r="D4944" s="348">
        <v>7</v>
      </c>
      <c r="E4944" s="360" t="s">
        <v>125</v>
      </c>
    </row>
    <row r="4945" spans="1:6">
      <c r="A4945" s="346">
        <v>46041</v>
      </c>
      <c r="B4945" s="349" t="s">
        <v>1490</v>
      </c>
      <c r="C4945" s="348" t="s">
        <v>2093</v>
      </c>
      <c r="D4945" s="348">
        <v>2</v>
      </c>
      <c r="E4945" s="360" t="s">
        <v>125</v>
      </c>
    </row>
    <row r="4947" spans="1:6">
      <c r="A4947" s="335">
        <v>46041</v>
      </c>
      <c r="B4947" s="343" t="s">
        <v>1249</v>
      </c>
      <c r="C4947" s="345" t="s">
        <v>1605</v>
      </c>
      <c r="D4947" s="345">
        <v>-1</v>
      </c>
      <c r="E4947" s="230" t="s">
        <v>125</v>
      </c>
      <c r="F4947" t="s">
        <v>2725</v>
      </c>
    </row>
    <row r="4948" spans="1:6">
      <c r="A4948" s="335">
        <v>46041</v>
      </c>
      <c r="B4948" s="343" t="s">
        <v>1271</v>
      </c>
      <c r="C4948" s="345" t="s">
        <v>1605</v>
      </c>
      <c r="D4948" s="345">
        <v>-1</v>
      </c>
      <c r="E4948" s="230" t="s">
        <v>125</v>
      </c>
      <c r="F4948" s="731" t="s">
        <v>2725</v>
      </c>
    </row>
    <row r="4949" spans="1:6">
      <c r="A4949" s="335">
        <v>46041</v>
      </c>
      <c r="B4949" s="93" t="s">
        <v>1223</v>
      </c>
      <c r="C4949" s="43" t="s">
        <v>1655</v>
      </c>
      <c r="D4949" s="43">
        <v>-1</v>
      </c>
      <c r="E4949" s="230" t="s">
        <v>125</v>
      </c>
    </row>
    <row r="4950" spans="1:6">
      <c r="A4950" s="335">
        <v>46041</v>
      </c>
      <c r="B4950" s="343" t="s">
        <v>1270</v>
      </c>
      <c r="C4950" s="43" t="s">
        <v>1615</v>
      </c>
      <c r="D4950" s="43">
        <v>-4</v>
      </c>
      <c r="E4950" s="230" t="s">
        <v>125</v>
      </c>
    </row>
    <row r="4951" spans="1:6">
      <c r="A4951" s="335">
        <v>46041</v>
      </c>
      <c r="B4951" s="343" t="s">
        <v>1270</v>
      </c>
      <c r="C4951" s="43" t="s">
        <v>2076</v>
      </c>
      <c r="D4951" s="43">
        <v>-2</v>
      </c>
      <c r="E4951" s="230" t="s">
        <v>125</v>
      </c>
    </row>
    <row r="4952" spans="1:6">
      <c r="A4952" s="335">
        <v>46041</v>
      </c>
      <c r="B4952" s="84" t="s">
        <v>881</v>
      </c>
      <c r="C4952" s="43" t="s">
        <v>2076</v>
      </c>
      <c r="D4952" s="43">
        <v>-2</v>
      </c>
      <c r="E4952" s="230" t="s">
        <v>125</v>
      </c>
    </row>
    <row r="4953" spans="1:6">
      <c r="A4953" s="335">
        <v>46041</v>
      </c>
      <c r="B4953" s="343" t="s">
        <v>2358</v>
      </c>
      <c r="C4953" s="43" t="s">
        <v>2232</v>
      </c>
      <c r="D4953" s="43">
        <v>-1</v>
      </c>
      <c r="E4953" s="230" t="s">
        <v>125</v>
      </c>
    </row>
    <row r="4954" spans="1:6">
      <c r="A4954" s="335">
        <v>46041</v>
      </c>
      <c r="B4954" s="343" t="s">
        <v>1246</v>
      </c>
      <c r="C4954" s="345" t="s">
        <v>2647</v>
      </c>
      <c r="D4954" s="345">
        <v>-1</v>
      </c>
      <c r="E4954" s="230" t="s">
        <v>125</v>
      </c>
    </row>
    <row r="4955" spans="1:6">
      <c r="A4955" s="335">
        <v>46041</v>
      </c>
      <c r="B4955" s="343" t="s">
        <v>1246</v>
      </c>
      <c r="C4955" s="345" t="s">
        <v>2647</v>
      </c>
      <c r="D4955" s="345">
        <v>-1</v>
      </c>
      <c r="E4955" s="230" t="s">
        <v>125</v>
      </c>
    </row>
    <row r="4956" spans="1:6">
      <c r="A4956" s="335">
        <v>46041</v>
      </c>
      <c r="B4956" s="343" t="s">
        <v>1246</v>
      </c>
      <c r="C4956" s="43" t="s">
        <v>2406</v>
      </c>
      <c r="D4956" s="43">
        <v>-3</v>
      </c>
      <c r="E4956" s="230" t="s">
        <v>125</v>
      </c>
    </row>
    <row r="4957" spans="1:6">
      <c r="A4957" s="335">
        <v>46041</v>
      </c>
      <c r="B4957" s="343" t="s">
        <v>1246</v>
      </c>
      <c r="C4957" s="43" t="s">
        <v>2406</v>
      </c>
      <c r="D4957" s="43">
        <v>-3</v>
      </c>
      <c r="E4957" s="230" t="s">
        <v>125</v>
      </c>
    </row>
    <row r="4958" spans="1:6">
      <c r="A4958" s="335">
        <v>46041</v>
      </c>
      <c r="B4958" s="343" t="s">
        <v>1271</v>
      </c>
      <c r="C4958" s="43" t="s">
        <v>2406</v>
      </c>
      <c r="D4958" s="43">
        <v>-1</v>
      </c>
      <c r="E4958" s="230" t="s">
        <v>125</v>
      </c>
    </row>
    <row r="4960" spans="1:6">
      <c r="A4960" s="265">
        <v>46042</v>
      </c>
      <c r="B4960" s="343" t="s">
        <v>1246</v>
      </c>
      <c r="C4960" s="43" t="s">
        <v>1663</v>
      </c>
      <c r="D4960" s="43">
        <v>-3</v>
      </c>
      <c r="E4960" s="230" t="s">
        <v>125</v>
      </c>
    </row>
    <row r="4961" spans="1:5">
      <c r="A4961" s="265">
        <v>46042</v>
      </c>
      <c r="B4961" s="343" t="s">
        <v>1246</v>
      </c>
      <c r="C4961" s="43" t="s">
        <v>1663</v>
      </c>
      <c r="D4961" s="43">
        <v>-8</v>
      </c>
      <c r="E4961" s="230" t="s">
        <v>125</v>
      </c>
    </row>
    <row r="4962" spans="1:5">
      <c r="A4962" s="265">
        <v>46042</v>
      </c>
      <c r="B4962" s="343" t="s">
        <v>1327</v>
      </c>
      <c r="C4962" s="43" t="s">
        <v>2113</v>
      </c>
      <c r="D4962" s="43">
        <v>-3</v>
      </c>
      <c r="E4962" s="230" t="s">
        <v>125</v>
      </c>
    </row>
    <row r="4963" spans="1:5">
      <c r="A4963" s="265">
        <v>46042</v>
      </c>
      <c r="B4963" s="93" t="s">
        <v>807</v>
      </c>
      <c r="C4963" s="43" t="s">
        <v>1595</v>
      </c>
      <c r="D4963" s="43">
        <v>-1</v>
      </c>
      <c r="E4963" s="230" t="s">
        <v>125</v>
      </c>
    </row>
    <row r="4964" spans="1:5">
      <c r="A4964" s="265">
        <v>46042</v>
      </c>
      <c r="B4964" s="343" t="s">
        <v>1327</v>
      </c>
      <c r="C4964" s="43" t="s">
        <v>2647</v>
      </c>
      <c r="D4964" s="43">
        <v>-3</v>
      </c>
      <c r="E4964" s="230" t="s">
        <v>125</v>
      </c>
    </row>
    <row r="4965" spans="1:5">
      <c r="A4965" s="265">
        <v>46042</v>
      </c>
      <c r="B4965" s="343" t="s">
        <v>1327</v>
      </c>
      <c r="C4965" s="43" t="s">
        <v>2647</v>
      </c>
      <c r="D4965" s="43">
        <v>-2</v>
      </c>
      <c r="E4965" s="230" t="s">
        <v>125</v>
      </c>
    </row>
    <row r="4966" spans="1:5">
      <c r="A4966" s="265">
        <v>46042</v>
      </c>
      <c r="B4966" s="343" t="s">
        <v>1246</v>
      </c>
      <c r="C4966" s="43" t="s">
        <v>2406</v>
      </c>
      <c r="D4966" s="43">
        <v>-2</v>
      </c>
      <c r="E4966" s="230" t="s">
        <v>125</v>
      </c>
    </row>
    <row r="4967" spans="1:5">
      <c r="A4967" s="265">
        <v>46042</v>
      </c>
      <c r="B4967" s="343" t="s">
        <v>1246</v>
      </c>
      <c r="C4967" s="43" t="s">
        <v>2406</v>
      </c>
      <c r="D4967" s="43">
        <v>-1</v>
      </c>
      <c r="E4967" s="230" t="s">
        <v>125</v>
      </c>
    </row>
    <row r="4969" spans="1:5">
      <c r="A4969" s="265">
        <v>46043</v>
      </c>
      <c r="B4969" s="84" t="s">
        <v>881</v>
      </c>
      <c r="C4969" s="43" t="s">
        <v>1803</v>
      </c>
      <c r="D4969" s="43">
        <v>-1</v>
      </c>
      <c r="E4969" s="230" t="s">
        <v>125</v>
      </c>
    </row>
    <row r="4970" spans="1:5">
      <c r="A4970" s="265">
        <v>46043</v>
      </c>
      <c r="B4970" s="93" t="s">
        <v>807</v>
      </c>
      <c r="C4970" s="43" t="s">
        <v>1595</v>
      </c>
      <c r="D4970" s="43">
        <v>-4</v>
      </c>
      <c r="E4970" s="230" t="s">
        <v>125</v>
      </c>
    </row>
    <row r="4971" spans="1:5">
      <c r="A4971" s="265">
        <v>46043</v>
      </c>
      <c r="B4971" s="343" t="s">
        <v>1246</v>
      </c>
      <c r="C4971" s="43" t="s">
        <v>2647</v>
      </c>
      <c r="D4971" s="43">
        <v>-1</v>
      </c>
      <c r="E4971" s="230" t="s">
        <v>125</v>
      </c>
    </row>
    <row r="4972" spans="1:5">
      <c r="A4972" s="265">
        <v>46043</v>
      </c>
      <c r="B4972" s="343" t="s">
        <v>1327</v>
      </c>
      <c r="C4972" s="43" t="s">
        <v>2793</v>
      </c>
      <c r="D4972" s="43">
        <v>-1</v>
      </c>
      <c r="E4972" s="230" t="s">
        <v>125</v>
      </c>
    </row>
    <row r="4974" spans="1:5">
      <c r="A4974" s="434">
        <v>46043</v>
      </c>
      <c r="B4974" s="168" t="s">
        <v>2143</v>
      </c>
      <c r="C4974" s="166" t="s">
        <v>1601</v>
      </c>
      <c r="D4974" s="166">
        <v>1</v>
      </c>
      <c r="E4974" s="615" t="s">
        <v>125</v>
      </c>
    </row>
    <row r="4976" spans="1:5">
      <c r="A4976" s="265">
        <v>46043</v>
      </c>
      <c r="B4976" s="343" t="s">
        <v>1246</v>
      </c>
      <c r="C4976" s="43" t="s">
        <v>2647</v>
      </c>
      <c r="D4976" s="43">
        <v>-1</v>
      </c>
      <c r="E4976" s="230" t="s">
        <v>125</v>
      </c>
    </row>
    <row r="4978" spans="1:6">
      <c r="A4978" s="323">
        <v>46041</v>
      </c>
      <c r="B4978" s="325" t="s">
        <v>1246</v>
      </c>
      <c r="C4978" s="322" t="s">
        <v>682</v>
      </c>
      <c r="D4978" s="322">
        <v>14</v>
      </c>
      <c r="E4978" s="321" t="s">
        <v>125</v>
      </c>
      <c r="F4978" t="s">
        <v>2795</v>
      </c>
    </row>
    <row r="4979" spans="1:6">
      <c r="A4979" s="323">
        <v>46041</v>
      </c>
      <c r="B4979" s="325" t="s">
        <v>1246</v>
      </c>
      <c r="C4979" s="322" t="s">
        <v>682</v>
      </c>
      <c r="D4979" s="322">
        <v>3</v>
      </c>
      <c r="E4979" s="321" t="s">
        <v>125</v>
      </c>
    </row>
    <row r="4980" spans="1:6">
      <c r="A4980" s="323">
        <v>46041</v>
      </c>
      <c r="B4980" s="325" t="s">
        <v>1246</v>
      </c>
      <c r="C4980" s="322" t="s">
        <v>682</v>
      </c>
      <c r="D4980" s="322">
        <v>4</v>
      </c>
      <c r="E4980" s="321" t="s">
        <v>125</v>
      </c>
    </row>
    <row r="4981" spans="1:6">
      <c r="A4981" s="323">
        <v>46041</v>
      </c>
      <c r="B4981" s="325" t="s">
        <v>1246</v>
      </c>
      <c r="C4981" s="322" t="s">
        <v>682</v>
      </c>
      <c r="D4981" s="322">
        <v>5</v>
      </c>
      <c r="E4981" s="321" t="s">
        <v>125</v>
      </c>
    </row>
    <row r="4982" spans="1:6">
      <c r="A4982" s="323">
        <v>46041</v>
      </c>
      <c r="B4982" s="325" t="s">
        <v>1246</v>
      </c>
      <c r="C4982" s="322" t="s">
        <v>682</v>
      </c>
      <c r="D4982" s="322">
        <v>3</v>
      </c>
      <c r="E4982" s="321" t="s">
        <v>125</v>
      </c>
    </row>
    <row r="4983" spans="1:6">
      <c r="A4983" s="323">
        <v>46041</v>
      </c>
      <c r="B4983" s="325" t="s">
        <v>1246</v>
      </c>
      <c r="C4983" s="322" t="s">
        <v>682</v>
      </c>
      <c r="D4983" s="322">
        <v>2</v>
      </c>
      <c r="E4983" s="321" t="s">
        <v>125</v>
      </c>
    </row>
    <row r="4984" spans="1:6">
      <c r="A4984" s="323">
        <v>46041</v>
      </c>
      <c r="B4984" s="325" t="s">
        <v>1249</v>
      </c>
      <c r="C4984" s="322" t="s">
        <v>682</v>
      </c>
      <c r="D4984" s="322">
        <v>1</v>
      </c>
      <c r="E4984" s="321" t="s">
        <v>125</v>
      </c>
    </row>
    <row r="4985" spans="1:6">
      <c r="A4985" s="323">
        <v>46041</v>
      </c>
      <c r="B4985" s="325" t="s">
        <v>1290</v>
      </c>
      <c r="C4985" s="322" t="s">
        <v>682</v>
      </c>
      <c r="D4985" s="322">
        <v>1</v>
      </c>
      <c r="E4985" s="321" t="s">
        <v>125</v>
      </c>
    </row>
    <row r="4986" spans="1:6">
      <c r="A4986" s="323">
        <v>46041</v>
      </c>
      <c r="B4986" s="325" t="s">
        <v>1301</v>
      </c>
      <c r="C4986" s="322" t="s">
        <v>682</v>
      </c>
      <c r="D4986" s="322">
        <v>3</v>
      </c>
      <c r="E4986" s="321" t="s">
        <v>125</v>
      </c>
    </row>
    <row r="4987" spans="1:6">
      <c r="A4987" s="323">
        <v>46041</v>
      </c>
      <c r="B4987" s="325" t="s">
        <v>1271</v>
      </c>
      <c r="C4987" s="322" t="s">
        <v>682</v>
      </c>
      <c r="D4987" s="322">
        <v>5</v>
      </c>
      <c r="E4987" s="321" t="s">
        <v>125</v>
      </c>
    </row>
    <row r="4988" spans="1:6">
      <c r="A4988" s="323">
        <v>46041</v>
      </c>
      <c r="B4988" s="325" t="s">
        <v>1271</v>
      </c>
      <c r="C4988" s="322" t="s">
        <v>682</v>
      </c>
      <c r="D4988" s="322">
        <v>2</v>
      </c>
      <c r="E4988" s="321" t="s">
        <v>125</v>
      </c>
    </row>
    <row r="4989" spans="1:6">
      <c r="A4989" s="323">
        <v>46041</v>
      </c>
      <c r="B4989" s="325" t="s">
        <v>1271</v>
      </c>
      <c r="C4989" s="322" t="s">
        <v>682</v>
      </c>
      <c r="D4989" s="322">
        <v>1</v>
      </c>
      <c r="E4989" s="321" t="s">
        <v>125</v>
      </c>
    </row>
    <row r="4990" spans="1:6">
      <c r="A4990" s="323">
        <v>46041</v>
      </c>
      <c r="B4990" s="325" t="s">
        <v>1327</v>
      </c>
      <c r="C4990" s="322" t="s">
        <v>682</v>
      </c>
      <c r="D4990" s="322">
        <v>5</v>
      </c>
      <c r="E4990" s="321" t="s">
        <v>125</v>
      </c>
    </row>
    <row r="4991" spans="1:6">
      <c r="A4991" s="323">
        <v>46041</v>
      </c>
      <c r="B4991" s="325" t="s">
        <v>1326</v>
      </c>
      <c r="C4991" s="322" t="s">
        <v>682</v>
      </c>
      <c r="D4991" s="322">
        <v>1</v>
      </c>
      <c r="E4991" s="321" t="s">
        <v>125</v>
      </c>
    </row>
    <row r="4992" spans="1:6">
      <c r="A4992" s="323">
        <v>46041</v>
      </c>
      <c r="B4992" s="325" t="s">
        <v>1319</v>
      </c>
      <c r="C4992" s="322" t="s">
        <v>682</v>
      </c>
      <c r="D4992" s="322">
        <v>1</v>
      </c>
      <c r="E4992" s="321" t="s">
        <v>125</v>
      </c>
    </row>
    <row r="4993" spans="1:6">
      <c r="A4993" s="323">
        <v>46041</v>
      </c>
      <c r="B4993" s="325" t="s">
        <v>1568</v>
      </c>
      <c r="C4993" s="322" t="s">
        <v>682</v>
      </c>
      <c r="D4993" s="322">
        <v>1</v>
      </c>
      <c r="E4993" s="321" t="s">
        <v>125</v>
      </c>
    </row>
    <row r="4994" spans="1:6">
      <c r="A4994" s="323">
        <v>46041</v>
      </c>
      <c r="B4994" s="324" t="s">
        <v>1994</v>
      </c>
      <c r="C4994" s="322" t="s">
        <v>682</v>
      </c>
      <c r="D4994" s="322">
        <v>5</v>
      </c>
      <c r="E4994" s="321" t="s">
        <v>125</v>
      </c>
    </row>
    <row r="4995" spans="1:6">
      <c r="A4995" s="323">
        <v>46041</v>
      </c>
      <c r="B4995" s="325" t="s">
        <v>1641</v>
      </c>
      <c r="C4995" s="322" t="s">
        <v>682</v>
      </c>
      <c r="D4995" s="322">
        <v>2</v>
      </c>
      <c r="E4995" s="321" t="s">
        <v>125</v>
      </c>
    </row>
    <row r="4996" spans="1:6">
      <c r="A4996" s="323">
        <v>46041</v>
      </c>
      <c r="B4996" s="325" t="s">
        <v>1641</v>
      </c>
      <c r="C4996" s="322" t="s">
        <v>682</v>
      </c>
      <c r="D4996" s="322">
        <v>1</v>
      </c>
      <c r="E4996" s="321" t="s">
        <v>125</v>
      </c>
    </row>
    <row r="4997" spans="1:6">
      <c r="A4997" s="323">
        <v>46041</v>
      </c>
      <c r="B4997" s="325" t="s">
        <v>2520</v>
      </c>
      <c r="C4997" s="322" t="s">
        <v>682</v>
      </c>
      <c r="D4997" s="322">
        <v>1</v>
      </c>
      <c r="E4997" s="321" t="s">
        <v>125</v>
      </c>
    </row>
    <row r="4998" spans="1:6">
      <c r="A4998" s="323">
        <v>46041</v>
      </c>
      <c r="B4998" s="425" t="s">
        <v>1716</v>
      </c>
      <c r="C4998" s="322" t="s">
        <v>682</v>
      </c>
      <c r="D4998" s="322">
        <v>2</v>
      </c>
      <c r="E4998" s="321" t="s">
        <v>125</v>
      </c>
    </row>
    <row r="4999" spans="1:6">
      <c r="A4999" s="323">
        <v>46041</v>
      </c>
      <c r="B4999" s="325" t="s">
        <v>1301</v>
      </c>
      <c r="C4999" s="322" t="s">
        <v>682</v>
      </c>
      <c r="D4999" s="322">
        <v>1</v>
      </c>
      <c r="E4999" s="321" t="s">
        <v>125</v>
      </c>
    </row>
    <row r="5001" spans="1:6">
      <c r="A5001" s="323">
        <v>46041</v>
      </c>
      <c r="B5001" s="325" t="s">
        <v>1641</v>
      </c>
      <c r="C5001" s="322" t="s">
        <v>682</v>
      </c>
      <c r="D5001" s="322">
        <v>1</v>
      </c>
      <c r="E5001" s="321" t="s">
        <v>125</v>
      </c>
      <c r="F5001" t="s">
        <v>2796</v>
      </c>
    </row>
    <row r="5002" spans="1:6">
      <c r="A5002" s="323">
        <v>46041</v>
      </c>
      <c r="B5002" s="325" t="s">
        <v>1291</v>
      </c>
      <c r="C5002" s="322" t="s">
        <v>682</v>
      </c>
      <c r="D5002" s="322">
        <v>2</v>
      </c>
      <c r="E5002" s="321" t="s">
        <v>125</v>
      </c>
    </row>
    <row r="5004" spans="1:6">
      <c r="A5004" s="265">
        <v>46043</v>
      </c>
      <c r="B5004" s="92" t="s">
        <v>76</v>
      </c>
      <c r="C5004" s="43" t="s">
        <v>1977</v>
      </c>
      <c r="D5004" s="43">
        <v>-8</v>
      </c>
      <c r="E5004" s="230" t="s">
        <v>125</v>
      </c>
    </row>
    <row r="5005" spans="1:6">
      <c r="A5005" s="265">
        <v>46043</v>
      </c>
      <c r="B5005" s="343" t="s">
        <v>1246</v>
      </c>
      <c r="C5005" s="43" t="s">
        <v>678</v>
      </c>
      <c r="D5005" s="43">
        <v>-1</v>
      </c>
      <c r="E5005" s="230" t="s">
        <v>125</v>
      </c>
    </row>
    <row r="5006" spans="1:6">
      <c r="A5006" s="265">
        <v>46043</v>
      </c>
      <c r="B5006" s="343" t="s">
        <v>1318</v>
      </c>
      <c r="C5006" s="43" t="s">
        <v>678</v>
      </c>
      <c r="D5006" s="43">
        <v>-1</v>
      </c>
      <c r="E5006" s="230" t="s">
        <v>125</v>
      </c>
    </row>
    <row r="5007" spans="1:6">
      <c r="A5007" s="265">
        <v>46043</v>
      </c>
      <c r="B5007" s="343" t="s">
        <v>1319</v>
      </c>
      <c r="C5007" s="43" t="s">
        <v>678</v>
      </c>
      <c r="D5007" s="43">
        <v>-1</v>
      </c>
      <c r="E5007" s="230" t="s">
        <v>125</v>
      </c>
    </row>
    <row r="5008" spans="1:6">
      <c r="A5008" s="265">
        <v>46043</v>
      </c>
      <c r="B5008" s="343" t="s">
        <v>1246</v>
      </c>
      <c r="C5008" s="43" t="s">
        <v>2797</v>
      </c>
      <c r="D5008" s="43">
        <v>-1</v>
      </c>
      <c r="E5008" s="230" t="s">
        <v>125</v>
      </c>
    </row>
    <row r="5010" spans="1:5">
      <c r="A5010" s="272">
        <v>46038</v>
      </c>
      <c r="B5010" s="139" t="s">
        <v>1327</v>
      </c>
      <c r="C5010" s="106" t="s">
        <v>49</v>
      </c>
      <c r="D5010" s="106">
        <v>2</v>
      </c>
      <c r="E5010" s="94" t="s">
        <v>125</v>
      </c>
    </row>
    <row r="5011" spans="1:5">
      <c r="A5011" s="272">
        <v>46038</v>
      </c>
      <c r="B5011" s="139" t="s">
        <v>1327</v>
      </c>
      <c r="C5011" s="106" t="s">
        <v>49</v>
      </c>
      <c r="D5011" s="106">
        <v>2</v>
      </c>
      <c r="E5011" s="94" t="s">
        <v>125</v>
      </c>
    </row>
    <row r="5012" spans="1:5">
      <c r="A5012" s="272">
        <v>46038</v>
      </c>
      <c r="B5012" s="128" t="s">
        <v>671</v>
      </c>
      <c r="C5012" s="106" t="s">
        <v>49</v>
      </c>
      <c r="D5012" s="106">
        <v>4</v>
      </c>
      <c r="E5012" s="94" t="s">
        <v>125</v>
      </c>
    </row>
    <row r="5013" spans="1:5">
      <c r="A5013" s="272">
        <v>46039</v>
      </c>
      <c r="B5013" s="139" t="s">
        <v>1327</v>
      </c>
      <c r="C5013" s="106" t="s">
        <v>49</v>
      </c>
      <c r="D5013" s="106">
        <v>2</v>
      </c>
      <c r="E5013" s="94" t="s">
        <v>125</v>
      </c>
    </row>
    <row r="5014" spans="1:5">
      <c r="A5014" s="272">
        <v>46039</v>
      </c>
      <c r="B5014" s="128" t="s">
        <v>671</v>
      </c>
      <c r="C5014" s="106" t="s">
        <v>49</v>
      </c>
      <c r="D5014" s="106">
        <v>2</v>
      </c>
      <c r="E5014" s="94" t="s">
        <v>125</v>
      </c>
    </row>
    <row r="5015" spans="1:5">
      <c r="A5015" s="272">
        <v>46039</v>
      </c>
      <c r="B5015" s="139" t="s">
        <v>1327</v>
      </c>
      <c r="C5015" s="106" t="s">
        <v>49</v>
      </c>
      <c r="D5015" s="106">
        <v>2</v>
      </c>
      <c r="E5015" s="94" t="s">
        <v>125</v>
      </c>
    </row>
    <row r="5016" spans="1:5">
      <c r="A5016" s="272">
        <v>46039</v>
      </c>
      <c r="B5016" s="139" t="s">
        <v>1327</v>
      </c>
      <c r="C5016" s="106" t="s">
        <v>49</v>
      </c>
      <c r="D5016" s="106">
        <v>2</v>
      </c>
      <c r="E5016" s="94" t="s">
        <v>125</v>
      </c>
    </row>
    <row r="5017" spans="1:5">
      <c r="A5017" s="272">
        <v>46041</v>
      </c>
      <c r="B5017" s="128" t="s">
        <v>76</v>
      </c>
      <c r="C5017" s="106" t="s">
        <v>49</v>
      </c>
      <c r="D5017" s="106">
        <v>40</v>
      </c>
      <c r="E5017" s="94" t="s">
        <v>125</v>
      </c>
    </row>
    <row r="5018" spans="1:5">
      <c r="A5018" s="272">
        <v>46041</v>
      </c>
      <c r="B5018" s="128" t="s">
        <v>76</v>
      </c>
      <c r="C5018" s="106" t="s">
        <v>49</v>
      </c>
      <c r="D5018" s="106">
        <v>32</v>
      </c>
      <c r="E5018" s="94" t="s">
        <v>125</v>
      </c>
    </row>
    <row r="5019" spans="1:5">
      <c r="A5019" s="272">
        <v>46041</v>
      </c>
      <c r="B5019" s="128" t="s">
        <v>76</v>
      </c>
      <c r="C5019" s="106" t="s">
        <v>49</v>
      </c>
      <c r="D5019" s="106">
        <v>60</v>
      </c>
      <c r="E5019" s="94" t="s">
        <v>125</v>
      </c>
    </row>
    <row r="5020" spans="1:5">
      <c r="A5020" s="272">
        <v>46043</v>
      </c>
      <c r="B5020" s="128" t="s">
        <v>76</v>
      </c>
      <c r="C5020" s="106" t="s">
        <v>49</v>
      </c>
      <c r="D5020" s="106">
        <v>80</v>
      </c>
      <c r="E5020" s="94" t="s">
        <v>125</v>
      </c>
    </row>
    <row r="5021" spans="1:5">
      <c r="A5021" s="272">
        <v>46044</v>
      </c>
      <c r="B5021" s="139" t="s">
        <v>1327</v>
      </c>
      <c r="C5021" s="106" t="s">
        <v>49</v>
      </c>
      <c r="D5021" s="106">
        <v>2</v>
      </c>
      <c r="E5021" s="94" t="s">
        <v>125</v>
      </c>
    </row>
    <row r="5022" spans="1:5">
      <c r="A5022" s="272">
        <v>46044</v>
      </c>
      <c r="B5022" s="139" t="s">
        <v>1327</v>
      </c>
      <c r="C5022" s="106" t="s">
        <v>49</v>
      </c>
      <c r="D5022" s="106">
        <v>1</v>
      </c>
      <c r="E5022" s="94" t="s">
        <v>125</v>
      </c>
    </row>
    <row r="5023" spans="1:5">
      <c r="A5023" s="272">
        <v>46044</v>
      </c>
      <c r="B5023" s="128" t="s">
        <v>76</v>
      </c>
      <c r="C5023" s="106" t="s">
        <v>49</v>
      </c>
      <c r="D5023" s="106">
        <v>1</v>
      </c>
      <c r="E5023" s="94" t="s">
        <v>125</v>
      </c>
    </row>
    <row r="5025" spans="1:5">
      <c r="A5025" s="265">
        <v>46044</v>
      </c>
      <c r="B5025" s="343" t="s">
        <v>1270</v>
      </c>
      <c r="C5025" s="43" t="s">
        <v>1615</v>
      </c>
      <c r="D5025" s="43">
        <v>-4</v>
      </c>
      <c r="E5025" s="230" t="s">
        <v>125</v>
      </c>
    </row>
    <row r="5026" spans="1:5">
      <c r="A5026" s="265">
        <v>46044</v>
      </c>
      <c r="B5026" s="92" t="s">
        <v>76</v>
      </c>
      <c r="C5026" s="43" t="s">
        <v>1661</v>
      </c>
      <c r="D5026" s="43">
        <v>-45</v>
      </c>
      <c r="E5026" s="230" t="s">
        <v>125</v>
      </c>
    </row>
    <row r="5027" spans="1:5">
      <c r="A5027" s="265">
        <v>46044</v>
      </c>
      <c r="B5027" s="343" t="s">
        <v>1290</v>
      </c>
      <c r="C5027" s="43" t="s">
        <v>1594</v>
      </c>
      <c r="D5027" s="43">
        <v>-1</v>
      </c>
      <c r="E5027" s="230" t="s">
        <v>125</v>
      </c>
    </row>
    <row r="5028" spans="1:5">
      <c r="A5028" s="265">
        <v>46044</v>
      </c>
      <c r="B5028" s="343" t="s">
        <v>1249</v>
      </c>
      <c r="C5028" s="43" t="s">
        <v>1594</v>
      </c>
      <c r="D5028" s="43">
        <v>-1</v>
      </c>
      <c r="E5028" s="230" t="s">
        <v>125</v>
      </c>
    </row>
    <row r="5029" spans="1:5">
      <c r="A5029" s="265">
        <v>46044</v>
      </c>
      <c r="B5029" s="343" t="s">
        <v>1249</v>
      </c>
      <c r="C5029" s="43" t="s">
        <v>1594</v>
      </c>
      <c r="D5029" s="43">
        <v>-1</v>
      </c>
      <c r="E5029" s="230" t="s">
        <v>125</v>
      </c>
    </row>
    <row r="5030" spans="1:5">
      <c r="A5030" s="265">
        <v>46044</v>
      </c>
      <c r="B5030" s="343" t="s">
        <v>1246</v>
      </c>
      <c r="C5030" s="43" t="s">
        <v>1594</v>
      </c>
      <c r="D5030" s="43">
        <v>-5</v>
      </c>
      <c r="E5030" s="230" t="s">
        <v>125</v>
      </c>
    </row>
    <row r="5031" spans="1:5">
      <c r="A5031" s="265">
        <v>46044</v>
      </c>
      <c r="B5031" s="343" t="s">
        <v>1246</v>
      </c>
      <c r="C5031" s="43" t="s">
        <v>1594</v>
      </c>
      <c r="D5031" s="43">
        <v>-4</v>
      </c>
      <c r="E5031" s="230" t="s">
        <v>125</v>
      </c>
    </row>
    <row r="5032" spans="1:5">
      <c r="A5032" s="265">
        <v>46044</v>
      </c>
      <c r="B5032" s="343" t="s">
        <v>1246</v>
      </c>
      <c r="C5032" s="43" t="s">
        <v>1594</v>
      </c>
      <c r="D5032" s="43">
        <v>-1</v>
      </c>
      <c r="E5032" s="230" t="s">
        <v>125</v>
      </c>
    </row>
    <row r="5033" spans="1:5">
      <c r="A5033" s="265">
        <v>46044</v>
      </c>
      <c r="B5033" s="343" t="s">
        <v>1301</v>
      </c>
      <c r="C5033" s="43" t="s">
        <v>1594</v>
      </c>
      <c r="D5033" s="43">
        <v>-1</v>
      </c>
      <c r="E5033" s="230" t="s">
        <v>125</v>
      </c>
    </row>
    <row r="5034" spans="1:5">
      <c r="A5034" s="265">
        <v>46044</v>
      </c>
      <c r="B5034" s="343" t="s">
        <v>1301</v>
      </c>
      <c r="C5034" s="43" t="s">
        <v>1594</v>
      </c>
      <c r="D5034" s="43">
        <v>-1</v>
      </c>
      <c r="E5034" s="230" t="s">
        <v>125</v>
      </c>
    </row>
    <row r="5035" spans="1:5">
      <c r="A5035" s="265">
        <v>46044</v>
      </c>
      <c r="B5035" s="343" t="s">
        <v>1301</v>
      </c>
      <c r="C5035" s="43" t="s">
        <v>1594</v>
      </c>
      <c r="D5035" s="43">
        <v>-2</v>
      </c>
      <c r="E5035" s="230" t="s">
        <v>125</v>
      </c>
    </row>
    <row r="5036" spans="1:5">
      <c r="A5036" s="265">
        <v>46044</v>
      </c>
      <c r="B5036" s="343" t="s">
        <v>1271</v>
      </c>
      <c r="C5036" s="43" t="s">
        <v>1594</v>
      </c>
      <c r="D5036" s="43">
        <v>-10</v>
      </c>
      <c r="E5036" s="230" t="s">
        <v>125</v>
      </c>
    </row>
    <row r="5037" spans="1:5">
      <c r="A5037" s="265">
        <v>46044</v>
      </c>
      <c r="B5037" s="343" t="s">
        <v>1271</v>
      </c>
      <c r="C5037" s="43" t="s">
        <v>1594</v>
      </c>
      <c r="D5037" s="43">
        <v>-3</v>
      </c>
      <c r="E5037" s="230" t="s">
        <v>125</v>
      </c>
    </row>
    <row r="5038" spans="1:5">
      <c r="A5038" s="265">
        <v>46044</v>
      </c>
      <c r="B5038" s="343" t="s">
        <v>1326</v>
      </c>
      <c r="C5038" s="43" t="s">
        <v>1594</v>
      </c>
      <c r="D5038" s="43">
        <v>-1</v>
      </c>
      <c r="E5038" s="230" t="s">
        <v>125</v>
      </c>
    </row>
    <row r="5039" spans="1:5">
      <c r="A5039" s="265">
        <v>46044</v>
      </c>
      <c r="B5039" s="343" t="s">
        <v>1409</v>
      </c>
      <c r="C5039" s="43" t="s">
        <v>1594</v>
      </c>
      <c r="D5039" s="43">
        <v>-8</v>
      </c>
      <c r="E5039" s="230" t="s">
        <v>125</v>
      </c>
    </row>
    <row r="5040" spans="1:5">
      <c r="A5040" s="265">
        <v>46044</v>
      </c>
      <c r="B5040" s="343" t="s">
        <v>1312</v>
      </c>
      <c r="C5040" s="43" t="s">
        <v>1594</v>
      </c>
      <c r="D5040" s="43">
        <v>-4</v>
      </c>
      <c r="E5040" s="230" t="s">
        <v>125</v>
      </c>
    </row>
    <row r="5041" spans="1:5">
      <c r="A5041" s="265">
        <v>46044</v>
      </c>
      <c r="B5041" s="343" t="s">
        <v>1326</v>
      </c>
      <c r="C5041" s="43" t="s">
        <v>1594</v>
      </c>
      <c r="D5041" s="43">
        <v>-3</v>
      </c>
      <c r="E5041" s="230" t="s">
        <v>125</v>
      </c>
    </row>
    <row r="5043" spans="1:5">
      <c r="A5043" s="265">
        <v>46045</v>
      </c>
      <c r="B5043" s="92" t="s">
        <v>76</v>
      </c>
      <c r="C5043" s="43" t="s">
        <v>2854</v>
      </c>
      <c r="D5043" s="43">
        <v>-150</v>
      </c>
      <c r="E5043" s="230" t="s">
        <v>125</v>
      </c>
    </row>
    <row r="5044" spans="1:5">
      <c r="A5044" s="265">
        <v>46045</v>
      </c>
      <c r="B5044" s="92" t="s">
        <v>76</v>
      </c>
      <c r="C5044" s="43" t="s">
        <v>1814</v>
      </c>
      <c r="D5044" s="43">
        <v>-24</v>
      </c>
      <c r="E5044" s="230" t="s">
        <v>125</v>
      </c>
    </row>
    <row r="5046" spans="1:5">
      <c r="A5046" s="434">
        <v>46045</v>
      </c>
      <c r="B5046" s="168" t="s">
        <v>1249</v>
      </c>
      <c r="C5046" s="166" t="s">
        <v>1618</v>
      </c>
      <c r="D5046" s="166">
        <v>1</v>
      </c>
      <c r="E5046" s="615" t="s">
        <v>125</v>
      </c>
    </row>
    <row r="5047" spans="1:5">
      <c r="A5047" s="434">
        <v>46045</v>
      </c>
      <c r="B5047" s="168" t="s">
        <v>1271</v>
      </c>
      <c r="C5047" s="166" t="s">
        <v>1618</v>
      </c>
      <c r="D5047" s="166">
        <v>1</v>
      </c>
      <c r="E5047" s="615" t="s">
        <v>125</v>
      </c>
    </row>
    <row r="5049" spans="1:5">
      <c r="A5049" s="265">
        <v>46046</v>
      </c>
      <c r="B5049" s="84" t="s">
        <v>881</v>
      </c>
      <c r="C5049" s="43" t="s">
        <v>1615</v>
      </c>
      <c r="D5049" s="43">
        <v>-2</v>
      </c>
      <c r="E5049" s="230" t="s">
        <v>125</v>
      </c>
    </row>
    <row r="5050" spans="1:5">
      <c r="A5050" s="265">
        <v>46046</v>
      </c>
      <c r="B5050" s="93" t="s">
        <v>807</v>
      </c>
      <c r="C5050" s="43" t="s">
        <v>2855</v>
      </c>
      <c r="D5050" s="43">
        <v>-1</v>
      </c>
      <c r="E5050" s="230" t="s">
        <v>125</v>
      </c>
    </row>
    <row r="5051" spans="1:5">
      <c r="A5051" s="265">
        <v>46046</v>
      </c>
      <c r="B5051" s="343" t="s">
        <v>1246</v>
      </c>
      <c r="C5051" s="43" t="s">
        <v>2855</v>
      </c>
      <c r="D5051" s="43">
        <v>-1</v>
      </c>
      <c r="E5051" s="230" t="s">
        <v>125</v>
      </c>
    </row>
    <row r="5052" spans="1:5">
      <c r="A5052" s="265">
        <v>46046</v>
      </c>
      <c r="B5052" s="84" t="s">
        <v>881</v>
      </c>
      <c r="C5052" s="43" t="s">
        <v>2076</v>
      </c>
      <c r="D5052" s="43">
        <v>-3</v>
      </c>
      <c r="E5052" s="230" t="s">
        <v>125</v>
      </c>
    </row>
    <row r="5053" spans="1:5">
      <c r="A5053" s="265">
        <v>46046</v>
      </c>
      <c r="B5053" s="343" t="s">
        <v>1270</v>
      </c>
      <c r="C5053" s="43" t="s">
        <v>2076</v>
      </c>
      <c r="D5053" s="43">
        <v>-2</v>
      </c>
      <c r="E5053" s="230" t="s">
        <v>125</v>
      </c>
    </row>
    <row r="5054" spans="1:5">
      <c r="A5054" s="265">
        <v>46046</v>
      </c>
      <c r="B5054" s="92" t="s">
        <v>789</v>
      </c>
      <c r="C5054" s="43" t="s">
        <v>1613</v>
      </c>
      <c r="D5054" s="43">
        <v>-6</v>
      </c>
      <c r="E5054" s="230" t="s">
        <v>125</v>
      </c>
    </row>
    <row r="5055" spans="1:5">
      <c r="A5055" s="265">
        <v>46046</v>
      </c>
      <c r="B5055" s="93" t="s">
        <v>807</v>
      </c>
      <c r="C5055" s="43" t="s">
        <v>1879</v>
      </c>
      <c r="D5055" s="43">
        <v>-120</v>
      </c>
      <c r="E5055" s="230" t="s">
        <v>125</v>
      </c>
    </row>
    <row r="5056" spans="1:5">
      <c r="A5056" s="265">
        <v>46046</v>
      </c>
      <c r="B5056" s="93" t="s">
        <v>808</v>
      </c>
      <c r="C5056" s="43" t="s">
        <v>1879</v>
      </c>
      <c r="D5056" s="43">
        <v>-140</v>
      </c>
      <c r="E5056" s="230" t="s">
        <v>125</v>
      </c>
    </row>
    <row r="5057" spans="1:6">
      <c r="A5057" s="265">
        <v>46046</v>
      </c>
      <c r="B5057" s="343" t="s">
        <v>1246</v>
      </c>
      <c r="C5057" s="43" t="s">
        <v>2406</v>
      </c>
      <c r="D5057" s="43">
        <v>-15</v>
      </c>
      <c r="E5057" s="230" t="s">
        <v>125</v>
      </c>
    </row>
    <row r="5058" spans="1:6">
      <c r="A5058" s="265">
        <v>46046</v>
      </c>
      <c r="B5058" s="92" t="s">
        <v>789</v>
      </c>
      <c r="C5058" s="43" t="s">
        <v>1615</v>
      </c>
      <c r="D5058" s="43">
        <v>-2</v>
      </c>
      <c r="E5058" s="230" t="s">
        <v>125</v>
      </c>
    </row>
    <row r="5059" spans="1:6">
      <c r="A5059" s="265">
        <v>46046</v>
      </c>
      <c r="B5059" s="92" t="s">
        <v>672</v>
      </c>
      <c r="C5059" s="43" t="s">
        <v>1615</v>
      </c>
      <c r="D5059" s="43">
        <v>-2</v>
      </c>
      <c r="E5059" s="230" t="s">
        <v>125</v>
      </c>
    </row>
    <row r="5061" spans="1:6">
      <c r="A5061" s="323">
        <v>46046</v>
      </c>
      <c r="B5061" s="325" t="s">
        <v>1246</v>
      </c>
      <c r="C5061" s="322" t="s">
        <v>682</v>
      </c>
      <c r="D5061" s="322">
        <v>2</v>
      </c>
      <c r="E5061" s="321" t="s">
        <v>125</v>
      </c>
      <c r="F5061" t="s">
        <v>2893</v>
      </c>
    </row>
    <row r="5062" spans="1:6">
      <c r="A5062" s="323">
        <v>46046</v>
      </c>
      <c r="B5062" s="325" t="s">
        <v>1246</v>
      </c>
      <c r="C5062" s="322" t="s">
        <v>682</v>
      </c>
      <c r="D5062" s="322">
        <v>14</v>
      </c>
      <c r="E5062" s="321" t="s">
        <v>125</v>
      </c>
    </row>
    <row r="5063" spans="1:6">
      <c r="A5063" s="323">
        <v>46046</v>
      </c>
      <c r="B5063" s="325" t="s">
        <v>1246</v>
      </c>
      <c r="C5063" s="322" t="s">
        <v>682</v>
      </c>
      <c r="D5063" s="322">
        <v>12</v>
      </c>
      <c r="E5063" s="321" t="s">
        <v>125</v>
      </c>
    </row>
    <row r="5064" spans="1:6">
      <c r="A5064" s="323">
        <v>46046</v>
      </c>
      <c r="B5064" s="325" t="s">
        <v>1246</v>
      </c>
      <c r="C5064" s="322" t="s">
        <v>682</v>
      </c>
      <c r="D5064" s="322">
        <v>1</v>
      </c>
      <c r="E5064" s="321" t="s">
        <v>125</v>
      </c>
    </row>
    <row r="5065" spans="1:6">
      <c r="A5065" s="323">
        <v>46046</v>
      </c>
      <c r="B5065" s="325" t="s">
        <v>1246</v>
      </c>
      <c r="C5065" s="322" t="s">
        <v>682</v>
      </c>
      <c r="D5065" s="322">
        <v>4</v>
      </c>
      <c r="E5065" s="321" t="s">
        <v>125</v>
      </c>
    </row>
    <row r="5066" spans="1:6">
      <c r="A5066" s="323">
        <v>46046</v>
      </c>
      <c r="B5066" s="325" t="s">
        <v>1246</v>
      </c>
      <c r="C5066" s="322" t="s">
        <v>682</v>
      </c>
      <c r="D5066" s="322">
        <v>1</v>
      </c>
      <c r="E5066" s="321" t="s">
        <v>125</v>
      </c>
    </row>
    <row r="5067" spans="1:6">
      <c r="A5067" s="323">
        <v>46046</v>
      </c>
      <c r="B5067" s="325" t="s">
        <v>1095</v>
      </c>
      <c r="C5067" s="322" t="s">
        <v>682</v>
      </c>
      <c r="D5067" s="322">
        <v>2</v>
      </c>
      <c r="E5067" s="321" t="s">
        <v>125</v>
      </c>
    </row>
    <row r="5068" spans="1:6">
      <c r="A5068" s="323">
        <v>46046</v>
      </c>
      <c r="B5068" s="325" t="s">
        <v>1291</v>
      </c>
      <c r="C5068" s="322" t="s">
        <v>682</v>
      </c>
      <c r="D5068" s="322">
        <v>4</v>
      </c>
      <c r="E5068" s="321" t="s">
        <v>125</v>
      </c>
    </row>
    <row r="5069" spans="1:6">
      <c r="A5069" s="323">
        <v>46046</v>
      </c>
      <c r="B5069" s="324" t="s">
        <v>131</v>
      </c>
      <c r="C5069" s="322" t="s">
        <v>682</v>
      </c>
      <c r="D5069" s="322">
        <v>4</v>
      </c>
      <c r="E5069" s="321" t="s">
        <v>125</v>
      </c>
    </row>
    <row r="5070" spans="1:6">
      <c r="A5070" s="323">
        <v>46046</v>
      </c>
      <c r="B5070" s="425" t="s">
        <v>375</v>
      </c>
      <c r="C5070" s="322" t="s">
        <v>682</v>
      </c>
      <c r="D5070" s="322">
        <v>1</v>
      </c>
      <c r="E5070" s="321" t="s">
        <v>125</v>
      </c>
    </row>
    <row r="5071" spans="1:6">
      <c r="A5071" s="323">
        <v>46046</v>
      </c>
      <c r="B5071" s="425" t="s">
        <v>375</v>
      </c>
      <c r="C5071" s="322" t="s">
        <v>682</v>
      </c>
      <c r="D5071" s="322">
        <v>13</v>
      </c>
      <c r="E5071" s="321" t="s">
        <v>125</v>
      </c>
    </row>
    <row r="5072" spans="1:6">
      <c r="A5072" s="323">
        <v>46046</v>
      </c>
      <c r="B5072" s="425" t="s">
        <v>375</v>
      </c>
      <c r="C5072" s="322" t="s">
        <v>682</v>
      </c>
      <c r="D5072" s="322">
        <v>7</v>
      </c>
      <c r="E5072" s="321" t="s">
        <v>125</v>
      </c>
    </row>
    <row r="5074" spans="1:5">
      <c r="A5074" s="265">
        <v>46046</v>
      </c>
      <c r="B5074" s="343" t="s">
        <v>1246</v>
      </c>
      <c r="C5074" s="43" t="s">
        <v>2406</v>
      </c>
      <c r="D5074" s="43">
        <v>-11</v>
      </c>
      <c r="E5074" s="230" t="s">
        <v>125</v>
      </c>
    </row>
    <row r="5075" spans="1:5">
      <c r="A5075" s="265">
        <v>46046</v>
      </c>
      <c r="B5075" s="343" t="s">
        <v>1326</v>
      </c>
      <c r="C5075" s="43" t="s">
        <v>678</v>
      </c>
      <c r="D5075" s="43">
        <v>-2</v>
      </c>
      <c r="E5075" s="230" t="s">
        <v>125</v>
      </c>
    </row>
    <row r="5076" spans="1:5">
      <c r="A5076" s="265">
        <v>46046</v>
      </c>
      <c r="B5076" s="93" t="s">
        <v>929</v>
      </c>
      <c r="C5076" s="43" t="s">
        <v>678</v>
      </c>
      <c r="D5076" s="43">
        <v>-1</v>
      </c>
      <c r="E5076" s="230" t="s">
        <v>125</v>
      </c>
    </row>
    <row r="5077" spans="1:5">
      <c r="A5077" s="265">
        <v>46046</v>
      </c>
      <c r="B5077" s="93" t="s">
        <v>169</v>
      </c>
      <c r="C5077" s="43" t="s">
        <v>678</v>
      </c>
      <c r="D5077" s="43">
        <v>-1</v>
      </c>
      <c r="E5077" s="230" t="s">
        <v>125</v>
      </c>
    </row>
    <row r="5078" spans="1:5">
      <c r="A5078" s="265">
        <v>46046</v>
      </c>
      <c r="B5078" s="84" t="s">
        <v>134</v>
      </c>
      <c r="C5078" s="43" t="s">
        <v>678</v>
      </c>
      <c r="D5078" s="43">
        <v>-1</v>
      </c>
      <c r="E5078" s="230" t="s">
        <v>125</v>
      </c>
    </row>
    <row r="5079" spans="1:5">
      <c r="A5079" s="265">
        <v>46046</v>
      </c>
      <c r="B5079" s="343" t="s">
        <v>1246</v>
      </c>
      <c r="C5079" s="43" t="s">
        <v>678</v>
      </c>
      <c r="D5079" s="43">
        <v>-1</v>
      </c>
      <c r="E5079" s="230" t="s">
        <v>125</v>
      </c>
    </row>
    <row r="5081" spans="1:5">
      <c r="A5081" s="265">
        <v>46048</v>
      </c>
      <c r="B5081" s="92" t="s">
        <v>672</v>
      </c>
      <c r="C5081" s="43" t="s">
        <v>1615</v>
      </c>
      <c r="D5081" s="43">
        <v>-2</v>
      </c>
      <c r="E5081" s="230" t="s">
        <v>125</v>
      </c>
    </row>
    <row r="5082" spans="1:5">
      <c r="A5082" s="335">
        <v>46048</v>
      </c>
      <c r="B5082" s="343" t="s">
        <v>2312</v>
      </c>
      <c r="C5082" s="345" t="s">
        <v>2238</v>
      </c>
      <c r="D5082" s="345">
        <v>-3</v>
      </c>
      <c r="E5082" s="230" t="s">
        <v>125</v>
      </c>
    </row>
    <row r="5083" spans="1:5">
      <c r="A5083" s="335">
        <v>46048</v>
      </c>
      <c r="B5083" s="343" t="s">
        <v>1568</v>
      </c>
      <c r="C5083" s="345" t="s">
        <v>1592</v>
      </c>
      <c r="D5083" s="345">
        <v>-4</v>
      </c>
      <c r="E5083" s="230" t="s">
        <v>125</v>
      </c>
    </row>
    <row r="5084" spans="1:5">
      <c r="A5084" s="335">
        <v>46048</v>
      </c>
      <c r="B5084" s="343" t="s">
        <v>1568</v>
      </c>
      <c r="C5084" s="345" t="s">
        <v>1592</v>
      </c>
      <c r="D5084" s="345">
        <v>-1</v>
      </c>
      <c r="E5084" s="230" t="s">
        <v>125</v>
      </c>
    </row>
    <row r="5085" spans="1:5">
      <c r="A5085" s="335">
        <v>46048</v>
      </c>
      <c r="B5085" s="342" t="s">
        <v>1994</v>
      </c>
      <c r="C5085" s="345" t="s">
        <v>1592</v>
      </c>
      <c r="D5085" s="345">
        <v>-5</v>
      </c>
      <c r="E5085" s="230" t="s">
        <v>125</v>
      </c>
    </row>
    <row r="5086" spans="1:5">
      <c r="A5086" s="335">
        <v>46048</v>
      </c>
      <c r="B5086" s="343" t="s">
        <v>2019</v>
      </c>
      <c r="C5086" s="345" t="s">
        <v>1592</v>
      </c>
      <c r="D5086" s="345">
        <v>-2</v>
      </c>
      <c r="E5086" s="230" t="s">
        <v>125</v>
      </c>
    </row>
    <row r="5087" spans="1:5">
      <c r="A5087" s="335">
        <v>46048</v>
      </c>
      <c r="B5087" s="343" t="s">
        <v>1641</v>
      </c>
      <c r="C5087" s="345" t="s">
        <v>1592</v>
      </c>
      <c r="D5087" s="345">
        <v>-3</v>
      </c>
      <c r="E5087" s="230" t="s">
        <v>125</v>
      </c>
    </row>
    <row r="5088" spans="1:5">
      <c r="A5088" s="335">
        <v>46048</v>
      </c>
      <c r="B5088" s="343" t="s">
        <v>1641</v>
      </c>
      <c r="C5088" s="345" t="s">
        <v>1592</v>
      </c>
      <c r="D5088" s="345">
        <v>-3</v>
      </c>
      <c r="E5088" s="230" t="s">
        <v>125</v>
      </c>
    </row>
    <row r="5089" spans="1:5">
      <c r="A5089" s="335">
        <v>46048</v>
      </c>
      <c r="B5089" s="342" t="s">
        <v>919</v>
      </c>
      <c r="C5089" s="345" t="s">
        <v>1592</v>
      </c>
      <c r="D5089" s="345">
        <v>-1</v>
      </c>
      <c r="E5089" s="230" t="s">
        <v>125</v>
      </c>
    </row>
    <row r="5090" spans="1:5">
      <c r="A5090" s="335">
        <v>46048</v>
      </c>
      <c r="B5090" s="343" t="s">
        <v>2142</v>
      </c>
      <c r="C5090" s="345" t="s">
        <v>1592</v>
      </c>
      <c r="D5090" s="345">
        <v>-4</v>
      </c>
      <c r="E5090" s="230" t="s">
        <v>125</v>
      </c>
    </row>
    <row r="5091" spans="1:5">
      <c r="A5091" s="335">
        <v>46048</v>
      </c>
      <c r="B5091" s="343" t="s">
        <v>2141</v>
      </c>
      <c r="C5091" s="345" t="s">
        <v>1592</v>
      </c>
      <c r="D5091" s="345">
        <v>-1</v>
      </c>
      <c r="E5091" s="230" t="s">
        <v>125</v>
      </c>
    </row>
    <row r="5092" spans="1:5">
      <c r="A5092" s="335">
        <v>46048</v>
      </c>
      <c r="B5092" s="343" t="s">
        <v>2520</v>
      </c>
      <c r="C5092" s="345" t="s">
        <v>1592</v>
      </c>
      <c r="D5092" s="345">
        <v>-2</v>
      </c>
      <c r="E5092" s="230" t="s">
        <v>125</v>
      </c>
    </row>
    <row r="5093" spans="1:5">
      <c r="A5093" s="335">
        <v>46048</v>
      </c>
      <c r="B5093" s="343" t="s">
        <v>2521</v>
      </c>
      <c r="C5093" s="345" t="s">
        <v>1592</v>
      </c>
      <c r="D5093" s="345">
        <v>-1</v>
      </c>
      <c r="E5093" s="230" t="s">
        <v>125</v>
      </c>
    </row>
    <row r="5094" spans="1:5">
      <c r="A5094" s="335">
        <v>46048</v>
      </c>
      <c r="B5094" s="343" t="s">
        <v>1095</v>
      </c>
      <c r="C5094" s="345" t="s">
        <v>1592</v>
      </c>
      <c r="D5094" s="345">
        <v>-1</v>
      </c>
      <c r="E5094" s="230" t="s">
        <v>125</v>
      </c>
    </row>
    <row r="5095" spans="1:5">
      <c r="A5095" s="335">
        <v>46048</v>
      </c>
      <c r="B5095" s="343" t="s">
        <v>1259</v>
      </c>
      <c r="C5095" s="345" t="s">
        <v>1592</v>
      </c>
      <c r="D5095" s="345">
        <v>-1</v>
      </c>
      <c r="E5095" s="230" t="s">
        <v>125</v>
      </c>
    </row>
    <row r="5097" spans="1:5">
      <c r="A5097" s="265">
        <v>46049</v>
      </c>
      <c r="B5097" s="84" t="s">
        <v>467</v>
      </c>
      <c r="C5097" s="43" t="s">
        <v>2899</v>
      </c>
      <c r="D5097" s="43">
        <v>-10</v>
      </c>
      <c r="E5097" s="230" t="s">
        <v>125</v>
      </c>
    </row>
    <row r="5098" spans="1:5">
      <c r="A5098" s="265">
        <v>46049</v>
      </c>
      <c r="B5098" s="92" t="s">
        <v>672</v>
      </c>
      <c r="C5098" s="43" t="s">
        <v>1615</v>
      </c>
      <c r="D5098" s="43">
        <v>-1</v>
      </c>
      <c r="E5098" s="230" t="s">
        <v>125</v>
      </c>
    </row>
    <row r="5099" spans="1:5">
      <c r="A5099" s="265">
        <v>46049</v>
      </c>
      <c r="B5099" s="92" t="s">
        <v>672</v>
      </c>
      <c r="C5099" s="43" t="s">
        <v>1615</v>
      </c>
      <c r="D5099" s="43">
        <v>-1</v>
      </c>
      <c r="E5099" s="230" t="s">
        <v>125</v>
      </c>
    </row>
    <row r="5100" spans="1:5">
      <c r="A5100" s="265">
        <v>46049</v>
      </c>
      <c r="B5100" s="93" t="s">
        <v>807</v>
      </c>
      <c r="C5100" s="43" t="s">
        <v>1595</v>
      </c>
      <c r="D5100" s="43">
        <v>-5</v>
      </c>
      <c r="E5100" s="230" t="s">
        <v>125</v>
      </c>
    </row>
    <row r="5101" spans="1:5">
      <c r="A5101" s="265">
        <v>46049</v>
      </c>
      <c r="B5101" s="343" t="s">
        <v>1291</v>
      </c>
      <c r="C5101" s="43" t="s">
        <v>2604</v>
      </c>
      <c r="D5101" s="43">
        <v>-11</v>
      </c>
      <c r="E5101" s="230" t="s">
        <v>125</v>
      </c>
    </row>
    <row r="5102" spans="1:5">
      <c r="A5102" s="265">
        <v>46049</v>
      </c>
      <c r="B5102" s="343" t="s">
        <v>1291</v>
      </c>
      <c r="C5102" s="43" t="s">
        <v>2604</v>
      </c>
      <c r="D5102" s="43">
        <v>-1</v>
      </c>
      <c r="E5102" s="230" t="s">
        <v>125</v>
      </c>
    </row>
    <row r="5103" spans="1:5">
      <c r="A5103" s="265">
        <v>46049</v>
      </c>
      <c r="B5103" s="93" t="s">
        <v>1096</v>
      </c>
      <c r="C5103" s="43" t="s">
        <v>2604</v>
      </c>
      <c r="D5103" s="43">
        <v>-1</v>
      </c>
      <c r="E5103" s="230" t="s">
        <v>125</v>
      </c>
    </row>
    <row r="5104" spans="1:5">
      <c r="A5104" s="265">
        <v>46049</v>
      </c>
      <c r="B5104" s="93" t="s">
        <v>1490</v>
      </c>
      <c r="C5104" s="43" t="s">
        <v>2604</v>
      </c>
      <c r="D5104" s="43">
        <v>-1</v>
      </c>
      <c r="E5104" s="230" t="s">
        <v>125</v>
      </c>
    </row>
    <row r="5105" spans="1:6">
      <c r="A5105" s="265">
        <v>46049</v>
      </c>
      <c r="B5105" s="93" t="s">
        <v>1491</v>
      </c>
      <c r="C5105" s="43" t="s">
        <v>2604</v>
      </c>
      <c r="D5105" s="43">
        <v>-2</v>
      </c>
      <c r="E5105" s="230" t="s">
        <v>125</v>
      </c>
    </row>
    <row r="5106" spans="1:6">
      <c r="A5106" s="265">
        <v>46049</v>
      </c>
      <c r="B5106" s="84" t="s">
        <v>1387</v>
      </c>
      <c r="C5106" s="43" t="s">
        <v>2604</v>
      </c>
      <c r="D5106" s="43">
        <v>-2</v>
      </c>
      <c r="E5106" s="230" t="s">
        <v>125</v>
      </c>
    </row>
    <row r="5107" spans="1:6">
      <c r="A5107" s="265">
        <v>46049</v>
      </c>
      <c r="B5107" s="344" t="s">
        <v>1149</v>
      </c>
      <c r="C5107" s="43" t="s">
        <v>1592</v>
      </c>
      <c r="D5107" s="43">
        <v>-2</v>
      </c>
      <c r="E5107" s="230" t="s">
        <v>125</v>
      </c>
    </row>
    <row r="5108" spans="1:6">
      <c r="A5108" s="265">
        <v>46049</v>
      </c>
      <c r="B5108" s="344" t="s">
        <v>1716</v>
      </c>
      <c r="C5108" s="43" t="s">
        <v>1592</v>
      </c>
      <c r="D5108" s="43">
        <v>-2</v>
      </c>
      <c r="E5108" s="230" t="s">
        <v>125</v>
      </c>
    </row>
    <row r="5110" spans="1:6">
      <c r="A5110" s="265">
        <v>46049</v>
      </c>
      <c r="B5110" s="343" t="s">
        <v>1334</v>
      </c>
      <c r="C5110" s="43" t="s">
        <v>2900</v>
      </c>
      <c r="D5110" s="43">
        <v>1</v>
      </c>
      <c r="E5110" s="230" t="s">
        <v>125</v>
      </c>
    </row>
    <row r="5112" spans="1:6">
      <c r="A5112" s="272">
        <v>46045</v>
      </c>
      <c r="B5112" s="128" t="s">
        <v>76</v>
      </c>
      <c r="C5112" s="106" t="s">
        <v>49</v>
      </c>
      <c r="D5112" s="106">
        <v>0</v>
      </c>
      <c r="E5112" s="94" t="s">
        <v>125</v>
      </c>
      <c r="F5112" t="s">
        <v>3445</v>
      </c>
    </row>
    <row r="5113" spans="1:6">
      <c r="A5113" s="272">
        <v>46045</v>
      </c>
      <c r="B5113" s="128" t="s">
        <v>76</v>
      </c>
      <c r="C5113" s="106" t="s">
        <v>49</v>
      </c>
      <c r="D5113" s="106">
        <v>10</v>
      </c>
      <c r="E5113" s="94" t="s">
        <v>125</v>
      </c>
    </row>
    <row r="5114" spans="1:6">
      <c r="A5114" s="272">
        <v>46046</v>
      </c>
      <c r="B5114" s="128" t="s">
        <v>76</v>
      </c>
      <c r="C5114" s="106" t="s">
        <v>49</v>
      </c>
      <c r="D5114" s="106">
        <v>4</v>
      </c>
      <c r="E5114" s="94" t="s">
        <v>125</v>
      </c>
    </row>
    <row r="5115" spans="1:6">
      <c r="A5115" s="272">
        <v>46046</v>
      </c>
      <c r="B5115" s="128" t="s">
        <v>76</v>
      </c>
      <c r="C5115" s="106" t="s">
        <v>49</v>
      </c>
      <c r="D5115" s="106">
        <v>10</v>
      </c>
      <c r="E5115" s="94" t="s">
        <v>125</v>
      </c>
    </row>
    <row r="5116" spans="1:6">
      <c r="A5116" s="272">
        <v>46049</v>
      </c>
      <c r="B5116" s="128" t="s">
        <v>76</v>
      </c>
      <c r="C5116" s="106" t="s">
        <v>49</v>
      </c>
      <c r="D5116" s="231">
        <v>24</v>
      </c>
      <c r="E5116" s="94" t="s">
        <v>125</v>
      </c>
    </row>
    <row r="5118" spans="1:6">
      <c r="A5118" s="272">
        <v>46046</v>
      </c>
      <c r="B5118" s="139" t="s">
        <v>1246</v>
      </c>
      <c r="C5118" s="106" t="s">
        <v>49</v>
      </c>
      <c r="D5118" s="106">
        <v>4</v>
      </c>
      <c r="E5118" s="94" t="s">
        <v>125</v>
      </c>
    </row>
    <row r="5119" spans="1:6">
      <c r="A5119" s="272">
        <v>46046</v>
      </c>
      <c r="B5119" s="139" t="s">
        <v>1246</v>
      </c>
      <c r="C5119" s="106" t="s">
        <v>49</v>
      </c>
      <c r="D5119" s="106">
        <v>4</v>
      </c>
      <c r="E5119" s="94" t="s">
        <v>125</v>
      </c>
    </row>
    <row r="5120" spans="1:6">
      <c r="A5120" s="272">
        <v>46046</v>
      </c>
      <c r="B5120" s="139" t="s">
        <v>1246</v>
      </c>
      <c r="C5120" s="106" t="s">
        <v>49</v>
      </c>
      <c r="D5120" s="106">
        <v>2</v>
      </c>
      <c r="E5120" s="94" t="s">
        <v>125</v>
      </c>
    </row>
    <row r="5121" spans="1:5">
      <c r="A5121" s="272">
        <v>46046</v>
      </c>
      <c r="B5121" s="139" t="s">
        <v>1246</v>
      </c>
      <c r="C5121" s="106" t="s">
        <v>49</v>
      </c>
      <c r="D5121" s="106">
        <v>4</v>
      </c>
      <c r="E5121" s="94" t="s">
        <v>125</v>
      </c>
    </row>
    <row r="5122" spans="1:5">
      <c r="A5122" s="272">
        <v>46046</v>
      </c>
      <c r="B5122" s="139" t="s">
        <v>1246</v>
      </c>
      <c r="C5122" s="106" t="s">
        <v>49</v>
      </c>
      <c r="D5122" s="106">
        <v>2</v>
      </c>
      <c r="E5122" s="94" t="s">
        <v>125</v>
      </c>
    </row>
    <row r="5123" spans="1:5">
      <c r="A5123" s="272">
        <v>46046</v>
      </c>
      <c r="B5123" s="139" t="s">
        <v>1327</v>
      </c>
      <c r="C5123" s="106" t="s">
        <v>49</v>
      </c>
      <c r="D5123" s="106">
        <v>2</v>
      </c>
      <c r="E5123" s="94" t="s">
        <v>125</v>
      </c>
    </row>
    <row r="5124" spans="1:5">
      <c r="A5124" s="272">
        <v>46046</v>
      </c>
      <c r="B5124" s="139" t="s">
        <v>1327</v>
      </c>
      <c r="C5124" s="106" t="s">
        <v>49</v>
      </c>
      <c r="D5124" s="106">
        <v>3</v>
      </c>
      <c r="E5124" s="94" t="s">
        <v>125</v>
      </c>
    </row>
    <row r="5125" spans="1:5">
      <c r="A5125" s="272">
        <v>46047</v>
      </c>
      <c r="B5125" s="139" t="s">
        <v>1246</v>
      </c>
      <c r="C5125" s="106" t="s">
        <v>49</v>
      </c>
      <c r="D5125" s="106">
        <v>4</v>
      </c>
      <c r="E5125" s="94" t="s">
        <v>125</v>
      </c>
    </row>
    <row r="5126" spans="1:5">
      <c r="A5126" s="272">
        <v>46047</v>
      </c>
      <c r="B5126" s="139" t="s">
        <v>1246</v>
      </c>
      <c r="C5126" s="106" t="s">
        <v>49</v>
      </c>
      <c r="D5126" s="106">
        <v>2</v>
      </c>
      <c r="E5126" s="94" t="s">
        <v>125</v>
      </c>
    </row>
    <row r="5127" spans="1:5">
      <c r="A5127" s="272">
        <v>46047</v>
      </c>
      <c r="B5127" s="139" t="s">
        <v>1327</v>
      </c>
      <c r="C5127" s="106" t="s">
        <v>49</v>
      </c>
      <c r="D5127" s="106">
        <v>2</v>
      </c>
      <c r="E5127" s="94" t="s">
        <v>125</v>
      </c>
    </row>
    <row r="5128" spans="1:5">
      <c r="A5128" s="272">
        <v>46047</v>
      </c>
      <c r="B5128" s="139" t="s">
        <v>1327</v>
      </c>
      <c r="C5128" s="106" t="s">
        <v>49</v>
      </c>
      <c r="D5128" s="106">
        <v>2</v>
      </c>
      <c r="E5128" s="94" t="s">
        <v>125</v>
      </c>
    </row>
    <row r="5129" spans="1:5">
      <c r="A5129" s="272">
        <v>46047</v>
      </c>
      <c r="B5129" s="139" t="s">
        <v>1246</v>
      </c>
      <c r="C5129" s="106" t="s">
        <v>49</v>
      </c>
      <c r="D5129" s="106">
        <v>3</v>
      </c>
      <c r="E5129" s="94" t="s">
        <v>125</v>
      </c>
    </row>
    <row r="5130" spans="1:5">
      <c r="A5130" s="272">
        <v>46047</v>
      </c>
      <c r="B5130" s="139" t="s">
        <v>1246</v>
      </c>
      <c r="C5130" s="106" t="s">
        <v>49</v>
      </c>
      <c r="D5130" s="106">
        <v>4</v>
      </c>
      <c r="E5130" s="94" t="s">
        <v>125</v>
      </c>
    </row>
    <row r="5131" spans="1:5">
      <c r="A5131" s="272">
        <v>46047</v>
      </c>
      <c r="B5131" s="139" t="s">
        <v>1246</v>
      </c>
      <c r="C5131" s="106" t="s">
        <v>49</v>
      </c>
      <c r="D5131" s="106">
        <v>4</v>
      </c>
      <c r="E5131" s="94" t="s">
        <v>125</v>
      </c>
    </row>
    <row r="5132" spans="1:5">
      <c r="A5132" s="272">
        <v>46047</v>
      </c>
      <c r="B5132" s="139" t="s">
        <v>1327</v>
      </c>
      <c r="C5132" s="106" t="s">
        <v>49</v>
      </c>
      <c r="D5132" s="106">
        <v>4</v>
      </c>
      <c r="E5132" s="94" t="s">
        <v>125</v>
      </c>
    </row>
    <row r="5133" spans="1:5">
      <c r="A5133" s="272">
        <v>46047</v>
      </c>
      <c r="B5133" s="139" t="s">
        <v>1327</v>
      </c>
      <c r="C5133" s="106" t="s">
        <v>49</v>
      </c>
      <c r="D5133" s="106">
        <v>4</v>
      </c>
      <c r="E5133" s="94" t="s">
        <v>125</v>
      </c>
    </row>
    <row r="5135" spans="1:5">
      <c r="A5135" s="265">
        <v>46050</v>
      </c>
      <c r="B5135" s="343" t="s">
        <v>1246</v>
      </c>
      <c r="C5135" s="43" t="s">
        <v>678</v>
      </c>
      <c r="D5135" s="43">
        <v>-2</v>
      </c>
      <c r="E5135" s="230" t="s">
        <v>125</v>
      </c>
    </row>
    <row r="5136" spans="1:5">
      <c r="A5136" s="265">
        <v>46050</v>
      </c>
      <c r="B5136" s="343" t="s">
        <v>1246</v>
      </c>
      <c r="C5136" s="43" t="s">
        <v>678</v>
      </c>
      <c r="D5136" s="43">
        <v>-2</v>
      </c>
      <c r="E5136" s="230" t="s">
        <v>125</v>
      </c>
    </row>
    <row r="5137" spans="1:6">
      <c r="A5137" s="265">
        <v>46050</v>
      </c>
      <c r="B5137" s="343" t="s">
        <v>1319</v>
      </c>
      <c r="C5137" s="43" t="s">
        <v>678</v>
      </c>
      <c r="D5137" s="43">
        <v>-1</v>
      </c>
      <c r="E5137" s="230" t="s">
        <v>125</v>
      </c>
    </row>
    <row r="5139" spans="1:6">
      <c r="A5139" s="346">
        <v>46050</v>
      </c>
      <c r="B5139" s="349" t="s">
        <v>1246</v>
      </c>
      <c r="C5139" s="348" t="s">
        <v>2093</v>
      </c>
      <c r="D5139" s="348">
        <v>2</v>
      </c>
      <c r="E5139" s="360" t="s">
        <v>125</v>
      </c>
      <c r="F5139" t="s">
        <v>2928</v>
      </c>
    </row>
    <row r="5140" spans="1:6">
      <c r="A5140" s="346">
        <v>46050</v>
      </c>
      <c r="B5140" s="349" t="s">
        <v>1291</v>
      </c>
      <c r="C5140" s="348" t="s">
        <v>2093</v>
      </c>
      <c r="D5140" s="348">
        <v>8</v>
      </c>
      <c r="E5140" s="360" t="s">
        <v>125</v>
      </c>
    </row>
    <row r="5141" spans="1:6">
      <c r="A5141" s="346">
        <v>46050</v>
      </c>
      <c r="B5141" s="347" t="s">
        <v>1387</v>
      </c>
      <c r="C5141" s="348" t="s">
        <v>2093</v>
      </c>
      <c r="D5141" s="348">
        <v>1</v>
      </c>
      <c r="E5141" s="360" t="s">
        <v>125</v>
      </c>
    </row>
    <row r="5142" spans="1:6">
      <c r="A5142" s="346">
        <v>46050</v>
      </c>
      <c r="B5142" s="349" t="s">
        <v>1491</v>
      </c>
      <c r="C5142" s="348" t="s">
        <v>2093</v>
      </c>
      <c r="D5142" s="348">
        <v>1</v>
      </c>
      <c r="E5142" s="360" t="s">
        <v>125</v>
      </c>
    </row>
    <row r="5143" spans="1:6">
      <c r="A5143" s="346">
        <v>46050</v>
      </c>
      <c r="B5143" s="351" t="s">
        <v>932</v>
      </c>
      <c r="C5143" s="348" t="s">
        <v>2093</v>
      </c>
      <c r="D5143" s="348">
        <v>5</v>
      </c>
      <c r="E5143" s="360" t="s">
        <v>125</v>
      </c>
    </row>
    <row r="5144" spans="1:6">
      <c r="A5144" s="346">
        <v>46050</v>
      </c>
      <c r="B5144" s="349" t="s">
        <v>1097</v>
      </c>
      <c r="C5144" s="348" t="s">
        <v>2093</v>
      </c>
      <c r="D5144" s="348">
        <v>1</v>
      </c>
      <c r="E5144" s="360" t="s">
        <v>125</v>
      </c>
    </row>
    <row r="5145" spans="1:6">
      <c r="F5145" s="731"/>
    </row>
    <row r="5146" spans="1:6">
      <c r="A5146" s="335">
        <v>46050</v>
      </c>
      <c r="B5146" s="343" t="s">
        <v>1291</v>
      </c>
      <c r="C5146" s="345" t="s">
        <v>2186</v>
      </c>
      <c r="D5146" s="345">
        <v>-2</v>
      </c>
      <c r="E5146" s="230" t="s">
        <v>125</v>
      </c>
    </row>
    <row r="5147" spans="1:6">
      <c r="A5147" s="335">
        <v>46050</v>
      </c>
      <c r="B5147" s="92" t="s">
        <v>671</v>
      </c>
      <c r="C5147" s="43" t="s">
        <v>1598</v>
      </c>
      <c r="D5147" s="43">
        <v>-5</v>
      </c>
      <c r="E5147" s="230" t="s">
        <v>125</v>
      </c>
    </row>
    <row r="5148" spans="1:6">
      <c r="A5148" s="335">
        <v>46050</v>
      </c>
      <c r="B5148" s="92" t="s">
        <v>882</v>
      </c>
      <c r="C5148" s="43" t="s">
        <v>1595</v>
      </c>
      <c r="D5148" s="43">
        <v>-1</v>
      </c>
      <c r="E5148" s="230" t="s">
        <v>125</v>
      </c>
    </row>
    <row r="5149" spans="1:6">
      <c r="A5149" s="335">
        <v>46050</v>
      </c>
      <c r="B5149" s="343" t="s">
        <v>1334</v>
      </c>
      <c r="C5149" s="43" t="s">
        <v>678</v>
      </c>
      <c r="D5149" s="43">
        <v>-1</v>
      </c>
      <c r="E5149" s="230" t="s">
        <v>125</v>
      </c>
    </row>
    <row r="5151" spans="1:6">
      <c r="A5151" s="265">
        <v>46051</v>
      </c>
      <c r="B5151" s="93" t="s">
        <v>121</v>
      </c>
      <c r="C5151" s="43" t="s">
        <v>1598</v>
      </c>
      <c r="D5151" s="43">
        <v>-15</v>
      </c>
      <c r="E5151" s="230" t="s">
        <v>125</v>
      </c>
    </row>
    <row r="5152" spans="1:6">
      <c r="A5152" s="265">
        <v>46051</v>
      </c>
      <c r="B5152" s="343" t="s">
        <v>1246</v>
      </c>
      <c r="C5152" s="43" t="s">
        <v>678</v>
      </c>
      <c r="D5152" s="43">
        <v>-1</v>
      </c>
      <c r="E5152" s="230" t="s">
        <v>125</v>
      </c>
    </row>
    <row r="5153" spans="1:5">
      <c r="A5153" s="265">
        <v>46051</v>
      </c>
      <c r="B5153" s="104" t="s">
        <v>932</v>
      </c>
      <c r="C5153" s="43" t="s">
        <v>2929</v>
      </c>
      <c r="D5153" s="43">
        <v>-5</v>
      </c>
      <c r="E5153" s="230" t="s">
        <v>125</v>
      </c>
    </row>
    <row r="5154" spans="1:5">
      <c r="A5154" s="265">
        <v>46051</v>
      </c>
      <c r="B5154" s="93" t="s">
        <v>1097</v>
      </c>
      <c r="C5154" s="43" t="s">
        <v>2929</v>
      </c>
      <c r="D5154" s="43">
        <v>-1</v>
      </c>
      <c r="E5154" s="230" t="s">
        <v>125</v>
      </c>
    </row>
    <row r="5155" spans="1:5">
      <c r="A5155" s="265">
        <v>46051</v>
      </c>
      <c r="B5155" s="93" t="s">
        <v>1095</v>
      </c>
      <c r="C5155" s="43" t="s">
        <v>2608</v>
      </c>
      <c r="D5155" s="43">
        <v>-2</v>
      </c>
      <c r="E5155" s="230" t="s">
        <v>125</v>
      </c>
    </row>
    <row r="5156" spans="1:5">
      <c r="A5156" s="265">
        <v>46051</v>
      </c>
      <c r="B5156" s="343" t="s">
        <v>1246</v>
      </c>
      <c r="C5156" s="43" t="s">
        <v>678</v>
      </c>
      <c r="D5156" s="43">
        <v>-1</v>
      </c>
      <c r="E5156" s="230" t="s">
        <v>125</v>
      </c>
    </row>
    <row r="5158" spans="1:5">
      <c r="A5158" s="265">
        <v>46052</v>
      </c>
      <c r="B5158" s="343" t="s">
        <v>1319</v>
      </c>
      <c r="C5158" s="43" t="s">
        <v>2647</v>
      </c>
      <c r="D5158" s="43">
        <v>-1</v>
      </c>
      <c r="E5158" s="230" t="s">
        <v>125</v>
      </c>
    </row>
    <row r="5159" spans="1:5">
      <c r="A5159" s="265">
        <v>46052</v>
      </c>
      <c r="B5159" s="343" t="s">
        <v>1246</v>
      </c>
      <c r="C5159" s="43" t="s">
        <v>2930</v>
      </c>
      <c r="D5159" s="43">
        <v>-14</v>
      </c>
      <c r="E5159" s="230" t="s">
        <v>125</v>
      </c>
    </row>
    <row r="5160" spans="1:5">
      <c r="A5160" s="265">
        <v>46052</v>
      </c>
      <c r="B5160" s="343" t="s">
        <v>1246</v>
      </c>
      <c r="C5160" s="43" t="s">
        <v>1661</v>
      </c>
      <c r="D5160" s="43">
        <v>-14</v>
      </c>
      <c r="E5160" s="230" t="s">
        <v>125</v>
      </c>
    </row>
    <row r="5161" spans="1:5">
      <c r="A5161" s="265">
        <v>46052</v>
      </c>
      <c r="B5161" s="343" t="s">
        <v>1246</v>
      </c>
      <c r="C5161" s="43" t="s">
        <v>1661</v>
      </c>
      <c r="D5161" s="43">
        <v>-4</v>
      </c>
      <c r="E5161" s="230" t="s">
        <v>125</v>
      </c>
    </row>
    <row r="5162" spans="1:5">
      <c r="A5162" s="265">
        <v>46052</v>
      </c>
      <c r="B5162" s="343" t="s">
        <v>973</v>
      </c>
      <c r="C5162" s="43" t="s">
        <v>678</v>
      </c>
      <c r="D5162" s="43">
        <v>-1</v>
      </c>
      <c r="E5162" s="230" t="s">
        <v>125</v>
      </c>
    </row>
    <row r="5163" spans="1:5">
      <c r="A5163" s="265">
        <v>46052</v>
      </c>
      <c r="B5163" s="343" t="s">
        <v>1246</v>
      </c>
      <c r="C5163" s="43" t="s">
        <v>678</v>
      </c>
      <c r="D5163" s="43">
        <v>-1</v>
      </c>
      <c r="E5163" s="230" t="s">
        <v>125</v>
      </c>
    </row>
    <row r="5164" spans="1:5">
      <c r="A5164" s="265">
        <v>46052</v>
      </c>
      <c r="B5164" s="343" t="s">
        <v>1296</v>
      </c>
      <c r="C5164" s="43" t="s">
        <v>678</v>
      </c>
      <c r="D5164" s="43">
        <v>-1</v>
      </c>
      <c r="E5164" s="230" t="s">
        <v>125</v>
      </c>
    </row>
    <row r="5166" spans="1:5">
      <c r="A5166" s="265">
        <v>46053</v>
      </c>
      <c r="B5166" s="93" t="s">
        <v>807</v>
      </c>
      <c r="C5166" s="43" t="s">
        <v>678</v>
      </c>
      <c r="D5166" s="43">
        <v>-1</v>
      </c>
      <c r="E5166" s="230" t="s">
        <v>125</v>
      </c>
    </row>
    <row r="5167" spans="1:5">
      <c r="A5167" s="265">
        <v>46053</v>
      </c>
      <c r="B5167" s="343" t="s">
        <v>1246</v>
      </c>
      <c r="C5167" s="43" t="s">
        <v>678</v>
      </c>
      <c r="D5167" s="43">
        <v>-2</v>
      </c>
      <c r="E5167" s="230" t="s">
        <v>125</v>
      </c>
    </row>
    <row r="5168" spans="1:5">
      <c r="A5168" s="265">
        <v>46053</v>
      </c>
      <c r="B5168" s="343" t="s">
        <v>1249</v>
      </c>
      <c r="C5168" s="43" t="s">
        <v>1661</v>
      </c>
      <c r="D5168" s="43">
        <v>-2</v>
      </c>
      <c r="E5168" s="230" t="s">
        <v>125</v>
      </c>
    </row>
    <row r="5170" spans="1:5">
      <c r="A5170" s="272">
        <v>46051</v>
      </c>
      <c r="B5170" s="128" t="s">
        <v>76</v>
      </c>
      <c r="C5170" s="106" t="s">
        <v>49</v>
      </c>
      <c r="D5170" s="106">
        <v>15</v>
      </c>
      <c r="E5170" s="94" t="s">
        <v>125</v>
      </c>
    </row>
    <row r="5171" spans="1:5">
      <c r="A5171" s="272">
        <v>46052</v>
      </c>
      <c r="B5171" s="128" t="s">
        <v>76</v>
      </c>
      <c r="C5171" s="106" t="s">
        <v>49</v>
      </c>
      <c r="D5171" s="106">
        <v>250</v>
      </c>
      <c r="E5171" s="94" t="s">
        <v>125</v>
      </c>
    </row>
    <row r="5172" spans="1:5">
      <c r="A5172" s="272">
        <v>46052</v>
      </c>
      <c r="B5172" s="128" t="s">
        <v>76</v>
      </c>
      <c r="C5172" s="106" t="s">
        <v>49</v>
      </c>
      <c r="D5172" s="106">
        <v>48</v>
      </c>
      <c r="E5172" s="94" t="s">
        <v>125</v>
      </c>
    </row>
    <row r="5173" spans="1:5">
      <c r="A5173" s="272">
        <v>46052</v>
      </c>
      <c r="B5173" s="128" t="s">
        <v>76</v>
      </c>
      <c r="C5173" s="106" t="s">
        <v>49</v>
      </c>
      <c r="D5173" s="106">
        <v>8</v>
      </c>
      <c r="E5173" s="94" t="s">
        <v>125</v>
      </c>
    </row>
    <row r="5174" spans="1:5">
      <c r="A5174" s="272">
        <v>46052</v>
      </c>
      <c r="B5174" s="128" t="s">
        <v>76</v>
      </c>
      <c r="C5174" s="106" t="s">
        <v>49</v>
      </c>
      <c r="D5174" s="106">
        <v>8</v>
      </c>
      <c r="E5174" s="94" t="s">
        <v>125</v>
      </c>
    </row>
    <row r="5175" spans="1:5">
      <c r="A5175" s="272">
        <v>46052</v>
      </c>
      <c r="B5175" s="128" t="s">
        <v>76</v>
      </c>
      <c r="C5175" s="106" t="s">
        <v>49</v>
      </c>
      <c r="D5175" s="106">
        <v>6</v>
      </c>
      <c r="E5175" s="94" t="s">
        <v>125</v>
      </c>
    </row>
    <row r="5176" spans="1:5">
      <c r="A5176" s="272">
        <v>46052</v>
      </c>
      <c r="B5176" s="128" t="s">
        <v>76</v>
      </c>
      <c r="C5176" s="106" t="s">
        <v>49</v>
      </c>
      <c r="D5176" s="106">
        <v>4</v>
      </c>
      <c r="E5176" s="94" t="s">
        <v>125</v>
      </c>
    </row>
    <row r="5177" spans="1:5">
      <c r="A5177" s="272">
        <v>46052</v>
      </c>
      <c r="B5177" s="128" t="s">
        <v>76</v>
      </c>
      <c r="C5177" s="106" t="s">
        <v>49</v>
      </c>
      <c r="D5177" s="106">
        <v>10</v>
      </c>
      <c r="E5177" s="94" t="s">
        <v>125</v>
      </c>
    </row>
    <row r="5178" spans="1:5">
      <c r="A5178" s="272">
        <v>46052</v>
      </c>
      <c r="B5178" s="128" t="s">
        <v>76</v>
      </c>
      <c r="C5178" s="106" t="s">
        <v>49</v>
      </c>
      <c r="D5178" s="106">
        <v>11</v>
      </c>
      <c r="E5178" s="94" t="s">
        <v>125</v>
      </c>
    </row>
    <row r="5179" spans="1:5">
      <c r="A5179" s="272">
        <v>46052</v>
      </c>
      <c r="B5179" s="128" t="s">
        <v>76</v>
      </c>
      <c r="C5179" s="106" t="s">
        <v>49</v>
      </c>
      <c r="D5179" s="106">
        <v>1</v>
      </c>
      <c r="E5179" s="94" t="s">
        <v>125</v>
      </c>
    </row>
    <row r="5180" spans="1:5">
      <c r="A5180" s="272">
        <v>46052</v>
      </c>
      <c r="B5180" s="128" t="s">
        <v>76</v>
      </c>
      <c r="C5180" s="106" t="s">
        <v>49</v>
      </c>
      <c r="D5180" s="106">
        <v>7</v>
      </c>
      <c r="E5180" s="94" t="s">
        <v>125</v>
      </c>
    </row>
    <row r="5181" spans="1:5">
      <c r="A5181" s="272">
        <v>46052</v>
      </c>
      <c r="B5181" s="128" t="s">
        <v>76</v>
      </c>
      <c r="C5181" s="106" t="s">
        <v>49</v>
      </c>
      <c r="D5181" s="106">
        <v>15</v>
      </c>
      <c r="E5181" s="94" t="s">
        <v>125</v>
      </c>
    </row>
    <row r="5182" spans="1:5">
      <c r="A5182" s="272">
        <v>46052</v>
      </c>
      <c r="B5182" s="128" t="s">
        <v>76</v>
      </c>
      <c r="C5182" s="106" t="s">
        <v>49</v>
      </c>
      <c r="D5182" s="106">
        <v>5</v>
      </c>
      <c r="E5182" s="94" t="s">
        <v>125</v>
      </c>
    </row>
    <row r="5183" spans="1:5">
      <c r="A5183" s="272">
        <v>46052</v>
      </c>
      <c r="B5183" s="128" t="s">
        <v>76</v>
      </c>
      <c r="C5183" s="106" t="s">
        <v>49</v>
      </c>
      <c r="D5183" s="106">
        <v>6</v>
      </c>
      <c r="E5183" s="94" t="s">
        <v>125</v>
      </c>
    </row>
    <row r="5184" spans="1:5">
      <c r="A5184" s="272">
        <v>46052</v>
      </c>
      <c r="B5184" s="128" t="s">
        <v>76</v>
      </c>
      <c r="C5184" s="106" t="s">
        <v>49</v>
      </c>
      <c r="D5184" s="106">
        <v>8</v>
      </c>
      <c r="E5184" s="94" t="s">
        <v>125</v>
      </c>
    </row>
    <row r="5185" spans="1:5">
      <c r="A5185" s="272">
        <v>46052</v>
      </c>
      <c r="B5185" s="128" t="s">
        <v>76</v>
      </c>
      <c r="C5185" s="106" t="s">
        <v>49</v>
      </c>
      <c r="D5185" s="106">
        <v>8</v>
      </c>
      <c r="E5185" s="94" t="s">
        <v>125</v>
      </c>
    </row>
    <row r="5186" spans="1:5">
      <c r="A5186" s="272">
        <v>46052</v>
      </c>
      <c r="B5186" s="128" t="s">
        <v>76</v>
      </c>
      <c r="C5186" s="106" t="s">
        <v>49</v>
      </c>
      <c r="D5186" s="106">
        <v>16</v>
      </c>
      <c r="E5186" s="94" t="s">
        <v>125</v>
      </c>
    </row>
    <row r="5187" spans="1:5">
      <c r="A5187" s="272">
        <v>46052</v>
      </c>
      <c r="B5187" s="128" t="s">
        <v>76</v>
      </c>
      <c r="C5187" s="106" t="s">
        <v>49</v>
      </c>
      <c r="D5187" s="106">
        <v>2</v>
      </c>
      <c r="E5187" s="94" t="s">
        <v>125</v>
      </c>
    </row>
    <row r="5189" spans="1:5">
      <c r="A5189" s="330">
        <v>46051</v>
      </c>
      <c r="B5189" s="329" t="s">
        <v>121</v>
      </c>
      <c r="C5189" s="328" t="s">
        <v>49</v>
      </c>
      <c r="D5189" s="328">
        <v>100</v>
      </c>
      <c r="E5189" s="331" t="s">
        <v>125</v>
      </c>
    </row>
    <row r="5190" spans="1:5">
      <c r="A5190" s="330">
        <v>46051</v>
      </c>
      <c r="B5190" s="327" t="s">
        <v>78</v>
      </c>
      <c r="C5190" s="328" t="s">
        <v>49</v>
      </c>
      <c r="D5190" s="328">
        <v>4</v>
      </c>
      <c r="E5190" s="331" t="s">
        <v>125</v>
      </c>
    </row>
    <row r="5192" spans="1:5">
      <c r="A5192" s="434">
        <v>46053</v>
      </c>
      <c r="B5192" s="168" t="s">
        <v>1095</v>
      </c>
      <c r="C5192" s="166" t="s">
        <v>1696</v>
      </c>
      <c r="D5192" s="166">
        <v>1</v>
      </c>
      <c r="E5192" s="615" t="s">
        <v>125</v>
      </c>
    </row>
    <row r="5194" spans="1:5">
      <c r="A5194" s="335">
        <v>46055</v>
      </c>
      <c r="B5194" s="343" t="s">
        <v>1270</v>
      </c>
      <c r="C5194" s="345" t="s">
        <v>1615</v>
      </c>
      <c r="D5194" s="345">
        <v>-1</v>
      </c>
      <c r="E5194" s="230" t="s">
        <v>125</v>
      </c>
    </row>
    <row r="5195" spans="1:5">
      <c r="A5195" s="335">
        <v>46055</v>
      </c>
      <c r="B5195" s="343" t="s">
        <v>1528</v>
      </c>
      <c r="C5195" s="345" t="s">
        <v>1615</v>
      </c>
      <c r="D5195" s="345">
        <v>-1</v>
      </c>
      <c r="E5195" s="230" t="s">
        <v>125</v>
      </c>
    </row>
    <row r="5196" spans="1:5">
      <c r="A5196" s="335">
        <v>46055</v>
      </c>
      <c r="B5196" s="342" t="s">
        <v>2161</v>
      </c>
      <c r="C5196" s="345" t="s">
        <v>1615</v>
      </c>
      <c r="D5196" s="345">
        <v>-1</v>
      </c>
      <c r="E5196" s="230" t="s">
        <v>125</v>
      </c>
    </row>
    <row r="5197" spans="1:5">
      <c r="A5197" s="335">
        <v>46055</v>
      </c>
      <c r="B5197" s="92" t="s">
        <v>671</v>
      </c>
      <c r="C5197" s="43" t="s">
        <v>1595</v>
      </c>
      <c r="D5197" s="43">
        <v>-1</v>
      </c>
      <c r="E5197" s="230" t="s">
        <v>125</v>
      </c>
    </row>
    <row r="5198" spans="1:5">
      <c r="A5198" s="335">
        <v>46055</v>
      </c>
      <c r="B5198" s="92" t="s">
        <v>672</v>
      </c>
      <c r="C5198" s="345" t="s">
        <v>1615</v>
      </c>
      <c r="D5198" s="43">
        <v>-1</v>
      </c>
      <c r="E5198" s="230" t="s">
        <v>125</v>
      </c>
    </row>
    <row r="5200" spans="1:5">
      <c r="A5200" s="434">
        <v>46056</v>
      </c>
      <c r="B5200" s="503" t="s">
        <v>2156</v>
      </c>
      <c r="C5200" s="166" t="s">
        <v>1601</v>
      </c>
      <c r="D5200" s="166">
        <v>2</v>
      </c>
      <c r="E5200" s="615" t="s">
        <v>125</v>
      </c>
    </row>
    <row r="5202" spans="1:6">
      <c r="A5202" s="265">
        <v>46056</v>
      </c>
      <c r="B5202" s="93" t="s">
        <v>2719</v>
      </c>
      <c r="C5202" s="43" t="s">
        <v>2949</v>
      </c>
      <c r="D5202" s="43">
        <v>-1</v>
      </c>
      <c r="E5202" s="230" t="s">
        <v>125</v>
      </c>
    </row>
    <row r="5203" spans="1:6">
      <c r="A5203" s="265">
        <v>46056</v>
      </c>
      <c r="B5203" s="93" t="s">
        <v>806</v>
      </c>
      <c r="C5203" s="43" t="s">
        <v>1595</v>
      </c>
      <c r="D5203" s="43">
        <v>-3</v>
      </c>
      <c r="E5203" s="230" t="s">
        <v>125</v>
      </c>
    </row>
    <row r="5205" spans="1:6">
      <c r="A5205" s="434">
        <v>46056</v>
      </c>
      <c r="B5205" s="168" t="s">
        <v>1246</v>
      </c>
      <c r="C5205" s="166" t="s">
        <v>2950</v>
      </c>
      <c r="D5205" s="166">
        <v>1</v>
      </c>
      <c r="E5205" s="615" t="s">
        <v>125</v>
      </c>
    </row>
    <row r="5207" spans="1:6">
      <c r="A5207" s="265">
        <v>46056</v>
      </c>
      <c r="B5207" s="343" t="s">
        <v>1246</v>
      </c>
      <c r="C5207" s="43" t="s">
        <v>678</v>
      </c>
      <c r="D5207" s="43">
        <v>-1</v>
      </c>
      <c r="E5207" s="230" t="s">
        <v>125</v>
      </c>
    </row>
    <row r="5208" spans="1:6">
      <c r="A5208" s="265">
        <v>46056</v>
      </c>
      <c r="B5208" s="93" t="s">
        <v>169</v>
      </c>
      <c r="C5208" s="43" t="s">
        <v>678</v>
      </c>
      <c r="D5208" s="43">
        <v>-2</v>
      </c>
      <c r="E5208" s="230" t="s">
        <v>125</v>
      </c>
    </row>
    <row r="5209" spans="1:6">
      <c r="A5209" s="265">
        <v>46056</v>
      </c>
      <c r="B5209" s="343" t="s">
        <v>1319</v>
      </c>
      <c r="C5209" s="43" t="s">
        <v>678</v>
      </c>
      <c r="D5209" s="43">
        <v>-1</v>
      </c>
      <c r="E5209" s="230" t="s">
        <v>125</v>
      </c>
    </row>
    <row r="5211" spans="1:6">
      <c r="A5211" s="346">
        <v>46057</v>
      </c>
      <c r="B5211" s="349" t="s">
        <v>1246</v>
      </c>
      <c r="C5211" s="348" t="s">
        <v>2093</v>
      </c>
      <c r="D5211" s="348">
        <v>5</v>
      </c>
      <c r="E5211" s="360" t="s">
        <v>125</v>
      </c>
      <c r="F5211" t="s">
        <v>2953</v>
      </c>
    </row>
    <row r="5212" spans="1:6">
      <c r="A5212" s="346">
        <v>46057</v>
      </c>
      <c r="B5212" s="349" t="s">
        <v>1246</v>
      </c>
      <c r="C5212" s="348" t="s">
        <v>2093</v>
      </c>
      <c r="D5212" s="348">
        <v>4</v>
      </c>
      <c r="E5212" s="360" t="s">
        <v>125</v>
      </c>
    </row>
    <row r="5213" spans="1:6">
      <c r="A5213" s="346">
        <v>46057</v>
      </c>
      <c r="B5213" s="349" t="s">
        <v>1246</v>
      </c>
      <c r="C5213" s="348" t="s">
        <v>2093</v>
      </c>
      <c r="D5213" s="348">
        <v>2</v>
      </c>
      <c r="E5213" s="360" t="s">
        <v>125</v>
      </c>
    </row>
    <row r="5214" spans="1:6">
      <c r="A5214" s="346">
        <v>46057</v>
      </c>
      <c r="B5214" s="349" t="s">
        <v>1271</v>
      </c>
      <c r="C5214" s="348" t="s">
        <v>2093</v>
      </c>
      <c r="D5214" s="348">
        <v>1</v>
      </c>
      <c r="E5214" s="360" t="s">
        <v>125</v>
      </c>
    </row>
    <row r="5215" spans="1:6">
      <c r="A5215" s="346">
        <v>46057</v>
      </c>
      <c r="B5215" s="349" t="s">
        <v>1271</v>
      </c>
      <c r="C5215" s="348" t="s">
        <v>2093</v>
      </c>
      <c r="D5215" s="348">
        <v>3</v>
      </c>
      <c r="E5215" s="360" t="s">
        <v>125</v>
      </c>
    </row>
    <row r="5216" spans="1:6">
      <c r="A5216" s="346">
        <v>46057</v>
      </c>
      <c r="B5216" s="349" t="s">
        <v>1327</v>
      </c>
      <c r="C5216" s="348" t="s">
        <v>2093</v>
      </c>
      <c r="D5216" s="348">
        <v>8</v>
      </c>
      <c r="E5216" s="360" t="s">
        <v>125</v>
      </c>
    </row>
    <row r="5217" spans="1:6">
      <c r="A5217" s="346">
        <v>46057</v>
      </c>
      <c r="B5217" s="349" t="s">
        <v>1152</v>
      </c>
      <c r="C5217" s="348" t="s">
        <v>2093</v>
      </c>
      <c r="D5217" s="348">
        <v>1</v>
      </c>
      <c r="E5217" s="360" t="s">
        <v>125</v>
      </c>
    </row>
    <row r="5218" spans="1:6">
      <c r="A5218" s="346">
        <v>46057</v>
      </c>
      <c r="B5218" s="349" t="s">
        <v>1291</v>
      </c>
      <c r="C5218" s="348" t="s">
        <v>2093</v>
      </c>
      <c r="D5218" s="348">
        <v>6</v>
      </c>
      <c r="E5218" s="360" t="s">
        <v>125</v>
      </c>
    </row>
    <row r="5219" spans="1:6">
      <c r="A5219" s="346">
        <v>46057</v>
      </c>
      <c r="B5219" s="351" t="s">
        <v>932</v>
      </c>
      <c r="C5219" s="348" t="s">
        <v>2093</v>
      </c>
      <c r="D5219" s="348">
        <v>4</v>
      </c>
      <c r="E5219" s="360" t="s">
        <v>125</v>
      </c>
    </row>
    <row r="5221" spans="1:6">
      <c r="A5221" s="335">
        <v>46057</v>
      </c>
      <c r="B5221" s="343" t="s">
        <v>1246</v>
      </c>
      <c r="C5221" s="345" t="s">
        <v>2113</v>
      </c>
      <c r="D5221" s="345">
        <v>-4</v>
      </c>
      <c r="E5221" s="230" t="s">
        <v>125</v>
      </c>
    </row>
    <row r="5222" spans="1:6">
      <c r="A5222" s="335">
        <v>46057</v>
      </c>
      <c r="B5222" s="343" t="s">
        <v>1246</v>
      </c>
      <c r="C5222" s="43" t="s">
        <v>2647</v>
      </c>
      <c r="D5222" s="43">
        <v>-1</v>
      </c>
      <c r="E5222" s="230" t="s">
        <v>125</v>
      </c>
    </row>
    <row r="5223" spans="1:6">
      <c r="A5223" s="335">
        <v>46057</v>
      </c>
      <c r="B5223" s="343" t="s">
        <v>1246</v>
      </c>
      <c r="C5223" s="43" t="s">
        <v>1788</v>
      </c>
      <c r="D5223" s="43">
        <v>-8</v>
      </c>
      <c r="E5223" s="230" t="s">
        <v>125</v>
      </c>
    </row>
    <row r="5224" spans="1:6">
      <c r="A5224" s="335">
        <v>46057</v>
      </c>
      <c r="B5224" s="343" t="s">
        <v>1246</v>
      </c>
      <c r="C5224" s="43" t="s">
        <v>1788</v>
      </c>
      <c r="D5224" s="43">
        <v>-2</v>
      </c>
      <c r="E5224" s="230" t="s">
        <v>125</v>
      </c>
    </row>
    <row r="5225" spans="1:6">
      <c r="A5225" s="335">
        <v>46057</v>
      </c>
      <c r="B5225" s="343" t="s">
        <v>1246</v>
      </c>
      <c r="C5225" s="43" t="s">
        <v>2956</v>
      </c>
      <c r="D5225" s="43">
        <v>-1</v>
      </c>
      <c r="E5225" s="230" t="s">
        <v>125</v>
      </c>
    </row>
    <row r="5226" spans="1:6">
      <c r="A5226" s="335">
        <v>46057</v>
      </c>
      <c r="B5226" s="343" t="s">
        <v>1291</v>
      </c>
      <c r="C5226" s="43" t="s">
        <v>2604</v>
      </c>
      <c r="D5226" s="43">
        <v>-6</v>
      </c>
      <c r="E5226" s="230" t="s">
        <v>125</v>
      </c>
    </row>
    <row r="5227" spans="1:6">
      <c r="A5227" s="335">
        <v>46057</v>
      </c>
      <c r="B5227" s="343" t="s">
        <v>1291</v>
      </c>
      <c r="C5227" s="43" t="s">
        <v>2604</v>
      </c>
      <c r="D5227" s="43">
        <v>-1</v>
      </c>
      <c r="E5227" s="230" t="s">
        <v>125</v>
      </c>
      <c r="F5227" t="s">
        <v>2725</v>
      </c>
    </row>
    <row r="5228" spans="1:6">
      <c r="A5228" s="335">
        <v>46057</v>
      </c>
      <c r="B5228" s="93" t="s">
        <v>920</v>
      </c>
      <c r="C5228" s="43" t="s">
        <v>2604</v>
      </c>
      <c r="D5228" s="43">
        <v>-1</v>
      </c>
      <c r="E5228" s="230" t="s">
        <v>125</v>
      </c>
      <c r="F5228" s="731" t="s">
        <v>2725</v>
      </c>
    </row>
    <row r="5230" spans="1:6">
      <c r="A5230" s="265">
        <v>46058</v>
      </c>
      <c r="B5230" s="343" t="s">
        <v>1246</v>
      </c>
      <c r="C5230" s="43" t="s">
        <v>1663</v>
      </c>
      <c r="D5230" s="43">
        <v>-24</v>
      </c>
      <c r="E5230" s="230" t="s">
        <v>125</v>
      </c>
    </row>
    <row r="5231" spans="1:6">
      <c r="A5231" s="265">
        <v>46058</v>
      </c>
      <c r="B5231" s="343" t="s">
        <v>1246</v>
      </c>
      <c r="C5231" s="43" t="s">
        <v>2975</v>
      </c>
      <c r="D5231" s="43">
        <v>-1</v>
      </c>
      <c r="E5231" s="230" t="s">
        <v>125</v>
      </c>
    </row>
    <row r="5232" spans="1:6">
      <c r="A5232" s="265">
        <v>46058</v>
      </c>
      <c r="B5232" s="343" t="s">
        <v>1246</v>
      </c>
      <c r="C5232" s="43" t="s">
        <v>1663</v>
      </c>
      <c r="D5232" s="43">
        <v>-4</v>
      </c>
      <c r="E5232" s="230" t="s">
        <v>125</v>
      </c>
    </row>
    <row r="5233" spans="1:5">
      <c r="A5233" s="265">
        <v>46058</v>
      </c>
      <c r="B5233" s="343" t="s">
        <v>1246</v>
      </c>
      <c r="C5233" s="43" t="s">
        <v>1663</v>
      </c>
      <c r="D5233" s="43">
        <v>-1</v>
      </c>
      <c r="E5233" s="230" t="s">
        <v>125</v>
      </c>
    </row>
    <row r="5234" spans="1:5">
      <c r="A5234" s="265">
        <v>46058</v>
      </c>
      <c r="B5234" s="93" t="s">
        <v>839</v>
      </c>
      <c r="C5234" s="43" t="s">
        <v>1595</v>
      </c>
      <c r="D5234" s="43">
        <v>-1</v>
      </c>
      <c r="E5234" s="230" t="s">
        <v>125</v>
      </c>
    </row>
    <row r="5235" spans="1:5">
      <c r="A5235" s="265">
        <v>46058</v>
      </c>
      <c r="B5235" s="93" t="s">
        <v>1617</v>
      </c>
      <c r="C5235" s="43" t="s">
        <v>1595</v>
      </c>
      <c r="D5235" s="43">
        <v>-1</v>
      </c>
      <c r="E5235" s="230" t="s">
        <v>125</v>
      </c>
    </row>
    <row r="5236" spans="1:5">
      <c r="A5236" s="265">
        <v>46058</v>
      </c>
      <c r="B5236" s="343" t="s">
        <v>1246</v>
      </c>
      <c r="C5236" s="43" t="s">
        <v>1663</v>
      </c>
      <c r="D5236" s="43">
        <v>-3</v>
      </c>
      <c r="E5236" s="230" t="s">
        <v>125</v>
      </c>
    </row>
    <row r="5237" spans="1:5">
      <c r="A5237" s="265">
        <v>46058</v>
      </c>
      <c r="B5237" s="343" t="s">
        <v>1271</v>
      </c>
      <c r="C5237" s="43" t="s">
        <v>1788</v>
      </c>
      <c r="D5237" s="43">
        <v>-2</v>
      </c>
      <c r="E5237" s="230" t="s">
        <v>125</v>
      </c>
    </row>
    <row r="5238" spans="1:5">
      <c r="A5238" s="265">
        <v>46058</v>
      </c>
      <c r="B5238" s="343" t="s">
        <v>1271</v>
      </c>
      <c r="C5238" s="43" t="s">
        <v>1788</v>
      </c>
      <c r="D5238" s="43">
        <v>-3</v>
      </c>
      <c r="E5238" s="230" t="s">
        <v>125</v>
      </c>
    </row>
    <row r="5239" spans="1:5">
      <c r="A5239" s="265">
        <v>46058</v>
      </c>
      <c r="B5239" s="343" t="s">
        <v>1271</v>
      </c>
      <c r="C5239" s="43" t="s">
        <v>1788</v>
      </c>
      <c r="D5239" s="43">
        <v>-1</v>
      </c>
      <c r="E5239" s="230" t="s">
        <v>125</v>
      </c>
    </row>
    <row r="5240" spans="1:5">
      <c r="A5240" s="265">
        <v>46058</v>
      </c>
      <c r="B5240" s="343" t="s">
        <v>1327</v>
      </c>
      <c r="C5240" s="43" t="s">
        <v>2113</v>
      </c>
      <c r="D5240" s="43">
        <v>-8</v>
      </c>
      <c r="E5240" s="230" t="s">
        <v>125</v>
      </c>
    </row>
    <row r="5241" spans="1:5">
      <c r="A5241" s="265">
        <v>46058</v>
      </c>
      <c r="B5241" s="104" t="s">
        <v>932</v>
      </c>
      <c r="C5241" s="43" t="s">
        <v>2647</v>
      </c>
      <c r="D5241" s="43">
        <v>-4</v>
      </c>
      <c r="E5241" s="230" t="s">
        <v>125</v>
      </c>
    </row>
    <row r="5243" spans="1:5">
      <c r="A5243" s="265">
        <v>46059</v>
      </c>
      <c r="B5243" s="93" t="s">
        <v>1617</v>
      </c>
      <c r="C5243" s="43" t="s">
        <v>1615</v>
      </c>
      <c r="D5243" s="43">
        <v>-24</v>
      </c>
      <c r="E5243" s="230" t="s">
        <v>125</v>
      </c>
    </row>
    <row r="5244" spans="1:5">
      <c r="A5244" s="335">
        <v>46059</v>
      </c>
      <c r="B5244" s="343" t="s">
        <v>1575</v>
      </c>
      <c r="C5244" s="345" t="s">
        <v>1656</v>
      </c>
      <c r="D5244" s="345">
        <v>-10</v>
      </c>
      <c r="E5244" s="230" t="s">
        <v>125</v>
      </c>
    </row>
    <row r="5245" spans="1:5">
      <c r="A5245" s="335">
        <v>46059</v>
      </c>
      <c r="B5245" s="343" t="s">
        <v>1575</v>
      </c>
      <c r="C5245" s="345" t="s">
        <v>1656</v>
      </c>
      <c r="D5245" s="345">
        <v>-23</v>
      </c>
      <c r="E5245" s="230" t="s">
        <v>125</v>
      </c>
    </row>
    <row r="5246" spans="1:5">
      <c r="A5246" s="335">
        <v>46059</v>
      </c>
      <c r="B5246" s="343" t="s">
        <v>1617</v>
      </c>
      <c r="C5246" s="345" t="s">
        <v>1656</v>
      </c>
      <c r="D5246" s="345">
        <v>-25</v>
      </c>
      <c r="E5246" s="230" t="s">
        <v>125</v>
      </c>
    </row>
    <row r="5247" spans="1:5">
      <c r="A5247" s="335">
        <v>46059</v>
      </c>
      <c r="B5247" s="342" t="s">
        <v>131</v>
      </c>
      <c r="C5247" s="345" t="s">
        <v>1656</v>
      </c>
      <c r="D5247" s="345">
        <v>-11</v>
      </c>
      <c r="E5247" s="230" t="s">
        <v>125</v>
      </c>
    </row>
    <row r="5248" spans="1:5">
      <c r="A5248" s="335">
        <v>46059</v>
      </c>
      <c r="B5248" s="343" t="s">
        <v>121</v>
      </c>
      <c r="C5248" s="345" t="s">
        <v>1656</v>
      </c>
      <c r="D5248" s="345">
        <v>-50</v>
      </c>
      <c r="E5248" s="230" t="s">
        <v>125</v>
      </c>
    </row>
    <row r="5249" spans="1:5">
      <c r="A5249" s="335">
        <v>46059</v>
      </c>
      <c r="B5249" s="343" t="s">
        <v>121</v>
      </c>
      <c r="C5249" s="345" t="s">
        <v>1656</v>
      </c>
      <c r="D5249" s="345">
        <v>-50</v>
      </c>
      <c r="E5249" s="230" t="s">
        <v>125</v>
      </c>
    </row>
    <row r="5250" spans="1:5">
      <c r="A5250" s="335">
        <v>46059</v>
      </c>
      <c r="B5250" s="92" t="s">
        <v>76</v>
      </c>
      <c r="C5250" s="43" t="s">
        <v>2976</v>
      </c>
      <c r="D5250" s="43">
        <v>-60</v>
      </c>
      <c r="E5250" s="230" t="s">
        <v>125</v>
      </c>
    </row>
    <row r="5251" spans="1:5">
      <c r="A5251" s="335">
        <v>46059</v>
      </c>
      <c r="B5251" s="343" t="s">
        <v>1291</v>
      </c>
      <c r="C5251" s="43" t="s">
        <v>2724</v>
      </c>
      <c r="D5251" s="43">
        <v>-2</v>
      </c>
      <c r="E5251" s="230" t="s">
        <v>125</v>
      </c>
    </row>
    <row r="5252" spans="1:5">
      <c r="A5252" s="335">
        <v>46059</v>
      </c>
      <c r="B5252" s="343" t="s">
        <v>1246</v>
      </c>
      <c r="C5252" s="43" t="s">
        <v>2113</v>
      </c>
      <c r="D5252" s="43">
        <v>-1</v>
      </c>
      <c r="E5252" s="230" t="s">
        <v>125</v>
      </c>
    </row>
    <row r="5254" spans="1:5">
      <c r="A5254" s="265">
        <v>46060</v>
      </c>
      <c r="B5254" s="92" t="s">
        <v>672</v>
      </c>
      <c r="C5254" s="43" t="s">
        <v>2570</v>
      </c>
      <c r="D5254" s="43">
        <v>-1</v>
      </c>
      <c r="E5254" s="230" t="s">
        <v>125</v>
      </c>
    </row>
    <row r="5256" spans="1:5">
      <c r="A5256" s="437">
        <v>46060</v>
      </c>
      <c r="B5256" s="222" t="s">
        <v>1246</v>
      </c>
      <c r="C5256" s="220" t="s">
        <v>2979</v>
      </c>
      <c r="D5256" s="220">
        <v>2</v>
      </c>
      <c r="E5256" s="438" t="s">
        <v>125</v>
      </c>
    </row>
    <row r="5257" spans="1:5">
      <c r="A5257" s="437">
        <v>46060</v>
      </c>
      <c r="B5257" s="222" t="s">
        <v>1246</v>
      </c>
      <c r="C5257" s="220" t="s">
        <v>2980</v>
      </c>
      <c r="D5257" s="220">
        <v>3</v>
      </c>
      <c r="E5257" s="438" t="s">
        <v>125</v>
      </c>
    </row>
    <row r="5259" spans="1:5">
      <c r="A5259" s="335">
        <v>46060</v>
      </c>
      <c r="B5259" s="343" t="s">
        <v>1246</v>
      </c>
      <c r="C5259" s="345" t="s">
        <v>2391</v>
      </c>
      <c r="D5259" s="345">
        <v>-2</v>
      </c>
      <c r="E5259" s="230" t="s">
        <v>125</v>
      </c>
    </row>
    <row r="5260" spans="1:5">
      <c r="A5260" s="335">
        <v>46060</v>
      </c>
      <c r="B5260" s="343" t="s">
        <v>1246</v>
      </c>
      <c r="C5260" s="345" t="s">
        <v>2391</v>
      </c>
      <c r="D5260" s="345">
        <v>-3</v>
      </c>
      <c r="E5260" s="230" t="s">
        <v>125</v>
      </c>
    </row>
    <row r="5261" spans="1:5">
      <c r="A5261" s="335">
        <v>46060</v>
      </c>
      <c r="B5261" s="344" t="s">
        <v>375</v>
      </c>
      <c r="C5261" s="345" t="s">
        <v>1879</v>
      </c>
      <c r="D5261" s="345">
        <v>-3</v>
      </c>
      <c r="E5261" s="230" t="s">
        <v>125</v>
      </c>
    </row>
    <row r="5262" spans="1:5">
      <c r="A5262" s="335">
        <v>46060</v>
      </c>
      <c r="B5262" s="344" t="s">
        <v>375</v>
      </c>
      <c r="C5262" s="345" t="s">
        <v>1879</v>
      </c>
      <c r="D5262" s="345">
        <v>-6</v>
      </c>
      <c r="E5262" s="230" t="s">
        <v>125</v>
      </c>
    </row>
    <row r="5263" spans="1:5">
      <c r="A5263" s="335">
        <v>46060</v>
      </c>
      <c r="B5263" s="344" t="s">
        <v>375</v>
      </c>
      <c r="C5263" s="345" t="s">
        <v>1879</v>
      </c>
      <c r="D5263" s="345">
        <v>-1</v>
      </c>
      <c r="E5263" s="230" t="s">
        <v>125</v>
      </c>
    </row>
    <row r="5264" spans="1:5">
      <c r="A5264" s="335">
        <v>46060</v>
      </c>
      <c r="B5264" s="344" t="s">
        <v>375</v>
      </c>
      <c r="C5264" s="345" t="s">
        <v>1879</v>
      </c>
      <c r="D5264" s="345">
        <v>-4</v>
      </c>
      <c r="E5264" s="230" t="s">
        <v>125</v>
      </c>
    </row>
    <row r="5265" spans="1:5">
      <c r="A5265" s="335">
        <v>46060</v>
      </c>
      <c r="B5265" s="344" t="s">
        <v>375</v>
      </c>
      <c r="C5265" s="345" t="s">
        <v>1879</v>
      </c>
      <c r="D5265" s="345">
        <v>-3</v>
      </c>
      <c r="E5265" s="230" t="s">
        <v>125</v>
      </c>
    </row>
    <row r="5266" spans="1:5">
      <c r="A5266" s="335">
        <v>46060</v>
      </c>
      <c r="B5266" s="344" t="s">
        <v>375</v>
      </c>
      <c r="C5266" s="345" t="s">
        <v>1879</v>
      </c>
      <c r="D5266" s="345">
        <v>-13</v>
      </c>
      <c r="E5266" s="230" t="s">
        <v>125</v>
      </c>
    </row>
    <row r="5267" spans="1:5">
      <c r="A5267" s="335">
        <v>46060</v>
      </c>
      <c r="B5267" s="344" t="s">
        <v>375</v>
      </c>
      <c r="C5267" s="345" t="s">
        <v>1879</v>
      </c>
      <c r="D5267" s="345">
        <v>-10</v>
      </c>
      <c r="E5267" s="230" t="s">
        <v>125</v>
      </c>
    </row>
    <row r="5268" spans="1:5">
      <c r="A5268" s="335">
        <v>46060</v>
      </c>
      <c r="B5268" s="344" t="s">
        <v>375</v>
      </c>
      <c r="C5268" s="345" t="s">
        <v>1879</v>
      </c>
      <c r="D5268" s="345">
        <v>-1</v>
      </c>
      <c r="E5268" s="230" t="s">
        <v>125</v>
      </c>
    </row>
    <row r="5269" spans="1:5">
      <c r="A5269" s="335">
        <v>46060</v>
      </c>
      <c r="B5269" s="344" t="s">
        <v>375</v>
      </c>
      <c r="C5269" s="345" t="s">
        <v>1879</v>
      </c>
      <c r="D5269" s="345">
        <v>-3</v>
      </c>
      <c r="E5269" s="230" t="s">
        <v>125</v>
      </c>
    </row>
    <row r="5270" spans="1:5">
      <c r="A5270" s="335">
        <v>46060</v>
      </c>
      <c r="B5270" s="344" t="s">
        <v>375</v>
      </c>
      <c r="C5270" s="345" t="s">
        <v>1879</v>
      </c>
      <c r="D5270" s="345">
        <v>-2</v>
      </c>
      <c r="E5270" s="230" t="s">
        <v>125</v>
      </c>
    </row>
    <row r="5271" spans="1:5">
      <c r="A5271" s="335">
        <v>46060</v>
      </c>
      <c r="B5271" s="344" t="s">
        <v>375</v>
      </c>
      <c r="C5271" s="345" t="s">
        <v>1879</v>
      </c>
      <c r="D5271" s="345">
        <v>-1</v>
      </c>
      <c r="E5271" s="230" t="s">
        <v>125</v>
      </c>
    </row>
    <row r="5272" spans="1:5">
      <c r="A5272" s="335">
        <v>46060</v>
      </c>
      <c r="B5272" s="344" t="s">
        <v>375</v>
      </c>
      <c r="C5272" s="345" t="s">
        <v>1879</v>
      </c>
      <c r="D5272" s="345">
        <v>-1</v>
      </c>
      <c r="E5272" s="230" t="s">
        <v>125</v>
      </c>
    </row>
    <row r="5273" spans="1:5">
      <c r="A5273" s="335">
        <v>46060</v>
      </c>
      <c r="B5273" s="344" t="s">
        <v>375</v>
      </c>
      <c r="C5273" s="345" t="s">
        <v>1879</v>
      </c>
      <c r="D5273" s="345">
        <v>-1</v>
      </c>
      <c r="E5273" s="230" t="s">
        <v>125</v>
      </c>
    </row>
    <row r="5274" spans="1:5">
      <c r="A5274" s="335">
        <v>46060</v>
      </c>
      <c r="B5274" s="344" t="s">
        <v>375</v>
      </c>
      <c r="C5274" s="345" t="s">
        <v>1879</v>
      </c>
      <c r="D5274" s="345">
        <v>-5</v>
      </c>
      <c r="E5274" s="230" t="s">
        <v>125</v>
      </c>
    </row>
    <row r="5275" spans="1:5">
      <c r="A5275" s="335">
        <v>46060</v>
      </c>
      <c r="B5275" s="343" t="s">
        <v>2275</v>
      </c>
      <c r="C5275" s="345" t="s">
        <v>1879</v>
      </c>
      <c r="D5275" s="345">
        <v>-5</v>
      </c>
      <c r="E5275" s="230" t="s">
        <v>125</v>
      </c>
    </row>
    <row r="5276" spans="1:5">
      <c r="A5276" s="335">
        <v>46060</v>
      </c>
      <c r="B5276" s="343" t="s">
        <v>975</v>
      </c>
      <c r="C5276" s="345" t="s">
        <v>1879</v>
      </c>
      <c r="D5276" s="345">
        <v>-1</v>
      </c>
      <c r="E5276" s="230" t="s">
        <v>125</v>
      </c>
    </row>
    <row r="5277" spans="1:5">
      <c r="A5277" s="335">
        <v>46060</v>
      </c>
      <c r="B5277" s="93" t="s">
        <v>839</v>
      </c>
      <c r="C5277" s="43" t="s">
        <v>2090</v>
      </c>
      <c r="D5277" s="43">
        <v>-1</v>
      </c>
      <c r="E5277" s="230" t="s">
        <v>125</v>
      </c>
    </row>
    <row r="5278" spans="1:5">
      <c r="A5278" s="335">
        <v>46060</v>
      </c>
      <c r="B5278" s="93" t="s">
        <v>1222</v>
      </c>
      <c r="C5278" s="43" t="s">
        <v>1595</v>
      </c>
      <c r="D5278" s="43">
        <v>-1</v>
      </c>
      <c r="E5278" s="230" t="s">
        <v>125</v>
      </c>
    </row>
    <row r="5279" spans="1:5">
      <c r="A5279" s="335">
        <v>46060</v>
      </c>
      <c r="B5279" s="93" t="s">
        <v>806</v>
      </c>
      <c r="C5279" s="43" t="s">
        <v>1595</v>
      </c>
      <c r="D5279" s="43">
        <v>-1</v>
      </c>
      <c r="E5279" s="230" t="s">
        <v>125</v>
      </c>
    </row>
    <row r="5280" spans="1:5">
      <c r="A5280" s="335">
        <v>46060</v>
      </c>
      <c r="B5280" s="92" t="s">
        <v>76</v>
      </c>
      <c r="C5280" s="43" t="s">
        <v>1879</v>
      </c>
      <c r="D5280" s="43">
        <v>-2</v>
      </c>
      <c r="E5280" s="230" t="s">
        <v>125</v>
      </c>
    </row>
    <row r="5281" spans="1:5">
      <c r="A5281" s="335">
        <v>46060</v>
      </c>
      <c r="B5281" s="92" t="s">
        <v>76</v>
      </c>
      <c r="C5281" s="43" t="s">
        <v>2981</v>
      </c>
      <c r="D5281" s="43">
        <v>-4</v>
      </c>
      <c r="E5281" s="230" t="s">
        <v>125</v>
      </c>
    </row>
    <row r="5283" spans="1:5">
      <c r="A5283" s="265">
        <v>46062</v>
      </c>
      <c r="B5283" s="92" t="s">
        <v>76</v>
      </c>
      <c r="C5283" s="43" t="s">
        <v>2976</v>
      </c>
      <c r="D5283" s="43">
        <v>-20</v>
      </c>
      <c r="E5283" s="230" t="s">
        <v>125</v>
      </c>
    </row>
    <row r="5284" spans="1:5">
      <c r="A5284" s="265">
        <v>46062</v>
      </c>
      <c r="B5284" s="92" t="s">
        <v>78</v>
      </c>
      <c r="C5284" s="43" t="s">
        <v>2982</v>
      </c>
      <c r="D5284" s="43">
        <v>-4</v>
      </c>
      <c r="E5284" s="230" t="s">
        <v>125</v>
      </c>
    </row>
    <row r="5285" spans="1:5">
      <c r="A5285" s="265">
        <v>46062</v>
      </c>
      <c r="B5285" s="343" t="s">
        <v>1246</v>
      </c>
      <c r="C5285" s="43" t="s">
        <v>2722</v>
      </c>
      <c r="D5285" s="43">
        <v>-4</v>
      </c>
      <c r="E5285" s="230" t="s">
        <v>125</v>
      </c>
    </row>
    <row r="5286" spans="1:5">
      <c r="A5286" s="265">
        <v>46062</v>
      </c>
      <c r="B5286" s="343" t="s">
        <v>1246</v>
      </c>
      <c r="C5286" s="43" t="s">
        <v>2722</v>
      </c>
      <c r="D5286" s="43">
        <v>-1</v>
      </c>
      <c r="E5286" s="230" t="s">
        <v>125</v>
      </c>
    </row>
    <row r="5287" spans="1:5">
      <c r="A5287" s="265">
        <v>46062</v>
      </c>
      <c r="B5287" s="343" t="s">
        <v>1246</v>
      </c>
      <c r="C5287" s="43" t="s">
        <v>2722</v>
      </c>
      <c r="D5287" s="43">
        <v>-1</v>
      </c>
      <c r="E5287" s="230" t="s">
        <v>125</v>
      </c>
    </row>
    <row r="5288" spans="1:5">
      <c r="A5288" s="265">
        <v>46062</v>
      </c>
      <c r="B5288" s="343" t="s">
        <v>1327</v>
      </c>
      <c r="C5288" s="43" t="s">
        <v>2113</v>
      </c>
      <c r="D5288" s="43">
        <v>-4</v>
      </c>
      <c r="E5288" s="230" t="s">
        <v>125</v>
      </c>
    </row>
    <row r="5289" spans="1:5">
      <c r="A5289" s="335">
        <v>46062</v>
      </c>
      <c r="B5289" s="343" t="s">
        <v>1327</v>
      </c>
      <c r="C5289" s="345" t="s">
        <v>2113</v>
      </c>
      <c r="D5289" s="345">
        <v>-2</v>
      </c>
      <c r="E5289" s="230" t="s">
        <v>125</v>
      </c>
    </row>
    <row r="5290" spans="1:5">
      <c r="A5290" s="335">
        <v>46062</v>
      </c>
      <c r="B5290" s="341" t="s">
        <v>76</v>
      </c>
      <c r="C5290" s="345" t="s">
        <v>2982</v>
      </c>
      <c r="D5290" s="345">
        <v>-5</v>
      </c>
      <c r="E5290" s="230" t="s">
        <v>125</v>
      </c>
    </row>
    <row r="5291" spans="1:5">
      <c r="A5291" s="335">
        <v>46062</v>
      </c>
      <c r="B5291" s="343" t="s">
        <v>1271</v>
      </c>
      <c r="C5291" s="345" t="s">
        <v>2647</v>
      </c>
      <c r="D5291" s="345">
        <v>-1</v>
      </c>
      <c r="E5291" s="230" t="s">
        <v>125</v>
      </c>
    </row>
    <row r="5292" spans="1:5">
      <c r="A5292" s="335">
        <v>46062</v>
      </c>
      <c r="B5292" s="92" t="s">
        <v>76</v>
      </c>
      <c r="C5292" s="43" t="s">
        <v>2995</v>
      </c>
      <c r="D5292" s="43">
        <v>-15</v>
      </c>
      <c r="E5292" s="230" t="s">
        <v>125</v>
      </c>
    </row>
    <row r="5293" spans="1:5">
      <c r="A5293" s="335">
        <v>46062</v>
      </c>
      <c r="B5293" s="343" t="s">
        <v>1271</v>
      </c>
      <c r="C5293" s="43" t="s">
        <v>2407</v>
      </c>
      <c r="D5293" s="43">
        <v>-1</v>
      </c>
      <c r="E5293" s="230" t="s">
        <v>125</v>
      </c>
    </row>
    <row r="5294" spans="1:5">
      <c r="A5294" s="335">
        <v>46062</v>
      </c>
      <c r="B5294" s="343" t="s">
        <v>1271</v>
      </c>
      <c r="C5294" s="43" t="s">
        <v>2407</v>
      </c>
      <c r="D5294" s="43">
        <v>-2</v>
      </c>
      <c r="E5294" s="230" t="s">
        <v>125</v>
      </c>
    </row>
    <row r="5296" spans="1:5">
      <c r="A5296" s="272">
        <v>46055</v>
      </c>
      <c r="B5296" s="128" t="s">
        <v>76</v>
      </c>
      <c r="C5296" s="106" t="s">
        <v>49</v>
      </c>
      <c r="D5296" s="106">
        <v>11</v>
      </c>
      <c r="E5296" s="94" t="s">
        <v>125</v>
      </c>
    </row>
    <row r="5297" spans="1:5">
      <c r="A5297" s="272">
        <v>46055</v>
      </c>
      <c r="B5297" s="128" t="s">
        <v>76</v>
      </c>
      <c r="C5297" s="106" t="s">
        <v>49</v>
      </c>
      <c r="D5297" s="106">
        <v>4</v>
      </c>
      <c r="E5297" s="94" t="s">
        <v>125</v>
      </c>
    </row>
    <row r="5298" spans="1:5">
      <c r="A5298" s="272">
        <v>46056</v>
      </c>
      <c r="B5298" s="128" t="s">
        <v>76</v>
      </c>
      <c r="C5298" s="106" t="s">
        <v>49</v>
      </c>
      <c r="D5298" s="106">
        <v>3</v>
      </c>
      <c r="E5298" s="94" t="s">
        <v>125</v>
      </c>
    </row>
    <row r="5299" spans="1:5">
      <c r="A5299" s="272">
        <v>46056</v>
      </c>
      <c r="B5299" s="128" t="s">
        <v>76</v>
      </c>
      <c r="C5299" s="106" t="s">
        <v>49</v>
      </c>
      <c r="D5299" s="106">
        <v>8</v>
      </c>
      <c r="E5299" s="94" t="s">
        <v>125</v>
      </c>
    </row>
    <row r="5300" spans="1:5">
      <c r="A5300" s="272">
        <v>46056</v>
      </c>
      <c r="B5300" s="128" t="s">
        <v>76</v>
      </c>
      <c r="C5300" s="106" t="s">
        <v>49</v>
      </c>
      <c r="D5300" s="106">
        <v>5</v>
      </c>
      <c r="E5300" s="94" t="s">
        <v>125</v>
      </c>
    </row>
    <row r="5301" spans="1:5">
      <c r="A5301" s="272">
        <v>46056</v>
      </c>
      <c r="B5301" s="128" t="s">
        <v>76</v>
      </c>
      <c r="C5301" s="106" t="s">
        <v>49</v>
      </c>
      <c r="D5301" s="106">
        <v>6</v>
      </c>
      <c r="E5301" s="94" t="s">
        <v>125</v>
      </c>
    </row>
    <row r="5302" spans="1:5">
      <c r="A5302" s="272">
        <v>46056</v>
      </c>
      <c r="B5302" s="128" t="s">
        <v>78</v>
      </c>
      <c r="C5302" s="106" t="s">
        <v>49</v>
      </c>
      <c r="D5302" s="106">
        <v>3</v>
      </c>
      <c r="E5302" s="94" t="s">
        <v>125</v>
      </c>
    </row>
    <row r="5303" spans="1:5">
      <c r="A5303" s="272">
        <v>46056</v>
      </c>
      <c r="B5303" s="128" t="s">
        <v>78</v>
      </c>
      <c r="C5303" s="106" t="s">
        <v>49</v>
      </c>
      <c r="D5303" s="106">
        <v>2</v>
      </c>
      <c r="E5303" s="94" t="s">
        <v>125</v>
      </c>
    </row>
    <row r="5304" spans="1:5">
      <c r="A5304" s="272">
        <v>46056</v>
      </c>
      <c r="B5304" s="139" t="s">
        <v>844</v>
      </c>
      <c r="C5304" s="106" t="s">
        <v>49</v>
      </c>
      <c r="D5304" s="106">
        <v>1</v>
      </c>
      <c r="E5304" s="94" t="s">
        <v>125</v>
      </c>
    </row>
    <row r="5305" spans="1:5">
      <c r="A5305" s="272">
        <v>46056</v>
      </c>
      <c r="B5305" s="128" t="s">
        <v>789</v>
      </c>
      <c r="C5305" s="106" t="s">
        <v>49</v>
      </c>
      <c r="D5305" s="106">
        <v>5</v>
      </c>
      <c r="E5305" s="94" t="s">
        <v>125</v>
      </c>
    </row>
    <row r="5306" spans="1:5">
      <c r="A5306" s="272">
        <v>46056</v>
      </c>
      <c r="B5306" s="128" t="s">
        <v>78</v>
      </c>
      <c r="C5306" s="106" t="s">
        <v>49</v>
      </c>
      <c r="D5306" s="106">
        <v>3</v>
      </c>
      <c r="E5306" s="94" t="s">
        <v>125</v>
      </c>
    </row>
    <row r="5308" spans="1:5">
      <c r="A5308" s="272">
        <v>46056</v>
      </c>
      <c r="B5308" s="139" t="s">
        <v>1246</v>
      </c>
      <c r="C5308" s="106" t="s">
        <v>49</v>
      </c>
      <c r="D5308" s="106">
        <v>2</v>
      </c>
      <c r="E5308" s="94" t="s">
        <v>125</v>
      </c>
    </row>
    <row r="5310" spans="1:5">
      <c r="A5310" s="265">
        <v>46063</v>
      </c>
      <c r="B5310" s="92" t="s">
        <v>671</v>
      </c>
      <c r="C5310" s="43" t="s">
        <v>1815</v>
      </c>
      <c r="D5310" s="43">
        <v>-6</v>
      </c>
      <c r="E5310" s="230" t="s">
        <v>125</v>
      </c>
    </row>
    <row r="5311" spans="1:5">
      <c r="A5311" s="265">
        <v>46063</v>
      </c>
      <c r="B5311" s="343" t="s">
        <v>1246</v>
      </c>
      <c r="C5311" s="43" t="s">
        <v>2647</v>
      </c>
      <c r="D5311" s="43">
        <v>-1</v>
      </c>
      <c r="E5311" s="230" t="s">
        <v>125</v>
      </c>
    </row>
    <row r="5312" spans="1:5">
      <c r="A5312" s="265">
        <v>46063</v>
      </c>
      <c r="B5312" s="343" t="s">
        <v>1246</v>
      </c>
      <c r="C5312" s="43" t="s">
        <v>2647</v>
      </c>
      <c r="D5312" s="43">
        <v>-1</v>
      </c>
      <c r="E5312" s="230" t="s">
        <v>125</v>
      </c>
    </row>
    <row r="5313" spans="1:5">
      <c r="A5313" s="265">
        <v>46063</v>
      </c>
      <c r="B5313" s="92" t="s">
        <v>76</v>
      </c>
      <c r="C5313" s="43" t="s">
        <v>1814</v>
      </c>
      <c r="D5313" s="43">
        <v>-25</v>
      </c>
      <c r="E5313" s="230" t="s">
        <v>125</v>
      </c>
    </row>
    <row r="5314" spans="1:5">
      <c r="A5314" s="265">
        <v>46063</v>
      </c>
      <c r="B5314" s="92" t="s">
        <v>76</v>
      </c>
      <c r="C5314" s="43" t="s">
        <v>2982</v>
      </c>
      <c r="D5314" s="43">
        <v>-5</v>
      </c>
      <c r="E5314" s="230" t="s">
        <v>125</v>
      </c>
    </row>
    <row r="5315" spans="1:5">
      <c r="A5315" s="265">
        <v>46063</v>
      </c>
      <c r="B5315" s="93" t="s">
        <v>1222</v>
      </c>
      <c r="C5315" s="43" t="s">
        <v>1595</v>
      </c>
      <c r="D5315" s="43">
        <v>-2</v>
      </c>
      <c r="E5315" s="230" t="s">
        <v>125</v>
      </c>
    </row>
    <row r="5316" spans="1:5">
      <c r="A5316" s="265">
        <v>46063</v>
      </c>
      <c r="B5316" s="93" t="s">
        <v>806</v>
      </c>
      <c r="C5316" s="43" t="s">
        <v>1595</v>
      </c>
      <c r="D5316" s="43">
        <v>-3</v>
      </c>
      <c r="E5316" s="230" t="s">
        <v>125</v>
      </c>
    </row>
    <row r="5317" spans="1:5">
      <c r="A5317" s="265">
        <v>46063</v>
      </c>
      <c r="B5317" s="343" t="s">
        <v>1271</v>
      </c>
      <c r="C5317" s="345" t="s">
        <v>2074</v>
      </c>
      <c r="D5317" s="345">
        <v>-7</v>
      </c>
      <c r="E5317" s="230" t="s">
        <v>125</v>
      </c>
    </row>
    <row r="5318" spans="1:5">
      <c r="A5318" s="265">
        <v>46063</v>
      </c>
      <c r="B5318" s="343" t="s">
        <v>1271</v>
      </c>
      <c r="C5318" s="345" t="s">
        <v>2074</v>
      </c>
      <c r="D5318" s="345">
        <v>-1</v>
      </c>
      <c r="E5318" s="230" t="s">
        <v>125</v>
      </c>
    </row>
    <row r="5319" spans="1:5">
      <c r="A5319" s="265">
        <v>46063</v>
      </c>
      <c r="B5319" s="343" t="s">
        <v>1327</v>
      </c>
      <c r="C5319" s="43" t="s">
        <v>2113</v>
      </c>
      <c r="D5319" s="43">
        <v>-2</v>
      </c>
      <c r="E5319" s="230" t="s">
        <v>125</v>
      </c>
    </row>
    <row r="5321" spans="1:5">
      <c r="A5321" s="265">
        <v>46064</v>
      </c>
      <c r="B5321" s="93" t="s">
        <v>839</v>
      </c>
      <c r="C5321" s="43" t="s">
        <v>1815</v>
      </c>
      <c r="D5321" s="43">
        <v>-3</v>
      </c>
      <c r="E5321" s="230" t="s">
        <v>125</v>
      </c>
    </row>
    <row r="5322" spans="1:5">
      <c r="A5322" s="265">
        <v>46064</v>
      </c>
      <c r="B5322" s="92" t="s">
        <v>76</v>
      </c>
      <c r="C5322" s="43" t="s">
        <v>2982</v>
      </c>
      <c r="D5322" s="43">
        <v>-4</v>
      </c>
      <c r="E5322" s="230" t="s">
        <v>125</v>
      </c>
    </row>
    <row r="5323" spans="1:5">
      <c r="A5323" s="265">
        <v>46064</v>
      </c>
      <c r="B5323" s="93" t="s">
        <v>121</v>
      </c>
      <c r="C5323" s="43" t="s">
        <v>1598</v>
      </c>
      <c r="D5323" s="43">
        <v>-10</v>
      </c>
      <c r="E5323" s="230" t="s">
        <v>125</v>
      </c>
    </row>
    <row r="5324" spans="1:5">
      <c r="A5324" s="265">
        <v>46064</v>
      </c>
      <c r="B5324" s="93" t="s">
        <v>839</v>
      </c>
      <c r="C5324" s="43" t="s">
        <v>1598</v>
      </c>
      <c r="D5324" s="43">
        <v>-2</v>
      </c>
      <c r="E5324" s="230" t="s">
        <v>125</v>
      </c>
    </row>
    <row r="5325" spans="1:5">
      <c r="A5325" s="265">
        <v>46064</v>
      </c>
      <c r="B5325" s="343" t="s">
        <v>1327</v>
      </c>
      <c r="C5325" s="43" t="s">
        <v>2929</v>
      </c>
      <c r="D5325" s="43">
        <v>-1</v>
      </c>
      <c r="E5325" s="230" t="s">
        <v>125</v>
      </c>
    </row>
    <row r="5326" spans="1:5">
      <c r="A5326" s="265">
        <v>46064</v>
      </c>
      <c r="B5326" s="92" t="s">
        <v>671</v>
      </c>
      <c r="C5326" s="43" t="s">
        <v>1598</v>
      </c>
      <c r="D5326" s="43">
        <v>-4</v>
      </c>
      <c r="E5326" s="230" t="s">
        <v>125</v>
      </c>
    </row>
    <row r="5327" spans="1:5">
      <c r="A5327" s="265">
        <v>46064</v>
      </c>
      <c r="B5327" s="93" t="s">
        <v>808</v>
      </c>
      <c r="C5327" s="43" t="s">
        <v>1595</v>
      </c>
      <c r="D5327" s="43">
        <v>-2</v>
      </c>
      <c r="E5327" s="230" t="s">
        <v>125</v>
      </c>
    </row>
    <row r="5328" spans="1:5">
      <c r="A5328" s="265">
        <v>46064</v>
      </c>
      <c r="B5328" s="92" t="s">
        <v>76</v>
      </c>
      <c r="C5328" s="43" t="s">
        <v>3003</v>
      </c>
      <c r="D5328" s="43">
        <v>-50</v>
      </c>
      <c r="E5328" s="230" t="s">
        <v>125</v>
      </c>
    </row>
    <row r="5329" spans="1:5">
      <c r="A5329" s="265">
        <v>46064</v>
      </c>
      <c r="B5329" s="343" t="s">
        <v>1301</v>
      </c>
      <c r="C5329" s="43" t="s">
        <v>3004</v>
      </c>
      <c r="D5329" s="43">
        <v>-1</v>
      </c>
      <c r="E5329" s="230" t="s">
        <v>125</v>
      </c>
    </row>
    <row r="5330" spans="1:5">
      <c r="A5330" s="265">
        <v>46064</v>
      </c>
      <c r="B5330" s="93" t="s">
        <v>839</v>
      </c>
      <c r="C5330" s="43" t="s">
        <v>1598</v>
      </c>
      <c r="D5330" s="43">
        <v>-2</v>
      </c>
      <c r="E5330" s="230" t="s">
        <v>125</v>
      </c>
    </row>
    <row r="5331" spans="1:5">
      <c r="A5331" s="265">
        <v>46064</v>
      </c>
      <c r="B5331" s="343" t="s">
        <v>1291</v>
      </c>
      <c r="C5331" s="43" t="s">
        <v>2724</v>
      </c>
      <c r="D5331" s="43">
        <v>-3</v>
      </c>
      <c r="E5331" s="230" t="s">
        <v>125</v>
      </c>
    </row>
    <row r="5332" spans="1:5">
      <c r="A5332" s="265">
        <v>46064</v>
      </c>
      <c r="B5332" s="84" t="s">
        <v>1387</v>
      </c>
      <c r="C5332" s="43" t="s">
        <v>2724</v>
      </c>
      <c r="D5332" s="43">
        <v>-2</v>
      </c>
      <c r="E5332" s="230" t="s">
        <v>125</v>
      </c>
    </row>
    <row r="5333" spans="1:5">
      <c r="A5333" s="265">
        <v>46064</v>
      </c>
      <c r="B5333" s="343" t="s">
        <v>1334</v>
      </c>
      <c r="C5333" s="43" t="s">
        <v>2724</v>
      </c>
      <c r="D5333" s="43">
        <v>-1</v>
      </c>
      <c r="E5333" s="230" t="s">
        <v>125</v>
      </c>
    </row>
    <row r="5334" spans="1:5">
      <c r="A5334" s="265">
        <v>46064</v>
      </c>
      <c r="B5334" s="84" t="s">
        <v>1387</v>
      </c>
      <c r="C5334" s="43" t="s">
        <v>2724</v>
      </c>
      <c r="D5334" s="43">
        <v>-1</v>
      </c>
      <c r="E5334" s="230" t="s">
        <v>125</v>
      </c>
    </row>
    <row r="5335" spans="1:5">
      <c r="A5335" s="265">
        <v>46064</v>
      </c>
      <c r="B5335" s="93" t="s">
        <v>1491</v>
      </c>
      <c r="C5335" s="43" t="s">
        <v>2724</v>
      </c>
      <c r="D5335" s="43">
        <v>-1</v>
      </c>
      <c r="E5335" s="230" t="s">
        <v>125</v>
      </c>
    </row>
    <row r="5336" spans="1:5">
      <c r="A5336" s="265">
        <v>46064</v>
      </c>
      <c r="B5336" s="343" t="s">
        <v>1334</v>
      </c>
      <c r="C5336" s="43" t="s">
        <v>2724</v>
      </c>
      <c r="D5336" s="43">
        <v>-1</v>
      </c>
      <c r="E5336" s="230" t="s">
        <v>125</v>
      </c>
    </row>
    <row r="5337" spans="1:5">
      <c r="A5337" s="265">
        <v>46064</v>
      </c>
      <c r="B5337" s="343" t="s">
        <v>1246</v>
      </c>
      <c r="C5337" s="43" t="s">
        <v>3005</v>
      </c>
      <c r="D5337" s="43">
        <v>-21</v>
      </c>
      <c r="E5337" s="230" t="s">
        <v>125</v>
      </c>
    </row>
    <row r="5338" spans="1:5">
      <c r="A5338" s="265">
        <v>46064</v>
      </c>
      <c r="B5338" s="343" t="s">
        <v>1246</v>
      </c>
      <c r="C5338" s="43" t="s">
        <v>3005</v>
      </c>
      <c r="D5338" s="43">
        <v>-2</v>
      </c>
      <c r="E5338" s="230" t="s">
        <v>125</v>
      </c>
    </row>
    <row r="5339" spans="1:5">
      <c r="A5339" s="265">
        <v>46064</v>
      </c>
      <c r="B5339" s="343" t="s">
        <v>1246</v>
      </c>
      <c r="C5339" s="43" t="s">
        <v>3005</v>
      </c>
      <c r="D5339" s="43">
        <v>-2</v>
      </c>
      <c r="E5339" s="230" t="s">
        <v>125</v>
      </c>
    </row>
    <row r="5341" spans="1:5">
      <c r="A5341" s="265">
        <v>46065</v>
      </c>
      <c r="B5341" s="93" t="s">
        <v>839</v>
      </c>
      <c r="C5341" s="43" t="s">
        <v>1598</v>
      </c>
      <c r="D5341" s="43">
        <v>-5</v>
      </c>
      <c r="E5341" s="230" t="s">
        <v>125</v>
      </c>
    </row>
    <row r="5342" spans="1:5">
      <c r="A5342" s="265">
        <v>46065</v>
      </c>
      <c r="B5342" s="92" t="s">
        <v>76</v>
      </c>
      <c r="C5342" s="43" t="s">
        <v>1603</v>
      </c>
      <c r="D5342" s="43">
        <v>-20</v>
      </c>
      <c r="E5342" s="230" t="s">
        <v>125</v>
      </c>
    </row>
    <row r="5343" spans="1:5">
      <c r="A5343" s="265">
        <v>46065</v>
      </c>
      <c r="B5343" s="92" t="s">
        <v>76</v>
      </c>
      <c r="C5343" s="43" t="s">
        <v>1814</v>
      </c>
      <c r="D5343" s="43">
        <v>-30</v>
      </c>
      <c r="E5343" s="230" t="s">
        <v>125</v>
      </c>
    </row>
    <row r="5344" spans="1:5">
      <c r="A5344" s="265">
        <v>46065</v>
      </c>
      <c r="B5344" s="84" t="s">
        <v>467</v>
      </c>
      <c r="C5344" s="43" t="s">
        <v>3006</v>
      </c>
      <c r="D5344" s="43">
        <v>-19</v>
      </c>
      <c r="E5344" s="230" t="s">
        <v>125</v>
      </c>
    </row>
    <row r="5345" spans="1:6">
      <c r="A5345" s="265">
        <v>46065</v>
      </c>
      <c r="B5345" s="92" t="s">
        <v>76</v>
      </c>
      <c r="C5345" s="43" t="s">
        <v>3007</v>
      </c>
      <c r="D5345" s="43">
        <v>-5</v>
      </c>
      <c r="E5345" s="230" t="s">
        <v>125</v>
      </c>
    </row>
    <row r="5346" spans="1:6">
      <c r="A5346" s="265">
        <v>46065</v>
      </c>
      <c r="B5346" s="92" t="s">
        <v>76</v>
      </c>
      <c r="C5346" s="43" t="s">
        <v>3003</v>
      </c>
      <c r="D5346" s="43">
        <v>-2</v>
      </c>
      <c r="E5346" s="230" t="s">
        <v>125</v>
      </c>
    </row>
    <row r="5347" spans="1:6">
      <c r="A5347" s="265">
        <v>46065</v>
      </c>
      <c r="B5347" s="343" t="s">
        <v>1246</v>
      </c>
      <c r="C5347" s="43" t="s">
        <v>2647</v>
      </c>
      <c r="D5347" s="43">
        <v>-3</v>
      </c>
      <c r="E5347" s="230" t="s">
        <v>125</v>
      </c>
    </row>
    <row r="5348" spans="1:6">
      <c r="A5348" s="265">
        <v>46065</v>
      </c>
      <c r="B5348" s="93" t="s">
        <v>808</v>
      </c>
      <c r="C5348" s="43" t="s">
        <v>1879</v>
      </c>
      <c r="D5348" s="43">
        <v>-34</v>
      </c>
      <c r="E5348" s="230" t="s">
        <v>125</v>
      </c>
    </row>
    <row r="5349" spans="1:6">
      <c r="A5349" s="265">
        <v>46065</v>
      </c>
      <c r="B5349" s="93" t="s">
        <v>808</v>
      </c>
      <c r="C5349" s="43" t="s">
        <v>1879</v>
      </c>
      <c r="D5349" s="43">
        <v>-2</v>
      </c>
      <c r="E5349" s="230" t="s">
        <v>125</v>
      </c>
    </row>
    <row r="5350" spans="1:6">
      <c r="A5350" s="265">
        <v>46065</v>
      </c>
      <c r="B5350" s="343" t="s">
        <v>2706</v>
      </c>
      <c r="C5350" s="345" t="s">
        <v>1879</v>
      </c>
      <c r="D5350" s="345">
        <v>-1</v>
      </c>
      <c r="E5350" s="230" t="s">
        <v>125</v>
      </c>
    </row>
    <row r="5351" spans="1:6">
      <c r="A5351" s="265">
        <v>46065</v>
      </c>
      <c r="B5351" s="343" t="s">
        <v>2708</v>
      </c>
      <c r="C5351" s="345" t="s">
        <v>1879</v>
      </c>
      <c r="D5351" s="345">
        <v>-3</v>
      </c>
      <c r="E5351" s="230" t="s">
        <v>125</v>
      </c>
    </row>
    <row r="5352" spans="1:6">
      <c r="A5352" s="265">
        <v>46065</v>
      </c>
      <c r="B5352" s="84" t="s">
        <v>134</v>
      </c>
      <c r="C5352" s="43" t="s">
        <v>678</v>
      </c>
      <c r="D5352" s="43">
        <v>-1</v>
      </c>
      <c r="E5352" s="230" t="s">
        <v>125</v>
      </c>
    </row>
    <row r="5353" spans="1:6">
      <c r="A5353" s="265">
        <v>46065</v>
      </c>
      <c r="B5353" s="343" t="s">
        <v>1246</v>
      </c>
      <c r="C5353" s="43" t="s">
        <v>678</v>
      </c>
      <c r="D5353" s="43">
        <v>-1</v>
      </c>
      <c r="E5353" s="230" t="s">
        <v>125</v>
      </c>
    </row>
    <row r="5354" spans="1:6">
      <c r="A5354" s="265">
        <v>46065</v>
      </c>
      <c r="B5354" s="343" t="s">
        <v>1249</v>
      </c>
      <c r="C5354" s="43" t="s">
        <v>678</v>
      </c>
      <c r="D5354" s="43">
        <v>-1</v>
      </c>
      <c r="E5354" s="230" t="s">
        <v>125</v>
      </c>
    </row>
    <row r="5355" spans="1:6">
      <c r="A5355" s="265">
        <v>46065</v>
      </c>
      <c r="B5355" s="343" t="s">
        <v>1246</v>
      </c>
      <c r="C5355" s="43" t="s">
        <v>678</v>
      </c>
      <c r="D5355" s="43">
        <v>-1</v>
      </c>
      <c r="E5355" s="230" t="s">
        <v>125</v>
      </c>
    </row>
    <row r="5356" spans="1:6">
      <c r="A5356" s="265">
        <v>46065</v>
      </c>
      <c r="B5356" s="343" t="s">
        <v>1246</v>
      </c>
      <c r="C5356" s="43" t="s">
        <v>2647</v>
      </c>
      <c r="D5356" s="43">
        <v>0</v>
      </c>
      <c r="E5356" s="230" t="s">
        <v>125</v>
      </c>
      <c r="F5356" t="s">
        <v>676</v>
      </c>
    </row>
    <row r="5357" spans="1:6">
      <c r="A5357" s="265">
        <v>46065</v>
      </c>
      <c r="B5357" s="343" t="s">
        <v>1246</v>
      </c>
      <c r="C5357" s="43" t="s">
        <v>2647</v>
      </c>
      <c r="D5357" s="43">
        <v>0</v>
      </c>
      <c r="E5357" s="230" t="s">
        <v>125</v>
      </c>
      <c r="F5357" s="731" t="s">
        <v>676</v>
      </c>
    </row>
    <row r="5358" spans="1:6">
      <c r="A5358" s="265">
        <v>46065</v>
      </c>
      <c r="B5358" s="343" t="s">
        <v>1246</v>
      </c>
      <c r="C5358" s="43" t="s">
        <v>2647</v>
      </c>
      <c r="D5358" s="43">
        <v>0</v>
      </c>
      <c r="E5358" s="230" t="s">
        <v>125</v>
      </c>
      <c r="F5358" s="731" t="s">
        <v>676</v>
      </c>
    </row>
    <row r="5359" spans="1:6">
      <c r="A5359" s="265">
        <v>46065</v>
      </c>
      <c r="B5359" s="343" t="s">
        <v>1246</v>
      </c>
      <c r="C5359" s="43" t="s">
        <v>678</v>
      </c>
      <c r="D5359" s="43">
        <v>-1</v>
      </c>
      <c r="E5359" s="230" t="s">
        <v>125</v>
      </c>
    </row>
    <row r="5361" spans="1:6">
      <c r="A5361" s="323">
        <v>46065</v>
      </c>
      <c r="B5361" s="325" t="s">
        <v>1246</v>
      </c>
      <c r="C5361" s="322" t="s">
        <v>682</v>
      </c>
      <c r="D5361" s="322">
        <v>29</v>
      </c>
      <c r="E5361" s="321" t="s">
        <v>125</v>
      </c>
      <c r="F5361" t="s">
        <v>3012</v>
      </c>
    </row>
    <row r="5362" spans="1:6">
      <c r="A5362" s="323">
        <v>46065</v>
      </c>
      <c r="B5362" s="325" t="s">
        <v>1246</v>
      </c>
      <c r="C5362" s="322" t="s">
        <v>682</v>
      </c>
      <c r="D5362" s="322">
        <v>9</v>
      </c>
      <c r="E5362" s="321" t="s">
        <v>125</v>
      </c>
    </row>
    <row r="5363" spans="1:6">
      <c r="A5363" s="323">
        <v>46065</v>
      </c>
      <c r="B5363" s="325" t="s">
        <v>1246</v>
      </c>
      <c r="C5363" s="322" t="s">
        <v>682</v>
      </c>
      <c r="D5363" s="322">
        <v>3</v>
      </c>
      <c r="E5363" s="321" t="s">
        <v>125</v>
      </c>
    </row>
    <row r="5364" spans="1:6">
      <c r="A5364" s="323">
        <v>46065</v>
      </c>
      <c r="B5364" s="325" t="s">
        <v>1246</v>
      </c>
      <c r="C5364" s="322" t="s">
        <v>682</v>
      </c>
      <c r="D5364" s="322">
        <v>1</v>
      </c>
      <c r="E5364" s="321" t="s">
        <v>125</v>
      </c>
    </row>
    <row r="5365" spans="1:6">
      <c r="A5365" s="323">
        <v>46065</v>
      </c>
      <c r="B5365" s="325" t="s">
        <v>1246</v>
      </c>
      <c r="C5365" s="322" t="s">
        <v>682</v>
      </c>
      <c r="D5365" s="322">
        <v>2</v>
      </c>
      <c r="E5365" s="321" t="s">
        <v>125</v>
      </c>
    </row>
    <row r="5366" spans="1:6">
      <c r="A5366" s="323">
        <v>46065</v>
      </c>
      <c r="B5366" s="325" t="s">
        <v>1641</v>
      </c>
      <c r="C5366" s="322" t="s">
        <v>682</v>
      </c>
      <c r="D5366" s="322">
        <v>1</v>
      </c>
      <c r="E5366" s="321" t="s">
        <v>125</v>
      </c>
    </row>
    <row r="5367" spans="1:6">
      <c r="A5367" s="323">
        <v>46065</v>
      </c>
      <c r="B5367" s="325" t="s">
        <v>1289</v>
      </c>
      <c r="C5367" s="322" t="s">
        <v>682</v>
      </c>
      <c r="D5367" s="322">
        <v>1</v>
      </c>
      <c r="E5367" s="321" t="s">
        <v>125</v>
      </c>
    </row>
    <row r="5368" spans="1:6">
      <c r="A5368" s="323">
        <v>46065</v>
      </c>
      <c r="B5368" s="325" t="s">
        <v>1246</v>
      </c>
      <c r="C5368" s="322" t="s">
        <v>682</v>
      </c>
      <c r="D5368" s="322">
        <v>2</v>
      </c>
      <c r="E5368" s="321" t="s">
        <v>125</v>
      </c>
    </row>
    <row r="5369" spans="1:6">
      <c r="A5369" s="323">
        <v>46065</v>
      </c>
      <c r="B5369" s="325" t="s">
        <v>1271</v>
      </c>
      <c r="C5369" s="322" t="s">
        <v>682</v>
      </c>
      <c r="D5369" s="322">
        <v>3</v>
      </c>
      <c r="E5369" s="321" t="s">
        <v>125</v>
      </c>
    </row>
    <row r="5370" spans="1:6">
      <c r="A5370" s="323">
        <v>46065</v>
      </c>
      <c r="B5370" s="325" t="s">
        <v>1246</v>
      </c>
      <c r="C5370" s="322" t="s">
        <v>682</v>
      </c>
      <c r="D5370" s="322">
        <v>1</v>
      </c>
      <c r="E5370" s="321" t="s">
        <v>125</v>
      </c>
    </row>
    <row r="5371" spans="1:6">
      <c r="A5371" s="323">
        <v>46065</v>
      </c>
      <c r="B5371" s="325" t="s">
        <v>1246</v>
      </c>
      <c r="C5371" s="322" t="s">
        <v>682</v>
      </c>
      <c r="D5371" s="322">
        <v>2</v>
      </c>
      <c r="E5371" s="321" t="s">
        <v>125</v>
      </c>
    </row>
    <row r="5372" spans="1:6">
      <c r="A5372" s="323">
        <v>46065</v>
      </c>
      <c r="B5372" s="325" t="s">
        <v>1271</v>
      </c>
      <c r="C5372" s="322" t="s">
        <v>682</v>
      </c>
      <c r="D5372" s="322">
        <v>3</v>
      </c>
      <c r="E5372" s="321" t="s">
        <v>125</v>
      </c>
    </row>
    <row r="5373" spans="1:6">
      <c r="A5373" s="323">
        <v>46065</v>
      </c>
      <c r="B5373" s="325" t="s">
        <v>1641</v>
      </c>
      <c r="C5373" s="322" t="s">
        <v>682</v>
      </c>
      <c r="D5373" s="322">
        <v>1</v>
      </c>
      <c r="E5373" s="321" t="s">
        <v>125</v>
      </c>
    </row>
    <row r="5374" spans="1:6">
      <c r="A5374" s="323">
        <v>46065</v>
      </c>
      <c r="B5374" s="325" t="s">
        <v>1249</v>
      </c>
      <c r="C5374" s="322" t="s">
        <v>682</v>
      </c>
      <c r="D5374" s="322">
        <v>1</v>
      </c>
      <c r="E5374" s="321" t="s">
        <v>125</v>
      </c>
    </row>
    <row r="5375" spans="1:6">
      <c r="A5375" s="323">
        <v>46065</v>
      </c>
      <c r="B5375" s="325" t="s">
        <v>1246</v>
      </c>
      <c r="C5375" s="322" t="s">
        <v>682</v>
      </c>
      <c r="D5375" s="322">
        <v>1</v>
      </c>
      <c r="E5375" s="321" t="s">
        <v>125</v>
      </c>
    </row>
    <row r="5376" spans="1:6">
      <c r="A5376" s="323">
        <v>46065</v>
      </c>
      <c r="B5376" s="324" t="s">
        <v>134</v>
      </c>
      <c r="C5376" s="322" t="s">
        <v>682</v>
      </c>
      <c r="D5376" s="322">
        <v>3</v>
      </c>
      <c r="E5376" s="321" t="s">
        <v>125</v>
      </c>
    </row>
    <row r="5377" spans="1:6">
      <c r="A5377" s="323">
        <v>46065</v>
      </c>
      <c r="B5377" s="324" t="s">
        <v>134</v>
      </c>
      <c r="C5377" s="322" t="s">
        <v>682</v>
      </c>
      <c r="D5377" s="322">
        <v>1</v>
      </c>
      <c r="E5377" s="321" t="s">
        <v>125</v>
      </c>
    </row>
    <row r="5378" spans="1:6">
      <c r="A5378" s="323">
        <v>46065</v>
      </c>
      <c r="B5378" s="426" t="s">
        <v>928</v>
      </c>
      <c r="C5378" s="322" t="s">
        <v>682</v>
      </c>
      <c r="D5378" s="322">
        <v>1</v>
      </c>
      <c r="E5378" s="321" t="s">
        <v>125</v>
      </c>
    </row>
    <row r="5379" spans="1:6">
      <c r="A5379" s="323">
        <v>46065</v>
      </c>
      <c r="B5379" s="325" t="s">
        <v>1291</v>
      </c>
      <c r="C5379" s="322" t="s">
        <v>682</v>
      </c>
      <c r="D5379" s="322">
        <v>2</v>
      </c>
      <c r="E5379" s="321" t="s">
        <v>125</v>
      </c>
    </row>
    <row r="5380" spans="1:6">
      <c r="A5380" s="323">
        <v>46065</v>
      </c>
      <c r="B5380" s="324" t="s">
        <v>134</v>
      </c>
      <c r="C5380" s="322" t="s">
        <v>682</v>
      </c>
      <c r="D5380" s="322">
        <v>1</v>
      </c>
      <c r="E5380" s="321" t="s">
        <v>125</v>
      </c>
    </row>
    <row r="5381" spans="1:6">
      <c r="A5381" s="323">
        <v>46065</v>
      </c>
      <c r="B5381" s="325" t="s">
        <v>1326</v>
      </c>
      <c r="C5381" s="322" t="s">
        <v>682</v>
      </c>
      <c r="D5381" s="322">
        <v>4</v>
      </c>
      <c r="E5381" s="321" t="s">
        <v>125</v>
      </c>
    </row>
    <row r="5382" spans="1:6">
      <c r="A5382" s="323">
        <v>46065</v>
      </c>
      <c r="B5382" s="325" t="s">
        <v>1326</v>
      </c>
      <c r="C5382" s="322" t="s">
        <v>682</v>
      </c>
      <c r="D5382" s="322">
        <v>2</v>
      </c>
      <c r="E5382" s="321" t="s">
        <v>125</v>
      </c>
    </row>
    <row r="5383" spans="1:6">
      <c r="A5383" s="323">
        <v>46065</v>
      </c>
      <c r="B5383" s="325" t="s">
        <v>169</v>
      </c>
      <c r="C5383" s="322" t="s">
        <v>682</v>
      </c>
      <c r="D5383" s="322">
        <v>2</v>
      </c>
      <c r="E5383" s="321" t="s">
        <v>125</v>
      </c>
    </row>
    <row r="5384" spans="1:6">
      <c r="A5384" s="323">
        <v>46065</v>
      </c>
      <c r="B5384" s="325" t="s">
        <v>167</v>
      </c>
      <c r="C5384" s="322" t="s">
        <v>682</v>
      </c>
      <c r="D5384" s="322">
        <v>1</v>
      </c>
      <c r="E5384" s="321" t="s">
        <v>125</v>
      </c>
    </row>
    <row r="5385" spans="1:6">
      <c r="A5385" s="323">
        <v>46065</v>
      </c>
      <c r="B5385" s="325" t="s">
        <v>1318</v>
      </c>
      <c r="C5385" s="322" t="s">
        <v>682</v>
      </c>
      <c r="D5385" s="322">
        <v>1</v>
      </c>
      <c r="E5385" s="321" t="s">
        <v>125</v>
      </c>
    </row>
    <row r="5386" spans="1:6">
      <c r="A5386" s="323">
        <v>46065</v>
      </c>
      <c r="B5386" s="325" t="s">
        <v>1152</v>
      </c>
      <c r="C5386" s="322" t="s">
        <v>682</v>
      </c>
      <c r="D5386" s="322">
        <v>1</v>
      </c>
      <c r="E5386" s="321" t="s">
        <v>125</v>
      </c>
    </row>
    <row r="5387" spans="1:6">
      <c r="A5387" s="323">
        <v>46065</v>
      </c>
      <c r="B5387" s="325" t="s">
        <v>1717</v>
      </c>
      <c r="C5387" s="322" t="s">
        <v>682</v>
      </c>
      <c r="D5387" s="322">
        <v>1</v>
      </c>
      <c r="E5387" s="321" t="s">
        <v>125</v>
      </c>
    </row>
    <row r="5388" spans="1:6">
      <c r="A5388" s="323">
        <v>46065</v>
      </c>
      <c r="B5388" s="325" t="s">
        <v>154</v>
      </c>
      <c r="C5388" s="322" t="s">
        <v>682</v>
      </c>
      <c r="D5388" s="322">
        <v>4</v>
      </c>
      <c r="E5388" s="321" t="s">
        <v>125</v>
      </c>
    </row>
    <row r="5389" spans="1:6">
      <c r="A5389" s="323">
        <v>46065</v>
      </c>
      <c r="B5389" s="325" t="s">
        <v>3011</v>
      </c>
      <c r="C5389" s="322" t="s">
        <v>682</v>
      </c>
      <c r="D5389" s="322">
        <v>1</v>
      </c>
      <c r="E5389" s="321" t="s">
        <v>125</v>
      </c>
    </row>
    <row r="5391" spans="1:6">
      <c r="A5391" s="346">
        <v>46066</v>
      </c>
      <c r="B5391" s="349" t="s">
        <v>1246</v>
      </c>
      <c r="C5391" s="348" t="s">
        <v>2093</v>
      </c>
      <c r="D5391" s="348">
        <v>4</v>
      </c>
      <c r="E5391" s="360" t="s">
        <v>125</v>
      </c>
      <c r="F5391" t="s">
        <v>3021</v>
      </c>
    </row>
    <row r="5392" spans="1:6">
      <c r="A5392" s="346">
        <v>46066</v>
      </c>
      <c r="B5392" s="349" t="s">
        <v>1246</v>
      </c>
      <c r="C5392" s="348" t="s">
        <v>2093</v>
      </c>
      <c r="D5392" s="348">
        <v>2</v>
      </c>
      <c r="E5392" s="360" t="s">
        <v>125</v>
      </c>
    </row>
    <row r="5393" spans="1:5">
      <c r="A5393" s="346">
        <v>46066</v>
      </c>
      <c r="B5393" s="349" t="s">
        <v>1271</v>
      </c>
      <c r="C5393" s="348" t="s">
        <v>2093</v>
      </c>
      <c r="D5393" s="348">
        <v>1</v>
      </c>
      <c r="E5393" s="360" t="s">
        <v>125</v>
      </c>
    </row>
    <row r="5394" spans="1:5">
      <c r="A5394" s="346">
        <v>46066</v>
      </c>
      <c r="B5394" s="349" t="s">
        <v>1271</v>
      </c>
      <c r="C5394" s="348" t="s">
        <v>2093</v>
      </c>
      <c r="D5394" s="348">
        <v>1</v>
      </c>
      <c r="E5394" s="360" t="s">
        <v>125</v>
      </c>
    </row>
    <row r="5395" spans="1:5">
      <c r="A5395" s="346">
        <v>46066</v>
      </c>
      <c r="B5395" s="349" t="s">
        <v>1271</v>
      </c>
      <c r="C5395" s="348" t="s">
        <v>2093</v>
      </c>
      <c r="D5395" s="348">
        <v>1</v>
      </c>
      <c r="E5395" s="360" t="s">
        <v>125</v>
      </c>
    </row>
    <row r="5396" spans="1:5">
      <c r="A5396" s="346">
        <v>46066</v>
      </c>
      <c r="B5396" s="349" t="s">
        <v>1327</v>
      </c>
      <c r="C5396" s="348" t="s">
        <v>2093</v>
      </c>
      <c r="D5396" s="348">
        <v>5</v>
      </c>
      <c r="E5396" s="360" t="s">
        <v>125</v>
      </c>
    </row>
    <row r="5397" spans="1:5">
      <c r="A5397" s="346">
        <v>46066</v>
      </c>
      <c r="B5397" s="349" t="s">
        <v>1327</v>
      </c>
      <c r="C5397" s="348" t="s">
        <v>2093</v>
      </c>
      <c r="D5397" s="348">
        <v>1</v>
      </c>
      <c r="E5397" s="360" t="s">
        <v>125</v>
      </c>
    </row>
    <row r="5398" spans="1:5">
      <c r="A5398" s="346">
        <v>46066</v>
      </c>
      <c r="B5398" s="349" t="s">
        <v>1568</v>
      </c>
      <c r="C5398" s="348" t="s">
        <v>2093</v>
      </c>
      <c r="D5398" s="348">
        <v>3</v>
      </c>
      <c r="E5398" s="360" t="s">
        <v>125</v>
      </c>
    </row>
    <row r="5399" spans="1:5">
      <c r="A5399" s="346">
        <v>46066</v>
      </c>
      <c r="B5399" s="349" t="s">
        <v>1568</v>
      </c>
      <c r="C5399" s="348" t="s">
        <v>2093</v>
      </c>
      <c r="D5399" s="348">
        <v>1</v>
      </c>
      <c r="E5399" s="360" t="s">
        <v>125</v>
      </c>
    </row>
    <row r="5400" spans="1:5">
      <c r="A5400" s="346">
        <v>46066</v>
      </c>
      <c r="B5400" s="349" t="s">
        <v>1291</v>
      </c>
      <c r="C5400" s="348" t="s">
        <v>2093</v>
      </c>
      <c r="D5400" s="348">
        <v>1</v>
      </c>
      <c r="E5400" s="360" t="s">
        <v>125</v>
      </c>
    </row>
    <row r="5401" spans="1:5">
      <c r="A5401" s="346">
        <v>46066</v>
      </c>
      <c r="B5401" s="349" t="s">
        <v>1334</v>
      </c>
      <c r="C5401" s="348" t="s">
        <v>2093</v>
      </c>
      <c r="D5401" s="348">
        <v>1</v>
      </c>
      <c r="E5401" s="360" t="s">
        <v>125</v>
      </c>
    </row>
    <row r="5402" spans="1:5">
      <c r="A5402" s="346">
        <v>46066</v>
      </c>
      <c r="B5402" s="347" t="s">
        <v>1387</v>
      </c>
      <c r="C5402" s="348" t="s">
        <v>2093</v>
      </c>
      <c r="D5402" s="348">
        <v>1</v>
      </c>
      <c r="E5402" s="360" t="s">
        <v>125</v>
      </c>
    </row>
    <row r="5403" spans="1:5">
      <c r="A5403" s="346">
        <v>46066</v>
      </c>
      <c r="B5403" s="349" t="s">
        <v>1490</v>
      </c>
      <c r="C5403" s="348" t="s">
        <v>2093</v>
      </c>
      <c r="D5403" s="348">
        <v>1</v>
      </c>
      <c r="E5403" s="360" t="s">
        <v>125</v>
      </c>
    </row>
    <row r="5404" spans="1:5">
      <c r="A5404" s="346">
        <v>46066</v>
      </c>
      <c r="B5404" s="349" t="s">
        <v>1491</v>
      </c>
      <c r="C5404" s="348" t="s">
        <v>2093</v>
      </c>
      <c r="D5404" s="348">
        <v>1</v>
      </c>
      <c r="E5404" s="360" t="s">
        <v>125</v>
      </c>
    </row>
    <row r="5405" spans="1:5">
      <c r="A5405" s="346">
        <v>46066</v>
      </c>
      <c r="B5405" s="349" t="s">
        <v>3024</v>
      </c>
      <c r="C5405" s="348" t="s">
        <v>2093</v>
      </c>
      <c r="D5405" s="348">
        <v>1</v>
      </c>
      <c r="E5405" s="360" t="s">
        <v>125</v>
      </c>
    </row>
    <row r="5406" spans="1:5">
      <c r="A5406" s="346">
        <v>46066</v>
      </c>
      <c r="B5406" s="349" t="s">
        <v>1568</v>
      </c>
      <c r="C5406" s="348" t="s">
        <v>2093</v>
      </c>
      <c r="D5406" s="348">
        <v>2</v>
      </c>
      <c r="E5406" s="360" t="s">
        <v>125</v>
      </c>
    </row>
    <row r="5407" spans="1:5">
      <c r="A5407" s="265">
        <v>46066</v>
      </c>
      <c r="B5407" s="343" t="s">
        <v>1409</v>
      </c>
      <c r="C5407" s="43" t="s">
        <v>2929</v>
      </c>
      <c r="D5407" s="43">
        <v>-1</v>
      </c>
      <c r="E5407" s="230" t="s">
        <v>125</v>
      </c>
    </row>
    <row r="5408" spans="1:5">
      <c r="A5408" s="265">
        <v>46066</v>
      </c>
      <c r="B5408" s="343" t="s">
        <v>1246</v>
      </c>
      <c r="C5408" s="43" t="s">
        <v>2722</v>
      </c>
      <c r="D5408" s="43">
        <v>-1</v>
      </c>
      <c r="E5408" s="230" t="s">
        <v>125</v>
      </c>
    </row>
    <row r="5409" spans="1:5">
      <c r="A5409" s="265">
        <v>46066</v>
      </c>
      <c r="B5409" s="343" t="s">
        <v>1246</v>
      </c>
      <c r="C5409" s="43" t="s">
        <v>2722</v>
      </c>
      <c r="D5409" s="43">
        <v>-3</v>
      </c>
      <c r="E5409" s="230" t="s">
        <v>125</v>
      </c>
    </row>
    <row r="5410" spans="1:5">
      <c r="A5410" s="265">
        <v>46066</v>
      </c>
      <c r="B5410" s="92" t="s">
        <v>76</v>
      </c>
      <c r="C5410" s="43" t="s">
        <v>3003</v>
      </c>
      <c r="D5410" s="43">
        <v>-4</v>
      </c>
      <c r="E5410" s="230" t="s">
        <v>125</v>
      </c>
    </row>
    <row r="5411" spans="1:5">
      <c r="A5411" s="265">
        <v>46066</v>
      </c>
      <c r="B5411" s="92" t="s">
        <v>76</v>
      </c>
      <c r="C5411" s="43" t="s">
        <v>1603</v>
      </c>
      <c r="D5411" s="43">
        <v>-5</v>
      </c>
      <c r="E5411" s="230" t="s">
        <v>125</v>
      </c>
    </row>
    <row r="5412" spans="1:5">
      <c r="A5412" s="265">
        <v>46066</v>
      </c>
      <c r="B5412" s="92" t="s">
        <v>76</v>
      </c>
      <c r="C5412" s="43" t="s">
        <v>1814</v>
      </c>
      <c r="D5412" s="43">
        <v>-50</v>
      </c>
      <c r="E5412" s="230" t="s">
        <v>125</v>
      </c>
    </row>
    <row r="5413" spans="1:5">
      <c r="A5413" s="265">
        <v>46066</v>
      </c>
      <c r="B5413" s="93" t="s">
        <v>482</v>
      </c>
      <c r="C5413" s="43" t="s">
        <v>1656</v>
      </c>
      <c r="D5413" s="43">
        <v>-36</v>
      </c>
      <c r="E5413" s="230" t="s">
        <v>125</v>
      </c>
    </row>
    <row r="5414" spans="1:5">
      <c r="A5414" s="265">
        <v>46066</v>
      </c>
      <c r="B5414" s="93" t="s">
        <v>154</v>
      </c>
      <c r="C5414" s="43" t="s">
        <v>1656</v>
      </c>
      <c r="D5414" s="43">
        <v>-2</v>
      </c>
      <c r="E5414" s="230" t="s">
        <v>125</v>
      </c>
    </row>
    <row r="5415" spans="1:5">
      <c r="A5415" s="265">
        <v>46066</v>
      </c>
      <c r="B5415" s="342" t="s">
        <v>960</v>
      </c>
      <c r="C5415" s="43" t="s">
        <v>1656</v>
      </c>
      <c r="D5415" s="43">
        <v>-3</v>
      </c>
      <c r="E5415" s="230" t="s">
        <v>125</v>
      </c>
    </row>
    <row r="5416" spans="1:5">
      <c r="A5416" s="265">
        <v>46066</v>
      </c>
      <c r="B5416" s="84" t="s">
        <v>410</v>
      </c>
      <c r="C5416" s="43" t="s">
        <v>1656</v>
      </c>
      <c r="D5416" s="43">
        <v>-1</v>
      </c>
      <c r="E5416" s="230" t="s">
        <v>125</v>
      </c>
    </row>
    <row r="5417" spans="1:5">
      <c r="A5417" s="265">
        <v>46066</v>
      </c>
      <c r="B5417" s="84" t="s">
        <v>131</v>
      </c>
      <c r="C5417" s="43" t="s">
        <v>1656</v>
      </c>
      <c r="D5417" s="43">
        <v>-1</v>
      </c>
      <c r="E5417" s="230" t="s">
        <v>125</v>
      </c>
    </row>
    <row r="5418" spans="1:5">
      <c r="A5418" s="265">
        <v>46066</v>
      </c>
      <c r="B5418" s="93" t="s">
        <v>154</v>
      </c>
      <c r="C5418" s="43" t="s">
        <v>1656</v>
      </c>
      <c r="D5418" s="43">
        <v>-2</v>
      </c>
      <c r="E5418" s="230" t="s">
        <v>125</v>
      </c>
    </row>
    <row r="5419" spans="1:5">
      <c r="A5419" s="265">
        <v>46066</v>
      </c>
      <c r="B5419" s="343" t="s">
        <v>2358</v>
      </c>
      <c r="C5419" s="43" t="s">
        <v>1656</v>
      </c>
      <c r="D5419" s="43">
        <v>-2</v>
      </c>
      <c r="E5419" s="230" t="s">
        <v>125</v>
      </c>
    </row>
    <row r="5420" spans="1:5">
      <c r="A5420" s="265">
        <v>46066</v>
      </c>
      <c r="B5420" s="343" t="s">
        <v>2319</v>
      </c>
      <c r="C5420" s="43" t="s">
        <v>1656</v>
      </c>
      <c r="D5420" s="43">
        <v>-1</v>
      </c>
      <c r="E5420" s="230" t="s">
        <v>125</v>
      </c>
    </row>
    <row r="5421" spans="1:5">
      <c r="A5421" s="265">
        <v>46066</v>
      </c>
      <c r="B5421" s="343" t="s">
        <v>1410</v>
      </c>
      <c r="C5421" s="43" t="s">
        <v>1656</v>
      </c>
      <c r="D5421" s="43">
        <v>-6</v>
      </c>
      <c r="E5421" s="230" t="s">
        <v>125</v>
      </c>
    </row>
    <row r="5422" spans="1:5">
      <c r="A5422" s="265">
        <v>46066</v>
      </c>
      <c r="B5422" s="343" t="s">
        <v>2309</v>
      </c>
      <c r="C5422" s="43" t="s">
        <v>1656</v>
      </c>
      <c r="D5422" s="43">
        <v>-1</v>
      </c>
      <c r="E5422" s="230" t="s">
        <v>125</v>
      </c>
    </row>
    <row r="5423" spans="1:5">
      <c r="A5423" s="265">
        <v>46066</v>
      </c>
      <c r="B5423" s="343" t="s">
        <v>1312</v>
      </c>
      <c r="C5423" s="43" t="s">
        <v>1656</v>
      </c>
      <c r="D5423" s="43">
        <v>-3</v>
      </c>
      <c r="E5423" s="230" t="s">
        <v>125</v>
      </c>
    </row>
    <row r="5424" spans="1:5">
      <c r="A5424" s="265">
        <v>46066</v>
      </c>
      <c r="B5424" s="343" t="s">
        <v>1249</v>
      </c>
      <c r="C5424" s="345" t="s">
        <v>3025</v>
      </c>
      <c r="D5424" s="345">
        <v>-1</v>
      </c>
      <c r="E5424" s="230" t="s">
        <v>125</v>
      </c>
    </row>
    <row r="5425" spans="1:6">
      <c r="A5425" s="265">
        <v>46066</v>
      </c>
      <c r="B5425" s="343" t="s">
        <v>1246</v>
      </c>
      <c r="C5425" s="345" t="s">
        <v>3025</v>
      </c>
      <c r="D5425" s="345">
        <v>-2</v>
      </c>
      <c r="E5425" s="230" t="s">
        <v>125</v>
      </c>
    </row>
    <row r="5426" spans="1:6">
      <c r="A5426" s="265">
        <v>46066</v>
      </c>
      <c r="B5426" s="343" t="s">
        <v>1271</v>
      </c>
      <c r="C5426" s="345" t="s">
        <v>3025</v>
      </c>
      <c r="D5426" s="345">
        <v>-4</v>
      </c>
      <c r="E5426" s="230" t="s">
        <v>125</v>
      </c>
    </row>
    <row r="5427" spans="1:6">
      <c r="A5427" s="265">
        <v>46066</v>
      </c>
      <c r="B5427" s="343" t="s">
        <v>1246</v>
      </c>
      <c r="C5427" s="43" t="s">
        <v>678</v>
      </c>
      <c r="D5427" s="43">
        <v>-1</v>
      </c>
      <c r="E5427" s="230" t="s">
        <v>125</v>
      </c>
    </row>
    <row r="5429" spans="1:6">
      <c r="A5429" s="323">
        <v>46067</v>
      </c>
      <c r="B5429" s="325" t="s">
        <v>1246</v>
      </c>
      <c r="C5429" s="322" t="s">
        <v>682</v>
      </c>
      <c r="D5429" s="322">
        <v>17</v>
      </c>
      <c r="E5429" s="321" t="s">
        <v>125</v>
      </c>
      <c r="F5429" t="s">
        <v>3091</v>
      </c>
    </row>
    <row r="5430" spans="1:6">
      <c r="A5430" s="323">
        <v>46067</v>
      </c>
      <c r="B5430" s="325" t="s">
        <v>1246</v>
      </c>
      <c r="C5430" s="322" t="s">
        <v>682</v>
      </c>
      <c r="D5430" s="322">
        <v>5</v>
      </c>
      <c r="E5430" s="321" t="s">
        <v>125</v>
      </c>
    </row>
    <row r="5431" spans="1:6">
      <c r="A5431" s="323">
        <v>46067</v>
      </c>
      <c r="B5431" s="325" t="s">
        <v>1246</v>
      </c>
      <c r="C5431" s="322" t="s">
        <v>682</v>
      </c>
      <c r="D5431" s="322">
        <v>17</v>
      </c>
      <c r="E5431" s="321" t="s">
        <v>125</v>
      </c>
    </row>
    <row r="5432" spans="1:6">
      <c r="A5432" s="323">
        <v>46067</v>
      </c>
      <c r="B5432" s="325" t="s">
        <v>1246</v>
      </c>
      <c r="C5432" s="322" t="s">
        <v>682</v>
      </c>
      <c r="D5432" s="322">
        <v>2</v>
      </c>
      <c r="E5432" s="321" t="s">
        <v>125</v>
      </c>
    </row>
    <row r="5433" spans="1:6">
      <c r="A5433" s="323">
        <v>46067</v>
      </c>
      <c r="B5433" s="324" t="s">
        <v>2155</v>
      </c>
      <c r="C5433" s="322" t="s">
        <v>682</v>
      </c>
      <c r="D5433" s="322">
        <v>1</v>
      </c>
      <c r="E5433" s="321" t="s">
        <v>125</v>
      </c>
    </row>
    <row r="5434" spans="1:6">
      <c r="A5434" s="323">
        <v>46067</v>
      </c>
      <c r="B5434" s="325" t="s">
        <v>1246</v>
      </c>
      <c r="C5434" s="322" t="s">
        <v>682</v>
      </c>
      <c r="D5434" s="322">
        <v>2</v>
      </c>
      <c r="E5434" s="321" t="s">
        <v>125</v>
      </c>
    </row>
    <row r="5435" spans="1:6">
      <c r="A5435" s="323">
        <v>46067</v>
      </c>
      <c r="B5435" s="325" t="s">
        <v>1246</v>
      </c>
      <c r="C5435" s="322" t="s">
        <v>682</v>
      </c>
      <c r="D5435" s="322">
        <v>1</v>
      </c>
      <c r="E5435" s="321" t="s">
        <v>125</v>
      </c>
    </row>
    <row r="5436" spans="1:6">
      <c r="A5436" s="323">
        <v>46067</v>
      </c>
      <c r="B5436" s="325" t="s">
        <v>1246</v>
      </c>
      <c r="C5436" s="322" t="s">
        <v>682</v>
      </c>
      <c r="D5436" s="322">
        <v>3</v>
      </c>
      <c r="E5436" s="321" t="s">
        <v>125</v>
      </c>
    </row>
    <row r="5437" spans="1:6">
      <c r="A5437" s="323">
        <v>46067</v>
      </c>
      <c r="B5437" s="325" t="s">
        <v>1246</v>
      </c>
      <c r="C5437" s="322" t="s">
        <v>682</v>
      </c>
      <c r="D5437" s="322">
        <v>1</v>
      </c>
      <c r="E5437" s="321" t="s">
        <v>125</v>
      </c>
    </row>
    <row r="5438" spans="1:6">
      <c r="A5438" s="323">
        <v>46067</v>
      </c>
      <c r="B5438" s="325" t="s">
        <v>1271</v>
      </c>
      <c r="C5438" s="322" t="s">
        <v>682</v>
      </c>
      <c r="D5438" s="322">
        <v>8</v>
      </c>
      <c r="E5438" s="321" t="s">
        <v>125</v>
      </c>
    </row>
    <row r="5439" spans="1:6">
      <c r="A5439" s="323">
        <v>46067</v>
      </c>
      <c r="B5439" s="325" t="s">
        <v>1246</v>
      </c>
      <c r="C5439" s="322" t="s">
        <v>682</v>
      </c>
      <c r="D5439" s="322">
        <v>1</v>
      </c>
      <c r="E5439" s="321" t="s">
        <v>125</v>
      </c>
    </row>
    <row r="5440" spans="1:6">
      <c r="A5440" s="323">
        <v>46067</v>
      </c>
      <c r="B5440" s="325" t="s">
        <v>1271</v>
      </c>
      <c r="C5440" s="322" t="s">
        <v>682</v>
      </c>
      <c r="D5440" s="322">
        <v>3</v>
      </c>
      <c r="E5440" s="321" t="s">
        <v>125</v>
      </c>
    </row>
    <row r="5441" spans="1:5">
      <c r="A5441" s="323">
        <v>46067</v>
      </c>
      <c r="B5441" s="325" t="s">
        <v>1246</v>
      </c>
      <c r="C5441" s="322" t="s">
        <v>682</v>
      </c>
      <c r="D5441" s="322">
        <v>1</v>
      </c>
      <c r="E5441" s="321" t="s">
        <v>125</v>
      </c>
    </row>
    <row r="5442" spans="1:5">
      <c r="A5442" s="323">
        <v>46067</v>
      </c>
      <c r="B5442" s="324" t="s">
        <v>1994</v>
      </c>
      <c r="C5442" s="322" t="s">
        <v>682</v>
      </c>
      <c r="D5442" s="322">
        <v>1</v>
      </c>
      <c r="E5442" s="321" t="s">
        <v>125</v>
      </c>
    </row>
    <row r="5443" spans="1:5">
      <c r="A5443" s="323">
        <v>46067</v>
      </c>
      <c r="B5443" s="325" t="s">
        <v>1568</v>
      </c>
      <c r="C5443" s="322" t="s">
        <v>682</v>
      </c>
      <c r="D5443" s="322">
        <v>1</v>
      </c>
      <c r="E5443" s="321" t="s">
        <v>125</v>
      </c>
    </row>
    <row r="5444" spans="1:5">
      <c r="A5444" s="323">
        <v>46067</v>
      </c>
      <c r="B5444" s="325" t="s">
        <v>1246</v>
      </c>
      <c r="C5444" s="322" t="s">
        <v>682</v>
      </c>
      <c r="D5444" s="322">
        <v>5</v>
      </c>
      <c r="E5444" s="321" t="s">
        <v>125</v>
      </c>
    </row>
    <row r="5445" spans="1:5">
      <c r="A5445" s="323">
        <v>46067</v>
      </c>
      <c r="B5445" s="325" t="s">
        <v>2719</v>
      </c>
      <c r="C5445" s="322" t="s">
        <v>682</v>
      </c>
      <c r="D5445" s="322">
        <v>1</v>
      </c>
      <c r="E5445" s="321" t="s">
        <v>125</v>
      </c>
    </row>
    <row r="5446" spans="1:5">
      <c r="A5446" s="323">
        <v>46067</v>
      </c>
      <c r="B5446" s="325" t="s">
        <v>1301</v>
      </c>
      <c r="C5446" s="322" t="s">
        <v>682</v>
      </c>
      <c r="D5446" s="322">
        <v>1</v>
      </c>
      <c r="E5446" s="321" t="s">
        <v>125</v>
      </c>
    </row>
    <row r="5447" spans="1:5">
      <c r="A5447" s="323">
        <v>46067</v>
      </c>
      <c r="B5447" s="325" t="s">
        <v>1290</v>
      </c>
      <c r="C5447" s="322" t="s">
        <v>682</v>
      </c>
      <c r="D5447" s="322">
        <v>1</v>
      </c>
      <c r="E5447" s="321" t="s">
        <v>125</v>
      </c>
    </row>
    <row r="5448" spans="1:5">
      <c r="A5448" s="323">
        <v>46067</v>
      </c>
      <c r="B5448" s="325" t="s">
        <v>136</v>
      </c>
      <c r="C5448" s="322" t="s">
        <v>682</v>
      </c>
      <c r="D5448" s="322">
        <v>3</v>
      </c>
      <c r="E5448" s="321" t="s">
        <v>125</v>
      </c>
    </row>
    <row r="5449" spans="1:5">
      <c r="A5449" s="323">
        <v>46067</v>
      </c>
      <c r="B5449" s="325" t="s">
        <v>1312</v>
      </c>
      <c r="C5449" s="322" t="s">
        <v>682</v>
      </c>
      <c r="D5449" s="322">
        <v>1</v>
      </c>
      <c r="E5449" s="321" t="s">
        <v>125</v>
      </c>
    </row>
    <row r="5450" spans="1:5">
      <c r="A5450" s="323">
        <v>46067</v>
      </c>
      <c r="B5450" s="325" t="s">
        <v>1409</v>
      </c>
      <c r="C5450" s="322" t="s">
        <v>682</v>
      </c>
      <c r="D5450" s="322">
        <v>4</v>
      </c>
      <c r="E5450" s="321" t="s">
        <v>125</v>
      </c>
    </row>
    <row r="5451" spans="1:5">
      <c r="A5451" s="323">
        <v>46067</v>
      </c>
      <c r="B5451" s="325" t="s">
        <v>1246</v>
      </c>
      <c r="C5451" s="322" t="s">
        <v>682</v>
      </c>
      <c r="D5451" s="322">
        <v>4</v>
      </c>
      <c r="E5451" s="321" t="s">
        <v>125</v>
      </c>
    </row>
    <row r="5452" spans="1:5">
      <c r="A5452" s="323">
        <v>46067</v>
      </c>
      <c r="B5452" s="325" t="s">
        <v>1327</v>
      </c>
      <c r="C5452" s="322" t="s">
        <v>682</v>
      </c>
      <c r="D5452" s="322">
        <v>2</v>
      </c>
      <c r="E5452" s="321" t="s">
        <v>125</v>
      </c>
    </row>
    <row r="5453" spans="1:5">
      <c r="A5453" s="323">
        <v>46067</v>
      </c>
      <c r="B5453" s="325" t="s">
        <v>1408</v>
      </c>
      <c r="C5453" s="322" t="s">
        <v>682</v>
      </c>
      <c r="D5453" s="322">
        <v>1</v>
      </c>
      <c r="E5453" s="321" t="s">
        <v>125</v>
      </c>
    </row>
    <row r="5454" spans="1:5">
      <c r="A5454" s="323">
        <v>46067</v>
      </c>
      <c r="B5454" s="325" t="s">
        <v>1291</v>
      </c>
      <c r="C5454" s="322" t="s">
        <v>682</v>
      </c>
      <c r="D5454" s="322">
        <v>2</v>
      </c>
      <c r="E5454" s="321" t="s">
        <v>125</v>
      </c>
    </row>
    <row r="5455" spans="1:5">
      <c r="A5455" s="323">
        <v>46067</v>
      </c>
      <c r="B5455" s="325" t="s">
        <v>1334</v>
      </c>
      <c r="C5455" s="322" t="s">
        <v>682</v>
      </c>
      <c r="D5455" s="322">
        <v>1</v>
      </c>
      <c r="E5455" s="321" t="s">
        <v>125</v>
      </c>
    </row>
    <row r="5456" spans="1:5">
      <c r="A5456" s="323">
        <v>46067</v>
      </c>
      <c r="B5456" s="324" t="s">
        <v>1387</v>
      </c>
      <c r="C5456" s="322" t="s">
        <v>682</v>
      </c>
      <c r="D5456" s="322">
        <v>2</v>
      </c>
      <c r="E5456" s="321" t="s">
        <v>125</v>
      </c>
    </row>
    <row r="5457" spans="1:5">
      <c r="A5457" s="323">
        <v>46067</v>
      </c>
      <c r="B5457" s="325" t="s">
        <v>3090</v>
      </c>
      <c r="C5457" s="322" t="s">
        <v>682</v>
      </c>
      <c r="D5457" s="322">
        <v>2</v>
      </c>
      <c r="E5457" s="321" t="s">
        <v>125</v>
      </c>
    </row>
    <row r="5459" spans="1:5">
      <c r="A5459" s="265">
        <v>46067</v>
      </c>
      <c r="B5459" s="92" t="s">
        <v>76</v>
      </c>
      <c r="C5459" s="43" t="s">
        <v>1603</v>
      </c>
      <c r="D5459" s="43">
        <v>-10</v>
      </c>
      <c r="E5459" s="230" t="s">
        <v>125</v>
      </c>
    </row>
    <row r="5460" spans="1:5">
      <c r="A5460" s="265">
        <v>46067</v>
      </c>
      <c r="B5460" s="92" t="s">
        <v>76</v>
      </c>
      <c r="C5460" s="43" t="s">
        <v>3092</v>
      </c>
      <c r="D5460" s="43">
        <v>-10</v>
      </c>
      <c r="E5460" s="230" t="s">
        <v>125</v>
      </c>
    </row>
    <row r="5461" spans="1:5">
      <c r="A5461" s="265">
        <v>46067</v>
      </c>
      <c r="B5461" s="92" t="s">
        <v>76</v>
      </c>
      <c r="C5461" s="43" t="s">
        <v>1814</v>
      </c>
      <c r="D5461" s="43">
        <v>-10</v>
      </c>
      <c r="E5461" s="230" t="s">
        <v>125</v>
      </c>
    </row>
    <row r="5462" spans="1:5">
      <c r="A5462" s="265">
        <v>46067</v>
      </c>
      <c r="B5462" s="92" t="s">
        <v>642</v>
      </c>
      <c r="C5462" s="43" t="s">
        <v>1615</v>
      </c>
      <c r="D5462" s="43">
        <v>-3</v>
      </c>
      <c r="E5462" s="230" t="s">
        <v>125</v>
      </c>
    </row>
    <row r="5463" spans="1:5">
      <c r="A5463" s="265">
        <v>46067</v>
      </c>
      <c r="B5463" s="92" t="s">
        <v>642</v>
      </c>
      <c r="C5463" s="43" t="s">
        <v>1615</v>
      </c>
      <c r="D5463" s="43">
        <v>-1</v>
      </c>
      <c r="E5463" s="230" t="s">
        <v>125</v>
      </c>
    </row>
    <row r="5464" spans="1:5">
      <c r="A5464" s="265">
        <v>46067</v>
      </c>
      <c r="B5464" s="92" t="s">
        <v>76</v>
      </c>
      <c r="C5464" s="43" t="s">
        <v>3092</v>
      </c>
      <c r="D5464" s="43">
        <v>-20</v>
      </c>
      <c r="E5464" s="230" t="s">
        <v>125</v>
      </c>
    </row>
    <row r="5465" spans="1:5">
      <c r="A5465" s="265">
        <v>46067</v>
      </c>
      <c r="B5465" s="93" t="s">
        <v>169</v>
      </c>
      <c r="C5465" s="43" t="s">
        <v>2723</v>
      </c>
      <c r="D5465" s="43">
        <v>-2</v>
      </c>
      <c r="E5465" s="230" t="s">
        <v>125</v>
      </c>
    </row>
    <row r="5466" spans="1:5">
      <c r="A5466" s="265">
        <v>46067</v>
      </c>
      <c r="B5466" s="84" t="s">
        <v>134</v>
      </c>
      <c r="C5466" s="43" t="s">
        <v>2723</v>
      </c>
      <c r="D5466" s="43">
        <v>-1</v>
      </c>
      <c r="E5466" s="230" t="s">
        <v>125</v>
      </c>
    </row>
    <row r="5467" spans="1:5">
      <c r="A5467" s="265">
        <v>46067</v>
      </c>
      <c r="B5467" s="343" t="s">
        <v>1246</v>
      </c>
      <c r="C5467" s="43" t="s">
        <v>3094</v>
      </c>
      <c r="D5467" s="43">
        <v>-3</v>
      </c>
      <c r="E5467" s="230" t="s">
        <v>125</v>
      </c>
    </row>
    <row r="5468" spans="1:5">
      <c r="A5468" s="265">
        <v>46069</v>
      </c>
      <c r="B5468" s="343" t="s">
        <v>1409</v>
      </c>
      <c r="C5468" s="43" t="s">
        <v>2929</v>
      </c>
      <c r="D5468" s="43">
        <v>-1</v>
      </c>
      <c r="E5468" s="230" t="s">
        <v>125</v>
      </c>
    </row>
    <row r="5469" spans="1:5">
      <c r="A5469" s="265">
        <v>46069</v>
      </c>
      <c r="B5469" s="93" t="s">
        <v>121</v>
      </c>
      <c r="C5469" s="43" t="s">
        <v>3093</v>
      </c>
      <c r="D5469" s="43">
        <v>-1</v>
      </c>
      <c r="E5469" s="230" t="s">
        <v>125</v>
      </c>
    </row>
    <row r="5470" spans="1:5">
      <c r="A5470" s="265">
        <v>46069</v>
      </c>
      <c r="B5470" s="93" t="s">
        <v>806</v>
      </c>
      <c r="C5470" s="43" t="s">
        <v>1595</v>
      </c>
      <c r="D5470" s="43">
        <v>-3</v>
      </c>
      <c r="E5470" s="230" t="s">
        <v>125</v>
      </c>
    </row>
    <row r="5471" spans="1:5">
      <c r="A5471" s="265">
        <v>46069</v>
      </c>
      <c r="B5471" s="92" t="s">
        <v>76</v>
      </c>
      <c r="C5471" s="43" t="s">
        <v>2595</v>
      </c>
      <c r="D5471" s="43">
        <v>-50</v>
      </c>
      <c r="E5471" s="230" t="s">
        <v>125</v>
      </c>
    </row>
    <row r="5472" spans="1:5">
      <c r="A5472" s="265">
        <v>46069</v>
      </c>
      <c r="B5472" s="343" t="s">
        <v>1246</v>
      </c>
      <c r="C5472" s="43" t="s">
        <v>2647</v>
      </c>
      <c r="D5472" s="43">
        <v>-4</v>
      </c>
      <c r="E5472" s="230" t="s">
        <v>125</v>
      </c>
    </row>
    <row r="5474" spans="1:6">
      <c r="A5474" s="346">
        <v>46069</v>
      </c>
      <c r="B5474" s="349" t="s">
        <v>1246</v>
      </c>
      <c r="C5474" s="348" t="s">
        <v>2093</v>
      </c>
      <c r="D5474" s="348">
        <v>4</v>
      </c>
      <c r="E5474" s="360" t="s">
        <v>125</v>
      </c>
      <c r="F5474" t="s">
        <v>3102</v>
      </c>
    </row>
    <row r="5475" spans="1:6">
      <c r="A5475" s="346">
        <v>46069</v>
      </c>
      <c r="B5475" s="349" t="s">
        <v>1097</v>
      </c>
      <c r="C5475" s="348" t="s">
        <v>2093</v>
      </c>
      <c r="D5475" s="348">
        <v>1</v>
      </c>
      <c r="E5475" s="360" t="s">
        <v>125</v>
      </c>
    </row>
    <row r="5476" spans="1:6">
      <c r="A5476" s="346">
        <v>46069</v>
      </c>
      <c r="B5476" s="349" t="s">
        <v>1249</v>
      </c>
      <c r="C5476" s="348" t="s">
        <v>2093</v>
      </c>
      <c r="D5476" s="348">
        <v>2</v>
      </c>
      <c r="E5476" s="360" t="s">
        <v>125</v>
      </c>
    </row>
    <row r="5477" spans="1:6">
      <c r="A5477" s="346">
        <v>46069</v>
      </c>
      <c r="B5477" s="349" t="s">
        <v>1246</v>
      </c>
      <c r="C5477" s="348" t="s">
        <v>2093</v>
      </c>
      <c r="D5477" s="348">
        <v>1</v>
      </c>
      <c r="E5477" s="360" t="s">
        <v>125</v>
      </c>
    </row>
    <row r="5478" spans="1:6">
      <c r="A5478" s="346">
        <v>46069</v>
      </c>
      <c r="B5478" s="349" t="s">
        <v>1291</v>
      </c>
      <c r="C5478" s="348" t="s">
        <v>2093</v>
      </c>
      <c r="D5478" s="348">
        <v>12</v>
      </c>
      <c r="E5478" s="360" t="s">
        <v>125</v>
      </c>
    </row>
    <row r="5479" spans="1:6">
      <c r="A5479" s="346">
        <v>46069</v>
      </c>
      <c r="B5479" s="349" t="s">
        <v>1291</v>
      </c>
      <c r="C5479" s="348" t="s">
        <v>2093</v>
      </c>
      <c r="D5479" s="348">
        <v>1</v>
      </c>
      <c r="E5479" s="360" t="s">
        <v>125</v>
      </c>
    </row>
    <row r="5480" spans="1:6">
      <c r="A5480" s="346">
        <v>46069</v>
      </c>
      <c r="B5480" s="349" t="s">
        <v>1271</v>
      </c>
      <c r="C5480" s="348" t="s">
        <v>2093</v>
      </c>
      <c r="D5480" s="348">
        <v>4</v>
      </c>
      <c r="E5480" s="360" t="s">
        <v>125</v>
      </c>
    </row>
    <row r="5481" spans="1:6">
      <c r="A5481" s="346">
        <v>46069</v>
      </c>
      <c r="B5481" s="349" t="s">
        <v>1271</v>
      </c>
      <c r="C5481" s="348" t="s">
        <v>2093</v>
      </c>
      <c r="D5481" s="348">
        <v>1</v>
      </c>
      <c r="E5481" s="360" t="s">
        <v>125</v>
      </c>
    </row>
    <row r="5482" spans="1:6">
      <c r="A5482" s="346">
        <v>46069</v>
      </c>
      <c r="B5482" s="349" t="s">
        <v>1152</v>
      </c>
      <c r="C5482" s="348" t="s">
        <v>2093</v>
      </c>
      <c r="D5482" s="348">
        <v>1</v>
      </c>
      <c r="E5482" s="360" t="s">
        <v>125</v>
      </c>
    </row>
    <row r="5483" spans="1:6">
      <c r="A5483" s="346">
        <v>46069</v>
      </c>
      <c r="B5483" s="349" t="s">
        <v>935</v>
      </c>
      <c r="C5483" s="348" t="s">
        <v>2093</v>
      </c>
      <c r="D5483" s="348">
        <v>2</v>
      </c>
      <c r="E5483" s="360" t="s">
        <v>125</v>
      </c>
    </row>
    <row r="5484" spans="1:6">
      <c r="A5484" s="346">
        <v>46069</v>
      </c>
      <c r="B5484" s="349" t="s">
        <v>1327</v>
      </c>
      <c r="C5484" s="348" t="s">
        <v>2093</v>
      </c>
      <c r="D5484" s="348">
        <v>2</v>
      </c>
      <c r="E5484" s="360" t="s">
        <v>125</v>
      </c>
    </row>
    <row r="5485" spans="1:6">
      <c r="A5485" s="346">
        <v>46069</v>
      </c>
      <c r="B5485" s="349" t="s">
        <v>1326</v>
      </c>
      <c r="C5485" s="348" t="s">
        <v>2093</v>
      </c>
      <c r="D5485" s="348">
        <v>1</v>
      </c>
      <c r="E5485" s="360" t="s">
        <v>125</v>
      </c>
    </row>
    <row r="5486" spans="1:6">
      <c r="A5486" s="346">
        <v>46069</v>
      </c>
      <c r="B5486" s="351" t="s">
        <v>932</v>
      </c>
      <c r="C5486" s="348" t="s">
        <v>2093</v>
      </c>
      <c r="D5486" s="348">
        <v>7</v>
      </c>
      <c r="E5486" s="360" t="s">
        <v>125</v>
      </c>
    </row>
    <row r="5487" spans="1:6">
      <c r="A5487" s="346">
        <v>46069</v>
      </c>
      <c r="B5487" s="349" t="s">
        <v>1490</v>
      </c>
      <c r="C5487" s="348" t="s">
        <v>2093</v>
      </c>
      <c r="D5487" s="348">
        <v>1</v>
      </c>
      <c r="E5487" s="360" t="s">
        <v>125</v>
      </c>
    </row>
    <row r="5488" spans="1:6">
      <c r="A5488" s="346">
        <v>46069</v>
      </c>
      <c r="B5488" s="349" t="s">
        <v>1568</v>
      </c>
      <c r="C5488" s="348" t="s">
        <v>2093</v>
      </c>
      <c r="D5488" s="348">
        <v>1</v>
      </c>
      <c r="E5488" s="360" t="s">
        <v>125</v>
      </c>
    </row>
    <row r="5489" spans="1:6">
      <c r="A5489" s="346">
        <v>46069</v>
      </c>
      <c r="B5489" s="349" t="s">
        <v>1568</v>
      </c>
      <c r="C5489" s="348" t="s">
        <v>2093</v>
      </c>
      <c r="D5489" s="348">
        <v>1</v>
      </c>
      <c r="E5489" s="360" t="s">
        <v>125</v>
      </c>
    </row>
    <row r="5491" spans="1:6">
      <c r="A5491" s="265">
        <v>46069</v>
      </c>
      <c r="B5491" s="343" t="s">
        <v>1532</v>
      </c>
      <c r="C5491" s="43" t="s">
        <v>3103</v>
      </c>
      <c r="D5491" s="43">
        <v>-1</v>
      </c>
      <c r="E5491" s="230" t="s">
        <v>125</v>
      </c>
    </row>
    <row r="5492" spans="1:6">
      <c r="A5492" s="265">
        <v>46069</v>
      </c>
      <c r="B5492" s="343" t="s">
        <v>1327</v>
      </c>
      <c r="C5492" s="43" t="s">
        <v>3103</v>
      </c>
      <c r="D5492" s="43">
        <v>-1</v>
      </c>
      <c r="E5492" s="230" t="s">
        <v>125</v>
      </c>
    </row>
    <row r="5493" spans="1:6">
      <c r="A5493" s="265">
        <v>46069</v>
      </c>
      <c r="B5493" s="343" t="s">
        <v>1246</v>
      </c>
      <c r="C5493" s="43" t="s">
        <v>2929</v>
      </c>
      <c r="D5493" s="43">
        <v>-1</v>
      </c>
      <c r="E5493" s="230" t="s">
        <v>125</v>
      </c>
      <c r="F5493" s="78">
        <v>46071</v>
      </c>
    </row>
    <row r="5494" spans="1:6">
      <c r="A5494" s="265">
        <v>46069</v>
      </c>
      <c r="B5494" s="343" t="s">
        <v>1246</v>
      </c>
      <c r="C5494" s="43" t="s">
        <v>2571</v>
      </c>
      <c r="D5494" s="43">
        <v>-1</v>
      </c>
      <c r="E5494" s="230" t="s">
        <v>125</v>
      </c>
    </row>
    <row r="5495" spans="1:6">
      <c r="A5495" s="265">
        <v>46069</v>
      </c>
      <c r="B5495" s="92" t="s">
        <v>76</v>
      </c>
      <c r="C5495" s="43" t="s">
        <v>1603</v>
      </c>
      <c r="D5495" s="43">
        <v>-15</v>
      </c>
      <c r="E5495" s="230" t="s">
        <v>125</v>
      </c>
    </row>
    <row r="5496" spans="1:6">
      <c r="A5496" s="265">
        <v>46069</v>
      </c>
      <c r="B5496" s="343" t="s">
        <v>1290</v>
      </c>
      <c r="C5496" s="43" t="s">
        <v>2724</v>
      </c>
      <c r="D5496" s="43">
        <v>-1</v>
      </c>
      <c r="E5496" s="230" t="s">
        <v>125</v>
      </c>
    </row>
    <row r="5497" spans="1:6">
      <c r="A5497" s="265">
        <v>46069</v>
      </c>
      <c r="B5497" s="343" t="s">
        <v>1246</v>
      </c>
      <c r="C5497" s="43" t="s">
        <v>2724</v>
      </c>
      <c r="D5497" s="43">
        <v>-5</v>
      </c>
      <c r="E5497" s="230" t="s">
        <v>125</v>
      </c>
    </row>
    <row r="5499" spans="1:6">
      <c r="A5499" s="265">
        <v>46070</v>
      </c>
      <c r="B5499" s="92" t="s">
        <v>76</v>
      </c>
      <c r="C5499" s="43" t="s">
        <v>1603</v>
      </c>
      <c r="D5499" s="43">
        <v>-15</v>
      </c>
      <c r="E5499" s="230" t="s">
        <v>125</v>
      </c>
    </row>
    <row r="5500" spans="1:6">
      <c r="A5500" s="265">
        <v>46070</v>
      </c>
      <c r="B5500" s="92" t="s">
        <v>76</v>
      </c>
      <c r="C5500" s="43" t="s">
        <v>1814</v>
      </c>
      <c r="D5500" s="43">
        <v>-60</v>
      </c>
      <c r="E5500" s="230" t="s">
        <v>125</v>
      </c>
    </row>
    <row r="5501" spans="1:6">
      <c r="A5501" s="265">
        <v>46070</v>
      </c>
      <c r="B5501" s="92" t="s">
        <v>76</v>
      </c>
      <c r="C5501" s="43" t="s">
        <v>1603</v>
      </c>
      <c r="D5501" s="43">
        <v>-15</v>
      </c>
      <c r="E5501" s="230" t="s">
        <v>125</v>
      </c>
    </row>
    <row r="5502" spans="1:6">
      <c r="A5502" s="265">
        <v>46070</v>
      </c>
      <c r="B5502" s="343" t="s">
        <v>1246</v>
      </c>
      <c r="C5502" s="43" t="s">
        <v>2930</v>
      </c>
      <c r="D5502" s="43">
        <v>-10</v>
      </c>
      <c r="E5502" s="230" t="s">
        <v>125</v>
      </c>
    </row>
    <row r="5503" spans="1:6">
      <c r="A5503" s="265">
        <v>46070</v>
      </c>
      <c r="B5503" s="343" t="s">
        <v>1291</v>
      </c>
      <c r="C5503" s="43" t="s">
        <v>2724</v>
      </c>
      <c r="D5503" s="43">
        <v>-3</v>
      </c>
      <c r="E5503" s="230" t="s">
        <v>125</v>
      </c>
    </row>
    <row r="5504" spans="1:6">
      <c r="A5504" s="265">
        <v>46070</v>
      </c>
      <c r="B5504" s="343" t="s">
        <v>1291</v>
      </c>
      <c r="C5504" s="43" t="s">
        <v>2724</v>
      </c>
      <c r="D5504" s="43">
        <v>-8</v>
      </c>
      <c r="E5504" s="230" t="s">
        <v>125</v>
      </c>
    </row>
    <row r="5505" spans="1:5">
      <c r="A5505" s="265">
        <v>46070</v>
      </c>
      <c r="B5505" s="93" t="s">
        <v>1490</v>
      </c>
      <c r="C5505" s="43" t="s">
        <v>2724</v>
      </c>
      <c r="D5505" s="43">
        <v>-1</v>
      </c>
      <c r="E5505" s="230" t="s">
        <v>125</v>
      </c>
    </row>
    <row r="5506" spans="1:5">
      <c r="A5506" s="265">
        <v>46070</v>
      </c>
      <c r="B5506" s="93" t="s">
        <v>865</v>
      </c>
      <c r="C5506" s="43" t="s">
        <v>1595</v>
      </c>
      <c r="D5506" s="43">
        <v>-1</v>
      </c>
      <c r="E5506" s="230" t="s">
        <v>125</v>
      </c>
    </row>
    <row r="5507" spans="1:5">
      <c r="A5507" s="265">
        <v>46070</v>
      </c>
      <c r="B5507" s="343" t="s">
        <v>1246</v>
      </c>
      <c r="C5507" s="43" t="s">
        <v>2930</v>
      </c>
      <c r="D5507" s="43">
        <v>-5</v>
      </c>
      <c r="E5507" s="230" t="s">
        <v>125</v>
      </c>
    </row>
    <row r="5508" spans="1:5">
      <c r="A5508" s="265">
        <v>46070</v>
      </c>
      <c r="B5508" s="92" t="s">
        <v>76</v>
      </c>
      <c r="C5508" s="43" t="s">
        <v>1814</v>
      </c>
      <c r="D5508" s="43">
        <v>-20</v>
      </c>
      <c r="E5508" s="230" t="s">
        <v>125</v>
      </c>
    </row>
    <row r="5509" spans="1:5">
      <c r="A5509" s="265">
        <v>46070</v>
      </c>
      <c r="B5509" s="343" t="s">
        <v>1246</v>
      </c>
      <c r="C5509" s="43" t="s">
        <v>2930</v>
      </c>
      <c r="D5509" s="43">
        <v>-2</v>
      </c>
      <c r="E5509" s="230" t="s">
        <v>125</v>
      </c>
    </row>
    <row r="5510" spans="1:5">
      <c r="A5510" s="265">
        <v>46070</v>
      </c>
      <c r="B5510" s="343" t="s">
        <v>1246</v>
      </c>
      <c r="C5510" s="43" t="s">
        <v>2930</v>
      </c>
      <c r="D5510" s="43">
        <v>-8</v>
      </c>
      <c r="E5510" s="230" t="s">
        <v>125</v>
      </c>
    </row>
    <row r="5511" spans="1:5">
      <c r="A5511" s="265">
        <v>46070</v>
      </c>
      <c r="B5511" s="343" t="s">
        <v>1246</v>
      </c>
      <c r="C5511" s="43" t="s">
        <v>2930</v>
      </c>
      <c r="D5511" s="43">
        <v>-26</v>
      </c>
      <c r="E5511" s="230" t="s">
        <v>125</v>
      </c>
    </row>
    <row r="5512" spans="1:5">
      <c r="A5512" s="265">
        <v>46070</v>
      </c>
      <c r="B5512" s="343" t="s">
        <v>1246</v>
      </c>
      <c r="C5512" s="43" t="s">
        <v>2113</v>
      </c>
      <c r="D5512" s="43">
        <v>-2</v>
      </c>
      <c r="E5512" s="230" t="s">
        <v>125</v>
      </c>
    </row>
    <row r="5513" spans="1:5">
      <c r="A5513" s="265">
        <v>46070</v>
      </c>
      <c r="B5513" s="343" t="s">
        <v>1327</v>
      </c>
      <c r="C5513" s="43" t="s">
        <v>2113</v>
      </c>
      <c r="D5513" s="43">
        <v>-1</v>
      </c>
      <c r="E5513" s="230" t="s">
        <v>125</v>
      </c>
    </row>
    <row r="5514" spans="1:5">
      <c r="A5514" s="265">
        <v>46070</v>
      </c>
      <c r="B5514" s="343" t="s">
        <v>1246</v>
      </c>
      <c r="C5514" s="43" t="s">
        <v>3005</v>
      </c>
      <c r="D5514" s="43">
        <v>-4</v>
      </c>
      <c r="E5514" s="230" t="s">
        <v>125</v>
      </c>
    </row>
    <row r="5516" spans="1:5">
      <c r="A5516" s="265">
        <v>46071</v>
      </c>
      <c r="B5516" s="92" t="s">
        <v>76</v>
      </c>
      <c r="C5516" s="43" t="s">
        <v>1814</v>
      </c>
      <c r="D5516" s="43">
        <v>-25</v>
      </c>
      <c r="E5516" s="230" t="s">
        <v>125</v>
      </c>
    </row>
    <row r="5517" spans="1:5">
      <c r="A5517" s="265">
        <v>46071</v>
      </c>
      <c r="B5517" s="93" t="s">
        <v>865</v>
      </c>
      <c r="C5517" s="43" t="s">
        <v>1595</v>
      </c>
      <c r="D5517" s="43">
        <v>-1</v>
      </c>
      <c r="E5517" s="230" t="s">
        <v>125</v>
      </c>
    </row>
    <row r="5518" spans="1:5">
      <c r="A5518" s="265">
        <v>46071</v>
      </c>
      <c r="B5518" s="343" t="s">
        <v>1271</v>
      </c>
      <c r="C5518" s="345" t="s">
        <v>2930</v>
      </c>
      <c r="D5518" s="345">
        <v>-1</v>
      </c>
      <c r="E5518" s="230" t="s">
        <v>125</v>
      </c>
    </row>
    <row r="5519" spans="1:5">
      <c r="A5519" s="265">
        <v>46071</v>
      </c>
      <c r="B5519" s="343" t="s">
        <v>1271</v>
      </c>
      <c r="C5519" s="43" t="s">
        <v>3103</v>
      </c>
      <c r="D5519" s="43">
        <v>-1</v>
      </c>
      <c r="E5519" s="230" t="s">
        <v>125</v>
      </c>
    </row>
    <row r="5520" spans="1:5">
      <c r="A5520" s="265">
        <v>46071</v>
      </c>
      <c r="B5520" s="343" t="s">
        <v>1271</v>
      </c>
      <c r="C5520" s="43" t="s">
        <v>3103</v>
      </c>
      <c r="D5520" s="43">
        <v>-1</v>
      </c>
      <c r="E5520" s="230" t="s">
        <v>125</v>
      </c>
    </row>
    <row r="5521" spans="1:6">
      <c r="A5521" s="265">
        <v>46071</v>
      </c>
      <c r="B5521" s="343" t="s">
        <v>1246</v>
      </c>
      <c r="C5521" s="43" t="s">
        <v>143</v>
      </c>
      <c r="D5521" s="43">
        <v>0</v>
      </c>
      <c r="E5521" s="230" t="s">
        <v>125</v>
      </c>
      <c r="F5521" s="78">
        <v>46072</v>
      </c>
    </row>
    <row r="5522" spans="1:6">
      <c r="A5522" s="265">
        <v>46071</v>
      </c>
      <c r="B5522" s="343" t="s">
        <v>1246</v>
      </c>
      <c r="C5522" s="43" t="s">
        <v>143</v>
      </c>
      <c r="D5522" s="43">
        <v>0</v>
      </c>
      <c r="E5522" s="230" t="s">
        <v>125</v>
      </c>
      <c r="F5522" s="78">
        <v>46072</v>
      </c>
    </row>
    <row r="5523" spans="1:6">
      <c r="A5523" s="265">
        <v>46071</v>
      </c>
      <c r="B5523" s="343" t="s">
        <v>1246</v>
      </c>
      <c r="C5523" s="43" t="s">
        <v>143</v>
      </c>
      <c r="D5523" s="43">
        <v>0</v>
      </c>
      <c r="E5523" s="230" t="s">
        <v>125</v>
      </c>
      <c r="F5523" s="78">
        <v>46072</v>
      </c>
    </row>
    <row r="5524" spans="1:6">
      <c r="A5524" s="265">
        <v>46071</v>
      </c>
      <c r="B5524" s="92" t="s">
        <v>882</v>
      </c>
      <c r="C5524" s="43" t="s">
        <v>1613</v>
      </c>
      <c r="D5524" s="43">
        <v>-1</v>
      </c>
      <c r="E5524" s="230" t="s">
        <v>125</v>
      </c>
    </row>
    <row r="5525" spans="1:6">
      <c r="A5525" s="265">
        <v>46071</v>
      </c>
      <c r="B5525" s="92" t="s">
        <v>76</v>
      </c>
      <c r="C5525" s="43" t="s">
        <v>1603</v>
      </c>
      <c r="D5525" s="43">
        <v>-15</v>
      </c>
      <c r="E5525" s="230" t="s">
        <v>125</v>
      </c>
    </row>
    <row r="5526" spans="1:6">
      <c r="A5526" s="265">
        <v>46071</v>
      </c>
      <c r="B5526" s="343" t="s">
        <v>1246</v>
      </c>
      <c r="C5526" s="43" t="s">
        <v>3104</v>
      </c>
      <c r="D5526" s="43">
        <v>-6</v>
      </c>
      <c r="E5526" s="230" t="s">
        <v>125</v>
      </c>
    </row>
    <row r="5527" spans="1:6">
      <c r="A5527" s="265">
        <v>46071</v>
      </c>
      <c r="B5527" s="343" t="s">
        <v>1246</v>
      </c>
      <c r="C5527" s="43" t="s">
        <v>3104</v>
      </c>
      <c r="D5527" s="43">
        <v>-16</v>
      </c>
      <c r="E5527" s="230" t="s">
        <v>125</v>
      </c>
    </row>
    <row r="5528" spans="1:6">
      <c r="A5528" s="265">
        <v>46071</v>
      </c>
      <c r="B5528" s="343" t="s">
        <v>1246</v>
      </c>
      <c r="C5528" s="43" t="s">
        <v>3104</v>
      </c>
      <c r="D5528" s="43">
        <v>-3</v>
      </c>
      <c r="E5528" s="230" t="s">
        <v>125</v>
      </c>
    </row>
    <row r="5529" spans="1:6">
      <c r="A5529" s="265">
        <v>46071</v>
      </c>
      <c r="B5529" s="92" t="s">
        <v>78</v>
      </c>
      <c r="C5529" s="43" t="s">
        <v>1814</v>
      </c>
      <c r="D5529" s="43">
        <v>-10</v>
      </c>
      <c r="E5529" s="230" t="s">
        <v>125</v>
      </c>
    </row>
    <row r="5530" spans="1:6">
      <c r="A5530" s="265">
        <v>46071</v>
      </c>
      <c r="B5530" s="343" t="s">
        <v>1271</v>
      </c>
      <c r="C5530" s="345" t="s">
        <v>2930</v>
      </c>
      <c r="D5530" s="43">
        <v>-1</v>
      </c>
      <c r="E5530" s="230" t="s">
        <v>125</v>
      </c>
    </row>
    <row r="5532" spans="1:6">
      <c r="A5532" s="265">
        <v>46072</v>
      </c>
      <c r="B5532" s="343" t="s">
        <v>973</v>
      </c>
      <c r="C5532" s="43" t="s">
        <v>678</v>
      </c>
      <c r="D5532" s="43">
        <v>-1</v>
      </c>
      <c r="E5532" s="230" t="s">
        <v>125</v>
      </c>
    </row>
    <row r="5533" spans="1:6">
      <c r="A5533" s="265">
        <v>46072</v>
      </c>
      <c r="B5533" s="343" t="s">
        <v>1289</v>
      </c>
      <c r="C5533" s="43" t="s">
        <v>678</v>
      </c>
      <c r="D5533" s="43">
        <v>-1</v>
      </c>
      <c r="E5533" s="230" t="s">
        <v>125</v>
      </c>
    </row>
    <row r="5534" spans="1:6">
      <c r="A5534" s="265">
        <v>46072</v>
      </c>
      <c r="B5534" s="93" t="s">
        <v>807</v>
      </c>
      <c r="C5534" s="43" t="s">
        <v>3105</v>
      </c>
      <c r="D5534" s="43">
        <v>-12</v>
      </c>
      <c r="E5534" s="230" t="s">
        <v>125</v>
      </c>
    </row>
    <row r="5535" spans="1:6">
      <c r="A5535" s="265">
        <v>46072</v>
      </c>
      <c r="B5535" s="343" t="s">
        <v>1246</v>
      </c>
      <c r="C5535" s="43" t="s">
        <v>1663</v>
      </c>
      <c r="D5535" s="43">
        <v>-8</v>
      </c>
      <c r="E5535" s="230" t="s">
        <v>125</v>
      </c>
    </row>
    <row r="5536" spans="1:6">
      <c r="A5536" s="265">
        <v>46072</v>
      </c>
      <c r="B5536" s="343" t="s">
        <v>1246</v>
      </c>
      <c r="C5536" s="43" t="s">
        <v>1663</v>
      </c>
      <c r="D5536" s="43">
        <v>-2</v>
      </c>
      <c r="E5536" s="230" t="s">
        <v>125</v>
      </c>
    </row>
    <row r="5537" spans="1:5">
      <c r="A5537" s="265">
        <v>46072</v>
      </c>
      <c r="B5537" s="343" t="s">
        <v>1246</v>
      </c>
      <c r="C5537" s="43" t="s">
        <v>1663</v>
      </c>
      <c r="D5537" s="43">
        <v>-1</v>
      </c>
      <c r="E5537" s="230" t="s">
        <v>125</v>
      </c>
    </row>
    <row r="5538" spans="1:5">
      <c r="A5538" s="265">
        <v>46072</v>
      </c>
      <c r="B5538" s="92" t="s">
        <v>76</v>
      </c>
      <c r="C5538" s="43" t="s">
        <v>1814</v>
      </c>
      <c r="D5538" s="43">
        <v>-23</v>
      </c>
      <c r="E5538" s="230" t="s">
        <v>125</v>
      </c>
    </row>
    <row r="5539" spans="1:5">
      <c r="A5539" s="265">
        <v>46072</v>
      </c>
      <c r="B5539" s="92" t="s">
        <v>76</v>
      </c>
      <c r="C5539" s="43" t="s">
        <v>1603</v>
      </c>
      <c r="D5539" s="43">
        <v>-15</v>
      </c>
      <c r="E5539" s="230" t="s">
        <v>125</v>
      </c>
    </row>
    <row r="5540" spans="1:5">
      <c r="A5540" s="265">
        <v>46072</v>
      </c>
      <c r="B5540" s="92" t="s">
        <v>76</v>
      </c>
      <c r="C5540" s="43" t="s">
        <v>1814</v>
      </c>
      <c r="D5540" s="43">
        <v>-40</v>
      </c>
      <c r="E5540" s="230" t="s">
        <v>125</v>
      </c>
    </row>
    <row r="5541" spans="1:5">
      <c r="A5541" s="265">
        <v>46072</v>
      </c>
      <c r="B5541" s="92" t="s">
        <v>78</v>
      </c>
      <c r="C5541" s="43" t="s">
        <v>2982</v>
      </c>
      <c r="D5541" s="43">
        <v>-1</v>
      </c>
      <c r="E5541" s="230" t="s">
        <v>125</v>
      </c>
    </row>
    <row r="5542" spans="1:5">
      <c r="A5542" s="265">
        <v>46072</v>
      </c>
      <c r="B5542" s="92" t="s">
        <v>76</v>
      </c>
      <c r="C5542" s="43" t="s">
        <v>1603</v>
      </c>
      <c r="D5542" s="43">
        <v>-31</v>
      </c>
      <c r="E5542" s="230" t="s">
        <v>125</v>
      </c>
    </row>
    <row r="5543" spans="1:5">
      <c r="A5543" s="265">
        <v>46072</v>
      </c>
      <c r="B5543" s="93" t="s">
        <v>166</v>
      </c>
      <c r="C5543" s="43" t="s">
        <v>3107</v>
      </c>
      <c r="D5543" s="43">
        <v>-3</v>
      </c>
      <c r="E5543" s="230" t="s">
        <v>125</v>
      </c>
    </row>
    <row r="5544" spans="1:5">
      <c r="A5544" s="265">
        <v>46072</v>
      </c>
      <c r="B5544" s="93" t="s">
        <v>167</v>
      </c>
      <c r="C5544" s="43" t="s">
        <v>3107</v>
      </c>
      <c r="D5544" s="43">
        <v>-1</v>
      </c>
      <c r="E5544" s="230" t="s">
        <v>125</v>
      </c>
    </row>
    <row r="5545" spans="1:5">
      <c r="A5545" s="265">
        <v>46072</v>
      </c>
      <c r="B5545" s="92" t="s">
        <v>76</v>
      </c>
      <c r="C5545" s="43" t="s">
        <v>1603</v>
      </c>
      <c r="D5545" s="43">
        <v>-25</v>
      </c>
      <c r="E5545" s="230" t="s">
        <v>125</v>
      </c>
    </row>
    <row r="5546" spans="1:5">
      <c r="A5546" s="265">
        <v>46072</v>
      </c>
      <c r="B5546" s="104" t="s">
        <v>932</v>
      </c>
      <c r="C5546" s="43" t="s">
        <v>3108</v>
      </c>
      <c r="D5546" s="43">
        <v>-7</v>
      </c>
      <c r="E5546" s="230" t="s">
        <v>125</v>
      </c>
    </row>
    <row r="5547" spans="1:5">
      <c r="A5547" s="265">
        <v>46072</v>
      </c>
      <c r="B5547" s="93" t="s">
        <v>1097</v>
      </c>
      <c r="C5547" s="43" t="s">
        <v>3108</v>
      </c>
      <c r="D5547" s="43">
        <v>-1</v>
      </c>
      <c r="E5547" s="230" t="s">
        <v>125</v>
      </c>
    </row>
    <row r="5548" spans="1:5">
      <c r="A5548" s="335">
        <v>46072</v>
      </c>
      <c r="B5548" s="343" t="s">
        <v>1271</v>
      </c>
      <c r="C5548" s="345" t="s">
        <v>1594</v>
      </c>
      <c r="D5548" s="345">
        <v>-2</v>
      </c>
      <c r="E5548" s="230" t="s">
        <v>125</v>
      </c>
    </row>
    <row r="5549" spans="1:5">
      <c r="A5549" s="335">
        <v>46072</v>
      </c>
      <c r="B5549" s="343" t="s">
        <v>1271</v>
      </c>
      <c r="C5549" s="345" t="s">
        <v>1594</v>
      </c>
      <c r="D5549" s="345">
        <v>-3</v>
      </c>
      <c r="E5549" s="230" t="s">
        <v>125</v>
      </c>
    </row>
    <row r="5550" spans="1:5">
      <c r="A5550" s="335">
        <v>46072</v>
      </c>
      <c r="B5550" s="343" t="s">
        <v>1246</v>
      </c>
      <c r="C5550" s="345" t="s">
        <v>1594</v>
      </c>
      <c r="D5550" s="345">
        <v>-4</v>
      </c>
      <c r="E5550" s="230" t="s">
        <v>125</v>
      </c>
    </row>
    <row r="5551" spans="1:5">
      <c r="A5551" s="335">
        <v>46072</v>
      </c>
      <c r="B5551" s="343" t="s">
        <v>1246</v>
      </c>
      <c r="C5551" s="345" t="s">
        <v>1594</v>
      </c>
      <c r="D5551" s="345">
        <v>-5</v>
      </c>
      <c r="E5551" s="230" t="s">
        <v>125</v>
      </c>
    </row>
    <row r="5552" spans="1:5">
      <c r="A5552" s="335">
        <v>46072</v>
      </c>
      <c r="B5552" s="343" t="s">
        <v>1246</v>
      </c>
      <c r="C5552" s="345" t="s">
        <v>1594</v>
      </c>
      <c r="D5552" s="345">
        <v>-3</v>
      </c>
      <c r="E5552" s="230" t="s">
        <v>125</v>
      </c>
    </row>
    <row r="5553" spans="1:6">
      <c r="A5553" s="335">
        <v>46072</v>
      </c>
      <c r="B5553" s="343" t="s">
        <v>1249</v>
      </c>
      <c r="C5553" s="345" t="s">
        <v>1594</v>
      </c>
      <c r="D5553" s="345">
        <v>-1</v>
      </c>
      <c r="E5553" s="230" t="s">
        <v>125</v>
      </c>
    </row>
    <row r="5554" spans="1:6">
      <c r="A5554" s="335">
        <v>46072</v>
      </c>
      <c r="B5554" s="343" t="s">
        <v>1249</v>
      </c>
      <c r="C5554" s="345" t="s">
        <v>1594</v>
      </c>
      <c r="D5554" s="345">
        <v>-1</v>
      </c>
      <c r="E5554" s="230" t="s">
        <v>125</v>
      </c>
    </row>
    <row r="5555" spans="1:6">
      <c r="A5555" s="335">
        <v>46072</v>
      </c>
      <c r="B5555" s="343" t="s">
        <v>1409</v>
      </c>
      <c r="C5555" s="345" t="s">
        <v>1594</v>
      </c>
      <c r="D5555" s="345">
        <v>-6</v>
      </c>
      <c r="E5555" s="230" t="s">
        <v>125</v>
      </c>
    </row>
    <row r="5556" spans="1:6">
      <c r="A5556" s="335">
        <v>46072</v>
      </c>
      <c r="B5556" s="343" t="s">
        <v>1311</v>
      </c>
      <c r="C5556" s="345" t="s">
        <v>1594</v>
      </c>
      <c r="D5556" s="345">
        <v>-1</v>
      </c>
      <c r="E5556" s="230" t="s">
        <v>125</v>
      </c>
    </row>
    <row r="5557" spans="1:6">
      <c r="A5557" s="335">
        <v>46072</v>
      </c>
      <c r="B5557" s="343" t="s">
        <v>1312</v>
      </c>
      <c r="C5557" s="345" t="s">
        <v>1594</v>
      </c>
      <c r="D5557" s="345">
        <v>-1</v>
      </c>
      <c r="E5557" s="230" t="s">
        <v>125</v>
      </c>
    </row>
    <row r="5558" spans="1:6">
      <c r="A5558" s="335">
        <v>46072</v>
      </c>
      <c r="B5558" s="343" t="s">
        <v>136</v>
      </c>
      <c r="C5558" s="345" t="s">
        <v>1594</v>
      </c>
      <c r="D5558" s="345">
        <v>-4</v>
      </c>
      <c r="E5558" s="230" t="s">
        <v>125</v>
      </c>
    </row>
    <row r="5560" spans="1:6">
      <c r="A5560" s="323">
        <v>46072</v>
      </c>
      <c r="B5560" s="325" t="s">
        <v>1246</v>
      </c>
      <c r="C5560" s="322" t="s">
        <v>682</v>
      </c>
      <c r="D5560" s="322">
        <v>18</v>
      </c>
      <c r="E5560" s="321" t="s">
        <v>125</v>
      </c>
      <c r="F5560" t="s">
        <v>3206</v>
      </c>
    </row>
    <row r="5561" spans="1:6">
      <c r="A5561" s="323">
        <v>46072</v>
      </c>
      <c r="B5561" s="325" t="s">
        <v>1246</v>
      </c>
      <c r="C5561" s="322" t="s">
        <v>682</v>
      </c>
      <c r="D5561" s="322">
        <v>16</v>
      </c>
      <c r="E5561" s="321" t="s">
        <v>125</v>
      </c>
    </row>
    <row r="5562" spans="1:6">
      <c r="A5562" s="323">
        <v>46072</v>
      </c>
      <c r="B5562" s="325" t="s">
        <v>1246</v>
      </c>
      <c r="C5562" s="322" t="s">
        <v>682</v>
      </c>
      <c r="D5562" s="322">
        <v>2</v>
      </c>
      <c r="E5562" s="321" t="s">
        <v>125</v>
      </c>
    </row>
    <row r="5563" spans="1:6">
      <c r="A5563" s="323">
        <v>46072</v>
      </c>
      <c r="B5563" s="324" t="s">
        <v>134</v>
      </c>
      <c r="C5563" s="322" t="s">
        <v>682</v>
      </c>
      <c r="D5563" s="322">
        <v>4</v>
      </c>
      <c r="E5563" s="321" t="s">
        <v>125</v>
      </c>
    </row>
    <row r="5564" spans="1:6">
      <c r="A5564" s="323">
        <v>46072</v>
      </c>
      <c r="B5564" s="325" t="s">
        <v>2142</v>
      </c>
      <c r="C5564" s="322" t="s">
        <v>682</v>
      </c>
      <c r="D5564" s="322">
        <v>2</v>
      </c>
      <c r="E5564" s="321" t="s">
        <v>125</v>
      </c>
    </row>
    <row r="5565" spans="1:6">
      <c r="A5565" s="323">
        <v>46072</v>
      </c>
      <c r="B5565" s="325" t="s">
        <v>1271</v>
      </c>
      <c r="C5565" s="322" t="s">
        <v>682</v>
      </c>
      <c r="D5565" s="322">
        <v>1</v>
      </c>
      <c r="E5565" s="321" t="s">
        <v>125</v>
      </c>
    </row>
    <row r="5566" spans="1:6">
      <c r="A5566" s="323">
        <v>46072</v>
      </c>
      <c r="B5566" s="325" t="s">
        <v>1327</v>
      </c>
      <c r="C5566" s="322" t="s">
        <v>682</v>
      </c>
      <c r="D5566" s="322">
        <v>1</v>
      </c>
      <c r="E5566" s="321" t="s">
        <v>125</v>
      </c>
    </row>
    <row r="5567" spans="1:6">
      <c r="A5567" s="323">
        <v>46072</v>
      </c>
      <c r="B5567" s="325" t="s">
        <v>1568</v>
      </c>
      <c r="C5567" s="322" t="s">
        <v>682</v>
      </c>
      <c r="D5567" s="322">
        <v>1</v>
      </c>
      <c r="E5567" s="321" t="s">
        <v>125</v>
      </c>
    </row>
    <row r="5568" spans="1:6">
      <c r="A5568" s="323">
        <v>46072</v>
      </c>
      <c r="B5568" s="325" t="s">
        <v>1641</v>
      </c>
      <c r="C5568" s="322" t="s">
        <v>682</v>
      </c>
      <c r="D5568" s="322">
        <v>1</v>
      </c>
      <c r="E5568" s="321" t="s">
        <v>125</v>
      </c>
    </row>
    <row r="5569" spans="1:5">
      <c r="A5569" s="323">
        <v>46072</v>
      </c>
      <c r="B5569" s="325" t="s">
        <v>1326</v>
      </c>
      <c r="C5569" s="322" t="s">
        <v>682</v>
      </c>
      <c r="D5569" s="322">
        <v>2</v>
      </c>
      <c r="E5569" s="321" t="s">
        <v>125</v>
      </c>
    </row>
    <row r="5570" spans="1:5">
      <c r="A5570" s="323">
        <v>46072</v>
      </c>
      <c r="B5570" s="325" t="s">
        <v>2140</v>
      </c>
      <c r="C5570" s="322" t="s">
        <v>682</v>
      </c>
      <c r="D5570" s="322">
        <v>1</v>
      </c>
      <c r="E5570" s="321" t="s">
        <v>125</v>
      </c>
    </row>
    <row r="5571" spans="1:5">
      <c r="A5571" s="323">
        <v>46072</v>
      </c>
      <c r="B5571" s="325" t="s">
        <v>2141</v>
      </c>
      <c r="C5571" s="322" t="s">
        <v>682</v>
      </c>
      <c r="D5571" s="322">
        <v>1</v>
      </c>
      <c r="E5571" s="321" t="s">
        <v>125</v>
      </c>
    </row>
    <row r="5572" spans="1:5">
      <c r="A5572" s="323">
        <v>46072</v>
      </c>
      <c r="B5572" s="325" t="s">
        <v>1095</v>
      </c>
      <c r="C5572" s="322" t="s">
        <v>682</v>
      </c>
      <c r="D5572" s="322">
        <v>1</v>
      </c>
      <c r="E5572" s="321" t="s">
        <v>125</v>
      </c>
    </row>
    <row r="5573" spans="1:5">
      <c r="A5573" s="323">
        <v>46072</v>
      </c>
      <c r="B5573" s="325" t="s">
        <v>1318</v>
      </c>
      <c r="C5573" s="322" t="s">
        <v>682</v>
      </c>
      <c r="D5573" s="322">
        <v>2</v>
      </c>
      <c r="E5573" s="321" t="s">
        <v>125</v>
      </c>
    </row>
    <row r="5574" spans="1:5">
      <c r="A5574" s="323">
        <v>46072</v>
      </c>
      <c r="B5574" s="325" t="s">
        <v>1409</v>
      </c>
      <c r="C5574" s="322" t="s">
        <v>682</v>
      </c>
      <c r="D5574" s="322">
        <v>4</v>
      </c>
      <c r="E5574" s="321" t="s">
        <v>125</v>
      </c>
    </row>
    <row r="5575" spans="1:5">
      <c r="A5575" s="323">
        <v>46072</v>
      </c>
      <c r="B5575" s="325" t="s">
        <v>154</v>
      </c>
      <c r="C5575" s="322" t="s">
        <v>682</v>
      </c>
      <c r="D5575" s="322">
        <v>5</v>
      </c>
      <c r="E5575" s="321" t="s">
        <v>125</v>
      </c>
    </row>
    <row r="5576" spans="1:5">
      <c r="A5576" s="323">
        <v>46072</v>
      </c>
      <c r="B5576" s="325" t="s">
        <v>2625</v>
      </c>
      <c r="C5576" s="322" t="s">
        <v>682</v>
      </c>
      <c r="D5576" s="322">
        <v>3</v>
      </c>
      <c r="E5576" s="321" t="s">
        <v>125</v>
      </c>
    </row>
    <row r="5577" spans="1:5">
      <c r="A5577" s="323">
        <v>46072</v>
      </c>
      <c r="B5577" s="325" t="s">
        <v>1096</v>
      </c>
      <c r="C5577" s="322" t="s">
        <v>682</v>
      </c>
      <c r="D5577" s="322">
        <v>3</v>
      </c>
      <c r="E5577" s="321" t="s">
        <v>125</v>
      </c>
    </row>
    <row r="5578" spans="1:5">
      <c r="A5578" s="323">
        <v>46072</v>
      </c>
      <c r="B5578" s="425" t="s">
        <v>375</v>
      </c>
      <c r="C5578" s="322" t="s">
        <v>682</v>
      </c>
      <c r="D5578" s="322">
        <v>2</v>
      </c>
      <c r="E5578" s="321" t="s">
        <v>125</v>
      </c>
    </row>
    <row r="5579" spans="1:5">
      <c r="A5579" s="323">
        <v>46072</v>
      </c>
      <c r="B5579" s="325" t="s">
        <v>1490</v>
      </c>
      <c r="C5579" s="322" t="s">
        <v>682</v>
      </c>
      <c r="D5579" s="322">
        <v>3</v>
      </c>
      <c r="E5579" s="321" t="s">
        <v>125</v>
      </c>
    </row>
    <row r="5580" spans="1:5">
      <c r="A5580" s="323">
        <v>46072</v>
      </c>
      <c r="B5580" s="426" t="s">
        <v>931</v>
      </c>
      <c r="C5580" s="322" t="s">
        <v>682</v>
      </c>
      <c r="D5580" s="322">
        <v>2</v>
      </c>
      <c r="E5580" s="321" t="s">
        <v>125</v>
      </c>
    </row>
    <row r="5581" spans="1:5">
      <c r="A5581" s="323">
        <v>46072</v>
      </c>
      <c r="B5581" s="325" t="s">
        <v>1334</v>
      </c>
      <c r="C5581" s="322" t="s">
        <v>682</v>
      </c>
      <c r="D5581" s="322">
        <v>2</v>
      </c>
      <c r="E5581" s="321" t="s">
        <v>125</v>
      </c>
    </row>
    <row r="5582" spans="1:5">
      <c r="A5582" s="323">
        <v>46072</v>
      </c>
      <c r="B5582" s="325" t="s">
        <v>1095</v>
      </c>
      <c r="C5582" s="322" t="s">
        <v>682</v>
      </c>
      <c r="D5582" s="322">
        <v>1</v>
      </c>
      <c r="E5582" s="321" t="s">
        <v>125</v>
      </c>
    </row>
    <row r="5583" spans="1:5">
      <c r="A5583" s="323">
        <v>46072</v>
      </c>
      <c r="B5583" s="325" t="s">
        <v>1327</v>
      </c>
      <c r="C5583" s="322" t="s">
        <v>682</v>
      </c>
      <c r="D5583" s="322">
        <v>1</v>
      </c>
      <c r="E5583" s="321" t="s">
        <v>125</v>
      </c>
    </row>
    <row r="5584" spans="1:5">
      <c r="A5584" s="323">
        <v>46072</v>
      </c>
      <c r="B5584" s="324" t="s">
        <v>134</v>
      </c>
      <c r="C5584" s="322" t="s">
        <v>682</v>
      </c>
      <c r="D5584" s="322">
        <v>1</v>
      </c>
      <c r="E5584" s="321" t="s">
        <v>125</v>
      </c>
    </row>
    <row r="5585" spans="1:5">
      <c r="A5585" s="323">
        <v>46072</v>
      </c>
      <c r="B5585" s="325" t="s">
        <v>1326</v>
      </c>
      <c r="C5585" s="322" t="s">
        <v>682</v>
      </c>
      <c r="D5585" s="322">
        <v>1</v>
      </c>
      <c r="E5585" s="321" t="s">
        <v>125</v>
      </c>
    </row>
    <row r="5586" spans="1:5">
      <c r="A5586" s="323">
        <v>46072</v>
      </c>
      <c r="B5586" s="325" t="s">
        <v>1907</v>
      </c>
      <c r="C5586" s="322" t="s">
        <v>682</v>
      </c>
      <c r="D5586" s="322">
        <v>1</v>
      </c>
      <c r="E5586" s="321" t="s">
        <v>125</v>
      </c>
    </row>
    <row r="5587" spans="1:5">
      <c r="A5587" s="323">
        <v>46072</v>
      </c>
      <c r="B5587" s="325" t="s">
        <v>1271</v>
      </c>
      <c r="C5587" s="322" t="s">
        <v>682</v>
      </c>
      <c r="D5587" s="322">
        <v>1</v>
      </c>
      <c r="E5587" s="321" t="s">
        <v>125</v>
      </c>
    </row>
    <row r="5588" spans="1:5">
      <c r="A5588" s="323">
        <v>46072</v>
      </c>
      <c r="B5588" s="325" t="s">
        <v>1641</v>
      </c>
      <c r="C5588" s="322" t="s">
        <v>682</v>
      </c>
      <c r="D5588" s="322">
        <v>1</v>
      </c>
      <c r="E5588" s="321" t="s">
        <v>125</v>
      </c>
    </row>
    <row r="5589" spans="1:5">
      <c r="A5589" s="323">
        <v>46072</v>
      </c>
      <c r="B5589" s="324" t="s">
        <v>2155</v>
      </c>
      <c r="C5589" s="322" t="s">
        <v>682</v>
      </c>
      <c r="D5589" s="322">
        <v>1</v>
      </c>
      <c r="E5589" s="321" t="s">
        <v>125</v>
      </c>
    </row>
    <row r="5590" spans="1:5">
      <c r="A5590" s="323">
        <v>46072</v>
      </c>
      <c r="B5590" s="325" t="s">
        <v>1246</v>
      </c>
      <c r="C5590" s="322" t="s">
        <v>682</v>
      </c>
      <c r="D5590" s="322">
        <v>6</v>
      </c>
      <c r="E5590" s="321" t="s">
        <v>125</v>
      </c>
    </row>
    <row r="5591" spans="1:5">
      <c r="A5591" s="323">
        <v>46072</v>
      </c>
      <c r="B5591" s="325" t="s">
        <v>1326</v>
      </c>
      <c r="C5591" s="322" t="s">
        <v>682</v>
      </c>
      <c r="D5591" s="322">
        <v>1</v>
      </c>
      <c r="E5591" s="321" t="s">
        <v>125</v>
      </c>
    </row>
    <row r="5592" spans="1:5">
      <c r="A5592" s="323">
        <v>46072</v>
      </c>
      <c r="B5592" s="325" t="s">
        <v>1326</v>
      </c>
      <c r="C5592" s="322" t="s">
        <v>682</v>
      </c>
      <c r="D5592" s="322">
        <v>3</v>
      </c>
      <c r="E5592" s="321" t="s">
        <v>125</v>
      </c>
    </row>
    <row r="5593" spans="1:5">
      <c r="A5593" s="323">
        <v>46072</v>
      </c>
      <c r="B5593" s="325" t="s">
        <v>1246</v>
      </c>
      <c r="C5593" s="322" t="s">
        <v>682</v>
      </c>
      <c r="D5593" s="322">
        <v>9</v>
      </c>
      <c r="E5593" s="321" t="s">
        <v>125</v>
      </c>
    </row>
    <row r="5594" spans="1:5">
      <c r="A5594" s="323">
        <v>46072</v>
      </c>
      <c r="B5594" s="325" t="s">
        <v>1246</v>
      </c>
      <c r="C5594" s="322" t="s">
        <v>682</v>
      </c>
      <c r="D5594" s="322">
        <v>13</v>
      </c>
      <c r="E5594" s="321" t="s">
        <v>125</v>
      </c>
    </row>
    <row r="5595" spans="1:5">
      <c r="A5595" s="323">
        <v>46072</v>
      </c>
      <c r="B5595" s="325" t="s">
        <v>3090</v>
      </c>
      <c r="C5595" s="322" t="s">
        <v>682</v>
      </c>
      <c r="D5595" s="322">
        <v>1</v>
      </c>
      <c r="E5595" s="321" t="s">
        <v>125</v>
      </c>
    </row>
    <row r="5596" spans="1:5">
      <c r="A5596" s="323">
        <v>46072</v>
      </c>
      <c r="B5596" s="325" t="s">
        <v>1249</v>
      </c>
      <c r="C5596" s="322" t="s">
        <v>682</v>
      </c>
      <c r="D5596" s="322">
        <v>1</v>
      </c>
      <c r="E5596" s="321" t="s">
        <v>125</v>
      </c>
    </row>
    <row r="5597" spans="1:5">
      <c r="A5597" s="323">
        <v>46072</v>
      </c>
      <c r="B5597" s="325" t="s">
        <v>1289</v>
      </c>
      <c r="C5597" s="322" t="s">
        <v>682</v>
      </c>
      <c r="D5597" s="322">
        <v>1</v>
      </c>
      <c r="E5597" s="321" t="s">
        <v>125</v>
      </c>
    </row>
    <row r="5599" spans="1:5">
      <c r="A5599" s="265">
        <v>46073</v>
      </c>
      <c r="B5599" s="92" t="s">
        <v>672</v>
      </c>
      <c r="C5599" s="43" t="s">
        <v>1598</v>
      </c>
      <c r="D5599" s="43">
        <v>-1</v>
      </c>
      <c r="E5599" s="230" t="s">
        <v>125</v>
      </c>
    </row>
    <row r="5600" spans="1:5">
      <c r="A5600" s="265">
        <v>46073</v>
      </c>
      <c r="B5600" s="93" t="s">
        <v>121</v>
      </c>
      <c r="C5600" s="43" t="s">
        <v>1598</v>
      </c>
      <c r="D5600" s="43">
        <v>-13</v>
      </c>
      <c r="E5600" s="230" t="s">
        <v>125</v>
      </c>
    </row>
    <row r="5601" spans="1:5">
      <c r="A5601" s="265">
        <v>46073</v>
      </c>
      <c r="B5601" s="93" t="s">
        <v>121</v>
      </c>
      <c r="C5601" s="43" t="s">
        <v>1598</v>
      </c>
      <c r="D5601" s="43">
        <v>-2</v>
      </c>
      <c r="E5601" s="230" t="s">
        <v>125</v>
      </c>
    </row>
    <row r="5603" spans="1:5">
      <c r="A5603" s="265">
        <v>46074</v>
      </c>
      <c r="B5603" s="93" t="s">
        <v>806</v>
      </c>
      <c r="C5603" s="43" t="s">
        <v>3006</v>
      </c>
      <c r="D5603" s="43">
        <v>-12</v>
      </c>
      <c r="E5603" s="230" t="s">
        <v>125</v>
      </c>
    </row>
    <row r="5604" spans="1:5">
      <c r="A5604" s="265">
        <v>46074</v>
      </c>
      <c r="B5604" s="93" t="s">
        <v>1222</v>
      </c>
      <c r="C5604" s="43" t="s">
        <v>1595</v>
      </c>
      <c r="D5604" s="43">
        <v>-3</v>
      </c>
      <c r="E5604" s="230" t="s">
        <v>125</v>
      </c>
    </row>
    <row r="5605" spans="1:5">
      <c r="A5605" s="265">
        <v>46074</v>
      </c>
      <c r="B5605" s="93" t="s">
        <v>1223</v>
      </c>
      <c r="C5605" s="43" t="s">
        <v>1815</v>
      </c>
      <c r="D5605" s="43">
        <v>-3</v>
      </c>
      <c r="E5605" s="230" t="s">
        <v>125</v>
      </c>
    </row>
    <row r="5606" spans="1:5">
      <c r="A5606" s="265">
        <v>46074</v>
      </c>
      <c r="B5606" s="343" t="s">
        <v>1271</v>
      </c>
      <c r="C5606" s="345" t="s">
        <v>2929</v>
      </c>
      <c r="D5606" s="345">
        <v>-1</v>
      </c>
      <c r="E5606" s="230" t="s">
        <v>125</v>
      </c>
    </row>
    <row r="5607" spans="1:5">
      <c r="A5607" s="265">
        <v>46074</v>
      </c>
      <c r="B5607" s="343" t="s">
        <v>1271</v>
      </c>
      <c r="C5607" s="345" t="s">
        <v>2929</v>
      </c>
      <c r="D5607" s="43">
        <v>0</v>
      </c>
      <c r="E5607" s="230" t="s">
        <v>125</v>
      </c>
    </row>
    <row r="5608" spans="1:5">
      <c r="A5608" s="265">
        <v>46074</v>
      </c>
      <c r="B5608" s="343" t="s">
        <v>1271</v>
      </c>
      <c r="C5608" s="345" t="s">
        <v>2929</v>
      </c>
      <c r="D5608" s="43">
        <v>-1</v>
      </c>
      <c r="E5608" s="230" t="s">
        <v>125</v>
      </c>
    </row>
    <row r="5609" spans="1:5">
      <c r="A5609" s="265">
        <v>46074</v>
      </c>
      <c r="B5609" s="343" t="s">
        <v>1271</v>
      </c>
      <c r="C5609" s="43" t="s">
        <v>2074</v>
      </c>
      <c r="D5609" s="43">
        <v>-2</v>
      </c>
      <c r="E5609" s="230" t="s">
        <v>125</v>
      </c>
    </row>
    <row r="5610" spans="1:5">
      <c r="A5610" s="265">
        <v>46074</v>
      </c>
      <c r="B5610" s="343" t="s">
        <v>1271</v>
      </c>
      <c r="C5610" s="43" t="s">
        <v>2074</v>
      </c>
      <c r="D5610" s="43">
        <v>-2</v>
      </c>
      <c r="E5610" s="230" t="s">
        <v>125</v>
      </c>
    </row>
    <row r="5611" spans="1:5">
      <c r="A5611" s="265">
        <v>46074</v>
      </c>
      <c r="B5611" s="343" t="s">
        <v>1271</v>
      </c>
      <c r="C5611" s="43" t="s">
        <v>2074</v>
      </c>
      <c r="D5611" s="43">
        <v>-2</v>
      </c>
      <c r="E5611" s="230" t="s">
        <v>125</v>
      </c>
    </row>
    <row r="5612" spans="1:5">
      <c r="A5612" s="265">
        <v>46074</v>
      </c>
      <c r="B5612" s="343" t="s">
        <v>1291</v>
      </c>
      <c r="C5612" s="43" t="s">
        <v>2724</v>
      </c>
      <c r="D5612" s="43">
        <v>-4</v>
      </c>
      <c r="E5612" s="230" t="s">
        <v>125</v>
      </c>
    </row>
    <row r="5613" spans="1:5">
      <c r="A5613" s="265">
        <v>46074</v>
      </c>
      <c r="B5613" s="343" t="s">
        <v>1291</v>
      </c>
      <c r="C5613" s="43" t="s">
        <v>2724</v>
      </c>
      <c r="D5613" s="43">
        <v>-1</v>
      </c>
      <c r="E5613" s="230" t="s">
        <v>125</v>
      </c>
    </row>
    <row r="5614" spans="1:5">
      <c r="A5614" s="265">
        <v>46074</v>
      </c>
      <c r="B5614" s="343" t="s">
        <v>1291</v>
      </c>
      <c r="C5614" s="43" t="s">
        <v>2724</v>
      </c>
      <c r="D5614" s="43">
        <v>-5</v>
      </c>
      <c r="E5614" s="230" t="s">
        <v>125</v>
      </c>
    </row>
    <row r="5615" spans="1:5">
      <c r="A5615" s="265">
        <v>46074</v>
      </c>
      <c r="B5615" s="343" t="s">
        <v>1334</v>
      </c>
      <c r="C5615" s="43" t="s">
        <v>2724</v>
      </c>
      <c r="D5615" s="43">
        <v>-3</v>
      </c>
      <c r="E5615" s="230" t="s">
        <v>125</v>
      </c>
    </row>
    <row r="5616" spans="1:5">
      <c r="A5616" s="265">
        <v>46074</v>
      </c>
      <c r="B5616" s="343" t="s">
        <v>1334</v>
      </c>
      <c r="C5616" s="43" t="s">
        <v>2724</v>
      </c>
      <c r="D5616" s="43">
        <v>0</v>
      </c>
      <c r="E5616" s="230" t="s">
        <v>125</v>
      </c>
    </row>
    <row r="5617" spans="1:5">
      <c r="A5617" s="265">
        <v>46074</v>
      </c>
      <c r="B5617" s="84" t="s">
        <v>1387</v>
      </c>
      <c r="C5617" s="43" t="s">
        <v>2724</v>
      </c>
      <c r="D5617" s="43">
        <v>-1</v>
      </c>
      <c r="E5617" s="230" t="s">
        <v>125</v>
      </c>
    </row>
    <row r="5618" spans="1:5">
      <c r="A5618" s="265">
        <v>46074</v>
      </c>
      <c r="B5618" s="147" t="s">
        <v>931</v>
      </c>
      <c r="C5618" s="43" t="s">
        <v>2724</v>
      </c>
      <c r="D5618" s="43">
        <v>-2</v>
      </c>
      <c r="E5618" s="230" t="s">
        <v>125</v>
      </c>
    </row>
    <row r="5619" spans="1:5">
      <c r="A5619" s="265">
        <v>46074</v>
      </c>
      <c r="B5619" s="93" t="s">
        <v>1490</v>
      </c>
      <c r="C5619" s="43" t="s">
        <v>2724</v>
      </c>
      <c r="D5619" s="43">
        <v>-4</v>
      </c>
      <c r="E5619" s="230" t="s">
        <v>125</v>
      </c>
    </row>
    <row r="5620" spans="1:5">
      <c r="A5620" s="265">
        <v>46074</v>
      </c>
      <c r="B5620" s="93" t="s">
        <v>1491</v>
      </c>
      <c r="C5620" s="43" t="s">
        <v>2724</v>
      </c>
      <c r="D5620" s="43">
        <v>-1</v>
      </c>
      <c r="E5620" s="230" t="s">
        <v>125</v>
      </c>
    </row>
    <row r="5621" spans="1:5">
      <c r="A5621" s="265">
        <v>46074</v>
      </c>
      <c r="B5621" s="93" t="s">
        <v>1096</v>
      </c>
      <c r="C5621" s="43" t="s">
        <v>2724</v>
      </c>
      <c r="D5621" s="43">
        <v>-3</v>
      </c>
      <c r="E5621" s="230" t="s">
        <v>125</v>
      </c>
    </row>
    <row r="5623" spans="1:5">
      <c r="A5623" s="265">
        <v>46075</v>
      </c>
      <c r="B5623" s="343" t="s">
        <v>1246</v>
      </c>
      <c r="C5623" s="43" t="s">
        <v>1788</v>
      </c>
      <c r="D5623" s="43">
        <v>-1</v>
      </c>
      <c r="E5623" s="230" t="s">
        <v>125</v>
      </c>
    </row>
    <row r="5624" spans="1:5">
      <c r="A5624" s="265">
        <v>46075</v>
      </c>
      <c r="B5624" s="343" t="s">
        <v>1246</v>
      </c>
      <c r="C5624" s="43" t="s">
        <v>1788</v>
      </c>
      <c r="D5624" s="43">
        <v>-1</v>
      </c>
      <c r="E5624" s="230" t="s">
        <v>125</v>
      </c>
    </row>
    <row r="5625" spans="1:5">
      <c r="A5625" s="265">
        <v>46075</v>
      </c>
      <c r="B5625" s="343" t="s">
        <v>1246</v>
      </c>
      <c r="C5625" s="43" t="s">
        <v>1788</v>
      </c>
      <c r="D5625" s="43">
        <v>-2</v>
      </c>
      <c r="E5625" s="230" t="s">
        <v>125</v>
      </c>
    </row>
    <row r="5626" spans="1:5">
      <c r="A5626" s="265">
        <v>46075</v>
      </c>
      <c r="B5626" s="343" t="s">
        <v>1246</v>
      </c>
      <c r="C5626" s="43" t="s">
        <v>1788</v>
      </c>
      <c r="D5626" s="43">
        <v>-2</v>
      </c>
      <c r="E5626" s="230" t="s">
        <v>125</v>
      </c>
    </row>
    <row r="5627" spans="1:5">
      <c r="A5627" s="265">
        <v>46075</v>
      </c>
      <c r="B5627" s="343" t="s">
        <v>1271</v>
      </c>
      <c r="C5627" s="43" t="s">
        <v>1788</v>
      </c>
      <c r="D5627" s="43">
        <v>-3</v>
      </c>
      <c r="E5627" s="230" t="s">
        <v>125</v>
      </c>
    </row>
    <row r="5628" spans="1:5">
      <c r="A5628" s="265">
        <v>46075</v>
      </c>
      <c r="B5628" s="343" t="s">
        <v>1271</v>
      </c>
      <c r="C5628" s="43" t="s">
        <v>1788</v>
      </c>
      <c r="D5628" s="43">
        <v>-1</v>
      </c>
      <c r="E5628" s="230" t="s">
        <v>125</v>
      </c>
    </row>
    <row r="5629" spans="1:5">
      <c r="A5629" s="265">
        <v>46075</v>
      </c>
      <c r="B5629" s="343" t="s">
        <v>1271</v>
      </c>
      <c r="C5629" s="43" t="s">
        <v>1788</v>
      </c>
      <c r="D5629" s="43">
        <v>-2</v>
      </c>
      <c r="E5629" s="230" t="s">
        <v>125</v>
      </c>
    </row>
    <row r="5630" spans="1:5">
      <c r="A5630" s="265">
        <v>46075</v>
      </c>
      <c r="B5630" s="343" t="s">
        <v>1271</v>
      </c>
      <c r="C5630" s="43" t="s">
        <v>1788</v>
      </c>
      <c r="D5630" s="43">
        <v>-1</v>
      </c>
      <c r="E5630" s="230" t="s">
        <v>125</v>
      </c>
    </row>
    <row r="5631" spans="1:5">
      <c r="A5631" s="265">
        <v>46075</v>
      </c>
      <c r="B5631" s="343" t="s">
        <v>1271</v>
      </c>
      <c r="C5631" s="43" t="s">
        <v>2929</v>
      </c>
      <c r="D5631" s="43">
        <v>0</v>
      </c>
      <c r="E5631" s="230" t="s">
        <v>125</v>
      </c>
    </row>
    <row r="5632" spans="1:5">
      <c r="A5632" s="265">
        <v>46075</v>
      </c>
      <c r="B5632" s="343" t="s">
        <v>1271</v>
      </c>
      <c r="C5632" s="43" t="s">
        <v>2929</v>
      </c>
      <c r="D5632" s="43">
        <v>-1</v>
      </c>
      <c r="E5632" s="230" t="s">
        <v>125</v>
      </c>
    </row>
    <row r="5634" spans="1:6">
      <c r="A5634" s="265">
        <v>46076</v>
      </c>
      <c r="B5634" s="93" t="s">
        <v>865</v>
      </c>
      <c r="C5634" s="43" t="s">
        <v>1595</v>
      </c>
      <c r="D5634" s="43">
        <v>-1</v>
      </c>
      <c r="E5634" s="230" t="s">
        <v>125</v>
      </c>
    </row>
    <row r="5636" spans="1:6">
      <c r="A5636" s="346">
        <v>46072</v>
      </c>
      <c r="B5636" s="349" t="s">
        <v>1246</v>
      </c>
      <c r="C5636" s="348" t="s">
        <v>2093</v>
      </c>
      <c r="D5636" s="348">
        <v>1</v>
      </c>
      <c r="E5636" s="360" t="s">
        <v>125</v>
      </c>
      <c r="F5636" t="s">
        <v>3227</v>
      </c>
    </row>
    <row r="5637" spans="1:6">
      <c r="A5637" s="346">
        <v>46072</v>
      </c>
      <c r="B5637" s="349" t="s">
        <v>1271</v>
      </c>
      <c r="C5637" s="348" t="s">
        <v>2093</v>
      </c>
      <c r="D5637" s="348">
        <v>3</v>
      </c>
      <c r="E5637" s="360" t="s">
        <v>125</v>
      </c>
    </row>
    <row r="5638" spans="1:6">
      <c r="A5638" s="346">
        <v>46072</v>
      </c>
      <c r="B5638" s="349" t="s">
        <v>1271</v>
      </c>
      <c r="C5638" s="348" t="s">
        <v>2093</v>
      </c>
      <c r="D5638" s="348">
        <v>5</v>
      </c>
      <c r="E5638" s="360" t="s">
        <v>125</v>
      </c>
    </row>
    <row r="5639" spans="1:6">
      <c r="A5639" s="346">
        <v>46072</v>
      </c>
      <c r="B5639" s="349" t="s">
        <v>1271</v>
      </c>
      <c r="C5639" s="348" t="s">
        <v>2093</v>
      </c>
      <c r="D5639" s="348">
        <v>2</v>
      </c>
      <c r="E5639" s="360" t="s">
        <v>125</v>
      </c>
    </row>
    <row r="5640" spans="1:6">
      <c r="A5640" s="346">
        <v>46072</v>
      </c>
      <c r="B5640" s="349" t="s">
        <v>1327</v>
      </c>
      <c r="C5640" s="348" t="s">
        <v>2093</v>
      </c>
      <c r="D5640" s="348">
        <v>8</v>
      </c>
      <c r="E5640" s="360" t="s">
        <v>125</v>
      </c>
    </row>
    <row r="5641" spans="1:6">
      <c r="A5641" s="346">
        <v>46072</v>
      </c>
      <c r="B5641" s="349" t="s">
        <v>169</v>
      </c>
      <c r="C5641" s="348" t="s">
        <v>2093</v>
      </c>
      <c r="D5641" s="348">
        <v>1</v>
      </c>
      <c r="E5641" s="360" t="s">
        <v>125</v>
      </c>
    </row>
    <row r="5642" spans="1:6">
      <c r="A5642" s="346">
        <v>46072</v>
      </c>
      <c r="B5642" s="349" t="s">
        <v>169</v>
      </c>
      <c r="C5642" s="348" t="s">
        <v>2093</v>
      </c>
      <c r="D5642" s="348">
        <v>1</v>
      </c>
      <c r="E5642" s="360" t="s">
        <v>125</v>
      </c>
    </row>
    <row r="5643" spans="1:6">
      <c r="A5643" s="346">
        <v>46072</v>
      </c>
      <c r="B5643" s="349" t="s">
        <v>1568</v>
      </c>
      <c r="C5643" s="348" t="s">
        <v>2093</v>
      </c>
      <c r="D5643" s="348">
        <v>2</v>
      </c>
      <c r="E5643" s="360" t="s">
        <v>125</v>
      </c>
    </row>
    <row r="5644" spans="1:6">
      <c r="A5644" s="346">
        <v>46072</v>
      </c>
      <c r="B5644" s="349" t="s">
        <v>1568</v>
      </c>
      <c r="C5644" s="348" t="s">
        <v>2093</v>
      </c>
      <c r="D5644" s="348">
        <v>1</v>
      </c>
      <c r="E5644" s="360" t="s">
        <v>125</v>
      </c>
    </row>
    <row r="5645" spans="1:6">
      <c r="A5645" s="346">
        <v>46072</v>
      </c>
      <c r="B5645" s="349" t="s">
        <v>1641</v>
      </c>
      <c r="C5645" s="348" t="s">
        <v>2093</v>
      </c>
      <c r="D5645" s="348">
        <v>1</v>
      </c>
      <c r="E5645" s="360" t="s">
        <v>125</v>
      </c>
    </row>
    <row r="5646" spans="1:6">
      <c r="A5646" s="346">
        <v>46072</v>
      </c>
      <c r="B5646" s="349" t="s">
        <v>1291</v>
      </c>
      <c r="C5646" s="348" t="s">
        <v>2093</v>
      </c>
      <c r="D5646" s="348">
        <v>2</v>
      </c>
      <c r="E5646" s="360" t="s">
        <v>125</v>
      </c>
    </row>
    <row r="5647" spans="1:6">
      <c r="A5647" s="346">
        <v>46072</v>
      </c>
      <c r="B5647" s="347" t="s">
        <v>1387</v>
      </c>
      <c r="C5647" s="348" t="s">
        <v>2093</v>
      </c>
      <c r="D5647" s="348">
        <v>1</v>
      </c>
      <c r="E5647" s="360" t="s">
        <v>125</v>
      </c>
    </row>
    <row r="5648" spans="1:6">
      <c r="A5648" s="346">
        <v>46072</v>
      </c>
      <c r="B5648" s="349" t="s">
        <v>1490</v>
      </c>
      <c r="C5648" s="348" t="s">
        <v>2093</v>
      </c>
      <c r="D5648" s="348">
        <v>1</v>
      </c>
      <c r="E5648" s="360" t="s">
        <v>125</v>
      </c>
    </row>
    <row r="5649" spans="1:5">
      <c r="A5649" s="346">
        <v>46072</v>
      </c>
      <c r="B5649" s="351" t="s">
        <v>932</v>
      </c>
      <c r="C5649" s="348" t="s">
        <v>2093</v>
      </c>
      <c r="D5649" s="348">
        <v>1</v>
      </c>
      <c r="E5649" s="360" t="s">
        <v>125</v>
      </c>
    </row>
    <row r="5650" spans="1:5">
      <c r="A5650" s="346">
        <v>46072</v>
      </c>
      <c r="B5650" s="349" t="s">
        <v>1326</v>
      </c>
      <c r="C5650" s="348" t="s">
        <v>2093</v>
      </c>
      <c r="D5650" s="348">
        <v>2</v>
      </c>
      <c r="E5650" s="360" t="s">
        <v>125</v>
      </c>
    </row>
    <row r="5652" spans="1:5">
      <c r="A5652" s="265">
        <v>46076</v>
      </c>
      <c r="B5652" s="343" t="s">
        <v>1246</v>
      </c>
      <c r="C5652" s="43" t="s">
        <v>678</v>
      </c>
      <c r="D5652" s="43">
        <v>-2</v>
      </c>
      <c r="E5652" s="230" t="s">
        <v>125</v>
      </c>
    </row>
    <row r="5654" spans="1:5">
      <c r="A5654" s="434">
        <v>46076</v>
      </c>
      <c r="B5654" s="168" t="s">
        <v>1246</v>
      </c>
      <c r="C5654" s="166" t="s">
        <v>1596</v>
      </c>
      <c r="D5654" s="166">
        <v>3</v>
      </c>
      <c r="E5654" s="615" t="s">
        <v>125</v>
      </c>
    </row>
    <row r="5655" spans="1:5">
      <c r="A5655" s="434">
        <v>46076</v>
      </c>
      <c r="B5655" s="168" t="s">
        <v>1249</v>
      </c>
      <c r="C5655" s="166" t="s">
        <v>1596</v>
      </c>
      <c r="D5655" s="166">
        <v>1</v>
      </c>
      <c r="E5655" s="615" t="s">
        <v>125</v>
      </c>
    </row>
    <row r="5657" spans="1:5">
      <c r="A5657" s="265">
        <v>46076</v>
      </c>
      <c r="B5657" s="104" t="s">
        <v>932</v>
      </c>
      <c r="C5657" s="43" t="s">
        <v>3257</v>
      </c>
      <c r="D5657" s="43">
        <v>-8</v>
      </c>
      <c r="E5657" s="230" t="s">
        <v>125</v>
      </c>
    </row>
    <row r="5658" spans="1:5">
      <c r="A5658" s="265">
        <v>46076</v>
      </c>
      <c r="B5658" s="343" t="s">
        <v>935</v>
      </c>
      <c r="C5658" s="43" t="s">
        <v>3257</v>
      </c>
      <c r="D5658" s="43">
        <v>-3</v>
      </c>
      <c r="E5658" s="230" t="s">
        <v>125</v>
      </c>
    </row>
    <row r="5660" spans="1:5">
      <c r="A5660" s="265">
        <v>46077</v>
      </c>
      <c r="B5660" s="93" t="s">
        <v>1222</v>
      </c>
      <c r="C5660" s="43" t="s">
        <v>1595</v>
      </c>
      <c r="D5660" s="43">
        <v>-3</v>
      </c>
      <c r="E5660" s="230" t="s">
        <v>125</v>
      </c>
    </row>
    <row r="5661" spans="1:5">
      <c r="A5661" s="265">
        <v>46077</v>
      </c>
      <c r="B5661" s="343" t="s">
        <v>1246</v>
      </c>
      <c r="C5661" s="43" t="s">
        <v>3104</v>
      </c>
      <c r="D5661" s="43">
        <v>-3</v>
      </c>
      <c r="E5661" s="230" t="s">
        <v>125</v>
      </c>
    </row>
    <row r="5662" spans="1:5">
      <c r="A5662" s="265">
        <v>46077</v>
      </c>
      <c r="B5662" s="343" t="s">
        <v>1246</v>
      </c>
      <c r="C5662" s="43" t="s">
        <v>3104</v>
      </c>
      <c r="D5662" s="43">
        <v>-5</v>
      </c>
      <c r="E5662" s="230" t="s">
        <v>125</v>
      </c>
    </row>
    <row r="5663" spans="1:5">
      <c r="A5663" s="265">
        <v>46077</v>
      </c>
      <c r="B5663" s="92" t="s">
        <v>882</v>
      </c>
      <c r="C5663" s="43" t="s">
        <v>1613</v>
      </c>
      <c r="D5663" s="43">
        <v>-1</v>
      </c>
      <c r="E5663" s="230" t="s">
        <v>125</v>
      </c>
    </row>
    <row r="5664" spans="1:5">
      <c r="A5664" s="265">
        <v>46077</v>
      </c>
      <c r="B5664" s="343" t="s">
        <v>1326</v>
      </c>
      <c r="C5664" s="43" t="s">
        <v>1788</v>
      </c>
      <c r="D5664" s="43">
        <v>-4</v>
      </c>
      <c r="E5664" s="230" t="s">
        <v>125</v>
      </c>
    </row>
    <row r="5665" spans="1:6">
      <c r="A5665" s="265">
        <v>46077</v>
      </c>
      <c r="B5665" s="343" t="s">
        <v>806</v>
      </c>
      <c r="C5665" s="43" t="s">
        <v>1879</v>
      </c>
      <c r="D5665" s="43">
        <v>-96</v>
      </c>
      <c r="E5665" s="230" t="s">
        <v>125</v>
      </c>
    </row>
    <row r="5666" spans="1:6">
      <c r="A5666" s="265">
        <v>46078</v>
      </c>
      <c r="B5666" s="93" t="s">
        <v>806</v>
      </c>
      <c r="C5666" s="43" t="s">
        <v>1879</v>
      </c>
      <c r="D5666" s="43">
        <v>-15</v>
      </c>
      <c r="E5666" s="230" t="s">
        <v>125</v>
      </c>
    </row>
    <row r="5668" spans="1:6">
      <c r="A5668" s="346">
        <v>46078</v>
      </c>
      <c r="B5668" s="349" t="s">
        <v>1246</v>
      </c>
      <c r="C5668" s="348" t="s">
        <v>2093</v>
      </c>
      <c r="D5668" s="348">
        <v>1</v>
      </c>
      <c r="E5668" s="360" t="s">
        <v>125</v>
      </c>
      <c r="F5668" t="s">
        <v>3289</v>
      </c>
    </row>
    <row r="5669" spans="1:6">
      <c r="A5669" s="346">
        <v>46078</v>
      </c>
      <c r="B5669" s="349" t="s">
        <v>1246</v>
      </c>
      <c r="C5669" s="348" t="s">
        <v>2093</v>
      </c>
      <c r="D5669" s="348">
        <v>2</v>
      </c>
      <c r="E5669" s="360" t="s">
        <v>125</v>
      </c>
    </row>
    <row r="5670" spans="1:6">
      <c r="A5670" s="346">
        <v>46078</v>
      </c>
      <c r="B5670" s="349" t="s">
        <v>1271</v>
      </c>
      <c r="C5670" s="348" t="s">
        <v>2093</v>
      </c>
      <c r="D5670" s="348">
        <v>1</v>
      </c>
      <c r="E5670" s="360" t="s">
        <v>125</v>
      </c>
    </row>
    <row r="5671" spans="1:6">
      <c r="A5671" s="346">
        <v>46078</v>
      </c>
      <c r="B5671" s="349" t="s">
        <v>1271</v>
      </c>
      <c r="C5671" s="348" t="s">
        <v>2093</v>
      </c>
      <c r="D5671" s="348">
        <v>1</v>
      </c>
      <c r="E5671" s="360" t="s">
        <v>125</v>
      </c>
    </row>
    <row r="5672" spans="1:6">
      <c r="A5672" s="346">
        <v>46078</v>
      </c>
      <c r="B5672" s="349" t="s">
        <v>1568</v>
      </c>
      <c r="C5672" s="348" t="s">
        <v>2093</v>
      </c>
      <c r="D5672" s="348">
        <v>1</v>
      </c>
      <c r="E5672" s="360" t="s">
        <v>125</v>
      </c>
    </row>
    <row r="5673" spans="1:6">
      <c r="A5673" s="346">
        <v>46078</v>
      </c>
      <c r="B5673" s="349" t="s">
        <v>1152</v>
      </c>
      <c r="C5673" s="348" t="s">
        <v>2093</v>
      </c>
      <c r="D5673" s="348">
        <v>4</v>
      </c>
      <c r="E5673" s="360" t="s">
        <v>125</v>
      </c>
    </row>
    <row r="5674" spans="1:6">
      <c r="A5674" s="346">
        <v>46078</v>
      </c>
      <c r="B5674" s="349" t="s">
        <v>1291</v>
      </c>
      <c r="C5674" s="348" t="s">
        <v>2093</v>
      </c>
      <c r="D5674" s="348">
        <v>7</v>
      </c>
      <c r="E5674" s="360" t="s">
        <v>125</v>
      </c>
    </row>
    <row r="5675" spans="1:6">
      <c r="A5675" s="346">
        <v>46078</v>
      </c>
      <c r="B5675" s="351" t="s">
        <v>932</v>
      </c>
      <c r="C5675" s="348" t="s">
        <v>2093</v>
      </c>
      <c r="D5675" s="348">
        <v>7</v>
      </c>
      <c r="E5675" s="360" t="s">
        <v>125</v>
      </c>
    </row>
    <row r="5676" spans="1:6">
      <c r="A5676" s="346">
        <v>46078</v>
      </c>
      <c r="B5676" s="349" t="s">
        <v>935</v>
      </c>
      <c r="C5676" s="348" t="s">
        <v>2093</v>
      </c>
      <c r="D5676" s="348">
        <v>1</v>
      </c>
      <c r="E5676" s="360" t="s">
        <v>125</v>
      </c>
    </row>
    <row r="5677" spans="1:6">
      <c r="A5677" s="346">
        <v>46078</v>
      </c>
      <c r="B5677" s="349" t="s">
        <v>1246</v>
      </c>
      <c r="C5677" s="348" t="s">
        <v>2093</v>
      </c>
      <c r="D5677" s="348">
        <v>1</v>
      </c>
      <c r="E5677" s="360" t="s">
        <v>125</v>
      </c>
    </row>
    <row r="5678" spans="1:6">
      <c r="A5678" s="346">
        <v>46078</v>
      </c>
      <c r="B5678" s="349" t="s">
        <v>1271</v>
      </c>
      <c r="C5678" s="348" t="s">
        <v>2093</v>
      </c>
      <c r="D5678" s="348">
        <v>3</v>
      </c>
      <c r="E5678" s="360" t="s">
        <v>125</v>
      </c>
    </row>
    <row r="5680" spans="1:6">
      <c r="A5680" s="437">
        <v>46079</v>
      </c>
      <c r="B5680" s="222" t="s">
        <v>1271</v>
      </c>
      <c r="C5680" s="220" t="s">
        <v>2778</v>
      </c>
      <c r="D5680" s="220">
        <v>1</v>
      </c>
      <c r="E5680" s="438" t="s">
        <v>125</v>
      </c>
    </row>
    <row r="5682" spans="1:6">
      <c r="A5682" s="335">
        <v>46079</v>
      </c>
      <c r="B5682" s="343" t="s">
        <v>1246</v>
      </c>
      <c r="C5682" s="345" t="s">
        <v>3291</v>
      </c>
      <c r="D5682" s="43">
        <v>-1</v>
      </c>
      <c r="E5682" s="230" t="s">
        <v>125</v>
      </c>
    </row>
    <row r="5683" spans="1:6">
      <c r="A5683" s="335">
        <v>46079</v>
      </c>
      <c r="B5683" s="343" t="s">
        <v>1271</v>
      </c>
      <c r="C5683" s="345" t="s">
        <v>3291</v>
      </c>
      <c r="D5683" s="43">
        <v>-2</v>
      </c>
      <c r="E5683" s="230" t="s">
        <v>125</v>
      </c>
    </row>
    <row r="5684" spans="1:6">
      <c r="A5684" s="335">
        <v>46079</v>
      </c>
      <c r="B5684" s="343" t="s">
        <v>1246</v>
      </c>
      <c r="C5684" s="43" t="s">
        <v>2929</v>
      </c>
      <c r="D5684" s="43">
        <v>-3</v>
      </c>
      <c r="E5684" s="230" t="s">
        <v>125</v>
      </c>
    </row>
    <row r="5685" spans="1:6">
      <c r="A5685" s="335">
        <v>46079</v>
      </c>
      <c r="B5685" s="343" t="s">
        <v>1246</v>
      </c>
      <c r="C5685" s="43" t="s">
        <v>2929</v>
      </c>
      <c r="D5685" s="43">
        <v>-1</v>
      </c>
      <c r="E5685" s="230" t="s">
        <v>125</v>
      </c>
    </row>
    <row r="5687" spans="1:6">
      <c r="A5687" s="323">
        <v>46077</v>
      </c>
      <c r="B5687" s="325" t="s">
        <v>806</v>
      </c>
      <c r="C5687" s="322" t="s">
        <v>388</v>
      </c>
      <c r="D5687" s="322">
        <v>95</v>
      </c>
      <c r="E5687" s="321" t="s">
        <v>125</v>
      </c>
      <c r="F5687" t="s">
        <v>1518</v>
      </c>
    </row>
    <row r="5688" spans="1:6">
      <c r="A5688" s="323">
        <v>46077</v>
      </c>
      <c r="B5688" s="324" t="s">
        <v>131</v>
      </c>
      <c r="C5688" s="322" t="s">
        <v>388</v>
      </c>
      <c r="D5688" s="322">
        <v>13</v>
      </c>
      <c r="E5688" s="321" t="s">
        <v>125</v>
      </c>
    </row>
    <row r="5689" spans="1:6">
      <c r="A5689" s="323">
        <v>46077</v>
      </c>
      <c r="B5689" s="425" t="s">
        <v>1149</v>
      </c>
      <c r="C5689" s="322" t="s">
        <v>388</v>
      </c>
      <c r="D5689" s="322">
        <v>1</v>
      </c>
      <c r="E5689" s="321" t="s">
        <v>125</v>
      </c>
    </row>
    <row r="5690" spans="1:6">
      <c r="A5690" s="323">
        <v>46077</v>
      </c>
      <c r="B5690" s="325" t="s">
        <v>1386</v>
      </c>
      <c r="C5690" s="322" t="s">
        <v>388</v>
      </c>
      <c r="D5690" s="322">
        <v>1</v>
      </c>
      <c r="E5690" s="321" t="s">
        <v>125</v>
      </c>
    </row>
    <row r="5691" spans="1:6">
      <c r="A5691" s="323">
        <v>46077</v>
      </c>
      <c r="B5691" s="325" t="s">
        <v>806</v>
      </c>
      <c r="C5691" s="322" t="s">
        <v>388</v>
      </c>
      <c r="D5691" s="322">
        <v>1</v>
      </c>
      <c r="E5691" s="321" t="s">
        <v>125</v>
      </c>
      <c r="F5691" t="s">
        <v>3415</v>
      </c>
    </row>
    <row r="5693" spans="1:6">
      <c r="A5693" s="323">
        <v>46080</v>
      </c>
      <c r="B5693" s="325" t="s">
        <v>1246</v>
      </c>
      <c r="C5693" s="322" t="s">
        <v>388</v>
      </c>
      <c r="D5693" s="322">
        <v>10</v>
      </c>
      <c r="E5693" s="321" t="s">
        <v>125</v>
      </c>
      <c r="F5693" t="s">
        <v>3443</v>
      </c>
    </row>
    <row r="5694" spans="1:6">
      <c r="A5694" s="323">
        <v>46080</v>
      </c>
      <c r="B5694" s="325" t="s">
        <v>1246</v>
      </c>
      <c r="C5694" s="322" t="s">
        <v>388</v>
      </c>
      <c r="D5694" s="322">
        <v>1</v>
      </c>
      <c r="E5694" s="321" t="s">
        <v>125</v>
      </c>
    </row>
    <row r="5695" spans="1:6">
      <c r="A5695" s="323">
        <v>46080</v>
      </c>
      <c r="B5695" s="325" t="s">
        <v>1246</v>
      </c>
      <c r="C5695" s="322" t="s">
        <v>388</v>
      </c>
      <c r="D5695" s="322">
        <v>1</v>
      </c>
      <c r="E5695" s="321" t="s">
        <v>125</v>
      </c>
    </row>
    <row r="5696" spans="1:6">
      <c r="A5696" s="323">
        <v>46080</v>
      </c>
      <c r="B5696" s="325" t="s">
        <v>1246</v>
      </c>
      <c r="C5696" s="322" t="s">
        <v>388</v>
      </c>
      <c r="D5696" s="322">
        <v>1</v>
      </c>
      <c r="E5696" s="321" t="s">
        <v>125</v>
      </c>
    </row>
    <row r="5697" spans="1:5">
      <c r="A5697" s="323">
        <v>46080</v>
      </c>
      <c r="B5697" s="324" t="s">
        <v>1387</v>
      </c>
      <c r="C5697" s="322" t="s">
        <v>388</v>
      </c>
      <c r="D5697" s="322">
        <v>4</v>
      </c>
      <c r="E5697" s="321" t="s">
        <v>125</v>
      </c>
    </row>
    <row r="5698" spans="1:5">
      <c r="A5698" s="323">
        <v>46080</v>
      </c>
      <c r="B5698" s="325" t="s">
        <v>1095</v>
      </c>
      <c r="C5698" s="322" t="s">
        <v>388</v>
      </c>
      <c r="D5698" s="322">
        <v>1</v>
      </c>
      <c r="E5698" s="321" t="s">
        <v>125</v>
      </c>
    </row>
    <row r="5699" spans="1:5">
      <c r="A5699" s="323">
        <v>46080</v>
      </c>
      <c r="B5699" s="325" t="s">
        <v>1202</v>
      </c>
      <c r="C5699" s="322" t="s">
        <v>388</v>
      </c>
      <c r="D5699" s="322">
        <v>2</v>
      </c>
      <c r="E5699" s="321" t="s">
        <v>125</v>
      </c>
    </row>
    <row r="5700" spans="1:5">
      <c r="A5700" s="323">
        <v>46080</v>
      </c>
      <c r="B5700" s="325" t="s">
        <v>1327</v>
      </c>
      <c r="C5700" s="322" t="s">
        <v>388</v>
      </c>
      <c r="D5700" s="322">
        <v>1</v>
      </c>
      <c r="E5700" s="321" t="s">
        <v>125</v>
      </c>
    </row>
    <row r="5701" spans="1:5">
      <c r="A5701" s="323">
        <v>46080</v>
      </c>
      <c r="B5701" s="325" t="s">
        <v>1291</v>
      </c>
      <c r="C5701" s="322" t="s">
        <v>388</v>
      </c>
      <c r="D5701" s="322">
        <v>2</v>
      </c>
      <c r="E5701" s="321" t="s">
        <v>125</v>
      </c>
    </row>
    <row r="5702" spans="1:5">
      <c r="A5702" s="323">
        <v>46080</v>
      </c>
      <c r="B5702" s="325" t="s">
        <v>1296</v>
      </c>
      <c r="C5702" s="322" t="s">
        <v>388</v>
      </c>
      <c r="D5702" s="322">
        <v>1</v>
      </c>
      <c r="E5702" s="321" t="s">
        <v>125</v>
      </c>
    </row>
    <row r="5703" spans="1:5">
      <c r="A5703" s="323">
        <v>46080</v>
      </c>
      <c r="B5703" s="324" t="s">
        <v>1994</v>
      </c>
      <c r="C5703" s="322" t="s">
        <v>388</v>
      </c>
      <c r="D5703" s="322">
        <v>2</v>
      </c>
      <c r="E5703" s="321" t="s">
        <v>125</v>
      </c>
    </row>
    <row r="5704" spans="1:5">
      <c r="A5704" s="323">
        <v>46080</v>
      </c>
      <c r="B5704" s="325" t="s">
        <v>1246</v>
      </c>
      <c r="C5704" s="322" t="s">
        <v>388</v>
      </c>
      <c r="D5704" s="322">
        <v>1</v>
      </c>
      <c r="E5704" s="321" t="s">
        <v>125</v>
      </c>
    </row>
    <row r="5705" spans="1:5">
      <c r="A5705" s="323">
        <v>46080</v>
      </c>
      <c r="B5705" s="325" t="s">
        <v>2719</v>
      </c>
      <c r="C5705" s="322" t="s">
        <v>388</v>
      </c>
      <c r="D5705" s="322">
        <v>2</v>
      </c>
      <c r="E5705" s="321" t="s">
        <v>125</v>
      </c>
    </row>
    <row r="5706" spans="1:5">
      <c r="A5706" s="323">
        <v>46080</v>
      </c>
      <c r="B5706" s="325" t="s">
        <v>1249</v>
      </c>
      <c r="C5706" s="322" t="s">
        <v>388</v>
      </c>
      <c r="D5706" s="322">
        <v>1</v>
      </c>
      <c r="E5706" s="321" t="s">
        <v>125</v>
      </c>
    </row>
    <row r="5707" spans="1:5">
      <c r="A5707" s="323">
        <v>46080</v>
      </c>
      <c r="B5707" s="425" t="s">
        <v>1149</v>
      </c>
      <c r="C5707" s="322" t="s">
        <v>388</v>
      </c>
      <c r="D5707" s="322">
        <v>1</v>
      </c>
      <c r="E5707" s="321" t="s">
        <v>125</v>
      </c>
    </row>
    <row r="5708" spans="1:5">
      <c r="A5708" s="323">
        <v>46080</v>
      </c>
      <c r="B5708" s="325" t="s">
        <v>1302</v>
      </c>
      <c r="C5708" s="322" t="s">
        <v>388</v>
      </c>
      <c r="D5708" s="322">
        <v>2</v>
      </c>
      <c r="E5708" s="321" t="s">
        <v>125</v>
      </c>
    </row>
    <row r="5710" spans="1:5">
      <c r="A5710" s="272">
        <v>46078</v>
      </c>
      <c r="B5710" s="128" t="s">
        <v>78</v>
      </c>
      <c r="C5710" s="106" t="s">
        <v>49</v>
      </c>
      <c r="D5710" s="106">
        <v>3</v>
      </c>
      <c r="E5710" s="94" t="s">
        <v>125</v>
      </c>
    </row>
    <row r="5711" spans="1:5">
      <c r="A5711" s="272">
        <v>46078</v>
      </c>
      <c r="B5711" s="128" t="s">
        <v>76</v>
      </c>
      <c r="C5711" s="106" t="s">
        <v>49</v>
      </c>
      <c r="D5711" s="106">
        <v>4</v>
      </c>
      <c r="E5711" s="94" t="s">
        <v>125</v>
      </c>
    </row>
    <row r="5712" spans="1:5">
      <c r="A5712" s="272">
        <v>46078</v>
      </c>
      <c r="B5712" s="128" t="s">
        <v>76</v>
      </c>
      <c r="C5712" s="106" t="s">
        <v>49</v>
      </c>
      <c r="D5712" s="106">
        <v>4</v>
      </c>
      <c r="E5712" s="94" t="s">
        <v>125</v>
      </c>
    </row>
    <row r="5713" spans="1:6">
      <c r="A5713" s="272">
        <v>46078</v>
      </c>
      <c r="B5713" s="128" t="s">
        <v>78</v>
      </c>
      <c r="C5713" s="106" t="s">
        <v>49</v>
      </c>
      <c r="D5713" s="106">
        <v>50</v>
      </c>
      <c r="E5713" s="94" t="s">
        <v>125</v>
      </c>
    </row>
    <row r="5714" spans="1:6">
      <c r="A5714" s="272">
        <v>46078</v>
      </c>
      <c r="B5714" s="128" t="s">
        <v>76</v>
      </c>
      <c r="C5714" s="106" t="s">
        <v>49</v>
      </c>
      <c r="D5714" s="106">
        <v>2</v>
      </c>
      <c r="E5714" s="94" t="s">
        <v>125</v>
      </c>
    </row>
    <row r="5715" spans="1:6">
      <c r="A5715" s="272">
        <v>46078</v>
      </c>
      <c r="B5715" s="139" t="s">
        <v>2312</v>
      </c>
      <c r="C5715" s="106" t="s">
        <v>49</v>
      </c>
      <c r="D5715" s="106">
        <v>1</v>
      </c>
      <c r="E5715" s="94" t="s">
        <v>125</v>
      </c>
    </row>
    <row r="5716" spans="1:6">
      <c r="A5716" s="272">
        <v>46078</v>
      </c>
      <c r="B5716" s="128" t="s">
        <v>672</v>
      </c>
      <c r="C5716" s="106" t="s">
        <v>49</v>
      </c>
      <c r="D5716" s="106">
        <v>1</v>
      </c>
      <c r="E5716" s="94" t="s">
        <v>125</v>
      </c>
    </row>
    <row r="5717" spans="1:6">
      <c r="A5717" s="272">
        <v>46078</v>
      </c>
      <c r="B5717" s="128" t="s">
        <v>672</v>
      </c>
      <c r="C5717" s="106" t="s">
        <v>49</v>
      </c>
      <c r="D5717" s="106">
        <v>1</v>
      </c>
      <c r="E5717" s="94" t="s">
        <v>125</v>
      </c>
    </row>
    <row r="5718" spans="1:6">
      <c r="A5718" s="272">
        <v>46078</v>
      </c>
      <c r="B5718" s="139" t="s">
        <v>1270</v>
      </c>
      <c r="C5718" s="106" t="s">
        <v>49</v>
      </c>
      <c r="D5718" s="106">
        <v>2</v>
      </c>
      <c r="E5718" s="94" t="s">
        <v>125</v>
      </c>
    </row>
    <row r="5719" spans="1:6">
      <c r="A5719" s="272">
        <v>46078</v>
      </c>
      <c r="B5719" s="234" t="s">
        <v>881</v>
      </c>
      <c r="C5719" s="106" t="s">
        <v>49</v>
      </c>
      <c r="D5719" s="106">
        <v>3</v>
      </c>
      <c r="E5719" s="94" t="s">
        <v>125</v>
      </c>
    </row>
    <row r="5720" spans="1:6">
      <c r="A5720" s="272">
        <v>46078</v>
      </c>
      <c r="B5720" s="139" t="s">
        <v>1291</v>
      </c>
      <c r="C5720" s="106" t="s">
        <v>49</v>
      </c>
      <c r="D5720" s="106">
        <v>0</v>
      </c>
      <c r="E5720" s="94" t="s">
        <v>125</v>
      </c>
      <c r="F5720" t="s">
        <v>3800</v>
      </c>
    </row>
    <row r="5721" spans="1:6">
      <c r="A5721" s="272">
        <v>46078</v>
      </c>
      <c r="B5721" s="128" t="s">
        <v>76</v>
      </c>
      <c r="C5721" s="106" t="s">
        <v>49</v>
      </c>
      <c r="D5721" s="106">
        <v>80</v>
      </c>
      <c r="E5721" s="94" t="s">
        <v>125</v>
      </c>
    </row>
    <row r="5722" spans="1:6">
      <c r="A5722" s="272">
        <v>46078</v>
      </c>
      <c r="B5722" s="128" t="s">
        <v>76</v>
      </c>
      <c r="C5722" s="106" t="s">
        <v>49</v>
      </c>
      <c r="D5722" s="106">
        <v>60</v>
      </c>
      <c r="E5722" s="94" t="s">
        <v>125</v>
      </c>
    </row>
    <row r="5723" spans="1:6">
      <c r="A5723" s="272">
        <v>46078</v>
      </c>
      <c r="B5723" s="139" t="s">
        <v>1246</v>
      </c>
      <c r="C5723" s="106" t="s">
        <v>49</v>
      </c>
      <c r="D5723" s="106">
        <v>10</v>
      </c>
      <c r="E5723" s="94" t="s">
        <v>125</v>
      </c>
    </row>
    <row r="5724" spans="1:6">
      <c r="A5724" s="272">
        <v>46078</v>
      </c>
      <c r="B5724" s="128" t="s">
        <v>76</v>
      </c>
      <c r="C5724" s="106" t="s">
        <v>49</v>
      </c>
      <c r="D5724" s="106">
        <v>4</v>
      </c>
      <c r="E5724" s="94" t="s">
        <v>125</v>
      </c>
    </row>
    <row r="5725" spans="1:6">
      <c r="A5725" s="272">
        <v>46078</v>
      </c>
      <c r="B5725" s="139" t="s">
        <v>1246</v>
      </c>
      <c r="C5725" s="106" t="s">
        <v>49</v>
      </c>
      <c r="D5725" s="106">
        <v>4</v>
      </c>
      <c r="E5725" s="94" t="s">
        <v>125</v>
      </c>
    </row>
    <row r="5726" spans="1:6">
      <c r="A5726" s="272">
        <v>46078</v>
      </c>
      <c r="B5726" s="128" t="s">
        <v>76</v>
      </c>
      <c r="C5726" s="106" t="s">
        <v>49</v>
      </c>
      <c r="D5726" s="106">
        <v>5</v>
      </c>
      <c r="E5726" s="94" t="s">
        <v>125</v>
      </c>
    </row>
    <row r="5727" spans="1:6">
      <c r="A5727" s="272">
        <v>46078</v>
      </c>
      <c r="B5727" s="128" t="s">
        <v>76</v>
      </c>
      <c r="C5727" s="106" t="s">
        <v>49</v>
      </c>
      <c r="D5727" s="106">
        <v>40</v>
      </c>
      <c r="E5727" s="94" t="s">
        <v>125</v>
      </c>
    </row>
    <row r="5728" spans="1:6">
      <c r="A5728" s="272">
        <v>46078</v>
      </c>
      <c r="B5728" s="139" t="s">
        <v>3464</v>
      </c>
      <c r="C5728" s="106" t="s">
        <v>49</v>
      </c>
      <c r="D5728" s="106">
        <v>5</v>
      </c>
      <c r="E5728" s="94" t="s">
        <v>125</v>
      </c>
    </row>
    <row r="5730" spans="1:5">
      <c r="A5730" s="581">
        <v>46078</v>
      </c>
      <c r="B5730" s="582" t="s">
        <v>839</v>
      </c>
      <c r="C5730" s="292" t="s">
        <v>49</v>
      </c>
      <c r="D5730" s="292">
        <v>3</v>
      </c>
      <c r="E5730" s="294" t="s">
        <v>125</v>
      </c>
    </row>
    <row r="5732" spans="1:5">
      <c r="A5732" s="272">
        <v>46078</v>
      </c>
      <c r="B5732" s="139" t="s">
        <v>1327</v>
      </c>
      <c r="C5732" s="106" t="s">
        <v>49</v>
      </c>
      <c r="D5732" s="106">
        <v>2</v>
      </c>
      <c r="E5732" s="94" t="s">
        <v>125</v>
      </c>
    </row>
    <row r="5734" spans="1:5">
      <c r="A5734" s="335">
        <v>46081</v>
      </c>
      <c r="B5734" s="343" t="s">
        <v>1409</v>
      </c>
      <c r="C5734" s="345" t="s">
        <v>2207</v>
      </c>
      <c r="D5734" s="345">
        <v>-5</v>
      </c>
      <c r="E5734" s="230" t="s">
        <v>125</v>
      </c>
    </row>
    <row r="5735" spans="1:5">
      <c r="A5735" s="335">
        <v>46081</v>
      </c>
      <c r="B5735" s="343" t="s">
        <v>136</v>
      </c>
      <c r="C5735" s="345" t="s">
        <v>2207</v>
      </c>
      <c r="D5735" s="345">
        <v>-1</v>
      </c>
      <c r="E5735" s="230" t="s">
        <v>125</v>
      </c>
    </row>
    <row r="5736" spans="1:5">
      <c r="A5736" s="335">
        <v>46081</v>
      </c>
      <c r="B5736" s="343" t="s">
        <v>1312</v>
      </c>
      <c r="C5736" s="345" t="s">
        <v>2207</v>
      </c>
      <c r="D5736" s="345">
        <v>-1</v>
      </c>
      <c r="E5736" s="230" t="s">
        <v>125</v>
      </c>
    </row>
    <row r="5737" spans="1:5">
      <c r="A5737" s="335">
        <v>46081</v>
      </c>
      <c r="B5737" s="343" t="s">
        <v>977</v>
      </c>
      <c r="C5737" s="345" t="s">
        <v>2207</v>
      </c>
      <c r="D5737" s="345">
        <v>-5</v>
      </c>
      <c r="E5737" s="230" t="s">
        <v>125</v>
      </c>
    </row>
    <row r="5738" spans="1:5">
      <c r="A5738" s="335">
        <v>46081</v>
      </c>
      <c r="B5738" s="343" t="s">
        <v>977</v>
      </c>
      <c r="C5738" s="345" t="s">
        <v>2207</v>
      </c>
      <c r="D5738" s="345">
        <v>-1</v>
      </c>
      <c r="E5738" s="230" t="s">
        <v>125</v>
      </c>
    </row>
    <row r="5739" spans="1:5">
      <c r="A5739" s="335">
        <v>46081</v>
      </c>
      <c r="B5739" s="343" t="s">
        <v>154</v>
      </c>
      <c r="C5739" s="345" t="s">
        <v>2207</v>
      </c>
      <c r="D5739" s="345">
        <v>-7</v>
      </c>
      <c r="E5739" s="230" t="s">
        <v>125</v>
      </c>
    </row>
    <row r="5740" spans="1:5">
      <c r="A5740" s="335">
        <v>46081</v>
      </c>
      <c r="B5740" s="343" t="s">
        <v>154</v>
      </c>
      <c r="C5740" s="345" t="s">
        <v>2207</v>
      </c>
      <c r="D5740" s="345">
        <v>-7</v>
      </c>
      <c r="E5740" s="230" t="s">
        <v>125</v>
      </c>
    </row>
    <row r="5741" spans="1:5">
      <c r="A5741" s="335">
        <v>46081</v>
      </c>
      <c r="B5741" s="342" t="s">
        <v>131</v>
      </c>
      <c r="C5741" s="345" t="s">
        <v>2207</v>
      </c>
      <c r="D5741" s="345">
        <v>-10</v>
      </c>
      <c r="E5741" s="230" t="s">
        <v>125</v>
      </c>
    </row>
    <row r="5742" spans="1:5">
      <c r="A5742" s="335">
        <v>46081</v>
      </c>
      <c r="B5742" s="344" t="s">
        <v>375</v>
      </c>
      <c r="C5742" s="345" t="s">
        <v>2207</v>
      </c>
      <c r="D5742" s="345">
        <v>-5</v>
      </c>
      <c r="E5742" s="230" t="s">
        <v>125</v>
      </c>
    </row>
    <row r="5743" spans="1:5">
      <c r="A5743" s="335">
        <v>46081</v>
      </c>
      <c r="B5743" s="344" t="s">
        <v>375</v>
      </c>
      <c r="C5743" s="345" t="s">
        <v>2207</v>
      </c>
      <c r="D5743" s="345">
        <v>-5</v>
      </c>
      <c r="E5743" s="230" t="s">
        <v>125</v>
      </c>
    </row>
    <row r="5744" spans="1:5">
      <c r="A5744" s="335">
        <v>46081</v>
      </c>
      <c r="B5744" s="344" t="s">
        <v>375</v>
      </c>
      <c r="C5744" s="345" t="s">
        <v>2207</v>
      </c>
      <c r="D5744" s="345">
        <v>-1</v>
      </c>
      <c r="E5744" s="230" t="s">
        <v>125</v>
      </c>
    </row>
    <row r="5745" spans="1:5">
      <c r="A5745" s="335">
        <v>46081</v>
      </c>
      <c r="B5745" s="344" t="s">
        <v>375</v>
      </c>
      <c r="C5745" s="345" t="s">
        <v>2207</v>
      </c>
      <c r="D5745" s="345">
        <v>-1</v>
      </c>
      <c r="E5745" s="230" t="s">
        <v>125</v>
      </c>
    </row>
    <row r="5746" spans="1:5">
      <c r="A5746" s="335">
        <v>46081</v>
      </c>
      <c r="B5746" s="344" t="s">
        <v>375</v>
      </c>
      <c r="C5746" s="345" t="s">
        <v>2207</v>
      </c>
      <c r="D5746" s="345">
        <v>-2</v>
      </c>
      <c r="E5746" s="230" t="s">
        <v>125</v>
      </c>
    </row>
    <row r="5747" spans="1:5">
      <c r="A5747" s="335">
        <v>46081</v>
      </c>
      <c r="B5747" s="343" t="s">
        <v>1575</v>
      </c>
      <c r="C5747" s="345" t="s">
        <v>2207</v>
      </c>
      <c r="D5747" s="345">
        <v>-31</v>
      </c>
      <c r="E5747" s="230" t="s">
        <v>125</v>
      </c>
    </row>
    <row r="5748" spans="1:5">
      <c r="A5748" s="335">
        <v>46081</v>
      </c>
      <c r="B5748" s="342" t="s">
        <v>477</v>
      </c>
      <c r="C5748" s="345" t="s">
        <v>2207</v>
      </c>
      <c r="D5748" s="345">
        <v>-20</v>
      </c>
      <c r="E5748" s="230" t="s">
        <v>125</v>
      </c>
    </row>
    <row r="5749" spans="1:5">
      <c r="A5749" s="335">
        <v>46081</v>
      </c>
      <c r="B5749" s="343" t="s">
        <v>1782</v>
      </c>
      <c r="C5749" s="345" t="s">
        <v>2207</v>
      </c>
      <c r="D5749" s="345">
        <v>-7</v>
      </c>
      <c r="E5749" s="230" t="s">
        <v>125</v>
      </c>
    </row>
    <row r="5750" spans="1:5">
      <c r="A5750" s="335">
        <v>46081</v>
      </c>
      <c r="B5750" s="343" t="s">
        <v>1246</v>
      </c>
      <c r="C5750" s="43" t="s">
        <v>3465</v>
      </c>
      <c r="D5750" s="43">
        <v>-1</v>
      </c>
      <c r="E5750" s="230" t="s">
        <v>125</v>
      </c>
    </row>
    <row r="5751" spans="1:5">
      <c r="A5751" s="335">
        <v>46081</v>
      </c>
      <c r="B5751" s="342" t="s">
        <v>2155</v>
      </c>
      <c r="C5751" s="43" t="s">
        <v>2608</v>
      </c>
      <c r="D5751" s="43">
        <v>-1</v>
      </c>
      <c r="E5751" s="230" t="s">
        <v>125</v>
      </c>
    </row>
    <row r="5752" spans="1:5">
      <c r="A5752" s="335">
        <v>46081</v>
      </c>
      <c r="B5752" s="342" t="s">
        <v>2156</v>
      </c>
      <c r="C5752" s="43" t="s">
        <v>2608</v>
      </c>
      <c r="D5752" s="43">
        <v>-1</v>
      </c>
      <c r="E5752" s="230" t="s">
        <v>125</v>
      </c>
    </row>
    <row r="5753" spans="1:5">
      <c r="A5753" s="335">
        <v>46081</v>
      </c>
      <c r="B5753" s="343" t="s">
        <v>1246</v>
      </c>
      <c r="C5753" s="43" t="s">
        <v>3466</v>
      </c>
      <c r="D5753" s="43">
        <v>-1</v>
      </c>
      <c r="E5753" s="230" t="s">
        <v>125</v>
      </c>
    </row>
    <row r="5754" spans="1:5">
      <c r="A5754" s="335">
        <v>46081</v>
      </c>
      <c r="B5754" s="342" t="s">
        <v>2154</v>
      </c>
      <c r="C5754" s="43" t="s">
        <v>3467</v>
      </c>
      <c r="D5754" s="43">
        <v>-1</v>
      </c>
      <c r="E5754" s="230" t="s">
        <v>125</v>
      </c>
    </row>
    <row r="5755" spans="1:5">
      <c r="A5755" s="335">
        <v>46081</v>
      </c>
      <c r="B5755" s="343" t="s">
        <v>1246</v>
      </c>
      <c r="C5755" s="43" t="s">
        <v>1663</v>
      </c>
      <c r="D5755" s="43">
        <v>-8</v>
      </c>
      <c r="E5755" s="230" t="s">
        <v>125</v>
      </c>
    </row>
    <row r="5756" spans="1:5">
      <c r="A5756" s="335">
        <v>46081</v>
      </c>
      <c r="B5756" s="344" t="s">
        <v>1149</v>
      </c>
      <c r="C5756" s="43" t="s">
        <v>3468</v>
      </c>
      <c r="D5756" s="43">
        <v>-1</v>
      </c>
      <c r="E5756" s="230" t="s">
        <v>125</v>
      </c>
    </row>
    <row r="5757" spans="1:5">
      <c r="A5757" s="335">
        <v>46081</v>
      </c>
      <c r="B5757" s="93" t="s">
        <v>865</v>
      </c>
      <c r="C5757" s="43" t="s">
        <v>1595</v>
      </c>
      <c r="D5757" s="43">
        <v>-2</v>
      </c>
      <c r="E5757" s="230" t="s">
        <v>125</v>
      </c>
    </row>
    <row r="5758" spans="1:5">
      <c r="A5758" s="335">
        <v>46081</v>
      </c>
      <c r="B5758" s="342" t="s">
        <v>2156</v>
      </c>
      <c r="C5758" s="43" t="s">
        <v>2608</v>
      </c>
      <c r="D5758" s="43">
        <v>-1</v>
      </c>
      <c r="E5758" s="230" t="s">
        <v>125</v>
      </c>
    </row>
    <row r="5759" spans="1:5">
      <c r="A5759" s="335">
        <v>46081</v>
      </c>
      <c r="B5759" s="343" t="s">
        <v>1327</v>
      </c>
      <c r="C5759" s="43" t="s">
        <v>3004</v>
      </c>
      <c r="D5759" s="43">
        <v>-20</v>
      </c>
      <c r="E5759" s="230" t="s">
        <v>125</v>
      </c>
    </row>
    <row r="5760" spans="1:5">
      <c r="A5760" s="335">
        <v>46081</v>
      </c>
      <c r="B5760" s="343" t="s">
        <v>1246</v>
      </c>
      <c r="C5760" s="43" t="s">
        <v>3004</v>
      </c>
      <c r="D5760" s="43">
        <v>-4</v>
      </c>
      <c r="E5760" s="230" t="s">
        <v>125</v>
      </c>
    </row>
    <row r="5761" spans="1:6">
      <c r="A5761" s="335">
        <v>46081</v>
      </c>
      <c r="B5761" s="343" t="s">
        <v>1327</v>
      </c>
      <c r="C5761" s="43" t="s">
        <v>3004</v>
      </c>
      <c r="D5761" s="43">
        <v>-8</v>
      </c>
      <c r="E5761" s="230" t="s">
        <v>125</v>
      </c>
    </row>
    <row r="5762" spans="1:6">
      <c r="A5762" s="335">
        <v>46081</v>
      </c>
      <c r="B5762" s="343" t="s">
        <v>1249</v>
      </c>
      <c r="C5762" s="43" t="s">
        <v>3004</v>
      </c>
      <c r="D5762" s="43">
        <v>-1</v>
      </c>
      <c r="E5762" s="230" t="s">
        <v>125</v>
      </c>
    </row>
    <row r="5763" spans="1:6">
      <c r="A5763" s="335">
        <v>46081</v>
      </c>
      <c r="B5763" s="343" t="s">
        <v>1291</v>
      </c>
      <c r="C5763" s="43" t="s">
        <v>2724</v>
      </c>
      <c r="D5763" s="43">
        <v>-3</v>
      </c>
      <c r="E5763" s="230" t="s">
        <v>125</v>
      </c>
    </row>
    <row r="5764" spans="1:6">
      <c r="A5764" s="335">
        <v>46081</v>
      </c>
      <c r="B5764" s="93" t="s">
        <v>1096</v>
      </c>
      <c r="C5764" s="43" t="s">
        <v>2724</v>
      </c>
      <c r="D5764" s="43">
        <v>-2</v>
      </c>
      <c r="E5764" s="230" t="s">
        <v>125</v>
      </c>
    </row>
    <row r="5765" spans="1:6">
      <c r="A5765" s="335">
        <v>46081</v>
      </c>
      <c r="B5765" s="93" t="s">
        <v>1490</v>
      </c>
      <c r="C5765" s="43" t="s">
        <v>2724</v>
      </c>
      <c r="D5765" s="43">
        <v>-4</v>
      </c>
      <c r="E5765" s="230" t="s">
        <v>125</v>
      </c>
    </row>
    <row r="5766" spans="1:6">
      <c r="A5766" s="335">
        <v>46081</v>
      </c>
      <c r="B5766" s="93" t="s">
        <v>1490</v>
      </c>
      <c r="C5766" s="43" t="s">
        <v>2724</v>
      </c>
      <c r="D5766" s="43">
        <v>-1</v>
      </c>
      <c r="E5766" s="230" t="s">
        <v>125</v>
      </c>
    </row>
    <row r="5767" spans="1:6">
      <c r="A5767" s="335">
        <v>46081</v>
      </c>
      <c r="B5767" s="84" t="s">
        <v>1387</v>
      </c>
      <c r="C5767" s="43" t="s">
        <v>2724</v>
      </c>
      <c r="D5767" s="43">
        <v>-4</v>
      </c>
      <c r="E5767" s="230" t="s">
        <v>125</v>
      </c>
    </row>
    <row r="5769" spans="1:6">
      <c r="A5769" s="323">
        <v>46073</v>
      </c>
      <c r="B5769" s="970" t="s">
        <v>76</v>
      </c>
      <c r="C5769" s="322" t="s">
        <v>388</v>
      </c>
      <c r="D5769" s="322">
        <v>25</v>
      </c>
      <c r="E5769" s="321" t="s">
        <v>125</v>
      </c>
      <c r="F5769" t="s">
        <v>3700</v>
      </c>
    </row>
    <row r="5770" spans="1:6">
      <c r="A5770" s="323">
        <v>46073</v>
      </c>
      <c r="B5770" s="325" t="s">
        <v>806</v>
      </c>
      <c r="C5770" s="322" t="s">
        <v>388</v>
      </c>
      <c r="D5770" s="322">
        <v>30</v>
      </c>
      <c r="E5770" s="321" t="s">
        <v>125</v>
      </c>
    </row>
    <row r="5771" spans="1:6">
      <c r="A5771" s="323">
        <v>46073</v>
      </c>
      <c r="B5771" s="324" t="s">
        <v>131</v>
      </c>
      <c r="C5771" s="322" t="s">
        <v>388</v>
      </c>
      <c r="D5771" s="322">
        <v>10</v>
      </c>
      <c r="E5771" s="321" t="s">
        <v>125</v>
      </c>
    </row>
    <row r="5772" spans="1:6">
      <c r="A5772" s="323">
        <v>46073</v>
      </c>
      <c r="B5772" s="425" t="s">
        <v>375</v>
      </c>
      <c r="C5772" s="322" t="s">
        <v>388</v>
      </c>
      <c r="D5772" s="322">
        <v>7</v>
      </c>
      <c r="E5772" s="321" t="s">
        <v>125</v>
      </c>
    </row>
    <row r="5773" spans="1:6">
      <c r="A5773" s="323">
        <v>46073</v>
      </c>
      <c r="B5773" s="425" t="s">
        <v>375</v>
      </c>
      <c r="C5773" s="322" t="s">
        <v>388</v>
      </c>
      <c r="D5773" s="322">
        <v>4</v>
      </c>
      <c r="E5773" s="321" t="s">
        <v>125</v>
      </c>
    </row>
    <row r="5774" spans="1:6">
      <c r="A5774" s="323">
        <v>46073</v>
      </c>
      <c r="B5774" s="425" t="s">
        <v>375</v>
      </c>
      <c r="C5774" s="322" t="s">
        <v>388</v>
      </c>
      <c r="D5774" s="322">
        <v>3</v>
      </c>
      <c r="E5774" s="321" t="s">
        <v>125</v>
      </c>
    </row>
    <row r="5775" spans="1:6">
      <c r="A5775" s="323">
        <v>46073</v>
      </c>
      <c r="B5775" s="325" t="s">
        <v>977</v>
      </c>
      <c r="C5775" s="322" t="s">
        <v>388</v>
      </c>
      <c r="D5775" s="322">
        <v>6</v>
      </c>
      <c r="E5775" s="321" t="s">
        <v>125</v>
      </c>
    </row>
    <row r="5776" spans="1:6">
      <c r="A5776" s="323">
        <v>46073</v>
      </c>
      <c r="B5776" s="325" t="s">
        <v>807</v>
      </c>
      <c r="C5776" s="322" t="s">
        <v>388</v>
      </c>
      <c r="D5776" s="322">
        <v>3</v>
      </c>
      <c r="E5776" s="321" t="s">
        <v>125</v>
      </c>
    </row>
    <row r="5777" spans="1:5">
      <c r="A5777" s="323">
        <v>46073</v>
      </c>
      <c r="B5777" s="325" t="s">
        <v>808</v>
      </c>
      <c r="C5777" s="322" t="s">
        <v>388</v>
      </c>
      <c r="D5777" s="322">
        <v>1</v>
      </c>
      <c r="E5777" s="321" t="s">
        <v>125</v>
      </c>
    </row>
    <row r="5778" spans="1:5">
      <c r="A5778" s="323">
        <v>46073</v>
      </c>
      <c r="B5778" s="325" t="s">
        <v>154</v>
      </c>
      <c r="C5778" s="322" t="s">
        <v>388</v>
      </c>
      <c r="D5778" s="322">
        <v>5</v>
      </c>
      <c r="E5778" s="321" t="s">
        <v>125</v>
      </c>
    </row>
    <row r="5779" spans="1:5">
      <c r="A5779" s="323">
        <v>46073</v>
      </c>
      <c r="B5779" s="325" t="s">
        <v>2625</v>
      </c>
      <c r="C5779" s="322" t="s">
        <v>388</v>
      </c>
      <c r="D5779" s="322">
        <v>4</v>
      </c>
      <c r="E5779" s="321" t="s">
        <v>125</v>
      </c>
    </row>
    <row r="5780" spans="1:5">
      <c r="A5780" s="323">
        <v>46073</v>
      </c>
      <c r="B5780" s="325" t="s">
        <v>1409</v>
      </c>
      <c r="C5780" s="322" t="s">
        <v>388</v>
      </c>
      <c r="D5780" s="322">
        <v>3</v>
      </c>
      <c r="E5780" s="321" t="s">
        <v>125</v>
      </c>
    </row>
    <row r="5781" spans="1:5">
      <c r="A5781" s="323">
        <v>46073</v>
      </c>
      <c r="B5781" s="325" t="s">
        <v>1409</v>
      </c>
      <c r="C5781" s="322" t="s">
        <v>388</v>
      </c>
      <c r="D5781" s="322">
        <v>2</v>
      </c>
      <c r="E5781" s="321" t="s">
        <v>125</v>
      </c>
    </row>
    <row r="5782" spans="1:5">
      <c r="A5782" s="323">
        <v>46073</v>
      </c>
      <c r="B5782" s="325" t="s">
        <v>1202</v>
      </c>
      <c r="C5782" s="322" t="s">
        <v>388</v>
      </c>
      <c r="D5782" s="322">
        <v>1</v>
      </c>
      <c r="E5782" s="321" t="s">
        <v>125</v>
      </c>
    </row>
    <row r="5783" spans="1:5">
      <c r="A5783" s="323">
        <v>46073</v>
      </c>
      <c r="B5783" s="325" t="s">
        <v>1202</v>
      </c>
      <c r="C5783" s="322" t="s">
        <v>388</v>
      </c>
      <c r="D5783" s="322">
        <v>2</v>
      </c>
      <c r="E5783" s="321" t="s">
        <v>125</v>
      </c>
    </row>
    <row r="5784" spans="1:5">
      <c r="A5784" s="323">
        <v>46073</v>
      </c>
      <c r="B5784" s="324" t="s">
        <v>1387</v>
      </c>
      <c r="C5784" s="322" t="s">
        <v>388</v>
      </c>
      <c r="D5784" s="322">
        <v>1</v>
      </c>
      <c r="E5784" s="321" t="s">
        <v>125</v>
      </c>
    </row>
    <row r="5785" spans="1:5">
      <c r="A5785" s="323">
        <v>46073</v>
      </c>
      <c r="B5785" s="325" t="s">
        <v>1334</v>
      </c>
      <c r="C5785" s="322" t="s">
        <v>388</v>
      </c>
      <c r="D5785" s="322">
        <v>1</v>
      </c>
      <c r="E5785" s="321" t="s">
        <v>125</v>
      </c>
    </row>
    <row r="5786" spans="1:5">
      <c r="A5786" s="323">
        <v>46073</v>
      </c>
      <c r="B5786" s="325" t="s">
        <v>1490</v>
      </c>
      <c r="C5786" s="322" t="s">
        <v>388</v>
      </c>
      <c r="D5786" s="322">
        <v>1</v>
      </c>
      <c r="E5786" s="321" t="s">
        <v>125</v>
      </c>
    </row>
    <row r="5787" spans="1:5">
      <c r="A5787" s="323">
        <v>46073</v>
      </c>
      <c r="B5787" s="325" t="s">
        <v>1491</v>
      </c>
      <c r="C5787" s="322" t="s">
        <v>388</v>
      </c>
      <c r="D5787" s="322">
        <v>1</v>
      </c>
      <c r="E5787" s="321" t="s">
        <v>125</v>
      </c>
    </row>
    <row r="5788" spans="1:5">
      <c r="A5788" s="323">
        <v>46073</v>
      </c>
      <c r="B5788" s="325" t="s">
        <v>136</v>
      </c>
      <c r="C5788" s="322" t="s">
        <v>388</v>
      </c>
      <c r="D5788" s="322">
        <v>1</v>
      </c>
      <c r="E5788" s="321" t="s">
        <v>125</v>
      </c>
    </row>
    <row r="5789" spans="1:5">
      <c r="A5789" s="323">
        <v>46073</v>
      </c>
      <c r="B5789" s="325" t="s">
        <v>136</v>
      </c>
      <c r="C5789" s="322" t="s">
        <v>388</v>
      </c>
      <c r="D5789" s="322">
        <v>1</v>
      </c>
      <c r="E5789" s="321" t="s">
        <v>125</v>
      </c>
    </row>
    <row r="5790" spans="1:5">
      <c r="A5790" s="323">
        <v>46073</v>
      </c>
      <c r="B5790" s="325" t="s">
        <v>977</v>
      </c>
      <c r="C5790" s="322" t="s">
        <v>388</v>
      </c>
      <c r="D5790" s="322">
        <v>1</v>
      </c>
      <c r="E5790" s="321" t="s">
        <v>125</v>
      </c>
    </row>
    <row r="5791" spans="1:5">
      <c r="A5791" s="323">
        <v>46073</v>
      </c>
      <c r="B5791" s="970" t="s">
        <v>85</v>
      </c>
      <c r="C5791" s="322" t="s">
        <v>388</v>
      </c>
      <c r="D5791" s="322">
        <v>1</v>
      </c>
      <c r="E5791" s="321" t="s">
        <v>125</v>
      </c>
    </row>
    <row r="5792" spans="1:5">
      <c r="A5792" s="323">
        <v>46073</v>
      </c>
      <c r="B5792" s="325" t="s">
        <v>3699</v>
      </c>
      <c r="C5792" s="322" t="s">
        <v>388</v>
      </c>
      <c r="D5792" s="322">
        <v>1</v>
      </c>
      <c r="E5792" s="321" t="s">
        <v>125</v>
      </c>
    </row>
    <row r="5794" spans="1:6">
      <c r="A5794" s="323">
        <v>46073</v>
      </c>
      <c r="B5794" s="325" t="s">
        <v>154</v>
      </c>
      <c r="C5794" s="322" t="s">
        <v>388</v>
      </c>
      <c r="D5794" s="322">
        <v>4</v>
      </c>
      <c r="E5794" s="321" t="s">
        <v>125</v>
      </c>
      <c r="F5794" s="731" t="s">
        <v>3704</v>
      </c>
    </row>
    <row r="5795" spans="1:6">
      <c r="A5795" s="323">
        <v>46073</v>
      </c>
      <c r="B5795" s="425" t="s">
        <v>375</v>
      </c>
      <c r="C5795" s="322" t="s">
        <v>388</v>
      </c>
      <c r="D5795" s="322">
        <v>1</v>
      </c>
      <c r="E5795" s="321" t="s">
        <v>125</v>
      </c>
    </row>
    <row r="5796" spans="1:6">
      <c r="A5796" s="323">
        <v>46073</v>
      </c>
      <c r="B5796" s="970" t="s">
        <v>3701</v>
      </c>
      <c r="C5796" s="322" t="s">
        <v>388</v>
      </c>
      <c r="D5796" s="322">
        <v>2</v>
      </c>
      <c r="E5796" s="321" t="s">
        <v>125</v>
      </c>
    </row>
    <row r="5797" spans="1:6">
      <c r="A5797" s="323">
        <v>46073</v>
      </c>
      <c r="B5797" s="425" t="s">
        <v>3702</v>
      </c>
      <c r="C5797" s="322" t="s">
        <v>388</v>
      </c>
      <c r="D5797" s="322">
        <v>1</v>
      </c>
      <c r="E5797" s="321" t="s">
        <v>125</v>
      </c>
    </row>
    <row r="5798" spans="1:6">
      <c r="A5798" s="323">
        <v>46073</v>
      </c>
      <c r="B5798" s="425" t="s">
        <v>3703</v>
      </c>
      <c r="C5798" s="322" t="s">
        <v>388</v>
      </c>
      <c r="D5798" s="322">
        <v>1</v>
      </c>
      <c r="E5798" s="321" t="s">
        <v>125</v>
      </c>
    </row>
    <row r="5800" spans="1:6">
      <c r="A5800" s="323">
        <v>46080</v>
      </c>
      <c r="B5800" s="325" t="s">
        <v>1246</v>
      </c>
      <c r="C5800" s="322" t="s">
        <v>388</v>
      </c>
      <c r="D5800" s="322">
        <v>5</v>
      </c>
      <c r="E5800" s="321" t="s">
        <v>125</v>
      </c>
      <c r="F5800" t="s">
        <v>3530</v>
      </c>
    </row>
    <row r="5801" spans="1:6">
      <c r="A5801" s="323">
        <v>46080</v>
      </c>
      <c r="B5801" s="325" t="s">
        <v>1246</v>
      </c>
      <c r="C5801" s="322" t="s">
        <v>388</v>
      </c>
      <c r="D5801" s="322">
        <v>17</v>
      </c>
      <c r="E5801" s="321" t="s">
        <v>125</v>
      </c>
    </row>
    <row r="5802" spans="1:6">
      <c r="A5802" s="323">
        <v>46080</v>
      </c>
      <c r="B5802" s="325" t="s">
        <v>1246</v>
      </c>
      <c r="C5802" s="322" t="s">
        <v>388</v>
      </c>
      <c r="D5802" s="322">
        <v>10</v>
      </c>
      <c r="E5802" s="321" t="s">
        <v>125</v>
      </c>
    </row>
    <row r="5803" spans="1:6">
      <c r="A5803" s="323">
        <v>46080</v>
      </c>
      <c r="B5803" s="325" t="s">
        <v>1409</v>
      </c>
      <c r="C5803" s="322" t="s">
        <v>388</v>
      </c>
      <c r="D5803" s="322">
        <v>10</v>
      </c>
      <c r="E5803" s="321" t="s">
        <v>125</v>
      </c>
    </row>
    <row r="5804" spans="1:6">
      <c r="A5804" s="323">
        <v>46080</v>
      </c>
      <c r="B5804" s="324" t="s">
        <v>131</v>
      </c>
      <c r="C5804" s="322" t="s">
        <v>388</v>
      </c>
      <c r="D5804" s="322">
        <v>2</v>
      </c>
      <c r="E5804" s="321" t="s">
        <v>125</v>
      </c>
    </row>
    <row r="5805" spans="1:6">
      <c r="A5805" s="323">
        <v>46080</v>
      </c>
      <c r="B5805" s="325" t="s">
        <v>1327</v>
      </c>
      <c r="C5805" s="322" t="s">
        <v>388</v>
      </c>
      <c r="D5805" s="322">
        <v>3</v>
      </c>
      <c r="E5805" s="321" t="s">
        <v>125</v>
      </c>
    </row>
    <row r="5806" spans="1:6">
      <c r="A5806" s="323">
        <v>46080</v>
      </c>
      <c r="B5806" s="325" t="s">
        <v>1246</v>
      </c>
      <c r="C5806" s="322" t="s">
        <v>388</v>
      </c>
      <c r="D5806" s="322">
        <v>4</v>
      </c>
      <c r="E5806" s="321" t="s">
        <v>125</v>
      </c>
    </row>
    <row r="5807" spans="1:6">
      <c r="A5807" s="323">
        <v>46080</v>
      </c>
      <c r="B5807" s="325" t="s">
        <v>1246</v>
      </c>
      <c r="C5807" s="322" t="s">
        <v>388</v>
      </c>
      <c r="D5807" s="322">
        <v>10</v>
      </c>
      <c r="E5807" s="321" t="s">
        <v>125</v>
      </c>
    </row>
    <row r="5808" spans="1:6">
      <c r="A5808" s="323">
        <v>46080</v>
      </c>
      <c r="B5808" s="325" t="s">
        <v>1249</v>
      </c>
      <c r="C5808" s="322" t="s">
        <v>388</v>
      </c>
      <c r="D5808" s="322">
        <v>1</v>
      </c>
      <c r="E5808" s="321" t="s">
        <v>125</v>
      </c>
    </row>
    <row r="5809" spans="1:5">
      <c r="A5809" s="323">
        <v>46080</v>
      </c>
      <c r="B5809" s="325" t="s">
        <v>1096</v>
      </c>
      <c r="C5809" s="322" t="s">
        <v>388</v>
      </c>
      <c r="D5809" s="322">
        <v>2</v>
      </c>
      <c r="E5809" s="321" t="s">
        <v>125</v>
      </c>
    </row>
    <row r="5810" spans="1:5">
      <c r="A5810" s="323">
        <v>46080</v>
      </c>
      <c r="B5810" s="325" t="s">
        <v>1490</v>
      </c>
      <c r="C5810" s="322" t="s">
        <v>388</v>
      </c>
      <c r="D5810" s="322">
        <v>4</v>
      </c>
      <c r="E5810" s="321" t="s">
        <v>125</v>
      </c>
    </row>
    <row r="5811" spans="1:5">
      <c r="A5811" s="323">
        <v>46080</v>
      </c>
      <c r="B5811" s="325" t="s">
        <v>1312</v>
      </c>
      <c r="C5811" s="322" t="s">
        <v>388</v>
      </c>
      <c r="D5811" s="322">
        <v>7</v>
      </c>
      <c r="E5811" s="321" t="s">
        <v>125</v>
      </c>
    </row>
    <row r="5812" spans="1:5">
      <c r="A5812" s="323">
        <v>46080</v>
      </c>
      <c r="B5812" s="325" t="s">
        <v>136</v>
      </c>
      <c r="C5812" s="322" t="s">
        <v>388</v>
      </c>
      <c r="D5812" s="322">
        <v>1</v>
      </c>
      <c r="E5812" s="321" t="s">
        <v>125</v>
      </c>
    </row>
    <row r="5813" spans="1:5">
      <c r="A5813" s="323">
        <v>46080</v>
      </c>
      <c r="B5813" s="324" t="s">
        <v>134</v>
      </c>
      <c r="C5813" s="322" t="s">
        <v>388</v>
      </c>
      <c r="D5813" s="322">
        <v>4</v>
      </c>
      <c r="E5813" s="321" t="s">
        <v>125</v>
      </c>
    </row>
    <row r="5814" spans="1:5">
      <c r="A5814" s="323">
        <v>46080</v>
      </c>
      <c r="B5814" s="325" t="s">
        <v>1568</v>
      </c>
      <c r="C5814" s="322" t="s">
        <v>388</v>
      </c>
      <c r="D5814" s="322">
        <v>4</v>
      </c>
      <c r="E5814" s="321" t="s">
        <v>125</v>
      </c>
    </row>
    <row r="5815" spans="1:5">
      <c r="A5815" s="323">
        <v>46080</v>
      </c>
      <c r="B5815" s="324" t="s">
        <v>1994</v>
      </c>
      <c r="C5815" s="322" t="s">
        <v>388</v>
      </c>
      <c r="D5815" s="322">
        <v>2</v>
      </c>
      <c r="E5815" s="321" t="s">
        <v>125</v>
      </c>
    </row>
    <row r="5816" spans="1:5">
      <c r="A5816" s="323">
        <v>46080</v>
      </c>
      <c r="B5816" s="325" t="s">
        <v>1641</v>
      </c>
      <c r="C5816" s="322" t="s">
        <v>388</v>
      </c>
      <c r="D5816" s="322">
        <v>2</v>
      </c>
      <c r="E5816" s="321" t="s">
        <v>125</v>
      </c>
    </row>
    <row r="5817" spans="1:5">
      <c r="A5817" s="323">
        <v>46080</v>
      </c>
      <c r="B5817" s="324" t="s">
        <v>1994</v>
      </c>
      <c r="C5817" s="322" t="s">
        <v>388</v>
      </c>
      <c r="D5817" s="322">
        <v>1</v>
      </c>
      <c r="E5817" s="321" t="s">
        <v>125</v>
      </c>
    </row>
    <row r="5818" spans="1:5">
      <c r="A5818" s="323">
        <v>46080</v>
      </c>
      <c r="B5818" s="325" t="s">
        <v>2646</v>
      </c>
      <c r="C5818" s="322" t="s">
        <v>388</v>
      </c>
      <c r="D5818" s="322">
        <v>1</v>
      </c>
      <c r="E5818" s="321" t="s">
        <v>125</v>
      </c>
    </row>
    <row r="5819" spans="1:5">
      <c r="A5819" s="323">
        <v>46080</v>
      </c>
      <c r="B5819" s="325" t="s">
        <v>1152</v>
      </c>
      <c r="C5819" s="322" t="s">
        <v>388</v>
      </c>
      <c r="D5819" s="322">
        <v>1</v>
      </c>
      <c r="E5819" s="321" t="s">
        <v>125</v>
      </c>
    </row>
    <row r="5820" spans="1:5">
      <c r="A5820" s="323">
        <v>46080</v>
      </c>
      <c r="B5820" s="325" t="s">
        <v>2141</v>
      </c>
      <c r="C5820" s="322" t="s">
        <v>388</v>
      </c>
      <c r="D5820" s="322">
        <v>1</v>
      </c>
      <c r="E5820" s="321" t="s">
        <v>125</v>
      </c>
    </row>
    <row r="5821" spans="1:5">
      <c r="A5821" s="323">
        <v>46080</v>
      </c>
      <c r="B5821" s="325" t="s">
        <v>1640</v>
      </c>
      <c r="C5821" s="322" t="s">
        <v>388</v>
      </c>
      <c r="D5821" s="322">
        <v>1</v>
      </c>
      <c r="E5821" s="321" t="s">
        <v>125</v>
      </c>
    </row>
    <row r="5822" spans="1:5">
      <c r="A5822" s="323">
        <v>46080</v>
      </c>
      <c r="B5822" s="325" t="s">
        <v>2312</v>
      </c>
      <c r="C5822" s="322" t="s">
        <v>388</v>
      </c>
      <c r="D5822" s="322">
        <v>1</v>
      </c>
      <c r="E5822" s="321" t="s">
        <v>125</v>
      </c>
    </row>
    <row r="5823" spans="1:5">
      <c r="A5823" s="323">
        <v>46080</v>
      </c>
      <c r="B5823" s="325" t="s">
        <v>3090</v>
      </c>
      <c r="C5823" s="322" t="s">
        <v>388</v>
      </c>
      <c r="D5823" s="322">
        <v>1</v>
      </c>
      <c r="E5823" s="321" t="s">
        <v>125</v>
      </c>
    </row>
    <row r="5824" spans="1:5">
      <c r="A5824" s="323">
        <v>46080</v>
      </c>
      <c r="B5824" s="325" t="s">
        <v>1246</v>
      </c>
      <c r="C5824" s="322" t="s">
        <v>388</v>
      </c>
      <c r="D5824" s="322">
        <v>1</v>
      </c>
      <c r="E5824" s="321" t="s">
        <v>125</v>
      </c>
    </row>
    <row r="5825" spans="1:5">
      <c r="A5825" s="323">
        <v>46080</v>
      </c>
      <c r="B5825" s="325" t="s">
        <v>1249</v>
      </c>
      <c r="C5825" s="322" t="s">
        <v>388</v>
      </c>
      <c r="D5825" s="322">
        <v>1</v>
      </c>
      <c r="E5825" s="321" t="s">
        <v>125</v>
      </c>
    </row>
    <row r="5826" spans="1:5">
      <c r="A5826" s="323">
        <v>46080</v>
      </c>
      <c r="B5826" s="325" t="s">
        <v>1249</v>
      </c>
      <c r="C5826" s="322" t="s">
        <v>388</v>
      </c>
      <c r="D5826" s="322">
        <v>1</v>
      </c>
      <c r="E5826" s="321" t="s">
        <v>125</v>
      </c>
    </row>
    <row r="5827" spans="1:5">
      <c r="A5827" s="323">
        <v>46080</v>
      </c>
      <c r="B5827" s="325" t="s">
        <v>1271</v>
      </c>
      <c r="C5827" s="322" t="s">
        <v>388</v>
      </c>
      <c r="D5827" s="322">
        <v>1</v>
      </c>
      <c r="E5827" s="321" t="s">
        <v>125</v>
      </c>
    </row>
    <row r="5828" spans="1:5">
      <c r="A5828" s="323">
        <v>46080</v>
      </c>
      <c r="B5828" s="325" t="s">
        <v>1271</v>
      </c>
      <c r="C5828" s="322" t="s">
        <v>388</v>
      </c>
      <c r="D5828" s="322">
        <v>1</v>
      </c>
      <c r="E5828" s="321" t="s">
        <v>125</v>
      </c>
    </row>
    <row r="5829" spans="1:5">
      <c r="A5829" s="323">
        <v>46080</v>
      </c>
      <c r="B5829" s="325" t="s">
        <v>1326</v>
      </c>
      <c r="C5829" s="322" t="s">
        <v>388</v>
      </c>
      <c r="D5829" s="322">
        <v>2</v>
      </c>
      <c r="E5829" s="321" t="s">
        <v>125</v>
      </c>
    </row>
    <row r="5830" spans="1:5">
      <c r="A5830" s="323">
        <v>46080</v>
      </c>
      <c r="B5830" s="325" t="s">
        <v>1326</v>
      </c>
      <c r="C5830" s="322" t="s">
        <v>388</v>
      </c>
      <c r="D5830" s="322">
        <v>1</v>
      </c>
      <c r="E5830" s="321" t="s">
        <v>125</v>
      </c>
    </row>
    <row r="5831" spans="1:5">
      <c r="A5831" s="323">
        <v>46080</v>
      </c>
      <c r="B5831" s="324" t="s">
        <v>134</v>
      </c>
      <c r="C5831" s="322" t="s">
        <v>388</v>
      </c>
      <c r="D5831" s="322">
        <v>1</v>
      </c>
      <c r="E5831" s="321" t="s">
        <v>125</v>
      </c>
    </row>
    <row r="5832" spans="1:5">
      <c r="A5832" s="323">
        <v>46080</v>
      </c>
      <c r="B5832" s="324" t="s">
        <v>134</v>
      </c>
      <c r="C5832" s="322" t="s">
        <v>388</v>
      </c>
      <c r="D5832" s="322">
        <v>1</v>
      </c>
      <c r="E5832" s="321" t="s">
        <v>125</v>
      </c>
    </row>
    <row r="5833" spans="1:5">
      <c r="A5833" s="323">
        <v>46080</v>
      </c>
      <c r="B5833" s="324" t="s">
        <v>134</v>
      </c>
      <c r="C5833" s="322" t="s">
        <v>388</v>
      </c>
      <c r="D5833" s="322">
        <v>1</v>
      </c>
      <c r="E5833" s="321" t="s">
        <v>125</v>
      </c>
    </row>
    <row r="5834" spans="1:5">
      <c r="A5834" s="323">
        <v>46080</v>
      </c>
      <c r="B5834" s="425" t="s">
        <v>1146</v>
      </c>
      <c r="C5834" s="322" t="s">
        <v>388</v>
      </c>
      <c r="D5834" s="322">
        <v>1</v>
      </c>
      <c r="E5834" s="321" t="s">
        <v>125</v>
      </c>
    </row>
    <row r="5835" spans="1:5">
      <c r="A5835" s="323">
        <v>46080</v>
      </c>
      <c r="B5835" s="425" t="s">
        <v>375</v>
      </c>
      <c r="C5835" s="322" t="s">
        <v>388</v>
      </c>
      <c r="D5835" s="322">
        <v>1</v>
      </c>
      <c r="E5835" s="321" t="s">
        <v>125</v>
      </c>
    </row>
    <row r="5836" spans="1:5">
      <c r="A5836" s="323">
        <v>46080</v>
      </c>
      <c r="B5836" s="425" t="s">
        <v>375</v>
      </c>
      <c r="C5836" s="322" t="s">
        <v>388</v>
      </c>
      <c r="D5836" s="322">
        <v>1</v>
      </c>
      <c r="E5836" s="321" t="s">
        <v>125</v>
      </c>
    </row>
    <row r="5837" spans="1:5">
      <c r="A5837" s="323">
        <v>46080</v>
      </c>
      <c r="B5837" s="325" t="s">
        <v>2032</v>
      </c>
      <c r="C5837" s="322" t="s">
        <v>388</v>
      </c>
      <c r="D5837" s="322">
        <v>1</v>
      </c>
      <c r="E5837" s="321" t="s">
        <v>125</v>
      </c>
    </row>
    <row r="5839" spans="1:5">
      <c r="A5839" s="265">
        <v>46082</v>
      </c>
      <c r="B5839" s="92" t="s">
        <v>672</v>
      </c>
      <c r="C5839" s="43" t="s">
        <v>1603</v>
      </c>
      <c r="D5839" s="43">
        <v>-2</v>
      </c>
      <c r="E5839" s="230" t="s">
        <v>125</v>
      </c>
    </row>
    <row r="5841" spans="1:5">
      <c r="A5841" s="265">
        <v>46083</v>
      </c>
      <c r="B5841" s="343" t="s">
        <v>1326</v>
      </c>
      <c r="C5841" s="43" t="s">
        <v>3005</v>
      </c>
      <c r="D5841" s="43">
        <v>-6</v>
      </c>
      <c r="E5841" s="230" t="s">
        <v>125</v>
      </c>
    </row>
    <row r="5842" spans="1:5">
      <c r="A5842" s="265">
        <v>46083</v>
      </c>
      <c r="B5842" s="343" t="s">
        <v>1246</v>
      </c>
      <c r="C5842" s="43" t="s">
        <v>3005</v>
      </c>
      <c r="D5842" s="43">
        <v>-5</v>
      </c>
      <c r="E5842" s="230" t="s">
        <v>125</v>
      </c>
    </row>
    <row r="5843" spans="1:5">
      <c r="A5843" s="265">
        <v>46083</v>
      </c>
      <c r="B5843" s="343" t="s">
        <v>1246</v>
      </c>
      <c r="C5843" s="43" t="s">
        <v>3005</v>
      </c>
      <c r="D5843" s="43">
        <v>-2</v>
      </c>
      <c r="E5843" s="230" t="s">
        <v>125</v>
      </c>
    </row>
    <row r="5844" spans="1:5">
      <c r="A5844" s="265">
        <v>46083</v>
      </c>
      <c r="B5844" s="343" t="s">
        <v>1249</v>
      </c>
      <c r="C5844" s="43" t="s">
        <v>3005</v>
      </c>
      <c r="D5844" s="43">
        <v>-2</v>
      </c>
      <c r="E5844" s="230" t="s">
        <v>125</v>
      </c>
    </row>
    <row r="5845" spans="1:5">
      <c r="A5845" s="265">
        <v>46083</v>
      </c>
      <c r="B5845" s="343" t="s">
        <v>1289</v>
      </c>
      <c r="C5845" s="43" t="s">
        <v>3005</v>
      </c>
      <c r="D5845" s="43">
        <v>-3</v>
      </c>
      <c r="E5845" s="230" t="s">
        <v>125</v>
      </c>
    </row>
    <row r="5846" spans="1:5">
      <c r="A5846" s="265">
        <v>46083</v>
      </c>
      <c r="B5846" s="343" t="s">
        <v>1246</v>
      </c>
      <c r="C5846" s="43" t="s">
        <v>2113</v>
      </c>
      <c r="D5846" s="43">
        <v>-2</v>
      </c>
      <c r="E5846" s="230" t="s">
        <v>125</v>
      </c>
    </row>
    <row r="5848" spans="1:5">
      <c r="A5848" s="335">
        <v>46084</v>
      </c>
      <c r="B5848" s="343" t="s">
        <v>1271</v>
      </c>
      <c r="C5848" s="345" t="s">
        <v>3004</v>
      </c>
      <c r="D5848" s="345">
        <v>-2</v>
      </c>
      <c r="E5848" s="230" t="s">
        <v>125</v>
      </c>
    </row>
    <row r="5849" spans="1:5">
      <c r="A5849" s="335">
        <v>46084</v>
      </c>
      <c r="B5849" s="343" t="s">
        <v>1246</v>
      </c>
      <c r="C5849" s="345" t="s">
        <v>3004</v>
      </c>
      <c r="D5849" s="345">
        <v>-3</v>
      </c>
      <c r="E5849" s="230" t="s">
        <v>125</v>
      </c>
    </row>
    <row r="5850" spans="1:5">
      <c r="A5850" s="335">
        <v>46084</v>
      </c>
      <c r="B5850" s="343" t="s">
        <v>1246</v>
      </c>
      <c r="C5850" s="345" t="s">
        <v>3004</v>
      </c>
      <c r="D5850" s="345">
        <v>-1</v>
      </c>
      <c r="E5850" s="230" t="s">
        <v>125</v>
      </c>
    </row>
    <row r="5851" spans="1:5">
      <c r="A5851" s="335">
        <v>46084</v>
      </c>
      <c r="B5851" s="343" t="s">
        <v>1246</v>
      </c>
      <c r="C5851" s="345" t="s">
        <v>3004</v>
      </c>
      <c r="D5851" s="345">
        <v>-10</v>
      </c>
      <c r="E5851" s="230" t="s">
        <v>125</v>
      </c>
    </row>
    <row r="5853" spans="1:5">
      <c r="A5853" s="265">
        <v>46082</v>
      </c>
      <c r="B5853" s="343" t="s">
        <v>1568</v>
      </c>
      <c r="C5853" s="43" t="s">
        <v>175</v>
      </c>
      <c r="D5853" s="43">
        <v>-6</v>
      </c>
      <c r="E5853" s="230" t="s">
        <v>125</v>
      </c>
    </row>
    <row r="5854" spans="1:5">
      <c r="A5854" s="265">
        <v>46082</v>
      </c>
      <c r="B5854" s="343" t="s">
        <v>1568</v>
      </c>
      <c r="C5854" s="43" t="s">
        <v>175</v>
      </c>
      <c r="D5854" s="43">
        <v>-7</v>
      </c>
      <c r="E5854" s="230" t="s">
        <v>125</v>
      </c>
    </row>
    <row r="5855" spans="1:5">
      <c r="A5855" s="265">
        <v>46082</v>
      </c>
      <c r="B5855" s="343" t="s">
        <v>1568</v>
      </c>
      <c r="C5855" s="43" t="s">
        <v>175</v>
      </c>
      <c r="D5855" s="43">
        <v>-2</v>
      </c>
      <c r="E5855" s="230" t="s">
        <v>125</v>
      </c>
    </row>
    <row r="5856" spans="1:5">
      <c r="A5856" s="265">
        <v>46082</v>
      </c>
      <c r="B5856" s="343" t="s">
        <v>1568</v>
      </c>
      <c r="C5856" s="43" t="s">
        <v>175</v>
      </c>
      <c r="D5856" s="43">
        <v>-1</v>
      </c>
      <c r="E5856" s="230" t="s">
        <v>125</v>
      </c>
    </row>
    <row r="5857" spans="1:5">
      <c r="A5857" s="265">
        <v>46082</v>
      </c>
      <c r="B5857" s="343" t="s">
        <v>1640</v>
      </c>
      <c r="C5857" s="43" t="s">
        <v>175</v>
      </c>
      <c r="D5857" s="43">
        <v>-1</v>
      </c>
      <c r="E5857" s="230" t="s">
        <v>125</v>
      </c>
    </row>
    <row r="5858" spans="1:5">
      <c r="A5858" s="265">
        <v>46082</v>
      </c>
      <c r="B5858" s="343" t="s">
        <v>3024</v>
      </c>
      <c r="C5858" s="43" t="s">
        <v>175</v>
      </c>
      <c r="D5858" s="43">
        <v>-1</v>
      </c>
      <c r="E5858" s="230" t="s">
        <v>125</v>
      </c>
    </row>
    <row r="5859" spans="1:5">
      <c r="A5859" s="265">
        <v>46082</v>
      </c>
      <c r="B5859" s="342" t="s">
        <v>1994</v>
      </c>
      <c r="C5859" s="43" t="s">
        <v>175</v>
      </c>
      <c r="D5859" s="43">
        <v>-3</v>
      </c>
      <c r="E5859" s="230" t="s">
        <v>125</v>
      </c>
    </row>
    <row r="5860" spans="1:5">
      <c r="A5860" s="265">
        <v>46082</v>
      </c>
      <c r="B5860" s="343" t="s">
        <v>1641</v>
      </c>
      <c r="C5860" s="43" t="s">
        <v>175</v>
      </c>
      <c r="D5860" s="43">
        <v>-6</v>
      </c>
      <c r="E5860" s="230" t="s">
        <v>125</v>
      </c>
    </row>
    <row r="5861" spans="1:5">
      <c r="A5861" s="265">
        <v>46082</v>
      </c>
      <c r="B5861" s="343" t="s">
        <v>1152</v>
      </c>
      <c r="C5861" s="43" t="s">
        <v>175</v>
      </c>
      <c r="D5861" s="43">
        <v>-6</v>
      </c>
      <c r="E5861" s="230" t="s">
        <v>125</v>
      </c>
    </row>
    <row r="5862" spans="1:5">
      <c r="A5862" s="265">
        <v>46082</v>
      </c>
      <c r="B5862" s="343" t="s">
        <v>1202</v>
      </c>
      <c r="C5862" s="43" t="s">
        <v>175</v>
      </c>
      <c r="D5862" s="43">
        <v>-4</v>
      </c>
      <c r="E5862" s="230" t="s">
        <v>125</v>
      </c>
    </row>
    <row r="5863" spans="1:5">
      <c r="A5863" s="265">
        <v>46082</v>
      </c>
      <c r="B5863" s="343" t="s">
        <v>2142</v>
      </c>
      <c r="C5863" s="43" t="s">
        <v>175</v>
      </c>
      <c r="D5863" s="43">
        <v>-2</v>
      </c>
      <c r="E5863" s="230" t="s">
        <v>125</v>
      </c>
    </row>
    <row r="5864" spans="1:5">
      <c r="A5864" s="265">
        <v>46082</v>
      </c>
      <c r="B5864" s="343" t="s">
        <v>1095</v>
      </c>
      <c r="C5864" s="43" t="s">
        <v>175</v>
      </c>
      <c r="D5864" s="43">
        <v>-2</v>
      </c>
      <c r="E5864" s="230" t="s">
        <v>125</v>
      </c>
    </row>
    <row r="5865" spans="1:5">
      <c r="A5865" s="265">
        <v>46082</v>
      </c>
      <c r="B5865" s="343" t="s">
        <v>1095</v>
      </c>
      <c r="C5865" s="43" t="s">
        <v>175</v>
      </c>
      <c r="D5865" s="43">
        <v>-1</v>
      </c>
      <c r="E5865" s="230" t="s">
        <v>125</v>
      </c>
    </row>
    <row r="5866" spans="1:5">
      <c r="A5866" s="265">
        <v>46082</v>
      </c>
      <c r="B5866" s="343" t="s">
        <v>2141</v>
      </c>
      <c r="C5866" s="43" t="s">
        <v>175</v>
      </c>
      <c r="D5866" s="43">
        <v>-2</v>
      </c>
      <c r="E5866" s="230" t="s">
        <v>125</v>
      </c>
    </row>
    <row r="5867" spans="1:5">
      <c r="A5867" s="265">
        <v>46082</v>
      </c>
      <c r="B5867" s="343" t="s">
        <v>1386</v>
      </c>
      <c r="C5867" s="43" t="s">
        <v>175</v>
      </c>
      <c r="D5867" s="43">
        <v>-1</v>
      </c>
      <c r="E5867" s="230" t="s">
        <v>125</v>
      </c>
    </row>
    <row r="5868" spans="1:5">
      <c r="A5868" s="265">
        <v>46082</v>
      </c>
      <c r="B5868" s="343" t="s">
        <v>1202</v>
      </c>
      <c r="C5868" s="43" t="s">
        <v>175</v>
      </c>
      <c r="D5868" s="43">
        <v>-1</v>
      </c>
      <c r="E5868" s="230" t="s">
        <v>125</v>
      </c>
    </row>
    <row r="5869" spans="1:5">
      <c r="A5869" s="265">
        <v>46082</v>
      </c>
      <c r="B5869" s="343" t="s">
        <v>2140</v>
      </c>
      <c r="C5869" s="43" t="s">
        <v>175</v>
      </c>
      <c r="D5869" s="43">
        <v>-1</v>
      </c>
      <c r="E5869" s="230" t="s">
        <v>125</v>
      </c>
    </row>
    <row r="5870" spans="1:5">
      <c r="A5870" s="265">
        <v>46082</v>
      </c>
      <c r="B5870" s="343" t="s">
        <v>1907</v>
      </c>
      <c r="C5870" s="43" t="s">
        <v>175</v>
      </c>
      <c r="D5870" s="43">
        <v>-1</v>
      </c>
      <c r="E5870" s="230" t="s">
        <v>125</v>
      </c>
    </row>
    <row r="5871" spans="1:5">
      <c r="A5871" s="265">
        <v>46082</v>
      </c>
      <c r="B5871" s="343" t="s">
        <v>1641</v>
      </c>
      <c r="C5871" s="43" t="s">
        <v>175</v>
      </c>
      <c r="D5871" s="43">
        <v>-1</v>
      </c>
      <c r="E5871" s="230" t="s">
        <v>125</v>
      </c>
    </row>
    <row r="5872" spans="1:5">
      <c r="A5872" s="265">
        <v>46082</v>
      </c>
      <c r="B5872" s="342" t="s">
        <v>926</v>
      </c>
      <c r="C5872" s="43" t="s">
        <v>175</v>
      </c>
      <c r="D5872" s="43">
        <v>-1</v>
      </c>
      <c r="E5872" s="230" t="s">
        <v>125</v>
      </c>
    </row>
    <row r="5873" spans="1:5">
      <c r="A5873" s="265">
        <v>46082</v>
      </c>
      <c r="B5873" s="343" t="s">
        <v>1152</v>
      </c>
      <c r="C5873" s="43" t="s">
        <v>175</v>
      </c>
      <c r="D5873" s="43">
        <v>-1</v>
      </c>
      <c r="E5873" s="230" t="s">
        <v>125</v>
      </c>
    </row>
    <row r="5874" spans="1:5">
      <c r="A5874" s="265">
        <v>46082</v>
      </c>
      <c r="B5874" s="343" t="s">
        <v>1568</v>
      </c>
      <c r="C5874" s="43" t="s">
        <v>175</v>
      </c>
      <c r="D5874" s="33">
        <v>-1</v>
      </c>
      <c r="E5874" s="230" t="s">
        <v>125</v>
      </c>
    </row>
    <row r="5875" spans="1:5">
      <c r="A5875" s="265">
        <v>46085</v>
      </c>
      <c r="B5875" s="343" t="s">
        <v>1246</v>
      </c>
      <c r="C5875" s="43" t="s">
        <v>2929</v>
      </c>
      <c r="D5875" s="43">
        <v>-1</v>
      </c>
      <c r="E5875" s="230" t="s">
        <v>125</v>
      </c>
    </row>
    <row r="5876" spans="1:5">
      <c r="A5876" s="265">
        <v>46085</v>
      </c>
      <c r="B5876" s="93" t="s">
        <v>121</v>
      </c>
      <c r="C5876" s="43" t="s">
        <v>1598</v>
      </c>
      <c r="D5876" s="43">
        <v>-15</v>
      </c>
      <c r="E5876" s="230" t="s">
        <v>125</v>
      </c>
    </row>
    <row r="5877" spans="1:5">
      <c r="A5877" s="265">
        <v>46085</v>
      </c>
      <c r="B5877" s="343" t="s">
        <v>1302</v>
      </c>
      <c r="C5877" s="43" t="s">
        <v>3468</v>
      </c>
      <c r="D5877" s="43">
        <v>-2</v>
      </c>
      <c r="E5877" s="230" t="s">
        <v>125</v>
      </c>
    </row>
    <row r="5879" spans="1:5">
      <c r="A5879" s="434">
        <v>46085</v>
      </c>
      <c r="B5879" s="168" t="s">
        <v>1271</v>
      </c>
      <c r="C5879" s="166" t="s">
        <v>3705</v>
      </c>
      <c r="D5879" s="166">
        <v>1</v>
      </c>
      <c r="E5879" s="615" t="s">
        <v>125</v>
      </c>
    </row>
    <row r="5881" spans="1:5">
      <c r="A5881" s="265">
        <v>46085</v>
      </c>
      <c r="B5881" s="343" t="s">
        <v>1327</v>
      </c>
      <c r="C5881" s="43" t="s">
        <v>1788</v>
      </c>
      <c r="D5881" s="43">
        <v>-8</v>
      </c>
      <c r="E5881" s="230" t="s">
        <v>125</v>
      </c>
    </row>
    <row r="5882" spans="1:5">
      <c r="A5882" s="265">
        <v>46085</v>
      </c>
      <c r="B5882" s="343" t="s">
        <v>1327</v>
      </c>
      <c r="C5882" s="43" t="s">
        <v>1788</v>
      </c>
      <c r="D5882" s="43">
        <v>-2</v>
      </c>
      <c r="E5882" s="230" t="s">
        <v>125</v>
      </c>
    </row>
    <row r="5883" spans="1:5">
      <c r="A5883" s="265">
        <v>46085</v>
      </c>
      <c r="B5883" s="343" t="s">
        <v>1319</v>
      </c>
      <c r="C5883" s="43" t="s">
        <v>1788</v>
      </c>
      <c r="D5883" s="43">
        <v>-4</v>
      </c>
      <c r="E5883" s="230" t="s">
        <v>125</v>
      </c>
    </row>
    <row r="5884" spans="1:5">
      <c r="A5884" s="265">
        <v>46085</v>
      </c>
      <c r="B5884" s="343" t="s">
        <v>1318</v>
      </c>
      <c r="C5884" s="43" t="s">
        <v>1788</v>
      </c>
      <c r="D5884" s="43">
        <v>-7</v>
      </c>
      <c r="E5884" s="230" t="s">
        <v>125</v>
      </c>
    </row>
    <row r="5885" spans="1:5">
      <c r="A5885" s="265">
        <v>46085</v>
      </c>
      <c r="B5885" s="343" t="s">
        <v>1318</v>
      </c>
      <c r="C5885" s="43" t="s">
        <v>1788</v>
      </c>
      <c r="D5885" s="43">
        <v>-2</v>
      </c>
      <c r="E5885" s="230" t="s">
        <v>125</v>
      </c>
    </row>
    <row r="5887" spans="1:5">
      <c r="A5887" s="265">
        <v>46086</v>
      </c>
      <c r="B5887" s="342" t="s">
        <v>2155</v>
      </c>
      <c r="C5887" s="43" t="s">
        <v>2608</v>
      </c>
      <c r="D5887" s="43">
        <v>-1</v>
      </c>
      <c r="E5887" s="230" t="s">
        <v>125</v>
      </c>
    </row>
    <row r="5888" spans="1:5">
      <c r="A5888" s="265">
        <v>46086</v>
      </c>
      <c r="B5888" s="343" t="s">
        <v>1246</v>
      </c>
      <c r="C5888" s="43" t="s">
        <v>678</v>
      </c>
      <c r="D5888" s="43">
        <v>-1</v>
      </c>
      <c r="E5888" s="230" t="s">
        <v>125</v>
      </c>
    </row>
    <row r="5889" spans="1:5">
      <c r="A5889" s="265">
        <v>46086</v>
      </c>
      <c r="B5889" s="343" t="s">
        <v>1246</v>
      </c>
      <c r="C5889" s="43" t="s">
        <v>678</v>
      </c>
      <c r="D5889" s="43">
        <v>-1</v>
      </c>
      <c r="E5889" s="230" t="s">
        <v>125</v>
      </c>
    </row>
    <row r="5890" spans="1:5">
      <c r="A5890" s="265">
        <v>46086</v>
      </c>
      <c r="B5890" s="93" t="s">
        <v>169</v>
      </c>
      <c r="C5890" s="43" t="s">
        <v>678</v>
      </c>
      <c r="D5890" s="43">
        <v>-1</v>
      </c>
      <c r="E5890" s="230" t="s">
        <v>125</v>
      </c>
    </row>
    <row r="5891" spans="1:5">
      <c r="A5891" s="265">
        <v>46086</v>
      </c>
      <c r="B5891" s="93" t="s">
        <v>169</v>
      </c>
      <c r="C5891" s="43" t="s">
        <v>678</v>
      </c>
      <c r="D5891" s="43">
        <v>-1</v>
      </c>
      <c r="E5891" s="230" t="s">
        <v>125</v>
      </c>
    </row>
    <row r="5892" spans="1:5">
      <c r="A5892" s="265">
        <v>46086</v>
      </c>
      <c r="B5892" s="343" t="s">
        <v>1246</v>
      </c>
      <c r="C5892" s="43" t="s">
        <v>678</v>
      </c>
      <c r="D5892" s="43">
        <v>-2</v>
      </c>
      <c r="E5892" s="230" t="s">
        <v>125</v>
      </c>
    </row>
    <row r="5893" spans="1:5">
      <c r="A5893" s="265">
        <v>46086</v>
      </c>
      <c r="B5893" s="343" t="s">
        <v>1319</v>
      </c>
      <c r="C5893" s="43" t="s">
        <v>678</v>
      </c>
      <c r="D5893" s="43">
        <v>-3</v>
      </c>
      <c r="E5893" s="230" t="s">
        <v>125</v>
      </c>
    </row>
    <row r="5894" spans="1:5">
      <c r="A5894" s="265">
        <v>46086</v>
      </c>
      <c r="B5894" s="343" t="s">
        <v>1246</v>
      </c>
      <c r="C5894" s="43" t="s">
        <v>678</v>
      </c>
      <c r="D5894" s="43">
        <v>-1</v>
      </c>
      <c r="E5894" s="230" t="s">
        <v>125</v>
      </c>
    </row>
    <row r="5895" spans="1:5">
      <c r="A5895" s="265">
        <v>46086</v>
      </c>
      <c r="B5895" s="93" t="s">
        <v>121</v>
      </c>
      <c r="C5895" s="43" t="s">
        <v>3720</v>
      </c>
      <c r="D5895" s="43">
        <v>-50</v>
      </c>
      <c r="E5895" s="230" t="s">
        <v>125</v>
      </c>
    </row>
    <row r="5897" spans="1:5">
      <c r="A5897" s="335">
        <v>46087</v>
      </c>
      <c r="B5897" s="343" t="s">
        <v>1271</v>
      </c>
      <c r="C5897" s="345" t="s">
        <v>3721</v>
      </c>
      <c r="D5897" s="345">
        <v>-3</v>
      </c>
      <c r="E5897" s="230" t="s">
        <v>125</v>
      </c>
    </row>
    <row r="5898" spans="1:5">
      <c r="A5898" s="335">
        <v>46087</v>
      </c>
      <c r="B5898" s="343" t="s">
        <v>1271</v>
      </c>
      <c r="C5898" s="345" t="s">
        <v>3721</v>
      </c>
      <c r="D5898" s="345">
        <v>-2</v>
      </c>
      <c r="E5898" s="230" t="s">
        <v>125</v>
      </c>
    </row>
    <row r="5899" spans="1:5">
      <c r="A5899" s="335">
        <v>46087</v>
      </c>
      <c r="B5899" s="343" t="s">
        <v>1246</v>
      </c>
      <c r="C5899" s="345" t="s">
        <v>3721</v>
      </c>
      <c r="D5899" s="345">
        <v>-3</v>
      </c>
      <c r="E5899" s="230" t="s">
        <v>125</v>
      </c>
    </row>
    <row r="5900" spans="1:5">
      <c r="A5900" s="335">
        <v>46087</v>
      </c>
      <c r="B5900" s="343" t="s">
        <v>1246</v>
      </c>
      <c r="C5900" s="345" t="s">
        <v>3721</v>
      </c>
      <c r="D5900" s="345">
        <v>-4</v>
      </c>
      <c r="E5900" s="230" t="s">
        <v>125</v>
      </c>
    </row>
    <row r="5902" spans="1:5">
      <c r="A5902" s="335">
        <v>46087</v>
      </c>
      <c r="B5902" s="343" t="s">
        <v>1291</v>
      </c>
      <c r="C5902" s="43" t="s">
        <v>3722</v>
      </c>
      <c r="D5902" s="43">
        <v>1</v>
      </c>
      <c r="E5902" s="230" t="s">
        <v>125</v>
      </c>
    </row>
    <row r="5904" spans="1:5">
      <c r="A5904" s="335">
        <v>46087</v>
      </c>
      <c r="B5904" s="344" t="s">
        <v>1147</v>
      </c>
      <c r="C5904" s="43" t="s">
        <v>3468</v>
      </c>
      <c r="D5904" s="43">
        <v>-1</v>
      </c>
      <c r="E5904" s="230" t="s">
        <v>125</v>
      </c>
    </row>
    <row r="5905" spans="1:5">
      <c r="A5905" s="335">
        <v>46087</v>
      </c>
      <c r="B5905" s="343" t="s">
        <v>1291</v>
      </c>
      <c r="C5905" s="43" t="s">
        <v>3723</v>
      </c>
      <c r="D5905" s="43">
        <v>-1</v>
      </c>
      <c r="E5905" s="230" t="s">
        <v>125</v>
      </c>
    </row>
    <row r="5906" spans="1:5">
      <c r="A5906" s="335">
        <v>46087</v>
      </c>
      <c r="B5906" s="104" t="s">
        <v>932</v>
      </c>
      <c r="C5906" s="43" t="s">
        <v>3108</v>
      </c>
      <c r="D5906" s="43">
        <v>-2</v>
      </c>
      <c r="E5906" s="230" t="s">
        <v>125</v>
      </c>
    </row>
    <row r="5908" spans="1:5">
      <c r="A5908" s="335">
        <v>46087</v>
      </c>
      <c r="B5908" s="93" t="s">
        <v>1568</v>
      </c>
      <c r="C5908" s="43" t="s">
        <v>3724</v>
      </c>
      <c r="D5908" s="43">
        <v>1</v>
      </c>
      <c r="E5908" s="230" t="s">
        <v>125</v>
      </c>
    </row>
    <row r="5910" spans="1:5">
      <c r="A5910" s="265">
        <v>46088</v>
      </c>
      <c r="B5910" s="343" t="s">
        <v>1246</v>
      </c>
      <c r="C5910" s="43" t="s">
        <v>3725</v>
      </c>
      <c r="D5910" s="43">
        <v>-2</v>
      </c>
      <c r="E5910" s="230" t="s">
        <v>125</v>
      </c>
    </row>
    <row r="5911" spans="1:5">
      <c r="A5911" s="265">
        <v>46088</v>
      </c>
      <c r="B5911" s="93" t="s">
        <v>1223</v>
      </c>
      <c r="C5911" s="43" t="s">
        <v>2076</v>
      </c>
      <c r="D5911" s="43">
        <v>-2</v>
      </c>
      <c r="E5911" s="230" t="s">
        <v>125</v>
      </c>
    </row>
    <row r="5912" spans="1:5">
      <c r="A5912" s="265">
        <v>46088</v>
      </c>
      <c r="B5912" s="343" t="s">
        <v>1246</v>
      </c>
      <c r="C5912" s="43" t="s">
        <v>2929</v>
      </c>
      <c r="D5912" s="43">
        <v>-1</v>
      </c>
      <c r="E5912" s="230" t="s">
        <v>125</v>
      </c>
    </row>
    <row r="5913" spans="1:5">
      <c r="A5913" s="265">
        <v>46088</v>
      </c>
      <c r="B5913" s="84" t="s">
        <v>134</v>
      </c>
      <c r="C5913" s="43" t="s">
        <v>678</v>
      </c>
      <c r="D5913" s="43">
        <v>-1</v>
      </c>
      <c r="E5913" s="230" t="s">
        <v>125</v>
      </c>
    </row>
    <row r="5914" spans="1:5">
      <c r="A5914" s="265">
        <v>46088</v>
      </c>
      <c r="B5914" s="343" t="s">
        <v>1246</v>
      </c>
      <c r="C5914" s="43" t="s">
        <v>678</v>
      </c>
      <c r="D5914" s="43">
        <v>-1</v>
      </c>
      <c r="E5914" s="230" t="s">
        <v>125</v>
      </c>
    </row>
    <row r="5915" spans="1:5">
      <c r="A5915" s="265">
        <v>46088</v>
      </c>
      <c r="B5915" s="343" t="s">
        <v>1246</v>
      </c>
      <c r="C5915" s="43" t="s">
        <v>678</v>
      </c>
      <c r="D5915" s="43">
        <v>-1</v>
      </c>
      <c r="E5915" s="230" t="s">
        <v>125</v>
      </c>
    </row>
    <row r="5916" spans="1:5">
      <c r="A5916" s="265">
        <v>46088</v>
      </c>
      <c r="B5916" s="343" t="s">
        <v>1246</v>
      </c>
      <c r="C5916" s="43" t="s">
        <v>678</v>
      </c>
      <c r="D5916" s="43">
        <v>-1</v>
      </c>
      <c r="E5916" s="230" t="s">
        <v>125</v>
      </c>
    </row>
    <row r="5918" spans="1:5">
      <c r="A5918" s="265">
        <v>46090</v>
      </c>
      <c r="B5918" s="342" t="s">
        <v>2163</v>
      </c>
      <c r="C5918" s="43" t="s">
        <v>3729</v>
      </c>
      <c r="D5918" s="43">
        <v>-1</v>
      </c>
      <c r="E5918" s="230" t="s">
        <v>125</v>
      </c>
    </row>
    <row r="5919" spans="1:5">
      <c r="A5919" s="265">
        <v>46090</v>
      </c>
      <c r="B5919" s="343" t="s">
        <v>1246</v>
      </c>
      <c r="C5919" s="43" t="s">
        <v>3004</v>
      </c>
      <c r="D5919" s="43">
        <v>-17</v>
      </c>
      <c r="E5919" s="230" t="s">
        <v>125</v>
      </c>
    </row>
    <row r="5920" spans="1:5">
      <c r="A5920" s="265">
        <v>46090</v>
      </c>
      <c r="B5920" s="343" t="s">
        <v>1246</v>
      </c>
      <c r="C5920" s="43" t="s">
        <v>2113</v>
      </c>
      <c r="D5920" s="43">
        <v>-3</v>
      </c>
      <c r="E5920" s="230" t="s">
        <v>125</v>
      </c>
    </row>
    <row r="5921" spans="1:6">
      <c r="A5921" s="265">
        <v>46090</v>
      </c>
      <c r="B5921" s="343" t="s">
        <v>1246</v>
      </c>
      <c r="C5921" s="43" t="s">
        <v>2647</v>
      </c>
      <c r="D5921" s="43">
        <v>-5</v>
      </c>
      <c r="E5921" s="230" t="s">
        <v>125</v>
      </c>
    </row>
    <row r="5922" spans="1:6">
      <c r="A5922" s="265">
        <v>46090</v>
      </c>
      <c r="B5922" s="343" t="s">
        <v>1246</v>
      </c>
      <c r="C5922" s="43" t="s">
        <v>2647</v>
      </c>
      <c r="D5922" s="43">
        <v>-6</v>
      </c>
      <c r="E5922" s="230" t="s">
        <v>125</v>
      </c>
    </row>
    <row r="5923" spans="1:6">
      <c r="A5923" s="265">
        <v>46090</v>
      </c>
      <c r="B5923" s="343" t="s">
        <v>1246</v>
      </c>
      <c r="C5923" s="43" t="s">
        <v>2647</v>
      </c>
      <c r="D5923" s="43">
        <v>-1</v>
      </c>
      <c r="E5923" s="230" t="s">
        <v>125</v>
      </c>
    </row>
    <row r="5924" spans="1:6">
      <c r="A5924" s="265">
        <v>46090</v>
      </c>
      <c r="B5924" s="93" t="s">
        <v>121</v>
      </c>
      <c r="C5924" s="43" t="s">
        <v>1598</v>
      </c>
      <c r="D5924" s="43">
        <v>-60</v>
      </c>
      <c r="E5924" s="230" t="s">
        <v>125</v>
      </c>
    </row>
    <row r="5925" spans="1:6">
      <c r="A5925" s="265">
        <v>46090</v>
      </c>
      <c r="B5925" s="92" t="s">
        <v>671</v>
      </c>
      <c r="C5925" s="43" t="s">
        <v>1598</v>
      </c>
      <c r="D5925" s="43">
        <v>-5</v>
      </c>
      <c r="E5925" s="230" t="s">
        <v>125</v>
      </c>
    </row>
    <row r="5926" spans="1:6">
      <c r="A5926" s="265">
        <v>46090</v>
      </c>
      <c r="B5926" s="92" t="s">
        <v>671</v>
      </c>
      <c r="C5926" s="43" t="s">
        <v>1598</v>
      </c>
      <c r="D5926" s="43">
        <v>-5</v>
      </c>
      <c r="E5926" s="230" t="s">
        <v>125</v>
      </c>
    </row>
    <row r="5927" spans="1:6">
      <c r="A5927" s="265">
        <v>46090</v>
      </c>
      <c r="B5927" s="343" t="s">
        <v>1296</v>
      </c>
      <c r="C5927" s="43" t="s">
        <v>2608</v>
      </c>
      <c r="D5927" s="43">
        <v>-1</v>
      </c>
      <c r="E5927" s="230" t="s">
        <v>125</v>
      </c>
    </row>
    <row r="5928" spans="1:6">
      <c r="A5928" s="265">
        <v>46090</v>
      </c>
      <c r="B5928" s="93" t="s">
        <v>2719</v>
      </c>
      <c r="C5928" s="43" t="s">
        <v>2608</v>
      </c>
      <c r="D5928" s="43">
        <v>-1</v>
      </c>
      <c r="E5928" s="230" t="s">
        <v>125</v>
      </c>
    </row>
    <row r="5929" spans="1:6">
      <c r="A5929" s="265">
        <v>46090</v>
      </c>
      <c r="B5929" s="343" t="s">
        <v>1246</v>
      </c>
      <c r="C5929" s="43" t="s">
        <v>678</v>
      </c>
      <c r="D5929" s="43">
        <v>-1</v>
      </c>
      <c r="E5929" s="230" t="s">
        <v>125</v>
      </c>
    </row>
    <row r="5930" spans="1:6">
      <c r="A5930" s="265">
        <v>46090</v>
      </c>
      <c r="B5930" s="343" t="s">
        <v>1246</v>
      </c>
      <c r="C5930" s="43" t="s">
        <v>678</v>
      </c>
      <c r="D5930" s="43">
        <v>-1</v>
      </c>
      <c r="E5930" s="230" t="s">
        <v>125</v>
      </c>
    </row>
    <row r="5931" spans="1:6">
      <c r="A5931" s="265">
        <v>46090</v>
      </c>
      <c r="B5931" s="343" t="s">
        <v>1246</v>
      </c>
      <c r="C5931" s="43" t="s">
        <v>678</v>
      </c>
      <c r="D5931" s="43">
        <v>-1</v>
      </c>
      <c r="E5931" s="230" t="s">
        <v>125</v>
      </c>
    </row>
    <row r="5932" spans="1:6">
      <c r="A5932" s="265">
        <v>46090</v>
      </c>
      <c r="B5932" s="343" t="s">
        <v>1246</v>
      </c>
      <c r="C5932" s="43" t="s">
        <v>678</v>
      </c>
      <c r="D5932" s="43">
        <v>-1</v>
      </c>
      <c r="E5932" s="230" t="s">
        <v>125</v>
      </c>
    </row>
    <row r="5934" spans="1:6">
      <c r="A5934" s="265">
        <v>45910</v>
      </c>
      <c r="B5934" s="343" t="s">
        <v>1537</v>
      </c>
      <c r="C5934" s="43" t="s">
        <v>3730</v>
      </c>
      <c r="D5934" s="43">
        <v>-3</v>
      </c>
      <c r="E5934" s="230" t="s">
        <v>125</v>
      </c>
      <c r="F5934" s="78">
        <v>46035</v>
      </c>
    </row>
    <row r="5935" spans="1:6">
      <c r="A5935" s="265">
        <v>45910</v>
      </c>
      <c r="B5935" s="343" t="s">
        <v>2317</v>
      </c>
      <c r="C5935" s="43" t="s">
        <v>3730</v>
      </c>
      <c r="D5935" s="43">
        <v>-1</v>
      </c>
      <c r="E5935" s="230" t="s">
        <v>125</v>
      </c>
      <c r="F5935" s="78">
        <v>46035</v>
      </c>
    </row>
    <row r="5936" spans="1:6">
      <c r="A5936" s="265">
        <v>45910</v>
      </c>
      <c r="B5936" s="343" t="s">
        <v>2318</v>
      </c>
      <c r="C5936" s="43" t="s">
        <v>3730</v>
      </c>
      <c r="D5936" s="43">
        <v>-1</v>
      </c>
      <c r="E5936" s="230" t="s">
        <v>125</v>
      </c>
      <c r="F5936" s="78">
        <v>46035</v>
      </c>
    </row>
    <row r="5938" spans="1:6">
      <c r="A5938" s="265">
        <v>46090</v>
      </c>
      <c r="B5938" s="93" t="s">
        <v>865</v>
      </c>
      <c r="C5938" s="43" t="s">
        <v>3731</v>
      </c>
      <c r="D5938" s="43">
        <v>-12</v>
      </c>
      <c r="E5938" s="230" t="s">
        <v>125</v>
      </c>
    </row>
    <row r="5939" spans="1:6">
      <c r="A5939" s="265">
        <v>46090</v>
      </c>
      <c r="B5939" s="92" t="s">
        <v>671</v>
      </c>
      <c r="C5939" s="43" t="s">
        <v>1598</v>
      </c>
      <c r="D5939" s="43">
        <v>-2</v>
      </c>
      <c r="E5939" s="230" t="s">
        <v>125</v>
      </c>
    </row>
    <row r="5940" spans="1:6">
      <c r="A5940" s="265">
        <v>46090</v>
      </c>
      <c r="B5940" s="93" t="s">
        <v>806</v>
      </c>
      <c r="C5940" s="43" t="s">
        <v>1595</v>
      </c>
      <c r="D5940" s="43">
        <v>-3</v>
      </c>
      <c r="E5940" s="230" t="s">
        <v>125</v>
      </c>
    </row>
    <row r="5941" spans="1:6">
      <c r="A5941" s="265">
        <v>46090</v>
      </c>
      <c r="B5941" s="343" t="s">
        <v>1246</v>
      </c>
      <c r="C5941" s="43" t="s">
        <v>2647</v>
      </c>
      <c r="D5941" s="43">
        <v>-3</v>
      </c>
      <c r="E5941" s="230" t="s">
        <v>125</v>
      </c>
    </row>
    <row r="5943" spans="1:6">
      <c r="A5943" s="323">
        <v>46090</v>
      </c>
      <c r="B5943" s="325" t="s">
        <v>1246</v>
      </c>
      <c r="C5943" s="322" t="s">
        <v>388</v>
      </c>
      <c r="D5943" s="322">
        <v>8</v>
      </c>
      <c r="E5943" s="321" t="s">
        <v>125</v>
      </c>
      <c r="F5943" t="s">
        <v>3791</v>
      </c>
    </row>
    <row r="5944" spans="1:6">
      <c r="A5944" s="323">
        <v>46090</v>
      </c>
      <c r="B5944" s="325" t="s">
        <v>1249</v>
      </c>
      <c r="C5944" s="322" t="s">
        <v>388</v>
      </c>
      <c r="D5944" s="322">
        <v>2</v>
      </c>
      <c r="E5944" s="321" t="s">
        <v>125</v>
      </c>
    </row>
    <row r="5945" spans="1:6">
      <c r="A5945" s="323">
        <v>46090</v>
      </c>
      <c r="B5945" s="325" t="s">
        <v>1246</v>
      </c>
      <c r="C5945" s="322" t="s">
        <v>388</v>
      </c>
      <c r="D5945" s="322">
        <v>6</v>
      </c>
      <c r="E5945" s="321" t="s">
        <v>125</v>
      </c>
    </row>
    <row r="5946" spans="1:6">
      <c r="A5946" s="323">
        <v>46090</v>
      </c>
      <c r="B5946" s="325" t="s">
        <v>1246</v>
      </c>
      <c r="C5946" s="322" t="s">
        <v>388</v>
      </c>
      <c r="D5946" s="322">
        <v>5</v>
      </c>
      <c r="E5946" s="321" t="s">
        <v>125</v>
      </c>
    </row>
    <row r="5947" spans="1:6">
      <c r="A5947" s="323">
        <v>46090</v>
      </c>
      <c r="B5947" s="325" t="s">
        <v>1246</v>
      </c>
      <c r="C5947" s="322" t="s">
        <v>388</v>
      </c>
      <c r="D5947" s="322">
        <v>4</v>
      </c>
      <c r="E5947" s="321" t="s">
        <v>125</v>
      </c>
    </row>
    <row r="5948" spans="1:6">
      <c r="A5948" s="323">
        <v>46090</v>
      </c>
      <c r="B5948" s="325" t="s">
        <v>1246</v>
      </c>
      <c r="C5948" s="322" t="s">
        <v>388</v>
      </c>
      <c r="D5948" s="322">
        <v>2</v>
      </c>
      <c r="E5948" s="321" t="s">
        <v>125</v>
      </c>
    </row>
    <row r="5949" spans="1:6">
      <c r="A5949" s="323">
        <v>46090</v>
      </c>
      <c r="B5949" s="325" t="s">
        <v>1289</v>
      </c>
      <c r="C5949" s="322" t="s">
        <v>388</v>
      </c>
      <c r="D5949" s="322">
        <v>3</v>
      </c>
      <c r="E5949" s="321" t="s">
        <v>125</v>
      </c>
    </row>
    <row r="5950" spans="1:6">
      <c r="A5950" s="323">
        <v>46090</v>
      </c>
      <c r="B5950" s="325" t="s">
        <v>1246</v>
      </c>
      <c r="C5950" s="322" t="s">
        <v>388</v>
      </c>
      <c r="D5950" s="322">
        <v>1</v>
      </c>
      <c r="E5950" s="321" t="s">
        <v>125</v>
      </c>
    </row>
    <row r="5951" spans="1:6">
      <c r="A5951" s="323">
        <v>46090</v>
      </c>
      <c r="B5951" s="325" t="s">
        <v>1249</v>
      </c>
      <c r="C5951" s="322" t="s">
        <v>388</v>
      </c>
      <c r="D5951" s="322">
        <v>1</v>
      </c>
      <c r="E5951" s="321" t="s">
        <v>125</v>
      </c>
    </row>
    <row r="5952" spans="1:6">
      <c r="A5952" s="323">
        <v>46090</v>
      </c>
      <c r="B5952" s="325" t="s">
        <v>1326</v>
      </c>
      <c r="C5952" s="322" t="s">
        <v>388</v>
      </c>
      <c r="D5952" s="322">
        <v>4</v>
      </c>
      <c r="E5952" s="321" t="s">
        <v>125</v>
      </c>
    </row>
    <row r="5953" spans="1:5">
      <c r="A5953" s="323">
        <v>46090</v>
      </c>
      <c r="B5953" s="325" t="s">
        <v>1318</v>
      </c>
      <c r="C5953" s="322" t="s">
        <v>388</v>
      </c>
      <c r="D5953" s="322">
        <v>8</v>
      </c>
      <c r="E5953" s="321" t="s">
        <v>125</v>
      </c>
    </row>
    <row r="5954" spans="1:5">
      <c r="A5954" s="323">
        <v>46090</v>
      </c>
      <c r="B5954" s="325" t="s">
        <v>1319</v>
      </c>
      <c r="C5954" s="322" t="s">
        <v>388</v>
      </c>
      <c r="D5954" s="322">
        <v>4</v>
      </c>
      <c r="E5954" s="321" t="s">
        <v>125</v>
      </c>
    </row>
    <row r="5955" spans="1:5">
      <c r="A5955" s="323">
        <v>46090</v>
      </c>
      <c r="B5955" s="325" t="s">
        <v>1409</v>
      </c>
      <c r="C5955" s="322" t="s">
        <v>388</v>
      </c>
      <c r="D5955" s="322">
        <v>6</v>
      </c>
      <c r="E5955" s="321" t="s">
        <v>125</v>
      </c>
    </row>
    <row r="5956" spans="1:5">
      <c r="A5956" s="323">
        <v>46090</v>
      </c>
      <c r="B5956" s="325" t="s">
        <v>976</v>
      </c>
      <c r="C5956" s="322" t="s">
        <v>388</v>
      </c>
      <c r="D5956" s="322">
        <v>5</v>
      </c>
      <c r="E5956" s="321" t="s">
        <v>125</v>
      </c>
    </row>
    <row r="5957" spans="1:5">
      <c r="A5957" s="323">
        <v>46090</v>
      </c>
      <c r="B5957" s="325" t="s">
        <v>1694</v>
      </c>
      <c r="C5957" s="322" t="s">
        <v>388</v>
      </c>
      <c r="D5957" s="322">
        <v>2</v>
      </c>
      <c r="E5957" s="321" t="s">
        <v>125</v>
      </c>
    </row>
    <row r="5958" spans="1:5">
      <c r="A5958" s="323">
        <v>46090</v>
      </c>
      <c r="B5958" s="325" t="s">
        <v>1271</v>
      </c>
      <c r="C5958" s="322" t="s">
        <v>388</v>
      </c>
      <c r="D5958" s="322">
        <v>2</v>
      </c>
      <c r="E5958" s="321" t="s">
        <v>125</v>
      </c>
    </row>
    <row r="5959" spans="1:5">
      <c r="A5959" s="323">
        <v>46090</v>
      </c>
      <c r="B5959" s="325" t="s">
        <v>1334</v>
      </c>
      <c r="C5959" s="322" t="s">
        <v>388</v>
      </c>
      <c r="D5959" s="322">
        <v>2</v>
      </c>
      <c r="E5959" s="321" t="s">
        <v>125</v>
      </c>
    </row>
    <row r="5960" spans="1:5">
      <c r="A5960" s="323">
        <v>46090</v>
      </c>
      <c r="B5960" s="325" t="s">
        <v>1271</v>
      </c>
      <c r="C5960" s="322" t="s">
        <v>388</v>
      </c>
      <c r="D5960" s="322">
        <v>1</v>
      </c>
      <c r="E5960" s="321" t="s">
        <v>125</v>
      </c>
    </row>
    <row r="5961" spans="1:5">
      <c r="A5961" s="323">
        <v>46090</v>
      </c>
      <c r="B5961" s="325" t="s">
        <v>169</v>
      </c>
      <c r="C5961" s="322" t="s">
        <v>388</v>
      </c>
      <c r="D5961" s="322">
        <v>1</v>
      </c>
      <c r="E5961" s="321" t="s">
        <v>125</v>
      </c>
    </row>
    <row r="5962" spans="1:5">
      <c r="A5962" s="323">
        <v>46090</v>
      </c>
      <c r="B5962" s="325" t="s">
        <v>1434</v>
      </c>
      <c r="C5962" s="322" t="s">
        <v>388</v>
      </c>
      <c r="D5962" s="322">
        <v>1</v>
      </c>
      <c r="E5962" s="321" t="s">
        <v>125</v>
      </c>
    </row>
    <row r="5963" spans="1:5">
      <c r="A5963" s="323">
        <v>46090</v>
      </c>
      <c r="B5963" s="325" t="s">
        <v>1434</v>
      </c>
      <c r="C5963" s="322" t="s">
        <v>388</v>
      </c>
      <c r="D5963" s="322">
        <v>1</v>
      </c>
      <c r="E5963" s="321" t="s">
        <v>125</v>
      </c>
    </row>
    <row r="5964" spans="1:5">
      <c r="A5964" s="323">
        <v>46090</v>
      </c>
      <c r="B5964" s="425" t="s">
        <v>1147</v>
      </c>
      <c r="C5964" s="322" t="s">
        <v>388</v>
      </c>
      <c r="D5964" s="322">
        <v>1</v>
      </c>
      <c r="E5964" s="321" t="s">
        <v>125</v>
      </c>
    </row>
    <row r="5965" spans="1:5">
      <c r="A5965" s="323">
        <v>46090</v>
      </c>
      <c r="B5965" s="324" t="s">
        <v>1387</v>
      </c>
      <c r="C5965" s="322" t="s">
        <v>388</v>
      </c>
      <c r="D5965" s="322">
        <v>1</v>
      </c>
      <c r="E5965" s="321" t="s">
        <v>125</v>
      </c>
    </row>
    <row r="5966" spans="1:5">
      <c r="A5966" s="323">
        <v>46090</v>
      </c>
      <c r="B5966" s="325" t="s">
        <v>1491</v>
      </c>
      <c r="C5966" s="322" t="s">
        <v>388</v>
      </c>
      <c r="D5966" s="322">
        <v>1</v>
      </c>
      <c r="E5966" s="321" t="s">
        <v>125</v>
      </c>
    </row>
    <row r="5967" spans="1:5">
      <c r="A5967" s="323">
        <v>46090</v>
      </c>
      <c r="B5967" s="324" t="s">
        <v>131</v>
      </c>
      <c r="C5967" s="322" t="s">
        <v>388</v>
      </c>
      <c r="D5967" s="322">
        <v>1</v>
      </c>
      <c r="E5967" s="321" t="s">
        <v>125</v>
      </c>
    </row>
    <row r="5969" spans="1:6">
      <c r="A5969" s="346">
        <v>46090</v>
      </c>
      <c r="B5969" s="349" t="s">
        <v>1246</v>
      </c>
      <c r="C5969" s="348" t="s">
        <v>2093</v>
      </c>
      <c r="D5969" s="348">
        <v>4</v>
      </c>
      <c r="E5969" s="360" t="s">
        <v>125</v>
      </c>
      <c r="F5969" t="s">
        <v>3793</v>
      </c>
    </row>
    <row r="5970" spans="1:6">
      <c r="A5970" s="346">
        <v>46090</v>
      </c>
      <c r="B5970" s="349" t="s">
        <v>1246</v>
      </c>
      <c r="C5970" s="348" t="s">
        <v>2093</v>
      </c>
      <c r="D5970" s="348">
        <v>2</v>
      </c>
      <c r="E5970" s="360" t="s">
        <v>125</v>
      </c>
    </row>
    <row r="5971" spans="1:6">
      <c r="A5971" s="346">
        <v>46090</v>
      </c>
      <c r="B5971" s="349" t="s">
        <v>1246</v>
      </c>
      <c r="C5971" s="348" t="s">
        <v>2093</v>
      </c>
      <c r="D5971" s="348">
        <v>2</v>
      </c>
      <c r="E5971" s="360" t="s">
        <v>125</v>
      </c>
    </row>
    <row r="5972" spans="1:6">
      <c r="A5972" s="346">
        <v>46090</v>
      </c>
      <c r="B5972" s="349" t="s">
        <v>1271</v>
      </c>
      <c r="C5972" s="348" t="s">
        <v>2093</v>
      </c>
      <c r="D5972" s="348">
        <v>4</v>
      </c>
      <c r="E5972" s="360" t="s">
        <v>125</v>
      </c>
    </row>
    <row r="5973" spans="1:6">
      <c r="A5973" s="346">
        <v>46090</v>
      </c>
      <c r="B5973" s="349" t="s">
        <v>1271</v>
      </c>
      <c r="C5973" s="348" t="s">
        <v>2093</v>
      </c>
      <c r="D5973" s="348">
        <v>2</v>
      </c>
      <c r="E5973" s="360" t="s">
        <v>125</v>
      </c>
    </row>
    <row r="5974" spans="1:6">
      <c r="A5974" s="346">
        <v>46090</v>
      </c>
      <c r="B5974" s="349" t="s">
        <v>1271</v>
      </c>
      <c r="C5974" s="348" t="s">
        <v>2093</v>
      </c>
      <c r="D5974" s="348">
        <v>2</v>
      </c>
      <c r="E5974" s="360" t="s">
        <v>125</v>
      </c>
    </row>
    <row r="5975" spans="1:6">
      <c r="A5975" s="346">
        <v>46090</v>
      </c>
      <c r="B5975" s="349" t="s">
        <v>1326</v>
      </c>
      <c r="C5975" s="348" t="s">
        <v>2093</v>
      </c>
      <c r="D5975" s="348">
        <v>1</v>
      </c>
      <c r="E5975" s="360" t="s">
        <v>125</v>
      </c>
    </row>
    <row r="5976" spans="1:6">
      <c r="A5976" s="346">
        <v>46090</v>
      </c>
      <c r="B5976" s="349" t="s">
        <v>1568</v>
      </c>
      <c r="C5976" s="348" t="s">
        <v>2093</v>
      </c>
      <c r="D5976" s="348">
        <v>2</v>
      </c>
      <c r="E5976" s="360" t="s">
        <v>125</v>
      </c>
    </row>
    <row r="5977" spans="1:6">
      <c r="A5977" s="346">
        <v>46090</v>
      </c>
      <c r="B5977" s="349" t="s">
        <v>1152</v>
      </c>
      <c r="C5977" s="348" t="s">
        <v>2093</v>
      </c>
      <c r="D5977" s="348">
        <v>2</v>
      </c>
      <c r="E5977" s="360" t="s">
        <v>125</v>
      </c>
    </row>
    <row r="5978" spans="1:6">
      <c r="A5978" s="346">
        <v>46090</v>
      </c>
      <c r="B5978" s="349" t="s">
        <v>976</v>
      </c>
      <c r="C5978" s="348" t="s">
        <v>2093</v>
      </c>
      <c r="D5978" s="348">
        <v>1</v>
      </c>
      <c r="E5978" s="360" t="s">
        <v>125</v>
      </c>
    </row>
    <row r="5979" spans="1:6">
      <c r="A5979" s="346">
        <v>46090</v>
      </c>
      <c r="B5979" s="349" t="s">
        <v>1291</v>
      </c>
      <c r="C5979" s="348" t="s">
        <v>2093</v>
      </c>
      <c r="D5979" s="348">
        <v>3</v>
      </c>
      <c r="E5979" s="360" t="s">
        <v>125</v>
      </c>
    </row>
    <row r="5980" spans="1:6">
      <c r="A5980" s="346">
        <v>46090</v>
      </c>
      <c r="B5980" s="349" t="s">
        <v>1291</v>
      </c>
      <c r="C5980" s="348" t="s">
        <v>2093</v>
      </c>
      <c r="D5980" s="348">
        <v>1</v>
      </c>
      <c r="E5980" s="360" t="s">
        <v>125</v>
      </c>
    </row>
    <row r="5981" spans="1:6">
      <c r="A5981" s="346">
        <v>46090</v>
      </c>
      <c r="B5981" s="351" t="s">
        <v>932</v>
      </c>
      <c r="C5981" s="348" t="s">
        <v>2093</v>
      </c>
      <c r="D5981" s="348">
        <v>2</v>
      </c>
      <c r="E5981" s="360" t="s">
        <v>125</v>
      </c>
    </row>
    <row r="5983" spans="1:6">
      <c r="A5983" s="335">
        <v>46091</v>
      </c>
      <c r="B5983" s="343" t="s">
        <v>1249</v>
      </c>
      <c r="C5983" s="345" t="s">
        <v>2929</v>
      </c>
      <c r="D5983" s="345">
        <v>-1</v>
      </c>
      <c r="E5983" s="230" t="s">
        <v>125</v>
      </c>
    </row>
    <row r="5984" spans="1:6">
      <c r="A5984" s="335">
        <v>46091</v>
      </c>
      <c r="B5984" s="343" t="s">
        <v>1246</v>
      </c>
      <c r="C5984" s="43" t="s">
        <v>678</v>
      </c>
      <c r="D5984" s="43">
        <v>-1</v>
      </c>
      <c r="E5984" s="230" t="s">
        <v>125</v>
      </c>
    </row>
    <row r="5985" spans="1:5">
      <c r="A5985" s="335">
        <v>46091</v>
      </c>
      <c r="B5985" s="343" t="s">
        <v>1271</v>
      </c>
      <c r="C5985" s="43" t="s">
        <v>678</v>
      </c>
      <c r="D5985" s="43">
        <v>-1</v>
      </c>
      <c r="E5985" s="230" t="s">
        <v>125</v>
      </c>
    </row>
    <row r="5986" spans="1:5">
      <c r="A5986" s="335">
        <v>46091</v>
      </c>
      <c r="B5986" s="343" t="s">
        <v>1246</v>
      </c>
      <c r="C5986" s="43" t="s">
        <v>678</v>
      </c>
      <c r="D5986" s="43">
        <v>-1</v>
      </c>
      <c r="E5986" s="230" t="s">
        <v>125</v>
      </c>
    </row>
    <row r="5987" spans="1:5">
      <c r="A5987" s="335">
        <v>46091</v>
      </c>
      <c r="B5987" s="343" t="s">
        <v>1246</v>
      </c>
      <c r="C5987" s="43" t="s">
        <v>678</v>
      </c>
      <c r="D5987" s="43">
        <v>-1</v>
      </c>
      <c r="E5987" s="230" t="s">
        <v>125</v>
      </c>
    </row>
    <row r="5988" spans="1:5">
      <c r="A5988" s="335">
        <v>46091</v>
      </c>
      <c r="B5988" s="343" t="s">
        <v>1271</v>
      </c>
      <c r="C5988" s="43" t="s">
        <v>678</v>
      </c>
      <c r="D5988" s="43">
        <v>-1</v>
      </c>
      <c r="E5988" s="230" t="s">
        <v>125</v>
      </c>
    </row>
    <row r="5989" spans="1:5">
      <c r="A5989" s="335">
        <v>46091</v>
      </c>
      <c r="B5989" s="93" t="s">
        <v>807</v>
      </c>
      <c r="C5989" s="43" t="s">
        <v>678</v>
      </c>
      <c r="D5989" s="43">
        <v>-4</v>
      </c>
      <c r="E5989" s="230" t="s">
        <v>125</v>
      </c>
    </row>
    <row r="5990" spans="1:5">
      <c r="A5990" s="335">
        <v>46091</v>
      </c>
      <c r="B5990" s="93" t="s">
        <v>807</v>
      </c>
      <c r="C5990" s="43" t="s">
        <v>678</v>
      </c>
      <c r="D5990" s="43">
        <v>-1</v>
      </c>
      <c r="E5990" s="230" t="s">
        <v>125</v>
      </c>
    </row>
    <row r="5991" spans="1:5">
      <c r="A5991" s="335">
        <v>46091</v>
      </c>
      <c r="B5991" s="343" t="s">
        <v>1246</v>
      </c>
      <c r="C5991" s="43" t="s">
        <v>678</v>
      </c>
      <c r="D5991" s="43">
        <v>-1</v>
      </c>
      <c r="E5991" s="230" t="s">
        <v>125</v>
      </c>
    </row>
    <row r="5992" spans="1:5">
      <c r="A5992" s="335">
        <v>46091</v>
      </c>
      <c r="B5992" s="93" t="s">
        <v>807</v>
      </c>
      <c r="C5992" s="43" t="s">
        <v>678</v>
      </c>
      <c r="D5992" s="43">
        <v>-4</v>
      </c>
      <c r="E5992" s="230" t="s">
        <v>125</v>
      </c>
    </row>
    <row r="5994" spans="1:5">
      <c r="A5994" s="335">
        <v>46091</v>
      </c>
      <c r="B5994" s="93" t="s">
        <v>121</v>
      </c>
      <c r="C5994" s="43" t="s">
        <v>1787</v>
      </c>
      <c r="D5994" s="43">
        <v>-15</v>
      </c>
      <c r="E5994" s="230" t="s">
        <v>125</v>
      </c>
    </row>
    <row r="5995" spans="1:5">
      <c r="A5995" s="335">
        <v>46091</v>
      </c>
      <c r="B5995" s="93" t="s">
        <v>92</v>
      </c>
      <c r="C5995" s="43" t="s">
        <v>3795</v>
      </c>
      <c r="D5995" s="43">
        <v>-1</v>
      </c>
      <c r="E5995" s="230" t="s">
        <v>125</v>
      </c>
    </row>
    <row r="5996" spans="1:5">
      <c r="A5996" s="335">
        <v>46091</v>
      </c>
      <c r="B5996" s="343" t="s">
        <v>1246</v>
      </c>
      <c r="C5996" s="43" t="s">
        <v>2647</v>
      </c>
      <c r="D5996" s="43">
        <v>-1</v>
      </c>
      <c r="E5996" s="230" t="s">
        <v>125</v>
      </c>
    </row>
    <row r="5997" spans="1:5">
      <c r="A5997" s="335">
        <v>46091</v>
      </c>
      <c r="B5997" s="93" t="s">
        <v>844</v>
      </c>
      <c r="C5997" s="43" t="s">
        <v>3795</v>
      </c>
      <c r="D5997" s="43">
        <v>-1</v>
      </c>
      <c r="E5997" s="230" t="s">
        <v>125</v>
      </c>
    </row>
    <row r="5998" spans="1:5">
      <c r="A5998" s="335">
        <v>46091</v>
      </c>
      <c r="B5998" s="342" t="s">
        <v>960</v>
      </c>
      <c r="C5998" s="43" t="s">
        <v>1656</v>
      </c>
      <c r="D5998" s="43">
        <v>-6</v>
      </c>
      <c r="E5998" s="230" t="s">
        <v>125</v>
      </c>
    </row>
    <row r="6000" spans="1:5">
      <c r="A6000" s="335">
        <v>46091</v>
      </c>
      <c r="B6000" s="104" t="s">
        <v>375</v>
      </c>
      <c r="C6000" s="43" t="s">
        <v>2405</v>
      </c>
      <c r="D6000" s="43">
        <v>3</v>
      </c>
      <c r="E6000" s="230" t="s">
        <v>125</v>
      </c>
    </row>
    <row r="6002" spans="1:5">
      <c r="A6002" s="335">
        <v>46092</v>
      </c>
      <c r="B6002" s="343" t="s">
        <v>1249</v>
      </c>
      <c r="C6002" s="43" t="s">
        <v>1663</v>
      </c>
      <c r="D6002" s="43">
        <v>-1</v>
      </c>
      <c r="E6002" s="230" t="s">
        <v>125</v>
      </c>
    </row>
    <row r="6003" spans="1:5">
      <c r="A6003" s="335">
        <v>46092</v>
      </c>
      <c r="B6003" s="343" t="s">
        <v>1271</v>
      </c>
      <c r="C6003" s="43" t="s">
        <v>2929</v>
      </c>
      <c r="D6003" s="43">
        <v>-1</v>
      </c>
      <c r="E6003" s="230" t="s">
        <v>125</v>
      </c>
    </row>
    <row r="6004" spans="1:5">
      <c r="A6004" s="335">
        <v>46092</v>
      </c>
      <c r="B6004" s="93" t="s">
        <v>121</v>
      </c>
      <c r="C6004" s="43" t="s">
        <v>1598</v>
      </c>
      <c r="D6004" s="43">
        <v>-40</v>
      </c>
      <c r="E6004" s="230" t="s">
        <v>125</v>
      </c>
    </row>
    <row r="6005" spans="1:5">
      <c r="A6005" s="335">
        <v>46092</v>
      </c>
      <c r="B6005" s="93" t="s">
        <v>121</v>
      </c>
      <c r="C6005" s="43" t="s">
        <v>3796</v>
      </c>
      <c r="D6005" s="43">
        <v>-15</v>
      </c>
      <c r="E6005" s="230" t="s">
        <v>125</v>
      </c>
    </row>
    <row r="6006" spans="1:5">
      <c r="A6006" s="335">
        <v>46092</v>
      </c>
      <c r="B6006" s="343" t="s">
        <v>1246</v>
      </c>
      <c r="C6006" s="43" t="s">
        <v>3004</v>
      </c>
      <c r="D6006" s="43">
        <v>-3</v>
      </c>
      <c r="E6006" s="230" t="s">
        <v>125</v>
      </c>
    </row>
    <row r="6007" spans="1:5">
      <c r="A6007" s="335">
        <v>46092</v>
      </c>
      <c r="B6007" s="93" t="s">
        <v>1222</v>
      </c>
      <c r="C6007" s="43" t="s">
        <v>1595</v>
      </c>
      <c r="D6007" s="43">
        <v>-1</v>
      </c>
      <c r="E6007" s="230" t="s">
        <v>125</v>
      </c>
    </row>
    <row r="6008" spans="1:5">
      <c r="A6008" s="335">
        <v>46092</v>
      </c>
      <c r="B6008" s="343" t="s">
        <v>1246</v>
      </c>
      <c r="C6008" s="43" t="s">
        <v>2647</v>
      </c>
      <c r="D6008" s="43">
        <v>-2</v>
      </c>
      <c r="E6008" s="230" t="s">
        <v>125</v>
      </c>
    </row>
    <row r="6009" spans="1:5">
      <c r="A6009" s="335">
        <v>46092</v>
      </c>
      <c r="B6009" s="343" t="s">
        <v>1246</v>
      </c>
      <c r="C6009" s="43" t="s">
        <v>2113</v>
      </c>
      <c r="D6009" s="43">
        <v>-1</v>
      </c>
      <c r="E6009" s="230" t="s">
        <v>125</v>
      </c>
    </row>
    <row r="6011" spans="1:5">
      <c r="A6011" s="265">
        <v>46090</v>
      </c>
      <c r="B6011" s="343" t="s">
        <v>1409</v>
      </c>
      <c r="C6011" s="43" t="s">
        <v>1656</v>
      </c>
      <c r="D6011" s="43">
        <v>-10</v>
      </c>
      <c r="E6011" s="230" t="s">
        <v>125</v>
      </c>
    </row>
    <row r="6012" spans="1:5" ht="21.6" customHeight="1">
      <c r="A6012" s="265">
        <v>46090</v>
      </c>
      <c r="B6012" s="343" t="s">
        <v>136</v>
      </c>
      <c r="C6012" s="43" t="s">
        <v>1656</v>
      </c>
      <c r="D6012" s="43">
        <v>-1</v>
      </c>
      <c r="E6012" s="230" t="s">
        <v>125</v>
      </c>
    </row>
    <row r="6013" spans="1:5">
      <c r="A6013" s="265">
        <v>46090</v>
      </c>
      <c r="B6013" s="343" t="s">
        <v>1312</v>
      </c>
      <c r="C6013" s="43" t="s">
        <v>1656</v>
      </c>
      <c r="D6013" s="43">
        <v>-7</v>
      </c>
      <c r="E6013" s="230" t="s">
        <v>125</v>
      </c>
    </row>
    <row r="6014" spans="1:5">
      <c r="A6014" s="265">
        <v>46090</v>
      </c>
      <c r="B6014" s="343" t="s">
        <v>3699</v>
      </c>
      <c r="C6014" s="43" t="s">
        <v>1656</v>
      </c>
      <c r="D6014" s="43">
        <v>-1</v>
      </c>
      <c r="E6014" s="230" t="s">
        <v>125</v>
      </c>
    </row>
    <row r="6015" spans="1:5">
      <c r="A6015" s="265">
        <v>46090</v>
      </c>
      <c r="B6015" s="84" t="s">
        <v>131</v>
      </c>
      <c r="C6015" s="43" t="s">
        <v>1656</v>
      </c>
      <c r="D6015" s="43">
        <v>-15</v>
      </c>
      <c r="E6015" s="230" t="s">
        <v>125</v>
      </c>
    </row>
    <row r="6016" spans="1:5">
      <c r="A6016" s="265">
        <v>46090</v>
      </c>
      <c r="B6016" s="104" t="s">
        <v>375</v>
      </c>
      <c r="C6016" s="43" t="s">
        <v>1656</v>
      </c>
      <c r="D6016" s="43">
        <v>-3</v>
      </c>
      <c r="E6016" s="230" t="s">
        <v>125</v>
      </c>
    </row>
    <row r="6017" spans="1:5">
      <c r="A6017" s="265">
        <v>46090</v>
      </c>
      <c r="B6017" s="104" t="s">
        <v>375</v>
      </c>
      <c r="C6017" s="43" t="s">
        <v>1656</v>
      </c>
      <c r="D6017" s="43">
        <v>-1</v>
      </c>
      <c r="E6017" s="230" t="s">
        <v>125</v>
      </c>
    </row>
    <row r="6018" spans="1:5">
      <c r="A6018" s="265">
        <v>46090</v>
      </c>
      <c r="B6018" s="104" t="s">
        <v>375</v>
      </c>
      <c r="C6018" s="43" t="s">
        <v>1656</v>
      </c>
      <c r="D6018" s="43">
        <v>-1</v>
      </c>
      <c r="E6018" s="230" t="s">
        <v>125</v>
      </c>
    </row>
    <row r="6020" spans="1:5">
      <c r="A6020" s="437">
        <v>46092</v>
      </c>
      <c r="B6020" s="222" t="s">
        <v>1289</v>
      </c>
      <c r="C6020" s="220" t="s">
        <v>3797</v>
      </c>
      <c r="D6020" s="220">
        <v>1</v>
      </c>
      <c r="E6020" s="438" t="s">
        <v>125</v>
      </c>
    </row>
    <row r="6021" spans="1:5">
      <c r="A6021" s="437">
        <v>46092</v>
      </c>
      <c r="B6021" s="222" t="s">
        <v>1290</v>
      </c>
      <c r="C6021" s="220" t="s">
        <v>3797</v>
      </c>
      <c r="D6021" s="220">
        <v>3</v>
      </c>
      <c r="E6021" s="438" t="s">
        <v>125</v>
      </c>
    </row>
    <row r="6023" spans="1:5">
      <c r="A6023" s="335">
        <v>46092</v>
      </c>
      <c r="B6023" s="343" t="s">
        <v>1289</v>
      </c>
      <c r="C6023" s="345" t="s">
        <v>2723</v>
      </c>
      <c r="D6023" s="345">
        <v>-1</v>
      </c>
      <c r="E6023" s="230" t="s">
        <v>125</v>
      </c>
    </row>
    <row r="6024" spans="1:5">
      <c r="A6024" s="335">
        <v>46092</v>
      </c>
      <c r="B6024" s="343" t="s">
        <v>1290</v>
      </c>
      <c r="C6024" s="345" t="s">
        <v>2723</v>
      </c>
      <c r="D6024" s="345">
        <v>-3</v>
      </c>
      <c r="E6024" s="230" t="s">
        <v>125</v>
      </c>
    </row>
    <row r="6026" spans="1:5">
      <c r="A6026" s="335">
        <v>46092</v>
      </c>
      <c r="B6026" s="93" t="s">
        <v>2625</v>
      </c>
      <c r="C6026" s="43" t="s">
        <v>1879</v>
      </c>
      <c r="D6026" s="43">
        <v>-6</v>
      </c>
      <c r="E6026" s="230" t="s">
        <v>125</v>
      </c>
    </row>
    <row r="6027" spans="1:5">
      <c r="A6027" s="335">
        <v>46092</v>
      </c>
      <c r="B6027" s="84" t="s">
        <v>131</v>
      </c>
      <c r="C6027" s="43" t="s">
        <v>1879</v>
      </c>
      <c r="D6027" s="43">
        <v>-1</v>
      </c>
      <c r="E6027" s="230" t="s">
        <v>125</v>
      </c>
    </row>
    <row r="6028" spans="1:5">
      <c r="A6028" s="335">
        <v>46092</v>
      </c>
      <c r="B6028" s="344" t="s">
        <v>1146</v>
      </c>
      <c r="C6028" s="43" t="s">
        <v>1879</v>
      </c>
      <c r="D6028" s="43">
        <v>-1</v>
      </c>
      <c r="E6028" s="230" t="s">
        <v>125</v>
      </c>
    </row>
    <row r="6029" spans="1:5">
      <c r="A6029" s="335">
        <v>46092</v>
      </c>
      <c r="B6029" s="104" t="s">
        <v>375</v>
      </c>
      <c r="C6029" s="43" t="s">
        <v>1879</v>
      </c>
      <c r="D6029" s="43">
        <v>-3</v>
      </c>
      <c r="E6029" s="230" t="s">
        <v>125</v>
      </c>
    </row>
    <row r="6030" spans="1:5">
      <c r="A6030" s="335">
        <v>46092</v>
      </c>
      <c r="B6030" s="93" t="s">
        <v>1569</v>
      </c>
      <c r="C6030" s="43" t="s">
        <v>1879</v>
      </c>
      <c r="D6030" s="43">
        <v>-2</v>
      </c>
      <c r="E6030" s="230" t="s">
        <v>125</v>
      </c>
    </row>
    <row r="6031" spans="1:5">
      <c r="A6031" s="335">
        <v>46092</v>
      </c>
      <c r="B6031" s="342" t="s">
        <v>960</v>
      </c>
      <c r="C6031" s="43" t="s">
        <v>1879</v>
      </c>
      <c r="D6031" s="43">
        <v>-1</v>
      </c>
      <c r="E6031" s="230" t="s">
        <v>125</v>
      </c>
    </row>
    <row r="6033" spans="1:5">
      <c r="A6033" s="265">
        <v>46093</v>
      </c>
      <c r="B6033" s="93" t="s">
        <v>121</v>
      </c>
      <c r="C6033" s="43" t="s">
        <v>1787</v>
      </c>
      <c r="D6033" s="43">
        <v>-14</v>
      </c>
      <c r="E6033" s="230" t="s">
        <v>125</v>
      </c>
    </row>
    <row r="6034" spans="1:5">
      <c r="A6034" s="265">
        <v>46093</v>
      </c>
      <c r="B6034" s="343" t="s">
        <v>1318</v>
      </c>
      <c r="C6034" s="43" t="s">
        <v>678</v>
      </c>
      <c r="D6034" s="43">
        <v>-1</v>
      </c>
      <c r="E6034" s="230" t="s">
        <v>125</v>
      </c>
    </row>
    <row r="6035" spans="1:5">
      <c r="A6035" s="265">
        <v>46093</v>
      </c>
      <c r="B6035" s="343" t="s">
        <v>1271</v>
      </c>
      <c r="C6035" s="43" t="s">
        <v>678</v>
      </c>
      <c r="D6035" s="43">
        <v>-1</v>
      </c>
      <c r="E6035" s="230" t="s">
        <v>125</v>
      </c>
    </row>
    <row r="6036" spans="1:5">
      <c r="A6036" s="265">
        <v>46093</v>
      </c>
      <c r="B6036" s="343" t="s">
        <v>1271</v>
      </c>
      <c r="C6036" s="43" t="s">
        <v>678</v>
      </c>
      <c r="D6036" s="43">
        <v>-1</v>
      </c>
      <c r="E6036" s="230" t="s">
        <v>125</v>
      </c>
    </row>
    <row r="6037" spans="1:5">
      <c r="A6037" s="265">
        <v>46093</v>
      </c>
      <c r="B6037" s="343" t="s">
        <v>1271</v>
      </c>
      <c r="C6037" s="43" t="s">
        <v>678</v>
      </c>
      <c r="D6037" s="43">
        <v>-1</v>
      </c>
      <c r="E6037" s="230" t="s">
        <v>125</v>
      </c>
    </row>
    <row r="6038" spans="1:5">
      <c r="A6038" s="265">
        <v>46093</v>
      </c>
      <c r="B6038" s="343" t="s">
        <v>1271</v>
      </c>
      <c r="C6038" s="43" t="s">
        <v>678</v>
      </c>
      <c r="D6038" s="43">
        <v>-1</v>
      </c>
      <c r="E6038" s="230" t="s">
        <v>125</v>
      </c>
    </row>
    <row r="6039" spans="1:5">
      <c r="A6039" s="265">
        <v>46093</v>
      </c>
      <c r="B6039" s="343" t="s">
        <v>1246</v>
      </c>
      <c r="C6039" s="43" t="s">
        <v>678</v>
      </c>
      <c r="D6039" s="43">
        <v>-2</v>
      </c>
      <c r="E6039" s="230" t="s">
        <v>125</v>
      </c>
    </row>
    <row r="6041" spans="1:5">
      <c r="A6041" s="265">
        <v>46094</v>
      </c>
      <c r="B6041" s="343" t="s">
        <v>2312</v>
      </c>
      <c r="C6041" s="43" t="s">
        <v>3799</v>
      </c>
      <c r="D6041" s="43">
        <v>-1</v>
      </c>
      <c r="E6041" s="230" t="s">
        <v>125</v>
      </c>
    </row>
    <row r="6042" spans="1:5">
      <c r="A6042" s="265">
        <v>46094</v>
      </c>
      <c r="B6042" s="92" t="s">
        <v>672</v>
      </c>
      <c r="C6042" s="43" t="s">
        <v>3799</v>
      </c>
      <c r="D6042" s="43">
        <v>-1</v>
      </c>
      <c r="E6042" s="230" t="s">
        <v>125</v>
      </c>
    </row>
    <row r="6043" spans="1:5">
      <c r="A6043" s="265">
        <v>46094</v>
      </c>
      <c r="B6043" s="92" t="s">
        <v>672</v>
      </c>
      <c r="C6043" s="43" t="s">
        <v>3799</v>
      </c>
      <c r="D6043" s="43">
        <v>-1</v>
      </c>
      <c r="E6043" s="230" t="s">
        <v>125</v>
      </c>
    </row>
    <row r="6044" spans="1:5">
      <c r="A6044" s="265">
        <v>46094</v>
      </c>
      <c r="B6044" s="343" t="s">
        <v>1270</v>
      </c>
      <c r="C6044" s="43" t="s">
        <v>3799</v>
      </c>
      <c r="D6044" s="43">
        <v>-2</v>
      </c>
      <c r="E6044" s="230" t="s">
        <v>125</v>
      </c>
    </row>
    <row r="6045" spans="1:5">
      <c r="A6045" s="265">
        <v>46094</v>
      </c>
      <c r="B6045" s="84" t="s">
        <v>881</v>
      </c>
      <c r="C6045" s="43" t="s">
        <v>3799</v>
      </c>
      <c r="D6045" s="43">
        <v>-3</v>
      </c>
      <c r="E6045" s="230" t="s">
        <v>125</v>
      </c>
    </row>
    <row r="6047" spans="1:5">
      <c r="A6047" s="330">
        <v>46094</v>
      </c>
      <c r="B6047" s="327" t="s">
        <v>76</v>
      </c>
      <c r="C6047" s="328" t="s">
        <v>3803</v>
      </c>
      <c r="D6047" s="328">
        <v>30</v>
      </c>
      <c r="E6047" s="331" t="s">
        <v>125</v>
      </c>
    </row>
    <row r="6049" spans="1:5">
      <c r="A6049" s="272">
        <v>46080</v>
      </c>
      <c r="B6049" s="128" t="s">
        <v>76</v>
      </c>
      <c r="C6049" s="106" t="s">
        <v>3803</v>
      </c>
      <c r="D6049" s="106">
        <v>60</v>
      </c>
      <c r="E6049" s="94" t="s">
        <v>125</v>
      </c>
    </row>
    <row r="6050" spans="1:5">
      <c r="A6050" s="272">
        <v>46081</v>
      </c>
      <c r="B6050" s="233" t="s">
        <v>375</v>
      </c>
      <c r="C6050" s="106" t="s">
        <v>3803</v>
      </c>
      <c r="D6050" s="106">
        <v>4</v>
      </c>
      <c r="E6050" s="94" t="s">
        <v>125</v>
      </c>
    </row>
    <row r="6051" spans="1:5">
      <c r="A6051" s="272">
        <v>46081</v>
      </c>
      <c r="B6051" s="139" t="s">
        <v>1246</v>
      </c>
      <c r="C6051" s="106" t="s">
        <v>3803</v>
      </c>
      <c r="D6051" s="106">
        <v>1</v>
      </c>
      <c r="E6051" s="94" t="s">
        <v>125</v>
      </c>
    </row>
    <row r="6052" spans="1:5">
      <c r="A6052" s="272">
        <v>46083</v>
      </c>
      <c r="B6052" s="128" t="s">
        <v>76</v>
      </c>
      <c r="C6052" s="106" t="s">
        <v>3803</v>
      </c>
      <c r="D6052" s="106">
        <v>80</v>
      </c>
      <c r="E6052" s="94" t="s">
        <v>125</v>
      </c>
    </row>
    <row r="6054" spans="1:5">
      <c r="A6054" s="265">
        <v>46094</v>
      </c>
      <c r="B6054" s="93" t="s">
        <v>976</v>
      </c>
      <c r="C6054" s="43" t="s">
        <v>2608</v>
      </c>
      <c r="D6054" s="43">
        <v>-1</v>
      </c>
      <c r="E6054" s="230" t="s">
        <v>125</v>
      </c>
    </row>
    <row r="6056" spans="1:5">
      <c r="A6056" s="272">
        <v>46094</v>
      </c>
      <c r="B6056" s="128" t="s">
        <v>76</v>
      </c>
      <c r="C6056" s="106" t="s">
        <v>3807</v>
      </c>
      <c r="D6056" s="106">
        <v>16</v>
      </c>
      <c r="E6056" s="94" t="s">
        <v>125</v>
      </c>
    </row>
    <row r="6057" spans="1:5">
      <c r="A6057" s="272">
        <v>46094</v>
      </c>
      <c r="B6057" s="128" t="s">
        <v>76</v>
      </c>
      <c r="C6057" s="106" t="s">
        <v>3807</v>
      </c>
      <c r="D6057" s="106">
        <v>5</v>
      </c>
      <c r="E6057" s="94" t="s">
        <v>125</v>
      </c>
    </row>
    <row r="6059" spans="1:5">
      <c r="A6059" s="265">
        <v>46094</v>
      </c>
      <c r="B6059" s="104" t="s">
        <v>375</v>
      </c>
      <c r="C6059" s="43" t="s">
        <v>1656</v>
      </c>
      <c r="D6059" s="43">
        <v>-4</v>
      </c>
      <c r="E6059" s="230" t="s">
        <v>125</v>
      </c>
    </row>
    <row r="6060" spans="1:5">
      <c r="A6060" s="265">
        <v>46094</v>
      </c>
      <c r="B6060" s="343" t="s">
        <v>1409</v>
      </c>
      <c r="C6060" s="43" t="s">
        <v>1656</v>
      </c>
      <c r="D6060" s="43">
        <v>-6</v>
      </c>
      <c r="E6060" s="230" t="s">
        <v>125</v>
      </c>
    </row>
    <row r="6061" spans="1:5">
      <c r="A6061" s="265">
        <v>46094</v>
      </c>
      <c r="B6061" s="92" t="s">
        <v>634</v>
      </c>
      <c r="C6061" s="43" t="s">
        <v>1656</v>
      </c>
      <c r="D6061" s="43">
        <v>-4</v>
      </c>
      <c r="E6061" s="230" t="s">
        <v>125</v>
      </c>
    </row>
    <row r="6062" spans="1:5">
      <c r="A6062" s="265">
        <v>46094</v>
      </c>
      <c r="B6062" s="92" t="s">
        <v>82</v>
      </c>
      <c r="C6062" s="43" t="s">
        <v>1656</v>
      </c>
      <c r="D6062" s="43">
        <v>-1</v>
      </c>
      <c r="E6062" s="230" t="s">
        <v>125</v>
      </c>
    </row>
    <row r="6064" spans="1:5">
      <c r="A6064" s="265">
        <v>46093</v>
      </c>
      <c r="B6064" s="343" t="s">
        <v>1246</v>
      </c>
      <c r="C6064" s="43" t="s">
        <v>678</v>
      </c>
      <c r="D6064" s="43">
        <v>-1</v>
      </c>
      <c r="E6064" s="230" t="s">
        <v>125</v>
      </c>
    </row>
    <row r="6065" spans="1:5">
      <c r="A6065" s="265">
        <v>46093</v>
      </c>
      <c r="B6065" s="93" t="s">
        <v>167</v>
      </c>
      <c r="C6065" s="43" t="s">
        <v>678</v>
      </c>
      <c r="D6065" s="43">
        <v>-1</v>
      </c>
      <c r="E6065" s="230" t="s">
        <v>125</v>
      </c>
    </row>
    <row r="6066" spans="1:5">
      <c r="A6066" s="265">
        <v>46093</v>
      </c>
      <c r="B6066" s="93" t="s">
        <v>807</v>
      </c>
      <c r="C6066" s="43" t="s">
        <v>678</v>
      </c>
      <c r="D6066" s="43">
        <v>-2</v>
      </c>
      <c r="E6066" s="230" t="s">
        <v>125</v>
      </c>
    </row>
    <row r="6068" spans="1:5">
      <c r="A6068" s="265">
        <v>46094</v>
      </c>
      <c r="B6068" s="343" t="s">
        <v>1326</v>
      </c>
      <c r="C6068" s="43" t="s">
        <v>678</v>
      </c>
      <c r="D6068" s="43">
        <v>-1</v>
      </c>
      <c r="E6068" s="230" t="s">
        <v>125</v>
      </c>
    </row>
    <row r="6069" spans="1:5">
      <c r="A6069" s="265">
        <v>46094</v>
      </c>
      <c r="B6069" s="343" t="s">
        <v>1246</v>
      </c>
      <c r="C6069" s="43" t="s">
        <v>678</v>
      </c>
      <c r="D6069" s="43">
        <v>-2</v>
      </c>
      <c r="E6069" s="230" t="s">
        <v>125</v>
      </c>
    </row>
    <row r="6071" spans="1:5">
      <c r="A6071" s="265">
        <v>46094</v>
      </c>
      <c r="B6071" s="343" t="s">
        <v>1291</v>
      </c>
      <c r="C6071" s="43" t="s">
        <v>3808</v>
      </c>
      <c r="D6071" s="43">
        <v>2</v>
      </c>
      <c r="E6071" s="230" t="s">
        <v>125</v>
      </c>
    </row>
    <row r="6073" spans="1:5">
      <c r="A6073" s="265">
        <v>46093</v>
      </c>
      <c r="B6073" s="93" t="s">
        <v>2646</v>
      </c>
      <c r="C6073" s="43" t="s">
        <v>2647</v>
      </c>
      <c r="D6073" s="43">
        <v>-1</v>
      </c>
      <c r="E6073" s="230" t="s">
        <v>125</v>
      </c>
    </row>
    <row r="6075" spans="1:5">
      <c r="A6075" s="265">
        <v>46095</v>
      </c>
      <c r="B6075" s="93" t="s">
        <v>807</v>
      </c>
      <c r="C6075" s="43" t="s">
        <v>678</v>
      </c>
      <c r="D6075" s="43">
        <v>-1</v>
      </c>
      <c r="E6075" s="230" t="s">
        <v>125</v>
      </c>
    </row>
    <row r="6076" spans="1:5">
      <c r="A6076" s="265">
        <v>46095</v>
      </c>
      <c r="B6076" s="93" t="s">
        <v>1561</v>
      </c>
      <c r="C6076" s="43" t="s">
        <v>678</v>
      </c>
      <c r="D6076" s="43">
        <v>-2</v>
      </c>
      <c r="E6076" s="230" t="s">
        <v>125</v>
      </c>
    </row>
    <row r="6077" spans="1:5">
      <c r="A6077" s="265">
        <v>46095</v>
      </c>
      <c r="B6077" s="343" t="s">
        <v>2144</v>
      </c>
      <c r="C6077" s="43" t="s">
        <v>678</v>
      </c>
      <c r="D6077" s="43">
        <v>-1</v>
      </c>
      <c r="E6077" s="230" t="s">
        <v>125</v>
      </c>
    </row>
    <row r="6078" spans="1:5">
      <c r="A6078" s="265">
        <v>46095</v>
      </c>
      <c r="B6078" s="343" t="s">
        <v>1232</v>
      </c>
      <c r="C6078" s="43" t="s">
        <v>678</v>
      </c>
      <c r="D6078" s="43">
        <v>-1</v>
      </c>
      <c r="E6078" s="230" t="s">
        <v>125</v>
      </c>
    </row>
    <row r="6080" spans="1:5">
      <c r="A6080" s="265">
        <v>46096</v>
      </c>
      <c r="B6080" s="343" t="s">
        <v>1249</v>
      </c>
      <c r="C6080" s="43" t="s">
        <v>678</v>
      </c>
      <c r="D6080" s="43">
        <v>-1</v>
      </c>
      <c r="E6080" s="230" t="s">
        <v>125</v>
      </c>
    </row>
    <row r="6081" spans="1:5">
      <c r="A6081" s="265">
        <v>46096</v>
      </c>
      <c r="B6081" s="343" t="s">
        <v>1249</v>
      </c>
      <c r="C6081" s="43" t="s">
        <v>678</v>
      </c>
      <c r="D6081" s="43">
        <v>-1</v>
      </c>
      <c r="E6081" s="230" t="s">
        <v>125</v>
      </c>
    </row>
    <row r="6082" spans="1:5">
      <c r="A6082" s="265">
        <v>46096</v>
      </c>
      <c r="B6082" s="93" t="s">
        <v>166</v>
      </c>
      <c r="C6082" s="43" t="s">
        <v>678</v>
      </c>
      <c r="D6082" s="43">
        <v>-1</v>
      </c>
      <c r="E6082" s="230" t="s">
        <v>125</v>
      </c>
    </row>
    <row r="6084" spans="1:5">
      <c r="A6084" s="265">
        <v>46097</v>
      </c>
      <c r="B6084" s="343" t="s">
        <v>1291</v>
      </c>
      <c r="C6084" s="43" t="s">
        <v>2724</v>
      </c>
      <c r="D6084" s="43">
        <v>-2</v>
      </c>
      <c r="E6084" s="230" t="s">
        <v>125</v>
      </c>
    </row>
    <row r="6085" spans="1:5">
      <c r="A6085" s="265">
        <v>46097</v>
      </c>
      <c r="B6085" s="343" t="s">
        <v>1291</v>
      </c>
      <c r="C6085" s="43" t="s">
        <v>2724</v>
      </c>
      <c r="D6085" s="43">
        <v>-1</v>
      </c>
      <c r="E6085" s="230" t="s">
        <v>125</v>
      </c>
    </row>
    <row r="6086" spans="1:5">
      <c r="A6086" s="265">
        <v>46097</v>
      </c>
      <c r="B6086" s="93" t="s">
        <v>1490</v>
      </c>
      <c r="C6086" s="43" t="s">
        <v>2724</v>
      </c>
      <c r="D6086" s="43">
        <f>-1-D60871</f>
        <v>-1</v>
      </c>
      <c r="E6086" s="230" t="s">
        <v>125</v>
      </c>
    </row>
    <row r="6087" spans="1:5">
      <c r="A6087" s="265">
        <v>46097</v>
      </c>
      <c r="B6087" s="93" t="s">
        <v>1491</v>
      </c>
      <c r="C6087" s="43" t="s">
        <v>2724</v>
      </c>
      <c r="D6087" s="43">
        <v>-1</v>
      </c>
      <c r="E6087" s="230" t="s">
        <v>125</v>
      </c>
    </row>
    <row r="6088" spans="1:5">
      <c r="A6088" s="265">
        <v>46097</v>
      </c>
      <c r="B6088" s="343" t="s">
        <v>1334</v>
      </c>
      <c r="C6088" s="43" t="s">
        <v>2724</v>
      </c>
      <c r="D6088" s="43">
        <v>-2</v>
      </c>
      <c r="E6088" s="230" t="s">
        <v>125</v>
      </c>
    </row>
    <row r="6089" spans="1:5">
      <c r="A6089" s="265">
        <v>46097</v>
      </c>
      <c r="B6089" s="84" t="s">
        <v>1387</v>
      </c>
      <c r="C6089" s="43" t="s">
        <v>2724</v>
      </c>
      <c r="D6089" s="43">
        <v>-1</v>
      </c>
      <c r="E6089" s="230" t="s">
        <v>125</v>
      </c>
    </row>
    <row r="6090" spans="1:5">
      <c r="A6090" s="265">
        <v>46097</v>
      </c>
      <c r="B6090" s="343" t="s">
        <v>1326</v>
      </c>
      <c r="C6090" s="43" t="s">
        <v>3809</v>
      </c>
      <c r="D6090" s="43">
        <v>-5</v>
      </c>
      <c r="E6090" s="230" t="s">
        <v>125</v>
      </c>
    </row>
    <row r="6091" spans="1:5">
      <c r="A6091" s="265">
        <v>46097</v>
      </c>
      <c r="B6091" s="84" t="s">
        <v>134</v>
      </c>
      <c r="C6091" s="43" t="s">
        <v>3108</v>
      </c>
      <c r="D6091" s="43">
        <v>-9</v>
      </c>
      <c r="E6091" s="230" t="s">
        <v>125</v>
      </c>
    </row>
    <row r="6092" spans="1:5">
      <c r="A6092" s="265">
        <v>46097</v>
      </c>
      <c r="B6092" s="343" t="s">
        <v>1249</v>
      </c>
      <c r="C6092" s="43" t="s">
        <v>3108</v>
      </c>
      <c r="D6092" s="43">
        <v>-2</v>
      </c>
      <c r="E6092" s="230" t="s">
        <v>125</v>
      </c>
    </row>
    <row r="6093" spans="1:5">
      <c r="A6093" s="285">
        <v>46098</v>
      </c>
      <c r="B6093" s="93" t="s">
        <v>807</v>
      </c>
      <c r="C6093" s="43" t="s">
        <v>678</v>
      </c>
      <c r="D6093" s="43">
        <v>-1</v>
      </c>
      <c r="E6093" s="230" t="s">
        <v>125</v>
      </c>
    </row>
    <row r="6094" spans="1:5">
      <c r="A6094" s="437">
        <v>46099</v>
      </c>
      <c r="B6094" s="598" t="s">
        <v>76</v>
      </c>
      <c r="C6094" s="220" t="s">
        <v>3810</v>
      </c>
      <c r="D6094" s="220">
        <v>5</v>
      </c>
      <c r="E6094" s="438" t="s">
        <v>125</v>
      </c>
    </row>
    <row r="6096" spans="1:5">
      <c r="A6096" s="335">
        <v>46099</v>
      </c>
      <c r="B6096" s="341" t="s">
        <v>76</v>
      </c>
      <c r="C6096" s="345" t="s">
        <v>2609</v>
      </c>
      <c r="D6096" s="345">
        <v>-5</v>
      </c>
      <c r="E6096" s="230" t="s">
        <v>125</v>
      </c>
    </row>
    <row r="6097" spans="1:5">
      <c r="A6097" s="335">
        <v>46099</v>
      </c>
      <c r="B6097" s="343" t="s">
        <v>1327</v>
      </c>
      <c r="C6097" s="43" t="s">
        <v>3004</v>
      </c>
      <c r="D6097" s="43">
        <v>-1</v>
      </c>
      <c r="E6097" s="230" t="s">
        <v>125</v>
      </c>
    </row>
    <row r="6099" spans="1:5">
      <c r="A6099" s="335">
        <v>46106</v>
      </c>
      <c r="B6099" s="343" t="s">
        <v>1271</v>
      </c>
      <c r="C6099" s="345" t="s">
        <v>3812</v>
      </c>
      <c r="D6099" s="345">
        <v>1</v>
      </c>
      <c r="E6099" s="230" t="s">
        <v>125</v>
      </c>
    </row>
    <row r="6101" spans="1:5">
      <c r="A6101" s="335">
        <v>46106</v>
      </c>
      <c r="B6101" s="93" t="s">
        <v>120</v>
      </c>
      <c r="C6101" s="43" t="s">
        <v>3813</v>
      </c>
      <c r="D6101" s="43">
        <v>-10</v>
      </c>
      <c r="E6101" s="230" t="s">
        <v>125</v>
      </c>
    </row>
    <row r="6103" spans="1:5">
      <c r="A6103" s="265">
        <v>46100</v>
      </c>
      <c r="B6103" s="93" t="s">
        <v>1568</v>
      </c>
      <c r="C6103" s="43" t="s">
        <v>2080</v>
      </c>
      <c r="D6103" s="43">
        <v>-2</v>
      </c>
      <c r="E6103" s="230" t="s">
        <v>125</v>
      </c>
    </row>
    <row r="6104" spans="1:5">
      <c r="A6104" s="265">
        <v>46100</v>
      </c>
      <c r="B6104" s="343" t="s">
        <v>1313</v>
      </c>
      <c r="C6104" s="43" t="s">
        <v>2080</v>
      </c>
      <c r="D6104" s="43">
        <v>-1</v>
      </c>
      <c r="E6104" s="230" t="s">
        <v>125</v>
      </c>
    </row>
    <row r="6105" spans="1:5">
      <c r="A6105" s="265">
        <v>46100</v>
      </c>
      <c r="B6105" s="343" t="s">
        <v>1152</v>
      </c>
      <c r="C6105" s="43" t="s">
        <v>2080</v>
      </c>
      <c r="D6105" s="43">
        <v>-2</v>
      </c>
      <c r="E6105" s="230" t="s">
        <v>125</v>
      </c>
    </row>
    <row r="6107" spans="1:5">
      <c r="A6107" s="265">
        <v>46105</v>
      </c>
      <c r="B6107" s="93" t="s">
        <v>92</v>
      </c>
      <c r="C6107" s="43" t="s">
        <v>1878</v>
      </c>
      <c r="D6107" s="43">
        <v>-1</v>
      </c>
      <c r="E6107" s="230" t="s">
        <v>125</v>
      </c>
    </row>
    <row r="6108" spans="1:5">
      <c r="A6108" s="265">
        <v>46105</v>
      </c>
      <c r="B6108" s="93" t="s">
        <v>1223</v>
      </c>
      <c r="C6108" s="43" t="s">
        <v>1598</v>
      </c>
      <c r="D6108" s="43">
        <v>-4</v>
      </c>
      <c r="E6108" s="230" t="s">
        <v>125</v>
      </c>
    </row>
    <row r="6110" spans="1:5">
      <c r="A6110" s="265">
        <v>46102</v>
      </c>
      <c r="B6110" s="343" t="s">
        <v>1434</v>
      </c>
      <c r="C6110" s="43" t="s">
        <v>678</v>
      </c>
      <c r="D6110" s="43">
        <v>-2</v>
      </c>
      <c r="E6110" s="230" t="s">
        <v>125</v>
      </c>
    </row>
    <row r="6112" spans="1:5">
      <c r="A6112" s="265">
        <v>46105</v>
      </c>
      <c r="B6112" s="343" t="s">
        <v>1246</v>
      </c>
      <c r="C6112" s="43" t="s">
        <v>678</v>
      </c>
      <c r="D6112" s="43">
        <v>-1</v>
      </c>
      <c r="E6112" s="230" t="s">
        <v>125</v>
      </c>
    </row>
    <row r="6114" spans="1:5">
      <c r="A6114" s="265">
        <v>46106</v>
      </c>
      <c r="B6114" s="92" t="s">
        <v>76</v>
      </c>
      <c r="C6114" s="43" t="s">
        <v>1603</v>
      </c>
      <c r="D6114" s="43">
        <v>-10</v>
      </c>
      <c r="E6114" s="230" t="s">
        <v>125</v>
      </c>
    </row>
    <row r="6116" spans="1:5">
      <c r="A6116" s="265">
        <v>46107</v>
      </c>
      <c r="B6116" s="92" t="s">
        <v>76</v>
      </c>
      <c r="C6116" s="43" t="s">
        <v>1603</v>
      </c>
      <c r="D6116" s="43">
        <v>-70</v>
      </c>
      <c r="E6116" s="230" t="s">
        <v>125</v>
      </c>
    </row>
    <row r="6118" spans="1:5">
      <c r="A6118" s="437">
        <v>46107</v>
      </c>
      <c r="B6118" s="222" t="s">
        <v>1246</v>
      </c>
      <c r="C6118" s="220" t="s">
        <v>2980</v>
      </c>
      <c r="D6118" s="220">
        <v>2</v>
      </c>
      <c r="E6118" s="438" t="s">
        <v>125</v>
      </c>
    </row>
    <row r="6120" spans="1:5">
      <c r="A6120" s="265">
        <v>46107</v>
      </c>
      <c r="B6120" s="343" t="s">
        <v>1271</v>
      </c>
      <c r="C6120" s="43" t="s">
        <v>678</v>
      </c>
      <c r="D6120" s="43">
        <v>-2</v>
      </c>
      <c r="E6120" s="230" t="s">
        <v>125</v>
      </c>
    </row>
    <row r="6121" spans="1:5">
      <c r="A6121" s="265">
        <v>46107</v>
      </c>
      <c r="B6121" s="93" t="s">
        <v>169</v>
      </c>
      <c r="C6121" s="43" t="s">
        <v>678</v>
      </c>
      <c r="D6121" s="43">
        <v>-1</v>
      </c>
      <c r="E6121" s="230" t="s">
        <v>125</v>
      </c>
    </row>
    <row r="6122" spans="1:5">
      <c r="A6122" s="265">
        <v>46107</v>
      </c>
      <c r="B6122" s="343" t="s">
        <v>1318</v>
      </c>
      <c r="C6122" s="43" t="s">
        <v>678</v>
      </c>
      <c r="D6122" s="43">
        <v>-1</v>
      </c>
      <c r="E6122" s="230" t="s">
        <v>125</v>
      </c>
    </row>
    <row r="6123" spans="1:5">
      <c r="A6123" s="265">
        <v>46107</v>
      </c>
      <c r="B6123" s="343" t="s">
        <v>1408</v>
      </c>
      <c r="C6123" s="43" t="s">
        <v>678</v>
      </c>
      <c r="D6123" s="43">
        <v>-1</v>
      </c>
      <c r="E6123" s="230" t="s">
        <v>125</v>
      </c>
    </row>
    <row r="6125" spans="1:5">
      <c r="A6125" s="272">
        <v>46106</v>
      </c>
      <c r="B6125" s="128" t="s">
        <v>76</v>
      </c>
      <c r="C6125" s="106" t="s">
        <v>49</v>
      </c>
      <c r="D6125" s="106">
        <v>40</v>
      </c>
      <c r="E6125" s="94" t="s">
        <v>125</v>
      </c>
    </row>
    <row r="6127" spans="1:5">
      <c r="A6127" s="265">
        <v>46108</v>
      </c>
      <c r="B6127" s="92" t="s">
        <v>789</v>
      </c>
      <c r="C6127" s="43" t="s">
        <v>1615</v>
      </c>
      <c r="D6127" s="43">
        <v>-5</v>
      </c>
      <c r="E6127" s="230" t="s">
        <v>125</v>
      </c>
    </row>
    <row r="6129" spans="1:5">
      <c r="A6129" s="265">
        <v>46109</v>
      </c>
      <c r="B6129" s="92" t="s">
        <v>76</v>
      </c>
      <c r="C6129" s="43" t="s">
        <v>2721</v>
      </c>
      <c r="D6129" s="43">
        <v>-40</v>
      </c>
      <c r="E6129" s="230" t="s">
        <v>125</v>
      </c>
    </row>
    <row r="6130" spans="1:5">
      <c r="A6130" s="265">
        <v>46109</v>
      </c>
      <c r="B6130" s="92" t="s">
        <v>76</v>
      </c>
      <c r="C6130" s="43" t="s">
        <v>1977</v>
      </c>
      <c r="D6130" s="43">
        <v>-97</v>
      </c>
      <c r="E6130" s="230" t="s">
        <v>125</v>
      </c>
    </row>
    <row r="6132" spans="1:5">
      <c r="A6132" s="265">
        <v>46111</v>
      </c>
      <c r="B6132" s="343" t="s">
        <v>1246</v>
      </c>
      <c r="C6132" s="43" t="s">
        <v>1880</v>
      </c>
      <c r="D6132" s="43">
        <v>-2</v>
      </c>
      <c r="E6132" s="230" t="s">
        <v>125</v>
      </c>
    </row>
    <row r="6134" spans="1:5">
      <c r="A6134" s="437">
        <v>46109</v>
      </c>
      <c r="B6134" s="222" t="s">
        <v>1246</v>
      </c>
      <c r="C6134" s="220" t="s">
        <v>2980</v>
      </c>
      <c r="D6134" s="220">
        <v>6</v>
      </c>
      <c r="E6134" s="438" t="s">
        <v>125</v>
      </c>
    </row>
    <row r="6136" spans="1:5">
      <c r="A6136" s="265">
        <v>46111</v>
      </c>
      <c r="B6136" s="343" t="s">
        <v>2321</v>
      </c>
      <c r="C6136" s="43" t="s">
        <v>2929</v>
      </c>
      <c r="D6136" s="43">
        <v>-1</v>
      </c>
      <c r="E6136" s="230" t="s">
        <v>125</v>
      </c>
    </row>
    <row r="6138" spans="1:5">
      <c r="A6138" s="265">
        <v>46112</v>
      </c>
      <c r="B6138" s="343" t="s">
        <v>1313</v>
      </c>
      <c r="C6138" s="43" t="s">
        <v>3817</v>
      </c>
      <c r="D6138" s="43">
        <v>1</v>
      </c>
      <c r="E6138" s="230" t="s">
        <v>125</v>
      </c>
    </row>
    <row r="6139" spans="1:5">
      <c r="A6139" s="265">
        <v>46112</v>
      </c>
      <c r="B6139" s="343" t="s">
        <v>1152</v>
      </c>
      <c r="C6139" s="43" t="s">
        <v>3817</v>
      </c>
      <c r="D6139" s="43">
        <v>2</v>
      </c>
      <c r="E6139" s="230" t="s">
        <v>125</v>
      </c>
    </row>
    <row r="6141" spans="1:5">
      <c r="A6141" s="265">
        <v>46112</v>
      </c>
      <c r="B6141" s="343" t="s">
        <v>1246</v>
      </c>
      <c r="C6141" s="43" t="s">
        <v>2929</v>
      </c>
      <c r="D6141" s="43">
        <v>-1</v>
      </c>
      <c r="E6141" s="230" t="s">
        <v>125</v>
      </c>
    </row>
    <row r="6142" spans="1:5">
      <c r="A6142" s="265">
        <v>46112</v>
      </c>
      <c r="B6142" s="343" t="s">
        <v>1246</v>
      </c>
      <c r="C6142" s="43" t="s">
        <v>1663</v>
      </c>
      <c r="D6142" s="43">
        <v>-10</v>
      </c>
      <c r="E6142" s="230" t="s">
        <v>125</v>
      </c>
    </row>
    <row r="6143" spans="1:5">
      <c r="A6143" s="265">
        <v>46112</v>
      </c>
      <c r="B6143" s="343" t="s">
        <v>1246</v>
      </c>
      <c r="C6143" s="43" t="s">
        <v>1663</v>
      </c>
      <c r="D6143" s="43">
        <v>-10</v>
      </c>
      <c r="E6143" s="230" t="s">
        <v>125</v>
      </c>
    </row>
    <row r="6144" spans="1:5">
      <c r="A6144" s="265">
        <v>46112</v>
      </c>
      <c r="B6144" s="343" t="s">
        <v>1246</v>
      </c>
      <c r="C6144" s="43" t="s">
        <v>2647</v>
      </c>
      <c r="D6144" s="43">
        <v>-15</v>
      </c>
      <c r="E6144" s="230" t="s">
        <v>125</v>
      </c>
    </row>
    <row r="6145" spans="1:5">
      <c r="A6145" s="265">
        <v>46112</v>
      </c>
      <c r="B6145" s="343" t="s">
        <v>1271</v>
      </c>
      <c r="C6145" s="345" t="s">
        <v>3004</v>
      </c>
      <c r="D6145" s="345">
        <v>-7</v>
      </c>
      <c r="E6145" s="230" t="s">
        <v>125</v>
      </c>
    </row>
    <row r="6146" spans="1:5">
      <c r="A6146" s="265">
        <v>46112</v>
      </c>
      <c r="B6146" s="343" t="s">
        <v>1271</v>
      </c>
      <c r="C6146" s="345" t="s">
        <v>3004</v>
      </c>
      <c r="D6146" s="345">
        <v>-2</v>
      </c>
      <c r="E6146" s="230" t="s">
        <v>125</v>
      </c>
    </row>
    <row r="6147" spans="1:5">
      <c r="A6147" s="265">
        <v>46112</v>
      </c>
      <c r="B6147" s="343" t="s">
        <v>1271</v>
      </c>
      <c r="C6147" s="345" t="s">
        <v>3004</v>
      </c>
      <c r="D6147" s="345">
        <v>-6</v>
      </c>
      <c r="E6147" s="230" t="s">
        <v>125</v>
      </c>
    </row>
    <row r="6148" spans="1:5">
      <c r="A6148" s="265">
        <v>46112</v>
      </c>
      <c r="B6148" s="343" t="s">
        <v>1246</v>
      </c>
      <c r="C6148" s="345" t="s">
        <v>3004</v>
      </c>
      <c r="D6148" s="43">
        <v>-8</v>
      </c>
      <c r="E6148" s="230" t="s">
        <v>125</v>
      </c>
    </row>
    <row r="6149" spans="1:5">
      <c r="A6149" s="265">
        <v>46112</v>
      </c>
      <c r="B6149" s="343" t="s">
        <v>1246</v>
      </c>
      <c r="C6149" s="43" t="s">
        <v>1663</v>
      </c>
      <c r="D6149" s="43">
        <v>-16</v>
      </c>
      <c r="E6149" s="230" t="s">
        <v>125</v>
      </c>
    </row>
    <row r="6150" spans="1:5">
      <c r="A6150" s="265">
        <v>46112</v>
      </c>
      <c r="B6150" s="343" t="s">
        <v>1246</v>
      </c>
      <c r="C6150" s="43" t="s">
        <v>3005</v>
      </c>
      <c r="D6150" s="43">
        <v>-2</v>
      </c>
      <c r="E6150" s="230" t="s">
        <v>125</v>
      </c>
    </row>
    <row r="6151" spans="1:5">
      <c r="A6151" s="265">
        <v>46112</v>
      </c>
      <c r="B6151" s="343" t="s">
        <v>1249</v>
      </c>
      <c r="C6151" s="43" t="s">
        <v>3004</v>
      </c>
      <c r="D6151" s="43">
        <v>-2</v>
      </c>
      <c r="E6151" s="230" t="s">
        <v>125</v>
      </c>
    </row>
    <row r="6153" spans="1:5">
      <c r="A6153" s="437">
        <v>46112</v>
      </c>
      <c r="B6153" s="598" t="s">
        <v>76</v>
      </c>
      <c r="C6153" s="220" t="s">
        <v>3818</v>
      </c>
      <c r="D6153" s="220">
        <v>1</v>
      </c>
      <c r="E6153" s="438" t="s">
        <v>125</v>
      </c>
    </row>
    <row r="6155" spans="1:5">
      <c r="A6155" s="265">
        <v>46113</v>
      </c>
      <c r="B6155" s="93" t="s">
        <v>2646</v>
      </c>
      <c r="C6155" s="43" t="s">
        <v>3819</v>
      </c>
      <c r="D6155" s="43">
        <v>1</v>
      </c>
      <c r="E6155" s="230" t="s">
        <v>125</v>
      </c>
    </row>
    <row r="6157" spans="1:5">
      <c r="A6157" s="265">
        <v>46113</v>
      </c>
      <c r="B6157" s="343" t="s">
        <v>1246</v>
      </c>
      <c r="C6157" s="43" t="s">
        <v>3822</v>
      </c>
      <c r="D6157" s="43">
        <v>-2</v>
      </c>
      <c r="E6157" s="230" t="s">
        <v>125</v>
      </c>
    </row>
    <row r="6158" spans="1:5">
      <c r="A6158" s="265">
        <v>46113</v>
      </c>
      <c r="B6158" s="84" t="s">
        <v>513</v>
      </c>
      <c r="C6158" s="43" t="s">
        <v>3822</v>
      </c>
      <c r="D6158" s="43">
        <v>-1</v>
      </c>
      <c r="E6158" s="230" t="s">
        <v>125</v>
      </c>
    </row>
    <row r="6159" spans="1:5">
      <c r="A6159" s="265">
        <v>46113</v>
      </c>
      <c r="B6159" s="343" t="s">
        <v>2315</v>
      </c>
      <c r="C6159" s="43" t="s">
        <v>2078</v>
      </c>
      <c r="D6159" s="43">
        <v>-1</v>
      </c>
      <c r="E6159" s="230" t="s">
        <v>125</v>
      </c>
    </row>
    <row r="6160" spans="1:5">
      <c r="A6160" s="265">
        <v>46113</v>
      </c>
      <c r="B6160" s="343" t="s">
        <v>1246</v>
      </c>
      <c r="C6160" s="43" t="s">
        <v>3823</v>
      </c>
      <c r="D6160" s="43">
        <v>-4</v>
      </c>
      <c r="E6160" s="230" t="s">
        <v>125</v>
      </c>
    </row>
    <row r="6161" spans="1:5">
      <c r="A6161" s="265">
        <v>46113</v>
      </c>
      <c r="B6161" s="343" t="s">
        <v>1326</v>
      </c>
      <c r="C6161" s="43" t="s">
        <v>3823</v>
      </c>
      <c r="D6161" s="43">
        <v>-1</v>
      </c>
      <c r="E6161" s="230" t="s">
        <v>125</v>
      </c>
    </row>
    <row r="6162" spans="1:5">
      <c r="A6162" s="265">
        <v>46113</v>
      </c>
      <c r="B6162" s="343" t="s">
        <v>1694</v>
      </c>
      <c r="C6162" s="43" t="s">
        <v>3823</v>
      </c>
      <c r="D6162" s="43">
        <v>-1</v>
      </c>
      <c r="E6162" s="230" t="s">
        <v>125</v>
      </c>
    </row>
    <row r="6164" spans="1:5">
      <c r="A6164" s="265">
        <v>46114</v>
      </c>
      <c r="B6164" s="84" t="s">
        <v>134</v>
      </c>
      <c r="C6164" s="43" t="s">
        <v>3824</v>
      </c>
      <c r="D6164" s="43">
        <v>-1</v>
      </c>
      <c r="E6164" s="230" t="s">
        <v>125</v>
      </c>
    </row>
    <row r="6166" spans="1:5">
      <c r="A6166" s="265">
        <v>46115</v>
      </c>
      <c r="B6166" s="343" t="s">
        <v>1327</v>
      </c>
      <c r="C6166" s="43" t="s">
        <v>3823</v>
      </c>
      <c r="D6166" s="43">
        <v>-1</v>
      </c>
      <c r="E6166" s="230" t="s">
        <v>125</v>
      </c>
    </row>
    <row r="6167" spans="1:5">
      <c r="A6167" s="265">
        <v>46115</v>
      </c>
      <c r="B6167" s="93" t="s">
        <v>169</v>
      </c>
      <c r="C6167" s="43" t="s">
        <v>3825</v>
      </c>
      <c r="D6167" s="43">
        <v>-1</v>
      </c>
      <c r="E6167" s="230" t="s">
        <v>125</v>
      </c>
    </row>
    <row r="6168" spans="1:5">
      <c r="A6168" s="265">
        <v>46115</v>
      </c>
      <c r="B6168" s="343" t="s">
        <v>1246</v>
      </c>
      <c r="C6168" s="43" t="s">
        <v>3826</v>
      </c>
      <c r="D6168" s="43">
        <v>-1</v>
      </c>
      <c r="E6168" s="230" t="s">
        <v>125</v>
      </c>
    </row>
    <row r="6169" spans="1:5">
      <c r="A6169" s="265">
        <v>46115</v>
      </c>
      <c r="B6169" s="84" t="s">
        <v>134</v>
      </c>
      <c r="C6169" s="43" t="s">
        <v>3826</v>
      </c>
      <c r="D6169" s="43">
        <v>-1</v>
      </c>
      <c r="E6169" s="230" t="s">
        <v>125</v>
      </c>
    </row>
    <row r="6171" spans="1:5">
      <c r="A6171" s="265">
        <v>46118</v>
      </c>
      <c r="B6171" s="343" t="s">
        <v>1434</v>
      </c>
      <c r="C6171" s="43" t="s">
        <v>3827</v>
      </c>
      <c r="D6171" s="43">
        <v>-1</v>
      </c>
      <c r="E6171" s="230" t="s">
        <v>125</v>
      </c>
    </row>
    <row r="6172" spans="1:5">
      <c r="A6172" s="265">
        <v>46119</v>
      </c>
      <c r="B6172" s="343" t="s">
        <v>1271</v>
      </c>
      <c r="C6172" s="43" t="s">
        <v>3827</v>
      </c>
      <c r="D6172" s="43">
        <v>-1</v>
      </c>
      <c r="E6172" s="230" t="s">
        <v>125</v>
      </c>
    </row>
    <row r="6174" spans="1:5">
      <c r="A6174" s="265">
        <v>46120</v>
      </c>
      <c r="B6174" s="84" t="s">
        <v>134</v>
      </c>
      <c r="C6174" s="43" t="s">
        <v>3827</v>
      </c>
      <c r="D6174" s="43">
        <v>-1</v>
      </c>
      <c r="E6174" s="230" t="s">
        <v>125</v>
      </c>
    </row>
    <row r="6175" spans="1:5">
      <c r="A6175" s="265">
        <v>46121</v>
      </c>
      <c r="B6175" s="84" t="s">
        <v>134</v>
      </c>
      <c r="C6175" s="43" t="s">
        <v>3826</v>
      </c>
      <c r="D6175" s="43">
        <v>-1</v>
      </c>
      <c r="E6175" s="230" t="s">
        <v>125</v>
      </c>
    </row>
    <row r="6176" spans="1:5">
      <c r="A6176" s="265">
        <v>46121</v>
      </c>
      <c r="B6176" s="343" t="s">
        <v>1246</v>
      </c>
      <c r="C6176" s="43" t="s">
        <v>3826</v>
      </c>
      <c r="D6176" s="43">
        <v>-1</v>
      </c>
      <c r="E6176" s="230" t="s">
        <v>125</v>
      </c>
    </row>
    <row r="6178" spans="1:5">
      <c r="A6178" s="265">
        <v>46113</v>
      </c>
      <c r="B6178" s="343" t="s">
        <v>1289</v>
      </c>
      <c r="C6178" s="43" t="s">
        <v>3004</v>
      </c>
      <c r="D6178" s="43">
        <v>-1</v>
      </c>
      <c r="E6178" s="230" t="s">
        <v>125</v>
      </c>
    </row>
    <row r="6179" spans="1:5">
      <c r="A6179" s="265">
        <v>46113</v>
      </c>
      <c r="B6179" s="343" t="s">
        <v>1246</v>
      </c>
      <c r="C6179" s="43" t="s">
        <v>2078</v>
      </c>
      <c r="D6179" s="43">
        <v>-4</v>
      </c>
      <c r="E6179" s="230" t="s">
        <v>125</v>
      </c>
    </row>
    <row r="6180" spans="1:5">
      <c r="A6180" s="265">
        <v>46113</v>
      </c>
      <c r="B6180" s="343" t="s">
        <v>1246</v>
      </c>
      <c r="C6180" s="43" t="s">
        <v>2078</v>
      </c>
      <c r="D6180" s="43">
        <v>-5</v>
      </c>
      <c r="E6180" s="230" t="s">
        <v>125</v>
      </c>
    </row>
    <row r="6182" spans="1:5">
      <c r="A6182" s="265">
        <v>46114</v>
      </c>
      <c r="B6182" s="343" t="s">
        <v>1301</v>
      </c>
      <c r="C6182" s="43" t="s">
        <v>3004</v>
      </c>
      <c r="D6182" s="43">
        <v>-2</v>
      </c>
      <c r="E6182" s="230" t="s">
        <v>125</v>
      </c>
    </row>
    <row r="6183" spans="1:5">
      <c r="A6183" s="265">
        <v>46114</v>
      </c>
      <c r="B6183" s="343" t="s">
        <v>1246</v>
      </c>
      <c r="C6183" s="43" t="s">
        <v>3829</v>
      </c>
      <c r="D6183" s="43">
        <v>-10</v>
      </c>
      <c r="E6183" s="230" t="s">
        <v>125</v>
      </c>
    </row>
    <row r="6184" spans="1:5">
      <c r="A6184" s="265">
        <v>46114</v>
      </c>
      <c r="B6184" s="343" t="s">
        <v>1246</v>
      </c>
      <c r="C6184" s="43" t="s">
        <v>3829</v>
      </c>
      <c r="D6184" s="43">
        <v>-3</v>
      </c>
      <c r="E6184" s="230" t="s">
        <v>125</v>
      </c>
    </row>
    <row r="6186" spans="1:5">
      <c r="A6186" s="265">
        <v>46115</v>
      </c>
      <c r="B6186" s="93" t="s">
        <v>1095</v>
      </c>
      <c r="C6186" s="43" t="s">
        <v>2608</v>
      </c>
      <c r="D6186" s="43">
        <v>-6</v>
      </c>
      <c r="E6186" s="230" t="s">
        <v>125</v>
      </c>
    </row>
    <row r="6187" spans="1:5">
      <c r="A6187" s="265">
        <v>46115</v>
      </c>
      <c r="B6187" s="343" t="s">
        <v>1259</v>
      </c>
      <c r="C6187" s="43" t="s">
        <v>2608</v>
      </c>
      <c r="D6187" s="43">
        <v>-3</v>
      </c>
      <c r="E6187" s="230" t="s">
        <v>125</v>
      </c>
    </row>
    <row r="6189" spans="1:5">
      <c r="A6189" s="335">
        <v>46116</v>
      </c>
      <c r="B6189" s="343" t="s">
        <v>1249</v>
      </c>
      <c r="C6189" s="345" t="s">
        <v>3830</v>
      </c>
      <c r="D6189" s="345">
        <v>-1</v>
      </c>
      <c r="E6189" s="230" t="s">
        <v>125</v>
      </c>
    </row>
    <row r="6190" spans="1:5">
      <c r="A6190" s="335">
        <v>46116</v>
      </c>
      <c r="B6190" s="343" t="s">
        <v>1249</v>
      </c>
      <c r="C6190" s="345" t="s">
        <v>3830</v>
      </c>
      <c r="D6190" s="345">
        <v>-1</v>
      </c>
      <c r="E6190" s="230" t="s">
        <v>125</v>
      </c>
    </row>
    <row r="6191" spans="1:5">
      <c r="A6191" s="335">
        <v>46116</v>
      </c>
      <c r="B6191" s="343" t="s">
        <v>1407</v>
      </c>
      <c r="C6191" s="345" t="s">
        <v>3830</v>
      </c>
      <c r="D6191" s="345">
        <v>-1</v>
      </c>
      <c r="E6191" s="230" t="s">
        <v>125</v>
      </c>
    </row>
    <row r="6192" spans="1:5">
      <c r="A6192" s="335">
        <v>46116</v>
      </c>
      <c r="B6192" s="343" t="s">
        <v>1271</v>
      </c>
      <c r="C6192" s="345" t="s">
        <v>3830</v>
      </c>
      <c r="D6192" s="345">
        <v>-2</v>
      </c>
      <c r="E6192" s="230" t="s">
        <v>125</v>
      </c>
    </row>
    <row r="6193" spans="1:5">
      <c r="A6193" s="335">
        <v>46116</v>
      </c>
      <c r="B6193" s="343" t="s">
        <v>1246</v>
      </c>
      <c r="C6193" s="345" t="s">
        <v>3830</v>
      </c>
      <c r="D6193" s="345">
        <v>-3</v>
      </c>
      <c r="E6193" s="230" t="s">
        <v>125</v>
      </c>
    </row>
    <row r="6195" spans="1:5">
      <c r="A6195" s="335">
        <v>46116</v>
      </c>
      <c r="B6195" s="343" t="s">
        <v>2321</v>
      </c>
      <c r="C6195" s="43" t="s">
        <v>3831</v>
      </c>
      <c r="D6195" s="43">
        <v>1</v>
      </c>
      <c r="E6195" s="230" t="s">
        <v>125</v>
      </c>
    </row>
    <row r="6197" spans="1:5">
      <c r="A6197" s="265">
        <v>46120</v>
      </c>
      <c r="B6197" s="92" t="s">
        <v>76</v>
      </c>
      <c r="C6197" s="43" t="s">
        <v>1977</v>
      </c>
      <c r="D6197" s="43">
        <v>-25</v>
      </c>
      <c r="E6197" s="230" t="s">
        <v>125</v>
      </c>
    </row>
    <row r="6198" spans="1:5">
      <c r="B6198" s="154"/>
    </row>
    <row r="6199" spans="1:5">
      <c r="A6199" s="265">
        <v>46121</v>
      </c>
      <c r="B6199" s="92" t="s">
        <v>76</v>
      </c>
      <c r="C6199" s="43" t="s">
        <v>1603</v>
      </c>
      <c r="D6199" s="43">
        <v>-5</v>
      </c>
      <c r="E6199" s="230" t="s">
        <v>125</v>
      </c>
    </row>
    <row r="6200" spans="1:5">
      <c r="A6200" s="265">
        <v>46121</v>
      </c>
      <c r="B6200" s="92" t="s">
        <v>76</v>
      </c>
      <c r="C6200" s="43" t="s">
        <v>3832</v>
      </c>
      <c r="D6200" s="43">
        <v>-25</v>
      </c>
      <c r="E6200" s="230" t="s">
        <v>125</v>
      </c>
    </row>
    <row r="6201" spans="1:5">
      <c r="A6201" s="265">
        <v>46121</v>
      </c>
      <c r="B6201" s="92" t="s">
        <v>76</v>
      </c>
      <c r="C6201" s="43" t="s">
        <v>2350</v>
      </c>
      <c r="D6201" s="43">
        <v>-5</v>
      </c>
      <c r="E6201" s="230" t="s">
        <v>125</v>
      </c>
    </row>
    <row r="6202" spans="1:5">
      <c r="A6202" s="265">
        <v>46121</v>
      </c>
      <c r="B6202" s="92" t="s">
        <v>76</v>
      </c>
      <c r="C6202" s="43" t="s">
        <v>2595</v>
      </c>
      <c r="D6202" s="43">
        <v>-4</v>
      </c>
      <c r="E6202" s="230" t="s">
        <v>125</v>
      </c>
    </row>
    <row r="6203" spans="1:5">
      <c r="A6203" s="265">
        <v>46121</v>
      </c>
      <c r="B6203" s="92" t="s">
        <v>78</v>
      </c>
      <c r="C6203" s="43" t="s">
        <v>3092</v>
      </c>
      <c r="D6203" s="43">
        <v>-10</v>
      </c>
      <c r="E6203" s="230" t="s">
        <v>125</v>
      </c>
    </row>
    <row r="6205" spans="1:5">
      <c r="A6205" s="265">
        <v>46122</v>
      </c>
      <c r="B6205" s="92" t="s">
        <v>76</v>
      </c>
      <c r="C6205" s="43" t="s">
        <v>3833</v>
      </c>
      <c r="D6205" s="43">
        <v>-15</v>
      </c>
      <c r="E6205" s="230" t="s">
        <v>125</v>
      </c>
    </row>
    <row r="6206" spans="1:5">
      <c r="A6206" s="265">
        <v>46122</v>
      </c>
      <c r="B6206" s="92" t="s">
        <v>76</v>
      </c>
      <c r="C6206" s="43" t="s">
        <v>2595</v>
      </c>
      <c r="D6206" s="43">
        <v>-5</v>
      </c>
      <c r="E6206" s="230" t="s">
        <v>125</v>
      </c>
    </row>
    <row r="6207" spans="1:5">
      <c r="A6207" s="265">
        <v>46122</v>
      </c>
      <c r="B6207" s="92" t="s">
        <v>76</v>
      </c>
      <c r="C6207" s="43" t="s">
        <v>2569</v>
      </c>
      <c r="D6207" s="43">
        <v>-10</v>
      </c>
      <c r="E6207" s="230" t="s">
        <v>125</v>
      </c>
    </row>
    <row r="6208" spans="1:5">
      <c r="A6208" s="265">
        <v>46122</v>
      </c>
      <c r="B6208" s="92" t="s">
        <v>78</v>
      </c>
      <c r="C6208" s="43" t="s">
        <v>2569</v>
      </c>
      <c r="D6208" s="43">
        <v>-10</v>
      </c>
      <c r="E6208" s="230" t="s">
        <v>125</v>
      </c>
    </row>
    <row r="6209" spans="1:5">
      <c r="A6209" s="265">
        <v>46122</v>
      </c>
      <c r="B6209" s="84" t="s">
        <v>134</v>
      </c>
      <c r="C6209" s="43" t="s">
        <v>3826</v>
      </c>
      <c r="D6209" s="43">
        <v>-1</v>
      </c>
      <c r="E6209" s="230" t="s">
        <v>125</v>
      </c>
    </row>
    <row r="6210" spans="1:5">
      <c r="A6210" s="265">
        <v>46122</v>
      </c>
      <c r="B6210" s="343" t="s">
        <v>1246</v>
      </c>
      <c r="C6210" s="43" t="s">
        <v>3827</v>
      </c>
      <c r="D6210" s="43">
        <v>-1</v>
      </c>
      <c r="E6210" s="230" t="s">
        <v>125</v>
      </c>
    </row>
    <row r="6211" spans="1:5">
      <c r="A6211" s="265">
        <v>46122</v>
      </c>
      <c r="B6211" s="92" t="s">
        <v>78</v>
      </c>
      <c r="C6211" s="43" t="s">
        <v>3834</v>
      </c>
      <c r="D6211" s="43">
        <v>-1</v>
      </c>
      <c r="E6211" s="230" t="s">
        <v>125</v>
      </c>
    </row>
    <row r="6213" spans="1:5">
      <c r="A6213" s="265">
        <v>46124</v>
      </c>
      <c r="B6213" s="343" t="s">
        <v>1246</v>
      </c>
      <c r="C6213" s="43" t="s">
        <v>3826</v>
      </c>
      <c r="D6213" s="43">
        <v>-1</v>
      </c>
      <c r="E6213" s="230" t="s">
        <v>125</v>
      </c>
    </row>
    <row r="6215" spans="1:5">
      <c r="A6215" s="265">
        <v>46125</v>
      </c>
      <c r="B6215" s="343" t="s">
        <v>1434</v>
      </c>
      <c r="C6215" s="43" t="s">
        <v>1686</v>
      </c>
      <c r="D6215" s="43">
        <v>-1</v>
      </c>
      <c r="E6215" s="230" t="s">
        <v>125</v>
      </c>
    </row>
    <row r="6217" spans="1:5">
      <c r="A6217" s="265">
        <v>46123</v>
      </c>
      <c r="B6217" s="92" t="s">
        <v>76</v>
      </c>
      <c r="C6217" s="43" t="s">
        <v>3835</v>
      </c>
      <c r="D6217" s="43">
        <v>-20</v>
      </c>
      <c r="E6217" s="230" t="s">
        <v>125</v>
      </c>
    </row>
    <row r="6219" spans="1:5">
      <c r="A6219" s="323">
        <v>46116</v>
      </c>
      <c r="B6219" s="325" t="s">
        <v>977</v>
      </c>
      <c r="C6219" s="322" t="s">
        <v>388</v>
      </c>
      <c r="D6219" s="322">
        <v>1</v>
      </c>
      <c r="E6219" s="321" t="s">
        <v>125</v>
      </c>
    </row>
    <row r="6220" spans="1:5">
      <c r="A6220" s="323">
        <v>46116</v>
      </c>
      <c r="B6220" s="325" t="s">
        <v>806</v>
      </c>
      <c r="C6220" s="322" t="s">
        <v>388</v>
      </c>
      <c r="D6220" s="322">
        <v>6</v>
      </c>
      <c r="E6220" s="321" t="s">
        <v>125</v>
      </c>
    </row>
    <row r="6221" spans="1:5">
      <c r="A6221" s="323">
        <v>46116</v>
      </c>
      <c r="B6221" s="325" t="s">
        <v>807</v>
      </c>
      <c r="C6221" s="322" t="s">
        <v>388</v>
      </c>
      <c r="D6221" s="322">
        <v>13</v>
      </c>
      <c r="E6221" s="321" t="s">
        <v>125</v>
      </c>
    </row>
    <row r="6222" spans="1:5">
      <c r="A6222" s="323">
        <v>46116</v>
      </c>
      <c r="B6222" s="325" t="s">
        <v>383</v>
      </c>
      <c r="C6222" s="322" t="s">
        <v>388</v>
      </c>
      <c r="D6222" s="322">
        <v>2</v>
      </c>
      <c r="E6222" s="321" t="s">
        <v>125</v>
      </c>
    </row>
    <row r="6223" spans="1:5">
      <c r="A6223" s="323">
        <v>46116</v>
      </c>
      <c r="B6223" s="325" t="s">
        <v>154</v>
      </c>
      <c r="C6223" s="322" t="s">
        <v>388</v>
      </c>
      <c r="D6223" s="322">
        <v>6</v>
      </c>
      <c r="E6223" s="321" t="s">
        <v>125</v>
      </c>
    </row>
    <row r="6224" spans="1:5">
      <c r="A6224" s="323">
        <v>46116</v>
      </c>
      <c r="B6224" s="324" t="s">
        <v>410</v>
      </c>
      <c r="C6224" s="322" t="s">
        <v>388</v>
      </c>
      <c r="D6224" s="322">
        <v>36</v>
      </c>
      <c r="E6224" s="321" t="s">
        <v>125</v>
      </c>
    </row>
    <row r="6225" spans="1:5">
      <c r="A6225" s="323">
        <v>46116</v>
      </c>
      <c r="B6225" s="324" t="s">
        <v>410</v>
      </c>
      <c r="C6225" s="322" t="s">
        <v>388</v>
      </c>
      <c r="D6225" s="322">
        <v>1</v>
      </c>
      <c r="E6225" s="321" t="s">
        <v>125</v>
      </c>
    </row>
    <row r="6226" spans="1:5">
      <c r="A6226" s="323">
        <v>46116</v>
      </c>
      <c r="B6226" s="425" t="s">
        <v>375</v>
      </c>
      <c r="C6226" s="322" t="s">
        <v>388</v>
      </c>
      <c r="D6226" s="322">
        <v>1</v>
      </c>
      <c r="E6226" s="321" t="s">
        <v>125</v>
      </c>
    </row>
    <row r="6227" spans="1:5">
      <c r="A6227" s="323">
        <v>46116</v>
      </c>
      <c r="B6227" s="970" t="s">
        <v>76</v>
      </c>
      <c r="C6227" s="322" t="s">
        <v>388</v>
      </c>
      <c r="D6227" s="322">
        <v>3</v>
      </c>
      <c r="E6227" s="321" t="s">
        <v>125</v>
      </c>
    </row>
    <row r="6228" spans="1:5">
      <c r="A6228" s="323">
        <v>46116</v>
      </c>
      <c r="B6228" s="325" t="s">
        <v>3871</v>
      </c>
      <c r="C6228" s="322" t="s">
        <v>388</v>
      </c>
      <c r="D6228" s="322">
        <v>1</v>
      </c>
      <c r="E6228" s="321" t="s">
        <v>125</v>
      </c>
    </row>
    <row r="6229" spans="1:5">
      <c r="A6229" s="323">
        <v>46116</v>
      </c>
      <c r="B6229" s="325" t="s">
        <v>3926</v>
      </c>
      <c r="C6229" s="322" t="s">
        <v>388</v>
      </c>
      <c r="D6229" s="322">
        <v>1</v>
      </c>
      <c r="E6229" s="321" t="s">
        <v>125</v>
      </c>
    </row>
    <row r="6230" spans="1:5">
      <c r="A6230" s="323">
        <v>46116</v>
      </c>
      <c r="B6230" s="325" t="s">
        <v>3915</v>
      </c>
      <c r="C6230" s="322" t="s">
        <v>388</v>
      </c>
      <c r="D6230" s="322">
        <v>1</v>
      </c>
      <c r="E6230" s="321" t="s">
        <v>125</v>
      </c>
    </row>
    <row r="6231" spans="1:5">
      <c r="A6231" s="323">
        <v>46116</v>
      </c>
      <c r="B6231" s="325" t="s">
        <v>3927</v>
      </c>
      <c r="C6231" s="322" t="s">
        <v>388</v>
      </c>
      <c r="D6231" s="322">
        <v>3</v>
      </c>
      <c r="E6231" s="321" t="s">
        <v>125</v>
      </c>
    </row>
    <row r="6233" spans="1:5">
      <c r="A6233" s="323">
        <v>46113</v>
      </c>
      <c r="B6233" s="325" t="s">
        <v>1409</v>
      </c>
      <c r="C6233" s="322" t="s">
        <v>388</v>
      </c>
      <c r="D6233" s="322">
        <v>42</v>
      </c>
      <c r="E6233" s="321" t="s">
        <v>125</v>
      </c>
    </row>
    <row r="6234" spans="1:5">
      <c r="A6234" s="323">
        <v>46113</v>
      </c>
      <c r="B6234" s="324" t="s">
        <v>410</v>
      </c>
      <c r="C6234" s="322" t="s">
        <v>388</v>
      </c>
      <c r="D6234" s="322">
        <v>3</v>
      </c>
      <c r="E6234" s="321" t="s">
        <v>125</v>
      </c>
    </row>
    <row r="6235" spans="1:5">
      <c r="A6235" s="323">
        <v>46113</v>
      </c>
      <c r="B6235" s="325" t="s">
        <v>1490</v>
      </c>
      <c r="C6235" s="322" t="s">
        <v>388</v>
      </c>
      <c r="D6235" s="322">
        <v>6</v>
      </c>
      <c r="E6235" s="321" t="s">
        <v>125</v>
      </c>
    </row>
    <row r="6236" spans="1:5">
      <c r="A6236" s="323">
        <v>46113</v>
      </c>
      <c r="B6236" s="325" t="s">
        <v>1491</v>
      </c>
      <c r="C6236" s="322" t="s">
        <v>388</v>
      </c>
      <c r="D6236" s="322">
        <v>8</v>
      </c>
      <c r="E6236" s="321" t="s">
        <v>125</v>
      </c>
    </row>
    <row r="6237" spans="1:5">
      <c r="A6237" s="323">
        <v>46113</v>
      </c>
      <c r="B6237" s="325" t="s">
        <v>1491</v>
      </c>
      <c r="C6237" s="322" t="s">
        <v>388</v>
      </c>
      <c r="D6237" s="322">
        <v>1</v>
      </c>
      <c r="E6237" s="321" t="s">
        <v>125</v>
      </c>
    </row>
    <row r="6238" spans="1:5">
      <c r="A6238" s="323">
        <v>46113</v>
      </c>
      <c r="B6238" s="325" t="s">
        <v>1096</v>
      </c>
      <c r="C6238" s="322" t="s">
        <v>388</v>
      </c>
      <c r="D6238" s="322">
        <v>5</v>
      </c>
      <c r="E6238" s="321" t="s">
        <v>125</v>
      </c>
    </row>
    <row r="6239" spans="1:5">
      <c r="A6239" s="323">
        <v>46113</v>
      </c>
      <c r="B6239" s="325" t="s">
        <v>1312</v>
      </c>
      <c r="C6239" s="322" t="s">
        <v>388</v>
      </c>
      <c r="D6239" s="322">
        <v>4</v>
      </c>
      <c r="E6239" s="321" t="s">
        <v>125</v>
      </c>
    </row>
    <row r="6240" spans="1:5">
      <c r="A6240" s="323">
        <v>46113</v>
      </c>
      <c r="B6240" s="325" t="s">
        <v>136</v>
      </c>
      <c r="C6240" s="322" t="s">
        <v>388</v>
      </c>
      <c r="D6240" s="322">
        <v>3</v>
      </c>
      <c r="E6240" s="321" t="s">
        <v>125</v>
      </c>
    </row>
    <row r="6241" spans="1:5">
      <c r="A6241" s="323">
        <v>46113</v>
      </c>
      <c r="B6241" s="325" t="s">
        <v>1291</v>
      </c>
      <c r="C6241" s="322" t="s">
        <v>388</v>
      </c>
      <c r="D6241" s="322">
        <v>5</v>
      </c>
      <c r="E6241" s="321" t="s">
        <v>125</v>
      </c>
    </row>
    <row r="6242" spans="1:5">
      <c r="A6242" s="323">
        <v>46113</v>
      </c>
      <c r="B6242" s="324" t="s">
        <v>1387</v>
      </c>
      <c r="C6242" s="322" t="s">
        <v>388</v>
      </c>
      <c r="D6242" s="322">
        <v>4</v>
      </c>
      <c r="E6242" s="321" t="s">
        <v>125</v>
      </c>
    </row>
    <row r="6243" spans="1:5">
      <c r="A6243" s="323">
        <v>46113</v>
      </c>
      <c r="B6243" s="325" t="s">
        <v>1334</v>
      </c>
      <c r="C6243" s="322" t="s">
        <v>388</v>
      </c>
      <c r="D6243" s="322">
        <v>1</v>
      </c>
      <c r="E6243" s="321" t="s">
        <v>125</v>
      </c>
    </row>
    <row r="6244" spans="1:5">
      <c r="A6244" s="323">
        <v>46113</v>
      </c>
      <c r="B6244" s="325" t="s">
        <v>1259</v>
      </c>
      <c r="C6244" s="322" t="s">
        <v>388</v>
      </c>
      <c r="D6244" s="322">
        <v>3</v>
      </c>
      <c r="E6244" s="321" t="s">
        <v>125</v>
      </c>
    </row>
    <row r="6245" spans="1:5">
      <c r="A6245" s="323">
        <v>46113</v>
      </c>
      <c r="B6245" s="325" t="s">
        <v>1095</v>
      </c>
      <c r="C6245" s="322" t="s">
        <v>388</v>
      </c>
      <c r="D6245" s="322">
        <v>6</v>
      </c>
      <c r="E6245" s="321" t="s">
        <v>125</v>
      </c>
    </row>
    <row r="6246" spans="1:5">
      <c r="A6246" s="323">
        <v>46113</v>
      </c>
      <c r="B6246" s="325" t="s">
        <v>2032</v>
      </c>
      <c r="C6246" s="322" t="s">
        <v>388</v>
      </c>
      <c r="D6246" s="322">
        <v>4</v>
      </c>
      <c r="E6246" s="321" t="s">
        <v>125</v>
      </c>
    </row>
    <row r="6247" spans="1:5">
      <c r="A6247" s="323">
        <v>46113</v>
      </c>
      <c r="B6247" s="425" t="s">
        <v>1716</v>
      </c>
      <c r="C6247" s="322" t="s">
        <v>388</v>
      </c>
      <c r="D6247" s="322">
        <v>3</v>
      </c>
      <c r="E6247" s="321" t="s">
        <v>125</v>
      </c>
    </row>
    <row r="6248" spans="1:5">
      <c r="A6248" s="323">
        <v>46113</v>
      </c>
      <c r="B6248" s="325" t="s">
        <v>3090</v>
      </c>
      <c r="C6248" s="322" t="s">
        <v>388</v>
      </c>
      <c r="D6248" s="322">
        <v>1</v>
      </c>
      <c r="E6248" s="321" t="s">
        <v>125</v>
      </c>
    </row>
    <row r="6249" spans="1:5">
      <c r="A6249" s="323">
        <v>46113</v>
      </c>
      <c r="B6249" s="325" t="s">
        <v>2719</v>
      </c>
      <c r="C6249" s="322" t="s">
        <v>388</v>
      </c>
      <c r="D6249" s="322">
        <v>1</v>
      </c>
      <c r="E6249" s="321" t="s">
        <v>125</v>
      </c>
    </row>
    <row r="6250" spans="1:5">
      <c r="A6250" s="323">
        <v>46113</v>
      </c>
      <c r="B6250" s="325" t="s">
        <v>1296</v>
      </c>
      <c r="C6250" s="322" t="s">
        <v>388</v>
      </c>
      <c r="D6250" s="322">
        <v>1</v>
      </c>
      <c r="E6250" s="321" t="s">
        <v>125</v>
      </c>
    </row>
    <row r="6251" spans="1:5">
      <c r="A6251" s="323">
        <v>46113</v>
      </c>
      <c r="B6251" s="325" t="s">
        <v>4048</v>
      </c>
      <c r="C6251" s="322" t="s">
        <v>388</v>
      </c>
      <c r="D6251" s="322">
        <v>1</v>
      </c>
      <c r="E6251" s="321" t="s">
        <v>125</v>
      </c>
    </row>
    <row r="6252" spans="1:5">
      <c r="A6252" s="323">
        <v>46113</v>
      </c>
      <c r="B6252" s="325" t="s">
        <v>4049</v>
      </c>
      <c r="C6252" s="322" t="s">
        <v>388</v>
      </c>
      <c r="D6252" s="322">
        <v>1</v>
      </c>
      <c r="E6252" s="321" t="s">
        <v>125</v>
      </c>
    </row>
    <row r="6254" spans="1:5">
      <c r="A6254" s="323">
        <v>46113</v>
      </c>
      <c r="B6254" s="325" t="s">
        <v>1246</v>
      </c>
      <c r="C6254" s="322" t="s">
        <v>388</v>
      </c>
      <c r="D6254" s="322">
        <v>37</v>
      </c>
      <c r="E6254" s="321" t="s">
        <v>125</v>
      </c>
    </row>
    <row r="6255" spans="1:5">
      <c r="A6255" s="323">
        <v>46113</v>
      </c>
      <c r="B6255" s="325" t="s">
        <v>1246</v>
      </c>
      <c r="C6255" s="322" t="s">
        <v>388</v>
      </c>
      <c r="D6255" s="322">
        <v>22</v>
      </c>
      <c r="E6255" s="321" t="s">
        <v>125</v>
      </c>
    </row>
    <row r="6256" spans="1:5">
      <c r="A6256" s="323">
        <v>46113</v>
      </c>
      <c r="B6256" s="325" t="s">
        <v>1246</v>
      </c>
      <c r="C6256" s="322" t="s">
        <v>388</v>
      </c>
      <c r="D6256" s="322">
        <v>17</v>
      </c>
      <c r="E6256" s="321" t="s">
        <v>125</v>
      </c>
    </row>
    <row r="6257" spans="1:5">
      <c r="A6257" s="323">
        <v>46113</v>
      </c>
      <c r="B6257" s="325" t="s">
        <v>1246</v>
      </c>
      <c r="C6257" s="322" t="s">
        <v>388</v>
      </c>
      <c r="D6257" s="322">
        <v>4</v>
      </c>
      <c r="E6257" s="321" t="s">
        <v>125</v>
      </c>
    </row>
    <row r="6258" spans="1:5">
      <c r="A6258" s="323">
        <v>46113</v>
      </c>
      <c r="B6258" s="325" t="s">
        <v>1271</v>
      </c>
      <c r="C6258" s="322" t="s">
        <v>388</v>
      </c>
      <c r="D6258" s="322">
        <v>11</v>
      </c>
      <c r="E6258" s="321" t="s">
        <v>125</v>
      </c>
    </row>
    <row r="6259" spans="1:5">
      <c r="A6259" s="323">
        <v>46113</v>
      </c>
      <c r="B6259" s="325" t="s">
        <v>1271</v>
      </c>
      <c r="C6259" s="322" t="s">
        <v>388</v>
      </c>
      <c r="D6259" s="322">
        <v>4</v>
      </c>
      <c r="E6259" s="321" t="s">
        <v>125</v>
      </c>
    </row>
    <row r="6260" spans="1:5">
      <c r="A6260" s="323">
        <v>46113</v>
      </c>
      <c r="B6260" s="325" t="s">
        <v>1326</v>
      </c>
      <c r="C6260" s="322" t="s">
        <v>388</v>
      </c>
      <c r="D6260" s="322">
        <v>7</v>
      </c>
      <c r="E6260" s="321" t="s">
        <v>125</v>
      </c>
    </row>
    <row r="6261" spans="1:5">
      <c r="A6261" s="323">
        <v>46113</v>
      </c>
      <c r="B6261" s="325" t="s">
        <v>1246</v>
      </c>
      <c r="C6261" s="322" t="s">
        <v>388</v>
      </c>
      <c r="D6261" s="322">
        <v>4</v>
      </c>
      <c r="E6261" s="321" t="s">
        <v>125</v>
      </c>
    </row>
    <row r="6262" spans="1:5">
      <c r="A6262" s="323">
        <v>46113</v>
      </c>
      <c r="B6262" s="325" t="s">
        <v>1246</v>
      </c>
      <c r="C6262" s="322" t="s">
        <v>388</v>
      </c>
      <c r="D6262" s="322">
        <v>8</v>
      </c>
      <c r="E6262" s="321" t="s">
        <v>125</v>
      </c>
    </row>
    <row r="6263" spans="1:5">
      <c r="A6263" s="323">
        <v>46113</v>
      </c>
      <c r="B6263" s="324" t="s">
        <v>134</v>
      </c>
      <c r="C6263" s="322" t="s">
        <v>388</v>
      </c>
      <c r="D6263" s="322">
        <v>8</v>
      </c>
      <c r="E6263" s="321" t="s">
        <v>125</v>
      </c>
    </row>
    <row r="6264" spans="1:5">
      <c r="A6264" s="323">
        <v>46113</v>
      </c>
      <c r="B6264" s="325" t="s">
        <v>4079</v>
      </c>
      <c r="C6264" s="322" t="s">
        <v>388</v>
      </c>
      <c r="D6264" s="322">
        <v>3</v>
      </c>
      <c r="E6264" s="321" t="s">
        <v>125</v>
      </c>
    </row>
    <row r="6265" spans="1:5">
      <c r="A6265" s="323">
        <v>46113</v>
      </c>
      <c r="B6265" s="325" t="s">
        <v>1249</v>
      </c>
      <c r="C6265" s="322" t="s">
        <v>388</v>
      </c>
      <c r="D6265" s="322">
        <v>2</v>
      </c>
      <c r="E6265" s="321" t="s">
        <v>125</v>
      </c>
    </row>
    <row r="6266" spans="1:5">
      <c r="A6266" s="323">
        <v>46113</v>
      </c>
      <c r="B6266" s="325" t="s">
        <v>1301</v>
      </c>
      <c r="C6266" s="322" t="s">
        <v>388</v>
      </c>
      <c r="D6266" s="322">
        <v>2</v>
      </c>
      <c r="E6266" s="321" t="s">
        <v>125</v>
      </c>
    </row>
    <row r="6267" spans="1:5">
      <c r="A6267" s="323">
        <v>46113</v>
      </c>
      <c r="B6267" s="325" t="s">
        <v>1246</v>
      </c>
      <c r="C6267" s="322" t="s">
        <v>388</v>
      </c>
      <c r="D6267" s="322">
        <v>1</v>
      </c>
      <c r="E6267" s="321" t="s">
        <v>125</v>
      </c>
    </row>
    <row r="6268" spans="1:5">
      <c r="A6268" s="323">
        <v>46113</v>
      </c>
      <c r="B6268" s="325" t="s">
        <v>1249</v>
      </c>
      <c r="C6268" s="322" t="s">
        <v>388</v>
      </c>
      <c r="D6268" s="322">
        <v>1</v>
      </c>
      <c r="E6268" s="321" t="s">
        <v>125</v>
      </c>
    </row>
    <row r="6269" spans="1:5">
      <c r="A6269" s="323">
        <v>46113</v>
      </c>
      <c r="B6269" s="325" t="s">
        <v>1271</v>
      </c>
      <c r="C6269" s="322" t="s">
        <v>388</v>
      </c>
      <c r="D6269" s="322">
        <v>1</v>
      </c>
      <c r="E6269" s="321" t="s">
        <v>125</v>
      </c>
    </row>
    <row r="6270" spans="1:5">
      <c r="A6270" s="323">
        <v>46113</v>
      </c>
      <c r="B6270" s="325" t="s">
        <v>1271</v>
      </c>
      <c r="C6270" s="322" t="s">
        <v>388</v>
      </c>
      <c r="D6270" s="322">
        <v>1</v>
      </c>
      <c r="E6270" s="321" t="s">
        <v>125</v>
      </c>
    </row>
    <row r="6271" spans="1:5">
      <c r="A6271" s="323">
        <v>46113</v>
      </c>
      <c r="B6271" s="325" t="s">
        <v>1327</v>
      </c>
      <c r="C6271" s="322" t="s">
        <v>388</v>
      </c>
      <c r="D6271" s="322">
        <v>1</v>
      </c>
      <c r="E6271" s="321" t="s">
        <v>125</v>
      </c>
    </row>
    <row r="6272" spans="1:5">
      <c r="A6272" s="323">
        <v>46113</v>
      </c>
      <c r="B6272" s="325" t="s">
        <v>169</v>
      </c>
      <c r="C6272" s="322" t="s">
        <v>388</v>
      </c>
      <c r="D6272" s="322">
        <v>1</v>
      </c>
      <c r="E6272" s="321" t="s">
        <v>125</v>
      </c>
    </row>
    <row r="6273" spans="1:6">
      <c r="A6273" s="323">
        <v>46113</v>
      </c>
      <c r="B6273" s="325" t="s">
        <v>4080</v>
      </c>
      <c r="C6273" s="322" t="s">
        <v>388</v>
      </c>
      <c r="D6273" s="322">
        <v>2</v>
      </c>
      <c r="E6273" s="321" t="s">
        <v>125</v>
      </c>
    </row>
    <row r="6274" spans="1:6">
      <c r="A6274" s="323">
        <v>46113</v>
      </c>
      <c r="B6274" s="325" t="s">
        <v>4081</v>
      </c>
      <c r="C6274" s="322" t="s">
        <v>388</v>
      </c>
      <c r="D6274" s="322">
        <v>1</v>
      </c>
      <c r="E6274" s="321" t="s">
        <v>125</v>
      </c>
    </row>
    <row r="6275" spans="1:6">
      <c r="A6275" s="323">
        <v>46113</v>
      </c>
      <c r="B6275" s="325" t="s">
        <v>1434</v>
      </c>
      <c r="C6275" s="322" t="s">
        <v>388</v>
      </c>
      <c r="D6275" s="322">
        <v>1</v>
      </c>
      <c r="E6275" s="321" t="s">
        <v>125</v>
      </c>
    </row>
    <row r="6277" spans="1:6">
      <c r="A6277" s="346">
        <v>46116</v>
      </c>
      <c r="B6277" s="351" t="s">
        <v>932</v>
      </c>
      <c r="C6277" s="348" t="s">
        <v>2093</v>
      </c>
      <c r="D6277" s="348">
        <v>4</v>
      </c>
      <c r="E6277" s="360" t="s">
        <v>125</v>
      </c>
      <c r="F6277" t="s">
        <v>4796</v>
      </c>
    </row>
    <row r="6278" spans="1:6">
      <c r="A6278" s="346">
        <v>46116</v>
      </c>
      <c r="B6278" s="349" t="s">
        <v>1271</v>
      </c>
      <c r="C6278" s="348" t="s">
        <v>2093</v>
      </c>
      <c r="D6278" s="348">
        <v>1</v>
      </c>
      <c r="E6278" s="360" t="s">
        <v>125</v>
      </c>
    </row>
    <row r="6279" spans="1:6">
      <c r="A6279" s="346">
        <v>46116</v>
      </c>
      <c r="B6279" s="349" t="s">
        <v>1271</v>
      </c>
      <c r="C6279" s="348" t="s">
        <v>2093</v>
      </c>
      <c r="D6279" s="348">
        <v>2</v>
      </c>
      <c r="E6279" s="360" t="s">
        <v>125</v>
      </c>
    </row>
    <row r="6280" spans="1:6">
      <c r="A6280" s="346">
        <v>46116</v>
      </c>
      <c r="B6280" s="349" t="s">
        <v>1246</v>
      </c>
      <c r="C6280" s="348" t="s">
        <v>2093</v>
      </c>
      <c r="D6280" s="348">
        <v>1</v>
      </c>
      <c r="E6280" s="360" t="s">
        <v>125</v>
      </c>
    </row>
    <row r="6281" spans="1:6">
      <c r="A6281" s="346">
        <v>46116</v>
      </c>
      <c r="B6281" s="349" t="s">
        <v>1152</v>
      </c>
      <c r="C6281" s="348" t="s">
        <v>2093</v>
      </c>
      <c r="D6281" s="348">
        <v>2</v>
      </c>
      <c r="E6281" s="360" t="s">
        <v>125</v>
      </c>
    </row>
    <row r="6282" spans="1:6">
      <c r="A6282" s="346">
        <v>46116</v>
      </c>
      <c r="B6282" s="349" t="s">
        <v>1568</v>
      </c>
      <c r="C6282" s="348" t="s">
        <v>2093</v>
      </c>
      <c r="D6282" s="348">
        <v>2</v>
      </c>
      <c r="E6282" s="360" t="s">
        <v>125</v>
      </c>
    </row>
    <row r="6283" spans="1:6">
      <c r="A6283" s="346">
        <v>46116</v>
      </c>
      <c r="B6283" s="349" t="s">
        <v>1291</v>
      </c>
      <c r="C6283" s="348" t="s">
        <v>2093</v>
      </c>
      <c r="D6283" s="348">
        <v>3</v>
      </c>
      <c r="E6283" s="360" t="s">
        <v>125</v>
      </c>
    </row>
    <row r="6285" spans="1:6">
      <c r="A6285" s="265">
        <v>46123</v>
      </c>
      <c r="B6285" s="93" t="s">
        <v>807</v>
      </c>
      <c r="C6285" s="43" t="s">
        <v>4091</v>
      </c>
      <c r="D6285" s="43">
        <v>-18</v>
      </c>
      <c r="E6285" s="1064" t="s">
        <v>125</v>
      </c>
    </row>
    <row r="6286" spans="1:6">
      <c r="A6286" s="265">
        <v>46123</v>
      </c>
      <c r="B6286" s="84" t="s">
        <v>410</v>
      </c>
      <c r="C6286" s="43" t="s">
        <v>4091</v>
      </c>
      <c r="D6286" s="43">
        <v>-40</v>
      </c>
      <c r="E6286" s="1064" t="s">
        <v>125</v>
      </c>
    </row>
    <row r="6288" spans="1:6">
      <c r="A6288" s="335">
        <v>46123</v>
      </c>
      <c r="B6288" s="343" t="s">
        <v>1291</v>
      </c>
      <c r="C6288" s="345" t="s">
        <v>2724</v>
      </c>
      <c r="D6288" s="345">
        <v>-8</v>
      </c>
      <c r="E6288" s="1064" t="s">
        <v>125</v>
      </c>
    </row>
    <row r="6289" spans="1:6">
      <c r="A6289" s="335">
        <v>46123</v>
      </c>
      <c r="B6289" s="343" t="s">
        <v>1291</v>
      </c>
      <c r="C6289" s="345" t="s">
        <v>2724</v>
      </c>
      <c r="D6289" s="345">
        <v>-1</v>
      </c>
      <c r="E6289" s="1064" t="s">
        <v>125</v>
      </c>
    </row>
    <row r="6290" spans="1:6">
      <c r="A6290" s="335">
        <v>46123</v>
      </c>
      <c r="B6290" s="343" t="s">
        <v>1490</v>
      </c>
      <c r="C6290" s="345" t="s">
        <v>2724</v>
      </c>
      <c r="D6290" s="345">
        <v>-6</v>
      </c>
      <c r="E6290" s="1064" t="s">
        <v>125</v>
      </c>
    </row>
    <row r="6291" spans="1:6">
      <c r="A6291" s="335">
        <v>46123</v>
      </c>
      <c r="B6291" s="343" t="s">
        <v>1491</v>
      </c>
      <c r="C6291" s="345" t="s">
        <v>2724</v>
      </c>
      <c r="D6291" s="345">
        <v>-9</v>
      </c>
      <c r="E6291" s="1064" t="s">
        <v>125</v>
      </c>
    </row>
    <row r="6292" spans="1:6">
      <c r="A6292" s="335">
        <v>46123</v>
      </c>
      <c r="B6292" s="343" t="s">
        <v>1096</v>
      </c>
      <c r="C6292" s="345" t="s">
        <v>2724</v>
      </c>
      <c r="D6292" s="345">
        <v>-4</v>
      </c>
      <c r="E6292" s="1064" t="s">
        <v>125</v>
      </c>
    </row>
    <row r="6293" spans="1:6">
      <c r="A6293" s="335">
        <v>46123</v>
      </c>
      <c r="B6293" s="343" t="s">
        <v>1334</v>
      </c>
      <c r="C6293" s="345" t="s">
        <v>2724</v>
      </c>
      <c r="D6293" s="345">
        <v>-2</v>
      </c>
      <c r="E6293" s="1064" t="s">
        <v>125</v>
      </c>
    </row>
    <row r="6294" spans="1:6">
      <c r="A6294" s="335">
        <v>46123</v>
      </c>
      <c r="B6294" s="342" t="s">
        <v>1387</v>
      </c>
      <c r="C6294" s="345" t="s">
        <v>2724</v>
      </c>
      <c r="D6294" s="345">
        <v>-2</v>
      </c>
      <c r="E6294" s="1064" t="s">
        <v>125</v>
      </c>
    </row>
    <row r="6295" spans="1:6">
      <c r="A6295" s="335">
        <v>46123</v>
      </c>
      <c r="B6295" s="343" t="s">
        <v>1409</v>
      </c>
      <c r="C6295" s="345" t="s">
        <v>2724</v>
      </c>
      <c r="D6295" s="345">
        <v>-41</v>
      </c>
      <c r="E6295" s="1064" t="s">
        <v>125</v>
      </c>
    </row>
    <row r="6297" spans="1:6">
      <c r="A6297" s="335">
        <v>46123</v>
      </c>
      <c r="B6297" s="92" t="s">
        <v>76</v>
      </c>
      <c r="C6297" s="43" t="s">
        <v>1603</v>
      </c>
      <c r="D6297" s="43">
        <v>-10</v>
      </c>
      <c r="E6297" s="1064" t="s">
        <v>125</v>
      </c>
    </row>
    <row r="6299" spans="1:6">
      <c r="A6299" s="335">
        <v>46126</v>
      </c>
      <c r="B6299" s="342" t="s">
        <v>134</v>
      </c>
      <c r="C6299" s="345" t="s">
        <v>3827</v>
      </c>
      <c r="D6299" s="345">
        <v>-6</v>
      </c>
      <c r="E6299" s="1064" t="s">
        <v>125</v>
      </c>
    </row>
    <row r="6301" spans="1:6">
      <c r="A6301" s="346">
        <v>46127</v>
      </c>
      <c r="B6301" s="349" t="s">
        <v>1246</v>
      </c>
      <c r="C6301" s="348" t="s">
        <v>2093</v>
      </c>
      <c r="D6301" s="348">
        <v>6</v>
      </c>
      <c r="E6301" s="360" t="s">
        <v>125</v>
      </c>
      <c r="F6301" t="s">
        <v>4110</v>
      </c>
    </row>
    <row r="6302" spans="1:6">
      <c r="A6302" s="346">
        <v>46127</v>
      </c>
      <c r="B6302" s="349" t="s">
        <v>1246</v>
      </c>
      <c r="C6302" s="348" t="s">
        <v>2093</v>
      </c>
      <c r="D6302" s="348">
        <v>1</v>
      </c>
      <c r="E6302" s="360" t="s">
        <v>125</v>
      </c>
    </row>
    <row r="6303" spans="1:6">
      <c r="A6303" s="346">
        <v>46127</v>
      </c>
      <c r="B6303" s="349" t="s">
        <v>1246</v>
      </c>
      <c r="C6303" s="348" t="s">
        <v>2093</v>
      </c>
      <c r="D6303" s="348">
        <v>1</v>
      </c>
      <c r="E6303" s="360" t="s">
        <v>125</v>
      </c>
    </row>
    <row r="6304" spans="1:6">
      <c r="A6304" s="346">
        <v>46127</v>
      </c>
      <c r="B6304" s="349" t="s">
        <v>1246</v>
      </c>
      <c r="C6304" s="348" t="s">
        <v>2093</v>
      </c>
      <c r="D6304" s="348">
        <v>1</v>
      </c>
      <c r="E6304" s="360" t="s">
        <v>125</v>
      </c>
    </row>
    <row r="6305" spans="1:5">
      <c r="A6305" s="346">
        <v>46127</v>
      </c>
      <c r="B6305" s="349" t="s">
        <v>1271</v>
      </c>
      <c r="C6305" s="348" t="s">
        <v>2093</v>
      </c>
      <c r="D6305" s="348">
        <v>1</v>
      </c>
      <c r="E6305" s="360" t="s">
        <v>125</v>
      </c>
    </row>
    <row r="6306" spans="1:5">
      <c r="A6306" s="346">
        <v>46127</v>
      </c>
      <c r="B6306" s="349" t="s">
        <v>1271</v>
      </c>
      <c r="C6306" s="348" t="s">
        <v>2093</v>
      </c>
      <c r="D6306" s="348">
        <v>1</v>
      </c>
      <c r="E6306" s="360" t="s">
        <v>125</v>
      </c>
    </row>
    <row r="6307" spans="1:5">
      <c r="A6307" s="346">
        <v>46127</v>
      </c>
      <c r="B6307" s="349" t="s">
        <v>1271</v>
      </c>
      <c r="C6307" s="348" t="s">
        <v>2093</v>
      </c>
      <c r="D6307" s="348">
        <v>1</v>
      </c>
      <c r="E6307" s="360" t="s">
        <v>125</v>
      </c>
    </row>
    <row r="6308" spans="1:5">
      <c r="A6308" s="346">
        <v>46127</v>
      </c>
      <c r="B6308" s="349" t="s">
        <v>1568</v>
      </c>
      <c r="C6308" s="348" t="s">
        <v>2093</v>
      </c>
      <c r="D6308" s="348">
        <v>2</v>
      </c>
      <c r="E6308" s="360" t="s">
        <v>125</v>
      </c>
    </row>
    <row r="6309" spans="1:5">
      <c r="A6309" s="346">
        <v>46127</v>
      </c>
      <c r="B6309" s="349" t="s">
        <v>4108</v>
      </c>
      <c r="C6309" s="348" t="s">
        <v>2093</v>
      </c>
      <c r="D6309" s="348">
        <v>1</v>
      </c>
      <c r="E6309" s="360" t="s">
        <v>125</v>
      </c>
    </row>
    <row r="6310" spans="1:5">
      <c r="A6310" s="346">
        <v>46127</v>
      </c>
      <c r="B6310" s="349" t="s">
        <v>1291</v>
      </c>
      <c r="C6310" s="348" t="s">
        <v>2093</v>
      </c>
      <c r="D6310" s="348">
        <v>7</v>
      </c>
      <c r="E6310" s="360" t="s">
        <v>125</v>
      </c>
    </row>
    <row r="6311" spans="1:5">
      <c r="A6311" s="346">
        <v>46127</v>
      </c>
      <c r="B6311" s="349" t="s">
        <v>4109</v>
      </c>
      <c r="C6311" s="348" t="s">
        <v>2093</v>
      </c>
      <c r="D6311" s="348">
        <v>4</v>
      </c>
      <c r="E6311" s="360" t="s">
        <v>125</v>
      </c>
    </row>
    <row r="6313" spans="1:5">
      <c r="A6313" s="265">
        <v>46127</v>
      </c>
      <c r="B6313" s="344" t="s">
        <v>1716</v>
      </c>
      <c r="C6313" s="43" t="s">
        <v>3468</v>
      </c>
      <c r="D6313" s="43">
        <v>-1</v>
      </c>
      <c r="E6313" s="1064" t="s">
        <v>125</v>
      </c>
    </row>
    <row r="6315" spans="1:5">
      <c r="A6315" s="265">
        <v>46128</v>
      </c>
      <c r="B6315" s="343" t="s">
        <v>1291</v>
      </c>
      <c r="C6315" s="43" t="s">
        <v>2724</v>
      </c>
      <c r="D6315" s="43">
        <v>-7</v>
      </c>
      <c r="E6315" s="1064" t="s">
        <v>125</v>
      </c>
    </row>
    <row r="6316" spans="1:5">
      <c r="A6316" s="265">
        <v>46128</v>
      </c>
      <c r="B6316" s="93" t="s">
        <v>920</v>
      </c>
      <c r="C6316" s="43" t="s">
        <v>4121</v>
      </c>
      <c r="D6316" s="43">
        <v>-1</v>
      </c>
      <c r="E6316" s="1064" t="s">
        <v>125</v>
      </c>
    </row>
    <row r="6317" spans="1:5">
      <c r="A6317" s="330">
        <v>46113</v>
      </c>
      <c r="B6317" s="327" t="s">
        <v>76</v>
      </c>
      <c r="C6317" s="328" t="s">
        <v>4118</v>
      </c>
      <c r="D6317" s="328">
        <v>10</v>
      </c>
      <c r="E6317" s="331" t="s">
        <v>125</v>
      </c>
    </row>
    <row r="6318" spans="1:5">
      <c r="A6318" s="330">
        <v>46113</v>
      </c>
      <c r="B6318" s="329" t="s">
        <v>839</v>
      </c>
      <c r="C6318" s="328" t="s">
        <v>4118</v>
      </c>
      <c r="D6318" s="328">
        <v>8</v>
      </c>
      <c r="E6318" s="331" t="s">
        <v>125</v>
      </c>
    </row>
    <row r="6319" spans="1:5">
      <c r="A6319" s="330">
        <v>46113</v>
      </c>
      <c r="B6319" s="329" t="s">
        <v>839</v>
      </c>
      <c r="C6319" s="328" t="s">
        <v>4118</v>
      </c>
      <c r="D6319" s="328">
        <v>5</v>
      </c>
      <c r="E6319" s="331" t="s">
        <v>125</v>
      </c>
    </row>
    <row r="6320" spans="1:5">
      <c r="A6320" s="330">
        <v>46113</v>
      </c>
      <c r="B6320" s="327" t="s">
        <v>671</v>
      </c>
      <c r="C6320" s="328" t="s">
        <v>4118</v>
      </c>
      <c r="D6320" s="328">
        <v>4</v>
      </c>
      <c r="E6320" s="331" t="s">
        <v>125</v>
      </c>
    </row>
    <row r="6321" spans="1:5">
      <c r="A6321" s="330">
        <v>46114</v>
      </c>
      <c r="B6321" s="329" t="s">
        <v>839</v>
      </c>
      <c r="C6321" s="328" t="s">
        <v>4118</v>
      </c>
      <c r="D6321" s="328">
        <v>2</v>
      </c>
      <c r="E6321" s="331" t="s">
        <v>125</v>
      </c>
    </row>
    <row r="6322" spans="1:5">
      <c r="A6322" s="330">
        <v>46113</v>
      </c>
      <c r="B6322" s="329" t="s">
        <v>839</v>
      </c>
      <c r="C6322" s="328" t="s">
        <v>4118</v>
      </c>
      <c r="D6322" s="328">
        <v>4</v>
      </c>
      <c r="E6322" s="331" t="s">
        <v>125</v>
      </c>
    </row>
    <row r="6323" spans="1:5">
      <c r="A6323" s="330">
        <v>46113</v>
      </c>
      <c r="B6323" s="329" t="s">
        <v>839</v>
      </c>
      <c r="C6323" s="328" t="s">
        <v>4118</v>
      </c>
      <c r="D6323" s="328">
        <v>3</v>
      </c>
      <c r="E6323" s="331" t="s">
        <v>125</v>
      </c>
    </row>
    <row r="6324" spans="1:5">
      <c r="A6324" s="330">
        <v>46113</v>
      </c>
      <c r="B6324" s="329" t="s">
        <v>839</v>
      </c>
      <c r="C6324" s="328" t="s">
        <v>4118</v>
      </c>
      <c r="D6324" s="328">
        <v>1</v>
      </c>
      <c r="E6324" s="331" t="s">
        <v>125</v>
      </c>
    </row>
    <row r="6325" spans="1:5">
      <c r="A6325" s="330">
        <v>46114</v>
      </c>
      <c r="B6325" s="329" t="s">
        <v>839</v>
      </c>
      <c r="C6325" s="328" t="s">
        <v>4118</v>
      </c>
      <c r="D6325" s="328">
        <v>3</v>
      </c>
      <c r="E6325" s="331" t="s">
        <v>125</v>
      </c>
    </row>
    <row r="6326" spans="1:5">
      <c r="A6326" s="330">
        <v>46114</v>
      </c>
      <c r="B6326" s="329" t="s">
        <v>839</v>
      </c>
      <c r="C6326" s="328" t="s">
        <v>4118</v>
      </c>
      <c r="D6326" s="328">
        <v>3</v>
      </c>
      <c r="E6326" s="331" t="s">
        <v>125</v>
      </c>
    </row>
    <row r="6327" spans="1:5">
      <c r="A6327" s="330">
        <v>46118</v>
      </c>
      <c r="B6327" s="327" t="s">
        <v>76</v>
      </c>
      <c r="C6327" s="328" t="s">
        <v>4118</v>
      </c>
      <c r="D6327" s="328">
        <v>10</v>
      </c>
      <c r="E6327" s="331" t="s">
        <v>125</v>
      </c>
    </row>
    <row r="6328" spans="1:5">
      <c r="A6328" s="265">
        <v>46128</v>
      </c>
      <c r="B6328" s="104" t="s">
        <v>932</v>
      </c>
      <c r="C6328" s="43" t="s">
        <v>3108</v>
      </c>
      <c r="D6328" s="43">
        <v>-5</v>
      </c>
      <c r="E6328" s="1064" t="s">
        <v>125</v>
      </c>
    </row>
    <row r="6329" spans="1:5">
      <c r="A6329" s="265">
        <v>46128</v>
      </c>
      <c r="B6329" s="92" t="s">
        <v>76</v>
      </c>
      <c r="C6329" s="43" t="s">
        <v>4119</v>
      </c>
      <c r="D6329" s="43">
        <v>-1</v>
      </c>
      <c r="E6329" s="1064" t="s">
        <v>125</v>
      </c>
    </row>
    <row r="6330" spans="1:5">
      <c r="A6330" s="265">
        <v>46128</v>
      </c>
      <c r="B6330" s="343" t="s">
        <v>2032</v>
      </c>
      <c r="C6330" s="43" t="s">
        <v>4120</v>
      </c>
      <c r="D6330" s="43">
        <v>-1</v>
      </c>
      <c r="E6330" s="1064" t="s">
        <v>125</v>
      </c>
    </row>
    <row r="6331" spans="1:5">
      <c r="A6331" s="265">
        <v>46128</v>
      </c>
      <c r="B6331" s="344" t="s">
        <v>1716</v>
      </c>
      <c r="C6331" s="43" t="s">
        <v>3468</v>
      </c>
      <c r="D6331" s="43">
        <v>-2</v>
      </c>
      <c r="E6331" s="1064" t="s">
        <v>125</v>
      </c>
    </row>
    <row r="6332" spans="1:5">
      <c r="A6332" s="265">
        <v>46128</v>
      </c>
      <c r="B6332" s="344" t="s">
        <v>1149</v>
      </c>
      <c r="C6332" s="43" t="s">
        <v>3468</v>
      </c>
      <c r="D6332" s="43">
        <v>-1</v>
      </c>
      <c r="E6332" s="1064" t="s">
        <v>125</v>
      </c>
    </row>
    <row r="6334" spans="1:5">
      <c r="A6334" s="265">
        <v>46129</v>
      </c>
      <c r="B6334" s="343" t="s">
        <v>4109</v>
      </c>
      <c r="C6334" s="43" t="s">
        <v>3108</v>
      </c>
      <c r="D6334" s="43">
        <v>-4</v>
      </c>
      <c r="E6334" s="1064" t="s">
        <v>125</v>
      </c>
    </row>
    <row r="6335" spans="1:5">
      <c r="A6335" s="265">
        <v>46129</v>
      </c>
      <c r="B6335" s="343" t="s">
        <v>1246</v>
      </c>
      <c r="C6335" s="43" t="s">
        <v>3004</v>
      </c>
      <c r="D6335" s="43">
        <v>-1</v>
      </c>
      <c r="E6335" s="1064" t="s">
        <v>125</v>
      </c>
    </row>
    <row r="6336" spans="1:5">
      <c r="A6336" s="265">
        <v>46129</v>
      </c>
      <c r="B6336" s="93" t="s">
        <v>1568</v>
      </c>
      <c r="C6336" s="43" t="s">
        <v>1592</v>
      </c>
      <c r="D6336" s="43">
        <v>-8</v>
      </c>
      <c r="E6336" s="1064" t="s">
        <v>125</v>
      </c>
    </row>
    <row r="6337" spans="1:5">
      <c r="A6337" s="265">
        <v>46129</v>
      </c>
      <c r="B6337" s="343" t="s">
        <v>4049</v>
      </c>
      <c r="C6337" s="43" t="s">
        <v>1592</v>
      </c>
      <c r="D6337" s="43">
        <v>-1</v>
      </c>
      <c r="E6337" s="1064" t="s">
        <v>125</v>
      </c>
    </row>
    <row r="6338" spans="1:5">
      <c r="A6338" s="265">
        <v>46129</v>
      </c>
      <c r="B6338" s="343" t="s">
        <v>4108</v>
      </c>
      <c r="C6338" s="43" t="s">
        <v>1592</v>
      </c>
      <c r="D6338" s="43">
        <v>-1</v>
      </c>
      <c r="E6338" s="1064" t="s">
        <v>125</v>
      </c>
    </row>
    <row r="6339" spans="1:5">
      <c r="A6339" s="265">
        <v>46129</v>
      </c>
      <c r="B6339" s="343" t="s">
        <v>1271</v>
      </c>
      <c r="C6339" s="43" t="s">
        <v>2406</v>
      </c>
      <c r="D6339" s="43">
        <v>-2</v>
      </c>
      <c r="E6339" s="1064" t="s">
        <v>125</v>
      </c>
    </row>
    <row r="6341" spans="1:5">
      <c r="A6341" s="335">
        <v>46130</v>
      </c>
      <c r="B6341" s="341" t="s">
        <v>76</v>
      </c>
      <c r="C6341" s="345" t="s">
        <v>1603</v>
      </c>
      <c r="D6341" s="345">
        <v>-22</v>
      </c>
      <c r="E6341" s="1064" t="s">
        <v>125</v>
      </c>
    </row>
    <row r="6342" spans="1:5">
      <c r="A6342" s="335">
        <v>46130</v>
      </c>
      <c r="B6342" s="341" t="s">
        <v>78</v>
      </c>
      <c r="C6342" s="345" t="s">
        <v>1603</v>
      </c>
      <c r="D6342" s="345">
        <v>-29</v>
      </c>
      <c r="E6342" s="1064" t="s">
        <v>125</v>
      </c>
    </row>
    <row r="6344" spans="1:5">
      <c r="A6344" s="265">
        <v>46129</v>
      </c>
      <c r="B6344" s="343" t="s">
        <v>1246</v>
      </c>
      <c r="C6344" s="43" t="s">
        <v>4122</v>
      </c>
      <c r="D6344" s="43">
        <v>1</v>
      </c>
      <c r="E6344" s="1064" t="s">
        <v>125</v>
      </c>
    </row>
    <row r="6346" spans="1:5">
      <c r="A6346" s="335">
        <v>46130</v>
      </c>
      <c r="B6346" s="343" t="s">
        <v>1326</v>
      </c>
      <c r="C6346" s="43" t="s">
        <v>3823</v>
      </c>
      <c r="D6346" s="43">
        <v>-1</v>
      </c>
      <c r="E6346" s="1064" t="s">
        <v>125</v>
      </c>
    </row>
    <row r="6348" spans="1:5">
      <c r="A6348" s="272">
        <v>46127</v>
      </c>
      <c r="B6348" s="128" t="s">
        <v>76</v>
      </c>
      <c r="C6348" s="106" t="s">
        <v>4139</v>
      </c>
      <c r="D6348" s="106">
        <v>500</v>
      </c>
      <c r="E6348" s="94" t="s">
        <v>125</v>
      </c>
    </row>
    <row r="6349" spans="1:5">
      <c r="A6349" s="272">
        <v>46129</v>
      </c>
      <c r="B6349" s="139" t="s">
        <v>4124</v>
      </c>
      <c r="C6349" s="106" t="s">
        <v>4139</v>
      </c>
      <c r="D6349" s="106">
        <v>2</v>
      </c>
      <c r="E6349" s="94" t="s">
        <v>125</v>
      </c>
    </row>
    <row r="6350" spans="1:5">
      <c r="A6350" s="272">
        <v>46129</v>
      </c>
      <c r="B6350" s="139" t="s">
        <v>4124</v>
      </c>
      <c r="C6350" s="106" t="s">
        <v>4139</v>
      </c>
      <c r="D6350" s="106">
        <v>2</v>
      </c>
      <c r="E6350" s="94" t="s">
        <v>125</v>
      </c>
    </row>
    <row r="6351" spans="1:5">
      <c r="A6351" s="272">
        <v>46129</v>
      </c>
      <c r="B6351" s="139" t="s">
        <v>4124</v>
      </c>
      <c r="C6351" s="106" t="s">
        <v>4139</v>
      </c>
      <c r="D6351" s="106">
        <v>1</v>
      </c>
      <c r="E6351" s="94" t="s">
        <v>125</v>
      </c>
    </row>
    <row r="6352" spans="1:5">
      <c r="A6352" s="272">
        <v>46129</v>
      </c>
      <c r="B6352" s="139" t="s">
        <v>4124</v>
      </c>
      <c r="C6352" s="106" t="s">
        <v>4139</v>
      </c>
      <c r="D6352" s="106">
        <v>3</v>
      </c>
      <c r="E6352" s="94" t="s">
        <v>125</v>
      </c>
    </row>
    <row r="6353" spans="1:6">
      <c r="A6353" s="272">
        <v>46130</v>
      </c>
      <c r="B6353" s="139" t="s">
        <v>4124</v>
      </c>
      <c r="C6353" s="106" t="s">
        <v>4139</v>
      </c>
      <c r="D6353" s="106">
        <v>4</v>
      </c>
      <c r="E6353" s="94" t="s">
        <v>125</v>
      </c>
    </row>
    <row r="6354" spans="1:6">
      <c r="A6354" s="272">
        <v>46130</v>
      </c>
      <c r="B6354" s="139" t="s">
        <v>4124</v>
      </c>
      <c r="C6354" s="106" t="s">
        <v>4139</v>
      </c>
      <c r="D6354" s="106">
        <v>4</v>
      </c>
      <c r="E6354" s="94" t="s">
        <v>125</v>
      </c>
    </row>
    <row r="6356" spans="1:6">
      <c r="A6356" s="272">
        <v>46120</v>
      </c>
      <c r="B6356" s="139" t="s">
        <v>1246</v>
      </c>
      <c r="C6356" s="106" t="s">
        <v>4139</v>
      </c>
      <c r="D6356" s="106">
        <v>2</v>
      </c>
      <c r="E6356" s="94" t="s">
        <v>125</v>
      </c>
    </row>
    <row r="6357" spans="1:6">
      <c r="A6357" s="272">
        <v>46120</v>
      </c>
      <c r="B6357" s="139" t="s">
        <v>1246</v>
      </c>
      <c r="C6357" s="106" t="s">
        <v>4139</v>
      </c>
      <c r="D6357" s="106">
        <v>2</v>
      </c>
      <c r="E6357" s="94" t="s">
        <v>125</v>
      </c>
    </row>
    <row r="6358" spans="1:6">
      <c r="A6358" s="272">
        <v>46119</v>
      </c>
      <c r="B6358" s="139" t="s">
        <v>1246</v>
      </c>
      <c r="C6358" s="106" t="s">
        <v>4139</v>
      </c>
      <c r="D6358" s="106">
        <v>40</v>
      </c>
      <c r="E6358" s="94" t="s">
        <v>125</v>
      </c>
    </row>
    <row r="6359" spans="1:6">
      <c r="A6359" s="272">
        <v>46119</v>
      </c>
      <c r="B6359" s="233" t="s">
        <v>375</v>
      </c>
      <c r="C6359" s="106" t="s">
        <v>4139</v>
      </c>
      <c r="D6359" s="106">
        <v>6</v>
      </c>
      <c r="E6359" s="94" t="s">
        <v>125</v>
      </c>
    </row>
    <row r="6360" spans="1:6">
      <c r="A6360" s="272">
        <v>46119</v>
      </c>
      <c r="B6360" s="128" t="s">
        <v>76</v>
      </c>
      <c r="C6360" s="106" t="s">
        <v>4139</v>
      </c>
      <c r="D6360" s="106">
        <v>7</v>
      </c>
      <c r="E6360" s="94" t="s">
        <v>125</v>
      </c>
    </row>
    <row r="6361" spans="1:6">
      <c r="A6361" s="272">
        <v>46119</v>
      </c>
      <c r="B6361" s="128" t="s">
        <v>76</v>
      </c>
      <c r="C6361" s="106" t="s">
        <v>4139</v>
      </c>
      <c r="D6361" s="106">
        <v>60</v>
      </c>
      <c r="E6361" s="94" t="s">
        <v>125</v>
      </c>
    </row>
    <row r="6363" spans="1:6">
      <c r="A6363" s="323">
        <v>46132</v>
      </c>
      <c r="B6363" s="324" t="s">
        <v>960</v>
      </c>
      <c r="C6363" s="322" t="s">
        <v>388</v>
      </c>
      <c r="D6363" s="322">
        <v>115</v>
      </c>
      <c r="E6363" s="321" t="s">
        <v>125</v>
      </c>
      <c r="F6363" t="s">
        <v>4287</v>
      </c>
    </row>
    <row r="6364" spans="1:6">
      <c r="A6364" s="323">
        <v>46132</v>
      </c>
      <c r="B6364" s="325" t="s">
        <v>975</v>
      </c>
      <c r="C6364" s="322" t="s">
        <v>388</v>
      </c>
      <c r="D6364" s="322">
        <v>2</v>
      </c>
      <c r="E6364" s="321" t="s">
        <v>125</v>
      </c>
    </row>
    <row r="6365" spans="1:6">
      <c r="A6365" s="323">
        <v>46132</v>
      </c>
      <c r="B6365" s="325" t="s">
        <v>808</v>
      </c>
      <c r="C6365" s="322" t="s">
        <v>388</v>
      </c>
      <c r="D6365" s="322">
        <v>4</v>
      </c>
      <c r="E6365" s="321" t="s">
        <v>125</v>
      </c>
    </row>
    <row r="6366" spans="1:6">
      <c r="A6366" s="323">
        <v>46132</v>
      </c>
      <c r="B6366" s="325" t="s">
        <v>2625</v>
      </c>
      <c r="C6366" s="322" t="s">
        <v>388</v>
      </c>
      <c r="D6366" s="322">
        <v>1</v>
      </c>
      <c r="E6366" s="321" t="s">
        <v>125</v>
      </c>
    </row>
    <row r="6367" spans="1:6">
      <c r="A6367" s="323">
        <v>46132</v>
      </c>
      <c r="B6367" s="325" t="s">
        <v>4285</v>
      </c>
      <c r="C6367" s="322" t="s">
        <v>388</v>
      </c>
      <c r="D6367" s="322">
        <v>3</v>
      </c>
      <c r="E6367" s="321" t="s">
        <v>125</v>
      </c>
    </row>
    <row r="6368" spans="1:6">
      <c r="A6368" s="323">
        <v>46132</v>
      </c>
      <c r="B6368" s="325" t="s">
        <v>4286</v>
      </c>
      <c r="C6368" s="322" t="s">
        <v>388</v>
      </c>
      <c r="D6368" s="322">
        <v>2</v>
      </c>
      <c r="E6368" s="321" t="s">
        <v>125</v>
      </c>
    </row>
    <row r="6369" spans="1:5">
      <c r="A6369" s="323">
        <v>46132</v>
      </c>
      <c r="B6369" s="325" t="s">
        <v>975</v>
      </c>
      <c r="C6369" s="322" t="s">
        <v>388</v>
      </c>
      <c r="D6369" s="322">
        <v>1</v>
      </c>
      <c r="E6369" s="321" t="s">
        <v>125</v>
      </c>
    </row>
    <row r="6370" spans="1:5">
      <c r="A6370" s="323">
        <v>46132</v>
      </c>
      <c r="B6370" s="324" t="s">
        <v>131</v>
      </c>
      <c r="C6370" s="322" t="s">
        <v>388</v>
      </c>
      <c r="D6370" s="322">
        <v>1</v>
      </c>
      <c r="E6370" s="321" t="s">
        <v>125</v>
      </c>
    </row>
    <row r="6372" spans="1:5">
      <c r="A6372" s="335">
        <v>46132</v>
      </c>
      <c r="B6372" s="343" t="s">
        <v>935</v>
      </c>
      <c r="C6372" s="345" t="s">
        <v>4288</v>
      </c>
      <c r="D6372" s="345">
        <v>-1</v>
      </c>
      <c r="E6372" s="1064" t="s">
        <v>125</v>
      </c>
    </row>
    <row r="6373" spans="1:5">
      <c r="A6373" s="335">
        <v>46132</v>
      </c>
      <c r="B6373" s="342" t="s">
        <v>410</v>
      </c>
      <c r="C6373" s="345" t="s">
        <v>4288</v>
      </c>
      <c r="D6373" s="345">
        <v>-1</v>
      </c>
      <c r="E6373" s="1064" t="s">
        <v>125</v>
      </c>
    </row>
    <row r="6374" spans="1:5">
      <c r="A6374" s="335">
        <v>46132</v>
      </c>
      <c r="B6374" s="343" t="s">
        <v>808</v>
      </c>
      <c r="C6374" s="345" t="s">
        <v>4288</v>
      </c>
      <c r="D6374" s="345">
        <v>-1</v>
      </c>
      <c r="E6374" s="1064" t="s">
        <v>125</v>
      </c>
    </row>
    <row r="6375" spans="1:5">
      <c r="A6375" s="335">
        <v>46132</v>
      </c>
      <c r="B6375" s="343" t="s">
        <v>1967</v>
      </c>
      <c r="C6375" s="345" t="s">
        <v>4288</v>
      </c>
      <c r="D6375" s="345">
        <v>-1</v>
      </c>
      <c r="E6375" s="1064" t="s">
        <v>125</v>
      </c>
    </row>
    <row r="6377" spans="1:5">
      <c r="A6377" s="335">
        <v>46132</v>
      </c>
      <c r="B6377" s="342" t="s">
        <v>960</v>
      </c>
      <c r="C6377" s="43" t="s">
        <v>4289</v>
      </c>
      <c r="D6377" s="43">
        <v>-115</v>
      </c>
      <c r="E6377" s="1064" t="s">
        <v>125</v>
      </c>
    </row>
    <row r="6378" spans="1:5">
      <c r="A6378" s="335">
        <v>46132</v>
      </c>
      <c r="B6378" s="343" t="s">
        <v>136</v>
      </c>
      <c r="C6378" s="43" t="s">
        <v>4121</v>
      </c>
      <c r="D6378" s="43">
        <v>-1</v>
      </c>
      <c r="E6378" s="1064" t="s">
        <v>125</v>
      </c>
    </row>
    <row r="6380" spans="1:5">
      <c r="A6380" s="265">
        <v>46134</v>
      </c>
      <c r="B6380" s="92" t="s">
        <v>76</v>
      </c>
      <c r="C6380" s="43" t="s">
        <v>1603</v>
      </c>
      <c r="D6380" s="43">
        <v>-220</v>
      </c>
      <c r="E6380" s="1064" t="s">
        <v>125</v>
      </c>
    </row>
    <row r="6382" spans="1:5">
      <c r="A6382" s="323">
        <v>46132</v>
      </c>
      <c r="B6382" s="325" t="s">
        <v>1246</v>
      </c>
      <c r="C6382" s="322" t="s">
        <v>388</v>
      </c>
      <c r="D6382" s="322">
        <v>23</v>
      </c>
      <c r="E6382" s="321" t="s">
        <v>125</v>
      </c>
    </row>
    <row r="6383" spans="1:5">
      <c r="A6383" s="323">
        <v>46132</v>
      </c>
      <c r="B6383" s="325" t="s">
        <v>1246</v>
      </c>
      <c r="C6383" s="322" t="s">
        <v>388</v>
      </c>
      <c r="D6383" s="322">
        <v>6</v>
      </c>
      <c r="E6383" s="321" t="s">
        <v>125</v>
      </c>
    </row>
    <row r="6384" spans="1:5">
      <c r="A6384" s="323">
        <v>46132</v>
      </c>
      <c r="B6384" s="325" t="s">
        <v>1246</v>
      </c>
      <c r="C6384" s="322" t="s">
        <v>388</v>
      </c>
      <c r="D6384" s="322">
        <v>8</v>
      </c>
      <c r="E6384" s="321" t="s">
        <v>125</v>
      </c>
    </row>
    <row r="6385" spans="1:5">
      <c r="A6385" s="323">
        <v>46132</v>
      </c>
      <c r="B6385" s="325" t="s">
        <v>136</v>
      </c>
      <c r="C6385" s="322" t="s">
        <v>388</v>
      </c>
      <c r="D6385" s="322">
        <v>8</v>
      </c>
      <c r="E6385" s="321" t="s">
        <v>125</v>
      </c>
    </row>
    <row r="6386" spans="1:5">
      <c r="A6386" s="323">
        <v>46132</v>
      </c>
      <c r="B6386" s="324" t="s">
        <v>1387</v>
      </c>
      <c r="C6386" s="322" t="s">
        <v>388</v>
      </c>
      <c r="D6386" s="322">
        <v>6</v>
      </c>
      <c r="E6386" s="321" t="s">
        <v>125</v>
      </c>
    </row>
    <row r="6387" spans="1:5">
      <c r="A6387" s="323">
        <v>46132</v>
      </c>
      <c r="B6387" s="324" t="s">
        <v>131</v>
      </c>
      <c r="C6387" s="322" t="s">
        <v>388</v>
      </c>
      <c r="D6387" s="322">
        <v>2</v>
      </c>
      <c r="E6387" s="321" t="s">
        <v>125</v>
      </c>
    </row>
    <row r="6388" spans="1:5">
      <c r="A6388" s="323">
        <v>46132</v>
      </c>
      <c r="B6388" s="325" t="s">
        <v>4108</v>
      </c>
      <c r="C6388" s="322" t="s">
        <v>388</v>
      </c>
      <c r="D6388" s="322">
        <v>2</v>
      </c>
      <c r="E6388" s="321" t="s">
        <v>125</v>
      </c>
    </row>
    <row r="6389" spans="1:5">
      <c r="A6389" s="323">
        <v>46132</v>
      </c>
      <c r="B6389" s="325" t="s">
        <v>1640</v>
      </c>
      <c r="C6389" s="322" t="s">
        <v>388</v>
      </c>
      <c r="D6389" s="322">
        <v>1</v>
      </c>
      <c r="E6389" s="321" t="s">
        <v>125</v>
      </c>
    </row>
    <row r="6390" spans="1:5">
      <c r="A6390" s="323">
        <v>46132</v>
      </c>
      <c r="B6390" s="325" t="s">
        <v>4320</v>
      </c>
      <c r="C6390" s="322" t="s">
        <v>388</v>
      </c>
      <c r="D6390" s="322">
        <v>1</v>
      </c>
      <c r="E6390" s="321" t="s">
        <v>125</v>
      </c>
    </row>
    <row r="6392" spans="1:5">
      <c r="A6392" s="265">
        <v>46134</v>
      </c>
      <c r="B6392" s="92" t="s">
        <v>76</v>
      </c>
      <c r="C6392" s="43" t="s">
        <v>1603</v>
      </c>
      <c r="D6392" s="43">
        <v>-5</v>
      </c>
      <c r="E6392" s="1064" t="s">
        <v>125</v>
      </c>
    </row>
    <row r="6393" spans="1:5">
      <c r="A6393" s="265">
        <v>46134</v>
      </c>
      <c r="B6393" s="84" t="s">
        <v>1387</v>
      </c>
      <c r="C6393" s="43" t="s">
        <v>2724</v>
      </c>
      <c r="D6393" s="43">
        <v>-6</v>
      </c>
      <c r="E6393" s="1064" t="s">
        <v>125</v>
      </c>
    </row>
    <row r="6394" spans="1:5">
      <c r="A6394" s="265">
        <v>46134</v>
      </c>
      <c r="B6394" s="92" t="s">
        <v>76</v>
      </c>
      <c r="C6394" s="43" t="s">
        <v>2075</v>
      </c>
      <c r="D6394" s="43">
        <v>-20</v>
      </c>
      <c r="E6394" s="1064" t="s">
        <v>125</v>
      </c>
    </row>
    <row r="6396" spans="1:5">
      <c r="A6396" s="265">
        <v>46135</v>
      </c>
      <c r="B6396" s="343" t="s">
        <v>1246</v>
      </c>
      <c r="C6396" s="43" t="s">
        <v>1739</v>
      </c>
      <c r="D6396" s="43">
        <v>-1</v>
      </c>
      <c r="E6396" s="1064" t="s">
        <v>125</v>
      </c>
    </row>
    <row r="6397" spans="1:5">
      <c r="A6397" s="265">
        <v>46135</v>
      </c>
      <c r="B6397" s="343" t="s">
        <v>1246</v>
      </c>
      <c r="C6397" s="43" t="s">
        <v>1739</v>
      </c>
      <c r="D6397" s="43">
        <v>-5</v>
      </c>
      <c r="E6397" s="1064" t="s">
        <v>125</v>
      </c>
    </row>
    <row r="6398" spans="1:5">
      <c r="A6398" s="265">
        <v>46135</v>
      </c>
      <c r="B6398" s="92" t="s">
        <v>76</v>
      </c>
      <c r="C6398" s="43" t="s">
        <v>4321</v>
      </c>
      <c r="D6398" s="43">
        <v>-3</v>
      </c>
      <c r="E6398" s="1064" t="s">
        <v>125</v>
      </c>
    </row>
    <row r="6399" spans="1:5">
      <c r="A6399" s="265">
        <v>46135</v>
      </c>
      <c r="B6399" s="92" t="s">
        <v>76</v>
      </c>
      <c r="C6399" s="43" t="s">
        <v>1603</v>
      </c>
      <c r="D6399" s="43">
        <v>-20</v>
      </c>
      <c r="E6399" s="1064" t="s">
        <v>125</v>
      </c>
    </row>
    <row r="6400" spans="1:5">
      <c r="A6400" s="265">
        <v>46135</v>
      </c>
      <c r="B6400" s="92" t="s">
        <v>76</v>
      </c>
      <c r="C6400" s="43" t="s">
        <v>1603</v>
      </c>
      <c r="D6400" s="43">
        <v>-20</v>
      </c>
      <c r="E6400" s="1064" t="s">
        <v>125</v>
      </c>
    </row>
    <row r="6401" spans="1:5">
      <c r="A6401" s="265">
        <v>46135</v>
      </c>
      <c r="B6401" s="147" t="s">
        <v>928</v>
      </c>
      <c r="C6401" s="43" t="s">
        <v>3827</v>
      </c>
      <c r="D6401" s="43">
        <v>-1</v>
      </c>
      <c r="E6401" s="1064" t="s">
        <v>125</v>
      </c>
    </row>
    <row r="6402" spans="1:5">
      <c r="A6402" s="265">
        <v>46136</v>
      </c>
      <c r="B6402" s="92" t="s">
        <v>76</v>
      </c>
      <c r="C6402" s="43" t="s">
        <v>2595</v>
      </c>
      <c r="D6402" s="43">
        <v>-4</v>
      </c>
      <c r="E6402" s="1064" t="s">
        <v>125</v>
      </c>
    </row>
    <row r="6403" spans="1:5">
      <c r="A6403" s="265">
        <v>46136</v>
      </c>
      <c r="B6403" s="92" t="s">
        <v>76</v>
      </c>
      <c r="C6403" s="43" t="s">
        <v>3832</v>
      </c>
      <c r="D6403" s="43">
        <v>-50</v>
      </c>
      <c r="E6403" s="1064" t="s">
        <v>125</v>
      </c>
    </row>
    <row r="6405" spans="1:5">
      <c r="A6405" s="346">
        <v>46135</v>
      </c>
      <c r="B6405" s="349" t="s">
        <v>1246</v>
      </c>
      <c r="C6405" s="348" t="s">
        <v>2093</v>
      </c>
      <c r="D6405" s="348">
        <v>5</v>
      </c>
      <c r="E6405" s="360" t="s">
        <v>125</v>
      </c>
    </row>
    <row r="6406" spans="1:5">
      <c r="A6406" s="346">
        <v>46135</v>
      </c>
      <c r="B6406" s="349" t="s">
        <v>1246</v>
      </c>
      <c r="C6406" s="348" t="s">
        <v>2093</v>
      </c>
      <c r="D6406" s="348">
        <v>3</v>
      </c>
      <c r="E6406" s="360" t="s">
        <v>125</v>
      </c>
    </row>
    <row r="6407" spans="1:5">
      <c r="A6407" s="346">
        <v>46135</v>
      </c>
      <c r="B6407" s="349" t="s">
        <v>1568</v>
      </c>
      <c r="C6407" s="348" t="s">
        <v>2093</v>
      </c>
      <c r="D6407" s="348">
        <v>4</v>
      </c>
      <c r="E6407" s="360" t="s">
        <v>125</v>
      </c>
    </row>
    <row r="6408" spans="1:5">
      <c r="A6408" s="346">
        <v>46135</v>
      </c>
      <c r="B6408" s="349" t="s">
        <v>1271</v>
      </c>
      <c r="C6408" s="348" t="s">
        <v>2093</v>
      </c>
      <c r="D6408" s="348">
        <v>9</v>
      </c>
      <c r="E6408" s="360" t="s">
        <v>125</v>
      </c>
    </row>
    <row r="6409" spans="1:5">
      <c r="A6409" s="346">
        <v>46135</v>
      </c>
      <c r="B6409" s="349" t="s">
        <v>1271</v>
      </c>
      <c r="C6409" s="348" t="s">
        <v>2093</v>
      </c>
      <c r="D6409" s="348">
        <v>1</v>
      </c>
      <c r="E6409" s="360" t="s">
        <v>125</v>
      </c>
    </row>
    <row r="6410" spans="1:5">
      <c r="A6410" s="346">
        <v>46135</v>
      </c>
      <c r="B6410" s="349" t="s">
        <v>1271</v>
      </c>
      <c r="C6410" s="348" t="s">
        <v>2093</v>
      </c>
      <c r="D6410" s="348">
        <v>4</v>
      </c>
      <c r="E6410" s="360" t="s">
        <v>125</v>
      </c>
    </row>
    <row r="6411" spans="1:5">
      <c r="A6411" s="346">
        <v>46135</v>
      </c>
      <c r="B6411" s="349" t="s">
        <v>1246</v>
      </c>
      <c r="C6411" s="348" t="s">
        <v>2093</v>
      </c>
      <c r="D6411" s="348">
        <v>9</v>
      </c>
      <c r="E6411" s="360" t="s">
        <v>125</v>
      </c>
    </row>
    <row r="6412" spans="1:5">
      <c r="A6412" s="346">
        <v>46135</v>
      </c>
      <c r="B6412" s="349" t="s">
        <v>4109</v>
      </c>
      <c r="C6412" s="348" t="s">
        <v>2093</v>
      </c>
      <c r="D6412" s="348">
        <v>2</v>
      </c>
      <c r="E6412" s="360" t="s">
        <v>125</v>
      </c>
    </row>
    <row r="6413" spans="1:5">
      <c r="A6413" s="346">
        <v>46135</v>
      </c>
      <c r="B6413" s="349" t="s">
        <v>1291</v>
      </c>
      <c r="C6413" s="348" t="s">
        <v>2093</v>
      </c>
      <c r="D6413" s="348">
        <v>5</v>
      </c>
      <c r="E6413" s="360" t="s">
        <v>125</v>
      </c>
    </row>
    <row r="6414" spans="1:5">
      <c r="A6414" s="346">
        <v>46135</v>
      </c>
      <c r="B6414" s="351" t="s">
        <v>932</v>
      </c>
      <c r="C6414" s="348" t="s">
        <v>2093</v>
      </c>
      <c r="D6414" s="348">
        <v>2</v>
      </c>
      <c r="E6414" s="360" t="s">
        <v>125</v>
      </c>
    </row>
    <row r="6415" spans="1:5">
      <c r="A6415" s="346">
        <v>46135</v>
      </c>
      <c r="B6415" s="349" t="s">
        <v>1326</v>
      </c>
      <c r="C6415" s="348" t="s">
        <v>2093</v>
      </c>
      <c r="D6415" s="348">
        <v>1</v>
      </c>
      <c r="E6415" s="360" t="s">
        <v>125</v>
      </c>
    </row>
    <row r="6416" spans="1:5">
      <c r="A6416" s="346">
        <v>46135</v>
      </c>
      <c r="B6416" s="349" t="s">
        <v>1641</v>
      </c>
      <c r="C6416" s="348" t="s">
        <v>2093</v>
      </c>
      <c r="D6416" s="348">
        <v>1</v>
      </c>
      <c r="E6416" s="360" t="s">
        <v>125</v>
      </c>
    </row>
    <row r="6417" spans="1:5">
      <c r="A6417" s="346">
        <v>46135</v>
      </c>
      <c r="B6417" s="349" t="s">
        <v>4108</v>
      </c>
      <c r="C6417" s="348" t="s">
        <v>2093</v>
      </c>
      <c r="D6417" s="348">
        <v>1</v>
      </c>
      <c r="E6417" s="360" t="s">
        <v>125</v>
      </c>
    </row>
    <row r="6418" spans="1:5">
      <c r="A6418" s="346">
        <v>46135</v>
      </c>
      <c r="B6418" s="349" t="s">
        <v>1491</v>
      </c>
      <c r="C6418" s="348" t="s">
        <v>2093</v>
      </c>
      <c r="D6418" s="348">
        <v>1</v>
      </c>
      <c r="E6418" s="360" t="s">
        <v>125</v>
      </c>
    </row>
    <row r="6420" spans="1:5">
      <c r="A6420" s="335">
        <v>46135</v>
      </c>
      <c r="B6420" s="343" t="s">
        <v>977</v>
      </c>
      <c r="C6420" s="345" t="s">
        <v>1656</v>
      </c>
      <c r="D6420" s="345">
        <v>-3</v>
      </c>
      <c r="E6420" s="1064" t="s">
        <v>125</v>
      </c>
    </row>
    <row r="6421" spans="1:5">
      <c r="A6421" s="335">
        <v>46135</v>
      </c>
      <c r="B6421" s="343" t="s">
        <v>154</v>
      </c>
      <c r="C6421" s="345" t="s">
        <v>1656</v>
      </c>
      <c r="D6421" s="345">
        <v>-5</v>
      </c>
      <c r="E6421" s="1064" t="s">
        <v>125</v>
      </c>
    </row>
    <row r="6422" spans="1:5">
      <c r="A6422" s="335">
        <v>46135</v>
      </c>
      <c r="B6422" s="342" t="s">
        <v>131</v>
      </c>
      <c r="C6422" s="345" t="s">
        <v>1656</v>
      </c>
      <c r="D6422" s="345">
        <v>-3</v>
      </c>
      <c r="E6422" s="1064" t="s">
        <v>125</v>
      </c>
    </row>
    <row r="6423" spans="1:5">
      <c r="A6423" s="335">
        <v>46135</v>
      </c>
      <c r="B6423" s="344" t="s">
        <v>375</v>
      </c>
      <c r="C6423" s="345" t="s">
        <v>1656</v>
      </c>
      <c r="D6423" s="345">
        <v>-4</v>
      </c>
      <c r="E6423" s="1064" t="s">
        <v>125</v>
      </c>
    </row>
    <row r="6424" spans="1:5">
      <c r="A6424" s="335">
        <v>46135</v>
      </c>
      <c r="B6424" s="344" t="s">
        <v>1716</v>
      </c>
      <c r="C6424" s="43" t="s">
        <v>1661</v>
      </c>
      <c r="D6424" s="43">
        <v>-1</v>
      </c>
      <c r="E6424" s="1064" t="s">
        <v>125</v>
      </c>
    </row>
    <row r="6426" spans="1:5">
      <c r="A6426" s="335">
        <v>46136</v>
      </c>
      <c r="B6426" s="343" t="s">
        <v>1291</v>
      </c>
      <c r="C6426" s="345" t="s">
        <v>2724</v>
      </c>
      <c r="D6426" s="345">
        <v>-4</v>
      </c>
      <c r="E6426" s="1064" t="s">
        <v>125</v>
      </c>
    </row>
    <row r="6427" spans="1:5">
      <c r="A6427" s="335">
        <v>46136</v>
      </c>
      <c r="B6427" s="343" t="s">
        <v>1291</v>
      </c>
      <c r="C6427" s="345" t="s">
        <v>2724</v>
      </c>
      <c r="D6427" s="345">
        <v>-9</v>
      </c>
      <c r="E6427" s="1064" t="s">
        <v>125</v>
      </c>
    </row>
    <row r="6428" spans="1:5">
      <c r="A6428" s="335">
        <v>46136</v>
      </c>
      <c r="B6428" s="343" t="s">
        <v>1291</v>
      </c>
      <c r="C6428" s="345" t="s">
        <v>2724</v>
      </c>
      <c r="D6428" s="345">
        <v>-1</v>
      </c>
      <c r="E6428" s="1064" t="s">
        <v>125</v>
      </c>
    </row>
    <row r="6429" spans="1:5">
      <c r="A6429" s="335">
        <v>46136</v>
      </c>
      <c r="B6429" s="343" t="s">
        <v>1334</v>
      </c>
      <c r="C6429" s="345" t="s">
        <v>2724</v>
      </c>
      <c r="D6429" s="345">
        <v>-4</v>
      </c>
      <c r="E6429" s="1064" t="s">
        <v>125</v>
      </c>
    </row>
    <row r="6430" spans="1:5">
      <c r="A6430" s="335">
        <v>46136</v>
      </c>
      <c r="B6430" s="342" t="s">
        <v>1387</v>
      </c>
      <c r="C6430" s="345" t="s">
        <v>2724</v>
      </c>
      <c r="D6430" s="345">
        <v>-1</v>
      </c>
      <c r="E6430" s="1064" t="s">
        <v>125</v>
      </c>
    </row>
    <row r="6431" spans="1:5">
      <c r="A6431" s="335">
        <v>46136</v>
      </c>
      <c r="B6431" s="343" t="s">
        <v>1490</v>
      </c>
      <c r="C6431" s="345" t="s">
        <v>2724</v>
      </c>
      <c r="D6431" s="345">
        <v>-5</v>
      </c>
      <c r="E6431" s="1064" t="s">
        <v>125</v>
      </c>
    </row>
    <row r="6432" spans="1:5">
      <c r="A6432" s="335">
        <v>46136</v>
      </c>
      <c r="B6432" s="343" t="s">
        <v>1490</v>
      </c>
      <c r="C6432" s="345" t="s">
        <v>2724</v>
      </c>
      <c r="D6432" s="345">
        <v>-1</v>
      </c>
      <c r="E6432" s="1064" t="s">
        <v>125</v>
      </c>
    </row>
    <row r="6433" spans="1:5">
      <c r="A6433" s="335">
        <v>46136</v>
      </c>
      <c r="B6433" s="343" t="s">
        <v>1491</v>
      </c>
      <c r="C6433" s="345" t="s">
        <v>2724</v>
      </c>
      <c r="D6433" s="345">
        <v>-1</v>
      </c>
      <c r="E6433" s="1064" t="s">
        <v>125</v>
      </c>
    </row>
    <row r="6434" spans="1:5">
      <c r="A6434" s="335">
        <v>46136</v>
      </c>
      <c r="B6434" s="343" t="s">
        <v>1096</v>
      </c>
      <c r="C6434" s="345" t="s">
        <v>2724</v>
      </c>
      <c r="D6434" s="345">
        <v>-4</v>
      </c>
      <c r="E6434" s="1064" t="s">
        <v>125</v>
      </c>
    </row>
    <row r="6436" spans="1:5">
      <c r="A6436" s="265">
        <v>46137</v>
      </c>
      <c r="B6436" s="343" t="s">
        <v>1246</v>
      </c>
      <c r="C6436" s="345" t="s">
        <v>3108</v>
      </c>
      <c r="D6436" s="345">
        <v>-2</v>
      </c>
      <c r="E6436" s="1064" t="s">
        <v>125</v>
      </c>
    </row>
    <row r="6437" spans="1:5">
      <c r="A6437" s="265">
        <v>46137</v>
      </c>
      <c r="B6437" s="343" t="s">
        <v>1271</v>
      </c>
      <c r="C6437" s="345" t="s">
        <v>2078</v>
      </c>
      <c r="D6437" s="345">
        <v>-3</v>
      </c>
      <c r="E6437" s="1064" t="s">
        <v>125</v>
      </c>
    </row>
    <row r="6438" spans="1:5">
      <c r="A6438" s="265">
        <v>46137</v>
      </c>
      <c r="B6438" s="92" t="s">
        <v>882</v>
      </c>
      <c r="C6438" s="43" t="s">
        <v>1613</v>
      </c>
      <c r="D6438" s="43">
        <v>-1</v>
      </c>
      <c r="E6438" s="1064" t="s">
        <v>125</v>
      </c>
    </row>
    <row r="6440" spans="1:5">
      <c r="A6440" s="323">
        <v>46135</v>
      </c>
      <c r="B6440" s="325" t="s">
        <v>1249</v>
      </c>
      <c r="C6440" s="322" t="s">
        <v>388</v>
      </c>
      <c r="D6440" s="322">
        <v>3</v>
      </c>
      <c r="E6440" s="321" t="s">
        <v>125</v>
      </c>
    </row>
    <row r="6441" spans="1:5">
      <c r="A6441" s="323">
        <v>46135</v>
      </c>
      <c r="B6441" s="325" t="s">
        <v>1246</v>
      </c>
      <c r="C6441" s="322" t="s">
        <v>388</v>
      </c>
      <c r="D6441" s="322">
        <v>1</v>
      </c>
      <c r="E6441" s="321" t="s">
        <v>125</v>
      </c>
    </row>
    <row r="6442" spans="1:5">
      <c r="A6442" s="323">
        <v>46135</v>
      </c>
      <c r="B6442" s="325" t="s">
        <v>1246</v>
      </c>
      <c r="C6442" s="322" t="s">
        <v>388</v>
      </c>
      <c r="D6442" s="322">
        <v>1</v>
      </c>
      <c r="E6442" s="321" t="s">
        <v>125</v>
      </c>
    </row>
    <row r="6443" spans="1:5">
      <c r="A6443" s="323">
        <v>46135</v>
      </c>
      <c r="B6443" s="325" t="s">
        <v>1271</v>
      </c>
      <c r="C6443" s="322" t="s">
        <v>388</v>
      </c>
      <c r="D6443" s="322">
        <v>3</v>
      </c>
      <c r="E6443" s="321" t="s">
        <v>125</v>
      </c>
    </row>
    <row r="6444" spans="1:5">
      <c r="A6444" s="323">
        <v>46135</v>
      </c>
      <c r="B6444" s="325" t="s">
        <v>1291</v>
      </c>
      <c r="C6444" s="322" t="s">
        <v>388</v>
      </c>
      <c r="D6444" s="322">
        <v>8</v>
      </c>
      <c r="E6444" s="321" t="s">
        <v>125</v>
      </c>
    </row>
    <row r="6445" spans="1:5">
      <c r="A6445" s="323">
        <v>46135</v>
      </c>
      <c r="B6445" s="325" t="s">
        <v>136</v>
      </c>
      <c r="C6445" s="322" t="s">
        <v>388</v>
      </c>
      <c r="D6445" s="322">
        <v>7</v>
      </c>
      <c r="E6445" s="321" t="s">
        <v>125</v>
      </c>
    </row>
    <row r="6446" spans="1:5">
      <c r="A6446" s="323">
        <v>46135</v>
      </c>
      <c r="B6446" s="325" t="s">
        <v>1312</v>
      </c>
      <c r="C6446" s="322" t="s">
        <v>388</v>
      </c>
      <c r="D6446" s="322">
        <v>6</v>
      </c>
      <c r="E6446" s="321" t="s">
        <v>125</v>
      </c>
    </row>
    <row r="6447" spans="1:5">
      <c r="A6447" s="323">
        <v>46135</v>
      </c>
      <c r="B6447" s="325" t="s">
        <v>1096</v>
      </c>
      <c r="C6447" s="322" t="s">
        <v>388</v>
      </c>
      <c r="D6447" s="322">
        <v>4</v>
      </c>
      <c r="E6447" s="321" t="s">
        <v>125</v>
      </c>
    </row>
    <row r="6448" spans="1:5">
      <c r="A6448" s="323">
        <v>46135</v>
      </c>
      <c r="B6448" s="324" t="s">
        <v>513</v>
      </c>
      <c r="C6448" s="322" t="s">
        <v>388</v>
      </c>
      <c r="D6448" s="322">
        <v>3</v>
      </c>
      <c r="E6448" s="321" t="s">
        <v>125</v>
      </c>
    </row>
    <row r="6449" spans="1:5">
      <c r="A6449" s="323">
        <v>46135</v>
      </c>
      <c r="B6449" s="325" t="s">
        <v>1409</v>
      </c>
      <c r="C6449" s="322" t="s">
        <v>388</v>
      </c>
      <c r="D6449" s="322">
        <v>18</v>
      </c>
      <c r="E6449" s="321" t="s">
        <v>125</v>
      </c>
    </row>
    <row r="6450" spans="1:5">
      <c r="A6450" s="323">
        <v>46135</v>
      </c>
      <c r="B6450" s="325" t="s">
        <v>1490</v>
      </c>
      <c r="C6450" s="322" t="s">
        <v>388</v>
      </c>
      <c r="D6450" s="322">
        <v>6</v>
      </c>
      <c r="E6450" s="321" t="s">
        <v>125</v>
      </c>
    </row>
    <row r="6451" spans="1:5">
      <c r="A6451" s="323">
        <v>46135</v>
      </c>
      <c r="B6451" s="325" t="s">
        <v>1334</v>
      </c>
      <c r="C6451" s="322" t="s">
        <v>388</v>
      </c>
      <c r="D6451" s="322">
        <v>4</v>
      </c>
      <c r="E6451" s="321" t="s">
        <v>125</v>
      </c>
    </row>
    <row r="6452" spans="1:5">
      <c r="A6452" s="323">
        <v>46135</v>
      </c>
      <c r="B6452" s="325" t="s">
        <v>1202</v>
      </c>
      <c r="C6452" s="322" t="s">
        <v>388</v>
      </c>
      <c r="D6452" s="322">
        <v>2</v>
      </c>
      <c r="E6452" s="321" t="s">
        <v>125</v>
      </c>
    </row>
    <row r="6453" spans="1:5">
      <c r="A6453" s="323">
        <v>46135</v>
      </c>
      <c r="B6453" s="325" t="s">
        <v>1095</v>
      </c>
      <c r="C6453" s="322" t="s">
        <v>388</v>
      </c>
      <c r="D6453" s="322">
        <v>1</v>
      </c>
      <c r="E6453" s="321" t="s">
        <v>125</v>
      </c>
    </row>
    <row r="6454" spans="1:5">
      <c r="A6454" s="323">
        <v>46135</v>
      </c>
      <c r="B6454" s="325" t="s">
        <v>1259</v>
      </c>
      <c r="C6454" s="322" t="s">
        <v>388</v>
      </c>
      <c r="D6454" s="322">
        <v>1</v>
      </c>
      <c r="E6454" s="321" t="s">
        <v>125</v>
      </c>
    </row>
    <row r="6455" spans="1:5">
      <c r="A6455" s="323">
        <v>46135</v>
      </c>
      <c r="B6455" s="425" t="s">
        <v>375</v>
      </c>
      <c r="C6455" s="322" t="s">
        <v>388</v>
      </c>
      <c r="D6455" s="322">
        <v>2</v>
      </c>
      <c r="E6455" s="321" t="s">
        <v>125</v>
      </c>
    </row>
    <row r="6456" spans="1:5">
      <c r="A6456" s="323">
        <v>46135</v>
      </c>
      <c r="B6456" s="325" t="s">
        <v>1326</v>
      </c>
      <c r="C6456" s="322" t="s">
        <v>388</v>
      </c>
      <c r="D6456" s="322">
        <v>2</v>
      </c>
      <c r="E6456" s="321" t="s">
        <v>125</v>
      </c>
    </row>
    <row r="6457" spans="1:5">
      <c r="A6457" s="323">
        <v>46135</v>
      </c>
      <c r="B6457" s="325" t="s">
        <v>1291</v>
      </c>
      <c r="C6457" s="322" t="s">
        <v>388</v>
      </c>
      <c r="D6457" s="322">
        <v>1</v>
      </c>
      <c r="E6457" s="321" t="s">
        <v>125</v>
      </c>
    </row>
    <row r="6458" spans="1:5">
      <c r="A6458" s="323">
        <v>46135</v>
      </c>
      <c r="B6458" s="325" t="s">
        <v>1246</v>
      </c>
      <c r="C6458" s="322" t="s">
        <v>388</v>
      </c>
      <c r="D6458" s="322">
        <v>2</v>
      </c>
      <c r="E6458" s="321" t="s">
        <v>125</v>
      </c>
    </row>
    <row r="6459" spans="1:5">
      <c r="A6459" s="323">
        <v>46135</v>
      </c>
      <c r="B6459" s="325" t="s">
        <v>1301</v>
      </c>
      <c r="C6459" s="322" t="s">
        <v>388</v>
      </c>
      <c r="D6459" s="322">
        <v>1</v>
      </c>
      <c r="E6459" s="321" t="s">
        <v>125</v>
      </c>
    </row>
    <row r="6460" spans="1:5">
      <c r="A6460" s="323">
        <v>46135</v>
      </c>
      <c r="B6460" s="324" t="s">
        <v>4463</v>
      </c>
      <c r="C6460" s="322" t="s">
        <v>388</v>
      </c>
      <c r="D6460" s="322">
        <v>2</v>
      </c>
      <c r="E6460" s="321" t="s">
        <v>125</v>
      </c>
    </row>
    <row r="6461" spans="1:5">
      <c r="A6461" s="323">
        <v>46135</v>
      </c>
      <c r="B6461" s="325" t="s">
        <v>1694</v>
      </c>
      <c r="C6461" s="322" t="s">
        <v>388</v>
      </c>
      <c r="D6461" s="322">
        <v>1</v>
      </c>
      <c r="E6461" s="321" t="s">
        <v>125</v>
      </c>
    </row>
    <row r="6462" spans="1:5">
      <c r="A6462" s="323">
        <v>46135</v>
      </c>
      <c r="B6462" s="325" t="s">
        <v>1694</v>
      </c>
      <c r="C6462" s="322" t="s">
        <v>388</v>
      </c>
      <c r="D6462" s="322">
        <v>1</v>
      </c>
      <c r="E6462" s="321" t="s">
        <v>125</v>
      </c>
    </row>
    <row r="6463" spans="1:5">
      <c r="A6463" s="323">
        <v>46135</v>
      </c>
      <c r="B6463" s="325" t="s">
        <v>169</v>
      </c>
      <c r="C6463" s="322" t="s">
        <v>388</v>
      </c>
      <c r="D6463" s="322">
        <v>1</v>
      </c>
      <c r="E6463" s="321" t="s">
        <v>125</v>
      </c>
    </row>
    <row r="6464" spans="1:5">
      <c r="A6464" s="323">
        <v>46135</v>
      </c>
      <c r="B6464" s="325" t="s">
        <v>1434</v>
      </c>
      <c r="C6464" s="322" t="s">
        <v>388</v>
      </c>
      <c r="D6464" s="322">
        <v>1</v>
      </c>
      <c r="E6464" s="321" t="s">
        <v>125</v>
      </c>
    </row>
    <row r="6465" spans="1:5">
      <c r="A6465" s="323">
        <v>46135</v>
      </c>
      <c r="B6465" s="325" t="s">
        <v>1641</v>
      </c>
      <c r="C6465" s="322" t="s">
        <v>388</v>
      </c>
      <c r="D6465" s="322">
        <v>5</v>
      </c>
      <c r="E6465" s="321" t="s">
        <v>125</v>
      </c>
    </row>
    <row r="6466" spans="1:5">
      <c r="A6466" s="323">
        <v>46135</v>
      </c>
      <c r="B6466" s="325" t="s">
        <v>1271</v>
      </c>
      <c r="C6466" s="322" t="s">
        <v>388</v>
      </c>
      <c r="D6466" s="322">
        <v>4</v>
      </c>
      <c r="E6466" s="321" t="s">
        <v>125</v>
      </c>
    </row>
    <row r="6467" spans="1:5">
      <c r="A6467" s="323">
        <v>46135</v>
      </c>
      <c r="B6467" s="325" t="s">
        <v>1301</v>
      </c>
      <c r="C6467" s="322" t="s">
        <v>388</v>
      </c>
      <c r="D6467" s="322">
        <v>3</v>
      </c>
      <c r="E6467" s="321" t="s">
        <v>125</v>
      </c>
    </row>
    <row r="6468" spans="1:5">
      <c r="A6468" s="323">
        <v>46135</v>
      </c>
      <c r="B6468" s="325" t="s">
        <v>1434</v>
      </c>
      <c r="C6468" s="322" t="s">
        <v>388</v>
      </c>
      <c r="D6468" s="322">
        <v>1</v>
      </c>
      <c r="E6468" s="321" t="s">
        <v>125</v>
      </c>
    </row>
    <row r="6469" spans="1:5">
      <c r="A6469" s="323">
        <v>46135</v>
      </c>
      <c r="B6469" s="325" t="s">
        <v>1568</v>
      </c>
      <c r="C6469" s="322" t="s">
        <v>388</v>
      </c>
      <c r="D6469" s="322">
        <v>1</v>
      </c>
      <c r="E6469" s="321" t="s">
        <v>125</v>
      </c>
    </row>
    <row r="6470" spans="1:5">
      <c r="A6470" s="323">
        <v>46135</v>
      </c>
      <c r="B6470" s="325" t="s">
        <v>1152</v>
      </c>
      <c r="C6470" s="322" t="s">
        <v>388</v>
      </c>
      <c r="D6470" s="322">
        <v>1</v>
      </c>
      <c r="E6470" s="321" t="s">
        <v>125</v>
      </c>
    </row>
    <row r="6471" spans="1:5">
      <c r="A6471" s="323">
        <v>46135</v>
      </c>
      <c r="B6471" s="324" t="s">
        <v>1397</v>
      </c>
      <c r="C6471" s="322" t="s">
        <v>388</v>
      </c>
      <c r="D6471" s="322">
        <v>1</v>
      </c>
      <c r="E6471" s="321" t="s">
        <v>125</v>
      </c>
    </row>
    <row r="6472" spans="1:5">
      <c r="A6472" s="323">
        <v>46135</v>
      </c>
      <c r="B6472" s="324" t="s">
        <v>4462</v>
      </c>
      <c r="C6472" s="322" t="s">
        <v>388</v>
      </c>
      <c r="D6472" s="322">
        <v>2</v>
      </c>
      <c r="E6472" s="321" t="s">
        <v>125</v>
      </c>
    </row>
    <row r="6473" spans="1:5">
      <c r="A6473" s="323">
        <v>46135</v>
      </c>
      <c r="B6473" s="324" t="s">
        <v>4459</v>
      </c>
      <c r="C6473" s="322" t="s">
        <v>388</v>
      </c>
      <c r="D6473" s="322">
        <v>1</v>
      </c>
      <c r="E6473" s="321" t="s">
        <v>125</v>
      </c>
    </row>
    <row r="6474" spans="1:5">
      <c r="A6474" s="323">
        <v>46135</v>
      </c>
      <c r="B6474" s="324" t="s">
        <v>4460</v>
      </c>
      <c r="C6474" s="322" t="s">
        <v>388</v>
      </c>
      <c r="D6474" s="322">
        <v>1</v>
      </c>
      <c r="E6474" s="321" t="s">
        <v>125</v>
      </c>
    </row>
    <row r="6475" spans="1:5">
      <c r="A6475" s="323">
        <v>46135</v>
      </c>
      <c r="B6475" s="425" t="s">
        <v>1716</v>
      </c>
      <c r="C6475" s="322" t="s">
        <v>388</v>
      </c>
      <c r="D6475" s="322">
        <v>1</v>
      </c>
      <c r="E6475" s="321" t="s">
        <v>125</v>
      </c>
    </row>
    <row r="6476" spans="1:5">
      <c r="A6476" s="323">
        <v>46135</v>
      </c>
      <c r="B6476" s="325" t="s">
        <v>2312</v>
      </c>
      <c r="C6476" s="322" t="s">
        <v>388</v>
      </c>
      <c r="D6476" s="322">
        <v>1</v>
      </c>
      <c r="E6476" s="321" t="s">
        <v>125</v>
      </c>
    </row>
    <row r="6477" spans="1:5">
      <c r="A6477" s="323">
        <v>46135</v>
      </c>
      <c r="B6477" s="324" t="s">
        <v>4461</v>
      </c>
      <c r="C6477" s="322" t="s">
        <v>388</v>
      </c>
      <c r="D6477" s="322">
        <v>1</v>
      </c>
      <c r="E6477" s="321" t="s">
        <v>125</v>
      </c>
    </row>
    <row r="6478" spans="1:5">
      <c r="A6478" s="323">
        <v>46135</v>
      </c>
      <c r="B6478" s="324" t="s">
        <v>1387</v>
      </c>
      <c r="C6478" s="322" t="s">
        <v>388</v>
      </c>
      <c r="D6478" s="322">
        <v>1</v>
      </c>
      <c r="E6478" s="321" t="s">
        <v>125</v>
      </c>
    </row>
    <row r="6479" spans="1:5">
      <c r="A6479" s="323">
        <v>46135</v>
      </c>
      <c r="B6479" s="324" t="s">
        <v>4466</v>
      </c>
      <c r="C6479" s="322" t="s">
        <v>388</v>
      </c>
      <c r="D6479" s="322">
        <v>1</v>
      </c>
      <c r="E6479" s="321" t="s">
        <v>125</v>
      </c>
    </row>
    <row r="6480" spans="1:5">
      <c r="A6480" s="323">
        <v>46135</v>
      </c>
      <c r="B6480" s="325" t="s">
        <v>1311</v>
      </c>
      <c r="C6480" s="322" t="s">
        <v>388</v>
      </c>
      <c r="D6480" s="322">
        <v>1</v>
      </c>
      <c r="E6480" s="321" t="s">
        <v>125</v>
      </c>
    </row>
    <row r="6481" spans="1:6">
      <c r="A6481" s="323">
        <v>46135</v>
      </c>
      <c r="B6481" s="325" t="s">
        <v>977</v>
      </c>
      <c r="C6481" s="322" t="s">
        <v>388</v>
      </c>
      <c r="D6481" s="322">
        <v>1</v>
      </c>
      <c r="E6481" s="321" t="s">
        <v>125</v>
      </c>
    </row>
    <row r="6482" spans="1:6">
      <c r="A6482" s="323">
        <v>46135</v>
      </c>
      <c r="B6482" s="425" t="s">
        <v>375</v>
      </c>
      <c r="C6482" s="322" t="s">
        <v>388</v>
      </c>
      <c r="D6482" s="322">
        <v>1</v>
      </c>
      <c r="E6482" s="321" t="s">
        <v>125</v>
      </c>
    </row>
    <row r="6483" spans="1:6">
      <c r="A6483" s="323">
        <v>46135</v>
      </c>
      <c r="B6483" s="324" t="s">
        <v>4465</v>
      </c>
      <c r="C6483" s="322" t="s">
        <v>388</v>
      </c>
      <c r="D6483" s="322">
        <v>1</v>
      </c>
      <c r="E6483" s="321" t="s">
        <v>125</v>
      </c>
    </row>
    <row r="6484" spans="1:6">
      <c r="A6484" s="323">
        <v>46135</v>
      </c>
      <c r="B6484" s="324" t="s">
        <v>4464</v>
      </c>
      <c r="C6484" s="322" t="s">
        <v>388</v>
      </c>
      <c r="D6484" s="322">
        <v>1</v>
      </c>
      <c r="E6484" s="321" t="s">
        <v>125</v>
      </c>
    </row>
    <row r="6486" spans="1:6">
      <c r="A6486" s="335">
        <v>46137</v>
      </c>
      <c r="B6486" s="342" t="s">
        <v>4459</v>
      </c>
      <c r="C6486" s="345" t="s">
        <v>3468</v>
      </c>
      <c r="D6486" s="345">
        <v>-1</v>
      </c>
      <c r="E6486" s="1064" t="s">
        <v>125</v>
      </c>
    </row>
    <row r="6487" spans="1:6">
      <c r="A6487" s="335">
        <v>46137</v>
      </c>
      <c r="B6487" s="343" t="s">
        <v>2312</v>
      </c>
      <c r="C6487" s="345" t="s">
        <v>3468</v>
      </c>
      <c r="D6487" s="43">
        <v>0</v>
      </c>
      <c r="E6487" s="1064" t="s">
        <v>125</v>
      </c>
      <c r="F6487" t="s">
        <v>676</v>
      </c>
    </row>
    <row r="6488" spans="1:6">
      <c r="A6488" s="335">
        <v>46137</v>
      </c>
      <c r="B6488" s="84" t="s">
        <v>4460</v>
      </c>
      <c r="C6488" s="345" t="s">
        <v>3468</v>
      </c>
      <c r="D6488" s="43">
        <v>-1</v>
      </c>
      <c r="E6488" s="1064" t="s">
        <v>125</v>
      </c>
    </row>
    <row r="6489" spans="1:6">
      <c r="A6489" s="335">
        <v>46137</v>
      </c>
      <c r="B6489" s="343" t="s">
        <v>1271</v>
      </c>
      <c r="C6489" s="345" t="s">
        <v>2406</v>
      </c>
      <c r="D6489" s="345">
        <v>-4</v>
      </c>
      <c r="E6489" s="1064" t="s">
        <v>125</v>
      </c>
    </row>
    <row r="6491" spans="1:6">
      <c r="A6491" s="335">
        <v>46137</v>
      </c>
      <c r="B6491" s="93" t="s">
        <v>1568</v>
      </c>
      <c r="C6491" s="43" t="s">
        <v>4467</v>
      </c>
      <c r="D6491" s="43">
        <v>5</v>
      </c>
      <c r="E6491" s="1064" t="s">
        <v>125</v>
      </c>
    </row>
    <row r="6493" spans="1:6">
      <c r="A6493" s="335">
        <v>46137</v>
      </c>
      <c r="B6493" s="343" t="s">
        <v>1291</v>
      </c>
      <c r="C6493" s="43" t="s">
        <v>2724</v>
      </c>
      <c r="D6493" s="43">
        <v>-7</v>
      </c>
      <c r="E6493" s="1064" t="s">
        <v>125</v>
      </c>
    </row>
    <row r="6494" spans="1:6">
      <c r="A6494" s="335">
        <v>46137</v>
      </c>
      <c r="B6494" s="343" t="s">
        <v>1291</v>
      </c>
      <c r="C6494" s="43" t="s">
        <v>2724</v>
      </c>
      <c r="D6494" s="43">
        <v>-1</v>
      </c>
      <c r="E6494" s="1064" t="s">
        <v>125</v>
      </c>
    </row>
    <row r="6495" spans="1:6">
      <c r="A6495" s="335">
        <v>46137</v>
      </c>
      <c r="B6495" s="104" t="s">
        <v>932</v>
      </c>
      <c r="C6495" s="43" t="s">
        <v>2929</v>
      </c>
      <c r="D6495" s="43">
        <v>-4</v>
      </c>
      <c r="E6495" s="1064" t="s">
        <v>125</v>
      </c>
    </row>
    <row r="6496" spans="1:6">
      <c r="A6496" s="335">
        <v>46137</v>
      </c>
      <c r="B6496" s="343" t="s">
        <v>4109</v>
      </c>
      <c r="C6496" s="43" t="s">
        <v>2929</v>
      </c>
      <c r="D6496" s="43">
        <v>-9</v>
      </c>
      <c r="E6496" s="1064" t="s">
        <v>125</v>
      </c>
    </row>
    <row r="6497" spans="1:5">
      <c r="A6497" s="335">
        <v>46137</v>
      </c>
      <c r="B6497" s="343" t="s">
        <v>4470</v>
      </c>
      <c r="C6497" s="43" t="s">
        <v>2929</v>
      </c>
      <c r="D6497" s="43">
        <v>-1</v>
      </c>
      <c r="E6497" s="1064" t="s">
        <v>125</v>
      </c>
    </row>
    <row r="6498" spans="1:5">
      <c r="A6498" s="335">
        <v>46137</v>
      </c>
      <c r="B6498" s="343" t="s">
        <v>1249</v>
      </c>
      <c r="C6498" s="43" t="s">
        <v>3108</v>
      </c>
      <c r="D6498" s="43">
        <v>-1</v>
      </c>
      <c r="E6498" s="1064" t="s">
        <v>125</v>
      </c>
    </row>
    <row r="6499" spans="1:5">
      <c r="A6499" s="335">
        <v>46137</v>
      </c>
      <c r="B6499" s="343" t="s">
        <v>1271</v>
      </c>
      <c r="C6499" s="345" t="s">
        <v>3826</v>
      </c>
      <c r="D6499" s="345">
        <v>-1</v>
      </c>
      <c r="E6499" s="1064" t="s">
        <v>125</v>
      </c>
    </row>
    <row r="6501" spans="1:5">
      <c r="A6501" s="265">
        <v>46139</v>
      </c>
      <c r="B6501" s="343" t="s">
        <v>1246</v>
      </c>
      <c r="C6501" s="43" t="s">
        <v>4471</v>
      </c>
      <c r="D6501" s="43">
        <v>-3</v>
      </c>
      <c r="E6501" s="1064" t="s">
        <v>125</v>
      </c>
    </row>
    <row r="6502" spans="1:5">
      <c r="A6502" s="265">
        <v>46139</v>
      </c>
      <c r="B6502" s="92" t="s">
        <v>76</v>
      </c>
      <c r="C6502" s="43" t="s">
        <v>3833</v>
      </c>
      <c r="D6502" s="43">
        <v>-6</v>
      </c>
      <c r="E6502" s="1064" t="s">
        <v>125</v>
      </c>
    </row>
    <row r="6503" spans="1:5">
      <c r="A6503" s="265">
        <v>46139</v>
      </c>
      <c r="B6503" s="343" t="s">
        <v>1326</v>
      </c>
      <c r="C6503" s="43" t="s">
        <v>4473</v>
      </c>
      <c r="D6503" s="43">
        <v>-7</v>
      </c>
      <c r="E6503" s="1064" t="s">
        <v>125</v>
      </c>
    </row>
    <row r="6504" spans="1:5">
      <c r="A6504" s="265">
        <v>46139</v>
      </c>
      <c r="B6504" s="343" t="s">
        <v>2321</v>
      </c>
      <c r="C6504" s="43" t="s">
        <v>4473</v>
      </c>
      <c r="D6504" s="43">
        <v>-1</v>
      </c>
      <c r="E6504" s="1064" t="s">
        <v>125</v>
      </c>
    </row>
    <row r="6505" spans="1:5">
      <c r="A6505" s="265">
        <v>46139</v>
      </c>
      <c r="B6505" s="92" t="s">
        <v>76</v>
      </c>
      <c r="C6505" s="43" t="s">
        <v>1603</v>
      </c>
      <c r="D6505" s="43">
        <v>-10</v>
      </c>
      <c r="E6505" s="1064" t="s">
        <v>125</v>
      </c>
    </row>
    <row r="6506" spans="1:5">
      <c r="A6506" s="265">
        <v>46139</v>
      </c>
      <c r="B6506" s="343" t="s">
        <v>1301</v>
      </c>
      <c r="C6506" s="43" t="s">
        <v>4474</v>
      </c>
      <c r="D6506" s="43">
        <v>-3</v>
      </c>
      <c r="E6506" s="1064" t="s">
        <v>125</v>
      </c>
    </row>
    <row r="6507" spans="1:5">
      <c r="A6507" s="265">
        <v>46139</v>
      </c>
      <c r="B6507" s="92" t="s">
        <v>76</v>
      </c>
      <c r="C6507" s="43" t="s">
        <v>1603</v>
      </c>
      <c r="D6507" s="43">
        <v>-50</v>
      </c>
      <c r="E6507" s="1064" t="s">
        <v>125</v>
      </c>
    </row>
    <row r="6508" spans="1:5">
      <c r="A6508" s="265">
        <v>46139</v>
      </c>
      <c r="B6508" s="92" t="s">
        <v>76</v>
      </c>
      <c r="C6508" s="43" t="s">
        <v>3832</v>
      </c>
      <c r="D6508" s="43">
        <v>-82</v>
      </c>
      <c r="E6508" s="1064" t="s">
        <v>125</v>
      </c>
    </row>
    <row r="6509" spans="1:5">
      <c r="A6509" s="335">
        <v>46139</v>
      </c>
      <c r="B6509" s="343" t="s">
        <v>1641</v>
      </c>
      <c r="C6509" s="345" t="s">
        <v>4500</v>
      </c>
      <c r="D6509" s="345">
        <v>-8</v>
      </c>
      <c r="E6509" s="1064" t="s">
        <v>125</v>
      </c>
    </row>
    <row r="6510" spans="1:5">
      <c r="A6510" s="335">
        <v>46139</v>
      </c>
      <c r="B6510" s="343" t="s">
        <v>1641</v>
      </c>
      <c r="C6510" s="345" t="s">
        <v>4500</v>
      </c>
      <c r="D6510" s="345">
        <v>-2</v>
      </c>
      <c r="E6510" s="1064" t="s">
        <v>125</v>
      </c>
    </row>
    <row r="6511" spans="1:5">
      <c r="A6511" s="335">
        <v>46139</v>
      </c>
      <c r="B6511" s="343" t="s">
        <v>1640</v>
      </c>
      <c r="C6511" s="345" t="s">
        <v>4500</v>
      </c>
      <c r="D6511" s="345">
        <v>-1</v>
      </c>
      <c r="E6511" s="1064" t="s">
        <v>125</v>
      </c>
    </row>
    <row r="6512" spans="1:5">
      <c r="A6512" s="335">
        <v>46139</v>
      </c>
      <c r="B6512" s="343" t="s">
        <v>1568</v>
      </c>
      <c r="C6512" s="345" t="s">
        <v>4500</v>
      </c>
      <c r="D6512" s="345">
        <v>-8</v>
      </c>
      <c r="E6512" s="1064" t="s">
        <v>125</v>
      </c>
    </row>
    <row r="6513" spans="1:5">
      <c r="A6513" s="335">
        <v>46139</v>
      </c>
      <c r="B6513" s="343" t="s">
        <v>2143</v>
      </c>
      <c r="C6513" s="345" t="s">
        <v>4500</v>
      </c>
      <c r="D6513" s="345">
        <v>-1</v>
      </c>
      <c r="E6513" s="1064" t="s">
        <v>125</v>
      </c>
    </row>
    <row r="6514" spans="1:5">
      <c r="A6514" s="335">
        <v>46139</v>
      </c>
      <c r="B6514" s="343" t="s">
        <v>4108</v>
      </c>
      <c r="C6514" s="345" t="s">
        <v>4500</v>
      </c>
      <c r="D6514" s="345">
        <v>-6</v>
      </c>
      <c r="E6514" s="1064" t="s">
        <v>125</v>
      </c>
    </row>
    <row r="6515" spans="1:5">
      <c r="A6515" s="335">
        <v>46139</v>
      </c>
      <c r="B6515" s="343" t="s">
        <v>1259</v>
      </c>
      <c r="C6515" s="345" t="s">
        <v>4500</v>
      </c>
      <c r="D6515" s="345">
        <v>-1</v>
      </c>
      <c r="E6515" s="1064" t="s">
        <v>125</v>
      </c>
    </row>
    <row r="6516" spans="1:5">
      <c r="A6516" s="335">
        <v>46139</v>
      </c>
      <c r="B6516" s="343" t="s">
        <v>1095</v>
      </c>
      <c r="C6516" s="345" t="s">
        <v>4500</v>
      </c>
      <c r="D6516" s="345">
        <v>-1</v>
      </c>
      <c r="E6516" s="1064" t="s">
        <v>125</v>
      </c>
    </row>
    <row r="6517" spans="1:5">
      <c r="A6517" s="335">
        <v>46139</v>
      </c>
      <c r="B6517" s="343" t="s">
        <v>1202</v>
      </c>
      <c r="C6517" s="345" t="s">
        <v>4500</v>
      </c>
      <c r="D6517" s="345">
        <v>-2</v>
      </c>
      <c r="E6517" s="1064" t="s">
        <v>125</v>
      </c>
    </row>
    <row r="6518" spans="1:5">
      <c r="A6518" s="335">
        <v>46139</v>
      </c>
      <c r="B6518" s="343" t="s">
        <v>976</v>
      </c>
      <c r="C6518" s="345" t="s">
        <v>4500</v>
      </c>
      <c r="D6518" s="345">
        <v>-1</v>
      </c>
      <c r="E6518" s="1064" t="s">
        <v>125</v>
      </c>
    </row>
    <row r="6519" spans="1:5">
      <c r="A6519" s="335">
        <v>46139</v>
      </c>
      <c r="B6519" s="342" t="s">
        <v>1397</v>
      </c>
      <c r="C6519" s="345" t="s">
        <v>4500</v>
      </c>
      <c r="D6519" s="345">
        <v>-1</v>
      </c>
      <c r="E6519" s="1064" t="s">
        <v>125</v>
      </c>
    </row>
    <row r="6520" spans="1:5">
      <c r="A6520" s="335">
        <v>46139</v>
      </c>
      <c r="B6520" s="342" t="s">
        <v>4465</v>
      </c>
      <c r="C6520" s="345" t="s">
        <v>4500</v>
      </c>
      <c r="D6520" s="345">
        <v>-1</v>
      </c>
      <c r="E6520" s="1064" t="s">
        <v>125</v>
      </c>
    </row>
    <row r="6521" spans="1:5">
      <c r="A6521" s="335">
        <v>46139</v>
      </c>
      <c r="B6521" s="342" t="s">
        <v>4498</v>
      </c>
      <c r="C6521" s="345" t="s">
        <v>4500</v>
      </c>
      <c r="D6521" s="345">
        <v>-1</v>
      </c>
      <c r="E6521" s="1064" t="s">
        <v>125</v>
      </c>
    </row>
    <row r="6522" spans="1:5">
      <c r="A6522" s="335">
        <v>46139</v>
      </c>
      <c r="B6522" s="343" t="s">
        <v>1152</v>
      </c>
      <c r="C6522" s="345" t="s">
        <v>4500</v>
      </c>
      <c r="D6522" s="43">
        <v>-4</v>
      </c>
      <c r="E6522" s="1064" t="s">
        <v>125</v>
      </c>
    </row>
    <row r="6523" spans="1:5">
      <c r="A6523" s="335">
        <v>46139</v>
      </c>
      <c r="B6523" s="84" t="s">
        <v>919</v>
      </c>
      <c r="C6523" s="345" t="s">
        <v>4500</v>
      </c>
      <c r="D6523" s="43">
        <v>-1</v>
      </c>
      <c r="E6523" s="1064" t="s">
        <v>125</v>
      </c>
    </row>
    <row r="6524" spans="1:5">
      <c r="A6524" s="335">
        <v>46139</v>
      </c>
      <c r="B6524" s="343" t="s">
        <v>1313</v>
      </c>
      <c r="C6524" s="345" t="s">
        <v>4500</v>
      </c>
      <c r="D6524" s="43">
        <v>-1</v>
      </c>
      <c r="E6524" s="1064" t="s">
        <v>125</v>
      </c>
    </row>
    <row r="6525" spans="1:5">
      <c r="A6525" s="335">
        <v>46139</v>
      </c>
      <c r="B6525" s="93" t="s">
        <v>3011</v>
      </c>
      <c r="C6525" s="345" t="s">
        <v>4500</v>
      </c>
      <c r="D6525" s="43">
        <v>-1</v>
      </c>
      <c r="E6525" s="1064" t="s">
        <v>125</v>
      </c>
    </row>
    <row r="6527" spans="1:5">
      <c r="A6527" s="265">
        <v>46140</v>
      </c>
      <c r="B6527" s="343" t="s">
        <v>4109</v>
      </c>
      <c r="C6527" s="43" t="s">
        <v>4501</v>
      </c>
      <c r="D6527" s="43">
        <v>-2</v>
      </c>
      <c r="E6527" s="1064" t="s">
        <v>125</v>
      </c>
    </row>
    <row r="6528" spans="1:5">
      <c r="A6528" s="265">
        <v>46140</v>
      </c>
      <c r="B6528" s="104" t="s">
        <v>932</v>
      </c>
      <c r="C6528" s="43" t="s">
        <v>4501</v>
      </c>
      <c r="D6528" s="43">
        <v>-2</v>
      </c>
      <c r="E6528" s="1064" t="s">
        <v>125</v>
      </c>
    </row>
    <row r="6530" spans="1:6">
      <c r="A6530" s="346">
        <v>46136</v>
      </c>
      <c r="B6530" s="349" t="s">
        <v>1246</v>
      </c>
      <c r="C6530" s="348" t="s">
        <v>2093</v>
      </c>
      <c r="D6530" s="348">
        <v>8</v>
      </c>
      <c r="E6530" s="360" t="s">
        <v>125</v>
      </c>
      <c r="F6530" t="s">
        <v>4502</v>
      </c>
    </row>
    <row r="6531" spans="1:6">
      <c r="A6531" s="346">
        <v>46136</v>
      </c>
      <c r="B6531" s="349" t="s">
        <v>1249</v>
      </c>
      <c r="C6531" s="348" t="s">
        <v>2093</v>
      </c>
      <c r="D6531" s="348">
        <v>3</v>
      </c>
      <c r="E6531" s="360" t="s">
        <v>125</v>
      </c>
    </row>
    <row r="6532" spans="1:6">
      <c r="A6532" s="346">
        <v>46136</v>
      </c>
      <c r="B6532" s="349" t="s">
        <v>1246</v>
      </c>
      <c r="C6532" s="348" t="s">
        <v>2093</v>
      </c>
      <c r="D6532" s="348">
        <v>7</v>
      </c>
      <c r="E6532" s="360" t="s">
        <v>125</v>
      </c>
    </row>
    <row r="6533" spans="1:6">
      <c r="A6533" s="346">
        <v>46136</v>
      </c>
      <c r="B6533" s="349" t="s">
        <v>1246</v>
      </c>
      <c r="C6533" s="348" t="s">
        <v>2093</v>
      </c>
      <c r="D6533" s="348">
        <v>2</v>
      </c>
      <c r="E6533" s="360" t="s">
        <v>125</v>
      </c>
    </row>
    <row r="6534" spans="1:6">
      <c r="A6534" s="346">
        <v>46136</v>
      </c>
      <c r="B6534" s="349" t="s">
        <v>1271</v>
      </c>
      <c r="C6534" s="348" t="s">
        <v>2093</v>
      </c>
      <c r="D6534" s="348">
        <v>5</v>
      </c>
      <c r="E6534" s="360" t="s">
        <v>125</v>
      </c>
    </row>
    <row r="6535" spans="1:6">
      <c r="A6535" s="346">
        <v>46136</v>
      </c>
      <c r="B6535" s="349" t="s">
        <v>4109</v>
      </c>
      <c r="C6535" s="348" t="s">
        <v>2093</v>
      </c>
      <c r="D6535" s="348">
        <v>9</v>
      </c>
      <c r="E6535" s="360" t="s">
        <v>125</v>
      </c>
    </row>
    <row r="6536" spans="1:6">
      <c r="A6536" s="346">
        <v>46136</v>
      </c>
      <c r="B6536" s="349" t="s">
        <v>1291</v>
      </c>
      <c r="C6536" s="348" t="s">
        <v>2093</v>
      </c>
      <c r="D6536" s="348">
        <v>8</v>
      </c>
      <c r="E6536" s="360" t="s">
        <v>125</v>
      </c>
    </row>
    <row r="6537" spans="1:6">
      <c r="A6537" s="346">
        <v>46136</v>
      </c>
      <c r="B6537" s="349" t="s">
        <v>1326</v>
      </c>
      <c r="C6537" s="348" t="s">
        <v>2093</v>
      </c>
      <c r="D6537" s="348">
        <v>2</v>
      </c>
      <c r="E6537" s="360" t="s">
        <v>125</v>
      </c>
    </row>
    <row r="6538" spans="1:6">
      <c r="A6538" s="346">
        <v>46136</v>
      </c>
      <c r="B6538" s="351" t="s">
        <v>932</v>
      </c>
      <c r="C6538" s="348" t="s">
        <v>2093</v>
      </c>
      <c r="D6538" s="348">
        <v>4</v>
      </c>
      <c r="E6538" s="360" t="s">
        <v>125</v>
      </c>
    </row>
    <row r="6539" spans="1:6">
      <c r="A6539" s="346">
        <v>46136</v>
      </c>
      <c r="B6539" s="349" t="s">
        <v>4108</v>
      </c>
      <c r="C6539" s="348" t="s">
        <v>2093</v>
      </c>
      <c r="D6539" s="348">
        <v>3</v>
      </c>
      <c r="E6539" s="360" t="s">
        <v>125</v>
      </c>
    </row>
    <row r="6540" spans="1:6">
      <c r="A6540" s="346">
        <v>46136</v>
      </c>
      <c r="B6540" s="349" t="s">
        <v>1301</v>
      </c>
      <c r="C6540" s="348" t="s">
        <v>2093</v>
      </c>
      <c r="D6540" s="348">
        <v>1</v>
      </c>
      <c r="E6540" s="360" t="s">
        <v>125</v>
      </c>
    </row>
    <row r="6541" spans="1:6">
      <c r="A6541" s="346">
        <v>46136</v>
      </c>
      <c r="B6541" s="349" t="s">
        <v>1271</v>
      </c>
      <c r="C6541" s="348" t="s">
        <v>2093</v>
      </c>
      <c r="D6541" s="348">
        <v>1</v>
      </c>
      <c r="E6541" s="360" t="s">
        <v>125</v>
      </c>
    </row>
    <row r="6542" spans="1:6">
      <c r="A6542" s="346">
        <v>46136</v>
      </c>
      <c r="B6542" s="349" t="s">
        <v>1641</v>
      </c>
      <c r="C6542" s="348" t="s">
        <v>2093</v>
      </c>
      <c r="D6542" s="348">
        <v>4</v>
      </c>
      <c r="E6542" s="360" t="s">
        <v>125</v>
      </c>
    </row>
    <row r="6543" spans="1:6">
      <c r="A6543" s="346">
        <v>46136</v>
      </c>
      <c r="B6543" s="349" t="s">
        <v>1568</v>
      </c>
      <c r="C6543" s="348" t="s">
        <v>2093</v>
      </c>
      <c r="D6543" s="348">
        <v>3</v>
      </c>
      <c r="E6543" s="360" t="s">
        <v>125</v>
      </c>
    </row>
    <row r="6544" spans="1:6">
      <c r="A6544" s="346">
        <v>46136</v>
      </c>
      <c r="B6544" s="349" t="s">
        <v>4470</v>
      </c>
      <c r="C6544" s="348" t="s">
        <v>2093</v>
      </c>
      <c r="D6544" s="348">
        <v>1</v>
      </c>
      <c r="E6544" s="360" t="s">
        <v>125</v>
      </c>
    </row>
    <row r="6545" spans="1:5">
      <c r="A6545" s="346">
        <v>46136</v>
      </c>
      <c r="B6545" s="347" t="s">
        <v>4498</v>
      </c>
      <c r="C6545" s="348" t="s">
        <v>2093</v>
      </c>
      <c r="D6545" s="348">
        <v>1</v>
      </c>
      <c r="E6545" s="360" t="s">
        <v>125</v>
      </c>
    </row>
    <row r="6547" spans="1:5">
      <c r="A6547" s="330">
        <v>46132</v>
      </c>
      <c r="B6547" s="329" t="s">
        <v>4124</v>
      </c>
      <c r="C6547" s="328" t="s">
        <v>4509</v>
      </c>
      <c r="D6547" s="328">
        <v>1</v>
      </c>
      <c r="E6547" s="331" t="s">
        <v>125</v>
      </c>
    </row>
    <row r="6548" spans="1:5">
      <c r="A6548" s="330">
        <v>46132</v>
      </c>
      <c r="B6548" s="329" t="s">
        <v>4503</v>
      </c>
      <c r="C6548" s="328" t="s">
        <v>4509</v>
      </c>
      <c r="D6548" s="328">
        <v>1</v>
      </c>
      <c r="E6548" s="331" t="s">
        <v>125</v>
      </c>
    </row>
    <row r="6549" spans="1:5">
      <c r="A6549" s="330">
        <v>46132</v>
      </c>
      <c r="B6549" s="327" t="s">
        <v>671</v>
      </c>
      <c r="C6549" s="328" t="s">
        <v>4509</v>
      </c>
      <c r="D6549" s="328">
        <v>5</v>
      </c>
      <c r="E6549" s="331" t="s">
        <v>125</v>
      </c>
    </row>
    <row r="6550" spans="1:5">
      <c r="A6550" s="330">
        <v>46134</v>
      </c>
      <c r="B6550" s="329" t="s">
        <v>839</v>
      </c>
      <c r="C6550" s="328" t="s">
        <v>4509</v>
      </c>
      <c r="D6550" s="328">
        <v>10</v>
      </c>
      <c r="E6550" s="331" t="s">
        <v>125</v>
      </c>
    </row>
    <row r="6551" spans="1:5">
      <c r="A6551" s="330">
        <v>46136</v>
      </c>
      <c r="B6551" s="329" t="s">
        <v>839</v>
      </c>
      <c r="C6551" s="328" t="s">
        <v>4509</v>
      </c>
      <c r="D6551" s="328">
        <v>10</v>
      </c>
      <c r="E6551" s="331" t="s">
        <v>125</v>
      </c>
    </row>
    <row r="6552" spans="1:5">
      <c r="A6552" s="330">
        <v>46136</v>
      </c>
      <c r="B6552" s="329" t="s">
        <v>839</v>
      </c>
      <c r="C6552" s="328" t="s">
        <v>4509</v>
      </c>
      <c r="D6552" s="328">
        <v>10</v>
      </c>
      <c r="E6552" s="331" t="s">
        <v>125</v>
      </c>
    </row>
    <row r="6554" spans="1:5">
      <c r="A6554" s="272">
        <v>46138</v>
      </c>
      <c r="B6554" s="139" t="s">
        <v>1246</v>
      </c>
      <c r="C6554" s="106" t="s">
        <v>4519</v>
      </c>
      <c r="D6554" s="106">
        <v>2</v>
      </c>
      <c r="E6554" s="94" t="s">
        <v>125</v>
      </c>
    </row>
    <row r="6555" spans="1:5">
      <c r="A6555" s="272">
        <v>46138</v>
      </c>
      <c r="B6555" s="139" t="s">
        <v>1246</v>
      </c>
      <c r="C6555" s="106" t="s">
        <v>4519</v>
      </c>
      <c r="D6555" s="106">
        <v>2</v>
      </c>
      <c r="E6555" s="94" t="s">
        <v>125</v>
      </c>
    </row>
    <row r="6556" spans="1:5">
      <c r="A6556" s="272">
        <v>46138</v>
      </c>
      <c r="B6556" s="128" t="s">
        <v>76</v>
      </c>
      <c r="C6556" s="106" t="s">
        <v>4519</v>
      </c>
      <c r="D6556" s="106">
        <v>1</v>
      </c>
      <c r="E6556" s="94" t="s">
        <v>125</v>
      </c>
    </row>
    <row r="6557" spans="1:5">
      <c r="A6557" s="272">
        <v>46138</v>
      </c>
      <c r="B6557" s="139" t="s">
        <v>1270</v>
      </c>
      <c r="C6557" s="106" t="s">
        <v>4519</v>
      </c>
      <c r="D6557" s="106">
        <v>1</v>
      </c>
      <c r="E6557" s="94" t="s">
        <v>125</v>
      </c>
    </row>
    <row r="6558" spans="1:5">
      <c r="A6558" s="272">
        <v>46138</v>
      </c>
      <c r="B6558" s="233" t="s">
        <v>375</v>
      </c>
      <c r="C6558" s="106" t="s">
        <v>4519</v>
      </c>
      <c r="D6558" s="106">
        <v>1</v>
      </c>
      <c r="E6558" s="94" t="s">
        <v>125</v>
      </c>
    </row>
    <row r="6559" spans="1:5">
      <c r="A6559" s="272">
        <v>46139</v>
      </c>
      <c r="B6559" s="139" t="s">
        <v>1246</v>
      </c>
      <c r="C6559" s="106" t="s">
        <v>4519</v>
      </c>
      <c r="D6559" s="106">
        <v>2</v>
      </c>
      <c r="E6559" s="94" t="s">
        <v>125</v>
      </c>
    </row>
    <row r="6560" spans="1:5">
      <c r="A6560" s="272">
        <v>46139</v>
      </c>
      <c r="B6560" s="233" t="s">
        <v>375</v>
      </c>
      <c r="C6560" s="106" t="s">
        <v>4519</v>
      </c>
      <c r="D6560" s="106">
        <v>1</v>
      </c>
      <c r="E6560" s="94" t="s">
        <v>125</v>
      </c>
    </row>
    <row r="6561" spans="1:5">
      <c r="A6561" s="272">
        <v>46139</v>
      </c>
      <c r="B6561" s="128" t="s">
        <v>672</v>
      </c>
      <c r="C6561" s="106" t="s">
        <v>4519</v>
      </c>
      <c r="D6561" s="106">
        <v>1</v>
      </c>
      <c r="E6561" s="94" t="s">
        <v>125</v>
      </c>
    </row>
    <row r="6562" spans="1:5">
      <c r="A6562" s="272">
        <v>46139</v>
      </c>
      <c r="B6562" s="128" t="s">
        <v>76</v>
      </c>
      <c r="C6562" s="106" t="s">
        <v>4519</v>
      </c>
      <c r="D6562" s="106">
        <v>1</v>
      </c>
      <c r="E6562" s="94" t="s">
        <v>125</v>
      </c>
    </row>
    <row r="6563" spans="1:5">
      <c r="A6563" s="272">
        <v>46139</v>
      </c>
      <c r="B6563" s="139" t="s">
        <v>1575</v>
      </c>
      <c r="C6563" s="106" t="s">
        <v>4519</v>
      </c>
      <c r="D6563" s="106">
        <v>11</v>
      </c>
      <c r="E6563" s="94" t="s">
        <v>125</v>
      </c>
    </row>
    <row r="6564" spans="1:5">
      <c r="A6564" s="272">
        <v>46139</v>
      </c>
      <c r="B6564" s="139" t="s">
        <v>1246</v>
      </c>
      <c r="C6564" s="106" t="s">
        <v>4519</v>
      </c>
      <c r="D6564" s="106">
        <v>2</v>
      </c>
      <c r="E6564" s="94" t="s">
        <v>125</v>
      </c>
    </row>
    <row r="6565" spans="1:5">
      <c r="A6565" s="272">
        <v>46139</v>
      </c>
      <c r="B6565" s="128" t="s">
        <v>672</v>
      </c>
      <c r="C6565" s="106" t="s">
        <v>4519</v>
      </c>
      <c r="D6565" s="106">
        <v>1</v>
      </c>
      <c r="E6565" s="94" t="s">
        <v>125</v>
      </c>
    </row>
    <row r="6566" spans="1:5">
      <c r="A6566" s="272">
        <v>46139</v>
      </c>
      <c r="B6566" s="233" t="s">
        <v>375</v>
      </c>
      <c r="C6566" s="106" t="s">
        <v>4519</v>
      </c>
      <c r="D6566" s="106">
        <v>1</v>
      </c>
      <c r="E6566" s="94" t="s">
        <v>125</v>
      </c>
    </row>
    <row r="6567" spans="1:5">
      <c r="A6567" s="272">
        <v>46139</v>
      </c>
      <c r="B6567" s="139" t="s">
        <v>1246</v>
      </c>
      <c r="C6567" s="106" t="s">
        <v>4519</v>
      </c>
      <c r="D6567" s="106">
        <v>2</v>
      </c>
      <c r="E6567" s="94" t="s">
        <v>125</v>
      </c>
    </row>
    <row r="6568" spans="1:5">
      <c r="A6568" s="272">
        <v>46139</v>
      </c>
      <c r="B6568" s="128" t="s">
        <v>76</v>
      </c>
      <c r="C6568" s="106" t="s">
        <v>4519</v>
      </c>
      <c r="D6568" s="106">
        <v>1</v>
      </c>
      <c r="E6568" s="94" t="s">
        <v>125</v>
      </c>
    </row>
    <row r="6569" spans="1:5">
      <c r="A6569" s="272">
        <v>46139</v>
      </c>
      <c r="B6569" s="128" t="s">
        <v>672</v>
      </c>
      <c r="C6569" s="106" t="s">
        <v>4519</v>
      </c>
      <c r="D6569" s="106">
        <v>1</v>
      </c>
      <c r="E6569" s="94" t="s">
        <v>125</v>
      </c>
    </row>
    <row r="6570" spans="1:5">
      <c r="A6570" s="272">
        <v>46139</v>
      </c>
      <c r="B6570" s="139" t="s">
        <v>1246</v>
      </c>
      <c r="C6570" s="106" t="s">
        <v>4519</v>
      </c>
      <c r="D6570" s="106">
        <v>3</v>
      </c>
      <c r="E6570" s="94" t="s">
        <v>125</v>
      </c>
    </row>
    <row r="6571" spans="1:5">
      <c r="A6571" s="272">
        <v>46139</v>
      </c>
      <c r="B6571" s="139" t="s">
        <v>1246</v>
      </c>
      <c r="C6571" s="106" t="s">
        <v>4519</v>
      </c>
      <c r="D6571" s="106">
        <v>3</v>
      </c>
      <c r="E6571" s="94" t="s">
        <v>125</v>
      </c>
    </row>
    <row r="6573" spans="1:5">
      <c r="A6573" s="272">
        <v>46132</v>
      </c>
      <c r="B6573" s="139" t="s">
        <v>4124</v>
      </c>
      <c r="C6573" s="106" t="s">
        <v>4535</v>
      </c>
      <c r="D6573" s="106">
        <v>4</v>
      </c>
      <c r="E6573" s="94" t="s">
        <v>125</v>
      </c>
    </row>
    <row r="6574" spans="1:5">
      <c r="A6574" s="272">
        <v>46132</v>
      </c>
      <c r="B6574" s="139" t="s">
        <v>4124</v>
      </c>
      <c r="C6574" s="106" t="s">
        <v>4535</v>
      </c>
      <c r="D6574" s="106">
        <v>2</v>
      </c>
      <c r="E6574" s="94" t="s">
        <v>125</v>
      </c>
    </row>
    <row r="6575" spans="1:5">
      <c r="A6575" s="272">
        <v>46132</v>
      </c>
      <c r="B6575" s="139" t="s">
        <v>4124</v>
      </c>
      <c r="C6575" s="106" t="s">
        <v>4535</v>
      </c>
      <c r="D6575" s="106">
        <v>4</v>
      </c>
      <c r="E6575" s="94" t="s">
        <v>125</v>
      </c>
    </row>
    <row r="6576" spans="1:5">
      <c r="A6576" s="272">
        <v>46133</v>
      </c>
      <c r="B6576" s="139" t="s">
        <v>4124</v>
      </c>
      <c r="C6576" s="106" t="s">
        <v>4535</v>
      </c>
      <c r="D6576" s="106">
        <v>2</v>
      </c>
      <c r="E6576" s="94" t="s">
        <v>125</v>
      </c>
    </row>
    <row r="6577" spans="1:5">
      <c r="A6577" s="272">
        <v>46134</v>
      </c>
      <c r="B6577" s="139" t="s">
        <v>4124</v>
      </c>
      <c r="C6577" s="106" t="s">
        <v>4535</v>
      </c>
      <c r="D6577" s="106">
        <v>2</v>
      </c>
      <c r="E6577" s="94" t="s">
        <v>125</v>
      </c>
    </row>
    <row r="6578" spans="1:5">
      <c r="A6578" s="272">
        <v>46133</v>
      </c>
      <c r="B6578" s="139" t="s">
        <v>4124</v>
      </c>
      <c r="C6578" s="106" t="s">
        <v>4535</v>
      </c>
      <c r="D6578" s="106">
        <v>10</v>
      </c>
      <c r="E6578" s="94" t="s">
        <v>125</v>
      </c>
    </row>
    <row r="6579" spans="1:5">
      <c r="A6579" s="272">
        <v>46136</v>
      </c>
      <c r="B6579" s="128" t="s">
        <v>76</v>
      </c>
      <c r="C6579" s="106" t="s">
        <v>4535</v>
      </c>
      <c r="D6579" s="106">
        <v>32</v>
      </c>
      <c r="E6579" s="94" t="s">
        <v>125</v>
      </c>
    </row>
    <row r="6580" spans="1:5">
      <c r="A6580" s="272">
        <v>46137</v>
      </c>
      <c r="B6580" s="128" t="s">
        <v>76</v>
      </c>
      <c r="C6580" s="106" t="s">
        <v>4535</v>
      </c>
      <c r="D6580" s="106">
        <v>4</v>
      </c>
      <c r="E6580" s="94" t="s">
        <v>125</v>
      </c>
    </row>
    <row r="6581" spans="1:5">
      <c r="A6581" s="272">
        <v>46138</v>
      </c>
      <c r="B6581" s="139" t="s">
        <v>4124</v>
      </c>
      <c r="C6581" s="106" t="s">
        <v>4535</v>
      </c>
      <c r="D6581" s="106">
        <v>2</v>
      </c>
      <c r="E6581" s="94" t="s">
        <v>125</v>
      </c>
    </row>
    <row r="6582" spans="1:5">
      <c r="A6582" s="272">
        <v>46138</v>
      </c>
      <c r="B6582" s="139" t="s">
        <v>4124</v>
      </c>
      <c r="C6582" s="106" t="s">
        <v>4535</v>
      </c>
      <c r="D6582" s="106">
        <v>2</v>
      </c>
      <c r="E6582" s="94" t="s">
        <v>125</v>
      </c>
    </row>
    <row r="6583" spans="1:5">
      <c r="A6583" s="272">
        <v>46138</v>
      </c>
      <c r="B6583" s="139" t="s">
        <v>4124</v>
      </c>
      <c r="C6583" s="106" t="s">
        <v>4535</v>
      </c>
      <c r="D6583" s="106">
        <v>2</v>
      </c>
      <c r="E6583" s="94" t="s">
        <v>125</v>
      </c>
    </row>
    <row r="6584" spans="1:5">
      <c r="A6584" s="272">
        <v>46138</v>
      </c>
      <c r="B6584" s="139" t="s">
        <v>4124</v>
      </c>
      <c r="C6584" s="106" t="s">
        <v>4535</v>
      </c>
      <c r="D6584" s="106">
        <v>2</v>
      </c>
      <c r="E6584" s="94" t="s">
        <v>125</v>
      </c>
    </row>
    <row r="6585" spans="1:5">
      <c r="A6585" s="272">
        <v>46138</v>
      </c>
      <c r="B6585" s="139" t="s">
        <v>4124</v>
      </c>
      <c r="C6585" s="106" t="s">
        <v>4535</v>
      </c>
      <c r="D6585" s="106">
        <v>2</v>
      </c>
      <c r="E6585" s="94" t="s">
        <v>125</v>
      </c>
    </row>
    <row r="6586" spans="1:5">
      <c r="A6586" s="272">
        <v>46138</v>
      </c>
      <c r="B6586" s="139" t="s">
        <v>4124</v>
      </c>
      <c r="C6586" s="106" t="s">
        <v>4535</v>
      </c>
      <c r="D6586" s="106">
        <v>2</v>
      </c>
      <c r="E6586" s="94" t="s">
        <v>125</v>
      </c>
    </row>
    <row r="6587" spans="1:5">
      <c r="A6587" s="272">
        <v>46138</v>
      </c>
      <c r="B6587" s="139" t="s">
        <v>4124</v>
      </c>
      <c r="C6587" s="106" t="s">
        <v>4535</v>
      </c>
      <c r="D6587" s="106">
        <v>2</v>
      </c>
      <c r="E6587" s="94" t="s">
        <v>125</v>
      </c>
    </row>
    <row r="6588" spans="1:5">
      <c r="A6588" s="272">
        <v>46138</v>
      </c>
      <c r="B6588" s="139" t="s">
        <v>4124</v>
      </c>
      <c r="C6588" s="106" t="s">
        <v>4535</v>
      </c>
      <c r="D6588" s="106">
        <v>2</v>
      </c>
      <c r="E6588" s="94" t="s">
        <v>125</v>
      </c>
    </row>
    <row r="6589" spans="1:5">
      <c r="A6589" s="272">
        <v>46138</v>
      </c>
      <c r="B6589" s="128" t="s">
        <v>76</v>
      </c>
      <c r="C6589" s="106" t="s">
        <v>4535</v>
      </c>
      <c r="D6589" s="106">
        <v>5</v>
      </c>
      <c r="E6589" s="94" t="s">
        <v>125</v>
      </c>
    </row>
    <row r="6590" spans="1:5">
      <c r="A6590" s="272">
        <v>46139</v>
      </c>
      <c r="B6590" s="128" t="s">
        <v>76</v>
      </c>
      <c r="C6590" s="106" t="s">
        <v>4535</v>
      </c>
      <c r="D6590" s="106">
        <v>3</v>
      </c>
      <c r="E6590" s="94" t="s">
        <v>125</v>
      </c>
    </row>
    <row r="6591" spans="1:5">
      <c r="A6591" s="272">
        <v>46139</v>
      </c>
      <c r="B6591" s="128" t="s">
        <v>671</v>
      </c>
      <c r="C6591" s="106" t="s">
        <v>4535</v>
      </c>
      <c r="D6591" s="106">
        <v>1</v>
      </c>
      <c r="E6591" s="94" t="s">
        <v>125</v>
      </c>
    </row>
    <row r="6592" spans="1:5">
      <c r="A6592" s="272">
        <v>46139</v>
      </c>
      <c r="B6592" s="139" t="s">
        <v>839</v>
      </c>
      <c r="C6592" s="106" t="s">
        <v>4535</v>
      </c>
      <c r="D6592" s="106">
        <v>1</v>
      </c>
      <c r="E6592" s="94" t="s">
        <v>125</v>
      </c>
    </row>
    <row r="6593" spans="1:5">
      <c r="A6593" s="272">
        <v>46139</v>
      </c>
      <c r="B6593" s="128" t="s">
        <v>76</v>
      </c>
      <c r="C6593" s="106" t="s">
        <v>4535</v>
      </c>
      <c r="D6593" s="106">
        <v>1</v>
      </c>
      <c r="E6593" s="94" t="s">
        <v>125</v>
      </c>
    </row>
    <row r="6595" spans="1:5">
      <c r="A6595" s="335">
        <v>46139</v>
      </c>
      <c r="B6595" s="341" t="s">
        <v>76</v>
      </c>
      <c r="C6595" s="345" t="s">
        <v>1603</v>
      </c>
      <c r="D6595" s="345">
        <v>-10</v>
      </c>
      <c r="E6595" s="1064" t="s">
        <v>125</v>
      </c>
    </row>
    <row r="6597" spans="1:5">
      <c r="A6597" s="323">
        <v>46141</v>
      </c>
      <c r="B6597" s="325" t="s">
        <v>3927</v>
      </c>
      <c r="C6597" s="322" t="s">
        <v>4538</v>
      </c>
      <c r="D6597" s="322">
        <v>-3</v>
      </c>
      <c r="E6597" s="321" t="s">
        <v>125</v>
      </c>
    </row>
    <row r="6598" spans="1:5">
      <c r="A6598" s="323">
        <v>46141</v>
      </c>
      <c r="B6598" s="324" t="s">
        <v>4466</v>
      </c>
      <c r="C6598" s="322" t="s">
        <v>4538</v>
      </c>
      <c r="D6598" s="322">
        <v>-1</v>
      </c>
      <c r="E6598" s="321" t="s">
        <v>125</v>
      </c>
    </row>
    <row r="6599" spans="1:5">
      <c r="A6599" s="323">
        <v>46141</v>
      </c>
      <c r="B6599" s="325" t="s">
        <v>4286</v>
      </c>
      <c r="C6599" s="322" t="s">
        <v>4538</v>
      </c>
      <c r="D6599" s="322">
        <v>-2</v>
      </c>
      <c r="E6599" s="321" t="s">
        <v>125</v>
      </c>
    </row>
    <row r="6600" spans="1:5">
      <c r="A6600" s="323">
        <v>46141</v>
      </c>
      <c r="B6600" s="325" t="s">
        <v>2646</v>
      </c>
      <c r="C6600" s="322" t="s">
        <v>4538</v>
      </c>
      <c r="D6600" s="322">
        <v>-1</v>
      </c>
      <c r="E6600" s="321" t="s">
        <v>125</v>
      </c>
    </row>
    <row r="6601" spans="1:5">
      <c r="A6601" s="323">
        <v>46141</v>
      </c>
      <c r="B6601" s="324" t="s">
        <v>1994</v>
      </c>
      <c r="C6601" s="322" t="s">
        <v>4538</v>
      </c>
      <c r="D6601" s="322">
        <v>-1</v>
      </c>
      <c r="E6601" s="321" t="s">
        <v>125</v>
      </c>
    </row>
    <row r="6602" spans="1:5">
      <c r="A6602" s="323">
        <v>46141</v>
      </c>
      <c r="B6602" s="325" t="s">
        <v>1152</v>
      </c>
      <c r="C6602" s="322" t="s">
        <v>4538</v>
      </c>
      <c r="D6602" s="322">
        <v>-1</v>
      </c>
      <c r="E6602" s="321" t="s">
        <v>125</v>
      </c>
    </row>
    <row r="6604" spans="1:5">
      <c r="A6604" s="335">
        <v>46141</v>
      </c>
      <c r="B6604" s="343" t="s">
        <v>1246</v>
      </c>
      <c r="C6604" s="345" t="s">
        <v>3823</v>
      </c>
      <c r="D6604" s="345">
        <v>-2</v>
      </c>
      <c r="E6604" s="1064" t="s">
        <v>125</v>
      </c>
    </row>
    <row r="6605" spans="1:5">
      <c r="A6605" s="335">
        <v>46141</v>
      </c>
      <c r="B6605" s="84" t="s">
        <v>134</v>
      </c>
      <c r="C6605" s="43" t="s">
        <v>4539</v>
      </c>
      <c r="D6605" s="43">
        <v>-1</v>
      </c>
      <c r="E6605" s="1064" t="s">
        <v>125</v>
      </c>
    </row>
    <row r="6606" spans="1:5">
      <c r="A6606" s="335">
        <v>46141</v>
      </c>
      <c r="B6606" s="343" t="s">
        <v>1246</v>
      </c>
      <c r="C6606" s="43" t="s">
        <v>3826</v>
      </c>
      <c r="D6606" s="43">
        <v>-1</v>
      </c>
      <c r="E6606" s="1064" t="s">
        <v>125</v>
      </c>
    </row>
    <row r="6608" spans="1:5">
      <c r="A6608" s="265">
        <v>46142</v>
      </c>
      <c r="B6608" s="343" t="s">
        <v>1246</v>
      </c>
      <c r="C6608" s="43" t="s">
        <v>4540</v>
      </c>
      <c r="D6608" s="43">
        <v>-1</v>
      </c>
      <c r="E6608" s="1064" t="s">
        <v>125</v>
      </c>
    </row>
    <row r="6609" spans="1:5">
      <c r="A6609" s="265">
        <v>46142</v>
      </c>
      <c r="B6609" s="343" t="s">
        <v>1246</v>
      </c>
      <c r="C6609" s="43" t="s">
        <v>4540</v>
      </c>
      <c r="D6609" s="43">
        <v>-1</v>
      </c>
      <c r="E6609" s="1064" t="s">
        <v>125</v>
      </c>
    </row>
    <row r="6611" spans="1:5">
      <c r="A6611" s="323">
        <v>46139</v>
      </c>
      <c r="B6611" s="425" t="s">
        <v>375</v>
      </c>
      <c r="C6611" s="322" t="s">
        <v>388</v>
      </c>
      <c r="D6611" s="322">
        <v>5</v>
      </c>
      <c r="E6611" s="321" t="s">
        <v>125</v>
      </c>
    </row>
    <row r="6612" spans="1:5">
      <c r="A6612" s="323">
        <v>46139</v>
      </c>
      <c r="B6612" s="325" t="s">
        <v>1334</v>
      </c>
      <c r="C6612" s="322" t="s">
        <v>388</v>
      </c>
      <c r="D6612" s="322">
        <v>1</v>
      </c>
      <c r="E6612" s="321" t="s">
        <v>125</v>
      </c>
    </row>
    <row r="6613" spans="1:5">
      <c r="A6613" s="323">
        <v>46139</v>
      </c>
      <c r="B6613" s="325" t="s">
        <v>1095</v>
      </c>
      <c r="C6613" s="322" t="s">
        <v>388</v>
      </c>
      <c r="D6613" s="322">
        <v>3</v>
      </c>
      <c r="E6613" s="321" t="s">
        <v>125</v>
      </c>
    </row>
    <row r="6614" spans="1:5">
      <c r="A6614" s="323">
        <v>46139</v>
      </c>
      <c r="B6614" s="325" t="s">
        <v>1202</v>
      </c>
      <c r="C6614" s="322" t="s">
        <v>388</v>
      </c>
      <c r="D6614" s="322">
        <v>2</v>
      </c>
      <c r="E6614" s="321" t="s">
        <v>125</v>
      </c>
    </row>
    <row r="6615" spans="1:5">
      <c r="A6615" s="323">
        <v>46139</v>
      </c>
      <c r="B6615" s="325" t="s">
        <v>1327</v>
      </c>
      <c r="C6615" s="322" t="s">
        <v>388</v>
      </c>
      <c r="D6615" s="322">
        <v>1</v>
      </c>
      <c r="E6615" s="321" t="s">
        <v>125</v>
      </c>
    </row>
    <row r="6616" spans="1:5">
      <c r="A6616" s="323">
        <v>46139</v>
      </c>
      <c r="B6616" s="325" t="s">
        <v>1434</v>
      </c>
      <c r="C6616" s="322" t="s">
        <v>388</v>
      </c>
      <c r="D6616" s="322">
        <v>1</v>
      </c>
      <c r="E6616" s="321" t="s">
        <v>125</v>
      </c>
    </row>
    <row r="6617" spans="1:5">
      <c r="A6617" s="323">
        <v>46139</v>
      </c>
      <c r="B6617" s="325" t="s">
        <v>1326</v>
      </c>
      <c r="C6617" s="322" t="s">
        <v>388</v>
      </c>
      <c r="D6617" s="322">
        <v>1</v>
      </c>
      <c r="E6617" s="321" t="s">
        <v>125</v>
      </c>
    </row>
    <row r="6618" spans="1:5">
      <c r="A6618" s="323">
        <v>46139</v>
      </c>
      <c r="B6618" s="325" t="s">
        <v>1326</v>
      </c>
      <c r="C6618" s="322" t="s">
        <v>388</v>
      </c>
      <c r="D6618" s="322">
        <v>1</v>
      </c>
      <c r="E6618" s="321" t="s">
        <v>125</v>
      </c>
    </row>
    <row r="6619" spans="1:5">
      <c r="A6619" s="323">
        <v>46139</v>
      </c>
      <c r="B6619" s="325" t="s">
        <v>1271</v>
      </c>
      <c r="C6619" s="322" t="s">
        <v>388</v>
      </c>
      <c r="D6619" s="322">
        <v>14</v>
      </c>
      <c r="E6619" s="321" t="s">
        <v>125</v>
      </c>
    </row>
    <row r="6620" spans="1:5">
      <c r="A6620" s="323">
        <v>46139</v>
      </c>
      <c r="B6620" s="325" t="s">
        <v>4108</v>
      </c>
      <c r="C6620" s="322" t="s">
        <v>388</v>
      </c>
      <c r="D6620" s="322">
        <v>1</v>
      </c>
      <c r="E6620" s="321" t="s">
        <v>125</v>
      </c>
    </row>
    <row r="6621" spans="1:5">
      <c r="A6621" s="323">
        <v>46139</v>
      </c>
      <c r="B6621" s="325" t="s">
        <v>1246</v>
      </c>
      <c r="C6621" s="322" t="s">
        <v>388</v>
      </c>
      <c r="D6621" s="322">
        <v>1</v>
      </c>
      <c r="E6621" s="321" t="s">
        <v>125</v>
      </c>
    </row>
    <row r="6622" spans="1:5">
      <c r="A6622" s="323">
        <v>46139</v>
      </c>
      <c r="B6622" s="325" t="s">
        <v>1246</v>
      </c>
      <c r="C6622" s="322" t="s">
        <v>388</v>
      </c>
      <c r="D6622" s="322">
        <v>9</v>
      </c>
      <c r="E6622" s="321" t="s">
        <v>125</v>
      </c>
    </row>
    <row r="6623" spans="1:5">
      <c r="A6623" s="323">
        <v>46139</v>
      </c>
      <c r="B6623" s="325" t="s">
        <v>1246</v>
      </c>
      <c r="C6623" s="322" t="s">
        <v>388</v>
      </c>
      <c r="D6623" s="322">
        <v>11</v>
      </c>
      <c r="E6623" s="321" t="s">
        <v>125</v>
      </c>
    </row>
    <row r="6624" spans="1:5">
      <c r="A6624" s="323">
        <v>46139</v>
      </c>
      <c r="B6624" s="325" t="s">
        <v>1246</v>
      </c>
      <c r="C6624" s="322" t="s">
        <v>388</v>
      </c>
      <c r="D6624" s="322">
        <v>10</v>
      </c>
      <c r="E6624" s="321" t="s">
        <v>125</v>
      </c>
    </row>
    <row r="6625" spans="1:5">
      <c r="A6625" s="323">
        <v>46139</v>
      </c>
      <c r="B6625" s="324" t="s">
        <v>4461</v>
      </c>
      <c r="C6625" s="322" t="s">
        <v>388</v>
      </c>
      <c r="D6625" s="322">
        <v>2</v>
      </c>
      <c r="E6625" s="321" t="s">
        <v>125</v>
      </c>
    </row>
    <row r="6626" spans="1:5">
      <c r="A6626" s="323">
        <v>46139</v>
      </c>
      <c r="B6626" s="325" t="s">
        <v>1271</v>
      </c>
      <c r="C6626" s="322" t="s">
        <v>388</v>
      </c>
      <c r="D6626" s="322">
        <v>1</v>
      </c>
      <c r="E6626" s="321" t="s">
        <v>125</v>
      </c>
    </row>
    <row r="6627" spans="1:5">
      <c r="A6627" s="323">
        <v>46139</v>
      </c>
      <c r="B6627" s="324" t="s">
        <v>1994</v>
      </c>
      <c r="C6627" s="322" t="s">
        <v>388</v>
      </c>
      <c r="D6627" s="322">
        <v>1</v>
      </c>
      <c r="E6627" s="321" t="s">
        <v>125</v>
      </c>
    </row>
    <row r="6628" spans="1:5">
      <c r="A6628" s="323">
        <v>46139</v>
      </c>
      <c r="B6628" s="325" t="s">
        <v>1271</v>
      </c>
      <c r="C6628" s="322" t="s">
        <v>388</v>
      </c>
      <c r="D6628" s="322">
        <v>4</v>
      </c>
      <c r="E6628" s="321" t="s">
        <v>125</v>
      </c>
    </row>
    <row r="6629" spans="1:5">
      <c r="A6629" s="323">
        <v>46139</v>
      </c>
      <c r="B6629" s="325" t="s">
        <v>1246</v>
      </c>
      <c r="C6629" s="322" t="s">
        <v>388</v>
      </c>
      <c r="D6629" s="322">
        <v>2</v>
      </c>
      <c r="E6629" s="321" t="s">
        <v>125</v>
      </c>
    </row>
    <row r="6630" spans="1:5">
      <c r="A6630" s="323">
        <v>46139</v>
      </c>
      <c r="B6630" s="325" t="s">
        <v>1246</v>
      </c>
      <c r="C6630" s="322" t="s">
        <v>388</v>
      </c>
      <c r="D6630" s="322">
        <v>2</v>
      </c>
      <c r="E6630" s="321" t="s">
        <v>125</v>
      </c>
    </row>
    <row r="6631" spans="1:5">
      <c r="A6631" s="323">
        <v>46139</v>
      </c>
      <c r="B6631" s="325" t="s">
        <v>1301</v>
      </c>
      <c r="C6631" s="322" t="s">
        <v>388</v>
      </c>
      <c r="D6631" s="322">
        <v>4</v>
      </c>
      <c r="E6631" s="321" t="s">
        <v>125</v>
      </c>
    </row>
    <row r="6632" spans="1:5">
      <c r="A6632" s="323">
        <v>46139</v>
      </c>
      <c r="B6632" s="325" t="s">
        <v>4565</v>
      </c>
      <c r="C6632" s="322" t="s">
        <v>388</v>
      </c>
      <c r="D6632" s="322">
        <v>1</v>
      </c>
      <c r="E6632" s="321" t="s">
        <v>125</v>
      </c>
    </row>
    <row r="6634" spans="1:5">
      <c r="A6634" s="335">
        <v>46140</v>
      </c>
      <c r="B6634" s="343" t="s">
        <v>1271</v>
      </c>
      <c r="C6634" s="345" t="s">
        <v>3004</v>
      </c>
      <c r="D6634" s="345">
        <v>-2</v>
      </c>
      <c r="E6634" s="1064" t="s">
        <v>125</v>
      </c>
    </row>
    <row r="6635" spans="1:5">
      <c r="A6635" s="335">
        <v>46140</v>
      </c>
      <c r="B6635" s="343" t="s">
        <v>1246</v>
      </c>
      <c r="C6635" s="364" t="s">
        <v>3004</v>
      </c>
      <c r="D6635" s="361">
        <v>-2</v>
      </c>
      <c r="E6635" s="1064" t="s">
        <v>125</v>
      </c>
    </row>
    <row r="6636" spans="1:5">
      <c r="A6636" s="335">
        <v>46140</v>
      </c>
      <c r="B6636" s="343" t="s">
        <v>1246</v>
      </c>
      <c r="C6636" s="43" t="s">
        <v>1805</v>
      </c>
      <c r="D6636" s="43">
        <v>-5</v>
      </c>
      <c r="E6636" s="1064" t="s">
        <v>125</v>
      </c>
    </row>
    <row r="6638" spans="1:5">
      <c r="A6638" s="323">
        <v>46140</v>
      </c>
      <c r="B6638" s="325" t="s">
        <v>1409</v>
      </c>
      <c r="C6638" s="322" t="s">
        <v>388</v>
      </c>
      <c r="D6638" s="322">
        <v>3</v>
      </c>
      <c r="E6638" s="321" t="s">
        <v>125</v>
      </c>
    </row>
    <row r="6639" spans="1:5">
      <c r="A6639" s="323">
        <v>46140</v>
      </c>
      <c r="B6639" s="325" t="s">
        <v>1491</v>
      </c>
      <c r="C6639" s="322" t="s">
        <v>388</v>
      </c>
      <c r="D6639" s="322">
        <v>1</v>
      </c>
      <c r="E6639" s="321" t="s">
        <v>125</v>
      </c>
    </row>
    <row r="6640" spans="1:5">
      <c r="A6640" s="323">
        <v>46140</v>
      </c>
      <c r="B6640" s="325" t="s">
        <v>1318</v>
      </c>
      <c r="C6640" s="322" t="s">
        <v>388</v>
      </c>
      <c r="D6640" s="322">
        <v>2</v>
      </c>
      <c r="E6640" s="321" t="s">
        <v>125</v>
      </c>
    </row>
    <row r="6641" spans="1:5">
      <c r="A6641" s="323">
        <v>46140</v>
      </c>
      <c r="B6641" s="324" t="s">
        <v>1387</v>
      </c>
      <c r="C6641" s="322" t="s">
        <v>388</v>
      </c>
      <c r="D6641" s="322">
        <v>1</v>
      </c>
      <c r="E6641" s="321" t="s">
        <v>125</v>
      </c>
    </row>
    <row r="6642" spans="1:5">
      <c r="A6642" s="323">
        <v>46140</v>
      </c>
      <c r="B6642" s="325" t="s">
        <v>1334</v>
      </c>
      <c r="C6642" s="322" t="s">
        <v>388</v>
      </c>
      <c r="D6642" s="322">
        <v>2</v>
      </c>
      <c r="E6642" s="321" t="s">
        <v>125</v>
      </c>
    </row>
    <row r="6643" spans="1:5">
      <c r="A6643" s="323">
        <v>46140</v>
      </c>
      <c r="B6643" s="325" t="s">
        <v>1326</v>
      </c>
      <c r="C6643" s="322" t="s">
        <v>388</v>
      </c>
      <c r="D6643" s="322">
        <v>2</v>
      </c>
      <c r="E6643" s="321" t="s">
        <v>125</v>
      </c>
    </row>
    <row r="6644" spans="1:5">
      <c r="A6644" s="323">
        <v>46140</v>
      </c>
      <c r="B6644" s="325" t="s">
        <v>4108</v>
      </c>
      <c r="C6644" s="322" t="s">
        <v>388</v>
      </c>
      <c r="D6644" s="322">
        <v>1</v>
      </c>
      <c r="E6644" s="321" t="s">
        <v>125</v>
      </c>
    </row>
    <row r="6645" spans="1:5">
      <c r="A6645" s="323">
        <v>46140</v>
      </c>
      <c r="B6645" s="325" t="s">
        <v>1271</v>
      </c>
      <c r="C6645" s="322" t="s">
        <v>388</v>
      </c>
      <c r="D6645" s="322">
        <v>2</v>
      </c>
      <c r="E6645" s="321" t="s">
        <v>125</v>
      </c>
    </row>
    <row r="6646" spans="1:5">
      <c r="A6646" s="323">
        <v>46140</v>
      </c>
      <c r="B6646" s="325" t="s">
        <v>1246</v>
      </c>
      <c r="C6646" s="322" t="s">
        <v>388</v>
      </c>
      <c r="D6646" s="322">
        <v>2</v>
      </c>
      <c r="E6646" s="321" t="s">
        <v>125</v>
      </c>
    </row>
    <row r="6647" spans="1:5">
      <c r="A6647" s="323">
        <v>46140</v>
      </c>
      <c r="B6647" s="325" t="s">
        <v>1246</v>
      </c>
      <c r="C6647" s="322" t="s">
        <v>388</v>
      </c>
      <c r="D6647" s="322">
        <v>25</v>
      </c>
      <c r="E6647" s="321" t="s">
        <v>125</v>
      </c>
    </row>
    <row r="6648" spans="1:5">
      <c r="A6648" s="323">
        <v>46140</v>
      </c>
      <c r="B6648" s="325" t="s">
        <v>1246</v>
      </c>
      <c r="C6648" s="322" t="s">
        <v>388</v>
      </c>
      <c r="D6648" s="322">
        <v>9</v>
      </c>
      <c r="E6648" s="321" t="s">
        <v>125</v>
      </c>
    </row>
    <row r="6649" spans="1:5">
      <c r="A6649" s="323">
        <v>46140</v>
      </c>
      <c r="B6649" s="324" t="s">
        <v>4461</v>
      </c>
      <c r="C6649" s="322" t="s">
        <v>388</v>
      </c>
      <c r="D6649" s="322">
        <v>1</v>
      </c>
      <c r="E6649" s="321" t="s">
        <v>125</v>
      </c>
    </row>
    <row r="6650" spans="1:5">
      <c r="A6650" s="323">
        <v>46140</v>
      </c>
      <c r="B6650" s="325" t="s">
        <v>1641</v>
      </c>
      <c r="C6650" s="322" t="s">
        <v>388</v>
      </c>
      <c r="D6650" s="322">
        <v>1</v>
      </c>
      <c r="E6650" s="321" t="s">
        <v>125</v>
      </c>
    </row>
    <row r="6651" spans="1:5">
      <c r="A6651" s="323">
        <v>46140</v>
      </c>
      <c r="B6651" s="325" t="s">
        <v>1568</v>
      </c>
      <c r="C6651" s="322" t="s">
        <v>388</v>
      </c>
      <c r="D6651" s="322">
        <v>3</v>
      </c>
      <c r="E6651" s="321" t="s">
        <v>125</v>
      </c>
    </row>
    <row r="6652" spans="1:5">
      <c r="A6652" s="323">
        <v>46140</v>
      </c>
      <c r="B6652" s="325" t="s">
        <v>1246</v>
      </c>
      <c r="C6652" s="322" t="s">
        <v>388</v>
      </c>
      <c r="D6652" s="322">
        <v>6</v>
      </c>
      <c r="E6652" s="321" t="s">
        <v>125</v>
      </c>
    </row>
    <row r="6653" spans="1:5">
      <c r="A6653" s="323">
        <v>46140</v>
      </c>
      <c r="B6653" s="325" t="s">
        <v>1407</v>
      </c>
      <c r="C6653" s="322" t="s">
        <v>388</v>
      </c>
      <c r="D6653" s="322">
        <v>1</v>
      </c>
      <c r="E6653" s="321" t="s">
        <v>125</v>
      </c>
    </row>
    <row r="6654" spans="1:5">
      <c r="A6654" s="323">
        <v>46140</v>
      </c>
      <c r="B6654" s="325" t="s">
        <v>2646</v>
      </c>
      <c r="C6654" s="322" t="s">
        <v>388</v>
      </c>
      <c r="D6654" s="322">
        <v>1</v>
      </c>
      <c r="E6654" s="321" t="s">
        <v>125</v>
      </c>
    </row>
    <row r="6655" spans="1:5">
      <c r="A6655" s="323">
        <v>46140</v>
      </c>
      <c r="B6655" s="324" t="s">
        <v>4588</v>
      </c>
      <c r="C6655" s="322" t="s">
        <v>388</v>
      </c>
      <c r="D6655" s="322">
        <v>1</v>
      </c>
      <c r="E6655" s="321" t="s">
        <v>125</v>
      </c>
    </row>
    <row r="6656" spans="1:5">
      <c r="A6656" s="323">
        <v>46140</v>
      </c>
      <c r="B6656" s="324" t="s">
        <v>4589</v>
      </c>
      <c r="C6656" s="322" t="s">
        <v>388</v>
      </c>
      <c r="D6656" s="322">
        <v>1</v>
      </c>
      <c r="E6656" s="321" t="s">
        <v>125</v>
      </c>
    </row>
    <row r="6658" spans="1:5">
      <c r="A6658" s="335">
        <v>46140</v>
      </c>
      <c r="B6658" s="343" t="s">
        <v>1246</v>
      </c>
      <c r="C6658" s="345" t="s">
        <v>4590</v>
      </c>
      <c r="D6658" s="345">
        <v>-3</v>
      </c>
      <c r="E6658" s="1064" t="s">
        <v>125</v>
      </c>
    </row>
    <row r="6659" spans="1:5">
      <c r="A6659" s="335">
        <v>46140</v>
      </c>
      <c r="B6659" s="343" t="s">
        <v>1246</v>
      </c>
      <c r="C6659" s="345" t="s">
        <v>4590</v>
      </c>
      <c r="D6659" s="345">
        <v>-2</v>
      </c>
      <c r="E6659" s="1064" t="s">
        <v>125</v>
      </c>
    </row>
    <row r="6660" spans="1:5">
      <c r="A6660" s="335">
        <v>46140</v>
      </c>
      <c r="B6660" s="343" t="s">
        <v>1246</v>
      </c>
      <c r="C6660" s="345" t="s">
        <v>4590</v>
      </c>
      <c r="D6660" s="345">
        <v>-2</v>
      </c>
      <c r="E6660" s="1064" t="s">
        <v>125</v>
      </c>
    </row>
    <row r="6661" spans="1:5">
      <c r="A6661" s="335">
        <v>46140</v>
      </c>
      <c r="B6661" s="343" t="s">
        <v>1246</v>
      </c>
      <c r="C6661" s="345" t="s">
        <v>4590</v>
      </c>
      <c r="D6661" s="345">
        <v>-1</v>
      </c>
      <c r="E6661" s="1064" t="s">
        <v>125</v>
      </c>
    </row>
    <row r="6662" spans="1:5">
      <c r="A6662" s="335">
        <v>46140</v>
      </c>
      <c r="B6662" s="343" t="s">
        <v>1407</v>
      </c>
      <c r="C6662" s="345" t="s">
        <v>4590</v>
      </c>
      <c r="D6662" s="345">
        <v>-1</v>
      </c>
      <c r="E6662" s="1064" t="s">
        <v>125</v>
      </c>
    </row>
    <row r="6663" spans="1:5">
      <c r="A6663" s="335">
        <v>46140</v>
      </c>
      <c r="B6663" s="343" t="s">
        <v>1301</v>
      </c>
      <c r="C6663" s="345" t="s">
        <v>4590</v>
      </c>
      <c r="D6663" s="345">
        <v>-4</v>
      </c>
      <c r="E6663" s="1064" t="s">
        <v>125</v>
      </c>
    </row>
    <row r="6664" spans="1:5">
      <c r="A6664" s="335">
        <v>46140</v>
      </c>
      <c r="B6664" s="343" t="s">
        <v>1271</v>
      </c>
      <c r="C6664" s="345" t="s">
        <v>4590</v>
      </c>
      <c r="D6664" s="345">
        <v>-2</v>
      </c>
      <c r="E6664" s="1064" t="s">
        <v>125</v>
      </c>
    </row>
    <row r="6665" spans="1:5">
      <c r="A6665" s="335">
        <v>46140</v>
      </c>
      <c r="B6665" s="343" t="s">
        <v>1271</v>
      </c>
      <c r="C6665" s="345" t="s">
        <v>4590</v>
      </c>
      <c r="D6665" s="345">
        <v>-1</v>
      </c>
      <c r="E6665" s="1064" t="s">
        <v>125</v>
      </c>
    </row>
    <row r="6666" spans="1:5">
      <c r="A6666" s="335">
        <v>46140</v>
      </c>
      <c r="B6666" s="93" t="s">
        <v>1095</v>
      </c>
      <c r="C6666" s="43" t="s">
        <v>2608</v>
      </c>
      <c r="D6666" s="43">
        <v>-3</v>
      </c>
      <c r="E6666" s="1064" t="s">
        <v>125</v>
      </c>
    </row>
    <row r="6667" spans="1:5">
      <c r="A6667" s="335">
        <v>46140</v>
      </c>
      <c r="B6667" s="93" t="s">
        <v>1491</v>
      </c>
      <c r="C6667" s="43" t="s">
        <v>2724</v>
      </c>
      <c r="D6667" s="43">
        <v>-1</v>
      </c>
      <c r="E6667" s="1064" t="s">
        <v>125</v>
      </c>
    </row>
    <row r="6668" spans="1:5">
      <c r="A6668" s="335">
        <v>46140</v>
      </c>
      <c r="B6668" s="343" t="s">
        <v>1334</v>
      </c>
      <c r="C6668" s="43" t="s">
        <v>2724</v>
      </c>
      <c r="D6668" s="43">
        <v>-3</v>
      </c>
      <c r="E6668" s="1064" t="s">
        <v>125</v>
      </c>
    </row>
    <row r="6669" spans="1:5">
      <c r="A6669" s="335">
        <v>46140</v>
      </c>
      <c r="B6669" s="84" t="s">
        <v>1387</v>
      </c>
      <c r="C6669" s="43" t="s">
        <v>2724</v>
      </c>
      <c r="D6669" s="43">
        <v>-1</v>
      </c>
      <c r="E6669" s="1064" t="s">
        <v>125</v>
      </c>
    </row>
    <row r="6670" spans="1:5">
      <c r="A6670" s="335">
        <v>46140</v>
      </c>
      <c r="B6670" s="343" t="s">
        <v>1291</v>
      </c>
      <c r="C6670" s="43" t="s">
        <v>2724</v>
      </c>
      <c r="D6670" s="43">
        <v>-1</v>
      </c>
      <c r="E6670" s="1064" t="s">
        <v>125</v>
      </c>
    </row>
    <row r="6671" spans="1:5">
      <c r="A6671" s="335">
        <v>46140</v>
      </c>
      <c r="B6671" s="343" t="s">
        <v>1246</v>
      </c>
      <c r="C6671" s="43" t="s">
        <v>4591</v>
      </c>
      <c r="D6671" s="43">
        <v>-1</v>
      </c>
      <c r="E6671" s="1064" t="s">
        <v>125</v>
      </c>
    </row>
    <row r="6672" spans="1:5">
      <c r="A6672" s="335">
        <v>46140</v>
      </c>
      <c r="B6672" s="343" t="s">
        <v>1246</v>
      </c>
      <c r="C6672" s="43" t="s">
        <v>4591</v>
      </c>
      <c r="D6672" s="43">
        <v>-1</v>
      </c>
      <c r="E6672" s="1064" t="s">
        <v>125</v>
      </c>
    </row>
    <row r="6673" spans="1:5">
      <c r="A6673" s="335">
        <v>46140</v>
      </c>
      <c r="B6673" s="343" t="s">
        <v>1246</v>
      </c>
      <c r="C6673" s="43" t="s">
        <v>4592</v>
      </c>
      <c r="D6673" s="43">
        <v>-2</v>
      </c>
      <c r="E6673" s="1064" t="s">
        <v>125</v>
      </c>
    </row>
    <row r="6675" spans="1:5">
      <c r="A6675" s="335">
        <v>46141</v>
      </c>
      <c r="B6675" s="343" t="s">
        <v>1246</v>
      </c>
      <c r="C6675" s="345" t="s">
        <v>2647</v>
      </c>
      <c r="D6675" s="345">
        <v>-2</v>
      </c>
      <c r="E6675" s="1064" t="s">
        <v>125</v>
      </c>
    </row>
    <row r="6676" spans="1:5">
      <c r="A6676" s="335">
        <v>46141</v>
      </c>
      <c r="B6676" s="343" t="s">
        <v>1326</v>
      </c>
      <c r="C6676" s="345" t="s">
        <v>2647</v>
      </c>
      <c r="D6676" s="345">
        <v>-2</v>
      </c>
      <c r="E6676" s="1064" t="s">
        <v>125</v>
      </c>
    </row>
    <row r="6677" spans="1:5">
      <c r="A6677" s="335">
        <v>46141</v>
      </c>
      <c r="B6677" s="343" t="s">
        <v>1246</v>
      </c>
      <c r="C6677" s="43" t="s">
        <v>4593</v>
      </c>
      <c r="D6677" s="43">
        <v>-4</v>
      </c>
      <c r="E6677" s="1064" t="s">
        <v>125</v>
      </c>
    </row>
    <row r="6678" spans="1:5">
      <c r="A6678" s="335">
        <v>46141</v>
      </c>
      <c r="B6678" s="343" t="s">
        <v>2312</v>
      </c>
      <c r="C6678" s="43" t="s">
        <v>3468</v>
      </c>
      <c r="D6678" s="43">
        <v>-1</v>
      </c>
      <c r="E6678" s="1064" t="s">
        <v>125</v>
      </c>
    </row>
    <row r="6679" spans="1:5">
      <c r="A6679" s="335">
        <v>46141</v>
      </c>
      <c r="B6679" s="343" t="s">
        <v>1246</v>
      </c>
      <c r="C6679" s="43" t="s">
        <v>2929</v>
      </c>
      <c r="D6679" s="43">
        <v>-6</v>
      </c>
      <c r="E6679" s="1064" t="s">
        <v>125</v>
      </c>
    </row>
    <row r="6680" spans="1:5">
      <c r="A6680" s="335">
        <v>46141</v>
      </c>
      <c r="B6680" s="343" t="s">
        <v>1246</v>
      </c>
      <c r="C6680" s="43" t="s">
        <v>4594</v>
      </c>
      <c r="D6680" s="43">
        <v>-4</v>
      </c>
      <c r="E6680" s="1064" t="s">
        <v>125</v>
      </c>
    </row>
    <row r="6681" spans="1:5">
      <c r="A6681" s="335">
        <v>46141</v>
      </c>
      <c r="B6681" s="343" t="s">
        <v>2032</v>
      </c>
      <c r="C6681" s="43" t="s">
        <v>4595</v>
      </c>
      <c r="D6681" s="43">
        <v>-1</v>
      </c>
      <c r="E6681" s="1064" t="s">
        <v>125</v>
      </c>
    </row>
    <row r="6682" spans="1:5">
      <c r="A6682" s="335">
        <v>46141</v>
      </c>
      <c r="B6682" s="343" t="s">
        <v>1246</v>
      </c>
      <c r="C6682" s="43" t="s">
        <v>1686</v>
      </c>
      <c r="D6682" s="43">
        <v>-2</v>
      </c>
      <c r="E6682" s="1064" t="s">
        <v>125</v>
      </c>
    </row>
    <row r="6684" spans="1:5">
      <c r="A6684" s="265">
        <v>46142</v>
      </c>
      <c r="B6684" s="343" t="s">
        <v>1246</v>
      </c>
      <c r="C6684" s="43" t="s">
        <v>2647</v>
      </c>
      <c r="D6684" s="43">
        <v>-2</v>
      </c>
      <c r="E6684" s="1064" t="s">
        <v>125</v>
      </c>
    </row>
    <row r="6686" spans="1:5">
      <c r="A6686" s="323">
        <v>46141</v>
      </c>
      <c r="B6686" s="325" t="s">
        <v>4662</v>
      </c>
      <c r="C6686" s="322" t="s">
        <v>388</v>
      </c>
      <c r="D6686" s="322">
        <v>13</v>
      </c>
      <c r="E6686" s="321" t="s">
        <v>125</v>
      </c>
    </row>
    <row r="6687" spans="1:5">
      <c r="A6687" s="323">
        <v>46141</v>
      </c>
      <c r="B6687" s="325" t="s">
        <v>4663</v>
      </c>
      <c r="C6687" s="322" t="s">
        <v>388</v>
      </c>
      <c r="D6687" s="322">
        <v>3</v>
      </c>
      <c r="E6687" s="321" t="s">
        <v>125</v>
      </c>
    </row>
    <row r="6688" spans="1:5">
      <c r="A6688" s="323">
        <v>46141</v>
      </c>
      <c r="B6688" s="325" t="s">
        <v>4664</v>
      </c>
      <c r="C6688" s="322" t="s">
        <v>388</v>
      </c>
      <c r="D6688" s="322">
        <v>1</v>
      </c>
      <c r="E6688" s="321" t="s">
        <v>125</v>
      </c>
    </row>
    <row r="6689" spans="1:5">
      <c r="A6689" s="323">
        <v>46141</v>
      </c>
      <c r="B6689" s="325" t="s">
        <v>1095</v>
      </c>
      <c r="C6689" s="322" t="s">
        <v>388</v>
      </c>
      <c r="D6689" s="322">
        <v>1</v>
      </c>
      <c r="E6689" s="321" t="s">
        <v>125</v>
      </c>
    </row>
    <row r="6690" spans="1:5">
      <c r="A6690" s="323">
        <v>46141</v>
      </c>
      <c r="B6690" s="325" t="s">
        <v>1259</v>
      </c>
      <c r="C6690" s="322" t="s">
        <v>388</v>
      </c>
      <c r="D6690" s="322">
        <v>1</v>
      </c>
      <c r="E6690" s="321" t="s">
        <v>125</v>
      </c>
    </row>
    <row r="6691" spans="1:5">
      <c r="A6691" s="323">
        <v>46141</v>
      </c>
      <c r="B6691" s="425" t="s">
        <v>375</v>
      </c>
      <c r="C6691" s="322" t="s">
        <v>388</v>
      </c>
      <c r="D6691" s="322">
        <v>4</v>
      </c>
      <c r="E6691" s="321" t="s">
        <v>125</v>
      </c>
    </row>
    <row r="6692" spans="1:5">
      <c r="A6692" s="323">
        <v>46141</v>
      </c>
      <c r="B6692" s="325" t="s">
        <v>977</v>
      </c>
      <c r="C6692" s="322" t="s">
        <v>388</v>
      </c>
      <c r="D6692" s="322">
        <v>1</v>
      </c>
      <c r="E6692" s="321" t="s">
        <v>125</v>
      </c>
    </row>
    <row r="6693" spans="1:5">
      <c r="A6693" s="323">
        <v>46141</v>
      </c>
      <c r="B6693" s="325" t="s">
        <v>977</v>
      </c>
      <c r="C6693" s="322" t="s">
        <v>388</v>
      </c>
      <c r="D6693" s="322">
        <v>3</v>
      </c>
      <c r="E6693" s="321" t="s">
        <v>125</v>
      </c>
    </row>
    <row r="6694" spans="1:5">
      <c r="A6694" s="323">
        <v>46141</v>
      </c>
      <c r="B6694" s="324" t="s">
        <v>131</v>
      </c>
      <c r="C6694" s="322" t="s">
        <v>388</v>
      </c>
      <c r="D6694" s="322">
        <v>14</v>
      </c>
      <c r="E6694" s="321" t="s">
        <v>125</v>
      </c>
    </row>
    <row r="6695" spans="1:5">
      <c r="A6695" s="323">
        <v>46141</v>
      </c>
      <c r="B6695" s="325" t="s">
        <v>1326</v>
      </c>
      <c r="C6695" s="322" t="s">
        <v>388</v>
      </c>
      <c r="D6695" s="322">
        <v>1</v>
      </c>
      <c r="E6695" s="321" t="s">
        <v>125</v>
      </c>
    </row>
    <row r="6696" spans="1:5">
      <c r="A6696" s="323">
        <v>46141</v>
      </c>
      <c r="B6696" s="324" t="s">
        <v>134</v>
      </c>
      <c r="C6696" s="322" t="s">
        <v>388</v>
      </c>
      <c r="D6696" s="322">
        <v>1</v>
      </c>
      <c r="E6696" s="321" t="s">
        <v>125</v>
      </c>
    </row>
    <row r="6697" spans="1:5">
      <c r="A6697" s="323">
        <v>46141</v>
      </c>
      <c r="B6697" s="325" t="s">
        <v>2142</v>
      </c>
      <c r="C6697" s="322" t="s">
        <v>388</v>
      </c>
      <c r="D6697" s="322">
        <v>1</v>
      </c>
      <c r="E6697" s="321" t="s">
        <v>125</v>
      </c>
    </row>
    <row r="6698" spans="1:5">
      <c r="A6698" s="323">
        <v>46141</v>
      </c>
      <c r="B6698" s="325" t="s">
        <v>1291</v>
      </c>
      <c r="C6698" s="322" t="s">
        <v>388</v>
      </c>
      <c r="D6698" s="322">
        <v>2</v>
      </c>
      <c r="E6698" s="321" t="s">
        <v>125</v>
      </c>
    </row>
    <row r="6699" spans="1:5">
      <c r="A6699" s="323">
        <v>46141</v>
      </c>
      <c r="B6699" s="325" t="s">
        <v>1326</v>
      </c>
      <c r="C6699" s="322" t="s">
        <v>388</v>
      </c>
      <c r="D6699" s="322">
        <v>1</v>
      </c>
      <c r="E6699" s="321" t="s">
        <v>125</v>
      </c>
    </row>
    <row r="6700" spans="1:5">
      <c r="A6700" s="323">
        <v>46141</v>
      </c>
      <c r="B6700" s="325" t="s">
        <v>1271</v>
      </c>
      <c r="C6700" s="322" t="s">
        <v>388</v>
      </c>
      <c r="D6700" s="322">
        <v>4</v>
      </c>
      <c r="E6700" s="321" t="s">
        <v>125</v>
      </c>
    </row>
    <row r="6701" spans="1:5">
      <c r="A6701" s="323">
        <v>46141</v>
      </c>
      <c r="B6701" s="325" t="s">
        <v>1246</v>
      </c>
      <c r="C6701" s="322" t="s">
        <v>388</v>
      </c>
      <c r="D6701" s="322">
        <v>5</v>
      </c>
      <c r="E6701" s="321" t="s">
        <v>125</v>
      </c>
    </row>
    <row r="6702" spans="1:5">
      <c r="A6702" s="323">
        <v>46141</v>
      </c>
      <c r="B6702" s="325" t="s">
        <v>1641</v>
      </c>
      <c r="C6702" s="322" t="s">
        <v>388</v>
      </c>
      <c r="D6702" s="322">
        <v>1</v>
      </c>
      <c r="E6702" s="321" t="s">
        <v>125</v>
      </c>
    </row>
    <row r="6703" spans="1:5">
      <c r="A6703" s="323">
        <v>46141</v>
      </c>
      <c r="B6703" s="325" t="s">
        <v>1246</v>
      </c>
      <c r="C6703" s="322" t="s">
        <v>388</v>
      </c>
      <c r="D6703" s="322">
        <v>10</v>
      </c>
      <c r="E6703" s="321" t="s">
        <v>125</v>
      </c>
    </row>
    <row r="6704" spans="1:5">
      <c r="A6704" s="323">
        <v>46141</v>
      </c>
      <c r="B6704" s="325" t="s">
        <v>1246</v>
      </c>
      <c r="C6704" s="322" t="s">
        <v>388</v>
      </c>
      <c r="D6704" s="322">
        <v>6</v>
      </c>
      <c r="E6704" s="321" t="s">
        <v>125</v>
      </c>
    </row>
    <row r="6705" spans="1:5">
      <c r="A6705" s="323">
        <v>46141</v>
      </c>
      <c r="B6705" s="325" t="s">
        <v>1641</v>
      </c>
      <c r="C6705" s="322" t="s">
        <v>388</v>
      </c>
      <c r="D6705" s="322">
        <v>2</v>
      </c>
      <c r="E6705" s="321" t="s">
        <v>125</v>
      </c>
    </row>
    <row r="6706" spans="1:5">
      <c r="A6706" s="323">
        <v>46141</v>
      </c>
      <c r="B6706" s="325" t="s">
        <v>1249</v>
      </c>
      <c r="C6706" s="322" t="s">
        <v>388</v>
      </c>
      <c r="D6706" s="322">
        <v>2</v>
      </c>
      <c r="E6706" s="321" t="s">
        <v>125</v>
      </c>
    </row>
    <row r="6707" spans="1:5">
      <c r="A6707" s="323">
        <v>46141</v>
      </c>
      <c r="B6707" s="325" t="s">
        <v>1271</v>
      </c>
      <c r="C6707" s="322" t="s">
        <v>388</v>
      </c>
      <c r="D6707" s="322">
        <v>6</v>
      </c>
      <c r="E6707" s="321" t="s">
        <v>125</v>
      </c>
    </row>
    <row r="6708" spans="1:5">
      <c r="A6708" s="323">
        <v>46141</v>
      </c>
      <c r="B6708" s="325" t="s">
        <v>1568</v>
      </c>
      <c r="C6708" s="322" t="s">
        <v>388</v>
      </c>
      <c r="D6708" s="322">
        <v>3</v>
      </c>
      <c r="E6708" s="321" t="s">
        <v>125</v>
      </c>
    </row>
    <row r="6709" spans="1:5">
      <c r="A6709" s="323">
        <v>46141</v>
      </c>
      <c r="B6709" s="325" t="s">
        <v>1271</v>
      </c>
      <c r="C6709" s="322" t="s">
        <v>388</v>
      </c>
      <c r="D6709" s="322">
        <v>2</v>
      </c>
      <c r="E6709" s="321" t="s">
        <v>125</v>
      </c>
    </row>
    <row r="6710" spans="1:5">
      <c r="A6710" s="323">
        <v>46141</v>
      </c>
      <c r="B6710" s="325" t="s">
        <v>1246</v>
      </c>
      <c r="C6710" s="322" t="s">
        <v>388</v>
      </c>
      <c r="D6710" s="322">
        <v>2</v>
      </c>
      <c r="E6710" s="321" t="s">
        <v>125</v>
      </c>
    </row>
    <row r="6711" spans="1:5">
      <c r="A6711" s="323">
        <v>46141</v>
      </c>
      <c r="B6711" s="325" t="s">
        <v>2019</v>
      </c>
      <c r="C6711" s="322" t="s">
        <v>388</v>
      </c>
      <c r="D6711" s="322">
        <v>2</v>
      </c>
      <c r="E6711" s="321" t="s">
        <v>125</v>
      </c>
    </row>
    <row r="6712" spans="1:5">
      <c r="A6712" s="323">
        <v>46141</v>
      </c>
      <c r="B6712" s="324" t="s">
        <v>926</v>
      </c>
      <c r="C6712" s="322" t="s">
        <v>388</v>
      </c>
      <c r="D6712" s="322">
        <v>1</v>
      </c>
      <c r="E6712" s="321" t="s">
        <v>125</v>
      </c>
    </row>
    <row r="6713" spans="1:5">
      <c r="A6713" s="323">
        <v>46141</v>
      </c>
      <c r="B6713" s="324" t="s">
        <v>4665</v>
      </c>
      <c r="C6713" s="322" t="s">
        <v>388</v>
      </c>
      <c r="D6713" s="322">
        <v>1</v>
      </c>
      <c r="E6713" s="321" t="s">
        <v>125</v>
      </c>
    </row>
    <row r="6715" spans="1:5">
      <c r="A6715" s="335">
        <v>46141</v>
      </c>
      <c r="B6715" s="343" t="s">
        <v>1291</v>
      </c>
      <c r="C6715" s="43" t="s">
        <v>2724</v>
      </c>
      <c r="D6715" s="43">
        <v>-2</v>
      </c>
      <c r="E6715" s="1064" t="s">
        <v>125</v>
      </c>
    </row>
    <row r="6716" spans="1:5">
      <c r="A6716" s="335">
        <v>46141</v>
      </c>
      <c r="B6716" s="343" t="s">
        <v>1334</v>
      </c>
      <c r="C6716" s="43" t="s">
        <v>2724</v>
      </c>
      <c r="D6716" s="43">
        <v>0</v>
      </c>
      <c r="E6716" s="1064" t="s">
        <v>125</v>
      </c>
    </row>
    <row r="6718" spans="1:5">
      <c r="A6718" s="265">
        <v>46142</v>
      </c>
      <c r="B6718" s="93" t="s">
        <v>1095</v>
      </c>
      <c r="C6718" s="43" t="s">
        <v>4666</v>
      </c>
      <c r="D6718" s="43">
        <v>-1</v>
      </c>
      <c r="E6718" s="1064" t="s">
        <v>125</v>
      </c>
    </row>
    <row r="6719" spans="1:5">
      <c r="A6719" s="265">
        <v>46142</v>
      </c>
      <c r="B6719" s="343" t="s">
        <v>1246</v>
      </c>
      <c r="C6719" s="43" t="s">
        <v>2929</v>
      </c>
      <c r="D6719" s="43">
        <v>-4</v>
      </c>
      <c r="E6719" s="1064" t="s">
        <v>125</v>
      </c>
    </row>
    <row r="6720" spans="1:5">
      <c r="A6720" s="265">
        <v>46142</v>
      </c>
      <c r="B6720" s="343" t="s">
        <v>1246</v>
      </c>
      <c r="C6720" s="43" t="s">
        <v>3830</v>
      </c>
      <c r="D6720" s="43">
        <v>-2</v>
      </c>
      <c r="E6720" s="1064" t="s">
        <v>125</v>
      </c>
    </row>
    <row r="6721" spans="1:5">
      <c r="A6721" s="265">
        <v>46142</v>
      </c>
      <c r="B6721" s="343" t="s">
        <v>1271</v>
      </c>
      <c r="C6721" s="43" t="s">
        <v>3830</v>
      </c>
      <c r="D6721" s="43">
        <v>-2</v>
      </c>
      <c r="E6721" s="1064" t="s">
        <v>125</v>
      </c>
    </row>
    <row r="6722" spans="1:5">
      <c r="A6722" s="265">
        <v>46142</v>
      </c>
      <c r="B6722" s="343" t="s">
        <v>1271</v>
      </c>
      <c r="C6722" s="43" t="s">
        <v>3830</v>
      </c>
      <c r="D6722" s="43">
        <v>-2</v>
      </c>
      <c r="E6722" s="1064" t="s">
        <v>125</v>
      </c>
    </row>
    <row r="6723" spans="1:5">
      <c r="A6723" s="265">
        <v>46142</v>
      </c>
      <c r="B6723" s="343" t="s">
        <v>1271</v>
      </c>
      <c r="C6723" s="43" t="s">
        <v>3830</v>
      </c>
      <c r="D6723" s="43">
        <v>-4</v>
      </c>
      <c r="E6723" s="1064" t="s">
        <v>125</v>
      </c>
    </row>
    <row r="6724" spans="1:5">
      <c r="A6724" s="265">
        <v>46142</v>
      </c>
      <c r="B6724" s="343" t="s">
        <v>1326</v>
      </c>
      <c r="C6724" s="43" t="s">
        <v>3830</v>
      </c>
      <c r="D6724" s="43">
        <v>-1</v>
      </c>
      <c r="E6724" s="1064" t="s">
        <v>125</v>
      </c>
    </row>
    <row r="6725" spans="1:5">
      <c r="A6725" s="335">
        <v>46142</v>
      </c>
      <c r="B6725" s="343" t="s">
        <v>2719</v>
      </c>
      <c r="C6725" s="345" t="s">
        <v>2595</v>
      </c>
      <c r="D6725" s="345">
        <v>-1</v>
      </c>
      <c r="E6725" s="1064" t="s">
        <v>125</v>
      </c>
    </row>
    <row r="6726" spans="1:5">
      <c r="A6726" s="335">
        <v>46142</v>
      </c>
      <c r="B6726" s="343" t="s">
        <v>2719</v>
      </c>
      <c r="C6726" s="345" t="s">
        <v>2595</v>
      </c>
      <c r="D6726" s="345">
        <v>-1</v>
      </c>
      <c r="E6726" s="1064" t="s">
        <v>125</v>
      </c>
    </row>
    <row r="6727" spans="1:5">
      <c r="A6727" s="335">
        <v>46142</v>
      </c>
      <c r="B6727" s="343" t="s">
        <v>2719</v>
      </c>
      <c r="C6727" s="345" t="s">
        <v>2595</v>
      </c>
      <c r="D6727" s="345">
        <v>-1</v>
      </c>
      <c r="E6727" s="1064" t="s">
        <v>125</v>
      </c>
    </row>
    <row r="6728" spans="1:5">
      <c r="A6728" s="335">
        <v>46142</v>
      </c>
      <c r="B6728" s="343" t="s">
        <v>2032</v>
      </c>
      <c r="C6728" s="345" t="s">
        <v>2595</v>
      </c>
      <c r="D6728" s="345">
        <v>-3</v>
      </c>
      <c r="E6728" s="1064" t="s">
        <v>125</v>
      </c>
    </row>
    <row r="6729" spans="1:5">
      <c r="A6729" s="335">
        <v>46142</v>
      </c>
      <c r="B6729" s="343" t="s">
        <v>4320</v>
      </c>
      <c r="C6729" s="345" t="s">
        <v>2595</v>
      </c>
      <c r="D6729" s="345">
        <v>-1</v>
      </c>
      <c r="E6729" s="1064" t="s">
        <v>125</v>
      </c>
    </row>
    <row r="6730" spans="1:5">
      <c r="A6730" s="335">
        <v>46142</v>
      </c>
      <c r="B6730" s="342" t="s">
        <v>4462</v>
      </c>
      <c r="C6730" s="345" t="s">
        <v>2595</v>
      </c>
      <c r="D6730" s="345">
        <v>-2</v>
      </c>
      <c r="E6730" s="1064" t="s">
        <v>125</v>
      </c>
    </row>
    <row r="6731" spans="1:5">
      <c r="A6731" s="335">
        <v>46142</v>
      </c>
      <c r="B6731" s="342" t="s">
        <v>4461</v>
      </c>
      <c r="C6731" s="345" t="s">
        <v>2595</v>
      </c>
      <c r="D6731" s="345">
        <v>-4</v>
      </c>
      <c r="E6731" s="1064" t="s">
        <v>125</v>
      </c>
    </row>
    <row r="6732" spans="1:5">
      <c r="A6732" s="335">
        <v>46142</v>
      </c>
      <c r="B6732" s="343" t="s">
        <v>1246</v>
      </c>
      <c r="C6732" s="43" t="s">
        <v>3823</v>
      </c>
      <c r="D6732" s="43">
        <v>-1</v>
      </c>
      <c r="E6732" s="1064" t="s">
        <v>125</v>
      </c>
    </row>
    <row r="6733" spans="1:5">
      <c r="A6733" s="335">
        <v>46142</v>
      </c>
      <c r="B6733" s="343" t="s">
        <v>1271</v>
      </c>
      <c r="C6733" s="43" t="s">
        <v>4667</v>
      </c>
      <c r="D6733" s="43">
        <v>-1</v>
      </c>
      <c r="E6733" s="1064" t="s">
        <v>125</v>
      </c>
    </row>
    <row r="6734" spans="1:5">
      <c r="A6734" s="335">
        <v>46143</v>
      </c>
      <c r="B6734" s="343" t="s">
        <v>2285</v>
      </c>
      <c r="C6734" s="345" t="s">
        <v>1970</v>
      </c>
      <c r="D6734" s="33">
        <v>-1</v>
      </c>
      <c r="E6734" s="1064" t="s">
        <v>125</v>
      </c>
    </row>
    <row r="6735" spans="1:5">
      <c r="A6735" s="335">
        <v>46143</v>
      </c>
      <c r="B6735" s="343" t="s">
        <v>977</v>
      </c>
      <c r="C6735" s="345" t="s">
        <v>1970</v>
      </c>
      <c r="D6735" s="345">
        <v>-3</v>
      </c>
      <c r="E6735" s="1064" t="s">
        <v>125</v>
      </c>
    </row>
    <row r="6736" spans="1:5">
      <c r="A6736" s="335">
        <v>46143</v>
      </c>
      <c r="B6736" s="343" t="s">
        <v>977</v>
      </c>
      <c r="C6736" s="345" t="s">
        <v>1970</v>
      </c>
      <c r="D6736" s="345">
        <v>-1</v>
      </c>
      <c r="E6736" s="1064" t="s">
        <v>125</v>
      </c>
    </row>
    <row r="6737" spans="1:5">
      <c r="A6737" s="335">
        <v>46143</v>
      </c>
      <c r="B6737" s="343" t="s">
        <v>2296</v>
      </c>
      <c r="C6737" s="345" t="s">
        <v>1970</v>
      </c>
      <c r="D6737" s="345">
        <v>-2</v>
      </c>
      <c r="E6737" s="1064" t="s">
        <v>125</v>
      </c>
    </row>
    <row r="6738" spans="1:5">
      <c r="A6738" s="335">
        <v>46143</v>
      </c>
      <c r="B6738" s="343" t="s">
        <v>3871</v>
      </c>
      <c r="C6738" s="345" t="s">
        <v>1970</v>
      </c>
      <c r="D6738" s="345">
        <v>-1</v>
      </c>
      <c r="E6738" s="1064" t="s">
        <v>125</v>
      </c>
    </row>
    <row r="6739" spans="1:5">
      <c r="A6739" s="335">
        <v>46143</v>
      </c>
      <c r="B6739" s="342" t="s">
        <v>131</v>
      </c>
      <c r="C6739" s="345" t="s">
        <v>1970</v>
      </c>
      <c r="D6739" s="345">
        <v>-14</v>
      </c>
      <c r="E6739" s="1064" t="s">
        <v>125</v>
      </c>
    </row>
    <row r="6740" spans="1:5">
      <c r="A6740" s="335">
        <v>46143</v>
      </c>
      <c r="B6740" s="344" t="s">
        <v>375</v>
      </c>
      <c r="C6740" s="345" t="s">
        <v>1970</v>
      </c>
      <c r="D6740" s="345">
        <v>-9</v>
      </c>
      <c r="E6740" s="1064" t="s">
        <v>125</v>
      </c>
    </row>
    <row r="6741" spans="1:5">
      <c r="A6741" s="335">
        <v>46143</v>
      </c>
      <c r="B6741" s="343" t="s">
        <v>3915</v>
      </c>
      <c r="C6741" s="345" t="s">
        <v>1970</v>
      </c>
      <c r="D6741" s="345">
        <v>-1</v>
      </c>
      <c r="E6741" s="1064" t="s">
        <v>125</v>
      </c>
    </row>
    <row r="6742" spans="1:5">
      <c r="A6742" s="335">
        <v>46143</v>
      </c>
      <c r="B6742" s="343" t="s">
        <v>1246</v>
      </c>
      <c r="C6742" s="43" t="s">
        <v>3725</v>
      </c>
      <c r="D6742" s="43">
        <v>-1</v>
      </c>
      <c r="E6742" s="1064" t="s">
        <v>125</v>
      </c>
    </row>
    <row r="6743" spans="1:5">
      <c r="A6743" s="335">
        <v>46143</v>
      </c>
      <c r="B6743" s="343" t="s">
        <v>1246</v>
      </c>
      <c r="C6743" s="43" t="s">
        <v>4592</v>
      </c>
      <c r="D6743" s="43">
        <v>-2</v>
      </c>
      <c r="E6743" s="1064" t="s">
        <v>125</v>
      </c>
    </row>
    <row r="6744" spans="1:5">
      <c r="A6744" s="335">
        <v>46143</v>
      </c>
      <c r="B6744" s="343" t="s">
        <v>1246</v>
      </c>
      <c r="C6744" s="43" t="s">
        <v>4592</v>
      </c>
      <c r="D6744" s="43">
        <v>-2</v>
      </c>
      <c r="E6744" s="1064" t="s">
        <v>125</v>
      </c>
    </row>
    <row r="6745" spans="1:5">
      <c r="A6745" s="335">
        <v>46143</v>
      </c>
      <c r="B6745" s="343" t="s">
        <v>1246</v>
      </c>
      <c r="C6745" s="43" t="s">
        <v>4668</v>
      </c>
      <c r="D6745" s="43">
        <v>-2</v>
      </c>
      <c r="E6745" s="1064" t="s">
        <v>125</v>
      </c>
    </row>
    <row r="6746" spans="1:5">
      <c r="A6746" s="335">
        <v>46143</v>
      </c>
      <c r="B6746" s="343" t="s">
        <v>1246</v>
      </c>
      <c r="C6746" s="43" t="s">
        <v>2647</v>
      </c>
      <c r="D6746" s="43">
        <v>-2</v>
      </c>
      <c r="E6746" s="1064" t="s">
        <v>125</v>
      </c>
    </row>
    <row r="6747" spans="1:5">
      <c r="A6747" s="335">
        <v>46143</v>
      </c>
      <c r="B6747" s="343" t="s">
        <v>1246</v>
      </c>
      <c r="C6747" s="43" t="s">
        <v>4669</v>
      </c>
      <c r="D6747" s="43">
        <v>-1</v>
      </c>
      <c r="E6747" s="1064" t="s">
        <v>125</v>
      </c>
    </row>
    <row r="6748" spans="1:5">
      <c r="A6748" s="335">
        <v>46143</v>
      </c>
      <c r="B6748" s="343" t="s">
        <v>1246</v>
      </c>
      <c r="C6748" s="43" t="s">
        <v>2078</v>
      </c>
      <c r="D6748" s="43">
        <v>-1</v>
      </c>
      <c r="E6748" s="1064" t="s">
        <v>125</v>
      </c>
    </row>
    <row r="6749" spans="1:5">
      <c r="A6749" s="335">
        <v>46143</v>
      </c>
      <c r="B6749" s="343" t="s">
        <v>1246</v>
      </c>
      <c r="C6749" s="43" t="s">
        <v>2406</v>
      </c>
      <c r="D6749" s="43">
        <v>-1</v>
      </c>
      <c r="E6749" s="1064" t="s">
        <v>125</v>
      </c>
    </row>
    <row r="6750" spans="1:5">
      <c r="A6750" s="335">
        <v>46143</v>
      </c>
      <c r="B6750" s="84" t="s">
        <v>4463</v>
      </c>
      <c r="C6750" s="345" t="s">
        <v>1970</v>
      </c>
      <c r="D6750" s="43">
        <v>-2</v>
      </c>
      <c r="E6750" s="1064" t="s">
        <v>125</v>
      </c>
    </row>
    <row r="6751" spans="1:5">
      <c r="A6751" s="265">
        <v>46144</v>
      </c>
      <c r="B6751" s="343" t="s">
        <v>1246</v>
      </c>
      <c r="C6751" s="43" t="s">
        <v>2722</v>
      </c>
      <c r="D6751" s="43">
        <v>-1</v>
      </c>
      <c r="E6751" s="1064" t="s">
        <v>125</v>
      </c>
    </row>
    <row r="6752" spans="1:5">
      <c r="A6752" s="265">
        <v>46144</v>
      </c>
      <c r="B6752" s="343" t="s">
        <v>1246</v>
      </c>
      <c r="C6752" s="43" t="s">
        <v>4592</v>
      </c>
      <c r="D6752" s="43">
        <v>-2</v>
      </c>
      <c r="E6752" s="1064" t="s">
        <v>125</v>
      </c>
    </row>
    <row r="6753" spans="1:5">
      <c r="A6753" s="265">
        <v>46144</v>
      </c>
      <c r="B6753" s="343" t="s">
        <v>1246</v>
      </c>
      <c r="C6753" s="43" t="s">
        <v>2647</v>
      </c>
      <c r="D6753" s="43">
        <v>-2</v>
      </c>
      <c r="E6753" s="1064" t="s">
        <v>125</v>
      </c>
    </row>
    <row r="6754" spans="1:5">
      <c r="A6754" s="265">
        <v>46144</v>
      </c>
      <c r="B6754" s="343" t="s">
        <v>1246</v>
      </c>
      <c r="C6754" s="43" t="s">
        <v>2647</v>
      </c>
      <c r="D6754" s="43">
        <v>-2</v>
      </c>
      <c r="E6754" s="1064" t="s">
        <v>125</v>
      </c>
    </row>
    <row r="6755" spans="1:5">
      <c r="A6755" s="265">
        <v>46144</v>
      </c>
      <c r="B6755" s="343" t="s">
        <v>1246</v>
      </c>
      <c r="C6755" s="43" t="s">
        <v>2647</v>
      </c>
      <c r="D6755" s="43">
        <v>-1</v>
      </c>
      <c r="E6755" s="1064" t="s">
        <v>125</v>
      </c>
    </row>
    <row r="6756" spans="1:5">
      <c r="A6756" s="265">
        <v>46144</v>
      </c>
      <c r="B6756" s="343" t="s">
        <v>1246</v>
      </c>
      <c r="C6756" s="43" t="s">
        <v>2647</v>
      </c>
      <c r="D6756" s="43">
        <v>-1</v>
      </c>
      <c r="E6756" s="1064" t="s">
        <v>125</v>
      </c>
    </row>
    <row r="6757" spans="1:5">
      <c r="A6757" s="265">
        <v>46144</v>
      </c>
      <c r="B6757" s="343" t="s">
        <v>1271</v>
      </c>
      <c r="C6757" s="43" t="s">
        <v>3827</v>
      </c>
      <c r="D6757" s="43">
        <v>-1</v>
      </c>
      <c r="E6757" s="1064" t="s">
        <v>125</v>
      </c>
    </row>
    <row r="6758" spans="1:5">
      <c r="A6758" s="265">
        <v>46147</v>
      </c>
      <c r="B6758" s="343" t="s">
        <v>1246</v>
      </c>
      <c r="C6758" s="43" t="s">
        <v>2929</v>
      </c>
      <c r="D6758" s="43">
        <v>-1</v>
      </c>
      <c r="E6758" s="1064" t="s">
        <v>125</v>
      </c>
    </row>
    <row r="6759" spans="1:5">
      <c r="A6759" s="265">
        <v>46147</v>
      </c>
      <c r="B6759" s="343" t="s">
        <v>1249</v>
      </c>
      <c r="C6759" s="43" t="s">
        <v>4473</v>
      </c>
      <c r="D6759" s="43">
        <v>-1</v>
      </c>
      <c r="E6759" s="1064" t="s">
        <v>125</v>
      </c>
    </row>
    <row r="6761" spans="1:5">
      <c r="A6761" s="265">
        <v>46146</v>
      </c>
      <c r="B6761" s="84" t="s">
        <v>134</v>
      </c>
      <c r="C6761" s="43" t="s">
        <v>4670</v>
      </c>
      <c r="D6761" s="43">
        <v>-1</v>
      </c>
      <c r="E6761" s="1064" t="s">
        <v>125</v>
      </c>
    </row>
    <row r="6762" spans="1:5">
      <c r="A6762" s="265">
        <v>46148</v>
      </c>
      <c r="B6762" s="93" t="s">
        <v>4565</v>
      </c>
      <c r="C6762" s="43" t="s">
        <v>4774</v>
      </c>
      <c r="D6762" s="43">
        <v>-1</v>
      </c>
      <c r="E6762" s="1064" t="s">
        <v>125</v>
      </c>
    </row>
    <row r="6763" spans="1:5">
      <c r="A6763" s="265">
        <v>46147</v>
      </c>
      <c r="B6763" s="343" t="s">
        <v>1246</v>
      </c>
      <c r="C6763" s="43" t="s">
        <v>3826</v>
      </c>
      <c r="D6763" s="43">
        <v>-1</v>
      </c>
      <c r="E6763" s="1064" t="s">
        <v>125</v>
      </c>
    </row>
    <row r="6764" spans="1:5">
      <c r="A6764" s="265">
        <v>46148</v>
      </c>
      <c r="B6764" s="343" t="s">
        <v>1327</v>
      </c>
      <c r="C6764" s="43" t="s">
        <v>4774</v>
      </c>
      <c r="D6764" s="33">
        <v>-1</v>
      </c>
      <c r="E6764" s="1064" t="s">
        <v>125</v>
      </c>
    </row>
    <row r="6765" spans="1:5">
      <c r="A6765" s="265">
        <v>46148</v>
      </c>
      <c r="B6765" s="343" t="s">
        <v>1246</v>
      </c>
      <c r="C6765" s="43" t="s">
        <v>3826</v>
      </c>
      <c r="D6765" s="43">
        <v>-1</v>
      </c>
      <c r="E6765" s="1064" t="s">
        <v>125</v>
      </c>
    </row>
    <row r="6766" spans="1:5">
      <c r="A6766" s="265">
        <v>46148</v>
      </c>
      <c r="B6766" s="343" t="s">
        <v>1246</v>
      </c>
      <c r="C6766" s="43" t="s">
        <v>4671</v>
      </c>
      <c r="D6766" s="43">
        <v>-2</v>
      </c>
      <c r="E6766" s="1064" t="s">
        <v>125</v>
      </c>
    </row>
    <row r="6767" spans="1:5">
      <c r="A6767" s="265">
        <v>46148</v>
      </c>
      <c r="B6767" s="343" t="s">
        <v>1246</v>
      </c>
      <c r="C6767" s="43" t="s">
        <v>4672</v>
      </c>
      <c r="D6767" s="43">
        <v>-1</v>
      </c>
      <c r="E6767" s="1064" t="s">
        <v>125</v>
      </c>
    </row>
    <row r="6768" spans="1:5">
      <c r="A6768" s="265">
        <v>46148</v>
      </c>
      <c r="B6768" s="343" t="s">
        <v>1271</v>
      </c>
      <c r="C6768" s="43" t="s">
        <v>3826</v>
      </c>
      <c r="D6768" s="43">
        <v>-1</v>
      </c>
      <c r="E6768" s="1064" t="s">
        <v>125</v>
      </c>
    </row>
    <row r="6769" spans="1:5">
      <c r="A6769" s="265">
        <v>46148</v>
      </c>
      <c r="B6769" s="343" t="s">
        <v>4109</v>
      </c>
      <c r="C6769" s="43" t="s">
        <v>2929</v>
      </c>
      <c r="D6769" s="43">
        <v>-11</v>
      </c>
      <c r="E6769" s="1064" t="s">
        <v>125</v>
      </c>
    </row>
    <row r="6770" spans="1:5">
      <c r="A6770" s="265">
        <v>46149</v>
      </c>
      <c r="B6770" s="343" t="s">
        <v>1271</v>
      </c>
      <c r="C6770" s="43" t="s">
        <v>1725</v>
      </c>
      <c r="D6770" s="43">
        <v>-10</v>
      </c>
      <c r="E6770" s="1064" t="s">
        <v>125</v>
      </c>
    </row>
    <row r="6771" spans="1:5">
      <c r="A6771" s="265">
        <v>46149</v>
      </c>
      <c r="B6771" s="343" t="s">
        <v>1246</v>
      </c>
      <c r="C6771" s="43" t="s">
        <v>2647</v>
      </c>
      <c r="D6771" s="43">
        <v>-7</v>
      </c>
      <c r="E6771" s="1064" t="s">
        <v>125</v>
      </c>
    </row>
    <row r="6772" spans="1:5">
      <c r="A6772" s="265">
        <v>46149</v>
      </c>
      <c r="B6772" s="343" t="s">
        <v>1326</v>
      </c>
      <c r="C6772" s="43" t="s">
        <v>2647</v>
      </c>
      <c r="D6772" s="43">
        <v>-1</v>
      </c>
      <c r="E6772" s="1064" t="s">
        <v>125</v>
      </c>
    </row>
    <row r="6773" spans="1:5">
      <c r="A6773" s="265">
        <v>46149</v>
      </c>
      <c r="B6773" s="343" t="s">
        <v>1246</v>
      </c>
      <c r="C6773" s="43" t="s">
        <v>4669</v>
      </c>
      <c r="D6773" s="43">
        <v>-2</v>
      </c>
      <c r="E6773" s="1064" t="s">
        <v>125</v>
      </c>
    </row>
    <row r="6774" spans="1:5">
      <c r="A6774" s="265">
        <v>46149</v>
      </c>
      <c r="B6774" s="343" t="s">
        <v>1246</v>
      </c>
      <c r="C6774" s="43" t="s">
        <v>4669</v>
      </c>
      <c r="D6774" s="43">
        <v>-1</v>
      </c>
      <c r="E6774" s="1064" t="s">
        <v>125</v>
      </c>
    </row>
    <row r="6775" spans="1:5">
      <c r="A6775" s="265">
        <v>46149</v>
      </c>
      <c r="B6775" s="343" t="s">
        <v>1246</v>
      </c>
      <c r="C6775" s="43" t="s">
        <v>4669</v>
      </c>
      <c r="D6775" s="43">
        <v>-4</v>
      </c>
      <c r="E6775" s="1064" t="s">
        <v>125</v>
      </c>
    </row>
    <row r="6776" spans="1:5">
      <c r="A6776" s="265">
        <v>46149</v>
      </c>
      <c r="B6776" s="343" t="s">
        <v>1271</v>
      </c>
      <c r="C6776" s="43" t="s">
        <v>3826</v>
      </c>
      <c r="D6776" s="43">
        <v>-1</v>
      </c>
      <c r="E6776" s="1064" t="s">
        <v>125</v>
      </c>
    </row>
    <row r="6777" spans="1:5">
      <c r="A6777" s="265">
        <v>46149</v>
      </c>
      <c r="B6777" s="343" t="s">
        <v>1246</v>
      </c>
      <c r="C6777" s="43" t="s">
        <v>2407</v>
      </c>
      <c r="D6777" s="43">
        <v>-10</v>
      </c>
      <c r="E6777" s="1064" t="s">
        <v>125</v>
      </c>
    </row>
    <row r="6778" spans="1:5">
      <c r="A6778" s="265">
        <v>46149</v>
      </c>
      <c r="B6778" s="343" t="s">
        <v>1246</v>
      </c>
      <c r="C6778" s="43" t="s">
        <v>2407</v>
      </c>
      <c r="D6778" s="43">
        <v>-10</v>
      </c>
      <c r="E6778" s="1064" t="s">
        <v>125</v>
      </c>
    </row>
    <row r="6779" spans="1:5">
      <c r="A6779" s="265">
        <v>46149</v>
      </c>
      <c r="B6779" s="343" t="s">
        <v>1246</v>
      </c>
      <c r="C6779" s="43" t="s">
        <v>3826</v>
      </c>
      <c r="D6779" s="43">
        <v>-1</v>
      </c>
      <c r="E6779" s="1064" t="s">
        <v>125</v>
      </c>
    </row>
    <row r="6780" spans="1:5">
      <c r="A6780" s="265">
        <v>46149</v>
      </c>
      <c r="B6780" s="343" t="s">
        <v>1246</v>
      </c>
      <c r="C6780" s="43" t="s">
        <v>4673</v>
      </c>
      <c r="D6780" s="43">
        <v>-4</v>
      </c>
      <c r="E6780" s="1064" t="s">
        <v>125</v>
      </c>
    </row>
    <row r="6781" spans="1:5">
      <c r="A6781" s="265">
        <v>46149</v>
      </c>
      <c r="B6781" s="343" t="s">
        <v>1246</v>
      </c>
      <c r="C6781" s="43" t="s">
        <v>4673</v>
      </c>
      <c r="D6781" s="43">
        <v>-2</v>
      </c>
      <c r="E6781" s="1064" t="s">
        <v>125</v>
      </c>
    </row>
    <row r="6782" spans="1:5">
      <c r="A6782" s="265">
        <v>46149</v>
      </c>
      <c r="B6782" s="343" t="s">
        <v>1246</v>
      </c>
      <c r="C6782" s="43" t="s">
        <v>2647</v>
      </c>
      <c r="D6782" s="43">
        <v>-2</v>
      </c>
      <c r="E6782" s="1064" t="s">
        <v>125</v>
      </c>
    </row>
    <row r="6783" spans="1:5">
      <c r="A6783" s="265">
        <v>46149</v>
      </c>
      <c r="B6783" s="343" t="s">
        <v>1246</v>
      </c>
      <c r="C6783" s="43" t="s">
        <v>4673</v>
      </c>
      <c r="D6783" s="43">
        <v>-1</v>
      </c>
      <c r="E6783" s="1064" t="s">
        <v>125</v>
      </c>
    </row>
    <row r="6784" spans="1:5">
      <c r="A6784" s="265">
        <v>46149</v>
      </c>
      <c r="B6784" s="84" t="s">
        <v>134</v>
      </c>
      <c r="C6784" s="43" t="s">
        <v>3826</v>
      </c>
      <c r="D6784" s="43">
        <v>-1</v>
      </c>
      <c r="E6784" s="1064" t="s">
        <v>125</v>
      </c>
    </row>
    <row r="6785" spans="1:5">
      <c r="A6785" s="265">
        <v>46149</v>
      </c>
      <c r="B6785" s="343" t="s">
        <v>1246</v>
      </c>
      <c r="C6785" s="43" t="s">
        <v>3826</v>
      </c>
      <c r="D6785" s="43">
        <v>-1</v>
      </c>
      <c r="E6785" s="1064" t="s">
        <v>125</v>
      </c>
    </row>
    <row r="6786" spans="1:5">
      <c r="A6786" s="265">
        <v>46149</v>
      </c>
      <c r="B6786" s="343" t="s">
        <v>1246</v>
      </c>
      <c r="C6786" s="43" t="s">
        <v>4672</v>
      </c>
      <c r="D6786" s="43">
        <v>-1</v>
      </c>
      <c r="E6786" s="1064" t="s">
        <v>125</v>
      </c>
    </row>
    <row r="6787" spans="1:5">
      <c r="A6787" s="265">
        <v>46149</v>
      </c>
      <c r="B6787" s="343" t="s">
        <v>1246</v>
      </c>
      <c r="C6787" s="43" t="s">
        <v>2647</v>
      </c>
      <c r="D6787" s="43">
        <v>-3</v>
      </c>
      <c r="E6787" s="1064" t="s">
        <v>125</v>
      </c>
    </row>
    <row r="6788" spans="1:5">
      <c r="A6788" s="265">
        <v>46149</v>
      </c>
      <c r="B6788" s="343" t="s">
        <v>1246</v>
      </c>
      <c r="C6788" s="43" t="s">
        <v>4672</v>
      </c>
      <c r="D6788" s="43">
        <v>-2</v>
      </c>
      <c r="E6788" s="1064" t="s">
        <v>125</v>
      </c>
    </row>
    <row r="6790" spans="1:5">
      <c r="A6790" s="265">
        <v>46150</v>
      </c>
      <c r="B6790" s="343" t="s">
        <v>1246</v>
      </c>
      <c r="C6790" s="43" t="s">
        <v>4473</v>
      </c>
      <c r="D6790" s="43">
        <v>-2</v>
      </c>
      <c r="E6790" s="1064" t="s">
        <v>125</v>
      </c>
    </row>
    <row r="6792" spans="1:5">
      <c r="A6792" s="330">
        <v>46142</v>
      </c>
      <c r="B6792" s="329" t="s">
        <v>839</v>
      </c>
      <c r="C6792" s="328" t="s">
        <v>4509</v>
      </c>
      <c r="D6792" s="328">
        <v>4</v>
      </c>
      <c r="E6792" s="331" t="s">
        <v>125</v>
      </c>
    </row>
    <row r="6793" spans="1:5">
      <c r="A6793" s="330">
        <v>46142</v>
      </c>
      <c r="B6793" s="329" t="s">
        <v>839</v>
      </c>
      <c r="C6793" s="328" t="s">
        <v>4509</v>
      </c>
      <c r="D6793" s="328">
        <v>4</v>
      </c>
      <c r="E6793" s="331" t="s">
        <v>125</v>
      </c>
    </row>
    <row r="6794" spans="1:5">
      <c r="A6794" s="330">
        <v>46143</v>
      </c>
      <c r="B6794" s="327" t="s">
        <v>671</v>
      </c>
      <c r="C6794" s="328" t="s">
        <v>4509</v>
      </c>
      <c r="D6794" s="328">
        <v>3</v>
      </c>
      <c r="E6794" s="331" t="s">
        <v>125</v>
      </c>
    </row>
    <row r="6795" spans="1:5">
      <c r="A6795" s="330">
        <v>46143</v>
      </c>
      <c r="B6795" s="329" t="s">
        <v>839</v>
      </c>
      <c r="C6795" s="328" t="s">
        <v>4509</v>
      </c>
      <c r="D6795" s="328">
        <v>1</v>
      </c>
      <c r="E6795" s="331" t="s">
        <v>125</v>
      </c>
    </row>
    <row r="6797" spans="1:5">
      <c r="A6797" s="272">
        <v>46142</v>
      </c>
      <c r="B6797" s="139" t="s">
        <v>4124</v>
      </c>
      <c r="C6797" s="106" t="s">
        <v>4535</v>
      </c>
      <c r="D6797" s="106">
        <v>2</v>
      </c>
      <c r="E6797" s="94" t="s">
        <v>125</v>
      </c>
    </row>
    <row r="6798" spans="1:5">
      <c r="A6798" s="272">
        <v>46142</v>
      </c>
      <c r="B6798" s="139" t="s">
        <v>4124</v>
      </c>
      <c r="C6798" s="106" t="s">
        <v>4535</v>
      </c>
      <c r="D6798" s="106">
        <v>2</v>
      </c>
      <c r="E6798" s="94" t="s">
        <v>125</v>
      </c>
    </row>
    <row r="6799" spans="1:5">
      <c r="A6799" s="272">
        <v>46142</v>
      </c>
      <c r="B6799" s="139" t="s">
        <v>4124</v>
      </c>
      <c r="C6799" s="106" t="s">
        <v>4535</v>
      </c>
      <c r="D6799" s="106">
        <v>2</v>
      </c>
      <c r="E6799" s="94" t="s">
        <v>125</v>
      </c>
    </row>
    <row r="6800" spans="1:5">
      <c r="A6800" s="272">
        <v>46142</v>
      </c>
      <c r="B6800" s="139" t="s">
        <v>92</v>
      </c>
      <c r="C6800" s="106" t="s">
        <v>4535</v>
      </c>
      <c r="D6800" s="106">
        <v>2</v>
      </c>
      <c r="E6800" s="94" t="s">
        <v>125</v>
      </c>
    </row>
    <row r="6802" spans="1:5">
      <c r="A6802" s="272">
        <v>46143</v>
      </c>
      <c r="B6802" s="139" t="s">
        <v>4124</v>
      </c>
      <c r="C6802" s="106" t="s">
        <v>4535</v>
      </c>
      <c r="D6802" s="106">
        <v>2</v>
      </c>
      <c r="E6802" s="94" t="s">
        <v>125</v>
      </c>
    </row>
    <row r="6803" spans="1:5">
      <c r="A6803" s="272">
        <v>46143</v>
      </c>
      <c r="B6803" s="139" t="s">
        <v>4124</v>
      </c>
      <c r="C6803" s="106" t="s">
        <v>4535</v>
      </c>
      <c r="D6803" s="106">
        <v>2</v>
      </c>
      <c r="E6803" s="94" t="s">
        <v>125</v>
      </c>
    </row>
    <row r="6804" spans="1:5">
      <c r="A6804" s="272">
        <v>46143</v>
      </c>
      <c r="B6804" s="139" t="s">
        <v>4124</v>
      </c>
      <c r="C6804" s="106" t="s">
        <v>4535</v>
      </c>
      <c r="D6804" s="106">
        <v>2</v>
      </c>
      <c r="E6804" s="94" t="s">
        <v>125</v>
      </c>
    </row>
    <row r="6805" spans="1:5">
      <c r="A6805" s="272">
        <v>46143</v>
      </c>
      <c r="B6805" s="139" t="s">
        <v>4124</v>
      </c>
      <c r="C6805" s="106" t="s">
        <v>4535</v>
      </c>
      <c r="D6805" s="106">
        <v>2</v>
      </c>
      <c r="E6805" s="94" t="s">
        <v>125</v>
      </c>
    </row>
    <row r="6806" spans="1:5">
      <c r="A6806" s="272">
        <v>46144</v>
      </c>
      <c r="B6806" s="233" t="s">
        <v>1716</v>
      </c>
      <c r="C6806" s="106" t="s">
        <v>4535</v>
      </c>
      <c r="D6806" s="106">
        <v>5</v>
      </c>
      <c r="E6806" s="94" t="s">
        <v>125</v>
      </c>
    </row>
    <row r="6807" spans="1:5">
      <c r="A6807" s="272">
        <v>46144</v>
      </c>
      <c r="B6807" s="233" t="s">
        <v>1716</v>
      </c>
      <c r="C6807" s="106" t="s">
        <v>4535</v>
      </c>
      <c r="D6807" s="106">
        <v>7</v>
      </c>
      <c r="E6807" s="94" t="s">
        <v>125</v>
      </c>
    </row>
    <row r="6808" spans="1:5">
      <c r="A6808" s="272">
        <v>46145</v>
      </c>
      <c r="B6808" s="233" t="s">
        <v>1716</v>
      </c>
      <c r="C6808" s="106" t="s">
        <v>4535</v>
      </c>
      <c r="D6808" s="106">
        <v>4</v>
      </c>
      <c r="E6808" s="94" t="s">
        <v>125</v>
      </c>
    </row>
    <row r="6809" spans="1:5">
      <c r="A6809" s="272">
        <v>46145</v>
      </c>
      <c r="B6809" s="233" t="s">
        <v>1716</v>
      </c>
      <c r="C6809" s="106" t="s">
        <v>4535</v>
      </c>
      <c r="D6809" s="106">
        <v>10</v>
      </c>
      <c r="E6809" s="94" t="s">
        <v>125</v>
      </c>
    </row>
    <row r="6810" spans="1:5">
      <c r="A6810" s="272">
        <v>46145</v>
      </c>
      <c r="B6810" s="233" t="s">
        <v>1716</v>
      </c>
      <c r="C6810" s="106" t="s">
        <v>4535</v>
      </c>
      <c r="D6810" s="106">
        <v>8</v>
      </c>
      <c r="E6810" s="94" t="s">
        <v>125</v>
      </c>
    </row>
    <row r="6811" spans="1:5">
      <c r="A6811" s="272">
        <v>46146</v>
      </c>
      <c r="B6811" s="139" t="s">
        <v>4124</v>
      </c>
      <c r="C6811" s="106" t="s">
        <v>4535</v>
      </c>
      <c r="D6811" s="106">
        <v>2</v>
      </c>
      <c r="E6811" s="94" t="s">
        <v>125</v>
      </c>
    </row>
    <row r="6812" spans="1:5">
      <c r="A6812" s="272">
        <v>46146</v>
      </c>
      <c r="B6812" s="139" t="s">
        <v>4124</v>
      </c>
      <c r="C6812" s="106" t="s">
        <v>4535</v>
      </c>
      <c r="D6812" s="106">
        <v>2</v>
      </c>
      <c r="E6812" s="94" t="s">
        <v>125</v>
      </c>
    </row>
    <row r="6813" spans="1:5">
      <c r="A6813" s="272">
        <v>46146</v>
      </c>
      <c r="B6813" s="139" t="s">
        <v>4124</v>
      </c>
      <c r="C6813" s="106" t="s">
        <v>4535</v>
      </c>
      <c r="D6813" s="106">
        <v>2</v>
      </c>
      <c r="E6813" s="94" t="s">
        <v>125</v>
      </c>
    </row>
    <row r="6814" spans="1:5">
      <c r="A6814" s="272">
        <v>46146</v>
      </c>
      <c r="B6814" s="139" t="s">
        <v>4124</v>
      </c>
      <c r="C6814" s="106" t="s">
        <v>4535</v>
      </c>
      <c r="D6814" s="106">
        <v>2</v>
      </c>
      <c r="E6814" s="94" t="s">
        <v>125</v>
      </c>
    </row>
    <row r="6815" spans="1:5">
      <c r="A6815" s="272">
        <v>46146</v>
      </c>
      <c r="B6815" s="139" t="s">
        <v>4124</v>
      </c>
      <c r="C6815" s="106" t="s">
        <v>4535</v>
      </c>
      <c r="D6815" s="106">
        <v>2</v>
      </c>
      <c r="E6815" s="94" t="s">
        <v>125</v>
      </c>
    </row>
    <row r="6817" spans="1:5">
      <c r="A6817" s="265">
        <v>46150</v>
      </c>
      <c r="B6817" s="343" t="s">
        <v>1246</v>
      </c>
      <c r="C6817" s="43" t="s">
        <v>4685</v>
      </c>
      <c r="D6817" s="43">
        <v>-2</v>
      </c>
      <c r="E6817" s="1064" t="s">
        <v>125</v>
      </c>
    </row>
    <row r="6818" spans="1:5">
      <c r="A6818" s="265">
        <v>46150</v>
      </c>
      <c r="B6818" s="343" t="s">
        <v>1246</v>
      </c>
      <c r="C6818" s="43" t="s">
        <v>1686</v>
      </c>
      <c r="D6818" s="43">
        <v>-2</v>
      </c>
      <c r="E6818" s="1064" t="s">
        <v>125</v>
      </c>
    </row>
    <row r="6819" spans="1:5">
      <c r="A6819" s="265">
        <v>46150</v>
      </c>
      <c r="B6819" s="343" t="s">
        <v>1271</v>
      </c>
      <c r="C6819" s="43" t="s">
        <v>1686</v>
      </c>
      <c r="D6819" s="43">
        <v>-2</v>
      </c>
      <c r="E6819" s="1064" t="s">
        <v>125</v>
      </c>
    </row>
    <row r="6820" spans="1:5">
      <c r="A6820" s="265">
        <v>46150</v>
      </c>
      <c r="B6820" s="343" t="s">
        <v>1246</v>
      </c>
      <c r="C6820" s="43" t="s">
        <v>3830</v>
      </c>
      <c r="D6820" s="43">
        <v>-2</v>
      </c>
      <c r="E6820" s="1064" t="s">
        <v>125</v>
      </c>
    </row>
    <row r="6821" spans="1:5">
      <c r="A6821" s="265">
        <v>46150</v>
      </c>
      <c r="B6821" s="343" t="s">
        <v>1246</v>
      </c>
      <c r="C6821" s="43" t="s">
        <v>3830</v>
      </c>
      <c r="D6821" s="43">
        <v>-7</v>
      </c>
      <c r="E6821" s="1064" t="s">
        <v>125</v>
      </c>
    </row>
    <row r="6822" spans="1:5">
      <c r="A6822" s="265">
        <v>46150</v>
      </c>
      <c r="B6822" s="343" t="s">
        <v>1249</v>
      </c>
      <c r="C6822" s="43" t="s">
        <v>3830</v>
      </c>
      <c r="D6822" s="43">
        <v>-1</v>
      </c>
      <c r="E6822" s="1064" t="s">
        <v>125</v>
      </c>
    </row>
    <row r="6823" spans="1:5">
      <c r="A6823" s="265">
        <v>46150</v>
      </c>
      <c r="B6823" s="343" t="s">
        <v>1301</v>
      </c>
      <c r="C6823" s="43" t="s">
        <v>3830</v>
      </c>
      <c r="D6823" s="43">
        <v>-2</v>
      </c>
      <c r="E6823" s="1064" t="s">
        <v>125</v>
      </c>
    </row>
    <row r="6824" spans="1:5">
      <c r="A6824" s="265">
        <v>46150</v>
      </c>
      <c r="B6824" s="343" t="s">
        <v>1271</v>
      </c>
      <c r="C6824" s="43" t="s">
        <v>3830</v>
      </c>
      <c r="D6824" s="43">
        <v>-9</v>
      </c>
      <c r="E6824" s="1064" t="s">
        <v>125</v>
      </c>
    </row>
    <row r="6825" spans="1:5">
      <c r="A6825" s="265">
        <v>46150</v>
      </c>
      <c r="B6825" s="343" t="s">
        <v>1271</v>
      </c>
      <c r="C6825" s="43" t="s">
        <v>3830</v>
      </c>
      <c r="D6825" s="43">
        <v>-8</v>
      </c>
      <c r="E6825" s="1064" t="s">
        <v>125</v>
      </c>
    </row>
    <row r="6826" spans="1:5">
      <c r="A6826" s="265">
        <v>46150</v>
      </c>
      <c r="B6826" s="93" t="s">
        <v>169</v>
      </c>
      <c r="C6826" s="43" t="s">
        <v>3830</v>
      </c>
      <c r="D6826" s="43">
        <v>-2</v>
      </c>
      <c r="E6826" s="1064" t="s">
        <v>125</v>
      </c>
    </row>
    <row r="6828" spans="1:5">
      <c r="A6828" s="323">
        <v>46147</v>
      </c>
      <c r="B6828" s="325" t="s">
        <v>1490</v>
      </c>
      <c r="C6828" s="322" t="s">
        <v>388</v>
      </c>
      <c r="D6828" s="322">
        <v>1</v>
      </c>
      <c r="E6828" s="321" t="s">
        <v>125</v>
      </c>
    </row>
    <row r="6829" spans="1:5">
      <c r="A6829" s="323">
        <v>46147</v>
      </c>
      <c r="B6829" s="325" t="s">
        <v>1095</v>
      </c>
      <c r="C6829" s="322" t="s">
        <v>388</v>
      </c>
      <c r="D6829" s="322">
        <v>2</v>
      </c>
      <c r="E6829" s="321" t="s">
        <v>125</v>
      </c>
    </row>
    <row r="6830" spans="1:5">
      <c r="A6830" s="323">
        <v>46147</v>
      </c>
      <c r="B6830" s="325" t="s">
        <v>1334</v>
      </c>
      <c r="C6830" s="322" t="s">
        <v>388</v>
      </c>
      <c r="D6830" s="322">
        <v>2</v>
      </c>
      <c r="E6830" s="321" t="s">
        <v>125</v>
      </c>
    </row>
    <row r="6831" spans="1:5">
      <c r="A6831" s="323">
        <v>46147</v>
      </c>
      <c r="B6831" s="324" t="s">
        <v>4720</v>
      </c>
      <c r="C6831" s="322" t="s">
        <v>388</v>
      </c>
      <c r="D6831" s="322">
        <v>6</v>
      </c>
      <c r="E6831" s="321" t="s">
        <v>125</v>
      </c>
    </row>
    <row r="6832" spans="1:5">
      <c r="A6832" s="323">
        <v>46147</v>
      </c>
      <c r="B6832" s="324" t="s">
        <v>134</v>
      </c>
      <c r="C6832" s="322" t="s">
        <v>388</v>
      </c>
      <c r="D6832" s="322">
        <v>1</v>
      </c>
      <c r="E6832" s="321" t="s">
        <v>125</v>
      </c>
    </row>
    <row r="6833" spans="1:5">
      <c r="A6833" s="323">
        <v>46147</v>
      </c>
      <c r="B6833" s="325" t="s">
        <v>4108</v>
      </c>
      <c r="C6833" s="322" t="s">
        <v>388</v>
      </c>
      <c r="D6833" s="322">
        <v>1</v>
      </c>
      <c r="E6833" s="321" t="s">
        <v>125</v>
      </c>
    </row>
    <row r="6834" spans="1:5">
      <c r="A6834" s="323">
        <v>46147</v>
      </c>
      <c r="B6834" s="325" t="s">
        <v>1291</v>
      </c>
      <c r="C6834" s="322" t="s">
        <v>388</v>
      </c>
      <c r="D6834" s="322">
        <v>1</v>
      </c>
      <c r="E6834" s="321" t="s">
        <v>125</v>
      </c>
    </row>
    <row r="6835" spans="1:5">
      <c r="A6835" s="323">
        <v>46147</v>
      </c>
      <c r="B6835" s="325" t="s">
        <v>1327</v>
      </c>
      <c r="C6835" s="322" t="s">
        <v>388</v>
      </c>
      <c r="D6835" s="322">
        <v>1</v>
      </c>
      <c r="E6835" s="321" t="s">
        <v>125</v>
      </c>
    </row>
    <row r="6836" spans="1:5">
      <c r="A6836" s="323">
        <v>46147</v>
      </c>
      <c r="B6836" s="325" t="s">
        <v>2032</v>
      </c>
      <c r="C6836" s="322" t="s">
        <v>388</v>
      </c>
      <c r="D6836" s="322">
        <v>1</v>
      </c>
      <c r="E6836" s="321" t="s">
        <v>125</v>
      </c>
    </row>
    <row r="6837" spans="1:5">
      <c r="A6837" s="323">
        <v>46147</v>
      </c>
      <c r="B6837" s="325" t="s">
        <v>1568</v>
      </c>
      <c r="C6837" s="322" t="s">
        <v>388</v>
      </c>
      <c r="D6837" s="322">
        <v>1</v>
      </c>
      <c r="E6837" s="321" t="s">
        <v>125</v>
      </c>
    </row>
    <row r="6838" spans="1:5">
      <c r="A6838" s="323">
        <v>46147</v>
      </c>
      <c r="B6838" s="325" t="s">
        <v>1568</v>
      </c>
      <c r="C6838" s="322" t="s">
        <v>388</v>
      </c>
      <c r="D6838" s="322">
        <v>1</v>
      </c>
      <c r="E6838" s="321" t="s">
        <v>125</v>
      </c>
    </row>
    <row r="6839" spans="1:5">
      <c r="A6839" s="323">
        <v>46147</v>
      </c>
      <c r="B6839" s="324" t="s">
        <v>1994</v>
      </c>
      <c r="C6839" s="322" t="s">
        <v>388</v>
      </c>
      <c r="D6839" s="322">
        <v>14</v>
      </c>
      <c r="E6839" s="321" t="s">
        <v>125</v>
      </c>
    </row>
    <row r="6840" spans="1:5">
      <c r="A6840" s="323">
        <v>46147</v>
      </c>
      <c r="B6840" s="325" t="s">
        <v>1568</v>
      </c>
      <c r="C6840" s="322" t="s">
        <v>388</v>
      </c>
      <c r="D6840" s="322">
        <v>4</v>
      </c>
      <c r="E6840" s="321" t="s">
        <v>125</v>
      </c>
    </row>
    <row r="6841" spans="1:5">
      <c r="A6841" s="323">
        <v>46147</v>
      </c>
      <c r="B6841" s="325" t="s">
        <v>1271</v>
      </c>
      <c r="C6841" s="322" t="s">
        <v>388</v>
      </c>
      <c r="D6841" s="322">
        <v>8</v>
      </c>
      <c r="E6841" s="321" t="s">
        <v>125</v>
      </c>
    </row>
    <row r="6842" spans="1:5">
      <c r="A6842" s="323">
        <v>46147</v>
      </c>
      <c r="B6842" s="325" t="s">
        <v>1271</v>
      </c>
      <c r="C6842" s="322" t="s">
        <v>388</v>
      </c>
      <c r="D6842" s="322">
        <v>9</v>
      </c>
      <c r="E6842" s="321" t="s">
        <v>125</v>
      </c>
    </row>
    <row r="6843" spans="1:5">
      <c r="A6843" s="323">
        <v>46147</v>
      </c>
      <c r="B6843" s="325" t="s">
        <v>1246</v>
      </c>
      <c r="C6843" s="322" t="s">
        <v>388</v>
      </c>
      <c r="D6843" s="322">
        <v>7</v>
      </c>
      <c r="E6843" s="321" t="s">
        <v>125</v>
      </c>
    </row>
    <row r="6844" spans="1:5">
      <c r="A6844" s="323">
        <v>46147</v>
      </c>
      <c r="B6844" s="325" t="s">
        <v>1301</v>
      </c>
      <c r="C6844" s="322" t="s">
        <v>388</v>
      </c>
      <c r="D6844" s="322">
        <v>2</v>
      </c>
      <c r="E6844" s="321" t="s">
        <v>125</v>
      </c>
    </row>
    <row r="6845" spans="1:5">
      <c r="A6845" s="323">
        <v>46147</v>
      </c>
      <c r="B6845" s="325" t="s">
        <v>1246</v>
      </c>
      <c r="C6845" s="322" t="s">
        <v>388</v>
      </c>
      <c r="D6845" s="322">
        <v>2</v>
      </c>
      <c r="E6845" s="321" t="s">
        <v>125</v>
      </c>
    </row>
    <row r="6846" spans="1:5">
      <c r="A6846" s="323">
        <v>46147</v>
      </c>
      <c r="B6846" s="325" t="s">
        <v>1249</v>
      </c>
      <c r="C6846" s="322" t="s">
        <v>388</v>
      </c>
      <c r="D6846" s="322">
        <v>1</v>
      </c>
      <c r="E6846" s="321" t="s">
        <v>125</v>
      </c>
    </row>
    <row r="6847" spans="1:5">
      <c r="A6847" s="323">
        <v>46147</v>
      </c>
      <c r="B6847" s="325" t="s">
        <v>1640</v>
      </c>
      <c r="C6847" s="322" t="s">
        <v>388</v>
      </c>
      <c r="D6847" s="322">
        <v>2</v>
      </c>
      <c r="E6847" s="321" t="s">
        <v>125</v>
      </c>
    </row>
    <row r="6848" spans="1:5">
      <c r="A6848" s="323">
        <v>46147</v>
      </c>
      <c r="B6848" s="324" t="s">
        <v>4665</v>
      </c>
      <c r="C6848" s="322" t="s">
        <v>388</v>
      </c>
      <c r="D6848" s="322">
        <v>1</v>
      </c>
      <c r="E6848" s="321" t="s">
        <v>125</v>
      </c>
    </row>
    <row r="6850" spans="1:6">
      <c r="A6850" s="346">
        <v>46147</v>
      </c>
      <c r="B6850" s="349" t="s">
        <v>1334</v>
      </c>
      <c r="C6850" s="348" t="s">
        <v>2093</v>
      </c>
      <c r="D6850" s="348">
        <v>1</v>
      </c>
      <c r="E6850" s="360" t="s">
        <v>125</v>
      </c>
      <c r="F6850" t="s">
        <v>4760</v>
      </c>
    </row>
    <row r="6851" spans="1:6">
      <c r="A6851" s="346">
        <v>46147</v>
      </c>
      <c r="B6851" s="349" t="s">
        <v>1326</v>
      </c>
      <c r="C6851" s="348" t="s">
        <v>2093</v>
      </c>
      <c r="D6851" s="348">
        <v>2</v>
      </c>
      <c r="E6851" s="360" t="s">
        <v>125</v>
      </c>
    </row>
    <row r="6852" spans="1:6">
      <c r="A6852" s="346">
        <v>46147</v>
      </c>
      <c r="B6852" s="349" t="s">
        <v>1327</v>
      </c>
      <c r="C6852" s="348" t="s">
        <v>2093</v>
      </c>
      <c r="D6852" s="348">
        <v>1</v>
      </c>
      <c r="E6852" s="360" t="s">
        <v>125</v>
      </c>
    </row>
    <row r="6853" spans="1:6">
      <c r="A6853" s="346">
        <v>46147</v>
      </c>
      <c r="B6853" s="349" t="s">
        <v>1291</v>
      </c>
      <c r="C6853" s="348" t="s">
        <v>2093</v>
      </c>
      <c r="D6853" s="348">
        <v>3</v>
      </c>
      <c r="E6853" s="360" t="s">
        <v>125</v>
      </c>
    </row>
    <row r="6854" spans="1:6">
      <c r="A6854" s="346">
        <v>46147</v>
      </c>
      <c r="B6854" s="349" t="s">
        <v>4109</v>
      </c>
      <c r="C6854" s="348" t="s">
        <v>2093</v>
      </c>
      <c r="D6854" s="348">
        <v>11</v>
      </c>
      <c r="E6854" s="360" t="s">
        <v>125</v>
      </c>
    </row>
    <row r="6855" spans="1:6">
      <c r="A6855" s="346">
        <v>46147</v>
      </c>
      <c r="B6855" s="349" t="s">
        <v>1246</v>
      </c>
      <c r="C6855" s="348" t="s">
        <v>2093</v>
      </c>
      <c r="D6855" s="348">
        <v>7</v>
      </c>
      <c r="E6855" s="360" t="s">
        <v>125</v>
      </c>
    </row>
    <row r="6856" spans="1:6">
      <c r="A6856" s="346">
        <v>46147</v>
      </c>
      <c r="B6856" s="349" t="s">
        <v>1097</v>
      </c>
      <c r="C6856" s="348" t="s">
        <v>2093</v>
      </c>
      <c r="D6856" s="348">
        <v>1</v>
      </c>
      <c r="E6856" s="360" t="s">
        <v>125</v>
      </c>
    </row>
    <row r="6857" spans="1:6">
      <c r="A6857" s="346">
        <v>46147</v>
      </c>
      <c r="B6857" s="349" t="s">
        <v>1249</v>
      </c>
      <c r="C6857" s="348" t="s">
        <v>2093</v>
      </c>
      <c r="D6857" s="348">
        <v>1</v>
      </c>
      <c r="E6857" s="360" t="s">
        <v>125</v>
      </c>
    </row>
    <row r="6858" spans="1:6">
      <c r="A6858" s="346">
        <v>46147</v>
      </c>
      <c r="B6858" s="349" t="s">
        <v>1246</v>
      </c>
      <c r="C6858" s="348" t="s">
        <v>2093</v>
      </c>
      <c r="D6858" s="348">
        <v>1</v>
      </c>
      <c r="E6858" s="360" t="s">
        <v>125</v>
      </c>
    </row>
    <row r="6859" spans="1:6">
      <c r="A6859" s="346">
        <v>46147</v>
      </c>
      <c r="B6859" s="349" t="s">
        <v>1568</v>
      </c>
      <c r="C6859" s="348" t="s">
        <v>2093</v>
      </c>
      <c r="D6859" s="348">
        <v>1</v>
      </c>
      <c r="E6859" s="360" t="s">
        <v>125</v>
      </c>
    </row>
    <row r="6861" spans="1:6">
      <c r="A6861" s="323">
        <v>46147</v>
      </c>
      <c r="B6861" s="324" t="s">
        <v>131</v>
      </c>
      <c r="C6861" s="322" t="s">
        <v>388</v>
      </c>
      <c r="D6861" s="322">
        <v>18</v>
      </c>
      <c r="E6861" s="321" t="s">
        <v>125</v>
      </c>
    </row>
    <row r="6862" spans="1:6">
      <c r="A6862" s="323">
        <v>46147</v>
      </c>
      <c r="B6862" s="324" t="s">
        <v>960</v>
      </c>
      <c r="C6862" s="322" t="s">
        <v>388</v>
      </c>
      <c r="D6862" s="322">
        <v>2</v>
      </c>
      <c r="E6862" s="321" t="s">
        <v>125</v>
      </c>
    </row>
    <row r="6863" spans="1:6">
      <c r="A6863" s="323">
        <v>46147</v>
      </c>
      <c r="B6863" s="425" t="s">
        <v>375</v>
      </c>
      <c r="C6863" s="322" t="s">
        <v>388</v>
      </c>
      <c r="D6863" s="322">
        <v>3</v>
      </c>
      <c r="E6863" s="321" t="s">
        <v>125</v>
      </c>
    </row>
    <row r="6864" spans="1:6">
      <c r="A6864" s="323">
        <v>46147</v>
      </c>
      <c r="B6864" s="325" t="s">
        <v>806</v>
      </c>
      <c r="C6864" s="322" t="s">
        <v>388</v>
      </c>
      <c r="D6864" s="322">
        <v>2</v>
      </c>
      <c r="E6864" s="321" t="s">
        <v>125</v>
      </c>
    </row>
    <row r="6865" spans="1:5">
      <c r="A6865" s="323">
        <v>46147</v>
      </c>
      <c r="B6865" s="325" t="s">
        <v>4761</v>
      </c>
      <c r="C6865" s="322" t="s">
        <v>388</v>
      </c>
      <c r="D6865" s="322">
        <v>2</v>
      </c>
      <c r="E6865" s="321" t="s">
        <v>125</v>
      </c>
    </row>
    <row r="6867" spans="1:5">
      <c r="A6867" s="265">
        <v>46150</v>
      </c>
      <c r="B6867" s="343" t="s">
        <v>1246</v>
      </c>
      <c r="C6867" s="43" t="s">
        <v>4762</v>
      </c>
      <c r="D6867" s="43">
        <v>-1</v>
      </c>
      <c r="E6867" s="1064" t="s">
        <v>125</v>
      </c>
    </row>
    <row r="6869" spans="1:5">
      <c r="A6869" s="335">
        <v>46151</v>
      </c>
      <c r="B6869" s="343" t="s">
        <v>839</v>
      </c>
      <c r="C6869" s="345" t="s">
        <v>1598</v>
      </c>
      <c r="D6869" s="345">
        <v>-2</v>
      </c>
      <c r="E6869" s="1064" t="s">
        <v>125</v>
      </c>
    </row>
    <row r="6870" spans="1:5">
      <c r="A6870" s="335">
        <v>46151</v>
      </c>
      <c r="B6870" s="343" t="s">
        <v>839</v>
      </c>
      <c r="C6870" s="43" t="s">
        <v>1613</v>
      </c>
      <c r="D6870" s="43">
        <v>-20</v>
      </c>
      <c r="E6870" s="1064" t="s">
        <v>125</v>
      </c>
    </row>
    <row r="6871" spans="1:5">
      <c r="A6871" s="335">
        <v>46151</v>
      </c>
      <c r="B6871" s="343" t="s">
        <v>839</v>
      </c>
      <c r="C6871" s="43" t="s">
        <v>1613</v>
      </c>
      <c r="D6871" s="43">
        <v>-6</v>
      </c>
      <c r="E6871" s="1064" t="s">
        <v>125</v>
      </c>
    </row>
    <row r="6872" spans="1:5">
      <c r="A6872" s="335">
        <v>46151</v>
      </c>
      <c r="B6872" s="343" t="s">
        <v>839</v>
      </c>
      <c r="C6872" s="43" t="s">
        <v>1787</v>
      </c>
      <c r="D6872" s="43">
        <v>-15</v>
      </c>
      <c r="E6872" s="1064" t="s">
        <v>125</v>
      </c>
    </row>
    <row r="6873" spans="1:5">
      <c r="A6873" s="335">
        <v>46151</v>
      </c>
      <c r="B6873" s="343" t="s">
        <v>839</v>
      </c>
      <c r="C6873" s="43" t="s">
        <v>1787</v>
      </c>
      <c r="D6873" s="43">
        <v>-5</v>
      </c>
      <c r="E6873" s="1064" t="s">
        <v>125</v>
      </c>
    </row>
    <row r="6874" spans="1:5">
      <c r="A6874" s="335">
        <v>46151</v>
      </c>
      <c r="B6874" s="343" t="s">
        <v>4109</v>
      </c>
      <c r="C6874" s="43" t="s">
        <v>2929</v>
      </c>
      <c r="D6874" s="43">
        <v>-7</v>
      </c>
      <c r="E6874" s="1064" t="s">
        <v>125</v>
      </c>
    </row>
    <row r="6876" spans="1:5">
      <c r="A6876" s="265">
        <v>46150</v>
      </c>
      <c r="B6876" s="93" t="s">
        <v>2517</v>
      </c>
      <c r="C6876" s="43" t="s">
        <v>4121</v>
      </c>
      <c r="D6876" s="43">
        <v>-1</v>
      </c>
      <c r="E6876" s="1064" t="s">
        <v>125</v>
      </c>
    </row>
    <row r="6877" spans="1:5">
      <c r="A6877" s="265">
        <v>46150</v>
      </c>
      <c r="B6877" s="343" t="s">
        <v>1246</v>
      </c>
      <c r="C6877" s="43" t="s">
        <v>4775</v>
      </c>
      <c r="D6877" s="43">
        <v>-1</v>
      </c>
      <c r="E6877" s="1064" t="s">
        <v>125</v>
      </c>
    </row>
    <row r="6878" spans="1:5">
      <c r="A6878" s="265">
        <v>46150</v>
      </c>
      <c r="B6878" s="343" t="s">
        <v>1246</v>
      </c>
      <c r="C6878" s="43" t="s">
        <v>4539</v>
      </c>
      <c r="D6878" s="43">
        <v>-1</v>
      </c>
      <c r="E6878" s="1064" t="s">
        <v>125</v>
      </c>
    </row>
    <row r="6879" spans="1:5">
      <c r="A6879" s="265">
        <v>46150</v>
      </c>
      <c r="B6879" s="343" t="s">
        <v>1246</v>
      </c>
      <c r="C6879" s="43" t="s">
        <v>3826</v>
      </c>
      <c r="D6879" s="43">
        <v>-1</v>
      </c>
      <c r="E6879" s="1064" t="s">
        <v>125</v>
      </c>
    </row>
    <row r="6880" spans="1:5">
      <c r="A6880" s="265">
        <v>46150</v>
      </c>
      <c r="B6880" s="343" t="s">
        <v>1246</v>
      </c>
      <c r="C6880" s="43" t="s">
        <v>4539</v>
      </c>
      <c r="D6880" s="43">
        <v>-1</v>
      </c>
      <c r="E6880" s="1064" t="s">
        <v>125</v>
      </c>
    </row>
    <row r="6881" spans="1:5">
      <c r="A6881" s="265">
        <v>46150</v>
      </c>
      <c r="B6881" s="343" t="s">
        <v>1694</v>
      </c>
      <c r="C6881" s="43" t="s">
        <v>4776</v>
      </c>
      <c r="D6881" s="43">
        <v>-1</v>
      </c>
      <c r="E6881" s="1064" t="s">
        <v>125</v>
      </c>
    </row>
    <row r="6882" spans="1:5">
      <c r="A6882" s="265">
        <v>46150</v>
      </c>
      <c r="B6882" s="343" t="s">
        <v>1246</v>
      </c>
      <c r="C6882" s="43" t="s">
        <v>4776</v>
      </c>
      <c r="D6882" s="43">
        <v>-1</v>
      </c>
      <c r="E6882" s="1064" t="s">
        <v>125</v>
      </c>
    </row>
    <row r="6884" spans="1:5">
      <c r="A6884" s="335">
        <v>46151</v>
      </c>
      <c r="B6884" s="343" t="s">
        <v>1246</v>
      </c>
      <c r="C6884" s="43" t="s">
        <v>3826</v>
      </c>
      <c r="D6884" s="43">
        <v>-1</v>
      </c>
      <c r="E6884" s="1064" t="s">
        <v>125</v>
      </c>
    </row>
    <row r="6885" spans="1:5">
      <c r="A6885" s="335">
        <v>46151</v>
      </c>
      <c r="B6885" s="343" t="s">
        <v>1246</v>
      </c>
      <c r="C6885" s="43" t="s">
        <v>3826</v>
      </c>
      <c r="D6885" s="43">
        <v>-1</v>
      </c>
      <c r="E6885" s="1064" t="s">
        <v>125</v>
      </c>
    </row>
    <row r="6886" spans="1:5">
      <c r="A6886" s="335">
        <v>46151</v>
      </c>
      <c r="B6886" s="343" t="s">
        <v>1409</v>
      </c>
      <c r="C6886" s="43" t="s">
        <v>4121</v>
      </c>
      <c r="D6886" s="43">
        <v>-1</v>
      </c>
      <c r="E6886" s="1064" t="s">
        <v>125</v>
      </c>
    </row>
    <row r="6888" spans="1:5">
      <c r="A6888" s="335">
        <v>46152</v>
      </c>
      <c r="B6888" s="343" t="s">
        <v>1246</v>
      </c>
      <c r="C6888" s="43" t="s">
        <v>4777</v>
      </c>
      <c r="D6888" s="43">
        <v>-1</v>
      </c>
      <c r="E6888" s="1064" t="s">
        <v>125</v>
      </c>
    </row>
    <row r="6890" spans="1:5">
      <c r="A6890" s="265">
        <v>46153</v>
      </c>
      <c r="B6890" s="343" t="s">
        <v>1246</v>
      </c>
      <c r="C6890" s="43" t="s">
        <v>4540</v>
      </c>
      <c r="D6890" s="43">
        <v>-1</v>
      </c>
      <c r="E6890" s="1064" t="s">
        <v>125</v>
      </c>
    </row>
    <row r="6891" spans="1:5">
      <c r="A6891" s="265">
        <v>46153</v>
      </c>
      <c r="B6891" s="343" t="s">
        <v>1246</v>
      </c>
      <c r="C6891" s="43" t="s">
        <v>4539</v>
      </c>
      <c r="D6891" s="43">
        <v>-1</v>
      </c>
      <c r="E6891" s="1064" t="s">
        <v>125</v>
      </c>
    </row>
    <row r="6892" spans="1:5">
      <c r="A6892" s="265">
        <v>46153</v>
      </c>
      <c r="B6892" s="343" t="s">
        <v>1246</v>
      </c>
      <c r="C6892" s="43" t="s">
        <v>4670</v>
      </c>
      <c r="D6892" s="43">
        <v>-1</v>
      </c>
      <c r="E6892" s="1064" t="s">
        <v>125</v>
      </c>
    </row>
    <row r="6894" spans="1:5">
      <c r="A6894" s="335">
        <v>46151</v>
      </c>
      <c r="B6894" s="343" t="s">
        <v>1271</v>
      </c>
      <c r="C6894" s="43" t="s">
        <v>1686</v>
      </c>
      <c r="D6894" s="43">
        <v>-3</v>
      </c>
      <c r="E6894" s="1064" t="s">
        <v>125</v>
      </c>
    </row>
    <row r="6896" spans="1:5">
      <c r="A6896" s="335">
        <v>46151</v>
      </c>
      <c r="B6896" s="343" t="s">
        <v>4109</v>
      </c>
      <c r="C6896" s="43" t="s">
        <v>3831</v>
      </c>
      <c r="D6896" s="43">
        <v>7</v>
      </c>
      <c r="E6896" s="1064" t="s">
        <v>125</v>
      </c>
    </row>
    <row r="6898" spans="1:5">
      <c r="A6898" s="335">
        <v>46151</v>
      </c>
      <c r="B6898" s="343" t="s">
        <v>4109</v>
      </c>
      <c r="C6898" s="43" t="s">
        <v>2647</v>
      </c>
      <c r="D6898" s="43">
        <v>-5</v>
      </c>
      <c r="E6898" s="1064" t="s">
        <v>125</v>
      </c>
    </row>
    <row r="6899" spans="1:5">
      <c r="A6899" s="335">
        <v>46151</v>
      </c>
      <c r="B6899" s="343" t="s">
        <v>4470</v>
      </c>
      <c r="C6899" s="43" t="s">
        <v>2647</v>
      </c>
      <c r="D6899" s="43">
        <v>-2</v>
      </c>
      <c r="E6899" s="1064" t="s">
        <v>125</v>
      </c>
    </row>
    <row r="6900" spans="1:5">
      <c r="A6900" s="335">
        <v>46151</v>
      </c>
      <c r="B6900" s="93" t="s">
        <v>1097</v>
      </c>
      <c r="C6900" s="43" t="s">
        <v>2647</v>
      </c>
      <c r="D6900" s="43">
        <v>-1</v>
      </c>
      <c r="E6900" s="1064" t="s">
        <v>125</v>
      </c>
    </row>
    <row r="6902" spans="1:5">
      <c r="A6902" s="335">
        <v>46152</v>
      </c>
      <c r="B6902" s="343" t="s">
        <v>1249</v>
      </c>
      <c r="C6902" s="43" t="s">
        <v>4778</v>
      </c>
      <c r="D6902" s="43">
        <v>-1</v>
      </c>
      <c r="E6902" s="1064" t="s">
        <v>125</v>
      </c>
    </row>
    <row r="6903" spans="1:5">
      <c r="A6903" s="335">
        <v>46152</v>
      </c>
      <c r="B6903" s="343" t="s">
        <v>1271</v>
      </c>
      <c r="C6903" s="43" t="s">
        <v>4779</v>
      </c>
      <c r="D6903" s="43">
        <v>-11</v>
      </c>
      <c r="E6903" s="1064" t="s">
        <v>125</v>
      </c>
    </row>
    <row r="6904" spans="1:5">
      <c r="A6904" s="335">
        <v>46152</v>
      </c>
      <c r="B6904" s="343" t="s">
        <v>1271</v>
      </c>
      <c r="C6904" s="43" t="s">
        <v>4779</v>
      </c>
      <c r="D6904" s="43">
        <v>-4</v>
      </c>
      <c r="E6904" s="1064" t="s">
        <v>125</v>
      </c>
    </row>
    <row r="6905" spans="1:5">
      <c r="A6905" s="335">
        <v>46152</v>
      </c>
      <c r="B6905" s="343" t="s">
        <v>1271</v>
      </c>
      <c r="C6905" s="43" t="s">
        <v>4779</v>
      </c>
      <c r="D6905" s="43">
        <v>-4</v>
      </c>
      <c r="E6905" s="1064" t="s">
        <v>125</v>
      </c>
    </row>
    <row r="6907" spans="1:5">
      <c r="A6907" s="335">
        <v>46153</v>
      </c>
      <c r="B6907" s="343" t="s">
        <v>4124</v>
      </c>
      <c r="C6907" s="345" t="s">
        <v>1603</v>
      </c>
      <c r="D6907" s="345">
        <v>-17</v>
      </c>
      <c r="E6907" s="1064" t="s">
        <v>125</v>
      </c>
    </row>
    <row r="6908" spans="1:5">
      <c r="A6908" s="335">
        <v>46153</v>
      </c>
      <c r="B6908" s="343" t="s">
        <v>4503</v>
      </c>
      <c r="C6908" s="345" t="s">
        <v>1603</v>
      </c>
      <c r="D6908" s="345">
        <v>-1</v>
      </c>
      <c r="E6908" s="1064" t="s">
        <v>125</v>
      </c>
    </row>
    <row r="6909" spans="1:5">
      <c r="A6909" s="335">
        <v>46153</v>
      </c>
      <c r="B6909" s="341" t="s">
        <v>76</v>
      </c>
      <c r="C6909" s="345" t="s">
        <v>1603</v>
      </c>
      <c r="D6909" s="345">
        <v>-10</v>
      </c>
      <c r="E6909" s="1064" t="s">
        <v>125</v>
      </c>
    </row>
    <row r="6910" spans="1:5">
      <c r="A6910" s="335">
        <v>46153</v>
      </c>
      <c r="B6910" s="343" t="s">
        <v>1246</v>
      </c>
      <c r="C6910" s="43" t="s">
        <v>4672</v>
      </c>
      <c r="D6910" s="43">
        <v>-1</v>
      </c>
      <c r="E6910" s="1064" t="s">
        <v>125</v>
      </c>
    </row>
    <row r="6911" spans="1:5">
      <c r="A6911" s="335">
        <v>46153</v>
      </c>
      <c r="B6911" s="343" t="s">
        <v>1246</v>
      </c>
      <c r="C6911" s="43" t="s">
        <v>3004</v>
      </c>
      <c r="D6911" s="43">
        <v>-4</v>
      </c>
      <c r="E6911" s="1064" t="s">
        <v>125</v>
      </c>
    </row>
    <row r="6912" spans="1:5">
      <c r="A6912" s="335">
        <v>46153</v>
      </c>
      <c r="B6912" s="343" t="s">
        <v>1246</v>
      </c>
      <c r="C6912" s="43" t="s">
        <v>3004</v>
      </c>
      <c r="D6912" s="43">
        <v>-5</v>
      </c>
      <c r="E6912" s="1064" t="s">
        <v>125</v>
      </c>
    </row>
    <row r="6913" spans="1:5">
      <c r="A6913" s="335">
        <v>46153</v>
      </c>
      <c r="B6913" s="93" t="s">
        <v>2646</v>
      </c>
      <c r="C6913" s="43" t="s">
        <v>1661</v>
      </c>
      <c r="D6913" s="43">
        <v>-1</v>
      </c>
      <c r="E6913" s="1064" t="s">
        <v>125</v>
      </c>
    </row>
    <row r="6914" spans="1:5">
      <c r="A6914" s="335">
        <v>46153</v>
      </c>
      <c r="B6914" s="343" t="s">
        <v>1246</v>
      </c>
      <c r="C6914" s="43" t="s">
        <v>3004</v>
      </c>
      <c r="D6914" s="43">
        <v>-10</v>
      </c>
      <c r="E6914" s="1064" t="s">
        <v>125</v>
      </c>
    </row>
    <row r="6915" spans="1:5">
      <c r="A6915" s="335">
        <v>46153</v>
      </c>
      <c r="B6915" s="343" t="s">
        <v>1246</v>
      </c>
      <c r="C6915" s="43" t="s">
        <v>3004</v>
      </c>
      <c r="D6915" s="43">
        <v>-5</v>
      </c>
      <c r="E6915" s="1064" t="s">
        <v>125</v>
      </c>
    </row>
    <row r="6917" spans="1:5">
      <c r="A6917" s="265">
        <v>46154</v>
      </c>
      <c r="B6917" s="343" t="s">
        <v>839</v>
      </c>
      <c r="C6917" s="43" t="s">
        <v>2569</v>
      </c>
      <c r="D6917" s="43">
        <v>-4</v>
      </c>
      <c r="E6917" s="1064" t="s">
        <v>125</v>
      </c>
    </row>
    <row r="6918" spans="1:5">
      <c r="A6918" s="265">
        <v>46154</v>
      </c>
      <c r="B6918" s="343" t="s">
        <v>839</v>
      </c>
      <c r="C6918" s="43" t="s">
        <v>1598</v>
      </c>
      <c r="D6918" s="43">
        <v>-2</v>
      </c>
      <c r="E6918" s="1064" t="s">
        <v>125</v>
      </c>
    </row>
    <row r="6919" spans="1:5">
      <c r="A6919" s="265">
        <v>46154</v>
      </c>
      <c r="B6919" s="343" t="s">
        <v>839</v>
      </c>
      <c r="C6919" s="43" t="s">
        <v>1598</v>
      </c>
      <c r="D6919" s="43">
        <v>-3</v>
      </c>
      <c r="E6919" s="1064" t="s">
        <v>125</v>
      </c>
    </row>
    <row r="6920" spans="1:5">
      <c r="A6920" s="265">
        <v>46154</v>
      </c>
      <c r="B6920" s="343" t="s">
        <v>1291</v>
      </c>
      <c r="C6920" s="43" t="s">
        <v>2724</v>
      </c>
      <c r="D6920" s="43">
        <v>-7</v>
      </c>
      <c r="E6920" s="1064" t="s">
        <v>125</v>
      </c>
    </row>
    <row r="6921" spans="1:5">
      <c r="A6921" s="265">
        <v>46154</v>
      </c>
      <c r="B6921" s="84" t="s">
        <v>1387</v>
      </c>
      <c r="C6921" s="43" t="s">
        <v>2724</v>
      </c>
      <c r="D6921" s="43">
        <v>-1</v>
      </c>
      <c r="E6921" s="1064" t="s">
        <v>125</v>
      </c>
    </row>
    <row r="6922" spans="1:5">
      <c r="A6922" s="265">
        <v>46154</v>
      </c>
      <c r="B6922" s="343" t="s">
        <v>1334</v>
      </c>
      <c r="C6922" s="43" t="s">
        <v>2724</v>
      </c>
      <c r="D6922" s="43">
        <v>-3</v>
      </c>
      <c r="E6922" s="1064" t="s">
        <v>125</v>
      </c>
    </row>
    <row r="6923" spans="1:5">
      <c r="A6923" s="265">
        <v>46154</v>
      </c>
      <c r="B6923" s="93" t="s">
        <v>1490</v>
      </c>
      <c r="C6923" s="43" t="s">
        <v>2724</v>
      </c>
      <c r="D6923" s="43">
        <v>-1</v>
      </c>
      <c r="E6923" s="1064" t="s">
        <v>125</v>
      </c>
    </row>
    <row r="6924" spans="1:5">
      <c r="A6924" s="265">
        <v>46154</v>
      </c>
      <c r="B6924" s="343" t="s">
        <v>1291</v>
      </c>
      <c r="C6924" s="43" t="s">
        <v>2724</v>
      </c>
      <c r="D6924" s="43">
        <v>-1</v>
      </c>
      <c r="E6924" s="1064" t="s">
        <v>125</v>
      </c>
    </row>
    <row r="6925" spans="1:5">
      <c r="A6925" s="265">
        <v>46154</v>
      </c>
      <c r="B6925" s="343" t="s">
        <v>1291</v>
      </c>
      <c r="C6925" s="43" t="s">
        <v>2724</v>
      </c>
      <c r="D6925" s="43">
        <v>-1</v>
      </c>
      <c r="E6925" s="1064" t="s">
        <v>125</v>
      </c>
    </row>
    <row r="6926" spans="1:5">
      <c r="A6926" s="265">
        <v>46154</v>
      </c>
      <c r="B6926" s="341" t="s">
        <v>76</v>
      </c>
      <c r="C6926" s="43" t="s">
        <v>1814</v>
      </c>
      <c r="D6926" s="43">
        <v>-10</v>
      </c>
      <c r="E6926" s="1064" t="s">
        <v>125</v>
      </c>
    </row>
    <row r="6927" spans="1:5">
      <c r="A6927" s="265">
        <v>46154</v>
      </c>
      <c r="B6927" s="341" t="s">
        <v>76</v>
      </c>
      <c r="C6927" s="43" t="s">
        <v>4780</v>
      </c>
      <c r="D6927" s="43">
        <v>-93</v>
      </c>
      <c r="E6927" s="1064" t="s">
        <v>125</v>
      </c>
    </row>
    <row r="6928" spans="1:5">
      <c r="A6928" s="265">
        <v>46154</v>
      </c>
      <c r="B6928" s="84" t="s">
        <v>131</v>
      </c>
      <c r="C6928" s="43" t="s">
        <v>1970</v>
      </c>
      <c r="D6928" s="43">
        <v>-18</v>
      </c>
      <c r="E6928" s="1064" t="s">
        <v>125</v>
      </c>
    </row>
    <row r="6929" spans="1:6">
      <c r="A6929" s="265">
        <v>46154</v>
      </c>
      <c r="B6929" s="104" t="s">
        <v>375</v>
      </c>
      <c r="C6929" s="43" t="s">
        <v>1970</v>
      </c>
      <c r="D6929" s="43">
        <v>-9</v>
      </c>
      <c r="E6929" s="1064" t="s">
        <v>125</v>
      </c>
    </row>
    <row r="6930" spans="1:6">
      <c r="A6930" s="265">
        <v>46154</v>
      </c>
      <c r="B6930" s="343" t="s">
        <v>1246</v>
      </c>
      <c r="C6930" s="43" t="s">
        <v>1661</v>
      </c>
      <c r="D6930" s="43">
        <v>-5</v>
      </c>
      <c r="E6930" s="1064" t="s">
        <v>125</v>
      </c>
    </row>
    <row r="6932" spans="1:6">
      <c r="A6932" s="265">
        <v>46155</v>
      </c>
      <c r="B6932" s="92" t="s">
        <v>882</v>
      </c>
      <c r="C6932" s="43" t="s">
        <v>1613</v>
      </c>
      <c r="D6932" s="43">
        <v>-1</v>
      </c>
      <c r="E6932" s="1064" t="s">
        <v>125</v>
      </c>
    </row>
    <row r="6934" spans="1:6">
      <c r="A6934" s="346">
        <v>46149</v>
      </c>
      <c r="B6934" s="349" t="s">
        <v>4109</v>
      </c>
      <c r="C6934" s="348" t="s">
        <v>2093</v>
      </c>
      <c r="D6934" s="348">
        <v>10</v>
      </c>
      <c r="E6934" s="360" t="s">
        <v>125</v>
      </c>
      <c r="F6934" t="s">
        <v>4785</v>
      </c>
    </row>
    <row r="6935" spans="1:6">
      <c r="A6935" s="346">
        <v>46149</v>
      </c>
      <c r="B6935" s="349" t="s">
        <v>4470</v>
      </c>
      <c r="C6935" s="348" t="s">
        <v>2093</v>
      </c>
      <c r="D6935" s="348">
        <v>2</v>
      </c>
      <c r="E6935" s="360" t="s">
        <v>125</v>
      </c>
    </row>
    <row r="6936" spans="1:6">
      <c r="A6936" s="346">
        <v>46149</v>
      </c>
      <c r="B6936" s="349" t="s">
        <v>1271</v>
      </c>
      <c r="C6936" s="348" t="s">
        <v>2093</v>
      </c>
      <c r="D6936" s="348">
        <v>5</v>
      </c>
      <c r="E6936" s="360" t="s">
        <v>125</v>
      </c>
    </row>
    <row r="6937" spans="1:6">
      <c r="A6937" s="346">
        <v>46149</v>
      </c>
      <c r="B6937" s="349" t="s">
        <v>1326</v>
      </c>
      <c r="C6937" s="348" t="s">
        <v>2093</v>
      </c>
      <c r="D6937" s="348">
        <v>4</v>
      </c>
      <c r="E6937" s="360" t="s">
        <v>125</v>
      </c>
    </row>
    <row r="6938" spans="1:6">
      <c r="A6938" s="346">
        <v>46149</v>
      </c>
      <c r="B6938" s="349" t="s">
        <v>1246</v>
      </c>
      <c r="C6938" s="348" t="s">
        <v>2093</v>
      </c>
      <c r="D6938" s="348">
        <v>3</v>
      </c>
      <c r="E6938" s="360" t="s">
        <v>125</v>
      </c>
    </row>
    <row r="6939" spans="1:6">
      <c r="A6939" s="346">
        <v>46149</v>
      </c>
      <c r="B6939" s="349" t="s">
        <v>1291</v>
      </c>
      <c r="C6939" s="348" t="s">
        <v>2093</v>
      </c>
      <c r="D6939" s="348">
        <v>5</v>
      </c>
      <c r="E6939" s="360" t="s">
        <v>125</v>
      </c>
    </row>
    <row r="6940" spans="1:6">
      <c r="A6940" s="346">
        <v>46149</v>
      </c>
      <c r="B6940" s="349" t="s">
        <v>1291</v>
      </c>
      <c r="C6940" s="348" t="s">
        <v>2093</v>
      </c>
      <c r="D6940" s="348">
        <v>1</v>
      </c>
      <c r="E6940" s="360" t="s">
        <v>125</v>
      </c>
    </row>
    <row r="6941" spans="1:6">
      <c r="A6941" s="346">
        <v>46149</v>
      </c>
      <c r="B6941" s="349" t="s">
        <v>1246</v>
      </c>
      <c r="C6941" s="348" t="s">
        <v>2093</v>
      </c>
      <c r="D6941" s="348">
        <v>1</v>
      </c>
      <c r="E6941" s="360" t="s">
        <v>125</v>
      </c>
    </row>
    <row r="6942" spans="1:6">
      <c r="A6942" s="346">
        <v>46149</v>
      </c>
      <c r="B6942" s="349" t="s">
        <v>1334</v>
      </c>
      <c r="C6942" s="348" t="s">
        <v>2093</v>
      </c>
      <c r="D6942" s="348">
        <v>1</v>
      </c>
      <c r="E6942" s="360" t="s">
        <v>125</v>
      </c>
    </row>
    <row r="6943" spans="1:6">
      <c r="A6943" s="346">
        <v>46149</v>
      </c>
      <c r="B6943" s="349" t="s">
        <v>1641</v>
      </c>
      <c r="C6943" s="348" t="s">
        <v>2093</v>
      </c>
      <c r="D6943" s="348">
        <v>1</v>
      </c>
      <c r="E6943" s="360" t="s">
        <v>125</v>
      </c>
    </row>
    <row r="6944" spans="1:6">
      <c r="A6944" s="346">
        <v>46149</v>
      </c>
      <c r="B6944" s="349" t="s">
        <v>1095</v>
      </c>
      <c r="C6944" s="348" t="s">
        <v>2093</v>
      </c>
      <c r="D6944" s="348">
        <v>1</v>
      </c>
      <c r="E6944" s="360" t="s">
        <v>125</v>
      </c>
    </row>
    <row r="6945" spans="1:5">
      <c r="A6945" s="346">
        <v>46149</v>
      </c>
      <c r="B6945" s="349" t="s">
        <v>1568</v>
      </c>
      <c r="C6945" s="348" t="s">
        <v>2093</v>
      </c>
      <c r="D6945" s="348">
        <v>1</v>
      </c>
      <c r="E6945" s="360" t="s">
        <v>125</v>
      </c>
    </row>
    <row r="6947" spans="1:5">
      <c r="A6947" s="323">
        <v>46149</v>
      </c>
      <c r="B6947" s="325" t="s">
        <v>4124</v>
      </c>
      <c r="C6947" s="322" t="s">
        <v>4786</v>
      </c>
      <c r="D6947" s="322">
        <v>7</v>
      </c>
      <c r="E6947" s="321" t="s">
        <v>125</v>
      </c>
    </row>
    <row r="6949" spans="1:5">
      <c r="A6949" s="323">
        <v>46149</v>
      </c>
      <c r="B6949" s="325" t="s">
        <v>4124</v>
      </c>
      <c r="C6949" s="322" t="s">
        <v>4787</v>
      </c>
      <c r="D6949" s="322">
        <v>1</v>
      </c>
      <c r="E6949" s="321" t="s">
        <v>125</v>
      </c>
    </row>
    <row r="6951" spans="1:5">
      <c r="A6951" s="335">
        <v>46155</v>
      </c>
      <c r="B6951" s="342" t="s">
        <v>1994</v>
      </c>
      <c r="C6951" s="345" t="s">
        <v>4500</v>
      </c>
      <c r="D6951" s="345">
        <v>-14</v>
      </c>
      <c r="E6951" s="1064" t="s">
        <v>125</v>
      </c>
    </row>
    <row r="6952" spans="1:5">
      <c r="A6952" s="335">
        <v>46155</v>
      </c>
      <c r="B6952" s="343" t="s">
        <v>2019</v>
      </c>
      <c r="C6952" s="345" t="s">
        <v>4500</v>
      </c>
      <c r="D6952" s="345">
        <v>-2</v>
      </c>
      <c r="E6952" s="1064" t="s">
        <v>125</v>
      </c>
    </row>
    <row r="6953" spans="1:5">
      <c r="A6953" s="335">
        <v>46155</v>
      </c>
      <c r="B6953" s="343" t="s">
        <v>1568</v>
      </c>
      <c r="C6953" s="345" t="s">
        <v>4500</v>
      </c>
      <c r="D6953" s="345">
        <v>-10</v>
      </c>
      <c r="E6953" s="1064" t="s">
        <v>125</v>
      </c>
    </row>
    <row r="6954" spans="1:5">
      <c r="A6954" s="335">
        <v>46155</v>
      </c>
      <c r="B6954" s="343" t="s">
        <v>1568</v>
      </c>
      <c r="C6954" s="345" t="s">
        <v>4500</v>
      </c>
      <c r="D6954" s="345">
        <v>-6</v>
      </c>
      <c r="E6954" s="1064" t="s">
        <v>125</v>
      </c>
    </row>
    <row r="6955" spans="1:5">
      <c r="A6955" s="335">
        <v>46155</v>
      </c>
      <c r="B6955" s="343" t="s">
        <v>1568</v>
      </c>
      <c r="C6955" s="345" t="s">
        <v>4500</v>
      </c>
      <c r="D6955" s="345">
        <v>-4</v>
      </c>
      <c r="E6955" s="1064" t="s">
        <v>125</v>
      </c>
    </row>
    <row r="6956" spans="1:5">
      <c r="A6956" s="335">
        <v>46155</v>
      </c>
      <c r="B6956" s="343" t="s">
        <v>1640</v>
      </c>
      <c r="C6956" s="345" t="s">
        <v>4500</v>
      </c>
      <c r="D6956" s="345">
        <v>-2</v>
      </c>
      <c r="E6956" s="1064" t="s">
        <v>125</v>
      </c>
    </row>
    <row r="6957" spans="1:5">
      <c r="A6957" s="335">
        <v>46155</v>
      </c>
      <c r="B6957" s="343" t="s">
        <v>1641</v>
      </c>
      <c r="C6957" s="345" t="s">
        <v>4500</v>
      </c>
      <c r="D6957" s="345">
        <v>-3</v>
      </c>
      <c r="E6957" s="1064" t="s">
        <v>125</v>
      </c>
    </row>
    <row r="6958" spans="1:5">
      <c r="A6958" s="335">
        <v>46155</v>
      </c>
      <c r="B6958" s="343" t="s">
        <v>1641</v>
      </c>
      <c r="C6958" s="345" t="s">
        <v>4500</v>
      </c>
      <c r="D6958" s="345">
        <v>-2</v>
      </c>
      <c r="E6958" s="1064" t="s">
        <v>125</v>
      </c>
    </row>
    <row r="6959" spans="1:5">
      <c r="A6959" s="335">
        <v>46155</v>
      </c>
      <c r="B6959" s="343" t="s">
        <v>1095</v>
      </c>
      <c r="C6959" s="345" t="s">
        <v>4500</v>
      </c>
      <c r="D6959" s="345">
        <v>-2</v>
      </c>
      <c r="E6959" s="1064" t="s">
        <v>125</v>
      </c>
    </row>
    <row r="6960" spans="1:5">
      <c r="A6960" s="335">
        <v>46155</v>
      </c>
      <c r="B6960" s="343" t="s">
        <v>1202</v>
      </c>
      <c r="C6960" s="345" t="s">
        <v>4500</v>
      </c>
      <c r="D6960" s="345">
        <v>-2</v>
      </c>
      <c r="E6960" s="1064" t="s">
        <v>125</v>
      </c>
    </row>
    <row r="6961" spans="1:5">
      <c r="A6961" s="335">
        <v>46155</v>
      </c>
      <c r="B6961" s="343" t="s">
        <v>1259</v>
      </c>
      <c r="C6961" s="345" t="s">
        <v>4500</v>
      </c>
      <c r="D6961" s="345">
        <v>-1</v>
      </c>
      <c r="E6961" s="1064" t="s">
        <v>125</v>
      </c>
    </row>
    <row r="6962" spans="1:5">
      <c r="A6962" s="335">
        <v>46155</v>
      </c>
      <c r="B6962" s="343" t="s">
        <v>2142</v>
      </c>
      <c r="C6962" s="345" t="s">
        <v>4500</v>
      </c>
      <c r="D6962" s="345">
        <v>-1</v>
      </c>
      <c r="E6962" s="1064" t="s">
        <v>125</v>
      </c>
    </row>
    <row r="6963" spans="1:5">
      <c r="A6963" s="335">
        <v>46155</v>
      </c>
      <c r="B6963" s="343" t="s">
        <v>4108</v>
      </c>
      <c r="C6963" s="345" t="s">
        <v>4500</v>
      </c>
      <c r="D6963" s="345">
        <v>-2</v>
      </c>
      <c r="E6963" s="1064" t="s">
        <v>125</v>
      </c>
    </row>
    <row r="6964" spans="1:5">
      <c r="A6964" s="335">
        <v>46155</v>
      </c>
      <c r="B6964" s="343" t="s">
        <v>4108</v>
      </c>
      <c r="C6964" s="345" t="s">
        <v>4500</v>
      </c>
      <c r="D6964" s="345">
        <v>-1</v>
      </c>
      <c r="E6964" s="1064" t="s">
        <v>125</v>
      </c>
    </row>
    <row r="6965" spans="1:5">
      <c r="A6965" s="335">
        <v>46155</v>
      </c>
      <c r="B6965" s="343" t="s">
        <v>1095</v>
      </c>
      <c r="C6965" s="345" t="s">
        <v>4500</v>
      </c>
      <c r="D6965" s="345">
        <v>-1</v>
      </c>
      <c r="E6965" s="1064" t="s">
        <v>125</v>
      </c>
    </row>
    <row r="6966" spans="1:5">
      <c r="A6966" s="335">
        <v>46155</v>
      </c>
      <c r="B6966" s="93" t="s">
        <v>806</v>
      </c>
      <c r="C6966" s="43" t="s">
        <v>4789</v>
      </c>
      <c r="D6966" s="43">
        <v>-3</v>
      </c>
      <c r="E6966" s="1064" t="s">
        <v>125</v>
      </c>
    </row>
    <row r="6967" spans="1:5">
      <c r="A6967" s="335">
        <v>46155</v>
      </c>
      <c r="B6967" s="84" t="s">
        <v>4720</v>
      </c>
      <c r="C6967" s="43" t="s">
        <v>1661</v>
      </c>
      <c r="D6967" s="43">
        <v>-6</v>
      </c>
      <c r="E6967" s="1064" t="s">
        <v>125</v>
      </c>
    </row>
    <row r="6969" spans="1:5">
      <c r="A6969" s="335">
        <v>46156</v>
      </c>
      <c r="B6969" s="343" t="s">
        <v>1246</v>
      </c>
      <c r="C6969" s="345" t="s">
        <v>4121</v>
      </c>
      <c r="D6969" s="345">
        <v>-1</v>
      </c>
      <c r="E6969" s="1064" t="s">
        <v>125</v>
      </c>
    </row>
    <row r="6970" spans="1:5">
      <c r="A6970" s="335">
        <v>46156</v>
      </c>
      <c r="B6970" s="343" t="s">
        <v>1409</v>
      </c>
      <c r="C6970" s="345" t="s">
        <v>4121</v>
      </c>
      <c r="D6970" s="345">
        <v>-1</v>
      </c>
      <c r="E6970" s="1064" t="s">
        <v>125</v>
      </c>
    </row>
    <row r="6971" spans="1:5">
      <c r="A6971" s="335">
        <v>46156</v>
      </c>
      <c r="B6971" s="93" t="s">
        <v>4664</v>
      </c>
      <c r="C6971" s="43" t="s">
        <v>2647</v>
      </c>
      <c r="D6971" s="43">
        <v>-1</v>
      </c>
      <c r="E6971" s="1064" t="s">
        <v>125</v>
      </c>
    </row>
    <row r="6972" spans="1:5">
      <c r="A6972" s="265">
        <v>46154</v>
      </c>
      <c r="B6972" s="343" t="s">
        <v>1246</v>
      </c>
      <c r="C6972" s="43" t="s">
        <v>3826</v>
      </c>
      <c r="D6972" s="43">
        <v>-1</v>
      </c>
      <c r="E6972" s="1064" t="s">
        <v>125</v>
      </c>
    </row>
    <row r="6973" spans="1:5">
      <c r="A6973" s="265">
        <v>46154</v>
      </c>
      <c r="B6973" s="343" t="s">
        <v>1271</v>
      </c>
      <c r="C6973" s="43" t="s">
        <v>4790</v>
      </c>
      <c r="D6973" s="43">
        <v>-1</v>
      </c>
      <c r="E6973" s="1064" t="s">
        <v>125</v>
      </c>
    </row>
    <row r="6975" spans="1:5">
      <c r="A6975" s="265">
        <v>46155</v>
      </c>
      <c r="B6975" s="343" t="s">
        <v>1246</v>
      </c>
      <c r="C6975" s="43" t="s">
        <v>4540</v>
      </c>
      <c r="D6975" s="43">
        <v>-1</v>
      </c>
      <c r="E6975" s="1064" t="s">
        <v>125</v>
      </c>
    </row>
    <row r="6976" spans="1:5">
      <c r="A6976" s="265">
        <v>46155</v>
      </c>
      <c r="B6976" s="343" t="s">
        <v>1249</v>
      </c>
      <c r="C6976" s="43" t="s">
        <v>3826</v>
      </c>
      <c r="D6976" s="43">
        <v>-1</v>
      </c>
      <c r="E6976" s="1064" t="s">
        <v>125</v>
      </c>
    </row>
    <row r="6977" spans="1:5">
      <c r="A6977" s="265">
        <v>46155</v>
      </c>
      <c r="B6977" s="343" t="s">
        <v>1246</v>
      </c>
      <c r="C6977" s="43" t="s">
        <v>3826</v>
      </c>
      <c r="D6977" s="43">
        <v>-1</v>
      </c>
      <c r="E6977" s="1064" t="s">
        <v>125</v>
      </c>
    </row>
    <row r="6979" spans="1:5">
      <c r="A6979" s="265">
        <v>46157</v>
      </c>
      <c r="B6979" s="93" t="s">
        <v>2646</v>
      </c>
      <c r="C6979" s="43" t="s">
        <v>4791</v>
      </c>
      <c r="D6979" s="43">
        <v>-1</v>
      </c>
      <c r="E6979" s="1064" t="s">
        <v>125</v>
      </c>
    </row>
    <row r="6981" spans="1:5">
      <c r="A6981" s="335">
        <v>46156</v>
      </c>
      <c r="B6981" s="343" t="s">
        <v>1246</v>
      </c>
      <c r="C6981" s="43" t="s">
        <v>4672</v>
      </c>
      <c r="D6981" s="43">
        <v>-2</v>
      </c>
      <c r="E6981" s="1064" t="s">
        <v>125</v>
      </c>
    </row>
    <row r="6982" spans="1:5">
      <c r="A6982" s="335">
        <v>46156</v>
      </c>
      <c r="B6982" s="343" t="s">
        <v>1246</v>
      </c>
      <c r="C6982" s="43" t="s">
        <v>4592</v>
      </c>
      <c r="D6982" s="43">
        <v>-2</v>
      </c>
      <c r="E6982" s="1064" t="s">
        <v>125</v>
      </c>
    </row>
    <row r="6983" spans="1:5">
      <c r="A6983" s="335">
        <v>46156</v>
      </c>
      <c r="B6983" s="343" t="s">
        <v>1246</v>
      </c>
      <c r="C6983" s="43" t="s">
        <v>1600</v>
      </c>
      <c r="D6983" s="43">
        <v>-10</v>
      </c>
      <c r="E6983" s="1064" t="s">
        <v>125</v>
      </c>
    </row>
    <row r="6984" spans="1:5">
      <c r="A6984" s="335">
        <v>46156</v>
      </c>
      <c r="B6984" s="343" t="s">
        <v>1271</v>
      </c>
      <c r="C6984" s="43" t="s">
        <v>4777</v>
      </c>
      <c r="D6984" s="43">
        <v>-1</v>
      </c>
      <c r="E6984" s="1064" t="s">
        <v>125</v>
      </c>
    </row>
    <row r="6985" spans="1:5">
      <c r="A6985" s="265">
        <v>46157</v>
      </c>
      <c r="B6985" s="343" t="s">
        <v>839</v>
      </c>
      <c r="C6985" s="43" t="s">
        <v>4792</v>
      </c>
      <c r="D6985" s="43">
        <v>-1</v>
      </c>
      <c r="E6985" s="1064" t="s">
        <v>125</v>
      </c>
    </row>
    <row r="6987" spans="1:5">
      <c r="A6987" s="335">
        <v>46156</v>
      </c>
      <c r="B6987" s="343" t="s">
        <v>1271</v>
      </c>
      <c r="C6987" s="43" t="s">
        <v>4793</v>
      </c>
      <c r="D6987" s="43">
        <v>1</v>
      </c>
      <c r="E6987" s="1064" t="s">
        <v>125</v>
      </c>
    </row>
    <row r="6988" spans="1:5">
      <c r="A6988" s="335">
        <v>46156</v>
      </c>
      <c r="B6988" s="343" t="s">
        <v>1246</v>
      </c>
      <c r="C6988" s="43" t="s">
        <v>4794</v>
      </c>
      <c r="D6988" s="43">
        <v>-1</v>
      </c>
      <c r="E6988" s="1064" t="s">
        <v>125</v>
      </c>
    </row>
    <row r="6990" spans="1:5">
      <c r="A6990" s="335">
        <v>46156</v>
      </c>
      <c r="B6990" s="343" t="s">
        <v>1409</v>
      </c>
      <c r="C6990" s="43" t="s">
        <v>4795</v>
      </c>
      <c r="D6990" s="43">
        <v>1</v>
      </c>
      <c r="E6990" s="1064" t="s">
        <v>125</v>
      </c>
    </row>
    <row r="6992" spans="1:5">
      <c r="A6992" s="265">
        <v>46157</v>
      </c>
      <c r="B6992" s="343" t="s">
        <v>1409</v>
      </c>
      <c r="C6992" s="43" t="s">
        <v>3823</v>
      </c>
      <c r="D6992" s="43">
        <v>-1</v>
      </c>
      <c r="E6992" s="1064" t="s">
        <v>125</v>
      </c>
    </row>
    <row r="6993" spans="1:5">
      <c r="A6993" s="265">
        <v>46157</v>
      </c>
      <c r="B6993" s="343" t="s">
        <v>1409</v>
      </c>
      <c r="C6993" s="43" t="s">
        <v>3823</v>
      </c>
      <c r="D6993" s="43">
        <v>-1</v>
      </c>
      <c r="E6993" s="1064" t="s">
        <v>125</v>
      </c>
    </row>
    <row r="6994" spans="1:5">
      <c r="A6994" s="265">
        <v>46157</v>
      </c>
      <c r="B6994" s="343" t="s">
        <v>136</v>
      </c>
      <c r="C6994" s="345" t="s">
        <v>3823</v>
      </c>
      <c r="D6994" s="345">
        <v>-1</v>
      </c>
      <c r="E6994" s="1064" t="s">
        <v>125</v>
      </c>
    </row>
    <row r="6995" spans="1:5">
      <c r="A6995" s="265">
        <v>46157</v>
      </c>
      <c r="B6995" s="343" t="s">
        <v>1271</v>
      </c>
      <c r="C6995" s="43" t="s">
        <v>4670</v>
      </c>
      <c r="D6995" s="43">
        <v>-1</v>
      </c>
      <c r="E6995" s="1064" t="s">
        <v>125</v>
      </c>
    </row>
    <row r="6997" spans="1:5">
      <c r="A6997" s="346">
        <v>46158</v>
      </c>
      <c r="B6997" s="349" t="s">
        <v>1291</v>
      </c>
      <c r="C6997" s="348" t="s">
        <v>4797</v>
      </c>
      <c r="D6997" s="348">
        <v>1</v>
      </c>
      <c r="E6997" s="360" t="s">
        <v>125</v>
      </c>
    </row>
    <row r="6998" spans="1:5">
      <c r="A6998" s="346">
        <v>46158</v>
      </c>
      <c r="B6998" s="351" t="s">
        <v>932</v>
      </c>
      <c r="C6998" s="348" t="s">
        <v>4797</v>
      </c>
      <c r="D6998" s="348">
        <v>1</v>
      </c>
      <c r="E6998" s="360" t="s">
        <v>125</v>
      </c>
    </row>
    <row r="6999" spans="1:5">
      <c r="A6999" s="346">
        <v>46158</v>
      </c>
      <c r="B6999" s="349" t="s">
        <v>1271</v>
      </c>
      <c r="C6999" s="348" t="s">
        <v>4797</v>
      </c>
      <c r="D6999" s="348">
        <v>1</v>
      </c>
      <c r="E6999" s="360" t="s">
        <v>125</v>
      </c>
    </row>
    <row r="7001" spans="1:5">
      <c r="A7001" s="265">
        <v>46157</v>
      </c>
      <c r="B7001" s="343" t="s">
        <v>2296</v>
      </c>
      <c r="C7001" s="43" t="s">
        <v>4798</v>
      </c>
      <c r="D7001" s="43">
        <v>2</v>
      </c>
      <c r="E7001" s="1064" t="s">
        <v>125</v>
      </c>
    </row>
    <row r="7002" spans="1:5">
      <c r="A7002" s="265">
        <v>46157</v>
      </c>
      <c r="B7002" s="343" t="s">
        <v>3871</v>
      </c>
      <c r="C7002" s="43" t="s">
        <v>4798</v>
      </c>
      <c r="D7002" s="43">
        <v>1</v>
      </c>
      <c r="E7002" s="1064" t="s">
        <v>125</v>
      </c>
    </row>
    <row r="7003" spans="1:5">
      <c r="A7003" s="265">
        <v>46157</v>
      </c>
      <c r="B7003" s="343" t="s">
        <v>3915</v>
      </c>
      <c r="C7003" s="43" t="s">
        <v>4798</v>
      </c>
      <c r="D7003" s="43">
        <v>1</v>
      </c>
      <c r="E7003" s="1064" t="s">
        <v>125</v>
      </c>
    </row>
    <row r="7005" spans="1:5">
      <c r="A7005" s="265">
        <v>46158</v>
      </c>
      <c r="B7005" s="84" t="s">
        <v>919</v>
      </c>
      <c r="C7005" s="43" t="s">
        <v>4799</v>
      </c>
      <c r="D7005" s="43">
        <v>-2</v>
      </c>
      <c r="E7005" s="1064" t="s">
        <v>125</v>
      </c>
    </row>
    <row r="7006" spans="1:5">
      <c r="A7006" s="265">
        <v>46158</v>
      </c>
      <c r="B7006" s="84" t="s">
        <v>926</v>
      </c>
      <c r="C7006" s="43" t="s">
        <v>4799</v>
      </c>
      <c r="D7006" s="43">
        <v>-1</v>
      </c>
      <c r="E7006" s="1064" t="s">
        <v>125</v>
      </c>
    </row>
    <row r="7007" spans="1:5">
      <c r="A7007" s="265">
        <v>46158</v>
      </c>
      <c r="B7007" s="93" t="s">
        <v>839</v>
      </c>
      <c r="C7007" s="43" t="s">
        <v>2569</v>
      </c>
      <c r="D7007" s="43">
        <v>-9</v>
      </c>
      <c r="E7007" s="1064" t="s">
        <v>125</v>
      </c>
    </row>
    <row r="7008" spans="1:5">
      <c r="A7008" s="265">
        <v>46158</v>
      </c>
      <c r="B7008" s="343" t="s">
        <v>4109</v>
      </c>
      <c r="C7008" s="43" t="s">
        <v>3108</v>
      </c>
      <c r="D7008" s="43">
        <v>-5</v>
      </c>
      <c r="E7008" s="1064" t="s">
        <v>125</v>
      </c>
    </row>
    <row r="7009" spans="1:5">
      <c r="A7009" s="265">
        <v>46158</v>
      </c>
      <c r="B7009" s="343" t="s">
        <v>1246</v>
      </c>
      <c r="C7009" s="43" t="s">
        <v>4539</v>
      </c>
      <c r="D7009" s="43">
        <v>-1</v>
      </c>
      <c r="E7009" s="1064" t="s">
        <v>125</v>
      </c>
    </row>
    <row r="7010" spans="1:5">
      <c r="A7010" s="265">
        <v>46158</v>
      </c>
      <c r="B7010" s="343" t="s">
        <v>1246</v>
      </c>
      <c r="C7010" s="43" t="s">
        <v>3826</v>
      </c>
      <c r="D7010" s="43">
        <v>-1</v>
      </c>
      <c r="E7010" s="1064" t="s">
        <v>125</v>
      </c>
    </row>
    <row r="7012" spans="1:5">
      <c r="A7012" s="272">
        <v>46156</v>
      </c>
      <c r="B7012" s="139" t="s">
        <v>92</v>
      </c>
      <c r="C7012" s="106" t="s">
        <v>4811</v>
      </c>
      <c r="D7012" s="106">
        <v>-1</v>
      </c>
      <c r="E7012" s="94" t="s">
        <v>125</v>
      </c>
    </row>
    <row r="7014" spans="1:5">
      <c r="A7014" s="330">
        <v>46149</v>
      </c>
      <c r="B7014" s="329" t="s">
        <v>4822</v>
      </c>
      <c r="C7014" s="328" t="s">
        <v>4509</v>
      </c>
      <c r="D7014" s="328">
        <v>2</v>
      </c>
      <c r="E7014" s="331" t="s">
        <v>125</v>
      </c>
    </row>
    <row r="7015" spans="1:5">
      <c r="A7015" s="330">
        <v>46152</v>
      </c>
      <c r="B7015" s="329" t="s">
        <v>839</v>
      </c>
      <c r="C7015" s="328" t="s">
        <v>4509</v>
      </c>
      <c r="D7015" s="328">
        <v>4</v>
      </c>
      <c r="E7015" s="331" t="s">
        <v>125</v>
      </c>
    </row>
    <row r="7016" spans="1:5">
      <c r="A7016" s="330">
        <v>46152</v>
      </c>
      <c r="B7016" s="329" t="s">
        <v>839</v>
      </c>
      <c r="C7016" s="328" t="s">
        <v>4509</v>
      </c>
      <c r="D7016" s="328">
        <v>4</v>
      </c>
      <c r="E7016" s="331" t="s">
        <v>125</v>
      </c>
    </row>
    <row r="7017" spans="1:5">
      <c r="A7017" s="330">
        <v>46153</v>
      </c>
      <c r="B7017" s="329" t="s">
        <v>4800</v>
      </c>
      <c r="C7017" s="328" t="s">
        <v>4509</v>
      </c>
      <c r="D7017" s="328">
        <v>8</v>
      </c>
      <c r="E7017" s="331" t="s">
        <v>125</v>
      </c>
    </row>
    <row r="7018" spans="1:5">
      <c r="A7018" s="330">
        <v>46154</v>
      </c>
      <c r="B7018" s="329" t="s">
        <v>839</v>
      </c>
      <c r="C7018" s="328" t="s">
        <v>4509</v>
      </c>
      <c r="D7018" s="328">
        <v>4</v>
      </c>
      <c r="E7018" s="331" t="s">
        <v>125</v>
      </c>
    </row>
    <row r="7019" spans="1:5">
      <c r="A7019" s="330">
        <v>46154</v>
      </c>
      <c r="B7019" s="329" t="s">
        <v>4800</v>
      </c>
      <c r="C7019" s="328" t="s">
        <v>4509</v>
      </c>
      <c r="D7019" s="328">
        <v>20</v>
      </c>
      <c r="E7019" s="331" t="s">
        <v>125</v>
      </c>
    </row>
    <row r="7020" spans="1:5">
      <c r="A7020" s="330">
        <v>46154</v>
      </c>
      <c r="B7020" s="329" t="s">
        <v>4503</v>
      </c>
      <c r="C7020" s="328" t="s">
        <v>4509</v>
      </c>
      <c r="D7020" s="328">
        <v>1</v>
      </c>
      <c r="E7020" s="331" t="s">
        <v>125</v>
      </c>
    </row>
    <row r="7021" spans="1:5">
      <c r="A7021" s="330">
        <v>46156</v>
      </c>
      <c r="B7021" s="329" t="s">
        <v>4124</v>
      </c>
      <c r="C7021" s="328" t="s">
        <v>4509</v>
      </c>
      <c r="D7021" s="328">
        <v>12</v>
      </c>
      <c r="E7021" s="331" t="s">
        <v>125</v>
      </c>
    </row>
    <row r="7022" spans="1:5">
      <c r="A7022" s="330">
        <v>46156</v>
      </c>
      <c r="B7022" s="329" t="s">
        <v>839</v>
      </c>
      <c r="C7022" s="328" t="s">
        <v>4509</v>
      </c>
      <c r="D7022" s="328">
        <v>4</v>
      </c>
      <c r="E7022" s="331" t="s">
        <v>125</v>
      </c>
    </row>
    <row r="7023" spans="1:5">
      <c r="A7023" s="330">
        <v>46156</v>
      </c>
      <c r="B7023" s="329" t="s">
        <v>839</v>
      </c>
      <c r="C7023" s="328" t="s">
        <v>4509</v>
      </c>
      <c r="D7023" s="328">
        <v>4</v>
      </c>
      <c r="E7023" s="331" t="s">
        <v>125</v>
      </c>
    </row>
    <row r="7025" spans="1:5">
      <c r="A7025" s="272">
        <v>46147</v>
      </c>
      <c r="B7025" s="139" t="s">
        <v>4124</v>
      </c>
      <c r="C7025" s="106" t="s">
        <v>4535</v>
      </c>
      <c r="D7025" s="106">
        <v>2</v>
      </c>
      <c r="E7025" s="94" t="s">
        <v>125</v>
      </c>
    </row>
    <row r="7026" spans="1:5">
      <c r="A7026" s="272">
        <v>46147</v>
      </c>
      <c r="B7026" s="139" t="s">
        <v>4124</v>
      </c>
      <c r="C7026" s="106" t="s">
        <v>4535</v>
      </c>
      <c r="D7026" s="106">
        <v>2</v>
      </c>
      <c r="E7026" s="94" t="s">
        <v>125</v>
      </c>
    </row>
    <row r="7027" spans="1:5">
      <c r="A7027" s="272">
        <v>46147</v>
      </c>
      <c r="B7027" s="139" t="s">
        <v>4124</v>
      </c>
      <c r="C7027" s="106" t="s">
        <v>4535</v>
      </c>
      <c r="D7027" s="106">
        <v>2</v>
      </c>
      <c r="E7027" s="94" t="s">
        <v>125</v>
      </c>
    </row>
    <row r="7028" spans="1:5">
      <c r="A7028" s="272">
        <v>46147</v>
      </c>
      <c r="B7028" s="139" t="s">
        <v>4124</v>
      </c>
      <c r="C7028" s="106" t="s">
        <v>4535</v>
      </c>
      <c r="D7028" s="106">
        <v>2</v>
      </c>
      <c r="E7028" s="94" t="s">
        <v>125</v>
      </c>
    </row>
    <row r="7029" spans="1:5">
      <c r="A7029" s="272">
        <v>46147</v>
      </c>
      <c r="B7029" s="139" t="s">
        <v>4124</v>
      </c>
      <c r="C7029" s="106" t="s">
        <v>4535</v>
      </c>
      <c r="D7029" s="106">
        <v>2</v>
      </c>
      <c r="E7029" s="94" t="s">
        <v>125</v>
      </c>
    </row>
    <row r="7030" spans="1:5">
      <c r="A7030" s="272">
        <v>46148</v>
      </c>
      <c r="B7030" s="139" t="s">
        <v>4124</v>
      </c>
      <c r="C7030" s="106" t="s">
        <v>4535</v>
      </c>
      <c r="D7030" s="106">
        <v>10</v>
      </c>
      <c r="E7030" s="94" t="s">
        <v>125</v>
      </c>
    </row>
    <row r="7031" spans="1:5">
      <c r="A7031" s="272">
        <v>46150</v>
      </c>
      <c r="B7031" s="139" t="s">
        <v>4124</v>
      </c>
      <c r="C7031" s="106" t="s">
        <v>4535</v>
      </c>
      <c r="D7031" s="106">
        <v>2</v>
      </c>
      <c r="E7031" s="94" t="s">
        <v>125</v>
      </c>
    </row>
    <row r="7032" spans="1:5">
      <c r="A7032" s="272">
        <v>46150</v>
      </c>
      <c r="B7032" s="139" t="s">
        <v>4124</v>
      </c>
      <c r="C7032" s="106" t="s">
        <v>4535</v>
      </c>
      <c r="D7032" s="106">
        <v>2</v>
      </c>
      <c r="E7032" s="94" t="s">
        <v>125</v>
      </c>
    </row>
    <row r="7033" spans="1:5">
      <c r="A7033" s="272">
        <v>46150</v>
      </c>
      <c r="B7033" s="139" t="s">
        <v>4124</v>
      </c>
      <c r="C7033" s="106" t="s">
        <v>4535</v>
      </c>
      <c r="D7033" s="106">
        <v>2</v>
      </c>
      <c r="E7033" s="94" t="s">
        <v>125</v>
      </c>
    </row>
    <row r="7034" spans="1:5">
      <c r="A7034" s="272">
        <v>46150</v>
      </c>
      <c r="B7034" s="139" t="s">
        <v>4124</v>
      </c>
      <c r="C7034" s="106" t="s">
        <v>4535</v>
      </c>
      <c r="D7034" s="106">
        <v>2</v>
      </c>
      <c r="E7034" s="94" t="s">
        <v>125</v>
      </c>
    </row>
    <row r="7035" spans="1:5">
      <c r="A7035" s="272">
        <v>46150</v>
      </c>
      <c r="B7035" s="233" t="s">
        <v>1716</v>
      </c>
      <c r="C7035" s="106" t="s">
        <v>4535</v>
      </c>
      <c r="D7035" s="106">
        <v>10</v>
      </c>
      <c r="E7035" s="94" t="s">
        <v>125</v>
      </c>
    </row>
    <row r="7036" spans="1:5">
      <c r="A7036" s="272">
        <v>46150</v>
      </c>
      <c r="B7036" s="233" t="s">
        <v>1716</v>
      </c>
      <c r="C7036" s="106" t="s">
        <v>4535</v>
      </c>
      <c r="D7036" s="106">
        <v>7</v>
      </c>
      <c r="E7036" s="94" t="s">
        <v>125</v>
      </c>
    </row>
    <row r="7037" spans="1:5">
      <c r="A7037" s="272">
        <v>46150</v>
      </c>
      <c r="B7037" s="128" t="s">
        <v>76</v>
      </c>
      <c r="C7037" s="106" t="s">
        <v>4535</v>
      </c>
      <c r="D7037" s="106">
        <v>2</v>
      </c>
      <c r="E7037" s="94" t="s">
        <v>125</v>
      </c>
    </row>
    <row r="7039" spans="1:5">
      <c r="A7039" s="272">
        <v>46153</v>
      </c>
      <c r="B7039" s="139" t="s">
        <v>4124</v>
      </c>
      <c r="C7039" s="106" t="s">
        <v>4535</v>
      </c>
      <c r="D7039" s="106">
        <v>2</v>
      </c>
      <c r="E7039" s="94" t="s">
        <v>125</v>
      </c>
    </row>
    <row r="7040" spans="1:5">
      <c r="A7040" s="272">
        <v>46153</v>
      </c>
      <c r="B7040" s="139" t="s">
        <v>4124</v>
      </c>
      <c r="C7040" s="106" t="s">
        <v>4535</v>
      </c>
      <c r="D7040" s="106">
        <v>2</v>
      </c>
      <c r="E7040" s="94" t="s">
        <v>125</v>
      </c>
    </row>
    <row r="7041" spans="1:5">
      <c r="A7041" s="272">
        <v>46153</v>
      </c>
      <c r="B7041" s="139" t="s">
        <v>4124</v>
      </c>
      <c r="C7041" s="106" t="s">
        <v>4535</v>
      </c>
      <c r="D7041" s="106">
        <v>2</v>
      </c>
      <c r="E7041" s="94" t="s">
        <v>125</v>
      </c>
    </row>
    <row r="7042" spans="1:5">
      <c r="A7042" s="272">
        <v>46153</v>
      </c>
      <c r="B7042" s="139" t="s">
        <v>4124</v>
      </c>
      <c r="C7042" s="106" t="s">
        <v>4535</v>
      </c>
      <c r="D7042" s="106">
        <v>2</v>
      </c>
      <c r="E7042" s="94" t="s">
        <v>125</v>
      </c>
    </row>
    <row r="7043" spans="1:5">
      <c r="A7043" s="272">
        <v>46153</v>
      </c>
      <c r="B7043" s="139" t="s">
        <v>4124</v>
      </c>
      <c r="C7043" s="106" t="s">
        <v>4535</v>
      </c>
      <c r="D7043" s="106">
        <v>2</v>
      </c>
      <c r="E7043" s="94" t="s">
        <v>125</v>
      </c>
    </row>
    <row r="7044" spans="1:5">
      <c r="A7044" s="272">
        <v>46154</v>
      </c>
      <c r="B7044" s="139" t="s">
        <v>4124</v>
      </c>
      <c r="C7044" s="106" t="s">
        <v>4535</v>
      </c>
      <c r="D7044" s="106">
        <v>2</v>
      </c>
      <c r="E7044" s="94" t="s">
        <v>125</v>
      </c>
    </row>
    <row r="7045" spans="1:5">
      <c r="A7045" s="272">
        <v>46154</v>
      </c>
      <c r="B7045" s="139" t="s">
        <v>4124</v>
      </c>
      <c r="C7045" s="106" t="s">
        <v>4535</v>
      </c>
      <c r="D7045" s="106">
        <v>2</v>
      </c>
      <c r="E7045" s="94" t="s">
        <v>125</v>
      </c>
    </row>
    <row r="7046" spans="1:5">
      <c r="A7046" s="272">
        <v>46154</v>
      </c>
      <c r="B7046" s="139" t="s">
        <v>4124</v>
      </c>
      <c r="C7046" s="106" t="s">
        <v>4535</v>
      </c>
      <c r="D7046" s="106">
        <v>2</v>
      </c>
      <c r="E7046" s="94" t="s">
        <v>125</v>
      </c>
    </row>
    <row r="7047" spans="1:5">
      <c r="A7047" s="272">
        <v>46154</v>
      </c>
      <c r="B7047" s="139" t="s">
        <v>4124</v>
      </c>
      <c r="C7047" s="106" t="s">
        <v>4535</v>
      </c>
      <c r="D7047" s="106">
        <v>2</v>
      </c>
      <c r="E7047" s="94" t="s">
        <v>125</v>
      </c>
    </row>
    <row r="7048" spans="1:5">
      <c r="A7048" s="272">
        <v>46154</v>
      </c>
      <c r="B7048" s="139" t="s">
        <v>4124</v>
      </c>
      <c r="C7048" s="106" t="s">
        <v>4535</v>
      </c>
      <c r="D7048" s="106">
        <v>2</v>
      </c>
      <c r="E7048" s="94" t="s">
        <v>125</v>
      </c>
    </row>
    <row r="7049" spans="1:5">
      <c r="A7049" s="272">
        <v>46155</v>
      </c>
      <c r="B7049" s="139" t="s">
        <v>4124</v>
      </c>
      <c r="C7049" s="106" t="s">
        <v>4535</v>
      </c>
      <c r="D7049" s="106">
        <v>4</v>
      </c>
      <c r="E7049" s="94" t="s">
        <v>125</v>
      </c>
    </row>
    <row r="7050" spans="1:5">
      <c r="A7050" s="272">
        <v>46155</v>
      </c>
      <c r="B7050" s="139" t="s">
        <v>4124</v>
      </c>
      <c r="C7050" s="106" t="s">
        <v>4535</v>
      </c>
      <c r="D7050" s="106">
        <v>1</v>
      </c>
      <c r="E7050" s="94" t="s">
        <v>125</v>
      </c>
    </row>
    <row r="7051" spans="1:5">
      <c r="A7051" s="272">
        <v>46155</v>
      </c>
      <c r="B7051" s="139" t="s">
        <v>4124</v>
      </c>
      <c r="C7051" s="106" t="s">
        <v>4535</v>
      </c>
      <c r="D7051" s="106">
        <v>2</v>
      </c>
      <c r="E7051" s="94" t="s">
        <v>125</v>
      </c>
    </row>
    <row r="7052" spans="1:5">
      <c r="A7052" s="272">
        <v>46156</v>
      </c>
      <c r="B7052" s="139" t="s">
        <v>4124</v>
      </c>
      <c r="C7052" s="106" t="s">
        <v>4535</v>
      </c>
      <c r="D7052" s="106">
        <v>2</v>
      </c>
      <c r="E7052" s="94" t="s">
        <v>125</v>
      </c>
    </row>
    <row r="7053" spans="1:5">
      <c r="A7053" s="272">
        <v>46156</v>
      </c>
      <c r="B7053" s="139" t="s">
        <v>4124</v>
      </c>
      <c r="C7053" s="106" t="s">
        <v>4535</v>
      </c>
      <c r="D7053" s="106">
        <v>2</v>
      </c>
      <c r="E7053" s="94" t="s">
        <v>125</v>
      </c>
    </row>
    <row r="7054" spans="1:5">
      <c r="A7054" s="272">
        <v>46156</v>
      </c>
      <c r="B7054" s="139" t="s">
        <v>4124</v>
      </c>
      <c r="C7054" s="106" t="s">
        <v>4535</v>
      </c>
      <c r="D7054" s="106">
        <v>2</v>
      </c>
      <c r="E7054" s="94" t="s">
        <v>125</v>
      </c>
    </row>
    <row r="7055" spans="1:5">
      <c r="A7055" s="272">
        <v>46156</v>
      </c>
      <c r="B7055" s="139" t="s">
        <v>4124</v>
      </c>
      <c r="C7055" s="106" t="s">
        <v>4535</v>
      </c>
      <c r="D7055" s="106">
        <v>2</v>
      </c>
      <c r="E7055" s="94" t="s">
        <v>125</v>
      </c>
    </row>
    <row r="7056" spans="1:5">
      <c r="A7056" s="272">
        <v>46156</v>
      </c>
      <c r="B7056" s="139" t="s">
        <v>4124</v>
      </c>
      <c r="C7056" s="106" t="s">
        <v>4535</v>
      </c>
      <c r="D7056" s="106">
        <v>2</v>
      </c>
      <c r="E7056" s="94" t="s">
        <v>125</v>
      </c>
    </row>
    <row r="7057" spans="1:5">
      <c r="A7057" s="272">
        <v>46156</v>
      </c>
      <c r="B7057" s="139" t="s">
        <v>4124</v>
      </c>
      <c r="C7057" s="106" t="s">
        <v>4535</v>
      </c>
      <c r="D7057" s="106">
        <v>4</v>
      </c>
      <c r="E7057" s="94" t="s">
        <v>125</v>
      </c>
    </row>
    <row r="7058" spans="1:5">
      <c r="A7058" s="272">
        <v>46156</v>
      </c>
      <c r="B7058" s="139" t="s">
        <v>4124</v>
      </c>
      <c r="C7058" s="106" t="s">
        <v>4535</v>
      </c>
      <c r="D7058" s="106">
        <v>2</v>
      </c>
      <c r="E7058" s="94" t="s">
        <v>125</v>
      </c>
    </row>
    <row r="7060" spans="1:5">
      <c r="A7060" s="272">
        <v>46156</v>
      </c>
      <c r="B7060" s="139" t="s">
        <v>1246</v>
      </c>
      <c r="C7060" s="106" t="s">
        <v>4519</v>
      </c>
      <c r="D7060" s="106">
        <v>4</v>
      </c>
      <c r="E7060" s="94" t="s">
        <v>125</v>
      </c>
    </row>
    <row r="7062" spans="1:5">
      <c r="A7062" s="265">
        <v>46160</v>
      </c>
      <c r="B7062" s="343" t="s">
        <v>4109</v>
      </c>
      <c r="C7062" s="43" t="s">
        <v>2647</v>
      </c>
      <c r="D7062" s="43">
        <v>-4</v>
      </c>
      <c r="E7062" s="1064" t="s">
        <v>125</v>
      </c>
    </row>
    <row r="7063" spans="1:5">
      <c r="A7063" s="265">
        <v>46160</v>
      </c>
      <c r="B7063" s="343" t="s">
        <v>4470</v>
      </c>
      <c r="C7063" s="43" t="s">
        <v>2647</v>
      </c>
      <c r="D7063" s="43">
        <v>-3</v>
      </c>
      <c r="E7063" s="1064" t="s">
        <v>125</v>
      </c>
    </row>
    <row r="7064" spans="1:5">
      <c r="A7064" s="265">
        <v>46160</v>
      </c>
      <c r="B7064" s="344" t="s">
        <v>1716</v>
      </c>
      <c r="C7064" s="43" t="s">
        <v>2075</v>
      </c>
      <c r="D7064" s="43">
        <v>-15</v>
      </c>
      <c r="E7064" s="1064" t="s">
        <v>125</v>
      </c>
    </row>
    <row r="7065" spans="1:5">
      <c r="A7065" s="265">
        <v>46160</v>
      </c>
      <c r="B7065" s="92" t="s">
        <v>76</v>
      </c>
      <c r="C7065" s="43" t="s">
        <v>1603</v>
      </c>
      <c r="D7065" s="43">
        <v>-20</v>
      </c>
      <c r="E7065" s="1064" t="s">
        <v>125</v>
      </c>
    </row>
    <row r="7067" spans="1:5">
      <c r="A7067" s="265">
        <v>46161</v>
      </c>
      <c r="B7067" s="344" t="s">
        <v>1716</v>
      </c>
      <c r="C7067" s="43" t="s">
        <v>2075</v>
      </c>
      <c r="D7067" s="43">
        <v>-17</v>
      </c>
      <c r="E7067" s="1064" t="s">
        <v>125</v>
      </c>
    </row>
    <row r="7068" spans="1:5">
      <c r="A7068" s="265">
        <v>46161</v>
      </c>
      <c r="B7068" s="344" t="s">
        <v>1716</v>
      </c>
      <c r="C7068" s="43" t="s">
        <v>1661</v>
      </c>
      <c r="D7068" s="43">
        <v>-7</v>
      </c>
      <c r="E7068" s="1064" t="s">
        <v>125</v>
      </c>
    </row>
    <row r="7069" spans="1:5">
      <c r="A7069" s="265">
        <v>46161</v>
      </c>
      <c r="B7069" s="344" t="s">
        <v>1716</v>
      </c>
      <c r="C7069" s="43" t="s">
        <v>4824</v>
      </c>
      <c r="D7069" s="43">
        <v>-5</v>
      </c>
      <c r="E7069" s="1064" t="s">
        <v>125</v>
      </c>
    </row>
    <row r="7070" spans="1:5">
      <c r="A7070" s="265">
        <v>46161</v>
      </c>
      <c r="B7070" s="344" t="s">
        <v>1716</v>
      </c>
      <c r="C7070" s="43" t="s">
        <v>2075</v>
      </c>
      <c r="D7070" s="43">
        <v>-3</v>
      </c>
      <c r="E7070" s="1064" t="s">
        <v>125</v>
      </c>
    </row>
    <row r="7071" spans="1:5">
      <c r="A7071" s="265">
        <v>46161</v>
      </c>
      <c r="B7071" s="343" t="s">
        <v>1246</v>
      </c>
      <c r="C7071" s="43" t="s">
        <v>4825</v>
      </c>
      <c r="D7071" s="43">
        <v>-1</v>
      </c>
      <c r="E7071" s="1064" t="s">
        <v>125</v>
      </c>
    </row>
    <row r="7072" spans="1:5">
      <c r="A7072" s="265">
        <v>46161</v>
      </c>
      <c r="B7072" s="343" t="s">
        <v>1334</v>
      </c>
      <c r="C7072" s="43" t="s">
        <v>4540</v>
      </c>
      <c r="D7072" s="43">
        <v>-1</v>
      </c>
      <c r="E7072" s="1064" t="s">
        <v>125</v>
      </c>
    </row>
    <row r="7073" spans="1:5">
      <c r="A7073" s="265">
        <v>46161</v>
      </c>
      <c r="B7073" s="93" t="s">
        <v>92</v>
      </c>
      <c r="C7073" s="43" t="s">
        <v>3092</v>
      </c>
      <c r="D7073" s="43">
        <v>-1</v>
      </c>
      <c r="E7073" s="1064" t="s">
        <v>125</v>
      </c>
    </row>
    <row r="7074" spans="1:5">
      <c r="A7074" s="265">
        <v>46161</v>
      </c>
      <c r="B7074" s="343" t="s">
        <v>1246</v>
      </c>
      <c r="C7074" s="43" t="s">
        <v>4826</v>
      </c>
      <c r="D7074" s="43">
        <v>-1</v>
      </c>
      <c r="E7074" s="1064" t="s">
        <v>125</v>
      </c>
    </row>
    <row r="7075" spans="1:5">
      <c r="A7075" s="265">
        <v>46161</v>
      </c>
      <c r="B7075" s="344" t="s">
        <v>1716</v>
      </c>
      <c r="C7075" s="43" t="s">
        <v>1661</v>
      </c>
      <c r="D7075" s="43">
        <v>-4</v>
      </c>
      <c r="E7075" s="1064" t="s">
        <v>125</v>
      </c>
    </row>
    <row r="7076" spans="1:5">
      <c r="A7076" s="265">
        <v>46161</v>
      </c>
      <c r="B7076" s="92" t="s">
        <v>76</v>
      </c>
      <c r="C7076" s="43" t="s">
        <v>1603</v>
      </c>
      <c r="D7076" s="43">
        <v>-15</v>
      </c>
      <c r="E7076" s="1064" t="s">
        <v>125</v>
      </c>
    </row>
    <row r="7077" spans="1:5">
      <c r="A7077" s="265">
        <v>46161</v>
      </c>
      <c r="B7077" s="92" t="s">
        <v>76</v>
      </c>
      <c r="C7077" s="43" t="s">
        <v>3092</v>
      </c>
      <c r="D7077" s="43">
        <v>-3</v>
      </c>
      <c r="E7077" s="1064" t="s">
        <v>125</v>
      </c>
    </row>
    <row r="7079" spans="1:5">
      <c r="A7079" s="265">
        <v>46162</v>
      </c>
      <c r="B7079" s="343" t="s">
        <v>1246</v>
      </c>
      <c r="C7079" s="43" t="s">
        <v>1661</v>
      </c>
      <c r="D7079" s="43">
        <v>-17</v>
      </c>
      <c r="E7079" s="1064" t="s">
        <v>125</v>
      </c>
    </row>
    <row r="7080" spans="1:5">
      <c r="A7080" s="265">
        <v>46162</v>
      </c>
      <c r="B7080" s="343" t="s">
        <v>1246</v>
      </c>
      <c r="C7080" s="43" t="s">
        <v>1661</v>
      </c>
      <c r="D7080" s="43">
        <v>-14</v>
      </c>
      <c r="E7080" s="1064" t="s">
        <v>125</v>
      </c>
    </row>
    <row r="7081" spans="1:5">
      <c r="A7081" s="265">
        <v>46162</v>
      </c>
      <c r="B7081" s="343" t="s">
        <v>1249</v>
      </c>
      <c r="C7081" s="43" t="s">
        <v>4539</v>
      </c>
      <c r="D7081" s="43">
        <v>-1</v>
      </c>
      <c r="E7081" s="1064" t="s">
        <v>125</v>
      </c>
    </row>
    <row r="7082" spans="1:5">
      <c r="A7082" s="265">
        <v>46162</v>
      </c>
      <c r="B7082" s="343" t="s">
        <v>1334</v>
      </c>
      <c r="C7082" s="43" t="s">
        <v>4540</v>
      </c>
      <c r="D7082" s="43">
        <v>-1</v>
      </c>
      <c r="E7082" s="1064" t="s">
        <v>125</v>
      </c>
    </row>
    <row r="7083" spans="1:5">
      <c r="A7083" s="265">
        <v>46162</v>
      </c>
      <c r="B7083" s="93" t="s">
        <v>806</v>
      </c>
      <c r="C7083" s="43" t="s">
        <v>1659</v>
      </c>
      <c r="D7083" s="43">
        <v>-3</v>
      </c>
      <c r="E7083" s="1064" t="s">
        <v>125</v>
      </c>
    </row>
    <row r="7084" spans="1:5">
      <c r="A7084" s="265">
        <v>46162</v>
      </c>
      <c r="B7084" s="93" t="s">
        <v>806</v>
      </c>
      <c r="C7084" s="43" t="s">
        <v>1659</v>
      </c>
      <c r="D7084" s="43">
        <v>-1</v>
      </c>
      <c r="E7084" s="1064" t="s">
        <v>125</v>
      </c>
    </row>
    <row r="7086" spans="1:5">
      <c r="A7086" s="335">
        <v>46163</v>
      </c>
      <c r="B7086" s="343" t="s">
        <v>4124</v>
      </c>
      <c r="C7086" s="345" t="s">
        <v>1603</v>
      </c>
      <c r="D7086" s="345">
        <v>-80</v>
      </c>
      <c r="E7086" s="1064" t="s">
        <v>125</v>
      </c>
    </row>
    <row r="7087" spans="1:5">
      <c r="A7087" s="335">
        <v>46163</v>
      </c>
      <c r="B7087" s="93" t="s">
        <v>929</v>
      </c>
      <c r="C7087" s="43" t="s">
        <v>4121</v>
      </c>
      <c r="D7087" s="43">
        <v>-1</v>
      </c>
      <c r="E7087" s="1064" t="s">
        <v>125</v>
      </c>
    </row>
    <row r="7089" spans="1:5">
      <c r="A7089" s="335">
        <v>46163</v>
      </c>
      <c r="B7089" s="93" t="s">
        <v>4664</v>
      </c>
      <c r="C7089" s="43" t="s">
        <v>3819</v>
      </c>
      <c r="D7089" s="43">
        <v>1</v>
      </c>
      <c r="E7089" s="1064" t="s">
        <v>125</v>
      </c>
    </row>
    <row r="7090" spans="1:5">
      <c r="A7090" s="335">
        <v>46163</v>
      </c>
      <c r="B7090" s="92" t="s">
        <v>76</v>
      </c>
      <c r="C7090" s="43" t="s">
        <v>1603</v>
      </c>
      <c r="D7090" s="43">
        <v>-20</v>
      </c>
      <c r="E7090" s="1064" t="s">
        <v>125</v>
      </c>
    </row>
    <row r="7092" spans="1:5">
      <c r="A7092" s="310">
        <v>46162</v>
      </c>
      <c r="B7092" s="526" t="s">
        <v>4124</v>
      </c>
      <c r="C7092" s="312" t="s">
        <v>4830</v>
      </c>
      <c r="D7092" s="312">
        <v>20</v>
      </c>
      <c r="E7092" s="1068" t="s">
        <v>125</v>
      </c>
    </row>
    <row r="7093" spans="1:5">
      <c r="A7093" s="437">
        <v>46163</v>
      </c>
      <c r="B7093" s="222" t="s">
        <v>4800</v>
      </c>
      <c r="C7093" s="220" t="s">
        <v>4831</v>
      </c>
      <c r="D7093" s="220">
        <v>100</v>
      </c>
      <c r="E7093" s="438" t="s">
        <v>125</v>
      </c>
    </row>
    <row r="7095" spans="1:5">
      <c r="A7095" s="323">
        <v>46158</v>
      </c>
      <c r="B7095" s="325" t="s">
        <v>4900</v>
      </c>
      <c r="C7095" s="322" t="s">
        <v>388</v>
      </c>
      <c r="D7095" s="322">
        <v>2</v>
      </c>
      <c r="E7095" s="321" t="s">
        <v>125</v>
      </c>
    </row>
    <row r="7096" spans="1:5">
      <c r="A7096" s="323">
        <v>46158</v>
      </c>
      <c r="B7096" s="325" t="s">
        <v>4851</v>
      </c>
      <c r="C7096" s="322" t="s">
        <v>388</v>
      </c>
      <c r="D7096" s="322">
        <v>1</v>
      </c>
      <c r="E7096" s="321" t="s">
        <v>125</v>
      </c>
    </row>
    <row r="7097" spans="1:5">
      <c r="A7097" s="323">
        <v>46158</v>
      </c>
      <c r="B7097" s="325" t="s">
        <v>2625</v>
      </c>
      <c r="C7097" s="322" t="s">
        <v>388</v>
      </c>
      <c r="D7097" s="322">
        <v>1</v>
      </c>
      <c r="E7097" s="321" t="s">
        <v>125</v>
      </c>
    </row>
    <row r="7098" spans="1:5">
      <c r="A7098" s="323">
        <v>46158</v>
      </c>
      <c r="B7098" s="425" t="s">
        <v>1183</v>
      </c>
      <c r="C7098" s="322" t="s">
        <v>388</v>
      </c>
      <c r="D7098" s="322">
        <v>3</v>
      </c>
      <c r="E7098" s="321" t="s">
        <v>125</v>
      </c>
    </row>
    <row r="7099" spans="1:5">
      <c r="A7099" s="323">
        <v>46158</v>
      </c>
      <c r="B7099" s="425" t="s">
        <v>375</v>
      </c>
      <c r="C7099" s="322" t="s">
        <v>388</v>
      </c>
      <c r="D7099" s="322">
        <v>13</v>
      </c>
      <c r="E7099" s="321" t="s">
        <v>125</v>
      </c>
    </row>
    <row r="7100" spans="1:5">
      <c r="A7100" s="323">
        <v>46158</v>
      </c>
      <c r="B7100" s="324" t="s">
        <v>960</v>
      </c>
      <c r="C7100" s="322" t="s">
        <v>388</v>
      </c>
      <c r="D7100" s="322">
        <v>4</v>
      </c>
      <c r="E7100" s="321" t="s">
        <v>125</v>
      </c>
    </row>
    <row r="7101" spans="1:5">
      <c r="A7101" s="323">
        <v>46158</v>
      </c>
      <c r="B7101" s="325" t="s">
        <v>977</v>
      </c>
      <c r="C7101" s="322" t="s">
        <v>388</v>
      </c>
      <c r="D7101" s="322">
        <v>2</v>
      </c>
      <c r="E7101" s="321" t="s">
        <v>125</v>
      </c>
    </row>
    <row r="7102" spans="1:5">
      <c r="A7102" s="323">
        <v>46158</v>
      </c>
      <c r="B7102" s="324" t="s">
        <v>131</v>
      </c>
      <c r="C7102" s="322" t="s">
        <v>388</v>
      </c>
      <c r="D7102" s="322">
        <v>5</v>
      </c>
      <c r="E7102" s="321" t="s">
        <v>125</v>
      </c>
    </row>
    <row r="7103" spans="1:5">
      <c r="A7103" s="323">
        <v>46158</v>
      </c>
      <c r="B7103" s="324" t="s">
        <v>4720</v>
      </c>
      <c r="C7103" s="322" t="s">
        <v>388</v>
      </c>
      <c r="D7103" s="322">
        <v>5</v>
      </c>
      <c r="E7103" s="321" t="s">
        <v>125</v>
      </c>
    </row>
    <row r="7104" spans="1:5">
      <c r="A7104" s="323">
        <v>46158</v>
      </c>
      <c r="B7104" s="325" t="s">
        <v>2142</v>
      </c>
      <c r="C7104" s="322" t="s">
        <v>388</v>
      </c>
      <c r="D7104" s="322">
        <v>1</v>
      </c>
      <c r="E7104" s="321" t="s">
        <v>125</v>
      </c>
    </row>
    <row r="7105" spans="1:5">
      <c r="A7105" s="323">
        <v>46158</v>
      </c>
      <c r="B7105" s="325" t="s">
        <v>1291</v>
      </c>
      <c r="C7105" s="322" t="s">
        <v>388</v>
      </c>
      <c r="D7105" s="322">
        <v>2</v>
      </c>
      <c r="E7105" s="321" t="s">
        <v>125</v>
      </c>
    </row>
    <row r="7106" spans="1:5">
      <c r="A7106" s="323">
        <v>46158</v>
      </c>
      <c r="B7106" s="325" t="s">
        <v>1641</v>
      </c>
      <c r="C7106" s="322" t="s">
        <v>388</v>
      </c>
      <c r="D7106" s="322">
        <v>1</v>
      </c>
      <c r="E7106" s="321" t="s">
        <v>125</v>
      </c>
    </row>
    <row r="7107" spans="1:5">
      <c r="A7107" s="323">
        <v>46158</v>
      </c>
      <c r="B7107" s="324" t="s">
        <v>1994</v>
      </c>
      <c r="C7107" s="322" t="s">
        <v>388</v>
      </c>
      <c r="D7107" s="322">
        <v>2</v>
      </c>
      <c r="E7107" s="321" t="s">
        <v>125</v>
      </c>
    </row>
    <row r="7108" spans="1:5">
      <c r="A7108" s="323">
        <v>46158</v>
      </c>
      <c r="B7108" s="325" t="s">
        <v>1568</v>
      </c>
      <c r="C7108" s="322" t="s">
        <v>388</v>
      </c>
      <c r="D7108" s="322">
        <v>8</v>
      </c>
      <c r="E7108" s="321" t="s">
        <v>125</v>
      </c>
    </row>
    <row r="7109" spans="1:5">
      <c r="A7109" s="323">
        <v>46158</v>
      </c>
      <c r="B7109" s="325" t="s">
        <v>1246</v>
      </c>
      <c r="C7109" s="322" t="s">
        <v>388</v>
      </c>
      <c r="D7109" s="322">
        <v>1</v>
      </c>
      <c r="E7109" s="321" t="s">
        <v>125</v>
      </c>
    </row>
    <row r="7110" spans="1:5">
      <c r="A7110" s="323">
        <v>46158</v>
      </c>
      <c r="B7110" s="325" t="s">
        <v>1246</v>
      </c>
      <c r="C7110" s="322" t="s">
        <v>388</v>
      </c>
      <c r="D7110" s="322">
        <v>2</v>
      </c>
      <c r="E7110" s="321" t="s">
        <v>125</v>
      </c>
    </row>
    <row r="7111" spans="1:5">
      <c r="A7111" s="323">
        <v>46158</v>
      </c>
      <c r="B7111" s="325" t="s">
        <v>2312</v>
      </c>
      <c r="C7111" s="322" t="s">
        <v>388</v>
      </c>
      <c r="D7111" s="322">
        <v>1</v>
      </c>
      <c r="E7111" s="321" t="s">
        <v>125</v>
      </c>
    </row>
    <row r="7112" spans="1:5">
      <c r="A7112" s="323">
        <v>46158</v>
      </c>
      <c r="B7112" s="325" t="s">
        <v>4901</v>
      </c>
      <c r="C7112" s="322" t="s">
        <v>388</v>
      </c>
      <c r="D7112" s="322">
        <v>1</v>
      </c>
      <c r="E7112" s="321" t="s">
        <v>125</v>
      </c>
    </row>
    <row r="7114" spans="1:5">
      <c r="A7114" s="346">
        <v>46158</v>
      </c>
      <c r="B7114" s="349" t="s">
        <v>4109</v>
      </c>
      <c r="C7114" s="348" t="s">
        <v>2093</v>
      </c>
      <c r="D7114" s="348">
        <v>4</v>
      </c>
      <c r="E7114" s="360" t="s">
        <v>125</v>
      </c>
    </row>
    <row r="7115" spans="1:5">
      <c r="A7115" s="346">
        <v>46158</v>
      </c>
      <c r="B7115" s="349" t="s">
        <v>4470</v>
      </c>
      <c r="C7115" s="348" t="s">
        <v>2093</v>
      </c>
      <c r="D7115" s="348">
        <v>3</v>
      </c>
      <c r="E7115" s="360" t="s">
        <v>125</v>
      </c>
    </row>
    <row r="7117" spans="1:5">
      <c r="A7117" s="335">
        <v>46161</v>
      </c>
      <c r="B7117" s="343" t="s">
        <v>1291</v>
      </c>
      <c r="C7117" s="345" t="s">
        <v>2724</v>
      </c>
      <c r="D7117" s="345">
        <v>-1</v>
      </c>
      <c r="E7117" s="1064" t="s">
        <v>125</v>
      </c>
    </row>
    <row r="7118" spans="1:5">
      <c r="A7118" s="335">
        <v>46161</v>
      </c>
      <c r="B7118" s="343" t="s">
        <v>1291</v>
      </c>
      <c r="C7118" s="345" t="s">
        <v>2724</v>
      </c>
      <c r="D7118" s="345">
        <v>-1</v>
      </c>
      <c r="E7118" s="1064" t="s">
        <v>125</v>
      </c>
    </row>
    <row r="7120" spans="1:5">
      <c r="A7120" s="335">
        <v>46161</v>
      </c>
      <c r="B7120" s="343" t="s">
        <v>1641</v>
      </c>
      <c r="C7120" s="345" t="s">
        <v>4500</v>
      </c>
      <c r="D7120" s="345">
        <v>-1</v>
      </c>
      <c r="E7120" s="1064" t="s">
        <v>125</v>
      </c>
    </row>
    <row r="7121" spans="1:6">
      <c r="A7121" s="335">
        <v>46161</v>
      </c>
      <c r="B7121" s="343" t="s">
        <v>2142</v>
      </c>
      <c r="C7121" s="345" t="s">
        <v>4500</v>
      </c>
      <c r="D7121" s="345">
        <v>-1</v>
      </c>
      <c r="E7121" s="1064" t="s">
        <v>125</v>
      </c>
    </row>
    <row r="7122" spans="1:6">
      <c r="A7122" s="335">
        <v>46161</v>
      </c>
      <c r="B7122" s="342" t="s">
        <v>1994</v>
      </c>
      <c r="C7122" s="345" t="s">
        <v>4500</v>
      </c>
      <c r="D7122" s="345">
        <v>-2</v>
      </c>
      <c r="E7122" s="1064" t="s">
        <v>125</v>
      </c>
    </row>
    <row r="7123" spans="1:6">
      <c r="A7123" s="335">
        <v>46161</v>
      </c>
      <c r="B7123" s="343" t="s">
        <v>1568</v>
      </c>
      <c r="C7123" s="345" t="s">
        <v>4500</v>
      </c>
      <c r="D7123" s="345">
        <v>-8</v>
      </c>
      <c r="E7123" s="1064" t="s">
        <v>125</v>
      </c>
    </row>
    <row r="7125" spans="1:6">
      <c r="A7125" s="335">
        <v>46161</v>
      </c>
      <c r="B7125" s="84" t="s">
        <v>926</v>
      </c>
      <c r="C7125" s="43" t="s">
        <v>4907</v>
      </c>
      <c r="D7125" s="43">
        <v>1</v>
      </c>
      <c r="E7125" s="1064" t="s">
        <v>125</v>
      </c>
    </row>
    <row r="7127" spans="1:6">
      <c r="A7127" s="335">
        <v>46162</v>
      </c>
      <c r="B7127" s="343" t="s">
        <v>1575</v>
      </c>
      <c r="C7127" s="345" t="s">
        <v>1656</v>
      </c>
      <c r="D7127" s="345">
        <v>-8</v>
      </c>
      <c r="E7127" s="1064" t="s">
        <v>125</v>
      </c>
    </row>
    <row r="7128" spans="1:6">
      <c r="A7128" s="335">
        <v>46162</v>
      </c>
      <c r="B7128" s="344" t="s">
        <v>1183</v>
      </c>
      <c r="C7128" s="345" t="s">
        <v>1656</v>
      </c>
      <c r="D7128" s="345">
        <v>-3</v>
      </c>
      <c r="E7128" s="1064" t="s">
        <v>125</v>
      </c>
      <c r="F7128" s="1309"/>
    </row>
    <row r="7129" spans="1:6">
      <c r="A7129" s="335">
        <v>46162</v>
      </c>
      <c r="B7129" s="342" t="s">
        <v>131</v>
      </c>
      <c r="C7129" s="345" t="s">
        <v>1656</v>
      </c>
      <c r="D7129" s="345">
        <v>-5</v>
      </c>
      <c r="E7129" s="1064" t="s">
        <v>125</v>
      </c>
      <c r="F7129" s="1309"/>
    </row>
    <row r="7130" spans="1:6">
      <c r="A7130" s="335">
        <v>46162</v>
      </c>
      <c r="B7130" s="343" t="s">
        <v>1409</v>
      </c>
      <c r="C7130" s="345" t="s">
        <v>1656</v>
      </c>
      <c r="D7130" s="345">
        <v>-19</v>
      </c>
      <c r="E7130" s="1064" t="s">
        <v>125</v>
      </c>
      <c r="F7130" s="1309"/>
    </row>
    <row r="7131" spans="1:6">
      <c r="A7131" s="335">
        <v>46162</v>
      </c>
      <c r="B7131" s="343" t="s">
        <v>1312</v>
      </c>
      <c r="C7131" s="345" t="s">
        <v>1656</v>
      </c>
      <c r="D7131" s="345">
        <v>-10</v>
      </c>
      <c r="E7131" s="1064" t="s">
        <v>125</v>
      </c>
      <c r="F7131" s="1309"/>
    </row>
    <row r="7132" spans="1:6">
      <c r="A7132" s="335">
        <v>46162</v>
      </c>
      <c r="B7132" s="343" t="s">
        <v>136</v>
      </c>
      <c r="C7132" s="345" t="s">
        <v>1656</v>
      </c>
      <c r="D7132" s="345">
        <v>-19</v>
      </c>
      <c r="E7132" s="1064" t="s">
        <v>125</v>
      </c>
      <c r="F7132" s="1309"/>
    </row>
    <row r="7133" spans="1:6">
      <c r="A7133" s="335">
        <v>46162</v>
      </c>
      <c r="B7133" s="342" t="s">
        <v>960</v>
      </c>
      <c r="C7133" s="345" t="s">
        <v>1656</v>
      </c>
      <c r="D7133" s="345">
        <v>-6</v>
      </c>
      <c r="E7133" s="1064" t="s">
        <v>125</v>
      </c>
      <c r="F7133" s="1309"/>
    </row>
    <row r="7134" spans="1:6">
      <c r="A7134" s="335">
        <v>46162</v>
      </c>
      <c r="B7134" s="343" t="s">
        <v>4900</v>
      </c>
      <c r="C7134" s="345" t="s">
        <v>1656</v>
      </c>
      <c r="D7134" s="345">
        <v>-2</v>
      </c>
      <c r="E7134" s="1064" t="s">
        <v>125</v>
      </c>
      <c r="F7134" s="1309" t="s">
        <v>2725</v>
      </c>
    </row>
    <row r="7135" spans="1:6">
      <c r="A7135" s="335">
        <v>46162</v>
      </c>
      <c r="B7135" s="343" t="s">
        <v>4851</v>
      </c>
      <c r="C7135" s="345" t="s">
        <v>1656</v>
      </c>
      <c r="D7135" s="345">
        <v>-1</v>
      </c>
      <c r="E7135" s="1064" t="s">
        <v>125</v>
      </c>
      <c r="F7135" s="1309" t="s">
        <v>2725</v>
      </c>
    </row>
    <row r="7136" spans="1:6">
      <c r="A7136" s="335">
        <v>46162</v>
      </c>
      <c r="B7136" s="343" t="s">
        <v>1311</v>
      </c>
      <c r="C7136" s="345" t="s">
        <v>1656</v>
      </c>
      <c r="D7136" s="345">
        <v>-1</v>
      </c>
      <c r="E7136" s="1064" t="s">
        <v>125</v>
      </c>
      <c r="F7136" s="1309"/>
    </row>
    <row r="7137" spans="1:6">
      <c r="A7137" s="335">
        <v>46162</v>
      </c>
      <c r="B7137" s="343" t="s">
        <v>977</v>
      </c>
      <c r="C7137" s="345" t="s">
        <v>1656</v>
      </c>
      <c r="D7137" s="345">
        <v>-2</v>
      </c>
      <c r="E7137" s="1064" t="s">
        <v>125</v>
      </c>
      <c r="F7137" s="1309"/>
    </row>
    <row r="7138" spans="1:6">
      <c r="A7138" s="335">
        <v>46162</v>
      </c>
      <c r="B7138" s="344" t="s">
        <v>375</v>
      </c>
      <c r="C7138" s="345" t="s">
        <v>1656</v>
      </c>
      <c r="D7138" s="345">
        <v>-15</v>
      </c>
      <c r="E7138" s="1064" t="s">
        <v>125</v>
      </c>
      <c r="F7138" s="1309"/>
    </row>
    <row r="7139" spans="1:6">
      <c r="A7139" s="335">
        <v>46162</v>
      </c>
      <c r="B7139" s="344" t="s">
        <v>375</v>
      </c>
      <c r="C7139" s="345" t="s">
        <v>1656</v>
      </c>
      <c r="D7139" s="345">
        <v>-1</v>
      </c>
      <c r="E7139" s="1064" t="s">
        <v>125</v>
      </c>
      <c r="F7139" s="1309"/>
    </row>
    <row r="7140" spans="1:6">
      <c r="A7140" s="335">
        <v>46162</v>
      </c>
      <c r="B7140" s="93" t="s">
        <v>4901</v>
      </c>
      <c r="C7140" s="345" t="s">
        <v>1656</v>
      </c>
      <c r="D7140" s="33">
        <v>-1</v>
      </c>
      <c r="E7140" s="1064" t="s">
        <v>125</v>
      </c>
      <c r="F7140" s="1310" t="s">
        <v>2725</v>
      </c>
    </row>
    <row r="7141" spans="1:6">
      <c r="A7141" s="335">
        <v>46163</v>
      </c>
      <c r="B7141" s="93" t="s">
        <v>807</v>
      </c>
      <c r="C7141" s="43" t="s">
        <v>1603</v>
      </c>
      <c r="D7141" s="43">
        <v>-1</v>
      </c>
      <c r="E7141" s="1064" t="s">
        <v>125</v>
      </c>
    </row>
    <row r="7142" spans="1:6">
      <c r="A7142" s="335">
        <v>46163</v>
      </c>
      <c r="B7142" s="342" t="s">
        <v>960</v>
      </c>
      <c r="C7142" s="43" t="s">
        <v>4908</v>
      </c>
      <c r="D7142" s="43">
        <v>-6</v>
      </c>
      <c r="E7142" s="1064" t="s">
        <v>125</v>
      </c>
    </row>
    <row r="7143" spans="1:6">
      <c r="A7143" s="335">
        <v>46163</v>
      </c>
      <c r="B7143" s="341" t="s">
        <v>671</v>
      </c>
      <c r="C7143" s="345" t="s">
        <v>1787</v>
      </c>
      <c r="D7143" s="345">
        <v>-12</v>
      </c>
      <c r="E7143" s="1064" t="s">
        <v>125</v>
      </c>
    </row>
    <row r="7144" spans="1:6">
      <c r="A7144" s="335">
        <v>46163</v>
      </c>
      <c r="B7144" s="343" t="s">
        <v>4800</v>
      </c>
      <c r="C7144" s="345" t="s">
        <v>1787</v>
      </c>
      <c r="D7144" s="345">
        <v>-21</v>
      </c>
      <c r="E7144" s="1064" t="s">
        <v>125</v>
      </c>
    </row>
    <row r="7145" spans="1:6">
      <c r="A7145" s="335">
        <v>46163</v>
      </c>
      <c r="B7145" s="343" t="s">
        <v>4800</v>
      </c>
      <c r="C7145" s="43" t="s">
        <v>4909</v>
      </c>
      <c r="D7145" s="43">
        <v>-100</v>
      </c>
      <c r="E7145" s="1064" t="s">
        <v>125</v>
      </c>
    </row>
    <row r="7147" spans="1:6">
      <c r="A7147" s="265">
        <v>46164</v>
      </c>
      <c r="B7147" s="93" t="s">
        <v>806</v>
      </c>
      <c r="C7147" s="43" t="s">
        <v>4908</v>
      </c>
      <c r="D7147" s="43">
        <v>-1</v>
      </c>
      <c r="E7147" s="1064" t="s">
        <v>125</v>
      </c>
    </row>
    <row r="7149" spans="1:6">
      <c r="A7149" s="323">
        <v>46162</v>
      </c>
      <c r="B7149" s="325" t="s">
        <v>1334</v>
      </c>
      <c r="C7149" s="322" t="s">
        <v>388</v>
      </c>
      <c r="D7149" s="322">
        <v>2</v>
      </c>
      <c r="E7149" s="321" t="s">
        <v>125</v>
      </c>
    </row>
    <row r="7150" spans="1:6">
      <c r="A7150" s="323">
        <v>46162</v>
      </c>
      <c r="B7150" s="425" t="s">
        <v>1183</v>
      </c>
      <c r="C7150" s="322" t="s">
        <v>388</v>
      </c>
      <c r="D7150" s="322">
        <v>2</v>
      </c>
      <c r="E7150" s="321" t="s">
        <v>125</v>
      </c>
    </row>
    <row r="7151" spans="1:6">
      <c r="A7151" s="323">
        <v>46162</v>
      </c>
      <c r="B7151" s="425" t="s">
        <v>375</v>
      </c>
      <c r="C7151" s="322" t="s">
        <v>388</v>
      </c>
      <c r="D7151" s="322">
        <v>20</v>
      </c>
      <c r="E7151" s="321" t="s">
        <v>125</v>
      </c>
    </row>
    <row r="7152" spans="1:6">
      <c r="A7152" s="323">
        <v>46162</v>
      </c>
      <c r="B7152" s="324" t="s">
        <v>960</v>
      </c>
      <c r="C7152" s="322" t="s">
        <v>388</v>
      </c>
      <c r="D7152" s="322">
        <v>15</v>
      </c>
      <c r="E7152" s="321" t="s">
        <v>125</v>
      </c>
    </row>
    <row r="7153" spans="1:5">
      <c r="A7153" s="323">
        <v>46162</v>
      </c>
      <c r="B7153" s="324" t="s">
        <v>131</v>
      </c>
      <c r="C7153" s="322" t="s">
        <v>388</v>
      </c>
      <c r="D7153" s="322">
        <v>27</v>
      </c>
      <c r="E7153" s="321" t="s">
        <v>125</v>
      </c>
    </row>
    <row r="7154" spans="1:5">
      <c r="A7154" s="323">
        <v>46162</v>
      </c>
      <c r="B7154" s="325" t="s">
        <v>1291</v>
      </c>
      <c r="C7154" s="322" t="s">
        <v>388</v>
      </c>
      <c r="D7154" s="322">
        <v>1</v>
      </c>
      <c r="E7154" s="321" t="s">
        <v>125</v>
      </c>
    </row>
    <row r="7155" spans="1:5">
      <c r="A7155" s="323">
        <v>46162</v>
      </c>
      <c r="B7155" s="325" t="s">
        <v>806</v>
      </c>
      <c r="C7155" s="322" t="s">
        <v>388</v>
      </c>
      <c r="D7155" s="322">
        <v>7</v>
      </c>
      <c r="E7155" s="321" t="s">
        <v>125</v>
      </c>
    </row>
    <row r="7156" spans="1:5">
      <c r="A7156" s="323">
        <v>46162</v>
      </c>
      <c r="B7156" s="325" t="s">
        <v>1641</v>
      </c>
      <c r="C7156" s="322" t="s">
        <v>388</v>
      </c>
      <c r="D7156" s="322">
        <v>1</v>
      </c>
      <c r="E7156" s="321" t="s">
        <v>125</v>
      </c>
    </row>
    <row r="7157" spans="1:5">
      <c r="A7157" s="323">
        <v>46162</v>
      </c>
      <c r="B7157" s="325" t="s">
        <v>1246</v>
      </c>
      <c r="C7157" s="322" t="s">
        <v>388</v>
      </c>
      <c r="D7157" s="322">
        <v>1</v>
      </c>
      <c r="E7157" s="321" t="s">
        <v>125</v>
      </c>
    </row>
    <row r="7158" spans="1:5">
      <c r="A7158" s="323">
        <v>46162</v>
      </c>
      <c r="B7158" s="325" t="s">
        <v>1568</v>
      </c>
      <c r="C7158" s="322" t="s">
        <v>388</v>
      </c>
      <c r="D7158" s="322">
        <v>5</v>
      </c>
      <c r="E7158" s="321" t="s">
        <v>125</v>
      </c>
    </row>
    <row r="7159" spans="1:5">
      <c r="A7159" s="323">
        <v>46162</v>
      </c>
      <c r="B7159" s="325" t="s">
        <v>1271</v>
      </c>
      <c r="C7159" s="322" t="s">
        <v>388</v>
      </c>
      <c r="D7159" s="322">
        <v>5</v>
      </c>
      <c r="E7159" s="321" t="s">
        <v>125</v>
      </c>
    </row>
    <row r="7160" spans="1:5">
      <c r="A7160" s="323">
        <v>46162</v>
      </c>
      <c r="B7160" s="325" t="s">
        <v>1271</v>
      </c>
      <c r="C7160" s="322" t="s">
        <v>388</v>
      </c>
      <c r="D7160" s="322">
        <v>7</v>
      </c>
      <c r="E7160" s="321" t="s">
        <v>125</v>
      </c>
    </row>
    <row r="7161" spans="1:5">
      <c r="A7161" s="323">
        <v>46162</v>
      </c>
      <c r="B7161" s="325" t="s">
        <v>1246</v>
      </c>
      <c r="C7161" s="322" t="s">
        <v>388</v>
      </c>
      <c r="D7161" s="322">
        <v>2</v>
      </c>
      <c r="E7161" s="321" t="s">
        <v>125</v>
      </c>
    </row>
    <row r="7162" spans="1:5">
      <c r="A7162" s="323">
        <v>46162</v>
      </c>
      <c r="B7162" s="325" t="s">
        <v>1246</v>
      </c>
      <c r="C7162" s="322" t="s">
        <v>388</v>
      </c>
      <c r="D7162" s="322">
        <v>2</v>
      </c>
      <c r="E7162" s="321" t="s">
        <v>125</v>
      </c>
    </row>
    <row r="7163" spans="1:5">
      <c r="A7163" s="323">
        <v>46162</v>
      </c>
      <c r="B7163" s="325" t="s">
        <v>5008</v>
      </c>
      <c r="C7163" s="322" t="s">
        <v>388</v>
      </c>
      <c r="D7163" s="322">
        <v>1</v>
      </c>
      <c r="E7163" s="321" t="s">
        <v>125</v>
      </c>
    </row>
    <row r="7165" spans="1:5">
      <c r="A7165" s="335">
        <v>46164</v>
      </c>
      <c r="B7165" s="343" t="s">
        <v>1271</v>
      </c>
      <c r="C7165" s="345" t="s">
        <v>3830</v>
      </c>
      <c r="D7165" s="345">
        <v>-3</v>
      </c>
      <c r="E7165" s="1064" t="s">
        <v>125</v>
      </c>
    </row>
    <row r="7166" spans="1:5">
      <c r="A7166" s="335">
        <v>46164</v>
      </c>
      <c r="B7166" s="343" t="s">
        <v>1271</v>
      </c>
      <c r="C7166" s="345" t="s">
        <v>3830</v>
      </c>
      <c r="D7166" s="345">
        <v>-1</v>
      </c>
      <c r="E7166" s="1064" t="s">
        <v>125</v>
      </c>
    </row>
    <row r="7167" spans="1:5">
      <c r="A7167" s="335">
        <v>46164</v>
      </c>
      <c r="B7167" s="343" t="s">
        <v>1271</v>
      </c>
      <c r="C7167" s="345" t="s">
        <v>3830</v>
      </c>
      <c r="D7167" s="345">
        <v>-5</v>
      </c>
      <c r="E7167" s="1064" t="s">
        <v>125</v>
      </c>
    </row>
    <row r="7168" spans="1:5">
      <c r="A7168" s="335">
        <v>46164</v>
      </c>
      <c r="B7168" s="343" t="s">
        <v>1271</v>
      </c>
      <c r="C7168" s="345" t="s">
        <v>3830</v>
      </c>
      <c r="D7168" s="345">
        <v>-3</v>
      </c>
      <c r="E7168" s="1064" t="s">
        <v>125</v>
      </c>
    </row>
    <row r="7169" spans="1:5">
      <c r="A7169" s="335">
        <v>46164</v>
      </c>
      <c r="B7169" s="343" t="s">
        <v>1246</v>
      </c>
      <c r="C7169" s="345" t="s">
        <v>3830</v>
      </c>
      <c r="D7169" s="345">
        <v>-2</v>
      </c>
      <c r="E7169" s="1064" t="s">
        <v>125</v>
      </c>
    </row>
    <row r="7170" spans="1:5">
      <c r="A7170" s="335">
        <v>46164</v>
      </c>
      <c r="B7170" s="343" t="s">
        <v>1246</v>
      </c>
      <c r="C7170" s="345" t="s">
        <v>3830</v>
      </c>
      <c r="D7170" s="345">
        <v>-3</v>
      </c>
      <c r="E7170" s="1064" t="s">
        <v>125</v>
      </c>
    </row>
    <row r="7171" spans="1:5">
      <c r="A7171" s="335">
        <v>46164</v>
      </c>
      <c r="B7171" s="343" t="s">
        <v>1246</v>
      </c>
      <c r="C7171" s="345" t="s">
        <v>3830</v>
      </c>
      <c r="D7171" s="345">
        <v>-2</v>
      </c>
      <c r="E7171" s="1064" t="s">
        <v>125</v>
      </c>
    </row>
    <row r="7173" spans="1:5">
      <c r="A7173" s="265">
        <v>46165</v>
      </c>
      <c r="B7173" s="92" t="s">
        <v>76</v>
      </c>
      <c r="C7173" s="43" t="s">
        <v>2350</v>
      </c>
      <c r="D7173" s="43">
        <v>-3</v>
      </c>
      <c r="E7173" s="1064" t="s">
        <v>125</v>
      </c>
    </row>
    <row r="7174" spans="1:5">
      <c r="A7174" s="265">
        <v>46165</v>
      </c>
      <c r="B7174" s="92" t="s">
        <v>882</v>
      </c>
      <c r="C7174" s="43" t="s">
        <v>1787</v>
      </c>
      <c r="D7174" s="43">
        <v>-1</v>
      </c>
      <c r="E7174" s="1064" t="s">
        <v>125</v>
      </c>
    </row>
    <row r="7175" spans="1:5">
      <c r="A7175" s="265">
        <v>46165</v>
      </c>
      <c r="B7175" s="343" t="s">
        <v>1246</v>
      </c>
      <c r="C7175" s="43" t="s">
        <v>3826</v>
      </c>
      <c r="D7175" s="43">
        <v>-1</v>
      </c>
      <c r="E7175" s="1064" t="s">
        <v>125</v>
      </c>
    </row>
    <row r="7176" spans="1:5">
      <c r="A7176" s="335">
        <v>46165</v>
      </c>
      <c r="B7176" s="343" t="s">
        <v>1334</v>
      </c>
      <c r="C7176" s="345" t="s">
        <v>5009</v>
      </c>
      <c r="D7176" s="345">
        <v>1</v>
      </c>
      <c r="E7176" s="1064" t="s">
        <v>125</v>
      </c>
    </row>
    <row r="7177" spans="1:5">
      <c r="A7177" s="335">
        <v>46165</v>
      </c>
      <c r="B7177" s="93" t="s">
        <v>807</v>
      </c>
      <c r="C7177" s="43" t="s">
        <v>1603</v>
      </c>
      <c r="D7177" s="43">
        <v>-1</v>
      </c>
      <c r="E7177" s="1064" t="s">
        <v>125</v>
      </c>
    </row>
    <row r="7178" spans="1:5">
      <c r="A7178" s="335">
        <v>46165</v>
      </c>
      <c r="B7178" s="84" t="s">
        <v>467</v>
      </c>
      <c r="C7178" s="43" t="s">
        <v>1603</v>
      </c>
      <c r="D7178" s="43">
        <v>-1</v>
      </c>
      <c r="E7178" s="1064" t="s">
        <v>125</v>
      </c>
    </row>
    <row r="7179" spans="1:5">
      <c r="A7179" s="335">
        <v>46165</v>
      </c>
      <c r="B7179" s="342" t="s">
        <v>960</v>
      </c>
      <c r="C7179" s="43" t="s">
        <v>1726</v>
      </c>
      <c r="D7179" s="43">
        <v>-5</v>
      </c>
      <c r="E7179" s="1064" t="s">
        <v>125</v>
      </c>
    </row>
    <row r="7181" spans="1:5">
      <c r="A7181" s="335">
        <v>46166</v>
      </c>
      <c r="B7181" s="343" t="s">
        <v>4124</v>
      </c>
      <c r="C7181" s="345" t="s">
        <v>1603</v>
      </c>
      <c r="D7181" s="345">
        <v>-16</v>
      </c>
      <c r="E7181" s="1064" t="s">
        <v>125</v>
      </c>
    </row>
    <row r="7183" spans="1:5">
      <c r="A7183" s="265">
        <v>46167</v>
      </c>
      <c r="B7183" s="342" t="s">
        <v>960</v>
      </c>
      <c r="C7183" s="43" t="s">
        <v>4908</v>
      </c>
      <c r="D7183" s="43">
        <v>-2</v>
      </c>
      <c r="E7183" s="1064" t="s">
        <v>125</v>
      </c>
    </row>
    <row r="7184" spans="1:5">
      <c r="A7184" s="265">
        <v>46167</v>
      </c>
      <c r="B7184" s="93" t="s">
        <v>807</v>
      </c>
      <c r="C7184" s="43" t="s">
        <v>4908</v>
      </c>
      <c r="D7184" s="43">
        <v>-4</v>
      </c>
      <c r="E7184" s="1064" t="s">
        <v>125</v>
      </c>
    </row>
    <row r="7185" spans="1:5">
      <c r="A7185" s="265">
        <v>46167</v>
      </c>
      <c r="B7185" s="93" t="s">
        <v>806</v>
      </c>
      <c r="C7185" s="43" t="s">
        <v>4908</v>
      </c>
      <c r="D7185" s="43">
        <v>-2</v>
      </c>
      <c r="E7185" s="1064" t="s">
        <v>125</v>
      </c>
    </row>
    <row r="7186" spans="1:5">
      <c r="A7186" s="265">
        <v>46167</v>
      </c>
      <c r="B7186" s="343" t="s">
        <v>1246</v>
      </c>
      <c r="C7186" s="43" t="s">
        <v>3826</v>
      </c>
      <c r="D7186" s="43">
        <v>-1</v>
      </c>
      <c r="E7186" s="1064" t="s">
        <v>125</v>
      </c>
    </row>
    <row r="7187" spans="1:5">
      <c r="A7187" s="265">
        <v>46167</v>
      </c>
      <c r="B7187" s="343" t="s">
        <v>1246</v>
      </c>
      <c r="C7187" s="43" t="s">
        <v>4539</v>
      </c>
      <c r="D7187" s="43">
        <v>-1</v>
      </c>
      <c r="E7187" s="1064" t="s">
        <v>125</v>
      </c>
    </row>
    <row r="7188" spans="1:5">
      <c r="A7188" s="265">
        <v>46167</v>
      </c>
      <c r="B7188" s="342" t="s">
        <v>960</v>
      </c>
      <c r="C7188" s="43" t="s">
        <v>1726</v>
      </c>
      <c r="D7188" s="43">
        <v>-2</v>
      </c>
      <c r="E7188" s="1064" t="s">
        <v>125</v>
      </c>
    </row>
    <row r="7190" spans="1:5">
      <c r="A7190" s="265">
        <v>46168</v>
      </c>
      <c r="B7190" s="343" t="s">
        <v>977</v>
      </c>
      <c r="C7190" s="43" t="s">
        <v>4798</v>
      </c>
      <c r="D7190" s="43">
        <v>1</v>
      </c>
      <c r="E7190" s="1064" t="s">
        <v>125</v>
      </c>
    </row>
    <row r="7191" spans="1:5">
      <c r="A7191" s="265">
        <v>46168</v>
      </c>
      <c r="B7191" s="343" t="s">
        <v>1409</v>
      </c>
      <c r="C7191" s="43" t="s">
        <v>4798</v>
      </c>
      <c r="D7191" s="43">
        <v>2</v>
      </c>
      <c r="E7191" s="1064" t="s">
        <v>125</v>
      </c>
    </row>
    <row r="7192" spans="1:5">
      <c r="A7192" s="265">
        <v>46168</v>
      </c>
      <c r="B7192" s="343" t="s">
        <v>136</v>
      </c>
      <c r="C7192" s="43" t="s">
        <v>4798</v>
      </c>
      <c r="D7192" s="43">
        <v>1</v>
      </c>
      <c r="E7192" s="1064" t="s">
        <v>125</v>
      </c>
    </row>
    <row r="7194" spans="1:5">
      <c r="A7194" s="330">
        <v>46158</v>
      </c>
      <c r="B7194" s="329" t="s">
        <v>4503</v>
      </c>
      <c r="C7194" s="328" t="s">
        <v>4509</v>
      </c>
      <c r="D7194" s="328">
        <v>1</v>
      </c>
      <c r="E7194" s="331" t="s">
        <v>125</v>
      </c>
    </row>
    <row r="7195" spans="1:5">
      <c r="A7195" s="330">
        <v>46158</v>
      </c>
      <c r="B7195" s="329" t="s">
        <v>4800</v>
      </c>
      <c r="C7195" s="328" t="s">
        <v>4509</v>
      </c>
      <c r="D7195" s="328">
        <v>40</v>
      </c>
      <c r="E7195" s="331" t="s">
        <v>125</v>
      </c>
    </row>
    <row r="7196" spans="1:5">
      <c r="A7196" s="330">
        <v>46158</v>
      </c>
      <c r="B7196" s="329" t="s">
        <v>4800</v>
      </c>
      <c r="C7196" s="328" t="s">
        <v>4509</v>
      </c>
      <c r="D7196" s="328">
        <v>40</v>
      </c>
      <c r="E7196" s="331" t="s">
        <v>125</v>
      </c>
    </row>
    <row r="7197" spans="1:5">
      <c r="A7197" s="330">
        <v>46160</v>
      </c>
      <c r="B7197" s="329" t="s">
        <v>839</v>
      </c>
      <c r="C7197" s="328" t="s">
        <v>4509</v>
      </c>
      <c r="D7197" s="328">
        <v>4</v>
      </c>
      <c r="E7197" s="331" t="s">
        <v>125</v>
      </c>
    </row>
    <row r="7198" spans="1:5">
      <c r="A7198" s="330">
        <v>46162</v>
      </c>
      <c r="B7198" s="329" t="s">
        <v>4800</v>
      </c>
      <c r="C7198" s="328" t="s">
        <v>4509</v>
      </c>
      <c r="D7198" s="328">
        <v>8</v>
      </c>
      <c r="E7198" s="331" t="s">
        <v>125</v>
      </c>
    </row>
    <row r="7200" spans="1:5">
      <c r="A7200" s="272">
        <v>46157</v>
      </c>
      <c r="B7200" s="139" t="s">
        <v>4124</v>
      </c>
      <c r="C7200" s="106" t="s">
        <v>4535</v>
      </c>
      <c r="D7200" s="106">
        <v>2</v>
      </c>
      <c r="E7200" s="94" t="s">
        <v>125</v>
      </c>
    </row>
    <row r="7201" spans="1:5">
      <c r="A7201" s="272">
        <v>46159</v>
      </c>
      <c r="B7201" s="139" t="s">
        <v>4124</v>
      </c>
      <c r="C7201" s="106" t="s">
        <v>4535</v>
      </c>
      <c r="D7201" s="106">
        <v>1</v>
      </c>
      <c r="E7201" s="94" t="s">
        <v>125</v>
      </c>
    </row>
    <row r="7202" spans="1:5">
      <c r="A7202" s="272">
        <v>46159</v>
      </c>
      <c r="B7202" s="139" t="s">
        <v>4124</v>
      </c>
      <c r="C7202" s="106" t="s">
        <v>4535</v>
      </c>
      <c r="D7202" s="106">
        <v>2</v>
      </c>
      <c r="E7202" s="94" t="s">
        <v>125</v>
      </c>
    </row>
    <row r="7203" spans="1:5">
      <c r="A7203" s="272">
        <v>46159</v>
      </c>
      <c r="B7203" s="139" t="s">
        <v>4124</v>
      </c>
      <c r="C7203" s="106" t="s">
        <v>4535</v>
      </c>
      <c r="D7203" s="106">
        <v>1</v>
      </c>
      <c r="E7203" s="94" t="s">
        <v>125</v>
      </c>
    </row>
    <row r="7204" spans="1:5">
      <c r="A7204" s="272">
        <v>46160</v>
      </c>
      <c r="B7204" s="139" t="s">
        <v>4124</v>
      </c>
      <c r="C7204" s="106" t="s">
        <v>4535</v>
      </c>
      <c r="D7204" s="106">
        <v>7</v>
      </c>
      <c r="E7204" s="94" t="s">
        <v>125</v>
      </c>
    </row>
    <row r="7205" spans="1:5">
      <c r="A7205" s="272">
        <v>46160</v>
      </c>
      <c r="B7205" s="139" t="s">
        <v>4124</v>
      </c>
      <c r="C7205" s="106" t="s">
        <v>4535</v>
      </c>
      <c r="D7205" s="106">
        <v>4</v>
      </c>
      <c r="E7205" s="94" t="s">
        <v>125</v>
      </c>
    </row>
    <row r="7206" spans="1:5">
      <c r="A7206" s="272">
        <v>46160</v>
      </c>
      <c r="B7206" s="139" t="s">
        <v>4124</v>
      </c>
      <c r="C7206" s="106" t="s">
        <v>4535</v>
      </c>
      <c r="D7206" s="106">
        <v>2</v>
      </c>
      <c r="E7206" s="94" t="s">
        <v>125</v>
      </c>
    </row>
    <row r="7207" spans="1:5">
      <c r="A7207" s="272">
        <v>46161</v>
      </c>
      <c r="B7207" s="139" t="s">
        <v>4124</v>
      </c>
      <c r="C7207" s="106" t="s">
        <v>4535</v>
      </c>
      <c r="D7207" s="106">
        <v>2</v>
      </c>
      <c r="E7207" s="94" t="s">
        <v>125</v>
      </c>
    </row>
    <row r="7208" spans="1:5">
      <c r="A7208" s="272">
        <v>46161</v>
      </c>
      <c r="B7208" s="139" t="s">
        <v>4124</v>
      </c>
      <c r="C7208" s="106" t="s">
        <v>4535</v>
      </c>
      <c r="D7208" s="106">
        <v>2</v>
      </c>
      <c r="E7208" s="94" t="s">
        <v>125</v>
      </c>
    </row>
    <row r="7209" spans="1:5">
      <c r="A7209" s="272">
        <v>46161</v>
      </c>
      <c r="B7209" s="139" t="s">
        <v>4124</v>
      </c>
      <c r="C7209" s="106" t="s">
        <v>4535</v>
      </c>
      <c r="D7209" s="106">
        <v>2</v>
      </c>
      <c r="E7209" s="94" t="s">
        <v>125</v>
      </c>
    </row>
    <row r="7210" spans="1:5">
      <c r="A7210" s="272">
        <v>46161</v>
      </c>
      <c r="B7210" s="139" t="s">
        <v>4124</v>
      </c>
      <c r="C7210" s="106" t="s">
        <v>4535</v>
      </c>
      <c r="D7210" s="106">
        <v>2</v>
      </c>
      <c r="E7210" s="94" t="s">
        <v>125</v>
      </c>
    </row>
    <row r="7211" spans="1:5">
      <c r="A7211" s="272">
        <v>46161</v>
      </c>
      <c r="B7211" s="139" t="s">
        <v>4124</v>
      </c>
      <c r="C7211" s="106" t="s">
        <v>4535</v>
      </c>
      <c r="D7211" s="106">
        <v>2</v>
      </c>
      <c r="E7211" s="94" t="s">
        <v>125</v>
      </c>
    </row>
    <row r="7212" spans="1:5">
      <c r="A7212" s="272">
        <v>46161</v>
      </c>
      <c r="B7212" s="139" t="s">
        <v>4124</v>
      </c>
      <c r="C7212" s="106" t="s">
        <v>4535</v>
      </c>
      <c r="D7212" s="106">
        <v>2</v>
      </c>
      <c r="E7212" s="94" t="s">
        <v>125</v>
      </c>
    </row>
    <row r="7214" spans="1:5">
      <c r="A7214" s="272">
        <v>46162</v>
      </c>
      <c r="B7214" s="139" t="s">
        <v>4124</v>
      </c>
      <c r="C7214" s="106" t="s">
        <v>4535</v>
      </c>
      <c r="D7214" s="106">
        <v>5</v>
      </c>
      <c r="E7214" s="94" t="s">
        <v>125</v>
      </c>
    </row>
    <row r="7215" spans="1:5">
      <c r="A7215" s="272">
        <v>46162</v>
      </c>
      <c r="B7215" s="233" t="s">
        <v>1716</v>
      </c>
      <c r="C7215" s="106" t="s">
        <v>4535</v>
      </c>
      <c r="D7215" s="106">
        <v>3</v>
      </c>
      <c r="E7215" s="94" t="s">
        <v>125</v>
      </c>
    </row>
    <row r="7216" spans="1:5">
      <c r="A7216" s="272">
        <v>46162</v>
      </c>
      <c r="B7216" s="139" t="s">
        <v>4800</v>
      </c>
      <c r="C7216" s="106" t="s">
        <v>4535</v>
      </c>
      <c r="D7216" s="106">
        <v>3</v>
      </c>
      <c r="E7216" s="94" t="s">
        <v>125</v>
      </c>
    </row>
    <row r="7217" spans="1:5">
      <c r="A7217" s="272">
        <v>46162</v>
      </c>
      <c r="B7217" s="233" t="s">
        <v>1716</v>
      </c>
      <c r="C7217" s="106" t="s">
        <v>4535</v>
      </c>
      <c r="D7217" s="106">
        <v>3</v>
      </c>
      <c r="E7217" s="94" t="s">
        <v>125</v>
      </c>
    </row>
    <row r="7218" spans="1:5">
      <c r="A7218" s="272">
        <v>46162</v>
      </c>
      <c r="B7218" s="233" t="s">
        <v>1716</v>
      </c>
      <c r="C7218" s="106" t="s">
        <v>4535</v>
      </c>
      <c r="D7218" s="106">
        <v>2</v>
      </c>
      <c r="E7218" s="94" t="s">
        <v>125</v>
      </c>
    </row>
    <row r="7219" spans="1:5">
      <c r="A7219" s="272">
        <v>46162</v>
      </c>
      <c r="B7219" s="233" t="s">
        <v>375</v>
      </c>
      <c r="C7219" s="106" t="s">
        <v>4535</v>
      </c>
      <c r="D7219" s="106">
        <v>3</v>
      </c>
      <c r="E7219" s="94" t="s">
        <v>125</v>
      </c>
    </row>
    <row r="7220" spans="1:5">
      <c r="A7220" s="272">
        <v>46162</v>
      </c>
      <c r="B7220" s="233" t="s">
        <v>375</v>
      </c>
      <c r="C7220" s="106" t="s">
        <v>4535</v>
      </c>
      <c r="D7220" s="106">
        <v>1</v>
      </c>
      <c r="E7220" s="94" t="s">
        <v>125</v>
      </c>
    </row>
    <row r="7221" spans="1:5">
      <c r="A7221" s="272">
        <v>46162</v>
      </c>
      <c r="B7221" s="233" t="s">
        <v>1716</v>
      </c>
      <c r="C7221" s="106" t="s">
        <v>4535</v>
      </c>
      <c r="D7221" s="106">
        <v>2</v>
      </c>
      <c r="E7221" s="94" t="s">
        <v>125</v>
      </c>
    </row>
    <row r="7222" spans="1:5">
      <c r="A7222" s="272">
        <v>46162</v>
      </c>
      <c r="B7222" s="139" t="s">
        <v>4800</v>
      </c>
      <c r="C7222" s="106" t="s">
        <v>4535</v>
      </c>
      <c r="D7222" s="106">
        <v>19</v>
      </c>
      <c r="E7222" s="94" t="s">
        <v>125</v>
      </c>
    </row>
    <row r="7223" spans="1:5">
      <c r="A7223" s="272">
        <v>46162</v>
      </c>
      <c r="B7223" s="139" t="s">
        <v>839</v>
      </c>
      <c r="C7223" s="106" t="s">
        <v>4535</v>
      </c>
      <c r="D7223" s="106">
        <v>2</v>
      </c>
      <c r="E7223" s="94" t="s">
        <v>125</v>
      </c>
    </row>
    <row r="7224" spans="1:5">
      <c r="A7224" s="272">
        <v>46163</v>
      </c>
      <c r="B7224" s="139" t="s">
        <v>4124</v>
      </c>
      <c r="C7224" s="106" t="s">
        <v>4535</v>
      </c>
      <c r="D7224" s="106">
        <v>2</v>
      </c>
      <c r="E7224" s="94" t="s">
        <v>125</v>
      </c>
    </row>
    <row r="7225" spans="1:5">
      <c r="A7225" s="272">
        <v>46163</v>
      </c>
      <c r="B7225" s="139" t="s">
        <v>4124</v>
      </c>
      <c r="C7225" s="106" t="s">
        <v>4535</v>
      </c>
      <c r="D7225" s="106">
        <v>2</v>
      </c>
      <c r="E7225" s="94" t="s">
        <v>125</v>
      </c>
    </row>
    <row r="7226" spans="1:5">
      <c r="A7226" s="272">
        <v>46163</v>
      </c>
      <c r="B7226" s="139" t="s">
        <v>4124</v>
      </c>
      <c r="C7226" s="106" t="s">
        <v>4535</v>
      </c>
      <c r="D7226" s="106">
        <v>2</v>
      </c>
      <c r="E7226" s="94" t="s">
        <v>125</v>
      </c>
    </row>
    <row r="7227" spans="1:5">
      <c r="A7227" s="272">
        <v>46163</v>
      </c>
      <c r="B7227" s="139" t="s">
        <v>4124</v>
      </c>
      <c r="C7227" s="106" t="s">
        <v>4535</v>
      </c>
      <c r="D7227" s="106">
        <v>2</v>
      </c>
      <c r="E7227" s="94" t="s">
        <v>125</v>
      </c>
    </row>
    <row r="7228" spans="1:5">
      <c r="A7228" s="272">
        <v>46163</v>
      </c>
      <c r="B7228" s="139" t="s">
        <v>4124</v>
      </c>
      <c r="C7228" s="106" t="s">
        <v>4535</v>
      </c>
      <c r="D7228" s="106">
        <v>2</v>
      </c>
      <c r="E7228" s="94" t="s">
        <v>125</v>
      </c>
    </row>
    <row r="7229" spans="1:5">
      <c r="A7229" s="272">
        <v>46163</v>
      </c>
      <c r="B7229" s="139" t="s">
        <v>4124</v>
      </c>
      <c r="C7229" s="106" t="s">
        <v>4535</v>
      </c>
      <c r="D7229" s="106">
        <v>2</v>
      </c>
      <c r="E7229" s="94" t="s">
        <v>125</v>
      </c>
    </row>
    <row r="7230" spans="1:5">
      <c r="A7230" s="272">
        <v>46165</v>
      </c>
      <c r="B7230" s="139" t="s">
        <v>4124</v>
      </c>
      <c r="C7230" s="106" t="s">
        <v>4535</v>
      </c>
      <c r="D7230" s="106">
        <v>4</v>
      </c>
      <c r="E7230" s="94" t="s">
        <v>125</v>
      </c>
    </row>
    <row r="7231" spans="1:5">
      <c r="A7231" s="272">
        <v>46165</v>
      </c>
      <c r="B7231" s="233" t="s">
        <v>1716</v>
      </c>
      <c r="C7231" s="106" t="s">
        <v>4535</v>
      </c>
      <c r="D7231" s="106">
        <v>4</v>
      </c>
      <c r="E7231" s="94" t="s">
        <v>125</v>
      </c>
    </row>
    <row r="7233" spans="1:5">
      <c r="A7233" s="273">
        <v>46167</v>
      </c>
      <c r="B7233" s="248" t="s">
        <v>1312</v>
      </c>
      <c r="C7233" s="235" t="s">
        <v>1247</v>
      </c>
      <c r="D7233" s="235">
        <v>3</v>
      </c>
      <c r="E7233" s="217" t="s">
        <v>125</v>
      </c>
    </row>
    <row r="7235" spans="1:5">
      <c r="A7235" s="265">
        <v>46174</v>
      </c>
      <c r="B7235" s="92" t="s">
        <v>76</v>
      </c>
      <c r="C7235" s="43" t="s">
        <v>1603</v>
      </c>
      <c r="D7235" s="43">
        <v>-11</v>
      </c>
      <c r="E7235" s="1064" t="s">
        <v>125</v>
      </c>
    </row>
    <row r="7236" spans="1:5">
      <c r="A7236" s="335">
        <v>46167</v>
      </c>
      <c r="B7236" s="343" t="s">
        <v>4124</v>
      </c>
      <c r="C7236" s="345" t="s">
        <v>5149</v>
      </c>
      <c r="D7236" s="345">
        <v>48</v>
      </c>
      <c r="E7236" s="1064" t="s">
        <v>125</v>
      </c>
    </row>
    <row r="7237" spans="1:5">
      <c r="A7237" s="323">
        <v>46167</v>
      </c>
      <c r="B7237" s="325" t="s">
        <v>1291</v>
      </c>
      <c r="C7237" s="322" t="s">
        <v>5083</v>
      </c>
      <c r="D7237" s="322">
        <v>10</v>
      </c>
      <c r="E7237" s="321" t="s">
        <v>125</v>
      </c>
    </row>
    <row r="7238" spans="1:5">
      <c r="A7238" s="323">
        <v>46167</v>
      </c>
      <c r="B7238" s="425" t="s">
        <v>375</v>
      </c>
      <c r="C7238" s="322" t="s">
        <v>5083</v>
      </c>
      <c r="D7238" s="322">
        <v>6</v>
      </c>
      <c r="E7238" s="321" t="s">
        <v>125</v>
      </c>
    </row>
    <row r="7239" spans="1:5">
      <c r="A7239" s="323">
        <v>46167</v>
      </c>
      <c r="B7239" s="325" t="s">
        <v>1568</v>
      </c>
      <c r="C7239" s="322" t="s">
        <v>5083</v>
      </c>
      <c r="D7239" s="322">
        <v>7</v>
      </c>
      <c r="E7239" s="321" t="s">
        <v>125</v>
      </c>
    </row>
    <row r="7240" spans="1:5">
      <c r="A7240" s="323">
        <v>46167</v>
      </c>
      <c r="B7240" s="324" t="s">
        <v>1994</v>
      </c>
      <c r="C7240" s="322" t="s">
        <v>5083</v>
      </c>
      <c r="D7240" s="322">
        <v>3</v>
      </c>
      <c r="E7240" s="321" t="s">
        <v>125</v>
      </c>
    </row>
    <row r="7241" spans="1:5">
      <c r="A7241" s="323">
        <v>46167</v>
      </c>
      <c r="B7241" s="324" t="s">
        <v>4720</v>
      </c>
      <c r="C7241" s="322" t="s">
        <v>5083</v>
      </c>
      <c r="D7241" s="322">
        <v>4</v>
      </c>
      <c r="E7241" s="321" t="s">
        <v>125</v>
      </c>
    </row>
    <row r="7242" spans="1:5">
      <c r="A7242" s="323">
        <v>46167</v>
      </c>
      <c r="B7242" s="324" t="s">
        <v>4462</v>
      </c>
      <c r="C7242" s="322" t="s">
        <v>5083</v>
      </c>
      <c r="D7242" s="322">
        <v>2</v>
      </c>
      <c r="E7242" s="321" t="s">
        <v>125</v>
      </c>
    </row>
    <row r="7243" spans="1:5">
      <c r="A7243" s="323">
        <v>46167</v>
      </c>
      <c r="B7243" s="325" t="s">
        <v>806</v>
      </c>
      <c r="C7243" s="322" t="s">
        <v>5083</v>
      </c>
      <c r="D7243" s="322">
        <v>2</v>
      </c>
      <c r="E7243" s="321" t="s">
        <v>125</v>
      </c>
    </row>
    <row r="7244" spans="1:5">
      <c r="A7244" s="323">
        <v>46167</v>
      </c>
      <c r="B7244" s="324" t="s">
        <v>131</v>
      </c>
      <c r="C7244" s="322" t="s">
        <v>5083</v>
      </c>
      <c r="D7244" s="322">
        <v>1</v>
      </c>
      <c r="E7244" s="321" t="s">
        <v>125</v>
      </c>
    </row>
    <row r="7245" spans="1:5">
      <c r="A7245" s="323">
        <v>46167</v>
      </c>
      <c r="B7245" s="324" t="s">
        <v>4588</v>
      </c>
      <c r="C7245" s="322" t="s">
        <v>5083</v>
      </c>
      <c r="D7245" s="322">
        <v>1</v>
      </c>
      <c r="E7245" s="321" t="s">
        <v>125</v>
      </c>
    </row>
    <row r="7246" spans="1:5">
      <c r="A7246" s="323">
        <v>46167</v>
      </c>
      <c r="B7246" s="325" t="s">
        <v>2312</v>
      </c>
      <c r="C7246" s="322" t="s">
        <v>5083</v>
      </c>
      <c r="D7246" s="322">
        <v>1</v>
      </c>
      <c r="E7246" s="321" t="s">
        <v>125</v>
      </c>
    </row>
    <row r="7247" spans="1:5">
      <c r="A7247" s="323">
        <v>46167</v>
      </c>
      <c r="B7247" s="325" t="s">
        <v>5256</v>
      </c>
      <c r="C7247" s="322" t="s">
        <v>5083</v>
      </c>
      <c r="D7247" s="322">
        <v>1</v>
      </c>
      <c r="E7247" s="321" t="s">
        <v>125</v>
      </c>
    </row>
    <row r="7248" spans="1:5">
      <c r="A7248" s="323">
        <v>46167</v>
      </c>
      <c r="B7248" s="325" t="s">
        <v>5082</v>
      </c>
      <c r="C7248" s="322" t="s">
        <v>5083</v>
      </c>
      <c r="D7248" s="322">
        <v>1</v>
      </c>
      <c r="E7248" s="321" t="s">
        <v>125</v>
      </c>
    </row>
    <row r="7250" spans="1:5">
      <c r="A7250" s="265">
        <v>46175</v>
      </c>
      <c r="B7250" s="343" t="s">
        <v>1271</v>
      </c>
      <c r="C7250" s="43" t="s">
        <v>3826</v>
      </c>
      <c r="D7250" s="43">
        <v>-1</v>
      </c>
      <c r="E7250" s="1064" t="s">
        <v>125</v>
      </c>
    </row>
    <row r="7251" spans="1:5">
      <c r="A7251" s="265">
        <v>46175</v>
      </c>
      <c r="B7251" s="343" t="s">
        <v>1246</v>
      </c>
      <c r="C7251" s="43" t="s">
        <v>5084</v>
      </c>
      <c r="D7251" s="43">
        <v>-1</v>
      </c>
      <c r="E7251" s="1064" t="s">
        <v>125</v>
      </c>
    </row>
    <row r="7252" spans="1:5">
      <c r="A7252" s="265">
        <v>46175</v>
      </c>
      <c r="B7252" s="343" t="s">
        <v>1291</v>
      </c>
      <c r="C7252" s="43" t="s">
        <v>2724</v>
      </c>
      <c r="D7252" s="43">
        <v>-11</v>
      </c>
      <c r="E7252" s="1064" t="s">
        <v>125</v>
      </c>
    </row>
    <row r="7253" spans="1:5">
      <c r="A7253" s="265">
        <v>46175</v>
      </c>
      <c r="B7253" s="343" t="s">
        <v>1246</v>
      </c>
      <c r="C7253" s="43" t="s">
        <v>4540</v>
      </c>
      <c r="D7253" s="43">
        <v>-1</v>
      </c>
      <c r="E7253" s="1064" t="s">
        <v>125</v>
      </c>
    </row>
    <row r="7254" spans="1:5">
      <c r="A7254" s="265">
        <v>46175</v>
      </c>
      <c r="B7254" s="342" t="s">
        <v>4720</v>
      </c>
      <c r="C7254" s="43" t="s">
        <v>1661</v>
      </c>
      <c r="D7254" s="43">
        <v>-6</v>
      </c>
      <c r="E7254" s="1064" t="s">
        <v>125</v>
      </c>
    </row>
    <row r="7256" spans="1:5">
      <c r="A7256" s="272">
        <v>46167</v>
      </c>
      <c r="B7256" s="139" t="s">
        <v>4124</v>
      </c>
      <c r="C7256" s="106" t="s">
        <v>4535</v>
      </c>
      <c r="D7256" s="106">
        <v>1</v>
      </c>
      <c r="E7256" s="94" t="s">
        <v>125</v>
      </c>
    </row>
    <row r="7257" spans="1:5">
      <c r="A7257" s="272">
        <v>46167</v>
      </c>
      <c r="B7257" s="139" t="s">
        <v>4124</v>
      </c>
      <c r="C7257" s="106" t="s">
        <v>4535</v>
      </c>
      <c r="D7257" s="106">
        <v>3</v>
      </c>
      <c r="E7257" s="94" t="s">
        <v>125</v>
      </c>
    </row>
    <row r="7258" spans="1:5">
      <c r="A7258" s="272">
        <v>46167</v>
      </c>
      <c r="B7258" s="139" t="s">
        <v>4124</v>
      </c>
      <c r="C7258" s="106" t="s">
        <v>4535</v>
      </c>
      <c r="D7258" s="106">
        <v>4</v>
      </c>
      <c r="E7258" s="94" t="s">
        <v>125</v>
      </c>
    </row>
    <row r="7259" spans="1:5">
      <c r="A7259" s="272">
        <v>46167</v>
      </c>
      <c r="B7259" s="139" t="s">
        <v>4124</v>
      </c>
      <c r="C7259" s="106" t="s">
        <v>4535</v>
      </c>
      <c r="D7259" s="106">
        <v>2</v>
      </c>
      <c r="E7259" s="94" t="s">
        <v>125</v>
      </c>
    </row>
    <row r="7260" spans="1:5">
      <c r="A7260" s="272">
        <v>46167</v>
      </c>
      <c r="B7260" s="139" t="s">
        <v>4124</v>
      </c>
      <c r="C7260" s="106" t="s">
        <v>4535</v>
      </c>
      <c r="D7260" s="106">
        <v>5</v>
      </c>
      <c r="E7260" s="94" t="s">
        <v>125</v>
      </c>
    </row>
    <row r="7261" spans="1:5">
      <c r="A7261" s="272">
        <v>46167</v>
      </c>
      <c r="B7261" s="139" t="s">
        <v>4124</v>
      </c>
      <c r="C7261" s="106" t="s">
        <v>4535</v>
      </c>
      <c r="D7261" s="106">
        <v>3</v>
      </c>
      <c r="E7261" s="94" t="s">
        <v>125</v>
      </c>
    </row>
    <row r="7262" spans="1:5">
      <c r="A7262" s="272">
        <v>46167</v>
      </c>
      <c r="B7262" s="128" t="s">
        <v>76</v>
      </c>
      <c r="C7262" s="106" t="s">
        <v>4535</v>
      </c>
      <c r="D7262" s="106">
        <v>2</v>
      </c>
      <c r="E7262" s="94" t="s">
        <v>125</v>
      </c>
    </row>
    <row r="7263" spans="1:5">
      <c r="A7263" s="272">
        <v>46167</v>
      </c>
      <c r="B7263" s="128" t="s">
        <v>76</v>
      </c>
      <c r="C7263" s="106" t="s">
        <v>4535</v>
      </c>
      <c r="D7263" s="106">
        <v>1</v>
      </c>
      <c r="E7263" s="94" t="s">
        <v>125</v>
      </c>
    </row>
    <row r="7264" spans="1:5">
      <c r="A7264" s="272">
        <v>46168</v>
      </c>
      <c r="B7264" s="139" t="s">
        <v>4124</v>
      </c>
      <c r="C7264" s="106" t="s">
        <v>4535</v>
      </c>
      <c r="D7264" s="106">
        <v>4</v>
      </c>
      <c r="E7264" s="94" t="s">
        <v>125</v>
      </c>
    </row>
    <row r="7265" spans="1:5">
      <c r="A7265" s="272">
        <v>46168</v>
      </c>
      <c r="B7265" s="139" t="s">
        <v>4124</v>
      </c>
      <c r="C7265" s="106" t="s">
        <v>4535</v>
      </c>
      <c r="D7265" s="106">
        <v>6</v>
      </c>
      <c r="E7265" s="94" t="s">
        <v>125</v>
      </c>
    </row>
    <row r="7266" spans="1:5">
      <c r="A7266" s="272">
        <v>46168</v>
      </c>
      <c r="B7266" s="139" t="s">
        <v>4124</v>
      </c>
      <c r="C7266" s="106" t="s">
        <v>4535</v>
      </c>
      <c r="D7266" s="106">
        <v>5</v>
      </c>
      <c r="E7266" s="94" t="s">
        <v>125</v>
      </c>
    </row>
    <row r="7267" spans="1:5">
      <c r="A7267" s="272">
        <v>46168</v>
      </c>
      <c r="B7267" s="128" t="s">
        <v>76</v>
      </c>
      <c r="C7267" s="106" t="s">
        <v>4535</v>
      </c>
      <c r="D7267" s="106">
        <v>7</v>
      </c>
      <c r="E7267" s="94" t="s">
        <v>125</v>
      </c>
    </row>
    <row r="7268" spans="1:5">
      <c r="A7268" s="272">
        <v>46168</v>
      </c>
      <c r="B7268" s="128" t="s">
        <v>634</v>
      </c>
      <c r="C7268" s="106" t="s">
        <v>4535</v>
      </c>
      <c r="D7268" s="106">
        <v>1</v>
      </c>
      <c r="E7268" s="94" t="s">
        <v>125</v>
      </c>
    </row>
    <row r="7269" spans="1:5">
      <c r="A7269" s="272">
        <v>46171</v>
      </c>
      <c r="B7269" s="139" t="s">
        <v>4124</v>
      </c>
      <c r="C7269" s="106" t="s">
        <v>4535</v>
      </c>
      <c r="D7269" s="106">
        <v>4</v>
      </c>
      <c r="E7269" s="94" t="s">
        <v>125</v>
      </c>
    </row>
    <row r="7270" spans="1:5">
      <c r="A7270" s="272">
        <v>46171</v>
      </c>
      <c r="B7270" s="139" t="s">
        <v>4124</v>
      </c>
      <c r="C7270" s="106" t="s">
        <v>4535</v>
      </c>
      <c r="D7270" s="106">
        <v>2</v>
      </c>
      <c r="E7270" s="94" t="s">
        <v>125</v>
      </c>
    </row>
    <row r="7271" spans="1:5">
      <c r="A7271" s="272">
        <v>46171</v>
      </c>
      <c r="B7271" s="139" t="s">
        <v>4124</v>
      </c>
      <c r="C7271" s="106" t="s">
        <v>4535</v>
      </c>
      <c r="D7271" s="106">
        <v>4</v>
      </c>
      <c r="E7271" s="94" t="s">
        <v>125</v>
      </c>
    </row>
    <row r="7272" spans="1:5">
      <c r="A7272" s="272">
        <v>46171</v>
      </c>
      <c r="B7272" s="139" t="s">
        <v>4124</v>
      </c>
      <c r="C7272" s="106" t="s">
        <v>4535</v>
      </c>
      <c r="D7272" s="106">
        <v>5</v>
      </c>
      <c r="E7272" s="94" t="s">
        <v>125</v>
      </c>
    </row>
    <row r="7273" spans="1:5">
      <c r="A7273" s="272">
        <v>46171</v>
      </c>
      <c r="B7273" s="128" t="s">
        <v>76</v>
      </c>
      <c r="C7273" s="106" t="s">
        <v>4535</v>
      </c>
      <c r="D7273" s="106">
        <v>2</v>
      </c>
      <c r="E7273" s="94" t="s">
        <v>125</v>
      </c>
    </row>
    <row r="7274" spans="1:5">
      <c r="A7274" s="272">
        <v>46171</v>
      </c>
      <c r="B7274" s="128" t="s">
        <v>76</v>
      </c>
      <c r="C7274" s="106" t="s">
        <v>4535</v>
      </c>
      <c r="D7274" s="106">
        <v>3</v>
      </c>
      <c r="E7274" s="94" t="s">
        <v>125</v>
      </c>
    </row>
    <row r="7276" spans="1:5">
      <c r="A7276" s="272">
        <v>46174</v>
      </c>
      <c r="B7276" s="139" t="s">
        <v>4124</v>
      </c>
      <c r="C7276" s="106" t="s">
        <v>4535</v>
      </c>
      <c r="D7276" s="106">
        <v>2</v>
      </c>
      <c r="E7276" s="94" t="s">
        <v>125</v>
      </c>
    </row>
    <row r="7277" spans="1:5">
      <c r="A7277" s="272">
        <v>46174</v>
      </c>
      <c r="B7277" s="139" t="s">
        <v>4124</v>
      </c>
      <c r="C7277" s="106" t="s">
        <v>4535</v>
      </c>
      <c r="D7277" s="106">
        <v>4</v>
      </c>
      <c r="E7277" s="94" t="s">
        <v>125</v>
      </c>
    </row>
    <row r="7278" spans="1:5">
      <c r="A7278" s="272">
        <v>46174</v>
      </c>
      <c r="B7278" s="139" t="s">
        <v>4124</v>
      </c>
      <c r="C7278" s="106" t="s">
        <v>4535</v>
      </c>
      <c r="D7278" s="106">
        <v>1</v>
      </c>
      <c r="E7278" s="94" t="s">
        <v>125</v>
      </c>
    </row>
    <row r="7279" spans="1:5">
      <c r="A7279" s="272">
        <v>46175</v>
      </c>
      <c r="B7279" s="139" t="s">
        <v>4124</v>
      </c>
      <c r="C7279" s="106" t="s">
        <v>4535</v>
      </c>
      <c r="D7279" s="106">
        <v>3</v>
      </c>
      <c r="E7279" s="94" t="s">
        <v>125</v>
      </c>
    </row>
    <row r="7280" spans="1:5">
      <c r="A7280" s="272">
        <v>46175</v>
      </c>
      <c r="B7280" s="139" t="s">
        <v>4124</v>
      </c>
      <c r="C7280" s="106" t="s">
        <v>4535</v>
      </c>
      <c r="D7280" s="106">
        <v>2</v>
      </c>
      <c r="E7280" s="94" t="s">
        <v>125</v>
      </c>
    </row>
    <row r="7282" spans="1:5">
      <c r="A7282" s="335">
        <v>46176</v>
      </c>
      <c r="B7282" s="344" t="s">
        <v>375</v>
      </c>
      <c r="C7282" s="345" t="s">
        <v>1656</v>
      </c>
      <c r="D7282" s="345">
        <v>-24</v>
      </c>
      <c r="E7282" s="1064" t="s">
        <v>125</v>
      </c>
    </row>
    <row r="7283" spans="1:5">
      <c r="A7283" s="335">
        <v>46176</v>
      </c>
      <c r="B7283" s="344" t="s">
        <v>375</v>
      </c>
      <c r="C7283" s="345" t="s">
        <v>1656</v>
      </c>
      <c r="D7283" s="345">
        <v>-2</v>
      </c>
      <c r="E7283" s="1064" t="s">
        <v>125</v>
      </c>
    </row>
    <row r="7284" spans="1:5">
      <c r="A7284" s="335">
        <v>46176</v>
      </c>
      <c r="B7284" s="343" t="s">
        <v>1568</v>
      </c>
      <c r="C7284" s="345" t="s">
        <v>4799</v>
      </c>
      <c r="D7284" s="345">
        <v>-8</v>
      </c>
      <c r="E7284" s="1064" t="s">
        <v>125</v>
      </c>
    </row>
    <row r="7285" spans="1:5">
      <c r="A7285" s="335">
        <v>46176</v>
      </c>
      <c r="B7285" s="342" t="s">
        <v>1994</v>
      </c>
      <c r="C7285" s="345" t="s">
        <v>4799</v>
      </c>
      <c r="D7285" s="345">
        <v>-3</v>
      </c>
      <c r="E7285" s="1064" t="s">
        <v>125</v>
      </c>
    </row>
    <row r="7286" spans="1:5">
      <c r="A7286" s="335">
        <v>46176</v>
      </c>
      <c r="B7286" s="343" t="s">
        <v>1568</v>
      </c>
      <c r="C7286" s="345" t="s">
        <v>4799</v>
      </c>
      <c r="D7286" s="345">
        <v>-4</v>
      </c>
      <c r="E7286" s="1064" t="s">
        <v>125</v>
      </c>
    </row>
    <row r="7287" spans="1:5">
      <c r="A7287" s="335">
        <v>46176</v>
      </c>
      <c r="B7287" s="343" t="s">
        <v>1641</v>
      </c>
      <c r="C7287" s="345" t="s">
        <v>4799</v>
      </c>
      <c r="D7287" s="345">
        <v>-1</v>
      </c>
      <c r="E7287" s="1064" t="s">
        <v>125</v>
      </c>
    </row>
    <row r="7289" spans="1:5">
      <c r="A7289" s="272">
        <v>46176</v>
      </c>
      <c r="B7289" s="139" t="s">
        <v>4124</v>
      </c>
      <c r="C7289" s="106" t="s">
        <v>4535</v>
      </c>
      <c r="D7289" s="106">
        <v>2</v>
      </c>
      <c r="E7289" s="94" t="s">
        <v>125</v>
      </c>
    </row>
    <row r="7290" spans="1:5">
      <c r="A7290" s="272">
        <v>46176</v>
      </c>
      <c r="B7290" s="139" t="s">
        <v>4124</v>
      </c>
      <c r="C7290" s="106" t="s">
        <v>4535</v>
      </c>
      <c r="D7290" s="106">
        <v>4</v>
      </c>
      <c r="E7290" s="94" t="s">
        <v>125</v>
      </c>
    </row>
    <row r="7291" spans="1:5">
      <c r="A7291" s="272">
        <v>46177</v>
      </c>
      <c r="B7291" s="139" t="s">
        <v>4124</v>
      </c>
      <c r="C7291" s="106" t="s">
        <v>4535</v>
      </c>
      <c r="D7291" s="106">
        <v>6</v>
      </c>
      <c r="E7291" s="94" t="s">
        <v>125</v>
      </c>
    </row>
    <row r="7292" spans="1:5">
      <c r="A7292" s="272">
        <v>46177</v>
      </c>
      <c r="B7292" s="139" t="s">
        <v>4124</v>
      </c>
      <c r="C7292" s="106" t="s">
        <v>4535</v>
      </c>
      <c r="D7292" s="106">
        <v>5</v>
      </c>
      <c r="E7292" s="94" t="s">
        <v>125</v>
      </c>
    </row>
    <row r="7293" spans="1:5">
      <c r="A7293" s="272">
        <v>46177</v>
      </c>
      <c r="B7293" s="139" t="s">
        <v>4124</v>
      </c>
      <c r="C7293" s="106" t="s">
        <v>4535</v>
      </c>
      <c r="D7293" s="106">
        <v>4</v>
      </c>
      <c r="E7293" s="94" t="s">
        <v>125</v>
      </c>
    </row>
    <row r="7294" spans="1:5">
      <c r="A7294" s="272">
        <v>46177</v>
      </c>
      <c r="B7294" s="139" t="s">
        <v>4124</v>
      </c>
      <c r="C7294" s="106" t="s">
        <v>4535</v>
      </c>
      <c r="D7294" s="106">
        <v>1</v>
      </c>
      <c r="E7294" s="94" t="s">
        <v>125</v>
      </c>
    </row>
    <row r="7296" spans="1:5">
      <c r="A7296" s="265">
        <v>46177</v>
      </c>
      <c r="B7296" s="342" t="s">
        <v>4720</v>
      </c>
      <c r="C7296" s="43" t="s">
        <v>4120</v>
      </c>
      <c r="D7296" s="43">
        <v>-3</v>
      </c>
      <c r="E7296" s="1064" t="s">
        <v>125</v>
      </c>
    </row>
    <row r="7298" spans="1:5">
      <c r="A7298" s="265">
        <v>46177</v>
      </c>
      <c r="B7298" s="84" t="s">
        <v>134</v>
      </c>
      <c r="C7298" s="43" t="s">
        <v>5115</v>
      </c>
      <c r="D7298" s="43">
        <v>1</v>
      </c>
      <c r="E7298" s="1064" t="s">
        <v>125</v>
      </c>
    </row>
    <row r="7300" spans="1:5">
      <c r="A7300" s="265">
        <v>46177</v>
      </c>
      <c r="B7300" s="84" t="s">
        <v>134</v>
      </c>
      <c r="C7300" s="43" t="s">
        <v>3826</v>
      </c>
      <c r="D7300" s="43">
        <v>-1</v>
      </c>
      <c r="E7300" s="1064" t="s">
        <v>125</v>
      </c>
    </row>
    <row r="7301" spans="1:5">
      <c r="A7301" s="265">
        <v>46177</v>
      </c>
      <c r="B7301" s="343" t="s">
        <v>1271</v>
      </c>
      <c r="C7301" s="43" t="s">
        <v>4539</v>
      </c>
      <c r="D7301" s="43">
        <v>-1</v>
      </c>
      <c r="E7301" s="1064" t="s">
        <v>125</v>
      </c>
    </row>
    <row r="7302" spans="1:5">
      <c r="A7302" s="265">
        <v>46177</v>
      </c>
      <c r="B7302" s="343" t="s">
        <v>1246</v>
      </c>
      <c r="C7302" s="43" t="s">
        <v>4540</v>
      </c>
      <c r="D7302" s="43">
        <v>-1</v>
      </c>
      <c r="E7302" s="1064" t="s">
        <v>125</v>
      </c>
    </row>
    <row r="7303" spans="1:5">
      <c r="A7303" s="265">
        <v>46177</v>
      </c>
      <c r="B7303" s="343" t="s">
        <v>1318</v>
      </c>
      <c r="C7303" s="43" t="s">
        <v>4539</v>
      </c>
      <c r="D7303" s="43">
        <v>-1</v>
      </c>
      <c r="E7303" s="1064" t="s">
        <v>125</v>
      </c>
    </row>
    <row r="7304" spans="1:5">
      <c r="A7304" s="265">
        <v>46177</v>
      </c>
      <c r="B7304" s="343" t="s">
        <v>1327</v>
      </c>
      <c r="C7304" s="43" t="s">
        <v>4540</v>
      </c>
      <c r="D7304" s="43">
        <v>-1</v>
      </c>
      <c r="E7304" s="1064" t="s">
        <v>125</v>
      </c>
    </row>
    <row r="7305" spans="1:5">
      <c r="A7305" s="265">
        <v>46177</v>
      </c>
      <c r="B7305" s="343" t="s">
        <v>1246</v>
      </c>
      <c r="C7305" s="43" t="s">
        <v>4670</v>
      </c>
      <c r="D7305" s="43">
        <v>-1</v>
      </c>
      <c r="E7305" s="1064" t="s">
        <v>125</v>
      </c>
    </row>
    <row r="7306" spans="1:5">
      <c r="A7306" s="265">
        <v>46177</v>
      </c>
      <c r="B7306" s="343" t="s">
        <v>1246</v>
      </c>
      <c r="C7306" s="43" t="s">
        <v>4775</v>
      </c>
      <c r="D7306" s="43">
        <v>-1</v>
      </c>
      <c r="E7306" s="1064" t="s">
        <v>125</v>
      </c>
    </row>
    <row r="7307" spans="1:5">
      <c r="A7307" s="265">
        <v>46177</v>
      </c>
      <c r="B7307" s="343" t="s">
        <v>1246</v>
      </c>
      <c r="C7307" s="43" t="s">
        <v>4670</v>
      </c>
      <c r="D7307" s="43">
        <v>-1</v>
      </c>
      <c r="E7307" s="1064" t="s">
        <v>125</v>
      </c>
    </row>
    <row r="7309" spans="1:5">
      <c r="A7309" s="346">
        <v>46178</v>
      </c>
      <c r="B7309" s="349" t="s">
        <v>4109</v>
      </c>
      <c r="C7309" s="348" t="s">
        <v>5138</v>
      </c>
      <c r="D7309" s="348">
        <v>5</v>
      </c>
      <c r="E7309" s="360" t="s">
        <v>125</v>
      </c>
    </row>
    <row r="7310" spans="1:5">
      <c r="A7310" s="346">
        <v>46178</v>
      </c>
      <c r="B7310" s="349" t="s">
        <v>1291</v>
      </c>
      <c r="C7310" s="348" t="s">
        <v>5138</v>
      </c>
      <c r="D7310" s="348">
        <v>6</v>
      </c>
      <c r="E7310" s="360" t="s">
        <v>125</v>
      </c>
    </row>
    <row r="7311" spans="1:5">
      <c r="A7311" s="346">
        <v>46178</v>
      </c>
      <c r="B7311" s="349" t="s">
        <v>1271</v>
      </c>
      <c r="C7311" s="348" t="s">
        <v>5138</v>
      </c>
      <c r="D7311" s="348">
        <v>3</v>
      </c>
      <c r="E7311" s="360" t="s">
        <v>125</v>
      </c>
    </row>
    <row r="7312" spans="1:5">
      <c r="A7312" s="346">
        <v>46178</v>
      </c>
      <c r="B7312" s="349" t="s">
        <v>1326</v>
      </c>
      <c r="C7312" s="348" t="s">
        <v>5138</v>
      </c>
      <c r="D7312" s="348">
        <v>2</v>
      </c>
      <c r="E7312" s="360" t="s">
        <v>125</v>
      </c>
    </row>
    <row r="7313" spans="1:5">
      <c r="A7313" s="346">
        <v>46178</v>
      </c>
      <c r="B7313" s="349" t="s">
        <v>1246</v>
      </c>
      <c r="C7313" s="348" t="s">
        <v>5138</v>
      </c>
      <c r="D7313" s="348">
        <v>1</v>
      </c>
      <c r="E7313" s="360" t="s">
        <v>125</v>
      </c>
    </row>
    <row r="7314" spans="1:5">
      <c r="A7314" s="346">
        <v>46178</v>
      </c>
      <c r="B7314" s="349" t="s">
        <v>1246</v>
      </c>
      <c r="C7314" s="348" t="s">
        <v>5138</v>
      </c>
      <c r="D7314" s="348">
        <v>1</v>
      </c>
      <c r="E7314" s="360" t="s">
        <v>125</v>
      </c>
    </row>
    <row r="7315" spans="1:5">
      <c r="A7315" s="346">
        <v>46178</v>
      </c>
      <c r="B7315" s="349" t="s">
        <v>1246</v>
      </c>
      <c r="C7315" s="348" t="s">
        <v>5138</v>
      </c>
      <c r="D7315" s="348">
        <v>1</v>
      </c>
      <c r="E7315" s="360" t="s">
        <v>125</v>
      </c>
    </row>
    <row r="7316" spans="1:5">
      <c r="A7316" s="346">
        <v>46178</v>
      </c>
      <c r="B7316" s="349" t="s">
        <v>4108</v>
      </c>
      <c r="C7316" s="348" t="s">
        <v>5138</v>
      </c>
      <c r="D7316" s="348">
        <v>1</v>
      </c>
      <c r="E7316" s="360" t="s">
        <v>125</v>
      </c>
    </row>
    <row r="7317" spans="1:5">
      <c r="A7317" s="346">
        <v>46178</v>
      </c>
      <c r="B7317" s="347" t="s">
        <v>5136</v>
      </c>
      <c r="C7317" s="348" t="s">
        <v>5138</v>
      </c>
      <c r="D7317" s="348">
        <v>1</v>
      </c>
      <c r="E7317" s="360" t="s">
        <v>125</v>
      </c>
    </row>
    <row r="7319" spans="1:5">
      <c r="A7319" s="335">
        <v>46178</v>
      </c>
      <c r="B7319" s="343" t="s">
        <v>1271</v>
      </c>
      <c r="C7319" s="345" t="s">
        <v>3826</v>
      </c>
      <c r="D7319" s="345">
        <v>-1</v>
      </c>
      <c r="E7319" s="1064" t="s">
        <v>125</v>
      </c>
    </row>
    <row r="7320" spans="1:5">
      <c r="A7320" s="335">
        <v>46178</v>
      </c>
      <c r="B7320" s="343" t="s">
        <v>806</v>
      </c>
      <c r="C7320" s="345" t="s">
        <v>1879</v>
      </c>
      <c r="D7320" s="345">
        <v>-4</v>
      </c>
      <c r="E7320" s="1064" t="s">
        <v>125</v>
      </c>
    </row>
    <row r="7321" spans="1:5">
      <c r="A7321" s="335">
        <v>46178</v>
      </c>
      <c r="B7321" s="343" t="s">
        <v>808</v>
      </c>
      <c r="C7321" s="345" t="s">
        <v>1879</v>
      </c>
      <c r="D7321" s="345">
        <v>-2</v>
      </c>
      <c r="E7321" s="1064" t="s">
        <v>125</v>
      </c>
    </row>
    <row r="7322" spans="1:5">
      <c r="A7322" s="335">
        <v>46178</v>
      </c>
      <c r="B7322" s="343" t="s">
        <v>808</v>
      </c>
      <c r="C7322" s="345" t="s">
        <v>1879</v>
      </c>
      <c r="D7322" s="345">
        <v>-2</v>
      </c>
      <c r="E7322" s="1064" t="s">
        <v>125</v>
      </c>
    </row>
    <row r="7323" spans="1:5">
      <c r="A7323" s="335">
        <v>46178</v>
      </c>
      <c r="B7323" s="343" t="s">
        <v>808</v>
      </c>
      <c r="C7323" s="345" t="s">
        <v>1879</v>
      </c>
      <c r="D7323" s="345">
        <v>-6</v>
      </c>
      <c r="E7323" s="1064" t="s">
        <v>125</v>
      </c>
    </row>
    <row r="7324" spans="1:5">
      <c r="A7324" s="335">
        <v>46178</v>
      </c>
      <c r="B7324" s="343" t="s">
        <v>808</v>
      </c>
      <c r="C7324" s="345" t="s">
        <v>1879</v>
      </c>
      <c r="D7324" s="345">
        <v>-3</v>
      </c>
      <c r="E7324" s="1064" t="s">
        <v>125</v>
      </c>
    </row>
    <row r="7325" spans="1:5">
      <c r="A7325" s="335">
        <v>46178</v>
      </c>
      <c r="B7325" s="343" t="s">
        <v>975</v>
      </c>
      <c r="C7325" s="345" t="s">
        <v>1879</v>
      </c>
      <c r="D7325" s="345">
        <v>-2</v>
      </c>
      <c r="E7325" s="1064" t="s">
        <v>125</v>
      </c>
    </row>
    <row r="7326" spans="1:5">
      <c r="A7326" s="335">
        <v>46178</v>
      </c>
      <c r="B7326" s="343" t="s">
        <v>4285</v>
      </c>
      <c r="C7326" s="345" t="s">
        <v>1879</v>
      </c>
      <c r="D7326" s="345">
        <v>-1</v>
      </c>
      <c r="E7326" s="1064" t="s">
        <v>125</v>
      </c>
    </row>
    <row r="7327" spans="1:5">
      <c r="A7327" s="335">
        <v>46178</v>
      </c>
      <c r="B7327" s="343" t="s">
        <v>4285</v>
      </c>
      <c r="C7327" s="345" t="s">
        <v>1879</v>
      </c>
      <c r="D7327" s="345">
        <v>-1</v>
      </c>
      <c r="E7327" s="1064" t="s">
        <v>125</v>
      </c>
    </row>
    <row r="7328" spans="1:5">
      <c r="A7328" s="335">
        <v>46178</v>
      </c>
      <c r="B7328" s="343" t="s">
        <v>383</v>
      </c>
      <c r="C7328" s="345" t="s">
        <v>1879</v>
      </c>
      <c r="D7328" s="345">
        <v>-2</v>
      </c>
      <c r="E7328" s="1064" t="s">
        <v>125</v>
      </c>
    </row>
    <row r="7329" spans="1:5">
      <c r="A7329" s="335">
        <v>46178</v>
      </c>
      <c r="B7329" s="343" t="s">
        <v>154</v>
      </c>
      <c r="C7329" s="345" t="s">
        <v>1879</v>
      </c>
      <c r="D7329" s="345">
        <v>-1</v>
      </c>
      <c r="E7329" s="1064" t="s">
        <v>125</v>
      </c>
    </row>
    <row r="7330" spans="1:5">
      <c r="A7330" s="335">
        <v>46178</v>
      </c>
      <c r="B7330" s="343" t="s">
        <v>4761</v>
      </c>
      <c r="C7330" s="345" t="s">
        <v>1879</v>
      </c>
      <c r="D7330" s="345">
        <v>-1</v>
      </c>
      <c r="E7330" s="1064" t="s">
        <v>125</v>
      </c>
    </row>
    <row r="7331" spans="1:5">
      <c r="A7331" s="335">
        <v>46178</v>
      </c>
      <c r="B7331" s="343" t="s">
        <v>2625</v>
      </c>
      <c r="C7331" s="345" t="s">
        <v>1879</v>
      </c>
      <c r="D7331" s="345">
        <v>-1</v>
      </c>
      <c r="E7331" s="1064" t="s">
        <v>125</v>
      </c>
    </row>
    <row r="7332" spans="1:5">
      <c r="A7332" s="335">
        <v>46178</v>
      </c>
      <c r="B7332" s="343" t="s">
        <v>806</v>
      </c>
      <c r="C7332" s="345" t="s">
        <v>1879</v>
      </c>
      <c r="D7332" s="43">
        <v>-3</v>
      </c>
      <c r="E7332" s="1064" t="s">
        <v>125</v>
      </c>
    </row>
    <row r="7333" spans="1:5">
      <c r="A7333" s="335">
        <v>46178</v>
      </c>
      <c r="B7333" s="343" t="s">
        <v>808</v>
      </c>
      <c r="C7333" s="345" t="s">
        <v>1879</v>
      </c>
      <c r="D7333" s="43">
        <v>-2</v>
      </c>
      <c r="E7333" s="1064" t="s">
        <v>125</v>
      </c>
    </row>
    <row r="7334" spans="1:5">
      <c r="A7334" s="335">
        <v>46178</v>
      </c>
      <c r="B7334" s="343" t="s">
        <v>808</v>
      </c>
      <c r="C7334" s="345" t="s">
        <v>1879</v>
      </c>
      <c r="D7334" s="43">
        <v>-1</v>
      </c>
      <c r="E7334" s="1064" t="s">
        <v>125</v>
      </c>
    </row>
    <row r="7335" spans="1:5">
      <c r="A7335" s="335">
        <v>46178</v>
      </c>
      <c r="B7335" s="343" t="s">
        <v>807</v>
      </c>
      <c r="C7335" s="345" t="s">
        <v>1879</v>
      </c>
      <c r="D7335" s="43">
        <v>-4</v>
      </c>
      <c r="E7335" s="1064" t="s">
        <v>125</v>
      </c>
    </row>
    <row r="7336" spans="1:5">
      <c r="A7336" s="335">
        <v>46178</v>
      </c>
      <c r="B7336" s="344" t="s">
        <v>1183</v>
      </c>
      <c r="C7336" s="345" t="s">
        <v>1879</v>
      </c>
      <c r="D7336" s="43">
        <v>-2</v>
      </c>
      <c r="E7336" s="1064" t="s">
        <v>125</v>
      </c>
    </row>
    <row r="7337" spans="1:5">
      <c r="A7337" s="335">
        <v>46178</v>
      </c>
      <c r="B7337" s="343" t="s">
        <v>975</v>
      </c>
      <c r="C7337" s="345" t="s">
        <v>1879</v>
      </c>
      <c r="D7337" s="43">
        <v>-1</v>
      </c>
      <c r="E7337" s="1064" t="s">
        <v>125</v>
      </c>
    </row>
    <row r="7338" spans="1:5">
      <c r="A7338" s="335">
        <v>46178</v>
      </c>
      <c r="B7338" s="343" t="s">
        <v>4285</v>
      </c>
      <c r="C7338" s="345" t="s">
        <v>1879</v>
      </c>
      <c r="D7338" s="43">
        <v>-1</v>
      </c>
      <c r="E7338" s="1064" t="s">
        <v>125</v>
      </c>
    </row>
    <row r="7339" spans="1:5">
      <c r="A7339" s="335">
        <v>46178</v>
      </c>
      <c r="B7339" s="343" t="s">
        <v>4761</v>
      </c>
      <c r="C7339" s="345" t="s">
        <v>1879</v>
      </c>
      <c r="D7339" s="43">
        <v>-1</v>
      </c>
      <c r="E7339" s="1064" t="s">
        <v>125</v>
      </c>
    </row>
    <row r="7340" spans="1:5">
      <c r="A7340" s="335">
        <v>46178</v>
      </c>
      <c r="B7340" s="343" t="s">
        <v>2625</v>
      </c>
      <c r="C7340" s="345" t="s">
        <v>1879</v>
      </c>
      <c r="D7340" s="43">
        <v>-1</v>
      </c>
      <c r="E7340" s="1064" t="s">
        <v>125</v>
      </c>
    </row>
    <row r="7341" spans="1:5">
      <c r="A7341" s="335">
        <v>46178</v>
      </c>
      <c r="B7341" s="343" t="s">
        <v>1334</v>
      </c>
      <c r="C7341" s="43" t="s">
        <v>2724</v>
      </c>
      <c r="D7341" s="43">
        <v>-2</v>
      </c>
      <c r="E7341" s="1064" t="s">
        <v>125</v>
      </c>
    </row>
    <row r="7342" spans="1:5">
      <c r="A7342" s="335">
        <v>46178</v>
      </c>
      <c r="B7342" s="343" t="s">
        <v>1291</v>
      </c>
      <c r="C7342" s="43" t="s">
        <v>2724</v>
      </c>
      <c r="D7342" s="43">
        <v>-3</v>
      </c>
      <c r="E7342" s="1064" t="s">
        <v>125</v>
      </c>
    </row>
    <row r="7343" spans="1:5">
      <c r="A7343" s="335">
        <v>46178</v>
      </c>
      <c r="B7343" s="343" t="s">
        <v>1291</v>
      </c>
      <c r="C7343" s="43" t="s">
        <v>2724</v>
      </c>
      <c r="D7343" s="43">
        <v>-1</v>
      </c>
      <c r="E7343" s="1064" t="s">
        <v>125</v>
      </c>
    </row>
    <row r="7344" spans="1:5">
      <c r="A7344" s="335">
        <v>46178</v>
      </c>
      <c r="B7344" s="343" t="s">
        <v>1291</v>
      </c>
      <c r="C7344" s="43" t="s">
        <v>2724</v>
      </c>
      <c r="D7344" s="43">
        <v>-2</v>
      </c>
      <c r="E7344" s="1064" t="s">
        <v>125</v>
      </c>
    </row>
    <row r="7345" spans="1:5">
      <c r="A7345" s="335">
        <v>46178</v>
      </c>
      <c r="B7345" s="343" t="s">
        <v>1246</v>
      </c>
      <c r="C7345" s="43" t="s">
        <v>3823</v>
      </c>
      <c r="D7345" s="43">
        <v>-3</v>
      </c>
      <c r="E7345" s="1064" t="s">
        <v>125</v>
      </c>
    </row>
    <row r="7346" spans="1:5">
      <c r="A7346" s="335">
        <v>46178</v>
      </c>
      <c r="B7346" s="343" t="s">
        <v>1318</v>
      </c>
      <c r="C7346" s="43" t="s">
        <v>3823</v>
      </c>
      <c r="D7346" s="43">
        <v>-1</v>
      </c>
      <c r="E7346" s="1064" t="s">
        <v>125</v>
      </c>
    </row>
    <row r="7347" spans="1:5">
      <c r="A7347" s="335">
        <v>46178</v>
      </c>
      <c r="B7347" s="343" t="s">
        <v>1271</v>
      </c>
      <c r="C7347" s="345" t="s">
        <v>3826</v>
      </c>
      <c r="D7347" s="43">
        <v>-1</v>
      </c>
      <c r="E7347" s="1064" t="s">
        <v>125</v>
      </c>
    </row>
    <row r="7349" spans="1:5">
      <c r="A7349" s="265">
        <v>46179</v>
      </c>
      <c r="B7349" s="84" t="s">
        <v>131</v>
      </c>
      <c r="C7349" s="43" t="s">
        <v>1879</v>
      </c>
      <c r="D7349" s="43">
        <v>-28</v>
      </c>
      <c r="E7349" s="1064" t="s">
        <v>125</v>
      </c>
    </row>
    <row r="7350" spans="1:5">
      <c r="A7350" s="265">
        <v>46179</v>
      </c>
      <c r="B7350" s="84" t="s">
        <v>4588</v>
      </c>
      <c r="C7350" s="43" t="s">
        <v>1661</v>
      </c>
      <c r="D7350" s="43">
        <v>-2</v>
      </c>
      <c r="E7350" s="1064" t="s">
        <v>125</v>
      </c>
    </row>
    <row r="7352" spans="1:5">
      <c r="A7352" s="330">
        <v>46171</v>
      </c>
      <c r="B7352" s="329" t="s">
        <v>839</v>
      </c>
      <c r="C7352" s="328" t="s">
        <v>4509</v>
      </c>
      <c r="D7352" s="328">
        <v>2</v>
      </c>
      <c r="E7352" s="331" t="s">
        <v>125</v>
      </c>
    </row>
    <row r="7353" spans="1:5">
      <c r="A7353" s="330">
        <v>46171</v>
      </c>
      <c r="B7353" s="329" t="s">
        <v>839</v>
      </c>
      <c r="C7353" s="328" t="s">
        <v>4509</v>
      </c>
      <c r="D7353" s="328">
        <v>1</v>
      </c>
      <c r="E7353" s="331" t="s">
        <v>125</v>
      </c>
    </row>
    <row r="7354" spans="1:5">
      <c r="A7354" s="330">
        <v>46171</v>
      </c>
      <c r="B7354" s="329" t="s">
        <v>839</v>
      </c>
      <c r="C7354" s="328" t="s">
        <v>4509</v>
      </c>
      <c r="D7354" s="328">
        <v>9</v>
      </c>
      <c r="E7354" s="331" t="s">
        <v>125</v>
      </c>
    </row>
    <row r="7355" spans="1:5">
      <c r="A7355" s="330">
        <v>46174</v>
      </c>
      <c r="B7355" s="329" t="s">
        <v>839</v>
      </c>
      <c r="C7355" s="328" t="s">
        <v>4509</v>
      </c>
      <c r="D7355" s="328">
        <v>8</v>
      </c>
      <c r="E7355" s="331" t="s">
        <v>125</v>
      </c>
    </row>
    <row r="7356" spans="1:5">
      <c r="A7356" s="330">
        <v>46175</v>
      </c>
      <c r="B7356" s="329" t="s">
        <v>839</v>
      </c>
      <c r="C7356" s="328" t="s">
        <v>4509</v>
      </c>
      <c r="D7356" s="328">
        <v>2</v>
      </c>
      <c r="E7356" s="331" t="s">
        <v>125</v>
      </c>
    </row>
    <row r="7357" spans="1:5">
      <c r="A7357" s="330">
        <v>46175</v>
      </c>
      <c r="B7357" s="329" t="s">
        <v>4800</v>
      </c>
      <c r="C7357" s="328" t="s">
        <v>4509</v>
      </c>
      <c r="D7357" s="328">
        <v>18</v>
      </c>
      <c r="E7357" s="331" t="s">
        <v>125</v>
      </c>
    </row>
    <row r="7358" spans="1:5">
      <c r="A7358" s="330">
        <v>46178</v>
      </c>
      <c r="B7358" s="329" t="s">
        <v>839</v>
      </c>
      <c r="C7358" s="328" t="s">
        <v>4509</v>
      </c>
      <c r="D7358" s="328">
        <v>4</v>
      </c>
      <c r="E7358" s="331" t="s">
        <v>125</v>
      </c>
    </row>
    <row r="7359" spans="1:5">
      <c r="A7359" s="330">
        <v>46178</v>
      </c>
      <c r="B7359" s="329" t="s">
        <v>839</v>
      </c>
      <c r="C7359" s="328" t="s">
        <v>4509</v>
      </c>
      <c r="D7359" s="328">
        <v>4</v>
      </c>
      <c r="E7359" s="331" t="s">
        <v>125</v>
      </c>
    </row>
    <row r="7360" spans="1:5">
      <c r="A7360" s="330">
        <v>46178</v>
      </c>
      <c r="B7360" s="329" t="s">
        <v>4800</v>
      </c>
      <c r="C7360" s="328" t="s">
        <v>4509</v>
      </c>
      <c r="D7360" s="328">
        <v>32</v>
      </c>
      <c r="E7360" s="331" t="s">
        <v>125</v>
      </c>
    </row>
    <row r="7362" spans="1:5">
      <c r="A7362" s="272">
        <v>46166</v>
      </c>
      <c r="B7362" s="233" t="s">
        <v>1716</v>
      </c>
      <c r="C7362" s="106" t="s">
        <v>4535</v>
      </c>
      <c r="D7362" s="106">
        <v>6</v>
      </c>
      <c r="E7362" s="94" t="s">
        <v>125</v>
      </c>
    </row>
    <row r="7363" spans="1:5">
      <c r="A7363" s="272">
        <v>46166</v>
      </c>
      <c r="B7363" s="233" t="s">
        <v>1716</v>
      </c>
      <c r="C7363" s="106" t="s">
        <v>4535</v>
      </c>
      <c r="D7363" s="106">
        <v>4</v>
      </c>
      <c r="E7363" s="94" t="s">
        <v>125</v>
      </c>
    </row>
    <row r="7364" spans="1:5">
      <c r="A7364" s="272">
        <v>46166</v>
      </c>
      <c r="B7364" s="233" t="s">
        <v>1716</v>
      </c>
      <c r="C7364" s="106" t="s">
        <v>4535</v>
      </c>
      <c r="D7364" s="106">
        <v>4</v>
      </c>
      <c r="E7364" s="94" t="s">
        <v>125</v>
      </c>
    </row>
    <row r="7365" spans="1:5">
      <c r="A7365" s="272">
        <v>46167</v>
      </c>
      <c r="B7365" s="139" t="s">
        <v>4124</v>
      </c>
      <c r="C7365" s="106" t="s">
        <v>4535</v>
      </c>
      <c r="D7365" s="106">
        <v>2</v>
      </c>
      <c r="E7365" s="94" t="s">
        <v>125</v>
      </c>
    </row>
    <row r="7366" spans="1:5">
      <c r="A7366" s="272">
        <v>46167</v>
      </c>
      <c r="B7366" s="139" t="s">
        <v>4124</v>
      </c>
      <c r="C7366" s="106" t="s">
        <v>4535</v>
      </c>
      <c r="D7366" s="106">
        <v>2</v>
      </c>
      <c r="E7366" s="94" t="s">
        <v>125</v>
      </c>
    </row>
    <row r="7367" spans="1:5">
      <c r="A7367" s="272">
        <v>46167</v>
      </c>
      <c r="B7367" s="139" t="s">
        <v>4124</v>
      </c>
      <c r="C7367" s="106" t="s">
        <v>4535</v>
      </c>
      <c r="D7367" s="106">
        <v>2</v>
      </c>
      <c r="E7367" s="94" t="s">
        <v>125</v>
      </c>
    </row>
    <row r="7368" spans="1:5">
      <c r="A7368" s="272">
        <v>46167</v>
      </c>
      <c r="B7368" s="139" t="s">
        <v>4124</v>
      </c>
      <c r="C7368" s="106" t="s">
        <v>4535</v>
      </c>
      <c r="D7368" s="106">
        <v>2</v>
      </c>
      <c r="E7368" s="94" t="s">
        <v>125</v>
      </c>
    </row>
    <row r="7369" spans="1:5">
      <c r="A7369" s="272">
        <v>46167</v>
      </c>
      <c r="B7369" s="139" t="s">
        <v>4124</v>
      </c>
      <c r="C7369" s="106" t="s">
        <v>4535</v>
      </c>
      <c r="D7369" s="106">
        <v>2</v>
      </c>
      <c r="E7369" s="94" t="s">
        <v>125</v>
      </c>
    </row>
    <row r="7370" spans="1:5">
      <c r="A7370" s="272">
        <v>46167</v>
      </c>
      <c r="B7370" s="139" t="s">
        <v>4124</v>
      </c>
      <c r="C7370" s="106" t="s">
        <v>4535</v>
      </c>
      <c r="D7370" s="106">
        <v>1</v>
      </c>
      <c r="E7370" s="94" t="s">
        <v>125</v>
      </c>
    </row>
    <row r="7371" spans="1:5">
      <c r="A7371" s="272">
        <v>46167</v>
      </c>
      <c r="B7371" s="139" t="s">
        <v>4124</v>
      </c>
      <c r="C7371" s="106" t="s">
        <v>4535</v>
      </c>
      <c r="D7371" s="106">
        <v>2</v>
      </c>
      <c r="E7371" s="94" t="s">
        <v>125</v>
      </c>
    </row>
    <row r="7373" spans="1:5">
      <c r="A7373" s="272">
        <v>46170</v>
      </c>
      <c r="B7373" s="139" t="s">
        <v>4124</v>
      </c>
      <c r="C7373" s="106" t="s">
        <v>4535</v>
      </c>
      <c r="D7373" s="106">
        <v>15</v>
      </c>
      <c r="E7373" s="94" t="s">
        <v>125</v>
      </c>
    </row>
    <row r="7374" spans="1:5">
      <c r="A7374" s="272">
        <v>46170</v>
      </c>
      <c r="B7374" s="233" t="s">
        <v>1716</v>
      </c>
      <c r="C7374" s="106" t="s">
        <v>4535</v>
      </c>
      <c r="D7374" s="106">
        <v>2</v>
      </c>
      <c r="E7374" s="94" t="s">
        <v>125</v>
      </c>
    </row>
    <row r="7375" spans="1:5">
      <c r="A7375" s="272">
        <v>46170</v>
      </c>
      <c r="B7375" s="139" t="s">
        <v>4124</v>
      </c>
      <c r="C7375" s="106" t="s">
        <v>4535</v>
      </c>
      <c r="D7375" s="106">
        <v>2</v>
      </c>
      <c r="E7375" s="94" t="s">
        <v>125</v>
      </c>
    </row>
    <row r="7376" spans="1:5">
      <c r="A7376" s="272">
        <v>46170</v>
      </c>
      <c r="B7376" s="139" t="s">
        <v>4124</v>
      </c>
      <c r="C7376" s="106" t="s">
        <v>4535</v>
      </c>
      <c r="D7376" s="106">
        <v>2</v>
      </c>
      <c r="E7376" s="94" t="s">
        <v>125</v>
      </c>
    </row>
    <row r="7377" spans="1:5">
      <c r="A7377" s="272">
        <v>46170</v>
      </c>
      <c r="B7377" s="139" t="s">
        <v>4124</v>
      </c>
      <c r="C7377" s="106" t="s">
        <v>4535</v>
      </c>
      <c r="D7377" s="106">
        <v>2</v>
      </c>
      <c r="E7377" s="94" t="s">
        <v>125</v>
      </c>
    </row>
    <row r="7378" spans="1:5">
      <c r="A7378" s="272">
        <v>46170</v>
      </c>
      <c r="B7378" s="139" t="s">
        <v>4124</v>
      </c>
      <c r="C7378" s="106" t="s">
        <v>4535</v>
      </c>
      <c r="D7378" s="106">
        <v>2</v>
      </c>
      <c r="E7378" s="94" t="s">
        <v>125</v>
      </c>
    </row>
    <row r="7379" spans="1:5">
      <c r="A7379" s="272">
        <v>46170</v>
      </c>
      <c r="B7379" s="139" t="s">
        <v>4124</v>
      </c>
      <c r="C7379" s="106" t="s">
        <v>4535</v>
      </c>
      <c r="D7379" s="106">
        <v>2</v>
      </c>
      <c r="E7379" s="94" t="s">
        <v>125</v>
      </c>
    </row>
    <row r="7380" spans="1:5">
      <c r="A7380" s="272">
        <v>46170</v>
      </c>
      <c r="B7380" s="139" t="s">
        <v>4124</v>
      </c>
      <c r="C7380" s="106" t="s">
        <v>4535</v>
      </c>
      <c r="D7380" s="106">
        <v>2</v>
      </c>
      <c r="E7380" s="94" t="s">
        <v>125</v>
      </c>
    </row>
    <row r="7381" spans="1:5">
      <c r="A7381" s="272">
        <v>46170</v>
      </c>
      <c r="B7381" s="139" t="s">
        <v>4124</v>
      </c>
      <c r="C7381" s="106" t="s">
        <v>4535</v>
      </c>
      <c r="D7381" s="106">
        <v>2</v>
      </c>
      <c r="E7381" s="94" t="s">
        <v>125</v>
      </c>
    </row>
    <row r="7382" spans="1:5">
      <c r="A7382" s="272">
        <v>46170</v>
      </c>
      <c r="B7382" s="139" t="s">
        <v>4124</v>
      </c>
      <c r="C7382" s="106" t="s">
        <v>4535</v>
      </c>
      <c r="D7382" s="106">
        <v>2</v>
      </c>
      <c r="E7382" s="94" t="s">
        <v>125</v>
      </c>
    </row>
    <row r="7383" spans="1:5">
      <c r="A7383" s="272">
        <v>46170</v>
      </c>
      <c r="B7383" s="233" t="s">
        <v>1716</v>
      </c>
      <c r="C7383" s="106" t="s">
        <v>4535</v>
      </c>
      <c r="D7383" s="106">
        <v>5</v>
      </c>
      <c r="E7383" s="94" t="s">
        <v>125</v>
      </c>
    </row>
    <row r="7384" spans="1:5">
      <c r="A7384" s="272">
        <v>46170</v>
      </c>
      <c r="B7384" s="139" t="s">
        <v>4800</v>
      </c>
      <c r="C7384" s="106" t="s">
        <v>4535</v>
      </c>
      <c r="D7384" s="106">
        <v>8</v>
      </c>
      <c r="E7384" s="94" t="s">
        <v>125</v>
      </c>
    </row>
    <row r="7385" spans="1:5">
      <c r="A7385" s="272">
        <v>46171</v>
      </c>
      <c r="B7385" s="139" t="s">
        <v>4124</v>
      </c>
      <c r="C7385" s="106" t="s">
        <v>4535</v>
      </c>
      <c r="D7385" s="106">
        <v>4</v>
      </c>
      <c r="E7385" s="94" t="s">
        <v>125</v>
      </c>
    </row>
    <row r="7387" spans="1:5">
      <c r="A7387" s="272">
        <v>46174</v>
      </c>
      <c r="B7387" s="139" t="s">
        <v>4124</v>
      </c>
      <c r="C7387" s="106" t="s">
        <v>4535</v>
      </c>
      <c r="D7387" s="106">
        <v>2</v>
      </c>
      <c r="E7387" s="94" t="s">
        <v>125</v>
      </c>
    </row>
    <row r="7388" spans="1:5">
      <c r="A7388" s="272">
        <v>46174</v>
      </c>
      <c r="B7388" s="139" t="s">
        <v>4124</v>
      </c>
      <c r="C7388" s="106" t="s">
        <v>4535</v>
      </c>
      <c r="D7388" s="106">
        <v>2</v>
      </c>
      <c r="E7388" s="94" t="s">
        <v>125</v>
      </c>
    </row>
    <row r="7389" spans="1:5">
      <c r="A7389" s="272">
        <v>46174</v>
      </c>
      <c r="B7389" s="139" t="s">
        <v>4124</v>
      </c>
      <c r="C7389" s="106" t="s">
        <v>4535</v>
      </c>
      <c r="D7389" s="106">
        <v>2</v>
      </c>
      <c r="E7389" s="94" t="s">
        <v>125</v>
      </c>
    </row>
    <row r="7390" spans="1:5">
      <c r="A7390" s="272">
        <v>46174</v>
      </c>
      <c r="B7390" s="139" t="s">
        <v>4124</v>
      </c>
      <c r="C7390" s="106" t="s">
        <v>4535</v>
      </c>
      <c r="D7390" s="106">
        <v>2</v>
      </c>
      <c r="E7390" s="94" t="s">
        <v>125</v>
      </c>
    </row>
    <row r="7391" spans="1:5">
      <c r="A7391" s="272">
        <v>46174</v>
      </c>
      <c r="B7391" s="139" t="s">
        <v>4124</v>
      </c>
      <c r="C7391" s="106" t="s">
        <v>4535</v>
      </c>
      <c r="D7391" s="106">
        <v>2</v>
      </c>
      <c r="E7391" s="94" t="s">
        <v>125</v>
      </c>
    </row>
    <row r="7392" spans="1:5">
      <c r="A7392" s="272">
        <v>46174</v>
      </c>
      <c r="B7392" s="139" t="s">
        <v>4124</v>
      </c>
      <c r="C7392" s="106" t="s">
        <v>4535</v>
      </c>
      <c r="D7392" s="106">
        <v>2</v>
      </c>
      <c r="E7392" s="94" t="s">
        <v>125</v>
      </c>
    </row>
    <row r="7393" spans="1:5">
      <c r="A7393" s="272">
        <v>46174</v>
      </c>
      <c r="B7393" s="233" t="s">
        <v>1716</v>
      </c>
      <c r="C7393" s="106" t="s">
        <v>4535</v>
      </c>
      <c r="D7393" s="106">
        <v>3</v>
      </c>
      <c r="E7393" s="94" t="s">
        <v>125</v>
      </c>
    </row>
    <row r="7394" spans="1:5">
      <c r="A7394" s="272">
        <v>46174</v>
      </c>
      <c r="B7394" s="233" t="s">
        <v>1716</v>
      </c>
      <c r="C7394" s="106" t="s">
        <v>4535</v>
      </c>
      <c r="D7394" s="106">
        <v>2</v>
      </c>
      <c r="E7394" s="94" t="s">
        <v>125</v>
      </c>
    </row>
    <row r="7395" spans="1:5">
      <c r="A7395" s="272">
        <v>46176</v>
      </c>
      <c r="B7395" s="139" t="s">
        <v>4124</v>
      </c>
      <c r="C7395" s="106" t="s">
        <v>4535</v>
      </c>
      <c r="D7395" s="106">
        <v>18</v>
      </c>
      <c r="E7395" s="94" t="s">
        <v>125</v>
      </c>
    </row>
    <row r="7396" spans="1:5">
      <c r="A7396" s="272">
        <v>46176</v>
      </c>
      <c r="B7396" s="233" t="s">
        <v>1716</v>
      </c>
      <c r="C7396" s="106" t="s">
        <v>4535</v>
      </c>
      <c r="D7396" s="106">
        <v>4</v>
      </c>
      <c r="E7396" s="94" t="s">
        <v>125</v>
      </c>
    </row>
    <row r="7397" spans="1:5">
      <c r="A7397" s="272">
        <v>46176</v>
      </c>
      <c r="B7397" s="233" t="s">
        <v>1716</v>
      </c>
      <c r="C7397" s="106" t="s">
        <v>4535</v>
      </c>
      <c r="D7397" s="106">
        <v>4</v>
      </c>
      <c r="E7397" s="94" t="s">
        <v>125</v>
      </c>
    </row>
    <row r="7398" spans="1:5">
      <c r="A7398" s="272">
        <v>46176</v>
      </c>
      <c r="B7398" s="233" t="s">
        <v>1716</v>
      </c>
      <c r="C7398" s="106" t="s">
        <v>4535</v>
      </c>
      <c r="D7398" s="106">
        <v>2</v>
      </c>
      <c r="E7398" s="94" t="s">
        <v>125</v>
      </c>
    </row>
    <row r="7399" spans="1:5">
      <c r="A7399" s="272">
        <v>46176</v>
      </c>
      <c r="B7399" s="233" t="s">
        <v>1716</v>
      </c>
      <c r="C7399" s="106" t="s">
        <v>4535</v>
      </c>
      <c r="D7399" s="106">
        <v>1</v>
      </c>
      <c r="E7399" s="94" t="s">
        <v>125</v>
      </c>
    </row>
    <row r="7401" spans="1:5">
      <c r="A7401" s="265">
        <v>46179</v>
      </c>
      <c r="B7401" s="343" t="s">
        <v>1326</v>
      </c>
      <c r="C7401" s="43" t="s">
        <v>4671</v>
      </c>
      <c r="D7401" s="43">
        <v>-1</v>
      </c>
      <c r="E7401" s="1064" t="s">
        <v>125</v>
      </c>
    </row>
    <row r="7402" spans="1:5">
      <c r="A7402" s="265">
        <v>46179</v>
      </c>
      <c r="B7402" s="343" t="s">
        <v>4109</v>
      </c>
      <c r="C7402" s="43" t="s">
        <v>3108</v>
      </c>
      <c r="D7402" s="43">
        <v>-5</v>
      </c>
      <c r="E7402" s="1064" t="s">
        <v>125</v>
      </c>
    </row>
    <row r="7404" spans="1:5">
      <c r="A7404" s="272">
        <v>46178</v>
      </c>
      <c r="B7404" s="128" t="s">
        <v>76</v>
      </c>
      <c r="C7404" s="106" t="s">
        <v>4535</v>
      </c>
      <c r="D7404" s="106">
        <v>20</v>
      </c>
      <c r="E7404" s="94" t="s">
        <v>125</v>
      </c>
    </row>
    <row r="7405" spans="1:5">
      <c r="A7405" s="272">
        <v>46178</v>
      </c>
      <c r="B7405" s="139" t="s">
        <v>4124</v>
      </c>
      <c r="C7405" s="106" t="s">
        <v>4535</v>
      </c>
      <c r="D7405" s="106">
        <v>6</v>
      </c>
      <c r="E7405" s="94" t="s">
        <v>125</v>
      </c>
    </row>
    <row r="7407" spans="1:5">
      <c r="A7407" s="1373">
        <v>46181</v>
      </c>
      <c r="B7407" s="329" t="s">
        <v>4822</v>
      </c>
      <c r="C7407" s="328" t="s">
        <v>4509</v>
      </c>
      <c r="D7407" s="1374">
        <v>2</v>
      </c>
      <c r="E7407" s="331" t="s">
        <v>125</v>
      </c>
    </row>
    <row r="7409" spans="1:5">
      <c r="A7409" s="335">
        <v>46181</v>
      </c>
      <c r="B7409" s="343" t="s">
        <v>4124</v>
      </c>
      <c r="C7409" s="345" t="s">
        <v>4786</v>
      </c>
      <c r="D7409" s="345">
        <v>12</v>
      </c>
      <c r="E7409" s="1064" t="s">
        <v>125</v>
      </c>
    </row>
    <row r="7411" spans="1:5">
      <c r="A7411" s="335">
        <v>46181</v>
      </c>
      <c r="B7411" s="343" t="s">
        <v>4124</v>
      </c>
      <c r="C7411" s="345" t="s">
        <v>5149</v>
      </c>
      <c r="D7411" s="345">
        <v>19</v>
      </c>
      <c r="E7411" s="1064" t="s">
        <v>125</v>
      </c>
    </row>
    <row r="7412" spans="1:5">
      <c r="A7412" s="335">
        <v>46181</v>
      </c>
      <c r="B7412" s="343" t="s">
        <v>4822</v>
      </c>
      <c r="C7412" s="345" t="s">
        <v>5149</v>
      </c>
      <c r="D7412" s="345">
        <v>1</v>
      </c>
      <c r="E7412" s="1064" t="s">
        <v>125</v>
      </c>
    </row>
    <row r="7413" spans="1:5">
      <c r="A7413" s="335">
        <v>46181</v>
      </c>
      <c r="B7413" s="343" t="s">
        <v>4503</v>
      </c>
      <c r="C7413" s="345" t="s">
        <v>5149</v>
      </c>
      <c r="D7413" s="345">
        <v>1</v>
      </c>
      <c r="E7413" s="1064" t="s">
        <v>125</v>
      </c>
    </row>
    <row r="7415" spans="1:5">
      <c r="A7415" s="265">
        <v>46182</v>
      </c>
      <c r="B7415" s="343" t="s">
        <v>1246</v>
      </c>
      <c r="C7415" s="43" t="s">
        <v>3826</v>
      </c>
      <c r="D7415" s="43">
        <v>-1</v>
      </c>
      <c r="E7415" s="1064" t="s">
        <v>125</v>
      </c>
    </row>
    <row r="7416" spans="1:5">
      <c r="A7416" s="265">
        <v>46182</v>
      </c>
      <c r="B7416" s="343" t="s">
        <v>1327</v>
      </c>
      <c r="C7416" s="43" t="s">
        <v>2647</v>
      </c>
      <c r="D7416" s="43">
        <v>-1</v>
      </c>
      <c r="E7416" s="1064" t="s">
        <v>125</v>
      </c>
    </row>
    <row r="7417" spans="1:5">
      <c r="A7417" s="265">
        <v>46182</v>
      </c>
      <c r="B7417" s="343" t="s">
        <v>4822</v>
      </c>
      <c r="C7417" s="345" t="s">
        <v>5150</v>
      </c>
      <c r="D7417" s="345">
        <v>-1</v>
      </c>
      <c r="E7417" s="1064" t="s">
        <v>125</v>
      </c>
    </row>
    <row r="7418" spans="1:5">
      <c r="A7418" s="265">
        <v>46182</v>
      </c>
      <c r="B7418" s="84" t="s">
        <v>134</v>
      </c>
      <c r="C7418" s="43" t="s">
        <v>4539</v>
      </c>
      <c r="D7418" s="43">
        <v>-1</v>
      </c>
      <c r="E7418" s="1064" t="s">
        <v>125</v>
      </c>
    </row>
    <row r="7419" spans="1:5">
      <c r="A7419" s="265">
        <v>46182</v>
      </c>
      <c r="B7419" s="343" t="s">
        <v>1246</v>
      </c>
      <c r="C7419" s="43" t="s">
        <v>3823</v>
      </c>
      <c r="D7419" s="43">
        <v>-1</v>
      </c>
      <c r="E7419" s="1064" t="s">
        <v>125</v>
      </c>
    </row>
    <row r="7420" spans="1:5">
      <c r="A7420" s="265">
        <v>46182</v>
      </c>
      <c r="B7420" s="343" t="s">
        <v>1271</v>
      </c>
      <c r="C7420" s="345" t="s">
        <v>3823</v>
      </c>
      <c r="D7420" s="345">
        <v>-1</v>
      </c>
      <c r="E7420" s="1064" t="s">
        <v>125</v>
      </c>
    </row>
    <row r="7421" spans="1:5">
      <c r="A7421" s="265">
        <v>46182</v>
      </c>
      <c r="B7421" s="343" t="s">
        <v>1271</v>
      </c>
      <c r="C7421" s="345" t="s">
        <v>3823</v>
      </c>
      <c r="D7421" s="345">
        <v>-1</v>
      </c>
      <c r="E7421" s="1064" t="s">
        <v>125</v>
      </c>
    </row>
    <row r="7423" spans="1:5">
      <c r="A7423" s="323">
        <v>46181</v>
      </c>
      <c r="B7423" s="324" t="s">
        <v>131</v>
      </c>
      <c r="C7423" s="322" t="s">
        <v>388</v>
      </c>
      <c r="D7423" s="322">
        <v>60</v>
      </c>
      <c r="E7423" s="321" t="s">
        <v>125</v>
      </c>
    </row>
    <row r="7424" spans="1:5">
      <c r="A7424" s="323">
        <v>46181</v>
      </c>
      <c r="B7424" s="325" t="s">
        <v>806</v>
      </c>
      <c r="C7424" s="322" t="s">
        <v>388</v>
      </c>
      <c r="D7424" s="322">
        <v>5</v>
      </c>
      <c r="E7424" s="321" t="s">
        <v>125</v>
      </c>
    </row>
    <row r="7425" spans="1:6">
      <c r="A7425" s="323">
        <v>46181</v>
      </c>
      <c r="B7425" s="425" t="s">
        <v>375</v>
      </c>
      <c r="C7425" s="322" t="s">
        <v>388</v>
      </c>
      <c r="D7425" s="322">
        <v>8</v>
      </c>
      <c r="E7425" s="321" t="s">
        <v>125</v>
      </c>
    </row>
    <row r="7427" spans="1:6">
      <c r="A7427" s="335">
        <v>46183</v>
      </c>
      <c r="B7427" s="342" t="s">
        <v>131</v>
      </c>
      <c r="C7427" s="345" t="s">
        <v>1879</v>
      </c>
      <c r="D7427" s="345">
        <v>-40</v>
      </c>
      <c r="E7427" s="1064" t="s">
        <v>125</v>
      </c>
    </row>
    <row r="7428" spans="1:6">
      <c r="A7428" s="335">
        <v>46183</v>
      </c>
      <c r="B7428" s="343" t="s">
        <v>806</v>
      </c>
      <c r="C7428" s="345" t="s">
        <v>1879</v>
      </c>
      <c r="D7428" s="345">
        <v>-5</v>
      </c>
      <c r="E7428" s="1064" t="s">
        <v>125</v>
      </c>
    </row>
    <row r="7429" spans="1:6">
      <c r="A7429" s="335">
        <v>46183</v>
      </c>
      <c r="B7429" s="342" t="s">
        <v>131</v>
      </c>
      <c r="C7429" s="43" t="s">
        <v>5230</v>
      </c>
      <c r="D7429" s="43">
        <v>-20</v>
      </c>
      <c r="E7429" s="1064" t="s">
        <v>125</v>
      </c>
    </row>
    <row r="7431" spans="1:6">
      <c r="A7431" s="265">
        <v>46184</v>
      </c>
      <c r="B7431" s="343" t="s">
        <v>1246</v>
      </c>
      <c r="C7431" s="43" t="s">
        <v>4539</v>
      </c>
      <c r="D7431" s="43">
        <v>-1</v>
      </c>
      <c r="E7431" s="1064" t="s">
        <v>125</v>
      </c>
    </row>
    <row r="7432" spans="1:6">
      <c r="A7432" s="265">
        <v>46184</v>
      </c>
      <c r="B7432" s="343" t="s">
        <v>4124</v>
      </c>
      <c r="C7432" s="43" t="s">
        <v>1659</v>
      </c>
      <c r="D7432" s="43">
        <v>-4</v>
      </c>
      <c r="E7432" s="1064" t="s">
        <v>125</v>
      </c>
    </row>
    <row r="7433" spans="1:6">
      <c r="A7433" s="265">
        <v>46184</v>
      </c>
      <c r="B7433" s="343" t="s">
        <v>1334</v>
      </c>
      <c r="C7433" s="43" t="s">
        <v>4540</v>
      </c>
      <c r="D7433" s="43">
        <v>0</v>
      </c>
      <c r="E7433" s="1064" t="s">
        <v>125</v>
      </c>
      <c r="F7433" t="s">
        <v>676</v>
      </c>
    </row>
    <row r="7435" spans="1:6">
      <c r="A7435" s="265">
        <v>46185</v>
      </c>
      <c r="B7435" s="343" t="s">
        <v>1246</v>
      </c>
      <c r="C7435" s="43" t="s">
        <v>3823</v>
      </c>
      <c r="D7435" s="43">
        <v>-1</v>
      </c>
      <c r="E7435" s="1064" t="s">
        <v>125</v>
      </c>
    </row>
    <row r="7436" spans="1:6">
      <c r="A7436" s="265">
        <v>46185</v>
      </c>
      <c r="B7436" s="104" t="s">
        <v>375</v>
      </c>
      <c r="C7436" s="43" t="s">
        <v>1656</v>
      </c>
      <c r="D7436" s="43">
        <v>-5</v>
      </c>
      <c r="E7436" s="1064" t="s">
        <v>125</v>
      </c>
    </row>
    <row r="7437" spans="1:6">
      <c r="A7437" s="265">
        <v>46185</v>
      </c>
      <c r="B7437" s="104" t="s">
        <v>375</v>
      </c>
      <c r="C7437" s="43" t="s">
        <v>1656</v>
      </c>
      <c r="D7437" s="43">
        <v>-3</v>
      </c>
      <c r="E7437" s="1064" t="s">
        <v>125</v>
      </c>
    </row>
    <row r="7439" spans="1:6">
      <c r="A7439" s="272">
        <v>46182</v>
      </c>
      <c r="B7439" s="139" t="s">
        <v>4124</v>
      </c>
      <c r="C7439" s="106" t="s">
        <v>4535</v>
      </c>
      <c r="D7439" s="106">
        <v>2</v>
      </c>
      <c r="E7439" s="94" t="s">
        <v>125</v>
      </c>
    </row>
    <row r="7440" spans="1:6">
      <c r="A7440" s="272">
        <v>46182</v>
      </c>
      <c r="B7440" s="139" t="s">
        <v>4124</v>
      </c>
      <c r="C7440" s="106" t="s">
        <v>4535</v>
      </c>
      <c r="D7440" s="106">
        <v>5</v>
      </c>
      <c r="E7440" s="94" t="s">
        <v>125</v>
      </c>
    </row>
    <row r="7441" spans="1:5">
      <c r="A7441" s="272">
        <v>46182</v>
      </c>
      <c r="B7441" s="233" t="s">
        <v>1716</v>
      </c>
      <c r="C7441" s="106" t="s">
        <v>4535</v>
      </c>
      <c r="D7441" s="106">
        <v>2</v>
      </c>
      <c r="E7441" s="94" t="s">
        <v>125</v>
      </c>
    </row>
    <row r="7442" spans="1:5">
      <c r="A7442" s="272">
        <v>46182</v>
      </c>
      <c r="B7442" s="139" t="s">
        <v>4800</v>
      </c>
      <c r="C7442" s="106" t="s">
        <v>4535</v>
      </c>
      <c r="D7442" s="106">
        <v>8</v>
      </c>
      <c r="E7442" s="94" t="s">
        <v>125</v>
      </c>
    </row>
    <row r="7443" spans="1:5">
      <c r="A7443" s="272">
        <v>46182</v>
      </c>
      <c r="B7443" s="139" t="s">
        <v>4800</v>
      </c>
      <c r="C7443" s="106" t="s">
        <v>4535</v>
      </c>
      <c r="D7443" s="106">
        <v>19</v>
      </c>
      <c r="E7443" s="94" t="s">
        <v>125</v>
      </c>
    </row>
    <row r="7444" spans="1:5">
      <c r="A7444" s="272">
        <v>46182</v>
      </c>
      <c r="B7444" s="139" t="s">
        <v>4800</v>
      </c>
      <c r="C7444" s="106" t="s">
        <v>4535</v>
      </c>
      <c r="D7444" s="106">
        <v>3</v>
      </c>
      <c r="E7444" s="94" t="s">
        <v>125</v>
      </c>
    </row>
    <row r="7445" spans="1:5">
      <c r="A7445" s="272">
        <v>46182</v>
      </c>
      <c r="B7445" s="139" t="s">
        <v>4800</v>
      </c>
      <c r="C7445" s="106" t="s">
        <v>4535</v>
      </c>
      <c r="D7445" s="106">
        <v>6</v>
      </c>
      <c r="E7445" s="94" t="s">
        <v>125</v>
      </c>
    </row>
    <row r="7447" spans="1:5">
      <c r="A7447" s="272">
        <v>46183</v>
      </c>
      <c r="B7447" s="139" t="s">
        <v>4800</v>
      </c>
      <c r="C7447" s="106" t="s">
        <v>4535</v>
      </c>
      <c r="D7447" s="106">
        <v>5</v>
      </c>
      <c r="E7447" s="94" t="s">
        <v>125</v>
      </c>
    </row>
    <row r="7448" spans="1:5">
      <c r="A7448" s="272">
        <v>46183</v>
      </c>
      <c r="B7448" s="139" t="s">
        <v>4800</v>
      </c>
      <c r="C7448" s="106" t="s">
        <v>4535</v>
      </c>
      <c r="D7448" s="106">
        <v>1</v>
      </c>
      <c r="E7448" s="94" t="s">
        <v>125</v>
      </c>
    </row>
    <row r="7449" spans="1:5">
      <c r="A7449" s="272">
        <v>46183</v>
      </c>
      <c r="B7449" s="139" t="s">
        <v>4800</v>
      </c>
      <c r="C7449" s="106" t="s">
        <v>4535</v>
      </c>
      <c r="D7449" s="106">
        <v>8</v>
      </c>
      <c r="E7449" s="94" t="s">
        <v>125</v>
      </c>
    </row>
    <row r="7450" spans="1:5">
      <c r="A7450" s="272">
        <v>46183</v>
      </c>
      <c r="B7450" s="139" t="s">
        <v>4800</v>
      </c>
      <c r="C7450" s="106" t="s">
        <v>4535</v>
      </c>
      <c r="D7450" s="106">
        <v>4</v>
      </c>
      <c r="E7450" s="94" t="s">
        <v>125</v>
      </c>
    </row>
    <row r="7451" spans="1:5">
      <c r="A7451" s="272">
        <v>46183</v>
      </c>
      <c r="B7451" s="139" t="s">
        <v>4800</v>
      </c>
      <c r="C7451" s="106" t="s">
        <v>4535</v>
      </c>
      <c r="D7451" s="106">
        <v>4</v>
      </c>
      <c r="E7451" s="94" t="s">
        <v>125</v>
      </c>
    </row>
    <row r="7452" spans="1:5">
      <c r="A7452" s="272">
        <v>46183</v>
      </c>
      <c r="B7452" s="139" t="s">
        <v>4124</v>
      </c>
      <c r="C7452" s="106" t="s">
        <v>4535</v>
      </c>
      <c r="D7452" s="106">
        <v>2</v>
      </c>
      <c r="E7452" s="94" t="s">
        <v>125</v>
      </c>
    </row>
    <row r="7453" spans="1:5">
      <c r="A7453" s="272">
        <v>46183</v>
      </c>
      <c r="B7453" s="139" t="s">
        <v>4800</v>
      </c>
      <c r="C7453" s="106" t="s">
        <v>4535</v>
      </c>
      <c r="D7453" s="106">
        <v>4</v>
      </c>
      <c r="E7453" s="94" t="s">
        <v>125</v>
      </c>
    </row>
    <row r="7454" spans="1:5">
      <c r="A7454" s="272">
        <v>46183</v>
      </c>
      <c r="B7454" s="233" t="s">
        <v>1716</v>
      </c>
      <c r="C7454" s="106" t="s">
        <v>4535</v>
      </c>
      <c r="D7454" s="106">
        <v>1</v>
      </c>
      <c r="E7454" s="94" t="s">
        <v>125</v>
      </c>
    </row>
    <row r="7455" spans="1:5">
      <c r="A7455" s="272">
        <v>46183</v>
      </c>
      <c r="B7455" s="139" t="s">
        <v>4800</v>
      </c>
      <c r="C7455" s="106" t="s">
        <v>4535</v>
      </c>
      <c r="D7455" s="106">
        <v>7</v>
      </c>
      <c r="E7455" s="94" t="s">
        <v>125</v>
      </c>
    </row>
    <row r="7456" spans="1:5">
      <c r="A7456" s="272">
        <v>46183</v>
      </c>
      <c r="B7456" s="139" t="s">
        <v>4800</v>
      </c>
      <c r="C7456" s="106" t="s">
        <v>4535</v>
      </c>
      <c r="D7456" s="106">
        <v>2</v>
      </c>
      <c r="E7456" s="94" t="s">
        <v>125</v>
      </c>
    </row>
    <row r="7457" spans="1:6">
      <c r="A7457" s="272">
        <v>46183</v>
      </c>
      <c r="B7457" s="139" t="s">
        <v>4800</v>
      </c>
      <c r="C7457" s="106" t="s">
        <v>4535</v>
      </c>
      <c r="D7457" s="106">
        <v>4</v>
      </c>
      <c r="E7457" s="94" t="s">
        <v>125</v>
      </c>
    </row>
    <row r="7458" spans="1:6">
      <c r="A7458" s="272">
        <v>46183</v>
      </c>
      <c r="B7458" s="139" t="s">
        <v>4124</v>
      </c>
      <c r="C7458" s="106" t="s">
        <v>4535</v>
      </c>
      <c r="D7458" s="106">
        <v>4</v>
      </c>
      <c r="E7458" s="94" t="s">
        <v>125</v>
      </c>
    </row>
    <row r="7459" spans="1:6">
      <c r="A7459" s="272">
        <v>46183</v>
      </c>
      <c r="B7459" s="139" t="s">
        <v>4800</v>
      </c>
      <c r="C7459" s="106" t="s">
        <v>4535</v>
      </c>
      <c r="D7459" s="106">
        <v>6</v>
      </c>
      <c r="E7459" s="94" t="s">
        <v>125</v>
      </c>
    </row>
    <row r="7460" spans="1:6">
      <c r="A7460" s="272">
        <v>46183</v>
      </c>
      <c r="B7460" s="139" t="s">
        <v>4800</v>
      </c>
      <c r="C7460" s="106" t="s">
        <v>4535</v>
      </c>
      <c r="D7460" s="106">
        <v>7</v>
      </c>
      <c r="E7460" s="94" t="s">
        <v>125</v>
      </c>
    </row>
    <row r="7461" spans="1:6">
      <c r="A7461" s="272">
        <v>46183</v>
      </c>
      <c r="B7461" s="233" t="s">
        <v>1716</v>
      </c>
      <c r="C7461" s="106" t="s">
        <v>4535</v>
      </c>
      <c r="D7461" s="106">
        <v>1</v>
      </c>
      <c r="E7461" s="94" t="s">
        <v>125</v>
      </c>
    </row>
    <row r="7462" spans="1:6">
      <c r="A7462" s="272">
        <v>46183</v>
      </c>
      <c r="B7462" s="233" t="s">
        <v>1716</v>
      </c>
      <c r="C7462" s="106" t="s">
        <v>4535</v>
      </c>
      <c r="D7462" s="106">
        <v>1</v>
      </c>
      <c r="E7462" s="94" t="s">
        <v>125</v>
      </c>
    </row>
    <row r="7463" spans="1:6">
      <c r="A7463" s="272">
        <v>46183</v>
      </c>
      <c r="B7463" s="233" t="s">
        <v>1716</v>
      </c>
      <c r="C7463" s="106" t="s">
        <v>4535</v>
      </c>
      <c r="D7463" s="106">
        <v>3</v>
      </c>
      <c r="E7463" s="94" t="s">
        <v>125</v>
      </c>
    </row>
    <row r="7464" spans="1:6">
      <c r="A7464" s="272">
        <v>46183</v>
      </c>
      <c r="B7464" s="233" t="s">
        <v>1716</v>
      </c>
      <c r="C7464" s="106" t="s">
        <v>4535</v>
      </c>
      <c r="D7464" s="106">
        <v>2</v>
      </c>
      <c r="E7464" s="94" t="s">
        <v>125</v>
      </c>
    </row>
    <row r="7465" spans="1:6">
      <c r="A7465" s="272">
        <v>46183</v>
      </c>
      <c r="B7465" s="139" t="s">
        <v>4800</v>
      </c>
      <c r="C7465" s="106" t="s">
        <v>4535</v>
      </c>
      <c r="D7465" s="106">
        <v>4</v>
      </c>
      <c r="E7465" s="94" t="s">
        <v>125</v>
      </c>
    </row>
    <row r="7467" spans="1:6">
      <c r="A7467" s="265">
        <v>46185</v>
      </c>
      <c r="B7467" s="84" t="s">
        <v>4665</v>
      </c>
      <c r="C7467" s="43" t="s">
        <v>1592</v>
      </c>
      <c r="D7467" s="43">
        <v>-1</v>
      </c>
      <c r="E7467" s="1064" t="s">
        <v>125</v>
      </c>
    </row>
    <row r="7469" spans="1:6">
      <c r="A7469" s="265">
        <v>46186</v>
      </c>
      <c r="B7469" s="343" t="s">
        <v>1326</v>
      </c>
      <c r="C7469" s="43" t="s">
        <v>4121</v>
      </c>
      <c r="D7469" s="43">
        <v>0</v>
      </c>
      <c r="E7469" s="1064" t="s">
        <v>125</v>
      </c>
      <c r="F7469" t="s">
        <v>676</v>
      </c>
    </row>
    <row r="7470" spans="1:6">
      <c r="A7470" s="265">
        <v>46186</v>
      </c>
      <c r="B7470" s="343" t="s">
        <v>1296</v>
      </c>
      <c r="C7470" s="43" t="s">
        <v>5257</v>
      </c>
      <c r="D7470" s="43">
        <v>-1</v>
      </c>
      <c r="E7470" s="1064" t="s">
        <v>125</v>
      </c>
    </row>
    <row r="7471" spans="1:6">
      <c r="A7471" s="265">
        <v>46186</v>
      </c>
      <c r="B7471" s="343" t="s">
        <v>2312</v>
      </c>
      <c r="C7471" s="43" t="s">
        <v>5257</v>
      </c>
      <c r="D7471" s="43">
        <v>-2</v>
      </c>
      <c r="E7471" s="1064" t="s">
        <v>125</v>
      </c>
    </row>
    <row r="7472" spans="1:6">
      <c r="A7472" s="265">
        <v>46186</v>
      </c>
      <c r="B7472" s="93" t="s">
        <v>3090</v>
      </c>
      <c r="C7472" s="43" t="s">
        <v>5257</v>
      </c>
      <c r="D7472" s="43">
        <v>-4</v>
      </c>
      <c r="E7472" s="1064" t="s">
        <v>125</v>
      </c>
    </row>
    <row r="7473" spans="1:5">
      <c r="A7473" s="265">
        <v>46186</v>
      </c>
      <c r="B7473" s="343" t="s">
        <v>2032</v>
      </c>
      <c r="C7473" s="43" t="s">
        <v>5257</v>
      </c>
      <c r="D7473" s="43">
        <v>-1</v>
      </c>
      <c r="E7473" s="1064" t="s">
        <v>125</v>
      </c>
    </row>
    <row r="7474" spans="1:5">
      <c r="A7474" s="265">
        <v>46186</v>
      </c>
      <c r="B7474" s="84" t="s">
        <v>4589</v>
      </c>
      <c r="C7474" s="43" t="s">
        <v>5257</v>
      </c>
      <c r="D7474" s="43">
        <v>-1</v>
      </c>
      <c r="E7474" s="1064" t="s">
        <v>125</v>
      </c>
    </row>
    <row r="7475" spans="1:5">
      <c r="A7475" s="265">
        <v>46186</v>
      </c>
      <c r="B7475" s="84" t="s">
        <v>4665</v>
      </c>
      <c r="C7475" s="43" t="s">
        <v>5257</v>
      </c>
      <c r="D7475" s="43">
        <v>-1</v>
      </c>
      <c r="E7475" s="1064" t="s">
        <v>125</v>
      </c>
    </row>
    <row r="7476" spans="1:5">
      <c r="A7476" s="265">
        <v>46186</v>
      </c>
      <c r="B7476" s="84" t="s">
        <v>4462</v>
      </c>
      <c r="C7476" s="43" t="s">
        <v>5257</v>
      </c>
      <c r="D7476" s="43">
        <v>-2</v>
      </c>
      <c r="E7476" s="1064" t="s">
        <v>125</v>
      </c>
    </row>
    <row r="7477" spans="1:5">
      <c r="A7477" s="265">
        <v>46186</v>
      </c>
      <c r="B7477" s="343" t="s">
        <v>5256</v>
      </c>
      <c r="C7477" s="43" t="s">
        <v>5257</v>
      </c>
      <c r="D7477" s="43">
        <v>-1</v>
      </c>
      <c r="E7477" s="1064" t="s">
        <v>125</v>
      </c>
    </row>
    <row r="7479" spans="1:5">
      <c r="A7479" s="335">
        <v>46188</v>
      </c>
      <c r="B7479" s="343" t="s">
        <v>1271</v>
      </c>
      <c r="C7479" s="345" t="s">
        <v>4539</v>
      </c>
      <c r="D7479" s="345">
        <v>-1</v>
      </c>
      <c r="E7479" s="1064" t="s">
        <v>125</v>
      </c>
    </row>
    <row r="7481" spans="1:5">
      <c r="A7481" s="272">
        <v>46157</v>
      </c>
      <c r="B7481" s="139" t="s">
        <v>4124</v>
      </c>
      <c r="C7481" s="106" t="s">
        <v>4535</v>
      </c>
      <c r="D7481" s="106">
        <v>2</v>
      </c>
      <c r="E7481" s="94" t="s">
        <v>125</v>
      </c>
    </row>
    <row r="7482" spans="1:5">
      <c r="A7482" s="272">
        <v>46159</v>
      </c>
      <c r="B7482" s="139" t="s">
        <v>4124</v>
      </c>
      <c r="C7482" s="106" t="s">
        <v>4535</v>
      </c>
      <c r="D7482" s="106">
        <v>2</v>
      </c>
      <c r="E7482" s="94" t="s">
        <v>125</v>
      </c>
    </row>
    <row r="7483" spans="1:5">
      <c r="A7483" s="272">
        <v>46159</v>
      </c>
      <c r="B7483" s="139" t="s">
        <v>4124</v>
      </c>
      <c r="C7483" s="106" t="s">
        <v>4535</v>
      </c>
      <c r="D7483" s="106">
        <v>2</v>
      </c>
      <c r="E7483" s="94" t="s">
        <v>125</v>
      </c>
    </row>
    <row r="7484" spans="1:5">
      <c r="A7484" s="272">
        <v>46159</v>
      </c>
      <c r="B7484" s="139" t="s">
        <v>4124</v>
      </c>
      <c r="C7484" s="106" t="s">
        <v>4535</v>
      </c>
      <c r="D7484" s="106">
        <v>2</v>
      </c>
      <c r="E7484" s="94" t="s">
        <v>125</v>
      </c>
    </row>
    <row r="7485" spans="1:5">
      <c r="A7485" s="272">
        <v>46162</v>
      </c>
      <c r="B7485" s="139" t="s">
        <v>4124</v>
      </c>
      <c r="C7485" s="106" t="s">
        <v>4535</v>
      </c>
      <c r="D7485" s="106">
        <v>4</v>
      </c>
      <c r="E7485" s="94" t="s">
        <v>125</v>
      </c>
    </row>
    <row r="7486" spans="1:5">
      <c r="A7486" s="272">
        <v>46162</v>
      </c>
      <c r="B7486" s="139" t="s">
        <v>4124</v>
      </c>
      <c r="C7486" s="106" t="s">
        <v>4535</v>
      </c>
      <c r="D7486" s="106">
        <v>4</v>
      </c>
      <c r="E7486" s="94" t="s">
        <v>125</v>
      </c>
    </row>
    <row r="7487" spans="1:5">
      <c r="A7487" s="272">
        <v>46163</v>
      </c>
      <c r="B7487" s="139" t="s">
        <v>4124</v>
      </c>
      <c r="C7487" s="106" t="s">
        <v>4535</v>
      </c>
      <c r="D7487" s="106">
        <v>1</v>
      </c>
      <c r="E7487" s="94" t="s">
        <v>125</v>
      </c>
    </row>
    <row r="7488" spans="1:5">
      <c r="A7488" s="272">
        <v>46164</v>
      </c>
      <c r="B7488" s="139" t="s">
        <v>4124</v>
      </c>
      <c r="C7488" s="106" t="s">
        <v>4535</v>
      </c>
      <c r="D7488" s="106">
        <v>3</v>
      </c>
      <c r="E7488" s="94" t="s">
        <v>125</v>
      </c>
    </row>
    <row r="7489" spans="1:5">
      <c r="A7489" s="272">
        <v>46171</v>
      </c>
      <c r="B7489" s="128" t="s">
        <v>76</v>
      </c>
      <c r="C7489" s="106" t="s">
        <v>4535</v>
      </c>
      <c r="D7489" s="106">
        <v>3</v>
      </c>
      <c r="E7489" s="94" t="s">
        <v>125</v>
      </c>
    </row>
    <row r="7490" spans="1:5">
      <c r="A7490" s="272">
        <v>46173</v>
      </c>
      <c r="B7490" s="128" t="s">
        <v>76</v>
      </c>
      <c r="C7490" s="106" t="s">
        <v>4535</v>
      </c>
      <c r="D7490" s="106">
        <v>1</v>
      </c>
      <c r="E7490" s="94" t="s">
        <v>125</v>
      </c>
    </row>
    <row r="7491" spans="1:5">
      <c r="A7491" s="272">
        <v>46173</v>
      </c>
      <c r="B7491" s="128" t="s">
        <v>76</v>
      </c>
      <c r="C7491" s="106" t="s">
        <v>4535</v>
      </c>
      <c r="D7491" s="106">
        <v>3</v>
      </c>
      <c r="E7491" s="94" t="s">
        <v>125</v>
      </c>
    </row>
    <row r="7492" spans="1:5">
      <c r="A7492" s="272">
        <v>46163</v>
      </c>
      <c r="B7492" s="139" t="s">
        <v>4124</v>
      </c>
      <c r="C7492" s="106" t="s">
        <v>4535</v>
      </c>
      <c r="D7492" s="106">
        <v>2</v>
      </c>
      <c r="E7492" s="94" t="s">
        <v>125</v>
      </c>
    </row>
    <row r="7493" spans="1:5">
      <c r="A7493" s="335">
        <v>46189</v>
      </c>
      <c r="B7493" s="343" t="s">
        <v>1271</v>
      </c>
      <c r="C7493" s="345" t="s">
        <v>3826</v>
      </c>
      <c r="D7493" s="345">
        <v>-1</v>
      </c>
      <c r="E7493" s="1064" t="s">
        <v>125</v>
      </c>
    </row>
    <row r="7495" spans="1:5">
      <c r="A7495" s="265">
        <v>46190</v>
      </c>
      <c r="B7495" s="343" t="s">
        <v>1271</v>
      </c>
      <c r="C7495" s="345" t="s">
        <v>3826</v>
      </c>
      <c r="D7495" s="43">
        <v>-1</v>
      </c>
      <c r="E7495" s="1064" t="s">
        <v>125</v>
      </c>
    </row>
    <row r="7497" spans="1:5">
      <c r="A7497" s="265">
        <v>46190</v>
      </c>
      <c r="B7497" s="343" t="s">
        <v>1296</v>
      </c>
      <c r="C7497" s="43" t="s">
        <v>5258</v>
      </c>
      <c r="D7497" s="43">
        <v>1</v>
      </c>
      <c r="E7497" s="1064" t="s">
        <v>125</v>
      </c>
    </row>
    <row r="7498" spans="1:5">
      <c r="A7498" s="265">
        <v>46190</v>
      </c>
      <c r="B7498" s="343" t="s">
        <v>2032</v>
      </c>
      <c r="C7498" s="43" t="s">
        <v>5258</v>
      </c>
      <c r="D7498" s="43">
        <v>1</v>
      </c>
      <c r="E7498" s="1064" t="s">
        <v>125</v>
      </c>
    </row>
    <row r="7500" spans="1:5">
      <c r="A7500" s="265">
        <v>46192</v>
      </c>
      <c r="B7500" s="343" t="s">
        <v>1271</v>
      </c>
      <c r="C7500" s="345" t="s">
        <v>3826</v>
      </c>
      <c r="D7500" s="43">
        <v>-1</v>
      </c>
      <c r="E7500" s="1064" t="s">
        <v>125</v>
      </c>
    </row>
    <row r="7501" spans="1:5">
      <c r="A7501" s="265">
        <v>46192</v>
      </c>
      <c r="B7501" s="343" t="s">
        <v>1434</v>
      </c>
      <c r="C7501" s="43" t="s">
        <v>4539</v>
      </c>
      <c r="D7501" s="43">
        <v>-1</v>
      </c>
      <c r="E7501" s="1064" t="s">
        <v>125</v>
      </c>
    </row>
    <row r="7503" spans="1:5">
      <c r="A7503" s="265">
        <v>46191</v>
      </c>
      <c r="B7503" s="93" t="s">
        <v>839</v>
      </c>
      <c r="C7503" s="43" t="s">
        <v>1598</v>
      </c>
      <c r="D7503" s="43">
        <v>-5</v>
      </c>
      <c r="E7503" s="1064" t="s">
        <v>125</v>
      </c>
    </row>
    <row r="7504" spans="1:5">
      <c r="A7504" s="265">
        <v>46191</v>
      </c>
      <c r="B7504" s="93" t="s">
        <v>839</v>
      </c>
      <c r="C7504" s="43" t="s">
        <v>1613</v>
      </c>
      <c r="D7504" s="43">
        <v>-10</v>
      </c>
      <c r="E7504" s="1064" t="s">
        <v>125</v>
      </c>
    </row>
    <row r="7505" spans="1:5">
      <c r="A7505" s="265">
        <v>46191</v>
      </c>
      <c r="B7505" s="93" t="s">
        <v>839</v>
      </c>
      <c r="C7505" s="43" t="s">
        <v>1613</v>
      </c>
      <c r="D7505" s="43">
        <v>-3</v>
      </c>
      <c r="E7505" s="1064" t="s">
        <v>125</v>
      </c>
    </row>
    <row r="7506" spans="1:5">
      <c r="A7506" s="265">
        <v>46191</v>
      </c>
      <c r="B7506" s="343" t="s">
        <v>2167</v>
      </c>
      <c r="C7506" s="43" t="s">
        <v>1592</v>
      </c>
      <c r="D7506" s="43">
        <v>-10</v>
      </c>
      <c r="E7506" s="1064" t="s">
        <v>125</v>
      </c>
    </row>
    <row r="7507" spans="1:5">
      <c r="A7507" s="265">
        <v>46191</v>
      </c>
      <c r="B7507" s="92" t="s">
        <v>76</v>
      </c>
      <c r="C7507" s="43" t="s">
        <v>1659</v>
      </c>
      <c r="D7507" s="43">
        <v>-55</v>
      </c>
      <c r="E7507" s="1064" t="s">
        <v>125</v>
      </c>
    </row>
    <row r="7508" spans="1:5">
      <c r="A7508" s="265">
        <v>46191</v>
      </c>
      <c r="B7508" s="344" t="s">
        <v>1716</v>
      </c>
      <c r="C7508" s="43" t="s">
        <v>5262</v>
      </c>
      <c r="D7508" s="43">
        <v>-2</v>
      </c>
      <c r="E7508" s="1064" t="s">
        <v>125</v>
      </c>
    </row>
    <row r="7509" spans="1:5">
      <c r="A7509" s="265">
        <v>46191</v>
      </c>
      <c r="B7509" s="344" t="s">
        <v>1716</v>
      </c>
      <c r="C7509" s="43" t="s">
        <v>4120</v>
      </c>
      <c r="D7509" s="43">
        <v>-2</v>
      </c>
      <c r="E7509" s="1064" t="s">
        <v>125</v>
      </c>
    </row>
    <row r="7512" spans="1:5">
      <c r="A7512" s="265">
        <v>46192</v>
      </c>
      <c r="B7512" s="93" t="s">
        <v>839</v>
      </c>
      <c r="C7512" s="43" t="s">
        <v>1613</v>
      </c>
      <c r="D7512" s="43">
        <v>-5</v>
      </c>
      <c r="E7512" s="1064" t="s">
        <v>125</v>
      </c>
    </row>
    <row r="7513" spans="1:5">
      <c r="A7513" s="265">
        <v>46192</v>
      </c>
      <c r="B7513" s="93" t="s">
        <v>839</v>
      </c>
      <c r="C7513" s="43" t="s">
        <v>1613</v>
      </c>
      <c r="D7513" s="43">
        <v>-5</v>
      </c>
      <c r="E7513" s="1064" t="s">
        <v>125</v>
      </c>
    </row>
    <row r="7514" spans="1:5">
      <c r="A7514" s="265">
        <v>46192</v>
      </c>
      <c r="B7514" s="93" t="s">
        <v>839</v>
      </c>
      <c r="C7514" s="43" t="s">
        <v>1787</v>
      </c>
      <c r="D7514" s="43">
        <v>-7</v>
      </c>
      <c r="E7514" s="1064" t="s">
        <v>125</v>
      </c>
    </row>
    <row r="7515" spans="1:5">
      <c r="A7515" s="265">
        <v>46192</v>
      </c>
      <c r="B7515" s="93" t="s">
        <v>839</v>
      </c>
      <c r="C7515" s="43" t="s">
        <v>1787</v>
      </c>
      <c r="D7515" s="43">
        <v>-3</v>
      </c>
      <c r="E7515" s="1064" t="s">
        <v>125</v>
      </c>
    </row>
    <row r="7516" spans="1:5">
      <c r="A7516" s="265">
        <v>46192</v>
      </c>
      <c r="B7516" s="343" t="s">
        <v>1246</v>
      </c>
      <c r="C7516" s="43" t="s">
        <v>5263</v>
      </c>
      <c r="D7516" s="43">
        <v>-2</v>
      </c>
      <c r="E7516" s="1064" t="s">
        <v>125</v>
      </c>
    </row>
    <row r="7518" spans="1:5">
      <c r="A7518" s="265">
        <v>45828</v>
      </c>
      <c r="B7518" s="93" t="s">
        <v>839</v>
      </c>
      <c r="C7518" s="43" t="s">
        <v>1595</v>
      </c>
      <c r="D7518" s="43">
        <v>-2</v>
      </c>
      <c r="E7518" s="1064" t="s">
        <v>125</v>
      </c>
    </row>
    <row r="7519" spans="1:5">
      <c r="A7519" s="265">
        <v>45828</v>
      </c>
      <c r="B7519" s="93" t="s">
        <v>839</v>
      </c>
      <c r="C7519" s="43" t="s">
        <v>1598</v>
      </c>
      <c r="D7519" s="43">
        <v>-10</v>
      </c>
      <c r="E7519" s="1064" t="s">
        <v>125</v>
      </c>
    </row>
    <row r="7520" spans="1:5">
      <c r="A7520" s="265">
        <v>45828</v>
      </c>
      <c r="B7520" s="93" t="s">
        <v>839</v>
      </c>
      <c r="C7520" s="43" t="s">
        <v>1598</v>
      </c>
      <c r="D7520" s="43">
        <v>-2</v>
      </c>
      <c r="E7520" s="1064" t="s">
        <v>125</v>
      </c>
    </row>
    <row r="7521" spans="1:5">
      <c r="A7521" s="265">
        <v>45828</v>
      </c>
      <c r="B7521" s="343" t="s">
        <v>4800</v>
      </c>
      <c r="C7521" s="345" t="s">
        <v>5264</v>
      </c>
      <c r="D7521" s="345">
        <v>-15</v>
      </c>
      <c r="E7521" s="1064" t="s">
        <v>125</v>
      </c>
    </row>
    <row r="7522" spans="1:5">
      <c r="A7522" s="265">
        <v>45828</v>
      </c>
      <c r="B7522" s="343" t="s">
        <v>1434</v>
      </c>
      <c r="C7522" s="43" t="s">
        <v>4539</v>
      </c>
      <c r="D7522" s="43">
        <v>-1</v>
      </c>
      <c r="E7522" s="1064" t="s">
        <v>125</v>
      </c>
    </row>
    <row r="7524" spans="1:5">
      <c r="A7524" s="323">
        <v>46190</v>
      </c>
      <c r="B7524" s="325" t="s">
        <v>1246</v>
      </c>
      <c r="C7524" s="322" t="s">
        <v>388</v>
      </c>
      <c r="D7524" s="322">
        <v>10</v>
      </c>
      <c r="E7524" s="321" t="s">
        <v>125</v>
      </c>
    </row>
    <row r="7525" spans="1:5">
      <c r="A7525" s="323">
        <v>46190</v>
      </c>
      <c r="B7525" s="325" t="s">
        <v>1246</v>
      </c>
      <c r="C7525" s="322" t="s">
        <v>388</v>
      </c>
      <c r="D7525" s="322">
        <v>8</v>
      </c>
      <c r="E7525" s="321" t="s">
        <v>125</v>
      </c>
    </row>
    <row r="7526" spans="1:5">
      <c r="A7526" s="323">
        <v>46190</v>
      </c>
      <c r="B7526" s="325" t="s">
        <v>1271</v>
      </c>
      <c r="C7526" s="322" t="s">
        <v>388</v>
      </c>
      <c r="D7526" s="322">
        <v>1</v>
      </c>
      <c r="E7526" s="321" t="s">
        <v>125</v>
      </c>
    </row>
    <row r="7527" spans="1:5">
      <c r="A7527" s="323">
        <v>46190</v>
      </c>
      <c r="B7527" s="325" t="s">
        <v>1271</v>
      </c>
      <c r="C7527" s="322" t="s">
        <v>388</v>
      </c>
      <c r="D7527" s="322">
        <v>4</v>
      </c>
      <c r="E7527" s="321" t="s">
        <v>125</v>
      </c>
    </row>
    <row r="7528" spans="1:5">
      <c r="A7528" s="323">
        <v>46190</v>
      </c>
      <c r="B7528" s="325" t="s">
        <v>1246</v>
      </c>
      <c r="C7528" s="322" t="s">
        <v>388</v>
      </c>
      <c r="D7528" s="322">
        <v>8</v>
      </c>
      <c r="E7528" s="321" t="s">
        <v>125</v>
      </c>
    </row>
    <row r="7529" spans="1:5">
      <c r="A7529" s="323">
        <v>46190</v>
      </c>
      <c r="B7529" s="325" t="s">
        <v>1246</v>
      </c>
      <c r="C7529" s="322" t="s">
        <v>388</v>
      </c>
      <c r="D7529" s="322">
        <v>1</v>
      </c>
      <c r="E7529" s="321" t="s">
        <v>125</v>
      </c>
    </row>
    <row r="7530" spans="1:5">
      <c r="A7530" s="323">
        <v>46190</v>
      </c>
      <c r="B7530" s="325" t="s">
        <v>1246</v>
      </c>
      <c r="C7530" s="322" t="s">
        <v>388</v>
      </c>
      <c r="D7530" s="322">
        <v>3</v>
      </c>
      <c r="E7530" s="321" t="s">
        <v>125</v>
      </c>
    </row>
    <row r="7531" spans="1:5">
      <c r="A7531" s="323">
        <v>46190</v>
      </c>
      <c r="B7531" s="325" t="s">
        <v>806</v>
      </c>
      <c r="C7531" s="322" t="s">
        <v>388</v>
      </c>
      <c r="D7531" s="322">
        <v>4</v>
      </c>
      <c r="E7531" s="321" t="s">
        <v>125</v>
      </c>
    </row>
    <row r="7532" spans="1:5">
      <c r="A7532" s="323">
        <v>46190</v>
      </c>
      <c r="B7532" s="325" t="s">
        <v>1291</v>
      </c>
      <c r="C7532" s="322" t="s">
        <v>388</v>
      </c>
      <c r="D7532" s="322">
        <v>1</v>
      </c>
      <c r="E7532" s="321" t="s">
        <v>125</v>
      </c>
    </row>
    <row r="7533" spans="1:5">
      <c r="A7533" s="323">
        <v>46190</v>
      </c>
      <c r="B7533" s="325" t="s">
        <v>1326</v>
      </c>
      <c r="C7533" s="322" t="s">
        <v>388</v>
      </c>
      <c r="D7533" s="322">
        <v>1</v>
      </c>
      <c r="E7533" s="321" t="s">
        <v>125</v>
      </c>
    </row>
    <row r="7534" spans="1:5">
      <c r="A7534" s="323">
        <v>46190</v>
      </c>
      <c r="B7534" s="325" t="s">
        <v>1095</v>
      </c>
      <c r="C7534" s="322" t="s">
        <v>388</v>
      </c>
      <c r="D7534" s="322">
        <v>1</v>
      </c>
      <c r="E7534" s="321" t="s">
        <v>125</v>
      </c>
    </row>
    <row r="7535" spans="1:5">
      <c r="A7535" s="323">
        <v>46190</v>
      </c>
      <c r="B7535" s="425" t="s">
        <v>375</v>
      </c>
      <c r="C7535" s="322" t="s">
        <v>388</v>
      </c>
      <c r="D7535" s="322">
        <v>10</v>
      </c>
      <c r="E7535" s="321" t="s">
        <v>125</v>
      </c>
    </row>
    <row r="7536" spans="1:5">
      <c r="A7536" s="323">
        <v>46190</v>
      </c>
      <c r="B7536" s="325" t="s">
        <v>1259</v>
      </c>
      <c r="C7536" s="322" t="s">
        <v>388</v>
      </c>
      <c r="D7536" s="322">
        <v>1</v>
      </c>
      <c r="E7536" s="321" t="s">
        <v>125</v>
      </c>
    </row>
    <row r="7538" spans="1:5">
      <c r="A7538" s="330">
        <v>46187</v>
      </c>
      <c r="B7538" s="329" t="s">
        <v>4822</v>
      </c>
      <c r="C7538" s="328" t="s">
        <v>4509</v>
      </c>
      <c r="D7538" s="328">
        <v>2</v>
      </c>
      <c r="E7538" s="331" t="s">
        <v>125</v>
      </c>
    </row>
    <row r="7540" spans="1:5">
      <c r="A7540" s="272">
        <v>46184</v>
      </c>
      <c r="B7540" s="139" t="s">
        <v>4124</v>
      </c>
      <c r="C7540" s="106" t="s">
        <v>4535</v>
      </c>
      <c r="D7540" s="106">
        <v>15</v>
      </c>
      <c r="E7540" s="94" t="s">
        <v>125</v>
      </c>
    </row>
    <row r="7541" spans="1:5">
      <c r="A7541" s="272">
        <v>46185</v>
      </c>
      <c r="B7541" s="139" t="s">
        <v>4800</v>
      </c>
      <c r="C7541" s="106" t="s">
        <v>4535</v>
      </c>
      <c r="D7541" s="106">
        <v>50</v>
      </c>
      <c r="E7541" s="94" t="s">
        <v>125</v>
      </c>
    </row>
    <row r="7543" spans="1:5">
      <c r="A7543" s="265">
        <v>45828</v>
      </c>
      <c r="B7543" s="343" t="s">
        <v>1291</v>
      </c>
      <c r="C7543" s="43" t="s">
        <v>2724</v>
      </c>
      <c r="D7543" s="43">
        <v>-1</v>
      </c>
      <c r="E7543" s="1064" t="s">
        <v>125</v>
      </c>
    </row>
    <row r="7544" spans="1:5">
      <c r="A7544" s="265">
        <v>45828</v>
      </c>
      <c r="B7544" s="343" t="s">
        <v>1334</v>
      </c>
      <c r="C7544" s="43" t="s">
        <v>2724</v>
      </c>
      <c r="D7544" s="43">
        <v>-1</v>
      </c>
      <c r="E7544" s="1064" t="s">
        <v>125</v>
      </c>
    </row>
    <row r="7546" spans="1:5">
      <c r="A7546" s="265">
        <v>46192</v>
      </c>
      <c r="B7546" s="93" t="s">
        <v>1568</v>
      </c>
      <c r="C7546" s="43" t="s">
        <v>2724</v>
      </c>
      <c r="D7546" s="43">
        <v>-2</v>
      </c>
      <c r="E7546" s="1064" t="s">
        <v>125</v>
      </c>
    </row>
    <row r="7547" spans="1:5">
      <c r="A7547" s="265">
        <v>46192</v>
      </c>
      <c r="B7547" s="343" t="s">
        <v>1291</v>
      </c>
      <c r="C7547" s="43" t="s">
        <v>2724</v>
      </c>
      <c r="D7547" s="43">
        <v>-2</v>
      </c>
      <c r="E7547" s="1064" t="s">
        <v>125</v>
      </c>
    </row>
    <row r="7549" spans="1:5">
      <c r="A7549" s="265">
        <v>45828</v>
      </c>
      <c r="B7549" s="343" t="s">
        <v>1246</v>
      </c>
      <c r="C7549" s="43" t="s">
        <v>3004</v>
      </c>
      <c r="D7549" s="43">
        <v>-3</v>
      </c>
      <c r="E7549" s="1064" t="s">
        <v>125</v>
      </c>
    </row>
    <row r="7550" spans="1:5">
      <c r="A7550" s="265">
        <v>45828</v>
      </c>
      <c r="B7550" s="343" t="s">
        <v>1246</v>
      </c>
      <c r="C7550" s="43" t="s">
        <v>3004</v>
      </c>
      <c r="D7550" s="43">
        <v>-5</v>
      </c>
      <c r="E7550" s="1064" t="s">
        <v>125</v>
      </c>
    </row>
    <row r="7552" spans="1:5">
      <c r="A7552" s="265">
        <v>46195</v>
      </c>
      <c r="B7552" s="93" t="s">
        <v>839</v>
      </c>
      <c r="C7552" s="43" t="s">
        <v>1595</v>
      </c>
      <c r="D7552" s="43">
        <v>-1</v>
      </c>
      <c r="E7552" s="1064" t="s">
        <v>125</v>
      </c>
    </row>
    <row r="7554" spans="1:5">
      <c r="A7554" s="346">
        <v>46189</v>
      </c>
      <c r="B7554" s="349" t="s">
        <v>4109</v>
      </c>
      <c r="C7554" s="348" t="s">
        <v>2093</v>
      </c>
      <c r="D7554" s="348">
        <v>9</v>
      </c>
      <c r="E7554" s="360" t="s">
        <v>125</v>
      </c>
    </row>
    <row r="7555" spans="1:5">
      <c r="A7555" s="346">
        <v>46189</v>
      </c>
      <c r="B7555" s="349" t="s">
        <v>1291</v>
      </c>
      <c r="C7555" s="348" t="s">
        <v>2093</v>
      </c>
      <c r="D7555" s="348">
        <v>3</v>
      </c>
      <c r="E7555" s="360" t="s">
        <v>125</v>
      </c>
    </row>
    <row r="7556" spans="1:5">
      <c r="A7556" s="346">
        <v>46189</v>
      </c>
      <c r="B7556" s="349" t="s">
        <v>1327</v>
      </c>
      <c r="C7556" s="348" t="s">
        <v>2093</v>
      </c>
      <c r="D7556" s="348">
        <v>4</v>
      </c>
      <c r="E7556" s="360" t="s">
        <v>125</v>
      </c>
    </row>
    <row r="7557" spans="1:5">
      <c r="A7557" s="346">
        <v>46189</v>
      </c>
      <c r="B7557" s="349" t="s">
        <v>1246</v>
      </c>
      <c r="C7557" s="348" t="s">
        <v>2093</v>
      </c>
      <c r="D7557" s="348">
        <v>3</v>
      </c>
      <c r="E7557" s="360" t="s">
        <v>125</v>
      </c>
    </row>
    <row r="7558" spans="1:5">
      <c r="A7558" s="346">
        <v>46189</v>
      </c>
      <c r="B7558" s="349" t="s">
        <v>1326</v>
      </c>
      <c r="C7558" s="348" t="s">
        <v>2093</v>
      </c>
      <c r="D7558" s="348">
        <v>3</v>
      </c>
      <c r="E7558" s="360" t="s">
        <v>125</v>
      </c>
    </row>
    <row r="7559" spans="1:5">
      <c r="A7559" s="346">
        <v>46189</v>
      </c>
      <c r="B7559" s="349" t="s">
        <v>1246</v>
      </c>
      <c r="C7559" s="348" t="s">
        <v>2093</v>
      </c>
      <c r="D7559" s="348">
        <v>2</v>
      </c>
      <c r="E7559" s="360" t="s">
        <v>125</v>
      </c>
    </row>
    <row r="7560" spans="1:5">
      <c r="A7560" s="346">
        <v>46189</v>
      </c>
      <c r="B7560" s="349" t="s">
        <v>1568</v>
      </c>
      <c r="C7560" s="348" t="s">
        <v>2093</v>
      </c>
      <c r="D7560" s="348">
        <v>2</v>
      </c>
      <c r="E7560" s="360" t="s">
        <v>125</v>
      </c>
    </row>
    <row r="7561" spans="1:5">
      <c r="A7561" s="346">
        <v>46189</v>
      </c>
      <c r="B7561" s="349" t="s">
        <v>1246</v>
      </c>
      <c r="C7561" s="348" t="s">
        <v>2093</v>
      </c>
      <c r="D7561" s="348">
        <v>1</v>
      </c>
      <c r="E7561" s="360" t="s">
        <v>125</v>
      </c>
    </row>
    <row r="7562" spans="1:5">
      <c r="A7562" s="346">
        <v>46189</v>
      </c>
      <c r="B7562" s="349" t="s">
        <v>1271</v>
      </c>
      <c r="C7562" s="348" t="s">
        <v>2093</v>
      </c>
      <c r="D7562" s="348">
        <v>1</v>
      </c>
      <c r="E7562" s="360" t="s">
        <v>125</v>
      </c>
    </row>
    <row r="7563" spans="1:5">
      <c r="A7563" s="346">
        <v>46189</v>
      </c>
      <c r="B7563" s="349" t="s">
        <v>1568</v>
      </c>
      <c r="C7563" s="348" t="s">
        <v>2093</v>
      </c>
      <c r="D7563" s="348">
        <v>1</v>
      </c>
      <c r="E7563" s="360" t="s">
        <v>125</v>
      </c>
    </row>
    <row r="7564" spans="1:5">
      <c r="A7564" s="346">
        <v>46189</v>
      </c>
      <c r="B7564" s="349" t="s">
        <v>1568</v>
      </c>
      <c r="C7564" s="348" t="s">
        <v>2093</v>
      </c>
      <c r="D7564" s="348">
        <v>1</v>
      </c>
      <c r="E7564" s="360" t="s">
        <v>125</v>
      </c>
    </row>
    <row r="7565" spans="1:5">
      <c r="A7565" s="346">
        <v>46189</v>
      </c>
      <c r="B7565" s="349" t="s">
        <v>1334</v>
      </c>
      <c r="C7565" s="348" t="s">
        <v>2093</v>
      </c>
      <c r="D7565" s="348">
        <v>1</v>
      </c>
      <c r="E7565" s="360" t="s">
        <v>125</v>
      </c>
    </row>
    <row r="7566" spans="1:5">
      <c r="A7566" s="346">
        <v>46189</v>
      </c>
      <c r="B7566" s="349" t="s">
        <v>4108</v>
      </c>
      <c r="C7566" s="348" t="s">
        <v>2093</v>
      </c>
      <c r="D7566" s="348">
        <v>1</v>
      </c>
      <c r="E7566" s="360" t="s">
        <v>125</v>
      </c>
    </row>
    <row r="7568" spans="1:5">
      <c r="A7568" s="265">
        <v>46195</v>
      </c>
      <c r="B7568" s="344" t="s">
        <v>1716</v>
      </c>
      <c r="C7568" s="43" t="s">
        <v>2595</v>
      </c>
      <c r="D7568" s="43">
        <v>-5</v>
      </c>
      <c r="E7568" s="1064" t="s">
        <v>125</v>
      </c>
    </row>
    <row r="7569" spans="1:5">
      <c r="A7569" s="265">
        <v>46195</v>
      </c>
      <c r="B7569" s="344" t="s">
        <v>1716</v>
      </c>
      <c r="C7569" s="43" t="s">
        <v>5262</v>
      </c>
      <c r="D7569" s="43">
        <v>-2</v>
      </c>
      <c r="E7569" s="1064" t="s">
        <v>125</v>
      </c>
    </row>
    <row r="7570" spans="1:5">
      <c r="A7570" s="265">
        <v>46195</v>
      </c>
      <c r="B7570" s="343" t="s">
        <v>4109</v>
      </c>
      <c r="C7570" s="43" t="s">
        <v>3108</v>
      </c>
      <c r="D7570" s="43">
        <v>-9</v>
      </c>
      <c r="E7570" s="1064" t="s">
        <v>125</v>
      </c>
    </row>
    <row r="7572" spans="1:5">
      <c r="A7572" s="335">
        <v>46197</v>
      </c>
      <c r="B7572" s="343" t="s">
        <v>4124</v>
      </c>
      <c r="C7572" s="345" t="s">
        <v>4826</v>
      </c>
      <c r="D7572" s="345">
        <v>-12</v>
      </c>
      <c r="E7572" s="1064" t="s">
        <v>125</v>
      </c>
    </row>
    <row r="7573" spans="1:5">
      <c r="A7573" s="335">
        <v>46197</v>
      </c>
      <c r="B7573" s="343" t="s">
        <v>4822</v>
      </c>
      <c r="C7573" s="345" t="s">
        <v>4826</v>
      </c>
      <c r="D7573" s="345">
        <v>-1</v>
      </c>
      <c r="E7573" s="1064" t="s">
        <v>125</v>
      </c>
    </row>
    <row r="7574" spans="1:5">
      <c r="A7574" s="335">
        <v>46197</v>
      </c>
      <c r="B7574" s="341" t="s">
        <v>76</v>
      </c>
      <c r="C7574" s="43" t="s">
        <v>3092</v>
      </c>
      <c r="D7574" s="43">
        <v>-1</v>
      </c>
      <c r="E7574" s="1064" t="s">
        <v>125</v>
      </c>
    </row>
    <row r="7576" spans="1:5">
      <c r="A7576" s="272">
        <v>46174</v>
      </c>
      <c r="B7576" s="128" t="s">
        <v>76</v>
      </c>
      <c r="C7576" s="106" t="s">
        <v>5335</v>
      </c>
      <c r="D7576" s="106">
        <v>1</v>
      </c>
      <c r="E7576" s="94" t="s">
        <v>125</v>
      </c>
    </row>
    <row r="7577" spans="1:5">
      <c r="A7577" s="272">
        <v>46174</v>
      </c>
      <c r="B7577" s="128" t="s">
        <v>76</v>
      </c>
      <c r="C7577" s="106" t="s">
        <v>5335</v>
      </c>
      <c r="D7577" s="106">
        <v>1</v>
      </c>
      <c r="E7577" s="94" t="s">
        <v>125</v>
      </c>
    </row>
    <row r="7578" spans="1:5">
      <c r="A7578" s="272">
        <v>46174</v>
      </c>
      <c r="B7578" s="128" t="s">
        <v>76</v>
      </c>
      <c r="C7578" s="106" t="s">
        <v>5335</v>
      </c>
      <c r="D7578" s="106">
        <v>1</v>
      </c>
      <c r="E7578" s="94" t="s">
        <v>125</v>
      </c>
    </row>
    <row r="7579" spans="1:5">
      <c r="A7579" s="272">
        <v>46175</v>
      </c>
      <c r="B7579" s="139" t="s">
        <v>4124</v>
      </c>
      <c r="C7579" s="106" t="s">
        <v>5335</v>
      </c>
      <c r="D7579" s="106">
        <v>4</v>
      </c>
      <c r="E7579" s="94" t="s">
        <v>125</v>
      </c>
    </row>
    <row r="7580" spans="1:5">
      <c r="A7580" s="272">
        <v>46175</v>
      </c>
      <c r="B7580" s="233" t="s">
        <v>1716</v>
      </c>
      <c r="C7580" s="106" t="s">
        <v>5335</v>
      </c>
      <c r="D7580" s="106">
        <v>2</v>
      </c>
      <c r="E7580" s="94" t="s">
        <v>125</v>
      </c>
    </row>
    <row r="7581" spans="1:5">
      <c r="A7581" s="272">
        <v>46176</v>
      </c>
      <c r="B7581" s="139" t="s">
        <v>4124</v>
      </c>
      <c r="C7581" s="106" t="s">
        <v>5335</v>
      </c>
      <c r="D7581" s="106">
        <v>4</v>
      </c>
      <c r="E7581" s="94" t="s">
        <v>125</v>
      </c>
    </row>
    <row r="7582" spans="1:5">
      <c r="A7582" s="272">
        <v>46176</v>
      </c>
      <c r="B7582" s="139" t="s">
        <v>4124</v>
      </c>
      <c r="C7582" s="106" t="s">
        <v>5335</v>
      </c>
      <c r="D7582" s="106">
        <v>4</v>
      </c>
      <c r="E7582" s="94" t="s">
        <v>125</v>
      </c>
    </row>
    <row r="7583" spans="1:5">
      <c r="A7583" s="272">
        <v>46180</v>
      </c>
      <c r="B7583" s="139" t="s">
        <v>4124</v>
      </c>
      <c r="C7583" s="106" t="s">
        <v>5335</v>
      </c>
      <c r="D7583" s="106">
        <v>2</v>
      </c>
      <c r="E7583" s="94" t="s">
        <v>125</v>
      </c>
    </row>
    <row r="7584" spans="1:5">
      <c r="A7584" s="272">
        <v>46180</v>
      </c>
      <c r="B7584" s="139" t="s">
        <v>4124</v>
      </c>
      <c r="C7584" s="106" t="s">
        <v>5335</v>
      </c>
      <c r="D7584" s="106">
        <v>4</v>
      </c>
      <c r="E7584" s="94" t="s">
        <v>125</v>
      </c>
    </row>
    <row r="7585" spans="1:5">
      <c r="A7585" s="272">
        <v>46184</v>
      </c>
      <c r="B7585" s="139" t="s">
        <v>4800</v>
      </c>
      <c r="C7585" s="106" t="s">
        <v>5335</v>
      </c>
      <c r="D7585" s="106">
        <v>10</v>
      </c>
      <c r="E7585" s="94" t="s">
        <v>125</v>
      </c>
    </row>
    <row r="7586" spans="1:5">
      <c r="A7586" s="272">
        <v>46184</v>
      </c>
      <c r="B7586" s="139" t="s">
        <v>4800</v>
      </c>
      <c r="C7586" s="106" t="s">
        <v>5335</v>
      </c>
      <c r="D7586" s="106">
        <v>10</v>
      </c>
      <c r="E7586" s="94" t="s">
        <v>125</v>
      </c>
    </row>
    <row r="7588" spans="1:5">
      <c r="A7588" s="272">
        <v>46194</v>
      </c>
      <c r="B7588" s="233" t="s">
        <v>1716</v>
      </c>
      <c r="C7588" s="106" t="s">
        <v>5335</v>
      </c>
      <c r="D7588" s="106">
        <v>2</v>
      </c>
      <c r="E7588" s="94" t="s">
        <v>125</v>
      </c>
    </row>
    <row r="7589" spans="1:5">
      <c r="A7589" s="272">
        <v>46194</v>
      </c>
      <c r="B7589" s="139" t="s">
        <v>4800</v>
      </c>
      <c r="C7589" s="106" t="s">
        <v>5335</v>
      </c>
      <c r="D7589" s="106">
        <v>4</v>
      </c>
      <c r="E7589" s="94" t="s">
        <v>125</v>
      </c>
    </row>
    <row r="7590" spans="1:5">
      <c r="A7590" s="272">
        <v>46195</v>
      </c>
      <c r="B7590" s="139" t="s">
        <v>4800</v>
      </c>
      <c r="C7590" s="106" t="s">
        <v>5335</v>
      </c>
      <c r="D7590" s="106">
        <v>5</v>
      </c>
      <c r="E7590" s="94" t="s">
        <v>125</v>
      </c>
    </row>
    <row r="7591" spans="1:5">
      <c r="A7591" s="272">
        <v>46195</v>
      </c>
      <c r="B7591" s="139" t="s">
        <v>4800</v>
      </c>
      <c r="C7591" s="106" t="s">
        <v>5335</v>
      </c>
      <c r="D7591" s="106">
        <v>5</v>
      </c>
      <c r="E7591" s="94" t="s">
        <v>125</v>
      </c>
    </row>
    <row r="7592" spans="1:5">
      <c r="A7592" s="272">
        <v>46195</v>
      </c>
      <c r="B7592" s="139" t="s">
        <v>4124</v>
      </c>
      <c r="C7592" s="106" t="s">
        <v>5335</v>
      </c>
      <c r="D7592" s="106">
        <v>2</v>
      </c>
      <c r="E7592" s="94" t="s">
        <v>125</v>
      </c>
    </row>
    <row r="7593" spans="1:5">
      <c r="A7593" s="272">
        <v>46196</v>
      </c>
      <c r="B7593" s="233" t="s">
        <v>1716</v>
      </c>
      <c r="C7593" s="106" t="s">
        <v>5335</v>
      </c>
      <c r="D7593" s="106">
        <v>2</v>
      </c>
      <c r="E7593" s="94" t="s">
        <v>125</v>
      </c>
    </row>
    <row r="7594" spans="1:5">
      <c r="A7594" s="272">
        <v>46196</v>
      </c>
      <c r="B7594" s="139" t="s">
        <v>4800</v>
      </c>
      <c r="C7594" s="106" t="s">
        <v>5335</v>
      </c>
      <c r="D7594" s="106">
        <v>2</v>
      </c>
      <c r="E7594" s="94" t="s">
        <v>125</v>
      </c>
    </row>
    <row r="7595" spans="1:5">
      <c r="A7595" s="272">
        <v>46196</v>
      </c>
      <c r="B7595" s="233" t="s">
        <v>1716</v>
      </c>
      <c r="C7595" s="106" t="s">
        <v>5335</v>
      </c>
      <c r="D7595" s="106">
        <v>2</v>
      </c>
      <c r="E7595" s="94" t="s">
        <v>125</v>
      </c>
    </row>
    <row r="7596" spans="1:5">
      <c r="A7596" s="272">
        <v>46196</v>
      </c>
      <c r="B7596" s="233" t="s">
        <v>1716</v>
      </c>
      <c r="C7596" s="106" t="s">
        <v>5335</v>
      </c>
      <c r="D7596" s="106">
        <v>3</v>
      </c>
      <c r="E7596" s="94" t="s">
        <v>125</v>
      </c>
    </row>
    <row r="7597" spans="1:5">
      <c r="A7597" s="272">
        <v>46196</v>
      </c>
      <c r="B7597" s="139" t="s">
        <v>4800</v>
      </c>
      <c r="C7597" s="106" t="s">
        <v>5335</v>
      </c>
      <c r="D7597" s="106">
        <v>2</v>
      </c>
      <c r="E7597" s="94" t="s">
        <v>125</v>
      </c>
    </row>
    <row r="7599" spans="1:5">
      <c r="A7599" s="335">
        <v>46197</v>
      </c>
      <c r="B7599" s="343" t="s">
        <v>2518</v>
      </c>
      <c r="C7599" s="345" t="s">
        <v>5115</v>
      </c>
      <c r="D7599" s="345">
        <v>1</v>
      </c>
      <c r="E7599" s="1064" t="s">
        <v>125</v>
      </c>
    </row>
    <row r="7601" spans="1:5">
      <c r="A7601" s="335">
        <v>46193</v>
      </c>
      <c r="B7601" s="343" t="s">
        <v>4109</v>
      </c>
      <c r="C7601" s="345" t="s">
        <v>5345</v>
      </c>
      <c r="D7601" s="345">
        <v>1</v>
      </c>
      <c r="E7601" s="1064" t="s">
        <v>125</v>
      </c>
    </row>
    <row r="7602" spans="1:5">
      <c r="A7602" s="335">
        <v>46193</v>
      </c>
      <c r="B7602" s="343" t="s">
        <v>4470</v>
      </c>
      <c r="C7602" s="345" t="s">
        <v>5345</v>
      </c>
      <c r="D7602" s="345">
        <v>1</v>
      </c>
      <c r="E7602" s="1064" t="s">
        <v>125</v>
      </c>
    </row>
    <row r="7603" spans="1:5">
      <c r="A7603" s="335">
        <v>46193</v>
      </c>
      <c r="B7603" s="343" t="s">
        <v>1246</v>
      </c>
      <c r="C7603" s="345" t="s">
        <v>5345</v>
      </c>
      <c r="D7603" s="345">
        <v>1</v>
      </c>
      <c r="E7603" s="1064" t="s">
        <v>125</v>
      </c>
    </row>
    <row r="7604" spans="1:5">
      <c r="A7604" s="335">
        <v>46193</v>
      </c>
      <c r="B7604" s="343" t="s">
        <v>1249</v>
      </c>
      <c r="C7604" s="345" t="s">
        <v>5345</v>
      </c>
      <c r="D7604" s="345">
        <v>2</v>
      </c>
      <c r="E7604" s="1064" t="s">
        <v>125</v>
      </c>
    </row>
    <row r="7605" spans="1:5">
      <c r="A7605" s="335">
        <v>46193</v>
      </c>
      <c r="B7605" s="343" t="s">
        <v>4124</v>
      </c>
      <c r="C7605" s="345" t="s">
        <v>5345</v>
      </c>
      <c r="D7605" s="345">
        <v>14</v>
      </c>
      <c r="E7605" s="1064" t="s">
        <v>125</v>
      </c>
    </row>
    <row r="7606" spans="1:5">
      <c r="A7606" s="335">
        <v>46193</v>
      </c>
      <c r="B7606" s="343" t="s">
        <v>1289</v>
      </c>
      <c r="C7606" s="345" t="s">
        <v>5345</v>
      </c>
      <c r="D7606" s="345">
        <v>1</v>
      </c>
      <c r="E7606" s="1064" t="s">
        <v>125</v>
      </c>
    </row>
    <row r="7607" spans="1:5">
      <c r="A7607" s="335">
        <v>46193</v>
      </c>
      <c r="B7607" s="343" t="s">
        <v>1568</v>
      </c>
      <c r="C7607" s="345" t="s">
        <v>5345</v>
      </c>
      <c r="D7607" s="345">
        <v>2</v>
      </c>
      <c r="E7607" s="1064" t="s">
        <v>125</v>
      </c>
    </row>
    <row r="7608" spans="1:5">
      <c r="A7608" s="335">
        <v>46193</v>
      </c>
      <c r="B7608" s="343" t="s">
        <v>1640</v>
      </c>
      <c r="C7608" s="345" t="s">
        <v>5345</v>
      </c>
      <c r="D7608" s="345">
        <v>7</v>
      </c>
      <c r="E7608" s="1064" t="s">
        <v>125</v>
      </c>
    </row>
    <row r="7609" spans="1:5">
      <c r="A7609" s="335">
        <v>46193</v>
      </c>
      <c r="B7609" s="343" t="s">
        <v>1689</v>
      </c>
      <c r="C7609" s="345" t="s">
        <v>5345</v>
      </c>
      <c r="D7609" s="345">
        <v>2</v>
      </c>
      <c r="E7609" s="1064" t="s">
        <v>125</v>
      </c>
    </row>
    <row r="7611" spans="1:5">
      <c r="A7611" s="335">
        <v>46195</v>
      </c>
      <c r="B7611" s="343" t="s">
        <v>4503</v>
      </c>
      <c r="C7611" s="345" t="s">
        <v>4786</v>
      </c>
      <c r="D7611" s="345">
        <v>1</v>
      </c>
      <c r="E7611" s="1064" t="s">
        <v>125</v>
      </c>
    </row>
    <row r="7613" spans="1:5">
      <c r="A7613" s="335">
        <v>46197</v>
      </c>
      <c r="B7613" s="84" t="s">
        <v>131</v>
      </c>
      <c r="C7613" s="43" t="s">
        <v>5346</v>
      </c>
      <c r="D7613" s="43">
        <v>31</v>
      </c>
      <c r="E7613" s="1064" t="s">
        <v>125</v>
      </c>
    </row>
    <row r="7615" spans="1:5">
      <c r="A7615" s="335">
        <v>46197</v>
      </c>
      <c r="B7615" s="344" t="s">
        <v>1716</v>
      </c>
      <c r="C7615" s="43" t="s">
        <v>4120</v>
      </c>
      <c r="D7615" s="43">
        <v>-4</v>
      </c>
      <c r="E7615" s="1064" t="s">
        <v>125</v>
      </c>
    </row>
    <row r="7616" spans="1:5">
      <c r="A7616" s="335">
        <v>46197</v>
      </c>
      <c r="B7616" s="93" t="s">
        <v>839</v>
      </c>
      <c r="C7616" s="43" t="s">
        <v>1613</v>
      </c>
      <c r="D7616" s="43">
        <v>-4</v>
      </c>
      <c r="E7616" s="1064" t="s">
        <v>125</v>
      </c>
    </row>
    <row r="7617" spans="1:5">
      <c r="A7617" s="335">
        <v>46197</v>
      </c>
      <c r="B7617" s="93" t="s">
        <v>839</v>
      </c>
      <c r="C7617" s="43" t="s">
        <v>1613</v>
      </c>
      <c r="D7617" s="43">
        <v>-2</v>
      </c>
      <c r="E7617" s="1064" t="s">
        <v>125</v>
      </c>
    </row>
    <row r="7618" spans="1:5">
      <c r="A7618" s="335">
        <v>46197</v>
      </c>
      <c r="B7618" s="344" t="s">
        <v>1716</v>
      </c>
      <c r="C7618" s="43" t="s">
        <v>2595</v>
      </c>
      <c r="D7618" s="43">
        <v>-8</v>
      </c>
      <c r="E7618" s="1064" t="s">
        <v>125</v>
      </c>
    </row>
    <row r="7620" spans="1:5">
      <c r="A7620" s="272">
        <v>46184</v>
      </c>
      <c r="B7620" s="139" t="s">
        <v>4124</v>
      </c>
      <c r="C7620" s="106" t="s">
        <v>5352</v>
      </c>
      <c r="D7620" s="106">
        <v>2</v>
      </c>
      <c r="E7620" s="94" t="s">
        <v>125</v>
      </c>
    </row>
    <row r="7621" spans="1:5">
      <c r="A7621" s="272">
        <v>46184</v>
      </c>
      <c r="B7621" s="139" t="s">
        <v>4124</v>
      </c>
      <c r="C7621" s="106" t="s">
        <v>5352</v>
      </c>
      <c r="D7621" s="106">
        <v>2</v>
      </c>
      <c r="E7621" s="94" t="s">
        <v>125</v>
      </c>
    </row>
    <row r="7622" spans="1:5">
      <c r="A7622" s="272">
        <v>46184</v>
      </c>
      <c r="B7622" s="233" t="s">
        <v>1716</v>
      </c>
      <c r="C7622" s="106" t="s">
        <v>5352</v>
      </c>
      <c r="D7622" s="106">
        <v>2</v>
      </c>
      <c r="E7622" s="94" t="s">
        <v>125</v>
      </c>
    </row>
    <row r="7623" spans="1:5">
      <c r="A7623" s="272">
        <v>46184</v>
      </c>
      <c r="B7623" s="233" t="s">
        <v>1716</v>
      </c>
      <c r="C7623" s="106" t="s">
        <v>5352</v>
      </c>
      <c r="D7623" s="106">
        <v>2</v>
      </c>
      <c r="E7623" s="94" t="s">
        <v>125</v>
      </c>
    </row>
    <row r="7624" spans="1:5">
      <c r="A7624" s="272">
        <v>46200</v>
      </c>
      <c r="B7624" s="233" t="s">
        <v>1716</v>
      </c>
      <c r="C7624" s="106" t="s">
        <v>5352</v>
      </c>
      <c r="D7624" s="106">
        <v>1</v>
      </c>
      <c r="E7624" s="94" t="s">
        <v>125</v>
      </c>
    </row>
    <row r="7625" spans="1:5">
      <c r="A7625" s="272">
        <v>46200</v>
      </c>
      <c r="B7625" s="233" t="s">
        <v>1716</v>
      </c>
      <c r="C7625" s="106" t="s">
        <v>5352</v>
      </c>
      <c r="D7625" s="106">
        <v>3</v>
      </c>
      <c r="E7625" s="94" t="s">
        <v>125</v>
      </c>
    </row>
    <row r="7626" spans="1:5">
      <c r="A7626" s="272">
        <v>46200</v>
      </c>
      <c r="B7626" s="139" t="s">
        <v>839</v>
      </c>
      <c r="C7626" s="106" t="s">
        <v>5352</v>
      </c>
      <c r="D7626" s="106">
        <v>2</v>
      </c>
      <c r="E7626" s="94" t="s">
        <v>125</v>
      </c>
    </row>
    <row r="7627" spans="1:5">
      <c r="A7627" s="272">
        <v>46200</v>
      </c>
      <c r="B7627" s="233" t="s">
        <v>1716</v>
      </c>
      <c r="C7627" s="106" t="s">
        <v>5352</v>
      </c>
      <c r="D7627" s="106">
        <v>5</v>
      </c>
      <c r="E7627" s="94" t="s">
        <v>125</v>
      </c>
    </row>
    <row r="7628" spans="1:5">
      <c r="A7628" s="272">
        <v>46200</v>
      </c>
      <c r="B7628" s="233" t="s">
        <v>1716</v>
      </c>
      <c r="C7628" s="106" t="s">
        <v>5352</v>
      </c>
      <c r="D7628" s="106">
        <v>1</v>
      </c>
      <c r="E7628" s="94" t="s">
        <v>125</v>
      </c>
    </row>
    <row r="7629" spans="1:5">
      <c r="A7629" s="272">
        <v>46200</v>
      </c>
      <c r="B7629" s="233" t="s">
        <v>1716</v>
      </c>
      <c r="C7629" s="106" t="s">
        <v>5352</v>
      </c>
      <c r="D7629" s="106">
        <v>1</v>
      </c>
      <c r="E7629" s="94" t="s">
        <v>125</v>
      </c>
    </row>
    <row r="7630" spans="1:5">
      <c r="A7630" s="272">
        <v>46200</v>
      </c>
      <c r="B7630" s="233" t="s">
        <v>1716</v>
      </c>
      <c r="C7630" s="106" t="s">
        <v>5352</v>
      </c>
      <c r="D7630" s="106">
        <v>1</v>
      </c>
      <c r="E7630" s="94" t="s">
        <v>125</v>
      </c>
    </row>
    <row r="7632" spans="1:5">
      <c r="A7632" s="265">
        <v>46196</v>
      </c>
      <c r="B7632" s="343" t="s">
        <v>2518</v>
      </c>
      <c r="C7632" s="43" t="s">
        <v>5354</v>
      </c>
      <c r="D7632" s="43">
        <v>-1</v>
      </c>
      <c r="E7632" s="1064" t="s">
        <v>125</v>
      </c>
    </row>
    <row r="7634" spans="1:5">
      <c r="A7634" s="265">
        <v>46200</v>
      </c>
      <c r="B7634" s="343" t="s">
        <v>1246</v>
      </c>
      <c r="C7634" s="43" t="s">
        <v>5353</v>
      </c>
      <c r="D7634" s="43">
        <v>-1</v>
      </c>
      <c r="E7634" s="1064" t="s">
        <v>125</v>
      </c>
    </row>
    <row r="7635" spans="1:5">
      <c r="A7635" s="265">
        <v>46200</v>
      </c>
      <c r="B7635" s="93" t="s">
        <v>920</v>
      </c>
      <c r="C7635" s="43" t="s">
        <v>3823</v>
      </c>
      <c r="D7635" s="43">
        <v>-2</v>
      </c>
      <c r="E7635" s="1064" t="s">
        <v>125</v>
      </c>
    </row>
    <row r="7637" spans="1:5">
      <c r="A7637" s="265">
        <v>46202</v>
      </c>
      <c r="B7637" s="343" t="s">
        <v>1409</v>
      </c>
      <c r="C7637" s="43" t="s">
        <v>4121</v>
      </c>
      <c r="D7637" s="43">
        <v>-1</v>
      </c>
      <c r="E7637" s="1064" t="s">
        <v>125</v>
      </c>
    </row>
    <row r="7639" spans="1:5">
      <c r="A7639" s="265">
        <v>46199</v>
      </c>
      <c r="B7639" s="84" t="s">
        <v>131</v>
      </c>
      <c r="C7639" s="43" t="s">
        <v>1879</v>
      </c>
      <c r="D7639" s="43">
        <v>-31</v>
      </c>
      <c r="E7639" s="1064" t="s">
        <v>125</v>
      </c>
    </row>
    <row r="7640" spans="1:5">
      <c r="A7640" s="335">
        <v>46199</v>
      </c>
      <c r="B7640" s="343" t="s">
        <v>1568</v>
      </c>
      <c r="C7640" s="345" t="s">
        <v>4500</v>
      </c>
      <c r="D7640" s="345">
        <v>-2</v>
      </c>
      <c r="E7640" s="1064" t="s">
        <v>125</v>
      </c>
    </row>
    <row r="7641" spans="1:5">
      <c r="A7641" s="335">
        <v>46199</v>
      </c>
      <c r="B7641" s="343" t="s">
        <v>1568</v>
      </c>
      <c r="C7641" s="345" t="s">
        <v>4500</v>
      </c>
      <c r="D7641" s="345">
        <v>-1</v>
      </c>
      <c r="E7641" s="1064" t="s">
        <v>125</v>
      </c>
    </row>
    <row r="7642" spans="1:5">
      <c r="A7642" s="335">
        <v>46199</v>
      </c>
      <c r="B7642" s="343" t="s">
        <v>1640</v>
      </c>
      <c r="C7642" s="345" t="s">
        <v>4500</v>
      </c>
      <c r="D7642" s="345">
        <v>-7</v>
      </c>
      <c r="E7642" s="1064" t="s">
        <v>125</v>
      </c>
    </row>
    <row r="7643" spans="1:5">
      <c r="A7643" s="335">
        <v>46199</v>
      </c>
      <c r="B7643" s="343" t="s">
        <v>4108</v>
      </c>
      <c r="C7643" s="345" t="s">
        <v>4500</v>
      </c>
      <c r="D7643" s="345">
        <v>-1</v>
      </c>
      <c r="E7643" s="1064" t="s">
        <v>125</v>
      </c>
    </row>
    <row r="7644" spans="1:5">
      <c r="A7644" s="335">
        <v>46199</v>
      </c>
      <c r="B7644" s="343" t="s">
        <v>1259</v>
      </c>
      <c r="C7644" s="345" t="s">
        <v>4500</v>
      </c>
      <c r="D7644" s="345">
        <v>-1</v>
      </c>
      <c r="E7644" s="1064" t="s">
        <v>125</v>
      </c>
    </row>
    <row r="7646" spans="1:5">
      <c r="A7646" s="335">
        <v>46200</v>
      </c>
      <c r="B7646" s="341" t="s">
        <v>76</v>
      </c>
      <c r="C7646" s="345" t="s">
        <v>5150</v>
      </c>
      <c r="D7646" s="345">
        <v>-3</v>
      </c>
      <c r="E7646" s="1064" t="s">
        <v>125</v>
      </c>
    </row>
    <row r="7647" spans="1:5">
      <c r="A7647" s="335">
        <v>46200</v>
      </c>
      <c r="B7647" s="343" t="s">
        <v>4124</v>
      </c>
      <c r="C7647" s="345" t="s">
        <v>5150</v>
      </c>
      <c r="D7647" s="345">
        <v>-12</v>
      </c>
      <c r="E7647" s="1064" t="s">
        <v>125</v>
      </c>
    </row>
    <row r="7648" spans="1:5">
      <c r="A7648" s="335">
        <v>46200</v>
      </c>
      <c r="B7648" s="343" t="s">
        <v>4822</v>
      </c>
      <c r="C7648" s="345" t="s">
        <v>5150</v>
      </c>
      <c r="D7648" s="345">
        <v>-2</v>
      </c>
      <c r="E7648" s="1064" t="s">
        <v>125</v>
      </c>
    </row>
    <row r="7649" spans="1:5">
      <c r="A7649" s="335">
        <v>46200</v>
      </c>
      <c r="B7649" s="344" t="s">
        <v>1716</v>
      </c>
      <c r="C7649" s="43" t="s">
        <v>4595</v>
      </c>
      <c r="D7649" s="43">
        <v>-2</v>
      </c>
      <c r="E7649" s="1064" t="s">
        <v>125</v>
      </c>
    </row>
    <row r="7650" spans="1:5">
      <c r="A7650" s="335">
        <v>46200</v>
      </c>
      <c r="B7650" s="344" t="s">
        <v>1716</v>
      </c>
      <c r="C7650" s="43" t="s">
        <v>5262</v>
      </c>
      <c r="D7650" s="43">
        <v>-3</v>
      </c>
      <c r="E7650" s="1064" t="s">
        <v>125</v>
      </c>
    </row>
    <row r="7651" spans="1:5">
      <c r="A7651" s="335">
        <v>46200</v>
      </c>
      <c r="B7651" s="344" t="s">
        <v>1716</v>
      </c>
      <c r="C7651" s="43" t="s">
        <v>2090</v>
      </c>
      <c r="D7651" s="43">
        <v>-2</v>
      </c>
      <c r="E7651" s="1064" t="s">
        <v>125</v>
      </c>
    </row>
    <row r="7652" spans="1:5">
      <c r="A7652" s="335">
        <v>46200</v>
      </c>
      <c r="B7652" s="344" t="s">
        <v>1716</v>
      </c>
      <c r="C7652" s="43" t="s">
        <v>2090</v>
      </c>
      <c r="D7652" s="43">
        <v>-35</v>
      </c>
      <c r="E7652" s="1064" t="s">
        <v>125</v>
      </c>
    </row>
    <row r="7654" spans="1:5">
      <c r="A7654" s="265">
        <v>46202</v>
      </c>
      <c r="B7654" s="343" t="s">
        <v>4124</v>
      </c>
      <c r="C7654" s="43" t="s">
        <v>1603</v>
      </c>
      <c r="D7654" s="43">
        <v>-1</v>
      </c>
      <c r="E7654" s="1064" t="s">
        <v>125</v>
      </c>
    </row>
    <row r="7655" spans="1:5">
      <c r="A7655" s="265">
        <v>46202</v>
      </c>
      <c r="B7655" s="93" t="s">
        <v>839</v>
      </c>
      <c r="C7655" s="43" t="s">
        <v>1598</v>
      </c>
      <c r="D7655" s="43">
        <v>-10</v>
      </c>
      <c r="E7655" s="1064" t="s">
        <v>125</v>
      </c>
    </row>
    <row r="1048576" spans="5:5">
      <c r="E1048576" s="18"/>
    </row>
  </sheetData>
  <mergeCells count="1">
    <mergeCell ref="E1410:F14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1526"/>
  <sheetViews>
    <sheetView zoomScale="70" zoomScaleNormal="70" workbookViewId="0">
      <pane ySplit="2" topLeftCell="A59" activePane="bottomLeft" state="frozen"/>
      <selection activeCell="B1527" sqref="B1527"/>
      <selection pane="bottomLeft" activeCell="B85" sqref="B85"/>
    </sheetView>
  </sheetViews>
  <sheetFormatPr defaultRowHeight="21"/>
  <cols>
    <col min="1" max="1" width="7.42578125" customWidth="1"/>
    <col min="2" max="2" width="58.42578125" style="44" customWidth="1"/>
    <col min="3" max="3" width="22.42578125" style="35" customWidth="1"/>
    <col min="4" max="4" width="14.140625" style="35" customWidth="1"/>
    <col min="5" max="5" width="19.85546875" style="35" customWidth="1"/>
    <col min="6" max="6" width="23.5703125" style="35" customWidth="1"/>
    <col min="7" max="7" width="16.42578125" style="35" customWidth="1"/>
    <col min="8" max="8" width="17.5703125" style="35" customWidth="1"/>
    <col min="9" max="9" width="25.140625" style="35" customWidth="1"/>
    <col min="10" max="10" width="16.42578125" style="35" customWidth="1"/>
    <col min="11" max="11" width="20.85546875" customWidth="1"/>
    <col min="12" max="12" width="19.85546875" customWidth="1"/>
    <col min="13" max="13" width="28.140625" customWidth="1"/>
    <col min="14" max="14" width="148.140625" customWidth="1"/>
  </cols>
  <sheetData>
    <row r="1" spans="1:14" ht="33.75" customHeight="1">
      <c r="F1" s="1526" t="s">
        <v>20</v>
      </c>
      <c r="G1" s="1527"/>
      <c r="H1" s="86" t="s">
        <v>35</v>
      </c>
      <c r="I1" s="87" t="s">
        <v>17</v>
      </c>
    </row>
    <row r="2" spans="1:14" ht="46.5" customHeight="1">
      <c r="A2" s="34" t="s">
        <v>151</v>
      </c>
      <c r="B2" s="34" t="s">
        <v>70</v>
      </c>
      <c r="C2" s="34" t="s">
        <v>71</v>
      </c>
      <c r="D2" s="34" t="s">
        <v>72</v>
      </c>
      <c r="E2" s="39" t="s">
        <v>73</v>
      </c>
      <c r="F2" s="88" t="s">
        <v>18</v>
      </c>
      <c r="G2" s="88" t="s">
        <v>74</v>
      </c>
      <c r="H2" s="89" t="s">
        <v>74</v>
      </c>
      <c r="I2" s="90" t="s">
        <v>18</v>
      </c>
      <c r="J2" s="85" t="s">
        <v>19</v>
      </c>
      <c r="K2" s="91" t="s">
        <v>144</v>
      </c>
      <c r="N2" s="30" t="s">
        <v>56</v>
      </c>
    </row>
    <row r="3" spans="1:14">
      <c r="A3" s="614">
        <v>1</v>
      </c>
      <c r="B3" s="92" t="s">
        <v>76</v>
      </c>
      <c r="C3" s="37">
        <f>SUMIFS(Stock_Transactions!D:D, Stock_Transactions!B:B, B3, Stock_Transactions!D:D, "&gt;0")</f>
        <v>6023</v>
      </c>
      <c r="D3" s="37">
        <f>SUMIFS(Stock_Transactions!D:D, Stock_Transactions!B:B, B3, Stock_Transactions!D:D, "&lt;0") * -1</f>
        <v>6076</v>
      </c>
      <c r="E3" s="79">
        <f t="shared" ref="E3:E34" si="0">C3-D3</f>
        <v>-53</v>
      </c>
      <c r="F3" s="48">
        <f t="shared" ref="F3:F34" si="1">E3-G3-H3-I3-J3</f>
        <v>-58</v>
      </c>
      <c r="G3" s="48">
        <f>SUMIF(Pending_Stock!C:C, B3, Pending_Stock!F:F)</f>
        <v>0</v>
      </c>
      <c r="H3" s="49">
        <f>SUMIF(Pending_Stock!I:I, B3, Pending_Stock!L:L)</f>
        <v>0</v>
      </c>
      <c r="I3" s="50">
        <f>SUMIF(ShipToDubai!C:C, B3, ShipToDubai!F:F) - (SUMIFS(Stock_Transactions!D:D, Stock_Transactions!B:B, B3, Stock_Transactions!D:D, "&lt;0") * -1)</f>
        <v>5</v>
      </c>
      <c r="J3" s="38">
        <f>SUMIF(ShipToDubai!C:C, B3, ShipToDubai!G:G)</f>
        <v>0</v>
      </c>
      <c r="L3" t="s">
        <v>849</v>
      </c>
      <c r="N3" s="31" t="s">
        <v>55</v>
      </c>
    </row>
    <row r="4" spans="1:14">
      <c r="A4" s="614">
        <f t="shared" ref="A4:A34" si="2">A3+1</f>
        <v>2</v>
      </c>
      <c r="B4" s="92" t="s">
        <v>78</v>
      </c>
      <c r="C4" s="37">
        <f>SUMIFS(Stock_Transactions!D:D, Stock_Transactions!B:B, B4, Stock_Transactions!D:D, "&gt;0")</f>
        <v>1204</v>
      </c>
      <c r="D4" s="37">
        <f>SUMIFS(Stock_Transactions!D:D, Stock_Transactions!B:B, B4, Stock_Transactions!D:D, "&lt;0") * -1</f>
        <v>1203</v>
      </c>
      <c r="E4" s="79">
        <f t="shared" si="0"/>
        <v>1</v>
      </c>
      <c r="F4" s="48">
        <f t="shared" si="1"/>
        <v>0</v>
      </c>
      <c r="G4" s="48">
        <f>SUMIF(Pending_Stock!C:C, B4, Pending_Stock!F:F)</f>
        <v>0</v>
      </c>
      <c r="H4" s="49">
        <f>SUMIF(Pending_Stock!I:I, B4, Pending_Stock!L:L)</f>
        <v>0</v>
      </c>
      <c r="I4" s="50">
        <f>SUMIF(ShipToDubai!C:C, B4, ShipToDubai!F:F) - (SUMIFS(Stock_Transactions!D:D, Stock_Transactions!B:B, B4, Stock_Transactions!D:D, "&lt;0") * -1)</f>
        <v>1</v>
      </c>
      <c r="J4" s="38">
        <f>SUMIF(ShipToDubai!C:C, B4, ShipToDubai!G:G)</f>
        <v>0</v>
      </c>
      <c r="L4" t="s">
        <v>1038</v>
      </c>
      <c r="N4" s="31"/>
    </row>
    <row r="5" spans="1:14">
      <c r="A5" s="19">
        <f t="shared" si="2"/>
        <v>3</v>
      </c>
      <c r="B5" s="93" t="s">
        <v>87</v>
      </c>
      <c r="C5" s="37">
        <f>SUMIFS(Stock_Transactions!D:D, Stock_Transactions!B:B, B5, Stock_Transactions!D:D, "&gt;0")</f>
        <v>138</v>
      </c>
      <c r="D5" s="37">
        <f>SUMIFS(Stock_Transactions!D:D, Stock_Transactions!B:B, B5, Stock_Transactions!D:D, "&lt;0") * -1</f>
        <v>138</v>
      </c>
      <c r="E5" s="79">
        <f t="shared" si="0"/>
        <v>0</v>
      </c>
      <c r="F5" s="48">
        <f t="shared" si="1"/>
        <v>0</v>
      </c>
      <c r="G5" s="48">
        <f>SUMIF(Pending_Stock!C:C, B5, Pending_Stock!F:F)</f>
        <v>0</v>
      </c>
      <c r="H5" s="49">
        <f>SUMIF(Pending_Stock!I:I, B5, Pending_Stock!L:L)</f>
        <v>0</v>
      </c>
      <c r="I5" s="50">
        <f>SUMIF(ShipToDubai!C:C, B5, ShipToDubai!F:F) - (SUMIFS(Stock_Transactions!D:D, Stock_Transactions!B:B, B5, Stock_Transactions!D:D, "&lt;0") * -1)</f>
        <v>0</v>
      </c>
      <c r="J5" s="38">
        <f>SUMIF(ShipToDubai!C:C, B5, ShipToDubai!G:G)</f>
        <v>0</v>
      </c>
      <c r="N5" s="30" t="s">
        <v>57</v>
      </c>
    </row>
    <row r="6" spans="1:14">
      <c r="A6" s="19">
        <f t="shared" si="2"/>
        <v>4</v>
      </c>
      <c r="B6" s="92" t="s">
        <v>80</v>
      </c>
      <c r="C6" s="37">
        <f>SUMIFS(Stock_Transactions!D:D, Stock_Transactions!B:B, B6, Stock_Transactions!D:D, "&gt;0")</f>
        <v>205</v>
      </c>
      <c r="D6" s="37">
        <f>SUMIFS(Stock_Transactions!D:D, Stock_Transactions!B:B, B6, Stock_Transactions!D:D, "&lt;0") * -1</f>
        <v>205</v>
      </c>
      <c r="E6" s="79">
        <f t="shared" si="0"/>
        <v>0</v>
      </c>
      <c r="F6" s="48">
        <f t="shared" si="1"/>
        <v>0</v>
      </c>
      <c r="G6" s="48">
        <f>SUMIF(Pending_Stock!C:C, B6, Pending_Stock!F:F)</f>
        <v>0</v>
      </c>
      <c r="H6" s="49">
        <f>SUMIF(Pending_Stock!I:I, B6, Pending_Stock!L:L)</f>
        <v>0</v>
      </c>
      <c r="I6" s="50">
        <f>SUMIF(ShipToDubai!C:C, B6, ShipToDubai!F:F) - (SUMIFS(Stock_Transactions!D:D, Stock_Transactions!B:B, B6, Stock_Transactions!D:D, "&lt;0") * -1)</f>
        <v>0</v>
      </c>
      <c r="J6" s="38">
        <f>SUMIF(ShipToDubai!C:C, B6, ShipToDubai!G:G)</f>
        <v>0</v>
      </c>
      <c r="N6" s="31" t="s">
        <v>58</v>
      </c>
    </row>
    <row r="7" spans="1:14">
      <c r="A7" s="19">
        <f t="shared" si="2"/>
        <v>5</v>
      </c>
      <c r="B7" s="92" t="s">
        <v>81</v>
      </c>
      <c r="C7" s="37">
        <f>SUMIFS(Stock_Transactions!D:D, Stock_Transactions!B:B, B7, Stock_Transactions!D:D, "&gt;0")</f>
        <v>10</v>
      </c>
      <c r="D7" s="37">
        <f>SUMIFS(Stock_Transactions!D:D, Stock_Transactions!B:B, B7, Stock_Transactions!D:D, "&lt;0") * -1</f>
        <v>10</v>
      </c>
      <c r="E7" s="79">
        <f t="shared" si="0"/>
        <v>0</v>
      </c>
      <c r="F7" s="48">
        <f t="shared" si="1"/>
        <v>0</v>
      </c>
      <c r="G7" s="48">
        <f>SUMIF(Pending_Stock!C:C, B7, Pending_Stock!F:F)</f>
        <v>0</v>
      </c>
      <c r="H7" s="49">
        <f>SUMIF(Pending_Stock!I:I, B7, Pending_Stock!L:L)</f>
        <v>0</v>
      </c>
      <c r="I7" s="50">
        <f>SUMIF(ShipToDubai!C:C, B7, ShipToDubai!F:F) - (SUMIFS(Stock_Transactions!D:D, Stock_Transactions!B:B, B7, Stock_Transactions!D:D, "&lt;0") * -1)</f>
        <v>0</v>
      </c>
      <c r="J7" s="38">
        <f>SUMIF(ShipToDubai!C:C, B7, ShipToDubai!G:G)</f>
        <v>0</v>
      </c>
      <c r="L7" t="s">
        <v>305</v>
      </c>
      <c r="N7" s="31"/>
    </row>
    <row r="8" spans="1:14">
      <c r="A8" s="19">
        <f t="shared" si="2"/>
        <v>6</v>
      </c>
      <c r="B8" s="92" t="s">
        <v>82</v>
      </c>
      <c r="C8" s="37">
        <f>SUMIFS(Stock_Transactions!D:D, Stock_Transactions!B:B, B8, Stock_Transactions!D:D, "&gt;0")</f>
        <v>559</v>
      </c>
      <c r="D8" s="37">
        <f>SUMIFS(Stock_Transactions!D:D, Stock_Transactions!B:B, B8, Stock_Transactions!D:D, "&lt;0") * -1</f>
        <v>559</v>
      </c>
      <c r="E8" s="79">
        <f t="shared" si="0"/>
        <v>0</v>
      </c>
      <c r="F8" s="48">
        <f t="shared" si="1"/>
        <v>0</v>
      </c>
      <c r="G8" s="48">
        <f>SUMIF(Pending_Stock!C:C, B8, Pending_Stock!F:F)</f>
        <v>0</v>
      </c>
      <c r="H8" s="49">
        <f>SUMIF(Pending_Stock!I:I, B8, Pending_Stock!L:L)</f>
        <v>0</v>
      </c>
      <c r="I8" s="50">
        <f>SUMIF(ShipToDubai!C:C, B8, ShipToDubai!F:F) - (SUMIFS(Stock_Transactions!D:D, Stock_Transactions!B:B, B8, Stock_Transactions!D:D, "&lt;0") * -1)</f>
        <v>0</v>
      </c>
      <c r="J8" s="38">
        <f>SUMIF(ShipToDubai!C:C, B8, ShipToDubai!G:G)</f>
        <v>0</v>
      </c>
      <c r="L8" t="s">
        <v>305</v>
      </c>
      <c r="N8" s="30" t="s">
        <v>59</v>
      </c>
    </row>
    <row r="9" spans="1:14">
      <c r="A9" s="614">
        <f t="shared" si="2"/>
        <v>7</v>
      </c>
      <c r="B9" s="92" t="s">
        <v>84</v>
      </c>
      <c r="C9" s="37">
        <f>SUMIFS(Stock_Transactions!D:D, Stock_Transactions!B:B, B9, Stock_Transactions!D:D, "&gt;0")</f>
        <v>438</v>
      </c>
      <c r="D9" s="37">
        <f>SUMIFS(Stock_Transactions!D:D, Stock_Transactions!B:B, B9, Stock_Transactions!D:D, "&lt;0") * -1</f>
        <v>437</v>
      </c>
      <c r="E9" s="79">
        <f t="shared" si="0"/>
        <v>1</v>
      </c>
      <c r="F9" s="48">
        <f t="shared" si="1"/>
        <v>1</v>
      </c>
      <c r="G9" s="48">
        <f>SUMIF(Pending_Stock!C:C, B9, Pending_Stock!F:F)</f>
        <v>0</v>
      </c>
      <c r="H9" s="49">
        <f>SUMIF(Pending_Stock!I:I, B9, Pending_Stock!L:L)</f>
        <v>0</v>
      </c>
      <c r="I9" s="50">
        <f>SUMIF(ShipToDubai!C:C, B9, ShipToDubai!F:F) - (SUMIFS(Stock_Transactions!D:D, Stock_Transactions!B:B, B9, Stock_Transactions!D:D, "&lt;0") * -1)</f>
        <v>0</v>
      </c>
      <c r="J9" s="38">
        <f>SUMIF(ShipToDubai!C:C, B9, ShipToDubai!G:G)</f>
        <v>0</v>
      </c>
      <c r="N9" s="31" t="s">
        <v>60</v>
      </c>
    </row>
    <row r="10" spans="1:14">
      <c r="A10" s="19">
        <f t="shared" si="2"/>
        <v>8</v>
      </c>
      <c r="B10" s="92" t="s">
        <v>85</v>
      </c>
      <c r="C10" s="37">
        <f>SUMIFS(Stock_Transactions!D:D, Stock_Transactions!B:B, B10, Stock_Transactions!D:D, "&gt;0")</f>
        <v>11</v>
      </c>
      <c r="D10" s="37">
        <f>SUMIFS(Stock_Transactions!D:D, Stock_Transactions!B:B, B10, Stock_Transactions!D:D, "&lt;0") * -1</f>
        <v>10</v>
      </c>
      <c r="E10" s="79">
        <f t="shared" si="0"/>
        <v>1</v>
      </c>
      <c r="F10" s="48">
        <f t="shared" si="1"/>
        <v>0</v>
      </c>
      <c r="G10" s="48">
        <f>SUMIF(Pending_Stock!C:C, B10, Pending_Stock!F:F)</f>
        <v>0</v>
      </c>
      <c r="H10" s="49">
        <f>SUMIF(Pending_Stock!I:I, B10, Pending_Stock!L:L)</f>
        <v>0</v>
      </c>
      <c r="I10" s="50">
        <f>SUMIF(ShipToDubai!C:C, B10, ShipToDubai!F:F) - (SUMIFS(Stock_Transactions!D:D, Stock_Transactions!B:B, B10, Stock_Transactions!D:D, "&lt;0") * -1)</f>
        <v>1</v>
      </c>
      <c r="J10" s="38">
        <f>SUMIF(ShipToDubai!C:C, B10, ShipToDubai!G:G)</f>
        <v>0</v>
      </c>
      <c r="N10" s="31"/>
    </row>
    <row r="11" spans="1:14">
      <c r="A11" s="19">
        <f t="shared" si="2"/>
        <v>9</v>
      </c>
      <c r="B11" s="93" t="s">
        <v>86</v>
      </c>
      <c r="C11" s="37">
        <f>SUMIFS(Stock_Transactions!D:D, Stock_Transactions!B:B, B11, Stock_Transactions!D:D, "&gt;0")</f>
        <v>92</v>
      </c>
      <c r="D11" s="37">
        <f>SUMIFS(Stock_Transactions!D:D, Stock_Transactions!B:B, B11, Stock_Transactions!D:D, "&lt;0") * -1</f>
        <v>92</v>
      </c>
      <c r="E11" s="79">
        <f t="shared" si="0"/>
        <v>0</v>
      </c>
      <c r="F11" s="48">
        <f t="shared" si="1"/>
        <v>0</v>
      </c>
      <c r="G11" s="48">
        <f>SUMIF(Pending_Stock!C:C, B11, Pending_Stock!F:F)</f>
        <v>0</v>
      </c>
      <c r="H11" s="49">
        <f>SUMIF(Pending_Stock!I:I, B11, Pending_Stock!L:L)</f>
        <v>0</v>
      </c>
      <c r="I11" s="50">
        <f>SUMIF(ShipToDubai!C:C, B11, ShipToDubai!F:F) - (SUMIFS(Stock_Transactions!D:D, Stock_Transactions!B:B, B11, Stock_Transactions!D:D, "&lt;0") * -1)</f>
        <v>0</v>
      </c>
      <c r="J11" s="38">
        <f>SUMIF(ShipToDubai!C:C, B11, ShipToDubai!G:G)</f>
        <v>0</v>
      </c>
      <c r="N11" s="31"/>
    </row>
    <row r="12" spans="1:14">
      <c r="A12" s="19">
        <f t="shared" si="2"/>
        <v>10</v>
      </c>
      <c r="B12" s="104" t="s">
        <v>302</v>
      </c>
      <c r="C12" s="37">
        <f>SUMIFS(Stock_Transactions!D:D, Stock_Transactions!B:B, B12, Stock_Transactions!D:D, "&gt;0")</f>
        <v>6</v>
      </c>
      <c r="D12" s="37">
        <f>SUMIFS(Stock_Transactions!D:D, Stock_Transactions!B:B, B12, Stock_Transactions!D:D, "&lt;0") * -1</f>
        <v>6</v>
      </c>
      <c r="E12" s="79">
        <f t="shared" si="0"/>
        <v>0</v>
      </c>
      <c r="F12" s="48">
        <f t="shared" si="1"/>
        <v>0</v>
      </c>
      <c r="G12" s="48">
        <f>SUMIF(Pending_Stock!C:C, B12, Pending_Stock!F:F)</f>
        <v>0</v>
      </c>
      <c r="H12" s="49">
        <f>SUMIF(Pending_Stock!I:I, B12, Pending_Stock!L:L)</f>
        <v>0</v>
      </c>
      <c r="I12" s="50">
        <f>SUMIF(ShipToDubai!C:C, B12, ShipToDubai!F:F) - (SUMIFS(Stock_Transactions!D:D, Stock_Transactions!B:B, B12, Stock_Transactions!D:D, "&lt;0") * -1)</f>
        <v>0</v>
      </c>
      <c r="J12" s="38">
        <f>SUMIF(ShipToDubai!C:C, B12, ShipToDubai!G:G)</f>
        <v>0</v>
      </c>
      <c r="N12" s="30" t="s">
        <v>61</v>
      </c>
    </row>
    <row r="13" spans="1:14">
      <c r="A13" s="19">
        <f t="shared" si="2"/>
        <v>11</v>
      </c>
      <c r="B13" s="92" t="s">
        <v>88</v>
      </c>
      <c r="C13" s="37">
        <f>SUMIFS(Stock_Transactions!D:D, Stock_Transactions!B:B, B13, Stock_Transactions!D:D, "&gt;0")</f>
        <v>2</v>
      </c>
      <c r="D13" s="37">
        <f>SUMIFS(Stock_Transactions!D:D, Stock_Transactions!B:B, B13, Stock_Transactions!D:D, "&lt;0") * -1</f>
        <v>2</v>
      </c>
      <c r="E13" s="79">
        <f t="shared" si="0"/>
        <v>0</v>
      </c>
      <c r="F13" s="48">
        <f t="shared" si="1"/>
        <v>0</v>
      </c>
      <c r="G13" s="48">
        <f>SUMIF(Pending_Stock!C:C, B13, Pending_Stock!F:F)</f>
        <v>0</v>
      </c>
      <c r="H13" s="49">
        <f>SUMIF(Pending_Stock!I:I, B13, Pending_Stock!L:L)</f>
        <v>0</v>
      </c>
      <c r="I13" s="50">
        <f>SUMIF(ShipToDubai!C:C, B13, ShipToDubai!F:F) - (SUMIFS(Stock_Transactions!D:D, Stock_Transactions!B:B, B13, Stock_Transactions!D:D, "&lt;0") * -1)</f>
        <v>0</v>
      </c>
      <c r="J13" s="38">
        <f>SUMIF(ShipToDubai!C:C, B13, ShipToDubai!G:G)</f>
        <v>0</v>
      </c>
      <c r="N13" s="31" t="s">
        <v>62</v>
      </c>
    </row>
    <row r="14" spans="1:14">
      <c r="A14" s="19">
        <f t="shared" si="2"/>
        <v>12</v>
      </c>
      <c r="B14" s="92" t="s">
        <v>89</v>
      </c>
      <c r="C14" s="37">
        <f>SUMIFS(Stock_Transactions!D:D, Stock_Transactions!B:B, B14, Stock_Transactions!D:D, "&gt;0")</f>
        <v>2</v>
      </c>
      <c r="D14" s="37">
        <f>SUMIFS(Stock_Transactions!D:D, Stock_Transactions!B:B, B14, Stock_Transactions!D:D, "&lt;0") * -1</f>
        <v>2</v>
      </c>
      <c r="E14" s="79">
        <f t="shared" si="0"/>
        <v>0</v>
      </c>
      <c r="F14" s="48">
        <f t="shared" si="1"/>
        <v>0</v>
      </c>
      <c r="G14" s="48">
        <f>SUMIF(Pending_Stock!C:C, B14, Pending_Stock!F:F)</f>
        <v>0</v>
      </c>
      <c r="H14" s="49">
        <f>SUMIF(Pending_Stock!I:I, B14, Pending_Stock!L:L)</f>
        <v>0</v>
      </c>
      <c r="I14" s="50">
        <f>SUMIF(ShipToDubai!C:C, B14, ShipToDubai!F:F) - (SUMIFS(Stock_Transactions!D:D, Stock_Transactions!B:B, B14, Stock_Transactions!D:D, "&lt;0") * -1)</f>
        <v>0</v>
      </c>
      <c r="J14" s="38">
        <f>SUMIF(ShipToDubai!C:C, B14, ShipToDubai!G:G)</f>
        <v>0</v>
      </c>
      <c r="N14" s="31"/>
    </row>
    <row r="15" spans="1:14">
      <c r="A15" s="19">
        <f t="shared" si="2"/>
        <v>13</v>
      </c>
      <c r="B15" s="92" t="s">
        <v>90</v>
      </c>
      <c r="C15" s="37">
        <f>SUMIFS(Stock_Transactions!D:D, Stock_Transactions!B:B, B15, Stock_Transactions!D:D, "&gt;0")</f>
        <v>2</v>
      </c>
      <c r="D15" s="37">
        <f>SUMIFS(Stock_Transactions!D:D, Stock_Transactions!B:B, B15, Stock_Transactions!D:D, "&lt;0") * -1</f>
        <v>2</v>
      </c>
      <c r="E15" s="79">
        <f t="shared" si="0"/>
        <v>0</v>
      </c>
      <c r="F15" s="48">
        <f t="shared" si="1"/>
        <v>0</v>
      </c>
      <c r="G15" s="48">
        <f>SUMIF(Pending_Stock!C:C, B15, Pending_Stock!F:F)</f>
        <v>0</v>
      </c>
      <c r="H15" s="49">
        <f>SUMIF(Pending_Stock!I:I, B15, Pending_Stock!L:L)</f>
        <v>0</v>
      </c>
      <c r="I15" s="50">
        <f>SUMIF(ShipToDubai!C:C, B15, ShipToDubai!F:F) - (SUMIFS(Stock_Transactions!D:D, Stock_Transactions!B:B, B15, Stock_Transactions!D:D, "&lt;0") * -1)</f>
        <v>0</v>
      </c>
      <c r="J15" s="38">
        <f>SUMIF(ShipToDubai!C:C, B15, ShipToDubai!G:G)</f>
        <v>0</v>
      </c>
      <c r="L15" t="s">
        <v>305</v>
      </c>
      <c r="N15" s="30" t="s">
        <v>63</v>
      </c>
    </row>
    <row r="16" spans="1:14">
      <c r="A16" s="19">
        <f t="shared" si="2"/>
        <v>14</v>
      </c>
      <c r="B16" s="93" t="s">
        <v>91</v>
      </c>
      <c r="C16" s="37">
        <f>SUMIFS(Stock_Transactions!D:D, Stock_Transactions!B:B, B16, Stock_Transactions!D:D, "&gt;0")</f>
        <v>2</v>
      </c>
      <c r="D16" s="37">
        <f>SUMIFS(Stock_Transactions!D:D, Stock_Transactions!B:B, B16, Stock_Transactions!D:D, "&lt;0") * -1</f>
        <v>2</v>
      </c>
      <c r="E16" s="79">
        <f t="shared" si="0"/>
        <v>0</v>
      </c>
      <c r="F16" s="48">
        <f t="shared" si="1"/>
        <v>0</v>
      </c>
      <c r="G16" s="48">
        <f>SUMIF(Pending_Stock!C:C, B16, Pending_Stock!F:F)</f>
        <v>0</v>
      </c>
      <c r="H16" s="49">
        <f>SUMIF(Pending_Stock!I:I, B16, Pending_Stock!L:L)</f>
        <v>0</v>
      </c>
      <c r="I16" s="50">
        <f>SUMIF(ShipToDubai!C:C, B16, ShipToDubai!F:F) - (SUMIFS(Stock_Transactions!D:D, Stock_Transactions!B:B, B16, Stock_Transactions!D:D, "&lt;0") * -1)</f>
        <v>0</v>
      </c>
      <c r="J16" s="38">
        <f>SUMIF(ShipToDubai!C:C, B16, ShipToDubai!G:G)</f>
        <v>0</v>
      </c>
      <c r="L16" t="s">
        <v>305</v>
      </c>
      <c r="N16" s="31" t="s">
        <v>64</v>
      </c>
    </row>
    <row r="17" spans="1:14">
      <c r="A17" s="19">
        <f t="shared" si="2"/>
        <v>15</v>
      </c>
      <c r="B17" s="93" t="s">
        <v>92</v>
      </c>
      <c r="C17" s="37">
        <f>SUMIFS(Stock_Transactions!D:D, Stock_Transactions!B:B, B17, Stock_Transactions!D:D, "&gt;0")</f>
        <v>23</v>
      </c>
      <c r="D17" s="37">
        <f>SUMIFS(Stock_Transactions!D:D, Stock_Transactions!B:B, B17, Stock_Transactions!D:D, "&lt;0") * -1</f>
        <v>23</v>
      </c>
      <c r="E17" s="79">
        <f t="shared" si="0"/>
        <v>0</v>
      </c>
      <c r="F17" s="48">
        <f t="shared" si="1"/>
        <v>0</v>
      </c>
      <c r="G17" s="48">
        <f>SUMIF(Pending_Stock!C:C, B17, Pending_Stock!F:F)</f>
        <v>0</v>
      </c>
      <c r="H17" s="49">
        <f>SUMIF(Pending_Stock!I:I, B17, Pending_Stock!L:L)</f>
        <v>0</v>
      </c>
      <c r="I17" s="50">
        <f>SUMIF(ShipToDubai!C:C, B17, ShipToDubai!F:F) - (SUMIFS(Stock_Transactions!D:D, Stock_Transactions!B:B, B17, Stock_Transactions!D:D, "&lt;0") * -1)</f>
        <v>0</v>
      </c>
      <c r="J17" s="38">
        <f>SUMIF(ShipToDubai!C:C, B17, ShipToDubai!G:G)</f>
        <v>0</v>
      </c>
      <c r="L17" t="s">
        <v>305</v>
      </c>
    </row>
    <row r="18" spans="1:14">
      <c r="A18" s="19">
        <f t="shared" si="2"/>
        <v>16</v>
      </c>
      <c r="B18" s="93" t="s">
        <v>120</v>
      </c>
      <c r="C18" s="37">
        <f>SUMIFS(Stock_Transactions!D:D, Stock_Transactions!B:B, B18, Stock_Transactions!D:D, "&gt;0")</f>
        <v>117</v>
      </c>
      <c r="D18" s="37">
        <f>SUMIFS(Stock_Transactions!D:D, Stock_Transactions!B:B, B18, Stock_Transactions!D:D, "&lt;0") * -1</f>
        <v>117</v>
      </c>
      <c r="E18" s="79">
        <f t="shared" si="0"/>
        <v>0</v>
      </c>
      <c r="F18" s="48">
        <f t="shared" si="1"/>
        <v>0</v>
      </c>
      <c r="G18" s="48">
        <f>SUMIF(Pending_Stock!C:C, B18, Pending_Stock!F:F)</f>
        <v>0</v>
      </c>
      <c r="H18" s="49">
        <f>SUMIF(Pending_Stock!I:I, B18, Pending_Stock!L:L)</f>
        <v>0</v>
      </c>
      <c r="I18" s="50">
        <f>SUMIF(ShipToDubai!C:C, B18, ShipToDubai!F:F) - (SUMIFS(Stock_Transactions!D:D, Stock_Transactions!B:B, B18, Stock_Transactions!D:D, "&lt;0") * -1)</f>
        <v>0</v>
      </c>
      <c r="J18" s="38">
        <f>SUMIF(ShipToDubai!C:C, B18, ShipToDubai!G:G)</f>
        <v>0</v>
      </c>
      <c r="L18" t="s">
        <v>305</v>
      </c>
    </row>
    <row r="19" spans="1:14">
      <c r="A19" s="614">
        <f t="shared" si="2"/>
        <v>17</v>
      </c>
      <c r="B19" s="93" t="s">
        <v>121</v>
      </c>
      <c r="C19" s="37">
        <f>SUMIFS(Stock_Transactions!D:D, Stock_Transactions!B:B, B19, Stock_Transactions!D:D, "&gt;0")</f>
        <v>843</v>
      </c>
      <c r="D19" s="37">
        <f>SUMIFS(Stock_Transactions!D:D, Stock_Transactions!B:B, B19, Stock_Transactions!D:D, "&lt;0") * -1</f>
        <v>843</v>
      </c>
      <c r="E19" s="79">
        <f t="shared" si="0"/>
        <v>0</v>
      </c>
      <c r="F19" s="48">
        <f t="shared" si="1"/>
        <v>0</v>
      </c>
      <c r="G19" s="48">
        <f>SUMIF(Pending_Stock!C:C, B19, Pending_Stock!F:F)</f>
        <v>0</v>
      </c>
      <c r="H19" s="49">
        <f>SUMIF(Pending_Stock!I:I, B19, Pending_Stock!L:L)</f>
        <v>0</v>
      </c>
      <c r="I19" s="50">
        <f>SUMIF(ShipToDubai!C:C, B19, ShipToDubai!F:F) - (SUMIFS(Stock_Transactions!D:D, Stock_Transactions!B:B, B19, Stock_Transactions!D:D, "&lt;0") * -1)</f>
        <v>0</v>
      </c>
      <c r="J19" s="38">
        <f>SUMIF(ShipToDubai!C:C, B19, ShipToDubai!G:G)</f>
        <v>0</v>
      </c>
      <c r="N19" s="28" t="s">
        <v>65</v>
      </c>
    </row>
    <row r="20" spans="1:14">
      <c r="A20" s="19">
        <f t="shared" si="2"/>
        <v>18</v>
      </c>
      <c r="B20" s="93" t="s">
        <v>303</v>
      </c>
      <c r="C20" s="37">
        <f>SUMIFS(Stock_Transactions!D:D, Stock_Transactions!B:B, B20, Stock_Transactions!D:D, "&gt;0")</f>
        <v>57</v>
      </c>
      <c r="D20" s="37">
        <f>SUMIFS(Stock_Transactions!D:D, Stock_Transactions!B:B, B20, Stock_Transactions!D:D, "&lt;0") * -1</f>
        <v>57</v>
      </c>
      <c r="E20" s="79">
        <f t="shared" si="0"/>
        <v>0</v>
      </c>
      <c r="F20" s="48">
        <f t="shared" si="1"/>
        <v>0</v>
      </c>
      <c r="G20" s="48">
        <f>SUMIF(Pending_Stock!C:C, B20, Pending_Stock!F:F)</f>
        <v>0</v>
      </c>
      <c r="H20" s="49">
        <f>SUMIF(Pending_Stock!I:I, B20, Pending_Stock!L:L)</f>
        <v>0</v>
      </c>
      <c r="I20" s="50">
        <f>SUMIF(ShipToDubai!C:C, B20, ShipToDubai!F:F) - (SUMIFS(Stock_Transactions!D:D, Stock_Transactions!B:B, B20, Stock_Transactions!D:D, "&lt;0") * -1)</f>
        <v>0</v>
      </c>
      <c r="J20" s="38">
        <f>SUMIF(ShipToDubai!C:C, B20, ShipToDubai!G:G)</f>
        <v>0</v>
      </c>
      <c r="L20" t="s">
        <v>305</v>
      </c>
      <c r="N20" s="29" t="s">
        <v>66</v>
      </c>
    </row>
    <row r="21" spans="1:14">
      <c r="A21" s="614">
        <f t="shared" si="2"/>
        <v>19</v>
      </c>
      <c r="B21" s="93" t="s">
        <v>201</v>
      </c>
      <c r="C21" s="37">
        <f>SUMIFS(Stock_Transactions!D:D, Stock_Transactions!B:B, B21, Stock_Transactions!D:D, "&gt;0")</f>
        <v>30</v>
      </c>
      <c r="D21" s="37">
        <f>SUMIFS(Stock_Transactions!D:D, Stock_Transactions!B:B, B21, Stock_Transactions!D:D, "&lt;0") * -1</f>
        <v>30</v>
      </c>
      <c r="E21" s="79">
        <f t="shared" si="0"/>
        <v>0</v>
      </c>
      <c r="F21" s="48">
        <f t="shared" si="1"/>
        <v>0</v>
      </c>
      <c r="G21" s="48">
        <f>SUMIF(Pending_Stock!C:C, B21, Pending_Stock!F:F)</f>
        <v>0</v>
      </c>
      <c r="H21" s="49">
        <f>SUMIF(Pending_Stock!I:I, B21, Pending_Stock!L:L)</f>
        <v>0</v>
      </c>
      <c r="I21" s="50">
        <f>SUMIF(ShipToDubai!C:C, B21, ShipToDubai!F:F) - (SUMIFS(Stock_Transactions!D:D, Stock_Transactions!B:B, B21, Stock_Transactions!D:D, "&lt;0") * -1)</f>
        <v>0</v>
      </c>
      <c r="J21" s="38">
        <f>SUMIF(ShipToDubai!C:C, B21, ShipToDubai!G:G)</f>
        <v>0</v>
      </c>
      <c r="N21" s="29"/>
    </row>
    <row r="22" spans="1:14">
      <c r="A22" s="614">
        <f t="shared" si="2"/>
        <v>20</v>
      </c>
      <c r="B22" s="93" t="s">
        <v>124</v>
      </c>
      <c r="C22" s="37">
        <f>SUMIFS(Stock_Transactions!D:D, Stock_Transactions!B:B, B22, Stock_Transactions!D:D, "&gt;0")</f>
        <v>3</v>
      </c>
      <c r="D22" s="37">
        <f>SUMIFS(Stock_Transactions!D:D, Stock_Transactions!B:B, B22, Stock_Transactions!D:D, "&lt;0") * -1</f>
        <v>3</v>
      </c>
      <c r="E22" s="79">
        <f t="shared" si="0"/>
        <v>0</v>
      </c>
      <c r="F22" s="48">
        <f t="shared" si="1"/>
        <v>0</v>
      </c>
      <c r="G22" s="48">
        <f>SUMIF(Pending_Stock!C:C, B22, Pending_Stock!F:F)</f>
        <v>0</v>
      </c>
      <c r="H22" s="49">
        <f>SUMIF(Pending_Stock!I:I, B22, Pending_Stock!L:L)</f>
        <v>0</v>
      </c>
      <c r="I22" s="50">
        <f>SUMIF(ShipToDubai!C:C, B22, ShipToDubai!F:F) - (SUMIFS(Stock_Transactions!D:D, Stock_Transactions!B:B, B22, Stock_Transactions!D:D, "&lt;0") * -1)</f>
        <v>0</v>
      </c>
      <c r="J22" s="38">
        <f>SUMIF(ShipToDubai!C:C, B22, ShipToDubai!G:G)</f>
        <v>0</v>
      </c>
      <c r="N22" s="28" t="s">
        <v>67</v>
      </c>
    </row>
    <row r="23" spans="1:14">
      <c r="A23" s="614">
        <f t="shared" si="2"/>
        <v>21</v>
      </c>
      <c r="B23" s="93" t="s">
        <v>93</v>
      </c>
      <c r="C23" s="37">
        <f>SUMIFS(Stock_Transactions!D:D, Stock_Transactions!B:B, B23, Stock_Transactions!D:D, "&gt;0")</f>
        <v>1</v>
      </c>
      <c r="D23" s="37">
        <f>SUMIFS(Stock_Transactions!D:D, Stock_Transactions!B:B, B23, Stock_Transactions!D:D, "&lt;0") * -1</f>
        <v>1</v>
      </c>
      <c r="E23" s="79">
        <f t="shared" si="0"/>
        <v>0</v>
      </c>
      <c r="F23" s="48">
        <f t="shared" si="1"/>
        <v>0</v>
      </c>
      <c r="G23" s="48">
        <f>SUMIF(Pending_Stock!C:C, B23, Pending_Stock!F:F)</f>
        <v>0</v>
      </c>
      <c r="H23" s="49">
        <f>SUMIF(Pending_Stock!I:I, B23, Pending_Stock!L:L)</f>
        <v>0</v>
      </c>
      <c r="I23" s="50">
        <f>SUMIF(ShipToDubai!C:C, B23, ShipToDubai!F:F) - (SUMIFS(Stock_Transactions!D:D, Stock_Transactions!B:B, B23, Stock_Transactions!D:D, "&lt;0") * -1)</f>
        <v>0</v>
      </c>
      <c r="J23" s="38">
        <f>SUMIF(ShipToDubai!C:C, B23, ShipToDubai!G:G)</f>
        <v>0</v>
      </c>
      <c r="N23" s="29" t="s">
        <v>68</v>
      </c>
    </row>
    <row r="24" spans="1:14">
      <c r="A24" s="614">
        <f t="shared" si="2"/>
        <v>22</v>
      </c>
      <c r="B24" s="93" t="s">
        <v>94</v>
      </c>
      <c r="C24" s="37">
        <f>SUMIFS(Stock_Transactions!D:D, Stock_Transactions!B:B, B24, Stock_Transactions!D:D, "&gt;0")</f>
        <v>1</v>
      </c>
      <c r="D24" s="37">
        <f>SUMIFS(Stock_Transactions!D:D, Stock_Transactions!B:B, B24, Stock_Transactions!D:D, "&lt;0") * -1</f>
        <v>1</v>
      </c>
      <c r="E24" s="79">
        <f t="shared" si="0"/>
        <v>0</v>
      </c>
      <c r="F24" s="48">
        <f t="shared" si="1"/>
        <v>0</v>
      </c>
      <c r="G24" s="48">
        <f>SUMIF(Pending_Stock!C:C, B24, Pending_Stock!F:F)</f>
        <v>0</v>
      </c>
      <c r="H24" s="49">
        <f>SUMIF(Pending_Stock!I:I, B24, Pending_Stock!L:L)</f>
        <v>0</v>
      </c>
      <c r="I24" s="50">
        <f>SUMIF(ShipToDubai!C:C, B24, ShipToDubai!F:F) - (SUMIFS(Stock_Transactions!D:D, Stock_Transactions!B:B, B24, Stock_Transactions!D:D, "&lt;0") * -1)</f>
        <v>0</v>
      </c>
      <c r="J24" s="38">
        <f>SUMIF(ShipToDubai!C:C, B24, ShipToDubai!G:G)</f>
        <v>0</v>
      </c>
      <c r="L24" t="s">
        <v>305</v>
      </c>
      <c r="N24" s="29"/>
    </row>
    <row r="25" spans="1:14">
      <c r="A25" s="614">
        <f t="shared" si="2"/>
        <v>23</v>
      </c>
      <c r="B25" s="93" t="s">
        <v>95</v>
      </c>
      <c r="C25" s="37">
        <f>SUMIFS(Stock_Transactions!D:D, Stock_Transactions!B:B, B25, Stock_Transactions!D:D, "&gt;0")</f>
        <v>2</v>
      </c>
      <c r="D25" s="37">
        <f>SUMIFS(Stock_Transactions!D:D, Stock_Transactions!B:B, B25, Stock_Transactions!D:D, "&lt;0") * -1</f>
        <v>2</v>
      </c>
      <c r="E25" s="79">
        <f t="shared" si="0"/>
        <v>0</v>
      </c>
      <c r="F25" s="48">
        <f t="shared" si="1"/>
        <v>0</v>
      </c>
      <c r="G25" s="48">
        <f>SUMIF(Pending_Stock!C:C, B25, Pending_Stock!F:F)</f>
        <v>0</v>
      </c>
      <c r="H25" s="49">
        <f>SUMIF(Pending_Stock!I:I, B25, Pending_Stock!L:L)</f>
        <v>0</v>
      </c>
      <c r="I25" s="50">
        <f>SUMIF(ShipToDubai!C:C, B25, ShipToDubai!F:F) - (SUMIFS(Stock_Transactions!D:D, Stock_Transactions!B:B, B25, Stock_Transactions!D:D, "&lt;0") * -1)</f>
        <v>0</v>
      </c>
      <c r="J25" s="38">
        <f>SUMIF(ShipToDubai!C:C, B25, ShipToDubai!G:G)</f>
        <v>0</v>
      </c>
      <c r="N25" s="28" t="s">
        <v>69</v>
      </c>
    </row>
    <row r="26" spans="1:14">
      <c r="A26" s="19">
        <f t="shared" si="2"/>
        <v>24</v>
      </c>
      <c r="B26" s="84" t="s">
        <v>131</v>
      </c>
      <c r="C26" s="37">
        <f>SUMIFS(Stock_Transactions!D:D, Stock_Transactions!B:B, B26, Stock_Transactions!D:D, "&gt;0")</f>
        <v>389</v>
      </c>
      <c r="D26" s="37">
        <f>SUMIFS(Stock_Transactions!D:D, Stock_Transactions!B:B, B26, Stock_Transactions!D:D, "&lt;0") * -1</f>
        <v>388</v>
      </c>
      <c r="E26" s="79">
        <f t="shared" si="0"/>
        <v>1</v>
      </c>
      <c r="F26" s="48">
        <f t="shared" si="1"/>
        <v>0</v>
      </c>
      <c r="G26" s="48">
        <f>SUMIF(Pending_Stock!C:C, B26, Pending_Stock!F:F)</f>
        <v>0</v>
      </c>
      <c r="H26" s="49">
        <f>SUMIF(Pending_Stock!I:I, B26, Pending_Stock!L:L)</f>
        <v>0</v>
      </c>
      <c r="I26" s="50">
        <f>SUMIF(ShipToDubai!C:C, B26, ShipToDubai!F:F) - (SUMIFS(Stock_Transactions!D:D, Stock_Transactions!B:B, B26, Stock_Transactions!D:D, "&lt;0") * -1)</f>
        <v>1</v>
      </c>
      <c r="J26" s="38">
        <f>SUMIF(ShipToDubai!C:C, B26, ShipToDubai!G:G)</f>
        <v>0</v>
      </c>
    </row>
    <row r="27" spans="1:14">
      <c r="A27" s="19">
        <f t="shared" si="2"/>
        <v>25</v>
      </c>
      <c r="B27" s="84" t="s">
        <v>410</v>
      </c>
      <c r="C27" s="37">
        <f>SUMIFS(Stock_Transactions!D:D, Stock_Transactions!B:B, B27, Stock_Transactions!D:D, "&gt;0")</f>
        <v>366</v>
      </c>
      <c r="D27" s="37">
        <f>SUMIFS(Stock_Transactions!D:D, Stock_Transactions!B:B, B27, Stock_Transactions!D:D, "&lt;0") * -1</f>
        <v>366</v>
      </c>
      <c r="E27" s="79">
        <f t="shared" si="0"/>
        <v>0</v>
      </c>
      <c r="F27" s="48">
        <f t="shared" si="1"/>
        <v>0</v>
      </c>
      <c r="G27" s="48">
        <f>SUMIF(Pending_Stock!C:C, B27, Pending_Stock!F:F)</f>
        <v>0</v>
      </c>
      <c r="H27" s="49">
        <f>SUMIF(Pending_Stock!I:I, B27, Pending_Stock!L:L)</f>
        <v>0</v>
      </c>
      <c r="I27" s="50">
        <f>SUMIF(ShipToDubai!C:C, B27, ShipToDubai!F:F) - (SUMIFS(Stock_Transactions!D:D, Stock_Transactions!B:B, B27, Stock_Transactions!D:D, "&lt;0") * -1)</f>
        <v>0</v>
      </c>
      <c r="J27" s="38">
        <f>SUMIF(ShipToDubai!C:C, B27, ShipToDubai!G:G)</f>
        <v>0</v>
      </c>
    </row>
    <row r="28" spans="1:14">
      <c r="A28" s="19">
        <f t="shared" si="2"/>
        <v>26</v>
      </c>
      <c r="B28" s="84" t="s">
        <v>856</v>
      </c>
      <c r="C28" s="37">
        <f>SUMIFS(Stock_Transactions!D:D, Stock_Transactions!B:B, B28, Stock_Transactions!D:D, "&gt;0")</f>
        <v>46</v>
      </c>
      <c r="D28" s="37">
        <f>SUMIFS(Stock_Transactions!D:D, Stock_Transactions!B:B, B28, Stock_Transactions!D:D, "&lt;0") * -1</f>
        <v>46</v>
      </c>
      <c r="E28" s="79">
        <f t="shared" si="0"/>
        <v>0</v>
      </c>
      <c r="F28" s="48">
        <f t="shared" si="1"/>
        <v>0</v>
      </c>
      <c r="G28" s="48">
        <f>SUMIF(Pending_Stock!C:C, B28, Pending_Stock!F:F)</f>
        <v>0</v>
      </c>
      <c r="H28" s="49">
        <f>SUMIF(Pending_Stock!I:I, B28, Pending_Stock!L:L)</f>
        <v>0</v>
      </c>
      <c r="I28" s="50">
        <f>SUMIF(ShipToDubai!C:C, B28, ShipToDubai!F:F) - (SUMIFS(Stock_Transactions!D:D, Stock_Transactions!B:B, B28, Stock_Transactions!D:D, "&lt;0") * -1)</f>
        <v>0</v>
      </c>
      <c r="J28" s="38">
        <f>SUMIF(ShipToDubai!C:C, B28, ShipToDubai!G:G)</f>
        <v>0</v>
      </c>
    </row>
    <row r="29" spans="1:14">
      <c r="A29" s="614">
        <f t="shared" si="2"/>
        <v>27</v>
      </c>
      <c r="B29" s="84" t="s">
        <v>137</v>
      </c>
      <c r="C29" s="37">
        <f>SUMIFS(Stock_Transactions!D:D, Stock_Transactions!B:B, B29, Stock_Transactions!D:D, "&gt;0")</f>
        <v>15</v>
      </c>
      <c r="D29" s="37">
        <f>SUMIFS(Stock_Transactions!D:D, Stock_Transactions!B:B, B29, Stock_Transactions!D:D, "&lt;0") * -1</f>
        <v>14</v>
      </c>
      <c r="E29" s="79">
        <f t="shared" si="0"/>
        <v>1</v>
      </c>
      <c r="F29" s="48">
        <f t="shared" si="1"/>
        <v>0</v>
      </c>
      <c r="G29" s="48">
        <f>SUMIF(Pending_Stock!C:C, B29, Pending_Stock!F:F)</f>
        <v>0</v>
      </c>
      <c r="H29" s="49">
        <f>SUMIF(Pending_Stock!I:I, B29, Pending_Stock!L:L)</f>
        <v>0</v>
      </c>
      <c r="I29" s="50">
        <f>SUMIF(ShipToDubai!C:C, B29, ShipToDubai!F:F) - (SUMIFS(Stock_Transactions!D:D, Stock_Transactions!B:B, B29, Stock_Transactions!D:D, "&lt;0") * -1)</f>
        <v>1</v>
      </c>
      <c r="J29" s="38">
        <f>SUMIF(ShipToDubai!C:C, B29, ShipToDubai!G:G)</f>
        <v>0</v>
      </c>
      <c r="L29" t="s">
        <v>853</v>
      </c>
    </row>
    <row r="30" spans="1:14">
      <c r="A30" s="614">
        <f t="shared" si="2"/>
        <v>28</v>
      </c>
      <c r="B30" s="84" t="s">
        <v>138</v>
      </c>
      <c r="C30" s="37">
        <f>SUMIFS(Stock_Transactions!D:D, Stock_Transactions!B:B, B30, Stock_Transactions!D:D, "&gt;0")</f>
        <v>3</v>
      </c>
      <c r="D30" s="37">
        <f>SUMIFS(Stock_Transactions!D:D, Stock_Transactions!B:B, B30, Stock_Transactions!D:D, "&lt;0") * -1</f>
        <v>3</v>
      </c>
      <c r="E30" s="79">
        <f t="shared" si="0"/>
        <v>0</v>
      </c>
      <c r="F30" s="48">
        <f t="shared" si="1"/>
        <v>0</v>
      </c>
      <c r="G30" s="48">
        <f>SUMIF(Pending_Stock!C:C, B30, Pending_Stock!F:F)</f>
        <v>0</v>
      </c>
      <c r="H30" s="49">
        <f>SUMIF(Pending_Stock!I:I, B30, Pending_Stock!L:L)</f>
        <v>0</v>
      </c>
      <c r="I30" s="50">
        <f>SUMIF(ShipToDubai!C:C, B30, ShipToDubai!F:F) - (SUMIFS(Stock_Transactions!D:D, Stock_Transactions!B:B, B30, Stock_Transactions!D:D, "&lt;0") * -1)</f>
        <v>0</v>
      </c>
      <c r="J30" s="38">
        <f>SUMIF(ShipToDubai!C:C, B30, ShipToDubai!G:G)</f>
        <v>0</v>
      </c>
    </row>
    <row r="31" spans="1:14">
      <c r="A31" s="614">
        <f t="shared" si="2"/>
        <v>29</v>
      </c>
      <c r="B31" s="84" t="s">
        <v>139</v>
      </c>
      <c r="C31" s="37">
        <f>SUMIFS(Stock_Transactions!D:D, Stock_Transactions!B:B, B31, Stock_Transactions!D:D, "&gt;0")</f>
        <v>1</v>
      </c>
      <c r="D31" s="37">
        <f>SUMIFS(Stock_Transactions!D:D, Stock_Transactions!B:B, B31, Stock_Transactions!D:D, "&lt;0") * -1</f>
        <v>1</v>
      </c>
      <c r="E31" s="79">
        <f t="shared" si="0"/>
        <v>0</v>
      </c>
      <c r="F31" s="48">
        <f t="shared" si="1"/>
        <v>0</v>
      </c>
      <c r="G31" s="48">
        <f>SUMIF(Pending_Stock!C:C, B31, Pending_Stock!F:F)</f>
        <v>0</v>
      </c>
      <c r="H31" s="49">
        <f>SUMIF(Pending_Stock!I:I, B31, Pending_Stock!L:L)</f>
        <v>0</v>
      </c>
      <c r="I31" s="50">
        <f>SUMIF(ShipToDubai!C:C, B31, ShipToDubai!F:F) - (SUMIFS(Stock_Transactions!D:D, Stock_Transactions!B:B, B31, Stock_Transactions!D:D, "&lt;0") * -1)</f>
        <v>0</v>
      </c>
      <c r="J31" s="38">
        <f>SUMIF(ShipToDubai!C:C, B31, ShipToDubai!G:G)</f>
        <v>0</v>
      </c>
    </row>
    <row r="32" spans="1:14">
      <c r="A32" s="19">
        <f t="shared" si="2"/>
        <v>30</v>
      </c>
      <c r="B32" s="93"/>
      <c r="C32" s="37">
        <f>SUMIFS(Stock_Transactions!D:D, Stock_Transactions!B:B, B32, Stock_Transactions!D:D, "&gt;0")</f>
        <v>0</v>
      </c>
      <c r="D32" s="37">
        <f>SUMIFS(Stock_Transactions!D:D, Stock_Transactions!B:B, B32, Stock_Transactions!D:D, "&lt;0") * -1</f>
        <v>0</v>
      </c>
      <c r="E32" s="79">
        <f t="shared" si="0"/>
        <v>0</v>
      </c>
      <c r="F32" s="48">
        <f t="shared" si="1"/>
        <v>0</v>
      </c>
      <c r="G32" s="48">
        <f>SUMIF(Pending_Stock!C:C, B32, Pending_Stock!F:F)</f>
        <v>0</v>
      </c>
      <c r="H32" s="49">
        <f>SUMIF(Pending_Stock!I:I, B32, Pending_Stock!L:L)</f>
        <v>0</v>
      </c>
      <c r="I32" s="50">
        <f>SUMIF(ShipToDubai!C:C, B32, ShipToDubai!F:F) - (SUMIFS(Stock_Transactions!D:D, Stock_Transactions!B:B, B32, Stock_Transactions!D:D, "&lt;0") * -1)</f>
        <v>0</v>
      </c>
      <c r="J32" s="38">
        <f>SUMIF(ShipToDubai!C:C, B32, ShipToDubai!G:G)</f>
        <v>0</v>
      </c>
      <c r="M32" s="611" t="s">
        <v>138</v>
      </c>
      <c r="N32">
        <v>-1</v>
      </c>
    </row>
    <row r="33" spans="1:14">
      <c r="A33" s="19">
        <f t="shared" si="2"/>
        <v>31</v>
      </c>
      <c r="B33" s="93"/>
      <c r="C33" s="37">
        <f>SUMIFS(Stock_Transactions!D:D, Stock_Transactions!B:B, B33, Stock_Transactions!D:D, "&gt;0")</f>
        <v>0</v>
      </c>
      <c r="D33" s="37">
        <f>SUMIFS(Stock_Transactions!D:D, Stock_Transactions!B:B, B33, Stock_Transactions!D:D, "&lt;0") * -1</f>
        <v>0</v>
      </c>
      <c r="E33" s="79">
        <f t="shared" si="0"/>
        <v>0</v>
      </c>
      <c r="F33" s="48">
        <f t="shared" si="1"/>
        <v>0</v>
      </c>
      <c r="G33" s="48">
        <f>SUMIF(Pending_Stock!C:C, B33, Pending_Stock!F:F)</f>
        <v>0</v>
      </c>
      <c r="H33" s="49">
        <f>SUMIF(Pending_Stock!I:I, B33, Pending_Stock!L:L)</f>
        <v>0</v>
      </c>
      <c r="I33" s="50">
        <f>SUMIF(ShipToDubai!C:C, B33, ShipToDubai!F:F) - (SUMIFS(Stock_Transactions!D:D, Stock_Transactions!B:B, B33, Stock_Transactions!D:D, "&lt;0") * -1)</f>
        <v>0</v>
      </c>
      <c r="J33" s="38">
        <f>SUMIF(ShipToDubai!C:C, B33, ShipToDubai!G:G)</f>
        <v>0</v>
      </c>
      <c r="K33" t="s">
        <v>732</v>
      </c>
      <c r="M33" s="92" t="s">
        <v>671</v>
      </c>
      <c r="N33">
        <v>-2</v>
      </c>
    </row>
    <row r="34" spans="1:14">
      <c r="A34" s="19">
        <f t="shared" si="2"/>
        <v>32</v>
      </c>
      <c r="B34" s="93" t="s">
        <v>154</v>
      </c>
      <c r="C34" s="37">
        <f>SUMIFS(Stock_Transactions!D:D, Stock_Transactions!B:B, B34, Stock_Transactions!D:D, "&gt;0")</f>
        <v>170</v>
      </c>
      <c r="D34" s="37">
        <f>SUMIFS(Stock_Transactions!D:D, Stock_Transactions!B:B, B34, Stock_Transactions!D:D, "&lt;0") * -1</f>
        <v>170</v>
      </c>
      <c r="E34" s="79">
        <f t="shared" si="0"/>
        <v>0</v>
      </c>
      <c r="F34" s="48">
        <f t="shared" si="1"/>
        <v>0</v>
      </c>
      <c r="G34" s="48">
        <f>SUMIF(Pending_Stock!C:C, B34, Pending_Stock!F:F)</f>
        <v>0</v>
      </c>
      <c r="H34" s="49">
        <f>SUMIF(Pending_Stock!I:I, B34, Pending_Stock!L:L)</f>
        <v>0</v>
      </c>
      <c r="I34" s="50">
        <f>SUMIF(ShipToDubai!C:C, B34, ShipToDubai!F:F) - (SUMIFS(Stock_Transactions!D:D, Stock_Transactions!B:B, B34, Stock_Transactions!D:D, "&lt;0") * -1)</f>
        <v>0</v>
      </c>
      <c r="J34" s="38">
        <f>SUMIF(ShipToDubai!C:C, B34, ShipToDubai!G:G)</f>
        <v>0</v>
      </c>
      <c r="L34" t="s">
        <v>305</v>
      </c>
      <c r="M34" s="84" t="s">
        <v>923</v>
      </c>
      <c r="N34">
        <v>-1</v>
      </c>
    </row>
    <row r="35" spans="1:14">
      <c r="A35" s="19">
        <f t="shared" ref="A35:A98" si="3">A34+1</f>
        <v>33</v>
      </c>
      <c r="B35" s="93" t="s">
        <v>155</v>
      </c>
      <c r="C35" s="37">
        <f>SUMIFS(Stock_Transactions!D:D, Stock_Transactions!B:B, B35, Stock_Transactions!D:D, "&gt;0")</f>
        <v>17</v>
      </c>
      <c r="D35" s="37">
        <f>SUMIFS(Stock_Transactions!D:D, Stock_Transactions!B:B, B35, Stock_Transactions!D:D, "&lt;0") * -1</f>
        <v>17</v>
      </c>
      <c r="E35" s="79">
        <f t="shared" ref="E35:E98" si="4">C35-D35</f>
        <v>0</v>
      </c>
      <c r="F35" s="48">
        <f t="shared" ref="F35:F98" si="5">E35-G35-H35-I35-J35</f>
        <v>0</v>
      </c>
      <c r="G35" s="48">
        <f>SUMIF(Pending_Stock!C:C, B35, Pending_Stock!F:F)</f>
        <v>0</v>
      </c>
      <c r="H35" s="49">
        <f>SUMIF(Pending_Stock!I:I, B35, Pending_Stock!L:L)</f>
        <v>0</v>
      </c>
      <c r="I35" s="50">
        <f>SUMIF(ShipToDubai!C:C, B35, ShipToDubai!F:F) - (SUMIFS(Stock_Transactions!D:D, Stock_Transactions!B:B, B35, Stock_Transactions!D:D, "&lt;0") * -1)</f>
        <v>0</v>
      </c>
      <c r="J35" s="38">
        <f>SUMIF(ShipToDubai!C:C, B35, ShipToDubai!G:G)</f>
        <v>0</v>
      </c>
      <c r="M35" s="344" t="s">
        <v>934</v>
      </c>
      <c r="N35">
        <v>-1</v>
      </c>
    </row>
    <row r="36" spans="1:14">
      <c r="A36" s="19">
        <f t="shared" si="3"/>
        <v>34</v>
      </c>
      <c r="B36" s="343" t="s">
        <v>2295</v>
      </c>
      <c r="C36" s="37">
        <f>SUMIFS(Stock_Transactions!D:D, Stock_Transactions!B:B, B36, Stock_Transactions!D:D, "&gt;0")</f>
        <v>2</v>
      </c>
      <c r="D36" s="37">
        <f>SUMIFS(Stock_Transactions!D:D, Stock_Transactions!B:B, B36, Stock_Transactions!D:D, "&lt;0") * -1</f>
        <v>0</v>
      </c>
      <c r="E36" s="79">
        <f t="shared" si="4"/>
        <v>2</v>
      </c>
      <c r="F36" s="48">
        <f t="shared" si="5"/>
        <v>0</v>
      </c>
      <c r="G36" s="48">
        <f>SUMIF(Pending_Stock!C:C, B36, Pending_Stock!F:F)</f>
        <v>0</v>
      </c>
      <c r="H36" s="49">
        <f>SUMIF(Pending_Stock!I:I, B36, Pending_Stock!L:L)</f>
        <v>0</v>
      </c>
      <c r="I36" s="50">
        <f>SUMIF(ShipToDubai!C:C, B36, ShipToDubai!F:F) - (SUMIFS(Stock_Transactions!D:D, Stock_Transactions!B:B, B36, Stock_Transactions!D:D, "&lt;0") * -1)</f>
        <v>2</v>
      </c>
      <c r="J36" s="38">
        <f>SUMIF(ShipToDubai!C:C, B36, ShipToDubai!G:G)</f>
        <v>0</v>
      </c>
      <c r="L36" t="s">
        <v>305</v>
      </c>
      <c r="M36" s="343" t="s">
        <v>936</v>
      </c>
      <c r="N36">
        <v>-1</v>
      </c>
    </row>
    <row r="37" spans="1:14">
      <c r="A37" s="614">
        <f t="shared" si="3"/>
        <v>35</v>
      </c>
      <c r="B37" s="93" t="s">
        <v>168</v>
      </c>
      <c r="C37" s="37">
        <f>SUMIFS(Stock_Transactions!D:D, Stock_Transactions!B:B, B37, Stock_Transactions!D:D, "&gt;0")</f>
        <v>1</v>
      </c>
      <c r="D37" s="37">
        <f>SUMIFS(Stock_Transactions!D:D, Stock_Transactions!B:B, B37, Stock_Transactions!D:D, "&lt;0") * -1</f>
        <v>1</v>
      </c>
      <c r="E37" s="79">
        <f t="shared" si="4"/>
        <v>0</v>
      </c>
      <c r="F37" s="48">
        <f t="shared" si="5"/>
        <v>0</v>
      </c>
      <c r="G37" s="48">
        <f>SUMIF(Pending_Stock!C:C, B37, Pending_Stock!F:F)</f>
        <v>0</v>
      </c>
      <c r="H37" s="49">
        <f>SUMIF(Pending_Stock!I:I, B37, Pending_Stock!L:L)</f>
        <v>0</v>
      </c>
      <c r="I37" s="50">
        <f>SUMIF(ShipToDubai!C:C, B37, ShipToDubai!F:F) - (SUMIFS(Stock_Transactions!D:D, Stock_Transactions!B:B, B37, Stock_Transactions!D:D, "&lt;0") * -1)</f>
        <v>0</v>
      </c>
      <c r="J37" s="38">
        <f>SUMIF(ShipToDubai!C:C, B37, ShipToDubai!G:G)</f>
        <v>0</v>
      </c>
      <c r="M37" s="343" t="s">
        <v>1259</v>
      </c>
      <c r="N37">
        <v>-1</v>
      </c>
    </row>
    <row r="38" spans="1:14">
      <c r="A38" s="614">
        <f t="shared" si="3"/>
        <v>36</v>
      </c>
      <c r="B38" s="93" t="s">
        <v>169</v>
      </c>
      <c r="C38" s="37">
        <f>SUMIFS(Stock_Transactions!D:D, Stock_Transactions!B:B, B38, Stock_Transactions!D:D, "&gt;0")</f>
        <v>49</v>
      </c>
      <c r="D38" s="37">
        <f>SUMIFS(Stock_Transactions!D:D, Stock_Transactions!B:B, B38, Stock_Transactions!D:D, "&lt;0") * -1</f>
        <v>49</v>
      </c>
      <c r="E38" s="79">
        <f t="shared" si="4"/>
        <v>0</v>
      </c>
      <c r="F38" s="48">
        <f t="shared" si="5"/>
        <v>0</v>
      </c>
      <c r="G38" s="48">
        <f>SUMIF(Pending_Stock!C:C, B38, Pending_Stock!F:F)</f>
        <v>0</v>
      </c>
      <c r="H38" s="49">
        <f>SUMIF(Pending_Stock!I:I, B38, Pending_Stock!L:L)</f>
        <v>0</v>
      </c>
      <c r="I38" s="50">
        <f>SUMIF(ShipToDubai!C:C, B38, ShipToDubai!F:F) - (SUMIFS(Stock_Transactions!D:D, Stock_Transactions!B:B, B38, Stock_Transactions!D:D, "&lt;0") * -1)</f>
        <v>0</v>
      </c>
      <c r="J38" s="38">
        <f>SUMIF(ShipToDubai!C:C, B38, ShipToDubai!G:G)</f>
        <v>0</v>
      </c>
      <c r="M38" s="343" t="s">
        <v>1313</v>
      </c>
      <c r="N38">
        <v>-2</v>
      </c>
    </row>
    <row r="39" spans="1:14">
      <c r="A39" s="614">
        <f t="shared" si="3"/>
        <v>37</v>
      </c>
      <c r="B39" s="104" t="s">
        <v>170</v>
      </c>
      <c r="C39" s="37">
        <f>SUMIFS(Stock_Transactions!D:D, Stock_Transactions!B:B, B39, Stock_Transactions!D:D, "&gt;0")</f>
        <v>5</v>
      </c>
      <c r="D39" s="37">
        <f>SUMIFS(Stock_Transactions!D:D, Stock_Transactions!B:B, B39, Stock_Transactions!D:D, "&lt;0") * -1</f>
        <v>3</v>
      </c>
      <c r="E39" s="79">
        <f t="shared" si="4"/>
        <v>2</v>
      </c>
      <c r="F39" s="48">
        <f t="shared" si="5"/>
        <v>0</v>
      </c>
      <c r="G39" s="48">
        <f>SUMIF(Pending_Stock!C:C, B39, Pending_Stock!F:F)</f>
        <v>0</v>
      </c>
      <c r="H39" s="49">
        <f>SUMIF(Pending_Stock!I:I, B39, Pending_Stock!L:L)</f>
        <v>0</v>
      </c>
      <c r="I39" s="50">
        <f>SUMIF(ShipToDubai!C:C, B39, ShipToDubai!F:F) - (SUMIFS(Stock_Transactions!D:D, Stock_Transactions!B:B, B39, Stock_Transactions!D:D, "&lt;0") * -1)</f>
        <v>2</v>
      </c>
      <c r="J39" s="38">
        <f>SUMIF(ShipToDubai!C:C, B39, ShipToDubai!G:G)</f>
        <v>0</v>
      </c>
      <c r="M39" s="343" t="s">
        <v>1327</v>
      </c>
      <c r="N39">
        <v>-4</v>
      </c>
    </row>
    <row r="40" spans="1:14">
      <c r="A40" s="19">
        <f t="shared" si="3"/>
        <v>38</v>
      </c>
      <c r="B40" s="104"/>
      <c r="C40" s="37">
        <f>SUMIFS(Stock_Transactions!D:D, Stock_Transactions!B:B, B40, Stock_Transactions!D:D, "&gt;0")</f>
        <v>0</v>
      </c>
      <c r="D40" s="37">
        <f>SUMIFS(Stock_Transactions!D:D, Stock_Transactions!B:B, B40, Stock_Transactions!D:D, "&lt;0") * -1</f>
        <v>0</v>
      </c>
      <c r="E40" s="79">
        <f t="shared" si="4"/>
        <v>0</v>
      </c>
      <c r="F40" s="48">
        <f t="shared" si="5"/>
        <v>0</v>
      </c>
      <c r="G40" s="48">
        <f>SUMIF(Pending_Stock!C:C, B40, Pending_Stock!F:F)</f>
        <v>0</v>
      </c>
      <c r="H40" s="49">
        <f>SUMIF(Pending_Stock!I:I, B40, Pending_Stock!L:L)</f>
        <v>0</v>
      </c>
      <c r="I40" s="50">
        <f>SUMIF(ShipToDubai!C:C, B40, ShipToDubai!F:F) - (SUMIFS(Stock_Transactions!D:D, Stock_Transactions!B:B, B40, Stock_Transactions!D:D, "&lt;0") * -1)</f>
        <v>0</v>
      </c>
      <c r="J40" s="38">
        <f>SUMIF(ShipToDubai!C:C, B40, ShipToDubai!G:G)</f>
        <v>0</v>
      </c>
      <c r="M40" s="84" t="s">
        <v>1397</v>
      </c>
      <c r="N40">
        <v>-1</v>
      </c>
    </row>
    <row r="41" spans="1:14">
      <c r="A41" s="614">
        <f t="shared" si="3"/>
        <v>39</v>
      </c>
      <c r="B41" s="104" t="s">
        <v>274</v>
      </c>
      <c r="C41" s="37">
        <f>SUMIFS(Stock_Transactions!D:D, Stock_Transactions!B:B, B41, Stock_Transactions!D:D, "&gt;0")</f>
        <v>274</v>
      </c>
      <c r="D41" s="37">
        <f>SUMIFS(Stock_Transactions!D:D, Stock_Transactions!B:B, B41, Stock_Transactions!D:D, "&lt;0") * -1</f>
        <v>274</v>
      </c>
      <c r="E41" s="79">
        <f t="shared" si="4"/>
        <v>0</v>
      </c>
      <c r="F41" s="48">
        <f t="shared" si="5"/>
        <v>0</v>
      </c>
      <c r="G41" s="48">
        <f>SUMIF(Pending_Stock!C:C, B41, Pending_Stock!F:F)</f>
        <v>0</v>
      </c>
      <c r="H41" s="49">
        <f>SUMIF(Pending_Stock!I:I, B41, Pending_Stock!L:L)</f>
        <v>0</v>
      </c>
      <c r="I41" s="50">
        <f>SUMIF(ShipToDubai!C:C, B41, ShipToDubai!F:F) - (SUMIFS(Stock_Transactions!D:D, Stock_Transactions!B:B, B41, Stock_Transactions!D:D, "&lt;0") * -1)</f>
        <v>0</v>
      </c>
      <c r="J41" s="38">
        <f>SUMIF(ShipToDubai!C:C, B41, ShipToDubai!G:G)</f>
        <v>0</v>
      </c>
      <c r="M41" s="93" t="s">
        <v>1491</v>
      </c>
      <c r="N41">
        <v>-1</v>
      </c>
    </row>
    <row r="42" spans="1:14">
      <c r="A42" s="614">
        <f t="shared" si="3"/>
        <v>40</v>
      </c>
      <c r="B42" s="104" t="s">
        <v>487</v>
      </c>
      <c r="C42" s="37">
        <f>SUMIFS(Stock_Transactions!D:D, Stock_Transactions!B:B, B42, Stock_Transactions!D:D, "&gt;0")</f>
        <v>0</v>
      </c>
      <c r="D42" s="37">
        <f>SUMIFS(Stock_Transactions!D:D, Stock_Transactions!B:B, B42, Stock_Transactions!D:D, "&lt;0") * -1</f>
        <v>0</v>
      </c>
      <c r="E42" s="79">
        <f t="shared" si="4"/>
        <v>0</v>
      </c>
      <c r="F42" s="48">
        <f t="shared" si="5"/>
        <v>0</v>
      </c>
      <c r="G42" s="48">
        <f>SUMIF(Pending_Stock!C:C, B42, Pending_Stock!F:F)</f>
        <v>0</v>
      </c>
      <c r="H42" s="49">
        <f>SUMIF(Pending_Stock!I:I, B42, Pending_Stock!L:L)</f>
        <v>0</v>
      </c>
      <c r="I42" s="50">
        <f>SUMIF(ShipToDubai!C:C, B42, ShipToDubai!F:F) - (SUMIFS(Stock_Transactions!D:D, Stock_Transactions!B:B, B42, Stock_Transactions!D:D, "&lt;0") * -1)</f>
        <v>0</v>
      </c>
      <c r="J42" s="38">
        <f>SUMIF(ShipToDubai!C:C, B42, ShipToDubai!G:G)</f>
        <v>0</v>
      </c>
      <c r="M42" s="93" t="s">
        <v>1900</v>
      </c>
      <c r="N42" s="206">
        <v>-1</v>
      </c>
    </row>
    <row r="43" spans="1:14">
      <c r="A43" s="19">
        <f t="shared" si="3"/>
        <v>41</v>
      </c>
      <c r="B43" s="104" t="s">
        <v>266</v>
      </c>
      <c r="C43" s="37">
        <f>SUMIFS(Stock_Transactions!D:D, Stock_Transactions!B:B, B43, Stock_Transactions!D:D, "&gt;0")</f>
        <v>125</v>
      </c>
      <c r="D43" s="37">
        <f>SUMIFS(Stock_Transactions!D:D, Stock_Transactions!B:B, B43, Stock_Transactions!D:D, "&lt;0") * -1</f>
        <v>133</v>
      </c>
      <c r="E43" s="79">
        <f t="shared" si="4"/>
        <v>-8</v>
      </c>
      <c r="F43" s="48">
        <f t="shared" si="5"/>
        <v>1</v>
      </c>
      <c r="G43" s="48">
        <f>SUMIF(Pending_Stock!C:C, B43, Pending_Stock!F:F)</f>
        <v>0</v>
      </c>
      <c r="H43" s="49">
        <f>SUMIF(Pending_Stock!I:I, B43, Pending_Stock!L:L)</f>
        <v>0</v>
      </c>
      <c r="I43" s="50">
        <f>SUMIF(ShipToDubai!C:C, B43, ShipToDubai!F:F) - (SUMIFS(Stock_Transactions!D:D, Stock_Transactions!B:B, B43, Stock_Transactions!D:D, "&lt;0") * -1)</f>
        <v>-9</v>
      </c>
      <c r="J43" s="38">
        <f>SUMIF(ShipToDubai!C:C, B43, ShipToDubai!G:G)</f>
        <v>0</v>
      </c>
      <c r="L43" t="s">
        <v>305</v>
      </c>
      <c r="M43" s="93" t="s">
        <v>1901</v>
      </c>
      <c r="N43">
        <v>-1</v>
      </c>
    </row>
    <row r="44" spans="1:14">
      <c r="A44" s="19">
        <f t="shared" si="3"/>
        <v>42</v>
      </c>
      <c r="B44" s="104" t="s">
        <v>408</v>
      </c>
      <c r="C44" s="37">
        <f>SUMIFS(Stock_Transactions!D:D, Stock_Transactions!B:B, B44, Stock_Transactions!D:D, "&gt;0")</f>
        <v>14</v>
      </c>
      <c r="D44" s="37">
        <f>SUMIFS(Stock_Transactions!D:D, Stock_Transactions!B:B, B44, Stock_Transactions!D:D, "&lt;0") * -1</f>
        <v>5</v>
      </c>
      <c r="E44" s="79">
        <f t="shared" si="4"/>
        <v>9</v>
      </c>
      <c r="F44" s="48">
        <f t="shared" si="5"/>
        <v>0</v>
      </c>
      <c r="G44" s="48">
        <f>SUMIF(Pending_Stock!C:C, B44, Pending_Stock!F:F)</f>
        <v>0</v>
      </c>
      <c r="H44" s="49">
        <f>SUMIF(Pending_Stock!I:I, B44, Pending_Stock!L:L)</f>
        <v>0</v>
      </c>
      <c r="I44" s="50">
        <f>SUMIF(ShipToDubai!C:C, B44, ShipToDubai!F:F) - (SUMIFS(Stock_Transactions!D:D, Stock_Transactions!B:B, B44, Stock_Transactions!D:D, "&lt;0") * -1)</f>
        <v>9</v>
      </c>
      <c r="J44" s="38">
        <f>SUMIF(ShipToDubai!C:C, B44, ShipToDubai!G:G)</f>
        <v>0</v>
      </c>
      <c r="L44" t="s">
        <v>305</v>
      </c>
      <c r="M44" s="93" t="s">
        <v>1902</v>
      </c>
      <c r="N44">
        <v>-4</v>
      </c>
    </row>
    <row r="45" spans="1:14">
      <c r="A45" s="19">
        <f t="shared" si="3"/>
        <v>43</v>
      </c>
      <c r="B45" s="104" t="s">
        <v>366</v>
      </c>
      <c r="C45" s="37">
        <f>SUMIFS(Stock_Transactions!D:D, Stock_Transactions!B:B, B45, Stock_Transactions!D:D, "&gt;0")</f>
        <v>33</v>
      </c>
      <c r="D45" s="37">
        <f>SUMIFS(Stock_Transactions!D:D, Stock_Transactions!B:B, B45, Stock_Transactions!D:D, "&lt;0") * -1</f>
        <v>32</v>
      </c>
      <c r="E45" s="79">
        <f t="shared" si="4"/>
        <v>1</v>
      </c>
      <c r="F45" s="48">
        <f t="shared" si="5"/>
        <v>1</v>
      </c>
      <c r="G45" s="48">
        <f>SUMIF(Pending_Stock!C:C, B45, Pending_Stock!F:F)</f>
        <v>0</v>
      </c>
      <c r="H45" s="49">
        <f>SUMIF(Pending_Stock!I:I, B45, Pending_Stock!L:L)</f>
        <v>0</v>
      </c>
      <c r="I45" s="50">
        <f>SUMIF(ShipToDubai!C:C, B45, ShipToDubai!F:F) - (SUMIFS(Stock_Transactions!D:D, Stock_Transactions!B:B, B45, Stock_Transactions!D:D, "&lt;0") * -1)</f>
        <v>0</v>
      </c>
      <c r="J45" s="38">
        <f>SUMIF(ShipToDubai!C:C, B45, ShipToDubai!G:G)</f>
        <v>0</v>
      </c>
      <c r="L45" t="s">
        <v>305</v>
      </c>
      <c r="M45" s="93" t="s">
        <v>1903</v>
      </c>
      <c r="N45">
        <v>-2</v>
      </c>
    </row>
    <row r="46" spans="1:14">
      <c r="A46" s="614">
        <f t="shared" si="3"/>
        <v>44</v>
      </c>
      <c r="B46" s="84"/>
      <c r="C46" s="37">
        <f>SUMIFS(Stock_Transactions!D:D, Stock_Transactions!B:B, B46, Stock_Transactions!D:D, "&gt;0")</f>
        <v>0</v>
      </c>
      <c r="D46" s="37">
        <f>SUMIFS(Stock_Transactions!D:D, Stock_Transactions!B:B, B46, Stock_Transactions!D:D, "&lt;0") * -1</f>
        <v>0</v>
      </c>
      <c r="E46" s="79">
        <f t="shared" si="4"/>
        <v>0</v>
      </c>
      <c r="F46" s="48">
        <f t="shared" si="5"/>
        <v>0</v>
      </c>
      <c r="G46" s="48">
        <f>SUMIF(Pending_Stock!C:C, B46, Pending_Stock!F:F)</f>
        <v>0</v>
      </c>
      <c r="H46" s="49">
        <f>SUMIF(Pending_Stock!I:I, B46, Pending_Stock!L:L)</f>
        <v>0</v>
      </c>
      <c r="I46" s="50">
        <f>SUMIF(ShipToDubai!C:C, B46, ShipToDubai!F:F) - (SUMIFS(Stock_Transactions!D:D, Stock_Transactions!B:B, B46, Stock_Transactions!D:D, "&lt;0") * -1)</f>
        <v>0</v>
      </c>
      <c r="J46" s="38">
        <f>SUMIF(ShipToDubai!C:C, B46, ShipToDubai!G:G)</f>
        <v>0</v>
      </c>
      <c r="M46" s="343" t="s">
        <v>1907</v>
      </c>
      <c r="N46">
        <v>-1</v>
      </c>
    </row>
    <row r="47" spans="1:14">
      <c r="A47" s="19">
        <f t="shared" si="3"/>
        <v>45</v>
      </c>
      <c r="B47" s="104" t="s">
        <v>334</v>
      </c>
      <c r="C47" s="37">
        <f>SUMIFS(Stock_Transactions!D:D, Stock_Transactions!B:B, B47, Stock_Transactions!D:D, "&gt;0")</f>
        <v>8</v>
      </c>
      <c r="D47" s="37">
        <f>SUMIFS(Stock_Transactions!D:D, Stock_Transactions!B:B, B47, Stock_Transactions!D:D, "&lt;0") * -1</f>
        <v>8</v>
      </c>
      <c r="E47" s="79">
        <f t="shared" si="4"/>
        <v>0</v>
      </c>
      <c r="F47" s="48">
        <f t="shared" si="5"/>
        <v>0</v>
      </c>
      <c r="G47" s="48">
        <f>SUMIF(Pending_Stock!C:C, B47, Pending_Stock!F:F)</f>
        <v>0</v>
      </c>
      <c r="H47" s="49">
        <f>SUMIF(Pending_Stock!I:I, B47, Pending_Stock!L:L)</f>
        <v>0</v>
      </c>
      <c r="I47" s="50">
        <f>SUMIF(ShipToDubai!C:C, B47, ShipToDubai!F:F) - (SUMIFS(Stock_Transactions!D:D, Stock_Transactions!B:B, B47, Stock_Transactions!D:D, "&lt;0") * -1)</f>
        <v>0</v>
      </c>
      <c r="J47" s="38">
        <f>SUMIF(ShipToDubai!C:C, B47, ShipToDubai!G:G)</f>
        <v>0</v>
      </c>
      <c r="M47" s="343" t="s">
        <v>1908</v>
      </c>
      <c r="N47">
        <v>-1</v>
      </c>
    </row>
    <row r="48" spans="1:14">
      <c r="A48" s="614">
        <f t="shared" si="3"/>
        <v>46</v>
      </c>
      <c r="B48" s="104" t="s">
        <v>375</v>
      </c>
      <c r="C48" s="37">
        <f>SUMIFS(Stock_Transactions!D:D, Stock_Transactions!B:B, B48, Stock_Transactions!D:D, "&gt;0")</f>
        <v>335</v>
      </c>
      <c r="D48" s="37">
        <f>SUMIFS(Stock_Transactions!D:D, Stock_Transactions!B:B, B48, Stock_Transactions!D:D, "&lt;0") * -1</f>
        <v>320</v>
      </c>
      <c r="E48" s="79">
        <f t="shared" si="4"/>
        <v>15</v>
      </c>
      <c r="F48" s="48">
        <f t="shared" si="5"/>
        <v>4</v>
      </c>
      <c r="G48" s="48">
        <f>SUMIF(Pending_Stock!C:C, B48, Pending_Stock!F:F)</f>
        <v>0</v>
      </c>
      <c r="H48" s="49">
        <f>SUMIF(Pending_Stock!I:I, B48, Pending_Stock!L:L)</f>
        <v>0</v>
      </c>
      <c r="I48" s="50">
        <f>SUMIF(ShipToDubai!C:C, B48, ShipToDubai!F:F) - (SUMIFS(Stock_Transactions!D:D, Stock_Transactions!B:B, B48, Stock_Transactions!D:D, "&lt;0") * -1)</f>
        <v>11</v>
      </c>
      <c r="J48" s="38">
        <f>SUMIF(ShipToDubai!C:C, B48, ShipToDubai!G:G)</f>
        <v>0</v>
      </c>
      <c r="N48" s="104"/>
    </row>
    <row r="49" spans="1:14">
      <c r="A49" s="19">
        <f t="shared" si="3"/>
        <v>47</v>
      </c>
      <c r="B49" s="104" t="s">
        <v>382</v>
      </c>
      <c r="C49" s="37">
        <f>SUMIFS(Stock_Transactions!D:D, Stock_Transactions!B:B, B49, Stock_Transactions!D:D, "&gt;0")</f>
        <v>29</v>
      </c>
      <c r="D49" s="37">
        <f>SUMIFS(Stock_Transactions!D:D, Stock_Transactions!B:B, B49, Stock_Transactions!D:D, "&lt;0") * -1</f>
        <v>29</v>
      </c>
      <c r="E49" s="79">
        <f t="shared" si="4"/>
        <v>0</v>
      </c>
      <c r="F49" s="48">
        <f t="shared" si="5"/>
        <v>0</v>
      </c>
      <c r="G49" s="48">
        <f>SUMIF(Pending_Stock!C:C, B49, Pending_Stock!F:F)</f>
        <v>0</v>
      </c>
      <c r="H49" s="49">
        <f>SUMIF(Pending_Stock!I:I, B49, Pending_Stock!L:L)</f>
        <v>0</v>
      </c>
      <c r="I49" s="50">
        <f>SUMIF(ShipToDubai!C:C, B49, ShipToDubai!F:F) - (SUMIFS(Stock_Transactions!D:D, Stock_Transactions!B:B, B49, Stock_Transactions!D:D, "&lt;0") * -1)</f>
        <v>0</v>
      </c>
      <c r="J49" s="38">
        <f>SUMIF(ShipToDubai!C:C, B49, ShipToDubai!G:G)</f>
        <v>0</v>
      </c>
    </row>
    <row r="50" spans="1:14">
      <c r="A50" s="614">
        <f t="shared" si="3"/>
        <v>48</v>
      </c>
      <c r="B50" s="93" t="s">
        <v>383</v>
      </c>
      <c r="C50" s="37">
        <f>SUMIFS(Stock_Transactions!D:D, Stock_Transactions!B:B, B50, Stock_Transactions!D:D, "&gt;0")</f>
        <v>13</v>
      </c>
      <c r="D50" s="37">
        <f>SUMIFS(Stock_Transactions!D:D, Stock_Transactions!B:B, B50, Stock_Transactions!D:D, "&lt;0") * -1</f>
        <v>13</v>
      </c>
      <c r="E50" s="79">
        <f t="shared" si="4"/>
        <v>0</v>
      </c>
      <c r="F50" s="48">
        <f t="shared" si="5"/>
        <v>0</v>
      </c>
      <c r="G50" s="48">
        <f>SUMIF(Pending_Stock!C:C, B50, Pending_Stock!F:F)</f>
        <v>0</v>
      </c>
      <c r="H50" s="49">
        <f>SUMIF(Pending_Stock!I:I, B50, Pending_Stock!L:L)</f>
        <v>0</v>
      </c>
      <c r="I50" s="50">
        <f>SUMIF(ShipToDubai!C:C, B50, ShipToDubai!F:F) - (SUMIFS(Stock_Transactions!D:D, Stock_Transactions!B:B, B50, Stock_Transactions!D:D, "&lt;0") * -1)</f>
        <v>0</v>
      </c>
      <c r="J50" s="38">
        <f>SUMIF(ShipToDubai!C:C, B50, ShipToDubai!G:G)</f>
        <v>0</v>
      </c>
    </row>
    <row r="51" spans="1:14">
      <c r="A51" s="19">
        <f t="shared" si="3"/>
        <v>49</v>
      </c>
      <c r="B51" s="93" t="s">
        <v>384</v>
      </c>
      <c r="C51" s="37">
        <f>SUMIFS(Stock_Transactions!D:D, Stock_Transactions!B:B, B51, Stock_Transactions!D:D, "&gt;0")</f>
        <v>30</v>
      </c>
      <c r="D51" s="37">
        <f>SUMIFS(Stock_Transactions!D:D, Stock_Transactions!B:B, B51, Stock_Transactions!D:D, "&lt;0") * -1</f>
        <v>30</v>
      </c>
      <c r="E51" s="79">
        <f t="shared" si="4"/>
        <v>0</v>
      </c>
      <c r="F51" s="48">
        <f t="shared" si="5"/>
        <v>0</v>
      </c>
      <c r="G51" s="48">
        <f>SUMIF(Pending_Stock!C:C, B51, Pending_Stock!F:F)</f>
        <v>0</v>
      </c>
      <c r="H51" s="49">
        <f>SUMIF(Pending_Stock!I:I, B51, Pending_Stock!L:L)</f>
        <v>0</v>
      </c>
      <c r="I51" s="50">
        <f>SUMIF(ShipToDubai!C:C, B51, ShipToDubai!F:F) - (SUMIFS(Stock_Transactions!D:D, Stock_Transactions!B:B, B51, Stock_Transactions!D:D, "&lt;0") * -1)</f>
        <v>0</v>
      </c>
      <c r="J51" s="38">
        <f>SUMIF(ShipToDubai!C:C, B51, ShipToDubai!G:G)</f>
        <v>0</v>
      </c>
    </row>
    <row r="52" spans="1:14">
      <c r="A52" s="19">
        <f t="shared" si="3"/>
        <v>50</v>
      </c>
      <c r="B52" s="93" t="s">
        <v>385</v>
      </c>
      <c r="C52" s="37">
        <f>SUMIFS(Stock_Transactions!D:D, Stock_Transactions!B:B, B52, Stock_Transactions!D:D, "&gt;0")</f>
        <v>12</v>
      </c>
      <c r="D52" s="37">
        <f>SUMIFS(Stock_Transactions!D:D, Stock_Transactions!B:B, B52, Stock_Transactions!D:D, "&lt;0") * -1</f>
        <v>12</v>
      </c>
      <c r="E52" s="79">
        <f t="shared" si="4"/>
        <v>0</v>
      </c>
      <c r="F52" s="48">
        <f t="shared" si="5"/>
        <v>0</v>
      </c>
      <c r="G52" s="48">
        <f>SUMIF(Pending_Stock!C:C, B52, Pending_Stock!F:F)</f>
        <v>0</v>
      </c>
      <c r="H52" s="49">
        <f>SUMIF(Pending_Stock!I:I, B52, Pending_Stock!L:L)</f>
        <v>0</v>
      </c>
      <c r="I52" s="50">
        <f>SUMIF(ShipToDubai!C:C, B52, ShipToDubai!F:F) - (SUMIFS(Stock_Transactions!D:D, Stock_Transactions!B:B, B52, Stock_Transactions!D:D, "&lt;0") * -1)</f>
        <v>0</v>
      </c>
      <c r="J52" s="38">
        <f>SUMIF(ShipToDubai!C:C, B52, ShipToDubai!G:G)</f>
        <v>0</v>
      </c>
    </row>
    <row r="53" spans="1:14">
      <c r="A53" s="19">
        <f t="shared" si="3"/>
        <v>51</v>
      </c>
      <c r="B53" s="104" t="s">
        <v>337</v>
      </c>
      <c r="C53" s="37">
        <f>SUMIFS(Stock_Transactions!D:D, Stock_Transactions!B:B, B53, Stock_Transactions!D:D, "&gt;0")</f>
        <v>1</v>
      </c>
      <c r="D53" s="37">
        <f>SUMIFS(Stock_Transactions!D:D, Stock_Transactions!B:B, B53, Stock_Transactions!D:D, "&lt;0") * -1</f>
        <v>0</v>
      </c>
      <c r="E53" s="79">
        <f t="shared" si="4"/>
        <v>1</v>
      </c>
      <c r="F53" s="48">
        <f t="shared" si="5"/>
        <v>1</v>
      </c>
      <c r="G53" s="48">
        <f>SUMIF(Pending_Stock!C:C, B53, Pending_Stock!F:F)</f>
        <v>0</v>
      </c>
      <c r="H53" s="49">
        <f>SUMIF(Pending_Stock!I:I, B53, Pending_Stock!L:L)</f>
        <v>0</v>
      </c>
      <c r="I53" s="50">
        <f>SUMIF(ShipToDubai!C:C, B53, ShipToDubai!F:F) - (SUMIFS(Stock_Transactions!D:D, Stock_Transactions!B:B, B53, Stock_Transactions!D:D, "&lt;0") * -1)</f>
        <v>0</v>
      </c>
      <c r="J53" s="38">
        <f>SUMIF(ShipToDubai!C:C, B53, ShipToDubai!G:G)</f>
        <v>0</v>
      </c>
    </row>
    <row r="54" spans="1:14">
      <c r="A54" s="19">
        <f t="shared" si="3"/>
        <v>52</v>
      </c>
      <c r="B54" s="84"/>
      <c r="C54" s="37">
        <f>SUMIFS(Stock_Transactions!D:D, Stock_Transactions!B:B, B54, Stock_Transactions!D:D, "&gt;0")</f>
        <v>0</v>
      </c>
      <c r="D54" s="37">
        <f>SUMIFS(Stock_Transactions!D:D, Stock_Transactions!B:B, B54, Stock_Transactions!D:D, "&lt;0") * -1</f>
        <v>0</v>
      </c>
      <c r="E54" s="79">
        <f t="shared" si="4"/>
        <v>0</v>
      </c>
      <c r="F54" s="48">
        <f t="shared" si="5"/>
        <v>0</v>
      </c>
      <c r="G54" s="48">
        <f>SUMIF(Pending_Stock!C:C, B54, Pending_Stock!F:F)</f>
        <v>0</v>
      </c>
      <c r="H54" s="49">
        <f>SUMIF(Pending_Stock!I:I, B54, Pending_Stock!L:L)</f>
        <v>0</v>
      </c>
      <c r="I54" s="50">
        <f>SUMIF(ShipToDubai!C:C, B54, ShipToDubai!F:F) - (SUMIFS(Stock_Transactions!D:D, Stock_Transactions!B:B, B54, Stock_Transactions!D:D, "&lt;0") * -1)</f>
        <v>0</v>
      </c>
      <c r="J54" s="38">
        <f>SUMIF(ShipToDubai!C:C, B54, ShipToDubai!G:G)</f>
        <v>0</v>
      </c>
      <c r="K54" t="s">
        <v>732</v>
      </c>
    </row>
    <row r="55" spans="1:14">
      <c r="A55" s="614">
        <f t="shared" si="3"/>
        <v>53</v>
      </c>
      <c r="B55" s="84" t="s">
        <v>467</v>
      </c>
      <c r="C55" s="37">
        <f>SUMIFS(Stock_Transactions!D:D, Stock_Transactions!B:B, B55, Stock_Transactions!D:D, "&gt;0")</f>
        <v>101</v>
      </c>
      <c r="D55" s="37">
        <f>SUMIFS(Stock_Transactions!D:D, Stock_Transactions!B:B, B55, Stock_Transactions!D:D, "&lt;0") * -1</f>
        <v>30</v>
      </c>
      <c r="E55" s="79">
        <f t="shared" si="4"/>
        <v>71</v>
      </c>
      <c r="F55" s="48">
        <f t="shared" si="5"/>
        <v>0</v>
      </c>
      <c r="G55" s="48">
        <f>SUMIF(Pending_Stock!C:C, B55, Pending_Stock!F:F)</f>
        <v>20</v>
      </c>
      <c r="H55" s="49">
        <f>SUMIF(Pending_Stock!I:I, B55, Pending_Stock!L:L)</f>
        <v>0</v>
      </c>
      <c r="I55" s="50">
        <f>SUMIF(ShipToDubai!C:C, B55, ShipToDubai!F:F) - (SUMIFS(Stock_Transactions!D:D, Stock_Transactions!B:B, B55, Stock_Transactions!D:D, "&lt;0") * -1)</f>
        <v>51</v>
      </c>
      <c r="J55" s="38">
        <f>SUMIF(ShipToDubai!C:C, B55, ShipToDubai!G:G)</f>
        <v>0</v>
      </c>
      <c r="K55" t="s">
        <v>1340</v>
      </c>
      <c r="L55" t="s">
        <v>305</v>
      </c>
    </row>
    <row r="56" spans="1:14">
      <c r="A56" s="19">
        <f t="shared" si="3"/>
        <v>54</v>
      </c>
      <c r="B56" s="234" t="s">
        <v>477</v>
      </c>
      <c r="C56" s="37">
        <f>SUMIFS(Stock_Transactions!D:D, Stock_Transactions!B:B, B56, Stock_Transactions!D:D, "&gt;0")</f>
        <v>49</v>
      </c>
      <c r="D56" s="37">
        <f>SUMIFS(Stock_Transactions!D:D, Stock_Transactions!B:B, B56, Stock_Transactions!D:D, "&lt;0") * -1</f>
        <v>49</v>
      </c>
      <c r="E56" s="79">
        <f t="shared" si="4"/>
        <v>0</v>
      </c>
      <c r="F56" s="48">
        <f t="shared" si="5"/>
        <v>0</v>
      </c>
      <c r="G56" s="48">
        <f>SUMIF(Pending_Stock!C:C, B56, Pending_Stock!F:F)</f>
        <v>0</v>
      </c>
      <c r="H56" s="49">
        <f>SUMIF(Pending_Stock!I:I, B56, Pending_Stock!L:L)</f>
        <v>0</v>
      </c>
      <c r="I56" s="50">
        <f>SUMIF(ShipToDubai!C:C, B56, ShipToDubai!F:F) - (SUMIFS(Stock_Transactions!D:D, Stock_Transactions!B:B, B56, Stock_Transactions!D:D, "&lt;0") * -1)</f>
        <v>0</v>
      </c>
      <c r="J56" s="38">
        <f>SUMIF(ShipToDubai!C:C, B56, ShipToDubai!G:G)</f>
        <v>0</v>
      </c>
      <c r="L56" t="s">
        <v>305</v>
      </c>
    </row>
    <row r="57" spans="1:14">
      <c r="A57" s="19">
        <f t="shared" si="3"/>
        <v>55</v>
      </c>
      <c r="B57" s="84" t="s">
        <v>497</v>
      </c>
      <c r="C57" s="37">
        <f>SUMIFS(Stock_Transactions!D:D, Stock_Transactions!B:B, B57, Stock_Transactions!D:D, "&gt;0")</f>
        <v>47</v>
      </c>
      <c r="D57" s="37">
        <f>SUMIFS(Stock_Transactions!D:D, Stock_Transactions!B:B, B57, Stock_Transactions!D:D, "&lt;0") * -1</f>
        <v>47</v>
      </c>
      <c r="E57" s="79">
        <f t="shared" si="4"/>
        <v>0</v>
      </c>
      <c r="F57" s="48">
        <f t="shared" si="5"/>
        <v>0</v>
      </c>
      <c r="G57" s="48">
        <f>SUMIF(Pending_Stock!C:C, B57, Pending_Stock!F:F)</f>
        <v>0</v>
      </c>
      <c r="H57" s="49">
        <f>SUMIF(Pending_Stock!I:I, B57, Pending_Stock!L:L)</f>
        <v>0</v>
      </c>
      <c r="I57" s="50">
        <f>SUMIF(ShipToDubai!C:C, B57, ShipToDubai!F:F) - (SUMIFS(Stock_Transactions!D:D, Stock_Transactions!B:B, B57, Stock_Transactions!D:D, "&lt;0") * -1)</f>
        <v>0</v>
      </c>
      <c r="J57" s="38">
        <f>SUMIF(ShipToDubai!C:C, B57, ShipToDubai!G:G)</f>
        <v>0</v>
      </c>
      <c r="N57" s="84"/>
    </row>
    <row r="58" spans="1:14">
      <c r="A58" s="614">
        <f t="shared" si="3"/>
        <v>56</v>
      </c>
      <c r="B58" s="84" t="s">
        <v>498</v>
      </c>
      <c r="C58" s="37">
        <f>SUMIFS(Stock_Transactions!D:D, Stock_Transactions!B:B, B58, Stock_Transactions!D:D, "&gt;0")</f>
        <v>30</v>
      </c>
      <c r="D58" s="37">
        <f>SUMIFS(Stock_Transactions!D:D, Stock_Transactions!B:B, B58, Stock_Transactions!D:D, "&lt;0") * -1</f>
        <v>30</v>
      </c>
      <c r="E58" s="79">
        <f t="shared" si="4"/>
        <v>0</v>
      </c>
      <c r="F58" s="48">
        <f t="shared" si="5"/>
        <v>0</v>
      </c>
      <c r="G58" s="48">
        <f>SUMIF(Pending_Stock!C:C, B58, Pending_Stock!F:F)</f>
        <v>0</v>
      </c>
      <c r="H58" s="49">
        <f>SUMIF(Pending_Stock!I:I, B58, Pending_Stock!L:L)</f>
        <v>0</v>
      </c>
      <c r="I58" s="50">
        <f>SUMIF(ShipToDubai!C:C, B58, ShipToDubai!F:F) - (SUMIFS(Stock_Transactions!D:D, Stock_Transactions!B:B, B58, Stock_Transactions!D:D, "&lt;0") * -1)</f>
        <v>0</v>
      </c>
      <c r="J58" s="38">
        <f>SUMIF(ShipToDubai!C:C, B58, ShipToDubai!G:G)</f>
        <v>0</v>
      </c>
    </row>
    <row r="59" spans="1:14">
      <c r="A59" s="19">
        <f t="shared" si="3"/>
        <v>57</v>
      </c>
      <c r="B59" s="104" t="s">
        <v>304</v>
      </c>
      <c r="C59" s="37">
        <f>SUMIFS(Stock_Transactions!D:D, Stock_Transactions!B:B, B59, Stock_Transactions!D:D, "&gt;0")</f>
        <v>62</v>
      </c>
      <c r="D59" s="37">
        <f>SUMIFS(Stock_Transactions!D:D, Stock_Transactions!B:B, B59, Stock_Transactions!D:D, "&lt;0") * -1</f>
        <v>52</v>
      </c>
      <c r="E59" s="79">
        <f t="shared" si="4"/>
        <v>10</v>
      </c>
      <c r="F59" s="48">
        <f t="shared" si="5"/>
        <v>0</v>
      </c>
      <c r="G59" s="48">
        <f>SUMIF(Pending_Stock!C:C, B59, Pending_Stock!F:F)</f>
        <v>0</v>
      </c>
      <c r="H59" s="49">
        <f>SUMIF(Pending_Stock!I:I, B59, Pending_Stock!L:L)</f>
        <v>0</v>
      </c>
      <c r="I59" s="50">
        <f>SUMIF(ShipToDubai!C:C, B59, ShipToDubai!F:F) - (SUMIFS(Stock_Transactions!D:D, Stock_Transactions!B:B, B59, Stock_Transactions!D:D, "&lt;0") * -1)</f>
        <v>10</v>
      </c>
      <c r="J59" s="38">
        <f>SUMIF(ShipToDubai!C:C, B59, ShipToDubai!G:G)</f>
        <v>0</v>
      </c>
      <c r="L59" t="s">
        <v>305</v>
      </c>
      <c r="N59" s="92"/>
    </row>
    <row r="60" spans="1:14">
      <c r="A60" s="614">
        <f t="shared" si="3"/>
        <v>58</v>
      </c>
      <c r="B60" s="93" t="s">
        <v>482</v>
      </c>
      <c r="C60" s="37">
        <f>SUMIFS(Stock_Transactions!D:D, Stock_Transactions!B:B, B60, Stock_Transactions!D:D, "&gt;0")</f>
        <v>1276</v>
      </c>
      <c r="D60" s="37">
        <f>SUMIFS(Stock_Transactions!D:D, Stock_Transactions!B:B, B60, Stock_Transactions!D:D, "&lt;0") * -1</f>
        <v>1276</v>
      </c>
      <c r="E60" s="79">
        <f t="shared" si="4"/>
        <v>0</v>
      </c>
      <c r="F60" s="48">
        <f t="shared" si="5"/>
        <v>0</v>
      </c>
      <c r="G60" s="48">
        <f>SUMIF(Pending_Stock!C:C, B60, Pending_Stock!F:F)</f>
        <v>0</v>
      </c>
      <c r="H60" s="49">
        <f>SUMIF(Pending_Stock!I:I, B60, Pending_Stock!L:L)</f>
        <v>0</v>
      </c>
      <c r="I60" s="50">
        <f>SUMIF(ShipToDubai!C:C, B60, ShipToDubai!F:F) - (SUMIFS(Stock_Transactions!D:D, Stock_Transactions!B:B, B60, Stock_Transactions!D:D, "&lt;0") * -1)</f>
        <v>0</v>
      </c>
      <c r="J60" s="38">
        <f>SUMIF(ShipToDubai!C:C, B60, ShipToDubai!G:G)</f>
        <v>0</v>
      </c>
      <c r="L60" t="s">
        <v>305</v>
      </c>
    </row>
    <row r="61" spans="1:14">
      <c r="A61" s="614">
        <f t="shared" si="3"/>
        <v>59</v>
      </c>
      <c r="B61" s="93" t="s">
        <v>123</v>
      </c>
      <c r="C61" s="37">
        <f>SUMIFS(Stock_Transactions!D:D, Stock_Transactions!B:B, B61, Stock_Transactions!D:D, "&gt;0")</f>
        <v>6</v>
      </c>
      <c r="D61" s="37">
        <f>SUMIFS(Stock_Transactions!D:D, Stock_Transactions!B:B, B61, Stock_Transactions!D:D, "&lt;0") * -1</f>
        <v>6</v>
      </c>
      <c r="E61" s="79">
        <f t="shared" si="4"/>
        <v>0</v>
      </c>
      <c r="F61" s="48">
        <f t="shared" si="5"/>
        <v>0</v>
      </c>
      <c r="G61" s="48">
        <f>SUMIF(Pending_Stock!C:C, B61, Pending_Stock!F:F)</f>
        <v>0</v>
      </c>
      <c r="H61" s="49">
        <f>SUMIF(Pending_Stock!I:I, B61, Pending_Stock!L:L)</f>
        <v>0</v>
      </c>
      <c r="I61" s="50">
        <f>SUMIF(ShipToDubai!C:C, B61, ShipToDubai!F:F) - (SUMIFS(Stock_Transactions!D:D, Stock_Transactions!B:B, B61, Stock_Transactions!D:D, "&lt;0") * -1)</f>
        <v>0</v>
      </c>
      <c r="J61" s="38">
        <f>SUMIF(ShipToDubai!C:C, B61, ShipToDubai!G:G)</f>
        <v>0</v>
      </c>
    </row>
    <row r="62" spans="1:14">
      <c r="A62" s="614">
        <f t="shared" si="3"/>
        <v>60</v>
      </c>
      <c r="B62" s="84" t="s">
        <v>513</v>
      </c>
      <c r="C62" s="37">
        <f>SUMIFS(Stock_Transactions!D:D, Stock_Transactions!B:B, B62, Stock_Transactions!D:D, "&gt;0")</f>
        <v>13</v>
      </c>
      <c r="D62" s="37">
        <f>SUMIFS(Stock_Transactions!D:D, Stock_Transactions!B:B, B62, Stock_Transactions!D:D, "&lt;0") * -1</f>
        <v>11</v>
      </c>
      <c r="E62" s="79">
        <f t="shared" si="4"/>
        <v>2</v>
      </c>
      <c r="F62" s="48">
        <f t="shared" si="5"/>
        <v>-1</v>
      </c>
      <c r="G62" s="48">
        <f>SUMIF(Pending_Stock!C:C, B62, Pending_Stock!F:F)</f>
        <v>0</v>
      </c>
      <c r="H62" s="49">
        <f>SUMIF(Pending_Stock!I:I, B62, Pending_Stock!L:L)</f>
        <v>0</v>
      </c>
      <c r="I62" s="50">
        <f>SUMIF(ShipToDubai!C:C, B62, ShipToDubai!F:F) - (SUMIFS(Stock_Transactions!D:D, Stock_Transactions!B:B, B62, Stock_Transactions!D:D, "&lt;0") * -1)</f>
        <v>3</v>
      </c>
      <c r="J62" s="38">
        <f>SUMIF(ShipToDubai!C:C, B62, ShipToDubai!G:G)</f>
        <v>0</v>
      </c>
    </row>
    <row r="63" spans="1:14">
      <c r="A63" s="19">
        <f t="shared" si="3"/>
        <v>61</v>
      </c>
      <c r="B63" s="84" t="s">
        <v>122</v>
      </c>
      <c r="C63" s="37">
        <f>SUMIFS(Stock_Transactions!D:D, Stock_Transactions!B:B, B63, Stock_Transactions!D:D, "&gt;0")</f>
        <v>12</v>
      </c>
      <c r="D63" s="37">
        <f>SUMIFS(Stock_Transactions!D:D, Stock_Transactions!B:B, B63, Stock_Transactions!D:D, "&lt;0") * -1</f>
        <v>12</v>
      </c>
      <c r="E63" s="79">
        <f t="shared" si="4"/>
        <v>0</v>
      </c>
      <c r="F63" s="48">
        <f t="shared" si="5"/>
        <v>0</v>
      </c>
      <c r="G63" s="48">
        <f>SUMIF(Pending_Stock!C:C, B63, Pending_Stock!F:F)</f>
        <v>0</v>
      </c>
      <c r="H63" s="49">
        <f>SUMIF(Pending_Stock!I:I, B63, Pending_Stock!L:L)</f>
        <v>0</v>
      </c>
      <c r="I63" s="50">
        <f>SUMIF(ShipToDubai!C:C, B63, ShipToDubai!F:F) - (SUMIFS(Stock_Transactions!D:D, Stock_Transactions!B:B, B63, Stock_Transactions!D:D, "&lt;0") * -1)</f>
        <v>0</v>
      </c>
      <c r="J63" s="38">
        <f>SUMIF(ShipToDubai!C:C, B63, ShipToDubai!G:G)</f>
        <v>0</v>
      </c>
    </row>
    <row r="64" spans="1:14">
      <c r="A64" s="19">
        <f t="shared" si="3"/>
        <v>62</v>
      </c>
      <c r="B64" s="93" t="s">
        <v>582</v>
      </c>
      <c r="C64" s="37">
        <f>SUMIFS(Stock_Transactions!D:D, Stock_Transactions!B:B, B64, Stock_Transactions!D:D, "&gt;0")</f>
        <v>47</v>
      </c>
      <c r="D64" s="37">
        <f>SUMIFS(Stock_Transactions!D:D, Stock_Transactions!B:B, B64, Stock_Transactions!D:D, "&lt;0") * -1</f>
        <v>47</v>
      </c>
      <c r="E64" s="79">
        <f t="shared" si="4"/>
        <v>0</v>
      </c>
      <c r="F64" s="48">
        <f t="shared" si="5"/>
        <v>0</v>
      </c>
      <c r="G64" s="48">
        <f>SUMIF(Pending_Stock!C:C, B64, Pending_Stock!F:F)</f>
        <v>0</v>
      </c>
      <c r="H64" s="49">
        <f>SUMIF(Pending_Stock!I:I, B64, Pending_Stock!L:L)</f>
        <v>0</v>
      </c>
      <c r="I64" s="50">
        <f>SUMIF(ShipToDubai!C:C, B64, ShipToDubai!F:F) - (SUMIFS(Stock_Transactions!D:D, Stock_Transactions!B:B, B64, Stock_Transactions!D:D, "&lt;0") * -1)</f>
        <v>0</v>
      </c>
      <c r="J64" s="38">
        <f>SUMIF(ShipToDubai!C:C, B64, ShipToDubai!G:G)</f>
        <v>0</v>
      </c>
      <c r="N64" s="92"/>
    </row>
    <row r="65" spans="1:14">
      <c r="A65" s="614">
        <f t="shared" si="3"/>
        <v>63</v>
      </c>
      <c r="B65" s="93" t="s">
        <v>581</v>
      </c>
      <c r="C65" s="37">
        <f>SUMIFS(Stock_Transactions!D:D, Stock_Transactions!B:B, B65, Stock_Transactions!D:D, "&gt;0")</f>
        <v>1</v>
      </c>
      <c r="D65" s="37">
        <f>SUMIFS(Stock_Transactions!D:D, Stock_Transactions!B:B, B65, Stock_Transactions!D:D, "&lt;0") * -1</f>
        <v>1</v>
      </c>
      <c r="E65" s="79">
        <f t="shared" si="4"/>
        <v>0</v>
      </c>
      <c r="F65" s="48">
        <f t="shared" si="5"/>
        <v>0</v>
      </c>
      <c r="G65" s="48">
        <f>SUMIF(Pending_Stock!C:C, B65, Pending_Stock!F:F)</f>
        <v>0</v>
      </c>
      <c r="H65" s="49">
        <f>SUMIF(Pending_Stock!I:I, B65, Pending_Stock!L:L)</f>
        <v>0</v>
      </c>
      <c r="I65" s="50">
        <f>SUMIF(ShipToDubai!C:C, B65, ShipToDubai!F:F) - (SUMIFS(Stock_Transactions!D:D, Stock_Transactions!B:B, B65, Stock_Transactions!D:D, "&lt;0") * -1)</f>
        <v>0</v>
      </c>
      <c r="J65" s="38">
        <f>SUMIF(ShipToDubai!C:C, B65, ShipToDubai!G:G)</f>
        <v>0</v>
      </c>
      <c r="N65" s="92"/>
    </row>
    <row r="66" spans="1:14">
      <c r="A66" s="304">
        <f t="shared" si="3"/>
        <v>64</v>
      </c>
      <c r="B66" s="233" t="s">
        <v>534</v>
      </c>
      <c r="C66" s="37">
        <f>SUMIFS(Stock_Transactions!D:D, Stock_Transactions!B:B, B66, Stock_Transactions!D:D, "&gt;0")</f>
        <v>5</v>
      </c>
      <c r="D66" s="37">
        <f>SUMIFS(Stock_Transactions!D:D, Stock_Transactions!B:B, B66, Stock_Transactions!D:D, "&lt;0") * -1</f>
        <v>5</v>
      </c>
      <c r="E66" s="79">
        <f t="shared" si="4"/>
        <v>0</v>
      </c>
      <c r="F66" s="48">
        <f t="shared" si="5"/>
        <v>0</v>
      </c>
      <c r="G66" s="48">
        <f>SUMIF(Pending_Stock!C:C, B66, Pending_Stock!F:F)</f>
        <v>0</v>
      </c>
      <c r="H66" s="49">
        <f>SUMIF(Pending_Stock!I:I, B66, Pending_Stock!L:L)</f>
        <v>0</v>
      </c>
      <c r="I66" s="50">
        <f>SUMIF(ShipToDubai!C:C, B66, ShipToDubai!F:F) - (SUMIFS(Stock_Transactions!D:D, Stock_Transactions!B:B, B66, Stock_Transactions!D:D, "&lt;0") * -1)</f>
        <v>0</v>
      </c>
      <c r="J66" s="38">
        <f>SUMIF(ShipToDubai!C:C, B66, ShipToDubai!G:G)</f>
        <v>0</v>
      </c>
    </row>
    <row r="67" spans="1:14">
      <c r="A67" s="304">
        <f t="shared" si="3"/>
        <v>65</v>
      </c>
      <c r="B67" s="233" t="s">
        <v>533</v>
      </c>
      <c r="C67" s="37">
        <f>SUMIFS(Stock_Transactions!D:D, Stock_Transactions!B:B, B67, Stock_Transactions!D:D, "&gt;0")</f>
        <v>0</v>
      </c>
      <c r="D67" s="37">
        <f>SUMIFS(Stock_Transactions!D:D, Stock_Transactions!B:B, B67, Stock_Transactions!D:D, "&lt;0") * -1</f>
        <v>0</v>
      </c>
      <c r="E67" s="79">
        <f t="shared" si="4"/>
        <v>0</v>
      </c>
      <c r="F67" s="48">
        <f t="shared" si="5"/>
        <v>0</v>
      </c>
      <c r="G67" s="48">
        <f>SUMIF(Pending_Stock!C:C, B67, Pending_Stock!F:F)</f>
        <v>0</v>
      </c>
      <c r="H67" s="49">
        <f>SUMIF(Pending_Stock!I:I, B67, Pending_Stock!L:L)</f>
        <v>0</v>
      </c>
      <c r="I67" s="50">
        <f>SUMIF(ShipToDubai!C:C, B67, ShipToDubai!F:F) - (SUMIFS(Stock_Transactions!D:D, Stock_Transactions!B:B, B67, Stock_Transactions!D:D, "&lt;0") * -1)</f>
        <v>0</v>
      </c>
      <c r="J67" s="38">
        <f>SUMIF(ShipToDubai!C:C, B67, ShipToDubai!G:G)</f>
        <v>0</v>
      </c>
      <c r="N67" s="93"/>
    </row>
    <row r="68" spans="1:14">
      <c r="A68" s="19">
        <f t="shared" si="3"/>
        <v>66</v>
      </c>
      <c r="B68" s="84" t="s">
        <v>619</v>
      </c>
      <c r="C68" s="37">
        <f>SUMIFS(Stock_Transactions!D:D, Stock_Transactions!B:B, B68, Stock_Transactions!D:D, "&gt;0")</f>
        <v>108</v>
      </c>
      <c r="D68" s="37">
        <f>SUMIFS(Stock_Transactions!D:D, Stock_Transactions!B:B, B68, Stock_Transactions!D:D, "&lt;0") * -1</f>
        <v>108</v>
      </c>
      <c r="E68" s="79">
        <f t="shared" si="4"/>
        <v>0</v>
      </c>
      <c r="F68" s="48">
        <f t="shared" si="5"/>
        <v>0</v>
      </c>
      <c r="G68" s="48">
        <f>SUMIF(Pending_Stock!C:C, B68, Pending_Stock!F:F)</f>
        <v>0</v>
      </c>
      <c r="H68" s="49">
        <f>SUMIF(Pending_Stock!I:I, B68, Pending_Stock!L:L)</f>
        <v>0</v>
      </c>
      <c r="I68" s="50">
        <f>SUMIF(ShipToDubai!C:C, B68, ShipToDubai!F:F) - (SUMIFS(Stock_Transactions!D:D, Stock_Transactions!B:B, B68, Stock_Transactions!D:D, "&lt;0") * -1)</f>
        <v>0</v>
      </c>
      <c r="J68" s="38">
        <f>SUMIF(ShipToDubai!C:C, B68, ShipToDubai!G:G)</f>
        <v>0</v>
      </c>
      <c r="N68" s="92"/>
    </row>
    <row r="69" spans="1:14">
      <c r="A69" s="614">
        <f t="shared" si="3"/>
        <v>67</v>
      </c>
      <c r="B69" s="92" t="s">
        <v>634</v>
      </c>
      <c r="C69" s="37">
        <f>SUMIFS(Stock_Transactions!D:D, Stock_Transactions!B:B, B69, Stock_Transactions!D:D, "&gt;0")</f>
        <v>501</v>
      </c>
      <c r="D69" s="37">
        <f>SUMIFS(Stock_Transactions!D:D, Stock_Transactions!B:B, B69, Stock_Transactions!D:D, "&lt;0") * -1</f>
        <v>500</v>
      </c>
      <c r="E69" s="79">
        <f t="shared" si="4"/>
        <v>1</v>
      </c>
      <c r="F69" s="48">
        <f t="shared" si="5"/>
        <v>0</v>
      </c>
      <c r="G69" s="48">
        <f>SUMIF(Pending_Stock!C:C, B69, Pending_Stock!F:F)</f>
        <v>0</v>
      </c>
      <c r="H69" s="49">
        <f>SUMIF(Pending_Stock!I:I, B69, Pending_Stock!L:L)</f>
        <v>0</v>
      </c>
      <c r="I69" s="50">
        <f>SUMIF(ShipToDubai!C:C, B69, ShipToDubai!F:F) - (SUMIFS(Stock_Transactions!D:D, Stock_Transactions!B:B, B69, Stock_Transactions!D:D, "&lt;0") * -1)</f>
        <v>1</v>
      </c>
      <c r="J69" s="38">
        <f>SUMIF(ShipToDubai!C:C, B69, ShipToDubai!G:G)</f>
        <v>0</v>
      </c>
      <c r="N69" s="93"/>
    </row>
    <row r="70" spans="1:14">
      <c r="A70" s="19">
        <f t="shared" si="3"/>
        <v>68</v>
      </c>
      <c r="B70" s="92" t="s">
        <v>641</v>
      </c>
      <c r="C70" s="37">
        <f>SUMIFS(Stock_Transactions!D:D, Stock_Transactions!B:B, B70, Stock_Transactions!D:D, "&gt;0")</f>
        <v>5</v>
      </c>
      <c r="D70" s="37">
        <f>SUMIFS(Stock_Transactions!D:D, Stock_Transactions!B:B, B70, Stock_Transactions!D:D, "&lt;0") * -1</f>
        <v>5</v>
      </c>
      <c r="E70" s="79">
        <f t="shared" si="4"/>
        <v>0</v>
      </c>
      <c r="F70" s="48">
        <f t="shared" si="5"/>
        <v>0</v>
      </c>
      <c r="G70" s="48">
        <f>SUMIF(Pending_Stock!C:C, B70, Pending_Stock!F:F)</f>
        <v>0</v>
      </c>
      <c r="H70" s="49">
        <f>SUMIF(Pending_Stock!I:I, B70, Pending_Stock!L:L)</f>
        <v>0</v>
      </c>
      <c r="I70" s="50">
        <f>SUMIF(ShipToDubai!C:C, B70, ShipToDubai!F:F) - (SUMIFS(Stock_Transactions!D:D, Stock_Transactions!B:B, B70, Stock_Transactions!D:D, "&lt;0") * -1)</f>
        <v>0</v>
      </c>
      <c r="J70" s="38">
        <f>SUMIF(ShipToDubai!C:C, B70, ShipToDubai!G:G)</f>
        <v>0</v>
      </c>
      <c r="N70" s="93"/>
    </row>
    <row r="71" spans="1:14">
      <c r="A71" s="19">
        <f t="shared" si="3"/>
        <v>69</v>
      </c>
      <c r="B71" s="92" t="s">
        <v>642</v>
      </c>
      <c r="C71" s="37">
        <f>SUMIFS(Stock_Transactions!D:D, Stock_Transactions!B:B, B71, Stock_Transactions!D:D, "&gt;0")</f>
        <v>116</v>
      </c>
      <c r="D71" s="37">
        <f>SUMIFS(Stock_Transactions!D:D, Stock_Transactions!B:B, B71, Stock_Transactions!D:D, "&lt;0") * -1</f>
        <v>113</v>
      </c>
      <c r="E71" s="79">
        <f t="shared" si="4"/>
        <v>3</v>
      </c>
      <c r="F71" s="48">
        <f t="shared" si="5"/>
        <v>0</v>
      </c>
      <c r="G71" s="48">
        <f>SUMIF(Pending_Stock!C:C, B71, Pending_Stock!F:F)</f>
        <v>0</v>
      </c>
      <c r="H71" s="49">
        <f>SUMIF(Pending_Stock!I:I, B71, Pending_Stock!L:L)</f>
        <v>0</v>
      </c>
      <c r="I71" s="50">
        <f>SUMIF(ShipToDubai!C:C, B71, ShipToDubai!F:F) - (SUMIFS(Stock_Transactions!D:D, Stock_Transactions!B:B, B71, Stock_Transactions!D:D, "&lt;0") * -1)</f>
        <v>3</v>
      </c>
      <c r="J71" s="38">
        <f>SUMIF(ShipToDubai!C:C, B71, ShipToDubai!G:G)</f>
        <v>0</v>
      </c>
      <c r="N71" s="93"/>
    </row>
    <row r="72" spans="1:14">
      <c r="A72" s="614">
        <f t="shared" si="3"/>
        <v>70</v>
      </c>
      <c r="B72" s="92" t="s">
        <v>670</v>
      </c>
      <c r="C72" s="37">
        <f>SUMIFS(Stock_Transactions!D:D, Stock_Transactions!B:B, B72, Stock_Transactions!D:D, "&gt;0")</f>
        <v>2</v>
      </c>
      <c r="D72" s="37">
        <f>SUMIFS(Stock_Transactions!D:D, Stock_Transactions!B:B, B72, Stock_Transactions!D:D, "&lt;0") * -1</f>
        <v>2</v>
      </c>
      <c r="E72" s="79">
        <f t="shared" si="4"/>
        <v>0</v>
      </c>
      <c r="F72" s="48">
        <f t="shared" si="5"/>
        <v>0</v>
      </c>
      <c r="G72" s="48">
        <f>SUMIF(Pending_Stock!C:C, B72, Pending_Stock!F:F)</f>
        <v>0</v>
      </c>
      <c r="H72" s="49">
        <f>SUMIF(Pending_Stock!I:I, B72, Pending_Stock!L:L)</f>
        <v>0</v>
      </c>
      <c r="I72" s="50">
        <f>SUMIF(ShipToDubai!C:C, B72, ShipToDubai!F:F) - (SUMIFS(Stock_Transactions!D:D, Stock_Transactions!B:B, B72, Stock_Transactions!D:D, "&lt;0") * -1)</f>
        <v>0</v>
      </c>
      <c r="J72" s="38">
        <f>SUMIF(ShipToDubai!C:C, B72, ShipToDubai!G:G)</f>
        <v>0</v>
      </c>
    </row>
    <row r="73" spans="1:14">
      <c r="A73" s="614">
        <f t="shared" si="3"/>
        <v>71</v>
      </c>
      <c r="B73" s="92" t="s">
        <v>671</v>
      </c>
      <c r="C73" s="37">
        <f>SUMIFS(Stock_Transactions!D:D, Stock_Transactions!B:B, B73, Stock_Transactions!D:D, "&gt;0")</f>
        <v>181</v>
      </c>
      <c r="D73" s="37">
        <f>SUMIFS(Stock_Transactions!D:D, Stock_Transactions!B:B, B73, Stock_Transactions!D:D, "&lt;0") * -1</f>
        <v>181</v>
      </c>
      <c r="E73" s="79">
        <f t="shared" si="4"/>
        <v>0</v>
      </c>
      <c r="F73" s="48">
        <f t="shared" si="5"/>
        <v>-1</v>
      </c>
      <c r="G73" s="48">
        <f>SUMIF(Pending_Stock!C:C, B73, Pending_Stock!F:F)</f>
        <v>0</v>
      </c>
      <c r="H73" s="49">
        <f>SUMIF(Pending_Stock!I:I, B73, Pending_Stock!L:L)</f>
        <v>0</v>
      </c>
      <c r="I73" s="50">
        <f>SUMIF(ShipToDubai!C:C, B73, ShipToDubai!F:F) - (SUMIFS(Stock_Transactions!D:D, Stock_Transactions!B:B, B73, Stock_Transactions!D:D, "&lt;0") * -1)</f>
        <v>1</v>
      </c>
      <c r="J73" s="38">
        <f>SUMIF(ShipToDubai!C:C, B73, ShipToDubai!G:G)</f>
        <v>0</v>
      </c>
      <c r="L73" t="s">
        <v>305</v>
      </c>
    </row>
    <row r="74" spans="1:14">
      <c r="A74" s="19">
        <f t="shared" si="3"/>
        <v>72</v>
      </c>
      <c r="B74" s="93" t="s">
        <v>797</v>
      </c>
      <c r="C74" s="37">
        <f>SUMIFS(Stock_Transactions!D:D, Stock_Transactions!B:B, B74, Stock_Transactions!D:D, "&gt;0")</f>
        <v>1</v>
      </c>
      <c r="D74" s="37">
        <f>SUMIFS(Stock_Transactions!D:D, Stock_Transactions!B:B, B74, Stock_Transactions!D:D, "&lt;0") * -1</f>
        <v>1</v>
      </c>
      <c r="E74" s="79">
        <f t="shared" si="4"/>
        <v>0</v>
      </c>
      <c r="F74" s="48">
        <f t="shared" si="5"/>
        <v>0</v>
      </c>
      <c r="G74" s="48">
        <f>SUMIF(Pending_Stock!C:C, B74, Pending_Stock!F:F)</f>
        <v>0</v>
      </c>
      <c r="H74" s="49">
        <f>SUMIF(Pending_Stock!I:I, B74, Pending_Stock!L:L)</f>
        <v>0</v>
      </c>
      <c r="I74" s="50">
        <f>SUMIF(ShipToDubai!C:C, B74, ShipToDubai!F:F) - (SUMIFS(Stock_Transactions!D:D, Stock_Transactions!B:B, B74, Stock_Transactions!D:D, "&lt;0") * -1)</f>
        <v>0</v>
      </c>
      <c r="J74" s="38">
        <f>SUMIF(ShipToDubai!C:C, B74, ShipToDubai!G:G)</f>
        <v>0</v>
      </c>
      <c r="L74" t="s">
        <v>305</v>
      </c>
    </row>
    <row r="75" spans="1:14">
      <c r="A75" s="19">
        <f t="shared" si="3"/>
        <v>73</v>
      </c>
      <c r="B75" s="92" t="s">
        <v>662</v>
      </c>
      <c r="C75" s="37">
        <f>SUMIFS(Stock_Transactions!D:D, Stock_Transactions!B:B, B75, Stock_Transactions!D:D, "&gt;0")</f>
        <v>134</v>
      </c>
      <c r="D75" s="37">
        <f>SUMIFS(Stock_Transactions!D:D, Stock_Transactions!B:B, B75, Stock_Transactions!D:D, "&lt;0") * -1</f>
        <v>134</v>
      </c>
      <c r="E75" s="79">
        <f t="shared" si="4"/>
        <v>0</v>
      </c>
      <c r="F75" s="48">
        <f t="shared" si="5"/>
        <v>0</v>
      </c>
      <c r="G75" s="48">
        <f>SUMIF(Pending_Stock!C:C, B75, Pending_Stock!F:F)</f>
        <v>0</v>
      </c>
      <c r="H75" s="49">
        <f>SUMIF(Pending_Stock!I:I, B75, Pending_Stock!L:L)</f>
        <v>0</v>
      </c>
      <c r="I75" s="50">
        <f>SUMIF(ShipToDubai!C:C, B75, ShipToDubai!F:F) - (SUMIFS(Stock_Transactions!D:D, Stock_Transactions!B:B, B75, Stock_Transactions!D:D, "&lt;0") * -1)</f>
        <v>0</v>
      </c>
      <c r="J75" s="38">
        <f>SUMIF(ShipToDubai!C:C, B75, ShipToDubai!G:G)</f>
        <v>0</v>
      </c>
    </row>
    <row r="76" spans="1:14">
      <c r="A76" s="614">
        <f t="shared" si="3"/>
        <v>74</v>
      </c>
      <c r="B76" s="104" t="s">
        <v>673</v>
      </c>
      <c r="C76" s="37">
        <f>SUMIFS(Stock_Transactions!D:D, Stock_Transactions!B:B, B76, Stock_Transactions!D:D, "&gt;0")</f>
        <v>2</v>
      </c>
      <c r="D76" s="37">
        <f>SUMIFS(Stock_Transactions!D:D, Stock_Transactions!B:B, B76, Stock_Transactions!D:D, "&lt;0") * -1</f>
        <v>2</v>
      </c>
      <c r="E76" s="79">
        <f t="shared" si="4"/>
        <v>0</v>
      </c>
      <c r="F76" s="48">
        <f t="shared" si="5"/>
        <v>0</v>
      </c>
      <c r="G76" s="48">
        <f>SUMIF(Pending_Stock!C:C, B76, Pending_Stock!F:F)</f>
        <v>0</v>
      </c>
      <c r="H76" s="49">
        <f>SUMIF(Pending_Stock!I:I, B76, Pending_Stock!L:L)</f>
        <v>0</v>
      </c>
      <c r="I76" s="50">
        <f>SUMIF(ShipToDubai!C:C, B76, ShipToDubai!F:F) - (SUMIFS(Stock_Transactions!D:D, Stock_Transactions!B:B, B76, Stock_Transactions!D:D, "&lt;0") * -1)</f>
        <v>0</v>
      </c>
      <c r="J76" s="38">
        <f>SUMIF(ShipToDubai!C:C, B76, ShipToDubai!G:G)</f>
        <v>0</v>
      </c>
    </row>
    <row r="77" spans="1:14">
      <c r="A77" s="614">
        <f t="shared" si="3"/>
        <v>75</v>
      </c>
      <c r="B77" s="343" t="s">
        <v>2296</v>
      </c>
      <c r="C77" s="37">
        <f>SUMIFS(Stock_Transactions!D:D, Stock_Transactions!B:B, B77, Stock_Transactions!D:D, "&gt;0")</f>
        <v>4</v>
      </c>
      <c r="D77" s="37">
        <f>SUMIFS(Stock_Transactions!D:D, Stock_Transactions!B:B, B77, Stock_Transactions!D:D, "&lt;0") * -1</f>
        <v>2</v>
      </c>
      <c r="E77" s="79">
        <f t="shared" si="4"/>
        <v>2</v>
      </c>
      <c r="F77" s="48">
        <f t="shared" si="5"/>
        <v>0</v>
      </c>
      <c r="G77" s="48">
        <f>SUMIF(Pending_Stock!C:C, B77, Pending_Stock!F:F)</f>
        <v>0</v>
      </c>
      <c r="H77" s="49">
        <f>SUMIF(Pending_Stock!I:I, B77, Pending_Stock!L:L)</f>
        <v>0</v>
      </c>
      <c r="I77" s="50">
        <f>SUMIF(ShipToDubai!C:C, B77, ShipToDubai!F:F) - (SUMIFS(Stock_Transactions!D:D, Stock_Transactions!B:B, B77, Stock_Transactions!D:D, "&lt;0") * -1)</f>
        <v>2</v>
      </c>
      <c r="J77" s="38">
        <f>SUMIF(ShipToDubai!C:C, B77, ShipToDubai!G:G)</f>
        <v>0</v>
      </c>
    </row>
    <row r="78" spans="1:14">
      <c r="A78" s="614">
        <f t="shared" si="3"/>
        <v>76</v>
      </c>
      <c r="B78" s="92" t="s">
        <v>789</v>
      </c>
      <c r="C78" s="37">
        <f>SUMIFS(Stock_Transactions!D:D, Stock_Transactions!B:B, B78, Stock_Transactions!D:D, "&gt;0")</f>
        <v>49</v>
      </c>
      <c r="D78" s="37">
        <f>SUMIFS(Stock_Transactions!D:D, Stock_Transactions!B:B, B78, Stock_Transactions!D:D, "&lt;0") * -1</f>
        <v>49</v>
      </c>
      <c r="E78" s="79">
        <f t="shared" si="4"/>
        <v>0</v>
      </c>
      <c r="F78" s="48">
        <f t="shared" si="5"/>
        <v>0</v>
      </c>
      <c r="G78" s="48">
        <f>SUMIF(Pending_Stock!C:C, B78, Pending_Stock!F:F)</f>
        <v>0</v>
      </c>
      <c r="H78" s="49">
        <f>SUMIF(Pending_Stock!I:I, B78, Pending_Stock!L:L)</f>
        <v>0</v>
      </c>
      <c r="I78" s="50">
        <f>SUMIF(ShipToDubai!C:C, B78, ShipToDubai!F:F) - (SUMIFS(Stock_Transactions!D:D, Stock_Transactions!B:B, B78, Stock_Transactions!D:D, "&lt;0") * -1)</f>
        <v>0</v>
      </c>
      <c r="J78" s="38">
        <f>SUMIF(ShipToDubai!C:C, B78, ShipToDubai!G:G)</f>
        <v>0</v>
      </c>
      <c r="L78" t="s">
        <v>305</v>
      </c>
    </row>
    <row r="79" spans="1:14">
      <c r="A79" s="614">
        <f t="shared" si="3"/>
        <v>77</v>
      </c>
      <c r="B79" s="92" t="s">
        <v>672</v>
      </c>
      <c r="C79" s="37">
        <f>SUMIFS(Stock_Transactions!D:D, Stock_Transactions!B:B, B79, Stock_Transactions!D:D, "&gt;0")</f>
        <v>71</v>
      </c>
      <c r="D79" s="37">
        <f>SUMIFS(Stock_Transactions!D:D, Stock_Transactions!B:B, B79, Stock_Transactions!D:D, "&lt;0") * -1</f>
        <v>68</v>
      </c>
      <c r="E79" s="79">
        <f t="shared" si="4"/>
        <v>3</v>
      </c>
      <c r="F79" s="48">
        <f t="shared" si="5"/>
        <v>0</v>
      </c>
      <c r="G79" s="48">
        <f>SUMIF(Pending_Stock!C:C, B79, Pending_Stock!F:F)</f>
        <v>0</v>
      </c>
      <c r="H79" s="49">
        <f>SUMIF(Pending_Stock!I:I, B79, Pending_Stock!L:L)</f>
        <v>0</v>
      </c>
      <c r="I79" s="50">
        <f>SUMIF(ShipToDubai!C:C, B79, ShipToDubai!F:F) - (SUMIFS(Stock_Transactions!D:D, Stock_Transactions!B:B, B79, Stock_Transactions!D:D, "&lt;0") * -1)</f>
        <v>3</v>
      </c>
      <c r="J79" s="38">
        <f>SUMIF(ShipToDubai!C:C, B79, ShipToDubai!G:G)</f>
        <v>0</v>
      </c>
    </row>
    <row r="80" spans="1:14">
      <c r="A80" s="614">
        <f t="shared" si="3"/>
        <v>78</v>
      </c>
      <c r="B80" s="93" t="s">
        <v>805</v>
      </c>
      <c r="C80" s="37">
        <f>SUMIFS(Stock_Transactions!D:D, Stock_Transactions!B:B, B80, Stock_Transactions!D:D, "&gt;0")</f>
        <v>2</v>
      </c>
      <c r="D80" s="37">
        <f>SUMIFS(Stock_Transactions!D:D, Stock_Transactions!B:B, B80, Stock_Transactions!D:D, "&lt;0") * -1</f>
        <v>2</v>
      </c>
      <c r="E80" s="79">
        <f t="shared" si="4"/>
        <v>0</v>
      </c>
      <c r="F80" s="48">
        <f t="shared" si="5"/>
        <v>0</v>
      </c>
      <c r="G80" s="48">
        <f>SUMIF(Pending_Stock!C:C, B80, Pending_Stock!F:F)</f>
        <v>0</v>
      </c>
      <c r="H80" s="49">
        <f>SUMIF(Pending_Stock!I:I, B80, Pending_Stock!L:L)</f>
        <v>0</v>
      </c>
      <c r="I80" s="50">
        <f>SUMIF(ShipToDubai!C:C, B80, ShipToDubai!F:F) - (SUMIFS(Stock_Transactions!D:D, Stock_Transactions!B:B, B80, Stock_Transactions!D:D, "&lt;0") * -1)</f>
        <v>0</v>
      </c>
      <c r="J80" s="38">
        <f>SUMIF(ShipToDubai!C:C, B80, ShipToDubai!G:G)</f>
        <v>0</v>
      </c>
    </row>
    <row r="81" spans="1:13">
      <c r="A81" s="614">
        <f t="shared" si="3"/>
        <v>79</v>
      </c>
      <c r="B81" s="93" t="s">
        <v>806</v>
      </c>
      <c r="C81" s="37">
        <f>SUMIFS(Stock_Transactions!D:D, Stock_Transactions!B:B, B81, Stock_Transactions!D:D, "&gt;0")</f>
        <v>333</v>
      </c>
      <c r="D81" s="37">
        <f>SUMIFS(Stock_Transactions!D:D, Stock_Transactions!B:B, B81, Stock_Transactions!D:D, "&lt;0") * -1</f>
        <v>329</v>
      </c>
      <c r="E81" s="79">
        <f t="shared" si="4"/>
        <v>4</v>
      </c>
      <c r="F81" s="48">
        <f t="shared" si="5"/>
        <v>0</v>
      </c>
      <c r="G81" s="48">
        <f>SUMIF(Pending_Stock!C:C, B81, Pending_Stock!F:F)</f>
        <v>0</v>
      </c>
      <c r="H81" s="49">
        <f>SUMIF(Pending_Stock!I:I, B81, Pending_Stock!L:L)</f>
        <v>0</v>
      </c>
      <c r="I81" s="50">
        <f>SUMIF(ShipToDubai!C:C, B81, ShipToDubai!F:F) - (SUMIFS(Stock_Transactions!D:D, Stock_Transactions!B:B, B81, Stock_Transactions!D:D, "&lt;0") * -1)</f>
        <v>4</v>
      </c>
      <c r="J81" s="38">
        <f>SUMIF(ShipToDubai!C:C, B81, ShipToDubai!G:G)</f>
        <v>0</v>
      </c>
    </row>
    <row r="82" spans="1:13">
      <c r="A82" s="19">
        <f t="shared" si="3"/>
        <v>80</v>
      </c>
      <c r="B82" s="93" t="s">
        <v>807</v>
      </c>
      <c r="C82" s="37">
        <f>SUMIFS(Stock_Transactions!D:D, Stock_Transactions!B:B, B82, Stock_Transactions!D:D, "&gt;0")</f>
        <v>288</v>
      </c>
      <c r="D82" s="37">
        <f>SUMIFS(Stock_Transactions!D:D, Stock_Transactions!B:B, B82, Stock_Transactions!D:D, "&lt;0") * -1</f>
        <v>285</v>
      </c>
      <c r="E82" s="79">
        <f t="shared" si="4"/>
        <v>3</v>
      </c>
      <c r="F82" s="48">
        <f t="shared" si="5"/>
        <v>1</v>
      </c>
      <c r="G82" s="48">
        <f>SUMIF(Pending_Stock!C:C, B82, Pending_Stock!F:F)</f>
        <v>0</v>
      </c>
      <c r="H82" s="49">
        <f>SUMIF(Pending_Stock!I:I, B82, Pending_Stock!L:L)</f>
        <v>0</v>
      </c>
      <c r="I82" s="50">
        <f>SUMIF(ShipToDubai!C:C, B82, ShipToDubai!F:F) - (SUMIFS(Stock_Transactions!D:D, Stock_Transactions!B:B, B82, Stock_Transactions!D:D, "&lt;0") * -1)</f>
        <v>2</v>
      </c>
      <c r="J82" s="38">
        <f>SUMIF(ShipToDubai!C:C, B82, ShipToDubai!G:G)</f>
        <v>0</v>
      </c>
      <c r="L82" t="s">
        <v>1037</v>
      </c>
    </row>
    <row r="83" spans="1:13">
      <c r="A83" s="19">
        <f t="shared" si="3"/>
        <v>81</v>
      </c>
      <c r="B83" s="93" t="s">
        <v>808</v>
      </c>
      <c r="C83" s="37">
        <f>SUMIFS(Stock_Transactions!D:D, Stock_Transactions!B:B, B83, Stock_Transactions!D:D, "&gt;0")</f>
        <v>316</v>
      </c>
      <c r="D83" s="37">
        <f>SUMIFS(Stock_Transactions!D:D, Stock_Transactions!B:B, B83, Stock_Transactions!D:D, "&lt;0") * -1</f>
        <v>316</v>
      </c>
      <c r="E83" s="79">
        <f t="shared" si="4"/>
        <v>0</v>
      </c>
      <c r="F83" s="48">
        <f t="shared" si="5"/>
        <v>0</v>
      </c>
      <c r="G83" s="48">
        <f>SUMIF(Pending_Stock!C:C, B83, Pending_Stock!F:F)</f>
        <v>0</v>
      </c>
      <c r="H83" s="49">
        <f>SUMIF(Pending_Stock!I:I, B83, Pending_Stock!L:L)</f>
        <v>0</v>
      </c>
      <c r="I83" s="50">
        <f>SUMIF(ShipToDubai!C:C, B83, ShipToDubai!F:F) - (SUMIFS(Stock_Transactions!D:D, Stock_Transactions!B:B, B83, Stock_Transactions!D:D, "&lt;0") * -1)</f>
        <v>0</v>
      </c>
      <c r="J83" s="38">
        <f>SUMIF(ShipToDubai!C:C, B83, ShipToDubai!G:G)</f>
        <v>0</v>
      </c>
    </row>
    <row r="84" spans="1:13">
      <c r="A84" s="19">
        <f t="shared" si="3"/>
        <v>82</v>
      </c>
      <c r="B84" s="93" t="s">
        <v>838</v>
      </c>
      <c r="C84" s="37">
        <f>SUMIFS(Stock_Transactions!D:D, Stock_Transactions!B:B, B84, Stock_Transactions!D:D, "&gt;0")</f>
        <v>15</v>
      </c>
      <c r="D84" s="37">
        <f>SUMIFS(Stock_Transactions!D:D, Stock_Transactions!B:B, B84, Stock_Transactions!D:D, "&lt;0") * -1</f>
        <v>15</v>
      </c>
      <c r="E84" s="79">
        <f t="shared" si="4"/>
        <v>0</v>
      </c>
      <c r="F84" s="48">
        <f t="shared" si="5"/>
        <v>0</v>
      </c>
      <c r="G84" s="48">
        <f>SUMIF(Pending_Stock!C:C, B84, Pending_Stock!F:F)</f>
        <v>0</v>
      </c>
      <c r="H84" s="49">
        <f>SUMIF(Pending_Stock!I:I, B84, Pending_Stock!L:L)</f>
        <v>0</v>
      </c>
      <c r="I84" s="50">
        <f>SUMIF(ShipToDubai!C:C, B84, ShipToDubai!F:F) - (SUMIFS(Stock_Transactions!D:D, Stock_Transactions!B:B, B84, Stock_Transactions!D:D, "&lt;0") * -1)</f>
        <v>0</v>
      </c>
      <c r="J84" s="38">
        <f>SUMIF(ShipToDubai!C:C, B84, ShipToDubai!G:G)</f>
        <v>0</v>
      </c>
    </row>
    <row r="85" spans="1:13">
      <c r="A85" s="19">
        <f t="shared" si="3"/>
        <v>83</v>
      </c>
      <c r="B85" s="93" t="s">
        <v>839</v>
      </c>
      <c r="C85" s="37">
        <f>SUMIFS(Stock_Transactions!D:D, Stock_Transactions!B:B, B85, Stock_Transactions!D:D, "&gt;0")</f>
        <v>269</v>
      </c>
      <c r="D85" s="37">
        <f>SUMIFS(Stock_Transactions!D:D, Stock_Transactions!B:B, B85, Stock_Transactions!D:D, "&lt;0") * -1</f>
        <v>265</v>
      </c>
      <c r="E85" s="79">
        <f t="shared" si="4"/>
        <v>4</v>
      </c>
      <c r="F85" s="48">
        <f t="shared" si="5"/>
        <v>3</v>
      </c>
      <c r="G85" s="48">
        <f>SUMIF(Pending_Stock!C:C, B85, Pending_Stock!F:F)</f>
        <v>0</v>
      </c>
      <c r="H85" s="49">
        <f>SUMIF(Pending_Stock!I:I, B85, Pending_Stock!L:L)</f>
        <v>0</v>
      </c>
      <c r="I85" s="50">
        <f>SUMIF(ShipToDubai!C:C, B85, ShipToDubai!F:F) - (SUMIFS(Stock_Transactions!D:D, Stock_Transactions!B:B, B85, Stock_Transactions!D:D, "&lt;0") * -1)</f>
        <v>1</v>
      </c>
      <c r="J85" s="38">
        <f>SUMIF(ShipToDubai!C:C, B85, ShipToDubai!G:G)</f>
        <v>0</v>
      </c>
    </row>
    <row r="86" spans="1:13">
      <c r="A86" s="19">
        <f t="shared" si="3"/>
        <v>84</v>
      </c>
      <c r="B86" s="93" t="s">
        <v>840</v>
      </c>
      <c r="C86" s="37">
        <f>SUMIFS(Stock_Transactions!D:D, Stock_Transactions!B:B, B86, Stock_Transactions!D:D, "&gt;0")</f>
        <v>6</v>
      </c>
      <c r="D86" s="37">
        <f>SUMIFS(Stock_Transactions!D:D, Stock_Transactions!B:B, B86, Stock_Transactions!D:D, "&lt;0") * -1</f>
        <v>6</v>
      </c>
      <c r="E86" s="79">
        <f t="shared" si="4"/>
        <v>0</v>
      </c>
      <c r="F86" s="48">
        <f t="shared" si="5"/>
        <v>0</v>
      </c>
      <c r="G86" s="48">
        <f>SUMIF(Pending_Stock!C:C, B86, Pending_Stock!F:F)</f>
        <v>0</v>
      </c>
      <c r="H86" s="49">
        <f>SUMIF(Pending_Stock!I:I, B86, Pending_Stock!L:L)</f>
        <v>0</v>
      </c>
      <c r="I86" s="50">
        <f>SUMIF(ShipToDubai!C:C, B86, ShipToDubai!F:F) - (SUMIFS(Stock_Transactions!D:D, Stock_Transactions!B:B, B86, Stock_Transactions!D:D, "&lt;0") * -1)</f>
        <v>0</v>
      </c>
      <c r="J86" s="38">
        <f>SUMIF(ShipToDubai!C:C, B86, ShipToDubai!G:G)</f>
        <v>0</v>
      </c>
      <c r="L86" t="s">
        <v>305</v>
      </c>
      <c r="M86" s="92"/>
    </row>
    <row r="87" spans="1:13">
      <c r="A87" s="19">
        <f t="shared" si="3"/>
        <v>85</v>
      </c>
      <c r="B87" s="93" t="s">
        <v>843</v>
      </c>
      <c r="C87" s="37">
        <f>SUMIFS(Stock_Transactions!D:D, Stock_Transactions!B:B, B87, Stock_Transactions!D:D, "&gt;0")</f>
        <v>5</v>
      </c>
      <c r="D87" s="37">
        <f>SUMIFS(Stock_Transactions!D:D, Stock_Transactions!B:B, B87, Stock_Transactions!D:D, "&lt;0") * -1</f>
        <v>5</v>
      </c>
      <c r="E87" s="79">
        <f t="shared" si="4"/>
        <v>0</v>
      </c>
      <c r="F87" s="48">
        <f t="shared" si="5"/>
        <v>0</v>
      </c>
      <c r="G87" s="48">
        <f>SUMIF(Pending_Stock!C:C, B87, Pending_Stock!F:F)</f>
        <v>0</v>
      </c>
      <c r="H87" s="49">
        <f>SUMIF(Pending_Stock!I:I, B87, Pending_Stock!L:L)</f>
        <v>0</v>
      </c>
      <c r="I87" s="50">
        <f>SUMIF(ShipToDubai!C:C, B87, ShipToDubai!F:F) - (SUMIFS(Stock_Transactions!D:D, Stock_Transactions!B:B, B87, Stock_Transactions!D:D, "&lt;0") * -1)</f>
        <v>0</v>
      </c>
      <c r="J87" s="38">
        <f>SUMIF(ShipToDubai!C:C, B87, ShipToDubai!G:G)</f>
        <v>0</v>
      </c>
      <c r="L87" t="s">
        <v>305</v>
      </c>
      <c r="M87" s="93"/>
    </row>
    <row r="88" spans="1:13">
      <c r="A88" s="19">
        <f t="shared" si="3"/>
        <v>86</v>
      </c>
      <c r="B88" s="334" t="s">
        <v>844</v>
      </c>
      <c r="C88" s="37">
        <f>SUMIFS(Stock_Transactions!D:D, Stock_Transactions!B:B, B88, Stock_Transactions!D:D, "&gt;0")</f>
        <v>6</v>
      </c>
      <c r="D88" s="37">
        <f>SUMIFS(Stock_Transactions!D:D, Stock_Transactions!B:B, B88, Stock_Transactions!D:D, "&lt;0") * -1</f>
        <v>1</v>
      </c>
      <c r="E88" s="79">
        <f t="shared" si="4"/>
        <v>5</v>
      </c>
      <c r="F88" s="48">
        <f t="shared" si="5"/>
        <v>0</v>
      </c>
      <c r="G88" s="48">
        <f>SUMIF(Pending_Stock!C:C, B88, Pending_Stock!F:F)</f>
        <v>0</v>
      </c>
      <c r="H88" s="49">
        <f>SUMIF(Pending_Stock!I:I, B88, Pending_Stock!L:L)</f>
        <v>0</v>
      </c>
      <c r="I88" s="50">
        <f>SUMIF(ShipToDubai!C:C, B88, ShipToDubai!F:F) - (SUMIFS(Stock_Transactions!D:D, Stock_Transactions!B:B, B88, Stock_Transactions!D:D, "&lt;0") * -1)</f>
        <v>5</v>
      </c>
      <c r="J88" s="38">
        <f>SUMIF(ShipToDubai!C:C, B88, ShipToDubai!G:G)</f>
        <v>0</v>
      </c>
      <c r="L88" t="s">
        <v>305</v>
      </c>
      <c r="M88" s="93"/>
    </row>
    <row r="89" spans="1:13">
      <c r="A89" s="332">
        <f t="shared" si="3"/>
        <v>87</v>
      </c>
      <c r="B89" s="84" t="s">
        <v>881</v>
      </c>
      <c r="C89" s="333">
        <f>SUMIFS(Stock_Transactions!D:D, Stock_Transactions!B:B, B89, Stock_Transactions!D:D, "&gt;0")</f>
        <v>72</v>
      </c>
      <c r="D89" s="37">
        <f>SUMIFS(Stock_Transactions!D:D, Stock_Transactions!B:B, B89, Stock_Transactions!D:D, "&lt;0") * -1</f>
        <v>72</v>
      </c>
      <c r="E89" s="79">
        <f t="shared" si="4"/>
        <v>0</v>
      </c>
      <c r="F89" s="48">
        <f t="shared" si="5"/>
        <v>0</v>
      </c>
      <c r="G89" s="48">
        <f>SUMIF(Pending_Stock!C:C, B89, Pending_Stock!F:F)</f>
        <v>0</v>
      </c>
      <c r="H89" s="49">
        <f>SUMIF(Pending_Stock!I:I, B89, Pending_Stock!L:L)</f>
        <v>0</v>
      </c>
      <c r="I89" s="50">
        <f>SUMIF(ShipToDubai!C:C, B89, ShipToDubai!F:F) - (SUMIFS(Stock_Transactions!D:D, Stock_Transactions!B:B, B89, Stock_Transactions!D:D, "&lt;0") * -1)</f>
        <v>0</v>
      </c>
      <c r="J89" s="38">
        <f>SUMIF(ShipToDubai!C:C, B89, ShipToDubai!G:G)</f>
        <v>0</v>
      </c>
      <c r="L89" t="s">
        <v>305</v>
      </c>
      <c r="M89" s="93"/>
    </row>
    <row r="90" spans="1:13">
      <c r="A90" s="332">
        <f t="shared" si="3"/>
        <v>88</v>
      </c>
      <c r="B90" s="92" t="s">
        <v>882</v>
      </c>
      <c r="C90" s="333">
        <f>SUMIFS(Stock_Transactions!D:D, Stock_Transactions!B:B, B90, Stock_Transactions!D:D, "&gt;0")</f>
        <v>79</v>
      </c>
      <c r="D90" s="37">
        <f>SUMIFS(Stock_Transactions!D:D, Stock_Transactions!B:B, B90, Stock_Transactions!D:D, "&lt;0") * -1</f>
        <v>64</v>
      </c>
      <c r="E90" s="79">
        <f t="shared" si="4"/>
        <v>15</v>
      </c>
      <c r="F90" s="48">
        <f t="shared" si="5"/>
        <v>0</v>
      </c>
      <c r="G90" s="48">
        <f>SUMIF(Pending_Stock!C:C, B90, Pending_Stock!F:F)</f>
        <v>0</v>
      </c>
      <c r="H90" s="49">
        <f>SUMIF(Pending_Stock!I:I, B90, Pending_Stock!L:L)</f>
        <v>0</v>
      </c>
      <c r="I90" s="50">
        <f>SUMIF(ShipToDubai!C:C, B90, ShipToDubai!F:F) - (SUMIFS(Stock_Transactions!D:D, Stock_Transactions!B:B, B90, Stock_Transactions!D:D, "&lt;0") * -1)</f>
        <v>15</v>
      </c>
      <c r="J90" s="38">
        <f>SUMIF(ShipToDubai!C:C, B90, ShipToDubai!G:G)</f>
        <v>0</v>
      </c>
      <c r="L90" t="s">
        <v>305</v>
      </c>
      <c r="M90" s="343"/>
    </row>
    <row r="91" spans="1:13">
      <c r="A91" s="332">
        <f t="shared" si="3"/>
        <v>89</v>
      </c>
      <c r="B91" s="93" t="s">
        <v>865</v>
      </c>
      <c r="C91" s="333">
        <f>SUMIFS(Stock_Transactions!D:D, Stock_Transactions!B:B, B91, Stock_Transactions!D:D, "&gt;0")</f>
        <v>33</v>
      </c>
      <c r="D91" s="37">
        <f>SUMIFS(Stock_Transactions!D:D, Stock_Transactions!B:B, B91, Stock_Transactions!D:D, "&lt;0") * -1</f>
        <v>32</v>
      </c>
      <c r="E91" s="79">
        <f t="shared" si="4"/>
        <v>1</v>
      </c>
      <c r="F91" s="48">
        <f t="shared" si="5"/>
        <v>0</v>
      </c>
      <c r="G91" s="48">
        <f>SUMIF(Pending_Stock!C:C, B91, Pending_Stock!F:F)</f>
        <v>0</v>
      </c>
      <c r="H91" s="49">
        <f>SUMIF(Pending_Stock!I:I, B91, Pending_Stock!L:L)</f>
        <v>0</v>
      </c>
      <c r="I91" s="50">
        <f>SUMIF(ShipToDubai!C:C, B91, ShipToDubai!F:F) - (SUMIFS(Stock_Transactions!D:D, Stock_Transactions!B:B, B91, Stock_Transactions!D:D, "&lt;0") * -1)</f>
        <v>1</v>
      </c>
      <c r="J91" s="38">
        <f>SUMIF(ShipToDubai!C:C, B91, ShipToDubai!G:G)</f>
        <v>0</v>
      </c>
      <c r="M91" s="343"/>
    </row>
    <row r="92" spans="1:13">
      <c r="A92" s="332">
        <f t="shared" si="3"/>
        <v>90</v>
      </c>
      <c r="B92" s="648" t="s">
        <v>901</v>
      </c>
      <c r="C92" s="333">
        <f>SUMIFS(Stock_Transactions!D:D, Stock_Transactions!B:B, B92, Stock_Transactions!D:D, "&gt;0")</f>
        <v>2</v>
      </c>
      <c r="D92" s="37">
        <f>SUMIFS(Stock_Transactions!D:D, Stock_Transactions!B:B, B92, Stock_Transactions!D:D, "&lt;0") * -1</f>
        <v>2</v>
      </c>
      <c r="E92" s="79">
        <f t="shared" si="4"/>
        <v>0</v>
      </c>
      <c r="F92" s="48">
        <f t="shared" si="5"/>
        <v>0</v>
      </c>
      <c r="G92" s="48">
        <f>SUMIF(Pending_Stock!C:C, B92, Pending_Stock!F:F)</f>
        <v>0</v>
      </c>
      <c r="H92" s="49">
        <f>SUMIF(Pending_Stock!I:I, B92, Pending_Stock!L:L)</f>
        <v>0</v>
      </c>
      <c r="I92" s="50">
        <f>SUMIF(ShipToDubai!C:C, B92, ShipToDubai!F:F) - (SUMIFS(Stock_Transactions!D:D, Stock_Transactions!B:B, B92, Stock_Transactions!D:D, "&lt;0") * -1)</f>
        <v>0</v>
      </c>
      <c r="J92" s="38">
        <f>SUMIF(ShipToDubai!C:C, B92, ShipToDubai!G:G)</f>
        <v>0</v>
      </c>
    </row>
    <row r="93" spans="1:13">
      <c r="A93" s="332">
        <f t="shared" si="3"/>
        <v>91</v>
      </c>
      <c r="B93" s="84" t="s">
        <v>919</v>
      </c>
      <c r="C93" s="333">
        <f>SUMIFS(Stock_Transactions!D:D, Stock_Transactions!B:B, B93, Stock_Transactions!D:D, "&gt;0")</f>
        <v>98</v>
      </c>
      <c r="D93" s="37">
        <f>SUMIFS(Stock_Transactions!D:D, Stock_Transactions!B:B, B93, Stock_Transactions!D:D, "&lt;0") * -1</f>
        <v>97</v>
      </c>
      <c r="E93" s="79">
        <f t="shared" si="4"/>
        <v>1</v>
      </c>
      <c r="F93" s="48">
        <f t="shared" si="5"/>
        <v>0</v>
      </c>
      <c r="G93" s="48">
        <f>SUMIF(Pending_Stock!C:C, B93, Pending_Stock!F:F)</f>
        <v>0</v>
      </c>
      <c r="H93" s="49">
        <f>SUMIF(Pending_Stock!I:I, B93, Pending_Stock!L:L)</f>
        <v>0</v>
      </c>
      <c r="I93" s="50">
        <f>SUMIF(ShipToDubai!C:C, B93, ShipToDubai!F:F) - (SUMIFS(Stock_Transactions!D:D, Stock_Transactions!B:B, B93, Stock_Transactions!D:D, "&lt;0") * -1)</f>
        <v>1</v>
      </c>
      <c r="J93" s="38">
        <f>SUMIF(ShipToDubai!C:C, B93, ShipToDubai!G:G)</f>
        <v>0</v>
      </c>
      <c r="L93" t="s">
        <v>305</v>
      </c>
    </row>
    <row r="94" spans="1:13">
      <c r="A94" s="332">
        <f t="shared" si="3"/>
        <v>92</v>
      </c>
      <c r="B94" s="84" t="s">
        <v>923</v>
      </c>
      <c r="C94" s="333">
        <f>SUMIFS(Stock_Transactions!D:D, Stock_Transactions!B:B, B94, Stock_Transactions!D:D, "&gt;0")</f>
        <v>16</v>
      </c>
      <c r="D94" s="37">
        <f>SUMIFS(Stock_Transactions!D:D, Stock_Transactions!B:B, B94, Stock_Transactions!D:D, "&lt;0") * -1</f>
        <v>16</v>
      </c>
      <c r="E94" s="79">
        <f t="shared" si="4"/>
        <v>0</v>
      </c>
      <c r="F94" s="48">
        <f t="shared" si="5"/>
        <v>0</v>
      </c>
      <c r="G94" s="48">
        <f>SUMIF(Pending_Stock!C:C, B94, Pending_Stock!F:F)</f>
        <v>0</v>
      </c>
      <c r="H94" s="49">
        <f>SUMIF(Pending_Stock!I:I, B94, Pending_Stock!L:L)</f>
        <v>0</v>
      </c>
      <c r="I94" s="50">
        <f>SUMIF(ShipToDubai!C:C, B94, ShipToDubai!F:F) - (SUMIFS(Stock_Transactions!D:D, Stock_Transactions!B:B, B94, Stock_Transactions!D:D, "&lt;0") * -1)</f>
        <v>0</v>
      </c>
      <c r="J94" s="38">
        <f>SUMIF(ShipToDubai!C:C, B94, ShipToDubai!G:G)</f>
        <v>0</v>
      </c>
    </row>
    <row r="95" spans="1:13">
      <c r="A95" s="332">
        <f t="shared" si="3"/>
        <v>93</v>
      </c>
      <c r="B95" s="84" t="s">
        <v>926</v>
      </c>
      <c r="C95" s="333">
        <f>SUMIFS(Stock_Transactions!D:D, Stock_Transactions!B:B, B95, Stock_Transactions!D:D, "&gt;0")</f>
        <v>8</v>
      </c>
      <c r="D95" s="37">
        <f>SUMIFS(Stock_Transactions!D:D, Stock_Transactions!B:B, B95, Stock_Transactions!D:D, "&lt;0") * -1</f>
        <v>7</v>
      </c>
      <c r="E95" s="79">
        <f t="shared" si="4"/>
        <v>1</v>
      </c>
      <c r="F95" s="48">
        <f t="shared" si="5"/>
        <v>0</v>
      </c>
      <c r="G95" s="48">
        <f>SUMIF(Pending_Stock!C:C, B95, Pending_Stock!F:F)</f>
        <v>0</v>
      </c>
      <c r="H95" s="49">
        <f>SUMIF(Pending_Stock!I:I, B95, Pending_Stock!L:L)</f>
        <v>0</v>
      </c>
      <c r="I95" s="50">
        <f>SUMIF(ShipToDubai!C:C, B95, ShipToDubai!F:F) - (SUMIFS(Stock_Transactions!D:D, Stock_Transactions!B:B, B95, Stock_Transactions!D:D, "&lt;0") * -1)</f>
        <v>1</v>
      </c>
      <c r="J95" s="38">
        <f>SUMIF(ShipToDubai!C:C, B95, ShipToDubai!G:G)</f>
        <v>0</v>
      </c>
      <c r="L95" t="s">
        <v>305</v>
      </c>
    </row>
    <row r="96" spans="1:13">
      <c r="A96" s="332">
        <f t="shared" si="3"/>
        <v>94</v>
      </c>
      <c r="B96" s="147" t="s">
        <v>925</v>
      </c>
      <c r="C96" s="333">
        <f>SUMIFS(Stock_Transactions!D:D, Stock_Transactions!B:B, B96, Stock_Transactions!D:D, "&gt;0")</f>
        <v>1</v>
      </c>
      <c r="D96" s="37">
        <f>SUMIFS(Stock_Transactions!D:D, Stock_Transactions!B:B, B96, Stock_Transactions!D:D, "&lt;0") * -1</f>
        <v>1</v>
      </c>
      <c r="E96" s="79">
        <f t="shared" si="4"/>
        <v>0</v>
      </c>
      <c r="F96" s="48">
        <f t="shared" si="5"/>
        <v>0</v>
      </c>
      <c r="G96" s="48">
        <f>SUMIF(Pending_Stock!C:C, B96, Pending_Stock!F:F)</f>
        <v>0</v>
      </c>
      <c r="H96" s="49">
        <f>SUMIF(Pending_Stock!I:I, B96, Pending_Stock!L:L)</f>
        <v>0</v>
      </c>
      <c r="I96" s="50">
        <f>SUMIF(ShipToDubai!C:C, B96, ShipToDubai!F:F) - (SUMIFS(Stock_Transactions!D:D, Stock_Transactions!B:B, B96, Stock_Transactions!D:D, "&lt;0") * -1)</f>
        <v>0</v>
      </c>
      <c r="J96" s="38">
        <f>SUMIF(ShipToDubai!C:C, B96, ShipToDubai!G:G)</f>
        <v>0</v>
      </c>
    </row>
    <row r="97" spans="1:12">
      <c r="A97" s="332">
        <f t="shared" si="3"/>
        <v>95</v>
      </c>
      <c r="B97" s="84" t="s">
        <v>135</v>
      </c>
      <c r="C97" s="333">
        <f>SUMIFS(Stock_Transactions!D:D, Stock_Transactions!B:B, B97, Stock_Transactions!D:D, "&gt;0")</f>
        <v>39</v>
      </c>
      <c r="D97" s="37">
        <f>SUMIFS(Stock_Transactions!D:D, Stock_Transactions!B:B, B97, Stock_Transactions!D:D, "&lt;0") * -1</f>
        <v>39</v>
      </c>
      <c r="E97" s="79">
        <f t="shared" si="4"/>
        <v>0</v>
      </c>
      <c r="F97" s="48">
        <f t="shared" si="5"/>
        <v>0</v>
      </c>
      <c r="G97" s="48">
        <f>SUMIF(Pending_Stock!C:C, B97, Pending_Stock!F:F)</f>
        <v>0</v>
      </c>
      <c r="H97" s="49">
        <f>SUMIF(Pending_Stock!I:I, B97, Pending_Stock!L:L)</f>
        <v>0</v>
      </c>
      <c r="I97" s="50">
        <f>SUMIF(ShipToDubai!C:C, B97, ShipToDubai!F:F) - (SUMIFS(Stock_Transactions!D:D, Stock_Transactions!B:B, B97, Stock_Transactions!D:D, "&lt;0") * -1)</f>
        <v>0</v>
      </c>
      <c r="J97" s="38">
        <f>SUMIF(ShipToDubai!C:C, B97, ShipToDubai!G:G)</f>
        <v>0</v>
      </c>
      <c r="L97" t="s">
        <v>305</v>
      </c>
    </row>
    <row r="98" spans="1:12">
      <c r="A98" s="332">
        <f t="shared" si="3"/>
        <v>96</v>
      </c>
      <c r="B98" s="93" t="s">
        <v>920</v>
      </c>
      <c r="C98" s="333">
        <f>SUMIFS(Stock_Transactions!D:D, Stock_Transactions!B:B, B98, Stock_Transactions!D:D, "&gt;0")</f>
        <v>84</v>
      </c>
      <c r="D98" s="37">
        <f>SUMIFS(Stock_Transactions!D:D, Stock_Transactions!B:B, B98, Stock_Transactions!D:D, "&lt;0") * -1</f>
        <v>82</v>
      </c>
      <c r="E98" s="79">
        <f t="shared" si="4"/>
        <v>2</v>
      </c>
      <c r="F98" s="48">
        <f t="shared" si="5"/>
        <v>0</v>
      </c>
      <c r="G98" s="48">
        <f>SUMIF(Pending_Stock!C:C, B98, Pending_Stock!F:F)</f>
        <v>0</v>
      </c>
      <c r="H98" s="49">
        <f>SUMIF(Pending_Stock!I:I, B98, Pending_Stock!L:L)</f>
        <v>0</v>
      </c>
      <c r="I98" s="50">
        <f>SUMIF(ShipToDubai!C:C, B98, ShipToDubai!F:F) - (SUMIFS(Stock_Transactions!D:D, Stock_Transactions!B:B, B98, Stock_Transactions!D:D, "&lt;0") * -1)</f>
        <v>2</v>
      </c>
      <c r="J98" s="38">
        <f>SUMIF(ShipToDubai!C:C, B98, ShipToDubai!G:G)</f>
        <v>0</v>
      </c>
      <c r="L98" t="s">
        <v>305</v>
      </c>
    </row>
    <row r="99" spans="1:12">
      <c r="A99" s="332">
        <f t="shared" ref="A99:A162" si="6">A98+1</f>
        <v>97</v>
      </c>
      <c r="B99" s="84" t="s">
        <v>134</v>
      </c>
      <c r="C99" s="333">
        <f>SUMIFS(Stock_Transactions!D:D, Stock_Transactions!B:B, B99, Stock_Transactions!D:D, "&gt;0")</f>
        <v>540</v>
      </c>
      <c r="D99" s="37">
        <f>SUMIFS(Stock_Transactions!D:D, Stock_Transactions!B:B, B99, Stock_Transactions!D:D, "&lt;0") * -1</f>
        <v>528</v>
      </c>
      <c r="E99" s="79">
        <f t="shared" ref="E99:E162" si="7">C99-D99</f>
        <v>12</v>
      </c>
      <c r="F99" s="48">
        <f t="shared" ref="F99:F162" si="8">E99-G99-H99-I99-J99</f>
        <v>-3</v>
      </c>
      <c r="G99" s="48">
        <f>SUMIF(Pending_Stock!C:C, B99, Pending_Stock!F:F)</f>
        <v>0</v>
      </c>
      <c r="H99" s="49">
        <f>SUMIF(Pending_Stock!I:I, B99, Pending_Stock!L:L)</f>
        <v>0</v>
      </c>
      <c r="I99" s="50">
        <f>SUMIF(ShipToDubai!C:C, B99, ShipToDubai!F:F) - (SUMIFS(Stock_Transactions!D:D, Stock_Transactions!B:B, B99, Stock_Transactions!D:D, "&lt;0") * -1)</f>
        <v>15</v>
      </c>
      <c r="J99" s="38">
        <f>SUMIF(ShipToDubai!C:C, B99, ShipToDubai!G:G)</f>
        <v>0</v>
      </c>
    </row>
    <row r="100" spans="1:12">
      <c r="A100" s="332">
        <f t="shared" si="6"/>
        <v>98</v>
      </c>
      <c r="B100" s="147" t="s">
        <v>928</v>
      </c>
      <c r="C100" s="333">
        <f>SUMIFS(Stock_Transactions!D:D, Stock_Transactions!B:B, B100, Stock_Transactions!D:D, "&gt;0")</f>
        <v>44</v>
      </c>
      <c r="D100" s="37">
        <f>SUMIFS(Stock_Transactions!D:D, Stock_Transactions!B:B, B100, Stock_Transactions!D:D, "&lt;0") * -1</f>
        <v>42</v>
      </c>
      <c r="E100" s="79">
        <f t="shared" si="7"/>
        <v>2</v>
      </c>
      <c r="F100" s="48">
        <f t="shared" si="8"/>
        <v>0</v>
      </c>
      <c r="G100" s="48">
        <f>SUMIF(Pending_Stock!C:C, B100, Pending_Stock!F:F)</f>
        <v>0</v>
      </c>
      <c r="H100" s="49">
        <f>SUMIF(Pending_Stock!I:I, B100, Pending_Stock!L:L)</f>
        <v>0</v>
      </c>
      <c r="I100" s="50">
        <f>SUMIF(ShipToDubai!C:C, B100, ShipToDubai!F:F) - (SUMIFS(Stock_Transactions!D:D, Stock_Transactions!B:B, B100, Stock_Transactions!D:D, "&lt;0") * -1)</f>
        <v>2</v>
      </c>
      <c r="J100" s="38">
        <f>SUMIF(ShipToDubai!C:C, B100, ShipToDubai!G:G)</f>
        <v>0</v>
      </c>
    </row>
    <row r="101" spans="1:12">
      <c r="A101" s="332">
        <f t="shared" si="6"/>
        <v>99</v>
      </c>
      <c r="B101" s="93" t="s">
        <v>929</v>
      </c>
      <c r="C101" s="333">
        <f>SUMIFS(Stock_Transactions!D:D, Stock_Transactions!B:B, B101, Stock_Transactions!D:D, "&gt;0")</f>
        <v>5</v>
      </c>
      <c r="D101" s="37">
        <f>SUMIFS(Stock_Transactions!D:D, Stock_Transactions!B:B, B101, Stock_Transactions!D:D, "&lt;0") * -1</f>
        <v>5</v>
      </c>
      <c r="E101" s="79">
        <f t="shared" si="7"/>
        <v>0</v>
      </c>
      <c r="F101" s="48">
        <f t="shared" si="8"/>
        <v>0</v>
      </c>
      <c r="G101" s="48">
        <f>SUMIF(Pending_Stock!C:C, B101, Pending_Stock!F:F)</f>
        <v>0</v>
      </c>
      <c r="H101" s="49">
        <f>SUMIF(Pending_Stock!I:I, B101, Pending_Stock!L:L)</f>
        <v>0</v>
      </c>
      <c r="I101" s="50">
        <f>SUMIF(ShipToDubai!C:C, B101, ShipToDubai!F:F) - (SUMIFS(Stock_Transactions!D:D, Stock_Transactions!B:B, B101, Stock_Transactions!D:D, "&lt;0") * -1)</f>
        <v>0</v>
      </c>
      <c r="J101" s="38">
        <f>SUMIF(ShipToDubai!C:C, B101, ShipToDubai!G:G)</f>
        <v>0</v>
      </c>
    </row>
    <row r="102" spans="1:12">
      <c r="A102" s="332">
        <f t="shared" si="6"/>
        <v>100</v>
      </c>
      <c r="B102" s="93" t="s">
        <v>167</v>
      </c>
      <c r="C102" s="333">
        <f>SUMIFS(Stock_Transactions!D:D, Stock_Transactions!B:B, B102, Stock_Transactions!D:D, "&gt;0")</f>
        <v>118</v>
      </c>
      <c r="D102" s="37">
        <f>SUMIFS(Stock_Transactions!D:D, Stock_Transactions!B:B, B102, Stock_Transactions!D:D, "&lt;0") * -1</f>
        <v>116</v>
      </c>
      <c r="E102" s="79">
        <f t="shared" si="7"/>
        <v>2</v>
      </c>
      <c r="F102" s="48">
        <f t="shared" si="8"/>
        <v>-1</v>
      </c>
      <c r="G102" s="48">
        <f>SUMIF(Pending_Stock!C:C, B102, Pending_Stock!F:F)</f>
        <v>0</v>
      </c>
      <c r="H102" s="49">
        <f>SUMIF(Pending_Stock!I:I, B102, Pending_Stock!L:L)</f>
        <v>0</v>
      </c>
      <c r="I102" s="50">
        <f>SUMIF(ShipToDubai!C:C, B102, ShipToDubai!F:F) - (SUMIFS(Stock_Transactions!D:D, Stock_Transactions!B:B, B102, Stock_Transactions!D:D, "&lt;0") * -1)</f>
        <v>3</v>
      </c>
      <c r="J102" s="38">
        <f>SUMIF(ShipToDubai!C:C, B102, ShipToDubai!G:G)</f>
        <v>0</v>
      </c>
      <c r="L102" t="s">
        <v>1079</v>
      </c>
    </row>
    <row r="103" spans="1:12">
      <c r="A103" s="332">
        <f t="shared" si="6"/>
        <v>101</v>
      </c>
      <c r="B103" s="93" t="s">
        <v>166</v>
      </c>
      <c r="C103" s="333">
        <f>SUMIFS(Stock_Transactions!D:D, Stock_Transactions!B:B, B103, Stock_Transactions!D:D, "&gt;0")</f>
        <v>92</v>
      </c>
      <c r="D103" s="37">
        <f>SUMIFS(Stock_Transactions!D:D, Stock_Transactions!B:B, B103, Stock_Transactions!D:D, "&lt;0") * -1</f>
        <v>91</v>
      </c>
      <c r="E103" s="79">
        <f t="shared" si="7"/>
        <v>1</v>
      </c>
      <c r="F103" s="48">
        <f t="shared" si="8"/>
        <v>0</v>
      </c>
      <c r="G103" s="48">
        <f>SUMIF(Pending_Stock!C:C, B103, Pending_Stock!F:F)</f>
        <v>0</v>
      </c>
      <c r="H103" s="49">
        <f>SUMIF(Pending_Stock!I:I, B103, Pending_Stock!L:L)</f>
        <v>0</v>
      </c>
      <c r="I103" s="50">
        <f>SUMIF(ShipToDubai!C:C, B103, ShipToDubai!F:F) - (SUMIFS(Stock_Transactions!D:D, Stock_Transactions!B:B, B103, Stock_Transactions!D:D, "&lt;0") * -1)</f>
        <v>1</v>
      </c>
      <c r="J103" s="38">
        <f>SUMIF(ShipToDubai!C:C, B103, ShipToDubai!G:G)</f>
        <v>0</v>
      </c>
    </row>
    <row r="104" spans="1:12">
      <c r="A104" s="332">
        <f t="shared" si="6"/>
        <v>102</v>
      </c>
      <c r="B104" s="84" t="s">
        <v>927</v>
      </c>
      <c r="C104" s="333">
        <f>SUMIFS(Stock_Transactions!D:D, Stock_Transactions!B:B, B104, Stock_Transactions!D:D, "&gt;0")</f>
        <v>6</v>
      </c>
      <c r="D104" s="37">
        <f>SUMIFS(Stock_Transactions!D:D, Stock_Transactions!B:B, B104, Stock_Transactions!D:D, "&lt;0") * -1</f>
        <v>6</v>
      </c>
      <c r="E104" s="79">
        <f t="shared" si="7"/>
        <v>0</v>
      </c>
      <c r="F104" s="48">
        <f t="shared" si="8"/>
        <v>0</v>
      </c>
      <c r="G104" s="48">
        <f>SUMIF(Pending_Stock!C:C, B104, Pending_Stock!F:F)</f>
        <v>0</v>
      </c>
      <c r="H104" s="49">
        <f>SUMIF(Pending_Stock!I:I, B104, Pending_Stock!L:L)</f>
        <v>0</v>
      </c>
      <c r="I104" s="50">
        <f>SUMIF(ShipToDubai!C:C, B104, ShipToDubai!F:F) - (SUMIFS(Stock_Transactions!D:D, Stock_Transactions!B:B, B104, Stock_Transactions!D:D, "&lt;0") * -1)</f>
        <v>0</v>
      </c>
      <c r="J104" s="38">
        <f>SUMIF(ShipToDubai!C:C, B104, ShipToDubai!G:G)</f>
        <v>0</v>
      </c>
    </row>
    <row r="105" spans="1:12">
      <c r="A105" s="332">
        <f t="shared" si="6"/>
        <v>103</v>
      </c>
      <c r="B105" s="147" t="s">
        <v>930</v>
      </c>
      <c r="C105" s="333">
        <f>SUMIFS(Stock_Transactions!D:D, Stock_Transactions!B:B, B105, Stock_Transactions!D:D, "&gt;0")</f>
        <v>8</v>
      </c>
      <c r="D105" s="37">
        <f>SUMIFS(Stock_Transactions!D:D, Stock_Transactions!B:B, B105, Stock_Transactions!D:D, "&lt;0") * -1</f>
        <v>7</v>
      </c>
      <c r="E105" s="79">
        <f t="shared" si="7"/>
        <v>1</v>
      </c>
      <c r="F105" s="48">
        <f t="shared" si="8"/>
        <v>0</v>
      </c>
      <c r="G105" s="48">
        <f>SUMIF(Pending_Stock!C:C, B105, Pending_Stock!F:F)</f>
        <v>0</v>
      </c>
      <c r="H105" s="49">
        <f>SUMIF(Pending_Stock!I:I, B105, Pending_Stock!L:L)</f>
        <v>0</v>
      </c>
      <c r="I105" s="50">
        <f>SUMIF(ShipToDubai!C:C, B105, ShipToDubai!F:F) - (SUMIFS(Stock_Transactions!D:D, Stock_Transactions!B:B, B105, Stock_Transactions!D:D, "&lt;0") * -1)</f>
        <v>1</v>
      </c>
      <c r="J105" s="38">
        <f>SUMIF(ShipToDubai!C:C, B105, ShipToDubai!G:G)</f>
        <v>0</v>
      </c>
      <c r="L105" t="s">
        <v>305</v>
      </c>
    </row>
    <row r="106" spans="1:12">
      <c r="A106" s="332">
        <f t="shared" si="6"/>
        <v>104</v>
      </c>
      <c r="B106" s="147" t="s">
        <v>931</v>
      </c>
      <c r="C106" s="333">
        <f>SUMIFS(Stock_Transactions!D:D, Stock_Transactions!B:B, B106, Stock_Transactions!D:D, "&gt;0")</f>
        <v>14</v>
      </c>
      <c r="D106" s="37">
        <f>SUMIFS(Stock_Transactions!D:D, Stock_Transactions!B:B, B106, Stock_Transactions!D:D, "&lt;0") * -1</f>
        <v>13</v>
      </c>
      <c r="E106" s="79">
        <f t="shared" si="7"/>
        <v>1</v>
      </c>
      <c r="F106" s="48">
        <f t="shared" si="8"/>
        <v>0</v>
      </c>
      <c r="G106" s="48">
        <f>SUMIF(Pending_Stock!C:C, B106, Pending_Stock!F:F)</f>
        <v>0</v>
      </c>
      <c r="H106" s="49">
        <f>SUMIF(Pending_Stock!I:I, B106, Pending_Stock!L:L)</f>
        <v>0</v>
      </c>
      <c r="I106" s="50">
        <f>SUMIF(ShipToDubai!C:C, B106, ShipToDubai!F:F) - (SUMIFS(Stock_Transactions!D:D, Stock_Transactions!B:B, B106, Stock_Transactions!D:D, "&lt;0") * -1)</f>
        <v>1</v>
      </c>
      <c r="J106" s="38">
        <f>SUMIF(ShipToDubai!C:C, B106, ShipToDubai!G:G)</f>
        <v>0</v>
      </c>
    </row>
    <row r="107" spans="1:12">
      <c r="A107" s="332">
        <f t="shared" si="6"/>
        <v>105</v>
      </c>
      <c r="B107" s="104" t="s">
        <v>932</v>
      </c>
      <c r="C107" s="333">
        <f>SUMIFS(Stock_Transactions!D:D, Stock_Transactions!B:B, B107, Stock_Transactions!D:D, "&gt;0")</f>
        <v>158</v>
      </c>
      <c r="D107" s="37">
        <f>SUMIFS(Stock_Transactions!D:D, Stock_Transactions!B:B, B107, Stock_Transactions!D:D, "&lt;0") * -1</f>
        <v>155</v>
      </c>
      <c r="E107" s="79">
        <f t="shared" si="7"/>
        <v>3</v>
      </c>
      <c r="F107" s="48">
        <f t="shared" si="8"/>
        <v>0</v>
      </c>
      <c r="G107" s="48">
        <f>SUMIF(Pending_Stock!C:C, B107, Pending_Stock!F:F)</f>
        <v>0</v>
      </c>
      <c r="H107" s="49">
        <f>SUMIF(Pending_Stock!I:I, B107, Pending_Stock!L:L)</f>
        <v>0</v>
      </c>
      <c r="I107" s="50">
        <f>SUMIF(ShipToDubai!C:C, B107, ShipToDubai!F:F) - (SUMIFS(Stock_Transactions!D:D, Stock_Transactions!B:B, B107, Stock_Transactions!D:D, "&lt;0") * -1)</f>
        <v>3</v>
      </c>
      <c r="J107" s="38">
        <f>SUMIF(ShipToDubai!C:C, B107, ShipToDubai!G:G)</f>
        <v>0</v>
      </c>
      <c r="L107" t="s">
        <v>1077</v>
      </c>
    </row>
    <row r="108" spans="1:12">
      <c r="A108" s="332">
        <f t="shared" si="6"/>
        <v>106</v>
      </c>
      <c r="B108" s="344" t="s">
        <v>934</v>
      </c>
      <c r="C108" s="333">
        <f>SUMIFS(Stock_Transactions!D:D, Stock_Transactions!B:B, B108, Stock_Transactions!D:D, "&gt;0")</f>
        <v>4</v>
      </c>
      <c r="D108" s="37">
        <f>SUMIFS(Stock_Transactions!D:D, Stock_Transactions!B:B, B108, Stock_Transactions!D:D, "&lt;0") * -1</f>
        <v>5</v>
      </c>
      <c r="E108" s="79">
        <f t="shared" si="7"/>
        <v>-1</v>
      </c>
      <c r="F108" s="48">
        <f t="shared" si="8"/>
        <v>0</v>
      </c>
      <c r="G108" s="48">
        <f>SUMIF(Pending_Stock!C:C, B108, Pending_Stock!F:F)</f>
        <v>0</v>
      </c>
      <c r="H108" s="49">
        <f>SUMIF(Pending_Stock!I:I, B108, Pending_Stock!L:L)</f>
        <v>0</v>
      </c>
      <c r="I108" s="50">
        <f>SUMIF(ShipToDubai!C:C, B108, ShipToDubai!F:F) - (SUMIFS(Stock_Transactions!D:D, Stock_Transactions!B:B, B108, Stock_Transactions!D:D, "&lt;0") * -1)</f>
        <v>-1</v>
      </c>
      <c r="J108" s="38">
        <f>SUMIF(ShipToDubai!C:C, B108, ShipToDubai!G:G)</f>
        <v>0</v>
      </c>
      <c r="L108" t="s">
        <v>1078</v>
      </c>
    </row>
    <row r="109" spans="1:12">
      <c r="A109" s="332">
        <f t="shared" si="6"/>
        <v>107</v>
      </c>
      <c r="B109" s="343" t="s">
        <v>936</v>
      </c>
      <c r="C109" s="333">
        <f>SUMIFS(Stock_Transactions!D:D, Stock_Transactions!B:B, B109, Stock_Transactions!D:D, "&gt;0")</f>
        <v>8</v>
      </c>
      <c r="D109" s="37">
        <f>SUMIFS(Stock_Transactions!D:D, Stock_Transactions!B:B, B109, Stock_Transactions!D:D, "&lt;0") * -1</f>
        <v>8</v>
      </c>
      <c r="E109" s="79">
        <f t="shared" si="7"/>
        <v>0</v>
      </c>
      <c r="F109" s="48">
        <f t="shared" si="8"/>
        <v>0</v>
      </c>
      <c r="G109" s="48">
        <f>SUMIF(Pending_Stock!C:C, B109, Pending_Stock!F:F)</f>
        <v>0</v>
      </c>
      <c r="H109" s="49">
        <f>SUMIF(Pending_Stock!I:I, B109, Pending_Stock!L:L)</f>
        <v>0</v>
      </c>
      <c r="I109" s="50">
        <f>SUMIF(ShipToDubai!C:C, B109, ShipToDubai!F:F) - (SUMIFS(Stock_Transactions!D:D, Stock_Transactions!B:B, B109, Stock_Transactions!D:D, "&lt;0") * -1)</f>
        <v>0</v>
      </c>
      <c r="J109" s="38">
        <f>SUMIF(ShipToDubai!C:C, B109, ShipToDubai!G:G)</f>
        <v>0</v>
      </c>
    </row>
    <row r="110" spans="1:12">
      <c r="A110" s="332">
        <f t="shared" si="6"/>
        <v>108</v>
      </c>
      <c r="B110" s="342" t="s">
        <v>960</v>
      </c>
      <c r="C110" s="333">
        <f>SUMIFS(Stock_Transactions!D:D, Stock_Transactions!B:B, B110, Stock_Transactions!D:D, "&gt;0")</f>
        <v>264</v>
      </c>
      <c r="D110" s="37">
        <f>SUMIFS(Stock_Transactions!D:D, Stock_Transactions!B:B, B110, Stock_Transactions!D:D, "&lt;0") * -1</f>
        <v>264</v>
      </c>
      <c r="E110" s="79">
        <f t="shared" si="7"/>
        <v>0</v>
      </c>
      <c r="F110" s="48">
        <f t="shared" si="8"/>
        <v>0</v>
      </c>
      <c r="G110" s="48">
        <f>SUMIF(Pending_Stock!C:C, B110, Pending_Stock!F:F)</f>
        <v>0</v>
      </c>
      <c r="H110" s="49">
        <f>SUMIF(Pending_Stock!I:I, B110, Pending_Stock!L:L)</f>
        <v>0</v>
      </c>
      <c r="I110" s="50">
        <f>SUMIF(ShipToDubai!C:C, B110, ShipToDubai!F:F) - (SUMIFS(Stock_Transactions!D:D, Stock_Transactions!B:B, B110, Stock_Transactions!D:D, "&lt;0") * -1)</f>
        <v>0</v>
      </c>
      <c r="J110" s="38">
        <f>SUMIF(ShipToDubai!C:C, B110, ShipToDubai!G:G)</f>
        <v>0</v>
      </c>
      <c r="L110" t="s">
        <v>305</v>
      </c>
    </row>
    <row r="111" spans="1:12">
      <c r="A111" s="332">
        <f t="shared" si="6"/>
        <v>109</v>
      </c>
      <c r="B111" s="343" t="s">
        <v>962</v>
      </c>
      <c r="C111" s="333">
        <f>SUMIFS(Stock_Transactions!D:D, Stock_Transactions!B:B, B111, Stock_Transactions!D:D, "&gt;0")</f>
        <v>14</v>
      </c>
      <c r="D111" s="37">
        <f>SUMIFS(Stock_Transactions!D:D, Stock_Transactions!B:B, B111, Stock_Transactions!D:D, "&lt;0") * -1</f>
        <v>14</v>
      </c>
      <c r="E111" s="79">
        <f t="shared" si="7"/>
        <v>0</v>
      </c>
      <c r="F111" s="48">
        <f t="shared" si="8"/>
        <v>0</v>
      </c>
      <c r="G111" s="48">
        <f>SUMIF(Pending_Stock!C:C, B111, Pending_Stock!F:F)</f>
        <v>0</v>
      </c>
      <c r="H111" s="49">
        <f>SUMIF(Pending_Stock!I:I, B111, Pending_Stock!L:L)</f>
        <v>0</v>
      </c>
      <c r="I111" s="50">
        <f>SUMIF(ShipToDubai!C:C, B111, ShipToDubai!F:F) - (SUMIFS(Stock_Transactions!D:D, Stock_Transactions!B:B, B111, Stock_Transactions!D:D, "&lt;0") * -1)</f>
        <v>0</v>
      </c>
      <c r="J111" s="38">
        <f>SUMIF(ShipToDubai!C:C, B111, ShipToDubai!G:G)</f>
        <v>0</v>
      </c>
      <c r="L111" t="s">
        <v>305</v>
      </c>
    </row>
    <row r="112" spans="1:12">
      <c r="A112" s="332">
        <f t="shared" si="6"/>
        <v>110</v>
      </c>
      <c r="B112" s="343" t="s">
        <v>935</v>
      </c>
      <c r="C112" s="333">
        <f>SUMIFS(Stock_Transactions!D:D, Stock_Transactions!B:B, B112, Stock_Transactions!D:D, "&gt;0")</f>
        <v>13</v>
      </c>
      <c r="D112" s="37">
        <f>SUMIFS(Stock_Transactions!D:D, Stock_Transactions!B:B, B112, Stock_Transactions!D:D, "&lt;0") * -1</f>
        <v>13</v>
      </c>
      <c r="E112" s="79">
        <f t="shared" si="7"/>
        <v>0</v>
      </c>
      <c r="F112" s="48">
        <f t="shared" si="8"/>
        <v>0</v>
      </c>
      <c r="G112" s="48">
        <f>SUMIF(Pending_Stock!C:C, B112, Pending_Stock!F:F)</f>
        <v>0</v>
      </c>
      <c r="H112" s="49">
        <f>SUMIF(Pending_Stock!I:I, B112, Pending_Stock!L:L)</f>
        <v>0</v>
      </c>
      <c r="I112" s="50">
        <f>SUMIF(ShipToDubai!C:C, B112, ShipToDubai!F:F) - (SUMIFS(Stock_Transactions!D:D, Stock_Transactions!B:B, B112, Stock_Transactions!D:D, "&lt;0") * -1)</f>
        <v>0</v>
      </c>
      <c r="J112" s="38">
        <f>SUMIF(ShipToDubai!C:C, B112, ShipToDubai!G:G)</f>
        <v>0</v>
      </c>
      <c r="K112" t="s">
        <v>1340</v>
      </c>
    </row>
    <row r="113" spans="1:12">
      <c r="A113" s="332">
        <f t="shared" si="6"/>
        <v>111</v>
      </c>
      <c r="B113" s="93" t="s">
        <v>971</v>
      </c>
      <c r="C113" s="333">
        <f>SUMIFS(Stock_Transactions!D:D, Stock_Transactions!B:B, B113, Stock_Transactions!D:D, "&gt;0")</f>
        <v>1</v>
      </c>
      <c r="D113" s="37">
        <f>SUMIFS(Stock_Transactions!D:D, Stock_Transactions!B:B, B113, Stock_Transactions!D:D, "&lt;0") * -1</f>
        <v>1</v>
      </c>
      <c r="E113" s="79">
        <f t="shared" si="7"/>
        <v>0</v>
      </c>
      <c r="F113" s="48">
        <f t="shared" si="8"/>
        <v>0</v>
      </c>
      <c r="G113" s="48">
        <f>SUMIF(Pending_Stock!C:C, B113, Pending_Stock!F:F)</f>
        <v>0</v>
      </c>
      <c r="H113" s="49">
        <f>SUMIF(Pending_Stock!I:I, B113, Pending_Stock!L:L)</f>
        <v>0</v>
      </c>
      <c r="I113" s="50">
        <f>SUMIF(ShipToDubai!C:C, B113, ShipToDubai!F:F) - (SUMIFS(Stock_Transactions!D:D, Stock_Transactions!B:B, B113, Stock_Transactions!D:D, "&lt;0") * -1)</f>
        <v>0</v>
      </c>
      <c r="J113" s="38">
        <f>SUMIF(ShipToDubai!C:C, B113, ShipToDubai!G:G)</f>
        <v>0</v>
      </c>
      <c r="L113" t="s">
        <v>305</v>
      </c>
    </row>
    <row r="114" spans="1:12">
      <c r="A114" s="332">
        <f t="shared" si="6"/>
        <v>112</v>
      </c>
      <c r="B114" s="343" t="s">
        <v>972</v>
      </c>
      <c r="C114" s="333">
        <f>SUMIFS(Stock_Transactions!D:D, Stock_Transactions!B:B, B114, Stock_Transactions!D:D, "&gt;0")</f>
        <v>1</v>
      </c>
      <c r="D114" s="37">
        <f>SUMIFS(Stock_Transactions!D:D, Stock_Transactions!B:B, B114, Stock_Transactions!D:D, "&lt;0") * -1</f>
        <v>1</v>
      </c>
      <c r="E114" s="79">
        <f t="shared" si="7"/>
        <v>0</v>
      </c>
      <c r="F114" s="48">
        <f t="shared" si="8"/>
        <v>0</v>
      </c>
      <c r="G114" s="48">
        <f>SUMIF(Pending_Stock!C:C, B114, Pending_Stock!F:F)</f>
        <v>0</v>
      </c>
      <c r="H114" s="49">
        <f>SUMIF(Pending_Stock!I:I, B114, Pending_Stock!L:L)</f>
        <v>0</v>
      </c>
      <c r="I114" s="50">
        <f>SUMIF(ShipToDubai!C:C, B114, ShipToDubai!F:F) - (SUMIFS(Stock_Transactions!D:D, Stock_Transactions!B:B, B114, Stock_Transactions!D:D, "&lt;0") * -1)</f>
        <v>0</v>
      </c>
      <c r="J114" s="38">
        <f>SUMIF(ShipToDubai!C:C, B114, ShipToDubai!G:G)</f>
        <v>0</v>
      </c>
      <c r="L114" t="s">
        <v>305</v>
      </c>
    </row>
    <row r="115" spans="1:12">
      <c r="A115" s="332">
        <f t="shared" si="6"/>
        <v>113</v>
      </c>
      <c r="B115" s="349" t="s">
        <v>973</v>
      </c>
      <c r="C115" s="333">
        <f>SUMIFS(Stock_Transactions!D:D, Stock_Transactions!B:B, B115, Stock_Transactions!D:D, "&gt;0")</f>
        <v>13</v>
      </c>
      <c r="D115" s="37">
        <f>SUMIFS(Stock_Transactions!D:D, Stock_Transactions!B:B, B115, Stock_Transactions!D:D, "&lt;0") * -1</f>
        <v>12</v>
      </c>
      <c r="E115" s="79">
        <f t="shared" si="7"/>
        <v>1</v>
      </c>
      <c r="F115" s="48">
        <f t="shared" si="8"/>
        <v>0</v>
      </c>
      <c r="G115" s="48">
        <f>SUMIF(Pending_Stock!C:C, B115, Pending_Stock!F:F)</f>
        <v>0</v>
      </c>
      <c r="H115" s="49">
        <f>SUMIF(Pending_Stock!I:I, B115, Pending_Stock!L:L)</f>
        <v>0</v>
      </c>
      <c r="I115" s="50">
        <f>SUMIF(ShipToDubai!C:C, B115, ShipToDubai!F:F) - (SUMIFS(Stock_Transactions!D:D, Stock_Transactions!B:B, B115, Stock_Transactions!D:D, "&lt;0") * -1)</f>
        <v>1</v>
      </c>
      <c r="J115" s="38">
        <f>SUMIF(ShipToDubai!C:C, B115, ShipToDubai!G:G)</f>
        <v>0</v>
      </c>
    </row>
    <row r="116" spans="1:12">
      <c r="A116" s="332">
        <f t="shared" si="6"/>
        <v>114</v>
      </c>
      <c r="B116" s="93" t="s">
        <v>975</v>
      </c>
      <c r="C116" s="333">
        <f>SUMIFS(Stock_Transactions!D:D, Stock_Transactions!B:B, B116, Stock_Transactions!D:D, "&gt;0")</f>
        <v>31</v>
      </c>
      <c r="D116" s="37">
        <f>SUMIFS(Stock_Transactions!D:D, Stock_Transactions!B:B, B116, Stock_Transactions!D:D, "&lt;0") * -1</f>
        <v>31</v>
      </c>
      <c r="E116" s="79">
        <f t="shared" si="7"/>
        <v>0</v>
      </c>
      <c r="F116" s="48">
        <f t="shared" si="8"/>
        <v>0</v>
      </c>
      <c r="G116" s="48">
        <f>SUMIF(Pending_Stock!C:C, B116, Pending_Stock!F:F)</f>
        <v>0</v>
      </c>
      <c r="H116" s="49">
        <f>SUMIF(Pending_Stock!I:I, B116, Pending_Stock!L:L)</f>
        <v>0</v>
      </c>
      <c r="I116" s="50">
        <f>SUMIF(ShipToDubai!C:C, B116, ShipToDubai!F:F) - (SUMIFS(Stock_Transactions!D:D, Stock_Transactions!B:B, B116, Stock_Transactions!D:D, "&lt;0") * -1)</f>
        <v>0</v>
      </c>
      <c r="J116" s="38">
        <f>SUMIF(ShipToDubai!C:C, B116, ShipToDubai!G:G)</f>
        <v>0</v>
      </c>
    </row>
    <row r="117" spans="1:12">
      <c r="A117" s="332">
        <f t="shared" si="6"/>
        <v>115</v>
      </c>
      <c r="B117" s="93" t="s">
        <v>976</v>
      </c>
      <c r="C117" s="333">
        <f>SUMIFS(Stock_Transactions!D:D, Stock_Transactions!B:B, B117, Stock_Transactions!D:D, "&gt;0")</f>
        <v>26</v>
      </c>
      <c r="D117" s="37">
        <f>SUMIFS(Stock_Transactions!D:D, Stock_Transactions!B:B, B117, Stock_Transactions!D:D, "&lt;0") * -1</f>
        <v>22</v>
      </c>
      <c r="E117" s="79">
        <f t="shared" si="7"/>
        <v>4</v>
      </c>
      <c r="F117" s="48">
        <f t="shared" si="8"/>
        <v>0</v>
      </c>
      <c r="G117" s="48">
        <f>SUMIF(Pending_Stock!C:C, B117, Pending_Stock!F:F)</f>
        <v>0</v>
      </c>
      <c r="H117" s="49">
        <f>SUMIF(Pending_Stock!I:I, B117, Pending_Stock!L:L)</f>
        <v>0</v>
      </c>
      <c r="I117" s="50">
        <f>SUMIF(ShipToDubai!C:C, B117, ShipToDubai!F:F) - (SUMIFS(Stock_Transactions!D:D, Stock_Transactions!B:B, B117, Stock_Transactions!D:D, "&lt;0") * -1)</f>
        <v>4</v>
      </c>
      <c r="J117" s="38">
        <f>SUMIF(ShipToDubai!C:C, B117, ShipToDubai!G:G)</f>
        <v>0</v>
      </c>
      <c r="L117" t="s">
        <v>305</v>
      </c>
    </row>
    <row r="118" spans="1:12">
      <c r="A118" s="332">
        <f t="shared" si="6"/>
        <v>116</v>
      </c>
      <c r="B118" s="325" t="s">
        <v>977</v>
      </c>
      <c r="C118" s="333">
        <f>SUMIFS(Stock_Transactions!D:D, Stock_Transactions!B:B, B118, Stock_Transactions!D:D, "&gt;0")</f>
        <v>18</v>
      </c>
      <c r="D118" s="37">
        <f>SUMIFS(Stock_Transactions!D:D, Stock_Transactions!B:B, B118, Stock_Transactions!D:D, "&lt;0") * -1</f>
        <v>17</v>
      </c>
      <c r="E118" s="79">
        <f t="shared" si="7"/>
        <v>1</v>
      </c>
      <c r="F118" s="48">
        <f t="shared" si="8"/>
        <v>0</v>
      </c>
      <c r="G118" s="48">
        <f>SUMIF(Pending_Stock!C:C, B118, Pending_Stock!F:F)</f>
        <v>0</v>
      </c>
      <c r="H118" s="49">
        <f>SUMIF(Pending_Stock!I:I, B118, Pending_Stock!L:L)</f>
        <v>0</v>
      </c>
      <c r="I118" s="50">
        <f>SUMIF(ShipToDubai!C:C, B118, ShipToDubai!F:F) - (SUMIFS(Stock_Transactions!D:D, Stock_Transactions!B:B, B118, Stock_Transactions!D:D, "&lt;0") * -1)</f>
        <v>1</v>
      </c>
      <c r="J118" s="38">
        <f>SUMIF(ShipToDubai!C:C, B118, ShipToDubai!G:G)</f>
        <v>0</v>
      </c>
      <c r="L118" t="s">
        <v>305</v>
      </c>
    </row>
    <row r="119" spans="1:12">
      <c r="A119" s="332">
        <f t="shared" si="6"/>
        <v>117</v>
      </c>
      <c r="B119" s="93" t="s">
        <v>1094</v>
      </c>
      <c r="C119" s="333">
        <f>SUMIFS(Stock_Transactions!D:D, Stock_Transactions!B:B, B119, Stock_Transactions!D:D, "&gt;0")</f>
        <v>8</v>
      </c>
      <c r="D119" s="37">
        <f>SUMIFS(Stock_Transactions!D:D, Stock_Transactions!B:B, B119, Stock_Transactions!D:D, "&lt;0") * -1</f>
        <v>7</v>
      </c>
      <c r="E119" s="79">
        <f t="shared" si="7"/>
        <v>1</v>
      </c>
      <c r="F119" s="48">
        <f t="shared" si="8"/>
        <v>0</v>
      </c>
      <c r="G119" s="48">
        <f>SUMIF(Pending_Stock!C:C, B119, Pending_Stock!F:F)</f>
        <v>0</v>
      </c>
      <c r="H119" s="49">
        <f>SUMIF(Pending_Stock!I:I, B119, Pending_Stock!L:L)</f>
        <v>0</v>
      </c>
      <c r="I119" s="50">
        <f>SUMIF(ShipToDubai!C:C, B119, ShipToDubai!F:F) - (SUMIFS(Stock_Transactions!D:D, Stock_Transactions!B:B, B119, Stock_Transactions!D:D, "&lt;0") * -1)</f>
        <v>1</v>
      </c>
      <c r="J119" s="38">
        <f>SUMIF(ShipToDubai!C:C, B119, ShipToDubai!G:G)</f>
        <v>0</v>
      </c>
    </row>
    <row r="120" spans="1:12">
      <c r="A120" s="332">
        <f t="shared" si="6"/>
        <v>118</v>
      </c>
      <c r="B120" s="93" t="s">
        <v>1095</v>
      </c>
      <c r="C120" s="333">
        <f>SUMIFS(Stock_Transactions!D:D, Stock_Transactions!B:B, B120, Stock_Transactions!D:D, "&gt;0")</f>
        <v>73</v>
      </c>
      <c r="D120" s="37">
        <f>SUMIFS(Stock_Transactions!D:D, Stock_Transactions!B:B, B120, Stock_Transactions!D:D, "&lt;0") * -1</f>
        <v>73</v>
      </c>
      <c r="E120" s="79">
        <f t="shared" si="7"/>
        <v>0</v>
      </c>
      <c r="F120" s="48">
        <f t="shared" si="8"/>
        <v>-2</v>
      </c>
      <c r="G120" s="48">
        <f>SUMIF(Pending_Stock!C:C, B120, Pending_Stock!F:F)</f>
        <v>0</v>
      </c>
      <c r="H120" s="49">
        <f>SUMIF(Pending_Stock!I:I, B120, Pending_Stock!L:L)</f>
        <v>0</v>
      </c>
      <c r="I120" s="50">
        <f>SUMIF(ShipToDubai!C:C, B120, ShipToDubai!F:F) - (SUMIFS(Stock_Transactions!D:D, Stock_Transactions!B:B, B120, Stock_Transactions!D:D, "&lt;0") * -1)</f>
        <v>2</v>
      </c>
      <c r="J120" s="38">
        <f>SUMIF(ShipToDubai!C:C, B120, ShipToDubai!G:G)</f>
        <v>0</v>
      </c>
    </row>
    <row r="121" spans="1:12">
      <c r="A121" s="332">
        <f t="shared" si="6"/>
        <v>119</v>
      </c>
      <c r="B121" s="93" t="s">
        <v>1096</v>
      </c>
      <c r="C121" s="333">
        <f>SUMIFS(Stock_Transactions!D:D, Stock_Transactions!B:B, B121, Stock_Transactions!D:D, "&gt;0")</f>
        <v>27</v>
      </c>
      <c r="D121" s="37">
        <f>SUMIFS(Stock_Transactions!D:D, Stock_Transactions!B:B, B121, Stock_Transactions!D:D, "&lt;0") * -1</f>
        <v>20</v>
      </c>
      <c r="E121" s="79">
        <f t="shared" si="7"/>
        <v>7</v>
      </c>
      <c r="F121" s="48">
        <f t="shared" si="8"/>
        <v>0</v>
      </c>
      <c r="G121" s="48">
        <f>SUMIF(Pending_Stock!C:C, B121, Pending_Stock!F:F)</f>
        <v>0</v>
      </c>
      <c r="H121" s="49">
        <f>SUMIF(Pending_Stock!I:I, B121, Pending_Stock!L:L)</f>
        <v>0</v>
      </c>
      <c r="I121" s="50">
        <f>SUMIF(ShipToDubai!C:C, B121, ShipToDubai!F:F) - (SUMIFS(Stock_Transactions!D:D, Stock_Transactions!B:B, B121, Stock_Transactions!D:D, "&lt;0") * -1)</f>
        <v>7</v>
      </c>
      <c r="J121" s="38">
        <f>SUMIF(ShipToDubai!C:C, B121, ShipToDubai!G:G)</f>
        <v>0</v>
      </c>
    </row>
    <row r="122" spans="1:12">
      <c r="A122" s="332">
        <f t="shared" si="6"/>
        <v>120</v>
      </c>
      <c r="B122" s="93" t="s">
        <v>1097</v>
      </c>
      <c r="C122" s="333">
        <f>SUMIFS(Stock_Transactions!D:D, Stock_Transactions!B:B, B122, Stock_Transactions!D:D, "&gt;0")</f>
        <v>10</v>
      </c>
      <c r="D122" s="37">
        <f>SUMIFS(Stock_Transactions!D:D, Stock_Transactions!B:B, B122, Stock_Transactions!D:D, "&lt;0") * -1</f>
        <v>10</v>
      </c>
      <c r="E122" s="79">
        <f t="shared" si="7"/>
        <v>0</v>
      </c>
      <c r="F122" s="48">
        <f t="shared" si="8"/>
        <v>0</v>
      </c>
      <c r="G122" s="48">
        <f>SUMIF(Pending_Stock!C:C, B122, Pending_Stock!F:F)</f>
        <v>0</v>
      </c>
      <c r="H122" s="49">
        <f>SUMIF(Pending_Stock!I:I, B122, Pending_Stock!L:L)</f>
        <v>0</v>
      </c>
      <c r="I122" s="50">
        <f>SUMIF(ShipToDubai!C:C, B122, ShipToDubai!F:F) - (SUMIFS(Stock_Transactions!D:D, Stock_Transactions!B:B, B122, Stock_Transactions!D:D, "&lt;0") * -1)</f>
        <v>0</v>
      </c>
      <c r="J122" s="38">
        <f>SUMIF(ShipToDubai!C:C, B122, ShipToDubai!G:G)</f>
        <v>0</v>
      </c>
    </row>
    <row r="123" spans="1:12">
      <c r="A123" s="332">
        <f t="shared" si="6"/>
        <v>121</v>
      </c>
      <c r="B123" s="344" t="s">
        <v>1146</v>
      </c>
      <c r="C123" s="333">
        <f>SUMIFS(Stock_Transactions!D:D, Stock_Transactions!B:B, B123, Stock_Transactions!D:D, "&gt;0")</f>
        <v>4</v>
      </c>
      <c r="D123" s="37">
        <f>SUMIFS(Stock_Transactions!D:D, Stock_Transactions!B:B, B123, Stock_Transactions!D:D, "&lt;0") * -1</f>
        <v>2</v>
      </c>
      <c r="E123" s="79">
        <f t="shared" si="7"/>
        <v>2</v>
      </c>
      <c r="F123" s="48">
        <f t="shared" si="8"/>
        <v>0</v>
      </c>
      <c r="G123" s="48">
        <f>SUMIF(Pending_Stock!C:C, B123, Pending_Stock!F:F)</f>
        <v>0</v>
      </c>
      <c r="H123" s="49">
        <f>SUMIF(Pending_Stock!I:I, B123, Pending_Stock!L:L)</f>
        <v>0</v>
      </c>
      <c r="I123" s="50">
        <f>SUMIF(ShipToDubai!C:C, B123, ShipToDubai!F:F) - (SUMIFS(Stock_Transactions!D:D, Stock_Transactions!B:B, B123, Stock_Transactions!D:D, "&lt;0") * -1)</f>
        <v>2</v>
      </c>
      <c r="J123" s="38">
        <f>SUMIF(ShipToDubai!C:C, B123, ShipToDubai!G:G)</f>
        <v>0</v>
      </c>
    </row>
    <row r="124" spans="1:12">
      <c r="A124" s="332">
        <f t="shared" si="6"/>
        <v>122</v>
      </c>
      <c r="B124" s="344" t="s">
        <v>1147</v>
      </c>
      <c r="C124" s="333">
        <f>SUMIFS(Stock_Transactions!D:D, Stock_Transactions!B:B, B124, Stock_Transactions!D:D, "&gt;0")</f>
        <v>16</v>
      </c>
      <c r="D124" s="37">
        <f>SUMIFS(Stock_Transactions!D:D, Stock_Transactions!B:B, B124, Stock_Transactions!D:D, "&lt;0") * -1</f>
        <v>16</v>
      </c>
      <c r="E124" s="79">
        <f t="shared" si="7"/>
        <v>0</v>
      </c>
      <c r="F124" s="48">
        <f t="shared" si="8"/>
        <v>0</v>
      </c>
      <c r="G124" s="48">
        <f>SUMIF(Pending_Stock!C:C, B124, Pending_Stock!F:F)</f>
        <v>0</v>
      </c>
      <c r="H124" s="49">
        <f>SUMIF(Pending_Stock!I:I, B124, Pending_Stock!L:L)</f>
        <v>0</v>
      </c>
      <c r="I124" s="50">
        <f>SUMIF(ShipToDubai!C:C, B124, ShipToDubai!F:F) - (SUMIFS(Stock_Transactions!D:D, Stock_Transactions!B:B, B124, Stock_Transactions!D:D, "&lt;0") * -1)</f>
        <v>0</v>
      </c>
      <c r="J124" s="38">
        <f>SUMIF(ShipToDubai!C:C, B124, ShipToDubai!G:G)</f>
        <v>0</v>
      </c>
    </row>
    <row r="125" spans="1:12">
      <c r="A125" s="332">
        <f t="shared" si="6"/>
        <v>123</v>
      </c>
      <c r="B125" s="344" t="s">
        <v>1148</v>
      </c>
      <c r="C125" s="333">
        <f>SUMIFS(Stock_Transactions!D:D, Stock_Transactions!B:B, B125, Stock_Transactions!D:D, "&gt;0")</f>
        <v>7</v>
      </c>
      <c r="D125" s="37">
        <f>SUMIFS(Stock_Transactions!D:D, Stock_Transactions!B:B, B125, Stock_Transactions!D:D, "&lt;0") * -1</f>
        <v>7</v>
      </c>
      <c r="E125" s="79">
        <f t="shared" si="7"/>
        <v>0</v>
      </c>
      <c r="F125" s="48">
        <f t="shared" si="8"/>
        <v>0</v>
      </c>
      <c r="G125" s="48">
        <f>SUMIF(Pending_Stock!C:C, B125, Pending_Stock!F:F)</f>
        <v>0</v>
      </c>
      <c r="H125" s="49">
        <f>SUMIF(Pending_Stock!I:I, B125, Pending_Stock!L:L)</f>
        <v>0</v>
      </c>
      <c r="I125" s="50">
        <f>SUMIF(ShipToDubai!C:C, B125, ShipToDubai!F:F) - (SUMIFS(Stock_Transactions!D:D, Stock_Transactions!B:B, B125, Stock_Transactions!D:D, "&lt;0") * -1)</f>
        <v>0</v>
      </c>
      <c r="J125" s="38">
        <f>SUMIF(ShipToDubai!C:C, B125, ShipToDubai!G:G)</f>
        <v>0</v>
      </c>
    </row>
    <row r="126" spans="1:12">
      <c r="A126" s="332">
        <f t="shared" si="6"/>
        <v>124</v>
      </c>
      <c r="B126" s="344" t="s">
        <v>1149</v>
      </c>
      <c r="C126" s="333">
        <f>SUMIFS(Stock_Transactions!D:D, Stock_Transactions!B:B, B126, Stock_Transactions!D:D, "&gt;0")</f>
        <v>9</v>
      </c>
      <c r="D126" s="37">
        <f>SUMIFS(Stock_Transactions!D:D, Stock_Transactions!B:B, B126, Stock_Transactions!D:D, "&lt;0") * -1</f>
        <v>9</v>
      </c>
      <c r="E126" s="79">
        <f t="shared" si="7"/>
        <v>0</v>
      </c>
      <c r="F126" s="48">
        <f t="shared" si="8"/>
        <v>0</v>
      </c>
      <c r="G126" s="48">
        <f>SUMIF(Pending_Stock!C:C, B126, Pending_Stock!F:F)</f>
        <v>0</v>
      </c>
      <c r="H126" s="49">
        <f>SUMIF(Pending_Stock!I:I, B126, Pending_Stock!L:L)</f>
        <v>0</v>
      </c>
      <c r="I126" s="50">
        <f>SUMIF(ShipToDubai!C:C, B126, ShipToDubai!F:F) - (SUMIFS(Stock_Transactions!D:D, Stock_Transactions!B:B, B126, Stock_Transactions!D:D, "&lt;0") * -1)</f>
        <v>0</v>
      </c>
      <c r="J126" s="38">
        <f>SUMIF(ShipToDubai!C:C, B126, ShipToDubai!G:G)</f>
        <v>0</v>
      </c>
    </row>
    <row r="127" spans="1:12">
      <c r="A127" s="332">
        <f t="shared" si="6"/>
        <v>125</v>
      </c>
      <c r="B127" s="344" t="s">
        <v>1151</v>
      </c>
      <c r="C127" s="333">
        <f>SUMIFS(Stock_Transactions!D:D, Stock_Transactions!B:B, B127, Stock_Transactions!D:D, "&gt;0")</f>
        <v>30</v>
      </c>
      <c r="D127" s="37">
        <f>SUMIFS(Stock_Transactions!D:D, Stock_Transactions!B:B, B127, Stock_Transactions!D:D, "&lt;0") * -1</f>
        <v>30</v>
      </c>
      <c r="E127" s="79">
        <f t="shared" si="7"/>
        <v>0</v>
      </c>
      <c r="F127" s="48">
        <f t="shared" si="8"/>
        <v>0</v>
      </c>
      <c r="G127" s="48">
        <f>SUMIF(Pending_Stock!C:C, B127, Pending_Stock!F:F)</f>
        <v>0</v>
      </c>
      <c r="H127" s="49">
        <f>SUMIF(Pending_Stock!I:I, B127, Pending_Stock!L:L)</f>
        <v>0</v>
      </c>
      <c r="I127" s="50">
        <f>SUMIF(ShipToDubai!C:C, B127, ShipToDubai!F:F) - (SUMIFS(Stock_Transactions!D:D, Stock_Transactions!B:B, B127, Stock_Transactions!D:D, "&lt;0") * -1)</f>
        <v>0</v>
      </c>
      <c r="J127" s="38">
        <f>SUMIF(ShipToDubai!C:C, B127, ShipToDubai!G:G)</f>
        <v>0</v>
      </c>
    </row>
    <row r="128" spans="1:12">
      <c r="A128" s="332">
        <f t="shared" si="6"/>
        <v>126</v>
      </c>
      <c r="B128" s="343" t="s">
        <v>1173</v>
      </c>
      <c r="C128" s="333">
        <f>SUMIFS(Stock_Transactions!D:D, Stock_Transactions!B:B, B128, Stock_Transactions!D:D, "&gt;0")</f>
        <v>65</v>
      </c>
      <c r="D128" s="37">
        <f>SUMIFS(Stock_Transactions!D:D, Stock_Transactions!B:B, B128, Stock_Transactions!D:D, "&lt;0") * -1</f>
        <v>55</v>
      </c>
      <c r="E128" s="79">
        <f t="shared" si="7"/>
        <v>10</v>
      </c>
      <c r="F128" s="48">
        <f t="shared" si="8"/>
        <v>0</v>
      </c>
      <c r="G128" s="48">
        <f>SUMIF(Pending_Stock!C:C, B128, Pending_Stock!F:F)</f>
        <v>0</v>
      </c>
      <c r="H128" s="49">
        <f>SUMIF(Pending_Stock!I:I, B128, Pending_Stock!L:L)</f>
        <v>0</v>
      </c>
      <c r="I128" s="50">
        <f>SUMIF(ShipToDubai!C:C, B128, ShipToDubai!F:F) - (SUMIFS(Stock_Transactions!D:D, Stock_Transactions!B:B, B128, Stock_Transactions!D:D, "&lt;0") * -1)</f>
        <v>10</v>
      </c>
      <c r="J128" s="38">
        <f>SUMIF(ShipToDubai!C:C, B128, ShipToDubai!G:G)</f>
        <v>0</v>
      </c>
    </row>
    <row r="129" spans="1:10">
      <c r="A129" s="332">
        <f t="shared" si="6"/>
        <v>127</v>
      </c>
      <c r="B129" s="343" t="s">
        <v>1176</v>
      </c>
      <c r="C129" s="333">
        <f>SUMIFS(Stock_Transactions!D:D, Stock_Transactions!B:B, B129, Stock_Transactions!D:D, "&gt;0")</f>
        <v>2</v>
      </c>
      <c r="D129" s="37">
        <f>SUMIFS(Stock_Transactions!D:D, Stock_Transactions!B:B, B129, Stock_Transactions!D:D, "&lt;0") * -1</f>
        <v>2</v>
      </c>
      <c r="E129" s="79">
        <f t="shared" si="7"/>
        <v>0</v>
      </c>
      <c r="F129" s="48">
        <f t="shared" si="8"/>
        <v>0</v>
      </c>
      <c r="G129" s="48">
        <f>SUMIF(Pending_Stock!C:C, B129, Pending_Stock!F:F)</f>
        <v>0</v>
      </c>
      <c r="H129" s="49">
        <f>SUMIF(Pending_Stock!I:I, B129, Pending_Stock!L:L)</f>
        <v>0</v>
      </c>
      <c r="I129" s="50">
        <f>SUMIF(ShipToDubai!C:C, B129, ShipToDubai!F:F) - (SUMIFS(Stock_Transactions!D:D, Stock_Transactions!B:B, B129, Stock_Transactions!D:D, "&lt;0") * -1)</f>
        <v>0</v>
      </c>
      <c r="J129" s="38">
        <f>SUMIF(ShipToDubai!C:C, B129, ShipToDubai!G:G)</f>
        <v>0</v>
      </c>
    </row>
    <row r="130" spans="1:10">
      <c r="A130" s="332">
        <f t="shared" si="6"/>
        <v>128</v>
      </c>
      <c r="B130" s="439" t="s">
        <v>1150</v>
      </c>
      <c r="C130" s="333">
        <f>SUMIFS(Stock_Transactions!D:D, Stock_Transactions!B:B, B130, Stock_Transactions!D:D, "&gt;0")</f>
        <v>2</v>
      </c>
      <c r="D130" s="37">
        <f>SUMIFS(Stock_Transactions!D:D, Stock_Transactions!B:B, B130, Stock_Transactions!D:D, "&lt;0") * -1</f>
        <v>2</v>
      </c>
      <c r="E130" s="79">
        <f t="shared" si="7"/>
        <v>0</v>
      </c>
      <c r="F130" s="48">
        <f t="shared" si="8"/>
        <v>0</v>
      </c>
      <c r="G130" s="48">
        <f>SUMIF(Pending_Stock!C:C, B130, Pending_Stock!F:F)</f>
        <v>0</v>
      </c>
      <c r="H130" s="49">
        <f>SUMIF(Pending_Stock!I:I, B130, Pending_Stock!L:L)</f>
        <v>0</v>
      </c>
      <c r="I130" s="50">
        <f>SUMIF(ShipToDubai!C:C, B130, ShipToDubai!F:F) - (SUMIFS(Stock_Transactions!D:D, Stock_Transactions!B:B, B130, Stock_Transactions!D:D, "&lt;0") * -1)</f>
        <v>0</v>
      </c>
      <c r="J130" s="38">
        <f>SUMIF(ShipToDubai!C:C, B130, ShipToDubai!G:G)</f>
        <v>0</v>
      </c>
    </row>
    <row r="131" spans="1:10">
      <c r="A131" s="332">
        <f t="shared" si="6"/>
        <v>129</v>
      </c>
      <c r="B131" s="343" t="s">
        <v>1152</v>
      </c>
      <c r="C131" s="333">
        <f>SUMIFS(Stock_Transactions!D:D, Stock_Transactions!B:B, B131, Stock_Transactions!D:D, "&gt;0")</f>
        <v>28</v>
      </c>
      <c r="D131" s="37">
        <f>SUMIFS(Stock_Transactions!D:D, Stock_Transactions!B:B, B131, Stock_Transactions!D:D, "&lt;0") * -1</f>
        <v>27</v>
      </c>
      <c r="E131" s="79">
        <f t="shared" si="7"/>
        <v>1</v>
      </c>
      <c r="F131" s="48">
        <f t="shared" si="8"/>
        <v>0</v>
      </c>
      <c r="G131" s="48">
        <f>SUMIF(Pending_Stock!C:C, B131, Pending_Stock!F:F)</f>
        <v>0</v>
      </c>
      <c r="H131" s="49">
        <f>SUMIF(Pending_Stock!I:I, B131, Pending_Stock!L:L)</f>
        <v>0</v>
      </c>
      <c r="I131" s="50">
        <f>SUMIF(ShipToDubai!C:C, B131, ShipToDubai!F:F) - (SUMIFS(Stock_Transactions!D:D, Stock_Transactions!B:B, B131, Stock_Transactions!D:D, "&lt;0") * -1)</f>
        <v>1</v>
      </c>
      <c r="J131" s="38">
        <f>SUMIF(ShipToDubai!C:C, B131, ShipToDubai!G:G)</f>
        <v>0</v>
      </c>
    </row>
    <row r="132" spans="1:10">
      <c r="A132" s="332">
        <f t="shared" si="6"/>
        <v>130</v>
      </c>
      <c r="B132" s="344" t="s">
        <v>1182</v>
      </c>
      <c r="C132" s="333">
        <f>SUMIFS(Stock_Transactions!D:D, Stock_Transactions!B:B, B132, Stock_Transactions!D:D, "&gt;0")</f>
        <v>15</v>
      </c>
      <c r="D132" s="37">
        <f>SUMIFS(Stock_Transactions!D:D, Stock_Transactions!B:B, B132, Stock_Transactions!D:D, "&lt;0") * -1</f>
        <v>15</v>
      </c>
      <c r="E132" s="79">
        <f t="shared" si="7"/>
        <v>0</v>
      </c>
      <c r="F132" s="48">
        <f t="shared" si="8"/>
        <v>0</v>
      </c>
      <c r="G132" s="48">
        <f>SUMIF(Pending_Stock!C:C, B132, Pending_Stock!F:F)</f>
        <v>0</v>
      </c>
      <c r="H132" s="49">
        <f>SUMIF(Pending_Stock!I:I, B132, Pending_Stock!L:L)</f>
        <v>0</v>
      </c>
      <c r="I132" s="50">
        <f>SUMIF(ShipToDubai!C:C, B132, ShipToDubai!F:F) - (SUMIFS(Stock_Transactions!D:D, Stock_Transactions!B:B, B132, Stock_Transactions!D:D, "&lt;0") * -1)</f>
        <v>0</v>
      </c>
      <c r="J132" s="38">
        <f>SUMIF(ShipToDubai!C:C, B132, ShipToDubai!G:G)</f>
        <v>0</v>
      </c>
    </row>
    <row r="133" spans="1:10">
      <c r="A133" s="332">
        <f t="shared" si="6"/>
        <v>131</v>
      </c>
      <c r="B133" s="344" t="s">
        <v>1183</v>
      </c>
      <c r="C133" s="333">
        <f>SUMIFS(Stock_Transactions!D:D, Stock_Transactions!B:B, B133, Stock_Transactions!D:D, "&gt;0")</f>
        <v>39</v>
      </c>
      <c r="D133" s="37">
        <f>SUMIFS(Stock_Transactions!D:D, Stock_Transactions!B:B, B133, Stock_Transactions!D:D, "&lt;0") * -1</f>
        <v>39</v>
      </c>
      <c r="E133" s="79">
        <f t="shared" si="7"/>
        <v>0</v>
      </c>
      <c r="F133" s="48">
        <f t="shared" si="8"/>
        <v>0</v>
      </c>
      <c r="G133" s="48">
        <f>SUMIF(Pending_Stock!C:C, B133, Pending_Stock!F:F)</f>
        <v>0</v>
      </c>
      <c r="H133" s="49">
        <f>SUMIF(Pending_Stock!I:I, B133, Pending_Stock!L:L)</f>
        <v>0</v>
      </c>
      <c r="I133" s="50">
        <f>SUMIF(ShipToDubai!C:C, B133, ShipToDubai!F:F) - (SUMIFS(Stock_Transactions!D:D, Stock_Transactions!B:B, B133, Stock_Transactions!D:D, "&lt;0") * -1)</f>
        <v>0</v>
      </c>
      <c r="J133" s="38">
        <f>SUMIF(ShipToDubai!C:C, B133, ShipToDubai!G:G)</f>
        <v>0</v>
      </c>
    </row>
    <row r="134" spans="1:10">
      <c r="A134" s="332">
        <f t="shared" si="6"/>
        <v>132</v>
      </c>
      <c r="B134" s="342" t="s">
        <v>1186</v>
      </c>
      <c r="C134" s="333">
        <f>SUMIFS(Stock_Transactions!D:D, Stock_Transactions!B:B, B134, Stock_Transactions!D:D, "&gt;0")</f>
        <v>1</v>
      </c>
      <c r="D134" s="37">
        <f>SUMIFS(Stock_Transactions!D:D, Stock_Transactions!B:B, B134, Stock_Transactions!D:D, "&lt;0") * -1</f>
        <v>1</v>
      </c>
      <c r="E134" s="79">
        <f t="shared" si="7"/>
        <v>0</v>
      </c>
      <c r="F134" s="48">
        <f t="shared" si="8"/>
        <v>0</v>
      </c>
      <c r="G134" s="48">
        <f>SUMIF(Pending_Stock!C:C, B134, Pending_Stock!F:F)</f>
        <v>0</v>
      </c>
      <c r="H134" s="49">
        <f>SUMIF(Pending_Stock!I:I, B134, Pending_Stock!L:L)</f>
        <v>0</v>
      </c>
      <c r="I134" s="50">
        <f>SUMIF(ShipToDubai!C:C, B134, ShipToDubai!F:F) - (SUMIFS(Stock_Transactions!D:D, Stock_Transactions!B:B, B134, Stock_Transactions!D:D, "&lt;0") * -1)</f>
        <v>0</v>
      </c>
      <c r="J134" s="38">
        <f>SUMIF(ShipToDubai!C:C, B134, ShipToDubai!G:G)</f>
        <v>0</v>
      </c>
    </row>
    <row r="135" spans="1:10">
      <c r="A135" s="332">
        <f t="shared" si="6"/>
        <v>133</v>
      </c>
      <c r="B135" s="343" t="s">
        <v>1220</v>
      </c>
      <c r="C135" s="333">
        <f>SUMIFS(Stock_Transactions!D:D, Stock_Transactions!B:B, B135, Stock_Transactions!D:D, "&gt;0")</f>
        <v>1</v>
      </c>
      <c r="D135" s="37">
        <f>SUMIFS(Stock_Transactions!D:D, Stock_Transactions!B:B, B135, Stock_Transactions!D:D, "&lt;0") * -1</f>
        <v>1</v>
      </c>
      <c r="E135" s="79">
        <f t="shared" si="7"/>
        <v>0</v>
      </c>
      <c r="F135" s="48">
        <f t="shared" si="8"/>
        <v>0</v>
      </c>
      <c r="G135" s="48">
        <f>SUMIF(Pending_Stock!C:C, B135, Pending_Stock!F:F)</f>
        <v>0</v>
      </c>
      <c r="H135" s="49">
        <f>SUMIF(Pending_Stock!I:I, B135, Pending_Stock!L:L)</f>
        <v>0</v>
      </c>
      <c r="I135" s="50">
        <f>SUMIF(ShipToDubai!C:C, B135, ShipToDubai!F:F) - (SUMIFS(Stock_Transactions!D:D, Stock_Transactions!B:B, B135, Stock_Transactions!D:D, "&lt;0") * -1)</f>
        <v>0</v>
      </c>
      <c r="J135" s="38">
        <f>SUMIF(ShipToDubai!C:C, B135, ShipToDubai!G:G)</f>
        <v>0</v>
      </c>
    </row>
    <row r="136" spans="1:10">
      <c r="A136" s="459">
        <f t="shared" si="6"/>
        <v>134</v>
      </c>
      <c r="B136" s="483" t="s">
        <v>1202</v>
      </c>
      <c r="C136" s="333">
        <f>SUMIFS(Stock_Transactions!D:D, Stock_Transactions!B:B, B136, Stock_Transactions!D:D, "&gt;0")</f>
        <v>10</v>
      </c>
      <c r="D136" s="37">
        <f>SUMIFS(Stock_Transactions!D:D, Stock_Transactions!B:B, B136, Stock_Transactions!D:D, "&lt;0") * -1</f>
        <v>10</v>
      </c>
      <c r="E136" s="79">
        <f t="shared" si="7"/>
        <v>0</v>
      </c>
      <c r="F136" s="48">
        <f t="shared" si="8"/>
        <v>0</v>
      </c>
      <c r="G136" s="48">
        <f>SUMIF(Pending_Stock!C:C, B136, Pending_Stock!F:F)</f>
        <v>0</v>
      </c>
      <c r="H136" s="49">
        <f>SUMIF(Pending_Stock!I:I, B136, Pending_Stock!L:L)</f>
        <v>0</v>
      </c>
      <c r="I136" s="50">
        <f>SUMIF(ShipToDubai!C:C, B136, ShipToDubai!F:F) - (SUMIFS(Stock_Transactions!D:D, Stock_Transactions!B:B, B136, Stock_Transactions!D:D, "&lt;0") * -1)</f>
        <v>0</v>
      </c>
      <c r="J136" s="38">
        <f>SUMIF(ShipToDubai!C:C, B136, ShipToDubai!G:G)</f>
        <v>0</v>
      </c>
    </row>
    <row r="137" spans="1:10">
      <c r="A137" s="19">
        <f t="shared" si="6"/>
        <v>135</v>
      </c>
      <c r="B137" s="93" t="s">
        <v>1221</v>
      </c>
      <c r="C137" s="333">
        <f>SUMIFS(Stock_Transactions!D:D, Stock_Transactions!B:B, B137, Stock_Transactions!D:D, "&gt;0")</f>
        <v>10</v>
      </c>
      <c r="D137" s="37">
        <f>SUMIFS(Stock_Transactions!D:D, Stock_Transactions!B:B, B137, Stock_Transactions!D:D, "&lt;0") * -1</f>
        <v>3</v>
      </c>
      <c r="E137" s="79">
        <f t="shared" si="7"/>
        <v>7</v>
      </c>
      <c r="F137" s="48">
        <f t="shared" si="8"/>
        <v>0</v>
      </c>
      <c r="G137" s="48">
        <f>SUMIF(Pending_Stock!C:C, B137, Pending_Stock!F:F)</f>
        <v>0</v>
      </c>
      <c r="H137" s="49">
        <f>SUMIF(Pending_Stock!I:I, B137, Pending_Stock!L:L)</f>
        <v>0</v>
      </c>
      <c r="I137" s="50">
        <f>SUMIF(ShipToDubai!C:C, B137, ShipToDubai!F:F) - (SUMIFS(Stock_Transactions!D:D, Stock_Transactions!B:B, B137, Stock_Transactions!D:D, "&lt;0") * -1)</f>
        <v>7</v>
      </c>
      <c r="J137" s="38">
        <f>SUMIF(ShipToDubai!C:C, B137, ShipToDubai!G:G)</f>
        <v>0</v>
      </c>
    </row>
    <row r="138" spans="1:10">
      <c r="A138" s="19">
        <f t="shared" si="6"/>
        <v>136</v>
      </c>
      <c r="B138" s="93" t="s">
        <v>1222</v>
      </c>
      <c r="C138" s="333">
        <f>SUMIFS(Stock_Transactions!D:D, Stock_Transactions!B:B, B138, Stock_Transactions!D:D, "&gt;0")</f>
        <v>10</v>
      </c>
      <c r="D138" s="37">
        <f>SUMIFS(Stock_Transactions!D:D, Stock_Transactions!B:B, B138, Stock_Transactions!D:D, "&lt;0") * -1</f>
        <v>10</v>
      </c>
      <c r="E138" s="79">
        <f t="shared" si="7"/>
        <v>0</v>
      </c>
      <c r="F138" s="48">
        <f t="shared" si="8"/>
        <v>0</v>
      </c>
      <c r="G138" s="48">
        <f>SUMIF(Pending_Stock!C:C, B138, Pending_Stock!F:F)</f>
        <v>0</v>
      </c>
      <c r="H138" s="49">
        <f>SUMIF(Pending_Stock!I:I, B138, Pending_Stock!L:L)</f>
        <v>0</v>
      </c>
      <c r="I138" s="50">
        <f>SUMIF(ShipToDubai!C:C, B138, ShipToDubai!F:F) - (SUMIFS(Stock_Transactions!D:D, Stock_Transactions!B:B, B138, Stock_Transactions!D:D, "&lt;0") * -1)</f>
        <v>0</v>
      </c>
      <c r="J138" s="38">
        <f>SUMIF(ShipToDubai!C:C, B138, ShipToDubai!G:G)</f>
        <v>0</v>
      </c>
    </row>
    <row r="139" spans="1:10">
      <c r="A139" s="19">
        <f t="shared" si="6"/>
        <v>137</v>
      </c>
      <c r="B139" s="93" t="s">
        <v>1223</v>
      </c>
      <c r="C139" s="333">
        <f>SUMIFS(Stock_Transactions!D:D, Stock_Transactions!B:B, B139, Stock_Transactions!D:D, "&gt;0")</f>
        <v>20</v>
      </c>
      <c r="D139" s="37">
        <f>SUMIFS(Stock_Transactions!D:D, Stock_Transactions!B:B, B139, Stock_Transactions!D:D, "&lt;0") * -1</f>
        <v>20</v>
      </c>
      <c r="E139" s="79">
        <f t="shared" si="7"/>
        <v>0</v>
      </c>
      <c r="F139" s="48">
        <f t="shared" si="8"/>
        <v>0</v>
      </c>
      <c r="G139" s="48">
        <f>SUMIF(Pending_Stock!C:C, B139, Pending_Stock!F:F)</f>
        <v>0</v>
      </c>
      <c r="H139" s="49">
        <f>SUMIF(Pending_Stock!I:I, B139, Pending_Stock!L:L)</f>
        <v>0</v>
      </c>
      <c r="I139" s="50">
        <f>SUMIF(ShipToDubai!C:C, B139, ShipToDubai!F:F) - (SUMIFS(Stock_Transactions!D:D, Stock_Transactions!B:B, B139, Stock_Transactions!D:D, "&lt;0") * -1)</f>
        <v>0</v>
      </c>
      <c r="J139" s="38">
        <f>SUMIF(ShipToDubai!C:C, B139, ShipToDubai!G:G)</f>
        <v>0</v>
      </c>
    </row>
    <row r="140" spans="1:10">
      <c r="A140" s="614">
        <f t="shared" si="6"/>
        <v>138</v>
      </c>
      <c r="B140" s="93" t="s">
        <v>1224</v>
      </c>
      <c r="C140" s="333">
        <f>SUMIFS(Stock_Transactions!D:D, Stock_Transactions!B:B, B140, Stock_Transactions!D:D, "&gt;0")</f>
        <v>10</v>
      </c>
      <c r="D140" s="37">
        <f>SUMIFS(Stock_Transactions!D:D, Stock_Transactions!B:B, B140, Stock_Transactions!D:D, "&lt;0") * -1</f>
        <v>10</v>
      </c>
      <c r="E140" s="79">
        <f t="shared" si="7"/>
        <v>0</v>
      </c>
      <c r="F140" s="48">
        <f t="shared" si="8"/>
        <v>0</v>
      </c>
      <c r="G140" s="48">
        <f>SUMIF(Pending_Stock!C:C, B140, Pending_Stock!F:F)</f>
        <v>0</v>
      </c>
      <c r="H140" s="49">
        <f>SUMIF(Pending_Stock!I:I, B140, Pending_Stock!L:L)</f>
        <v>0</v>
      </c>
      <c r="I140" s="50">
        <f>SUMIF(ShipToDubai!C:C, B140, ShipToDubai!F:F) - (SUMIFS(Stock_Transactions!D:D, Stock_Transactions!B:B, B140, Stock_Transactions!D:D, "&lt;0") * -1)</f>
        <v>0</v>
      </c>
      <c r="J140" s="38">
        <f>SUMIF(ShipToDubai!C:C, B140, ShipToDubai!G:G)</f>
        <v>0</v>
      </c>
    </row>
    <row r="141" spans="1:10">
      <c r="A141" s="614">
        <f t="shared" si="6"/>
        <v>139</v>
      </c>
      <c r="B141" s="343" t="s">
        <v>1229</v>
      </c>
      <c r="C141" s="333">
        <f>SUMIFS(Stock_Transactions!D:D, Stock_Transactions!B:B, B141, Stock_Transactions!D:D, "&gt;0")</f>
        <v>1</v>
      </c>
      <c r="D141" s="37">
        <f>SUMIFS(Stock_Transactions!D:D, Stock_Transactions!B:B, B141, Stock_Transactions!D:D, "&lt;0") * -1</f>
        <v>0</v>
      </c>
      <c r="E141" s="79">
        <f t="shared" si="7"/>
        <v>1</v>
      </c>
      <c r="F141" s="48">
        <f t="shared" si="8"/>
        <v>1</v>
      </c>
      <c r="G141" s="48">
        <f>SUMIF(Pending_Stock!C:C, B141, Pending_Stock!F:F)</f>
        <v>0</v>
      </c>
      <c r="H141" s="49">
        <f>SUMIF(Pending_Stock!I:I, B141, Pending_Stock!L:L)</f>
        <v>0</v>
      </c>
      <c r="I141" s="50">
        <f>SUMIF(ShipToDubai!C:C, B141, ShipToDubai!F:F) - (SUMIFS(Stock_Transactions!D:D, Stock_Transactions!B:B, B141, Stock_Transactions!D:D, "&lt;0") * -1)</f>
        <v>0</v>
      </c>
      <c r="J141" s="38">
        <f>SUMIF(ShipToDubai!C:C, B141, ShipToDubai!G:G)</f>
        <v>0</v>
      </c>
    </row>
    <row r="142" spans="1:10">
      <c r="A142" s="614">
        <f t="shared" si="6"/>
        <v>140</v>
      </c>
      <c r="B142" s="343" t="s">
        <v>1230</v>
      </c>
      <c r="C142" s="333">
        <f>SUMIFS(Stock_Transactions!D:D, Stock_Transactions!B:B, B142, Stock_Transactions!D:D, "&gt;0")</f>
        <v>2</v>
      </c>
      <c r="D142" s="37">
        <f>SUMIFS(Stock_Transactions!D:D, Stock_Transactions!B:B, B142, Stock_Transactions!D:D, "&lt;0") * -1</f>
        <v>0</v>
      </c>
      <c r="E142" s="79">
        <f t="shared" si="7"/>
        <v>2</v>
      </c>
      <c r="F142" s="48">
        <f t="shared" si="8"/>
        <v>2</v>
      </c>
      <c r="G142" s="48">
        <f>SUMIF(Pending_Stock!C:C, B142, Pending_Stock!F:F)</f>
        <v>0</v>
      </c>
      <c r="H142" s="49">
        <f>SUMIF(Pending_Stock!I:I, B142, Pending_Stock!L:L)</f>
        <v>0</v>
      </c>
      <c r="I142" s="50">
        <f>SUMIF(ShipToDubai!C:C, B142, ShipToDubai!F:F) - (SUMIFS(Stock_Transactions!D:D, Stock_Transactions!B:B, B142, Stock_Transactions!D:D, "&lt;0") * -1)</f>
        <v>0</v>
      </c>
      <c r="J142" s="38">
        <f>SUMIF(ShipToDubai!C:C, B142, ShipToDubai!G:G)</f>
        <v>0</v>
      </c>
    </row>
    <row r="143" spans="1:10">
      <c r="A143" s="614">
        <f t="shared" si="6"/>
        <v>141</v>
      </c>
      <c r="B143" s="343" t="s">
        <v>1232</v>
      </c>
      <c r="C143" s="333">
        <f>SUMIFS(Stock_Transactions!D:D, Stock_Transactions!B:B, B143, Stock_Transactions!D:D, "&gt;0")</f>
        <v>3</v>
      </c>
      <c r="D143" s="37">
        <f>SUMIFS(Stock_Transactions!D:D, Stock_Transactions!B:B, B143, Stock_Transactions!D:D, "&lt;0") * -1</f>
        <v>2</v>
      </c>
      <c r="E143" s="79">
        <f t="shared" si="7"/>
        <v>1</v>
      </c>
      <c r="F143" s="48">
        <f t="shared" si="8"/>
        <v>0</v>
      </c>
      <c r="G143" s="48">
        <f>SUMIF(Pending_Stock!C:C, B143, Pending_Stock!F:F)</f>
        <v>0</v>
      </c>
      <c r="H143" s="49">
        <f>SUMIF(Pending_Stock!I:I, B143, Pending_Stock!L:L)</f>
        <v>0</v>
      </c>
      <c r="I143" s="50">
        <f>SUMIF(ShipToDubai!C:C, B143, ShipToDubai!F:F) - (SUMIFS(Stock_Transactions!D:D, Stock_Transactions!B:B, B143, Stock_Transactions!D:D, "&lt;0") * -1)</f>
        <v>1</v>
      </c>
      <c r="J143" s="38">
        <f>SUMIF(ShipToDubai!C:C, B143, ShipToDubai!G:G)</f>
        <v>0</v>
      </c>
    </row>
    <row r="144" spans="1:10">
      <c r="A144" s="614">
        <f t="shared" si="6"/>
        <v>142</v>
      </c>
      <c r="B144" s="343" t="s">
        <v>1246</v>
      </c>
      <c r="C144" s="333">
        <f>SUMIFS(Stock_Transactions!D:D, Stock_Transactions!B:B, B144, Stock_Transactions!D:D, "&gt;0")</f>
        <v>1335</v>
      </c>
      <c r="D144" s="37">
        <f>SUMIFS(Stock_Transactions!D:D, Stock_Transactions!B:B, B144, Stock_Transactions!D:D, "&lt;0") * -1</f>
        <v>1286</v>
      </c>
      <c r="E144" s="79">
        <f t="shared" si="7"/>
        <v>49</v>
      </c>
      <c r="F144" s="48">
        <f t="shared" si="8"/>
        <v>-2</v>
      </c>
      <c r="G144" s="48">
        <f>SUMIF(Pending_Stock!C:C, B144, Pending_Stock!F:F)</f>
        <v>0</v>
      </c>
      <c r="H144" s="49">
        <f>SUMIF(Pending_Stock!I:I, B144, Pending_Stock!L:L)</f>
        <v>0</v>
      </c>
      <c r="I144" s="50">
        <f>SUMIF(ShipToDubai!C:C, B144, ShipToDubai!F:F) - (SUMIFS(Stock_Transactions!D:D, Stock_Transactions!B:B, B144, Stock_Transactions!D:D, "&lt;0") * -1)</f>
        <v>51</v>
      </c>
      <c r="J144" s="38">
        <f>SUMIF(ShipToDubai!C:C, B144, ShipToDubai!G:G)</f>
        <v>0</v>
      </c>
    </row>
    <row r="145" spans="1:10">
      <c r="A145" s="614">
        <f t="shared" si="6"/>
        <v>143</v>
      </c>
      <c r="B145" s="343" t="s">
        <v>1249</v>
      </c>
      <c r="C145" s="333">
        <f>SUMIFS(Stock_Transactions!D:D, Stock_Transactions!B:B, B145, Stock_Transactions!D:D, "&gt;0")</f>
        <v>81</v>
      </c>
      <c r="D145" s="37">
        <f>SUMIFS(Stock_Transactions!D:D, Stock_Transactions!B:B, B145, Stock_Transactions!D:D, "&lt;0") * -1</f>
        <v>77</v>
      </c>
      <c r="E145" s="79">
        <f t="shared" si="7"/>
        <v>4</v>
      </c>
      <c r="F145" s="48">
        <f t="shared" si="8"/>
        <v>-2</v>
      </c>
      <c r="G145" s="48">
        <f>SUMIF(Pending_Stock!C:C, B145, Pending_Stock!F:F)</f>
        <v>0</v>
      </c>
      <c r="H145" s="49">
        <f>SUMIF(Pending_Stock!I:I, B145, Pending_Stock!L:L)</f>
        <v>0</v>
      </c>
      <c r="I145" s="50">
        <f>SUMIF(ShipToDubai!C:C, B145, ShipToDubai!F:F) - (SUMIFS(Stock_Transactions!D:D, Stock_Transactions!B:B, B145, Stock_Transactions!D:D, "&lt;0") * -1)</f>
        <v>6</v>
      </c>
      <c r="J145" s="38">
        <f>SUMIF(ShipToDubai!C:C, B145, ShipToDubai!G:G)</f>
        <v>0</v>
      </c>
    </row>
    <row r="146" spans="1:10">
      <c r="A146" s="614">
        <f t="shared" si="6"/>
        <v>144</v>
      </c>
      <c r="B146" s="343" t="s">
        <v>1259</v>
      </c>
      <c r="C146" s="333">
        <f>SUMIFS(Stock_Transactions!D:D, Stock_Transactions!B:B, B146, Stock_Transactions!D:D, "&gt;0")</f>
        <v>22</v>
      </c>
      <c r="D146" s="37">
        <f>SUMIFS(Stock_Transactions!D:D, Stock_Transactions!B:B, B146, Stock_Transactions!D:D, "&lt;0") * -1</f>
        <v>23</v>
      </c>
      <c r="E146" s="79">
        <f t="shared" si="7"/>
        <v>-1</v>
      </c>
      <c r="F146" s="48">
        <f t="shared" si="8"/>
        <v>-1</v>
      </c>
      <c r="G146" s="48">
        <f>SUMIF(Pending_Stock!C:C, B146, Pending_Stock!F:F)</f>
        <v>0</v>
      </c>
      <c r="H146" s="49">
        <f>SUMIF(Pending_Stock!I:I, B146, Pending_Stock!L:L)</f>
        <v>0</v>
      </c>
      <c r="I146" s="50">
        <f>SUMIF(ShipToDubai!C:C, B146, ShipToDubai!F:F) - (SUMIFS(Stock_Transactions!D:D, Stock_Transactions!B:B, B146, Stock_Transactions!D:D, "&lt;0") * -1)</f>
        <v>0</v>
      </c>
      <c r="J146" s="38">
        <f>SUMIF(ShipToDubai!C:C, B146, ShipToDubai!G:G)</f>
        <v>0</v>
      </c>
    </row>
    <row r="147" spans="1:10">
      <c r="A147" s="614">
        <f t="shared" si="6"/>
        <v>145</v>
      </c>
      <c r="B147" s="343" t="s">
        <v>1270</v>
      </c>
      <c r="C147" s="333">
        <f>SUMIFS(Stock_Transactions!D:D, Stock_Transactions!B:B, B147, Stock_Transactions!D:D, "&gt;0")</f>
        <v>60</v>
      </c>
      <c r="D147" s="37">
        <f>SUMIFS(Stock_Transactions!D:D, Stock_Transactions!B:B, B147, Stock_Transactions!D:D, "&lt;0") * -1</f>
        <v>59</v>
      </c>
      <c r="E147" s="79">
        <f t="shared" si="7"/>
        <v>1</v>
      </c>
      <c r="F147" s="48">
        <f t="shared" si="8"/>
        <v>0</v>
      </c>
      <c r="G147" s="48">
        <f>SUMIF(Pending_Stock!C:C, B147, Pending_Stock!F:F)</f>
        <v>0</v>
      </c>
      <c r="H147" s="49">
        <f>SUMIF(Pending_Stock!I:I, B147, Pending_Stock!L:L)</f>
        <v>0</v>
      </c>
      <c r="I147" s="50">
        <f>SUMIF(ShipToDubai!C:C, B147, ShipToDubai!F:F) - (SUMIFS(Stock_Transactions!D:D, Stock_Transactions!B:B, B147, Stock_Transactions!D:D, "&lt;0") * -1)</f>
        <v>1</v>
      </c>
      <c r="J147" s="38">
        <f>SUMIF(ShipToDubai!C:C, B147, ShipToDubai!G:G)</f>
        <v>0</v>
      </c>
    </row>
    <row r="148" spans="1:10">
      <c r="A148" s="614">
        <f t="shared" si="6"/>
        <v>146</v>
      </c>
      <c r="B148" s="349" t="s">
        <v>1271</v>
      </c>
      <c r="C148" s="333">
        <f>SUMIFS(Stock_Transactions!D:D, Stock_Transactions!B:B, B148, Stock_Transactions!D:D, "&gt;0")</f>
        <v>392</v>
      </c>
      <c r="D148" s="37">
        <f>SUMIFS(Stock_Transactions!D:D, Stock_Transactions!B:B, B148, Stock_Transactions!D:D, "&lt;0") * -1</f>
        <v>385</v>
      </c>
      <c r="E148" s="79">
        <f t="shared" si="7"/>
        <v>7</v>
      </c>
      <c r="F148" s="48">
        <f t="shared" si="8"/>
        <v>0</v>
      </c>
      <c r="G148" s="48">
        <f>SUMIF(Pending_Stock!C:C, B148, Pending_Stock!F:F)</f>
        <v>0</v>
      </c>
      <c r="H148" s="49">
        <f>SUMIF(Pending_Stock!I:I, B148, Pending_Stock!L:L)</f>
        <v>0</v>
      </c>
      <c r="I148" s="50">
        <f>SUMIF(ShipToDubai!C:C, B148, ShipToDubai!F:F) - (SUMIFS(Stock_Transactions!D:D, Stock_Transactions!B:B, B148, Stock_Transactions!D:D, "&lt;0") * -1)</f>
        <v>7</v>
      </c>
      <c r="J148" s="38">
        <f>SUMIF(ShipToDubai!C:C, B148, ShipToDubai!G:G)</f>
        <v>0</v>
      </c>
    </row>
    <row r="149" spans="1:10">
      <c r="A149" s="614">
        <f t="shared" si="6"/>
        <v>147</v>
      </c>
      <c r="B149" s="343" t="s">
        <v>1301</v>
      </c>
      <c r="C149" s="333">
        <f>SUMIFS(Stock_Transactions!D:D, Stock_Transactions!B:B, B149, Stock_Transactions!D:D, "&gt;0")</f>
        <v>65</v>
      </c>
      <c r="D149" s="37">
        <f>SUMIFS(Stock_Transactions!D:D, Stock_Transactions!B:B, B149, Stock_Transactions!D:D, "&lt;0") * -1</f>
        <v>61</v>
      </c>
      <c r="E149" s="79">
        <f t="shared" si="7"/>
        <v>4</v>
      </c>
      <c r="F149" s="48">
        <f t="shared" si="8"/>
        <v>0</v>
      </c>
      <c r="G149" s="48">
        <f>SUMIF(Pending_Stock!C:C, B149, Pending_Stock!F:F)</f>
        <v>0</v>
      </c>
      <c r="H149" s="49">
        <f>SUMIF(Pending_Stock!I:I, B149, Pending_Stock!L:L)</f>
        <v>0</v>
      </c>
      <c r="I149" s="50">
        <f>SUMIF(ShipToDubai!C:C, B149, ShipToDubai!F:F) - (SUMIFS(Stock_Transactions!D:D, Stock_Transactions!B:B, B149, Stock_Transactions!D:D, "&lt;0") * -1)</f>
        <v>4</v>
      </c>
      <c r="J149" s="38">
        <f>SUMIF(ShipToDubai!C:C, B149, ShipToDubai!G:G)</f>
        <v>0</v>
      </c>
    </row>
    <row r="150" spans="1:10">
      <c r="A150" s="19">
        <f t="shared" si="6"/>
        <v>148</v>
      </c>
      <c r="B150" s="343" t="s">
        <v>1289</v>
      </c>
      <c r="C150" s="333">
        <f>SUMIFS(Stock_Transactions!D:D, Stock_Transactions!B:B, B150, Stock_Transactions!D:D, "&gt;0")</f>
        <v>53</v>
      </c>
      <c r="D150" s="37">
        <f>SUMIFS(Stock_Transactions!D:D, Stock_Transactions!B:B, B150, Stock_Transactions!D:D, "&lt;0") * -1</f>
        <v>50</v>
      </c>
      <c r="E150" s="79">
        <f t="shared" si="7"/>
        <v>3</v>
      </c>
      <c r="F150" s="48">
        <f t="shared" si="8"/>
        <v>0</v>
      </c>
      <c r="G150" s="48">
        <f>SUMIF(Pending_Stock!C:C, B150, Pending_Stock!F:F)</f>
        <v>0</v>
      </c>
      <c r="H150" s="49">
        <f>SUMIF(Pending_Stock!I:I, B150, Pending_Stock!L:L)</f>
        <v>0</v>
      </c>
      <c r="I150" s="50">
        <f>SUMIF(ShipToDubai!C:C, B150, ShipToDubai!F:F) - (SUMIFS(Stock_Transactions!D:D, Stock_Transactions!B:B, B150, Stock_Transactions!D:D, "&lt;0") * -1)</f>
        <v>3</v>
      </c>
      <c r="J150" s="38">
        <f>SUMIF(ShipToDubai!C:C, B150, ShipToDubai!G:G)</f>
        <v>0</v>
      </c>
    </row>
    <row r="151" spans="1:10">
      <c r="A151" s="19">
        <f t="shared" si="6"/>
        <v>149</v>
      </c>
      <c r="B151" s="343" t="s">
        <v>1290</v>
      </c>
      <c r="C151" s="333">
        <f>SUMIFS(Stock_Transactions!D:D, Stock_Transactions!B:B, B151, Stock_Transactions!D:D, "&gt;0")</f>
        <v>17</v>
      </c>
      <c r="D151" s="37">
        <f>SUMIFS(Stock_Transactions!D:D, Stock_Transactions!B:B, B151, Stock_Transactions!D:D, "&lt;0") * -1</f>
        <v>17</v>
      </c>
      <c r="E151" s="79">
        <f t="shared" si="7"/>
        <v>0</v>
      </c>
      <c r="F151" s="48">
        <f t="shared" si="8"/>
        <v>0</v>
      </c>
      <c r="G151" s="48">
        <f>SUMIF(Pending_Stock!C:C, B151, Pending_Stock!F:F)</f>
        <v>0</v>
      </c>
      <c r="H151" s="49">
        <f>SUMIF(Pending_Stock!I:I, B151, Pending_Stock!L:L)</f>
        <v>0</v>
      </c>
      <c r="I151" s="50">
        <f>SUMIF(ShipToDubai!C:C, B151, ShipToDubai!F:F) - (SUMIFS(Stock_Transactions!D:D, Stock_Transactions!B:B, B151, Stock_Transactions!D:D, "&lt;0") * -1)</f>
        <v>0</v>
      </c>
      <c r="J151" s="38">
        <f>SUMIF(ShipToDubai!C:C, B151, ShipToDubai!G:G)</f>
        <v>0</v>
      </c>
    </row>
    <row r="152" spans="1:10">
      <c r="A152" s="19">
        <f t="shared" si="6"/>
        <v>150</v>
      </c>
      <c r="B152" s="343" t="s">
        <v>1291</v>
      </c>
      <c r="C152" s="333">
        <f>SUMIFS(Stock_Transactions!D:D, Stock_Transactions!B:B, B152, Stock_Transactions!D:D, "&gt;0")</f>
        <v>258</v>
      </c>
      <c r="D152" s="37">
        <f>SUMIFS(Stock_Transactions!D:D, Stock_Transactions!B:B, B152, Stock_Transactions!D:D, "&lt;0") * -1</f>
        <v>256</v>
      </c>
      <c r="E152" s="79">
        <f t="shared" si="7"/>
        <v>2</v>
      </c>
      <c r="F152" s="48">
        <f t="shared" si="8"/>
        <v>0</v>
      </c>
      <c r="G152" s="48">
        <f>SUMIF(Pending_Stock!C:C, B152, Pending_Stock!F:F)</f>
        <v>0</v>
      </c>
      <c r="H152" s="49">
        <f>SUMIF(Pending_Stock!I:I, B152, Pending_Stock!L:L)</f>
        <v>0</v>
      </c>
      <c r="I152" s="50">
        <f>SUMIF(ShipToDubai!C:C, B152, ShipToDubai!F:F) - (SUMIFS(Stock_Transactions!D:D, Stock_Transactions!B:B, B152, Stock_Transactions!D:D, "&lt;0") * -1)</f>
        <v>2</v>
      </c>
      <c r="J152" s="38">
        <f>SUMIF(ShipToDubai!C:C, B152, ShipToDubai!G:G)</f>
        <v>0</v>
      </c>
    </row>
    <row r="153" spans="1:10">
      <c r="A153" s="19">
        <f t="shared" si="6"/>
        <v>151</v>
      </c>
      <c r="B153" s="343" t="s">
        <v>1296</v>
      </c>
      <c r="C153" s="333">
        <f>SUMIFS(Stock_Transactions!D:D, Stock_Transactions!B:B, B153, Stock_Transactions!D:D, "&gt;0")</f>
        <v>13</v>
      </c>
      <c r="D153" s="37">
        <f>SUMIFS(Stock_Transactions!D:D, Stock_Transactions!B:B, B153, Stock_Transactions!D:D, "&lt;0") * -1</f>
        <v>12</v>
      </c>
      <c r="E153" s="79">
        <f t="shared" si="7"/>
        <v>1</v>
      </c>
      <c r="F153" s="48">
        <f t="shared" si="8"/>
        <v>0</v>
      </c>
      <c r="G153" s="48">
        <f>SUMIF(Pending_Stock!C:C, B153, Pending_Stock!F:F)</f>
        <v>0</v>
      </c>
      <c r="H153" s="49">
        <f>SUMIF(Pending_Stock!I:I, B153, Pending_Stock!L:L)</f>
        <v>0</v>
      </c>
      <c r="I153" s="50">
        <f>SUMIF(ShipToDubai!C:C, B153, ShipToDubai!F:F) - (SUMIFS(Stock_Transactions!D:D, Stock_Transactions!B:B, B153, Stock_Transactions!D:D, "&lt;0") * -1)</f>
        <v>1</v>
      </c>
      <c r="J153" s="38">
        <f>SUMIF(ShipToDubai!C:C, B153, ShipToDubai!G:G)</f>
        <v>0</v>
      </c>
    </row>
    <row r="154" spans="1:10">
      <c r="A154" s="19">
        <f t="shared" si="6"/>
        <v>152</v>
      </c>
      <c r="B154" s="343" t="s">
        <v>1297</v>
      </c>
      <c r="C154" s="333">
        <f>SUMIFS(Stock_Transactions!D:D, Stock_Transactions!B:B, B154, Stock_Transactions!D:D, "&gt;0")</f>
        <v>4</v>
      </c>
      <c r="D154" s="37">
        <f>SUMIFS(Stock_Transactions!D:D, Stock_Transactions!B:B, B154, Stock_Transactions!D:D, "&lt;0") * -1</f>
        <v>4</v>
      </c>
      <c r="E154" s="79">
        <f t="shared" si="7"/>
        <v>0</v>
      </c>
      <c r="F154" s="48">
        <f t="shared" si="8"/>
        <v>0</v>
      </c>
      <c r="G154" s="48">
        <f>SUMIF(Pending_Stock!C:C, B154, Pending_Stock!F:F)</f>
        <v>0</v>
      </c>
      <c r="H154" s="49">
        <f>SUMIF(Pending_Stock!I:I, B154, Pending_Stock!L:L)</f>
        <v>0</v>
      </c>
      <c r="I154" s="50">
        <f>SUMIF(ShipToDubai!C:C, B154, ShipToDubai!F:F) - (SUMIFS(Stock_Transactions!D:D, Stock_Transactions!B:B, B154, Stock_Transactions!D:D, "&lt;0") * -1)</f>
        <v>0</v>
      </c>
      <c r="J154" s="38">
        <f>SUMIF(ShipToDubai!C:C, B154, ShipToDubai!G:G)</f>
        <v>0</v>
      </c>
    </row>
    <row r="155" spans="1:10">
      <c r="A155" s="19">
        <f t="shared" si="6"/>
        <v>153</v>
      </c>
      <c r="B155" s="343" t="s">
        <v>1302</v>
      </c>
      <c r="C155" s="333">
        <f>SUMIFS(Stock_Transactions!D:D, Stock_Transactions!B:B, B155, Stock_Transactions!D:D, "&gt;0")</f>
        <v>3</v>
      </c>
      <c r="D155" s="37">
        <f>SUMIFS(Stock_Transactions!D:D, Stock_Transactions!B:B, B155, Stock_Transactions!D:D, "&lt;0") * -1</f>
        <v>3</v>
      </c>
      <c r="E155" s="79">
        <f t="shared" si="7"/>
        <v>0</v>
      </c>
      <c r="F155" s="48">
        <f t="shared" si="8"/>
        <v>0</v>
      </c>
      <c r="G155" s="48">
        <f>SUMIF(Pending_Stock!C:C, B155, Pending_Stock!F:F)</f>
        <v>0</v>
      </c>
      <c r="H155" s="49">
        <f>SUMIF(Pending_Stock!I:I, B155, Pending_Stock!L:L)</f>
        <v>0</v>
      </c>
      <c r="I155" s="50">
        <f>SUMIF(ShipToDubai!C:C, B155, ShipToDubai!F:F) - (SUMIFS(Stock_Transactions!D:D, Stock_Transactions!B:B, B155, Stock_Transactions!D:D, "&lt;0") * -1)</f>
        <v>0</v>
      </c>
      <c r="J155" s="38">
        <f>SUMIF(ShipToDubai!C:C, B155, ShipToDubai!G:G)</f>
        <v>0</v>
      </c>
    </row>
    <row r="156" spans="1:10">
      <c r="A156" s="19">
        <f t="shared" si="6"/>
        <v>154</v>
      </c>
      <c r="B156" s="343" t="s">
        <v>1299</v>
      </c>
      <c r="C156" s="333">
        <f>SUMIFS(Stock_Transactions!D:D, Stock_Transactions!B:B, B156, Stock_Transactions!D:D, "&gt;0")</f>
        <v>2</v>
      </c>
      <c r="D156" s="37">
        <f>SUMIFS(Stock_Transactions!D:D, Stock_Transactions!B:B, B156, Stock_Transactions!D:D, "&lt;0") * -1</f>
        <v>2</v>
      </c>
      <c r="E156" s="79">
        <f t="shared" si="7"/>
        <v>0</v>
      </c>
      <c r="F156" s="48">
        <f t="shared" si="8"/>
        <v>0</v>
      </c>
      <c r="G156" s="48">
        <f>SUMIF(Pending_Stock!C:C, B156, Pending_Stock!F:F)</f>
        <v>0</v>
      </c>
      <c r="H156" s="49">
        <f>SUMIF(Pending_Stock!I:I, B156, Pending_Stock!L:L)</f>
        <v>0</v>
      </c>
      <c r="I156" s="50">
        <f>SUMIF(ShipToDubai!C:C, B156, ShipToDubai!F:F) - (SUMIFS(Stock_Transactions!D:D, Stock_Transactions!B:B, B156, Stock_Transactions!D:D, "&lt;0") * -1)</f>
        <v>0</v>
      </c>
      <c r="J156" s="38">
        <f>SUMIF(ShipToDubai!C:C, B156, ShipToDubai!G:G)</f>
        <v>0</v>
      </c>
    </row>
    <row r="157" spans="1:10">
      <c r="A157" s="19">
        <f t="shared" si="6"/>
        <v>155</v>
      </c>
      <c r="B157" s="343" t="s">
        <v>1300</v>
      </c>
      <c r="C157" s="333">
        <f>SUMIFS(Stock_Transactions!D:D, Stock_Transactions!B:B, B157, Stock_Transactions!D:D, "&gt;0")</f>
        <v>1</v>
      </c>
      <c r="D157" s="37">
        <f>SUMIFS(Stock_Transactions!D:D, Stock_Transactions!B:B, B157, Stock_Transactions!D:D, "&lt;0") * -1</f>
        <v>1</v>
      </c>
      <c r="E157" s="79">
        <f t="shared" si="7"/>
        <v>0</v>
      </c>
      <c r="F157" s="48">
        <f t="shared" si="8"/>
        <v>0</v>
      </c>
      <c r="G157" s="48">
        <f>SUMIF(Pending_Stock!C:C, B157, Pending_Stock!F:F)</f>
        <v>0</v>
      </c>
      <c r="H157" s="49">
        <f>SUMIF(Pending_Stock!I:I, B157, Pending_Stock!L:L)</f>
        <v>0</v>
      </c>
      <c r="I157" s="50">
        <f>SUMIF(ShipToDubai!C:C, B157, ShipToDubai!F:F) - (SUMIFS(Stock_Transactions!D:D, Stock_Transactions!B:B, B157, Stock_Transactions!D:D, "&lt;0") * -1)</f>
        <v>0</v>
      </c>
      <c r="J157" s="38">
        <f>SUMIF(ShipToDubai!C:C, B157, ShipToDubai!G:G)</f>
        <v>0</v>
      </c>
    </row>
    <row r="158" spans="1:10">
      <c r="A158" s="614">
        <f t="shared" si="6"/>
        <v>156</v>
      </c>
      <c r="B158" s="472" t="s">
        <v>1303</v>
      </c>
      <c r="C158" s="333">
        <f>SUMIFS(Stock_Transactions!D:D, Stock_Transactions!B:B, B158, Stock_Transactions!D:D, "&gt;0")</f>
        <v>6</v>
      </c>
      <c r="D158" s="37">
        <f>SUMIFS(Stock_Transactions!D:D, Stock_Transactions!B:B, B158, Stock_Transactions!D:D, "&lt;0") * -1</f>
        <v>6</v>
      </c>
      <c r="E158" s="79">
        <f t="shared" si="7"/>
        <v>0</v>
      </c>
      <c r="F158" s="48">
        <f t="shared" si="8"/>
        <v>0</v>
      </c>
      <c r="G158" s="48">
        <f>SUMIF(Pending_Stock!C:C, B158, Pending_Stock!F:F)</f>
        <v>0</v>
      </c>
      <c r="H158" s="49">
        <f>SUMIF(Pending_Stock!I:I, B158, Pending_Stock!L:L)</f>
        <v>0</v>
      </c>
      <c r="I158" s="50">
        <f>SUMIF(ShipToDubai!C:C, B158, ShipToDubai!F:F) - (SUMIFS(Stock_Transactions!D:D, Stock_Transactions!B:B, B158, Stock_Transactions!D:D, "&lt;0") * -1)</f>
        <v>0</v>
      </c>
      <c r="J158" s="38">
        <f>SUMIF(ShipToDubai!C:C, B158, ShipToDubai!G:G)</f>
        <v>0</v>
      </c>
    </row>
    <row r="159" spans="1:10">
      <c r="A159" s="19">
        <f t="shared" si="6"/>
        <v>157</v>
      </c>
      <c r="B159" s="93" t="s">
        <v>1307</v>
      </c>
      <c r="C159" s="333">
        <f>SUMIFS(Stock_Transactions!D:D, Stock_Transactions!B:B, B159, Stock_Transactions!D:D, "&gt;0")</f>
        <v>4</v>
      </c>
      <c r="D159" s="37">
        <f>SUMIFS(Stock_Transactions!D:D, Stock_Transactions!B:B, B159, Stock_Transactions!D:D, "&lt;0") * -1</f>
        <v>4</v>
      </c>
      <c r="E159" s="79">
        <f t="shared" si="7"/>
        <v>0</v>
      </c>
      <c r="F159" s="48">
        <f t="shared" si="8"/>
        <v>0</v>
      </c>
      <c r="G159" s="48">
        <f>SUMIF(Pending_Stock!C:C, B159, Pending_Stock!F:F)</f>
        <v>0</v>
      </c>
      <c r="H159" s="49">
        <f>SUMIF(Pending_Stock!I:I, B159, Pending_Stock!L:L)</f>
        <v>0</v>
      </c>
      <c r="I159" s="50">
        <f>SUMIF(ShipToDubai!C:C, B159, ShipToDubai!F:F) - (SUMIFS(Stock_Transactions!D:D, Stock_Transactions!B:B, B159, Stock_Transactions!D:D, "&lt;0") * -1)</f>
        <v>0</v>
      </c>
      <c r="J159" s="38">
        <f>SUMIF(ShipToDubai!C:C, B159, ShipToDubai!G:G)</f>
        <v>0</v>
      </c>
    </row>
    <row r="160" spans="1:10">
      <c r="A160" s="19">
        <f t="shared" si="6"/>
        <v>158</v>
      </c>
      <c r="B160" s="343" t="s">
        <v>136</v>
      </c>
      <c r="C160" s="333">
        <f>SUMIFS(Stock_Transactions!D:D, Stock_Transactions!B:B, B160, Stock_Transactions!D:D, "&gt;0")</f>
        <v>132</v>
      </c>
      <c r="D160" s="37">
        <f>SUMIFS(Stock_Transactions!D:D, Stock_Transactions!B:B, B160, Stock_Transactions!D:D, "&lt;0") * -1</f>
        <v>129</v>
      </c>
      <c r="E160" s="79">
        <f t="shared" si="7"/>
        <v>3</v>
      </c>
      <c r="F160" s="48">
        <f t="shared" si="8"/>
        <v>0</v>
      </c>
      <c r="G160" s="48">
        <f>SUMIF(Pending_Stock!C:C, B160, Pending_Stock!F:F)</f>
        <v>0</v>
      </c>
      <c r="H160" s="49">
        <f>SUMIF(Pending_Stock!I:I, B160, Pending_Stock!L:L)</f>
        <v>0</v>
      </c>
      <c r="I160" s="50">
        <f>SUMIF(ShipToDubai!C:C, B160, ShipToDubai!F:F) - (SUMIFS(Stock_Transactions!D:D, Stock_Transactions!B:B, B160, Stock_Transactions!D:D, "&lt;0") * -1)</f>
        <v>3</v>
      </c>
      <c r="J160" s="38">
        <f>SUMIF(ShipToDubai!C:C, B160, ShipToDubai!G:G)</f>
        <v>0</v>
      </c>
    </row>
    <row r="161" spans="1:10">
      <c r="A161" s="19">
        <f t="shared" si="6"/>
        <v>159</v>
      </c>
      <c r="B161" s="343" t="s">
        <v>1312</v>
      </c>
      <c r="C161" s="333">
        <f>SUMIFS(Stock_Transactions!D:D, Stock_Transactions!B:B, B161, Stock_Transactions!D:D, "&gt;0")</f>
        <v>47</v>
      </c>
      <c r="D161" s="37">
        <f>SUMIFS(Stock_Transactions!D:D, Stock_Transactions!B:B, B161, Stock_Transactions!D:D, "&lt;0") * -1</f>
        <v>45</v>
      </c>
      <c r="E161" s="79">
        <f t="shared" si="7"/>
        <v>2</v>
      </c>
      <c r="F161" s="48">
        <f t="shared" si="8"/>
        <v>0</v>
      </c>
      <c r="G161" s="48">
        <f>SUMIF(Pending_Stock!C:C, B161, Pending_Stock!F:F)</f>
        <v>0</v>
      </c>
      <c r="H161" s="49">
        <f>SUMIF(Pending_Stock!I:I, B161, Pending_Stock!L:L)</f>
        <v>0</v>
      </c>
      <c r="I161" s="50">
        <f>SUMIF(ShipToDubai!C:C, B161, ShipToDubai!F:F) - (SUMIFS(Stock_Transactions!D:D, Stock_Transactions!B:B, B161, Stock_Transactions!D:D, "&lt;0") * -1)</f>
        <v>2</v>
      </c>
      <c r="J161" s="38">
        <f>SUMIF(ShipToDubai!C:C, B161, ShipToDubai!G:G)</f>
        <v>0</v>
      </c>
    </row>
    <row r="162" spans="1:10">
      <c r="A162" s="614">
        <f t="shared" si="6"/>
        <v>160</v>
      </c>
      <c r="B162" s="343" t="s">
        <v>1313</v>
      </c>
      <c r="C162" s="333">
        <f>SUMIFS(Stock_Transactions!D:D, Stock_Transactions!B:B, B162, Stock_Transactions!D:D, "&gt;0")</f>
        <v>8</v>
      </c>
      <c r="D162" s="37">
        <f>SUMIFS(Stock_Transactions!D:D, Stock_Transactions!B:B, B162, Stock_Transactions!D:D, "&lt;0") * -1</f>
        <v>8</v>
      </c>
      <c r="E162" s="79">
        <f t="shared" si="7"/>
        <v>0</v>
      </c>
      <c r="F162" s="48">
        <f t="shared" si="8"/>
        <v>0</v>
      </c>
      <c r="G162" s="48">
        <f>SUMIF(Pending_Stock!C:C, B162, Pending_Stock!F:F)</f>
        <v>0</v>
      </c>
      <c r="H162" s="49">
        <f>SUMIF(Pending_Stock!I:I, B162, Pending_Stock!L:L)</f>
        <v>0</v>
      </c>
      <c r="I162" s="50">
        <f>SUMIF(ShipToDubai!C:C, B162, ShipToDubai!F:F) - (SUMIFS(Stock_Transactions!D:D, Stock_Transactions!B:B, B162, Stock_Transactions!D:D, "&lt;0") * -1)</f>
        <v>0</v>
      </c>
      <c r="J162" s="38">
        <f>SUMIF(ShipToDubai!C:C, B162, ShipToDubai!G:G)</f>
        <v>0</v>
      </c>
    </row>
    <row r="163" spans="1:10">
      <c r="A163" s="614">
        <f t="shared" ref="A163:A226" si="9">A162+1</f>
        <v>161</v>
      </c>
      <c r="B163" s="343" t="s">
        <v>1314</v>
      </c>
      <c r="C163" s="333">
        <f>SUMIFS(Stock_Transactions!D:D, Stock_Transactions!B:B, B163, Stock_Transactions!D:D, "&gt;0")</f>
        <v>12</v>
      </c>
      <c r="D163" s="37">
        <f>SUMIFS(Stock_Transactions!D:D, Stock_Transactions!B:B, B163, Stock_Transactions!D:D, "&lt;0") * -1</f>
        <v>12</v>
      </c>
      <c r="E163" s="79">
        <f t="shared" ref="E163:E226" si="10">C163-D163</f>
        <v>0</v>
      </c>
      <c r="F163" s="48">
        <f t="shared" ref="F163:F226" si="11">E163-G163-H163-I163-J163</f>
        <v>0</v>
      </c>
      <c r="G163" s="48">
        <f>SUMIF(Pending_Stock!C:C, B163, Pending_Stock!F:F)</f>
        <v>0</v>
      </c>
      <c r="H163" s="49">
        <f>SUMIF(Pending_Stock!I:I, B163, Pending_Stock!L:L)</f>
        <v>0</v>
      </c>
      <c r="I163" s="50">
        <f>SUMIF(ShipToDubai!C:C, B163, ShipToDubai!F:F) - (SUMIFS(Stock_Transactions!D:D, Stock_Transactions!B:B, B163, Stock_Transactions!D:D, "&lt;0") * -1)</f>
        <v>0</v>
      </c>
      <c r="J163" s="38">
        <f>SUMIF(ShipToDubai!C:C, B163, ShipToDubai!G:G)</f>
        <v>0</v>
      </c>
    </row>
    <row r="164" spans="1:10">
      <c r="A164" s="614">
        <f t="shared" si="9"/>
        <v>162</v>
      </c>
      <c r="B164" s="343" t="s">
        <v>1311</v>
      </c>
      <c r="C164" s="37">
        <f>SUMIFS(Stock_Transactions!D:D, Stock_Transactions!B:B, B164, Stock_Transactions!D:D, "&gt;0")</f>
        <v>20</v>
      </c>
      <c r="D164" s="37">
        <f>SUMIFS(Stock_Transactions!D:D, Stock_Transactions!B:B, B164, Stock_Transactions!D:D, "&lt;0") * -1</f>
        <v>20</v>
      </c>
      <c r="E164" s="79">
        <f t="shared" si="10"/>
        <v>0</v>
      </c>
      <c r="F164" s="48">
        <f t="shared" si="11"/>
        <v>0</v>
      </c>
      <c r="G164" s="48">
        <f>SUMIF(Pending_Stock!C:C, B164, Pending_Stock!F:F)</f>
        <v>0</v>
      </c>
      <c r="H164" s="49">
        <f>SUMIF(Pending_Stock!I:I, B164, Pending_Stock!L:L)</f>
        <v>0</v>
      </c>
      <c r="I164" s="50">
        <f>SUMIF(ShipToDubai!C:C, B164, ShipToDubai!F:F) - (SUMIFS(Stock_Transactions!D:D, Stock_Transactions!B:B, B164, Stock_Transactions!D:D, "&lt;0") * -1)</f>
        <v>0</v>
      </c>
      <c r="J164" s="38">
        <f>SUMIF(ShipToDubai!C:C, B164, ShipToDubai!G:G)</f>
        <v>0</v>
      </c>
    </row>
    <row r="165" spans="1:10">
      <c r="A165" s="614">
        <f t="shared" si="9"/>
        <v>163</v>
      </c>
      <c r="B165" s="343" t="s">
        <v>1319</v>
      </c>
      <c r="C165" s="37">
        <f>SUMIFS(Stock_Transactions!D:D, Stock_Transactions!B:B, B165, Stock_Transactions!D:D, "&gt;0")</f>
        <v>21</v>
      </c>
      <c r="D165" s="37">
        <f>SUMIFS(Stock_Transactions!D:D, Stock_Transactions!B:B, B165, Stock_Transactions!D:D, "&lt;0") * -1</f>
        <v>20</v>
      </c>
      <c r="E165" s="79">
        <f t="shared" si="10"/>
        <v>1</v>
      </c>
      <c r="F165" s="48">
        <f t="shared" si="11"/>
        <v>0</v>
      </c>
      <c r="G165" s="48">
        <f>SUMIF(Pending_Stock!C:C, B165, Pending_Stock!F:F)</f>
        <v>0</v>
      </c>
      <c r="H165" s="49">
        <f>SUMIF(Pending_Stock!I:I, B165, Pending_Stock!L:L)</f>
        <v>0</v>
      </c>
      <c r="I165" s="50">
        <f>SUMIF(ShipToDubai!C:C, B165, ShipToDubai!F:F) - (SUMIFS(Stock_Transactions!D:D, Stock_Transactions!B:B, B165, Stock_Transactions!D:D, "&lt;0") * -1)</f>
        <v>1</v>
      </c>
      <c r="J165" s="38">
        <f>SUMIF(ShipToDubai!C:C, B165, ShipToDubai!G:G)</f>
        <v>0</v>
      </c>
    </row>
    <row r="166" spans="1:10">
      <c r="A166" s="614">
        <f t="shared" si="9"/>
        <v>164</v>
      </c>
      <c r="B166" s="343" t="s">
        <v>1318</v>
      </c>
      <c r="C166" s="37">
        <f>SUMIFS(Stock_Transactions!D:D, Stock_Transactions!B:B, B166, Stock_Transactions!D:D, "&gt;0")</f>
        <v>28</v>
      </c>
      <c r="D166" s="37">
        <f>SUMIFS(Stock_Transactions!D:D, Stock_Transactions!B:B, B166, Stock_Transactions!D:D, "&lt;0") * -1</f>
        <v>27</v>
      </c>
      <c r="E166" s="79">
        <f t="shared" si="10"/>
        <v>1</v>
      </c>
      <c r="F166" s="48">
        <f t="shared" si="11"/>
        <v>0</v>
      </c>
      <c r="G166" s="48">
        <f>SUMIF(Pending_Stock!C:C, B166, Pending_Stock!F:F)</f>
        <v>0</v>
      </c>
      <c r="H166" s="49">
        <f>SUMIF(Pending_Stock!I:I, B166, Pending_Stock!L:L)</f>
        <v>0</v>
      </c>
      <c r="I166" s="50">
        <f>SUMIF(ShipToDubai!C:C, B166, ShipToDubai!F:F) - (SUMIFS(Stock_Transactions!D:D, Stock_Transactions!B:B, B166, Stock_Transactions!D:D, "&lt;0") * -1)</f>
        <v>1</v>
      </c>
      <c r="J166" s="38">
        <f>SUMIF(ShipToDubai!C:C, B166, ShipToDubai!G:G)</f>
        <v>0</v>
      </c>
    </row>
    <row r="167" spans="1:10">
      <c r="A167" s="614">
        <f t="shared" si="9"/>
        <v>165</v>
      </c>
      <c r="B167" s="343" t="s">
        <v>1326</v>
      </c>
      <c r="C167" s="37">
        <f>SUMIFS(Stock_Transactions!D:D, Stock_Transactions!B:B, B167, Stock_Transactions!D:D, "&gt;0")</f>
        <v>104</v>
      </c>
      <c r="D167" s="37">
        <f>SUMIFS(Stock_Transactions!D:D, Stock_Transactions!B:B, B167, Stock_Transactions!D:D, "&lt;0") * -1</f>
        <v>80</v>
      </c>
      <c r="E167" s="79">
        <f t="shared" si="10"/>
        <v>24</v>
      </c>
      <c r="F167" s="48">
        <f t="shared" si="11"/>
        <v>0</v>
      </c>
      <c r="G167" s="48">
        <f>SUMIF(Pending_Stock!C:C, B167, Pending_Stock!F:F)</f>
        <v>0</v>
      </c>
      <c r="H167" s="49">
        <f>SUMIF(Pending_Stock!I:I, B167, Pending_Stock!L:L)</f>
        <v>0</v>
      </c>
      <c r="I167" s="50">
        <f>SUMIF(ShipToDubai!C:C, B167, ShipToDubai!F:F) - (SUMIFS(Stock_Transactions!D:D, Stock_Transactions!B:B, B167, Stock_Transactions!D:D, "&lt;0") * -1)</f>
        <v>24</v>
      </c>
      <c r="J167" s="38">
        <f>SUMIF(ShipToDubai!C:C, B167, ShipToDubai!G:G)</f>
        <v>0</v>
      </c>
    </row>
    <row r="168" spans="1:10">
      <c r="A168" s="19">
        <f t="shared" si="9"/>
        <v>166</v>
      </c>
      <c r="B168" s="343" t="s">
        <v>1327</v>
      </c>
      <c r="C168" s="37">
        <f>SUMIFS(Stock_Transactions!D:D, Stock_Transactions!B:B, B168, Stock_Transactions!D:D, "&gt;0")</f>
        <v>203</v>
      </c>
      <c r="D168" s="37">
        <f>SUMIFS(Stock_Transactions!D:D, Stock_Transactions!B:B, B168, Stock_Transactions!D:D, "&lt;0") * -1</f>
        <v>198</v>
      </c>
      <c r="E168" s="79">
        <f t="shared" si="10"/>
        <v>5</v>
      </c>
      <c r="F168" s="48">
        <f t="shared" si="11"/>
        <v>5</v>
      </c>
      <c r="G168" s="48">
        <f>SUMIF(Pending_Stock!C:C, B168, Pending_Stock!F:F)</f>
        <v>0</v>
      </c>
      <c r="H168" s="49">
        <f>SUMIF(Pending_Stock!I:I, B168, Pending_Stock!L:L)</f>
        <v>0</v>
      </c>
      <c r="I168" s="50">
        <f>SUMIF(ShipToDubai!C:C, B168, ShipToDubai!F:F) - (SUMIFS(Stock_Transactions!D:D, Stock_Transactions!B:B, B168, Stock_Transactions!D:D, "&lt;0") * -1)</f>
        <v>0</v>
      </c>
      <c r="J168" s="38">
        <f>SUMIF(ShipToDubai!C:C, B168, ShipToDubai!G:G)</f>
        <v>0</v>
      </c>
    </row>
    <row r="169" spans="1:10">
      <c r="A169" s="19">
        <f t="shared" si="9"/>
        <v>167</v>
      </c>
      <c r="B169" s="343" t="s">
        <v>1334</v>
      </c>
      <c r="C169" s="37">
        <f>SUMIFS(Stock_Transactions!D:D, Stock_Transactions!B:B, B169, Stock_Transactions!D:D, "&gt;0")</f>
        <v>64</v>
      </c>
      <c r="D169" s="37">
        <f>SUMIFS(Stock_Transactions!D:D, Stock_Transactions!B:B, B169, Stock_Transactions!D:D, "&lt;0") * -1</f>
        <v>62</v>
      </c>
      <c r="E169" s="79">
        <f t="shared" si="10"/>
        <v>2</v>
      </c>
      <c r="F169" s="48">
        <f t="shared" si="11"/>
        <v>0</v>
      </c>
      <c r="G169" s="48">
        <f>SUMIF(Pending_Stock!C:C, B169, Pending_Stock!F:F)</f>
        <v>0</v>
      </c>
      <c r="H169" s="49">
        <f>SUMIF(Pending_Stock!I:I, B169, Pending_Stock!L:L)</f>
        <v>0</v>
      </c>
      <c r="I169" s="50">
        <f>SUMIF(ShipToDubai!C:C, B169, ShipToDubai!F:F) - (SUMIFS(Stock_Transactions!D:D, Stock_Transactions!B:B, B169, Stock_Transactions!D:D, "&lt;0") * -1)</f>
        <v>2</v>
      </c>
      <c r="J169" s="38">
        <f>SUMIF(ShipToDubai!C:C, B169, ShipToDubai!G:G)</f>
        <v>0</v>
      </c>
    </row>
    <row r="170" spans="1:10">
      <c r="A170" s="614">
        <f t="shared" si="9"/>
        <v>168</v>
      </c>
      <c r="B170" s="84" t="s">
        <v>1387</v>
      </c>
      <c r="C170" s="37">
        <f>SUMIFS(Stock_Transactions!D:D, Stock_Transactions!B:B, B170, Stock_Transactions!D:D, "&gt;0")</f>
        <v>39</v>
      </c>
      <c r="D170" s="37">
        <f>SUMIFS(Stock_Transactions!D:D, Stock_Transactions!B:B, B170, Stock_Transactions!D:D, "&lt;0") * -1</f>
        <v>36</v>
      </c>
      <c r="E170" s="79">
        <f t="shared" si="10"/>
        <v>3</v>
      </c>
      <c r="F170" s="48">
        <f t="shared" si="11"/>
        <v>0</v>
      </c>
      <c r="G170" s="48">
        <f>SUMIF(Pending_Stock!C:C, B170, Pending_Stock!F:F)</f>
        <v>0</v>
      </c>
      <c r="H170" s="49">
        <f>SUMIF(Pending_Stock!I:I, B170, Pending_Stock!L:L)</f>
        <v>0</v>
      </c>
      <c r="I170" s="50">
        <f>SUMIF(ShipToDubai!C:C, B170, ShipToDubai!F:F) - (SUMIFS(Stock_Transactions!D:D, Stock_Transactions!B:B, B170, Stock_Transactions!D:D, "&lt;0") * -1)</f>
        <v>3</v>
      </c>
      <c r="J170" s="38">
        <f>SUMIF(ShipToDubai!C:C, B170, ShipToDubai!G:G)</f>
        <v>0</v>
      </c>
    </row>
    <row r="171" spans="1:10">
      <c r="A171" s="614">
        <f t="shared" si="9"/>
        <v>169</v>
      </c>
      <c r="B171" s="349" t="s">
        <v>1386</v>
      </c>
      <c r="C171" s="37">
        <f>SUMIFS(Stock_Transactions!D:D, Stock_Transactions!B:B, B171, Stock_Transactions!D:D, "&gt;0")</f>
        <v>6</v>
      </c>
      <c r="D171" s="37">
        <f>SUMIFS(Stock_Transactions!D:D, Stock_Transactions!B:B, B171, Stock_Transactions!D:D, "&lt;0") * -1</f>
        <v>6</v>
      </c>
      <c r="E171" s="79">
        <f t="shared" si="10"/>
        <v>0</v>
      </c>
      <c r="F171" s="48">
        <f t="shared" si="11"/>
        <v>0</v>
      </c>
      <c r="G171" s="48">
        <f>SUMIF(Pending_Stock!C:C, B171, Pending_Stock!F:F)</f>
        <v>0</v>
      </c>
      <c r="H171" s="49">
        <f>SUMIF(Pending_Stock!I:I, B171, Pending_Stock!L:L)</f>
        <v>0</v>
      </c>
      <c r="I171" s="50">
        <f>SUMIF(ShipToDubai!C:C, B171, ShipToDubai!F:F) - (SUMIFS(Stock_Transactions!D:D, Stock_Transactions!B:B, B171, Stock_Transactions!D:D, "&lt;0") * -1)</f>
        <v>0</v>
      </c>
      <c r="J171" s="38">
        <f>SUMIF(ShipToDubai!C:C, B171, ShipToDubai!G:G)</f>
        <v>0</v>
      </c>
    </row>
    <row r="172" spans="1:10">
      <c r="A172" s="614">
        <f t="shared" si="9"/>
        <v>170</v>
      </c>
      <c r="B172" s="84" t="s">
        <v>1397</v>
      </c>
      <c r="C172" s="37">
        <f>SUMIFS(Stock_Transactions!D:D, Stock_Transactions!B:B, B172, Stock_Transactions!D:D, "&gt;0")</f>
        <v>4</v>
      </c>
      <c r="D172" s="37">
        <f>SUMIFS(Stock_Transactions!D:D, Stock_Transactions!B:B, B172, Stock_Transactions!D:D, "&lt;0") * -1</f>
        <v>4</v>
      </c>
      <c r="E172" s="79">
        <f t="shared" si="10"/>
        <v>0</v>
      </c>
      <c r="F172" s="48">
        <f t="shared" si="11"/>
        <v>0</v>
      </c>
      <c r="G172" s="48">
        <f>SUMIF(Pending_Stock!C:C, B172, Pending_Stock!F:F)</f>
        <v>0</v>
      </c>
      <c r="H172" s="49">
        <f>SUMIF(Pending_Stock!I:I, B172, Pending_Stock!L:L)</f>
        <v>0</v>
      </c>
      <c r="I172" s="50">
        <f>SUMIF(ShipToDubai!C:C, B172, ShipToDubai!F:F) - (SUMIFS(Stock_Transactions!D:D, Stock_Transactions!B:B, B172, Stock_Transactions!D:D, "&lt;0") * -1)</f>
        <v>0</v>
      </c>
      <c r="J172" s="515">
        <f>SUMIF(ShipToDubai!C:C, B172, ShipToDubai!G:G)</f>
        <v>0</v>
      </c>
    </row>
    <row r="173" spans="1:10">
      <c r="A173" s="614">
        <f t="shared" si="9"/>
        <v>171</v>
      </c>
      <c r="B173" s="343" t="s">
        <v>1407</v>
      </c>
      <c r="C173" s="37">
        <f>SUMIFS(Stock_Transactions!D:D, Stock_Transactions!B:B, B173, Stock_Transactions!D:D, "&gt;0")</f>
        <v>18</v>
      </c>
      <c r="D173" s="37">
        <f>SUMIFS(Stock_Transactions!D:D, Stock_Transactions!B:B, B173, Stock_Transactions!D:D, "&lt;0") * -1</f>
        <v>18</v>
      </c>
      <c r="E173" s="79">
        <f t="shared" si="10"/>
        <v>0</v>
      </c>
      <c r="F173" s="48">
        <f t="shared" si="11"/>
        <v>0</v>
      </c>
      <c r="G173" s="48">
        <f>SUMIF(Pending_Stock!C:C, B173, Pending_Stock!F:F)</f>
        <v>0</v>
      </c>
      <c r="H173" s="49">
        <f>SUMIF(Pending_Stock!I:I, B173, Pending_Stock!L:L)</f>
        <v>0</v>
      </c>
      <c r="I173" s="50">
        <f>SUMIF(ShipToDubai!C:C, B173, ShipToDubai!F:F) - (SUMIFS(Stock_Transactions!D:D, Stock_Transactions!B:B, B173, Stock_Transactions!D:D, "&lt;0") * -1)</f>
        <v>0</v>
      </c>
      <c r="J173" s="515">
        <f>SUMIF(ShipToDubai!C:C, B173, ShipToDubai!G:G)</f>
        <v>0</v>
      </c>
    </row>
    <row r="174" spans="1:10">
      <c r="A174" s="614">
        <f t="shared" si="9"/>
        <v>172</v>
      </c>
      <c r="B174" s="343" t="s">
        <v>1404</v>
      </c>
      <c r="C174" s="37">
        <f>SUMIFS(Stock_Transactions!D:D, Stock_Transactions!B:B, B174, Stock_Transactions!D:D, "&gt;0")</f>
        <v>6</v>
      </c>
      <c r="D174" s="37">
        <f>SUMIFS(Stock_Transactions!D:D, Stock_Transactions!B:B, B174, Stock_Transactions!D:D, "&lt;0") * -1</f>
        <v>6</v>
      </c>
      <c r="E174" s="79">
        <f t="shared" si="10"/>
        <v>0</v>
      </c>
      <c r="F174" s="48">
        <f t="shared" si="11"/>
        <v>0</v>
      </c>
      <c r="G174" s="48">
        <f>SUMIF(Pending_Stock!C:C, B174, Pending_Stock!F:F)</f>
        <v>0</v>
      </c>
      <c r="H174" s="49">
        <f>SUMIF(Pending_Stock!I:I, B174, Pending_Stock!L:L)</f>
        <v>0</v>
      </c>
      <c r="I174" s="50">
        <f>SUMIF(ShipToDubai!C:C, B174, ShipToDubai!F:F) - (SUMIFS(Stock_Transactions!D:D, Stock_Transactions!B:B, B174, Stock_Transactions!D:D, "&lt;0") * -1)</f>
        <v>0</v>
      </c>
      <c r="J174" s="515">
        <f>SUMIF(ShipToDubai!C:C, B174, ShipToDubai!G:G)</f>
        <v>0</v>
      </c>
    </row>
    <row r="175" spans="1:10">
      <c r="A175" s="19">
        <f t="shared" si="9"/>
        <v>173</v>
      </c>
      <c r="B175" s="343" t="s">
        <v>1409</v>
      </c>
      <c r="C175" s="37">
        <f>SUMIFS(Stock_Transactions!D:D, Stock_Transactions!B:B, B175, Stock_Transactions!D:D, "&gt;0")</f>
        <v>221</v>
      </c>
      <c r="D175" s="37">
        <f>SUMIFS(Stock_Transactions!D:D, Stock_Transactions!B:B, B175, Stock_Transactions!D:D, "&lt;0") * -1</f>
        <v>221</v>
      </c>
      <c r="E175" s="79">
        <f t="shared" si="10"/>
        <v>0</v>
      </c>
      <c r="F175" s="48">
        <f t="shared" si="11"/>
        <v>0</v>
      </c>
      <c r="G175" s="48">
        <f>SUMIF(Pending_Stock!C:C, B175, Pending_Stock!F:F)</f>
        <v>0</v>
      </c>
      <c r="H175" s="49">
        <f>SUMIF(Pending_Stock!I:I, B175, Pending_Stock!L:L)</f>
        <v>0</v>
      </c>
      <c r="I175" s="50">
        <f>SUMIF(ShipToDubai!C:C, B175, ShipToDubai!F:F) - (SUMIFS(Stock_Transactions!D:D, Stock_Transactions!B:B, B175, Stock_Transactions!D:D, "&lt;0") * -1)</f>
        <v>0</v>
      </c>
      <c r="J175" s="515">
        <f>SUMIF(ShipToDubai!C:C, B175, ShipToDubai!G:G)</f>
        <v>0</v>
      </c>
    </row>
    <row r="176" spans="1:10">
      <c r="A176" s="19">
        <f t="shared" si="9"/>
        <v>174</v>
      </c>
      <c r="B176" s="343" t="s">
        <v>1406</v>
      </c>
      <c r="C176" s="37">
        <f>SUMIFS(Stock_Transactions!D:D, Stock_Transactions!B:B, B176, Stock_Transactions!D:D, "&gt;0")</f>
        <v>1</v>
      </c>
      <c r="D176" s="37">
        <f>SUMIFS(Stock_Transactions!D:D, Stock_Transactions!B:B, B176, Stock_Transactions!D:D, "&lt;0") * -1</f>
        <v>1</v>
      </c>
      <c r="E176" s="79">
        <f t="shared" si="10"/>
        <v>0</v>
      </c>
      <c r="F176" s="48">
        <f t="shared" si="11"/>
        <v>0</v>
      </c>
      <c r="G176" s="48">
        <f>SUMIF(Pending_Stock!C:C, B176, Pending_Stock!F:F)</f>
        <v>0</v>
      </c>
      <c r="H176" s="49">
        <f>SUMIF(Pending_Stock!I:I, B176, Pending_Stock!L:L)</f>
        <v>0</v>
      </c>
      <c r="I176" s="50">
        <f>SUMIF(ShipToDubai!C:C, B176, ShipToDubai!F:F) - (SUMIFS(Stock_Transactions!D:D, Stock_Transactions!B:B, B176, Stock_Transactions!D:D, "&lt;0") * -1)</f>
        <v>0</v>
      </c>
      <c r="J176" s="38">
        <f>SUMIF(ShipToDubai!C:C, B176, ShipToDubai!G:G)</f>
        <v>0</v>
      </c>
    </row>
    <row r="177" spans="1:10">
      <c r="A177" s="614">
        <f t="shared" si="9"/>
        <v>175</v>
      </c>
      <c r="B177" s="343" t="s">
        <v>1408</v>
      </c>
      <c r="C177" s="37">
        <f>SUMIFS(Stock_Transactions!D:D, Stock_Transactions!B:B, B177, Stock_Transactions!D:D, "&gt;0")</f>
        <v>4</v>
      </c>
      <c r="D177" s="37">
        <f>SUMIFS(Stock_Transactions!D:D, Stock_Transactions!B:B, B177, Stock_Transactions!D:D, "&lt;0") * -1</f>
        <v>3</v>
      </c>
      <c r="E177" s="79">
        <f t="shared" si="10"/>
        <v>1</v>
      </c>
      <c r="F177" s="48">
        <f t="shared" si="11"/>
        <v>0</v>
      </c>
      <c r="G177" s="48">
        <f>SUMIF(Pending_Stock!C:C, B177, Pending_Stock!F:F)</f>
        <v>0</v>
      </c>
      <c r="H177" s="49">
        <f>SUMIF(Pending_Stock!I:I, B177, Pending_Stock!L:L)</f>
        <v>0</v>
      </c>
      <c r="I177" s="50">
        <f>SUMIF(ShipToDubai!C:C, B177, ShipToDubai!F:F) - (SUMIFS(Stock_Transactions!D:D, Stock_Transactions!B:B, B177, Stock_Transactions!D:D, "&lt;0") * -1)</f>
        <v>1</v>
      </c>
      <c r="J177" s="38">
        <f>SUMIF(ShipToDubai!C:C, B177, ShipToDubai!G:G)</f>
        <v>0</v>
      </c>
    </row>
    <row r="178" spans="1:10">
      <c r="A178" s="19">
        <f t="shared" si="9"/>
        <v>176</v>
      </c>
      <c r="B178" s="222" t="s">
        <v>1410</v>
      </c>
      <c r="C178" s="37">
        <f>SUMIFS(Stock_Transactions!D:D, Stock_Transactions!B:B, B178, Stock_Transactions!D:D, "&gt;0")</f>
        <v>6</v>
      </c>
      <c r="D178" s="37">
        <f>SUMIFS(Stock_Transactions!D:D, Stock_Transactions!B:B, B178, Stock_Transactions!D:D, "&lt;0") * -1</f>
        <v>6</v>
      </c>
      <c r="E178" s="79">
        <f t="shared" si="10"/>
        <v>0</v>
      </c>
      <c r="F178" s="48">
        <f t="shared" si="11"/>
        <v>0</v>
      </c>
      <c r="G178" s="48">
        <f>SUMIF(Pending_Stock!C:C, B178, Pending_Stock!F:F)</f>
        <v>0</v>
      </c>
      <c r="H178" s="49">
        <f>SUMIF(Pending_Stock!I:I, B178, Pending_Stock!L:L)</f>
        <v>0</v>
      </c>
      <c r="I178" s="50">
        <f>SUMIF(ShipToDubai!C:C, B178, ShipToDubai!F:F) - (SUMIFS(Stock_Transactions!D:D, Stock_Transactions!B:B, B178, Stock_Transactions!D:D, "&lt;0") * -1)</f>
        <v>0</v>
      </c>
      <c r="J178" s="38">
        <f>SUMIF(ShipToDubai!C:C, B178, ShipToDubai!G:G)</f>
        <v>0</v>
      </c>
    </row>
    <row r="179" spans="1:10">
      <c r="A179" s="614">
        <f t="shared" si="9"/>
        <v>177</v>
      </c>
      <c r="B179" s="343" t="s">
        <v>1434</v>
      </c>
      <c r="C179" s="37">
        <f>SUMIFS(Stock_Transactions!D:D, Stock_Transactions!B:B, B179, Stock_Transactions!D:D, "&gt;0")</f>
        <v>15</v>
      </c>
      <c r="D179" s="37">
        <f>SUMIFS(Stock_Transactions!D:D, Stock_Transactions!B:B, B179, Stock_Transactions!D:D, "&lt;0") * -1</f>
        <v>12</v>
      </c>
      <c r="E179" s="79">
        <f t="shared" si="10"/>
        <v>3</v>
      </c>
      <c r="F179" s="48">
        <f t="shared" si="11"/>
        <v>0</v>
      </c>
      <c r="G179" s="48">
        <f>SUMIF(Pending_Stock!C:C, B179, Pending_Stock!F:F)</f>
        <v>0</v>
      </c>
      <c r="H179" s="49">
        <f>SUMIF(Pending_Stock!I:I, B179, Pending_Stock!L:L)</f>
        <v>0</v>
      </c>
      <c r="I179" s="50">
        <f>SUMIF(ShipToDubai!C:C, B179, ShipToDubai!F:F) - (SUMIFS(Stock_Transactions!D:D, Stock_Transactions!B:B, B179, Stock_Transactions!D:D, "&lt;0") * -1)</f>
        <v>3</v>
      </c>
      <c r="J179" s="38">
        <f>SUMIF(ShipToDubai!C:C, B179, ShipToDubai!G:G)</f>
        <v>0</v>
      </c>
    </row>
    <row r="180" spans="1:10">
      <c r="A180" s="614">
        <f t="shared" si="9"/>
        <v>178</v>
      </c>
      <c r="B180" s="343" t="s">
        <v>1477</v>
      </c>
      <c r="C180" s="37">
        <f>SUMIFS(Stock_Transactions!D:D, Stock_Transactions!B:B, B180, Stock_Transactions!D:D, "&gt;0")</f>
        <v>1</v>
      </c>
      <c r="D180" s="37">
        <f>SUMIFS(Stock_Transactions!D:D, Stock_Transactions!B:B, B180, Stock_Transactions!D:D, "&lt;0") * -1</f>
        <v>1</v>
      </c>
      <c r="E180" s="79">
        <f t="shared" si="10"/>
        <v>0</v>
      </c>
      <c r="F180" s="48">
        <f t="shared" si="11"/>
        <v>0</v>
      </c>
      <c r="G180" s="48">
        <f>SUMIF(Pending_Stock!C:C, B180, Pending_Stock!F:F)</f>
        <v>0</v>
      </c>
      <c r="H180" s="49">
        <f>SUMIF(Pending_Stock!I:I, B180, Pending_Stock!L:L)</f>
        <v>0</v>
      </c>
      <c r="I180" s="50">
        <f>SUMIF(ShipToDubai!C:C, B180, ShipToDubai!F:F) - (SUMIFS(Stock_Transactions!D:D, Stock_Transactions!B:B, B180, Stock_Transactions!D:D, "&lt;0") * -1)</f>
        <v>0</v>
      </c>
      <c r="J180" s="38">
        <f>SUMIF(ShipToDubai!C:C, B180, ShipToDubai!G:G)</f>
        <v>0</v>
      </c>
    </row>
    <row r="181" spans="1:10">
      <c r="A181" s="19">
        <f t="shared" si="9"/>
        <v>179</v>
      </c>
      <c r="B181" s="343" t="s">
        <v>1478</v>
      </c>
      <c r="C181" s="37">
        <f>SUMIFS(Stock_Transactions!D:D, Stock_Transactions!B:B, B181, Stock_Transactions!D:D, "&gt;0")</f>
        <v>2</v>
      </c>
      <c r="D181" s="37">
        <f>SUMIFS(Stock_Transactions!D:D, Stock_Transactions!B:B, B181, Stock_Transactions!D:D, "&lt;0") * -1</f>
        <v>2</v>
      </c>
      <c r="E181" s="79">
        <f t="shared" si="10"/>
        <v>0</v>
      </c>
      <c r="F181" s="48">
        <f t="shared" si="11"/>
        <v>0</v>
      </c>
      <c r="G181" s="48">
        <f>SUMIF(Pending_Stock!C:C, B181, Pending_Stock!F:F)</f>
        <v>0</v>
      </c>
      <c r="H181" s="49">
        <f>SUMIF(Pending_Stock!I:I, B181, Pending_Stock!L:L)</f>
        <v>0</v>
      </c>
      <c r="I181" s="50">
        <f>SUMIF(ShipToDubai!C:C, B181, ShipToDubai!F:F) - (SUMIFS(Stock_Transactions!D:D, Stock_Transactions!B:B, B181, Stock_Transactions!D:D, "&lt;0") * -1)</f>
        <v>0</v>
      </c>
      <c r="J181" s="38">
        <f>SUMIF(ShipToDubai!C:C, B181, ShipToDubai!G:G)</f>
        <v>0</v>
      </c>
    </row>
    <row r="182" spans="1:10">
      <c r="A182" s="19">
        <f t="shared" si="9"/>
        <v>180</v>
      </c>
      <c r="B182" s="93" t="s">
        <v>1490</v>
      </c>
      <c r="C182" s="37">
        <f>SUMIFS(Stock_Transactions!D:D, Stock_Transactions!B:B, B182, Stock_Transactions!D:D, "&gt;0")</f>
        <v>33</v>
      </c>
      <c r="D182" s="37">
        <f>SUMIFS(Stock_Transactions!D:D, Stock_Transactions!B:B, B182, Stock_Transactions!D:D, "&lt;0") * -1</f>
        <v>33</v>
      </c>
      <c r="E182" s="79">
        <f t="shared" si="10"/>
        <v>0</v>
      </c>
      <c r="F182" s="48">
        <f t="shared" si="11"/>
        <v>0</v>
      </c>
      <c r="G182" s="48">
        <f>SUMIF(Pending_Stock!C:C, B182, Pending_Stock!F:F)</f>
        <v>0</v>
      </c>
      <c r="H182" s="49">
        <f>SUMIF(Pending_Stock!I:I, B182, Pending_Stock!L:L)</f>
        <v>0</v>
      </c>
      <c r="I182" s="50">
        <f>SUMIF(ShipToDubai!C:C, B182, ShipToDubai!F:F) - (SUMIFS(Stock_Transactions!D:D, Stock_Transactions!B:B, B182, Stock_Transactions!D:D, "&lt;0") * -1)</f>
        <v>0</v>
      </c>
      <c r="J182" s="38">
        <f>SUMIF(ShipToDubai!C:C, B182, ShipToDubai!G:G)</f>
        <v>0</v>
      </c>
    </row>
    <row r="183" spans="1:10">
      <c r="A183" s="19">
        <f t="shared" si="9"/>
        <v>181</v>
      </c>
      <c r="B183" s="93" t="s">
        <v>1491</v>
      </c>
      <c r="C183" s="37">
        <f>SUMIFS(Stock_Transactions!D:D, Stock_Transactions!B:B, B183, Stock_Transactions!D:D, "&gt;0")</f>
        <v>22</v>
      </c>
      <c r="D183" s="37">
        <f>SUMIFS(Stock_Transactions!D:D, Stock_Transactions!B:B, B183, Stock_Transactions!D:D, "&lt;0") * -1</f>
        <v>23</v>
      </c>
      <c r="E183" s="79">
        <f t="shared" si="10"/>
        <v>-1</v>
      </c>
      <c r="F183" s="48">
        <f t="shared" si="11"/>
        <v>0</v>
      </c>
      <c r="G183" s="48">
        <f>SUMIF(Pending_Stock!C:C, B183, Pending_Stock!F:F)</f>
        <v>0</v>
      </c>
      <c r="H183" s="49">
        <f>SUMIF(Pending_Stock!I:I, B183, Pending_Stock!L:L)</f>
        <v>0</v>
      </c>
      <c r="I183" s="50">
        <f>SUMIF(ShipToDubai!C:C, B183, ShipToDubai!F:F) - (SUMIFS(Stock_Transactions!D:D, Stock_Transactions!B:B, B183, Stock_Transactions!D:D, "&lt;0") * -1)</f>
        <v>-1</v>
      </c>
      <c r="J183" s="38">
        <f>SUMIF(ShipToDubai!C:C, B183, ShipToDubai!G:G)</f>
        <v>0</v>
      </c>
    </row>
    <row r="184" spans="1:10">
      <c r="A184" s="19">
        <f t="shared" si="9"/>
        <v>182</v>
      </c>
      <c r="B184" s="343" t="s">
        <v>1520</v>
      </c>
      <c r="C184" s="37">
        <f>SUMIFS(Stock_Transactions!D:D, Stock_Transactions!B:B, B184, Stock_Transactions!D:D, "&gt;0")</f>
        <v>1</v>
      </c>
      <c r="D184" s="37">
        <f>SUMIFS(Stock_Transactions!D:D, Stock_Transactions!B:B, B184, Stock_Transactions!D:D, "&lt;0") * -1</f>
        <v>1</v>
      </c>
      <c r="E184" s="79">
        <f t="shared" si="10"/>
        <v>0</v>
      </c>
      <c r="F184" s="48">
        <f t="shared" si="11"/>
        <v>0</v>
      </c>
      <c r="G184" s="48">
        <f>SUMIF(Pending_Stock!C:C, B184, Pending_Stock!F:F)</f>
        <v>0</v>
      </c>
      <c r="H184" s="49">
        <f>SUMIF(Pending_Stock!I:I, B184, Pending_Stock!L:L)</f>
        <v>0</v>
      </c>
      <c r="I184" s="50">
        <f>SUMIF(ShipToDubai!C:C, B184, ShipToDubai!F:F) - (SUMIFS(Stock_Transactions!D:D, Stock_Transactions!B:B, B184, Stock_Transactions!D:D, "&lt;0") * -1)</f>
        <v>0</v>
      </c>
      <c r="J184" s="38">
        <f>SUMIF(ShipToDubai!C:C, B184, ShipToDubai!G:G)</f>
        <v>0</v>
      </c>
    </row>
    <row r="185" spans="1:10">
      <c r="A185" s="19">
        <f t="shared" si="9"/>
        <v>183</v>
      </c>
      <c r="B185" s="343" t="s">
        <v>1521</v>
      </c>
      <c r="C185" s="37">
        <f>SUMIFS(Stock_Transactions!D:D, Stock_Transactions!B:B, B185, Stock_Transactions!D:D, "&gt;0")</f>
        <v>1</v>
      </c>
      <c r="D185" s="37">
        <f>SUMIFS(Stock_Transactions!D:D, Stock_Transactions!B:B, B185, Stock_Transactions!D:D, "&lt;0") * -1</f>
        <v>1</v>
      </c>
      <c r="E185" s="79">
        <f t="shared" si="10"/>
        <v>0</v>
      </c>
      <c r="F185" s="48">
        <f t="shared" si="11"/>
        <v>0</v>
      </c>
      <c r="G185" s="48">
        <f>SUMIF(Pending_Stock!C:C, B185, Pending_Stock!F:F)</f>
        <v>0</v>
      </c>
      <c r="H185" s="49">
        <f>SUMIF(Pending_Stock!I:I, B185, Pending_Stock!L:L)</f>
        <v>0</v>
      </c>
      <c r="I185" s="50">
        <f>SUMIF(ShipToDubai!C:C, B185, ShipToDubai!F:F) - (SUMIFS(Stock_Transactions!D:D, Stock_Transactions!B:B, B185, Stock_Transactions!D:D, "&lt;0") * -1)</f>
        <v>0</v>
      </c>
      <c r="J185" s="38">
        <f>SUMIF(ShipToDubai!C:C, B185, ShipToDubai!G:G)</f>
        <v>0</v>
      </c>
    </row>
    <row r="186" spans="1:10">
      <c r="A186" s="614">
        <f t="shared" si="9"/>
        <v>184</v>
      </c>
      <c r="B186" s="343" t="s">
        <v>1522</v>
      </c>
      <c r="C186" s="37">
        <f>SUMIFS(Stock_Transactions!D:D, Stock_Transactions!B:B, B186, Stock_Transactions!D:D, "&gt;0")</f>
        <v>1</v>
      </c>
      <c r="D186" s="37">
        <f>SUMIFS(Stock_Transactions!D:D, Stock_Transactions!B:B, B186, Stock_Transactions!D:D, "&lt;0") * -1</f>
        <v>1</v>
      </c>
      <c r="E186" s="79">
        <f t="shared" si="10"/>
        <v>0</v>
      </c>
      <c r="F186" s="48">
        <f t="shared" si="11"/>
        <v>0</v>
      </c>
      <c r="G186" s="48">
        <f>SUMIF(Pending_Stock!C:C, B186, Pending_Stock!F:F)</f>
        <v>0</v>
      </c>
      <c r="H186" s="49">
        <f>SUMIF(Pending_Stock!I:I, B186, Pending_Stock!L:L)</f>
        <v>0</v>
      </c>
      <c r="I186" s="50">
        <f>SUMIF(ShipToDubai!C:C, B186, ShipToDubai!F:F) - (SUMIFS(Stock_Transactions!D:D, Stock_Transactions!B:B, B186, Stock_Transactions!D:D, "&lt;0") * -1)</f>
        <v>0</v>
      </c>
      <c r="J186" s="38">
        <f>SUMIF(ShipToDubai!C:C, B186, ShipToDubai!G:G)</f>
        <v>0</v>
      </c>
    </row>
    <row r="187" spans="1:10">
      <c r="A187" s="19">
        <f t="shared" si="9"/>
        <v>185</v>
      </c>
      <c r="B187" s="93" t="s">
        <v>1528</v>
      </c>
      <c r="C187" s="37">
        <f>SUMIFS(Stock_Transactions!D:D, Stock_Transactions!B:B, B187, Stock_Transactions!D:D, "&gt;0")</f>
        <v>3</v>
      </c>
      <c r="D187" s="37">
        <f>SUMIFS(Stock_Transactions!D:D, Stock_Transactions!B:B, B187, Stock_Transactions!D:D, "&lt;0") * -1</f>
        <v>3</v>
      </c>
      <c r="E187" s="79">
        <f t="shared" si="10"/>
        <v>0</v>
      </c>
      <c r="F187" s="48">
        <f t="shared" si="11"/>
        <v>0</v>
      </c>
      <c r="G187" s="48">
        <f>SUMIF(Pending_Stock!C:C, B187, Pending_Stock!F:F)</f>
        <v>0</v>
      </c>
      <c r="H187" s="49">
        <f>SUMIF(Pending_Stock!I:I, B187, Pending_Stock!L:L)</f>
        <v>0</v>
      </c>
      <c r="I187" s="50">
        <f>SUMIF(ShipToDubai!C:C, B187, ShipToDubai!F:F) - (SUMIFS(Stock_Transactions!D:D, Stock_Transactions!B:B, B187, Stock_Transactions!D:D, "&lt;0") * -1)</f>
        <v>0</v>
      </c>
      <c r="J187" s="38">
        <f>SUMIF(ShipToDubai!C:C, B187, ShipToDubai!G:G)</f>
        <v>0</v>
      </c>
    </row>
    <row r="188" spans="1:10">
      <c r="A188" s="614">
        <f t="shared" si="9"/>
        <v>186</v>
      </c>
      <c r="B188" s="343" t="s">
        <v>1532</v>
      </c>
      <c r="C188" s="37">
        <f>SUMIFS(Stock_Transactions!D:D, Stock_Transactions!B:B, B188, Stock_Transactions!D:D, "&gt;0")</f>
        <v>2</v>
      </c>
      <c r="D188" s="37">
        <f>SUMIFS(Stock_Transactions!D:D, Stock_Transactions!B:B, B188, Stock_Transactions!D:D, "&lt;0") * -1</f>
        <v>2</v>
      </c>
      <c r="E188" s="79">
        <f t="shared" si="10"/>
        <v>0</v>
      </c>
      <c r="F188" s="48">
        <f t="shared" si="11"/>
        <v>0</v>
      </c>
      <c r="G188" s="48">
        <f>SUMIF(Pending_Stock!C:C, B188, Pending_Stock!F:F)</f>
        <v>0</v>
      </c>
      <c r="H188" s="49">
        <f>SUMIF(Pending_Stock!I:I, B188, Pending_Stock!L:L)</f>
        <v>0</v>
      </c>
      <c r="I188" s="50">
        <f>SUMIF(ShipToDubai!C:C, B188, ShipToDubai!F:F) - (SUMIFS(Stock_Transactions!D:D, Stock_Transactions!B:B, B188, Stock_Transactions!D:D, "&lt;0") * -1)</f>
        <v>0</v>
      </c>
      <c r="J188" s="38">
        <f>SUMIF(ShipToDubai!C:C, B188, ShipToDubai!G:G)</f>
        <v>0</v>
      </c>
    </row>
    <row r="189" spans="1:10">
      <c r="A189" s="614">
        <f t="shared" si="9"/>
        <v>187</v>
      </c>
      <c r="B189" s="343" t="s">
        <v>1533</v>
      </c>
      <c r="C189" s="37">
        <f>SUMIFS(Stock_Transactions!D:D, Stock_Transactions!B:B, B189, Stock_Transactions!D:D, "&gt;0")</f>
        <v>9</v>
      </c>
      <c r="D189" s="37">
        <f>SUMIFS(Stock_Transactions!D:D, Stock_Transactions!B:B, B189, Stock_Transactions!D:D, "&lt;0") * -1</f>
        <v>1</v>
      </c>
      <c r="E189" s="79">
        <f t="shared" si="10"/>
        <v>8</v>
      </c>
      <c r="F189" s="48">
        <f t="shared" si="11"/>
        <v>0</v>
      </c>
      <c r="G189" s="48">
        <f>SUMIF(Pending_Stock!C:C, B189, Pending_Stock!F:F)</f>
        <v>0</v>
      </c>
      <c r="H189" s="49">
        <f>SUMIF(Pending_Stock!I:I, B189, Pending_Stock!L:L)</f>
        <v>0</v>
      </c>
      <c r="I189" s="50">
        <f>SUMIF(ShipToDubai!C:C, B189, ShipToDubai!F:F) - (SUMIFS(Stock_Transactions!D:D, Stock_Transactions!B:B, B189, Stock_Transactions!D:D, "&lt;0") * -1)</f>
        <v>8</v>
      </c>
      <c r="J189" s="38">
        <f>SUMIF(ShipToDubai!C:C, B189, ShipToDubai!G:G)</f>
        <v>0</v>
      </c>
    </row>
    <row r="190" spans="1:10">
      <c r="A190" s="614">
        <f t="shared" si="9"/>
        <v>188</v>
      </c>
      <c r="B190" s="343" t="s">
        <v>1536</v>
      </c>
      <c r="C190" s="37">
        <f>SUMIFS(Stock_Transactions!D:D, Stock_Transactions!B:B, B190, Stock_Transactions!D:D, "&gt;0")</f>
        <v>1</v>
      </c>
      <c r="D190" s="37">
        <f>SUMIFS(Stock_Transactions!D:D, Stock_Transactions!B:B, B190, Stock_Transactions!D:D, "&lt;0") * -1</f>
        <v>1</v>
      </c>
      <c r="E190" s="79">
        <f t="shared" si="10"/>
        <v>0</v>
      </c>
      <c r="F190" s="48">
        <f t="shared" si="11"/>
        <v>0</v>
      </c>
      <c r="G190" s="48">
        <f>SUMIF(Pending_Stock!C:C, B190, Pending_Stock!F:F)</f>
        <v>0</v>
      </c>
      <c r="H190" s="49">
        <f>SUMIF(Pending_Stock!I:I, B190, Pending_Stock!L:L)</f>
        <v>0</v>
      </c>
      <c r="I190" s="50">
        <f>SUMIF(ShipToDubai!C:C, B190, ShipToDubai!F:F) - (SUMIFS(Stock_Transactions!D:D, Stock_Transactions!B:B, B190, Stock_Transactions!D:D, "&lt;0") * -1)</f>
        <v>0</v>
      </c>
      <c r="J190" s="38">
        <f>SUMIF(ShipToDubai!C:C, B190, ShipToDubai!G:G)</f>
        <v>0</v>
      </c>
    </row>
    <row r="191" spans="1:10">
      <c r="A191" s="19">
        <f t="shared" si="9"/>
        <v>189</v>
      </c>
      <c r="B191" s="343" t="s">
        <v>1537</v>
      </c>
      <c r="C191" s="37">
        <f>SUMIFS(Stock_Transactions!D:D, Stock_Transactions!B:B, B191, Stock_Transactions!D:D, "&gt;0")</f>
        <v>5</v>
      </c>
      <c r="D191" s="37">
        <f>SUMIFS(Stock_Transactions!D:D, Stock_Transactions!B:B, B191, Stock_Transactions!D:D, "&lt;0") * -1</f>
        <v>5</v>
      </c>
      <c r="E191" s="79">
        <f t="shared" si="10"/>
        <v>0</v>
      </c>
      <c r="F191" s="48">
        <f t="shared" si="11"/>
        <v>0</v>
      </c>
      <c r="G191" s="48">
        <f>SUMIF(Pending_Stock!C:C, B191, Pending_Stock!F:F)</f>
        <v>0</v>
      </c>
      <c r="H191" s="49">
        <f>SUMIF(Pending_Stock!I:I, B191, Pending_Stock!L:L)</f>
        <v>0</v>
      </c>
      <c r="I191" s="50">
        <f>SUMIF(ShipToDubai!C:C, B191, ShipToDubai!F:F) - (SUMIFS(Stock_Transactions!D:D, Stock_Transactions!B:B, B191, Stock_Transactions!D:D, "&lt;0") * -1)</f>
        <v>0</v>
      </c>
      <c r="J191" s="38">
        <f>SUMIF(ShipToDubai!C:C, B191, ShipToDubai!G:G)</f>
        <v>0</v>
      </c>
    </row>
    <row r="192" spans="1:10">
      <c r="A192" s="19">
        <f t="shared" si="9"/>
        <v>190</v>
      </c>
      <c r="B192" s="343" t="s">
        <v>1538</v>
      </c>
      <c r="C192" s="37">
        <f>SUMIFS(Stock_Transactions!D:D, Stock_Transactions!B:B, B192, Stock_Transactions!D:D, "&gt;0")</f>
        <v>1</v>
      </c>
      <c r="D192" s="37">
        <f>SUMIFS(Stock_Transactions!D:D, Stock_Transactions!B:B, B192, Stock_Transactions!D:D, "&lt;0") * -1</f>
        <v>1</v>
      </c>
      <c r="E192" s="79">
        <f t="shared" si="10"/>
        <v>0</v>
      </c>
      <c r="F192" s="48">
        <f t="shared" si="11"/>
        <v>0</v>
      </c>
      <c r="G192" s="48">
        <f>SUMIF(Pending_Stock!C:C, B192, Pending_Stock!F:F)</f>
        <v>0</v>
      </c>
      <c r="H192" s="49">
        <f>SUMIF(Pending_Stock!I:I, B192, Pending_Stock!L:L)</f>
        <v>0</v>
      </c>
      <c r="I192" s="50">
        <f>SUMIF(ShipToDubai!C:C, B192, ShipToDubai!F:F) - (SUMIFS(Stock_Transactions!D:D, Stock_Transactions!B:B, B192, Stock_Transactions!D:D, "&lt;0") * -1)</f>
        <v>0</v>
      </c>
      <c r="J192" s="38">
        <f>SUMIF(ShipToDubai!C:C, B192, ShipToDubai!G:G)</f>
        <v>0</v>
      </c>
    </row>
    <row r="193" spans="1:10">
      <c r="A193" s="19">
        <f t="shared" si="9"/>
        <v>191</v>
      </c>
      <c r="B193" s="343" t="s">
        <v>1539</v>
      </c>
      <c r="C193" s="37">
        <f>SUMIFS(Stock_Transactions!D:D, Stock_Transactions!B:B, B193, Stock_Transactions!D:D, "&gt;0")</f>
        <v>2</v>
      </c>
      <c r="D193" s="37">
        <f>SUMIFS(Stock_Transactions!D:D, Stock_Transactions!B:B, B193, Stock_Transactions!D:D, "&lt;0") * -1</f>
        <v>2</v>
      </c>
      <c r="E193" s="79">
        <f t="shared" si="10"/>
        <v>0</v>
      </c>
      <c r="F193" s="48">
        <f t="shared" si="11"/>
        <v>0</v>
      </c>
      <c r="G193" s="48">
        <f>SUMIF(Pending_Stock!C:C, B193, Pending_Stock!F:F)</f>
        <v>0</v>
      </c>
      <c r="H193" s="49">
        <f>SUMIF(Pending_Stock!I:I, B193, Pending_Stock!L:L)</f>
        <v>0</v>
      </c>
      <c r="I193" s="50">
        <f>SUMIF(ShipToDubai!C:C, B193, ShipToDubai!F:F) - (SUMIFS(Stock_Transactions!D:D, Stock_Transactions!B:B, B193, Stock_Transactions!D:D, "&lt;0") * -1)</f>
        <v>0</v>
      </c>
      <c r="J193" s="38">
        <f>SUMIF(ShipToDubai!C:C, B193, ShipToDubai!G:G)</f>
        <v>0</v>
      </c>
    </row>
    <row r="194" spans="1:10">
      <c r="A194" s="19">
        <f t="shared" si="9"/>
        <v>192</v>
      </c>
      <c r="B194" s="343" t="s">
        <v>1540</v>
      </c>
      <c r="C194" s="37">
        <f>SUMIFS(Stock_Transactions!D:D, Stock_Transactions!B:B, B194, Stock_Transactions!D:D, "&gt;0")</f>
        <v>1</v>
      </c>
      <c r="D194" s="37">
        <f>SUMIFS(Stock_Transactions!D:D, Stock_Transactions!B:B, B194, Stock_Transactions!D:D, "&lt;0") * -1</f>
        <v>1</v>
      </c>
      <c r="E194" s="79">
        <f t="shared" si="10"/>
        <v>0</v>
      </c>
      <c r="F194" s="48">
        <f t="shared" si="11"/>
        <v>0</v>
      </c>
      <c r="G194" s="48">
        <f>SUMIF(Pending_Stock!C:C, B194, Pending_Stock!F:F)</f>
        <v>0</v>
      </c>
      <c r="H194" s="49">
        <f>SUMIF(Pending_Stock!I:I, B194, Pending_Stock!L:L)</f>
        <v>0</v>
      </c>
      <c r="I194" s="50">
        <f>SUMIF(ShipToDubai!C:C, B194, ShipToDubai!F:F) - (SUMIFS(Stock_Transactions!D:D, Stock_Transactions!B:B, B194, Stock_Transactions!D:D, "&lt;0") * -1)</f>
        <v>0</v>
      </c>
      <c r="J194" s="38">
        <f>SUMIF(ShipToDubai!C:C, B194, ShipToDubai!G:G)</f>
        <v>0</v>
      </c>
    </row>
    <row r="195" spans="1:10">
      <c r="A195" s="614">
        <f t="shared" si="9"/>
        <v>193</v>
      </c>
      <c r="B195" s="93" t="s">
        <v>1545</v>
      </c>
      <c r="C195" s="37">
        <f>SUMIFS(Stock_Transactions!D:D, Stock_Transactions!B:B, B195, Stock_Transactions!D:D, "&gt;0")</f>
        <v>1</v>
      </c>
      <c r="D195" s="37">
        <f>SUMIFS(Stock_Transactions!D:D, Stock_Transactions!B:B, B195, Stock_Transactions!D:D, "&lt;0") * -1</f>
        <v>1</v>
      </c>
      <c r="E195" s="79">
        <f t="shared" si="10"/>
        <v>0</v>
      </c>
      <c r="F195" s="48">
        <f t="shared" si="11"/>
        <v>0</v>
      </c>
      <c r="G195" s="48">
        <f>SUMIF(Pending_Stock!C:C, B195, Pending_Stock!F:F)</f>
        <v>0</v>
      </c>
      <c r="H195" s="49">
        <f>SUMIF(Pending_Stock!I:I, B195, Pending_Stock!L:L)</f>
        <v>0</v>
      </c>
      <c r="I195" s="50">
        <f>SUMIF(ShipToDubai!C:C, B195, ShipToDubai!F:F) - (SUMIFS(Stock_Transactions!D:D, Stock_Transactions!B:B, B195, Stock_Transactions!D:D, "&lt;0") * -1)</f>
        <v>0</v>
      </c>
      <c r="J195" s="38">
        <f>SUMIF(ShipToDubai!C:C, B195, ShipToDubai!G:G)</f>
        <v>0</v>
      </c>
    </row>
    <row r="196" spans="1:10">
      <c r="A196" s="614">
        <f t="shared" si="9"/>
        <v>194</v>
      </c>
      <c r="B196" s="93" t="s">
        <v>1567</v>
      </c>
      <c r="C196" s="37">
        <f>SUMIFS(Stock_Transactions!D:D, Stock_Transactions!B:B, B196, Stock_Transactions!D:D, "&gt;0")</f>
        <v>1</v>
      </c>
      <c r="D196" s="37">
        <f>SUMIFS(Stock_Transactions!D:D, Stock_Transactions!B:B, B196, Stock_Transactions!D:D, "&lt;0") * -1</f>
        <v>0</v>
      </c>
      <c r="E196" s="79">
        <f t="shared" si="10"/>
        <v>1</v>
      </c>
      <c r="F196" s="48">
        <f t="shared" si="11"/>
        <v>0</v>
      </c>
      <c r="G196" s="48">
        <f>SUMIF(Pending_Stock!C:C, B196, Pending_Stock!F:F)</f>
        <v>0</v>
      </c>
      <c r="H196" s="49">
        <f>SUMIF(Pending_Stock!I:I, B196, Pending_Stock!L:L)</f>
        <v>0</v>
      </c>
      <c r="I196" s="50">
        <f>SUMIF(ShipToDubai!C:C, B196, ShipToDubai!F:F) - (SUMIFS(Stock_Transactions!D:D, Stock_Transactions!B:B, B196, Stock_Transactions!D:D, "&lt;0") * -1)</f>
        <v>1</v>
      </c>
      <c r="J196" s="38">
        <f>SUMIF(ShipToDubai!C:C, B196, ShipToDubai!G:G)</f>
        <v>0</v>
      </c>
    </row>
    <row r="197" spans="1:10">
      <c r="A197" s="19">
        <f t="shared" si="9"/>
        <v>195</v>
      </c>
      <c r="B197" s="93" t="s">
        <v>1561</v>
      </c>
      <c r="C197" s="37">
        <f>SUMIFS(Stock_Transactions!D:D, Stock_Transactions!B:B, B197, Stock_Transactions!D:D, "&gt;0")</f>
        <v>3</v>
      </c>
      <c r="D197" s="37">
        <f>SUMIFS(Stock_Transactions!D:D, Stock_Transactions!B:B, B197, Stock_Transactions!D:D, "&lt;0") * -1</f>
        <v>3</v>
      </c>
      <c r="E197" s="79">
        <f t="shared" si="10"/>
        <v>0</v>
      </c>
      <c r="F197" s="48">
        <f t="shared" si="11"/>
        <v>0</v>
      </c>
      <c r="G197" s="48">
        <f>SUMIF(Pending_Stock!C:C, B197, Pending_Stock!F:F)</f>
        <v>0</v>
      </c>
      <c r="H197" s="49">
        <f>SUMIF(Pending_Stock!I:I, B197, Pending_Stock!L:L)</f>
        <v>0</v>
      </c>
      <c r="I197" s="50">
        <f>SUMIF(ShipToDubai!C:C, B197, ShipToDubai!F:F) - (SUMIFS(Stock_Transactions!D:D, Stock_Transactions!B:B, B197, Stock_Transactions!D:D, "&lt;0") * -1)</f>
        <v>0</v>
      </c>
      <c r="J197" s="38">
        <f>SUMIF(ShipToDubai!C:C, B197, ShipToDubai!G:G)</f>
        <v>0</v>
      </c>
    </row>
    <row r="198" spans="1:10">
      <c r="A198" s="614">
        <f t="shared" si="9"/>
        <v>196</v>
      </c>
      <c r="B198" s="93" t="s">
        <v>1568</v>
      </c>
      <c r="C198" s="37">
        <f>SUMIFS(Stock_Transactions!D:D, Stock_Transactions!B:B, B198, Stock_Transactions!D:D, "&gt;0")</f>
        <v>123</v>
      </c>
      <c r="D198" s="37">
        <f>SUMIFS(Stock_Transactions!D:D, Stock_Transactions!B:B, B198, Stock_Transactions!D:D, "&lt;0") * -1</f>
        <v>125</v>
      </c>
      <c r="E198" s="79">
        <f t="shared" si="10"/>
        <v>-2</v>
      </c>
      <c r="F198" s="48">
        <f t="shared" si="11"/>
        <v>0</v>
      </c>
      <c r="G198" s="48">
        <f>SUMIF(Pending_Stock!C:C, B198, Pending_Stock!F:F)</f>
        <v>0</v>
      </c>
      <c r="H198" s="49">
        <f>SUMIF(Pending_Stock!I:I, B198, Pending_Stock!L:L)</f>
        <v>0</v>
      </c>
      <c r="I198" s="50">
        <f>SUMIF(ShipToDubai!C:C, B198, ShipToDubai!F:F) - (SUMIFS(Stock_Transactions!D:D, Stock_Transactions!B:B, B198, Stock_Transactions!D:D, "&lt;0") * -1)</f>
        <v>-2</v>
      </c>
      <c r="J198" s="38">
        <f>SUMIF(ShipToDubai!C:C, B198, ShipToDubai!G:G)</f>
        <v>0</v>
      </c>
    </row>
    <row r="199" spans="1:10">
      <c r="A199" s="19">
        <f t="shared" si="9"/>
        <v>197</v>
      </c>
      <c r="B199" s="93" t="s">
        <v>1569</v>
      </c>
      <c r="C199" s="37">
        <f>SUMIFS(Stock_Transactions!D:D, Stock_Transactions!B:B, B199, Stock_Transactions!D:D, "&gt;0")</f>
        <v>2</v>
      </c>
      <c r="D199" s="37">
        <f>SUMIFS(Stock_Transactions!D:D, Stock_Transactions!B:B, B199, Stock_Transactions!D:D, "&lt;0") * -1</f>
        <v>2</v>
      </c>
      <c r="E199" s="79">
        <f t="shared" si="10"/>
        <v>0</v>
      </c>
      <c r="F199" s="48">
        <f t="shared" si="11"/>
        <v>0</v>
      </c>
      <c r="G199" s="48">
        <f>SUMIF(Pending_Stock!C:C, B199, Pending_Stock!F:F)</f>
        <v>0</v>
      </c>
      <c r="H199" s="49">
        <f>SUMIF(Pending_Stock!I:I, B199, Pending_Stock!L:L)</f>
        <v>0</v>
      </c>
      <c r="I199" s="50">
        <f>SUMIF(ShipToDubai!C:C, B199, ShipToDubai!F:F) - (SUMIFS(Stock_Transactions!D:D, Stock_Transactions!B:B, B199, Stock_Transactions!D:D, "&lt;0") * -1)</f>
        <v>0</v>
      </c>
      <c r="J199" s="38">
        <f>SUMIF(ShipToDubai!C:C, B199, ShipToDubai!G:G)</f>
        <v>0</v>
      </c>
    </row>
    <row r="200" spans="1:10">
      <c r="A200" s="19">
        <f t="shared" si="9"/>
        <v>198</v>
      </c>
      <c r="B200" s="139" t="s">
        <v>1575</v>
      </c>
      <c r="C200" s="37">
        <f>SUMIFS(Stock_Transactions!D:D, Stock_Transactions!B:B, B200, Stock_Transactions!D:D, "&gt;0")</f>
        <v>341</v>
      </c>
      <c r="D200" s="37">
        <f>SUMIFS(Stock_Transactions!D:D, Stock_Transactions!B:B, B200, Stock_Transactions!D:D, "&lt;0") * -1</f>
        <v>338</v>
      </c>
      <c r="E200" s="79">
        <f t="shared" si="10"/>
        <v>3</v>
      </c>
      <c r="F200" s="48">
        <f t="shared" si="11"/>
        <v>0</v>
      </c>
      <c r="G200" s="48">
        <f>SUMIF(Pending_Stock!C:C, B200, Pending_Stock!F:F)</f>
        <v>0</v>
      </c>
      <c r="H200" s="49">
        <f>SUMIF(Pending_Stock!I:I, B200, Pending_Stock!L:L)</f>
        <v>0</v>
      </c>
      <c r="I200" s="50">
        <f>SUMIF(ShipToDubai!C:C, B200, ShipToDubai!F:F) - (SUMIFS(Stock_Transactions!D:D, Stock_Transactions!B:B, B200, Stock_Transactions!D:D, "&lt;0") * -1)</f>
        <v>3</v>
      </c>
      <c r="J200" s="38">
        <f>SUMIF(ShipToDubai!C:C, B200, ShipToDubai!G:G)</f>
        <v>0</v>
      </c>
    </row>
    <row r="201" spans="1:10">
      <c r="A201" s="614">
        <f t="shared" si="9"/>
        <v>199</v>
      </c>
      <c r="B201" s="93" t="s">
        <v>1617</v>
      </c>
      <c r="C201" s="37">
        <f>SUMIFS(Stock_Transactions!D:D, Stock_Transactions!B:B, B201, Stock_Transactions!D:D, "&gt;0")</f>
        <v>225</v>
      </c>
      <c r="D201" s="37">
        <f>SUMIFS(Stock_Transactions!D:D, Stock_Transactions!B:B, B201, Stock_Transactions!D:D, "&lt;0") * -1</f>
        <v>222</v>
      </c>
      <c r="E201" s="79">
        <f t="shared" si="10"/>
        <v>3</v>
      </c>
      <c r="F201" s="48">
        <f t="shared" si="11"/>
        <v>1</v>
      </c>
      <c r="G201" s="48">
        <f>SUMIF(Pending_Stock!C:C, B201, Pending_Stock!F:F)</f>
        <v>0</v>
      </c>
      <c r="H201" s="49">
        <f>SUMIF(Pending_Stock!I:I, B201, Pending_Stock!L:L)</f>
        <v>0</v>
      </c>
      <c r="I201" s="50">
        <f>SUMIF(ShipToDubai!C:C, B201, ShipToDubai!F:F) - (SUMIFS(Stock_Transactions!D:D, Stock_Transactions!B:B, B201, Stock_Transactions!D:D, "&lt;0") * -1)</f>
        <v>2</v>
      </c>
      <c r="J201" s="38">
        <f>SUMIF(ShipToDubai!C:C, B201, ShipToDubai!G:G)</f>
        <v>0</v>
      </c>
    </row>
    <row r="202" spans="1:10">
      <c r="A202" s="614">
        <f t="shared" si="9"/>
        <v>200</v>
      </c>
      <c r="B202" s="325" t="s">
        <v>1640</v>
      </c>
      <c r="C202" s="37">
        <f>SUMIFS(Stock_Transactions!D:D, Stock_Transactions!B:B, B202, Stock_Transactions!D:D, "&gt;0")</f>
        <v>20</v>
      </c>
      <c r="D202" s="37">
        <f>SUMIFS(Stock_Transactions!D:D, Stock_Transactions!B:B, B202, Stock_Transactions!D:D, "&lt;0") * -1</f>
        <v>20</v>
      </c>
      <c r="E202" s="79">
        <f t="shared" si="10"/>
        <v>0</v>
      </c>
      <c r="F202" s="48">
        <f t="shared" si="11"/>
        <v>0</v>
      </c>
      <c r="G202" s="48">
        <f>SUMIF(Pending_Stock!C:C, B202, Pending_Stock!F:F)</f>
        <v>0</v>
      </c>
      <c r="H202" s="49">
        <f>SUMIF(Pending_Stock!I:I, B202, Pending_Stock!L:L)</f>
        <v>0</v>
      </c>
      <c r="I202" s="50">
        <f>SUMIF(ShipToDubai!C:C, B202, ShipToDubai!F:F) - (SUMIFS(Stock_Transactions!D:D, Stock_Transactions!B:B, B202, Stock_Transactions!D:D, "&lt;0") * -1)</f>
        <v>0</v>
      </c>
      <c r="J202" s="38">
        <f>SUMIF(ShipToDubai!C:C, B202, ShipToDubai!G:G)</f>
        <v>0</v>
      </c>
    </row>
    <row r="203" spans="1:10">
      <c r="A203" s="614">
        <f t="shared" si="9"/>
        <v>201</v>
      </c>
      <c r="B203" s="325" t="s">
        <v>1641</v>
      </c>
      <c r="C203" s="37">
        <f>SUMIFS(Stock_Transactions!D:D, Stock_Transactions!B:B, B203, Stock_Transactions!D:D, "&gt;0")</f>
        <v>47</v>
      </c>
      <c r="D203" s="37">
        <f>SUMIFS(Stock_Transactions!D:D, Stock_Transactions!B:B, B203, Stock_Transactions!D:D, "&lt;0") * -1</f>
        <v>47</v>
      </c>
      <c r="E203" s="79">
        <f t="shared" si="10"/>
        <v>0</v>
      </c>
      <c r="F203" s="48">
        <f t="shared" si="11"/>
        <v>0</v>
      </c>
      <c r="G203" s="48">
        <f>SUMIF(Pending_Stock!C:C, B203, Pending_Stock!F:F)</f>
        <v>0</v>
      </c>
      <c r="H203" s="49">
        <f>SUMIF(Pending_Stock!I:I, B203, Pending_Stock!L:L)</f>
        <v>0</v>
      </c>
      <c r="I203" s="50">
        <f>SUMIF(ShipToDubai!C:C, B203, ShipToDubai!F:F) - (SUMIFS(Stock_Transactions!D:D, Stock_Transactions!B:B, B203, Stock_Transactions!D:D, "&lt;0") * -1)</f>
        <v>0</v>
      </c>
      <c r="J203" s="38">
        <f>SUMIF(ShipToDubai!C:C, B203, ShipToDubai!G:G)</f>
        <v>0</v>
      </c>
    </row>
    <row r="204" spans="1:10">
      <c r="A204" s="614">
        <f t="shared" si="9"/>
        <v>202</v>
      </c>
      <c r="B204" s="343" t="s">
        <v>1642</v>
      </c>
      <c r="C204" s="37">
        <f>SUMIFS(Stock_Transactions!D:D, Stock_Transactions!B:B, B204, Stock_Transactions!D:D, "&gt;0")</f>
        <v>2</v>
      </c>
      <c r="D204" s="37">
        <f>SUMIFS(Stock_Transactions!D:D, Stock_Transactions!B:B, B204, Stock_Transactions!D:D, "&lt;0") * -1</f>
        <v>1</v>
      </c>
      <c r="E204" s="79">
        <f t="shared" si="10"/>
        <v>1</v>
      </c>
      <c r="F204" s="48">
        <f t="shared" si="11"/>
        <v>0</v>
      </c>
      <c r="G204" s="48">
        <f>SUMIF(Pending_Stock!C:C, B204, Pending_Stock!F:F)</f>
        <v>0</v>
      </c>
      <c r="H204" s="49">
        <f>SUMIF(Pending_Stock!I:I, B204, Pending_Stock!L:L)</f>
        <v>0</v>
      </c>
      <c r="I204" s="50">
        <f>SUMIF(ShipToDubai!C:C, B204, ShipToDubai!F:F) - (SUMIFS(Stock_Transactions!D:D, Stock_Transactions!B:B, B204, Stock_Transactions!D:D, "&lt;0") * -1)</f>
        <v>1</v>
      </c>
      <c r="J204" s="38">
        <f>SUMIF(ShipToDubai!C:C, B204, ShipToDubai!G:G)</f>
        <v>0</v>
      </c>
    </row>
    <row r="205" spans="1:10">
      <c r="A205" s="614">
        <f t="shared" si="9"/>
        <v>203</v>
      </c>
      <c r="B205" s="139" t="s">
        <v>1673</v>
      </c>
      <c r="C205" s="37">
        <f>SUMIFS(Stock_Transactions!D:D, Stock_Transactions!B:B, B205, Stock_Transactions!D:D, "&gt;0")</f>
        <v>4</v>
      </c>
      <c r="D205" s="37">
        <f>SUMIFS(Stock_Transactions!D:D, Stock_Transactions!B:B, B205, Stock_Transactions!D:D, "&lt;0") * -1</f>
        <v>4</v>
      </c>
      <c r="E205" s="79">
        <f t="shared" si="10"/>
        <v>0</v>
      </c>
      <c r="F205" s="48">
        <f t="shared" si="11"/>
        <v>0</v>
      </c>
      <c r="G205" s="48">
        <f>SUMIF(Pending_Stock!C:C, B205, Pending_Stock!F:F)</f>
        <v>0</v>
      </c>
      <c r="H205" s="49">
        <f>SUMIF(Pending_Stock!I:I, B205, Pending_Stock!L:L)</f>
        <v>0</v>
      </c>
      <c r="I205" s="50">
        <f>SUMIF(ShipToDubai!C:C, B205, ShipToDubai!F:F) - (SUMIFS(Stock_Transactions!D:D, Stock_Transactions!B:B, B205, Stock_Transactions!D:D, "&lt;0") * -1)</f>
        <v>0</v>
      </c>
      <c r="J205" s="38">
        <f>SUMIF(ShipToDubai!C:C, B205, ShipToDubai!G:G)</f>
        <v>0</v>
      </c>
    </row>
    <row r="206" spans="1:10">
      <c r="A206" s="614">
        <f t="shared" si="9"/>
        <v>204</v>
      </c>
      <c r="B206" s="139" t="s">
        <v>1674</v>
      </c>
      <c r="C206" s="37">
        <f>SUMIFS(Stock_Transactions!D:D, Stock_Transactions!B:B, B206, Stock_Transactions!D:D, "&gt;0")</f>
        <v>10</v>
      </c>
      <c r="D206" s="37">
        <f>SUMIFS(Stock_Transactions!D:D, Stock_Transactions!B:B, B206, Stock_Transactions!D:D, "&lt;0") * -1</f>
        <v>10</v>
      </c>
      <c r="E206" s="79">
        <f t="shared" si="10"/>
        <v>0</v>
      </c>
      <c r="F206" s="48">
        <f t="shared" si="11"/>
        <v>0</v>
      </c>
      <c r="G206" s="48">
        <f>SUMIF(Pending_Stock!C:C, B206, Pending_Stock!F:F)</f>
        <v>0</v>
      </c>
      <c r="H206" s="49">
        <f>SUMIF(Pending_Stock!I:I, B206, Pending_Stock!L:L)</f>
        <v>0</v>
      </c>
      <c r="I206" s="50">
        <f>SUMIF(ShipToDubai!C:C, B206, ShipToDubai!F:F) - (SUMIFS(Stock_Transactions!D:D, Stock_Transactions!B:B, B206, Stock_Transactions!D:D, "&lt;0") * -1)</f>
        <v>0</v>
      </c>
      <c r="J206" s="38">
        <f>SUMIF(ShipToDubai!C:C, B206, ShipToDubai!G:G)</f>
        <v>0</v>
      </c>
    </row>
    <row r="207" spans="1:10">
      <c r="A207" s="614">
        <f t="shared" si="9"/>
        <v>205</v>
      </c>
      <c r="B207" s="343" t="s">
        <v>1694</v>
      </c>
      <c r="C207" s="37">
        <f>SUMIFS(Stock_Transactions!D:D, Stock_Transactions!B:B, B207, Stock_Transactions!D:D, "&gt;0")</f>
        <v>14</v>
      </c>
      <c r="D207" s="37">
        <f>SUMIFS(Stock_Transactions!D:D, Stock_Transactions!B:B, B207, Stock_Transactions!D:D, "&lt;0") * -1</f>
        <v>11</v>
      </c>
      <c r="E207" s="79">
        <f t="shared" si="10"/>
        <v>3</v>
      </c>
      <c r="F207" s="48">
        <f t="shared" si="11"/>
        <v>0</v>
      </c>
      <c r="G207" s="48">
        <f>SUMIF(Pending_Stock!C:C, B207, Pending_Stock!F:F)</f>
        <v>0</v>
      </c>
      <c r="H207" s="49">
        <f>SUMIF(Pending_Stock!I:I, B207, Pending_Stock!L:L)</f>
        <v>0</v>
      </c>
      <c r="I207" s="50">
        <f>SUMIF(ShipToDubai!C:C, B207, ShipToDubai!F:F) - (SUMIFS(Stock_Transactions!D:D, Stock_Transactions!B:B, B207, Stock_Transactions!D:D, "&lt;0") * -1)</f>
        <v>3</v>
      </c>
      <c r="J207" s="38">
        <f>SUMIF(ShipToDubai!C:C, B207, ShipToDubai!G:G)</f>
        <v>0</v>
      </c>
    </row>
    <row r="208" spans="1:10">
      <c r="A208" s="614">
        <f t="shared" si="9"/>
        <v>206</v>
      </c>
      <c r="B208" s="343" t="s">
        <v>1689</v>
      </c>
      <c r="C208" s="37">
        <f>SUMIFS(Stock_Transactions!D:D, Stock_Transactions!B:B, B208, Stock_Transactions!D:D, "&gt;0")</f>
        <v>5</v>
      </c>
      <c r="D208" s="37">
        <f>SUMIFS(Stock_Transactions!D:D, Stock_Transactions!B:B, B208, Stock_Transactions!D:D, "&lt;0") * -1</f>
        <v>3</v>
      </c>
      <c r="E208" s="79">
        <f t="shared" si="10"/>
        <v>2</v>
      </c>
      <c r="F208" s="48">
        <f t="shared" si="11"/>
        <v>0</v>
      </c>
      <c r="G208" s="48">
        <f>SUMIF(Pending_Stock!C:C, B208, Pending_Stock!F:F)</f>
        <v>0</v>
      </c>
      <c r="H208" s="49">
        <f>SUMIF(Pending_Stock!I:I, B208, Pending_Stock!L:L)</f>
        <v>0</v>
      </c>
      <c r="I208" s="50">
        <f>SUMIF(ShipToDubai!C:C, B208, ShipToDubai!F:F) - (SUMIFS(Stock_Transactions!D:D, Stock_Transactions!B:B, B208, Stock_Transactions!D:D, "&lt;0") * -1)</f>
        <v>2</v>
      </c>
      <c r="J208" s="38">
        <f>SUMIF(ShipToDubai!C:C, B208, ShipToDubai!G:G)</f>
        <v>0</v>
      </c>
    </row>
    <row r="209" spans="1:11">
      <c r="A209" s="19">
        <f t="shared" si="9"/>
        <v>207</v>
      </c>
      <c r="B209" s="139" t="s">
        <v>1754</v>
      </c>
      <c r="C209" s="37">
        <f>SUMIFS(Stock_Transactions!D:D, Stock_Transactions!B:B, B209, Stock_Transactions!D:D, "&gt;0")</f>
        <v>9</v>
      </c>
      <c r="D209" s="37">
        <f>SUMIFS(Stock_Transactions!D:D, Stock_Transactions!B:B, B209, Stock_Transactions!D:D, "&lt;0") * -1</f>
        <v>9</v>
      </c>
      <c r="E209" s="79">
        <f t="shared" si="10"/>
        <v>0</v>
      </c>
      <c r="F209" s="48">
        <f t="shared" si="11"/>
        <v>0</v>
      </c>
      <c r="G209" s="48">
        <f>SUMIF(Pending_Stock!C:C, B209, Pending_Stock!F:F)</f>
        <v>0</v>
      </c>
      <c r="H209" s="49">
        <f>SUMIF(Pending_Stock!I:I, B209, Pending_Stock!L:L)</f>
        <v>0</v>
      </c>
      <c r="I209" s="50">
        <f>SUMIF(ShipToDubai!C:C, B209, ShipToDubai!F:F) - (SUMIFS(Stock_Transactions!D:D, Stock_Transactions!B:B, B209, Stock_Transactions!D:D, "&lt;0") * -1)</f>
        <v>0</v>
      </c>
      <c r="J209" s="38">
        <f>SUMIF(ShipToDubai!C:C, B209, ShipToDubai!G:G)</f>
        <v>0</v>
      </c>
    </row>
    <row r="210" spans="1:11">
      <c r="A210" s="19">
        <f t="shared" si="9"/>
        <v>208</v>
      </c>
      <c r="B210" s="139" t="s">
        <v>1782</v>
      </c>
      <c r="C210" s="37">
        <f>SUMIFS(Stock_Transactions!D:D, Stock_Transactions!B:B, B210, Stock_Transactions!D:D, "&gt;0")</f>
        <v>31</v>
      </c>
      <c r="D210" s="37">
        <f>SUMIFS(Stock_Transactions!D:D, Stock_Transactions!B:B, B210, Stock_Transactions!D:D, "&lt;0") * -1</f>
        <v>31</v>
      </c>
      <c r="E210" s="79">
        <f t="shared" si="10"/>
        <v>0</v>
      </c>
      <c r="F210" s="48">
        <f t="shared" si="11"/>
        <v>2</v>
      </c>
      <c r="G210" s="48">
        <f>SUMIF(Pending_Stock!C:C, B210, Pending_Stock!F:F)</f>
        <v>0</v>
      </c>
      <c r="H210" s="49">
        <f>SUMIF(Pending_Stock!I:I, B210, Pending_Stock!L:L)</f>
        <v>0</v>
      </c>
      <c r="I210" s="50">
        <f>SUMIF(ShipToDubai!C:C, B210, ShipToDubai!F:F) - (SUMIFS(Stock_Transactions!D:D, Stock_Transactions!B:B, B210, Stock_Transactions!D:D, "&lt;0") * -1)</f>
        <v>-2</v>
      </c>
      <c r="J210" s="38">
        <f>SUMIF(ShipToDubai!C:C, B210, ShipToDubai!G:G)</f>
        <v>0</v>
      </c>
    </row>
    <row r="211" spans="1:11">
      <c r="A211" s="614">
        <f t="shared" si="9"/>
        <v>209</v>
      </c>
      <c r="B211" s="93" t="s">
        <v>1900</v>
      </c>
      <c r="C211" s="37">
        <f>SUMIFS(Stock_Transactions!D:D, Stock_Transactions!B:B, B211, Stock_Transactions!D:D, "&gt;0")</f>
        <v>0</v>
      </c>
      <c r="D211" s="37">
        <f>SUMIFS(Stock_Transactions!D:D, Stock_Transactions!B:B, B211, Stock_Transactions!D:D, "&lt;0") * -1</f>
        <v>1</v>
      </c>
      <c r="E211" s="79">
        <f t="shared" si="10"/>
        <v>-1</v>
      </c>
      <c r="F211" s="48">
        <f t="shared" si="11"/>
        <v>0</v>
      </c>
      <c r="G211" s="48">
        <f>SUMIF(Pending_Stock!C:C, B211, Pending_Stock!F:F)</f>
        <v>0</v>
      </c>
      <c r="H211" s="49">
        <f>SUMIF(Pending_Stock!I:I, B211, Pending_Stock!L:L)</f>
        <v>0</v>
      </c>
      <c r="I211" s="50">
        <f>SUMIF(ShipToDubai!C:C, B211, ShipToDubai!F:F) - (SUMIFS(Stock_Transactions!D:D, Stock_Transactions!B:B, B211, Stock_Transactions!D:D, "&lt;0") * -1)</f>
        <v>-1</v>
      </c>
      <c r="J211" s="38">
        <f>SUMIF(ShipToDubai!C:C, B211, ShipToDubai!G:G)</f>
        <v>0</v>
      </c>
    </row>
    <row r="212" spans="1:11">
      <c r="A212" s="614">
        <f t="shared" si="9"/>
        <v>210</v>
      </c>
      <c r="B212" s="93" t="s">
        <v>1901</v>
      </c>
      <c r="C212" s="37">
        <f>SUMIFS(Stock_Transactions!D:D, Stock_Transactions!B:B, B212, Stock_Transactions!D:D, "&gt;0")</f>
        <v>0</v>
      </c>
      <c r="D212" s="37">
        <f>SUMIFS(Stock_Transactions!D:D, Stock_Transactions!B:B, B212, Stock_Transactions!D:D, "&lt;0") * -1</f>
        <v>1</v>
      </c>
      <c r="E212" s="79">
        <f t="shared" si="10"/>
        <v>-1</v>
      </c>
      <c r="F212" s="48">
        <f t="shared" si="11"/>
        <v>0</v>
      </c>
      <c r="G212" s="48">
        <f>SUMIF(Pending_Stock!C:C, B212, Pending_Stock!F:F)</f>
        <v>0</v>
      </c>
      <c r="H212" s="49">
        <f>SUMIF(Pending_Stock!I:I, B212, Pending_Stock!L:L)</f>
        <v>0</v>
      </c>
      <c r="I212" s="50">
        <f>SUMIF(ShipToDubai!C:C, B212, ShipToDubai!F:F) - (SUMIFS(Stock_Transactions!D:D, Stock_Transactions!B:B, B212, Stock_Transactions!D:D, "&lt;0") * -1)</f>
        <v>-1</v>
      </c>
      <c r="J212" s="38">
        <f>SUMIF(ShipToDubai!C:C, B212, ShipToDubai!G:G)</f>
        <v>0</v>
      </c>
    </row>
    <row r="213" spans="1:11">
      <c r="A213" s="614">
        <f t="shared" si="9"/>
        <v>211</v>
      </c>
      <c r="B213" s="93" t="s">
        <v>1902</v>
      </c>
      <c r="C213" s="37">
        <f>SUMIFS(Stock_Transactions!D:D, Stock_Transactions!B:B, B213, Stock_Transactions!D:D, "&gt;0")</f>
        <v>0</v>
      </c>
      <c r="D213" s="37">
        <f>SUMIFS(Stock_Transactions!D:D, Stock_Transactions!B:B, B213, Stock_Transactions!D:D, "&lt;0") * -1</f>
        <v>4</v>
      </c>
      <c r="E213" s="79">
        <f t="shared" si="10"/>
        <v>-4</v>
      </c>
      <c r="F213" s="48">
        <f t="shared" si="11"/>
        <v>0</v>
      </c>
      <c r="G213" s="48">
        <f>SUMIF(Pending_Stock!C:C, B213, Pending_Stock!F:F)</f>
        <v>0</v>
      </c>
      <c r="H213" s="49">
        <f>SUMIF(Pending_Stock!I:I, B213, Pending_Stock!L:L)</f>
        <v>0</v>
      </c>
      <c r="I213" s="50">
        <f>SUMIF(ShipToDubai!C:C, B213, ShipToDubai!F:F) - (SUMIFS(Stock_Transactions!D:D, Stock_Transactions!B:B, B213, Stock_Transactions!D:D, "&lt;0") * -1)</f>
        <v>-4</v>
      </c>
      <c r="J213" s="38">
        <f>SUMIF(ShipToDubai!C:C, B213, ShipToDubai!G:G)</f>
        <v>0</v>
      </c>
    </row>
    <row r="214" spans="1:11">
      <c r="A214" s="614">
        <f t="shared" si="9"/>
        <v>212</v>
      </c>
      <c r="B214" s="93" t="s">
        <v>1903</v>
      </c>
      <c r="C214" s="37">
        <f>SUMIFS(Stock_Transactions!D:D, Stock_Transactions!B:B, B214, Stock_Transactions!D:D, "&gt;0")</f>
        <v>0</v>
      </c>
      <c r="D214" s="37">
        <f>SUMIFS(Stock_Transactions!D:D, Stock_Transactions!B:B, B214, Stock_Transactions!D:D, "&lt;0") * -1</f>
        <v>2</v>
      </c>
      <c r="E214" s="79">
        <f t="shared" si="10"/>
        <v>-2</v>
      </c>
      <c r="F214" s="48">
        <f t="shared" si="11"/>
        <v>0</v>
      </c>
      <c r="G214" s="48">
        <f>SUMIF(Pending_Stock!C:C, B214, Pending_Stock!F:F)</f>
        <v>0</v>
      </c>
      <c r="H214" s="49">
        <f>SUMIF(Pending_Stock!I:I, B214, Pending_Stock!L:L)</f>
        <v>0</v>
      </c>
      <c r="I214" s="50">
        <f>SUMIF(ShipToDubai!C:C, B214, ShipToDubai!F:F) - (SUMIFS(Stock_Transactions!D:D, Stock_Transactions!B:B, B214, Stock_Transactions!D:D, "&lt;0") * -1)</f>
        <v>-2</v>
      </c>
      <c r="J214" s="38">
        <f>SUMIF(ShipToDubai!C:C, B214, ShipToDubai!G:G)</f>
        <v>0</v>
      </c>
    </row>
    <row r="215" spans="1:11">
      <c r="A215" s="614">
        <f t="shared" si="9"/>
        <v>213</v>
      </c>
      <c r="B215" s="343" t="s">
        <v>1907</v>
      </c>
      <c r="C215" s="37">
        <f>SUMIFS(Stock_Transactions!D:D, Stock_Transactions!B:B, B215, Stock_Transactions!D:D, "&gt;0")</f>
        <v>5</v>
      </c>
      <c r="D215" s="37">
        <f>SUMIFS(Stock_Transactions!D:D, Stock_Transactions!B:B, B215, Stock_Transactions!D:D, "&lt;0") * -1</f>
        <v>5</v>
      </c>
      <c r="E215" s="79">
        <f t="shared" si="10"/>
        <v>0</v>
      </c>
      <c r="F215" s="48">
        <f t="shared" si="11"/>
        <v>0</v>
      </c>
      <c r="G215" s="48">
        <f>SUMIF(Pending_Stock!C:C, B215, Pending_Stock!F:F)</f>
        <v>0</v>
      </c>
      <c r="H215" s="49">
        <f>SUMIF(Pending_Stock!I:I, B215, Pending_Stock!L:L)</f>
        <v>0</v>
      </c>
      <c r="I215" s="50">
        <f>SUMIF(ShipToDubai!C:C, B215, ShipToDubai!F:F) - (SUMIFS(Stock_Transactions!D:D, Stock_Transactions!B:B, B215, Stock_Transactions!D:D, "&lt;0") * -1)</f>
        <v>0</v>
      </c>
      <c r="J215" s="38">
        <f>SUMIF(ShipToDubai!C:C, B215, ShipToDubai!G:G)</f>
        <v>0</v>
      </c>
    </row>
    <row r="216" spans="1:11">
      <c r="A216" s="614">
        <f t="shared" si="9"/>
        <v>214</v>
      </c>
      <c r="B216" s="343" t="s">
        <v>1908</v>
      </c>
      <c r="C216" s="37">
        <f>SUMIFS(Stock_Transactions!D:D, Stock_Transactions!B:B, B216, Stock_Transactions!D:D, "&gt;0")</f>
        <v>1</v>
      </c>
      <c r="D216" s="37">
        <f>SUMIFS(Stock_Transactions!D:D, Stock_Transactions!B:B, B216, Stock_Transactions!D:D, "&lt;0") * -1</f>
        <v>1</v>
      </c>
      <c r="E216" s="79">
        <f t="shared" si="10"/>
        <v>0</v>
      </c>
      <c r="F216" s="48">
        <f t="shared" si="11"/>
        <v>0</v>
      </c>
      <c r="G216" s="48">
        <f>SUMIF(Pending_Stock!C:C, B216, Pending_Stock!F:F)</f>
        <v>0</v>
      </c>
      <c r="H216" s="49">
        <f>SUMIF(Pending_Stock!I:I, B216, Pending_Stock!L:L)</f>
        <v>0</v>
      </c>
      <c r="I216" s="50">
        <f>SUMIF(ShipToDubai!C:C, B216, ShipToDubai!F:F) - (SUMIFS(Stock_Transactions!D:D, Stock_Transactions!B:B, B216, Stock_Transactions!D:D, "&lt;0") * -1)</f>
        <v>0</v>
      </c>
      <c r="J216" s="38">
        <f>SUMIF(ShipToDubai!C:C, B216, ShipToDubai!G:G)</f>
        <v>0</v>
      </c>
    </row>
    <row r="217" spans="1:11">
      <c r="A217" s="614">
        <f t="shared" si="9"/>
        <v>215</v>
      </c>
      <c r="B217" s="343" t="s">
        <v>1967</v>
      </c>
      <c r="C217" s="37">
        <f>SUMIFS(Stock_Transactions!D:D, Stock_Transactions!B:B, B217, Stock_Transactions!D:D, "&gt;0")</f>
        <v>1</v>
      </c>
      <c r="D217" s="37">
        <f>SUMIFS(Stock_Transactions!D:D, Stock_Transactions!B:B, B217, Stock_Transactions!D:D, "&lt;0") * -1</f>
        <v>1</v>
      </c>
      <c r="E217" s="79">
        <f t="shared" si="10"/>
        <v>0</v>
      </c>
      <c r="F217" s="48">
        <f t="shared" si="11"/>
        <v>0</v>
      </c>
      <c r="G217" s="48">
        <f>SUMIF(Pending_Stock!C:C, B217, Pending_Stock!F:F)</f>
        <v>0</v>
      </c>
      <c r="H217" s="49">
        <f>SUMIF(Pending_Stock!I:I, B217, Pending_Stock!L:L)</f>
        <v>0</v>
      </c>
      <c r="I217" s="50">
        <f>SUMIF(ShipToDubai!C:C, B217, ShipToDubai!F:F) - (SUMIFS(Stock_Transactions!D:D, Stock_Transactions!B:B, B217, Stock_Transactions!D:D, "&lt;0") * -1)</f>
        <v>0</v>
      </c>
      <c r="J217" s="38">
        <f>SUMIF(ShipToDubai!C:C, B217, ShipToDubai!G:G)</f>
        <v>0</v>
      </c>
      <c r="K217" t="s">
        <v>1340</v>
      </c>
    </row>
    <row r="218" spans="1:11">
      <c r="A218" s="614">
        <f t="shared" si="9"/>
        <v>216</v>
      </c>
      <c r="B218" s="342" t="s">
        <v>1991</v>
      </c>
      <c r="C218" s="37">
        <f>SUMIFS(Stock_Transactions!D:D, Stock_Transactions!B:B, B218, Stock_Transactions!D:D, "&gt;0")</f>
        <v>2</v>
      </c>
      <c r="D218" s="37">
        <f>SUMIFS(Stock_Transactions!D:D, Stock_Transactions!B:B, B218, Stock_Transactions!D:D, "&lt;0") * -1</f>
        <v>2</v>
      </c>
      <c r="E218" s="79">
        <f t="shared" si="10"/>
        <v>0</v>
      </c>
      <c r="F218" s="48">
        <f t="shared" si="11"/>
        <v>0</v>
      </c>
      <c r="G218" s="48">
        <f>SUMIF(Pending_Stock!C:C, B218, Pending_Stock!F:F)</f>
        <v>0</v>
      </c>
      <c r="H218" s="49">
        <f>SUMIF(Pending_Stock!I:I, B218, Pending_Stock!L:L)</f>
        <v>0</v>
      </c>
      <c r="I218" s="50">
        <f>SUMIF(ShipToDubai!C:C, B218, ShipToDubai!F:F) - (SUMIFS(Stock_Transactions!D:D, Stock_Transactions!B:B, B218, Stock_Transactions!D:D, "&lt;0") * -1)</f>
        <v>0</v>
      </c>
      <c r="J218" s="38">
        <f>SUMIF(ShipToDubai!C:C, B218, ShipToDubai!G:G)</f>
        <v>0</v>
      </c>
    </row>
    <row r="219" spans="1:11">
      <c r="A219" s="614">
        <f t="shared" si="9"/>
        <v>217</v>
      </c>
      <c r="B219" s="342" t="s">
        <v>1992</v>
      </c>
      <c r="C219" s="37">
        <f>SUMIFS(Stock_Transactions!D:D, Stock_Transactions!B:B, B219, Stock_Transactions!D:D, "&gt;0")</f>
        <v>1</v>
      </c>
      <c r="D219" s="37">
        <f>SUMIFS(Stock_Transactions!D:D, Stock_Transactions!B:B, B219, Stock_Transactions!D:D, "&lt;0") * -1</f>
        <v>1</v>
      </c>
      <c r="E219" s="79">
        <f t="shared" si="10"/>
        <v>0</v>
      </c>
      <c r="F219" s="48">
        <f t="shared" si="11"/>
        <v>0</v>
      </c>
      <c r="G219" s="48">
        <f>SUMIF(Pending_Stock!C:C, B219, Pending_Stock!F:F)</f>
        <v>0</v>
      </c>
      <c r="H219" s="49">
        <f>SUMIF(Pending_Stock!I:I, B219, Pending_Stock!L:L)</f>
        <v>0</v>
      </c>
      <c r="I219" s="50">
        <f>SUMIF(ShipToDubai!C:C, B219, ShipToDubai!F:F) - (SUMIFS(Stock_Transactions!D:D, Stock_Transactions!B:B, B219, Stock_Transactions!D:D, "&lt;0") * -1)</f>
        <v>0</v>
      </c>
      <c r="J219" s="38">
        <f>SUMIF(ShipToDubai!C:C, B219, ShipToDubai!G:G)</f>
        <v>0</v>
      </c>
    </row>
    <row r="220" spans="1:11">
      <c r="A220" s="614">
        <f t="shared" si="9"/>
        <v>218</v>
      </c>
      <c r="B220" s="342" t="s">
        <v>1994</v>
      </c>
      <c r="C220" s="37">
        <f>SUMIFS(Stock_Transactions!D:D, Stock_Transactions!B:B, B220, Stock_Transactions!D:D, "&gt;0")</f>
        <v>33</v>
      </c>
      <c r="D220" s="37">
        <f>SUMIFS(Stock_Transactions!D:D, Stock_Transactions!B:B, B220, Stock_Transactions!D:D, "&lt;0") * -1</f>
        <v>30</v>
      </c>
      <c r="E220" s="79">
        <f t="shared" si="10"/>
        <v>3</v>
      </c>
      <c r="F220" s="48">
        <f t="shared" si="11"/>
        <v>0</v>
      </c>
      <c r="G220" s="48">
        <f>SUMIF(Pending_Stock!C:C, B220, Pending_Stock!F:F)</f>
        <v>0</v>
      </c>
      <c r="H220" s="49">
        <f>SUMIF(Pending_Stock!I:I, B220, Pending_Stock!L:L)</f>
        <v>0</v>
      </c>
      <c r="I220" s="50">
        <f>SUMIF(ShipToDubai!C:C, B220, ShipToDubai!F:F) - (SUMIFS(Stock_Transactions!D:D, Stock_Transactions!B:B, B220, Stock_Transactions!D:D, "&lt;0") * -1)</f>
        <v>3</v>
      </c>
      <c r="J220" s="38">
        <f>SUMIF(ShipToDubai!C:C, B220, ShipToDubai!G:G)</f>
        <v>0</v>
      </c>
    </row>
    <row r="221" spans="1:11">
      <c r="A221" s="614">
        <f t="shared" si="9"/>
        <v>219</v>
      </c>
      <c r="B221" s="343" t="s">
        <v>2014</v>
      </c>
      <c r="C221" s="37">
        <f>SUMIFS(Stock_Transactions!D:D, Stock_Transactions!B:B, B221, Stock_Transactions!D:D, "&gt;0")</f>
        <v>1</v>
      </c>
      <c r="D221" s="37">
        <f>SUMIFS(Stock_Transactions!D:D, Stock_Transactions!B:B, B221, Stock_Transactions!D:D, "&lt;0") * -1</f>
        <v>0</v>
      </c>
      <c r="E221" s="79">
        <f t="shared" si="10"/>
        <v>1</v>
      </c>
      <c r="F221" s="48">
        <f t="shared" si="11"/>
        <v>0</v>
      </c>
      <c r="G221" s="48">
        <f>SUMIF(Pending_Stock!C:C, B221, Pending_Stock!F:F)</f>
        <v>0</v>
      </c>
      <c r="H221" s="49">
        <f>SUMIF(Pending_Stock!I:I, B221, Pending_Stock!L:L)</f>
        <v>0</v>
      </c>
      <c r="I221" s="50">
        <f>SUMIF(ShipToDubai!C:C, B221, ShipToDubai!F:F) - (SUMIFS(Stock_Transactions!D:D, Stock_Transactions!B:B, B221, Stock_Transactions!D:D, "&lt;0") * -1)</f>
        <v>1</v>
      </c>
      <c r="J221" s="38">
        <f>SUMIF(ShipToDubai!C:C, B221, ShipToDubai!G:G)</f>
        <v>0</v>
      </c>
    </row>
    <row r="222" spans="1:11">
      <c r="A222" s="614">
        <f t="shared" si="9"/>
        <v>220</v>
      </c>
      <c r="B222" s="344" t="s">
        <v>1716</v>
      </c>
      <c r="C222" s="37">
        <f>SUMIFS(Stock_Transactions!D:D, Stock_Transactions!B:B, B222, Stock_Transactions!D:D, "&gt;0")</f>
        <v>155</v>
      </c>
      <c r="D222" s="37">
        <f>SUMIFS(Stock_Transactions!D:D, Stock_Transactions!B:B, B222, Stock_Transactions!D:D, "&lt;0") * -1</f>
        <v>132</v>
      </c>
      <c r="E222" s="79">
        <f t="shared" si="10"/>
        <v>23</v>
      </c>
      <c r="F222" s="48">
        <f t="shared" si="11"/>
        <v>18</v>
      </c>
      <c r="G222" s="48">
        <f>SUMIF(Pending_Stock!C:C, B222, Pending_Stock!F:F)</f>
        <v>0</v>
      </c>
      <c r="H222" s="49">
        <f>SUMIF(Pending_Stock!I:I, B222, Pending_Stock!L:L)</f>
        <v>0</v>
      </c>
      <c r="I222" s="50">
        <f>SUMIF(ShipToDubai!C:C, B222, ShipToDubai!F:F) - (SUMIFS(Stock_Transactions!D:D, Stock_Transactions!B:B, B222, Stock_Transactions!D:D, "&lt;0") * -1)</f>
        <v>5</v>
      </c>
      <c r="J222" s="38">
        <f>SUMIF(ShipToDubai!C:C, B222, ShipToDubai!G:G)</f>
        <v>0</v>
      </c>
    </row>
    <row r="223" spans="1:11">
      <c r="A223" s="614">
        <f t="shared" si="9"/>
        <v>221</v>
      </c>
      <c r="B223" s="343" t="s">
        <v>2032</v>
      </c>
      <c r="C223" s="37">
        <f>SUMIFS(Stock_Transactions!D:D, Stock_Transactions!B:B, B223, Stock_Transactions!D:D, "&gt;0")</f>
        <v>8</v>
      </c>
      <c r="D223" s="37">
        <f>SUMIFS(Stock_Transactions!D:D, Stock_Transactions!B:B, B223, Stock_Transactions!D:D, "&lt;0") * -1</f>
        <v>7</v>
      </c>
      <c r="E223" s="79">
        <f t="shared" si="10"/>
        <v>1</v>
      </c>
      <c r="F223" s="48">
        <f t="shared" si="11"/>
        <v>0</v>
      </c>
      <c r="G223" s="48">
        <f>SUMIF(Pending_Stock!C:C, B223, Pending_Stock!F:F)</f>
        <v>0</v>
      </c>
      <c r="H223" s="49">
        <f>SUMIF(Pending_Stock!I:I, B223, Pending_Stock!L:L)</f>
        <v>0</v>
      </c>
      <c r="I223" s="50">
        <f>SUMIF(ShipToDubai!C:C, B223, ShipToDubai!F:F) - (SUMIFS(Stock_Transactions!D:D, Stock_Transactions!B:B, B223, Stock_Transactions!D:D, "&lt;0") * -1)</f>
        <v>1</v>
      </c>
      <c r="J223" s="38">
        <f>SUMIF(ShipToDubai!C:C, B223, ShipToDubai!G:G)</f>
        <v>0</v>
      </c>
    </row>
    <row r="224" spans="1:11">
      <c r="A224" s="614">
        <f t="shared" si="9"/>
        <v>222</v>
      </c>
      <c r="B224" s="343" t="s">
        <v>2019</v>
      </c>
      <c r="C224" s="37">
        <f>SUMIFS(Stock_Transactions!D:D, Stock_Transactions!B:B, B224, Stock_Transactions!D:D, "&gt;0")</f>
        <v>9</v>
      </c>
      <c r="D224" s="37">
        <f>SUMIFS(Stock_Transactions!D:D, Stock_Transactions!B:B, B224, Stock_Transactions!D:D, "&lt;0") * -1</f>
        <v>9</v>
      </c>
      <c r="E224" s="79">
        <f t="shared" si="10"/>
        <v>0</v>
      </c>
      <c r="F224" s="48">
        <f t="shared" si="11"/>
        <v>0</v>
      </c>
      <c r="G224" s="48">
        <f>SUMIF(Pending_Stock!C:C, B224, Pending_Stock!F:F)</f>
        <v>0</v>
      </c>
      <c r="H224" s="49">
        <f>SUMIF(Pending_Stock!I:I, B224, Pending_Stock!L:L)</f>
        <v>0</v>
      </c>
      <c r="I224" s="50">
        <f>SUMIF(ShipToDubai!C:C, B224, ShipToDubai!F:F) - (SUMIFS(Stock_Transactions!D:D, Stock_Transactions!B:B, B224, Stock_Transactions!D:D, "&lt;0") * -1)</f>
        <v>0</v>
      </c>
      <c r="J224" s="38">
        <f>SUMIF(ShipToDubai!C:C, B224, ShipToDubai!G:G)</f>
        <v>0</v>
      </c>
    </row>
    <row r="225" spans="1:10">
      <c r="A225" s="614">
        <f t="shared" si="9"/>
        <v>223</v>
      </c>
      <c r="B225" s="343" t="s">
        <v>2111</v>
      </c>
      <c r="C225" s="37">
        <f>SUMIFS(Stock_Transactions!D:D, Stock_Transactions!B:B, B225, Stock_Transactions!D:D, "&gt;0")</f>
        <v>3</v>
      </c>
      <c r="D225" s="37">
        <f>SUMIFS(Stock_Transactions!D:D, Stock_Transactions!B:B, B225, Stock_Transactions!D:D, "&lt;0") * -1</f>
        <v>3</v>
      </c>
      <c r="E225" s="79">
        <f t="shared" si="10"/>
        <v>0</v>
      </c>
      <c r="F225" s="48">
        <f t="shared" si="11"/>
        <v>0</v>
      </c>
      <c r="G225" s="48">
        <f>SUMIF(Pending_Stock!C:C, B225, Pending_Stock!F:F)</f>
        <v>0</v>
      </c>
      <c r="H225" s="49">
        <f>SUMIF(Pending_Stock!I:I, B225, Pending_Stock!L:L)</f>
        <v>0</v>
      </c>
      <c r="I225" s="50">
        <f>SUMIF(ShipToDubai!C:C, B225, ShipToDubai!F:F) - (SUMIFS(Stock_Transactions!D:D, Stock_Transactions!B:B, B225, Stock_Transactions!D:D, "&lt;0") * -1)</f>
        <v>0</v>
      </c>
      <c r="J225" s="38">
        <f>SUMIF(ShipToDubai!C:C, B225, ShipToDubai!G:G)</f>
        <v>0</v>
      </c>
    </row>
    <row r="226" spans="1:10">
      <c r="A226" s="614">
        <f t="shared" si="9"/>
        <v>224</v>
      </c>
      <c r="B226" s="343" t="s">
        <v>2115</v>
      </c>
      <c r="C226" s="37">
        <f>SUMIFS(Stock_Transactions!D:D, Stock_Transactions!B:B, B226, Stock_Transactions!D:D, "&gt;0")</f>
        <v>2</v>
      </c>
      <c r="D226" s="37">
        <f>SUMIFS(Stock_Transactions!D:D, Stock_Transactions!B:B, B226, Stock_Transactions!D:D, "&lt;0") * -1</f>
        <v>0</v>
      </c>
      <c r="E226" s="79">
        <f t="shared" si="10"/>
        <v>2</v>
      </c>
      <c r="F226" s="48">
        <f t="shared" si="11"/>
        <v>0</v>
      </c>
      <c r="G226" s="48">
        <f>SUMIF(Pending_Stock!C:C, B226, Pending_Stock!F:F)</f>
        <v>0</v>
      </c>
      <c r="H226" s="49">
        <f>SUMIF(Pending_Stock!I:I, B226, Pending_Stock!L:L)</f>
        <v>0</v>
      </c>
      <c r="I226" s="50">
        <f>SUMIF(ShipToDubai!C:C, B226, ShipToDubai!F:F) - (SUMIFS(Stock_Transactions!D:D, Stock_Transactions!B:B, B226, Stock_Transactions!D:D, "&lt;0") * -1)</f>
        <v>2</v>
      </c>
      <c r="J226" s="38">
        <f>SUMIF(ShipToDubai!C:C, B226, ShipToDubai!G:G)</f>
        <v>0</v>
      </c>
    </row>
    <row r="227" spans="1:10">
      <c r="A227" s="614">
        <f t="shared" ref="A227:A248" si="12">A226+1</f>
        <v>225</v>
      </c>
      <c r="B227" s="343" t="s">
        <v>2160</v>
      </c>
      <c r="C227" s="37">
        <f>SUMIFS(Stock_Transactions!D:D, Stock_Transactions!B:B, B227, Stock_Transactions!D:D, "&gt;0")</f>
        <v>6</v>
      </c>
      <c r="D227" s="37">
        <f>SUMIFS(Stock_Transactions!D:D, Stock_Transactions!B:B, B227, Stock_Transactions!D:D, "&lt;0") * -1</f>
        <v>6</v>
      </c>
      <c r="E227" s="79">
        <f t="shared" ref="E227:E248" si="13">C227-D227</f>
        <v>0</v>
      </c>
      <c r="F227" s="48">
        <f t="shared" ref="F227:F248" si="14">E227-G227-H227-I227-J227</f>
        <v>0</v>
      </c>
      <c r="G227" s="48">
        <f>SUMIF(Pending_Stock!C:C, B227, Pending_Stock!F:F)</f>
        <v>0</v>
      </c>
      <c r="H227" s="49">
        <f>SUMIF(Pending_Stock!I:I, B227, Pending_Stock!L:L)</f>
        <v>0</v>
      </c>
      <c r="I227" s="50">
        <f>SUMIF(ShipToDubai!C:C, B227, ShipToDubai!F:F) - (SUMIFS(Stock_Transactions!D:D, Stock_Transactions!B:B, B227, Stock_Transactions!D:D, "&lt;0") * -1)</f>
        <v>0</v>
      </c>
      <c r="J227" s="38">
        <f>SUMIF(ShipToDubai!C:C, B227, ShipToDubai!G:G)</f>
        <v>0</v>
      </c>
    </row>
    <row r="228" spans="1:10">
      <c r="A228" s="614">
        <f t="shared" si="12"/>
        <v>226</v>
      </c>
      <c r="B228" s="343" t="s">
        <v>2140</v>
      </c>
      <c r="C228" s="37">
        <f>SUMIFS(Stock_Transactions!D:D, Stock_Transactions!B:B, B228, Stock_Transactions!D:D, "&gt;0")</f>
        <v>3</v>
      </c>
      <c r="D228" s="37">
        <f>SUMIFS(Stock_Transactions!D:D, Stock_Transactions!B:B, B228, Stock_Transactions!D:D, "&lt;0") * -1</f>
        <v>3</v>
      </c>
      <c r="E228" s="79">
        <f t="shared" si="13"/>
        <v>0</v>
      </c>
      <c r="F228" s="48">
        <f t="shared" si="14"/>
        <v>0</v>
      </c>
      <c r="G228" s="48">
        <f>SUMIF(Pending_Stock!C:C, B228, Pending_Stock!F:F)</f>
        <v>0</v>
      </c>
      <c r="H228" s="49">
        <f>SUMIF(Pending_Stock!I:I, B228, Pending_Stock!L:L)</f>
        <v>0</v>
      </c>
      <c r="I228" s="50">
        <f>SUMIF(ShipToDubai!C:C, B228, ShipToDubai!F:F) - (SUMIFS(Stock_Transactions!D:D, Stock_Transactions!B:B, B228, Stock_Transactions!D:D, "&lt;0") * -1)</f>
        <v>0</v>
      </c>
      <c r="J228" s="38">
        <f>SUMIF(ShipToDubai!C:C, B228, ShipToDubai!G:G)</f>
        <v>0</v>
      </c>
    </row>
    <row r="229" spans="1:10">
      <c r="A229" s="614">
        <f t="shared" si="12"/>
        <v>227</v>
      </c>
      <c r="B229" s="343" t="s">
        <v>2141</v>
      </c>
      <c r="C229" s="37">
        <f>SUMIFS(Stock_Transactions!D:D, Stock_Transactions!B:B, B229, Stock_Transactions!D:D, "&gt;0")</f>
        <v>6</v>
      </c>
      <c r="D229" s="37">
        <f>SUMIFS(Stock_Transactions!D:D, Stock_Transactions!B:B, B229, Stock_Transactions!D:D, "&lt;0") * -1</f>
        <v>6</v>
      </c>
      <c r="E229" s="79">
        <f t="shared" si="13"/>
        <v>0</v>
      </c>
      <c r="F229" s="48">
        <f t="shared" si="14"/>
        <v>0</v>
      </c>
      <c r="G229" s="48">
        <f>SUMIF(Pending_Stock!C:C, B229, Pending_Stock!F:F)</f>
        <v>0</v>
      </c>
      <c r="H229" s="49">
        <f>SUMIF(Pending_Stock!I:I, B229, Pending_Stock!L:L)</f>
        <v>0</v>
      </c>
      <c r="I229" s="50">
        <f>SUMIF(ShipToDubai!C:C, B229, ShipToDubai!F:F) - (SUMIFS(Stock_Transactions!D:D, Stock_Transactions!B:B, B229, Stock_Transactions!D:D, "&lt;0") * -1)</f>
        <v>0</v>
      </c>
      <c r="J229" s="38">
        <f>SUMIF(ShipToDubai!C:C, B229, ShipToDubai!G:G)</f>
        <v>0</v>
      </c>
    </row>
    <row r="230" spans="1:10">
      <c r="A230" s="614">
        <f t="shared" si="12"/>
        <v>228</v>
      </c>
      <c r="B230" s="343" t="s">
        <v>2142</v>
      </c>
      <c r="C230" s="37">
        <f>SUMIFS(Stock_Transactions!D:D, Stock_Transactions!B:B, B230, Stock_Transactions!D:D, "&gt;0")</f>
        <v>9</v>
      </c>
      <c r="D230" s="37">
        <f>SUMIFS(Stock_Transactions!D:D, Stock_Transactions!B:B, B230, Stock_Transactions!D:D, "&lt;0") * -1</f>
        <v>9</v>
      </c>
      <c r="E230" s="79">
        <f t="shared" si="13"/>
        <v>0</v>
      </c>
      <c r="F230" s="48">
        <f t="shared" si="14"/>
        <v>0</v>
      </c>
      <c r="G230" s="48">
        <f>SUMIF(Pending_Stock!C:C, B230, Pending_Stock!F:F)</f>
        <v>0</v>
      </c>
      <c r="H230" s="49">
        <f>SUMIF(Pending_Stock!I:I, B230, Pending_Stock!L:L)</f>
        <v>0</v>
      </c>
      <c r="I230" s="50">
        <f>SUMIF(ShipToDubai!C:C, B230, ShipToDubai!F:F) - (SUMIFS(Stock_Transactions!D:D, Stock_Transactions!B:B, B230, Stock_Transactions!D:D, "&lt;0") * -1)</f>
        <v>0</v>
      </c>
      <c r="J230" s="38">
        <f>SUMIF(ShipToDubai!C:C, B230, ShipToDubai!G:G)</f>
        <v>0</v>
      </c>
    </row>
    <row r="231" spans="1:10">
      <c r="A231" s="614">
        <f t="shared" si="12"/>
        <v>229</v>
      </c>
      <c r="B231" s="343" t="s">
        <v>2143</v>
      </c>
      <c r="C231" s="37">
        <f>SUMIFS(Stock_Transactions!D:D, Stock_Transactions!B:B, B231, Stock_Transactions!D:D, "&gt;0")</f>
        <v>2</v>
      </c>
      <c r="D231" s="37">
        <f>SUMIFS(Stock_Transactions!D:D, Stock_Transactions!B:B, B231, Stock_Transactions!D:D, "&lt;0") * -1</f>
        <v>2</v>
      </c>
      <c r="E231" s="79">
        <f t="shared" si="13"/>
        <v>0</v>
      </c>
      <c r="F231" s="48">
        <f t="shared" si="14"/>
        <v>0</v>
      </c>
      <c r="G231" s="48">
        <f>SUMIF(Pending_Stock!C:C, B231, Pending_Stock!F:F)</f>
        <v>0</v>
      </c>
      <c r="H231" s="49">
        <f>SUMIF(Pending_Stock!I:I, B231, Pending_Stock!L:L)</f>
        <v>0</v>
      </c>
      <c r="I231" s="50">
        <f>SUMIF(ShipToDubai!C:C, B231, ShipToDubai!F:F) - (SUMIFS(Stock_Transactions!D:D, Stock_Transactions!B:B, B231, Stock_Transactions!D:D, "&lt;0") * -1)</f>
        <v>0</v>
      </c>
      <c r="J231" s="38">
        <f>SUMIF(ShipToDubai!C:C, B231, ShipToDubai!G:G)</f>
        <v>0</v>
      </c>
    </row>
    <row r="232" spans="1:10">
      <c r="A232" s="614">
        <f t="shared" si="12"/>
        <v>230</v>
      </c>
      <c r="B232" s="343" t="s">
        <v>2144</v>
      </c>
      <c r="C232" s="37">
        <f>SUMIFS(Stock_Transactions!D:D, Stock_Transactions!B:B, B232, Stock_Transactions!D:D, "&gt;0")</f>
        <v>1</v>
      </c>
      <c r="D232" s="37">
        <f>SUMIFS(Stock_Transactions!D:D, Stock_Transactions!B:B, B232, Stock_Transactions!D:D, "&lt;0") * -1</f>
        <v>1</v>
      </c>
      <c r="E232" s="79">
        <f t="shared" si="13"/>
        <v>0</v>
      </c>
      <c r="F232" s="48">
        <f t="shared" si="14"/>
        <v>0</v>
      </c>
      <c r="G232" s="48">
        <f>SUMIF(Pending_Stock!C:C, B232, Pending_Stock!F:F)</f>
        <v>0</v>
      </c>
      <c r="H232" s="49">
        <f>SUMIF(Pending_Stock!I:I, B232, Pending_Stock!L:L)</f>
        <v>0</v>
      </c>
      <c r="I232" s="50">
        <f>SUMIF(ShipToDubai!C:C, B232, ShipToDubai!F:F) - (SUMIFS(Stock_Transactions!D:D, Stock_Transactions!B:B, B232, Stock_Transactions!D:D, "&lt;0") * -1)</f>
        <v>0</v>
      </c>
      <c r="J232" s="38">
        <f>SUMIF(ShipToDubai!C:C, B232, ShipToDubai!G:G)</f>
        <v>0</v>
      </c>
    </row>
    <row r="233" spans="1:10">
      <c r="A233" s="614">
        <f t="shared" si="12"/>
        <v>231</v>
      </c>
      <c r="B233" s="343" t="s">
        <v>1717</v>
      </c>
      <c r="C233" s="37">
        <f>SUMIFS(Stock_Transactions!D:D, Stock_Transactions!B:B, B233, Stock_Transactions!D:D, "&gt;0")</f>
        <v>3</v>
      </c>
      <c r="D233" s="37">
        <f>SUMIFS(Stock_Transactions!D:D, Stock_Transactions!B:B, B233, Stock_Transactions!D:D, "&lt;0") * -1</f>
        <v>2</v>
      </c>
      <c r="E233" s="79">
        <f t="shared" si="13"/>
        <v>1</v>
      </c>
      <c r="F233" s="48">
        <f t="shared" si="14"/>
        <v>0</v>
      </c>
      <c r="G233" s="48">
        <f>SUMIF(Pending_Stock!C:C, B233, Pending_Stock!F:F)</f>
        <v>0</v>
      </c>
      <c r="H233" s="49">
        <f>SUMIF(Pending_Stock!I:I, B233, Pending_Stock!L:L)</f>
        <v>0</v>
      </c>
      <c r="I233" s="50">
        <f>SUMIF(ShipToDubai!C:C, B233, ShipToDubai!F:F) - (SUMIFS(Stock_Transactions!D:D, Stock_Transactions!B:B, B233, Stock_Transactions!D:D, "&lt;0") * -1)</f>
        <v>1</v>
      </c>
      <c r="J233" s="38">
        <f>SUMIF(ShipToDubai!C:C, B233, ShipToDubai!G:G)</f>
        <v>0</v>
      </c>
    </row>
    <row r="234" spans="1:10">
      <c r="A234" s="614">
        <f t="shared" si="12"/>
        <v>232</v>
      </c>
      <c r="B234" s="343" t="s">
        <v>2148</v>
      </c>
      <c r="C234" s="37">
        <f>SUMIFS(Stock_Transactions!D:D, Stock_Transactions!B:B, B234, Stock_Transactions!D:D, "&gt;0")</f>
        <v>2</v>
      </c>
      <c r="D234" s="37">
        <f>SUMIFS(Stock_Transactions!D:D, Stock_Transactions!B:B, B234, Stock_Transactions!D:D, "&lt;0") * -1</f>
        <v>1</v>
      </c>
      <c r="E234" s="79">
        <f t="shared" si="13"/>
        <v>1</v>
      </c>
      <c r="F234" s="48">
        <f t="shared" si="14"/>
        <v>0</v>
      </c>
      <c r="G234" s="48">
        <f>SUMIF(Pending_Stock!C:C, B234, Pending_Stock!F:F)</f>
        <v>0</v>
      </c>
      <c r="H234" s="49">
        <f>SUMIF(Pending_Stock!I:I, B234, Pending_Stock!L:L)</f>
        <v>0</v>
      </c>
      <c r="I234" s="50">
        <f>SUMIF(ShipToDubai!C:C, B234, ShipToDubai!F:F) - (SUMIFS(Stock_Transactions!D:D, Stock_Transactions!B:B, B234, Stock_Transactions!D:D, "&lt;0") * -1)</f>
        <v>1</v>
      </c>
      <c r="J234" s="38">
        <f>SUMIF(ShipToDubai!C:C, B234, ShipToDubai!G:G)</f>
        <v>0</v>
      </c>
    </row>
    <row r="235" spans="1:10">
      <c r="A235" s="614">
        <f t="shared" si="12"/>
        <v>233</v>
      </c>
      <c r="B235" s="343" t="s">
        <v>2149</v>
      </c>
      <c r="C235" s="37">
        <f>SUMIFS(Stock_Transactions!D:D, Stock_Transactions!B:B, B235, Stock_Transactions!D:D, "&gt;0")</f>
        <v>1</v>
      </c>
      <c r="D235" s="37">
        <f>SUMIFS(Stock_Transactions!D:D, Stock_Transactions!B:B, B235, Stock_Transactions!D:D, "&lt;0") * -1</f>
        <v>1</v>
      </c>
      <c r="E235" s="79">
        <f t="shared" si="13"/>
        <v>0</v>
      </c>
      <c r="F235" s="48">
        <f t="shared" si="14"/>
        <v>0</v>
      </c>
      <c r="G235" s="48">
        <f>SUMIF(Pending_Stock!C:C, B235, Pending_Stock!F:F)</f>
        <v>0</v>
      </c>
      <c r="H235" s="49">
        <f>SUMIF(Pending_Stock!I:I, B235, Pending_Stock!L:L)</f>
        <v>0</v>
      </c>
      <c r="I235" s="50">
        <f>SUMIF(ShipToDubai!C:C, B235, ShipToDubai!F:F) - (SUMIFS(Stock_Transactions!D:D, Stock_Transactions!B:B, B235, Stock_Transactions!D:D, "&lt;0") * -1)</f>
        <v>0</v>
      </c>
      <c r="J235" s="38">
        <f>SUMIF(ShipToDubai!C:C, B235, ShipToDubai!G:G)</f>
        <v>0</v>
      </c>
    </row>
    <row r="236" spans="1:10">
      <c r="A236" s="614">
        <f t="shared" si="12"/>
        <v>234</v>
      </c>
      <c r="B236" s="343" t="s">
        <v>2151</v>
      </c>
      <c r="C236" s="37">
        <f>SUMIFS(Stock_Transactions!D:D, Stock_Transactions!B:B, B236, Stock_Transactions!D:D, "&gt;0")</f>
        <v>4</v>
      </c>
      <c r="D236" s="37">
        <f>SUMIFS(Stock_Transactions!D:D, Stock_Transactions!B:B, B236, Stock_Transactions!D:D, "&lt;0") * -1</f>
        <v>2</v>
      </c>
      <c r="E236" s="79">
        <f t="shared" si="13"/>
        <v>2</v>
      </c>
      <c r="F236" s="48">
        <f t="shared" si="14"/>
        <v>0</v>
      </c>
      <c r="G236" s="48">
        <f>SUMIF(Pending_Stock!C:C, B236, Pending_Stock!F:F)</f>
        <v>0</v>
      </c>
      <c r="H236" s="49">
        <f>SUMIF(Pending_Stock!I:I, B236, Pending_Stock!L:L)</f>
        <v>0</v>
      </c>
      <c r="I236" s="50">
        <f>SUMIF(ShipToDubai!C:C, B236, ShipToDubai!F:F) - (SUMIFS(Stock_Transactions!D:D, Stock_Transactions!B:B, B236, Stock_Transactions!D:D, "&lt;0") * -1)</f>
        <v>2</v>
      </c>
      <c r="J236" s="38">
        <f>SUMIF(ShipToDubai!C:C, B236, ShipToDubai!G:G)</f>
        <v>0</v>
      </c>
    </row>
    <row r="237" spans="1:10">
      <c r="A237" s="614">
        <f t="shared" si="12"/>
        <v>235</v>
      </c>
      <c r="B237" s="343" t="s">
        <v>2152</v>
      </c>
      <c r="C237" s="37">
        <f>SUMIFS(Stock_Transactions!D:D, Stock_Transactions!B:B, B237, Stock_Transactions!D:D, "&gt;0")</f>
        <v>1</v>
      </c>
      <c r="D237" s="37">
        <f>SUMIFS(Stock_Transactions!D:D, Stock_Transactions!B:B, B237, Stock_Transactions!D:D, "&lt;0") * -1</f>
        <v>1</v>
      </c>
      <c r="E237" s="79">
        <f t="shared" si="13"/>
        <v>0</v>
      </c>
      <c r="F237" s="48">
        <f t="shared" si="14"/>
        <v>0</v>
      </c>
      <c r="G237" s="48">
        <f>SUMIF(Pending_Stock!C:C, B237, Pending_Stock!F:F)</f>
        <v>0</v>
      </c>
      <c r="H237" s="49">
        <f>SUMIF(Pending_Stock!I:I, B237, Pending_Stock!L:L)</f>
        <v>0</v>
      </c>
      <c r="I237" s="50">
        <f>SUMIF(ShipToDubai!C:C, B237, ShipToDubai!F:F) - (SUMIFS(Stock_Transactions!D:D, Stock_Transactions!B:B, B237, Stock_Transactions!D:D, "&lt;0") * -1)</f>
        <v>0</v>
      </c>
      <c r="J237" s="38">
        <f>SUMIF(ShipToDubai!C:C, B237, ShipToDubai!G:G)</f>
        <v>0</v>
      </c>
    </row>
    <row r="238" spans="1:10">
      <c r="A238" s="614">
        <f t="shared" si="12"/>
        <v>236</v>
      </c>
      <c r="B238" s="342" t="s">
        <v>2153</v>
      </c>
      <c r="C238" s="37">
        <f>SUMIFS(Stock_Transactions!D:D, Stock_Transactions!B:B, B238, Stock_Transactions!D:D, "&gt;0")</f>
        <v>1</v>
      </c>
      <c r="D238" s="37">
        <f>SUMIFS(Stock_Transactions!D:D, Stock_Transactions!B:B, B238, Stock_Transactions!D:D, "&lt;0") * -1</f>
        <v>0</v>
      </c>
      <c r="E238" s="79">
        <f t="shared" si="13"/>
        <v>1</v>
      </c>
      <c r="F238" s="48">
        <f t="shared" si="14"/>
        <v>0</v>
      </c>
      <c r="G238" s="48">
        <f>SUMIF(Pending_Stock!C:C, B238, Pending_Stock!F:F)</f>
        <v>0</v>
      </c>
      <c r="H238" s="49">
        <f>SUMIF(Pending_Stock!I:I, B238, Pending_Stock!L:L)</f>
        <v>0</v>
      </c>
      <c r="I238" s="50">
        <f>SUMIF(ShipToDubai!C:C, B238, ShipToDubai!F:F) - (SUMIFS(Stock_Transactions!D:D, Stock_Transactions!B:B, B238, Stock_Transactions!D:D, "&lt;0") * -1)</f>
        <v>1</v>
      </c>
      <c r="J238" s="38">
        <f>SUMIF(ShipToDubai!C:C, B238, ShipToDubai!G:G)</f>
        <v>0</v>
      </c>
    </row>
    <row r="239" spans="1:10">
      <c r="A239" s="614">
        <f t="shared" si="12"/>
        <v>237</v>
      </c>
      <c r="B239" s="342" t="s">
        <v>2154</v>
      </c>
      <c r="C239" s="37">
        <f>SUMIFS(Stock_Transactions!D:D, Stock_Transactions!B:B, B239, Stock_Transactions!D:D, "&gt;0")</f>
        <v>1</v>
      </c>
      <c r="D239" s="37">
        <f>SUMIFS(Stock_Transactions!D:D, Stock_Transactions!B:B, B239, Stock_Transactions!D:D, "&lt;0") * -1</f>
        <v>2</v>
      </c>
      <c r="E239" s="79">
        <f t="shared" si="13"/>
        <v>-1</v>
      </c>
      <c r="F239" s="48">
        <f t="shared" si="14"/>
        <v>0</v>
      </c>
      <c r="G239" s="48">
        <f>SUMIF(Pending_Stock!C:C, B239, Pending_Stock!F:F)</f>
        <v>0</v>
      </c>
      <c r="H239" s="49">
        <f>SUMIF(Pending_Stock!I:I, B239, Pending_Stock!L:L)</f>
        <v>0</v>
      </c>
      <c r="I239" s="50">
        <f>SUMIF(ShipToDubai!C:C, B239, ShipToDubai!F:F) - (SUMIFS(Stock_Transactions!D:D, Stock_Transactions!B:B, B239, Stock_Transactions!D:D, "&lt;0") * -1)</f>
        <v>-1</v>
      </c>
      <c r="J239" s="38">
        <f>SUMIF(ShipToDubai!C:C, B239, ShipToDubai!G:G)</f>
        <v>0</v>
      </c>
    </row>
    <row r="240" spans="1:10">
      <c r="A240" s="614">
        <f t="shared" si="12"/>
        <v>238</v>
      </c>
      <c r="B240" s="342" t="s">
        <v>2155</v>
      </c>
      <c r="C240" s="37">
        <f>SUMIFS(Stock_Transactions!D:D, Stock_Transactions!B:B, B240, Stock_Transactions!D:D, "&gt;0")</f>
        <v>4</v>
      </c>
      <c r="D240" s="37">
        <f>SUMIFS(Stock_Transactions!D:D, Stock_Transactions!B:B, B240, Stock_Transactions!D:D, "&lt;0") * -1</f>
        <v>4</v>
      </c>
      <c r="E240" s="79">
        <f t="shared" si="13"/>
        <v>0</v>
      </c>
      <c r="F240" s="48">
        <f t="shared" si="14"/>
        <v>0</v>
      </c>
      <c r="G240" s="48">
        <f>SUMIF(Pending_Stock!C:C, B240, Pending_Stock!F:F)</f>
        <v>0</v>
      </c>
      <c r="H240" s="49">
        <f>SUMIF(Pending_Stock!I:I, B240, Pending_Stock!L:L)</f>
        <v>0</v>
      </c>
      <c r="I240" s="50">
        <f>SUMIF(ShipToDubai!C:C, B240, ShipToDubai!F:F) - (SUMIFS(Stock_Transactions!D:D, Stock_Transactions!B:B, B240, Stock_Transactions!D:D, "&lt;0") * -1)</f>
        <v>0</v>
      </c>
      <c r="J240" s="38">
        <f>SUMIF(ShipToDubai!C:C, B240, ShipToDubai!G:G)</f>
        <v>0</v>
      </c>
    </row>
    <row r="241" spans="1:10">
      <c r="A241" s="614">
        <f t="shared" si="12"/>
        <v>239</v>
      </c>
      <c r="B241" s="342" t="s">
        <v>2156</v>
      </c>
      <c r="C241" s="37">
        <f>SUMIFS(Stock_Transactions!D:D, Stock_Transactions!B:B, B241, Stock_Transactions!D:D, "&gt;0")</f>
        <v>13</v>
      </c>
      <c r="D241" s="37">
        <f>SUMIFS(Stock_Transactions!D:D, Stock_Transactions!B:B, B241, Stock_Transactions!D:D, "&lt;0") * -1</f>
        <v>13</v>
      </c>
      <c r="E241" s="79">
        <f t="shared" si="13"/>
        <v>0</v>
      </c>
      <c r="F241" s="48">
        <f t="shared" si="14"/>
        <v>0</v>
      </c>
      <c r="G241" s="48">
        <f>SUMIF(Pending_Stock!C:C, B241, Pending_Stock!F:F)</f>
        <v>0</v>
      </c>
      <c r="H241" s="49">
        <f>SUMIF(Pending_Stock!I:I, B241, Pending_Stock!L:L)</f>
        <v>0</v>
      </c>
      <c r="I241" s="50">
        <f>SUMIF(ShipToDubai!C:C, B241, ShipToDubai!F:F) - (SUMIFS(Stock_Transactions!D:D, Stock_Transactions!B:B, B241, Stock_Transactions!D:D, "&lt;0") * -1)</f>
        <v>0</v>
      </c>
      <c r="J241" s="38">
        <f>SUMIF(ShipToDubai!C:C, B241, ShipToDubai!G:G)</f>
        <v>0</v>
      </c>
    </row>
    <row r="242" spans="1:10">
      <c r="A242" s="614">
        <f t="shared" si="12"/>
        <v>240</v>
      </c>
      <c r="B242" s="342" t="s">
        <v>2161</v>
      </c>
      <c r="C242" s="37">
        <f>SUMIFS(Stock_Transactions!D:D, Stock_Transactions!B:B, B242, Stock_Transactions!D:D, "&gt;0")</f>
        <v>1</v>
      </c>
      <c r="D242" s="37">
        <f>SUMIFS(Stock_Transactions!D:D, Stock_Transactions!B:B, B242, Stock_Transactions!D:D, "&lt;0") * -1</f>
        <v>1</v>
      </c>
      <c r="E242" s="79">
        <f t="shared" si="13"/>
        <v>0</v>
      </c>
      <c r="F242" s="48">
        <f t="shared" si="14"/>
        <v>0</v>
      </c>
      <c r="G242" s="48">
        <f>SUMIF(Pending_Stock!C:C, B242, Pending_Stock!F:F)</f>
        <v>0</v>
      </c>
      <c r="H242" s="49">
        <f>SUMIF(Pending_Stock!I:I, B242, Pending_Stock!L:L)</f>
        <v>0</v>
      </c>
      <c r="I242" s="50">
        <f>SUMIF(ShipToDubai!C:C, B242, ShipToDubai!F:F) - (SUMIFS(Stock_Transactions!D:D, Stock_Transactions!B:B, B242, Stock_Transactions!D:D, "&lt;0") * -1)</f>
        <v>0</v>
      </c>
      <c r="J242" s="38">
        <f>SUMIF(ShipToDubai!C:C, B242, ShipToDubai!G:G)</f>
        <v>0</v>
      </c>
    </row>
    <row r="243" spans="1:10">
      <c r="A243" s="614">
        <f t="shared" si="12"/>
        <v>241</v>
      </c>
      <c r="B243" s="342" t="s">
        <v>2162</v>
      </c>
      <c r="C243" s="37">
        <f>SUMIFS(Stock_Transactions!D:D, Stock_Transactions!B:B, B243, Stock_Transactions!D:D, "&gt;0")</f>
        <v>1</v>
      </c>
      <c r="D243" s="37">
        <f>SUMIFS(Stock_Transactions!D:D, Stock_Transactions!B:B, B243, Stock_Transactions!D:D, "&lt;0") * -1</f>
        <v>0</v>
      </c>
      <c r="E243" s="79">
        <f t="shared" si="13"/>
        <v>1</v>
      </c>
      <c r="F243" s="48">
        <f t="shared" si="14"/>
        <v>0</v>
      </c>
      <c r="G243" s="48">
        <f>SUMIF(Pending_Stock!C:C, B243, Pending_Stock!F:F)</f>
        <v>0</v>
      </c>
      <c r="H243" s="49">
        <f>SUMIF(Pending_Stock!I:I, B243, Pending_Stock!L:L)</f>
        <v>0</v>
      </c>
      <c r="I243" s="50">
        <f>SUMIF(ShipToDubai!C:C, B243, ShipToDubai!F:F) - (SUMIFS(Stock_Transactions!D:D, Stock_Transactions!B:B, B243, Stock_Transactions!D:D, "&lt;0") * -1)</f>
        <v>1</v>
      </c>
      <c r="J243" s="38">
        <f>SUMIF(ShipToDubai!C:C, B243, ShipToDubai!G:G)</f>
        <v>0</v>
      </c>
    </row>
    <row r="244" spans="1:10">
      <c r="A244" s="614">
        <f t="shared" si="12"/>
        <v>242</v>
      </c>
      <c r="B244" s="342" t="s">
        <v>2163</v>
      </c>
      <c r="C244" s="37">
        <f>SUMIFS(Stock_Transactions!D:D, Stock_Transactions!B:B, B244, Stock_Transactions!D:D, "&gt;0")</f>
        <v>1</v>
      </c>
      <c r="D244" s="37">
        <f>SUMIFS(Stock_Transactions!D:D, Stock_Transactions!B:B, B244, Stock_Transactions!D:D, "&lt;0") * -1</f>
        <v>1</v>
      </c>
      <c r="E244" s="79">
        <f t="shared" si="13"/>
        <v>0</v>
      </c>
      <c r="F244" s="48">
        <f t="shared" si="14"/>
        <v>0</v>
      </c>
      <c r="G244" s="48">
        <f>SUMIF(Pending_Stock!C:C, B244, Pending_Stock!F:F)</f>
        <v>0</v>
      </c>
      <c r="H244" s="49">
        <f>SUMIF(Pending_Stock!I:I, B244, Pending_Stock!L:L)</f>
        <v>0</v>
      </c>
      <c r="I244" s="50">
        <f>SUMIF(ShipToDubai!C:C, B244, ShipToDubai!F:F) - (SUMIFS(Stock_Transactions!D:D, Stock_Transactions!B:B, B244, Stock_Transactions!D:D, "&lt;0") * -1)</f>
        <v>0</v>
      </c>
      <c r="J244" s="38">
        <f>SUMIF(ShipToDubai!C:C, B244, ShipToDubai!G:G)</f>
        <v>0</v>
      </c>
    </row>
    <row r="245" spans="1:10">
      <c r="A245" s="614">
        <f t="shared" si="12"/>
        <v>243</v>
      </c>
      <c r="B245" s="342" t="s">
        <v>2164</v>
      </c>
      <c r="C245" s="37">
        <f>SUMIFS(Stock_Transactions!D:D, Stock_Transactions!B:B, B245, Stock_Transactions!D:D, "&gt;0")</f>
        <v>1</v>
      </c>
      <c r="D245" s="37">
        <f>SUMIFS(Stock_Transactions!D:D, Stock_Transactions!B:B, B245, Stock_Transactions!D:D, "&lt;0") * -1</f>
        <v>0</v>
      </c>
      <c r="E245" s="79">
        <f t="shared" si="13"/>
        <v>1</v>
      </c>
      <c r="F245" s="48">
        <f t="shared" si="14"/>
        <v>0</v>
      </c>
      <c r="G245" s="48">
        <f>SUMIF(Pending_Stock!C:C, B245, Pending_Stock!F:F)</f>
        <v>0</v>
      </c>
      <c r="H245" s="49">
        <f>SUMIF(Pending_Stock!I:I, B245, Pending_Stock!L:L)</f>
        <v>0</v>
      </c>
      <c r="I245" s="50">
        <f>SUMIF(ShipToDubai!C:C, B245, ShipToDubai!F:F) - (SUMIFS(Stock_Transactions!D:D, Stock_Transactions!B:B, B245, Stock_Transactions!D:D, "&lt;0") * -1)</f>
        <v>1</v>
      </c>
      <c r="J245" s="38">
        <f>SUMIF(ShipToDubai!C:C, B245, ShipToDubai!G:G)</f>
        <v>0</v>
      </c>
    </row>
    <row r="246" spans="1:10">
      <c r="A246" s="614">
        <f t="shared" si="12"/>
        <v>244</v>
      </c>
      <c r="B246" s="139" t="s">
        <v>2275</v>
      </c>
      <c r="C246" s="37">
        <f>SUMIFS(Stock_Transactions!D:D, Stock_Transactions!B:B, B246, Stock_Transactions!D:D, "&gt;0")</f>
        <v>5</v>
      </c>
      <c r="D246" s="37">
        <f>SUMIFS(Stock_Transactions!D:D, Stock_Transactions!B:B, B246, Stock_Transactions!D:D, "&lt;0") * -1</f>
        <v>5</v>
      </c>
      <c r="E246" s="79">
        <f t="shared" si="13"/>
        <v>0</v>
      </c>
      <c r="F246" s="48">
        <f t="shared" si="14"/>
        <v>0</v>
      </c>
      <c r="G246" s="48">
        <f>SUMIF(Pending_Stock!C:C, B246, Pending_Stock!F:F)</f>
        <v>0</v>
      </c>
      <c r="H246" s="49">
        <f>SUMIF(Pending_Stock!I:I, B246, Pending_Stock!L:L)</f>
        <v>0</v>
      </c>
      <c r="I246" s="50">
        <f>SUMIF(ShipToDubai!C:C, B246, ShipToDubai!F:F) - (SUMIFS(Stock_Transactions!D:D, Stock_Transactions!B:B, B246, Stock_Transactions!D:D, "&lt;0") * -1)</f>
        <v>0</v>
      </c>
      <c r="J246" s="38">
        <f>SUMIF(ShipToDubai!C:C, B246, ShipToDubai!G:G)</f>
        <v>0</v>
      </c>
    </row>
    <row r="247" spans="1:10">
      <c r="A247" s="614">
        <f t="shared" si="12"/>
        <v>245</v>
      </c>
      <c r="B247" s="104" t="s">
        <v>681</v>
      </c>
      <c r="C247" s="37">
        <f>SUMIFS(Stock_Transactions!D:D, Stock_Transactions!B:B, B247, Stock_Transactions!D:D, "&gt;0")</f>
        <v>11</v>
      </c>
      <c r="D247" s="37">
        <f>SUMIFS(Stock_Transactions!D:D, Stock_Transactions!B:B, B247, Stock_Transactions!D:D, "&lt;0") * -1</f>
        <v>11</v>
      </c>
      <c r="E247" s="79">
        <f t="shared" si="13"/>
        <v>0</v>
      </c>
      <c r="F247" s="48">
        <f t="shared" si="14"/>
        <v>0</v>
      </c>
      <c r="G247" s="48">
        <f>SUMIF(Pending_Stock!C:C, B247, Pending_Stock!F:F)</f>
        <v>0</v>
      </c>
      <c r="H247" s="49">
        <f>SUMIF(Pending_Stock!I:I, B247, Pending_Stock!L:L)</f>
        <v>0</v>
      </c>
      <c r="I247" s="50">
        <f>SUMIF(ShipToDubai!C:C, B247, ShipToDubai!F:F) - (SUMIFS(Stock_Transactions!D:D, Stock_Transactions!B:B, B247, Stock_Transactions!D:D, "&lt;0") * -1)</f>
        <v>0</v>
      </c>
      <c r="J247" s="38">
        <f>SUMIF(ShipToDubai!C:C, B247, ShipToDubai!G:G)</f>
        <v>0</v>
      </c>
    </row>
    <row r="248" spans="1:10">
      <c r="A248" s="614">
        <f t="shared" si="12"/>
        <v>246</v>
      </c>
      <c r="B248" s="93" t="s">
        <v>159</v>
      </c>
      <c r="C248" s="37">
        <f>SUMIFS(Stock_Transactions!D:D, Stock_Transactions!B:B, B248, Stock_Transactions!D:D, "&gt;0")</f>
        <v>7</v>
      </c>
      <c r="D248" s="37">
        <f>SUMIFS(Stock_Transactions!D:D, Stock_Transactions!B:B, B248, Stock_Transactions!D:D, "&lt;0") * -1</f>
        <v>6</v>
      </c>
      <c r="E248" s="79">
        <f t="shared" si="13"/>
        <v>1</v>
      </c>
      <c r="F248" s="48">
        <f t="shared" si="14"/>
        <v>0</v>
      </c>
      <c r="G248" s="48">
        <f>SUMIF(Pending_Stock!C:C, B248, Pending_Stock!F:F)</f>
        <v>0</v>
      </c>
      <c r="H248" s="49">
        <f>SUMIF(Pending_Stock!I:I, B248, Pending_Stock!L:L)</f>
        <v>0</v>
      </c>
      <c r="I248" s="50">
        <f>SUMIF(ShipToDubai!C:C, B248, ShipToDubai!F:F) - (SUMIFS(Stock_Transactions!D:D, Stock_Transactions!B:B, B248, Stock_Transactions!D:D, "&lt;0") * -1)</f>
        <v>1</v>
      </c>
      <c r="J248" s="38">
        <f>SUMIF(ShipToDubai!C:C, B248, ShipToDubai!G:G)</f>
        <v>0</v>
      </c>
    </row>
    <row r="249" spans="1:10">
      <c r="A249" s="614">
        <f t="shared" ref="A249:A263" si="15">A248+1</f>
        <v>247</v>
      </c>
      <c r="B249" s="343" t="s">
        <v>2321</v>
      </c>
      <c r="C249" s="37">
        <f>SUMIFS(Stock_Transactions!D:D, Stock_Transactions!B:B, B249, Stock_Transactions!D:D, "&gt;0")</f>
        <v>2</v>
      </c>
      <c r="D249" s="37">
        <f>SUMIFS(Stock_Transactions!D:D, Stock_Transactions!B:B, B249, Stock_Transactions!D:D, "&lt;0") * -1</f>
        <v>2</v>
      </c>
      <c r="E249" s="79">
        <f t="shared" ref="E249:E258" si="16">C249-D249</f>
        <v>0</v>
      </c>
      <c r="F249" s="48">
        <f t="shared" ref="F249:F258" si="17">E249-G249-H249-I249-J249</f>
        <v>0</v>
      </c>
      <c r="G249" s="48">
        <f>SUMIF(Pending_Stock!C:C, B249, Pending_Stock!F:F)</f>
        <v>0</v>
      </c>
      <c r="H249" s="49">
        <f>SUMIF(Pending_Stock!I:I, B249, Pending_Stock!L:L)</f>
        <v>0</v>
      </c>
      <c r="I249" s="50">
        <f>SUMIF(ShipToDubai!C:C, B249, ShipToDubai!F:F) - (SUMIFS(Stock_Transactions!D:D, Stock_Transactions!B:B, B249, Stock_Transactions!D:D, "&lt;0") * -1)</f>
        <v>0</v>
      </c>
      <c r="J249" s="38">
        <f>SUMIF(ShipToDubai!C:C, B249, ShipToDubai!G:G)</f>
        <v>0</v>
      </c>
    </row>
    <row r="250" spans="1:10">
      <c r="A250" s="614">
        <f t="shared" si="15"/>
        <v>248</v>
      </c>
      <c r="B250" s="343" t="s">
        <v>2309</v>
      </c>
      <c r="C250" s="37">
        <f>SUMIFS(Stock_Transactions!D:D, Stock_Transactions!B:B, B250, Stock_Transactions!D:D, "&gt;0")</f>
        <v>1</v>
      </c>
      <c r="D250" s="37">
        <f>SUMIFS(Stock_Transactions!D:D, Stock_Transactions!B:B, B250, Stock_Transactions!D:D, "&lt;0") * -1</f>
        <v>1</v>
      </c>
      <c r="E250" s="79">
        <f t="shared" si="16"/>
        <v>0</v>
      </c>
      <c r="F250" s="48">
        <f t="shared" si="17"/>
        <v>0</v>
      </c>
      <c r="G250" s="48">
        <f>SUMIF(Pending_Stock!C:C, B250, Pending_Stock!F:F)</f>
        <v>0</v>
      </c>
      <c r="H250" s="49">
        <f>SUMIF(Pending_Stock!I:I, B250, Pending_Stock!L:L)</f>
        <v>0</v>
      </c>
      <c r="I250" s="50">
        <f>SUMIF(ShipToDubai!C:C, B250, ShipToDubai!F:F) - (SUMIFS(Stock_Transactions!D:D, Stock_Transactions!B:B, B250, Stock_Transactions!D:D, "&lt;0") * -1)</f>
        <v>0</v>
      </c>
      <c r="J250" s="38">
        <f>SUMIF(ShipToDubai!C:C, B250, ShipToDubai!G:G)</f>
        <v>0</v>
      </c>
    </row>
    <row r="251" spans="1:10">
      <c r="A251" s="614">
        <f t="shared" si="15"/>
        <v>249</v>
      </c>
      <c r="B251" s="343" t="s">
        <v>2312</v>
      </c>
      <c r="C251" s="37">
        <f>SUMIFS(Stock_Transactions!D:D, Stock_Transactions!B:B, B251, Stock_Transactions!D:D, "&gt;0")</f>
        <v>10</v>
      </c>
      <c r="D251" s="37">
        <f>SUMIFS(Stock_Transactions!D:D, Stock_Transactions!B:B, B251, Stock_Transactions!D:D, "&lt;0") * -1</f>
        <v>9</v>
      </c>
      <c r="E251" s="79">
        <f t="shared" si="16"/>
        <v>1</v>
      </c>
      <c r="F251" s="48">
        <f t="shared" si="17"/>
        <v>0</v>
      </c>
      <c r="G251" s="48">
        <f>SUMIF(Pending_Stock!C:C, B251, Pending_Stock!F:F)</f>
        <v>0</v>
      </c>
      <c r="H251" s="49">
        <f>SUMIF(Pending_Stock!I:I, B251, Pending_Stock!L:L)</f>
        <v>0</v>
      </c>
      <c r="I251" s="50">
        <f>SUMIF(ShipToDubai!C:C, B251, ShipToDubai!F:F) - (SUMIFS(Stock_Transactions!D:D, Stock_Transactions!B:B, B251, Stock_Transactions!D:D, "&lt;0") * -1)</f>
        <v>1</v>
      </c>
      <c r="J251" s="38">
        <f>SUMIF(ShipToDubai!C:C, B251, ShipToDubai!G:G)</f>
        <v>0</v>
      </c>
    </row>
    <row r="252" spans="1:10">
      <c r="A252" s="614">
        <f t="shared" si="15"/>
        <v>250</v>
      </c>
      <c r="B252" s="343" t="s">
        <v>2317</v>
      </c>
      <c r="C252" s="37">
        <f>SUMIFS(Stock_Transactions!D:D, Stock_Transactions!B:B, B252, Stock_Transactions!D:D, "&gt;0")</f>
        <v>1</v>
      </c>
      <c r="D252" s="37">
        <f>SUMIFS(Stock_Transactions!D:D, Stock_Transactions!B:B, B252, Stock_Transactions!D:D, "&lt;0") * -1</f>
        <v>1</v>
      </c>
      <c r="E252" s="79">
        <f t="shared" si="16"/>
        <v>0</v>
      </c>
      <c r="F252" s="48">
        <f t="shared" si="17"/>
        <v>0</v>
      </c>
      <c r="G252" s="48">
        <f>SUMIF(Pending_Stock!C:C, B252, Pending_Stock!F:F)</f>
        <v>0</v>
      </c>
      <c r="H252" s="49">
        <f>SUMIF(Pending_Stock!I:I, B252, Pending_Stock!L:L)</f>
        <v>0</v>
      </c>
      <c r="I252" s="50">
        <f>SUMIF(ShipToDubai!C:C, B252, ShipToDubai!F:F) - (SUMIFS(Stock_Transactions!D:D, Stock_Transactions!B:B, B252, Stock_Transactions!D:D, "&lt;0") * -1)</f>
        <v>0</v>
      </c>
      <c r="J252" s="38">
        <f>SUMIF(ShipToDubai!C:C, B252, ShipToDubai!G:G)</f>
        <v>0</v>
      </c>
    </row>
    <row r="253" spans="1:10">
      <c r="A253" s="614">
        <f t="shared" si="15"/>
        <v>251</v>
      </c>
      <c r="B253" s="343" t="s">
        <v>2318</v>
      </c>
      <c r="C253" s="37">
        <f>SUMIFS(Stock_Transactions!D:D, Stock_Transactions!B:B, B253, Stock_Transactions!D:D, "&gt;0")</f>
        <v>1</v>
      </c>
      <c r="D253" s="37">
        <f>SUMIFS(Stock_Transactions!D:D, Stock_Transactions!B:B, B253, Stock_Transactions!D:D, "&lt;0") * -1</f>
        <v>1</v>
      </c>
      <c r="E253" s="79">
        <f t="shared" si="16"/>
        <v>0</v>
      </c>
      <c r="F253" s="48">
        <f t="shared" si="17"/>
        <v>0</v>
      </c>
      <c r="G253" s="48">
        <f>SUMIF(Pending_Stock!C:C, B253, Pending_Stock!F:F)</f>
        <v>0</v>
      </c>
      <c r="H253" s="49">
        <f>SUMIF(Pending_Stock!I:I, B253, Pending_Stock!L:L)</f>
        <v>0</v>
      </c>
      <c r="I253" s="50">
        <f>SUMIF(ShipToDubai!C:C, B253, ShipToDubai!F:F) - (SUMIFS(Stock_Transactions!D:D, Stock_Transactions!B:B, B253, Stock_Transactions!D:D, "&lt;0") * -1)</f>
        <v>0</v>
      </c>
      <c r="J253" s="38">
        <f>SUMIF(ShipToDubai!C:C, B253, ShipToDubai!G:G)</f>
        <v>0</v>
      </c>
    </row>
    <row r="254" spans="1:10">
      <c r="A254" s="614">
        <f t="shared" si="15"/>
        <v>252</v>
      </c>
      <c r="B254" s="343" t="s">
        <v>2285</v>
      </c>
      <c r="C254" s="37">
        <f>SUMIFS(Stock_Transactions!D:D, Stock_Transactions!B:B, B254, Stock_Transactions!D:D, "&gt;0")</f>
        <v>1</v>
      </c>
      <c r="D254" s="37">
        <f>SUMIFS(Stock_Transactions!D:D, Stock_Transactions!B:B, B254, Stock_Transactions!D:D, "&lt;0") * -1</f>
        <v>1</v>
      </c>
      <c r="E254" s="79">
        <f t="shared" si="16"/>
        <v>0</v>
      </c>
      <c r="F254" s="48">
        <f t="shared" si="17"/>
        <v>0</v>
      </c>
      <c r="G254" s="48">
        <f>SUMIF(Pending_Stock!C:C, B254, Pending_Stock!F:F)</f>
        <v>0</v>
      </c>
      <c r="H254" s="49">
        <f>SUMIF(Pending_Stock!I:I, B254, Pending_Stock!L:L)</f>
        <v>0</v>
      </c>
      <c r="I254" s="50">
        <f>SUMIF(ShipToDubai!C:C, B254, ShipToDubai!F:F) - (SUMIFS(Stock_Transactions!D:D, Stock_Transactions!B:B, B254, Stock_Transactions!D:D, "&lt;0") * -1)</f>
        <v>0</v>
      </c>
      <c r="J254" s="38">
        <f>SUMIF(ShipToDubai!C:C, B254, ShipToDubai!G:G)</f>
        <v>0</v>
      </c>
    </row>
    <row r="255" spans="1:10">
      <c r="A255" s="614">
        <f t="shared" si="15"/>
        <v>253</v>
      </c>
      <c r="B255" s="343" t="s">
        <v>2319</v>
      </c>
      <c r="C255" s="37">
        <f>SUMIFS(Stock_Transactions!D:D, Stock_Transactions!B:B, B255, Stock_Transactions!D:D, "&gt;0")</f>
        <v>1</v>
      </c>
      <c r="D255" s="37">
        <f>SUMIFS(Stock_Transactions!D:D, Stock_Transactions!B:B, B255, Stock_Transactions!D:D, "&lt;0") * -1</f>
        <v>1</v>
      </c>
      <c r="E255" s="79">
        <f t="shared" si="16"/>
        <v>0</v>
      </c>
      <c r="F255" s="48">
        <f t="shared" si="17"/>
        <v>0</v>
      </c>
      <c r="G255" s="48">
        <f>SUMIF(Pending_Stock!C:C, B255, Pending_Stock!F:F)</f>
        <v>0</v>
      </c>
      <c r="H255" s="49">
        <f>SUMIF(Pending_Stock!I:I, B255, Pending_Stock!L:L)</f>
        <v>0</v>
      </c>
      <c r="I255" s="50">
        <f>SUMIF(ShipToDubai!C:C, B255, ShipToDubai!F:F) - (SUMIFS(Stock_Transactions!D:D, Stock_Transactions!B:B, B255, Stock_Transactions!D:D, "&lt;0") * -1)</f>
        <v>0</v>
      </c>
      <c r="J255" s="38">
        <f>SUMIF(ShipToDubai!C:C, B255, ShipToDubai!G:G)</f>
        <v>0</v>
      </c>
    </row>
    <row r="256" spans="1:10">
      <c r="A256" s="614">
        <f t="shared" si="15"/>
        <v>254</v>
      </c>
      <c r="B256" s="343" t="s">
        <v>2314</v>
      </c>
      <c r="C256" s="37">
        <f>SUMIFS(Stock_Transactions!D:D, Stock_Transactions!B:B, B256, Stock_Transactions!D:D, "&gt;0")</f>
        <v>1</v>
      </c>
      <c r="D256" s="37">
        <f>SUMIFS(Stock_Transactions!D:D, Stock_Transactions!B:B, B256, Stock_Transactions!D:D, "&lt;0") * -1</f>
        <v>1</v>
      </c>
      <c r="E256" s="79">
        <f t="shared" si="16"/>
        <v>0</v>
      </c>
      <c r="F256" s="48">
        <f t="shared" si="17"/>
        <v>0</v>
      </c>
      <c r="G256" s="48">
        <f>SUMIF(Pending_Stock!C:C, B256, Pending_Stock!F:F)</f>
        <v>0</v>
      </c>
      <c r="H256" s="49">
        <f>SUMIF(Pending_Stock!I:I, B256, Pending_Stock!L:L)</f>
        <v>0</v>
      </c>
      <c r="I256" s="50">
        <f>SUMIF(ShipToDubai!C:C, B256, ShipToDubai!F:F) - (SUMIFS(Stock_Transactions!D:D, Stock_Transactions!B:B, B256, Stock_Transactions!D:D, "&lt;0") * -1)</f>
        <v>0</v>
      </c>
      <c r="J256" s="38">
        <f>SUMIF(ShipToDubai!C:C, B256, ShipToDubai!G:G)</f>
        <v>0</v>
      </c>
    </row>
    <row r="257" spans="1:10">
      <c r="A257" s="614">
        <f t="shared" si="15"/>
        <v>255</v>
      </c>
      <c r="B257" s="343" t="s">
        <v>2315</v>
      </c>
      <c r="C257" s="37">
        <f>SUMIFS(Stock_Transactions!D:D, Stock_Transactions!B:B, B257, Stock_Transactions!D:D, "&gt;0")</f>
        <v>1</v>
      </c>
      <c r="D257" s="37">
        <f>SUMIFS(Stock_Transactions!D:D, Stock_Transactions!B:B, B257, Stock_Transactions!D:D, "&lt;0") * -1</f>
        <v>1</v>
      </c>
      <c r="E257" s="79">
        <f t="shared" si="16"/>
        <v>0</v>
      </c>
      <c r="F257" s="48">
        <f t="shared" si="17"/>
        <v>0</v>
      </c>
      <c r="G257" s="48">
        <f>SUMIF(Pending_Stock!C:C, B257, Pending_Stock!F:F)</f>
        <v>0</v>
      </c>
      <c r="H257" s="49">
        <f>SUMIF(Pending_Stock!I:I, B257, Pending_Stock!L:L)</f>
        <v>0</v>
      </c>
      <c r="I257" s="50">
        <f>SUMIF(ShipToDubai!C:C, B257, ShipToDubai!F:F) - (SUMIFS(Stock_Transactions!D:D, Stock_Transactions!B:B, B257, Stock_Transactions!D:D, "&lt;0") * -1)</f>
        <v>0</v>
      </c>
      <c r="J257" s="38">
        <f>SUMIF(ShipToDubai!C:C, B257, ShipToDubai!G:G)</f>
        <v>0</v>
      </c>
    </row>
    <row r="258" spans="1:10">
      <c r="A258" s="614">
        <f t="shared" si="15"/>
        <v>256</v>
      </c>
      <c r="B258" s="343" t="s">
        <v>2316</v>
      </c>
      <c r="C258" s="37">
        <f>SUMIFS(Stock_Transactions!D:D, Stock_Transactions!B:B, B258, Stock_Transactions!D:D, "&gt;0")</f>
        <v>1</v>
      </c>
      <c r="D258" s="37">
        <f>SUMIFS(Stock_Transactions!D:D, Stock_Transactions!B:B, B258, Stock_Transactions!D:D, "&lt;0") * -1</f>
        <v>0</v>
      </c>
      <c r="E258" s="79">
        <f t="shared" si="16"/>
        <v>1</v>
      </c>
      <c r="F258" s="48">
        <f t="shared" si="17"/>
        <v>0</v>
      </c>
      <c r="G258" s="48">
        <f>SUMIF(Pending_Stock!C:C, B258, Pending_Stock!F:F)</f>
        <v>0</v>
      </c>
      <c r="H258" s="49">
        <f>SUMIF(Pending_Stock!I:I, B258, Pending_Stock!L:L)</f>
        <v>0</v>
      </c>
      <c r="I258" s="50">
        <f>SUMIF(ShipToDubai!C:C, B258, ShipToDubai!F:F) - (SUMIFS(Stock_Transactions!D:D, Stock_Transactions!B:B, B258, Stock_Transactions!D:D, "&lt;0") * -1)</f>
        <v>1</v>
      </c>
      <c r="J258" s="38">
        <f>SUMIF(ShipToDubai!C:C, B258, ShipToDubai!G:G)</f>
        <v>0</v>
      </c>
    </row>
    <row r="259" spans="1:10">
      <c r="A259" s="614">
        <f t="shared" si="15"/>
        <v>257</v>
      </c>
      <c r="B259" s="84" t="s">
        <v>1714</v>
      </c>
      <c r="C259" s="37">
        <f>SUMIFS(Stock_Transactions!D:D, Stock_Transactions!B:B, B259, Stock_Transactions!D:D, "&gt;0")</f>
        <v>1</v>
      </c>
      <c r="D259" s="37">
        <f>SUMIFS(Stock_Transactions!D:D, Stock_Transactions!B:B, B259, Stock_Transactions!D:D, "&lt;0") * -1</f>
        <v>1</v>
      </c>
      <c r="E259" s="79">
        <f t="shared" ref="E259:E290" si="18">C259-D259</f>
        <v>0</v>
      </c>
      <c r="F259" s="48">
        <f t="shared" ref="F259:F290" si="19">E259-G259-H259-I259-J259</f>
        <v>0</v>
      </c>
      <c r="G259" s="48">
        <f>SUMIF(Pending_Stock!C:C, B259, Pending_Stock!F:F)</f>
        <v>0</v>
      </c>
      <c r="H259" s="49">
        <f>SUMIF(Pending_Stock!I:I, B259, Pending_Stock!L:L)</f>
        <v>0</v>
      </c>
      <c r="I259" s="50">
        <f>SUMIF(ShipToDubai!C:C, B259, ShipToDubai!F:F) - (SUMIFS(Stock_Transactions!D:D, Stock_Transactions!B:B, B259, Stock_Transactions!D:D, "&lt;0") * -1)</f>
        <v>0</v>
      </c>
      <c r="J259" s="38">
        <f>SUMIF(ShipToDubai!C:C, B259, ShipToDubai!G:G)</f>
        <v>0</v>
      </c>
    </row>
    <row r="260" spans="1:10">
      <c r="A260" s="614">
        <f t="shared" si="15"/>
        <v>258</v>
      </c>
      <c r="B260" s="343" t="s">
        <v>2195</v>
      </c>
      <c r="C260" s="37">
        <f>SUMIFS(Stock_Transactions!D:D, Stock_Transactions!B:B, B260, Stock_Transactions!D:D, "&gt;0")</f>
        <v>1</v>
      </c>
      <c r="D260" s="37">
        <f>SUMIFS(Stock_Transactions!D:D, Stock_Transactions!B:B, B260, Stock_Transactions!D:D, "&lt;0") * -1</f>
        <v>1</v>
      </c>
      <c r="E260" s="79">
        <f t="shared" si="18"/>
        <v>0</v>
      </c>
      <c r="F260" s="48">
        <f t="shared" si="19"/>
        <v>0</v>
      </c>
      <c r="G260" s="48">
        <f>SUMIF(Pending_Stock!C:C, B260, Pending_Stock!F:F)</f>
        <v>0</v>
      </c>
      <c r="H260" s="49">
        <f>SUMIF(Pending_Stock!I:I, B260, Pending_Stock!L:L)</f>
        <v>0</v>
      </c>
      <c r="I260" s="50">
        <f>SUMIF(ShipToDubai!C:C, B260, ShipToDubai!F:F) - (SUMIFS(Stock_Transactions!D:D, Stock_Transactions!B:B, B260, Stock_Transactions!D:D, "&lt;0") * -1)</f>
        <v>0</v>
      </c>
      <c r="J260" s="38">
        <f>SUMIF(ShipToDubai!C:C, B260, ShipToDubai!G:G)</f>
        <v>0</v>
      </c>
    </row>
    <row r="261" spans="1:10">
      <c r="A261" s="614">
        <f t="shared" si="15"/>
        <v>259</v>
      </c>
      <c r="B261" s="343" t="s">
        <v>1936</v>
      </c>
      <c r="C261" s="37">
        <f>SUMIFS(Stock_Transactions!D:D, Stock_Transactions!B:B, B261, Stock_Transactions!D:D, "&gt;0")</f>
        <v>1</v>
      </c>
      <c r="D261" s="37">
        <f>SUMIFS(Stock_Transactions!D:D, Stock_Transactions!B:B, B261, Stock_Transactions!D:D, "&lt;0") * -1</f>
        <v>1</v>
      </c>
      <c r="E261" s="79">
        <f t="shared" si="18"/>
        <v>0</v>
      </c>
      <c r="F261" s="48">
        <f t="shared" si="19"/>
        <v>0</v>
      </c>
      <c r="G261" s="48">
        <f>SUMIF(Pending_Stock!C:C, B261, Pending_Stock!F:F)</f>
        <v>0</v>
      </c>
      <c r="H261" s="49">
        <f>SUMIF(Pending_Stock!I:I, B261, Pending_Stock!L:L)</f>
        <v>0</v>
      </c>
      <c r="I261" s="50">
        <f>SUMIF(ShipToDubai!C:C, B261, ShipToDubai!F:F) - (SUMIFS(Stock_Transactions!D:D, Stock_Transactions!B:B, B261, Stock_Transactions!D:D, "&lt;0") * -1)</f>
        <v>0</v>
      </c>
      <c r="J261" s="38">
        <f>SUMIF(ShipToDubai!C:C, B261, ShipToDubai!G:G)</f>
        <v>0</v>
      </c>
    </row>
    <row r="262" spans="1:10">
      <c r="A262" s="614">
        <f t="shared" si="15"/>
        <v>260</v>
      </c>
      <c r="B262" s="343" t="s">
        <v>2389</v>
      </c>
      <c r="C262" s="37">
        <f>SUMIFS(Stock_Transactions!D:D, Stock_Transactions!B:B, B262, Stock_Transactions!D:D, "&gt;0")</f>
        <v>1</v>
      </c>
      <c r="D262" s="37">
        <f>SUMIFS(Stock_Transactions!D:D, Stock_Transactions!B:B, B262, Stock_Transactions!D:D, "&lt;0") * -1</f>
        <v>1</v>
      </c>
      <c r="E262" s="79">
        <f t="shared" si="18"/>
        <v>0</v>
      </c>
      <c r="F262" s="48">
        <f t="shared" si="19"/>
        <v>0</v>
      </c>
      <c r="G262" s="48">
        <f>SUMIF(Pending_Stock!C:C, B262, Pending_Stock!F:F)</f>
        <v>0</v>
      </c>
      <c r="H262" s="49">
        <f>SUMIF(Pending_Stock!I:I, B262, Pending_Stock!L:L)</f>
        <v>0</v>
      </c>
      <c r="I262" s="50">
        <f>SUMIF(ShipToDubai!C:C, B262, ShipToDubai!F:F) - (SUMIFS(Stock_Transactions!D:D, Stock_Transactions!B:B, B262, Stock_Transactions!D:D, "&lt;0") * -1)</f>
        <v>0</v>
      </c>
      <c r="J262" s="38">
        <f>SUMIF(ShipToDubai!C:C, B262, ShipToDubai!G:G)</f>
        <v>0</v>
      </c>
    </row>
    <row r="263" spans="1:10">
      <c r="A263" s="614">
        <f t="shared" si="15"/>
        <v>261</v>
      </c>
      <c r="B263" s="343" t="s">
        <v>2357</v>
      </c>
      <c r="C263" s="37">
        <f>SUMIFS(Stock_Transactions!D:D, Stock_Transactions!B:B, B263, Stock_Transactions!D:D, "&gt;0")</f>
        <v>1</v>
      </c>
      <c r="D263" s="37">
        <f>SUMIFS(Stock_Transactions!D:D, Stock_Transactions!B:B, B263, Stock_Transactions!D:D, "&lt;0") * -1</f>
        <v>0</v>
      </c>
      <c r="E263" s="79">
        <f t="shared" si="18"/>
        <v>1</v>
      </c>
      <c r="F263" s="48">
        <f t="shared" si="19"/>
        <v>1</v>
      </c>
      <c r="G263" s="48">
        <f>SUMIF(Pending_Stock!C:C, B263, Pending_Stock!F:F)</f>
        <v>0</v>
      </c>
      <c r="H263" s="49">
        <f>SUMIF(Pending_Stock!I:I, B263, Pending_Stock!L:L)</f>
        <v>0</v>
      </c>
      <c r="I263" s="50">
        <f>SUMIF(ShipToDubai!C:C, B263, ShipToDubai!F:F) - (SUMIFS(Stock_Transactions!D:D, Stock_Transactions!B:B, B263, Stock_Transactions!D:D, "&lt;0") * -1)</f>
        <v>0</v>
      </c>
      <c r="J263" s="38">
        <f>SUMIF(ShipToDubai!C:C, B263, ShipToDubai!G:G)</f>
        <v>0</v>
      </c>
    </row>
    <row r="264" spans="1:10">
      <c r="A264" s="614">
        <f t="shared" ref="A264:A327" si="20">A263+1</f>
        <v>262</v>
      </c>
      <c r="B264" s="343" t="s">
        <v>2358</v>
      </c>
      <c r="C264" s="37">
        <f>SUMIFS(Stock_Transactions!D:D, Stock_Transactions!B:B, B264, Stock_Transactions!D:D, "&gt;0")</f>
        <v>3</v>
      </c>
      <c r="D264" s="37">
        <f>SUMIFS(Stock_Transactions!D:D, Stock_Transactions!B:B, B264, Stock_Transactions!D:D, "&lt;0") * -1</f>
        <v>3</v>
      </c>
      <c r="E264" s="79">
        <f t="shared" si="18"/>
        <v>0</v>
      </c>
      <c r="F264" s="48">
        <f t="shared" si="19"/>
        <v>0</v>
      </c>
      <c r="G264" s="48">
        <f>SUMIF(Pending_Stock!C:C, B264, Pending_Stock!F:F)</f>
        <v>0</v>
      </c>
      <c r="H264" s="49">
        <f>SUMIF(Pending_Stock!I:I, B264, Pending_Stock!L:L)</f>
        <v>0</v>
      </c>
      <c r="I264" s="50">
        <f>SUMIF(ShipToDubai!C:C, B264, ShipToDubai!F:F) - (SUMIFS(Stock_Transactions!D:D, Stock_Transactions!B:B, B264, Stock_Transactions!D:D, "&lt;0") * -1)</f>
        <v>0</v>
      </c>
      <c r="J264" s="38">
        <f>SUMIF(ShipToDubai!C:C, B264, ShipToDubai!G:G)</f>
        <v>0</v>
      </c>
    </row>
    <row r="265" spans="1:10">
      <c r="A265" s="614">
        <f t="shared" si="20"/>
        <v>263</v>
      </c>
      <c r="B265" s="343" t="s">
        <v>2386</v>
      </c>
      <c r="C265" s="37">
        <f>SUMIFS(Stock_Transactions!D:D, Stock_Transactions!B:B, B265, Stock_Transactions!D:D, "&gt;0")</f>
        <v>8</v>
      </c>
      <c r="D265" s="37">
        <f>SUMIFS(Stock_Transactions!D:D, Stock_Transactions!B:B, B265, Stock_Transactions!D:D, "&lt;0") * -1</f>
        <v>0</v>
      </c>
      <c r="E265" s="79">
        <f t="shared" si="18"/>
        <v>8</v>
      </c>
      <c r="F265" s="48">
        <f t="shared" si="19"/>
        <v>1</v>
      </c>
      <c r="G265" s="48">
        <f>SUMIF(Pending_Stock!C:C, B265, Pending_Stock!F:F)</f>
        <v>0</v>
      </c>
      <c r="H265" s="49">
        <f>SUMIF(Pending_Stock!I:I, B265, Pending_Stock!L:L)</f>
        <v>0</v>
      </c>
      <c r="I265" s="50">
        <f>SUMIF(ShipToDubai!C:C, B265, ShipToDubai!F:F) - (SUMIFS(Stock_Transactions!D:D, Stock_Transactions!B:B, B265, Stock_Transactions!D:D, "&lt;0") * -1)</f>
        <v>7</v>
      </c>
      <c r="J265" s="38">
        <f>SUMIF(ShipToDubai!C:C, B265, ShipToDubai!G:G)</f>
        <v>0</v>
      </c>
    </row>
    <row r="266" spans="1:10">
      <c r="A266" s="614">
        <f t="shared" si="20"/>
        <v>264</v>
      </c>
      <c r="B266" s="343" t="s">
        <v>2374</v>
      </c>
      <c r="C266" s="37">
        <f>SUMIFS(Stock_Transactions!D:D, Stock_Transactions!B:B, B266, Stock_Transactions!D:D, "&gt;0")</f>
        <v>2</v>
      </c>
      <c r="D266" s="37">
        <f>SUMIFS(Stock_Transactions!D:D, Stock_Transactions!B:B, B266, Stock_Transactions!D:D, "&lt;0") * -1</f>
        <v>0</v>
      </c>
      <c r="E266" s="79">
        <f t="shared" si="18"/>
        <v>2</v>
      </c>
      <c r="F266" s="48">
        <f t="shared" si="19"/>
        <v>0</v>
      </c>
      <c r="G266" s="48">
        <f>SUMIF(Pending_Stock!C:C, B266, Pending_Stock!F:F)</f>
        <v>0</v>
      </c>
      <c r="H266" s="49">
        <f>SUMIF(Pending_Stock!I:I, B266, Pending_Stock!L:L)</f>
        <v>0</v>
      </c>
      <c r="I266" s="50">
        <f>SUMIF(ShipToDubai!C:C, B266, ShipToDubai!F:F) - (SUMIFS(Stock_Transactions!D:D, Stock_Transactions!B:B, B266, Stock_Transactions!D:D, "&lt;0") * -1)</f>
        <v>2</v>
      </c>
      <c r="J266" s="38">
        <f>SUMIF(ShipToDubai!C:C, B266, ShipToDubai!G:G)</f>
        <v>0</v>
      </c>
    </row>
    <row r="267" spans="1:10">
      <c r="A267" s="614">
        <f t="shared" si="20"/>
        <v>265</v>
      </c>
      <c r="B267" s="343" t="s">
        <v>2375</v>
      </c>
      <c r="C267" s="37">
        <f>SUMIFS(Stock_Transactions!D:D, Stock_Transactions!B:B, B267, Stock_Transactions!D:D, "&gt;0")</f>
        <v>4</v>
      </c>
      <c r="D267" s="37">
        <f>SUMIFS(Stock_Transactions!D:D, Stock_Transactions!B:B, B267, Stock_Transactions!D:D, "&lt;0") * -1</f>
        <v>0</v>
      </c>
      <c r="E267" s="79">
        <f t="shared" si="18"/>
        <v>4</v>
      </c>
      <c r="F267" s="48">
        <f t="shared" si="19"/>
        <v>0</v>
      </c>
      <c r="G267" s="48">
        <f>SUMIF(Pending_Stock!C:C, B267, Pending_Stock!F:F)</f>
        <v>0</v>
      </c>
      <c r="H267" s="49">
        <f>SUMIF(Pending_Stock!I:I, B267, Pending_Stock!L:L)</f>
        <v>0</v>
      </c>
      <c r="I267" s="50">
        <f>SUMIF(ShipToDubai!C:C, B267, ShipToDubai!F:F) - (SUMIFS(Stock_Transactions!D:D, Stock_Transactions!B:B, B267, Stock_Transactions!D:D, "&lt;0") * -1)</f>
        <v>4</v>
      </c>
      <c r="J267" s="38">
        <f>SUMIF(ShipToDubai!C:C, B267, ShipToDubai!G:G)</f>
        <v>0</v>
      </c>
    </row>
    <row r="268" spans="1:10">
      <c r="A268" s="614">
        <f t="shared" si="20"/>
        <v>266</v>
      </c>
      <c r="B268" s="343" t="s">
        <v>2392</v>
      </c>
      <c r="C268" s="37">
        <f>SUMIFS(Stock_Transactions!D:D, Stock_Transactions!B:B, B268, Stock_Transactions!D:D, "&gt;0")</f>
        <v>1</v>
      </c>
      <c r="D268" s="37">
        <f>SUMIFS(Stock_Transactions!D:D, Stock_Transactions!B:B, B268, Stock_Transactions!D:D, "&lt;0") * -1</f>
        <v>0</v>
      </c>
      <c r="E268" s="79">
        <f t="shared" si="18"/>
        <v>1</v>
      </c>
      <c r="F268" s="48">
        <f t="shared" si="19"/>
        <v>0</v>
      </c>
      <c r="G268" s="48">
        <f>SUMIF(Pending_Stock!C:C, B268, Pending_Stock!F:F)</f>
        <v>0</v>
      </c>
      <c r="H268" s="49">
        <f>SUMIF(Pending_Stock!I:I, B268, Pending_Stock!L:L)</f>
        <v>0</v>
      </c>
      <c r="I268" s="50">
        <f>SUMIF(ShipToDubai!C:C, B268, ShipToDubai!F:F) - (SUMIFS(Stock_Transactions!D:D, Stock_Transactions!B:B, B268, Stock_Transactions!D:D, "&lt;0") * -1)</f>
        <v>1</v>
      </c>
      <c r="J268" s="38">
        <f>SUMIF(ShipToDubai!C:C, B268, ShipToDubai!G:G)</f>
        <v>0</v>
      </c>
    </row>
    <row r="269" spans="1:10">
      <c r="A269" s="614">
        <f t="shared" si="20"/>
        <v>267</v>
      </c>
      <c r="B269" s="343" t="s">
        <v>2401</v>
      </c>
      <c r="C269" s="37">
        <f>SUMIFS(Stock_Transactions!D:D, Stock_Transactions!B:B, B269, Stock_Transactions!D:D, "&gt;0")</f>
        <v>2</v>
      </c>
      <c r="D269" s="37">
        <f>SUMIFS(Stock_Transactions!D:D, Stock_Transactions!B:B, B269, Stock_Transactions!D:D, "&lt;0") * -1</f>
        <v>0</v>
      </c>
      <c r="E269" s="79">
        <f t="shared" si="18"/>
        <v>2</v>
      </c>
      <c r="F269" s="48">
        <f t="shared" si="19"/>
        <v>0</v>
      </c>
      <c r="G269" s="48">
        <f>SUMIF(Pending_Stock!C:C, B269, Pending_Stock!F:F)</f>
        <v>0</v>
      </c>
      <c r="H269" s="49">
        <f>SUMIF(Pending_Stock!I:I, B269, Pending_Stock!L:L)</f>
        <v>0</v>
      </c>
      <c r="I269" s="50">
        <f>SUMIF(ShipToDubai!C:C, B269, ShipToDubai!F:F) - (SUMIFS(Stock_Transactions!D:D, Stock_Transactions!B:B, B269, Stock_Transactions!D:D, "&lt;0") * -1)</f>
        <v>2</v>
      </c>
      <c r="J269" s="38">
        <f>SUMIF(ShipToDubai!C:C, B269, ShipToDubai!G:G)</f>
        <v>0</v>
      </c>
    </row>
    <row r="270" spans="1:10">
      <c r="A270" s="614">
        <f t="shared" si="20"/>
        <v>268</v>
      </c>
      <c r="B270" s="343" t="s">
        <v>2394</v>
      </c>
      <c r="C270" s="37">
        <f>SUMIFS(Stock_Transactions!D:D, Stock_Transactions!B:B, B270, Stock_Transactions!D:D, "&gt;0")</f>
        <v>3</v>
      </c>
      <c r="D270" s="37">
        <f>SUMIFS(Stock_Transactions!D:D, Stock_Transactions!B:B, B270, Stock_Transactions!D:D, "&lt;0") * -1</f>
        <v>0</v>
      </c>
      <c r="E270" s="79">
        <f t="shared" si="18"/>
        <v>3</v>
      </c>
      <c r="F270" s="48">
        <f t="shared" si="19"/>
        <v>0</v>
      </c>
      <c r="G270" s="48">
        <f>SUMIF(Pending_Stock!C:C, B270, Pending_Stock!F:F)</f>
        <v>0</v>
      </c>
      <c r="H270" s="49">
        <f>SUMIF(Pending_Stock!I:I, B270, Pending_Stock!L:L)</f>
        <v>0</v>
      </c>
      <c r="I270" s="50">
        <f>SUMIF(ShipToDubai!C:C, B270, ShipToDubai!F:F) - (SUMIFS(Stock_Transactions!D:D, Stock_Transactions!B:B, B270, Stock_Transactions!D:D, "&lt;0") * -1)</f>
        <v>3</v>
      </c>
      <c r="J270" s="38">
        <f>SUMIF(ShipToDubai!C:C, B270, ShipToDubai!G:G)</f>
        <v>0</v>
      </c>
    </row>
    <row r="271" spans="1:10">
      <c r="A271" s="614">
        <f t="shared" si="20"/>
        <v>269</v>
      </c>
      <c r="B271" s="343" t="s">
        <v>2395</v>
      </c>
      <c r="C271" s="37">
        <f>SUMIFS(Stock_Transactions!D:D, Stock_Transactions!B:B, B271, Stock_Transactions!D:D, "&gt;0")</f>
        <v>3</v>
      </c>
      <c r="D271" s="37">
        <f>SUMIFS(Stock_Transactions!D:D, Stock_Transactions!B:B, B271, Stock_Transactions!D:D, "&lt;0") * -1</f>
        <v>0</v>
      </c>
      <c r="E271" s="79">
        <f t="shared" si="18"/>
        <v>3</v>
      </c>
      <c r="F271" s="48">
        <f t="shared" si="19"/>
        <v>0</v>
      </c>
      <c r="G271" s="48">
        <f>SUMIF(Pending_Stock!C:C, B271, Pending_Stock!F:F)</f>
        <v>0</v>
      </c>
      <c r="H271" s="49">
        <f>SUMIF(Pending_Stock!I:I, B271, Pending_Stock!L:L)</f>
        <v>0</v>
      </c>
      <c r="I271" s="50">
        <f>SUMIF(ShipToDubai!C:C, B271, ShipToDubai!F:F) - (SUMIFS(Stock_Transactions!D:D, Stock_Transactions!B:B, B271, Stock_Transactions!D:D, "&lt;0") * -1)</f>
        <v>3</v>
      </c>
      <c r="J271" s="38">
        <f>SUMIF(ShipToDubai!C:C, B271, ShipToDubai!G:G)</f>
        <v>0</v>
      </c>
    </row>
    <row r="272" spans="1:10">
      <c r="A272" s="614">
        <f t="shared" si="20"/>
        <v>270</v>
      </c>
      <c r="B272" s="343" t="s">
        <v>2167</v>
      </c>
      <c r="C272" s="37">
        <f>SUMIFS(Stock_Transactions!D:D, Stock_Transactions!B:B, B272, Stock_Transactions!D:D, "&gt;0")</f>
        <v>10</v>
      </c>
      <c r="D272" s="37">
        <f>SUMIFS(Stock_Transactions!D:D, Stock_Transactions!B:B, B272, Stock_Transactions!D:D, "&lt;0") * -1</f>
        <v>10</v>
      </c>
      <c r="E272" s="79">
        <f t="shared" si="18"/>
        <v>0</v>
      </c>
      <c r="F272" s="48">
        <f t="shared" si="19"/>
        <v>0</v>
      </c>
      <c r="G272" s="48">
        <f>SUMIF(Pending_Stock!C:C, B272, Pending_Stock!F:F)</f>
        <v>0</v>
      </c>
      <c r="H272" s="49">
        <f>SUMIF(Pending_Stock!I:I, B272, Pending_Stock!L:L)</f>
        <v>0</v>
      </c>
      <c r="I272" s="50">
        <f>SUMIF(ShipToDubai!C:C, B272, ShipToDubai!F:F) - (SUMIFS(Stock_Transactions!D:D, Stock_Transactions!B:B, B272, Stock_Transactions!D:D, "&lt;0") * -1)</f>
        <v>0</v>
      </c>
      <c r="J272" s="38">
        <f>SUMIF(ShipToDubai!C:C, B272, ShipToDubai!G:G)</f>
        <v>0</v>
      </c>
    </row>
    <row r="273" spans="1:10">
      <c r="A273" s="614">
        <f t="shared" si="20"/>
        <v>271</v>
      </c>
      <c r="B273" s="93" t="s">
        <v>2517</v>
      </c>
      <c r="C273" s="37">
        <f>SUMIFS(Stock_Transactions!D:D, Stock_Transactions!B:B, B273, Stock_Transactions!D:D, "&gt;0")</f>
        <v>1</v>
      </c>
      <c r="D273" s="37">
        <f>SUMIFS(Stock_Transactions!D:D, Stock_Transactions!B:B, B273, Stock_Transactions!D:D, "&lt;0") * -1</f>
        <v>1</v>
      </c>
      <c r="E273" s="79">
        <f t="shared" si="18"/>
        <v>0</v>
      </c>
      <c r="F273" s="48">
        <f t="shared" si="19"/>
        <v>0</v>
      </c>
      <c r="G273" s="48">
        <f>SUMIF(Pending_Stock!C:C, B273, Pending_Stock!F:F)</f>
        <v>0</v>
      </c>
      <c r="H273" s="49">
        <f>SUMIF(Pending_Stock!I:I, B273, Pending_Stock!L:L)</f>
        <v>0</v>
      </c>
      <c r="I273" s="50">
        <f>SUMIF(ShipToDubai!C:C, B273, ShipToDubai!F:F) - (SUMIFS(Stock_Transactions!D:D, Stock_Transactions!B:B, B273, Stock_Transactions!D:D, "&lt;0") * -1)</f>
        <v>0</v>
      </c>
      <c r="J273" s="38">
        <f>SUMIF(ShipToDubai!C:C, B273, ShipToDubai!G:G)</f>
        <v>0</v>
      </c>
    </row>
    <row r="274" spans="1:10">
      <c r="A274" s="614">
        <f t="shared" si="20"/>
        <v>272</v>
      </c>
      <c r="B274" s="343" t="s">
        <v>2518</v>
      </c>
      <c r="C274" s="37">
        <f>SUMIFS(Stock_Transactions!D:D, Stock_Transactions!B:B, B274, Stock_Transactions!D:D, "&gt;0")</f>
        <v>2</v>
      </c>
      <c r="D274" s="37">
        <f>SUMIFS(Stock_Transactions!D:D, Stock_Transactions!B:B, B274, Stock_Transactions!D:D, "&lt;0") * -1</f>
        <v>1</v>
      </c>
      <c r="E274" s="79">
        <f t="shared" si="18"/>
        <v>1</v>
      </c>
      <c r="F274" s="48">
        <f t="shared" si="19"/>
        <v>0</v>
      </c>
      <c r="G274" s="48">
        <f>SUMIF(Pending_Stock!C:C, B274, Pending_Stock!F:F)</f>
        <v>0</v>
      </c>
      <c r="H274" s="49">
        <f>SUMIF(Pending_Stock!I:I, B274, Pending_Stock!L:L)</f>
        <v>0</v>
      </c>
      <c r="I274" s="50">
        <f>SUMIF(ShipToDubai!C:C, B274, ShipToDubai!F:F) - (SUMIFS(Stock_Transactions!D:D, Stock_Transactions!B:B, B274, Stock_Transactions!D:D, "&lt;0") * -1)</f>
        <v>1</v>
      </c>
      <c r="J274" s="38">
        <f>SUMIF(ShipToDubai!C:C, B274, ShipToDubai!G:G)</f>
        <v>0</v>
      </c>
    </row>
    <row r="275" spans="1:10">
      <c r="A275" s="614">
        <f t="shared" si="20"/>
        <v>273</v>
      </c>
      <c r="B275" s="343" t="s">
        <v>2519</v>
      </c>
      <c r="C275" s="37">
        <f>SUMIFS(Stock_Transactions!D:D, Stock_Transactions!B:B, B275, Stock_Transactions!D:D, "&gt;0")</f>
        <v>1</v>
      </c>
      <c r="D275" s="37">
        <f>SUMIFS(Stock_Transactions!D:D, Stock_Transactions!B:B, B275, Stock_Transactions!D:D, "&lt;0") * -1</f>
        <v>0</v>
      </c>
      <c r="E275" s="79">
        <f t="shared" si="18"/>
        <v>1</v>
      </c>
      <c r="F275" s="48">
        <f t="shared" si="19"/>
        <v>0</v>
      </c>
      <c r="G275" s="48">
        <f>SUMIF(Pending_Stock!C:C, B275, Pending_Stock!F:F)</f>
        <v>0</v>
      </c>
      <c r="H275" s="49">
        <f>SUMIF(Pending_Stock!I:I, B275, Pending_Stock!L:L)</f>
        <v>0</v>
      </c>
      <c r="I275" s="50">
        <f>SUMIF(ShipToDubai!C:C, B275, ShipToDubai!F:F) - (SUMIFS(Stock_Transactions!D:D, Stock_Transactions!B:B, B275, Stock_Transactions!D:D, "&lt;0") * -1)</f>
        <v>1</v>
      </c>
      <c r="J275" s="38">
        <f>SUMIF(ShipToDubai!C:C, B275, ShipToDubai!G:G)</f>
        <v>0</v>
      </c>
    </row>
    <row r="276" spans="1:10">
      <c r="A276" s="614">
        <f t="shared" si="20"/>
        <v>274</v>
      </c>
      <c r="B276" s="343" t="s">
        <v>2520</v>
      </c>
      <c r="C276" s="37">
        <f>SUMIFS(Stock_Transactions!D:D, Stock_Transactions!B:B, B276, Stock_Transactions!D:D, "&gt;0")</f>
        <v>2</v>
      </c>
      <c r="D276" s="37">
        <f>SUMIFS(Stock_Transactions!D:D, Stock_Transactions!B:B, B276, Stock_Transactions!D:D, "&lt;0") * -1</f>
        <v>2</v>
      </c>
      <c r="E276" s="79">
        <f t="shared" si="18"/>
        <v>0</v>
      </c>
      <c r="F276" s="48">
        <f t="shared" si="19"/>
        <v>0</v>
      </c>
      <c r="G276" s="48">
        <f>SUMIF(Pending_Stock!C:C, B276, Pending_Stock!F:F)</f>
        <v>0</v>
      </c>
      <c r="H276" s="49">
        <f>SUMIF(Pending_Stock!I:I, B276, Pending_Stock!L:L)</f>
        <v>0</v>
      </c>
      <c r="I276" s="50">
        <f>SUMIF(ShipToDubai!C:C, B276, ShipToDubai!F:F) - (SUMIFS(Stock_Transactions!D:D, Stock_Transactions!B:B, B276, Stock_Transactions!D:D, "&lt;0") * -1)</f>
        <v>0</v>
      </c>
      <c r="J276" s="38">
        <f>SUMIF(ShipToDubai!C:C, B276, ShipToDubai!G:G)</f>
        <v>0</v>
      </c>
    </row>
    <row r="277" spans="1:10">
      <c r="A277" s="614">
        <f t="shared" si="20"/>
        <v>275</v>
      </c>
      <c r="B277" s="343" t="s">
        <v>2521</v>
      </c>
      <c r="C277" s="37">
        <f>SUMIFS(Stock_Transactions!D:D, Stock_Transactions!B:B, B277, Stock_Transactions!D:D, "&gt;0")</f>
        <v>1</v>
      </c>
      <c r="D277" s="37">
        <f>SUMIFS(Stock_Transactions!D:D, Stock_Transactions!B:B, B277, Stock_Transactions!D:D, "&lt;0") * -1</f>
        <v>1</v>
      </c>
      <c r="E277" s="79">
        <f t="shared" si="18"/>
        <v>0</v>
      </c>
      <c r="F277" s="48">
        <f t="shared" si="19"/>
        <v>0</v>
      </c>
      <c r="G277" s="48">
        <f>SUMIF(Pending_Stock!C:C, B277, Pending_Stock!F:F)</f>
        <v>0</v>
      </c>
      <c r="H277" s="49">
        <f>SUMIF(Pending_Stock!I:I, B277, Pending_Stock!L:L)</f>
        <v>0</v>
      </c>
      <c r="I277" s="50">
        <f>SUMIF(ShipToDubai!C:C, B277, ShipToDubai!F:F) - (SUMIFS(Stock_Transactions!D:D, Stock_Transactions!B:B, B277, Stock_Transactions!D:D, "&lt;0") * -1)</f>
        <v>0</v>
      </c>
      <c r="J277" s="38">
        <f>SUMIF(ShipToDubai!C:C, B277, ShipToDubai!G:G)</f>
        <v>0</v>
      </c>
    </row>
    <row r="278" spans="1:10">
      <c r="A278" s="614">
        <f t="shared" si="20"/>
        <v>276</v>
      </c>
      <c r="B278" s="93" t="s">
        <v>2625</v>
      </c>
      <c r="C278" s="37">
        <f>SUMIFS(Stock_Transactions!D:D, Stock_Transactions!B:B, B278, Stock_Transactions!D:D, "&gt;0")</f>
        <v>17</v>
      </c>
      <c r="D278" s="37">
        <f>SUMIFS(Stock_Transactions!D:D, Stock_Transactions!B:B, B278, Stock_Transactions!D:D, "&lt;0") * -1</f>
        <v>16</v>
      </c>
      <c r="E278" s="79">
        <f t="shared" si="18"/>
        <v>1</v>
      </c>
      <c r="F278" s="48">
        <f t="shared" si="19"/>
        <v>0</v>
      </c>
      <c r="G278" s="48">
        <f>SUMIF(Pending_Stock!C:C, B278, Pending_Stock!F:F)</f>
        <v>0</v>
      </c>
      <c r="H278" s="49">
        <f>SUMIF(Pending_Stock!I:I, B278, Pending_Stock!L:L)</f>
        <v>0</v>
      </c>
      <c r="I278" s="50">
        <f>SUMIF(ShipToDubai!C:C, B278, ShipToDubai!F:F) - (SUMIFS(Stock_Transactions!D:D, Stock_Transactions!B:B, B278, Stock_Transactions!D:D, "&lt;0") * -1)</f>
        <v>1</v>
      </c>
      <c r="J278" s="38">
        <f>SUMIF(ShipToDubai!C:C, B278, ShipToDubai!G:G)</f>
        <v>0</v>
      </c>
    </row>
    <row r="279" spans="1:10">
      <c r="A279" s="614">
        <f t="shared" si="20"/>
        <v>277</v>
      </c>
      <c r="B279" s="93" t="s">
        <v>2627</v>
      </c>
      <c r="C279" s="37">
        <f>SUMIFS(Stock_Transactions!D:D, Stock_Transactions!B:B, B279, Stock_Transactions!D:D, "&gt;0")</f>
        <v>6</v>
      </c>
      <c r="D279" s="37">
        <f>SUMIFS(Stock_Transactions!D:D, Stock_Transactions!B:B, B279, Stock_Transactions!D:D, "&lt;0") * -1</f>
        <v>6</v>
      </c>
      <c r="E279" s="79">
        <f t="shared" si="18"/>
        <v>0</v>
      </c>
      <c r="F279" s="48">
        <f t="shared" si="19"/>
        <v>0</v>
      </c>
      <c r="G279" s="48">
        <f>SUMIF(Pending_Stock!C:C, B279, Pending_Stock!F:F)</f>
        <v>0</v>
      </c>
      <c r="H279" s="49">
        <f>SUMIF(Pending_Stock!I:I, B279, Pending_Stock!L:L)</f>
        <v>0</v>
      </c>
      <c r="I279" s="50">
        <f>SUMIF(ShipToDubai!C:C, B279, ShipToDubai!F:F) - (SUMIFS(Stock_Transactions!D:D, Stock_Transactions!B:B, B279, Stock_Transactions!D:D, "&lt;0") * -1)</f>
        <v>0</v>
      </c>
      <c r="J279" s="38">
        <f>SUMIF(ShipToDubai!C:C, B279, ShipToDubai!G:G)</f>
        <v>0</v>
      </c>
    </row>
    <row r="280" spans="1:10">
      <c r="A280" s="614">
        <f t="shared" si="20"/>
        <v>278</v>
      </c>
      <c r="B280" s="93" t="s">
        <v>2646</v>
      </c>
      <c r="C280" s="37">
        <f>SUMIFS(Stock_Transactions!D:D, Stock_Transactions!B:B, B280, Stock_Transactions!D:D, "&gt;0")</f>
        <v>4</v>
      </c>
      <c r="D280" s="37">
        <f>SUMIFS(Stock_Transactions!D:D, Stock_Transactions!B:B, B280, Stock_Transactions!D:D, "&lt;0") * -1</f>
        <v>4</v>
      </c>
      <c r="E280" s="79">
        <f t="shared" si="18"/>
        <v>0</v>
      </c>
      <c r="F280" s="48">
        <f t="shared" si="19"/>
        <v>0</v>
      </c>
      <c r="G280" s="48">
        <f>SUMIF(Pending_Stock!C:C, B280, Pending_Stock!F:F)</f>
        <v>0</v>
      </c>
      <c r="H280" s="49">
        <f>SUMIF(Pending_Stock!I:I, B280, Pending_Stock!L:L)</f>
        <v>0</v>
      </c>
      <c r="I280" s="50">
        <f>SUMIF(ShipToDubai!C:C, B280, ShipToDubai!F:F) - (SUMIFS(Stock_Transactions!D:D, Stock_Transactions!B:B, B280, Stock_Transactions!D:D, "&lt;0") * -1)</f>
        <v>0</v>
      </c>
      <c r="J280" s="38">
        <f>SUMIF(ShipToDubai!C:C, B280, ShipToDubai!G:G)</f>
        <v>0</v>
      </c>
    </row>
    <row r="281" spans="1:10">
      <c r="A281" s="614">
        <f t="shared" si="20"/>
        <v>279</v>
      </c>
      <c r="B281" s="93" t="s">
        <v>2719</v>
      </c>
      <c r="C281" s="37">
        <f>SUMIFS(Stock_Transactions!D:D, Stock_Transactions!B:B, B281, Stock_Transactions!D:D, "&gt;0")</f>
        <v>5</v>
      </c>
      <c r="D281" s="37">
        <f>SUMIFS(Stock_Transactions!D:D, Stock_Transactions!B:B, B281, Stock_Transactions!D:D, "&lt;0") * -1</f>
        <v>5</v>
      </c>
      <c r="E281" s="79">
        <f t="shared" si="18"/>
        <v>0</v>
      </c>
      <c r="F281" s="48">
        <f t="shared" si="19"/>
        <v>0</v>
      </c>
      <c r="G281" s="48">
        <f>SUMIF(Pending_Stock!C:C, B281, Pending_Stock!F:F)</f>
        <v>0</v>
      </c>
      <c r="H281" s="49">
        <f>SUMIF(Pending_Stock!I:I, B281, Pending_Stock!L:L)</f>
        <v>0</v>
      </c>
      <c r="I281" s="50">
        <f>SUMIF(ShipToDubai!C:C, B281, ShipToDubai!F:F) - (SUMIFS(Stock_Transactions!D:D, Stock_Transactions!B:B, B281, Stock_Transactions!D:D, "&lt;0") * -1)</f>
        <v>0</v>
      </c>
      <c r="J281" s="38">
        <f>SUMIF(ShipToDubai!C:C, B281, ShipToDubai!G:G)</f>
        <v>0</v>
      </c>
    </row>
    <row r="282" spans="1:10">
      <c r="A282" s="614">
        <f t="shared" si="20"/>
        <v>280</v>
      </c>
      <c r="B282" s="325" t="s">
        <v>2706</v>
      </c>
      <c r="C282" s="37">
        <f>SUMIFS(Stock_Transactions!D:D, Stock_Transactions!B:B, B282, Stock_Transactions!D:D, "&gt;0")</f>
        <v>1</v>
      </c>
      <c r="D282" s="37">
        <f>SUMIFS(Stock_Transactions!D:D, Stock_Transactions!B:B, B282, Stock_Transactions!D:D, "&lt;0") * -1</f>
        <v>1</v>
      </c>
      <c r="E282" s="79">
        <f t="shared" si="18"/>
        <v>0</v>
      </c>
      <c r="F282" s="48">
        <f t="shared" si="19"/>
        <v>0</v>
      </c>
      <c r="G282" s="48">
        <f>SUMIF(Pending_Stock!C:C, B282, Pending_Stock!F:F)</f>
        <v>0</v>
      </c>
      <c r="H282" s="49">
        <f>SUMIF(Pending_Stock!I:I, B282, Pending_Stock!L:L)</f>
        <v>0</v>
      </c>
      <c r="I282" s="50">
        <f>SUMIF(ShipToDubai!C:C, B282, ShipToDubai!F:F) - (SUMIFS(Stock_Transactions!D:D, Stock_Transactions!B:B, B282, Stock_Transactions!D:D, "&lt;0") * -1)</f>
        <v>0</v>
      </c>
      <c r="J282" s="38">
        <f>SUMIF(ShipToDubai!C:C, B282, ShipToDubai!G:G)</f>
        <v>0</v>
      </c>
    </row>
    <row r="283" spans="1:10">
      <c r="A283" s="614">
        <f t="shared" si="20"/>
        <v>281</v>
      </c>
      <c r="B283" s="325" t="s">
        <v>2708</v>
      </c>
      <c r="C283" s="37">
        <f>SUMIFS(Stock_Transactions!D:D, Stock_Transactions!B:B, B283, Stock_Transactions!D:D, "&gt;0")</f>
        <v>3</v>
      </c>
      <c r="D283" s="37">
        <f>SUMIFS(Stock_Transactions!D:D, Stock_Transactions!B:B, B283, Stock_Transactions!D:D, "&lt;0") * -1</f>
        <v>3</v>
      </c>
      <c r="E283" s="79">
        <f t="shared" si="18"/>
        <v>0</v>
      </c>
      <c r="F283" s="48">
        <f t="shared" si="19"/>
        <v>0</v>
      </c>
      <c r="G283" s="48">
        <f>SUMIF(Pending_Stock!C:C, B283, Pending_Stock!F:F)</f>
        <v>0</v>
      </c>
      <c r="H283" s="49">
        <f>SUMIF(Pending_Stock!I:I, B283, Pending_Stock!L:L)</f>
        <v>0</v>
      </c>
      <c r="I283" s="50">
        <f>SUMIF(ShipToDubai!C:C, B283, ShipToDubai!F:F) - (SUMIFS(Stock_Transactions!D:D, Stock_Transactions!B:B, B283, Stock_Transactions!D:D, "&lt;0") * -1)</f>
        <v>0</v>
      </c>
      <c r="J283" s="38">
        <f>SUMIF(ShipToDubai!C:C, B283, ShipToDubai!G:G)</f>
        <v>0</v>
      </c>
    </row>
    <row r="284" spans="1:10">
      <c r="A284" s="614">
        <f t="shared" si="20"/>
        <v>282</v>
      </c>
      <c r="B284" s="325" t="s">
        <v>2712</v>
      </c>
      <c r="C284" s="37">
        <f>SUMIFS(Stock_Transactions!D:D, Stock_Transactions!B:B, B284, Stock_Transactions!D:D, "&gt;0")</f>
        <v>3</v>
      </c>
      <c r="D284" s="37">
        <f>SUMIFS(Stock_Transactions!D:D, Stock_Transactions!B:B, B284, Stock_Transactions!D:D, "&lt;0") * -1</f>
        <v>0</v>
      </c>
      <c r="E284" s="79">
        <f t="shared" si="18"/>
        <v>3</v>
      </c>
      <c r="F284" s="48">
        <f t="shared" si="19"/>
        <v>0</v>
      </c>
      <c r="G284" s="48">
        <f>SUMIF(Pending_Stock!C:C, B284, Pending_Stock!F:F)</f>
        <v>0</v>
      </c>
      <c r="H284" s="49">
        <f>SUMIF(Pending_Stock!I:I, B284, Pending_Stock!L:L)</f>
        <v>0</v>
      </c>
      <c r="I284" s="50">
        <f>SUMIF(ShipToDubai!C:C, B284, ShipToDubai!F:F) - (SUMIFS(Stock_Transactions!D:D, Stock_Transactions!B:B, B284, Stock_Transactions!D:D, "&lt;0") * -1)</f>
        <v>3</v>
      </c>
      <c r="J284" s="38">
        <f>SUMIF(ShipToDubai!C:C, B284, ShipToDubai!G:G)</f>
        <v>0</v>
      </c>
    </row>
    <row r="285" spans="1:10">
      <c r="A285" s="735">
        <f t="shared" si="20"/>
        <v>283</v>
      </c>
      <c r="B285" s="93" t="s">
        <v>3011</v>
      </c>
      <c r="C285" s="37">
        <f>SUMIFS(Stock_Transactions!D:D, Stock_Transactions!B:B, B285, Stock_Transactions!D:D, "&gt;0")</f>
        <v>1</v>
      </c>
      <c r="D285" s="37">
        <f>SUMIFS(Stock_Transactions!D:D, Stock_Transactions!B:B, B285, Stock_Transactions!D:D, "&lt;0") * -1</f>
        <v>1</v>
      </c>
      <c r="E285" s="79">
        <f t="shared" si="18"/>
        <v>0</v>
      </c>
      <c r="F285" s="48">
        <f t="shared" si="19"/>
        <v>0</v>
      </c>
      <c r="G285" s="48">
        <f>SUMIF(Pending_Stock!C:C, B285, Pending_Stock!F:F)</f>
        <v>0</v>
      </c>
      <c r="H285" s="49">
        <f>SUMIF(Pending_Stock!I:I, B285, Pending_Stock!L:L)</f>
        <v>0</v>
      </c>
      <c r="I285" s="50">
        <f>SUMIF(ShipToDubai!C:C, B285, ShipToDubai!F:F) - (SUMIFS(Stock_Transactions!D:D, Stock_Transactions!B:B, B285, Stock_Transactions!D:D, "&lt;0") * -1)</f>
        <v>0</v>
      </c>
      <c r="J285" s="38">
        <f>SUMIF(ShipToDubai!C:C, B285, ShipToDubai!G:G)</f>
        <v>0</v>
      </c>
    </row>
    <row r="286" spans="1:10">
      <c r="A286" s="735">
        <f t="shared" si="20"/>
        <v>284</v>
      </c>
      <c r="B286" s="93" t="s">
        <v>3090</v>
      </c>
      <c r="C286" s="37">
        <f>SUMIFS(Stock_Transactions!D:D, Stock_Transactions!B:B, B286, Stock_Transactions!D:D, "&gt;0")</f>
        <v>5</v>
      </c>
      <c r="D286" s="37">
        <f>SUMIFS(Stock_Transactions!D:D, Stock_Transactions!B:B, B286, Stock_Transactions!D:D, "&lt;0") * -1</f>
        <v>4</v>
      </c>
      <c r="E286" s="79">
        <f t="shared" si="18"/>
        <v>1</v>
      </c>
      <c r="F286" s="48">
        <f t="shared" si="19"/>
        <v>0</v>
      </c>
      <c r="G286" s="48">
        <f>SUMIF(Pending_Stock!C:C, B286, Pending_Stock!F:F)</f>
        <v>0</v>
      </c>
      <c r="H286" s="49">
        <f>SUMIF(Pending_Stock!I:I, B286, Pending_Stock!L:L)</f>
        <v>0</v>
      </c>
      <c r="I286" s="50">
        <f>SUMIF(ShipToDubai!C:C, B286, ShipToDubai!F:F) - (SUMIFS(Stock_Transactions!D:D, Stock_Transactions!B:B, B286, Stock_Transactions!D:D, "&lt;0") * -1)</f>
        <v>1</v>
      </c>
      <c r="J286" s="38">
        <f>SUMIF(ShipToDubai!C:C, B286, ShipToDubai!G:G)</f>
        <v>0</v>
      </c>
    </row>
    <row r="287" spans="1:10">
      <c r="A287" s="735">
        <f t="shared" si="20"/>
        <v>285</v>
      </c>
      <c r="B287" s="349" t="s">
        <v>3024</v>
      </c>
      <c r="C287" s="37">
        <f>SUMIFS(Stock_Transactions!D:D, Stock_Transactions!B:B, B287, Stock_Transactions!D:D, "&gt;0")</f>
        <v>1</v>
      </c>
      <c r="D287" s="37">
        <f>SUMIFS(Stock_Transactions!D:D, Stock_Transactions!B:B, B287, Stock_Transactions!D:D, "&lt;0") * -1</f>
        <v>1</v>
      </c>
      <c r="E287" s="79">
        <f t="shared" si="18"/>
        <v>0</v>
      </c>
      <c r="F287" s="48">
        <f t="shared" si="19"/>
        <v>0</v>
      </c>
      <c r="G287" s="48">
        <f>SUMIF(Pending_Stock!C:C, B287, Pending_Stock!F:F)</f>
        <v>0</v>
      </c>
      <c r="H287" s="49">
        <f>SUMIF(Pending_Stock!I:I, B287, Pending_Stock!L:L)</f>
        <v>0</v>
      </c>
      <c r="I287" s="50">
        <f>SUMIF(ShipToDubai!C:C, B287, ShipToDubai!F:F) - (SUMIFS(Stock_Transactions!D:D, Stock_Transactions!B:B, B287, Stock_Transactions!D:D, "&lt;0") * -1)</f>
        <v>0</v>
      </c>
      <c r="J287" s="38">
        <f>SUMIF(ShipToDubai!C:C, B287, ShipToDubai!G:G)</f>
        <v>0</v>
      </c>
    </row>
    <row r="288" spans="1:10">
      <c r="A288" s="735">
        <f t="shared" si="20"/>
        <v>286</v>
      </c>
      <c r="B288" s="343" t="s">
        <v>3699</v>
      </c>
      <c r="C288" s="37">
        <f>SUMIFS(Stock_Transactions!D:D, Stock_Transactions!B:B, B288, Stock_Transactions!D:D, "&gt;0")</f>
        <v>1</v>
      </c>
      <c r="D288" s="37">
        <f>SUMIFS(Stock_Transactions!D:D, Stock_Transactions!B:B, B288, Stock_Transactions!D:D, "&lt;0") * -1</f>
        <v>1</v>
      </c>
      <c r="E288" s="79">
        <f t="shared" si="18"/>
        <v>0</v>
      </c>
      <c r="F288" s="48">
        <f t="shared" si="19"/>
        <v>0</v>
      </c>
      <c r="G288" s="48">
        <f>SUMIF(Pending_Stock!C:C, B288, Pending_Stock!F:F)</f>
        <v>0</v>
      </c>
      <c r="H288" s="49">
        <f>SUMIF(Pending_Stock!I:I, B288, Pending_Stock!L:L)</f>
        <v>0</v>
      </c>
      <c r="I288" s="50">
        <f>SUMIF(ShipToDubai!C:C, B288, ShipToDubai!F:F) - (SUMIFS(Stock_Transactions!D:D, Stock_Transactions!B:B, B288, Stock_Transactions!D:D, "&lt;0") * -1)</f>
        <v>0</v>
      </c>
      <c r="J288" s="38">
        <f>SUMIF(ShipToDubai!C:C, B288, ShipToDubai!G:G)</f>
        <v>0</v>
      </c>
    </row>
    <row r="289" spans="1:10">
      <c r="A289" s="735">
        <f t="shared" si="20"/>
        <v>287</v>
      </c>
      <c r="B289" s="343" t="s">
        <v>3871</v>
      </c>
      <c r="C289" s="37">
        <f>SUMIFS(Stock_Transactions!D:D, Stock_Transactions!B:B, B289, Stock_Transactions!D:D, "&gt;0")</f>
        <v>2</v>
      </c>
      <c r="D289" s="37">
        <f>SUMIFS(Stock_Transactions!D:D, Stock_Transactions!B:B, B289, Stock_Transactions!D:D, "&lt;0") * -1</f>
        <v>1</v>
      </c>
      <c r="E289" s="79">
        <f t="shared" si="18"/>
        <v>1</v>
      </c>
      <c r="F289" s="48">
        <f t="shared" si="19"/>
        <v>0</v>
      </c>
      <c r="G289" s="48">
        <f>SUMIF(Pending_Stock!C:C, B289, Pending_Stock!F:F)</f>
        <v>0</v>
      </c>
      <c r="H289" s="49">
        <f>SUMIF(Pending_Stock!I:I, B289, Pending_Stock!L:L)</f>
        <v>0</v>
      </c>
      <c r="I289" s="50">
        <f>SUMIF(ShipToDubai!C:C, B289, ShipToDubai!F:F) - (SUMIFS(Stock_Transactions!D:D, Stock_Transactions!B:B, B289, Stock_Transactions!D:D, "&lt;0") * -1)</f>
        <v>1</v>
      </c>
      <c r="J289" s="38">
        <f>SUMIF(ShipToDubai!C:C, B289, ShipToDubai!G:G)</f>
        <v>0</v>
      </c>
    </row>
    <row r="290" spans="1:10">
      <c r="A290" s="735">
        <f t="shared" si="20"/>
        <v>288</v>
      </c>
      <c r="B290" s="343" t="s">
        <v>3926</v>
      </c>
      <c r="C290" s="37">
        <f>SUMIFS(Stock_Transactions!D:D, Stock_Transactions!B:B, B290, Stock_Transactions!D:D, "&gt;0")</f>
        <v>1</v>
      </c>
      <c r="D290" s="37">
        <f>SUMIFS(Stock_Transactions!D:D, Stock_Transactions!B:B, B290, Stock_Transactions!D:D, "&lt;0") * -1</f>
        <v>0</v>
      </c>
      <c r="E290" s="79">
        <f t="shared" si="18"/>
        <v>1</v>
      </c>
      <c r="F290" s="48">
        <f t="shared" si="19"/>
        <v>0</v>
      </c>
      <c r="G290" s="48">
        <f>SUMIF(Pending_Stock!C:C, B290, Pending_Stock!F:F)</f>
        <v>0</v>
      </c>
      <c r="H290" s="49">
        <f>SUMIF(Pending_Stock!I:I, B290, Pending_Stock!L:L)</f>
        <v>0</v>
      </c>
      <c r="I290" s="50">
        <f>SUMIF(ShipToDubai!C:C, B290, ShipToDubai!F:F) - (SUMIFS(Stock_Transactions!D:D, Stock_Transactions!B:B, B290, Stock_Transactions!D:D, "&lt;0") * -1)</f>
        <v>1</v>
      </c>
      <c r="J290" s="38">
        <f>SUMIF(ShipToDubai!C:C, B290, ShipToDubai!G:G)</f>
        <v>0</v>
      </c>
    </row>
    <row r="291" spans="1:10">
      <c r="A291" s="735">
        <f t="shared" si="20"/>
        <v>289</v>
      </c>
      <c r="B291" s="343" t="s">
        <v>3915</v>
      </c>
      <c r="C291" s="37">
        <f>SUMIFS(Stock_Transactions!D:D, Stock_Transactions!B:B, B291, Stock_Transactions!D:D, "&gt;0")</f>
        <v>2</v>
      </c>
      <c r="D291" s="37">
        <f>SUMIFS(Stock_Transactions!D:D, Stock_Transactions!B:B, B291, Stock_Transactions!D:D, "&lt;0") * -1</f>
        <v>1</v>
      </c>
      <c r="E291" s="79">
        <f t="shared" ref="E291:E311" si="21">C291-D291</f>
        <v>1</v>
      </c>
      <c r="F291" s="48">
        <f t="shared" ref="F291:F311" si="22">E291-G291-H291-I291-J291</f>
        <v>0</v>
      </c>
      <c r="G291" s="48">
        <f>SUMIF(Pending_Stock!C:C, B291, Pending_Stock!F:F)</f>
        <v>0</v>
      </c>
      <c r="H291" s="49">
        <f>SUMIF(Pending_Stock!I:I, B291, Pending_Stock!L:L)</f>
        <v>0</v>
      </c>
      <c r="I291" s="50">
        <f>SUMIF(ShipToDubai!C:C, B291, ShipToDubai!F:F) - (SUMIFS(Stock_Transactions!D:D, Stock_Transactions!B:B, B291, Stock_Transactions!D:D, "&lt;0") * -1)</f>
        <v>1</v>
      </c>
      <c r="J291" s="38">
        <f>SUMIF(ShipToDubai!C:C, B291, ShipToDubai!G:G)</f>
        <v>0</v>
      </c>
    </row>
    <row r="292" spans="1:10">
      <c r="A292" s="735">
        <f t="shared" si="20"/>
        <v>290</v>
      </c>
      <c r="B292" s="343" t="s">
        <v>3927</v>
      </c>
      <c r="C292" s="37">
        <f>SUMIFS(Stock_Transactions!D:D, Stock_Transactions!B:B, B292, Stock_Transactions!D:D, "&gt;0")</f>
        <v>3</v>
      </c>
      <c r="D292" s="37">
        <f>SUMIFS(Stock_Transactions!D:D, Stock_Transactions!B:B, B292, Stock_Transactions!D:D, "&lt;0") * -1</f>
        <v>3</v>
      </c>
      <c r="E292" s="79">
        <f t="shared" si="21"/>
        <v>0</v>
      </c>
      <c r="F292" s="48">
        <f t="shared" si="22"/>
        <v>0</v>
      </c>
      <c r="G292" s="48">
        <f>SUMIF(Pending_Stock!C:C, B292, Pending_Stock!F:F)</f>
        <v>0</v>
      </c>
      <c r="H292" s="49">
        <f>SUMIF(Pending_Stock!I:I, B292, Pending_Stock!L:L)</f>
        <v>0</v>
      </c>
      <c r="I292" s="50">
        <f>SUMIF(ShipToDubai!C:C, B292, ShipToDubai!F:F) - (SUMIFS(Stock_Transactions!D:D, Stock_Transactions!B:B, B292, Stock_Transactions!D:D, "&lt;0") * -1)</f>
        <v>0</v>
      </c>
      <c r="J292" s="38">
        <f>SUMIF(ShipToDubai!C:C, B292, ShipToDubai!G:G)</f>
        <v>0</v>
      </c>
    </row>
    <row r="293" spans="1:10">
      <c r="A293" s="735">
        <f t="shared" si="20"/>
        <v>291</v>
      </c>
      <c r="B293" s="343" t="s">
        <v>4048</v>
      </c>
      <c r="C293" s="37">
        <f>SUMIFS(Stock_Transactions!D:D, Stock_Transactions!B:B, B293, Stock_Transactions!D:D, "&gt;0")</f>
        <v>1</v>
      </c>
      <c r="D293" s="37">
        <f>SUMIFS(Stock_Transactions!D:D, Stock_Transactions!B:B, B293, Stock_Transactions!D:D, "&lt;0") * -1</f>
        <v>0</v>
      </c>
      <c r="E293" s="79">
        <f t="shared" si="21"/>
        <v>1</v>
      </c>
      <c r="F293" s="48">
        <f t="shared" si="22"/>
        <v>0</v>
      </c>
      <c r="G293" s="48">
        <f>SUMIF(Pending_Stock!C:C, B293, Pending_Stock!F:F)</f>
        <v>0</v>
      </c>
      <c r="H293" s="49">
        <f>SUMIF(Pending_Stock!I:I, B293, Pending_Stock!L:L)</f>
        <v>0</v>
      </c>
      <c r="I293" s="50">
        <f>SUMIF(ShipToDubai!C:C, B293, ShipToDubai!F:F) - (SUMIFS(Stock_Transactions!D:D, Stock_Transactions!B:B, B293, Stock_Transactions!D:D, "&lt;0") * -1)</f>
        <v>1</v>
      </c>
      <c r="J293" s="38">
        <f>SUMIF(ShipToDubai!C:C, B293, ShipToDubai!G:G)</f>
        <v>0</v>
      </c>
    </row>
    <row r="294" spans="1:10">
      <c r="A294" s="735">
        <f t="shared" si="20"/>
        <v>292</v>
      </c>
      <c r="B294" s="343" t="s">
        <v>4049</v>
      </c>
      <c r="C294" s="1071">
        <f>SUMIFS(Stock_Transactions!D:D, Stock_Transactions!B:B, B294, Stock_Transactions!D:D, "&gt;0")</f>
        <v>1</v>
      </c>
      <c r="D294" s="37">
        <f>SUMIFS(Stock_Transactions!D:D, Stock_Transactions!B:B, B294, Stock_Transactions!D:D, "&lt;0") * -1</f>
        <v>1</v>
      </c>
      <c r="E294" s="79">
        <f t="shared" si="21"/>
        <v>0</v>
      </c>
      <c r="F294" s="48">
        <f t="shared" si="22"/>
        <v>0</v>
      </c>
      <c r="G294" s="48">
        <f>SUMIF(Pending_Stock!C:C, B294, Pending_Stock!F:F)</f>
        <v>0</v>
      </c>
      <c r="H294" s="49">
        <f>SUMIF(Pending_Stock!I:I, B294, Pending_Stock!L:L)</f>
        <v>0</v>
      </c>
      <c r="I294" s="50">
        <f>SUMIF(ShipToDubai!C:C, B294, ShipToDubai!F:F) - (SUMIFS(Stock_Transactions!D:D, Stock_Transactions!B:B, B294, Stock_Transactions!D:D, "&lt;0") * -1)</f>
        <v>0</v>
      </c>
      <c r="J294" s="38">
        <f>SUMIF(ShipToDubai!C:C, B294, ShipToDubai!G:G)</f>
        <v>0</v>
      </c>
    </row>
    <row r="295" spans="1:10">
      <c r="A295" s="735">
        <f t="shared" si="20"/>
        <v>293</v>
      </c>
      <c r="B295" s="343" t="s">
        <v>4079</v>
      </c>
      <c r="C295" s="1071">
        <f>SUMIFS(Stock_Transactions!D:D, Stock_Transactions!B:B, B295, Stock_Transactions!D:D, "&gt;0")</f>
        <v>3</v>
      </c>
      <c r="D295" s="37">
        <f>SUMIFS(Stock_Transactions!D:D, Stock_Transactions!B:B, B295, Stock_Transactions!D:D, "&lt;0") * -1</f>
        <v>0</v>
      </c>
      <c r="E295" s="79">
        <f t="shared" si="21"/>
        <v>3</v>
      </c>
      <c r="F295" s="48">
        <f t="shared" si="22"/>
        <v>0</v>
      </c>
      <c r="G295" s="48">
        <f>SUMIF(Pending_Stock!C:C, B295, Pending_Stock!F:F)</f>
        <v>0</v>
      </c>
      <c r="H295" s="49">
        <f>SUMIF(Pending_Stock!I:I, B295, Pending_Stock!L:L)</f>
        <v>0</v>
      </c>
      <c r="I295" s="50">
        <f>SUMIF(ShipToDubai!C:C, B295, ShipToDubai!F:F) - (SUMIFS(Stock_Transactions!D:D, Stock_Transactions!B:B, B295, Stock_Transactions!D:D, "&lt;0") * -1)</f>
        <v>3</v>
      </c>
      <c r="J295" s="38">
        <f>SUMIF(ShipToDubai!C:C, B295, ShipToDubai!G:G)</f>
        <v>0</v>
      </c>
    </row>
    <row r="296" spans="1:10">
      <c r="A296" s="735">
        <f t="shared" si="20"/>
        <v>294</v>
      </c>
      <c r="B296" s="343" t="s">
        <v>4080</v>
      </c>
      <c r="C296" s="1071">
        <f>SUMIFS(Stock_Transactions!D:D, Stock_Transactions!B:B, B296, Stock_Transactions!D:D, "&gt;0")</f>
        <v>2</v>
      </c>
      <c r="D296" s="37">
        <f>SUMIFS(Stock_Transactions!D:D, Stock_Transactions!B:B, B296, Stock_Transactions!D:D, "&lt;0") * -1</f>
        <v>0</v>
      </c>
      <c r="E296" s="79">
        <f t="shared" si="21"/>
        <v>2</v>
      </c>
      <c r="F296" s="48">
        <f t="shared" si="22"/>
        <v>0</v>
      </c>
      <c r="G296" s="48">
        <f>SUMIF(Pending_Stock!C:C, B296, Pending_Stock!F:F)</f>
        <v>0</v>
      </c>
      <c r="H296" s="49">
        <f>SUMIF(Pending_Stock!I:I, B296, Pending_Stock!L:L)</f>
        <v>0</v>
      </c>
      <c r="I296" s="50">
        <f>SUMIF(ShipToDubai!C:C, B296, ShipToDubai!F:F) - (SUMIFS(Stock_Transactions!D:D, Stock_Transactions!B:B, B296, Stock_Transactions!D:D, "&lt;0") * -1)</f>
        <v>2</v>
      </c>
      <c r="J296" s="38">
        <f>SUMIF(ShipToDubai!C:C, B296, ShipToDubai!G:G)</f>
        <v>0</v>
      </c>
    </row>
    <row r="297" spans="1:10">
      <c r="A297" s="735">
        <f t="shared" si="20"/>
        <v>295</v>
      </c>
      <c r="B297" s="343" t="s">
        <v>4081</v>
      </c>
      <c r="C297" s="1071">
        <f>SUMIFS(Stock_Transactions!D:D, Stock_Transactions!B:B, B297, Stock_Transactions!D:D, "&gt;0")</f>
        <v>1</v>
      </c>
      <c r="D297" s="37">
        <f>SUMIFS(Stock_Transactions!D:D, Stock_Transactions!B:B, B297, Stock_Transactions!D:D, "&lt;0") * -1</f>
        <v>0</v>
      </c>
      <c r="E297" s="79">
        <f t="shared" si="21"/>
        <v>1</v>
      </c>
      <c r="F297" s="48">
        <f t="shared" si="22"/>
        <v>0</v>
      </c>
      <c r="G297" s="48">
        <f>SUMIF(Pending_Stock!C:C, B297, Pending_Stock!F:F)</f>
        <v>0</v>
      </c>
      <c r="H297" s="49">
        <f>SUMIF(Pending_Stock!I:I, B297, Pending_Stock!L:L)</f>
        <v>0</v>
      </c>
      <c r="I297" s="50">
        <f>SUMIF(ShipToDubai!C:C, B297, ShipToDubai!F:F) - (SUMIFS(Stock_Transactions!D:D, Stock_Transactions!B:B, B297, Stock_Transactions!D:D, "&lt;0") * -1)</f>
        <v>1</v>
      </c>
      <c r="J297" s="38">
        <f>SUMIF(ShipToDubai!C:C, B297, ShipToDubai!G:G)</f>
        <v>0</v>
      </c>
    </row>
    <row r="298" spans="1:10">
      <c r="A298" s="735">
        <f t="shared" si="20"/>
        <v>296</v>
      </c>
      <c r="B298" s="343" t="s">
        <v>4108</v>
      </c>
      <c r="C298" s="1071">
        <f>SUMIFS(Stock_Transactions!D:D, Stock_Transactions!B:B, B298, Stock_Transactions!D:D, "&gt;0")</f>
        <v>12</v>
      </c>
      <c r="D298" s="37">
        <f>SUMIFS(Stock_Transactions!D:D, Stock_Transactions!B:B, B298, Stock_Transactions!D:D, "&lt;0") * -1</f>
        <v>11</v>
      </c>
      <c r="E298" s="79">
        <f t="shared" si="21"/>
        <v>1</v>
      </c>
      <c r="F298" s="48">
        <f t="shared" si="22"/>
        <v>0</v>
      </c>
      <c r="G298" s="48">
        <f>SUMIF(Pending_Stock!C:C, B298, Pending_Stock!F:F)</f>
        <v>0</v>
      </c>
      <c r="H298" s="49">
        <f>SUMIF(Pending_Stock!I:I, B298, Pending_Stock!L:L)</f>
        <v>0</v>
      </c>
      <c r="I298" s="50">
        <f>SUMIF(ShipToDubai!C:C, B298, ShipToDubai!F:F) - (SUMIFS(Stock_Transactions!D:D, Stock_Transactions!B:B, B298, Stock_Transactions!D:D, "&lt;0") * -1)</f>
        <v>1</v>
      </c>
      <c r="J298" s="38">
        <f>SUMIF(ShipToDubai!C:C, B298, ShipToDubai!G:G)</f>
        <v>0</v>
      </c>
    </row>
    <row r="299" spans="1:10">
      <c r="A299" s="735">
        <f t="shared" si="20"/>
        <v>297</v>
      </c>
      <c r="B299" s="343" t="s">
        <v>4109</v>
      </c>
      <c r="C299" s="1071">
        <f>SUMIFS(Stock_Transactions!D:D, Stock_Transactions!B:B, B299, Stock_Transactions!D:D, "&gt;0")</f>
        <v>62</v>
      </c>
      <c r="D299" s="37">
        <f>SUMIFS(Stock_Transactions!D:D, Stock_Transactions!B:B, B299, Stock_Transactions!D:D, "&lt;0") * -1</f>
        <v>61</v>
      </c>
      <c r="E299" s="79">
        <f t="shared" si="21"/>
        <v>1</v>
      </c>
      <c r="F299" s="48">
        <f t="shared" si="22"/>
        <v>0</v>
      </c>
      <c r="G299" s="48">
        <f>SUMIF(Pending_Stock!C:C, B299, Pending_Stock!F:F)</f>
        <v>0</v>
      </c>
      <c r="H299" s="49">
        <f>SUMIF(Pending_Stock!I:I, B299, Pending_Stock!L:L)</f>
        <v>0</v>
      </c>
      <c r="I299" s="50">
        <f>SUMIF(ShipToDubai!C:C, B299, ShipToDubai!F:F) - (SUMIFS(Stock_Transactions!D:D, Stock_Transactions!B:B, B299, Stock_Transactions!D:D, "&lt;0") * -1)</f>
        <v>1</v>
      </c>
      <c r="J299" s="38">
        <f>SUMIF(ShipToDubai!C:C, B299, ShipToDubai!G:G)</f>
        <v>0</v>
      </c>
    </row>
    <row r="300" spans="1:10">
      <c r="A300" s="735">
        <f t="shared" si="20"/>
        <v>298</v>
      </c>
      <c r="B300" s="139" t="s">
        <v>4124</v>
      </c>
      <c r="C300" s="1071">
        <f>SUMIFS(Stock_Transactions!D:D, Stock_Transactions!B:B, B300, Stock_Transactions!D:D, "&gt;0")</f>
        <v>577</v>
      </c>
      <c r="D300" s="37">
        <f>SUMIFS(Stock_Transactions!D:D, Stock_Transactions!B:B, B300, Stock_Transactions!D:D, "&lt;0") * -1</f>
        <v>142</v>
      </c>
      <c r="E300" s="79">
        <f t="shared" si="21"/>
        <v>435</v>
      </c>
      <c r="F300" s="48">
        <f t="shared" si="22"/>
        <v>27</v>
      </c>
      <c r="G300" s="48">
        <f>SUMIF(Pending_Stock!C:C, B300, Pending_Stock!F:F)</f>
        <v>28</v>
      </c>
      <c r="H300" s="49">
        <f>SUMIF(Pending_Stock!I:I, B300, Pending_Stock!L:L)</f>
        <v>0</v>
      </c>
      <c r="I300" s="50">
        <f>SUMIF(ShipToDubai!C:C, B300, ShipToDubai!F:F) - (SUMIFS(Stock_Transactions!D:D, Stock_Transactions!B:B, B300, Stock_Transactions!D:D, "&lt;0") * -1)</f>
        <v>380</v>
      </c>
      <c r="J300" s="38">
        <f>SUMIF(ShipToDubai!C:C, B300, ShipToDubai!G:G)</f>
        <v>0</v>
      </c>
    </row>
    <row r="301" spans="1:10">
      <c r="A301" s="735">
        <f t="shared" si="20"/>
        <v>299</v>
      </c>
      <c r="B301" s="325" t="s">
        <v>4285</v>
      </c>
      <c r="C301" s="1071">
        <f>SUMIFS(Stock_Transactions!D:D, Stock_Transactions!B:B, B301, Stock_Transactions!D:D, "&gt;0")</f>
        <v>3</v>
      </c>
      <c r="D301" s="37">
        <f>SUMIFS(Stock_Transactions!D:D, Stock_Transactions!B:B, B301, Stock_Transactions!D:D, "&lt;0") * -1</f>
        <v>3</v>
      </c>
      <c r="E301" s="79">
        <f t="shared" si="21"/>
        <v>0</v>
      </c>
      <c r="F301" s="48">
        <f t="shared" si="22"/>
        <v>0</v>
      </c>
      <c r="G301" s="48">
        <f>SUMIF(Pending_Stock!C:C, B301, Pending_Stock!F:F)</f>
        <v>0</v>
      </c>
      <c r="H301" s="49">
        <f>SUMIF(Pending_Stock!I:I, B301, Pending_Stock!L:L)</f>
        <v>0</v>
      </c>
      <c r="I301" s="50">
        <f>SUMIF(ShipToDubai!C:C, B301, ShipToDubai!F:F) - (SUMIFS(Stock_Transactions!D:D, Stock_Transactions!B:B, B301, Stock_Transactions!D:D, "&lt;0") * -1)</f>
        <v>0</v>
      </c>
      <c r="J301" s="38">
        <f>SUMIF(ShipToDubai!C:C, B301, ShipToDubai!G:G)</f>
        <v>0</v>
      </c>
    </row>
    <row r="302" spans="1:10">
      <c r="A302" s="735">
        <f t="shared" si="20"/>
        <v>300</v>
      </c>
      <c r="B302" s="325" t="s">
        <v>4286</v>
      </c>
      <c r="C302" s="1071">
        <f>SUMIFS(Stock_Transactions!D:D, Stock_Transactions!B:B, B302, Stock_Transactions!D:D, "&gt;0")</f>
        <v>2</v>
      </c>
      <c r="D302" s="37">
        <f>SUMIFS(Stock_Transactions!D:D, Stock_Transactions!B:B, B302, Stock_Transactions!D:D, "&lt;0") * -1</f>
        <v>2</v>
      </c>
      <c r="E302" s="79">
        <f t="shared" si="21"/>
        <v>0</v>
      </c>
      <c r="F302" s="48">
        <f t="shared" si="22"/>
        <v>0</v>
      </c>
      <c r="G302" s="48">
        <f>SUMIF(Pending_Stock!C:C, B302, Pending_Stock!F:F)</f>
        <v>0</v>
      </c>
      <c r="H302" s="49">
        <f>SUMIF(Pending_Stock!I:I, B302, Pending_Stock!L:L)</f>
        <v>0</v>
      </c>
      <c r="I302" s="50">
        <f>SUMIF(ShipToDubai!C:C, B302, ShipToDubai!F:F) - (SUMIFS(Stock_Transactions!D:D, Stock_Transactions!B:B, B302, Stock_Transactions!D:D, "&lt;0") * -1)</f>
        <v>0</v>
      </c>
      <c r="J302" s="38">
        <f>SUMIF(ShipToDubai!C:C, B302, ShipToDubai!G:G)</f>
        <v>0</v>
      </c>
    </row>
    <row r="303" spans="1:10">
      <c r="A303" s="735">
        <f t="shared" si="20"/>
        <v>301</v>
      </c>
      <c r="B303" s="325" t="s">
        <v>4320</v>
      </c>
      <c r="C303" s="1071">
        <f>SUMIFS(Stock_Transactions!D:D, Stock_Transactions!B:B, B303, Stock_Transactions!D:D, "&gt;0")</f>
        <v>1</v>
      </c>
      <c r="D303" s="37">
        <f>SUMIFS(Stock_Transactions!D:D, Stock_Transactions!B:B, B303, Stock_Transactions!D:D, "&lt;0") * -1</f>
        <v>1</v>
      </c>
      <c r="E303" s="79">
        <f t="shared" si="21"/>
        <v>0</v>
      </c>
      <c r="F303" s="48">
        <f t="shared" si="22"/>
        <v>0</v>
      </c>
      <c r="G303" s="48">
        <f>SUMIF(Pending_Stock!C:C, B303, Pending_Stock!F:F)</f>
        <v>0</v>
      </c>
      <c r="H303" s="49">
        <f>SUMIF(Pending_Stock!I:I, B303, Pending_Stock!L:L)</f>
        <v>0</v>
      </c>
      <c r="I303" s="50">
        <f>SUMIF(ShipToDubai!C:C, B303, ShipToDubai!F:F) - (SUMIFS(Stock_Transactions!D:D, Stock_Transactions!B:B, B303, Stock_Transactions!D:D, "&lt;0") * -1)</f>
        <v>0</v>
      </c>
      <c r="J303" s="38">
        <f>SUMIF(ShipToDubai!C:C, B303, ShipToDubai!G:G)</f>
        <v>0</v>
      </c>
    </row>
    <row r="304" spans="1:10">
      <c r="A304" s="735">
        <f t="shared" si="20"/>
        <v>302</v>
      </c>
      <c r="B304" s="84" t="s">
        <v>4459</v>
      </c>
      <c r="C304" s="1071">
        <f>SUMIFS(Stock_Transactions!D:D, Stock_Transactions!B:B, B304, Stock_Transactions!D:D, "&gt;0")</f>
        <v>1</v>
      </c>
      <c r="D304" s="37">
        <f>SUMIFS(Stock_Transactions!D:D, Stock_Transactions!B:B, B304, Stock_Transactions!D:D, "&lt;0") * -1</f>
        <v>1</v>
      </c>
      <c r="E304" s="79">
        <f t="shared" si="21"/>
        <v>0</v>
      </c>
      <c r="F304" s="48">
        <f t="shared" si="22"/>
        <v>0</v>
      </c>
      <c r="G304" s="48">
        <f>SUMIF(Pending_Stock!C:C, B304, Pending_Stock!F:F)</f>
        <v>0</v>
      </c>
      <c r="H304" s="49">
        <f>SUMIF(Pending_Stock!I:I, B304, Pending_Stock!L:L)</f>
        <v>0</v>
      </c>
      <c r="I304" s="50">
        <f>SUMIF(ShipToDubai!C:C, B304, ShipToDubai!F:F) - (SUMIFS(Stock_Transactions!D:D, Stock_Transactions!B:B, B304, Stock_Transactions!D:D, "&lt;0") * -1)</f>
        <v>0</v>
      </c>
      <c r="J304" s="38">
        <f>SUMIF(ShipToDubai!C:C, B304, ShipToDubai!G:G)</f>
        <v>0</v>
      </c>
    </row>
    <row r="305" spans="1:10">
      <c r="A305" s="735">
        <f t="shared" si="20"/>
        <v>303</v>
      </c>
      <c r="B305" s="84" t="s">
        <v>4460</v>
      </c>
      <c r="C305" s="1071">
        <f>SUMIFS(Stock_Transactions!D:D, Stock_Transactions!B:B, B305, Stock_Transactions!D:D, "&gt;0")</f>
        <v>1</v>
      </c>
      <c r="D305" s="37">
        <f>SUMIFS(Stock_Transactions!D:D, Stock_Transactions!B:B, B305, Stock_Transactions!D:D, "&lt;0") * -1</f>
        <v>1</v>
      </c>
      <c r="E305" s="79">
        <f t="shared" si="21"/>
        <v>0</v>
      </c>
      <c r="F305" s="48">
        <f t="shared" si="22"/>
        <v>0</v>
      </c>
      <c r="G305" s="48">
        <f>SUMIF(Pending_Stock!C:C, B305, Pending_Stock!F:F)</f>
        <v>0</v>
      </c>
      <c r="H305" s="49">
        <f>SUMIF(Pending_Stock!I:I, B305, Pending_Stock!L:L)</f>
        <v>0</v>
      </c>
      <c r="I305" s="50">
        <f>SUMIF(ShipToDubai!C:C, B305, ShipToDubai!F:F) - (SUMIFS(Stock_Transactions!D:D, Stock_Transactions!B:B, B305, Stock_Transactions!D:D, "&lt;0") * -1)</f>
        <v>0</v>
      </c>
      <c r="J305" s="38">
        <f>SUMIF(ShipToDubai!C:C, B305, ShipToDubai!G:G)</f>
        <v>0</v>
      </c>
    </row>
    <row r="306" spans="1:10">
      <c r="A306" s="735">
        <f t="shared" si="20"/>
        <v>304</v>
      </c>
      <c r="B306" s="84" t="s">
        <v>4461</v>
      </c>
      <c r="C306" s="1071">
        <f>SUMIFS(Stock_Transactions!D:D, Stock_Transactions!B:B, B306, Stock_Transactions!D:D, "&gt;0")</f>
        <v>4</v>
      </c>
      <c r="D306" s="37">
        <f>SUMIFS(Stock_Transactions!D:D, Stock_Transactions!B:B, B306, Stock_Transactions!D:D, "&lt;0") * -1</f>
        <v>4</v>
      </c>
      <c r="E306" s="79">
        <f t="shared" si="21"/>
        <v>0</v>
      </c>
      <c r="F306" s="48">
        <f t="shared" si="22"/>
        <v>0</v>
      </c>
      <c r="G306" s="48">
        <f>SUMIF(Pending_Stock!C:C, B306, Pending_Stock!F:F)</f>
        <v>0</v>
      </c>
      <c r="H306" s="49">
        <f>SUMIF(Pending_Stock!I:I, B306, Pending_Stock!L:L)</f>
        <v>0</v>
      </c>
      <c r="I306" s="50">
        <f>SUMIF(ShipToDubai!C:C, B306, ShipToDubai!F:F) - (SUMIFS(Stock_Transactions!D:D, Stock_Transactions!B:B, B306, Stock_Transactions!D:D, "&lt;0") * -1)</f>
        <v>0</v>
      </c>
      <c r="J306" s="38">
        <f>SUMIF(ShipToDubai!C:C, B306, ShipToDubai!G:G)</f>
        <v>0</v>
      </c>
    </row>
    <row r="307" spans="1:10">
      <c r="A307" s="735">
        <f t="shared" si="20"/>
        <v>305</v>
      </c>
      <c r="B307" s="84" t="s">
        <v>4462</v>
      </c>
      <c r="C307" s="1071">
        <f>SUMIFS(Stock_Transactions!D:D, Stock_Transactions!B:B, B307, Stock_Transactions!D:D, "&gt;0")</f>
        <v>4</v>
      </c>
      <c r="D307" s="37">
        <f>SUMIFS(Stock_Transactions!D:D, Stock_Transactions!B:B, B307, Stock_Transactions!D:D, "&lt;0") * -1</f>
        <v>4</v>
      </c>
      <c r="E307" s="79">
        <f t="shared" si="21"/>
        <v>0</v>
      </c>
      <c r="F307" s="48">
        <f t="shared" si="22"/>
        <v>0</v>
      </c>
      <c r="G307" s="48">
        <f>SUMIF(Pending_Stock!C:C, B307, Pending_Stock!F:F)</f>
        <v>0</v>
      </c>
      <c r="H307" s="49">
        <f>SUMIF(Pending_Stock!I:I, B307, Pending_Stock!L:L)</f>
        <v>0</v>
      </c>
      <c r="I307" s="50">
        <f>SUMIF(ShipToDubai!C:C, B307, ShipToDubai!F:F) - (SUMIFS(Stock_Transactions!D:D, Stock_Transactions!B:B, B307, Stock_Transactions!D:D, "&lt;0") * -1)</f>
        <v>0</v>
      </c>
      <c r="J307" s="38">
        <f>SUMIF(ShipToDubai!C:C, B307, ShipToDubai!G:G)</f>
        <v>0</v>
      </c>
    </row>
    <row r="308" spans="1:10">
      <c r="A308" s="735">
        <f t="shared" si="20"/>
        <v>306</v>
      </c>
      <c r="B308" s="84" t="s">
        <v>4463</v>
      </c>
      <c r="C308" s="1071">
        <f>SUMIFS(Stock_Transactions!D:D, Stock_Transactions!B:B, B308, Stock_Transactions!D:D, "&gt;0")</f>
        <v>2</v>
      </c>
      <c r="D308" s="37">
        <f>SUMIFS(Stock_Transactions!D:D, Stock_Transactions!B:B, B308, Stock_Transactions!D:D, "&lt;0") * -1</f>
        <v>2</v>
      </c>
      <c r="E308" s="79">
        <f t="shared" si="21"/>
        <v>0</v>
      </c>
      <c r="F308" s="48">
        <f t="shared" si="22"/>
        <v>0</v>
      </c>
      <c r="G308" s="48">
        <f>SUMIF(Pending_Stock!C:C, B308, Pending_Stock!F:F)</f>
        <v>0</v>
      </c>
      <c r="H308" s="49">
        <f>SUMIF(Pending_Stock!I:I, B308, Pending_Stock!L:L)</f>
        <v>0</v>
      </c>
      <c r="I308" s="50">
        <f>SUMIF(ShipToDubai!C:C, B308, ShipToDubai!F:F) - (SUMIFS(Stock_Transactions!D:D, Stock_Transactions!B:B, B308, Stock_Transactions!D:D, "&lt;0") * -1)</f>
        <v>0</v>
      </c>
      <c r="J308" s="38">
        <f>SUMIF(ShipToDubai!C:C, B308, ShipToDubai!G:G)</f>
        <v>0</v>
      </c>
    </row>
    <row r="309" spans="1:10">
      <c r="A309" s="735">
        <f t="shared" si="20"/>
        <v>307</v>
      </c>
      <c r="B309" s="84" t="s">
        <v>4464</v>
      </c>
      <c r="C309" s="1071">
        <f>SUMIFS(Stock_Transactions!D:D, Stock_Transactions!B:B, B309, Stock_Transactions!D:D, "&gt;0")</f>
        <v>1</v>
      </c>
      <c r="D309" s="37">
        <f>SUMIFS(Stock_Transactions!D:D, Stock_Transactions!B:B, B309, Stock_Transactions!D:D, "&lt;0") * -1</f>
        <v>0</v>
      </c>
      <c r="E309" s="79">
        <f t="shared" si="21"/>
        <v>1</v>
      </c>
      <c r="F309" s="48">
        <f t="shared" si="22"/>
        <v>0</v>
      </c>
      <c r="G309" s="48">
        <f>SUMIF(Pending_Stock!C:C, B309, Pending_Stock!F:F)</f>
        <v>0</v>
      </c>
      <c r="H309" s="49">
        <f>SUMIF(Pending_Stock!I:I, B309, Pending_Stock!L:L)</f>
        <v>0</v>
      </c>
      <c r="I309" s="50">
        <f>SUMIF(ShipToDubai!C:C, B309, ShipToDubai!F:F) - (SUMIFS(Stock_Transactions!D:D, Stock_Transactions!B:B, B309, Stock_Transactions!D:D, "&lt;0") * -1)</f>
        <v>1</v>
      </c>
      <c r="J309" s="38">
        <f>SUMIF(ShipToDubai!C:C, B309, ShipToDubai!G:G)</f>
        <v>0</v>
      </c>
    </row>
    <row r="310" spans="1:10">
      <c r="A310" s="735">
        <f t="shared" si="20"/>
        <v>308</v>
      </c>
      <c r="B310" s="84" t="s">
        <v>4465</v>
      </c>
      <c r="C310" s="1071">
        <f>SUMIFS(Stock_Transactions!D:D, Stock_Transactions!B:B, B310, Stock_Transactions!D:D, "&gt;0")</f>
        <v>1</v>
      </c>
      <c r="D310" s="37">
        <f>SUMIFS(Stock_Transactions!D:D, Stock_Transactions!B:B, B310, Stock_Transactions!D:D, "&lt;0") * -1</f>
        <v>1</v>
      </c>
      <c r="E310" s="79">
        <f t="shared" si="21"/>
        <v>0</v>
      </c>
      <c r="F310" s="48">
        <f t="shared" si="22"/>
        <v>0</v>
      </c>
      <c r="G310" s="48">
        <f>SUMIF(Pending_Stock!C:C, B310, Pending_Stock!F:F)</f>
        <v>0</v>
      </c>
      <c r="H310" s="49">
        <f>SUMIF(Pending_Stock!I:I, B310, Pending_Stock!L:L)</f>
        <v>0</v>
      </c>
      <c r="I310" s="50">
        <f>SUMIF(ShipToDubai!C:C, B310, ShipToDubai!F:F) - (SUMIFS(Stock_Transactions!D:D, Stock_Transactions!B:B, B310, Stock_Transactions!D:D, "&lt;0") * -1)</f>
        <v>0</v>
      </c>
      <c r="J310" s="38">
        <f>SUMIF(ShipToDubai!C:C, B310, ShipToDubai!G:G)</f>
        <v>0</v>
      </c>
    </row>
    <row r="311" spans="1:10">
      <c r="A311" s="735">
        <f t="shared" si="20"/>
        <v>309</v>
      </c>
      <c r="B311" s="84" t="s">
        <v>4466</v>
      </c>
      <c r="C311" s="1071">
        <f>SUMIFS(Stock_Transactions!D:D, Stock_Transactions!B:B, B311, Stock_Transactions!D:D, "&gt;0")</f>
        <v>1</v>
      </c>
      <c r="D311" s="37">
        <f>SUMIFS(Stock_Transactions!D:D, Stock_Transactions!B:B, B311, Stock_Transactions!D:D, "&lt;0") * -1</f>
        <v>1</v>
      </c>
      <c r="E311" s="79">
        <f t="shared" si="21"/>
        <v>0</v>
      </c>
      <c r="F311" s="48">
        <f t="shared" si="22"/>
        <v>0</v>
      </c>
      <c r="G311" s="48">
        <f>SUMIF(Pending_Stock!C:C, B311, Pending_Stock!F:F)</f>
        <v>0</v>
      </c>
      <c r="H311" s="49">
        <f>SUMIF(Pending_Stock!I:I, B311, Pending_Stock!L:L)</f>
        <v>0</v>
      </c>
      <c r="I311" s="50">
        <f>SUMIF(ShipToDubai!C:C, B311, ShipToDubai!F:F) - (SUMIFS(Stock_Transactions!D:D, Stock_Transactions!B:B, B311, Stock_Transactions!D:D, "&lt;0") * -1)</f>
        <v>0</v>
      </c>
      <c r="J311" s="38">
        <f>SUMIF(ShipToDubai!C:C, B311, ShipToDubai!G:G)</f>
        <v>0</v>
      </c>
    </row>
    <row r="312" spans="1:10">
      <c r="A312" s="735">
        <f t="shared" si="20"/>
        <v>310</v>
      </c>
      <c r="B312" s="343" t="s">
        <v>4470</v>
      </c>
      <c r="C312" s="1071">
        <f>SUMIFS(Stock_Transactions!D:D, Stock_Transactions!B:B, B312, Stock_Transactions!D:D, "&gt;0")</f>
        <v>7</v>
      </c>
      <c r="D312" s="37">
        <f>SUMIFS(Stock_Transactions!D:D, Stock_Transactions!B:B, B312, Stock_Transactions!D:D, "&lt;0") * -1</f>
        <v>6</v>
      </c>
      <c r="E312" s="79">
        <f t="shared" ref="E312" si="23">C312-D312</f>
        <v>1</v>
      </c>
      <c r="F312" s="48">
        <f t="shared" ref="F312" si="24">E312-G312-H312-I312-J312</f>
        <v>0</v>
      </c>
      <c r="G312" s="48">
        <f>SUMIF(Pending_Stock!C:C, B312, Pending_Stock!F:F)</f>
        <v>0</v>
      </c>
      <c r="H312" s="49">
        <f>SUMIF(Pending_Stock!I:I, B312, Pending_Stock!L:L)</f>
        <v>0</v>
      </c>
      <c r="I312" s="50">
        <f>SUMIF(ShipToDubai!C:C, B312, ShipToDubai!F:F) - (SUMIFS(Stock_Transactions!D:D, Stock_Transactions!B:B, B312, Stock_Transactions!D:D, "&lt;0") * -1)</f>
        <v>1</v>
      </c>
      <c r="J312" s="38">
        <f>SUMIF(ShipToDubai!C:C, B312, ShipToDubai!G:G)</f>
        <v>0</v>
      </c>
    </row>
    <row r="313" spans="1:10">
      <c r="A313" s="735">
        <f t="shared" si="20"/>
        <v>311</v>
      </c>
      <c r="B313" s="84" t="s">
        <v>4498</v>
      </c>
      <c r="C313" s="1071">
        <f>SUMIFS(Stock_Transactions!D:D, Stock_Transactions!B:B, B313, Stock_Transactions!D:D, "&gt;0")</f>
        <v>1</v>
      </c>
      <c r="D313" s="37">
        <f>SUMIFS(Stock_Transactions!D:D, Stock_Transactions!B:B, B313, Stock_Transactions!D:D, "&lt;0") * -1</f>
        <v>1</v>
      </c>
      <c r="E313" s="79">
        <f t="shared" ref="E313" si="25">C313-D313</f>
        <v>0</v>
      </c>
      <c r="F313" s="48">
        <f t="shared" ref="F313" si="26">E313-G313-H313-I313-J313</f>
        <v>0</v>
      </c>
      <c r="G313" s="48">
        <f>SUMIF(Pending_Stock!C:C, B313, Pending_Stock!F:F)</f>
        <v>0</v>
      </c>
      <c r="H313" s="49">
        <f>SUMIF(Pending_Stock!I:I, B313, Pending_Stock!L:L)</f>
        <v>0</v>
      </c>
      <c r="I313" s="50">
        <f>SUMIF(ShipToDubai!C:C, B313, ShipToDubai!F:F) - (SUMIFS(Stock_Transactions!D:D, Stock_Transactions!B:B, B313, Stock_Transactions!D:D, "&lt;0") * -1)</f>
        <v>0</v>
      </c>
      <c r="J313" s="38">
        <f>SUMIF(ShipToDubai!C:C, B313, ShipToDubai!G:G)</f>
        <v>0</v>
      </c>
    </row>
    <row r="314" spans="1:10">
      <c r="A314" s="735">
        <f t="shared" si="20"/>
        <v>312</v>
      </c>
      <c r="B314" s="93" t="s">
        <v>4565</v>
      </c>
      <c r="C314" s="1071">
        <f>SUMIFS(Stock_Transactions!D:D, Stock_Transactions!B:B, B314, Stock_Transactions!D:D, "&gt;0")</f>
        <v>1</v>
      </c>
      <c r="D314" s="37">
        <f>SUMIFS(Stock_Transactions!D:D, Stock_Transactions!B:B, B314, Stock_Transactions!D:D, "&lt;0") * -1</f>
        <v>1</v>
      </c>
      <c r="E314" s="79">
        <f t="shared" ref="E314" si="27">C314-D314</f>
        <v>0</v>
      </c>
      <c r="F314" s="48">
        <f t="shared" ref="F314" si="28">E314-G314-H314-I314-J314</f>
        <v>0</v>
      </c>
      <c r="G314" s="48">
        <f>SUMIF(Pending_Stock!C:C, B314, Pending_Stock!F:F)</f>
        <v>0</v>
      </c>
      <c r="H314" s="49">
        <f>SUMIF(Pending_Stock!I:I, B314, Pending_Stock!L:L)</f>
        <v>0</v>
      </c>
      <c r="I314" s="50">
        <f>SUMIF(ShipToDubai!C:C, B314, ShipToDubai!F:F) - (SUMIFS(Stock_Transactions!D:D, Stock_Transactions!B:B, B314, Stock_Transactions!D:D, "&lt;0") * -1)</f>
        <v>0</v>
      </c>
      <c r="J314" s="38">
        <f>SUMIF(ShipToDubai!C:C, B314, ShipToDubai!G:G)</f>
        <v>0</v>
      </c>
    </row>
    <row r="315" spans="1:10">
      <c r="A315" s="735">
        <f t="shared" si="20"/>
        <v>313</v>
      </c>
      <c r="B315" s="84" t="s">
        <v>4588</v>
      </c>
      <c r="C315" s="1071">
        <f>SUMIFS(Stock_Transactions!D:D, Stock_Transactions!B:B, B315, Stock_Transactions!D:D, "&gt;0")</f>
        <v>2</v>
      </c>
      <c r="D315" s="37">
        <f>SUMIFS(Stock_Transactions!D:D, Stock_Transactions!B:B, B315, Stock_Transactions!D:D, "&lt;0") * -1</f>
        <v>2</v>
      </c>
      <c r="E315" s="79">
        <f t="shared" ref="E315:E316" si="29">C315-D315</f>
        <v>0</v>
      </c>
      <c r="F315" s="48">
        <f t="shared" ref="F315:F316" si="30">E315-G315-H315-I315-J315</f>
        <v>0</v>
      </c>
      <c r="G315" s="48">
        <f>SUMIF(Pending_Stock!C:C, B315, Pending_Stock!F:F)</f>
        <v>0</v>
      </c>
      <c r="H315" s="49">
        <f>SUMIF(Pending_Stock!I:I, B315, Pending_Stock!L:L)</f>
        <v>0</v>
      </c>
      <c r="I315" s="50">
        <f>SUMIF(ShipToDubai!C:C, B315, ShipToDubai!F:F) - (SUMIFS(Stock_Transactions!D:D, Stock_Transactions!B:B, B315, Stock_Transactions!D:D, "&lt;0") * -1)</f>
        <v>0</v>
      </c>
      <c r="J315" s="38">
        <f>SUMIF(ShipToDubai!C:C, B315, ShipToDubai!G:G)</f>
        <v>0</v>
      </c>
    </row>
    <row r="316" spans="1:10">
      <c r="A316" s="735">
        <f t="shared" si="20"/>
        <v>314</v>
      </c>
      <c r="B316" s="84" t="s">
        <v>4589</v>
      </c>
      <c r="C316" s="1071">
        <f>SUMIFS(Stock_Transactions!D:D, Stock_Transactions!B:B, B316, Stock_Transactions!D:D, "&gt;0")</f>
        <v>1</v>
      </c>
      <c r="D316" s="37">
        <f>SUMIFS(Stock_Transactions!D:D, Stock_Transactions!B:B, B316, Stock_Transactions!D:D, "&lt;0") * -1</f>
        <v>1</v>
      </c>
      <c r="E316" s="79">
        <f t="shared" si="29"/>
        <v>0</v>
      </c>
      <c r="F316" s="48">
        <f t="shared" si="30"/>
        <v>0</v>
      </c>
      <c r="G316" s="48">
        <f>SUMIF(Pending_Stock!C:C, B316, Pending_Stock!F:F)</f>
        <v>0</v>
      </c>
      <c r="H316" s="49">
        <f>SUMIF(Pending_Stock!I:I, B316, Pending_Stock!L:L)</f>
        <v>0</v>
      </c>
      <c r="I316" s="50">
        <f>SUMIF(ShipToDubai!C:C, B316, ShipToDubai!F:F) - (SUMIFS(Stock_Transactions!D:D, Stock_Transactions!B:B, B316, Stock_Transactions!D:D, "&lt;0") * -1)</f>
        <v>0</v>
      </c>
      <c r="J316" s="38">
        <f>SUMIF(ShipToDubai!C:C, B316, ShipToDubai!G:G)</f>
        <v>0</v>
      </c>
    </row>
    <row r="317" spans="1:10">
      <c r="A317" s="735">
        <f t="shared" si="20"/>
        <v>315</v>
      </c>
      <c r="B317" s="84" t="s">
        <v>4665</v>
      </c>
      <c r="C317" s="1071">
        <f>SUMIFS(Stock_Transactions!D:D, Stock_Transactions!B:B, B317, Stock_Transactions!D:D, "&gt;0")</f>
        <v>2</v>
      </c>
      <c r="D317" s="37">
        <f>SUMIFS(Stock_Transactions!D:D, Stock_Transactions!B:B, B317, Stock_Transactions!D:D, "&lt;0") * -1</f>
        <v>2</v>
      </c>
      <c r="E317" s="79">
        <f t="shared" ref="E317" si="31">C317-D317</f>
        <v>0</v>
      </c>
      <c r="F317" s="48">
        <f t="shared" ref="F317" si="32">E317-G317-H317-I317-J317</f>
        <v>0</v>
      </c>
      <c r="G317" s="48">
        <f>SUMIF(Pending_Stock!C:C, B317, Pending_Stock!F:F)</f>
        <v>0</v>
      </c>
      <c r="H317" s="49">
        <f>SUMIF(Pending_Stock!I:I, B317, Pending_Stock!L:L)</f>
        <v>0</v>
      </c>
      <c r="I317" s="50">
        <f>SUMIF(ShipToDubai!C:C, B317, ShipToDubai!F:F) - (SUMIFS(Stock_Transactions!D:D, Stock_Transactions!B:B, B317, Stock_Transactions!D:D, "&lt;0") * -1)</f>
        <v>0</v>
      </c>
      <c r="J317" s="38">
        <f>SUMIF(ShipToDubai!C:C, B317, ShipToDubai!G:G)</f>
        <v>0</v>
      </c>
    </row>
    <row r="318" spans="1:10">
      <c r="A318" s="735">
        <f t="shared" si="20"/>
        <v>316</v>
      </c>
      <c r="B318" s="93" t="s">
        <v>4662</v>
      </c>
      <c r="C318" s="1071">
        <f>SUMIFS(Stock_Transactions!D:D, Stock_Transactions!B:B, B318, Stock_Transactions!D:D, "&gt;0")</f>
        <v>13</v>
      </c>
      <c r="D318" s="37">
        <f>SUMIFS(Stock_Transactions!D:D, Stock_Transactions!B:B, B318, Stock_Transactions!D:D, "&lt;0") * -1</f>
        <v>0</v>
      </c>
      <c r="E318" s="79">
        <f t="shared" ref="E318:E320" si="33">C318-D318</f>
        <v>13</v>
      </c>
      <c r="F318" s="48">
        <f t="shared" ref="F318:F320" si="34">E318-G318-H318-I318-J318</f>
        <v>0</v>
      </c>
      <c r="G318" s="48">
        <f>SUMIF(Pending_Stock!C:C, B318, Pending_Stock!F:F)</f>
        <v>0</v>
      </c>
      <c r="H318" s="49">
        <f>SUMIF(Pending_Stock!I:I, B318, Pending_Stock!L:L)</f>
        <v>0</v>
      </c>
      <c r="I318" s="50">
        <f>SUMIF(ShipToDubai!C:C, B318, ShipToDubai!F:F) - (SUMIFS(Stock_Transactions!D:D, Stock_Transactions!B:B, B318, Stock_Transactions!D:D, "&lt;0") * -1)</f>
        <v>13</v>
      </c>
      <c r="J318" s="38">
        <f>SUMIF(ShipToDubai!C:C, B318, ShipToDubai!G:G)</f>
        <v>0</v>
      </c>
    </row>
    <row r="319" spans="1:10">
      <c r="A319" s="735">
        <f t="shared" si="20"/>
        <v>317</v>
      </c>
      <c r="B319" s="93" t="s">
        <v>4663</v>
      </c>
      <c r="C319" s="1071">
        <f>SUMIFS(Stock_Transactions!D:D, Stock_Transactions!B:B, B319, Stock_Transactions!D:D, "&gt;0")</f>
        <v>3</v>
      </c>
      <c r="D319" s="37">
        <f>SUMIFS(Stock_Transactions!D:D, Stock_Transactions!B:B, B319, Stock_Transactions!D:D, "&lt;0") * -1</f>
        <v>0</v>
      </c>
      <c r="E319" s="79">
        <f t="shared" si="33"/>
        <v>3</v>
      </c>
      <c r="F319" s="48">
        <f t="shared" si="34"/>
        <v>0</v>
      </c>
      <c r="G319" s="48">
        <f>SUMIF(Pending_Stock!C:C, B319, Pending_Stock!F:F)</f>
        <v>0</v>
      </c>
      <c r="H319" s="49">
        <f>SUMIF(Pending_Stock!I:I, B319, Pending_Stock!L:L)</f>
        <v>0</v>
      </c>
      <c r="I319" s="50">
        <f>SUMIF(ShipToDubai!C:C, B319, ShipToDubai!F:F) - (SUMIFS(Stock_Transactions!D:D, Stock_Transactions!B:B, B319, Stock_Transactions!D:D, "&lt;0") * -1)</f>
        <v>3</v>
      </c>
      <c r="J319" s="38">
        <f>SUMIF(ShipToDubai!C:C, B319, ShipToDubai!G:G)</f>
        <v>0</v>
      </c>
    </row>
    <row r="320" spans="1:10">
      <c r="A320" s="735">
        <f t="shared" si="20"/>
        <v>318</v>
      </c>
      <c r="B320" s="93" t="s">
        <v>4664</v>
      </c>
      <c r="C320" s="1071">
        <f>SUMIFS(Stock_Transactions!D:D, Stock_Transactions!B:B, B320, Stock_Transactions!D:D, "&gt;0")</f>
        <v>2</v>
      </c>
      <c r="D320" s="37">
        <f>SUMIFS(Stock_Transactions!D:D, Stock_Transactions!B:B, B320, Stock_Transactions!D:D, "&lt;0") * -1</f>
        <v>1</v>
      </c>
      <c r="E320" s="79">
        <f t="shared" si="33"/>
        <v>1</v>
      </c>
      <c r="F320" s="48">
        <f t="shared" si="34"/>
        <v>0</v>
      </c>
      <c r="G320" s="48">
        <f>SUMIF(Pending_Stock!C:C, B320, Pending_Stock!F:F)</f>
        <v>0</v>
      </c>
      <c r="H320" s="49">
        <f>SUMIF(Pending_Stock!I:I, B320, Pending_Stock!L:L)</f>
        <v>0</v>
      </c>
      <c r="I320" s="50">
        <f>SUMIF(ShipToDubai!C:C, B320, ShipToDubai!F:F) - (SUMIFS(Stock_Transactions!D:D, Stock_Transactions!B:B, B320, Stock_Transactions!D:D, "&lt;0") * -1)</f>
        <v>1</v>
      </c>
      <c r="J320" s="38">
        <f>SUMIF(ShipToDubai!C:C, B320, ShipToDubai!G:G)</f>
        <v>0</v>
      </c>
    </row>
    <row r="321" spans="1:10">
      <c r="A321" s="735">
        <f t="shared" si="20"/>
        <v>319</v>
      </c>
      <c r="B321" s="329" t="s">
        <v>4503</v>
      </c>
      <c r="C321" s="1071">
        <f>SUMIFS(Stock_Transactions!D:D, Stock_Transactions!B:B, B321, Stock_Transactions!D:D, "&gt;0")</f>
        <v>5</v>
      </c>
      <c r="D321" s="37">
        <f>SUMIFS(Stock_Transactions!D:D, Stock_Transactions!B:B, B321, Stock_Transactions!D:D, "&lt;0") * -1</f>
        <v>1</v>
      </c>
      <c r="E321" s="79">
        <f t="shared" ref="E321" si="35">C321-D321</f>
        <v>4</v>
      </c>
      <c r="F321" s="48">
        <f t="shared" ref="F321" si="36">E321-G321-H321-I321-J321</f>
        <v>1</v>
      </c>
      <c r="G321" s="48">
        <f>SUMIF(Pending_Stock!C:C, B321, Pending_Stock!F:F)</f>
        <v>0</v>
      </c>
      <c r="H321" s="49">
        <f>SUMIF(Pending_Stock!I:I, B321, Pending_Stock!L:L)</f>
        <v>0</v>
      </c>
      <c r="I321" s="50">
        <f>SUMIF(ShipToDubai!C:C, B321, ShipToDubai!F:F) - (SUMIFS(Stock_Transactions!D:D, Stock_Transactions!B:B, B321, Stock_Transactions!D:D, "&lt;0") * -1)</f>
        <v>3</v>
      </c>
      <c r="J321" s="38">
        <f>SUMIF(ShipToDubai!C:C, B321, ShipToDubai!G:G)</f>
        <v>0</v>
      </c>
    </row>
    <row r="322" spans="1:10">
      <c r="A322" s="735">
        <f t="shared" si="20"/>
        <v>320</v>
      </c>
      <c r="B322" s="84" t="s">
        <v>4720</v>
      </c>
      <c r="C322" s="1071">
        <f>SUMIFS(Stock_Transactions!D:D, Stock_Transactions!B:B, B322, Stock_Transactions!D:D, "&gt;0")</f>
        <v>15</v>
      </c>
      <c r="D322" s="37">
        <f>SUMIFS(Stock_Transactions!D:D, Stock_Transactions!B:B, B322, Stock_Transactions!D:D, "&lt;0") * -1</f>
        <v>15</v>
      </c>
      <c r="E322" s="79">
        <f t="shared" ref="E322" si="37">C322-D322</f>
        <v>0</v>
      </c>
      <c r="F322" s="48">
        <f t="shared" ref="F322" si="38">E322-G322-H322-I322-J322</f>
        <v>0</v>
      </c>
      <c r="G322" s="48">
        <f>SUMIF(Pending_Stock!C:C, B322, Pending_Stock!F:F)</f>
        <v>0</v>
      </c>
      <c r="H322" s="49">
        <f>SUMIF(Pending_Stock!I:I, B322, Pending_Stock!L:L)</f>
        <v>0</v>
      </c>
      <c r="I322" s="50">
        <f>SUMIF(ShipToDubai!C:C, B322, ShipToDubai!F:F) - (SUMIFS(Stock_Transactions!D:D, Stock_Transactions!B:B, B322, Stock_Transactions!D:D, "&lt;0") * -1)</f>
        <v>0</v>
      </c>
      <c r="J322" s="38">
        <f>SUMIF(ShipToDubai!C:C, B322, ShipToDubai!G:G)</f>
        <v>0</v>
      </c>
    </row>
    <row r="323" spans="1:10">
      <c r="A323" s="735">
        <f t="shared" si="20"/>
        <v>321</v>
      </c>
      <c r="B323" s="325" t="s">
        <v>4761</v>
      </c>
      <c r="C323" s="1071">
        <f>SUMIFS(Stock_Transactions!D:D, Stock_Transactions!B:B, B323, Stock_Transactions!D:D, "&gt;0")</f>
        <v>2</v>
      </c>
      <c r="D323" s="37">
        <f>SUMIFS(Stock_Transactions!D:D, Stock_Transactions!B:B, B323, Stock_Transactions!D:D, "&lt;0") * -1</f>
        <v>2</v>
      </c>
      <c r="E323" s="79">
        <f t="shared" ref="E323" si="39">C323-D323</f>
        <v>0</v>
      </c>
      <c r="F323" s="48">
        <f t="shared" ref="F323" si="40">E323-G323-H323-I323-J323</f>
        <v>0</v>
      </c>
      <c r="G323" s="48">
        <f>SUMIF(Pending_Stock!C:C, B323, Pending_Stock!F:F)</f>
        <v>0</v>
      </c>
      <c r="H323" s="49">
        <f>SUMIF(Pending_Stock!I:I, B323, Pending_Stock!L:L)</f>
        <v>0</v>
      </c>
      <c r="I323" s="50">
        <f>SUMIF(ShipToDubai!C:C, B323, ShipToDubai!F:F) - (SUMIFS(Stock_Transactions!D:D, Stock_Transactions!B:B, B323, Stock_Transactions!D:D, "&lt;0") * -1)</f>
        <v>0</v>
      </c>
      <c r="J323" s="38">
        <f>SUMIF(ShipToDubai!C:C, B323, ShipToDubai!G:G)</f>
        <v>0</v>
      </c>
    </row>
    <row r="324" spans="1:10">
      <c r="A324" s="735">
        <f t="shared" si="20"/>
        <v>322</v>
      </c>
      <c r="B324" s="329" t="s">
        <v>4822</v>
      </c>
      <c r="C324" s="1071">
        <f>SUMIFS(Stock_Transactions!D:D, Stock_Transactions!B:B, B324, Stock_Transactions!D:D, "&gt;0")</f>
        <v>7</v>
      </c>
      <c r="D324" s="37">
        <f>SUMIFS(Stock_Transactions!D:D, Stock_Transactions!B:B, B324, Stock_Transactions!D:D, "&lt;0") * -1</f>
        <v>4</v>
      </c>
      <c r="E324" s="79">
        <f t="shared" ref="E324:E325" si="41">C324-D324</f>
        <v>3</v>
      </c>
      <c r="F324" s="48">
        <f t="shared" ref="F324:F325" si="42">E324-G324-H324-I324-J324</f>
        <v>2</v>
      </c>
      <c r="G324" s="48">
        <f>SUMIF(Pending_Stock!C:C, B324, Pending_Stock!F:F)</f>
        <v>0</v>
      </c>
      <c r="H324" s="49">
        <f>SUMIF(Pending_Stock!I:I, B324, Pending_Stock!L:L)</f>
        <v>0</v>
      </c>
      <c r="I324" s="50">
        <f>SUMIF(ShipToDubai!C:C, B324, ShipToDubai!F:F) - (SUMIFS(Stock_Transactions!D:D, Stock_Transactions!B:B, B324, Stock_Transactions!D:D, "&lt;0") * -1)</f>
        <v>1</v>
      </c>
      <c r="J324" s="38">
        <f>SUMIF(ShipToDubai!C:C, B324, ShipToDubai!G:G)</f>
        <v>0</v>
      </c>
    </row>
    <row r="325" spans="1:10">
      <c r="A325" s="735">
        <f t="shared" si="20"/>
        <v>323</v>
      </c>
      <c r="B325" s="329" t="s">
        <v>4800</v>
      </c>
      <c r="C325" s="1071">
        <f>SUMIFS(Stock_Transactions!D:D, Stock_Transactions!B:B, B325, Stock_Transactions!D:D, "&gt;0")</f>
        <v>476</v>
      </c>
      <c r="D325" s="37">
        <f>SUMIFS(Stock_Transactions!D:D, Stock_Transactions!B:B, B325, Stock_Transactions!D:D, "&lt;0") * -1</f>
        <v>136</v>
      </c>
      <c r="E325" s="79">
        <f t="shared" si="41"/>
        <v>340</v>
      </c>
      <c r="F325" s="48">
        <f t="shared" si="42"/>
        <v>40</v>
      </c>
      <c r="G325" s="48">
        <f>SUMIF(Pending_Stock!C:C, B325, Pending_Stock!F:F)</f>
        <v>0</v>
      </c>
      <c r="H325" s="49">
        <f>SUMIF(Pending_Stock!I:I, B325, Pending_Stock!L:L)</f>
        <v>0</v>
      </c>
      <c r="I325" s="50">
        <f>SUMIF(ShipToDubai!C:C, B325, ShipToDubai!F:F) - (SUMIFS(Stock_Transactions!D:D, Stock_Transactions!B:B, B325, Stock_Transactions!D:D, "&lt;0") * -1)</f>
        <v>300</v>
      </c>
      <c r="J325" s="38">
        <f>SUMIF(ShipToDubai!C:C, B325, ShipToDubai!G:G)</f>
        <v>0</v>
      </c>
    </row>
    <row r="326" spans="1:10">
      <c r="A326" s="735">
        <f t="shared" si="20"/>
        <v>324</v>
      </c>
      <c r="B326" s="84" t="s">
        <v>3464</v>
      </c>
      <c r="C326" s="1071">
        <f>SUMIFS(Stock_Transactions!D:D, Stock_Transactions!B:B, B326, Stock_Transactions!D:D, "&gt;0")</f>
        <v>5</v>
      </c>
      <c r="D326" s="37">
        <f>SUMIFS(Stock_Transactions!D:D, Stock_Transactions!B:B, B326, Stock_Transactions!D:D, "&lt;0") * -1</f>
        <v>0</v>
      </c>
      <c r="E326" s="79">
        <f t="shared" ref="E326" si="43">C326-D326</f>
        <v>5</v>
      </c>
      <c r="F326" s="48">
        <f t="shared" ref="F326" si="44">E326-G326-H326-I326-J326</f>
        <v>0</v>
      </c>
      <c r="G326" s="48">
        <f>SUMIF(Pending_Stock!C:C, B326, Pending_Stock!F:F)</f>
        <v>0</v>
      </c>
      <c r="H326" s="49">
        <f>SUMIF(Pending_Stock!I:I, B326, Pending_Stock!L:L)</f>
        <v>0</v>
      </c>
      <c r="I326" s="50">
        <f>SUMIF(ShipToDubai!C:C, B326, ShipToDubai!F:F) - (SUMIFS(Stock_Transactions!D:D, Stock_Transactions!B:B, B326, Stock_Transactions!D:D, "&lt;0") * -1)</f>
        <v>5</v>
      </c>
      <c r="J326" s="38">
        <f>SUMIF(ShipToDubai!C:C, B326, ShipToDubai!G:G)</f>
        <v>0</v>
      </c>
    </row>
    <row r="327" spans="1:10">
      <c r="A327" s="735">
        <f t="shared" si="20"/>
        <v>325</v>
      </c>
      <c r="B327" s="93" t="s">
        <v>4900</v>
      </c>
      <c r="C327" s="1071">
        <f>SUMIFS(Stock_Transactions!D:D, Stock_Transactions!B:B, B327, Stock_Transactions!D:D, "&gt;0")</f>
        <v>2</v>
      </c>
      <c r="D327" s="37">
        <f>SUMIFS(Stock_Transactions!D:D, Stock_Transactions!B:B, B327, Stock_Transactions!D:D, "&lt;0") * -1</f>
        <v>2</v>
      </c>
      <c r="E327" s="79">
        <f t="shared" ref="E327:E329" si="45">C327-D327</f>
        <v>0</v>
      </c>
      <c r="F327" s="48">
        <f t="shared" ref="F327:F329" si="46">E327-G327-H327-I327-J327</f>
        <v>0</v>
      </c>
      <c r="G327" s="48">
        <f>SUMIF(Pending_Stock!C:C, B327, Pending_Stock!F:F)</f>
        <v>0</v>
      </c>
      <c r="H327" s="49">
        <f>SUMIF(Pending_Stock!I:I, B327, Pending_Stock!L:L)</f>
        <v>0</v>
      </c>
      <c r="I327" s="50">
        <f>SUMIF(ShipToDubai!C:C, B327, ShipToDubai!F:F) - (SUMIFS(Stock_Transactions!D:D, Stock_Transactions!B:B, B327, Stock_Transactions!D:D, "&lt;0") * -1)</f>
        <v>0</v>
      </c>
      <c r="J327" s="38">
        <f>SUMIF(ShipToDubai!C:C, B327, ShipToDubai!G:G)</f>
        <v>0</v>
      </c>
    </row>
    <row r="328" spans="1:10">
      <c r="A328" s="735">
        <f t="shared" ref="A328:A334" si="47">A327+1</f>
        <v>326</v>
      </c>
      <c r="B328" s="93" t="s">
        <v>4851</v>
      </c>
      <c r="C328" s="1071">
        <f>SUMIFS(Stock_Transactions!D:D, Stock_Transactions!B:B, B328, Stock_Transactions!D:D, "&gt;0")</f>
        <v>1</v>
      </c>
      <c r="D328" s="37">
        <f>SUMIFS(Stock_Transactions!D:D, Stock_Transactions!B:B, B328, Stock_Transactions!D:D, "&lt;0") * -1</f>
        <v>1</v>
      </c>
      <c r="E328" s="79">
        <f t="shared" si="45"/>
        <v>0</v>
      </c>
      <c r="F328" s="48">
        <f t="shared" si="46"/>
        <v>0</v>
      </c>
      <c r="G328" s="48">
        <f>SUMIF(Pending_Stock!C:C, B328, Pending_Stock!F:F)</f>
        <v>0</v>
      </c>
      <c r="H328" s="49">
        <f>SUMIF(Pending_Stock!I:I, B328, Pending_Stock!L:L)</f>
        <v>0</v>
      </c>
      <c r="I328" s="50">
        <f>SUMIF(ShipToDubai!C:C, B328, ShipToDubai!F:F) - (SUMIFS(Stock_Transactions!D:D, Stock_Transactions!B:B, B328, Stock_Transactions!D:D, "&lt;0") * -1)</f>
        <v>0</v>
      </c>
      <c r="J328" s="38">
        <f>SUMIF(ShipToDubai!C:C, B328, ShipToDubai!G:G)</f>
        <v>0</v>
      </c>
    </row>
    <row r="329" spans="1:10">
      <c r="A329" s="735">
        <f t="shared" si="47"/>
        <v>327</v>
      </c>
      <c r="B329" s="93" t="s">
        <v>4901</v>
      </c>
      <c r="C329" s="1071">
        <f>SUMIFS(Stock_Transactions!D:D, Stock_Transactions!B:B, B329, Stock_Transactions!D:D, "&gt;0")</f>
        <v>1</v>
      </c>
      <c r="D329" s="37">
        <f>SUMIFS(Stock_Transactions!D:D, Stock_Transactions!B:B, B329, Stock_Transactions!D:D, "&lt;0") * -1</f>
        <v>1</v>
      </c>
      <c r="E329" s="79">
        <f t="shared" si="45"/>
        <v>0</v>
      </c>
      <c r="F329" s="48">
        <f t="shared" si="46"/>
        <v>0</v>
      </c>
      <c r="G329" s="48">
        <f>SUMIF(Pending_Stock!C:C, B329, Pending_Stock!F:F)</f>
        <v>0</v>
      </c>
      <c r="H329" s="49">
        <f>SUMIF(Pending_Stock!I:I, B329, Pending_Stock!L:L)</f>
        <v>0</v>
      </c>
      <c r="I329" s="50">
        <f>SUMIF(ShipToDubai!C:C, B329, ShipToDubai!F:F) - (SUMIFS(Stock_Transactions!D:D, Stock_Transactions!B:B, B329, Stock_Transactions!D:D, "&lt;0") * -1)</f>
        <v>0</v>
      </c>
      <c r="J329" s="38">
        <f>SUMIF(ShipToDubai!C:C, B329, ShipToDubai!G:G)</f>
        <v>0</v>
      </c>
    </row>
    <row r="330" spans="1:10">
      <c r="A330" s="735">
        <f t="shared" si="47"/>
        <v>328</v>
      </c>
      <c r="B330" s="93" t="s">
        <v>5008</v>
      </c>
      <c r="C330" s="1071">
        <f>SUMIFS(Stock_Transactions!D:D, Stock_Transactions!B:B, B330, Stock_Transactions!D:D, "&gt;0")</f>
        <v>1</v>
      </c>
      <c r="D330" s="37">
        <f>SUMIFS(Stock_Transactions!D:D, Stock_Transactions!B:B, B330, Stock_Transactions!D:D, "&lt;0") * -1</f>
        <v>0</v>
      </c>
      <c r="E330" s="79">
        <f t="shared" ref="E330" si="48">C330-D330</f>
        <v>1</v>
      </c>
      <c r="F330" s="48">
        <f t="shared" ref="F330" si="49">E330-G330-H330-I330-J330</f>
        <v>0</v>
      </c>
      <c r="G330" s="48">
        <f>SUMIF(Pending_Stock!C:C, B330, Pending_Stock!F:F)</f>
        <v>0</v>
      </c>
      <c r="H330" s="49">
        <f>SUMIF(Pending_Stock!I:I, B330, Pending_Stock!L:L)</f>
        <v>0</v>
      </c>
      <c r="I330" s="50">
        <f>SUMIF(ShipToDubai!C:C, B330, ShipToDubai!F:F) - (SUMIFS(Stock_Transactions!D:D, Stock_Transactions!B:B, B330, Stock_Transactions!D:D, "&lt;0") * -1)</f>
        <v>1</v>
      </c>
      <c r="J330" s="38">
        <f>SUMIF(ShipToDubai!C:C, B330, ShipToDubai!G:G)</f>
        <v>0</v>
      </c>
    </row>
    <row r="331" spans="1:10">
      <c r="A331" s="735">
        <f t="shared" si="47"/>
        <v>329</v>
      </c>
      <c r="B331" s="84" t="s">
        <v>5081</v>
      </c>
      <c r="C331" s="1071">
        <f>SUMIFS(Stock_Transactions!D:D, Stock_Transactions!B:B, B331, Stock_Transactions!D:D, "&gt;0")</f>
        <v>0</v>
      </c>
      <c r="D331" s="37">
        <f>SUMIFS(Stock_Transactions!D:D, Stock_Transactions!B:B, B331, Stock_Transactions!D:D, "&lt;0") * -1</f>
        <v>0</v>
      </c>
      <c r="E331" s="79">
        <f t="shared" ref="E331:E332" si="50">C331-D331</f>
        <v>0</v>
      </c>
      <c r="F331" s="48">
        <f t="shared" ref="F331:F332" si="51">E331-G331-H331-I331-J331</f>
        <v>0</v>
      </c>
      <c r="G331" s="48">
        <f>SUMIF(Pending_Stock!C:C, B331, Pending_Stock!F:F)</f>
        <v>0</v>
      </c>
      <c r="H331" s="49">
        <f>SUMIF(Pending_Stock!I:I, B331, Pending_Stock!L:L)</f>
        <v>0</v>
      </c>
      <c r="I331" s="50">
        <f>SUMIF(ShipToDubai!C:C, B331, ShipToDubai!F:F) - (SUMIFS(Stock_Transactions!D:D, Stock_Transactions!B:B, B331, Stock_Transactions!D:D, "&lt;0") * -1)</f>
        <v>0</v>
      </c>
      <c r="J331" s="38">
        <f>SUMIF(ShipToDubai!C:C, B331, ShipToDubai!G:G)</f>
        <v>0</v>
      </c>
    </row>
    <row r="332" spans="1:10">
      <c r="A332" s="735">
        <f t="shared" si="47"/>
        <v>330</v>
      </c>
      <c r="B332" s="93" t="s">
        <v>5082</v>
      </c>
      <c r="C332" s="1071">
        <f>SUMIFS(Stock_Transactions!D:D, Stock_Transactions!B:B, B332, Stock_Transactions!D:D, "&gt;0")</f>
        <v>1</v>
      </c>
      <c r="D332" s="37">
        <f>SUMIFS(Stock_Transactions!D:D, Stock_Transactions!B:B, B332, Stock_Transactions!D:D, "&lt;0") * -1</f>
        <v>0</v>
      </c>
      <c r="E332" s="79">
        <f t="shared" si="50"/>
        <v>1</v>
      </c>
      <c r="F332" s="48">
        <f t="shared" si="51"/>
        <v>0</v>
      </c>
      <c r="G332" s="48">
        <f>SUMIF(Pending_Stock!C:C, B332, Pending_Stock!F:F)</f>
        <v>0</v>
      </c>
      <c r="H332" s="49">
        <f>SUMIF(Pending_Stock!I:I, B332, Pending_Stock!L:L)</f>
        <v>0</v>
      </c>
      <c r="I332" s="50">
        <f>SUMIF(ShipToDubai!C:C, B332, ShipToDubai!F:F) - (SUMIFS(Stock_Transactions!D:D, Stock_Transactions!B:B, B332, Stock_Transactions!D:D, "&lt;0") * -1)</f>
        <v>1</v>
      </c>
      <c r="J332" s="38">
        <f>SUMIF(ShipToDubai!C:C, B332, ShipToDubai!G:G)</f>
        <v>0</v>
      </c>
    </row>
    <row r="333" spans="1:10">
      <c r="A333" s="735">
        <f t="shared" si="47"/>
        <v>331</v>
      </c>
      <c r="B333" s="84" t="s">
        <v>5136</v>
      </c>
      <c r="C333" s="1071">
        <f>SUMIFS(Stock_Transactions!D:D, Stock_Transactions!B:B, B333, Stock_Transactions!D:D, "&gt;0")</f>
        <v>1</v>
      </c>
      <c r="D333" s="37">
        <f>SUMIFS(Stock_Transactions!D:D, Stock_Transactions!B:B, B333, Stock_Transactions!D:D, "&lt;0") * -1</f>
        <v>0</v>
      </c>
      <c r="E333" s="79">
        <f t="shared" ref="E333" si="52">C333-D333</f>
        <v>1</v>
      </c>
      <c r="F333" s="48">
        <f t="shared" ref="F333" si="53">E333-G333-H333-I333-J333</f>
        <v>0</v>
      </c>
      <c r="G333" s="48">
        <f>SUMIF(Pending_Stock!C:C, B333, Pending_Stock!F:F)</f>
        <v>0</v>
      </c>
      <c r="H333" s="49">
        <f>SUMIF(Pending_Stock!I:I, B333, Pending_Stock!L:L)</f>
        <v>0</v>
      </c>
      <c r="I333" s="50">
        <f>SUMIF(ShipToDubai!C:C, B333, ShipToDubai!F:F) - (SUMIFS(Stock_Transactions!D:D, Stock_Transactions!B:B, B333, Stock_Transactions!D:D, "&lt;0") * -1)</f>
        <v>1</v>
      </c>
      <c r="J333" s="38">
        <f>SUMIF(ShipToDubai!C:C, B333, ShipToDubai!G:G)</f>
        <v>0</v>
      </c>
    </row>
    <row r="334" spans="1:10">
      <c r="A334" s="735">
        <f t="shared" si="47"/>
        <v>332</v>
      </c>
      <c r="B334" s="343" t="s">
        <v>5256</v>
      </c>
      <c r="C334" s="1071">
        <f>SUMIFS(Stock_Transactions!D:D, Stock_Transactions!B:B, B334, Stock_Transactions!D:D, "&gt;0")</f>
        <v>1</v>
      </c>
      <c r="D334" s="37">
        <f>SUMIFS(Stock_Transactions!D:D, Stock_Transactions!B:B, B334, Stock_Transactions!D:D, "&lt;0") * -1</f>
        <v>1</v>
      </c>
      <c r="E334" s="79">
        <f t="shared" ref="E334" si="54">C334-D334</f>
        <v>0</v>
      </c>
      <c r="F334" s="48">
        <f t="shared" ref="F334" si="55">E334-G334-H334-I334-J334</f>
        <v>0</v>
      </c>
      <c r="G334" s="48">
        <f>SUMIF(Pending_Stock!C:C, B334, Pending_Stock!F:F)</f>
        <v>0</v>
      </c>
      <c r="H334" s="49">
        <f>SUMIF(Pending_Stock!I:I, B334, Pending_Stock!L:L)</f>
        <v>0</v>
      </c>
      <c r="I334" s="50">
        <f>SUMIF(ShipToDubai!C:C, B334, ShipToDubai!F:F) - (SUMIFS(Stock_Transactions!D:D, Stock_Transactions!B:B, B334, Stock_Transactions!D:D, "&lt;0") * -1)</f>
        <v>0</v>
      </c>
      <c r="J334" s="38">
        <f>SUMIF(ShipToDubai!C:C, B334, ShipToDubai!G:G)</f>
        <v>0</v>
      </c>
    </row>
    <row r="1525" spans="4:4">
      <c r="D1525" s="38">
        <v>-1</v>
      </c>
    </row>
    <row r="1526" spans="4:4">
      <c r="D1526" s="38">
        <v>-4</v>
      </c>
    </row>
  </sheetData>
  <autoFilter ref="A2:J334" xr:uid="{00000000-0001-0000-0200-000000000000}">
    <sortState xmlns:xlrd2="http://schemas.microsoft.com/office/spreadsheetml/2017/richdata2" ref="A35:J248">
      <sortCondition ref="B2:B320"/>
    </sortState>
  </autoFilter>
  <mergeCells count="1">
    <mergeCell ref="F1:G1"/>
  </mergeCells>
  <phoneticPr fontId="3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T1384"/>
  <sheetViews>
    <sheetView topLeftCell="A1313" zoomScale="70" zoomScaleNormal="70" workbookViewId="0">
      <selection activeCell="C1325" sqref="C1325"/>
    </sheetView>
  </sheetViews>
  <sheetFormatPr defaultRowHeight="15"/>
  <cols>
    <col min="2" max="2" width="14.85546875" customWidth="1"/>
    <col min="3" max="3" width="75.42578125" customWidth="1"/>
    <col min="4" max="4" width="8.85546875" style="126"/>
    <col min="5" max="5" width="18.5703125" customWidth="1"/>
    <col min="6" max="6" width="20.5703125" customWidth="1"/>
    <col min="7" max="7" width="31.140625" style="62" customWidth="1"/>
    <col min="9" max="9" width="14.42578125" style="1" customWidth="1"/>
    <col min="10" max="10" width="57.42578125" customWidth="1"/>
    <col min="11" max="11" width="6.5703125" customWidth="1"/>
    <col min="12" max="12" width="17.140625" customWidth="1"/>
    <col min="13" max="13" width="18.42578125" customWidth="1"/>
    <col min="14" max="14" width="28.140625" style="61" customWidth="1"/>
  </cols>
  <sheetData>
    <row r="2" spans="2:14" ht="24">
      <c r="G2" s="1529" t="s">
        <v>26</v>
      </c>
      <c r="H2" s="1529"/>
      <c r="I2" s="1529"/>
    </row>
    <row r="3" spans="2:14">
      <c r="B3" s="1531" t="s">
        <v>27</v>
      </c>
      <c r="C3" s="1532"/>
      <c r="I3" s="1531" t="s">
        <v>27</v>
      </c>
      <c r="J3" s="1532"/>
    </row>
    <row r="4" spans="2:14" ht="21">
      <c r="B4" s="1530" t="s">
        <v>28</v>
      </c>
      <c r="C4" s="1530"/>
      <c r="D4" s="1530"/>
      <c r="E4" s="1530"/>
      <c r="F4" s="1530"/>
      <c r="G4" s="1530"/>
      <c r="I4" s="1530" t="s">
        <v>21</v>
      </c>
      <c r="J4" s="1530"/>
      <c r="K4" s="1530"/>
      <c r="L4" s="1530"/>
      <c r="M4" s="1530"/>
      <c r="N4" s="1530"/>
    </row>
    <row r="5" spans="2:14" ht="18.75">
      <c r="B5" s="46" t="s">
        <v>1</v>
      </c>
      <c r="C5" s="46" t="s">
        <v>2</v>
      </c>
      <c r="D5" s="119" t="s">
        <v>3</v>
      </c>
      <c r="E5" s="46" t="s">
        <v>4</v>
      </c>
      <c r="F5" s="46" t="s">
        <v>29</v>
      </c>
      <c r="G5" s="63" t="s">
        <v>26</v>
      </c>
      <c r="I5" s="47" t="s">
        <v>1</v>
      </c>
      <c r="J5" s="47" t="s">
        <v>2</v>
      </c>
      <c r="K5" s="47" t="s">
        <v>3</v>
      </c>
      <c r="L5" s="47" t="s">
        <v>105</v>
      </c>
      <c r="M5" s="47" t="s">
        <v>106</v>
      </c>
      <c r="N5" s="69" t="s">
        <v>26</v>
      </c>
    </row>
    <row r="6" spans="2:14" ht="24" customHeight="1">
      <c r="B6" s="20">
        <v>45701</v>
      </c>
      <c r="C6" s="21" t="s">
        <v>42</v>
      </c>
      <c r="D6" s="120">
        <v>5</v>
      </c>
      <c r="E6" s="55">
        <v>188</v>
      </c>
      <c r="F6" s="7">
        <f>E6*D6</f>
        <v>940</v>
      </c>
      <c r="G6" s="64">
        <f>F6/11</f>
        <v>85.454545454545453</v>
      </c>
      <c r="I6" s="20">
        <v>45672</v>
      </c>
      <c r="J6" s="21" t="s">
        <v>34</v>
      </c>
      <c r="K6" s="54">
        <v>19</v>
      </c>
      <c r="L6" s="71">
        <v>580</v>
      </c>
      <c r="M6" s="2">
        <f>L6*K6</f>
        <v>11020</v>
      </c>
      <c r="N6" s="70">
        <f>M6*13.04/100</f>
        <v>1437.0079999999998</v>
      </c>
    </row>
    <row r="7" spans="2:14" ht="20.25" customHeight="1">
      <c r="B7" s="20">
        <v>45701</v>
      </c>
      <c r="C7" s="21" t="s">
        <v>43</v>
      </c>
      <c r="D7" s="120">
        <v>125</v>
      </c>
      <c r="E7" s="55">
        <v>133.30000000000001</v>
      </c>
      <c r="F7" s="7">
        <f t="shared" ref="F7:F18" si="0">E7*D7</f>
        <v>16662.5</v>
      </c>
      <c r="G7" s="64">
        <f t="shared" ref="G7:G36" si="1">F7/11</f>
        <v>1514.7727272727273</v>
      </c>
      <c r="I7" s="2"/>
      <c r="J7" s="2"/>
      <c r="K7" s="2"/>
      <c r="L7" s="2"/>
      <c r="M7" s="2">
        <f t="shared" ref="M7:M34" si="2">L7*K7</f>
        <v>0</v>
      </c>
      <c r="N7" s="70">
        <f t="shared" ref="N7:N34" si="3">M7*13.04/100</f>
        <v>0</v>
      </c>
    </row>
    <row r="8" spans="2:14">
      <c r="B8" s="2"/>
      <c r="C8" s="2"/>
      <c r="D8" s="121"/>
      <c r="E8" s="2"/>
      <c r="F8" s="7">
        <f t="shared" si="0"/>
        <v>0</v>
      </c>
      <c r="G8" s="64">
        <f t="shared" si="1"/>
        <v>0</v>
      </c>
      <c r="I8" s="20">
        <v>45695</v>
      </c>
      <c r="J8" s="21" t="s">
        <v>37</v>
      </c>
      <c r="K8" s="54">
        <v>500</v>
      </c>
      <c r="L8" s="71">
        <v>630</v>
      </c>
      <c r="M8" s="2">
        <f t="shared" si="2"/>
        <v>315000</v>
      </c>
      <c r="N8" s="70">
        <f t="shared" si="3"/>
        <v>41075.999999999993</v>
      </c>
    </row>
    <row r="9" spans="2:14">
      <c r="B9" s="8"/>
      <c r="C9" s="8"/>
      <c r="D9" s="122"/>
      <c r="E9" s="8"/>
      <c r="F9" s="7">
        <f t="shared" si="0"/>
        <v>0</v>
      </c>
      <c r="G9" s="64">
        <f t="shared" si="1"/>
        <v>0</v>
      </c>
      <c r="I9" s="20">
        <v>45695</v>
      </c>
      <c r="J9" s="21" t="s">
        <v>38</v>
      </c>
      <c r="K9" s="54">
        <v>150</v>
      </c>
      <c r="L9" s="71">
        <v>148</v>
      </c>
      <c r="M9" s="2">
        <f t="shared" si="2"/>
        <v>22200</v>
      </c>
      <c r="N9" s="70">
        <f t="shared" si="3"/>
        <v>2894.88</v>
      </c>
    </row>
    <row r="10" spans="2:14">
      <c r="B10" s="20">
        <v>45709</v>
      </c>
      <c r="C10" s="21" t="s">
        <v>98</v>
      </c>
      <c r="D10" s="120">
        <v>1</v>
      </c>
      <c r="E10" s="55">
        <v>1919</v>
      </c>
      <c r="F10" s="7">
        <f t="shared" si="0"/>
        <v>1919</v>
      </c>
      <c r="G10" s="64">
        <f t="shared" si="1"/>
        <v>174.45454545454547</v>
      </c>
      <c r="I10" s="20">
        <v>45695</v>
      </c>
      <c r="J10" s="21" t="s">
        <v>39</v>
      </c>
      <c r="K10" s="54">
        <v>50</v>
      </c>
      <c r="L10" s="71">
        <v>145</v>
      </c>
      <c r="M10" s="2">
        <f t="shared" si="2"/>
        <v>7250</v>
      </c>
      <c r="N10" s="70">
        <f t="shared" si="3"/>
        <v>945.4</v>
      </c>
    </row>
    <row r="11" spans="2:14">
      <c r="B11" s="20">
        <v>45709</v>
      </c>
      <c r="C11" s="21" t="s">
        <v>99</v>
      </c>
      <c r="D11" s="120">
        <v>1</v>
      </c>
      <c r="E11" s="55">
        <v>1934</v>
      </c>
      <c r="F11" s="7">
        <f t="shared" si="0"/>
        <v>1934</v>
      </c>
      <c r="G11" s="64">
        <f t="shared" si="1"/>
        <v>175.81818181818181</v>
      </c>
      <c r="I11" s="20">
        <v>45695</v>
      </c>
      <c r="J11" s="21" t="s">
        <v>40</v>
      </c>
      <c r="K11" s="54">
        <v>250</v>
      </c>
      <c r="L11" s="71">
        <v>149</v>
      </c>
      <c r="M11" s="2">
        <f t="shared" si="2"/>
        <v>37250</v>
      </c>
      <c r="N11" s="70">
        <f t="shared" si="3"/>
        <v>4857.3999999999996</v>
      </c>
    </row>
    <row r="12" spans="2:14">
      <c r="B12" s="20">
        <v>45709</v>
      </c>
      <c r="C12" s="21" t="s">
        <v>100</v>
      </c>
      <c r="D12" s="120">
        <v>7</v>
      </c>
      <c r="E12" s="55">
        <v>2349</v>
      </c>
      <c r="F12" s="7">
        <f t="shared" si="0"/>
        <v>16443</v>
      </c>
      <c r="G12" s="64">
        <f t="shared" si="1"/>
        <v>1494.8181818181818</v>
      </c>
      <c r="I12" s="19"/>
      <c r="J12" s="18"/>
      <c r="K12" s="18"/>
      <c r="L12" s="18"/>
      <c r="M12" s="2">
        <f t="shared" si="2"/>
        <v>0</v>
      </c>
      <c r="N12" s="70">
        <f t="shared" si="3"/>
        <v>0</v>
      </c>
    </row>
    <row r="13" spans="2:14">
      <c r="B13" s="20">
        <v>45709</v>
      </c>
      <c r="C13" s="21" t="s">
        <v>101</v>
      </c>
      <c r="D13" s="120">
        <v>1</v>
      </c>
      <c r="E13" s="55">
        <v>2349</v>
      </c>
      <c r="F13" s="7">
        <f t="shared" si="0"/>
        <v>2349</v>
      </c>
      <c r="G13" s="64">
        <f t="shared" si="1"/>
        <v>213.54545454545453</v>
      </c>
      <c r="I13" s="20">
        <v>45705</v>
      </c>
      <c r="J13" s="21" t="s">
        <v>40</v>
      </c>
      <c r="K13" s="54">
        <v>250</v>
      </c>
      <c r="L13" s="71">
        <v>149</v>
      </c>
      <c r="M13" s="2">
        <f t="shared" si="2"/>
        <v>37250</v>
      </c>
      <c r="N13" s="70">
        <f t="shared" si="3"/>
        <v>4857.3999999999996</v>
      </c>
    </row>
    <row r="14" spans="2:14" ht="30">
      <c r="B14" s="20">
        <v>45709</v>
      </c>
      <c r="C14" s="21" t="s">
        <v>102</v>
      </c>
      <c r="D14" s="120">
        <v>1</v>
      </c>
      <c r="E14" s="55">
        <v>2349</v>
      </c>
      <c r="F14" s="7">
        <f t="shared" si="0"/>
        <v>2349</v>
      </c>
      <c r="G14" s="64">
        <f t="shared" si="1"/>
        <v>213.54545454545453</v>
      </c>
      <c r="I14" s="19"/>
      <c r="J14" s="18"/>
      <c r="K14" s="18"/>
      <c r="L14" s="18"/>
      <c r="M14" s="2">
        <f t="shared" si="2"/>
        <v>0</v>
      </c>
      <c r="N14" s="70">
        <f t="shared" si="3"/>
        <v>0</v>
      </c>
    </row>
    <row r="15" spans="2:14" ht="31.5">
      <c r="B15" s="20">
        <v>45709</v>
      </c>
      <c r="C15" s="56" t="s">
        <v>103</v>
      </c>
      <c r="D15" s="120">
        <v>10</v>
      </c>
      <c r="E15" s="55">
        <v>188</v>
      </c>
      <c r="F15" s="7">
        <f t="shared" si="0"/>
        <v>1880</v>
      </c>
      <c r="G15" s="64">
        <f t="shared" si="1"/>
        <v>170.90909090909091</v>
      </c>
      <c r="I15" s="20">
        <v>45706</v>
      </c>
      <c r="J15" s="21" t="s">
        <v>44</v>
      </c>
      <c r="K15" s="54">
        <v>200</v>
      </c>
      <c r="L15" s="71">
        <v>549</v>
      </c>
      <c r="M15" s="2">
        <f t="shared" si="2"/>
        <v>109800</v>
      </c>
      <c r="N15" s="70">
        <f t="shared" si="3"/>
        <v>14317.92</v>
      </c>
    </row>
    <row r="16" spans="2:14">
      <c r="B16" s="20">
        <v>45709</v>
      </c>
      <c r="C16" s="21" t="s">
        <v>13</v>
      </c>
      <c r="D16" s="120">
        <v>1</v>
      </c>
      <c r="E16" s="55">
        <v>248</v>
      </c>
      <c r="F16" s="7">
        <f t="shared" si="0"/>
        <v>248</v>
      </c>
      <c r="G16" s="64">
        <f t="shared" si="1"/>
        <v>22.545454545454547</v>
      </c>
      <c r="H16" s="66"/>
      <c r="I16" s="20">
        <v>45706</v>
      </c>
      <c r="J16" s="21" t="s">
        <v>45</v>
      </c>
      <c r="K16" s="54">
        <v>6</v>
      </c>
      <c r="L16" s="71">
        <v>145</v>
      </c>
      <c r="M16" s="2">
        <f t="shared" si="2"/>
        <v>870</v>
      </c>
      <c r="N16" s="70">
        <f t="shared" si="3"/>
        <v>113.44799999999999</v>
      </c>
    </row>
    <row r="17" spans="2:14">
      <c r="B17" s="20">
        <v>45709</v>
      </c>
      <c r="C17" s="21" t="s">
        <v>14</v>
      </c>
      <c r="D17" s="120">
        <v>1</v>
      </c>
      <c r="E17" s="55">
        <v>203</v>
      </c>
      <c r="F17" s="7">
        <f t="shared" si="0"/>
        <v>203</v>
      </c>
      <c r="G17" s="64">
        <f t="shared" si="1"/>
        <v>18.454545454545453</v>
      </c>
      <c r="I17" s="20">
        <v>45706</v>
      </c>
      <c r="J17" s="21" t="s">
        <v>46</v>
      </c>
      <c r="K17" s="54">
        <v>15</v>
      </c>
      <c r="L17" s="71">
        <v>695</v>
      </c>
      <c r="M17" s="2">
        <f t="shared" si="2"/>
        <v>10425</v>
      </c>
      <c r="N17" s="70">
        <f t="shared" si="3"/>
        <v>1359.42</v>
      </c>
    </row>
    <row r="18" spans="2:14">
      <c r="B18" s="57">
        <v>45709</v>
      </c>
      <c r="C18" s="58" t="s">
        <v>15</v>
      </c>
      <c r="D18" s="123">
        <v>1</v>
      </c>
      <c r="E18" s="59">
        <v>143</v>
      </c>
      <c r="F18" s="60">
        <f t="shared" si="0"/>
        <v>143</v>
      </c>
      <c r="G18" s="65">
        <f t="shared" si="1"/>
        <v>13</v>
      </c>
      <c r="I18" s="19"/>
      <c r="J18" s="18"/>
      <c r="K18" s="18"/>
      <c r="L18" s="18"/>
      <c r="M18" s="2">
        <f t="shared" si="2"/>
        <v>0</v>
      </c>
      <c r="N18" s="70">
        <f t="shared" si="3"/>
        <v>0</v>
      </c>
    </row>
    <row r="19" spans="2:14">
      <c r="B19" s="20">
        <v>45709</v>
      </c>
      <c r="C19" s="21" t="s">
        <v>16</v>
      </c>
      <c r="D19" s="120">
        <v>1</v>
      </c>
      <c r="E19" s="55">
        <v>250</v>
      </c>
      <c r="F19" s="19">
        <f>E19*D19</f>
        <v>250</v>
      </c>
      <c r="G19" s="66">
        <f t="shared" si="1"/>
        <v>22.727272727272727</v>
      </c>
      <c r="I19" s="81">
        <v>45727</v>
      </c>
      <c r="J19" s="80" t="s">
        <v>147</v>
      </c>
      <c r="K19" s="18">
        <v>153</v>
      </c>
      <c r="L19" s="18">
        <v>520</v>
      </c>
      <c r="M19" s="2">
        <f t="shared" si="2"/>
        <v>79560</v>
      </c>
      <c r="N19" s="70">
        <f t="shared" si="3"/>
        <v>10374.624</v>
      </c>
    </row>
    <row r="20" spans="2:14">
      <c r="B20" s="18"/>
      <c r="C20" s="18"/>
      <c r="D20" s="125"/>
      <c r="E20" s="18"/>
      <c r="F20" s="19">
        <f t="shared" ref="F20:F35" si="4">E20*D20</f>
        <v>0</v>
      </c>
      <c r="G20" s="66">
        <f t="shared" si="1"/>
        <v>0</v>
      </c>
      <c r="I20" s="81">
        <v>45727</v>
      </c>
      <c r="J20" s="80" t="s">
        <v>148</v>
      </c>
      <c r="K20" s="18">
        <v>250</v>
      </c>
      <c r="L20" s="18">
        <v>149</v>
      </c>
      <c r="M20" s="2">
        <f t="shared" si="2"/>
        <v>37250</v>
      </c>
      <c r="N20" s="70">
        <f t="shared" si="3"/>
        <v>4857.3999999999996</v>
      </c>
    </row>
    <row r="21" spans="2:14">
      <c r="B21" s="18"/>
      <c r="C21" s="18"/>
      <c r="D21" s="125"/>
      <c r="E21" s="18"/>
      <c r="F21" s="19">
        <f t="shared" si="4"/>
        <v>0</v>
      </c>
      <c r="G21" s="66">
        <f t="shared" si="1"/>
        <v>0</v>
      </c>
      <c r="I21" s="19"/>
      <c r="J21" s="18"/>
      <c r="K21" s="18"/>
      <c r="L21" s="18"/>
      <c r="M21" s="2">
        <f t="shared" si="2"/>
        <v>0</v>
      </c>
      <c r="N21" s="70">
        <f t="shared" si="3"/>
        <v>0</v>
      </c>
    </row>
    <row r="22" spans="2:14">
      <c r="B22" s="18"/>
      <c r="C22" s="18"/>
      <c r="D22" s="125"/>
      <c r="E22" s="18"/>
      <c r="F22" s="19">
        <f t="shared" si="4"/>
        <v>0</v>
      </c>
      <c r="G22" s="66">
        <f t="shared" si="1"/>
        <v>0</v>
      </c>
      <c r="I22" s="81">
        <v>45750</v>
      </c>
      <c r="J22" s="19" t="s">
        <v>319</v>
      </c>
      <c r="K22" s="19">
        <v>10</v>
      </c>
      <c r="L22" s="19">
        <v>759</v>
      </c>
      <c r="M22" s="2">
        <f t="shared" si="2"/>
        <v>7590</v>
      </c>
      <c r="N22" s="70">
        <f t="shared" si="3"/>
        <v>989.73599999999988</v>
      </c>
    </row>
    <row r="23" spans="2:14">
      <c r="B23" s="72">
        <v>45710</v>
      </c>
      <c r="C23" s="18" t="s">
        <v>109</v>
      </c>
      <c r="D23" s="125">
        <v>3</v>
      </c>
      <c r="E23" s="73">
        <v>2364</v>
      </c>
      <c r="F23" s="19">
        <f t="shared" si="4"/>
        <v>7092</v>
      </c>
      <c r="G23" s="66">
        <f t="shared" si="1"/>
        <v>644.72727272727275</v>
      </c>
      <c r="I23" s="19"/>
      <c r="J23" s="18"/>
      <c r="K23" s="18"/>
      <c r="L23" s="18"/>
      <c r="M23" s="2">
        <f t="shared" si="2"/>
        <v>0</v>
      </c>
      <c r="N23" s="70">
        <f t="shared" si="3"/>
        <v>0</v>
      </c>
    </row>
    <row r="24" spans="2:14">
      <c r="B24" s="72">
        <v>45710</v>
      </c>
      <c r="C24" s="18" t="s">
        <v>110</v>
      </c>
      <c r="D24" s="125">
        <v>10</v>
      </c>
      <c r="E24" s="73">
        <v>2349</v>
      </c>
      <c r="F24" s="19">
        <f t="shared" si="4"/>
        <v>23490</v>
      </c>
      <c r="G24" s="66">
        <f t="shared" si="1"/>
        <v>2135.4545454545455</v>
      </c>
      <c r="I24" s="81">
        <v>45784</v>
      </c>
      <c r="J24" s="80" t="s">
        <v>629</v>
      </c>
      <c r="K24" s="19">
        <v>147</v>
      </c>
      <c r="L24" s="19">
        <v>520</v>
      </c>
      <c r="M24" s="2">
        <f t="shared" si="2"/>
        <v>76440</v>
      </c>
      <c r="N24" s="70">
        <f t="shared" si="3"/>
        <v>9967.7759999999998</v>
      </c>
    </row>
    <row r="25" spans="2:14">
      <c r="B25" s="72">
        <v>45711</v>
      </c>
      <c r="C25" s="18" t="s">
        <v>108</v>
      </c>
      <c r="D25" s="125">
        <v>1</v>
      </c>
      <c r="E25" s="73">
        <v>2349</v>
      </c>
      <c r="F25" s="19">
        <f>E25*D25</f>
        <v>2349</v>
      </c>
      <c r="G25" s="66">
        <f t="shared" si="1"/>
        <v>213.54545454545453</v>
      </c>
      <c r="I25" s="81">
        <v>45784</v>
      </c>
      <c r="J25" s="80" t="s">
        <v>630</v>
      </c>
      <c r="K25" s="19">
        <v>500</v>
      </c>
      <c r="L25" s="19">
        <v>28.99</v>
      </c>
      <c r="M25" s="2">
        <f t="shared" si="2"/>
        <v>14495</v>
      </c>
      <c r="N25" s="70">
        <f t="shared" si="3"/>
        <v>1890.1479999999999</v>
      </c>
    </row>
    <row r="26" spans="2:14">
      <c r="B26" s="72">
        <v>45711</v>
      </c>
      <c r="C26" s="18" t="s">
        <v>108</v>
      </c>
      <c r="D26" s="125">
        <v>1</v>
      </c>
      <c r="E26" s="77">
        <v>2349</v>
      </c>
      <c r="F26" s="19">
        <f>E26*D26</f>
        <v>2349</v>
      </c>
      <c r="I26" s="81">
        <v>45784</v>
      </c>
      <c r="J26" s="80" t="s">
        <v>631</v>
      </c>
      <c r="K26" s="19">
        <v>200</v>
      </c>
      <c r="L26" s="19">
        <v>328.99</v>
      </c>
      <c r="M26" s="2">
        <f t="shared" si="2"/>
        <v>65798</v>
      </c>
      <c r="N26" s="70">
        <f t="shared" si="3"/>
        <v>8580.0591999999997</v>
      </c>
    </row>
    <row r="27" spans="2:14">
      <c r="B27" s="72">
        <v>45711</v>
      </c>
      <c r="C27" s="18" t="s">
        <v>118</v>
      </c>
      <c r="D27" s="125">
        <v>1</v>
      </c>
      <c r="E27" s="73">
        <v>1919</v>
      </c>
      <c r="F27" s="19">
        <f>E27*D27</f>
        <v>1919</v>
      </c>
      <c r="G27" s="66">
        <f t="shared" si="1"/>
        <v>174.45454545454547</v>
      </c>
      <c r="I27" s="81">
        <v>45784</v>
      </c>
      <c r="J27" s="80" t="s">
        <v>632</v>
      </c>
      <c r="K27" s="19">
        <v>10</v>
      </c>
      <c r="L27" s="19">
        <v>759</v>
      </c>
      <c r="M27" s="2">
        <f t="shared" si="2"/>
        <v>7590</v>
      </c>
      <c r="N27" s="70">
        <f t="shared" si="3"/>
        <v>989.73599999999988</v>
      </c>
    </row>
    <row r="28" spans="2:14">
      <c r="B28" s="72"/>
      <c r="C28" s="18"/>
      <c r="D28" s="125"/>
      <c r="E28" s="73"/>
      <c r="F28" s="19">
        <f t="shared" si="4"/>
        <v>0</v>
      </c>
      <c r="G28" s="66">
        <f t="shared" si="1"/>
        <v>0</v>
      </c>
      <c r="I28" s="81">
        <v>45784</v>
      </c>
      <c r="J28" s="80" t="s">
        <v>632</v>
      </c>
      <c r="K28" s="19">
        <v>10</v>
      </c>
      <c r="L28" s="19">
        <v>759</v>
      </c>
      <c r="M28" s="2">
        <f t="shared" si="2"/>
        <v>7590</v>
      </c>
      <c r="N28" s="70">
        <f t="shared" si="3"/>
        <v>989.73599999999988</v>
      </c>
    </row>
    <row r="29" spans="2:14">
      <c r="B29" s="72">
        <v>45714</v>
      </c>
      <c r="C29" s="18" t="s">
        <v>128</v>
      </c>
      <c r="D29" s="125">
        <v>4</v>
      </c>
      <c r="E29" s="19">
        <v>2349</v>
      </c>
      <c r="F29" s="19">
        <f t="shared" si="4"/>
        <v>9396</v>
      </c>
      <c r="G29" s="66">
        <f t="shared" si="1"/>
        <v>854.18181818181813</v>
      </c>
      <c r="I29" s="81">
        <v>45784</v>
      </c>
      <c r="J29" s="80" t="s">
        <v>632</v>
      </c>
      <c r="K29" s="19">
        <v>2</v>
      </c>
      <c r="L29" s="19">
        <v>759</v>
      </c>
      <c r="M29" s="2">
        <f t="shared" si="2"/>
        <v>1518</v>
      </c>
      <c r="N29" s="70">
        <f t="shared" si="3"/>
        <v>197.94719999999998</v>
      </c>
    </row>
    <row r="30" spans="2:14">
      <c r="B30" s="72">
        <v>45714</v>
      </c>
      <c r="C30" s="18" t="s">
        <v>129</v>
      </c>
      <c r="D30" s="125">
        <v>3</v>
      </c>
      <c r="E30" s="19">
        <v>2349</v>
      </c>
      <c r="F30" s="19">
        <f t="shared" si="4"/>
        <v>7047</v>
      </c>
      <c r="G30" s="66">
        <f t="shared" si="1"/>
        <v>640.63636363636363</v>
      </c>
      <c r="I30" s="81">
        <v>45784</v>
      </c>
      <c r="J30" s="80" t="s">
        <v>632</v>
      </c>
      <c r="K30" s="19">
        <v>2</v>
      </c>
      <c r="L30" s="19">
        <v>759</v>
      </c>
      <c r="M30" s="2">
        <f t="shared" si="2"/>
        <v>1518</v>
      </c>
      <c r="N30" s="70">
        <f t="shared" si="3"/>
        <v>197.94719999999998</v>
      </c>
    </row>
    <row r="31" spans="2:14">
      <c r="B31" s="72"/>
      <c r="C31" s="18"/>
      <c r="D31" s="125"/>
      <c r="E31" s="73"/>
      <c r="F31" s="19">
        <f t="shared" si="4"/>
        <v>0</v>
      </c>
      <c r="G31" s="66">
        <f t="shared" si="1"/>
        <v>0</v>
      </c>
      <c r="I31" s="81">
        <v>45784</v>
      </c>
      <c r="J31" s="80" t="s">
        <v>632</v>
      </c>
      <c r="K31" s="19">
        <v>10</v>
      </c>
      <c r="L31" s="19">
        <v>759</v>
      </c>
      <c r="M31" s="2">
        <f t="shared" si="2"/>
        <v>7590</v>
      </c>
      <c r="N31" s="70">
        <f t="shared" si="3"/>
        <v>989.73599999999988</v>
      </c>
    </row>
    <row r="32" spans="2:14">
      <c r="B32" s="72">
        <v>45715</v>
      </c>
      <c r="C32" s="18" t="s">
        <v>128</v>
      </c>
      <c r="D32" s="125">
        <v>3</v>
      </c>
      <c r="E32" s="19">
        <v>2349</v>
      </c>
      <c r="F32" s="19">
        <f t="shared" si="4"/>
        <v>7047</v>
      </c>
      <c r="G32" s="66">
        <f t="shared" si="1"/>
        <v>640.63636363636363</v>
      </c>
      <c r="I32" s="81">
        <v>45784</v>
      </c>
      <c r="J32" s="80" t="s">
        <v>633</v>
      </c>
      <c r="K32" s="19">
        <v>250</v>
      </c>
      <c r="L32" s="19">
        <v>149</v>
      </c>
      <c r="M32" s="2">
        <f t="shared" si="2"/>
        <v>37250</v>
      </c>
      <c r="N32" s="70">
        <f t="shared" si="3"/>
        <v>4857.3999999999996</v>
      </c>
    </row>
    <row r="33" spans="2:14">
      <c r="B33" s="72">
        <v>45715</v>
      </c>
      <c r="C33" s="18" t="s">
        <v>129</v>
      </c>
      <c r="D33" s="125">
        <v>10</v>
      </c>
      <c r="E33" s="19">
        <v>2349</v>
      </c>
      <c r="F33" s="19">
        <f t="shared" si="4"/>
        <v>23490</v>
      </c>
      <c r="G33" s="66">
        <f t="shared" si="1"/>
        <v>2135.4545454545455</v>
      </c>
      <c r="I33" s="81">
        <v>45784</v>
      </c>
      <c r="J33" s="80" t="s">
        <v>630</v>
      </c>
      <c r="K33" s="19">
        <v>200</v>
      </c>
      <c r="L33" s="19">
        <v>28.99</v>
      </c>
      <c r="M33" s="2">
        <f t="shared" si="2"/>
        <v>5798</v>
      </c>
      <c r="N33" s="70">
        <f t="shared" si="3"/>
        <v>756.05920000000003</v>
      </c>
    </row>
    <row r="34" spans="2:14">
      <c r="B34" s="18"/>
      <c r="C34" s="18"/>
      <c r="D34" s="125"/>
      <c r="E34" s="73"/>
      <c r="F34" s="19">
        <f t="shared" si="4"/>
        <v>0</v>
      </c>
      <c r="G34" s="66">
        <f t="shared" si="1"/>
        <v>0</v>
      </c>
      <c r="I34" s="75"/>
      <c r="J34" s="76"/>
      <c r="K34" s="76"/>
      <c r="L34" s="76"/>
      <c r="M34" s="8">
        <f t="shared" si="2"/>
        <v>0</v>
      </c>
      <c r="N34" s="70">
        <f t="shared" si="3"/>
        <v>0</v>
      </c>
    </row>
    <row r="35" spans="2:14">
      <c r="B35" s="18"/>
      <c r="C35" s="18"/>
      <c r="D35" s="125"/>
      <c r="E35" s="73"/>
      <c r="F35" s="19">
        <f t="shared" si="4"/>
        <v>0</v>
      </c>
      <c r="G35" s="66">
        <f t="shared" si="1"/>
        <v>0</v>
      </c>
      <c r="I35" s="19"/>
      <c r="J35" s="18"/>
      <c r="K35" s="18"/>
      <c r="L35" s="18"/>
      <c r="M35" s="19">
        <f t="shared" ref="M35:M57" si="5">L35*K35</f>
        <v>0</v>
      </c>
      <c r="N35" s="271">
        <f t="shared" ref="N35:N57" si="6">M35*13.04/100</f>
        <v>0</v>
      </c>
    </row>
    <row r="36" spans="2:14">
      <c r="B36" s="113">
        <v>45718</v>
      </c>
      <c r="C36" s="114" t="s">
        <v>209</v>
      </c>
      <c r="D36" s="124">
        <v>1</v>
      </c>
      <c r="E36" s="115">
        <v>2349</v>
      </c>
      <c r="F36" s="115">
        <f t="shared" ref="F36:F41" si="7">E36*D36</f>
        <v>2349</v>
      </c>
      <c r="G36" s="66">
        <f t="shared" si="1"/>
        <v>213.54545454545453</v>
      </c>
      <c r="I36" s="81">
        <v>45785</v>
      </c>
      <c r="J36" s="80" t="s">
        <v>638</v>
      </c>
      <c r="K36" s="19">
        <v>5</v>
      </c>
      <c r="L36" s="19">
        <v>755</v>
      </c>
      <c r="M36" s="19">
        <f t="shared" si="5"/>
        <v>3775</v>
      </c>
      <c r="N36" s="271">
        <f t="shared" si="6"/>
        <v>492.26</v>
      </c>
    </row>
    <row r="37" spans="2:14">
      <c r="B37" s="113">
        <v>45718</v>
      </c>
      <c r="C37" s="114" t="s">
        <v>209</v>
      </c>
      <c r="D37" s="124">
        <v>1</v>
      </c>
      <c r="E37" s="115">
        <v>2364</v>
      </c>
      <c r="F37" s="115">
        <f t="shared" si="7"/>
        <v>2364</v>
      </c>
      <c r="G37" s="66">
        <f>F37/11</f>
        <v>214.90909090909091</v>
      </c>
      <c r="I37" s="81">
        <v>45785</v>
      </c>
      <c r="J37" s="80" t="s">
        <v>639</v>
      </c>
      <c r="K37" s="19">
        <v>5</v>
      </c>
      <c r="L37" s="19">
        <v>965</v>
      </c>
      <c r="M37" s="19">
        <f t="shared" si="5"/>
        <v>4825</v>
      </c>
      <c r="N37" s="271">
        <f t="shared" si="6"/>
        <v>629.17999999999995</v>
      </c>
    </row>
    <row r="38" spans="2:14">
      <c r="B38" s="113">
        <v>45719</v>
      </c>
      <c r="C38" s="114" t="s">
        <v>209</v>
      </c>
      <c r="D38" s="124">
        <v>1</v>
      </c>
      <c r="E38" s="115">
        <v>2349</v>
      </c>
      <c r="F38" s="115">
        <f t="shared" si="7"/>
        <v>2349</v>
      </c>
      <c r="G38" s="66">
        <f t="shared" ref="G38:G56" si="8">F38/11</f>
        <v>213.54545454545453</v>
      </c>
      <c r="I38" s="81">
        <v>45785</v>
      </c>
      <c r="J38" s="80" t="s">
        <v>640</v>
      </c>
      <c r="K38" s="19">
        <v>5</v>
      </c>
      <c r="L38" s="19">
        <v>1205</v>
      </c>
      <c r="M38" s="19">
        <f t="shared" si="5"/>
        <v>6025</v>
      </c>
      <c r="N38" s="271">
        <f>M38*13.04/100</f>
        <v>785.66</v>
      </c>
    </row>
    <row r="39" spans="2:14">
      <c r="B39" s="113">
        <v>45719</v>
      </c>
      <c r="C39" s="114" t="s">
        <v>209</v>
      </c>
      <c r="D39" s="124">
        <v>1</v>
      </c>
      <c r="E39" s="115">
        <v>2364</v>
      </c>
      <c r="F39" s="115">
        <f t="shared" si="7"/>
        <v>2364</v>
      </c>
      <c r="G39" s="66">
        <f t="shared" si="8"/>
        <v>214.90909090909091</v>
      </c>
      <c r="I39" s="19"/>
      <c r="J39" s="18"/>
      <c r="K39" s="18"/>
      <c r="L39" s="18"/>
      <c r="M39" s="19">
        <f t="shared" si="5"/>
        <v>0</v>
      </c>
      <c r="N39" s="271">
        <f t="shared" si="6"/>
        <v>0</v>
      </c>
    </row>
    <row r="40" spans="2:14">
      <c r="B40" s="113">
        <v>45720</v>
      </c>
      <c r="C40" s="114" t="s">
        <v>209</v>
      </c>
      <c r="D40" s="124">
        <v>2</v>
      </c>
      <c r="E40" s="115">
        <v>2349</v>
      </c>
      <c r="F40" s="115">
        <f t="shared" si="7"/>
        <v>4698</v>
      </c>
      <c r="G40" s="66">
        <f t="shared" si="8"/>
        <v>427.09090909090907</v>
      </c>
      <c r="I40" s="19"/>
      <c r="J40" s="18"/>
      <c r="K40" s="18"/>
      <c r="L40" s="18"/>
      <c r="M40" s="19">
        <f t="shared" si="5"/>
        <v>0</v>
      </c>
      <c r="N40" s="271">
        <f t="shared" si="6"/>
        <v>0</v>
      </c>
    </row>
    <row r="41" spans="2:14">
      <c r="B41" s="113">
        <v>45720</v>
      </c>
      <c r="C41" s="114" t="s">
        <v>209</v>
      </c>
      <c r="D41" s="124">
        <v>1</v>
      </c>
      <c r="E41" s="115">
        <v>2364</v>
      </c>
      <c r="F41" s="115">
        <f t="shared" si="7"/>
        <v>2364</v>
      </c>
      <c r="G41" s="66">
        <f t="shared" si="8"/>
        <v>214.90909090909091</v>
      </c>
      <c r="I41" s="81">
        <v>45805</v>
      </c>
      <c r="J41" s="80" t="s">
        <v>722</v>
      </c>
      <c r="K41" s="19">
        <v>200</v>
      </c>
      <c r="L41" s="19">
        <v>492</v>
      </c>
      <c r="M41" s="19">
        <f t="shared" si="5"/>
        <v>98400</v>
      </c>
      <c r="N41" s="271">
        <f t="shared" si="6"/>
        <v>12831.36</v>
      </c>
    </row>
    <row r="42" spans="2:14">
      <c r="B42" s="113">
        <v>45720</v>
      </c>
      <c r="C42" s="114" t="s">
        <v>210</v>
      </c>
      <c r="D42" s="124">
        <v>5</v>
      </c>
      <c r="E42" s="115">
        <v>2349</v>
      </c>
      <c r="F42" s="19">
        <f t="shared" ref="F42:F56" si="9">E42*D42</f>
        <v>11745</v>
      </c>
      <c r="G42" s="66">
        <f t="shared" si="8"/>
        <v>1067.7272727272727</v>
      </c>
      <c r="I42" s="81">
        <v>45805</v>
      </c>
      <c r="J42" s="80" t="s">
        <v>723</v>
      </c>
      <c r="K42" s="19">
        <v>100</v>
      </c>
      <c r="L42" s="19">
        <v>329</v>
      </c>
      <c r="M42" s="19">
        <f t="shared" si="5"/>
        <v>32900</v>
      </c>
      <c r="N42" s="271">
        <f t="shared" si="6"/>
        <v>4290.16</v>
      </c>
    </row>
    <row r="43" spans="2:14" ht="18.75">
      <c r="B43" s="113">
        <v>45721</v>
      </c>
      <c r="C43" s="116" t="s">
        <v>181</v>
      </c>
      <c r="D43" s="124">
        <v>1</v>
      </c>
      <c r="E43" s="115">
        <v>2349</v>
      </c>
      <c r="F43" s="19">
        <f t="shared" si="9"/>
        <v>2349</v>
      </c>
      <c r="G43" s="66">
        <f t="shared" si="8"/>
        <v>213.54545454545453</v>
      </c>
      <c r="I43" s="81">
        <v>45805</v>
      </c>
      <c r="J43" s="80" t="s">
        <v>724</v>
      </c>
      <c r="K43" s="19">
        <v>20</v>
      </c>
      <c r="L43" s="19">
        <v>745</v>
      </c>
      <c r="M43" s="19">
        <f t="shared" si="5"/>
        <v>14900</v>
      </c>
      <c r="N43" s="271">
        <f t="shared" si="6"/>
        <v>1942.96</v>
      </c>
    </row>
    <row r="44" spans="2:14">
      <c r="B44" s="113">
        <v>45721</v>
      </c>
      <c r="C44" s="114" t="s">
        <v>209</v>
      </c>
      <c r="D44" s="124">
        <v>3</v>
      </c>
      <c r="E44" s="115">
        <v>2349</v>
      </c>
      <c r="F44" s="19">
        <f t="shared" si="9"/>
        <v>7047</v>
      </c>
      <c r="G44" s="66">
        <f t="shared" si="8"/>
        <v>640.63636363636363</v>
      </c>
      <c r="I44" s="19"/>
      <c r="J44" s="18"/>
      <c r="K44" s="18"/>
      <c r="L44" s="18"/>
      <c r="M44" s="19">
        <f t="shared" si="5"/>
        <v>0</v>
      </c>
      <c r="N44" s="271">
        <f t="shared" si="6"/>
        <v>0</v>
      </c>
    </row>
    <row r="45" spans="2:14">
      <c r="B45" s="113">
        <v>45722</v>
      </c>
      <c r="C45" s="114" t="s">
        <v>209</v>
      </c>
      <c r="D45" s="124">
        <v>3</v>
      </c>
      <c r="E45" s="115">
        <v>2364</v>
      </c>
      <c r="F45" s="19">
        <f t="shared" si="9"/>
        <v>7092</v>
      </c>
      <c r="G45" s="66">
        <f t="shared" si="8"/>
        <v>644.72727272727275</v>
      </c>
      <c r="I45" s="81">
        <v>45813</v>
      </c>
      <c r="J45" s="80" t="s">
        <v>722</v>
      </c>
      <c r="K45" s="19">
        <v>300</v>
      </c>
      <c r="L45" s="19">
        <v>492</v>
      </c>
      <c r="M45" s="19">
        <f t="shared" si="5"/>
        <v>147600</v>
      </c>
      <c r="N45" s="271">
        <f t="shared" si="6"/>
        <v>19247.039999999997</v>
      </c>
    </row>
    <row r="46" spans="2:14">
      <c r="B46" s="113">
        <v>45722</v>
      </c>
      <c r="C46" s="114" t="s">
        <v>210</v>
      </c>
      <c r="D46" s="124">
        <v>1</v>
      </c>
      <c r="E46" s="115">
        <v>2349</v>
      </c>
      <c r="F46" s="19">
        <f t="shared" si="9"/>
        <v>2349</v>
      </c>
      <c r="G46" s="66">
        <f t="shared" si="8"/>
        <v>213.54545454545453</v>
      </c>
      <c r="I46" s="81">
        <v>45813</v>
      </c>
      <c r="J46" s="80" t="s">
        <v>728</v>
      </c>
      <c r="K46" s="19">
        <v>250</v>
      </c>
      <c r="L46" s="19">
        <v>149</v>
      </c>
      <c r="M46" s="19">
        <f t="shared" si="5"/>
        <v>37250</v>
      </c>
      <c r="N46" s="271">
        <f t="shared" si="6"/>
        <v>4857.3999999999996</v>
      </c>
    </row>
    <row r="47" spans="2:14">
      <c r="B47" s="113">
        <v>45723</v>
      </c>
      <c r="C47" s="114" t="s">
        <v>209</v>
      </c>
      <c r="D47" s="124">
        <v>2</v>
      </c>
      <c r="E47" s="115">
        <v>2364</v>
      </c>
      <c r="F47" s="19">
        <f t="shared" si="9"/>
        <v>4728</v>
      </c>
      <c r="G47" s="66">
        <f t="shared" si="8"/>
        <v>429.81818181818181</v>
      </c>
      <c r="I47" s="19"/>
      <c r="J47" s="18"/>
      <c r="K47" s="18"/>
      <c r="L47" s="18"/>
      <c r="M47" s="19">
        <f t="shared" si="5"/>
        <v>0</v>
      </c>
      <c r="N47" s="271">
        <f t="shared" si="6"/>
        <v>0</v>
      </c>
    </row>
    <row r="48" spans="2:14" ht="18.75">
      <c r="B48" s="113">
        <v>45724</v>
      </c>
      <c r="C48" s="116" t="s">
        <v>182</v>
      </c>
      <c r="D48" s="124">
        <v>1</v>
      </c>
      <c r="E48" s="115">
        <v>2349</v>
      </c>
      <c r="F48" s="19">
        <f t="shared" si="9"/>
        <v>2349</v>
      </c>
      <c r="G48" s="66">
        <f t="shared" si="8"/>
        <v>213.54545454545453</v>
      </c>
      <c r="I48" s="81">
        <v>45831</v>
      </c>
      <c r="J48" s="80" t="s">
        <v>778</v>
      </c>
      <c r="K48" s="19">
        <v>4</v>
      </c>
      <c r="L48" s="19">
        <v>775</v>
      </c>
      <c r="M48" s="19">
        <f t="shared" si="5"/>
        <v>3100</v>
      </c>
      <c r="N48" s="271">
        <f t="shared" si="6"/>
        <v>404.24</v>
      </c>
    </row>
    <row r="49" spans="2:14">
      <c r="B49" s="113">
        <v>45724</v>
      </c>
      <c r="C49" s="114" t="s">
        <v>210</v>
      </c>
      <c r="D49" s="124">
        <v>5</v>
      </c>
      <c r="E49" s="115">
        <v>2349</v>
      </c>
      <c r="F49" s="19">
        <f t="shared" si="9"/>
        <v>11745</v>
      </c>
      <c r="G49" s="66">
        <f t="shared" si="8"/>
        <v>1067.7272727272727</v>
      </c>
      <c r="I49" s="19"/>
      <c r="J49" s="18"/>
      <c r="K49" s="18"/>
      <c r="L49" s="18"/>
      <c r="M49" s="19">
        <f t="shared" si="5"/>
        <v>0</v>
      </c>
      <c r="N49" s="271">
        <f t="shared" si="6"/>
        <v>0</v>
      </c>
    </row>
    <row r="50" spans="2:14">
      <c r="B50" s="113">
        <v>45727</v>
      </c>
      <c r="C50" s="114" t="s">
        <v>209</v>
      </c>
      <c r="D50" s="124">
        <v>2</v>
      </c>
      <c r="E50" s="115">
        <v>2349</v>
      </c>
      <c r="F50" s="19">
        <f t="shared" si="9"/>
        <v>4698</v>
      </c>
      <c r="G50" s="66">
        <f t="shared" si="8"/>
        <v>427.09090909090907</v>
      </c>
      <c r="I50" s="81">
        <v>45831</v>
      </c>
      <c r="J50" s="80" t="s">
        <v>778</v>
      </c>
      <c r="K50" s="19">
        <v>4</v>
      </c>
      <c r="L50" s="19">
        <v>775</v>
      </c>
      <c r="M50" s="19">
        <f t="shared" si="5"/>
        <v>3100</v>
      </c>
      <c r="N50" s="271">
        <f t="shared" si="6"/>
        <v>404.24</v>
      </c>
    </row>
    <row r="51" spans="2:14">
      <c r="B51" s="113">
        <v>45727</v>
      </c>
      <c r="C51" s="114" t="s">
        <v>210</v>
      </c>
      <c r="D51" s="124">
        <v>2</v>
      </c>
      <c r="E51" s="115">
        <v>2349</v>
      </c>
      <c r="F51" s="19">
        <f t="shared" si="9"/>
        <v>4698</v>
      </c>
      <c r="G51" s="66">
        <f t="shared" si="8"/>
        <v>427.09090909090907</v>
      </c>
      <c r="I51" s="19"/>
      <c r="J51" s="18"/>
      <c r="K51" s="18"/>
      <c r="L51" s="18"/>
      <c r="M51" s="19">
        <f t="shared" si="5"/>
        <v>0</v>
      </c>
      <c r="N51" s="271">
        <f t="shared" si="6"/>
        <v>0</v>
      </c>
    </row>
    <row r="52" spans="2:14">
      <c r="B52" s="113">
        <v>45728</v>
      </c>
      <c r="C52" s="114" t="s">
        <v>209</v>
      </c>
      <c r="D52" s="124">
        <v>2</v>
      </c>
      <c r="E52" s="115">
        <v>2349</v>
      </c>
      <c r="F52" s="19">
        <f t="shared" si="9"/>
        <v>4698</v>
      </c>
      <c r="G52" s="66">
        <f t="shared" si="8"/>
        <v>427.09090909090907</v>
      </c>
      <c r="I52" s="81">
        <v>45839</v>
      </c>
      <c r="J52" s="18" t="s">
        <v>811</v>
      </c>
      <c r="K52" s="19">
        <v>5</v>
      </c>
      <c r="L52" s="19">
        <v>1380</v>
      </c>
      <c r="M52" s="19">
        <f t="shared" si="5"/>
        <v>6900</v>
      </c>
      <c r="N52" s="271">
        <f t="shared" si="6"/>
        <v>899.76</v>
      </c>
    </row>
    <row r="53" spans="2:14">
      <c r="B53" s="113">
        <v>45729</v>
      </c>
      <c r="C53" s="114" t="s">
        <v>183</v>
      </c>
      <c r="D53" s="124">
        <v>9</v>
      </c>
      <c r="E53" s="115">
        <v>1549</v>
      </c>
      <c r="F53" s="19">
        <f t="shared" si="9"/>
        <v>13941</v>
      </c>
      <c r="G53" s="66">
        <f t="shared" si="8"/>
        <v>1267.3636363636363</v>
      </c>
      <c r="I53" s="81">
        <v>45839</v>
      </c>
      <c r="J53" s="18" t="s">
        <v>812</v>
      </c>
      <c r="K53" s="19">
        <v>1</v>
      </c>
      <c r="L53" s="19">
        <v>1295</v>
      </c>
      <c r="M53" s="19">
        <f t="shared" si="5"/>
        <v>1295</v>
      </c>
      <c r="N53" s="271">
        <f t="shared" si="6"/>
        <v>168.86799999999999</v>
      </c>
    </row>
    <row r="54" spans="2:14" ht="18.75">
      <c r="B54" s="113">
        <v>45729</v>
      </c>
      <c r="C54" s="116" t="s">
        <v>184</v>
      </c>
      <c r="D54" s="124">
        <v>2</v>
      </c>
      <c r="E54" s="115">
        <v>1549</v>
      </c>
      <c r="F54" s="19">
        <f t="shared" si="9"/>
        <v>3098</v>
      </c>
      <c r="G54" s="66">
        <f t="shared" si="8"/>
        <v>281.63636363636363</v>
      </c>
      <c r="I54" s="81">
        <v>45839</v>
      </c>
      <c r="J54" s="18" t="s">
        <v>813</v>
      </c>
      <c r="K54" s="19">
        <v>1</v>
      </c>
      <c r="L54" s="19">
        <v>1375</v>
      </c>
      <c r="M54" s="19">
        <f t="shared" si="5"/>
        <v>1375</v>
      </c>
      <c r="N54" s="271"/>
    </row>
    <row r="55" spans="2:14">
      <c r="B55" s="18"/>
      <c r="C55" s="18"/>
      <c r="D55" s="125"/>
      <c r="E55" s="18"/>
      <c r="F55" s="19">
        <f t="shared" si="9"/>
        <v>0</v>
      </c>
      <c r="G55" s="66">
        <f t="shared" si="8"/>
        <v>0</v>
      </c>
      <c r="I55" s="81">
        <v>45839</v>
      </c>
      <c r="J55" s="18" t="s">
        <v>814</v>
      </c>
      <c r="K55" s="19">
        <v>1</v>
      </c>
      <c r="L55" s="19">
        <v>852</v>
      </c>
      <c r="M55" s="19">
        <f t="shared" si="5"/>
        <v>852</v>
      </c>
      <c r="N55" s="271">
        <f t="shared" si="6"/>
        <v>111.10079999999999</v>
      </c>
    </row>
    <row r="56" spans="2:14">
      <c r="B56" s="72">
        <v>45730</v>
      </c>
      <c r="C56" s="80" t="s">
        <v>191</v>
      </c>
      <c r="D56" s="125">
        <v>5</v>
      </c>
      <c r="E56" s="19">
        <v>679</v>
      </c>
      <c r="F56" s="19">
        <f t="shared" si="9"/>
        <v>3395</v>
      </c>
      <c r="G56" s="66">
        <f t="shared" si="8"/>
        <v>308.63636363636363</v>
      </c>
      <c r="I56" s="81">
        <v>45839</v>
      </c>
      <c r="J56" s="18" t="s">
        <v>815</v>
      </c>
      <c r="K56" s="19">
        <v>4</v>
      </c>
      <c r="L56" s="19">
        <v>679</v>
      </c>
      <c r="M56" s="19">
        <f t="shared" si="5"/>
        <v>2716</v>
      </c>
      <c r="N56" s="271">
        <f t="shared" si="6"/>
        <v>354.16640000000001</v>
      </c>
    </row>
    <row r="57" spans="2:14">
      <c r="B57" s="72">
        <v>45730</v>
      </c>
      <c r="C57" s="80" t="s">
        <v>206</v>
      </c>
      <c r="D57" s="125">
        <v>8</v>
      </c>
      <c r="E57" s="19">
        <v>229</v>
      </c>
      <c r="F57" s="19">
        <f t="shared" ref="F57:F76" si="10">E57*D57</f>
        <v>1832</v>
      </c>
      <c r="G57" s="66">
        <f t="shared" ref="G57:G76" si="11">F57/11</f>
        <v>166.54545454545453</v>
      </c>
      <c r="I57" s="19"/>
      <c r="J57" s="19"/>
      <c r="K57" s="19"/>
      <c r="L57" s="19"/>
      <c r="M57" s="19">
        <f t="shared" si="5"/>
        <v>0</v>
      </c>
      <c r="N57" s="271">
        <f t="shared" si="6"/>
        <v>0</v>
      </c>
    </row>
    <row r="58" spans="2:14">
      <c r="B58" s="72">
        <v>45730</v>
      </c>
      <c r="C58" s="80" t="s">
        <v>192</v>
      </c>
      <c r="D58" s="125">
        <v>2</v>
      </c>
      <c r="E58" s="19">
        <v>679</v>
      </c>
      <c r="F58" s="19">
        <f t="shared" si="10"/>
        <v>1358</v>
      </c>
      <c r="G58" s="66">
        <f t="shared" si="11"/>
        <v>123.45454545454545</v>
      </c>
      <c r="I58" s="81">
        <v>45840</v>
      </c>
      <c r="J58" s="18" t="s">
        <v>816</v>
      </c>
      <c r="K58" s="19">
        <v>2</v>
      </c>
      <c r="L58" s="19">
        <v>1229</v>
      </c>
      <c r="M58" s="19">
        <f t="shared" ref="M58:M67" si="12">L58*K58</f>
        <v>2458</v>
      </c>
      <c r="N58" s="271">
        <f t="shared" ref="N58:N67" si="13">M58*13.04/100</f>
        <v>320.52319999999997</v>
      </c>
    </row>
    <row r="59" spans="2:14">
      <c r="B59" s="72">
        <v>45730</v>
      </c>
      <c r="C59" s="80" t="s">
        <v>207</v>
      </c>
      <c r="D59" s="125">
        <v>6</v>
      </c>
      <c r="E59" s="19">
        <v>235</v>
      </c>
      <c r="F59" s="19">
        <f t="shared" si="10"/>
        <v>1410</v>
      </c>
      <c r="G59" s="66">
        <f t="shared" si="11"/>
        <v>128.18181818181819</v>
      </c>
      <c r="I59" s="81">
        <v>45840</v>
      </c>
      <c r="J59" s="18" t="s">
        <v>817</v>
      </c>
      <c r="K59" s="19">
        <v>1</v>
      </c>
      <c r="L59" s="19">
        <v>852</v>
      </c>
      <c r="M59" s="19">
        <f t="shared" si="12"/>
        <v>852</v>
      </c>
      <c r="N59" s="271">
        <f t="shared" si="13"/>
        <v>111.10079999999999</v>
      </c>
    </row>
    <row r="60" spans="2:14">
      <c r="B60" s="72">
        <v>45731</v>
      </c>
      <c r="C60" s="80" t="s">
        <v>188</v>
      </c>
      <c r="D60" s="125">
        <v>3</v>
      </c>
      <c r="E60" s="19">
        <v>679</v>
      </c>
      <c r="F60" s="19">
        <f t="shared" si="10"/>
        <v>2037</v>
      </c>
      <c r="G60" s="66">
        <f t="shared" si="11"/>
        <v>185.18181818181819</v>
      </c>
      <c r="I60" s="81">
        <v>45840</v>
      </c>
      <c r="J60" s="18" t="s">
        <v>818</v>
      </c>
      <c r="K60" s="19">
        <v>3</v>
      </c>
      <c r="L60" s="19">
        <v>765.71</v>
      </c>
      <c r="M60" s="19">
        <f t="shared" si="12"/>
        <v>2297.13</v>
      </c>
      <c r="N60" s="271">
        <f t="shared" si="13"/>
        <v>299.54575199999999</v>
      </c>
    </row>
    <row r="61" spans="2:14">
      <c r="B61" s="72">
        <v>45731</v>
      </c>
      <c r="C61" s="80" t="s">
        <v>189</v>
      </c>
      <c r="D61" s="125">
        <v>2</v>
      </c>
      <c r="E61" s="19">
        <v>679</v>
      </c>
      <c r="F61" s="19">
        <f t="shared" si="10"/>
        <v>1358</v>
      </c>
      <c r="G61" s="66">
        <f t="shared" si="11"/>
        <v>123.45454545454545</v>
      </c>
      <c r="I61" s="81">
        <v>45840</v>
      </c>
      <c r="J61" s="18" t="s">
        <v>819</v>
      </c>
      <c r="K61" s="19">
        <v>1</v>
      </c>
      <c r="L61" s="19">
        <v>1345</v>
      </c>
      <c r="M61" s="19">
        <f t="shared" si="12"/>
        <v>1345</v>
      </c>
      <c r="N61" s="271">
        <f t="shared" si="13"/>
        <v>175.38800000000001</v>
      </c>
    </row>
    <row r="62" spans="2:14">
      <c r="B62" s="18"/>
      <c r="C62" s="80"/>
      <c r="D62" s="125"/>
      <c r="E62" s="18"/>
      <c r="F62" s="19">
        <f t="shared" si="10"/>
        <v>0</v>
      </c>
      <c r="G62" s="66">
        <f t="shared" si="11"/>
        <v>0</v>
      </c>
      <c r="I62" s="81">
        <v>45840</v>
      </c>
      <c r="J62" s="18" t="s">
        <v>818</v>
      </c>
      <c r="K62" s="19">
        <v>3</v>
      </c>
      <c r="L62" s="19">
        <v>738</v>
      </c>
      <c r="M62" s="19">
        <f t="shared" si="12"/>
        <v>2214</v>
      </c>
      <c r="N62" s="271">
        <f t="shared" si="13"/>
        <v>288.7056</v>
      </c>
    </row>
    <row r="63" spans="2:14">
      <c r="B63" s="81">
        <v>45733</v>
      </c>
      <c r="C63" s="80" t="s">
        <v>193</v>
      </c>
      <c r="D63" s="125">
        <v>5</v>
      </c>
      <c r="E63" s="19">
        <v>679</v>
      </c>
      <c r="F63" s="19">
        <f t="shared" si="10"/>
        <v>3395</v>
      </c>
      <c r="G63" s="66">
        <f t="shared" si="11"/>
        <v>308.63636363636363</v>
      </c>
      <c r="I63" s="81">
        <v>45840</v>
      </c>
      <c r="J63" s="18" t="s">
        <v>820</v>
      </c>
      <c r="K63" s="19">
        <v>1</v>
      </c>
      <c r="L63" s="19">
        <v>852</v>
      </c>
      <c r="M63" s="19">
        <f t="shared" si="12"/>
        <v>852</v>
      </c>
      <c r="N63" s="271">
        <f t="shared" si="13"/>
        <v>111.10079999999999</v>
      </c>
    </row>
    <row r="64" spans="2:14">
      <c r="B64" s="81">
        <v>45733</v>
      </c>
      <c r="C64" s="80" t="s">
        <v>194</v>
      </c>
      <c r="D64" s="125">
        <v>3</v>
      </c>
      <c r="E64" s="19">
        <v>235</v>
      </c>
      <c r="F64" s="19">
        <f t="shared" si="10"/>
        <v>705</v>
      </c>
      <c r="G64" s="66">
        <f t="shared" si="11"/>
        <v>64.090909090909093</v>
      </c>
      <c r="I64" s="81">
        <v>45840</v>
      </c>
      <c r="J64" s="18" t="s">
        <v>821</v>
      </c>
      <c r="K64" s="19">
        <v>1</v>
      </c>
      <c r="L64" s="19">
        <v>775</v>
      </c>
      <c r="M64" s="19">
        <f t="shared" si="12"/>
        <v>775</v>
      </c>
      <c r="N64" s="271">
        <f t="shared" si="13"/>
        <v>101.06</v>
      </c>
    </row>
    <row r="65" spans="2:14">
      <c r="B65" s="81">
        <v>45733</v>
      </c>
      <c r="C65" s="80" t="s">
        <v>195</v>
      </c>
      <c r="D65" s="125">
        <v>1</v>
      </c>
      <c r="E65" s="19">
        <v>190</v>
      </c>
      <c r="F65" s="19">
        <f t="shared" si="10"/>
        <v>190</v>
      </c>
      <c r="G65" s="66">
        <f t="shared" si="11"/>
        <v>17.272727272727273</v>
      </c>
      <c r="I65" s="81">
        <v>45840</v>
      </c>
      <c r="J65" s="18" t="s">
        <v>822</v>
      </c>
      <c r="K65" s="19">
        <v>1</v>
      </c>
      <c r="L65" s="19">
        <v>1295</v>
      </c>
      <c r="M65" s="19">
        <f t="shared" si="12"/>
        <v>1295</v>
      </c>
      <c r="N65" s="271">
        <f t="shared" si="13"/>
        <v>168.86799999999999</v>
      </c>
    </row>
    <row r="66" spans="2:14">
      <c r="B66" s="81">
        <v>45733</v>
      </c>
      <c r="C66" s="80" t="s">
        <v>196</v>
      </c>
      <c r="D66" s="125">
        <v>3</v>
      </c>
      <c r="E66" s="19">
        <v>679</v>
      </c>
      <c r="F66" s="19">
        <f t="shared" si="10"/>
        <v>2037</v>
      </c>
      <c r="G66" s="66">
        <f t="shared" si="11"/>
        <v>185.18181818181819</v>
      </c>
      <c r="I66" s="81">
        <v>45840</v>
      </c>
      <c r="J66" s="18" t="s">
        <v>823</v>
      </c>
      <c r="K66" s="19">
        <v>1</v>
      </c>
      <c r="L66" s="19">
        <v>1375</v>
      </c>
      <c r="M66" s="19">
        <f t="shared" si="12"/>
        <v>1375</v>
      </c>
      <c r="N66" s="271">
        <f t="shared" si="13"/>
        <v>179.3</v>
      </c>
    </row>
    <row r="67" spans="2:14">
      <c r="B67" s="81">
        <v>45733</v>
      </c>
      <c r="C67" s="80" t="s">
        <v>197</v>
      </c>
      <c r="D67" s="125">
        <v>2</v>
      </c>
      <c r="E67" s="19">
        <v>229</v>
      </c>
      <c r="F67" s="19">
        <f t="shared" si="10"/>
        <v>458</v>
      </c>
      <c r="G67" s="66">
        <f t="shared" si="11"/>
        <v>41.636363636363633</v>
      </c>
      <c r="I67" s="81">
        <v>45840</v>
      </c>
      <c r="J67" s="18" t="s">
        <v>824</v>
      </c>
      <c r="K67" s="19">
        <v>1</v>
      </c>
      <c r="L67" s="19">
        <v>852</v>
      </c>
      <c r="M67" s="19">
        <f t="shared" si="12"/>
        <v>852</v>
      </c>
      <c r="N67" s="271">
        <f t="shared" si="13"/>
        <v>111.10079999999999</v>
      </c>
    </row>
    <row r="68" spans="2:14">
      <c r="B68" s="81">
        <v>45733</v>
      </c>
      <c r="C68" s="80" t="s">
        <v>198</v>
      </c>
      <c r="D68" s="125">
        <v>17</v>
      </c>
      <c r="E68" s="19">
        <v>575</v>
      </c>
      <c r="F68" s="19">
        <f t="shared" si="10"/>
        <v>9775</v>
      </c>
      <c r="G68" s="66">
        <f t="shared" si="11"/>
        <v>888.63636363636363</v>
      </c>
      <c r="I68" s="376">
        <v>45840</v>
      </c>
      <c r="J68" s="103" t="s">
        <v>825</v>
      </c>
      <c r="K68" s="102">
        <v>1</v>
      </c>
      <c r="L68" s="102">
        <v>1228</v>
      </c>
      <c r="M68" s="19">
        <f t="shared" ref="M68:M82" si="14">L68*K68</f>
        <v>1228</v>
      </c>
      <c r="N68" s="271">
        <f t="shared" ref="N68:N82" si="15">M68*13.04/100</f>
        <v>160.13119999999998</v>
      </c>
    </row>
    <row r="69" spans="2:14">
      <c r="B69" s="18"/>
      <c r="C69" s="80"/>
      <c r="D69" s="125"/>
      <c r="E69" s="18"/>
      <c r="F69" s="19">
        <f t="shared" si="10"/>
        <v>0</v>
      </c>
      <c r="G69" s="66">
        <f t="shared" si="11"/>
        <v>0</v>
      </c>
      <c r="I69" s="376">
        <v>45840</v>
      </c>
      <c r="J69" s="103" t="s">
        <v>826</v>
      </c>
      <c r="K69" s="102">
        <v>1</v>
      </c>
      <c r="L69" s="102">
        <v>750</v>
      </c>
      <c r="M69" s="19">
        <f t="shared" si="14"/>
        <v>750</v>
      </c>
      <c r="N69" s="271">
        <f t="shared" si="15"/>
        <v>97.8</v>
      </c>
    </row>
    <row r="70" spans="2:14">
      <c r="B70" s="81">
        <v>45734</v>
      </c>
      <c r="C70" s="80" t="s">
        <v>208</v>
      </c>
      <c r="D70" s="125">
        <v>3</v>
      </c>
      <c r="E70" s="19">
        <v>679</v>
      </c>
      <c r="F70" s="19">
        <f t="shared" si="10"/>
        <v>2037</v>
      </c>
      <c r="G70" s="66">
        <f t="shared" si="11"/>
        <v>185.18181818181819</v>
      </c>
      <c r="I70" s="19"/>
      <c r="J70" s="19"/>
      <c r="K70" s="19"/>
      <c r="L70" s="19"/>
      <c r="M70" s="19">
        <f t="shared" si="14"/>
        <v>0</v>
      </c>
      <c r="N70" s="271">
        <f t="shared" si="15"/>
        <v>0</v>
      </c>
    </row>
    <row r="71" spans="2:14">
      <c r="B71" s="18"/>
      <c r="C71" s="80"/>
      <c r="D71" s="125"/>
      <c r="E71" s="18"/>
      <c r="F71" s="19">
        <f t="shared" si="10"/>
        <v>0</v>
      </c>
      <c r="G71" s="66">
        <f t="shared" si="11"/>
        <v>0</v>
      </c>
      <c r="I71" s="81">
        <v>45841</v>
      </c>
      <c r="J71" s="18" t="s">
        <v>827</v>
      </c>
      <c r="K71" s="19">
        <v>4</v>
      </c>
      <c r="L71" s="19">
        <v>1197</v>
      </c>
      <c r="M71" s="19">
        <f t="shared" si="14"/>
        <v>4788</v>
      </c>
      <c r="N71" s="271">
        <f t="shared" si="15"/>
        <v>624.35519999999997</v>
      </c>
    </row>
    <row r="72" spans="2:14">
      <c r="B72" s="81">
        <v>45735</v>
      </c>
      <c r="C72" s="80" t="s">
        <v>216</v>
      </c>
      <c r="D72" s="125">
        <v>2</v>
      </c>
      <c r="E72" s="19">
        <v>679</v>
      </c>
      <c r="F72" s="19">
        <f t="shared" si="10"/>
        <v>1358</v>
      </c>
      <c r="G72" s="66">
        <f t="shared" si="11"/>
        <v>123.45454545454545</v>
      </c>
      <c r="I72" s="81">
        <v>45841</v>
      </c>
      <c r="J72" s="18" t="s">
        <v>828</v>
      </c>
      <c r="K72" s="19">
        <v>1</v>
      </c>
      <c r="L72" s="19">
        <v>852</v>
      </c>
      <c r="M72" s="19">
        <f t="shared" si="14"/>
        <v>852</v>
      </c>
      <c r="N72" s="271">
        <f t="shared" si="15"/>
        <v>111.10079999999999</v>
      </c>
    </row>
    <row r="73" spans="2:14">
      <c r="B73" s="81">
        <v>45735</v>
      </c>
      <c r="C73" s="80" t="s">
        <v>217</v>
      </c>
      <c r="D73" s="125">
        <v>3</v>
      </c>
      <c r="E73" s="19">
        <v>679</v>
      </c>
      <c r="F73" s="19">
        <f t="shared" si="10"/>
        <v>2037</v>
      </c>
      <c r="G73" s="66">
        <f t="shared" si="11"/>
        <v>185.18181818181819</v>
      </c>
      <c r="I73" s="81">
        <v>45841</v>
      </c>
      <c r="J73" s="18" t="s">
        <v>829</v>
      </c>
      <c r="K73" s="19">
        <v>1</v>
      </c>
      <c r="L73" s="19">
        <v>338</v>
      </c>
      <c r="M73" s="19">
        <f t="shared" si="14"/>
        <v>338</v>
      </c>
      <c r="N73" s="271">
        <f t="shared" si="15"/>
        <v>44.075199999999995</v>
      </c>
    </row>
    <row r="74" spans="2:14">
      <c r="B74" s="81">
        <v>45735</v>
      </c>
      <c r="C74" s="80" t="s">
        <v>218</v>
      </c>
      <c r="D74" s="125">
        <v>3</v>
      </c>
      <c r="E74" s="19">
        <v>229</v>
      </c>
      <c r="F74" s="19">
        <f t="shared" si="10"/>
        <v>687</v>
      </c>
      <c r="G74" s="66">
        <f t="shared" si="11"/>
        <v>62.454545454545453</v>
      </c>
      <c r="I74" s="81">
        <v>45840</v>
      </c>
      <c r="J74" s="18" t="s">
        <v>830</v>
      </c>
      <c r="K74" s="19">
        <v>1</v>
      </c>
      <c r="L74" s="19">
        <v>1375</v>
      </c>
      <c r="M74" s="19">
        <f t="shared" si="14"/>
        <v>1375</v>
      </c>
      <c r="N74" s="271">
        <f t="shared" si="15"/>
        <v>179.3</v>
      </c>
    </row>
    <row r="75" spans="2:14">
      <c r="B75" s="81">
        <v>45735</v>
      </c>
      <c r="C75" s="80" t="s">
        <v>219</v>
      </c>
      <c r="D75" s="125">
        <v>3</v>
      </c>
      <c r="E75" s="19">
        <v>679</v>
      </c>
      <c r="F75" s="19">
        <f t="shared" si="10"/>
        <v>2037</v>
      </c>
      <c r="G75" s="66">
        <f t="shared" si="11"/>
        <v>185.18181818181819</v>
      </c>
      <c r="I75" s="81">
        <v>45840</v>
      </c>
      <c r="J75" s="18" t="s">
        <v>831</v>
      </c>
      <c r="K75" s="19">
        <v>1</v>
      </c>
      <c r="L75" s="19">
        <v>775</v>
      </c>
      <c r="M75" s="19">
        <f t="shared" si="14"/>
        <v>775</v>
      </c>
      <c r="N75" s="271">
        <f t="shared" si="15"/>
        <v>101.06</v>
      </c>
    </row>
    <row r="76" spans="2:14">
      <c r="B76" s="81">
        <v>45735</v>
      </c>
      <c r="C76" s="80" t="s">
        <v>220</v>
      </c>
      <c r="D76" s="125">
        <v>2</v>
      </c>
      <c r="E76" s="19">
        <v>679</v>
      </c>
      <c r="F76" s="19">
        <f t="shared" si="10"/>
        <v>1358</v>
      </c>
      <c r="G76" s="66">
        <f t="shared" si="11"/>
        <v>123.45454545454545</v>
      </c>
      <c r="I76" s="376">
        <v>45841</v>
      </c>
      <c r="J76" s="103" t="s">
        <v>832</v>
      </c>
      <c r="K76" s="102">
        <v>4</v>
      </c>
      <c r="L76" s="102">
        <v>766</v>
      </c>
      <c r="M76" s="19">
        <f t="shared" si="14"/>
        <v>3064</v>
      </c>
      <c r="N76" s="271">
        <f t="shared" si="15"/>
        <v>399.54559999999998</v>
      </c>
    </row>
    <row r="77" spans="2:14">
      <c r="B77" s="18"/>
      <c r="C77" s="18"/>
      <c r="D77" s="125"/>
      <c r="E77" s="18"/>
      <c r="F77" s="19">
        <f t="shared" ref="F77:F91" si="16">E77*D77</f>
        <v>0</v>
      </c>
      <c r="G77" s="66">
        <f t="shared" ref="G77:G91" si="17">F77/11</f>
        <v>0</v>
      </c>
      <c r="J77" s="1"/>
      <c r="K77" s="1"/>
      <c r="L77" s="1"/>
      <c r="M77" s="19">
        <f t="shared" si="14"/>
        <v>0</v>
      </c>
      <c r="N77" s="271">
        <f t="shared" si="15"/>
        <v>0</v>
      </c>
    </row>
    <row r="78" spans="2:14">
      <c r="B78" s="81">
        <v>45736</v>
      </c>
      <c r="C78" s="19" t="s">
        <v>221</v>
      </c>
      <c r="D78" s="19">
        <v>1</v>
      </c>
      <c r="E78" s="19">
        <v>679</v>
      </c>
      <c r="F78" s="19">
        <f t="shared" si="16"/>
        <v>679</v>
      </c>
      <c r="G78" s="66">
        <f t="shared" si="17"/>
        <v>61.727272727272727</v>
      </c>
      <c r="I78" s="377"/>
      <c r="J78" s="308"/>
      <c r="K78" s="309"/>
      <c r="L78" s="309"/>
      <c r="M78" s="19">
        <f t="shared" si="14"/>
        <v>0</v>
      </c>
      <c r="N78" s="271">
        <f t="shared" si="15"/>
        <v>0</v>
      </c>
    </row>
    <row r="79" spans="2:14">
      <c r="B79" s="81">
        <v>45736</v>
      </c>
      <c r="C79" s="19" t="s">
        <v>222</v>
      </c>
      <c r="D79" s="19">
        <v>1</v>
      </c>
      <c r="E79" s="19">
        <v>163</v>
      </c>
      <c r="F79" s="19">
        <f t="shared" si="16"/>
        <v>163</v>
      </c>
      <c r="G79" s="66">
        <f t="shared" si="17"/>
        <v>14.818181818181818</v>
      </c>
      <c r="I79" s="81">
        <v>45844</v>
      </c>
      <c r="J79" s="18" t="s">
        <v>833</v>
      </c>
      <c r="K79" s="19">
        <v>150</v>
      </c>
      <c r="L79" s="19">
        <v>494</v>
      </c>
      <c r="M79" s="19">
        <f t="shared" si="14"/>
        <v>74100</v>
      </c>
      <c r="N79" s="271">
        <f t="shared" si="15"/>
        <v>9662.64</v>
      </c>
    </row>
    <row r="80" spans="2:14">
      <c r="B80" s="96"/>
      <c r="C80" s="127"/>
      <c r="D80" s="127"/>
      <c r="E80" s="127"/>
      <c r="F80" s="19">
        <f t="shared" si="16"/>
        <v>0</v>
      </c>
      <c r="G80" s="66">
        <f t="shared" si="17"/>
        <v>0</v>
      </c>
      <c r="I80" s="377"/>
      <c r="J80" s="308"/>
      <c r="K80" s="309"/>
      <c r="L80" s="309"/>
      <c r="M80" s="19">
        <f t="shared" si="14"/>
        <v>0</v>
      </c>
      <c r="N80" s="271">
        <f t="shared" si="15"/>
        <v>0</v>
      </c>
    </row>
    <row r="81" spans="2:14">
      <c r="B81" s="81">
        <v>45739</v>
      </c>
      <c r="C81" s="80" t="s">
        <v>259</v>
      </c>
      <c r="D81" s="19">
        <v>1</v>
      </c>
      <c r="E81" s="19">
        <v>2149</v>
      </c>
      <c r="F81" s="19">
        <f t="shared" si="16"/>
        <v>2149</v>
      </c>
      <c r="G81" s="66">
        <f t="shared" si="17"/>
        <v>195.36363636363637</v>
      </c>
      <c r="I81" s="81">
        <v>45846</v>
      </c>
      <c r="J81" s="18" t="s">
        <v>835</v>
      </c>
      <c r="K81" s="19">
        <v>100</v>
      </c>
      <c r="L81" s="19">
        <v>494</v>
      </c>
      <c r="M81" s="19">
        <f t="shared" si="14"/>
        <v>49400</v>
      </c>
      <c r="N81" s="271">
        <f t="shared" si="15"/>
        <v>6441.76</v>
      </c>
    </row>
    <row r="82" spans="2:14">
      <c r="B82" s="96">
        <v>45739</v>
      </c>
      <c r="C82" s="138" t="s">
        <v>262</v>
      </c>
      <c r="D82" s="127">
        <v>1</v>
      </c>
      <c r="E82" s="127">
        <v>2042</v>
      </c>
      <c r="F82" s="19">
        <f t="shared" si="16"/>
        <v>2042</v>
      </c>
      <c r="G82" s="66">
        <f t="shared" si="17"/>
        <v>185.63636363636363</v>
      </c>
      <c r="I82" s="81">
        <v>45848</v>
      </c>
      <c r="J82" s="18" t="s">
        <v>836</v>
      </c>
      <c r="K82" s="19">
        <v>100</v>
      </c>
      <c r="L82" s="19">
        <v>229</v>
      </c>
      <c r="M82" s="19">
        <f t="shared" si="14"/>
        <v>22900</v>
      </c>
      <c r="N82" s="271">
        <f t="shared" si="15"/>
        <v>2986.16</v>
      </c>
    </row>
    <row r="83" spans="2:14">
      <c r="B83" s="96">
        <v>45739</v>
      </c>
      <c r="C83" s="138" t="s">
        <v>260</v>
      </c>
      <c r="D83" s="127">
        <v>2</v>
      </c>
      <c r="E83" s="127">
        <v>2090</v>
      </c>
      <c r="F83" s="19">
        <f t="shared" si="16"/>
        <v>4180</v>
      </c>
      <c r="G83" s="66">
        <f t="shared" si="17"/>
        <v>380</v>
      </c>
      <c r="I83" s="19"/>
      <c r="J83" s="18"/>
      <c r="K83" s="18"/>
      <c r="L83" s="18"/>
      <c r="M83" s="19">
        <f t="shared" ref="M83:M90" si="18">L83*K83</f>
        <v>0</v>
      </c>
      <c r="N83" s="271">
        <f t="shared" ref="N83:N90" si="19">M83*13.04/100</f>
        <v>0</v>
      </c>
    </row>
    <row r="84" spans="2:14">
      <c r="B84" s="81">
        <v>45739</v>
      </c>
      <c r="C84" s="80" t="s">
        <v>261</v>
      </c>
      <c r="D84" s="19">
        <v>1</v>
      </c>
      <c r="E84" s="19">
        <v>275</v>
      </c>
      <c r="F84" s="19">
        <f t="shared" si="16"/>
        <v>275</v>
      </c>
      <c r="G84" s="66">
        <f t="shared" si="17"/>
        <v>25</v>
      </c>
      <c r="I84" s="81">
        <v>45854</v>
      </c>
      <c r="J84" s="80" t="s">
        <v>863</v>
      </c>
      <c r="K84" s="19">
        <v>200</v>
      </c>
      <c r="L84" s="19">
        <v>728</v>
      </c>
      <c r="M84" s="19">
        <f t="shared" si="18"/>
        <v>145600</v>
      </c>
      <c r="N84" s="271">
        <f t="shared" si="19"/>
        <v>18986.239999999998</v>
      </c>
    </row>
    <row r="85" spans="2:14">
      <c r="B85" s="19"/>
      <c r="C85" s="19"/>
      <c r="D85" s="19"/>
      <c r="E85" s="19"/>
      <c r="F85" s="19">
        <f t="shared" si="16"/>
        <v>0</v>
      </c>
      <c r="G85" s="66">
        <f t="shared" si="17"/>
        <v>0</v>
      </c>
      <c r="I85" s="81">
        <v>45854</v>
      </c>
      <c r="J85" s="80" t="s">
        <v>864</v>
      </c>
      <c r="K85" s="19">
        <v>80</v>
      </c>
      <c r="L85" s="19">
        <v>85</v>
      </c>
      <c r="M85" s="19">
        <f t="shared" si="18"/>
        <v>6800</v>
      </c>
      <c r="N85" s="271">
        <f t="shared" si="19"/>
        <v>886.72</v>
      </c>
    </row>
    <row r="86" spans="2:14">
      <c r="B86" s="96">
        <v>45740</v>
      </c>
      <c r="C86" s="138" t="s">
        <v>263</v>
      </c>
      <c r="D86" s="127">
        <v>2</v>
      </c>
      <c r="E86" s="127">
        <v>2090</v>
      </c>
      <c r="F86" s="19">
        <f t="shared" si="16"/>
        <v>4180</v>
      </c>
      <c r="G86" s="66">
        <f t="shared" si="17"/>
        <v>380</v>
      </c>
      <c r="I86" s="19"/>
      <c r="J86" s="18"/>
      <c r="K86" s="18"/>
      <c r="L86" s="18"/>
      <c r="M86" s="19">
        <f t="shared" si="18"/>
        <v>0</v>
      </c>
      <c r="N86" s="271">
        <f t="shared" si="19"/>
        <v>0</v>
      </c>
    </row>
    <row r="87" spans="2:14">
      <c r="B87" s="96">
        <v>45740</v>
      </c>
      <c r="C87" s="138" t="s">
        <v>264</v>
      </c>
      <c r="D87" s="127">
        <v>2</v>
      </c>
      <c r="E87" s="127">
        <v>2090</v>
      </c>
      <c r="F87" s="19">
        <f t="shared" si="16"/>
        <v>4180</v>
      </c>
      <c r="G87" s="66">
        <f t="shared" si="17"/>
        <v>380</v>
      </c>
      <c r="I87" s="96">
        <v>45861</v>
      </c>
      <c r="J87" s="110" t="s">
        <v>897</v>
      </c>
      <c r="K87" s="127">
        <v>10</v>
      </c>
      <c r="L87" s="110">
        <v>1448.98</v>
      </c>
      <c r="M87" s="19">
        <f t="shared" si="18"/>
        <v>14489.8</v>
      </c>
      <c r="N87" s="271">
        <f t="shared" si="19"/>
        <v>1889.4699199999998</v>
      </c>
    </row>
    <row r="88" spans="2:14">
      <c r="B88" s="81">
        <v>45740</v>
      </c>
      <c r="C88" s="80" t="s">
        <v>265</v>
      </c>
      <c r="D88" s="19">
        <v>2</v>
      </c>
      <c r="E88" s="19">
        <v>695</v>
      </c>
      <c r="F88" s="19">
        <f t="shared" si="16"/>
        <v>1390</v>
      </c>
      <c r="G88" s="66">
        <f t="shared" si="17"/>
        <v>126.36363636363636</v>
      </c>
      <c r="I88" s="96">
        <v>45862</v>
      </c>
      <c r="J88" s="110" t="s">
        <v>898</v>
      </c>
      <c r="K88" s="127">
        <v>5</v>
      </c>
      <c r="L88" s="110">
        <v>1448.98</v>
      </c>
      <c r="M88" s="19">
        <f t="shared" si="18"/>
        <v>7244.9</v>
      </c>
      <c r="N88" s="271">
        <f t="shared" si="19"/>
        <v>944.73495999999989</v>
      </c>
    </row>
    <row r="89" spans="2:14">
      <c r="B89" s="18"/>
      <c r="C89" s="18"/>
      <c r="D89" s="125"/>
      <c r="E89" s="18"/>
      <c r="F89" s="19">
        <f t="shared" si="16"/>
        <v>0</v>
      </c>
      <c r="G89" s="66">
        <f t="shared" si="17"/>
        <v>0</v>
      </c>
      <c r="I89" s="96">
        <v>45863</v>
      </c>
      <c r="J89" s="110" t="s">
        <v>894</v>
      </c>
      <c r="K89" s="127">
        <v>2</v>
      </c>
      <c r="L89" s="110">
        <v>852</v>
      </c>
      <c r="M89" s="19">
        <f t="shared" si="18"/>
        <v>1704</v>
      </c>
      <c r="N89" s="271">
        <f t="shared" si="19"/>
        <v>222.20159999999998</v>
      </c>
    </row>
    <row r="90" spans="2:14">
      <c r="B90" s="96">
        <v>45742</v>
      </c>
      <c r="C90" s="138" t="s">
        <v>260</v>
      </c>
      <c r="D90" s="127">
        <v>2</v>
      </c>
      <c r="E90" s="127">
        <v>2090</v>
      </c>
      <c r="F90" s="19">
        <f t="shared" si="16"/>
        <v>4180</v>
      </c>
      <c r="G90" s="66">
        <f t="shared" si="17"/>
        <v>380</v>
      </c>
      <c r="I90" s="96">
        <v>45862</v>
      </c>
      <c r="J90" s="110" t="s">
        <v>895</v>
      </c>
      <c r="K90" s="127">
        <v>1</v>
      </c>
      <c r="L90" s="110">
        <v>1359</v>
      </c>
      <c r="M90" s="19">
        <f t="shared" si="18"/>
        <v>1359</v>
      </c>
      <c r="N90" s="271">
        <f t="shared" si="19"/>
        <v>177.21360000000001</v>
      </c>
    </row>
    <row r="91" spans="2:14">
      <c r="B91" s="81">
        <v>45742</v>
      </c>
      <c r="C91" s="80" t="s">
        <v>268</v>
      </c>
      <c r="D91" s="19">
        <v>1</v>
      </c>
      <c r="E91" s="19">
        <v>2090</v>
      </c>
      <c r="F91" s="19">
        <f t="shared" si="16"/>
        <v>2090</v>
      </c>
      <c r="G91" s="66">
        <f t="shared" si="17"/>
        <v>190</v>
      </c>
      <c r="I91" s="96">
        <v>45865</v>
      </c>
      <c r="J91" s="110" t="s">
        <v>896</v>
      </c>
      <c r="K91" s="337">
        <v>20</v>
      </c>
      <c r="L91" s="336">
        <v>720</v>
      </c>
      <c r="M91" s="19">
        <f t="shared" ref="M91:M111" si="20">L91*K91</f>
        <v>14400</v>
      </c>
      <c r="N91" s="271">
        <f t="shared" ref="N91:N111" si="21">M91*13.04/100</f>
        <v>1877.76</v>
      </c>
    </row>
    <row r="92" spans="2:14">
      <c r="B92" s="81">
        <v>45742</v>
      </c>
      <c r="C92" s="80" t="s">
        <v>269</v>
      </c>
      <c r="D92" s="19">
        <v>1</v>
      </c>
      <c r="E92" s="19">
        <v>2090</v>
      </c>
      <c r="F92" s="19">
        <f t="shared" ref="F92:F108" si="22">E92*D92</f>
        <v>2090</v>
      </c>
      <c r="G92" s="66">
        <f t="shared" ref="G92:G108" si="23">F92/11</f>
        <v>190</v>
      </c>
      <c r="I92" s="127" t="s">
        <v>899</v>
      </c>
      <c r="J92" s="138" t="s">
        <v>900</v>
      </c>
      <c r="K92" s="127">
        <v>1</v>
      </c>
      <c r="L92" s="127">
        <v>1359</v>
      </c>
      <c r="M92" s="19">
        <f t="shared" si="20"/>
        <v>1359</v>
      </c>
      <c r="N92" s="271">
        <f t="shared" si="21"/>
        <v>177.21360000000001</v>
      </c>
    </row>
    <row r="93" spans="2:14">
      <c r="B93" s="81">
        <v>45742</v>
      </c>
      <c r="C93" s="80" t="s">
        <v>270</v>
      </c>
      <c r="D93" s="19">
        <v>2</v>
      </c>
      <c r="E93" s="19">
        <v>2090</v>
      </c>
      <c r="F93" s="19">
        <f t="shared" si="22"/>
        <v>4180</v>
      </c>
      <c r="G93" s="66">
        <f t="shared" si="23"/>
        <v>380</v>
      </c>
      <c r="I93" s="19"/>
      <c r="J93" s="18"/>
      <c r="K93" s="18"/>
      <c r="L93" s="18"/>
      <c r="M93" s="19">
        <f t="shared" si="20"/>
        <v>0</v>
      </c>
      <c r="N93" s="271">
        <f t="shared" si="21"/>
        <v>0</v>
      </c>
    </row>
    <row r="94" spans="2:14">
      <c r="B94" s="81">
        <v>45742</v>
      </c>
      <c r="C94" s="80" t="s">
        <v>271</v>
      </c>
      <c r="D94" s="19">
        <v>2</v>
      </c>
      <c r="E94" s="19">
        <v>2090</v>
      </c>
      <c r="F94" s="19">
        <f t="shared" si="22"/>
        <v>4180</v>
      </c>
      <c r="G94" s="66">
        <f t="shared" si="23"/>
        <v>380</v>
      </c>
      <c r="I94" s="81">
        <v>45831</v>
      </c>
      <c r="J94" s="80" t="s">
        <v>904</v>
      </c>
      <c r="K94" s="19">
        <v>3</v>
      </c>
      <c r="L94" s="19">
        <v>550</v>
      </c>
      <c r="M94" s="19">
        <f t="shared" si="20"/>
        <v>1650</v>
      </c>
      <c r="N94" s="271">
        <f t="shared" si="21"/>
        <v>215.16</v>
      </c>
    </row>
    <row r="95" spans="2:14">
      <c r="B95" s="81">
        <v>45742</v>
      </c>
      <c r="C95" s="80" t="s">
        <v>263</v>
      </c>
      <c r="D95" s="19">
        <v>2</v>
      </c>
      <c r="E95" s="19">
        <v>2090</v>
      </c>
      <c r="F95" s="19">
        <f t="shared" si="22"/>
        <v>4180</v>
      </c>
      <c r="G95" s="66">
        <f t="shared" si="23"/>
        <v>380</v>
      </c>
      <c r="I95" s="96">
        <v>45864</v>
      </c>
      <c r="J95" s="110" t="s">
        <v>1009</v>
      </c>
      <c r="K95" s="127">
        <v>10</v>
      </c>
      <c r="L95" s="127">
        <v>738</v>
      </c>
      <c r="M95" s="19">
        <f t="shared" si="20"/>
        <v>7380</v>
      </c>
      <c r="N95" s="271">
        <f t="shared" si="21"/>
        <v>962.35199999999998</v>
      </c>
    </row>
    <row r="96" spans="2:14">
      <c r="B96" s="96">
        <v>45742</v>
      </c>
      <c r="C96" s="138" t="s">
        <v>272</v>
      </c>
      <c r="D96" s="127">
        <v>2</v>
      </c>
      <c r="E96" s="127">
        <v>669</v>
      </c>
      <c r="F96" s="19">
        <f t="shared" si="22"/>
        <v>1338</v>
      </c>
      <c r="G96" s="66">
        <f t="shared" si="23"/>
        <v>121.63636363636364</v>
      </c>
      <c r="I96" s="96">
        <v>45864</v>
      </c>
      <c r="J96" s="110" t="s">
        <v>1010</v>
      </c>
      <c r="K96" s="127">
        <v>10</v>
      </c>
      <c r="L96" s="127">
        <v>738</v>
      </c>
      <c r="M96" s="19">
        <f t="shared" si="20"/>
        <v>7380</v>
      </c>
      <c r="N96" s="271">
        <f t="shared" si="21"/>
        <v>962.35199999999998</v>
      </c>
    </row>
    <row r="97" spans="2:14">
      <c r="B97" s="18"/>
      <c r="C97" s="18"/>
      <c r="D97" s="125"/>
      <c r="E97" s="18"/>
      <c r="F97" s="19">
        <f t="shared" si="22"/>
        <v>0</v>
      </c>
      <c r="G97" s="66">
        <f t="shared" si="23"/>
        <v>0</v>
      </c>
      <c r="I97" s="75"/>
      <c r="J97" s="76"/>
      <c r="K97" s="76"/>
      <c r="L97" s="76"/>
      <c r="M97" s="75">
        <f t="shared" si="20"/>
        <v>0</v>
      </c>
      <c r="N97" s="383">
        <f t="shared" si="21"/>
        <v>0</v>
      </c>
    </row>
    <row r="98" spans="2:14">
      <c r="B98" s="81">
        <v>45742</v>
      </c>
      <c r="C98" s="18" t="s">
        <v>278</v>
      </c>
      <c r="D98" s="19">
        <v>1</v>
      </c>
      <c r="E98" s="19">
        <v>699</v>
      </c>
      <c r="F98" s="19">
        <f t="shared" si="22"/>
        <v>699</v>
      </c>
      <c r="G98" s="66">
        <f t="shared" si="23"/>
        <v>63.545454545454547</v>
      </c>
      <c r="I98" s="209">
        <v>45873</v>
      </c>
      <c r="J98" s="110" t="s">
        <v>1034</v>
      </c>
      <c r="K98" s="110">
        <v>50</v>
      </c>
      <c r="L98" s="184">
        <v>329</v>
      </c>
      <c r="M98" s="19">
        <f t="shared" si="20"/>
        <v>16450</v>
      </c>
      <c r="N98" s="386">
        <f t="shared" si="21"/>
        <v>2145.08</v>
      </c>
    </row>
    <row r="99" spans="2:14">
      <c r="B99" s="81">
        <v>45742</v>
      </c>
      <c r="C99" s="18" t="s">
        <v>280</v>
      </c>
      <c r="D99" s="19">
        <v>1</v>
      </c>
      <c r="E99" s="19">
        <v>2149</v>
      </c>
      <c r="F99" s="19">
        <f t="shared" si="22"/>
        <v>2149</v>
      </c>
      <c r="G99" s="66">
        <f t="shared" si="23"/>
        <v>195.36363636363637</v>
      </c>
      <c r="I99" s="72">
        <v>45874</v>
      </c>
      <c r="J99" s="18" t="s">
        <v>1022</v>
      </c>
      <c r="K99" s="18">
        <v>1</v>
      </c>
      <c r="L99" s="210">
        <v>1449</v>
      </c>
      <c r="M99" s="19">
        <f t="shared" si="20"/>
        <v>1449</v>
      </c>
      <c r="N99" s="386">
        <f t="shared" si="21"/>
        <v>188.9496</v>
      </c>
    </row>
    <row r="100" spans="2:14">
      <c r="B100" s="81">
        <v>45742</v>
      </c>
      <c r="C100" s="18" t="s">
        <v>279</v>
      </c>
      <c r="D100" s="19">
        <v>5</v>
      </c>
      <c r="E100" s="19">
        <v>2199</v>
      </c>
      <c r="F100" s="19">
        <f t="shared" si="22"/>
        <v>10995</v>
      </c>
      <c r="G100" s="66">
        <f t="shared" si="23"/>
        <v>999.5454545454545</v>
      </c>
      <c r="I100" s="72">
        <v>45874</v>
      </c>
      <c r="J100" s="18" t="s">
        <v>1023</v>
      </c>
      <c r="K100" s="18">
        <v>1</v>
      </c>
      <c r="L100" s="210">
        <v>1449</v>
      </c>
      <c r="M100" s="19">
        <f t="shared" si="20"/>
        <v>1449</v>
      </c>
      <c r="N100" s="386">
        <f t="shared" si="21"/>
        <v>188.9496</v>
      </c>
    </row>
    <row r="101" spans="2:14">
      <c r="B101" s="81">
        <v>45742</v>
      </c>
      <c r="C101" s="18" t="s">
        <v>281</v>
      </c>
      <c r="D101" s="19">
        <v>2</v>
      </c>
      <c r="E101" s="19">
        <v>1880.99</v>
      </c>
      <c r="F101" s="19">
        <f t="shared" si="22"/>
        <v>3761.98</v>
      </c>
      <c r="G101" s="66">
        <f t="shared" si="23"/>
        <v>341.99818181818182</v>
      </c>
      <c r="I101" s="72">
        <v>45874</v>
      </c>
      <c r="J101" s="18" t="s">
        <v>1024</v>
      </c>
      <c r="K101" s="18">
        <v>2</v>
      </c>
      <c r="L101" s="210">
        <v>1449</v>
      </c>
      <c r="M101" s="19">
        <f t="shared" si="20"/>
        <v>2898</v>
      </c>
      <c r="N101" s="386">
        <f t="shared" si="21"/>
        <v>377.89920000000001</v>
      </c>
    </row>
    <row r="102" spans="2:14">
      <c r="B102" s="18"/>
      <c r="C102" s="18"/>
      <c r="D102" s="125"/>
      <c r="E102" s="18"/>
      <c r="F102" s="19">
        <f t="shared" si="22"/>
        <v>0</v>
      </c>
      <c r="G102" s="66">
        <f t="shared" si="23"/>
        <v>0</v>
      </c>
      <c r="I102" s="72">
        <v>45876</v>
      </c>
      <c r="J102" s="18" t="s">
        <v>1025</v>
      </c>
      <c r="K102" s="18">
        <v>4</v>
      </c>
      <c r="L102" s="18">
        <v>299</v>
      </c>
      <c r="M102" s="19">
        <f t="shared" si="20"/>
        <v>1196</v>
      </c>
      <c r="N102" s="386">
        <f t="shared" si="21"/>
        <v>155.95839999999998</v>
      </c>
    </row>
    <row r="103" spans="2:14">
      <c r="B103" s="96">
        <v>45743</v>
      </c>
      <c r="C103" s="110" t="s">
        <v>282</v>
      </c>
      <c r="D103" s="127">
        <v>2</v>
      </c>
      <c r="E103" s="127">
        <v>2089.4899999999998</v>
      </c>
      <c r="F103" s="19">
        <f t="shared" si="22"/>
        <v>4178.9799999999996</v>
      </c>
      <c r="G103" s="66">
        <f t="shared" si="23"/>
        <v>379.9072727272727</v>
      </c>
      <c r="I103" s="72">
        <v>45876</v>
      </c>
      <c r="J103" s="18" t="s">
        <v>1026</v>
      </c>
      <c r="K103" s="18">
        <v>2</v>
      </c>
      <c r="L103" s="18">
        <v>299</v>
      </c>
      <c r="M103" s="19">
        <f t="shared" si="20"/>
        <v>598</v>
      </c>
      <c r="N103" s="386">
        <f t="shared" si="21"/>
        <v>77.979199999999992</v>
      </c>
    </row>
    <row r="104" spans="2:14">
      <c r="B104" s="96">
        <v>45743</v>
      </c>
      <c r="C104" s="110" t="s">
        <v>283</v>
      </c>
      <c r="D104" s="127">
        <v>2</v>
      </c>
      <c r="E104" s="127">
        <v>2089.4899999999998</v>
      </c>
      <c r="F104" s="19">
        <f t="shared" si="22"/>
        <v>4178.9799999999996</v>
      </c>
      <c r="G104" s="66">
        <f t="shared" si="23"/>
        <v>379.9072727272727</v>
      </c>
      <c r="I104" s="72">
        <v>45876</v>
      </c>
      <c r="J104" s="18" t="s">
        <v>1027</v>
      </c>
      <c r="K104" s="18">
        <v>2</v>
      </c>
      <c r="L104" s="18">
        <v>299</v>
      </c>
      <c r="M104" s="19">
        <f t="shared" si="20"/>
        <v>598</v>
      </c>
      <c r="N104" s="386">
        <f t="shared" si="21"/>
        <v>77.979199999999992</v>
      </c>
    </row>
    <row r="105" spans="2:14">
      <c r="B105" s="96">
        <v>45743</v>
      </c>
      <c r="C105" s="110" t="s">
        <v>284</v>
      </c>
      <c r="D105" s="127">
        <v>2</v>
      </c>
      <c r="E105" s="127">
        <v>2089.4899999999998</v>
      </c>
      <c r="F105" s="19">
        <f t="shared" si="22"/>
        <v>4178.9799999999996</v>
      </c>
      <c r="G105" s="66">
        <f t="shared" si="23"/>
        <v>379.9072727272727</v>
      </c>
      <c r="I105" s="72">
        <v>45876</v>
      </c>
      <c r="J105" s="18" t="s">
        <v>1028</v>
      </c>
      <c r="K105" s="18">
        <v>7</v>
      </c>
      <c r="L105" s="18">
        <v>299</v>
      </c>
      <c r="M105" s="19">
        <f t="shared" si="20"/>
        <v>2093</v>
      </c>
      <c r="N105" s="386">
        <f t="shared" si="21"/>
        <v>272.92719999999997</v>
      </c>
    </row>
    <row r="106" spans="2:14">
      <c r="B106" s="96">
        <v>45743</v>
      </c>
      <c r="C106" s="110" t="s">
        <v>285</v>
      </c>
      <c r="D106" s="127">
        <v>2</v>
      </c>
      <c r="E106" s="127">
        <v>2089.4899999999998</v>
      </c>
      <c r="F106" s="19">
        <f t="shared" si="22"/>
        <v>4178.9799999999996</v>
      </c>
      <c r="G106" s="66">
        <f t="shared" si="23"/>
        <v>379.9072727272727</v>
      </c>
      <c r="I106" s="72">
        <v>45876</v>
      </c>
      <c r="J106" s="18" t="s">
        <v>1029</v>
      </c>
      <c r="K106" s="18">
        <v>8</v>
      </c>
      <c r="L106" s="18">
        <v>299</v>
      </c>
      <c r="M106" s="19">
        <f t="shared" si="20"/>
        <v>2392</v>
      </c>
      <c r="N106" s="386">
        <f t="shared" si="21"/>
        <v>311.91679999999997</v>
      </c>
    </row>
    <row r="107" spans="2:14">
      <c r="B107" s="96">
        <v>45743</v>
      </c>
      <c r="C107" s="110" t="s">
        <v>286</v>
      </c>
      <c r="D107" s="127">
        <v>2</v>
      </c>
      <c r="E107" s="127">
        <v>2089.4899999999998</v>
      </c>
      <c r="F107" s="19">
        <f t="shared" si="22"/>
        <v>4178.9799999999996</v>
      </c>
      <c r="G107" s="66">
        <f t="shared" si="23"/>
        <v>379.9072727272727</v>
      </c>
      <c r="I107" s="72">
        <v>45876</v>
      </c>
      <c r="J107" s="18" t="s">
        <v>1030</v>
      </c>
      <c r="K107" s="18">
        <v>20</v>
      </c>
      <c r="L107" s="18">
        <v>299</v>
      </c>
      <c r="M107" s="19">
        <f t="shared" si="20"/>
        <v>5980</v>
      </c>
      <c r="N107" s="386">
        <f t="shared" si="21"/>
        <v>779.79199999999992</v>
      </c>
    </row>
    <row r="108" spans="2:14">
      <c r="B108" s="19"/>
      <c r="C108" s="19"/>
      <c r="D108" s="19"/>
      <c r="E108" s="19"/>
      <c r="F108" s="19">
        <f t="shared" si="22"/>
        <v>0</v>
      </c>
      <c r="G108" s="66">
        <f t="shared" si="23"/>
        <v>0</v>
      </c>
      <c r="I108" s="72">
        <v>45876</v>
      </c>
      <c r="J108" s="18" t="s">
        <v>1031</v>
      </c>
      <c r="K108" s="18">
        <v>26</v>
      </c>
      <c r="L108" s="18">
        <v>299</v>
      </c>
      <c r="M108" s="19">
        <f t="shared" si="20"/>
        <v>7774</v>
      </c>
      <c r="N108" s="386">
        <f t="shared" si="21"/>
        <v>1013.7295999999999</v>
      </c>
    </row>
    <row r="109" spans="2:14">
      <c r="B109" s="96">
        <v>45743</v>
      </c>
      <c r="C109" s="110" t="s">
        <v>287</v>
      </c>
      <c r="D109" s="127">
        <v>2</v>
      </c>
      <c r="E109" s="127">
        <v>2204</v>
      </c>
      <c r="F109" s="19">
        <f t="shared" ref="F109:F128" si="24">E109*D109</f>
        <v>4408</v>
      </c>
      <c r="G109" s="66">
        <f t="shared" ref="G109:G128" si="25">F109/11</f>
        <v>400.72727272727275</v>
      </c>
      <c r="I109" s="72">
        <v>45876</v>
      </c>
      <c r="J109" s="18" t="s">
        <v>1032</v>
      </c>
      <c r="K109" s="18">
        <v>40</v>
      </c>
      <c r="L109" s="18">
        <v>299</v>
      </c>
      <c r="M109" s="19">
        <f t="shared" si="20"/>
        <v>11960</v>
      </c>
      <c r="N109" s="386">
        <f t="shared" si="21"/>
        <v>1559.5839999999998</v>
      </c>
    </row>
    <row r="110" spans="2:14">
      <c r="B110" s="18"/>
      <c r="C110" s="18"/>
      <c r="D110" s="125"/>
      <c r="E110" s="18"/>
      <c r="F110" s="19">
        <f t="shared" si="24"/>
        <v>0</v>
      </c>
      <c r="G110" s="66">
        <f t="shared" si="25"/>
        <v>0</v>
      </c>
      <c r="I110" s="72">
        <v>45877</v>
      </c>
      <c r="J110" s="18" t="s">
        <v>1033</v>
      </c>
      <c r="K110" s="18">
        <v>2</v>
      </c>
      <c r="L110" s="18">
        <v>299</v>
      </c>
      <c r="M110" s="384">
        <f t="shared" si="20"/>
        <v>598</v>
      </c>
      <c r="N110" s="385">
        <f t="shared" si="21"/>
        <v>77.979199999999992</v>
      </c>
    </row>
    <row r="111" spans="2:14">
      <c r="B111" s="18"/>
      <c r="C111" s="18"/>
      <c r="D111" s="125"/>
      <c r="E111" s="18"/>
      <c r="F111" s="19">
        <f t="shared" si="24"/>
        <v>0</v>
      </c>
      <c r="G111" s="66">
        <f t="shared" si="25"/>
        <v>0</v>
      </c>
      <c r="I111" s="72">
        <v>45877</v>
      </c>
      <c r="J111" s="18" t="s">
        <v>1021</v>
      </c>
      <c r="K111" s="18">
        <v>1</v>
      </c>
      <c r="L111" s="18">
        <v>1600</v>
      </c>
      <c r="M111" s="19">
        <f t="shared" si="20"/>
        <v>1600</v>
      </c>
      <c r="N111" s="271">
        <f t="shared" si="21"/>
        <v>208.64</v>
      </c>
    </row>
    <row r="112" spans="2:14">
      <c r="B112" s="96">
        <v>45744</v>
      </c>
      <c r="C112" s="110" t="s">
        <v>288</v>
      </c>
      <c r="D112" s="127">
        <v>2</v>
      </c>
      <c r="E112" s="127">
        <v>2089.4899999999998</v>
      </c>
      <c r="F112" s="19">
        <f t="shared" si="24"/>
        <v>4178.9799999999996</v>
      </c>
      <c r="G112" s="66">
        <f t="shared" si="25"/>
        <v>379.9072727272727</v>
      </c>
      <c r="I112" s="461">
        <v>45889</v>
      </c>
      <c r="J112" s="18" t="s">
        <v>1159</v>
      </c>
      <c r="K112" s="19">
        <v>5</v>
      </c>
      <c r="L112" s="19">
        <v>779.9</v>
      </c>
      <c r="M112" s="19">
        <f t="shared" ref="M112:M119" si="26">L112*K112</f>
        <v>3899.5</v>
      </c>
      <c r="N112" s="383">
        <f t="shared" ref="N112:N119" si="27">M112*13.04/100</f>
        <v>508.49479999999994</v>
      </c>
    </row>
    <row r="113" spans="2:14">
      <c r="B113" s="96">
        <v>45744</v>
      </c>
      <c r="C113" s="110" t="s">
        <v>289</v>
      </c>
      <c r="D113" s="127">
        <v>1</v>
      </c>
      <c r="E113" s="127">
        <v>2204</v>
      </c>
      <c r="F113" s="19">
        <f t="shared" si="24"/>
        <v>2204</v>
      </c>
      <c r="G113" s="66">
        <f t="shared" si="25"/>
        <v>200.36363636363637</v>
      </c>
      <c r="I113" s="461">
        <v>45889</v>
      </c>
      <c r="J113" s="18" t="s">
        <v>1160</v>
      </c>
      <c r="K113" s="19">
        <v>1</v>
      </c>
      <c r="L113" s="19">
        <v>779.9</v>
      </c>
      <c r="M113" s="19">
        <f t="shared" si="26"/>
        <v>779.9</v>
      </c>
      <c r="N113" s="383">
        <f t="shared" si="27"/>
        <v>101.69895999999999</v>
      </c>
    </row>
    <row r="114" spans="2:14">
      <c r="B114" s="19"/>
      <c r="C114" s="19"/>
      <c r="D114" s="19"/>
      <c r="E114" s="19"/>
      <c r="F114" s="19">
        <f t="shared" si="24"/>
        <v>0</v>
      </c>
      <c r="G114" s="66">
        <f t="shared" si="25"/>
        <v>0</v>
      </c>
      <c r="I114" s="461">
        <v>45889</v>
      </c>
      <c r="J114" s="18" t="s">
        <v>1161</v>
      </c>
      <c r="K114" s="19">
        <v>1</v>
      </c>
      <c r="L114" s="19">
        <v>775</v>
      </c>
      <c r="M114" s="19">
        <f t="shared" si="26"/>
        <v>775</v>
      </c>
      <c r="N114" s="383">
        <f t="shared" si="27"/>
        <v>101.06</v>
      </c>
    </row>
    <row r="115" spans="2:14">
      <c r="B115" s="81">
        <v>45744</v>
      </c>
      <c r="C115" s="18" t="s">
        <v>290</v>
      </c>
      <c r="D115" s="19">
        <v>2</v>
      </c>
      <c r="E115" s="145">
        <v>220</v>
      </c>
      <c r="F115" s="19">
        <f t="shared" si="24"/>
        <v>440</v>
      </c>
      <c r="G115" s="66">
        <f t="shared" si="25"/>
        <v>40</v>
      </c>
      <c r="I115" s="461">
        <v>45889</v>
      </c>
      <c r="J115" s="18" t="s">
        <v>1162</v>
      </c>
      <c r="K115" s="19">
        <v>4</v>
      </c>
      <c r="L115" s="19">
        <v>750</v>
      </c>
      <c r="M115" s="19">
        <f t="shared" si="26"/>
        <v>3000</v>
      </c>
      <c r="N115" s="383">
        <f t="shared" si="27"/>
        <v>391.2</v>
      </c>
    </row>
    <row r="116" spans="2:14">
      <c r="B116" s="81">
        <v>45744</v>
      </c>
      <c r="C116" s="18" t="s">
        <v>291</v>
      </c>
      <c r="D116" s="19">
        <v>2</v>
      </c>
      <c r="E116" s="145">
        <v>89</v>
      </c>
      <c r="F116" s="19">
        <f t="shared" si="24"/>
        <v>178</v>
      </c>
      <c r="G116" s="66">
        <f t="shared" si="25"/>
        <v>16.181818181818183</v>
      </c>
      <c r="I116" s="461">
        <v>45895</v>
      </c>
      <c r="J116" s="18" t="s">
        <v>1163</v>
      </c>
      <c r="K116" s="19">
        <v>50</v>
      </c>
      <c r="L116" s="19">
        <v>329</v>
      </c>
      <c r="M116" s="19">
        <f t="shared" si="26"/>
        <v>16450</v>
      </c>
      <c r="N116" s="383">
        <f t="shared" si="27"/>
        <v>2145.08</v>
      </c>
    </row>
    <row r="117" spans="2:14">
      <c r="B117" s="81">
        <v>45744</v>
      </c>
      <c r="C117" s="18" t="s">
        <v>292</v>
      </c>
      <c r="D117" s="19">
        <v>2</v>
      </c>
      <c r="E117" s="145">
        <v>89</v>
      </c>
      <c r="F117" s="19">
        <f t="shared" si="24"/>
        <v>178</v>
      </c>
      <c r="G117" s="66">
        <f t="shared" si="25"/>
        <v>16.181818181818183</v>
      </c>
      <c r="I117" s="461">
        <v>45895</v>
      </c>
      <c r="J117" s="18" t="s">
        <v>1164</v>
      </c>
      <c r="K117" s="375">
        <v>50</v>
      </c>
      <c r="L117" s="375">
        <v>329</v>
      </c>
      <c r="M117" s="19">
        <f t="shared" si="26"/>
        <v>16450</v>
      </c>
      <c r="N117" s="383">
        <f t="shared" si="27"/>
        <v>2145.08</v>
      </c>
    </row>
    <row r="118" spans="2:14">
      <c r="B118" s="81">
        <v>45744</v>
      </c>
      <c r="C118" s="18" t="s">
        <v>293</v>
      </c>
      <c r="D118" s="19">
        <v>2</v>
      </c>
      <c r="E118" s="145">
        <v>89</v>
      </c>
      <c r="F118" s="19">
        <f t="shared" si="24"/>
        <v>178</v>
      </c>
      <c r="G118" s="66">
        <f t="shared" si="25"/>
        <v>16.181818181818183</v>
      </c>
      <c r="I118" s="460">
        <v>45909</v>
      </c>
      <c r="J118" s="76" t="s">
        <v>1203</v>
      </c>
      <c r="K118" s="75">
        <v>50</v>
      </c>
      <c r="L118" s="75">
        <v>329</v>
      </c>
      <c r="M118" s="75">
        <f t="shared" si="26"/>
        <v>16450</v>
      </c>
      <c r="N118" s="383">
        <f t="shared" si="27"/>
        <v>2145.08</v>
      </c>
    </row>
    <row r="119" spans="2:14">
      <c r="B119" s="81">
        <v>45744</v>
      </c>
      <c r="C119" s="18" t="s">
        <v>294</v>
      </c>
      <c r="D119" s="19">
        <v>2</v>
      </c>
      <c r="E119" s="145">
        <v>55</v>
      </c>
      <c r="F119" s="19">
        <f t="shared" si="24"/>
        <v>110</v>
      </c>
      <c r="G119" s="66">
        <f t="shared" si="25"/>
        <v>10</v>
      </c>
      <c r="I119" s="72">
        <v>45909</v>
      </c>
      <c r="J119" s="18" t="s">
        <v>1204</v>
      </c>
      <c r="K119" s="19">
        <v>400</v>
      </c>
      <c r="L119" s="19">
        <v>299</v>
      </c>
      <c r="M119" s="19">
        <f t="shared" si="26"/>
        <v>119600</v>
      </c>
      <c r="N119" s="386">
        <f t="shared" si="27"/>
        <v>15595.84</v>
      </c>
    </row>
    <row r="120" spans="2:14">
      <c r="B120" s="19"/>
      <c r="C120" s="19"/>
      <c r="D120" s="19"/>
      <c r="E120" s="19"/>
      <c r="F120" s="19">
        <f t="shared" si="24"/>
        <v>0</v>
      </c>
      <c r="G120" s="66">
        <f t="shared" si="25"/>
        <v>0</v>
      </c>
      <c r="I120" s="81">
        <v>45925</v>
      </c>
      <c r="J120" s="18" t="s">
        <v>1273</v>
      </c>
      <c r="K120" s="19">
        <v>2</v>
      </c>
      <c r="L120" s="145">
        <v>1449</v>
      </c>
      <c r="M120" s="19">
        <f t="shared" ref="M120:M140" si="28">L120*K120</f>
        <v>2898</v>
      </c>
      <c r="N120" s="386">
        <f t="shared" ref="N120:N135" si="29">M120*13.04/100</f>
        <v>377.89920000000001</v>
      </c>
    </row>
    <row r="121" spans="2:14">
      <c r="B121" s="96">
        <v>45744</v>
      </c>
      <c r="C121" s="110" t="s">
        <v>295</v>
      </c>
      <c r="D121" s="127">
        <v>2</v>
      </c>
      <c r="E121" s="146">
        <v>220</v>
      </c>
      <c r="F121" s="19">
        <f t="shared" si="24"/>
        <v>440</v>
      </c>
      <c r="G121" s="66">
        <f t="shared" si="25"/>
        <v>40</v>
      </c>
      <c r="I121" s="81">
        <v>45926</v>
      </c>
      <c r="J121" s="18" t="s">
        <v>1273</v>
      </c>
      <c r="K121" s="19">
        <v>4</v>
      </c>
      <c r="L121" s="145">
        <v>1348</v>
      </c>
      <c r="M121" s="19">
        <f t="shared" si="28"/>
        <v>5392</v>
      </c>
      <c r="N121" s="386">
        <f t="shared" si="29"/>
        <v>703.1167999999999</v>
      </c>
    </row>
    <row r="122" spans="2:14">
      <c r="B122" s="96">
        <v>45744</v>
      </c>
      <c r="C122" s="110" t="s">
        <v>295</v>
      </c>
      <c r="D122" s="127">
        <v>2</v>
      </c>
      <c r="E122" s="146">
        <v>220</v>
      </c>
      <c r="F122" s="19">
        <f t="shared" si="24"/>
        <v>440</v>
      </c>
      <c r="G122" s="66">
        <f t="shared" si="25"/>
        <v>40</v>
      </c>
      <c r="I122" s="81">
        <v>45926</v>
      </c>
      <c r="J122" s="18" t="s">
        <v>1274</v>
      </c>
      <c r="K122" s="19">
        <v>1</v>
      </c>
      <c r="L122" s="145">
        <v>1348</v>
      </c>
      <c r="M122" s="19">
        <f t="shared" si="28"/>
        <v>1348</v>
      </c>
      <c r="N122" s="386">
        <f t="shared" si="29"/>
        <v>175.77919999999997</v>
      </c>
    </row>
    <row r="123" spans="2:14">
      <c r="B123" s="96">
        <v>45744</v>
      </c>
      <c r="C123" s="110" t="s">
        <v>296</v>
      </c>
      <c r="D123" s="127">
        <v>2</v>
      </c>
      <c r="E123" s="146">
        <v>89</v>
      </c>
      <c r="F123" s="19">
        <f t="shared" si="24"/>
        <v>178</v>
      </c>
      <c r="G123" s="66">
        <f t="shared" si="25"/>
        <v>16.181818181818183</v>
      </c>
      <c r="I123" s="81">
        <v>45926</v>
      </c>
      <c r="J123" s="18" t="s">
        <v>1275</v>
      </c>
      <c r="K123" s="19">
        <v>4</v>
      </c>
      <c r="L123" s="145">
        <v>738</v>
      </c>
      <c r="M123" s="19">
        <f t="shared" si="28"/>
        <v>2952</v>
      </c>
      <c r="N123" s="386">
        <f t="shared" si="29"/>
        <v>384.94079999999997</v>
      </c>
    </row>
    <row r="124" spans="2:14">
      <c r="B124" s="96">
        <v>45744</v>
      </c>
      <c r="C124" s="110" t="s">
        <v>297</v>
      </c>
      <c r="D124" s="127">
        <v>1</v>
      </c>
      <c r="E124" s="146">
        <v>89</v>
      </c>
      <c r="F124" s="19">
        <f t="shared" si="24"/>
        <v>89</v>
      </c>
      <c r="G124" s="66">
        <f t="shared" si="25"/>
        <v>8.0909090909090917</v>
      </c>
      <c r="I124" s="81">
        <v>45926</v>
      </c>
      <c r="J124" s="18" t="s">
        <v>1273</v>
      </c>
      <c r="K124" s="19">
        <v>5</v>
      </c>
      <c r="L124" s="145">
        <v>1449</v>
      </c>
      <c r="M124" s="19">
        <f t="shared" si="28"/>
        <v>7245</v>
      </c>
      <c r="N124" s="386">
        <f t="shared" si="29"/>
        <v>944.74799999999993</v>
      </c>
    </row>
    <row r="125" spans="2:14">
      <c r="B125" s="18"/>
      <c r="C125" s="18"/>
      <c r="D125" s="125"/>
      <c r="E125" s="18"/>
      <c r="F125" s="19">
        <f t="shared" si="24"/>
        <v>0</v>
      </c>
      <c r="G125" s="66">
        <f t="shared" si="25"/>
        <v>0</v>
      </c>
      <c r="I125" s="209">
        <v>45957</v>
      </c>
      <c r="J125" s="110" t="s">
        <v>1524</v>
      </c>
      <c r="K125" s="127">
        <v>1</v>
      </c>
      <c r="L125" s="603">
        <v>1449</v>
      </c>
      <c r="M125" s="19">
        <f t="shared" si="28"/>
        <v>1449</v>
      </c>
      <c r="N125" s="386">
        <f t="shared" si="29"/>
        <v>188.9496</v>
      </c>
    </row>
    <row r="126" spans="2:14">
      <c r="B126" s="96">
        <v>45745</v>
      </c>
      <c r="C126" s="110" t="s">
        <v>310</v>
      </c>
      <c r="D126" s="127">
        <v>2</v>
      </c>
      <c r="E126" s="127">
        <v>2089.4899999999998</v>
      </c>
      <c r="F126" s="19">
        <f t="shared" si="24"/>
        <v>4178.9799999999996</v>
      </c>
      <c r="G126" s="66">
        <f t="shared" si="25"/>
        <v>379.9072727272727</v>
      </c>
      <c r="I126" s="209">
        <v>45957</v>
      </c>
      <c r="J126" s="110" t="s">
        <v>1525</v>
      </c>
      <c r="K126" s="127">
        <v>2</v>
      </c>
      <c r="L126" s="603">
        <v>1445</v>
      </c>
      <c r="M126" s="19">
        <f t="shared" si="28"/>
        <v>2890</v>
      </c>
      <c r="N126" s="386">
        <f t="shared" si="29"/>
        <v>376.85599999999999</v>
      </c>
    </row>
    <row r="127" spans="2:14">
      <c r="B127" s="96">
        <v>45745</v>
      </c>
      <c r="C127" s="138" t="s">
        <v>313</v>
      </c>
      <c r="D127" s="127">
        <v>2</v>
      </c>
      <c r="E127" s="127">
        <v>2204</v>
      </c>
      <c r="F127" s="19">
        <f t="shared" si="24"/>
        <v>4408</v>
      </c>
      <c r="G127" s="66">
        <f t="shared" si="25"/>
        <v>400.72727272727275</v>
      </c>
      <c r="I127" s="563">
        <v>45958</v>
      </c>
      <c r="J127" s="230" t="s">
        <v>1576</v>
      </c>
      <c r="K127" s="557">
        <v>10</v>
      </c>
      <c r="L127" s="604">
        <v>1399</v>
      </c>
      <c r="M127" s="557">
        <f t="shared" si="28"/>
        <v>13990</v>
      </c>
      <c r="N127" s="386">
        <f t="shared" si="29"/>
        <v>1824.2959999999998</v>
      </c>
    </row>
    <row r="128" spans="2:14">
      <c r="B128" s="96">
        <v>45745</v>
      </c>
      <c r="C128" s="138" t="s">
        <v>312</v>
      </c>
      <c r="D128" s="127">
        <v>1</v>
      </c>
      <c r="E128" s="127">
        <v>669</v>
      </c>
      <c r="F128" s="19">
        <f t="shared" si="24"/>
        <v>669</v>
      </c>
      <c r="G128" s="66">
        <f t="shared" si="25"/>
        <v>60.81818181818182</v>
      </c>
      <c r="I128" s="563">
        <v>45958</v>
      </c>
      <c r="J128" s="230" t="s">
        <v>1577</v>
      </c>
      <c r="K128" s="557">
        <v>3</v>
      </c>
      <c r="L128" s="604">
        <v>780</v>
      </c>
      <c r="M128" s="557">
        <f t="shared" si="28"/>
        <v>2340</v>
      </c>
      <c r="N128" s="386">
        <f t="shared" si="29"/>
        <v>305.13599999999997</v>
      </c>
    </row>
    <row r="129" spans="2:14">
      <c r="B129" s="18"/>
      <c r="C129" s="18"/>
      <c r="D129" s="125"/>
      <c r="E129" s="18"/>
      <c r="F129" s="19">
        <f t="shared" ref="F129:F185" si="30">E129*D129</f>
        <v>0</v>
      </c>
      <c r="G129" s="66">
        <f t="shared" ref="G129:G185" si="31">F129/11</f>
        <v>0</v>
      </c>
      <c r="I129" s="563">
        <v>45958</v>
      </c>
      <c r="J129" s="230" t="s">
        <v>1578</v>
      </c>
      <c r="K129" s="557">
        <v>6</v>
      </c>
      <c r="L129" s="604">
        <v>1348</v>
      </c>
      <c r="M129" s="557">
        <f t="shared" si="28"/>
        <v>8088</v>
      </c>
      <c r="N129" s="386">
        <f t="shared" si="29"/>
        <v>1054.6751999999999</v>
      </c>
    </row>
    <row r="130" spans="2:14">
      <c r="B130" s="18"/>
      <c r="C130" s="18"/>
      <c r="D130" s="125"/>
      <c r="E130" s="18"/>
      <c r="F130" s="19">
        <f t="shared" si="30"/>
        <v>0</v>
      </c>
      <c r="G130" s="66">
        <f t="shared" si="31"/>
        <v>0</v>
      </c>
      <c r="I130" s="563">
        <v>45958</v>
      </c>
      <c r="J130" s="230" t="s">
        <v>1579</v>
      </c>
      <c r="K130" s="557">
        <v>1</v>
      </c>
      <c r="L130" s="604">
        <v>1348</v>
      </c>
      <c r="M130" s="557">
        <f t="shared" si="28"/>
        <v>1348</v>
      </c>
      <c r="N130" s="386">
        <f t="shared" si="29"/>
        <v>175.77919999999997</v>
      </c>
    </row>
    <row r="131" spans="2:14">
      <c r="B131" s="81">
        <v>45747</v>
      </c>
      <c r="C131" s="80" t="s">
        <v>338</v>
      </c>
      <c r="D131" s="19">
        <v>2</v>
      </c>
      <c r="E131" s="19">
        <v>2460.9899999999998</v>
      </c>
      <c r="F131" s="19">
        <f t="shared" si="30"/>
        <v>4921.9799999999996</v>
      </c>
      <c r="G131" s="66">
        <f t="shared" si="31"/>
        <v>447.45272727272726</v>
      </c>
      <c r="I131" s="532">
        <v>45964</v>
      </c>
      <c r="J131" s="444" t="s">
        <v>1667</v>
      </c>
      <c r="K131" s="580">
        <v>2</v>
      </c>
      <c r="L131" s="533">
        <v>1450</v>
      </c>
      <c r="M131" s="580">
        <f t="shared" si="28"/>
        <v>2900</v>
      </c>
      <c r="N131" s="386">
        <f t="shared" si="29"/>
        <v>378.16</v>
      </c>
    </row>
    <row r="132" spans="2:14">
      <c r="B132" s="81">
        <v>45747</v>
      </c>
      <c r="C132" s="80" t="s">
        <v>339</v>
      </c>
      <c r="D132" s="19">
        <v>2</v>
      </c>
      <c r="E132" s="19">
        <v>2089.9899999999998</v>
      </c>
      <c r="F132" s="19">
        <f t="shared" si="30"/>
        <v>4179.9799999999996</v>
      </c>
      <c r="G132" s="66">
        <f t="shared" si="31"/>
        <v>379.99818181818176</v>
      </c>
      <c r="I132" s="532">
        <v>45964</v>
      </c>
      <c r="J132" s="444" t="s">
        <v>1668</v>
      </c>
      <c r="K132" s="580">
        <v>2</v>
      </c>
      <c r="L132" s="533">
        <v>1450</v>
      </c>
      <c r="M132" s="580">
        <f t="shared" si="28"/>
        <v>2900</v>
      </c>
      <c r="N132" s="386">
        <f t="shared" si="29"/>
        <v>378.16</v>
      </c>
    </row>
    <row r="133" spans="2:14">
      <c r="B133" s="81">
        <v>45747</v>
      </c>
      <c r="C133" s="80" t="s">
        <v>340</v>
      </c>
      <c r="D133" s="19">
        <v>2</v>
      </c>
      <c r="E133" s="19">
        <v>2460.9899999999998</v>
      </c>
      <c r="F133" s="19">
        <f t="shared" si="30"/>
        <v>4921.9799999999996</v>
      </c>
      <c r="G133" s="66">
        <f t="shared" si="31"/>
        <v>447.45272727272726</v>
      </c>
      <c r="I133" s="532">
        <v>45964</v>
      </c>
      <c r="J133" s="444" t="s">
        <v>1667</v>
      </c>
      <c r="K133" s="580">
        <v>1</v>
      </c>
      <c r="L133" s="533">
        <v>1480</v>
      </c>
      <c r="M133" s="580">
        <f t="shared" si="28"/>
        <v>1480</v>
      </c>
      <c r="N133" s="386">
        <f t="shared" si="29"/>
        <v>192.99199999999996</v>
      </c>
    </row>
    <row r="134" spans="2:14">
      <c r="B134" s="96">
        <v>45747</v>
      </c>
      <c r="C134" s="138" t="s">
        <v>341</v>
      </c>
      <c r="D134" s="127">
        <v>10</v>
      </c>
      <c r="E134" s="127">
        <v>213</v>
      </c>
      <c r="F134" s="19">
        <f t="shared" si="30"/>
        <v>2130</v>
      </c>
      <c r="G134" s="66">
        <f t="shared" si="31"/>
        <v>193.63636363636363</v>
      </c>
      <c r="I134" s="532">
        <v>45964</v>
      </c>
      <c r="J134" s="444" t="s">
        <v>1668</v>
      </c>
      <c r="K134" s="580">
        <v>4</v>
      </c>
      <c r="L134" s="533">
        <v>1399</v>
      </c>
      <c r="M134" s="580">
        <f t="shared" si="28"/>
        <v>5596</v>
      </c>
      <c r="N134" s="386">
        <f t="shared" si="29"/>
        <v>729.71839999999997</v>
      </c>
    </row>
    <row r="135" spans="2:14">
      <c r="B135" s="96">
        <v>45747</v>
      </c>
      <c r="C135" s="138" t="s">
        <v>342</v>
      </c>
      <c r="D135" s="127">
        <v>10</v>
      </c>
      <c r="E135" s="127">
        <v>87</v>
      </c>
      <c r="F135" s="19">
        <f t="shared" si="30"/>
        <v>870</v>
      </c>
      <c r="G135" s="66">
        <f t="shared" si="31"/>
        <v>79.090909090909093</v>
      </c>
      <c r="I135" s="532">
        <v>45964</v>
      </c>
      <c r="J135" s="444" t="s">
        <v>1667</v>
      </c>
      <c r="K135" s="580">
        <v>2</v>
      </c>
      <c r="L135" s="533">
        <v>1399</v>
      </c>
      <c r="M135" s="580">
        <f t="shared" si="28"/>
        <v>2798</v>
      </c>
      <c r="N135" s="386">
        <f t="shared" si="29"/>
        <v>364.85919999999999</v>
      </c>
    </row>
    <row r="136" spans="2:14">
      <c r="B136" s="18"/>
      <c r="C136" s="18"/>
      <c r="D136" s="125"/>
      <c r="E136" s="18"/>
      <c r="F136" s="19">
        <f t="shared" si="30"/>
        <v>0</v>
      </c>
      <c r="G136" s="66">
        <f t="shared" si="31"/>
        <v>0</v>
      </c>
      <c r="I136" s="602">
        <v>45988</v>
      </c>
      <c r="J136" s="110" t="s">
        <v>1870</v>
      </c>
      <c r="K136" s="110">
        <v>1</v>
      </c>
      <c r="L136" s="184">
        <v>1348</v>
      </c>
      <c r="M136" s="600">
        <f t="shared" si="28"/>
        <v>1348</v>
      </c>
      <c r="N136" s="386">
        <f>M136*13.04/100</f>
        <v>175.77919999999997</v>
      </c>
    </row>
    <row r="137" spans="2:14">
      <c r="B137" s="18"/>
      <c r="C137" s="18"/>
      <c r="D137" s="125"/>
      <c r="E137" s="18"/>
      <c r="F137" s="19">
        <f t="shared" si="30"/>
        <v>0</v>
      </c>
      <c r="G137" s="66">
        <f t="shared" si="31"/>
        <v>0</v>
      </c>
      <c r="I137" s="602">
        <v>45988</v>
      </c>
      <c r="J137" s="110" t="s">
        <v>1871</v>
      </c>
      <c r="K137" s="110">
        <v>1</v>
      </c>
      <c r="L137" s="184">
        <v>1348</v>
      </c>
      <c r="M137" s="600">
        <f t="shared" si="28"/>
        <v>1348</v>
      </c>
      <c r="N137" s="386">
        <f>M137*13.04/100</f>
        <v>175.77919999999997</v>
      </c>
    </row>
    <row r="138" spans="2:14">
      <c r="B138" s="18"/>
      <c r="C138" s="18"/>
      <c r="D138" s="125"/>
      <c r="E138" s="18"/>
      <c r="F138" s="19">
        <f t="shared" si="30"/>
        <v>0</v>
      </c>
      <c r="G138" s="66">
        <f t="shared" si="31"/>
        <v>0</v>
      </c>
      <c r="I138" s="602">
        <v>45989</v>
      </c>
      <c r="J138" s="110" t="s">
        <v>1872</v>
      </c>
      <c r="K138" s="110">
        <v>3</v>
      </c>
      <c r="L138" s="184">
        <v>1380</v>
      </c>
      <c r="M138" s="600">
        <f t="shared" si="28"/>
        <v>4140</v>
      </c>
      <c r="N138" s="386">
        <f>M138*13.04/100</f>
        <v>539.85599999999999</v>
      </c>
    </row>
    <row r="139" spans="2:14">
      <c r="B139" s="18"/>
      <c r="C139" s="18"/>
      <c r="D139" s="125"/>
      <c r="E139" s="18"/>
      <c r="F139" s="19">
        <f t="shared" si="30"/>
        <v>0</v>
      </c>
      <c r="G139" s="66">
        <f t="shared" si="31"/>
        <v>0</v>
      </c>
      <c r="I139" s="602">
        <v>45989</v>
      </c>
      <c r="J139" s="110" t="s">
        <v>1873</v>
      </c>
      <c r="K139" s="110">
        <v>10</v>
      </c>
      <c r="L139" s="184">
        <v>1390</v>
      </c>
      <c r="M139" s="600">
        <f t="shared" si="28"/>
        <v>13900</v>
      </c>
      <c r="N139" s="386">
        <f>M139*13.04/100</f>
        <v>1812.56</v>
      </c>
    </row>
    <row r="140" spans="2:14">
      <c r="B140" s="18"/>
      <c r="C140" s="18"/>
      <c r="D140" s="125"/>
      <c r="E140" s="18"/>
      <c r="F140" s="19">
        <f t="shared" si="30"/>
        <v>0</v>
      </c>
      <c r="G140" s="66">
        <f t="shared" si="31"/>
        <v>0</v>
      </c>
      <c r="I140" s="602">
        <v>45989</v>
      </c>
      <c r="J140" s="110" t="s">
        <v>1874</v>
      </c>
      <c r="K140" s="110">
        <v>12</v>
      </c>
      <c r="L140" s="184">
        <v>1390</v>
      </c>
      <c r="M140" s="600">
        <f t="shared" si="28"/>
        <v>16680</v>
      </c>
      <c r="N140" s="386">
        <f>M140*13.04/100</f>
        <v>2175.0719999999997</v>
      </c>
    </row>
    <row r="141" spans="2:14">
      <c r="B141" s="18"/>
      <c r="C141" s="18"/>
      <c r="D141" s="125"/>
      <c r="E141" s="18"/>
      <c r="F141" s="19">
        <f t="shared" si="30"/>
        <v>0</v>
      </c>
      <c r="G141" s="66">
        <f t="shared" si="31"/>
        <v>0</v>
      </c>
      <c r="I141" s="585">
        <v>45993</v>
      </c>
      <c r="J141" s="110" t="s">
        <v>1971</v>
      </c>
      <c r="K141" s="110">
        <v>10</v>
      </c>
      <c r="L141" s="110">
        <v>1260</v>
      </c>
      <c r="M141" s="619">
        <f t="shared" ref="M141:M154" si="32">L141*K141</f>
        <v>12600</v>
      </c>
      <c r="N141" s="386">
        <f t="shared" ref="N141:N154" si="33">M141*13.04/100</f>
        <v>1643.04</v>
      </c>
    </row>
    <row r="142" spans="2:14">
      <c r="B142" s="18"/>
      <c r="C142" s="18"/>
      <c r="D142" s="125"/>
      <c r="E142" s="18"/>
      <c r="F142" s="19">
        <f t="shared" si="30"/>
        <v>0</v>
      </c>
      <c r="G142" s="66">
        <f t="shared" si="31"/>
        <v>0</v>
      </c>
      <c r="I142" s="585">
        <v>45993</v>
      </c>
      <c r="J142" s="110" t="s">
        <v>1972</v>
      </c>
      <c r="K142" s="110">
        <v>1</v>
      </c>
      <c r="L142" s="110">
        <v>1348</v>
      </c>
      <c r="M142" s="619">
        <f t="shared" si="32"/>
        <v>1348</v>
      </c>
      <c r="N142" s="386">
        <f t="shared" si="33"/>
        <v>175.77919999999997</v>
      </c>
    </row>
    <row r="143" spans="2:14">
      <c r="B143" s="18"/>
      <c r="C143" s="18"/>
      <c r="D143" s="125"/>
      <c r="E143" s="18"/>
      <c r="F143" s="19">
        <f t="shared" si="30"/>
        <v>0</v>
      </c>
      <c r="G143" s="66">
        <f t="shared" si="31"/>
        <v>0</v>
      </c>
      <c r="I143" s="585">
        <v>45993</v>
      </c>
      <c r="J143" s="110" t="s">
        <v>1973</v>
      </c>
      <c r="K143" s="110">
        <v>3</v>
      </c>
      <c r="L143" s="110">
        <v>738</v>
      </c>
      <c r="M143" s="619">
        <f t="shared" si="32"/>
        <v>2214</v>
      </c>
      <c r="N143" s="386">
        <f t="shared" si="33"/>
        <v>288.7056</v>
      </c>
    </row>
    <row r="144" spans="2:14">
      <c r="B144" s="18"/>
      <c r="C144" s="18"/>
      <c r="D144" s="125"/>
      <c r="E144" s="18"/>
      <c r="F144" s="19">
        <f t="shared" si="30"/>
        <v>0</v>
      </c>
      <c r="G144" s="66">
        <f t="shared" si="31"/>
        <v>0</v>
      </c>
      <c r="I144" s="585">
        <v>45993</v>
      </c>
      <c r="J144" s="110" t="s">
        <v>1974</v>
      </c>
      <c r="K144" s="110">
        <v>2</v>
      </c>
      <c r="L144" s="110">
        <v>1348</v>
      </c>
      <c r="M144" s="619">
        <f t="shared" si="32"/>
        <v>2696</v>
      </c>
      <c r="N144" s="386">
        <f t="shared" si="33"/>
        <v>351.55839999999995</v>
      </c>
    </row>
    <row r="145" spans="2:14">
      <c r="B145" s="18"/>
      <c r="C145" s="18"/>
      <c r="D145" s="125"/>
      <c r="E145" s="18"/>
      <c r="F145" s="19">
        <f t="shared" si="30"/>
        <v>0</v>
      </c>
      <c r="G145" s="66">
        <f t="shared" si="31"/>
        <v>0</v>
      </c>
      <c r="I145" s="585">
        <v>45993</v>
      </c>
      <c r="J145" s="110" t="s">
        <v>1972</v>
      </c>
      <c r="K145" s="110">
        <v>2</v>
      </c>
      <c r="L145" s="110">
        <v>1348</v>
      </c>
      <c r="M145" s="619">
        <f t="shared" si="32"/>
        <v>2696</v>
      </c>
      <c r="N145" s="386">
        <f t="shared" si="33"/>
        <v>351.55839999999995</v>
      </c>
    </row>
    <row r="146" spans="2:14">
      <c r="B146" s="18"/>
      <c r="C146" s="18"/>
      <c r="D146" s="125"/>
      <c r="E146" s="18"/>
      <c r="F146" s="19">
        <f t="shared" si="30"/>
        <v>0</v>
      </c>
      <c r="G146" s="66">
        <f t="shared" si="31"/>
        <v>0</v>
      </c>
      <c r="I146" s="585">
        <v>46000</v>
      </c>
      <c r="J146" s="110" t="s">
        <v>2070</v>
      </c>
      <c r="K146" s="110">
        <v>500</v>
      </c>
      <c r="L146" s="110">
        <v>28</v>
      </c>
      <c r="M146" s="619">
        <f t="shared" si="32"/>
        <v>14000</v>
      </c>
      <c r="N146" s="386">
        <f t="shared" si="33"/>
        <v>1825.6</v>
      </c>
    </row>
    <row r="147" spans="2:14">
      <c r="B147" s="18"/>
      <c r="C147" s="18"/>
      <c r="D147" s="125"/>
      <c r="E147" s="18"/>
      <c r="F147" s="19">
        <f t="shared" si="30"/>
        <v>0</v>
      </c>
      <c r="G147" s="66">
        <f t="shared" si="31"/>
        <v>0</v>
      </c>
      <c r="I147" s="585">
        <v>46000</v>
      </c>
      <c r="J147" s="110" t="s">
        <v>2071</v>
      </c>
      <c r="K147" s="110">
        <v>100</v>
      </c>
      <c r="L147" s="110">
        <v>299</v>
      </c>
      <c r="M147" s="619">
        <f t="shared" si="32"/>
        <v>29900</v>
      </c>
      <c r="N147" s="386">
        <f t="shared" si="33"/>
        <v>3898.96</v>
      </c>
    </row>
    <row r="148" spans="2:14">
      <c r="B148" s="18"/>
      <c r="C148" s="18"/>
      <c r="D148" s="125"/>
      <c r="E148" s="18"/>
      <c r="F148" s="19">
        <f t="shared" si="30"/>
        <v>0</v>
      </c>
      <c r="G148" s="66">
        <f t="shared" si="31"/>
        <v>0</v>
      </c>
      <c r="I148" s="585">
        <v>46001</v>
      </c>
      <c r="J148" s="110" t="s">
        <v>2071</v>
      </c>
      <c r="K148" s="110">
        <v>100</v>
      </c>
      <c r="L148" s="110">
        <v>299</v>
      </c>
      <c r="M148" s="619">
        <f t="shared" si="32"/>
        <v>29900</v>
      </c>
      <c r="N148" s="386">
        <f t="shared" si="33"/>
        <v>3898.96</v>
      </c>
    </row>
    <row r="149" spans="2:14">
      <c r="B149" s="149">
        <v>45748</v>
      </c>
      <c r="C149" s="150" t="s">
        <v>322</v>
      </c>
      <c r="D149" s="151">
        <v>2</v>
      </c>
      <c r="E149" s="151">
        <v>2089.4899999999998</v>
      </c>
      <c r="F149" s="19">
        <f t="shared" si="30"/>
        <v>4178.9799999999996</v>
      </c>
      <c r="G149" s="66">
        <f t="shared" si="31"/>
        <v>379.9072727272727</v>
      </c>
      <c r="I149" s="585">
        <v>46002</v>
      </c>
      <c r="J149" s="110" t="s">
        <v>2184</v>
      </c>
      <c r="K149" s="110">
        <v>2</v>
      </c>
      <c r="L149" s="110">
        <v>775</v>
      </c>
      <c r="M149" s="619">
        <f t="shared" si="32"/>
        <v>1550</v>
      </c>
      <c r="N149" s="386">
        <f t="shared" si="33"/>
        <v>202.12</v>
      </c>
    </row>
    <row r="150" spans="2:14">
      <c r="B150" s="96">
        <v>45748</v>
      </c>
      <c r="C150" s="138" t="s">
        <v>323</v>
      </c>
      <c r="D150" s="127">
        <v>2</v>
      </c>
      <c r="E150" s="127">
        <v>2460.4899999999998</v>
      </c>
      <c r="F150" s="19">
        <f t="shared" si="30"/>
        <v>4920.9799999999996</v>
      </c>
      <c r="G150" s="66">
        <f t="shared" si="31"/>
        <v>447.36181818181814</v>
      </c>
      <c r="I150" s="585">
        <v>46014</v>
      </c>
      <c r="J150" s="110" t="s">
        <v>2281</v>
      </c>
      <c r="K150" s="110">
        <v>5</v>
      </c>
      <c r="L150" s="127">
        <v>1449</v>
      </c>
      <c r="M150" s="619">
        <f t="shared" si="32"/>
        <v>7245</v>
      </c>
      <c r="N150" s="386">
        <f t="shared" si="33"/>
        <v>944.74799999999993</v>
      </c>
    </row>
    <row r="151" spans="2:14">
      <c r="B151" s="19"/>
      <c r="C151" s="80"/>
      <c r="D151" s="19"/>
      <c r="E151" s="19"/>
      <c r="F151" s="19">
        <f t="shared" si="30"/>
        <v>0</v>
      </c>
      <c r="G151" s="66">
        <f t="shared" si="31"/>
        <v>0</v>
      </c>
      <c r="I151" s="585">
        <v>46014</v>
      </c>
      <c r="J151" s="110" t="s">
        <v>2281</v>
      </c>
      <c r="K151" s="110">
        <v>4</v>
      </c>
      <c r="L151" s="110">
        <v>1449</v>
      </c>
      <c r="M151" s="619">
        <f t="shared" si="32"/>
        <v>5796</v>
      </c>
      <c r="N151" s="386">
        <f t="shared" si="33"/>
        <v>755.79840000000002</v>
      </c>
    </row>
    <row r="152" spans="2:14">
      <c r="B152" s="96">
        <v>45749</v>
      </c>
      <c r="C152" s="138" t="s">
        <v>326</v>
      </c>
      <c r="D152" s="127">
        <v>2</v>
      </c>
      <c r="E152" s="127">
        <v>2517.4899999999998</v>
      </c>
      <c r="F152" s="19">
        <f t="shared" si="30"/>
        <v>5034.9799999999996</v>
      </c>
      <c r="G152" s="66">
        <f t="shared" si="31"/>
        <v>457.72545454545451</v>
      </c>
      <c r="I152" s="737">
        <v>46034</v>
      </c>
      <c r="J152" s="732" t="s">
        <v>2767</v>
      </c>
      <c r="K152" s="732">
        <v>10</v>
      </c>
      <c r="L152" s="732">
        <v>1449</v>
      </c>
      <c r="M152" s="619">
        <f t="shared" si="32"/>
        <v>14490</v>
      </c>
      <c r="N152" s="386">
        <f t="shared" si="33"/>
        <v>1889.4959999999999</v>
      </c>
    </row>
    <row r="153" spans="2:14">
      <c r="B153" s="96">
        <v>45749</v>
      </c>
      <c r="C153" s="138" t="s">
        <v>324</v>
      </c>
      <c r="D153" s="127">
        <v>2</v>
      </c>
      <c r="E153" s="127">
        <v>2089.4899999999998</v>
      </c>
      <c r="F153" s="19">
        <f t="shared" si="30"/>
        <v>4178.9799999999996</v>
      </c>
      <c r="G153" s="66">
        <f t="shared" si="31"/>
        <v>379.9072727272727</v>
      </c>
      <c r="I153" s="737">
        <v>46051</v>
      </c>
      <c r="J153" s="732" t="s">
        <v>2947</v>
      </c>
      <c r="K153" s="732">
        <v>100</v>
      </c>
      <c r="L153" s="732">
        <v>299</v>
      </c>
      <c r="M153" s="619">
        <f t="shared" si="32"/>
        <v>29900</v>
      </c>
      <c r="N153" s="386">
        <f t="shared" si="33"/>
        <v>3898.96</v>
      </c>
    </row>
    <row r="154" spans="2:14">
      <c r="B154" s="96">
        <v>45749</v>
      </c>
      <c r="C154" s="138" t="s">
        <v>325</v>
      </c>
      <c r="D154" s="127">
        <v>2</v>
      </c>
      <c r="E154" s="127">
        <v>2089.4899999999998</v>
      </c>
      <c r="F154" s="19">
        <f t="shared" si="30"/>
        <v>4178.9799999999996</v>
      </c>
      <c r="G154" s="66">
        <f t="shared" si="31"/>
        <v>379.9072727272727</v>
      </c>
      <c r="I154" s="737">
        <v>46051</v>
      </c>
      <c r="J154" s="732" t="s">
        <v>2948</v>
      </c>
      <c r="K154" s="732">
        <v>4</v>
      </c>
      <c r="L154" s="732">
        <v>349</v>
      </c>
      <c r="M154" s="619">
        <f t="shared" si="32"/>
        <v>1396</v>
      </c>
      <c r="N154" s="386">
        <f t="shared" si="33"/>
        <v>182.0384</v>
      </c>
    </row>
    <row r="155" spans="2:14">
      <c r="B155" s="96">
        <v>45749</v>
      </c>
      <c r="C155" s="138" t="s">
        <v>335</v>
      </c>
      <c r="D155" s="127">
        <v>1</v>
      </c>
      <c r="E155" s="127">
        <v>2089.9899999999998</v>
      </c>
      <c r="F155" s="19">
        <f t="shared" si="30"/>
        <v>2089.9899999999998</v>
      </c>
      <c r="G155" s="66">
        <f t="shared" si="31"/>
        <v>189.99909090909088</v>
      </c>
      <c r="I155" s="583">
        <v>46034</v>
      </c>
      <c r="J155" s="230" t="s">
        <v>3794</v>
      </c>
      <c r="K155" s="230">
        <v>30</v>
      </c>
      <c r="L155" s="230">
        <v>460</v>
      </c>
      <c r="M155" s="979">
        <f>L155*K155</f>
        <v>13800</v>
      </c>
      <c r="N155" s="386">
        <f>M155*13.04/100</f>
        <v>1799.52</v>
      </c>
    </row>
    <row r="156" spans="2:14">
      <c r="B156" s="96">
        <v>45749</v>
      </c>
      <c r="C156" s="138" t="s">
        <v>336</v>
      </c>
      <c r="D156" s="127">
        <v>1</v>
      </c>
      <c r="E156" s="127">
        <v>2089.9899999999998</v>
      </c>
      <c r="F156" s="19">
        <f t="shared" si="30"/>
        <v>2089.9899999999998</v>
      </c>
      <c r="G156" s="66">
        <f t="shared" si="31"/>
        <v>189.99909090909088</v>
      </c>
      <c r="I156" s="585">
        <v>46071</v>
      </c>
      <c r="J156" s="110" t="s">
        <v>3447</v>
      </c>
      <c r="K156" s="110">
        <v>3</v>
      </c>
      <c r="L156" s="110">
        <v>1449</v>
      </c>
      <c r="M156" s="979">
        <f>L156*K156</f>
        <v>4347</v>
      </c>
      <c r="N156" s="386">
        <f>M156*13.04/100</f>
        <v>566.84879999999998</v>
      </c>
    </row>
    <row r="157" spans="2:14">
      <c r="B157" s="19"/>
      <c r="C157" s="19"/>
      <c r="D157" s="19"/>
      <c r="E157" s="19"/>
      <c r="F157" s="19">
        <f t="shared" si="30"/>
        <v>0</v>
      </c>
      <c r="G157" s="66">
        <f t="shared" si="31"/>
        <v>0</v>
      </c>
      <c r="I157" s="737">
        <v>46113</v>
      </c>
      <c r="J157" s="1066" t="s">
        <v>4111</v>
      </c>
      <c r="K157" s="1066">
        <v>10</v>
      </c>
      <c r="L157" s="736">
        <v>469</v>
      </c>
      <c r="M157" s="783">
        <f t="shared" ref="M157:M168" si="34">L157*K157</f>
        <v>4690</v>
      </c>
      <c r="N157" s="386">
        <f t="shared" ref="N157:N170" si="35">M157*13.04/100</f>
        <v>611.57600000000002</v>
      </c>
    </row>
    <row r="158" spans="2:14">
      <c r="B158" s="149">
        <v>45749</v>
      </c>
      <c r="C158" s="151" t="s">
        <v>327</v>
      </c>
      <c r="D158" s="151">
        <v>8</v>
      </c>
      <c r="E158" s="151">
        <v>229</v>
      </c>
      <c r="F158" s="19">
        <f t="shared" si="30"/>
        <v>1832</v>
      </c>
      <c r="G158" s="66">
        <f t="shared" si="31"/>
        <v>166.54545454545453</v>
      </c>
      <c r="I158" s="737">
        <v>46113</v>
      </c>
      <c r="J158" s="1066" t="s">
        <v>4112</v>
      </c>
      <c r="K158" s="1066">
        <v>8</v>
      </c>
      <c r="L158" s="736">
        <v>1579</v>
      </c>
      <c r="M158" s="783">
        <f t="shared" si="34"/>
        <v>12632</v>
      </c>
      <c r="N158" s="386">
        <f t="shared" si="35"/>
        <v>1647.2128</v>
      </c>
    </row>
    <row r="159" spans="2:14">
      <c r="B159" s="96">
        <v>45749</v>
      </c>
      <c r="C159" s="127" t="s">
        <v>328</v>
      </c>
      <c r="D159" s="127">
        <v>1</v>
      </c>
      <c r="E159" s="127">
        <v>699</v>
      </c>
      <c r="F159" s="19">
        <f t="shared" si="30"/>
        <v>699</v>
      </c>
      <c r="G159" s="66">
        <f t="shared" si="31"/>
        <v>63.545454545454547</v>
      </c>
      <c r="I159" s="737">
        <v>46113</v>
      </c>
      <c r="J159" s="1066" t="s">
        <v>4113</v>
      </c>
      <c r="K159" s="1066">
        <v>5</v>
      </c>
      <c r="L159" s="736">
        <v>1579</v>
      </c>
      <c r="M159" s="783">
        <f t="shared" si="34"/>
        <v>7895</v>
      </c>
      <c r="N159" s="386">
        <f t="shared" si="35"/>
        <v>1029.5079999999998</v>
      </c>
    </row>
    <row r="160" spans="2:14">
      <c r="B160" s="96">
        <v>45749</v>
      </c>
      <c r="C160" s="127" t="s">
        <v>329</v>
      </c>
      <c r="D160" s="127">
        <v>1</v>
      </c>
      <c r="E160" s="127">
        <v>799</v>
      </c>
      <c r="F160" s="19">
        <f t="shared" si="30"/>
        <v>799</v>
      </c>
      <c r="G160" s="66">
        <f t="shared" si="31"/>
        <v>72.63636363636364</v>
      </c>
      <c r="I160" s="737">
        <v>46113</v>
      </c>
      <c r="J160" s="1066" t="s">
        <v>4114</v>
      </c>
      <c r="K160" s="1066">
        <v>4</v>
      </c>
      <c r="L160" s="736">
        <v>779</v>
      </c>
      <c r="M160" s="783">
        <f t="shared" si="34"/>
        <v>3116</v>
      </c>
      <c r="N160" s="386">
        <f t="shared" si="35"/>
        <v>406.32639999999998</v>
      </c>
    </row>
    <row r="161" spans="2:14">
      <c r="B161" s="19"/>
      <c r="C161" s="19"/>
      <c r="D161" s="19"/>
      <c r="E161" s="19"/>
      <c r="F161" s="19">
        <f t="shared" si="30"/>
        <v>0</v>
      </c>
      <c r="G161" s="66">
        <f t="shared" si="31"/>
        <v>0</v>
      </c>
      <c r="I161" s="737">
        <v>46114</v>
      </c>
      <c r="J161" s="1066" t="s">
        <v>4115</v>
      </c>
      <c r="K161" s="1066">
        <v>2</v>
      </c>
      <c r="L161" s="736">
        <v>1579</v>
      </c>
      <c r="M161" s="783">
        <f t="shared" si="34"/>
        <v>3158</v>
      </c>
      <c r="N161" s="386">
        <f t="shared" si="35"/>
        <v>411.8032</v>
      </c>
    </row>
    <row r="162" spans="2:14">
      <c r="B162" s="149">
        <v>45749</v>
      </c>
      <c r="C162" s="150" t="s">
        <v>330</v>
      </c>
      <c r="D162" s="151">
        <v>1</v>
      </c>
      <c r="E162" s="151">
        <v>2149</v>
      </c>
      <c r="F162" s="19">
        <f t="shared" si="30"/>
        <v>2149</v>
      </c>
      <c r="G162" s="66">
        <f t="shared" si="31"/>
        <v>195.36363636363637</v>
      </c>
      <c r="I162" s="737">
        <v>46113</v>
      </c>
      <c r="J162" s="1066" t="s">
        <v>4116</v>
      </c>
      <c r="K162" s="1066">
        <v>4</v>
      </c>
      <c r="L162" s="736">
        <v>1579</v>
      </c>
      <c r="M162" s="783">
        <f t="shared" si="34"/>
        <v>6316</v>
      </c>
      <c r="N162" s="386">
        <f t="shared" si="35"/>
        <v>823.60640000000001</v>
      </c>
    </row>
    <row r="163" spans="2:14">
      <c r="B163" s="81"/>
      <c r="C163" s="80"/>
      <c r="D163" s="19"/>
      <c r="E163" s="19"/>
      <c r="F163" s="19">
        <f t="shared" si="30"/>
        <v>0</v>
      </c>
      <c r="G163" s="66">
        <f t="shared" si="31"/>
        <v>0</v>
      </c>
      <c r="I163" s="737">
        <v>46113</v>
      </c>
      <c r="J163" s="1066" t="s">
        <v>4112</v>
      </c>
      <c r="K163" s="1066">
        <v>3</v>
      </c>
      <c r="L163" s="736">
        <v>1579</v>
      </c>
      <c r="M163" s="783">
        <f t="shared" si="34"/>
        <v>4737</v>
      </c>
      <c r="N163" s="386">
        <f t="shared" si="35"/>
        <v>617.70479999999998</v>
      </c>
    </row>
    <row r="164" spans="2:14">
      <c r="B164" s="81"/>
      <c r="C164" s="80"/>
      <c r="D164" s="19"/>
      <c r="E164" s="19"/>
      <c r="F164" s="19">
        <f t="shared" si="30"/>
        <v>0</v>
      </c>
      <c r="G164" s="66">
        <f t="shared" si="31"/>
        <v>0</v>
      </c>
      <c r="I164" s="737">
        <v>46113</v>
      </c>
      <c r="J164" s="1066" t="s">
        <v>4115</v>
      </c>
      <c r="K164" s="1066">
        <v>1</v>
      </c>
      <c r="L164" s="736">
        <v>1579</v>
      </c>
      <c r="M164" s="783">
        <f t="shared" si="34"/>
        <v>1579</v>
      </c>
      <c r="N164" s="386">
        <f t="shared" si="35"/>
        <v>205.9016</v>
      </c>
    </row>
    <row r="165" spans="2:14">
      <c r="B165" s="96">
        <v>45749</v>
      </c>
      <c r="C165" s="138" t="s">
        <v>331</v>
      </c>
      <c r="D165" s="127">
        <v>1</v>
      </c>
      <c r="E165" s="127">
        <v>2089.9899999999998</v>
      </c>
      <c r="F165" s="19">
        <f t="shared" si="30"/>
        <v>2089.9899999999998</v>
      </c>
      <c r="G165" s="66">
        <f t="shared" si="31"/>
        <v>189.99909090909088</v>
      </c>
      <c r="I165" s="737">
        <v>46114</v>
      </c>
      <c r="J165" s="1066" t="s">
        <v>4113</v>
      </c>
      <c r="K165" s="1066">
        <v>3</v>
      </c>
      <c r="L165" s="736">
        <v>1579</v>
      </c>
      <c r="M165" s="783">
        <f t="shared" si="34"/>
        <v>4737</v>
      </c>
      <c r="N165" s="386">
        <f t="shared" si="35"/>
        <v>617.70479999999998</v>
      </c>
    </row>
    <row r="166" spans="2:14">
      <c r="B166" s="96">
        <v>45749</v>
      </c>
      <c r="C166" s="138" t="s">
        <v>332</v>
      </c>
      <c r="D166" s="127">
        <v>1</v>
      </c>
      <c r="E166" s="127">
        <v>2089.9899999999998</v>
      </c>
      <c r="F166" s="19">
        <f t="shared" si="30"/>
        <v>2089.9899999999998</v>
      </c>
      <c r="G166" s="66">
        <f t="shared" si="31"/>
        <v>189.99909090909088</v>
      </c>
      <c r="I166" s="737">
        <v>46114</v>
      </c>
      <c r="J166" s="1066" t="s">
        <v>4112</v>
      </c>
      <c r="K166" s="1066">
        <v>3</v>
      </c>
      <c r="L166" s="736">
        <v>1579</v>
      </c>
      <c r="M166" s="783">
        <f t="shared" si="34"/>
        <v>4737</v>
      </c>
      <c r="N166" s="386">
        <f t="shared" si="35"/>
        <v>617.70479999999998</v>
      </c>
    </row>
    <row r="167" spans="2:14">
      <c r="B167" s="19"/>
      <c r="C167" s="19"/>
      <c r="D167" s="19"/>
      <c r="E167" s="19"/>
      <c r="F167" s="19">
        <f t="shared" si="30"/>
        <v>0</v>
      </c>
      <c r="G167" s="66">
        <f t="shared" si="31"/>
        <v>0</v>
      </c>
      <c r="I167" s="737">
        <v>46114</v>
      </c>
      <c r="J167" s="1066" t="s">
        <v>4117</v>
      </c>
      <c r="K167" s="1066">
        <v>1</v>
      </c>
      <c r="L167" s="736">
        <v>2748.46</v>
      </c>
      <c r="M167" s="783">
        <f t="shared" si="34"/>
        <v>2748.46</v>
      </c>
      <c r="N167" s="386">
        <f t="shared" si="35"/>
        <v>358.39918399999993</v>
      </c>
    </row>
    <row r="168" spans="2:14">
      <c r="B168" s="149">
        <v>45749</v>
      </c>
      <c r="C168" s="151" t="s">
        <v>333</v>
      </c>
      <c r="D168" s="151">
        <v>1</v>
      </c>
      <c r="E168" s="151">
        <v>39</v>
      </c>
      <c r="F168" s="19">
        <f t="shared" si="30"/>
        <v>39</v>
      </c>
      <c r="G168" s="66">
        <f t="shared" si="31"/>
        <v>3.5454545454545454</v>
      </c>
      <c r="I168" s="737">
        <v>46118</v>
      </c>
      <c r="J168" s="110" t="s">
        <v>4123</v>
      </c>
      <c r="K168" s="1006">
        <v>10</v>
      </c>
      <c r="L168" s="1006">
        <v>470</v>
      </c>
      <c r="M168" s="783">
        <f t="shared" si="34"/>
        <v>4700</v>
      </c>
      <c r="N168" s="386">
        <f t="shared" si="35"/>
        <v>612.87999999999988</v>
      </c>
    </row>
    <row r="169" spans="2:14">
      <c r="B169" s="18"/>
      <c r="C169" s="18"/>
      <c r="D169" s="125"/>
      <c r="E169" s="18"/>
      <c r="F169" s="19">
        <f t="shared" si="30"/>
        <v>0</v>
      </c>
      <c r="G169" s="66">
        <f t="shared" si="31"/>
        <v>0</v>
      </c>
      <c r="I169" s="583">
        <v>46132</v>
      </c>
      <c r="J169" s="1064" t="s">
        <v>4507</v>
      </c>
      <c r="K169" s="1064">
        <v>1</v>
      </c>
      <c r="L169" s="1064">
        <v>1649</v>
      </c>
      <c r="M169" s="1170">
        <f>L169*K169</f>
        <v>1649</v>
      </c>
      <c r="N169" s="386">
        <f t="shared" si="35"/>
        <v>215.02959999999999</v>
      </c>
    </row>
    <row r="170" spans="2:14">
      <c r="B170" s="18"/>
      <c r="C170" s="18"/>
      <c r="D170" s="125"/>
      <c r="E170" s="18"/>
      <c r="F170" s="19">
        <f t="shared" si="30"/>
        <v>0</v>
      </c>
      <c r="G170" s="66">
        <f t="shared" si="31"/>
        <v>0</v>
      </c>
      <c r="I170" s="583">
        <v>46132</v>
      </c>
      <c r="J170" s="1064" t="s">
        <v>4508</v>
      </c>
      <c r="K170" s="1064">
        <v>1</v>
      </c>
      <c r="L170" s="1064">
        <v>17999</v>
      </c>
      <c r="M170" s="1170">
        <f t="shared" ref="M170:M174" si="36">L170*K170</f>
        <v>17999</v>
      </c>
      <c r="N170" s="386">
        <f t="shared" si="35"/>
        <v>2347.0695999999998</v>
      </c>
    </row>
    <row r="171" spans="2:14">
      <c r="B171" s="81">
        <v>45750</v>
      </c>
      <c r="C171" s="19" t="s">
        <v>343</v>
      </c>
      <c r="D171" s="19">
        <v>1</v>
      </c>
      <c r="E171" s="19">
        <v>799</v>
      </c>
      <c r="F171" s="19">
        <f t="shared" si="30"/>
        <v>799</v>
      </c>
      <c r="G171" s="66">
        <f t="shared" si="31"/>
        <v>72.63636363636364</v>
      </c>
      <c r="I171" s="583">
        <v>46132</v>
      </c>
      <c r="J171" s="1064" t="s">
        <v>4504</v>
      </c>
      <c r="K171" s="1064">
        <v>5</v>
      </c>
      <c r="L171" s="1064">
        <v>786</v>
      </c>
      <c r="M171" s="1170">
        <f t="shared" si="36"/>
        <v>3930</v>
      </c>
      <c r="N171" s="386">
        <f t="shared" ref="N171:N181" si="37">M171*13.04/100</f>
        <v>512.47199999999998</v>
      </c>
    </row>
    <row r="172" spans="2:14">
      <c r="B172" s="96">
        <v>45750</v>
      </c>
      <c r="C172" s="127" t="s">
        <v>344</v>
      </c>
      <c r="D172" s="127">
        <v>1</v>
      </c>
      <c r="E172" s="127">
        <v>669</v>
      </c>
      <c r="F172" s="19">
        <f t="shared" si="30"/>
        <v>669</v>
      </c>
      <c r="G172" s="66">
        <f t="shared" si="31"/>
        <v>60.81818181818182</v>
      </c>
      <c r="I172" s="583">
        <v>46134</v>
      </c>
      <c r="J172" s="1064" t="s">
        <v>4505</v>
      </c>
      <c r="K172" s="1064">
        <v>10</v>
      </c>
      <c r="L172" s="1064">
        <v>1579</v>
      </c>
      <c r="M172" s="1170">
        <f t="shared" si="36"/>
        <v>15790</v>
      </c>
      <c r="N172" s="386">
        <f t="shared" si="37"/>
        <v>2059.0159999999996</v>
      </c>
    </row>
    <row r="173" spans="2:14">
      <c r="B173" s="18"/>
      <c r="C173" s="18"/>
      <c r="D173" s="125"/>
      <c r="E173" s="18"/>
      <c r="F173" s="19">
        <f t="shared" si="30"/>
        <v>0</v>
      </c>
      <c r="G173" s="66">
        <f t="shared" si="31"/>
        <v>0</v>
      </c>
      <c r="I173" s="583">
        <v>46136</v>
      </c>
      <c r="J173" s="1064" t="s">
        <v>4506</v>
      </c>
      <c r="K173" s="1064">
        <v>10</v>
      </c>
      <c r="L173" s="1064">
        <v>1489</v>
      </c>
      <c r="M173" s="1170">
        <f t="shared" si="36"/>
        <v>14890</v>
      </c>
      <c r="N173" s="386">
        <f t="shared" si="37"/>
        <v>1941.6559999999997</v>
      </c>
    </row>
    <row r="174" spans="2:14">
      <c r="B174" s="81">
        <v>45751</v>
      </c>
      <c r="C174" s="80" t="s">
        <v>345</v>
      </c>
      <c r="D174" s="19">
        <v>6</v>
      </c>
      <c r="E174" s="19">
        <v>87</v>
      </c>
      <c r="F174" s="19">
        <f t="shared" si="30"/>
        <v>522</v>
      </c>
      <c r="G174" s="66">
        <f t="shared" si="31"/>
        <v>47.454545454545453</v>
      </c>
      <c r="I174" s="583">
        <v>46136</v>
      </c>
      <c r="J174" s="1064" t="s">
        <v>4506</v>
      </c>
      <c r="K174" s="1204">
        <v>10</v>
      </c>
      <c r="L174" s="1204">
        <v>1489</v>
      </c>
      <c r="M174" s="1170">
        <f t="shared" si="36"/>
        <v>14890</v>
      </c>
      <c r="N174" s="386">
        <f t="shared" si="37"/>
        <v>1941.6559999999997</v>
      </c>
    </row>
    <row r="175" spans="2:14">
      <c r="B175" s="96">
        <v>45751</v>
      </c>
      <c r="C175" s="138" t="s">
        <v>346</v>
      </c>
      <c r="D175" s="127">
        <v>1</v>
      </c>
      <c r="E175" s="127">
        <v>2204</v>
      </c>
      <c r="F175" s="19">
        <f t="shared" si="30"/>
        <v>2204</v>
      </c>
      <c r="G175" s="66">
        <f t="shared" si="31"/>
        <v>200.36363636363637</v>
      </c>
      <c r="I175" s="583">
        <v>46142</v>
      </c>
      <c r="J175" s="1064" t="s">
        <v>4674</v>
      </c>
      <c r="K175" s="1064">
        <v>4</v>
      </c>
      <c r="L175" s="1064">
        <v>1579</v>
      </c>
      <c r="M175" s="1170">
        <f t="shared" ref="M175:M181" si="38">L175*K175</f>
        <v>6316</v>
      </c>
      <c r="N175" s="386">
        <f t="shared" si="37"/>
        <v>823.60640000000001</v>
      </c>
    </row>
    <row r="176" spans="2:14">
      <c r="B176" s="81">
        <v>45751</v>
      </c>
      <c r="C176" s="80" t="s">
        <v>347</v>
      </c>
      <c r="D176" s="19">
        <v>1</v>
      </c>
      <c r="E176" s="19">
        <v>2089.9899999999998</v>
      </c>
      <c r="F176" s="19">
        <f t="shared" si="30"/>
        <v>2089.9899999999998</v>
      </c>
      <c r="G176" s="66">
        <f t="shared" si="31"/>
        <v>189.99909090909088</v>
      </c>
      <c r="I176" s="583">
        <v>46142</v>
      </c>
      <c r="J176" s="1064" t="s">
        <v>4675</v>
      </c>
      <c r="K176" s="1064">
        <v>4</v>
      </c>
      <c r="L176" s="1064">
        <v>1579</v>
      </c>
      <c r="M176" s="1170">
        <f t="shared" si="38"/>
        <v>6316</v>
      </c>
      <c r="N176" s="386">
        <f t="shared" si="37"/>
        <v>823.60640000000001</v>
      </c>
    </row>
    <row r="177" spans="2:14">
      <c r="B177" s="96"/>
      <c r="C177" s="138"/>
      <c r="D177" s="127"/>
      <c r="E177" s="127"/>
      <c r="F177" s="19">
        <f t="shared" si="30"/>
        <v>0</v>
      </c>
      <c r="G177" s="66">
        <f t="shared" si="31"/>
        <v>0</v>
      </c>
      <c r="I177" s="583">
        <v>46143</v>
      </c>
      <c r="J177" s="1064" t="s">
        <v>4676</v>
      </c>
      <c r="K177" s="1064">
        <v>3</v>
      </c>
      <c r="L177" s="1064">
        <v>849</v>
      </c>
      <c r="M177" s="1170">
        <f t="shared" si="38"/>
        <v>2547</v>
      </c>
      <c r="N177" s="386">
        <f t="shared" si="37"/>
        <v>332.12879999999996</v>
      </c>
    </row>
    <row r="178" spans="2:14">
      <c r="B178" s="18"/>
      <c r="C178" s="18"/>
      <c r="D178" s="125"/>
      <c r="E178" s="18"/>
      <c r="F178" s="19">
        <f t="shared" si="30"/>
        <v>0</v>
      </c>
      <c r="G178" s="66">
        <f t="shared" si="31"/>
        <v>0</v>
      </c>
      <c r="I178" s="583">
        <v>46143</v>
      </c>
      <c r="J178" s="1064" t="s">
        <v>4677</v>
      </c>
      <c r="K178" s="1064">
        <v>1</v>
      </c>
      <c r="L178" s="1064">
        <v>1579</v>
      </c>
      <c r="M178" s="1170">
        <f t="shared" si="38"/>
        <v>1579</v>
      </c>
      <c r="N178" s="386">
        <f t="shared" si="37"/>
        <v>205.9016</v>
      </c>
    </row>
    <row r="179" spans="2:14">
      <c r="B179" s="81">
        <v>45752</v>
      </c>
      <c r="C179" s="18" t="s">
        <v>361</v>
      </c>
      <c r="D179" s="19">
        <v>1</v>
      </c>
      <c r="E179" s="19">
        <v>2089.9899999999998</v>
      </c>
      <c r="F179" s="19">
        <f t="shared" si="30"/>
        <v>2089.9899999999998</v>
      </c>
      <c r="G179" s="66">
        <f t="shared" si="31"/>
        <v>189.99909090909088</v>
      </c>
      <c r="I179" s="624">
        <v>46149</v>
      </c>
      <c r="J179" s="1066" t="s">
        <v>4804</v>
      </c>
      <c r="K179" s="1066">
        <v>2</v>
      </c>
      <c r="L179" s="1066">
        <v>3299</v>
      </c>
      <c r="M179" s="1170">
        <f t="shared" si="38"/>
        <v>6598</v>
      </c>
      <c r="N179" s="386">
        <f t="shared" si="37"/>
        <v>860.37919999999997</v>
      </c>
    </row>
    <row r="180" spans="2:14">
      <c r="B180" s="81">
        <v>45752</v>
      </c>
      <c r="C180" s="18" t="s">
        <v>362</v>
      </c>
      <c r="D180" s="19">
        <v>1</v>
      </c>
      <c r="E180" s="19">
        <v>149</v>
      </c>
      <c r="F180" s="19">
        <f t="shared" si="30"/>
        <v>149</v>
      </c>
      <c r="G180" s="66">
        <f t="shared" si="31"/>
        <v>13.545454545454545</v>
      </c>
      <c r="I180" s="737">
        <v>46152</v>
      </c>
      <c r="J180" s="1066" t="s">
        <v>4801</v>
      </c>
      <c r="K180" s="1066">
        <v>4</v>
      </c>
      <c r="L180" s="1066">
        <v>1579</v>
      </c>
      <c r="M180" s="1170">
        <f t="shared" si="38"/>
        <v>6316</v>
      </c>
      <c r="N180" s="386">
        <f t="shared" si="37"/>
        <v>823.60640000000001</v>
      </c>
    </row>
    <row r="181" spans="2:14">
      <c r="B181" s="81">
        <v>45752</v>
      </c>
      <c r="C181" s="18" t="s">
        <v>363</v>
      </c>
      <c r="D181" s="19">
        <v>1</v>
      </c>
      <c r="E181" s="19">
        <v>2549</v>
      </c>
      <c r="F181" s="19">
        <f t="shared" si="30"/>
        <v>2549</v>
      </c>
      <c r="G181" s="66">
        <f t="shared" si="31"/>
        <v>231.72727272727272</v>
      </c>
      <c r="I181" s="737">
        <v>46152</v>
      </c>
      <c r="J181" s="1066" t="s">
        <v>4805</v>
      </c>
      <c r="K181" s="1066">
        <v>4</v>
      </c>
      <c r="L181" s="1066">
        <v>1579</v>
      </c>
      <c r="M181" s="1170">
        <f t="shared" si="38"/>
        <v>6316</v>
      </c>
      <c r="N181" s="386">
        <f t="shared" si="37"/>
        <v>823.60640000000001</v>
      </c>
    </row>
    <row r="182" spans="2:14">
      <c r="B182" s="18"/>
      <c r="C182" s="18"/>
      <c r="D182" s="125"/>
      <c r="E182" s="18"/>
      <c r="F182" s="19">
        <f t="shared" si="30"/>
        <v>0</v>
      </c>
      <c r="G182" s="66">
        <f t="shared" si="31"/>
        <v>0</v>
      </c>
      <c r="I182" s="737">
        <v>46153</v>
      </c>
      <c r="J182" s="1066" t="s">
        <v>4806</v>
      </c>
      <c r="K182" s="1066">
        <v>8</v>
      </c>
      <c r="L182" s="1066">
        <v>143</v>
      </c>
      <c r="M182" s="1248">
        <f t="shared" ref="M182:M192" si="39">L182*K182</f>
        <v>1144</v>
      </c>
      <c r="N182" s="386">
        <f t="shared" ref="N182:N192" si="40">M182*13.04/100</f>
        <v>149.17759999999998</v>
      </c>
    </row>
    <row r="183" spans="2:14">
      <c r="B183" s="72">
        <v>45752</v>
      </c>
      <c r="C183" s="19" t="s">
        <v>406</v>
      </c>
      <c r="D183" s="19">
        <v>6</v>
      </c>
      <c r="E183" s="19">
        <v>2089.9899999999998</v>
      </c>
      <c r="F183" s="19">
        <f t="shared" si="30"/>
        <v>12539.939999999999</v>
      </c>
      <c r="G183" s="66">
        <f t="shared" si="31"/>
        <v>1139.9945454545452</v>
      </c>
      <c r="I183" s="737">
        <v>46154</v>
      </c>
      <c r="J183" s="1066" t="s">
        <v>4807</v>
      </c>
      <c r="K183" s="1066">
        <v>4</v>
      </c>
      <c r="L183" s="1066">
        <v>1579</v>
      </c>
      <c r="M183" s="1248">
        <f t="shared" si="39"/>
        <v>6316</v>
      </c>
      <c r="N183" s="386">
        <f t="shared" si="40"/>
        <v>823.60640000000001</v>
      </c>
    </row>
    <row r="184" spans="2:14">
      <c r="B184" s="18"/>
      <c r="C184" s="18"/>
      <c r="D184" s="125"/>
      <c r="E184" s="18"/>
      <c r="F184" s="19">
        <f t="shared" si="30"/>
        <v>0</v>
      </c>
      <c r="G184" s="66">
        <f t="shared" si="31"/>
        <v>0</v>
      </c>
      <c r="I184" s="737">
        <v>46154</v>
      </c>
      <c r="J184" s="1066" t="s">
        <v>4802</v>
      </c>
      <c r="K184" s="1066">
        <v>20</v>
      </c>
      <c r="L184" s="1066">
        <v>143</v>
      </c>
      <c r="M184" s="1248">
        <f t="shared" si="39"/>
        <v>2860</v>
      </c>
      <c r="N184" s="386">
        <f t="shared" si="40"/>
        <v>372.94399999999996</v>
      </c>
    </row>
    <row r="185" spans="2:14">
      <c r="B185" s="72">
        <v>45756</v>
      </c>
      <c r="C185" s="19" t="s">
        <v>390</v>
      </c>
      <c r="D185" s="19">
        <v>10</v>
      </c>
      <c r="E185" s="19">
        <v>724</v>
      </c>
      <c r="F185" s="19">
        <f t="shared" si="30"/>
        <v>7240</v>
      </c>
      <c r="G185" s="66">
        <f t="shared" si="31"/>
        <v>658.18181818181813</v>
      </c>
      <c r="I185" s="737">
        <v>46154</v>
      </c>
      <c r="J185" s="1066" t="s">
        <v>4808</v>
      </c>
      <c r="K185" s="1066">
        <v>1</v>
      </c>
      <c r="L185" s="1066">
        <v>17999</v>
      </c>
      <c r="M185" s="1248">
        <f t="shared" si="39"/>
        <v>17999</v>
      </c>
      <c r="N185" s="386">
        <f t="shared" si="40"/>
        <v>2347.0695999999998</v>
      </c>
    </row>
    <row r="186" spans="2:14">
      <c r="B186" s="72">
        <v>45756</v>
      </c>
      <c r="C186" s="19" t="s">
        <v>391</v>
      </c>
      <c r="D186" s="19">
        <v>2</v>
      </c>
      <c r="E186" s="19">
        <v>1749.99</v>
      </c>
      <c r="F186" s="19">
        <f t="shared" ref="F186:F205" si="41">E186*D186</f>
        <v>3499.98</v>
      </c>
      <c r="G186" s="66">
        <f t="shared" ref="G186:G205" si="42">F186/11</f>
        <v>318.18</v>
      </c>
      <c r="I186" s="737">
        <v>46156</v>
      </c>
      <c r="J186" s="1066" t="s">
        <v>4809</v>
      </c>
      <c r="K186" s="1066">
        <v>12</v>
      </c>
      <c r="L186" s="1066">
        <v>1600</v>
      </c>
      <c r="M186" s="1248">
        <f t="shared" si="39"/>
        <v>19200</v>
      </c>
      <c r="N186" s="386">
        <f t="shared" si="40"/>
        <v>2503.6799999999998</v>
      </c>
    </row>
    <row r="187" spans="2:14">
      <c r="B187" s="72">
        <v>45756</v>
      </c>
      <c r="C187" s="19" t="s">
        <v>392</v>
      </c>
      <c r="D187" s="19">
        <v>2</v>
      </c>
      <c r="E187" s="19">
        <v>1749.99</v>
      </c>
      <c r="F187" s="19">
        <f t="shared" si="41"/>
        <v>3499.98</v>
      </c>
      <c r="G187" s="66">
        <f t="shared" si="42"/>
        <v>318.18</v>
      </c>
      <c r="I187" s="737">
        <v>46156</v>
      </c>
      <c r="J187" s="1066" t="s">
        <v>4810</v>
      </c>
      <c r="K187" s="1066">
        <v>4</v>
      </c>
      <c r="L187" s="1066">
        <v>1579</v>
      </c>
      <c r="M187" s="1248">
        <f t="shared" si="39"/>
        <v>6316</v>
      </c>
      <c r="N187" s="386">
        <f t="shared" si="40"/>
        <v>823.60640000000001</v>
      </c>
    </row>
    <row r="188" spans="2:14">
      <c r="B188" s="72">
        <v>45756</v>
      </c>
      <c r="C188" s="19" t="s">
        <v>391</v>
      </c>
      <c r="D188" s="19">
        <v>3</v>
      </c>
      <c r="E188" s="19">
        <v>1749.99</v>
      </c>
      <c r="F188" s="19">
        <f t="shared" si="41"/>
        <v>5249.97</v>
      </c>
      <c r="G188" s="66">
        <f t="shared" si="42"/>
        <v>477.27000000000004</v>
      </c>
      <c r="I188" s="737">
        <v>46156</v>
      </c>
      <c r="J188" s="1066" t="s">
        <v>4805</v>
      </c>
      <c r="K188" s="1066">
        <v>4</v>
      </c>
      <c r="L188" s="1066">
        <v>1579</v>
      </c>
      <c r="M188" s="1248">
        <f t="shared" si="39"/>
        <v>6316</v>
      </c>
      <c r="N188" s="386">
        <f t="shared" si="40"/>
        <v>823.60640000000001</v>
      </c>
    </row>
    <row r="189" spans="2:14">
      <c r="B189" s="72">
        <v>45756</v>
      </c>
      <c r="C189" s="19" t="s">
        <v>393</v>
      </c>
      <c r="D189" s="19">
        <v>6</v>
      </c>
      <c r="E189" s="19">
        <v>1749.99</v>
      </c>
      <c r="F189" s="19">
        <f t="shared" si="41"/>
        <v>10499.94</v>
      </c>
      <c r="G189" s="66">
        <f t="shared" si="42"/>
        <v>954.54000000000008</v>
      </c>
      <c r="I189" s="737">
        <v>46158</v>
      </c>
      <c r="J189" s="1066" t="s">
        <v>5010</v>
      </c>
      <c r="K189" s="1066">
        <v>1</v>
      </c>
      <c r="L189" s="1066">
        <v>17999</v>
      </c>
      <c r="M189" s="1248">
        <f t="shared" si="39"/>
        <v>17999</v>
      </c>
      <c r="N189" s="386">
        <f t="shared" si="40"/>
        <v>2347.0695999999998</v>
      </c>
    </row>
    <row r="190" spans="2:14">
      <c r="B190" s="19"/>
      <c r="C190" s="1"/>
      <c r="D190" s="19"/>
      <c r="E190" s="19"/>
      <c r="F190" s="19">
        <f t="shared" si="41"/>
        <v>0</v>
      </c>
      <c r="G190" s="66">
        <f t="shared" si="42"/>
        <v>0</v>
      </c>
      <c r="I190" s="737">
        <v>46158</v>
      </c>
      <c r="J190" s="1066" t="s">
        <v>5011</v>
      </c>
      <c r="K190" s="1066">
        <v>40</v>
      </c>
      <c r="L190" s="1066">
        <v>143</v>
      </c>
      <c r="M190" s="1248">
        <f t="shared" si="39"/>
        <v>5720</v>
      </c>
      <c r="N190" s="386">
        <f t="shared" si="40"/>
        <v>745.88799999999992</v>
      </c>
    </row>
    <row r="191" spans="2:14">
      <c r="B191" s="72">
        <v>45756</v>
      </c>
      <c r="C191" s="19" t="s">
        <v>394</v>
      </c>
      <c r="D191" s="19">
        <v>5</v>
      </c>
      <c r="E191" s="19">
        <v>2199</v>
      </c>
      <c r="F191" s="19">
        <f t="shared" si="41"/>
        <v>10995</v>
      </c>
      <c r="G191" s="66">
        <f t="shared" si="42"/>
        <v>999.5454545454545</v>
      </c>
      <c r="I191" s="737">
        <v>46158</v>
      </c>
      <c r="J191" s="1066" t="s">
        <v>5011</v>
      </c>
      <c r="K191" s="1066">
        <v>40</v>
      </c>
      <c r="L191" s="1066">
        <v>143</v>
      </c>
      <c r="M191" s="1248">
        <f t="shared" si="39"/>
        <v>5720</v>
      </c>
      <c r="N191" s="386">
        <f t="shared" si="40"/>
        <v>745.88799999999992</v>
      </c>
    </row>
    <row r="192" spans="2:14">
      <c r="B192" s="72"/>
      <c r="C192" s="19"/>
      <c r="D192" s="19"/>
      <c r="E192" s="19"/>
      <c r="F192" s="19">
        <f t="shared" si="41"/>
        <v>0</v>
      </c>
      <c r="G192" s="66">
        <f t="shared" si="42"/>
        <v>0</v>
      </c>
      <c r="I192" s="737">
        <v>46160</v>
      </c>
      <c r="J192" s="1066" t="s">
        <v>5012</v>
      </c>
      <c r="K192" s="1066">
        <v>4</v>
      </c>
      <c r="L192" s="1066">
        <v>1579</v>
      </c>
      <c r="M192" s="1248">
        <f t="shared" si="39"/>
        <v>6316</v>
      </c>
      <c r="N192" s="386">
        <f t="shared" si="40"/>
        <v>823.60640000000001</v>
      </c>
    </row>
    <row r="193" spans="2:14">
      <c r="B193" s="18"/>
      <c r="C193" s="18"/>
      <c r="D193" s="125"/>
      <c r="E193" s="18"/>
      <c r="F193" s="19">
        <f t="shared" si="41"/>
        <v>0</v>
      </c>
      <c r="G193" s="66">
        <f t="shared" si="42"/>
        <v>0</v>
      </c>
      <c r="I193" s="737">
        <v>46162</v>
      </c>
      <c r="J193" s="1066" t="s">
        <v>5013</v>
      </c>
      <c r="K193" s="1066">
        <v>8</v>
      </c>
      <c r="L193" s="1066">
        <v>143</v>
      </c>
      <c r="M193" s="1315">
        <f t="shared" ref="M193:M216" si="43">L193*K193</f>
        <v>1144</v>
      </c>
      <c r="N193" s="386">
        <f t="shared" ref="N193:N216" si="44">M193*13.04/100</f>
        <v>149.17759999999998</v>
      </c>
    </row>
    <row r="194" spans="2:14">
      <c r="B194" s="72">
        <v>45757</v>
      </c>
      <c r="C194" s="18" t="s">
        <v>395</v>
      </c>
      <c r="D194" s="18">
        <v>1</v>
      </c>
      <c r="E194" s="210">
        <v>449</v>
      </c>
      <c r="F194" s="19">
        <f t="shared" si="41"/>
        <v>449</v>
      </c>
      <c r="G194" s="66">
        <f t="shared" si="42"/>
        <v>40.81818181818182</v>
      </c>
      <c r="H194" s="363"/>
      <c r="I194" s="583">
        <v>46171</v>
      </c>
      <c r="J194" s="1064" t="s">
        <v>5139</v>
      </c>
      <c r="K194" s="1064">
        <v>2</v>
      </c>
      <c r="L194" s="533">
        <v>1579</v>
      </c>
      <c r="M194" s="1315">
        <f t="shared" si="43"/>
        <v>3158</v>
      </c>
      <c r="N194" s="386">
        <f t="shared" si="44"/>
        <v>411.8032</v>
      </c>
    </row>
    <row r="195" spans="2:14">
      <c r="B195" s="209">
        <v>45757</v>
      </c>
      <c r="C195" s="110" t="s">
        <v>396</v>
      </c>
      <c r="D195" s="110">
        <v>2</v>
      </c>
      <c r="E195" s="184">
        <v>689</v>
      </c>
      <c r="F195" s="19">
        <f t="shared" si="41"/>
        <v>1378</v>
      </c>
      <c r="G195" s="66">
        <f t="shared" si="42"/>
        <v>125.27272727272727</v>
      </c>
      <c r="H195" s="363"/>
      <c r="I195" s="583">
        <v>46171</v>
      </c>
      <c r="J195" s="1064" t="s">
        <v>4801</v>
      </c>
      <c r="K195" s="1064">
        <v>1</v>
      </c>
      <c r="L195" s="533">
        <v>1579</v>
      </c>
      <c r="M195" s="1315">
        <f t="shared" si="43"/>
        <v>1579</v>
      </c>
      <c r="N195" s="386">
        <f t="shared" si="44"/>
        <v>205.9016</v>
      </c>
    </row>
    <row r="196" spans="2:14">
      <c r="B196" s="209">
        <v>45757</v>
      </c>
      <c r="C196" s="110" t="s">
        <v>397</v>
      </c>
      <c r="D196" s="110">
        <v>8</v>
      </c>
      <c r="E196" s="184">
        <v>724</v>
      </c>
      <c r="F196" s="19">
        <f t="shared" si="41"/>
        <v>5792</v>
      </c>
      <c r="G196" s="66">
        <f t="shared" si="42"/>
        <v>526.5454545454545</v>
      </c>
      <c r="H196" s="363"/>
      <c r="I196" s="583">
        <v>46171</v>
      </c>
      <c r="J196" s="1064" t="s">
        <v>5140</v>
      </c>
      <c r="K196" s="1064">
        <v>9</v>
      </c>
      <c r="L196" s="533">
        <v>1540</v>
      </c>
      <c r="M196" s="1315">
        <f t="shared" si="43"/>
        <v>13860</v>
      </c>
      <c r="N196" s="386">
        <f t="shared" si="44"/>
        <v>1807.3440000000001</v>
      </c>
    </row>
    <row r="197" spans="2:14">
      <c r="B197" s="72">
        <v>45757</v>
      </c>
      <c r="C197" s="18" t="s">
        <v>398</v>
      </c>
      <c r="D197" s="18">
        <v>5</v>
      </c>
      <c r="E197" s="210">
        <v>724</v>
      </c>
      <c r="F197" s="19">
        <f t="shared" si="41"/>
        <v>3620</v>
      </c>
      <c r="G197" s="66">
        <f t="shared" si="42"/>
        <v>329.09090909090907</v>
      </c>
      <c r="H197" s="363"/>
      <c r="I197" s="583">
        <v>46174</v>
      </c>
      <c r="J197" s="1064" t="s">
        <v>5141</v>
      </c>
      <c r="K197" s="1064">
        <v>8</v>
      </c>
      <c r="L197" s="533">
        <v>1449</v>
      </c>
      <c r="M197" s="1315">
        <f t="shared" si="43"/>
        <v>11592</v>
      </c>
      <c r="N197" s="386">
        <f t="shared" si="44"/>
        <v>1511.5968</v>
      </c>
    </row>
    <row r="198" spans="2:14">
      <c r="B198" s="18"/>
      <c r="C198" s="18"/>
      <c r="D198" s="125"/>
      <c r="E198" s="18"/>
      <c r="F198" s="19">
        <f t="shared" si="41"/>
        <v>0</v>
      </c>
      <c r="G198" s="66">
        <f t="shared" si="42"/>
        <v>0</v>
      </c>
      <c r="H198" s="363"/>
      <c r="I198" s="583">
        <v>46175</v>
      </c>
      <c r="J198" s="1064" t="s">
        <v>5142</v>
      </c>
      <c r="K198" s="1064">
        <v>2</v>
      </c>
      <c r="L198" s="533">
        <v>1579</v>
      </c>
      <c r="M198" s="1315">
        <f t="shared" si="43"/>
        <v>3158</v>
      </c>
      <c r="N198" s="386">
        <f t="shared" si="44"/>
        <v>411.8032</v>
      </c>
    </row>
    <row r="199" spans="2:14">
      <c r="B199" s="72">
        <v>45758</v>
      </c>
      <c r="C199" s="18" t="s">
        <v>398</v>
      </c>
      <c r="D199" s="18">
        <v>11</v>
      </c>
      <c r="E199" s="210">
        <v>724</v>
      </c>
      <c r="F199" s="19">
        <f t="shared" si="41"/>
        <v>7964</v>
      </c>
      <c r="G199" s="66">
        <f t="shared" si="42"/>
        <v>724</v>
      </c>
      <c r="H199" s="363"/>
      <c r="I199" s="583">
        <v>46175</v>
      </c>
      <c r="J199" s="1064" t="s">
        <v>4802</v>
      </c>
      <c r="K199" s="1064">
        <v>18</v>
      </c>
      <c r="L199" s="533">
        <v>143</v>
      </c>
      <c r="M199" s="1315">
        <f t="shared" si="43"/>
        <v>2574</v>
      </c>
      <c r="N199" s="386">
        <f t="shared" si="44"/>
        <v>335.64959999999996</v>
      </c>
    </row>
    <row r="200" spans="2:14">
      <c r="B200" s="72">
        <v>45758</v>
      </c>
      <c r="C200" s="18" t="s">
        <v>399</v>
      </c>
      <c r="D200" s="18">
        <v>3</v>
      </c>
      <c r="E200" s="210">
        <v>2549.9899999999998</v>
      </c>
      <c r="F200" s="19">
        <f t="shared" si="41"/>
        <v>7649.9699999999993</v>
      </c>
      <c r="G200" s="66">
        <f t="shared" si="42"/>
        <v>695.45181818181811</v>
      </c>
      <c r="H200" s="363"/>
      <c r="I200" s="583">
        <v>46178</v>
      </c>
      <c r="J200" s="1064" t="s">
        <v>4801</v>
      </c>
      <c r="K200" s="1064">
        <v>4</v>
      </c>
      <c r="L200" s="533">
        <v>1579</v>
      </c>
      <c r="M200" s="1315">
        <f t="shared" si="43"/>
        <v>6316</v>
      </c>
      <c r="N200" s="386">
        <f t="shared" si="44"/>
        <v>823.60640000000001</v>
      </c>
    </row>
    <row r="201" spans="2:14">
      <c r="B201" s="72">
        <v>45758</v>
      </c>
      <c r="C201" s="18" t="s">
        <v>400</v>
      </c>
      <c r="D201" s="18">
        <v>1</v>
      </c>
      <c r="E201" s="210">
        <v>2549.9899999999998</v>
      </c>
      <c r="F201" s="19">
        <f t="shared" si="41"/>
        <v>2549.9899999999998</v>
      </c>
      <c r="G201" s="66">
        <f t="shared" si="42"/>
        <v>231.81727272727269</v>
      </c>
      <c r="H201" s="363"/>
      <c r="I201" s="583">
        <v>46178</v>
      </c>
      <c r="J201" s="1064" t="s">
        <v>5143</v>
      </c>
      <c r="K201" s="1064">
        <v>4</v>
      </c>
      <c r="L201" s="533">
        <v>1579</v>
      </c>
      <c r="M201" s="1315">
        <f t="shared" si="43"/>
        <v>6316</v>
      </c>
      <c r="N201" s="386">
        <f t="shared" si="44"/>
        <v>823.60640000000001</v>
      </c>
    </row>
    <row r="202" spans="2:14">
      <c r="B202" s="18"/>
      <c r="C202" s="18"/>
      <c r="D202" s="125"/>
      <c r="E202" s="18"/>
      <c r="F202" s="19">
        <f t="shared" si="41"/>
        <v>0</v>
      </c>
      <c r="G202" s="66">
        <f t="shared" si="42"/>
        <v>0</v>
      </c>
      <c r="H202" s="363"/>
      <c r="I202" s="583">
        <v>46178</v>
      </c>
      <c r="J202" s="1064" t="s">
        <v>5144</v>
      </c>
      <c r="K202" s="1064">
        <v>32</v>
      </c>
      <c r="L202" s="533">
        <v>143</v>
      </c>
      <c r="M202" s="1315">
        <f t="shared" si="43"/>
        <v>4576</v>
      </c>
      <c r="N202" s="386">
        <f t="shared" si="44"/>
        <v>596.71039999999994</v>
      </c>
    </row>
    <row r="203" spans="2:14">
      <c r="B203" s="18"/>
      <c r="C203" s="18"/>
      <c r="D203" s="125"/>
      <c r="E203" s="18"/>
      <c r="F203" s="19">
        <f t="shared" si="41"/>
        <v>0</v>
      </c>
      <c r="G203" s="66">
        <f t="shared" si="42"/>
        <v>0</v>
      </c>
      <c r="H203" s="363"/>
      <c r="I203" s="737">
        <v>46181</v>
      </c>
      <c r="J203" s="1066" t="s">
        <v>4804</v>
      </c>
      <c r="K203" s="1066">
        <v>2</v>
      </c>
      <c r="L203" s="613">
        <v>3299</v>
      </c>
      <c r="M203" s="1315">
        <f t="shared" si="43"/>
        <v>6598</v>
      </c>
      <c r="N203" s="386">
        <f t="shared" si="44"/>
        <v>860.37919999999997</v>
      </c>
    </row>
    <row r="204" spans="2:14">
      <c r="B204" s="209">
        <v>45759</v>
      </c>
      <c r="C204" s="110" t="s">
        <v>443</v>
      </c>
      <c r="D204" s="127">
        <v>1</v>
      </c>
      <c r="E204" s="184">
        <v>2299</v>
      </c>
      <c r="F204" s="19">
        <f t="shared" si="41"/>
        <v>2299</v>
      </c>
      <c r="G204" s="66">
        <f t="shared" si="42"/>
        <v>209</v>
      </c>
      <c r="H204" s="363"/>
      <c r="I204" s="737">
        <v>46187</v>
      </c>
      <c r="J204" s="1066" t="s">
        <v>5301</v>
      </c>
      <c r="K204" s="735">
        <v>2</v>
      </c>
      <c r="L204" s="735">
        <v>3310</v>
      </c>
      <c r="M204" s="1315">
        <f t="shared" si="43"/>
        <v>6620</v>
      </c>
      <c r="N204" s="386">
        <f t="shared" si="44"/>
        <v>863.24799999999993</v>
      </c>
    </row>
    <row r="205" spans="2:14">
      <c r="B205" s="209">
        <v>45759</v>
      </c>
      <c r="C205" s="110" t="s">
        <v>454</v>
      </c>
      <c r="D205" s="127">
        <v>1</v>
      </c>
      <c r="E205" s="184">
        <v>2299</v>
      </c>
      <c r="F205" s="19">
        <f t="shared" si="41"/>
        <v>2299</v>
      </c>
      <c r="G205" s="66">
        <f t="shared" si="42"/>
        <v>209</v>
      </c>
      <c r="H205" s="363"/>
      <c r="I205" s="735"/>
      <c r="J205" s="1066"/>
      <c r="K205" s="1066"/>
      <c r="L205" s="1066"/>
      <c r="M205" s="1315">
        <f t="shared" si="43"/>
        <v>0</v>
      </c>
      <c r="N205" s="386">
        <f t="shared" si="44"/>
        <v>0</v>
      </c>
    </row>
    <row r="206" spans="2:14">
      <c r="B206" s="209">
        <v>45759</v>
      </c>
      <c r="C206" s="110" t="s">
        <v>456</v>
      </c>
      <c r="D206" s="127">
        <v>1</v>
      </c>
      <c r="E206" s="184">
        <v>724</v>
      </c>
      <c r="F206" s="19">
        <f t="shared" ref="F206:F259" si="45">E206*D206</f>
        <v>724</v>
      </c>
      <c r="G206" s="66">
        <f t="shared" ref="G206:G259" si="46">F206/11</f>
        <v>65.818181818181813</v>
      </c>
      <c r="H206" s="363"/>
      <c r="I206" s="735"/>
      <c r="J206" s="1066"/>
      <c r="K206" s="1066"/>
      <c r="L206" s="1066"/>
      <c r="M206" s="1315">
        <f t="shared" si="43"/>
        <v>0</v>
      </c>
      <c r="N206" s="386">
        <f t="shared" si="44"/>
        <v>0</v>
      </c>
    </row>
    <row r="207" spans="2:14">
      <c r="B207" s="209">
        <v>45759</v>
      </c>
      <c r="C207" s="110" t="s">
        <v>457</v>
      </c>
      <c r="D207" s="127">
        <v>3</v>
      </c>
      <c r="E207" s="184">
        <v>328</v>
      </c>
      <c r="F207" s="19">
        <f t="shared" si="45"/>
        <v>984</v>
      </c>
      <c r="G207" s="66">
        <f t="shared" si="46"/>
        <v>89.454545454545453</v>
      </c>
      <c r="H207" s="363"/>
      <c r="I207" s="735"/>
      <c r="J207" s="1066"/>
      <c r="K207" s="1066"/>
      <c r="L207" s="1066"/>
      <c r="M207" s="1315">
        <f t="shared" si="43"/>
        <v>0</v>
      </c>
      <c r="N207" s="386">
        <f t="shared" si="44"/>
        <v>0</v>
      </c>
    </row>
    <row r="208" spans="2:14">
      <c r="B208" s="19"/>
      <c r="C208" s="19"/>
      <c r="D208" s="19"/>
      <c r="E208" s="19"/>
      <c r="F208" s="19">
        <f t="shared" si="45"/>
        <v>0</v>
      </c>
      <c r="G208" s="66">
        <f t="shared" si="46"/>
        <v>0</v>
      </c>
      <c r="H208" s="363"/>
      <c r="I208" s="735"/>
      <c r="J208" s="1066"/>
      <c r="K208" s="1066"/>
      <c r="L208" s="1066"/>
      <c r="M208" s="1315">
        <f t="shared" si="43"/>
        <v>0</v>
      </c>
      <c r="N208" s="386">
        <f t="shared" si="44"/>
        <v>0</v>
      </c>
    </row>
    <row r="209" spans="2:14">
      <c r="B209" s="209">
        <v>45759</v>
      </c>
      <c r="C209" s="110" t="s">
        <v>454</v>
      </c>
      <c r="D209" s="127">
        <v>15</v>
      </c>
      <c r="E209" s="184">
        <v>2299</v>
      </c>
      <c r="F209" s="19">
        <f t="shared" si="45"/>
        <v>34485</v>
      </c>
      <c r="G209" s="66">
        <f t="shared" si="46"/>
        <v>3135</v>
      </c>
      <c r="H209" s="363"/>
      <c r="I209" s="735"/>
      <c r="J209" s="1066"/>
      <c r="K209" s="1066"/>
      <c r="L209" s="1066"/>
      <c r="M209" s="1315">
        <f t="shared" si="43"/>
        <v>0</v>
      </c>
      <c r="N209" s="386">
        <f t="shared" si="44"/>
        <v>0</v>
      </c>
    </row>
    <row r="210" spans="2:14">
      <c r="B210" s="209">
        <v>45759</v>
      </c>
      <c r="C210" s="110" t="s">
        <v>443</v>
      </c>
      <c r="D210" s="127">
        <v>10</v>
      </c>
      <c r="E210" s="184">
        <v>2299</v>
      </c>
      <c r="F210" s="19">
        <f t="shared" si="45"/>
        <v>22990</v>
      </c>
      <c r="G210" s="66">
        <f t="shared" si="46"/>
        <v>2090</v>
      </c>
      <c r="H210" s="363"/>
      <c r="I210" s="735"/>
      <c r="J210" s="1066"/>
      <c r="K210" s="1066"/>
      <c r="L210" s="1066"/>
      <c r="M210" s="1315">
        <f t="shared" si="43"/>
        <v>0</v>
      </c>
      <c r="N210" s="386">
        <f t="shared" si="44"/>
        <v>0</v>
      </c>
    </row>
    <row r="211" spans="2:14">
      <c r="B211" s="209">
        <v>45759</v>
      </c>
      <c r="C211" s="110" t="s">
        <v>460</v>
      </c>
      <c r="D211" s="127">
        <v>5</v>
      </c>
      <c r="E211" s="184">
        <v>2299</v>
      </c>
      <c r="F211" s="19">
        <f t="shared" si="45"/>
        <v>11495</v>
      </c>
      <c r="G211" s="66">
        <f t="shared" si="46"/>
        <v>1045</v>
      </c>
      <c r="H211" s="363"/>
      <c r="I211" s="735"/>
      <c r="J211" s="1066"/>
      <c r="K211" s="1066"/>
      <c r="L211" s="1066"/>
      <c r="M211" s="1315">
        <f t="shared" si="43"/>
        <v>0</v>
      </c>
      <c r="N211" s="386">
        <f t="shared" si="44"/>
        <v>0</v>
      </c>
    </row>
    <row r="212" spans="2:14">
      <c r="B212" s="19"/>
      <c r="C212" s="19"/>
      <c r="D212" s="19"/>
      <c r="E212" s="19"/>
      <c r="F212" s="19">
        <f t="shared" si="45"/>
        <v>0</v>
      </c>
      <c r="G212" s="66">
        <f t="shared" si="46"/>
        <v>0</v>
      </c>
      <c r="H212" s="363"/>
      <c r="I212" s="735"/>
      <c r="J212" s="732"/>
      <c r="K212" s="732"/>
      <c r="L212" s="732"/>
      <c r="M212" s="1315">
        <f t="shared" si="43"/>
        <v>0</v>
      </c>
      <c r="N212" s="386">
        <f t="shared" si="44"/>
        <v>0</v>
      </c>
    </row>
    <row r="213" spans="2:14">
      <c r="B213" s="209">
        <v>45759</v>
      </c>
      <c r="C213" s="110" t="s">
        <v>462</v>
      </c>
      <c r="D213" s="127">
        <v>5</v>
      </c>
      <c r="E213" s="184">
        <v>2699</v>
      </c>
      <c r="F213" s="19">
        <f t="shared" si="45"/>
        <v>13495</v>
      </c>
      <c r="G213" s="66">
        <f t="shared" si="46"/>
        <v>1226.8181818181818</v>
      </c>
      <c r="H213" s="363"/>
      <c r="I213" s="614"/>
      <c r="J213" s="612"/>
      <c r="K213" s="612"/>
      <c r="L213" s="612"/>
      <c r="M213" s="1315">
        <f t="shared" si="43"/>
        <v>0</v>
      </c>
      <c r="N213" s="386">
        <f t="shared" si="44"/>
        <v>0</v>
      </c>
    </row>
    <row r="214" spans="2:14">
      <c r="B214" s="209">
        <v>45759</v>
      </c>
      <c r="C214" s="110" t="s">
        <v>463</v>
      </c>
      <c r="D214" s="127">
        <v>5</v>
      </c>
      <c r="E214" s="184">
        <v>2699</v>
      </c>
      <c r="F214" s="19">
        <f t="shared" si="45"/>
        <v>13495</v>
      </c>
      <c r="G214" s="66">
        <f t="shared" si="46"/>
        <v>1226.8181818181818</v>
      </c>
      <c r="H214" s="363"/>
      <c r="I214" s="19"/>
      <c r="J214" s="18"/>
      <c r="K214" s="18"/>
      <c r="L214" s="18"/>
      <c r="M214" s="1315">
        <f t="shared" si="43"/>
        <v>0</v>
      </c>
      <c r="N214" s="386">
        <f t="shared" si="44"/>
        <v>0</v>
      </c>
    </row>
    <row r="215" spans="2:14">
      <c r="B215" s="19"/>
      <c r="C215" s="19"/>
      <c r="D215" s="19"/>
      <c r="E215" s="19"/>
      <c r="F215" s="19">
        <f t="shared" si="45"/>
        <v>0</v>
      </c>
      <c r="G215" s="66">
        <f t="shared" si="46"/>
        <v>0</v>
      </c>
      <c r="H215" s="363"/>
      <c r="I215" s="19"/>
      <c r="J215" s="18"/>
      <c r="K215" s="18"/>
      <c r="L215" s="18"/>
      <c r="M215" s="1315">
        <f t="shared" si="43"/>
        <v>0</v>
      </c>
      <c r="N215" s="386">
        <f t="shared" si="44"/>
        <v>0</v>
      </c>
    </row>
    <row r="216" spans="2:14">
      <c r="B216" s="81">
        <v>45759</v>
      </c>
      <c r="C216" s="18" t="s">
        <v>443</v>
      </c>
      <c r="D216" s="19">
        <v>2</v>
      </c>
      <c r="E216" s="210">
        <v>2299</v>
      </c>
      <c r="F216" s="19">
        <f t="shared" si="45"/>
        <v>4598</v>
      </c>
      <c r="G216" s="66">
        <f t="shared" si="46"/>
        <v>418</v>
      </c>
      <c r="H216" s="363"/>
      <c r="I216" s="19"/>
      <c r="J216" s="18"/>
      <c r="K216" s="18"/>
      <c r="L216" s="18"/>
      <c r="M216" s="1315">
        <f t="shared" si="43"/>
        <v>0</v>
      </c>
      <c r="N216" s="386">
        <f t="shared" si="44"/>
        <v>0</v>
      </c>
    </row>
    <row r="217" spans="2:14" ht="21">
      <c r="B217" s="81">
        <v>45759</v>
      </c>
      <c r="C217" s="18" t="s">
        <v>454</v>
      </c>
      <c r="D217" s="19">
        <v>2</v>
      </c>
      <c r="E217" s="210">
        <v>2299</v>
      </c>
      <c r="F217" s="19">
        <f t="shared" si="45"/>
        <v>4598</v>
      </c>
      <c r="G217" s="66">
        <f t="shared" si="46"/>
        <v>418</v>
      </c>
      <c r="H217" s="363"/>
      <c r="M217" s="67" t="s">
        <v>107</v>
      </c>
      <c r="N217" s="83">
        <f>SUM(N6:N216)</f>
        <v>324548.34677599976</v>
      </c>
    </row>
    <row r="218" spans="2:14">
      <c r="B218" s="81">
        <v>45759</v>
      </c>
      <c r="C218" s="18" t="s">
        <v>462</v>
      </c>
      <c r="D218" s="19">
        <v>1</v>
      </c>
      <c r="E218" s="210">
        <v>2699</v>
      </c>
      <c r="F218" s="19">
        <f t="shared" si="45"/>
        <v>2699</v>
      </c>
      <c r="G218" s="66">
        <f t="shared" si="46"/>
        <v>245.36363636363637</v>
      </c>
      <c r="H218" s="363"/>
      <c r="I218" s="558"/>
    </row>
    <row r="219" spans="2:14">
      <c r="B219" s="81">
        <v>45759</v>
      </c>
      <c r="C219" s="18" t="s">
        <v>463</v>
      </c>
      <c r="D219" s="19">
        <v>2</v>
      </c>
      <c r="E219" s="210">
        <v>2699</v>
      </c>
      <c r="F219" s="19">
        <f t="shared" si="45"/>
        <v>5398</v>
      </c>
      <c r="G219" s="66">
        <f t="shared" si="46"/>
        <v>490.72727272727275</v>
      </c>
      <c r="H219" s="363"/>
      <c r="I219" s="558"/>
    </row>
    <row r="220" spans="2:14">
      <c r="B220" s="19"/>
      <c r="C220" s="19"/>
      <c r="D220" s="19"/>
      <c r="E220" s="19"/>
      <c r="F220" s="19">
        <f t="shared" si="45"/>
        <v>0</v>
      </c>
      <c r="G220" s="66">
        <f t="shared" si="46"/>
        <v>0</v>
      </c>
      <c r="H220" s="363"/>
      <c r="I220" s="558"/>
    </row>
    <row r="221" spans="2:14">
      <c r="B221" s="81">
        <v>45759</v>
      </c>
      <c r="C221" s="18" t="s">
        <v>466</v>
      </c>
      <c r="D221" s="19">
        <v>5</v>
      </c>
      <c r="E221" s="210">
        <v>143</v>
      </c>
      <c r="F221" s="19">
        <f t="shared" si="45"/>
        <v>715</v>
      </c>
      <c r="G221" s="66">
        <f t="shared" si="46"/>
        <v>65</v>
      </c>
      <c r="H221" s="363"/>
      <c r="I221" s="558"/>
    </row>
    <row r="222" spans="2:14">
      <c r="B222" s="81">
        <v>45759</v>
      </c>
      <c r="C222" s="18" t="s">
        <v>467</v>
      </c>
      <c r="D222" s="19">
        <v>6</v>
      </c>
      <c r="E222" s="210">
        <v>30</v>
      </c>
      <c r="F222" s="19">
        <f t="shared" si="45"/>
        <v>180</v>
      </c>
      <c r="G222" s="66">
        <f t="shared" si="46"/>
        <v>16.363636363636363</v>
      </c>
      <c r="H222" s="363"/>
      <c r="I222" s="558"/>
    </row>
    <row r="223" spans="2:14">
      <c r="B223" s="19"/>
      <c r="C223" s="19"/>
      <c r="D223" s="19"/>
      <c r="E223" s="19"/>
      <c r="F223" s="19">
        <f t="shared" si="45"/>
        <v>0</v>
      </c>
      <c r="G223" s="66">
        <f t="shared" si="46"/>
        <v>0</v>
      </c>
      <c r="H223" s="363"/>
      <c r="I223" s="558"/>
    </row>
    <row r="224" spans="2:14">
      <c r="B224" s="96">
        <v>45759</v>
      </c>
      <c r="C224" s="110" t="s">
        <v>467</v>
      </c>
      <c r="D224" s="127">
        <v>20</v>
      </c>
      <c r="E224" s="184">
        <v>30</v>
      </c>
      <c r="F224" s="19">
        <f t="shared" si="45"/>
        <v>600</v>
      </c>
      <c r="G224" s="66">
        <f t="shared" si="46"/>
        <v>54.545454545454547</v>
      </c>
      <c r="H224" s="363"/>
      <c r="I224" s="558"/>
    </row>
    <row r="225" spans="2:13">
      <c r="B225" s="19"/>
      <c r="C225" s="19"/>
      <c r="D225" s="19"/>
      <c r="E225" s="19"/>
      <c r="F225" s="19">
        <f t="shared" si="45"/>
        <v>0</v>
      </c>
      <c r="G225" s="66">
        <f t="shared" si="46"/>
        <v>0</v>
      </c>
      <c r="H225" s="363"/>
      <c r="I225" s="558"/>
    </row>
    <row r="226" spans="2:13">
      <c r="B226" s="81">
        <v>45759</v>
      </c>
      <c r="C226" s="18" t="s">
        <v>467</v>
      </c>
      <c r="D226" s="19">
        <v>6</v>
      </c>
      <c r="E226" s="210">
        <v>30</v>
      </c>
      <c r="F226" s="19">
        <f t="shared" si="45"/>
        <v>180</v>
      </c>
      <c r="G226" s="66">
        <f t="shared" si="46"/>
        <v>16.363636363636363</v>
      </c>
      <c r="H226" s="363"/>
      <c r="I226" s="558"/>
    </row>
    <row r="227" spans="2:13">
      <c r="B227" s="81">
        <v>45759</v>
      </c>
      <c r="C227" s="18" t="s">
        <v>456</v>
      </c>
      <c r="D227" s="19">
        <v>5</v>
      </c>
      <c r="E227" s="210">
        <v>715</v>
      </c>
      <c r="F227" s="19">
        <f t="shared" si="45"/>
        <v>3575</v>
      </c>
      <c r="G227" s="66">
        <f t="shared" si="46"/>
        <v>325</v>
      </c>
      <c r="H227" s="363"/>
      <c r="I227" s="558"/>
    </row>
    <row r="228" spans="2:13">
      <c r="B228" s="19"/>
      <c r="C228" s="19"/>
      <c r="D228" s="19"/>
      <c r="E228" s="19"/>
      <c r="F228" s="19">
        <f t="shared" si="45"/>
        <v>0</v>
      </c>
      <c r="G228" s="66">
        <f t="shared" si="46"/>
        <v>0</v>
      </c>
      <c r="I228" s="558"/>
    </row>
    <row r="229" spans="2:13">
      <c r="B229" s="81">
        <v>45759</v>
      </c>
      <c r="C229" s="18" t="s">
        <v>443</v>
      </c>
      <c r="D229" s="19">
        <v>1</v>
      </c>
      <c r="E229" s="210">
        <v>2299</v>
      </c>
      <c r="F229" s="19">
        <f t="shared" si="45"/>
        <v>2299</v>
      </c>
      <c r="G229" s="66">
        <f t="shared" si="46"/>
        <v>209</v>
      </c>
    </row>
    <row r="230" spans="2:13">
      <c r="B230" s="81">
        <v>45759</v>
      </c>
      <c r="C230" s="18" t="s">
        <v>462</v>
      </c>
      <c r="D230" s="19">
        <v>1</v>
      </c>
      <c r="E230" s="210">
        <v>2699</v>
      </c>
      <c r="F230" s="19">
        <f t="shared" si="45"/>
        <v>2699</v>
      </c>
      <c r="G230" s="66">
        <f t="shared" si="46"/>
        <v>245.36363636363637</v>
      </c>
      <c r="I230" s="558"/>
    </row>
    <row r="231" spans="2:13">
      <c r="B231" s="18"/>
      <c r="C231" s="18"/>
      <c r="D231" s="125"/>
      <c r="E231" s="18"/>
      <c r="F231" s="19">
        <f t="shared" si="45"/>
        <v>0</v>
      </c>
      <c r="G231" s="66">
        <f t="shared" si="46"/>
        <v>0</v>
      </c>
      <c r="I231" s="558"/>
    </row>
    <row r="232" spans="2:13">
      <c r="B232" s="96">
        <v>45760</v>
      </c>
      <c r="C232" s="110" t="s">
        <v>456</v>
      </c>
      <c r="D232" s="127">
        <v>17</v>
      </c>
      <c r="E232" s="184">
        <v>699.99</v>
      </c>
      <c r="F232" s="19">
        <f t="shared" si="45"/>
        <v>11899.83</v>
      </c>
      <c r="G232" s="66">
        <f t="shared" si="46"/>
        <v>1081.8027272727272</v>
      </c>
      <c r="I232" s="558"/>
    </row>
    <row r="233" spans="2:13">
      <c r="B233" s="96">
        <v>45760</v>
      </c>
      <c r="C233" s="110" t="s">
        <v>456</v>
      </c>
      <c r="D233" s="127">
        <v>1</v>
      </c>
      <c r="E233" s="184">
        <v>699.99</v>
      </c>
      <c r="F233" s="19">
        <f t="shared" si="45"/>
        <v>699.99</v>
      </c>
      <c r="G233" s="66">
        <f t="shared" si="46"/>
        <v>63.635454545454543</v>
      </c>
      <c r="I233" s="558"/>
    </row>
    <row r="234" spans="2:13">
      <c r="B234" s="19"/>
      <c r="C234" s="19"/>
      <c r="D234" s="19"/>
      <c r="E234" s="19"/>
      <c r="F234" s="19">
        <f t="shared" si="45"/>
        <v>0</v>
      </c>
      <c r="G234" s="66">
        <f t="shared" si="46"/>
        <v>0</v>
      </c>
      <c r="I234" s="1249"/>
    </row>
    <row r="235" spans="2:13">
      <c r="B235" s="96">
        <v>45760</v>
      </c>
      <c r="C235" s="110" t="s">
        <v>462</v>
      </c>
      <c r="D235" s="127">
        <v>3</v>
      </c>
      <c r="E235" s="184">
        <v>2549.9899999999998</v>
      </c>
      <c r="F235" s="19">
        <f t="shared" si="45"/>
        <v>7649.9699999999993</v>
      </c>
      <c r="G235" s="66">
        <f t="shared" si="46"/>
        <v>695.45181818181811</v>
      </c>
      <c r="I235" s="1249"/>
    </row>
    <row r="236" spans="2:13">
      <c r="B236" s="96">
        <v>45760</v>
      </c>
      <c r="C236" s="110" t="s">
        <v>471</v>
      </c>
      <c r="D236" s="127">
        <v>2</v>
      </c>
      <c r="E236" s="184">
        <v>2549.9899999999998</v>
      </c>
      <c r="F236" s="19">
        <f t="shared" si="45"/>
        <v>5099.9799999999996</v>
      </c>
      <c r="G236" s="66">
        <f t="shared" si="46"/>
        <v>463.63454545454539</v>
      </c>
      <c r="I236" s="1249"/>
    </row>
    <row r="237" spans="2:13">
      <c r="B237" s="19"/>
      <c r="C237" s="19"/>
      <c r="D237" s="19"/>
      <c r="E237" s="19"/>
      <c r="F237" s="19">
        <f t="shared" si="45"/>
        <v>0</v>
      </c>
      <c r="G237" s="66">
        <f t="shared" si="46"/>
        <v>0</v>
      </c>
      <c r="I237" s="1249"/>
      <c r="J237" s="1056"/>
      <c r="K237" s="1056"/>
      <c r="L237" s="1056"/>
      <c r="M237" s="1056"/>
    </row>
    <row r="238" spans="2:13">
      <c r="B238" s="96">
        <v>45760</v>
      </c>
      <c r="C238" s="110" t="s">
        <v>472</v>
      </c>
      <c r="D238" s="127">
        <v>10</v>
      </c>
      <c r="E238" s="184">
        <v>724</v>
      </c>
      <c r="F238" s="19">
        <f t="shared" si="45"/>
        <v>7240</v>
      </c>
      <c r="G238" s="66">
        <f t="shared" si="46"/>
        <v>658.18181818181813</v>
      </c>
      <c r="I238" s="1249"/>
      <c r="J238" s="1056"/>
      <c r="K238" s="1056"/>
      <c r="L238" s="1056"/>
      <c r="M238" s="1056"/>
    </row>
    <row r="239" spans="2:13">
      <c r="B239" s="19"/>
      <c r="C239" s="19"/>
      <c r="D239" s="19"/>
      <c r="E239" s="19"/>
      <c r="F239" s="19">
        <f t="shared" si="45"/>
        <v>0</v>
      </c>
      <c r="G239" s="66">
        <f t="shared" si="46"/>
        <v>0</v>
      </c>
      <c r="I239" s="1249"/>
      <c r="J239" s="1056"/>
      <c r="K239" s="1056"/>
      <c r="L239" s="1056"/>
      <c r="M239" s="1056"/>
    </row>
    <row r="240" spans="2:13">
      <c r="B240" s="81">
        <v>45760</v>
      </c>
      <c r="C240" s="18" t="s">
        <v>474</v>
      </c>
      <c r="D240" s="19">
        <v>1</v>
      </c>
      <c r="E240" s="210">
        <v>713</v>
      </c>
      <c r="F240" s="19">
        <f t="shared" si="45"/>
        <v>713</v>
      </c>
      <c r="G240" s="66">
        <f t="shared" si="46"/>
        <v>64.818181818181813</v>
      </c>
      <c r="I240" s="1249"/>
      <c r="J240" s="1056"/>
      <c r="K240" s="1056"/>
      <c r="L240" s="1056"/>
      <c r="M240" s="1056"/>
    </row>
    <row r="241" spans="2:14">
      <c r="B241" s="19"/>
      <c r="C241" s="19"/>
      <c r="D241" s="19"/>
      <c r="E241" s="19"/>
      <c r="F241" s="19">
        <f t="shared" si="45"/>
        <v>0</v>
      </c>
      <c r="G241" s="66">
        <f t="shared" si="46"/>
        <v>0</v>
      </c>
      <c r="I241" s="1249"/>
      <c r="J241" s="1056"/>
      <c r="K241" s="1056"/>
      <c r="L241" s="1056"/>
      <c r="M241" s="1056"/>
    </row>
    <row r="242" spans="2:14" ht="21">
      <c r="B242" s="81">
        <v>45760</v>
      </c>
      <c r="C242" s="18" t="s">
        <v>478</v>
      </c>
      <c r="D242" s="19">
        <v>3</v>
      </c>
      <c r="E242" s="210">
        <v>213</v>
      </c>
      <c r="F242" s="19">
        <f t="shared" si="45"/>
        <v>639</v>
      </c>
      <c r="G242" s="66">
        <f t="shared" si="46"/>
        <v>58.090909090909093</v>
      </c>
      <c r="I242" s="1530" t="s">
        <v>21</v>
      </c>
      <c r="J242" s="1530"/>
      <c r="K242" s="1530"/>
      <c r="L242" s="1530"/>
      <c r="M242" s="1530"/>
      <c r="N242" s="1530"/>
    </row>
    <row r="243" spans="2:14" ht="18.75">
      <c r="B243" s="81">
        <v>45760</v>
      </c>
      <c r="C243" s="18" t="s">
        <v>480</v>
      </c>
      <c r="D243" s="19">
        <v>2</v>
      </c>
      <c r="E243" s="210">
        <v>87</v>
      </c>
      <c r="F243" s="19">
        <f t="shared" si="45"/>
        <v>174</v>
      </c>
      <c r="G243" s="66">
        <f t="shared" si="46"/>
        <v>15.818181818181818</v>
      </c>
      <c r="I243" s="47" t="s">
        <v>1</v>
      </c>
      <c r="J243" s="47" t="s">
        <v>2</v>
      </c>
      <c r="K243" s="47" t="s">
        <v>3</v>
      </c>
      <c r="L243" s="47" t="s">
        <v>105</v>
      </c>
      <c r="M243" s="47" t="s">
        <v>106</v>
      </c>
      <c r="N243" s="69" t="s">
        <v>26</v>
      </c>
    </row>
    <row r="244" spans="2:14">
      <c r="B244" s="81">
        <v>45760</v>
      </c>
      <c r="C244" s="18" t="s">
        <v>481</v>
      </c>
      <c r="D244" s="19">
        <v>8</v>
      </c>
      <c r="E244" s="210">
        <v>19</v>
      </c>
      <c r="F244" s="19">
        <f t="shared" si="45"/>
        <v>152</v>
      </c>
      <c r="G244" s="66">
        <f t="shared" si="46"/>
        <v>13.818181818181818</v>
      </c>
      <c r="I244" s="81">
        <v>45750</v>
      </c>
      <c r="J244" s="735" t="s">
        <v>319</v>
      </c>
      <c r="K244" s="735">
        <v>10</v>
      </c>
      <c r="L244" s="735">
        <v>579</v>
      </c>
      <c r="M244" s="2">
        <f t="shared" ref="M244:M269" si="47">L244*K244</f>
        <v>5790</v>
      </c>
      <c r="N244" s="70">
        <f t="shared" ref="N244:N269" si="48">M244*13.04/100</f>
        <v>755.01599999999996</v>
      </c>
    </row>
    <row r="245" spans="2:14">
      <c r="B245" s="19"/>
      <c r="C245" s="19"/>
      <c r="D245" s="19"/>
      <c r="E245" s="19"/>
      <c r="F245" s="19">
        <f t="shared" si="45"/>
        <v>0</v>
      </c>
      <c r="G245" s="66">
        <f t="shared" si="46"/>
        <v>0</v>
      </c>
      <c r="I245" s="735"/>
      <c r="J245" s="1066"/>
      <c r="K245" s="1066"/>
      <c r="L245" s="1066"/>
      <c r="M245" s="2">
        <f t="shared" si="47"/>
        <v>0</v>
      </c>
      <c r="N245" s="70">
        <f t="shared" si="48"/>
        <v>0</v>
      </c>
    </row>
    <row r="246" spans="2:14">
      <c r="B246" s="96">
        <v>45760</v>
      </c>
      <c r="C246" s="110" t="s">
        <v>467</v>
      </c>
      <c r="D246" s="127">
        <v>20</v>
      </c>
      <c r="E246" s="184">
        <v>30</v>
      </c>
      <c r="F246" s="19">
        <f t="shared" si="45"/>
        <v>600</v>
      </c>
      <c r="G246" s="66">
        <f t="shared" si="46"/>
        <v>54.545454545454547</v>
      </c>
      <c r="I246" s="81">
        <v>45784</v>
      </c>
      <c r="J246" s="80" t="s">
        <v>629</v>
      </c>
      <c r="K246" s="19">
        <v>147</v>
      </c>
      <c r="L246" s="19">
        <v>520</v>
      </c>
      <c r="M246" s="2">
        <f t="shared" si="47"/>
        <v>76440</v>
      </c>
      <c r="N246" s="70">
        <f t="shared" si="48"/>
        <v>9967.7759999999998</v>
      </c>
    </row>
    <row r="247" spans="2:14">
      <c r="B247" s="19"/>
      <c r="C247" s="19"/>
      <c r="D247" s="19"/>
      <c r="E247" s="19"/>
      <c r="F247" s="19">
        <f t="shared" si="45"/>
        <v>0</v>
      </c>
      <c r="G247" s="66">
        <f t="shared" si="46"/>
        <v>0</v>
      </c>
      <c r="I247" s="81">
        <v>45784</v>
      </c>
      <c r="J247" s="80" t="s">
        <v>630</v>
      </c>
      <c r="K247" s="19">
        <v>500</v>
      </c>
      <c r="L247" s="19">
        <v>28.99</v>
      </c>
      <c r="M247" s="2">
        <f t="shared" si="47"/>
        <v>14495</v>
      </c>
      <c r="N247" s="70">
        <f t="shared" si="48"/>
        <v>1890.1479999999999</v>
      </c>
    </row>
    <row r="248" spans="2:14">
      <c r="B248" s="96">
        <v>45760</v>
      </c>
      <c r="C248" s="110" t="s">
        <v>456</v>
      </c>
      <c r="D248" s="127">
        <v>3</v>
      </c>
      <c r="E248" s="184">
        <v>724</v>
      </c>
      <c r="F248" s="19">
        <f t="shared" si="45"/>
        <v>2172</v>
      </c>
      <c r="G248" s="66">
        <f t="shared" si="46"/>
        <v>197.45454545454547</v>
      </c>
      <c r="I248" s="81">
        <v>45784</v>
      </c>
      <c r="J248" s="80" t="s">
        <v>631</v>
      </c>
      <c r="K248" s="19">
        <v>200</v>
      </c>
      <c r="L248" s="19">
        <v>328.99</v>
      </c>
      <c r="M248" s="2">
        <f t="shared" si="47"/>
        <v>65798</v>
      </c>
      <c r="N248" s="70">
        <f t="shared" si="48"/>
        <v>8580.0591999999997</v>
      </c>
    </row>
    <row r="249" spans="2:14">
      <c r="B249" s="19"/>
      <c r="C249" s="19"/>
      <c r="D249" s="19"/>
      <c r="E249" s="19"/>
      <c r="F249" s="19">
        <f t="shared" si="45"/>
        <v>0</v>
      </c>
      <c r="G249" s="66">
        <f t="shared" si="46"/>
        <v>0</v>
      </c>
      <c r="I249" s="81">
        <v>45784</v>
      </c>
      <c r="J249" s="80" t="s">
        <v>632</v>
      </c>
      <c r="K249" s="19">
        <v>10</v>
      </c>
      <c r="L249" s="19">
        <v>759</v>
      </c>
      <c r="M249" s="2">
        <f t="shared" si="47"/>
        <v>7590</v>
      </c>
      <c r="N249" s="70">
        <f t="shared" si="48"/>
        <v>989.73599999999988</v>
      </c>
    </row>
    <row r="250" spans="2:14">
      <c r="B250" s="81">
        <v>45760</v>
      </c>
      <c r="C250" s="18" t="s">
        <v>485</v>
      </c>
      <c r="D250" s="19">
        <v>1</v>
      </c>
      <c r="E250" s="210">
        <v>2077</v>
      </c>
      <c r="F250" s="19">
        <f t="shared" si="45"/>
        <v>2077</v>
      </c>
      <c r="G250" s="66">
        <f t="shared" si="46"/>
        <v>188.81818181818181</v>
      </c>
      <c r="I250" s="81">
        <v>45784</v>
      </c>
      <c r="J250" s="80" t="s">
        <v>632</v>
      </c>
      <c r="K250" s="19">
        <v>10</v>
      </c>
      <c r="L250" s="19">
        <v>759</v>
      </c>
      <c r="M250" s="2">
        <f t="shared" si="47"/>
        <v>7590</v>
      </c>
      <c r="N250" s="70">
        <f t="shared" si="48"/>
        <v>989.73599999999988</v>
      </c>
    </row>
    <row r="251" spans="2:14">
      <c r="B251" s="81">
        <v>45760</v>
      </c>
      <c r="C251" s="18" t="s">
        <v>462</v>
      </c>
      <c r="D251" s="19">
        <v>1</v>
      </c>
      <c r="E251" s="210">
        <v>2699</v>
      </c>
      <c r="F251" s="19">
        <f t="shared" si="45"/>
        <v>2699</v>
      </c>
      <c r="G251" s="66">
        <f t="shared" si="46"/>
        <v>245.36363636363637</v>
      </c>
      <c r="I251" s="81">
        <v>45784</v>
      </c>
      <c r="J251" s="80" t="s">
        <v>632</v>
      </c>
      <c r="K251" s="19">
        <v>2</v>
      </c>
      <c r="L251" s="19">
        <v>759</v>
      </c>
      <c r="M251" s="2">
        <f t="shared" si="47"/>
        <v>1518</v>
      </c>
      <c r="N251" s="70">
        <f t="shared" si="48"/>
        <v>197.94719999999998</v>
      </c>
    </row>
    <row r="252" spans="2:14">
      <c r="B252" s="19"/>
      <c r="C252" s="19"/>
      <c r="D252" s="19"/>
      <c r="E252" s="19"/>
      <c r="F252" s="19">
        <f t="shared" si="45"/>
        <v>0</v>
      </c>
      <c r="G252" s="66">
        <f t="shared" si="46"/>
        <v>0</v>
      </c>
      <c r="I252" s="81">
        <v>45784</v>
      </c>
      <c r="J252" s="80" t="s">
        <v>632</v>
      </c>
      <c r="K252" s="19">
        <v>2</v>
      </c>
      <c r="L252" s="19">
        <v>759</v>
      </c>
      <c r="M252" s="2">
        <f t="shared" si="47"/>
        <v>1518</v>
      </c>
      <c r="N252" s="70">
        <f t="shared" si="48"/>
        <v>197.94719999999998</v>
      </c>
    </row>
    <row r="253" spans="2:14">
      <c r="B253" s="81">
        <v>45760</v>
      </c>
      <c r="C253" s="18" t="s">
        <v>457</v>
      </c>
      <c r="D253" s="19">
        <v>2</v>
      </c>
      <c r="E253" s="210">
        <v>299</v>
      </c>
      <c r="F253" s="19">
        <f t="shared" si="45"/>
        <v>598</v>
      </c>
      <c r="G253" s="66">
        <f t="shared" si="46"/>
        <v>54.363636363636367</v>
      </c>
      <c r="I253" s="81">
        <v>45784</v>
      </c>
      <c r="J253" s="80" t="s">
        <v>632</v>
      </c>
      <c r="K253" s="19">
        <v>10</v>
      </c>
      <c r="L253" s="19">
        <v>759</v>
      </c>
      <c r="M253" s="2">
        <f t="shared" si="47"/>
        <v>7590</v>
      </c>
      <c r="N253" s="70">
        <f t="shared" si="48"/>
        <v>989.73599999999988</v>
      </c>
    </row>
    <row r="254" spans="2:14">
      <c r="B254" s="19"/>
      <c r="C254" s="19"/>
      <c r="D254" s="19"/>
      <c r="E254" s="19"/>
      <c r="F254" s="19">
        <f t="shared" si="45"/>
        <v>0</v>
      </c>
      <c r="G254" s="66">
        <f t="shared" si="46"/>
        <v>0</v>
      </c>
      <c r="I254" s="81">
        <v>45784</v>
      </c>
      <c r="J254" s="80" t="s">
        <v>633</v>
      </c>
      <c r="K254" s="19">
        <v>250</v>
      </c>
      <c r="L254" s="19">
        <v>149</v>
      </c>
      <c r="M254" s="2">
        <f t="shared" si="47"/>
        <v>37250</v>
      </c>
      <c r="N254" s="70">
        <f t="shared" si="48"/>
        <v>4857.3999999999996</v>
      </c>
    </row>
    <row r="255" spans="2:14">
      <c r="B255" s="81">
        <v>45760</v>
      </c>
      <c r="C255" s="18" t="s">
        <v>481</v>
      </c>
      <c r="D255" s="19">
        <v>12</v>
      </c>
      <c r="E255" s="210">
        <v>19</v>
      </c>
      <c r="F255" s="19">
        <f t="shared" si="45"/>
        <v>228</v>
      </c>
      <c r="G255" s="66">
        <f t="shared" si="46"/>
        <v>20.727272727272727</v>
      </c>
      <c r="I255" s="81">
        <v>45784</v>
      </c>
      <c r="J255" s="80" t="s">
        <v>630</v>
      </c>
      <c r="K255" s="19">
        <v>200</v>
      </c>
      <c r="L255" s="19">
        <v>28.99</v>
      </c>
      <c r="M255" s="2">
        <f t="shared" si="47"/>
        <v>5798</v>
      </c>
      <c r="N255" s="70">
        <f t="shared" si="48"/>
        <v>756.05920000000003</v>
      </c>
    </row>
    <row r="256" spans="2:14">
      <c r="B256" s="81">
        <v>45760</v>
      </c>
      <c r="C256" s="18" t="s">
        <v>478</v>
      </c>
      <c r="D256" s="19">
        <v>1</v>
      </c>
      <c r="E256" s="210">
        <v>213</v>
      </c>
      <c r="F256" s="19">
        <f t="shared" si="45"/>
        <v>213</v>
      </c>
      <c r="G256" s="66">
        <f t="shared" si="46"/>
        <v>19.363636363636363</v>
      </c>
      <c r="I256" s="75"/>
      <c r="J256" s="76"/>
      <c r="K256" s="76"/>
      <c r="L256" s="76"/>
      <c r="M256" s="8">
        <f t="shared" si="47"/>
        <v>0</v>
      </c>
      <c r="N256" s="70">
        <f t="shared" si="48"/>
        <v>0</v>
      </c>
    </row>
    <row r="257" spans="2:14">
      <c r="B257" s="81">
        <v>45760</v>
      </c>
      <c r="C257" s="18" t="s">
        <v>480</v>
      </c>
      <c r="D257" s="19">
        <v>3</v>
      </c>
      <c r="E257" s="210">
        <v>87</v>
      </c>
      <c r="F257" s="19">
        <f t="shared" si="45"/>
        <v>261</v>
      </c>
      <c r="G257" s="66">
        <f t="shared" si="46"/>
        <v>23.727272727272727</v>
      </c>
      <c r="I257" s="19"/>
      <c r="J257" s="18"/>
      <c r="K257" s="18"/>
      <c r="L257" s="18"/>
      <c r="M257" s="19">
        <f t="shared" si="47"/>
        <v>0</v>
      </c>
      <c r="N257" s="271">
        <f t="shared" si="48"/>
        <v>0</v>
      </c>
    </row>
    <row r="258" spans="2:14">
      <c r="B258" s="19"/>
      <c r="C258" s="19"/>
      <c r="D258" s="19"/>
      <c r="E258" s="19"/>
      <c r="F258" s="19">
        <f t="shared" si="45"/>
        <v>0</v>
      </c>
      <c r="G258" s="66">
        <f t="shared" si="46"/>
        <v>0</v>
      </c>
      <c r="I258" s="81">
        <v>45785</v>
      </c>
      <c r="J258" s="80" t="s">
        <v>638</v>
      </c>
      <c r="K258" s="19">
        <v>5</v>
      </c>
      <c r="L258" s="19">
        <v>755</v>
      </c>
      <c r="M258" s="19">
        <f t="shared" si="47"/>
        <v>3775</v>
      </c>
      <c r="N258" s="271">
        <f t="shared" si="48"/>
        <v>492.26</v>
      </c>
    </row>
    <row r="259" spans="2:14">
      <c r="B259" s="81">
        <v>45760</v>
      </c>
      <c r="C259" s="18" t="s">
        <v>494</v>
      </c>
      <c r="D259" s="19">
        <v>6</v>
      </c>
      <c r="E259" s="210">
        <v>204</v>
      </c>
      <c r="F259" s="19">
        <f t="shared" si="45"/>
        <v>1224</v>
      </c>
      <c r="G259" s="66">
        <f t="shared" si="46"/>
        <v>111.27272727272727</v>
      </c>
      <c r="I259" s="81">
        <v>45785</v>
      </c>
      <c r="J259" s="80" t="s">
        <v>639</v>
      </c>
      <c r="K259" s="19">
        <v>5</v>
      </c>
      <c r="L259" s="19">
        <v>965</v>
      </c>
      <c r="M259" s="19">
        <f t="shared" si="47"/>
        <v>4825</v>
      </c>
      <c r="N259" s="271">
        <f t="shared" si="48"/>
        <v>629.17999999999995</v>
      </c>
    </row>
    <row r="260" spans="2:14">
      <c r="B260" s="81">
        <v>45760</v>
      </c>
      <c r="C260" s="18" t="s">
        <v>495</v>
      </c>
      <c r="D260" s="19">
        <v>3</v>
      </c>
      <c r="E260" s="210">
        <v>200</v>
      </c>
      <c r="F260" s="19">
        <f t="shared" ref="F260:F279" si="49">E260*D260</f>
        <v>600</v>
      </c>
      <c r="G260" s="66">
        <f t="shared" ref="G260:G279" si="50">F260/11</f>
        <v>54.545454545454547</v>
      </c>
      <c r="I260" s="81">
        <v>45785</v>
      </c>
      <c r="J260" s="80" t="s">
        <v>640</v>
      </c>
      <c r="K260" s="19">
        <v>5</v>
      </c>
      <c r="L260" s="19">
        <v>1205</v>
      </c>
      <c r="M260" s="19">
        <f t="shared" si="47"/>
        <v>6025</v>
      </c>
      <c r="N260" s="271">
        <f t="shared" si="48"/>
        <v>785.66</v>
      </c>
    </row>
    <row r="261" spans="2:14">
      <c r="B261" s="81">
        <v>45760</v>
      </c>
      <c r="C261" s="18" t="s">
        <v>481</v>
      </c>
      <c r="D261" s="19">
        <v>11</v>
      </c>
      <c r="E261" s="210">
        <v>21</v>
      </c>
      <c r="F261" s="19">
        <f t="shared" si="49"/>
        <v>231</v>
      </c>
      <c r="G261" s="66">
        <f t="shared" si="50"/>
        <v>21</v>
      </c>
      <c r="I261" s="19"/>
      <c r="J261" s="18"/>
      <c r="K261" s="18"/>
      <c r="L261" s="18"/>
      <c r="M261" s="19">
        <f t="shared" si="47"/>
        <v>0</v>
      </c>
      <c r="N261" s="271">
        <f t="shared" si="48"/>
        <v>0</v>
      </c>
    </row>
    <row r="262" spans="2:14">
      <c r="B262" s="19"/>
      <c r="C262" s="19"/>
      <c r="D262" s="19"/>
      <c r="E262" s="19"/>
      <c r="F262" s="19">
        <f t="shared" si="49"/>
        <v>0</v>
      </c>
      <c r="G262" s="66">
        <f t="shared" si="50"/>
        <v>0</v>
      </c>
      <c r="I262" s="19"/>
      <c r="J262" s="18"/>
      <c r="K262" s="18"/>
      <c r="L262" s="18"/>
      <c r="M262" s="19">
        <f t="shared" si="47"/>
        <v>0</v>
      </c>
      <c r="N262" s="271">
        <f t="shared" si="48"/>
        <v>0</v>
      </c>
    </row>
    <row r="263" spans="2:14">
      <c r="B263" s="81">
        <v>45760</v>
      </c>
      <c r="C263" s="18" t="s">
        <v>492</v>
      </c>
      <c r="D263" s="19">
        <v>5</v>
      </c>
      <c r="E263" s="210">
        <v>2605</v>
      </c>
      <c r="F263" s="19">
        <f t="shared" si="49"/>
        <v>13025</v>
      </c>
      <c r="G263" s="66">
        <f t="shared" si="50"/>
        <v>1184.090909090909</v>
      </c>
      <c r="I263" s="81">
        <v>45805</v>
      </c>
      <c r="J263" s="80" t="s">
        <v>722</v>
      </c>
      <c r="K263" s="19">
        <v>200</v>
      </c>
      <c r="L263" s="19">
        <v>492</v>
      </c>
      <c r="M263" s="19">
        <f t="shared" si="47"/>
        <v>98400</v>
      </c>
      <c r="N263" s="271">
        <f t="shared" si="48"/>
        <v>12831.36</v>
      </c>
    </row>
    <row r="264" spans="2:14">
      <c r="B264" s="81">
        <v>45760</v>
      </c>
      <c r="C264" s="18" t="s">
        <v>493</v>
      </c>
      <c r="D264" s="19">
        <v>1</v>
      </c>
      <c r="E264" s="210">
        <v>3535</v>
      </c>
      <c r="F264" s="19">
        <f t="shared" si="49"/>
        <v>3535</v>
      </c>
      <c r="G264" s="66">
        <f t="shared" si="50"/>
        <v>321.36363636363637</v>
      </c>
      <c r="I264" s="81">
        <v>45805</v>
      </c>
      <c r="J264" s="80" t="s">
        <v>723</v>
      </c>
      <c r="K264" s="19">
        <v>100</v>
      </c>
      <c r="L264" s="19">
        <v>329</v>
      </c>
      <c r="M264" s="19">
        <f t="shared" si="47"/>
        <v>32900</v>
      </c>
      <c r="N264" s="271">
        <f t="shared" si="48"/>
        <v>4290.16</v>
      </c>
    </row>
    <row r="265" spans="2:14">
      <c r="B265" s="18"/>
      <c r="C265" s="18"/>
      <c r="D265" s="125"/>
      <c r="E265" s="18"/>
      <c r="F265" s="19">
        <f t="shared" si="49"/>
        <v>0</v>
      </c>
      <c r="G265" s="66">
        <f t="shared" si="50"/>
        <v>0</v>
      </c>
      <c r="I265" s="81">
        <v>45805</v>
      </c>
      <c r="J265" s="80" t="s">
        <v>724</v>
      </c>
      <c r="K265" s="19">
        <v>20</v>
      </c>
      <c r="L265" s="19">
        <v>745</v>
      </c>
      <c r="M265" s="19">
        <f t="shared" si="47"/>
        <v>14900</v>
      </c>
      <c r="N265" s="271">
        <f t="shared" si="48"/>
        <v>1942.96</v>
      </c>
    </row>
    <row r="266" spans="2:14">
      <c r="B266" s="81">
        <v>45761</v>
      </c>
      <c r="C266" s="18" t="s">
        <v>516</v>
      </c>
      <c r="D266" s="19">
        <v>6</v>
      </c>
      <c r="E266" s="145">
        <v>724</v>
      </c>
      <c r="F266" s="19">
        <f t="shared" si="49"/>
        <v>4344</v>
      </c>
      <c r="G266" s="66">
        <f t="shared" si="50"/>
        <v>394.90909090909093</v>
      </c>
      <c r="I266" s="19"/>
      <c r="J266" s="18"/>
      <c r="K266" s="18"/>
      <c r="L266" s="18"/>
      <c r="M266" s="19">
        <f t="shared" si="47"/>
        <v>0</v>
      </c>
      <c r="N266" s="271">
        <f t="shared" si="48"/>
        <v>0</v>
      </c>
    </row>
    <row r="267" spans="2:14">
      <c r="B267" s="96">
        <v>45762</v>
      </c>
      <c r="C267" s="110" t="s">
        <v>517</v>
      </c>
      <c r="D267" s="127">
        <v>2</v>
      </c>
      <c r="E267" s="146">
        <v>2549</v>
      </c>
      <c r="F267" s="19">
        <f t="shared" si="49"/>
        <v>5098</v>
      </c>
      <c r="G267" s="66">
        <f t="shared" si="50"/>
        <v>463.45454545454544</v>
      </c>
      <c r="I267" s="81">
        <v>45813</v>
      </c>
      <c r="J267" s="80" t="s">
        <v>738</v>
      </c>
      <c r="K267" s="19">
        <v>300</v>
      </c>
      <c r="L267" s="19">
        <v>492</v>
      </c>
      <c r="M267" s="19">
        <f t="shared" si="47"/>
        <v>147600</v>
      </c>
      <c r="N267" s="271">
        <f t="shared" si="48"/>
        <v>19247.039999999997</v>
      </c>
    </row>
    <row r="268" spans="2:14">
      <c r="B268" s="96">
        <v>45762</v>
      </c>
      <c r="C268" s="110" t="s">
        <v>518</v>
      </c>
      <c r="D268" s="127">
        <v>1</v>
      </c>
      <c r="E268" s="146">
        <v>2549</v>
      </c>
      <c r="F268" s="19">
        <f t="shared" si="49"/>
        <v>2549</v>
      </c>
      <c r="G268" s="66">
        <f t="shared" si="50"/>
        <v>231.72727272727272</v>
      </c>
      <c r="I268" s="153">
        <v>45813</v>
      </c>
      <c r="J268" s="462" t="s">
        <v>728</v>
      </c>
      <c r="K268" s="75">
        <v>250</v>
      </c>
      <c r="L268" s="75">
        <v>149</v>
      </c>
      <c r="M268" s="75">
        <f t="shared" si="47"/>
        <v>37250</v>
      </c>
      <c r="N268" s="383">
        <f t="shared" si="48"/>
        <v>4857.3999999999996</v>
      </c>
    </row>
    <row r="269" spans="2:14">
      <c r="B269" s="96">
        <v>45762</v>
      </c>
      <c r="C269" s="110" t="s">
        <v>519</v>
      </c>
      <c r="D269" s="127">
        <v>2</v>
      </c>
      <c r="E269" s="146">
        <v>2199</v>
      </c>
      <c r="F269" s="19">
        <f t="shared" si="49"/>
        <v>4398</v>
      </c>
      <c r="G269" s="66">
        <f t="shared" si="50"/>
        <v>399.81818181818181</v>
      </c>
      <c r="I269" s="96"/>
      <c r="J269" s="110"/>
      <c r="K269" s="127"/>
      <c r="L269" s="127"/>
      <c r="M269" s="19">
        <f t="shared" si="47"/>
        <v>0</v>
      </c>
      <c r="N269" s="386">
        <f t="shared" si="48"/>
        <v>0</v>
      </c>
    </row>
    <row r="270" spans="2:14">
      <c r="B270" s="19"/>
      <c r="C270" s="19"/>
      <c r="D270" s="19"/>
      <c r="E270" s="19"/>
      <c r="F270" s="19">
        <f t="shared" si="49"/>
        <v>0</v>
      </c>
      <c r="G270" s="66">
        <f t="shared" si="50"/>
        <v>0</v>
      </c>
      <c r="I270" s="19"/>
      <c r="J270" s="18"/>
      <c r="K270" s="18"/>
      <c r="L270" s="18"/>
      <c r="M270" s="18"/>
      <c r="N270" s="433"/>
    </row>
    <row r="271" spans="2:14">
      <c r="B271" s="81">
        <v>45763</v>
      </c>
      <c r="C271" s="228" t="s">
        <v>520</v>
      </c>
      <c r="D271" s="19">
        <v>2</v>
      </c>
      <c r="E271" s="229">
        <v>539</v>
      </c>
      <c r="F271" s="19">
        <f t="shared" si="49"/>
        <v>1078</v>
      </c>
      <c r="G271" s="66">
        <f t="shared" si="50"/>
        <v>98</v>
      </c>
      <c r="I271" s="19"/>
      <c r="J271" s="18"/>
      <c r="K271" s="18"/>
      <c r="L271" s="18"/>
      <c r="M271" s="18"/>
      <c r="N271" s="433"/>
    </row>
    <row r="272" spans="2:14">
      <c r="B272" s="19"/>
      <c r="C272" s="19"/>
      <c r="D272" s="19"/>
      <c r="E272" s="19"/>
      <c r="F272" s="19">
        <f t="shared" si="49"/>
        <v>0</v>
      </c>
      <c r="G272" s="66">
        <f t="shared" si="50"/>
        <v>0</v>
      </c>
      <c r="I272" s="19"/>
      <c r="J272" s="18"/>
      <c r="K272" s="18"/>
      <c r="L272" s="18"/>
      <c r="M272" s="18"/>
      <c r="N272" s="433"/>
    </row>
    <row r="273" spans="2:14">
      <c r="B273" s="81">
        <v>45763</v>
      </c>
      <c r="C273" s="18" t="s">
        <v>290</v>
      </c>
      <c r="D273" s="19">
        <v>2</v>
      </c>
      <c r="E273" s="145">
        <v>213</v>
      </c>
      <c r="F273" s="19">
        <f t="shared" si="49"/>
        <v>426</v>
      </c>
      <c r="G273" s="66">
        <f t="shared" si="50"/>
        <v>38.727272727272727</v>
      </c>
      <c r="I273" s="19"/>
      <c r="J273" s="18"/>
      <c r="K273" s="18"/>
      <c r="L273" s="18"/>
      <c r="M273" s="18"/>
      <c r="N273" s="433"/>
    </row>
    <row r="274" spans="2:14">
      <c r="B274" s="81">
        <v>45763</v>
      </c>
      <c r="C274" s="18" t="s">
        <v>521</v>
      </c>
      <c r="D274" s="19">
        <v>6</v>
      </c>
      <c r="E274" s="145">
        <v>19</v>
      </c>
      <c r="F274" s="19">
        <f t="shared" si="49"/>
        <v>114</v>
      </c>
      <c r="G274" s="66">
        <f t="shared" si="50"/>
        <v>10.363636363636363</v>
      </c>
      <c r="I274" s="19"/>
      <c r="J274" s="18"/>
      <c r="K274" s="18"/>
      <c r="L274" s="18"/>
      <c r="M274" s="18"/>
      <c r="N274" s="433"/>
    </row>
    <row r="275" spans="2:14">
      <c r="B275" s="19"/>
      <c r="C275" s="19"/>
      <c r="D275" s="19"/>
      <c r="E275" s="19"/>
      <c r="F275" s="19">
        <f t="shared" si="49"/>
        <v>0</v>
      </c>
      <c r="G275" s="66">
        <f t="shared" si="50"/>
        <v>0</v>
      </c>
      <c r="I275" s="19"/>
      <c r="J275" s="18"/>
      <c r="K275" s="18"/>
      <c r="L275" s="18"/>
      <c r="M275" s="18"/>
      <c r="N275" s="433"/>
    </row>
    <row r="276" spans="2:14">
      <c r="B276" s="96">
        <v>45763</v>
      </c>
      <c r="C276" s="110" t="s">
        <v>522</v>
      </c>
      <c r="D276" s="127">
        <v>2</v>
      </c>
      <c r="E276" s="146">
        <v>646</v>
      </c>
      <c r="F276" s="19">
        <f t="shared" si="49"/>
        <v>1292</v>
      </c>
      <c r="G276" s="66">
        <f t="shared" si="50"/>
        <v>117.45454545454545</v>
      </c>
      <c r="I276" s="19"/>
      <c r="J276" s="18"/>
      <c r="K276" s="18"/>
      <c r="L276" s="18"/>
      <c r="M276" s="19"/>
      <c r="N276" s="386">
        <f>M276*13.04/100</f>
        <v>0</v>
      </c>
    </row>
    <row r="277" spans="2:14">
      <c r="B277" s="96">
        <v>45763</v>
      </c>
      <c r="C277" s="110" t="s">
        <v>523</v>
      </c>
      <c r="D277" s="127">
        <v>4</v>
      </c>
      <c r="E277" s="146">
        <v>713</v>
      </c>
      <c r="F277" s="19">
        <f t="shared" si="49"/>
        <v>2852</v>
      </c>
      <c r="G277" s="66">
        <f t="shared" si="50"/>
        <v>259.27272727272725</v>
      </c>
      <c r="I277" s="19"/>
      <c r="J277" s="18"/>
      <c r="K277" s="18"/>
      <c r="L277" s="18"/>
      <c r="M277" s="18"/>
      <c r="N277" s="433"/>
    </row>
    <row r="278" spans="2:14">
      <c r="B278" s="96">
        <v>45763</v>
      </c>
      <c r="C278" s="110" t="s">
        <v>524</v>
      </c>
      <c r="D278" s="127">
        <v>2</v>
      </c>
      <c r="E278" s="146">
        <v>184</v>
      </c>
      <c r="F278" s="19">
        <f t="shared" si="49"/>
        <v>368</v>
      </c>
      <c r="G278" s="66">
        <f t="shared" si="50"/>
        <v>33.454545454545453</v>
      </c>
      <c r="I278" s="19"/>
      <c r="J278" s="18"/>
      <c r="K278" s="18"/>
      <c r="L278" s="18"/>
      <c r="M278" s="18"/>
      <c r="N278" s="433"/>
    </row>
    <row r="279" spans="2:14">
      <c r="B279" s="19"/>
      <c r="C279" s="19"/>
      <c r="D279" s="19"/>
      <c r="E279" s="19"/>
      <c r="F279" s="19">
        <f t="shared" si="49"/>
        <v>0</v>
      </c>
      <c r="G279" s="66">
        <f t="shared" si="50"/>
        <v>0</v>
      </c>
      <c r="I279" s="19"/>
      <c r="J279" s="18"/>
      <c r="K279" s="18"/>
      <c r="L279" s="18"/>
      <c r="M279" s="18"/>
      <c r="N279" s="433"/>
    </row>
    <row r="280" spans="2:14">
      <c r="B280" s="81">
        <v>45764</v>
      </c>
      <c r="C280" s="18" t="s">
        <v>525</v>
      </c>
      <c r="D280" s="19">
        <v>1</v>
      </c>
      <c r="E280" s="145">
        <v>489</v>
      </c>
      <c r="F280" s="19">
        <f t="shared" ref="F280:F300" si="51">E280*D280</f>
        <v>489</v>
      </c>
      <c r="G280" s="66">
        <f t="shared" ref="G280:G300" si="52">F280/11</f>
        <v>44.454545454545453</v>
      </c>
      <c r="I280" s="19"/>
      <c r="J280" s="18"/>
      <c r="K280" s="18"/>
      <c r="L280" s="18"/>
      <c r="M280" s="18"/>
      <c r="N280" s="433"/>
    </row>
    <row r="281" spans="2:14">
      <c r="B281" s="81">
        <v>45764</v>
      </c>
      <c r="C281" s="18" t="s">
        <v>526</v>
      </c>
      <c r="D281" s="19">
        <v>1</v>
      </c>
      <c r="E281" s="145">
        <v>489</v>
      </c>
      <c r="F281" s="19">
        <f t="shared" si="51"/>
        <v>489</v>
      </c>
      <c r="G281" s="66">
        <f t="shared" si="52"/>
        <v>44.454545454545453</v>
      </c>
      <c r="I281" s="19"/>
      <c r="J281" s="18"/>
      <c r="K281" s="18"/>
      <c r="L281" s="18"/>
      <c r="M281" s="18"/>
      <c r="N281" s="433"/>
    </row>
    <row r="282" spans="2:14">
      <c r="B282" s="81">
        <v>45764</v>
      </c>
      <c r="C282" s="18" t="s">
        <v>527</v>
      </c>
      <c r="D282" s="19">
        <v>1</v>
      </c>
      <c r="E282" s="145">
        <v>539</v>
      </c>
      <c r="F282" s="19">
        <f t="shared" si="51"/>
        <v>539</v>
      </c>
      <c r="G282" s="66">
        <f t="shared" si="52"/>
        <v>49</v>
      </c>
      <c r="I282" s="19"/>
      <c r="J282" s="18"/>
      <c r="K282" s="18"/>
      <c r="L282" s="18"/>
      <c r="M282" s="18"/>
      <c r="N282" s="433"/>
    </row>
    <row r="283" spans="2:14">
      <c r="B283" s="81">
        <v>45764</v>
      </c>
      <c r="C283" s="18" t="s">
        <v>528</v>
      </c>
      <c r="D283" s="19">
        <v>1</v>
      </c>
      <c r="E283" s="145">
        <v>539</v>
      </c>
      <c r="F283" s="19">
        <f t="shared" si="51"/>
        <v>539</v>
      </c>
      <c r="G283" s="66">
        <f t="shared" si="52"/>
        <v>49</v>
      </c>
      <c r="I283" s="19"/>
      <c r="J283" s="18"/>
      <c r="K283" s="18"/>
      <c r="L283" s="18"/>
      <c r="M283" s="18"/>
      <c r="N283" s="433"/>
    </row>
    <row r="284" spans="2:14">
      <c r="B284" s="81">
        <v>45764</v>
      </c>
      <c r="C284" s="230" t="s">
        <v>529</v>
      </c>
      <c r="D284" s="19">
        <v>1</v>
      </c>
      <c r="E284" s="145">
        <v>539</v>
      </c>
      <c r="F284" s="19">
        <f t="shared" si="51"/>
        <v>539</v>
      </c>
      <c r="G284" s="66">
        <f t="shared" si="52"/>
        <v>49</v>
      </c>
      <c r="I284" s="19"/>
      <c r="J284" s="18"/>
      <c r="K284" s="18"/>
      <c r="L284" s="18"/>
      <c r="M284" s="18"/>
      <c r="N284" s="433"/>
    </row>
    <row r="285" spans="2:14">
      <c r="B285" s="81">
        <v>45764</v>
      </c>
      <c r="C285" s="230" t="s">
        <v>530</v>
      </c>
      <c r="D285" s="19">
        <v>1</v>
      </c>
      <c r="E285" s="145">
        <v>489</v>
      </c>
      <c r="F285" s="19">
        <f t="shared" si="51"/>
        <v>489</v>
      </c>
      <c r="G285" s="66">
        <f t="shared" si="52"/>
        <v>44.454545454545453</v>
      </c>
      <c r="I285" s="19"/>
      <c r="J285" s="18"/>
      <c r="K285" s="18"/>
      <c r="L285" s="18"/>
      <c r="M285" s="18"/>
      <c r="N285" s="433"/>
    </row>
    <row r="286" spans="2:14">
      <c r="B286" s="81">
        <v>45764</v>
      </c>
      <c r="C286" s="230" t="s">
        <v>531</v>
      </c>
      <c r="D286" s="19">
        <v>5</v>
      </c>
      <c r="E286" s="145">
        <v>539</v>
      </c>
      <c r="F286" s="19">
        <f t="shared" si="51"/>
        <v>2695</v>
      </c>
      <c r="G286" s="66">
        <f t="shared" si="52"/>
        <v>245</v>
      </c>
      <c r="I286" s="19"/>
      <c r="J286" s="18"/>
      <c r="K286" s="18"/>
      <c r="L286" s="18"/>
      <c r="M286" s="18"/>
      <c r="N286" s="433"/>
    </row>
    <row r="287" spans="2:14">
      <c r="B287" s="81">
        <v>45764</v>
      </c>
      <c r="C287" s="18" t="s">
        <v>532</v>
      </c>
      <c r="D287" s="19">
        <v>4</v>
      </c>
      <c r="E287" s="145">
        <v>539</v>
      </c>
      <c r="F287" s="19">
        <f t="shared" si="51"/>
        <v>2156</v>
      </c>
      <c r="G287" s="66">
        <f t="shared" si="52"/>
        <v>196</v>
      </c>
      <c r="I287" s="19"/>
      <c r="J287" s="18"/>
      <c r="K287" s="18"/>
      <c r="L287" s="18"/>
      <c r="M287" s="18"/>
      <c r="N287" s="433"/>
    </row>
    <row r="288" spans="2:14">
      <c r="B288" s="18"/>
      <c r="C288" s="18"/>
      <c r="D288" s="125"/>
      <c r="E288" s="18"/>
      <c r="F288" s="19">
        <f t="shared" si="51"/>
        <v>0</v>
      </c>
      <c r="G288" s="66">
        <f t="shared" si="52"/>
        <v>0</v>
      </c>
      <c r="I288" s="430"/>
      <c r="J288" s="431"/>
      <c r="K288" s="432"/>
      <c r="L288" s="432"/>
      <c r="M288" s="384"/>
      <c r="N288" s="385">
        <f>M288*13.04/100</f>
        <v>0</v>
      </c>
    </row>
    <row r="289" spans="2:14">
      <c r="B289" s="81">
        <v>45767</v>
      </c>
      <c r="C289" s="230" t="s">
        <v>541</v>
      </c>
      <c r="D289" s="19">
        <v>9</v>
      </c>
      <c r="E289" s="210">
        <v>539</v>
      </c>
      <c r="F289" s="19">
        <f t="shared" si="51"/>
        <v>4851</v>
      </c>
      <c r="G289" s="66">
        <f t="shared" si="52"/>
        <v>441</v>
      </c>
      <c r="M289" s="19">
        <f>L289*K289</f>
        <v>0</v>
      </c>
      <c r="N289" s="271">
        <f>M289*13.04/100</f>
        <v>0</v>
      </c>
    </row>
    <row r="290" spans="2:14">
      <c r="B290" s="96">
        <v>45767</v>
      </c>
      <c r="C290" s="110" t="s">
        <v>542</v>
      </c>
      <c r="D290" s="127">
        <v>5</v>
      </c>
      <c r="E290" s="184">
        <v>489</v>
      </c>
      <c r="F290" s="19">
        <f t="shared" si="51"/>
        <v>2445</v>
      </c>
      <c r="G290" s="66">
        <f t="shared" si="52"/>
        <v>222.27272727272728</v>
      </c>
    </row>
    <row r="291" spans="2:14">
      <c r="B291" s="19"/>
      <c r="C291" s="19"/>
      <c r="D291" s="19"/>
      <c r="E291" s="19"/>
      <c r="F291" s="19">
        <f t="shared" si="51"/>
        <v>0</v>
      </c>
      <c r="G291" s="66">
        <f t="shared" si="52"/>
        <v>0</v>
      </c>
    </row>
    <row r="292" spans="2:14">
      <c r="B292" s="81">
        <v>45768</v>
      </c>
      <c r="C292" s="18" t="s">
        <v>543</v>
      </c>
      <c r="D292" s="19">
        <v>1</v>
      </c>
      <c r="E292" s="18">
        <v>184</v>
      </c>
      <c r="F292" s="19">
        <f t="shared" si="51"/>
        <v>184</v>
      </c>
      <c r="G292" s="66">
        <f t="shared" si="52"/>
        <v>16.727272727272727</v>
      </c>
      <c r="N292" s="378">
        <f>SUM(N244:N291)</f>
        <v>75247.580799999996</v>
      </c>
    </row>
    <row r="293" spans="2:14">
      <c r="B293" s="81">
        <v>45768</v>
      </c>
      <c r="C293" s="18" t="s">
        <v>544</v>
      </c>
      <c r="D293" s="19">
        <v>6</v>
      </c>
      <c r="E293" s="18">
        <v>2590</v>
      </c>
      <c r="F293" s="19">
        <f t="shared" si="51"/>
        <v>15540</v>
      </c>
      <c r="G293" s="66">
        <f t="shared" si="52"/>
        <v>1412.7272727272727</v>
      </c>
    </row>
    <row r="294" spans="2:14">
      <c r="B294" s="19"/>
      <c r="C294" s="19"/>
      <c r="D294" s="19"/>
      <c r="E294" s="19"/>
      <c r="F294" s="19">
        <f t="shared" si="51"/>
        <v>0</v>
      </c>
      <c r="G294" s="66">
        <f t="shared" si="52"/>
        <v>0</v>
      </c>
    </row>
    <row r="295" spans="2:14">
      <c r="B295" s="81">
        <v>45768</v>
      </c>
      <c r="C295" s="18" t="s">
        <v>545</v>
      </c>
      <c r="D295" s="19">
        <v>5</v>
      </c>
      <c r="E295" s="18">
        <v>21</v>
      </c>
      <c r="F295" s="19">
        <f t="shared" si="51"/>
        <v>105</v>
      </c>
      <c r="G295" s="66">
        <f t="shared" si="52"/>
        <v>9.545454545454545</v>
      </c>
    </row>
    <row r="296" spans="2:14">
      <c r="B296" s="19"/>
      <c r="C296" s="19"/>
      <c r="D296" s="19"/>
      <c r="E296" s="19"/>
      <c r="F296" s="19">
        <f t="shared" si="51"/>
        <v>0</v>
      </c>
      <c r="G296" s="66">
        <f t="shared" si="52"/>
        <v>0</v>
      </c>
    </row>
    <row r="297" spans="2:14">
      <c r="B297" s="81">
        <v>45768</v>
      </c>
      <c r="C297" s="230" t="s">
        <v>546</v>
      </c>
      <c r="D297" s="19">
        <v>6</v>
      </c>
      <c r="E297" s="18">
        <v>539</v>
      </c>
      <c r="F297" s="19">
        <f t="shared" si="51"/>
        <v>3234</v>
      </c>
      <c r="G297" s="66">
        <f t="shared" si="52"/>
        <v>294</v>
      </c>
    </row>
    <row r="298" spans="2:14">
      <c r="B298" s="96">
        <v>45768</v>
      </c>
      <c r="C298" s="110" t="s">
        <v>547</v>
      </c>
      <c r="D298" s="127">
        <v>1</v>
      </c>
      <c r="E298" s="184">
        <v>489</v>
      </c>
      <c r="F298" s="19">
        <f t="shared" si="51"/>
        <v>489</v>
      </c>
      <c r="G298" s="66">
        <f t="shared" si="52"/>
        <v>44.454545454545453</v>
      </c>
    </row>
    <row r="299" spans="2:14">
      <c r="B299" s="81">
        <v>45768</v>
      </c>
      <c r="C299" s="230" t="s">
        <v>548</v>
      </c>
      <c r="D299" s="19">
        <v>4</v>
      </c>
      <c r="E299" s="18">
        <v>539</v>
      </c>
      <c r="F299" s="19">
        <f t="shared" si="51"/>
        <v>2156</v>
      </c>
      <c r="G299" s="66">
        <f t="shared" si="52"/>
        <v>196</v>
      </c>
      <c r="I299" s="544"/>
      <c r="J299" s="363"/>
      <c r="K299" s="363"/>
      <c r="L299" s="363"/>
      <c r="M299" s="363"/>
      <c r="N299" s="545"/>
    </row>
    <row r="300" spans="2:14" ht="21">
      <c r="B300" s="81">
        <v>45768</v>
      </c>
      <c r="C300" s="230" t="s">
        <v>549</v>
      </c>
      <c r="D300" s="19">
        <v>4</v>
      </c>
      <c r="E300" s="18">
        <v>539</v>
      </c>
      <c r="F300" s="19">
        <f t="shared" si="51"/>
        <v>2156</v>
      </c>
      <c r="G300" s="66">
        <f t="shared" si="52"/>
        <v>196</v>
      </c>
      <c r="I300" s="1528"/>
      <c r="J300" s="1528"/>
      <c r="K300" s="1528"/>
      <c r="L300" s="1528"/>
      <c r="M300" s="1528"/>
      <c r="N300" s="1528"/>
    </row>
    <row r="301" spans="2:14" ht="18.75">
      <c r="B301" s="19"/>
      <c r="C301" s="1"/>
      <c r="D301" s="19"/>
      <c r="E301" s="19"/>
      <c r="F301" s="19">
        <f t="shared" ref="F301:F324" si="53">E301*D301</f>
        <v>0</v>
      </c>
      <c r="G301" s="66">
        <f t="shared" ref="G301:G324" si="54">F301/11</f>
        <v>0</v>
      </c>
      <c r="I301" s="546"/>
      <c r="J301" s="546"/>
      <c r="K301" s="546"/>
      <c r="L301" s="546"/>
      <c r="M301" s="546"/>
      <c r="N301" s="547"/>
    </row>
    <row r="302" spans="2:14">
      <c r="B302" s="96">
        <v>45768</v>
      </c>
      <c r="C302" s="110" t="s">
        <v>550</v>
      </c>
      <c r="D302" s="127">
        <v>3</v>
      </c>
      <c r="E302" s="184">
        <v>2199</v>
      </c>
      <c r="F302" s="19">
        <f t="shared" si="53"/>
        <v>6597</v>
      </c>
      <c r="G302" s="66">
        <f t="shared" si="54"/>
        <v>599.72727272727275</v>
      </c>
      <c r="I302" s="548"/>
      <c r="J302" s="549"/>
      <c r="K302" s="549"/>
      <c r="L302" s="550"/>
      <c r="M302" s="551"/>
      <c r="N302" s="552"/>
    </row>
    <row r="303" spans="2:14">
      <c r="B303" s="249">
        <v>45768</v>
      </c>
      <c r="C303" s="250" t="s">
        <v>551</v>
      </c>
      <c r="D303" s="251">
        <v>6</v>
      </c>
      <c r="E303" s="252">
        <v>2199</v>
      </c>
      <c r="F303" s="19">
        <f t="shared" si="53"/>
        <v>13194</v>
      </c>
      <c r="G303" s="66">
        <f t="shared" si="54"/>
        <v>1199.4545454545455</v>
      </c>
      <c r="I303" s="548"/>
      <c r="J303" s="549"/>
      <c r="K303" s="549"/>
      <c r="L303" s="550"/>
      <c r="M303" s="551"/>
      <c r="N303" s="552"/>
    </row>
    <row r="304" spans="2:14">
      <c r="B304" s="18"/>
      <c r="C304" s="18"/>
      <c r="D304" s="125"/>
      <c r="E304" s="18"/>
      <c r="F304" s="19">
        <f t="shared" si="53"/>
        <v>0</v>
      </c>
      <c r="G304" s="66">
        <f t="shared" si="54"/>
        <v>0</v>
      </c>
      <c r="I304" s="548"/>
      <c r="J304" s="549"/>
      <c r="K304" s="549"/>
      <c r="L304" s="550"/>
      <c r="M304" s="551"/>
      <c r="N304" s="552"/>
    </row>
    <row r="305" spans="2:14">
      <c r="B305" s="18"/>
      <c r="C305" s="18"/>
      <c r="D305" s="125"/>
      <c r="E305" s="18"/>
      <c r="F305" s="19">
        <f t="shared" si="53"/>
        <v>0</v>
      </c>
      <c r="G305" s="66">
        <f t="shared" si="54"/>
        <v>0</v>
      </c>
      <c r="I305" s="548"/>
      <c r="J305" s="549"/>
      <c r="K305" s="549"/>
      <c r="L305" s="550"/>
      <c r="M305" s="551"/>
      <c r="N305" s="552"/>
    </row>
    <row r="306" spans="2:14">
      <c r="B306" s="81">
        <v>45769</v>
      </c>
      <c r="C306" s="80" t="s">
        <v>552</v>
      </c>
      <c r="D306" s="19">
        <v>2</v>
      </c>
      <c r="E306" s="19">
        <v>254.6</v>
      </c>
      <c r="F306" s="19">
        <f t="shared" si="53"/>
        <v>509.2</v>
      </c>
      <c r="G306" s="66">
        <f t="shared" si="54"/>
        <v>46.290909090909089</v>
      </c>
      <c r="I306" s="548"/>
      <c r="J306" s="549"/>
      <c r="K306" s="549"/>
      <c r="L306" s="549"/>
      <c r="M306" s="551"/>
      <c r="N306" s="552"/>
    </row>
    <row r="307" spans="2:14">
      <c r="B307" s="81">
        <v>45769</v>
      </c>
      <c r="C307" s="80" t="s">
        <v>553</v>
      </c>
      <c r="D307" s="19">
        <v>17</v>
      </c>
      <c r="E307" s="19">
        <v>98</v>
      </c>
      <c r="F307" s="19">
        <f t="shared" si="53"/>
        <v>1666</v>
      </c>
      <c r="G307" s="66">
        <f t="shared" si="54"/>
        <v>151.45454545454547</v>
      </c>
      <c r="I307" s="548"/>
      <c r="J307" s="549"/>
      <c r="K307" s="549"/>
      <c r="L307" s="549"/>
      <c r="M307" s="551"/>
      <c r="N307" s="552"/>
    </row>
    <row r="308" spans="2:14">
      <c r="B308" s="81">
        <v>45769</v>
      </c>
      <c r="C308" s="80" t="s">
        <v>554</v>
      </c>
      <c r="D308" s="19">
        <v>1</v>
      </c>
      <c r="E308" s="19">
        <v>2588</v>
      </c>
      <c r="F308" s="19">
        <f t="shared" si="53"/>
        <v>2588</v>
      </c>
      <c r="G308" s="66">
        <f t="shared" si="54"/>
        <v>235.27272727272728</v>
      </c>
      <c r="I308" s="548"/>
      <c r="J308" s="549"/>
      <c r="K308" s="549"/>
      <c r="L308" s="549"/>
      <c r="M308" s="551"/>
      <c r="N308" s="552"/>
    </row>
    <row r="309" spans="2:14">
      <c r="B309" s="81">
        <v>45769</v>
      </c>
      <c r="C309" s="80" t="s">
        <v>555</v>
      </c>
      <c r="D309" s="19">
        <v>1</v>
      </c>
      <c r="E309" s="19">
        <v>3518</v>
      </c>
      <c r="F309" s="19">
        <f t="shared" si="53"/>
        <v>3518</v>
      </c>
      <c r="G309" s="66">
        <f t="shared" si="54"/>
        <v>319.81818181818181</v>
      </c>
      <c r="I309" s="548"/>
      <c r="J309" s="549"/>
      <c r="K309" s="549"/>
      <c r="L309" s="549"/>
      <c r="M309" s="551"/>
      <c r="N309" s="552"/>
    </row>
    <row r="310" spans="2:14">
      <c r="B310" s="19"/>
      <c r="C310" s="80"/>
      <c r="D310" s="19"/>
      <c r="E310" s="19"/>
      <c r="F310" s="19">
        <f t="shared" si="53"/>
        <v>0</v>
      </c>
      <c r="G310" s="66">
        <f t="shared" si="54"/>
        <v>0</v>
      </c>
      <c r="I310" s="548"/>
      <c r="J310" s="549"/>
      <c r="K310" s="549"/>
      <c r="L310" s="549"/>
      <c r="M310" s="551"/>
      <c r="N310" s="552"/>
    </row>
    <row r="311" spans="2:14">
      <c r="B311" s="81"/>
      <c r="C311" s="80"/>
      <c r="D311" s="19"/>
      <c r="E311" s="19"/>
      <c r="F311" s="19">
        <f t="shared" si="53"/>
        <v>0</v>
      </c>
      <c r="G311" s="66">
        <f t="shared" si="54"/>
        <v>0</v>
      </c>
      <c r="I311" s="548"/>
      <c r="J311" s="549"/>
      <c r="K311" s="549"/>
      <c r="L311" s="549"/>
      <c r="M311" s="551"/>
      <c r="N311" s="552"/>
    </row>
    <row r="312" spans="2:14">
      <c r="B312" s="81">
        <v>45769</v>
      </c>
      <c r="C312" s="80"/>
      <c r="D312" s="19"/>
      <c r="E312" s="19"/>
      <c r="F312" s="19">
        <f t="shared" si="53"/>
        <v>0</v>
      </c>
      <c r="G312" s="66">
        <f t="shared" si="54"/>
        <v>0</v>
      </c>
      <c r="I312" s="548"/>
      <c r="J312" s="549"/>
      <c r="K312" s="549"/>
      <c r="L312" s="549"/>
      <c r="M312" s="551"/>
      <c r="N312" s="552"/>
    </row>
    <row r="313" spans="2:14">
      <c r="B313" s="81">
        <v>45769</v>
      </c>
      <c r="C313" s="80" t="s">
        <v>556</v>
      </c>
      <c r="D313" s="19">
        <v>1</v>
      </c>
      <c r="E313" s="19">
        <v>2549</v>
      </c>
      <c r="F313" s="19">
        <f t="shared" si="53"/>
        <v>2549</v>
      </c>
      <c r="G313" s="66">
        <f t="shared" si="54"/>
        <v>231.72727272727272</v>
      </c>
      <c r="I313" s="548"/>
      <c r="J313" s="549"/>
      <c r="K313" s="549"/>
      <c r="L313" s="549"/>
      <c r="M313" s="551"/>
      <c r="N313" s="552"/>
    </row>
    <row r="314" spans="2:14">
      <c r="B314" s="81">
        <v>45769</v>
      </c>
      <c r="C314" s="80" t="s">
        <v>557</v>
      </c>
      <c r="D314" s="19">
        <v>3</v>
      </c>
      <c r="E314" s="19">
        <v>2197</v>
      </c>
      <c r="F314" s="19">
        <f t="shared" si="53"/>
        <v>6591</v>
      </c>
      <c r="G314" s="66">
        <f t="shared" si="54"/>
        <v>599.18181818181813</v>
      </c>
      <c r="I314" s="548"/>
      <c r="J314" s="549"/>
      <c r="K314" s="549"/>
      <c r="L314" s="549"/>
      <c r="M314" s="551"/>
      <c r="N314" s="552"/>
    </row>
    <row r="315" spans="2:14">
      <c r="B315" s="19"/>
      <c r="C315" s="19"/>
      <c r="D315" s="19"/>
      <c r="E315" s="19"/>
      <c r="F315" s="19">
        <f t="shared" si="53"/>
        <v>0</v>
      </c>
      <c r="G315" s="66">
        <f t="shared" si="54"/>
        <v>0</v>
      </c>
      <c r="I315" s="548"/>
      <c r="J315" s="549"/>
      <c r="K315" s="549"/>
      <c r="L315" s="549"/>
      <c r="M315" s="551"/>
      <c r="N315" s="552"/>
    </row>
    <row r="316" spans="2:14">
      <c r="B316" s="81">
        <v>45769</v>
      </c>
      <c r="C316" s="80" t="s">
        <v>558</v>
      </c>
      <c r="D316" s="19">
        <v>3</v>
      </c>
      <c r="E316" s="19">
        <v>254.6</v>
      </c>
      <c r="F316" s="19">
        <f t="shared" si="53"/>
        <v>763.8</v>
      </c>
      <c r="G316" s="66">
        <f t="shared" si="54"/>
        <v>69.436363636363637</v>
      </c>
      <c r="I316" s="553"/>
      <c r="J316" s="549"/>
      <c r="K316" s="551"/>
      <c r="L316" s="551"/>
      <c r="M316" s="551"/>
      <c r="N316" s="552"/>
    </row>
    <row r="317" spans="2:14">
      <c r="B317" s="19"/>
      <c r="C317" s="19"/>
      <c r="D317" s="19"/>
      <c r="E317" s="19"/>
      <c r="F317" s="19">
        <f t="shared" si="53"/>
        <v>0</v>
      </c>
      <c r="G317" s="66">
        <f t="shared" si="54"/>
        <v>0</v>
      </c>
      <c r="I317" s="553"/>
      <c r="J317" s="549"/>
      <c r="K317" s="551"/>
      <c r="L317" s="551"/>
      <c r="M317" s="551"/>
      <c r="N317" s="552"/>
    </row>
    <row r="318" spans="2:14">
      <c r="B318" s="81">
        <v>45769</v>
      </c>
      <c r="C318" s="80" t="s">
        <v>559</v>
      </c>
      <c r="D318" s="19">
        <v>1</v>
      </c>
      <c r="E318" s="19">
        <v>98</v>
      </c>
      <c r="F318" s="19">
        <f t="shared" si="53"/>
        <v>98</v>
      </c>
      <c r="G318" s="66">
        <f t="shared" si="54"/>
        <v>8.9090909090909083</v>
      </c>
      <c r="I318" s="553"/>
      <c r="J318" s="549"/>
      <c r="K318" s="551"/>
      <c r="L318" s="551"/>
      <c r="M318" s="551"/>
      <c r="N318" s="552"/>
    </row>
    <row r="319" spans="2:14">
      <c r="B319" s="18"/>
      <c r="C319" s="18"/>
      <c r="D319" s="125"/>
      <c r="E319" s="18"/>
      <c r="F319" s="19">
        <f t="shared" si="53"/>
        <v>0</v>
      </c>
      <c r="G319" s="66">
        <f t="shared" si="54"/>
        <v>0</v>
      </c>
      <c r="I319" s="553"/>
      <c r="J319" s="549"/>
      <c r="K319" s="551"/>
      <c r="L319" s="551"/>
      <c r="M319" s="551"/>
      <c r="N319" s="552"/>
    </row>
    <row r="320" spans="2:14">
      <c r="B320" s="18"/>
      <c r="C320" s="18"/>
      <c r="D320" s="125"/>
      <c r="E320" s="18"/>
      <c r="F320" s="19">
        <f t="shared" si="53"/>
        <v>0</v>
      </c>
      <c r="G320" s="66">
        <f t="shared" si="54"/>
        <v>0</v>
      </c>
      <c r="I320" s="553"/>
      <c r="J320" s="549"/>
      <c r="K320" s="551"/>
      <c r="L320" s="551"/>
      <c r="M320" s="551"/>
      <c r="N320" s="552"/>
    </row>
    <row r="321" spans="2:14">
      <c r="B321" s="18"/>
      <c r="C321" s="18"/>
      <c r="D321" s="125"/>
      <c r="E321" s="18"/>
      <c r="F321" s="19">
        <f t="shared" si="53"/>
        <v>0</v>
      </c>
      <c r="G321" s="66">
        <f t="shared" si="54"/>
        <v>0</v>
      </c>
      <c r="I321" s="553"/>
      <c r="J321" s="549"/>
      <c r="K321" s="551"/>
      <c r="L321" s="551"/>
      <c r="M321" s="551"/>
      <c r="N321" s="552"/>
    </row>
    <row r="322" spans="2:14">
      <c r="B322" s="72">
        <v>45771</v>
      </c>
      <c r="C322" s="18" t="s">
        <v>563</v>
      </c>
      <c r="D322" s="19">
        <v>4</v>
      </c>
      <c r="E322" s="210">
        <v>2330</v>
      </c>
      <c r="F322" s="19">
        <f t="shared" si="53"/>
        <v>9320</v>
      </c>
      <c r="G322" s="66">
        <f t="shared" si="54"/>
        <v>847.27272727272725</v>
      </c>
      <c r="I322" s="548"/>
      <c r="J322" s="549"/>
      <c r="K322" s="551"/>
      <c r="L322" s="551"/>
      <c r="M322" s="551"/>
      <c r="N322" s="552"/>
    </row>
    <row r="323" spans="2:14">
      <c r="B323" s="72">
        <v>45771</v>
      </c>
      <c r="C323" s="18" t="s">
        <v>564</v>
      </c>
      <c r="D323" s="19">
        <v>4</v>
      </c>
      <c r="E323" s="210">
        <v>3250</v>
      </c>
      <c r="F323" s="19">
        <f t="shared" si="53"/>
        <v>13000</v>
      </c>
      <c r="G323" s="66">
        <f t="shared" si="54"/>
        <v>1181.8181818181818</v>
      </c>
      <c r="I323" s="548"/>
      <c r="J323" s="549"/>
      <c r="K323" s="551"/>
      <c r="L323" s="551"/>
      <c r="M323" s="551"/>
      <c r="N323" s="552"/>
    </row>
    <row r="324" spans="2:14">
      <c r="B324" s="72">
        <v>45771</v>
      </c>
      <c r="C324" s="18" t="s">
        <v>565</v>
      </c>
      <c r="D324" s="19">
        <v>3</v>
      </c>
      <c r="E324" s="210">
        <v>521</v>
      </c>
      <c r="F324" s="19">
        <f t="shared" si="53"/>
        <v>1563</v>
      </c>
      <c r="G324" s="66">
        <f t="shared" si="54"/>
        <v>142.09090909090909</v>
      </c>
      <c r="I324" s="554"/>
      <c r="J324" s="549"/>
      <c r="K324" s="551"/>
      <c r="L324" s="555"/>
      <c r="M324" s="551"/>
      <c r="N324" s="552"/>
    </row>
    <row r="325" spans="2:14">
      <c r="B325" s="72">
        <v>45771</v>
      </c>
      <c r="C325" s="18" t="s">
        <v>566</v>
      </c>
      <c r="D325" s="19">
        <v>12</v>
      </c>
      <c r="E325" s="210">
        <v>14.5</v>
      </c>
      <c r="F325" s="19">
        <f t="shared" ref="F325:F388" si="55">E325*D325</f>
        <v>174</v>
      </c>
      <c r="G325" s="66">
        <f t="shared" ref="G325:G388" si="56">F325/11</f>
        <v>15.818181818181818</v>
      </c>
      <c r="I325" s="554"/>
      <c r="J325" s="549"/>
      <c r="K325" s="551"/>
      <c r="L325" s="555"/>
      <c r="M325" s="551"/>
      <c r="N325" s="552"/>
    </row>
    <row r="326" spans="2:14">
      <c r="B326" s="72">
        <v>45771</v>
      </c>
      <c r="C326" s="18" t="s">
        <v>567</v>
      </c>
      <c r="D326" s="19">
        <v>15</v>
      </c>
      <c r="E326" s="210">
        <v>26.5</v>
      </c>
      <c r="F326" s="19">
        <f t="shared" si="55"/>
        <v>397.5</v>
      </c>
      <c r="G326" s="66">
        <f t="shared" si="56"/>
        <v>36.136363636363633</v>
      </c>
      <c r="I326" s="554"/>
      <c r="J326" s="549"/>
      <c r="K326" s="551"/>
      <c r="L326" s="555"/>
      <c r="M326" s="551"/>
      <c r="N326" s="552"/>
    </row>
    <row r="327" spans="2:14">
      <c r="B327" s="72">
        <v>45771</v>
      </c>
      <c r="C327" s="18" t="s">
        <v>568</v>
      </c>
      <c r="D327" s="19">
        <v>23</v>
      </c>
      <c r="E327" s="210">
        <v>12</v>
      </c>
      <c r="F327" s="19">
        <f t="shared" si="55"/>
        <v>276</v>
      </c>
      <c r="G327" s="66">
        <f t="shared" si="56"/>
        <v>25.09090909090909</v>
      </c>
      <c r="I327" s="554"/>
      <c r="J327" s="549"/>
      <c r="K327" s="551"/>
      <c r="L327" s="555"/>
      <c r="M327" s="551"/>
      <c r="N327" s="552"/>
    </row>
    <row r="328" spans="2:14">
      <c r="B328" s="72">
        <v>45771</v>
      </c>
      <c r="C328" s="18" t="s">
        <v>569</v>
      </c>
      <c r="D328" s="19">
        <v>3</v>
      </c>
      <c r="E328" s="210">
        <v>18</v>
      </c>
      <c r="F328" s="19">
        <f t="shared" si="55"/>
        <v>54</v>
      </c>
      <c r="G328" s="66">
        <f t="shared" si="56"/>
        <v>4.9090909090909092</v>
      </c>
      <c r="I328" s="554"/>
      <c r="J328" s="549"/>
      <c r="K328" s="551"/>
      <c r="L328" s="555"/>
      <c r="M328" s="551"/>
      <c r="N328" s="552"/>
    </row>
    <row r="329" spans="2:14">
      <c r="B329" s="72">
        <v>45771</v>
      </c>
      <c r="C329" s="18" t="s">
        <v>570</v>
      </c>
      <c r="D329" s="19">
        <v>3</v>
      </c>
      <c r="E329" s="210">
        <v>18</v>
      </c>
      <c r="F329" s="19">
        <f t="shared" si="55"/>
        <v>54</v>
      </c>
      <c r="G329" s="66">
        <f t="shared" si="56"/>
        <v>4.9090909090909092</v>
      </c>
      <c r="I329" s="548"/>
      <c r="J329" s="549"/>
      <c r="K329" s="551"/>
      <c r="L329" s="551"/>
      <c r="M329" s="551"/>
      <c r="N329" s="552"/>
    </row>
    <row r="330" spans="2:14">
      <c r="B330" s="72">
        <v>45771</v>
      </c>
      <c r="C330" s="18" t="s">
        <v>571</v>
      </c>
      <c r="D330" s="19">
        <v>2</v>
      </c>
      <c r="E330" s="210">
        <v>18</v>
      </c>
      <c r="F330" s="19">
        <f t="shared" si="55"/>
        <v>36</v>
      </c>
      <c r="G330" s="66">
        <f t="shared" si="56"/>
        <v>3.2727272727272729</v>
      </c>
      <c r="I330" s="548"/>
      <c r="J330" s="549"/>
      <c r="K330" s="551"/>
      <c r="L330" s="551"/>
      <c r="M330" s="551"/>
      <c r="N330" s="552"/>
    </row>
    <row r="331" spans="2:14">
      <c r="B331" s="72">
        <v>45771</v>
      </c>
      <c r="C331" s="18" t="s">
        <v>572</v>
      </c>
      <c r="D331" s="19">
        <v>2</v>
      </c>
      <c r="E331" s="210">
        <v>18</v>
      </c>
      <c r="F331" s="19">
        <f t="shared" si="55"/>
        <v>36</v>
      </c>
      <c r="G331" s="66">
        <f t="shared" si="56"/>
        <v>3.2727272727272729</v>
      </c>
      <c r="I331" s="544"/>
      <c r="J331" s="363"/>
      <c r="K331" s="363"/>
      <c r="L331" s="363"/>
      <c r="M331" s="363"/>
      <c r="N331" s="545"/>
    </row>
    <row r="332" spans="2:14">
      <c r="B332" s="72">
        <v>45771</v>
      </c>
      <c r="C332" s="18" t="s">
        <v>573</v>
      </c>
      <c r="D332" s="19">
        <v>2</v>
      </c>
      <c r="E332" s="210">
        <v>18</v>
      </c>
      <c r="F332" s="19">
        <f t="shared" si="55"/>
        <v>36</v>
      </c>
      <c r="G332" s="66">
        <f t="shared" si="56"/>
        <v>3.2727272727272729</v>
      </c>
      <c r="I332" s="544"/>
      <c r="J332" s="363"/>
      <c r="K332" s="363"/>
      <c r="L332" s="363"/>
      <c r="M332" s="363"/>
      <c r="N332" s="545"/>
    </row>
    <row r="333" spans="2:14">
      <c r="B333" s="72">
        <v>45771</v>
      </c>
      <c r="C333" s="18" t="s">
        <v>574</v>
      </c>
      <c r="D333" s="19">
        <v>1</v>
      </c>
      <c r="E333" s="210">
        <v>136</v>
      </c>
      <c r="F333" s="19">
        <f t="shared" si="55"/>
        <v>136</v>
      </c>
      <c r="G333" s="66">
        <f t="shared" si="56"/>
        <v>12.363636363636363</v>
      </c>
    </row>
    <row r="334" spans="2:14">
      <c r="B334" s="72">
        <v>45771</v>
      </c>
      <c r="C334" s="18" t="s">
        <v>575</v>
      </c>
      <c r="D334" s="19">
        <v>2</v>
      </c>
      <c r="E334" s="210">
        <v>191</v>
      </c>
      <c r="F334" s="19">
        <f t="shared" si="55"/>
        <v>382</v>
      </c>
      <c r="G334" s="66">
        <f t="shared" si="56"/>
        <v>34.727272727272727</v>
      </c>
    </row>
    <row r="335" spans="2:14">
      <c r="B335" s="72">
        <v>45771</v>
      </c>
      <c r="C335" s="18" t="s">
        <v>576</v>
      </c>
      <c r="D335" s="19">
        <v>4</v>
      </c>
      <c r="E335" s="210">
        <v>184</v>
      </c>
      <c r="F335" s="19">
        <f t="shared" si="55"/>
        <v>736</v>
      </c>
      <c r="G335" s="66">
        <f t="shared" si="56"/>
        <v>66.909090909090907</v>
      </c>
    </row>
    <row r="336" spans="2:14">
      <c r="B336" s="72">
        <v>45771</v>
      </c>
      <c r="C336" s="18" t="s">
        <v>577</v>
      </c>
      <c r="D336" s="19">
        <v>4</v>
      </c>
      <c r="E336" s="210">
        <v>238</v>
      </c>
      <c r="F336" s="19">
        <f t="shared" si="55"/>
        <v>952</v>
      </c>
      <c r="G336" s="66">
        <f t="shared" si="56"/>
        <v>86.545454545454547</v>
      </c>
    </row>
    <row r="337" spans="2:7">
      <c r="B337" s="72">
        <v>45771</v>
      </c>
      <c r="C337" s="18" t="s">
        <v>578</v>
      </c>
      <c r="D337" s="19">
        <v>3</v>
      </c>
      <c r="E337" s="210">
        <v>510</v>
      </c>
      <c r="F337" s="19">
        <f t="shared" si="55"/>
        <v>1530</v>
      </c>
      <c r="G337" s="66">
        <f t="shared" si="56"/>
        <v>139.09090909090909</v>
      </c>
    </row>
    <row r="338" spans="2:7">
      <c r="B338" s="72">
        <v>45771</v>
      </c>
      <c r="C338" s="18" t="s">
        <v>579</v>
      </c>
      <c r="D338" s="19">
        <v>2</v>
      </c>
      <c r="E338" s="210">
        <v>3300</v>
      </c>
      <c r="F338" s="19">
        <f t="shared" si="55"/>
        <v>6600</v>
      </c>
      <c r="G338" s="66">
        <f t="shared" si="56"/>
        <v>600</v>
      </c>
    </row>
    <row r="339" spans="2:7">
      <c r="B339" s="72">
        <v>45771</v>
      </c>
      <c r="C339" s="18" t="s">
        <v>580</v>
      </c>
      <c r="D339" s="19">
        <v>2</v>
      </c>
      <c r="E339" s="210">
        <v>2149</v>
      </c>
      <c r="F339" s="19">
        <f t="shared" si="55"/>
        <v>4298</v>
      </c>
      <c r="G339" s="66">
        <f t="shared" si="56"/>
        <v>390.72727272727275</v>
      </c>
    </row>
    <row r="340" spans="2:7">
      <c r="B340" s="18"/>
      <c r="C340" s="18"/>
      <c r="D340" s="125"/>
      <c r="E340" s="18"/>
      <c r="F340" s="19">
        <f t="shared" si="55"/>
        <v>0</v>
      </c>
      <c r="G340" s="66">
        <f t="shared" si="56"/>
        <v>0</v>
      </c>
    </row>
    <row r="341" spans="2:7">
      <c r="B341" s="18"/>
      <c r="C341" s="18"/>
      <c r="D341" s="125"/>
      <c r="E341" s="18"/>
      <c r="F341" s="19">
        <f t="shared" si="55"/>
        <v>0</v>
      </c>
      <c r="G341" s="66">
        <f t="shared" si="56"/>
        <v>0</v>
      </c>
    </row>
    <row r="342" spans="2:7">
      <c r="B342" s="18"/>
      <c r="C342" s="18"/>
      <c r="D342" s="125"/>
      <c r="E342" s="18"/>
      <c r="F342" s="19">
        <f t="shared" si="55"/>
        <v>0</v>
      </c>
      <c r="G342" s="66">
        <f t="shared" si="56"/>
        <v>0</v>
      </c>
    </row>
    <row r="343" spans="2:7">
      <c r="B343" s="72">
        <v>45773</v>
      </c>
      <c r="C343" s="18" t="s">
        <v>583</v>
      </c>
      <c r="D343" s="19">
        <v>3</v>
      </c>
      <c r="E343" s="210">
        <v>520</v>
      </c>
      <c r="F343" s="19">
        <f t="shared" si="55"/>
        <v>1560</v>
      </c>
      <c r="G343" s="66">
        <f t="shared" si="56"/>
        <v>141.81818181818181</v>
      </c>
    </row>
    <row r="344" spans="2:7">
      <c r="B344" s="72">
        <v>45774</v>
      </c>
      <c r="C344" s="18" t="s">
        <v>584</v>
      </c>
      <c r="D344" s="19">
        <v>2</v>
      </c>
      <c r="E344" s="210">
        <v>3220</v>
      </c>
      <c r="F344" s="19">
        <f t="shared" si="55"/>
        <v>6440</v>
      </c>
      <c r="G344" s="66">
        <f t="shared" si="56"/>
        <v>585.4545454545455</v>
      </c>
    </row>
    <row r="345" spans="2:7">
      <c r="B345" s="72">
        <v>45774</v>
      </c>
      <c r="C345" s="18" t="s">
        <v>585</v>
      </c>
      <c r="D345" s="19">
        <v>1</v>
      </c>
      <c r="E345" s="210">
        <v>2315</v>
      </c>
      <c r="F345" s="19">
        <f t="shared" si="55"/>
        <v>2315</v>
      </c>
      <c r="G345" s="66">
        <f t="shared" si="56"/>
        <v>210.45454545454547</v>
      </c>
    </row>
    <row r="346" spans="2:7">
      <c r="B346" s="72">
        <v>45774</v>
      </c>
      <c r="C346" s="18" t="s">
        <v>586</v>
      </c>
      <c r="D346" s="19">
        <v>2</v>
      </c>
      <c r="E346" s="210">
        <v>3300</v>
      </c>
      <c r="F346" s="19">
        <f t="shared" si="55"/>
        <v>6600</v>
      </c>
      <c r="G346" s="66">
        <f t="shared" si="56"/>
        <v>600</v>
      </c>
    </row>
    <row r="347" spans="2:7">
      <c r="B347" s="72">
        <v>45774</v>
      </c>
      <c r="C347" s="18" t="s">
        <v>587</v>
      </c>
      <c r="D347" s="19">
        <v>2</v>
      </c>
      <c r="E347" s="210">
        <v>2380</v>
      </c>
      <c r="F347" s="19">
        <f t="shared" si="55"/>
        <v>4760</v>
      </c>
      <c r="G347" s="66">
        <f t="shared" si="56"/>
        <v>432.72727272727275</v>
      </c>
    </row>
    <row r="348" spans="2:7">
      <c r="B348" s="72">
        <v>45774</v>
      </c>
      <c r="C348" s="18" t="s">
        <v>588</v>
      </c>
      <c r="D348" s="19">
        <v>1</v>
      </c>
      <c r="E348" s="210">
        <v>520</v>
      </c>
      <c r="F348" s="19">
        <f t="shared" si="55"/>
        <v>520</v>
      </c>
      <c r="G348" s="66">
        <f t="shared" si="56"/>
        <v>47.272727272727273</v>
      </c>
    </row>
    <row r="349" spans="2:7">
      <c r="B349" s="18"/>
      <c r="C349" s="18"/>
      <c r="D349" s="125"/>
      <c r="E349" s="18"/>
      <c r="F349" s="19">
        <f t="shared" si="55"/>
        <v>0</v>
      </c>
      <c r="G349" s="66">
        <f t="shared" si="56"/>
        <v>0</v>
      </c>
    </row>
    <row r="350" spans="2:7">
      <c r="B350" s="72">
        <v>45776</v>
      </c>
      <c r="C350" s="80" t="s">
        <v>603</v>
      </c>
      <c r="D350" s="19">
        <v>4</v>
      </c>
      <c r="E350" s="19">
        <v>2159</v>
      </c>
      <c r="F350" s="19">
        <f t="shared" si="55"/>
        <v>8636</v>
      </c>
      <c r="G350" s="66">
        <f t="shared" si="56"/>
        <v>785.09090909090912</v>
      </c>
    </row>
    <row r="351" spans="2:7">
      <c r="B351" s="19"/>
      <c r="C351" s="80" t="s">
        <v>604</v>
      </c>
      <c r="D351" s="19"/>
      <c r="E351" s="19"/>
      <c r="F351" s="19">
        <f t="shared" si="55"/>
        <v>0</v>
      </c>
      <c r="G351" s="66">
        <f t="shared" si="56"/>
        <v>0</v>
      </c>
    </row>
    <row r="352" spans="2:7">
      <c r="B352" s="19"/>
      <c r="C352" s="80" t="s">
        <v>605</v>
      </c>
      <c r="D352" s="19"/>
      <c r="E352" s="19"/>
      <c r="F352" s="19">
        <f t="shared" si="55"/>
        <v>0</v>
      </c>
      <c r="G352" s="66">
        <f t="shared" si="56"/>
        <v>0</v>
      </c>
    </row>
    <row r="353" spans="2:7">
      <c r="B353" s="18"/>
      <c r="C353" s="18"/>
      <c r="D353" s="125"/>
      <c r="E353" s="18"/>
      <c r="F353" s="19">
        <f t="shared" si="55"/>
        <v>0</v>
      </c>
      <c r="G353" s="66">
        <f t="shared" si="56"/>
        <v>0</v>
      </c>
    </row>
    <row r="354" spans="2:7">
      <c r="B354" s="72">
        <v>45775</v>
      </c>
      <c r="C354" s="19" t="s">
        <v>607</v>
      </c>
      <c r="D354" s="19">
        <v>2</v>
      </c>
      <c r="E354" s="19">
        <v>539</v>
      </c>
      <c r="F354" s="19">
        <f t="shared" si="55"/>
        <v>1078</v>
      </c>
      <c r="G354" s="66">
        <f t="shared" si="56"/>
        <v>98</v>
      </c>
    </row>
    <row r="355" spans="2:7">
      <c r="B355" s="18"/>
      <c r="C355" s="18"/>
      <c r="D355" s="125"/>
      <c r="E355" s="18"/>
      <c r="F355" s="19">
        <f t="shared" si="55"/>
        <v>0</v>
      </c>
      <c r="G355" s="66">
        <f t="shared" si="56"/>
        <v>0</v>
      </c>
    </row>
    <row r="356" spans="2:7">
      <c r="B356" s="81">
        <v>45778</v>
      </c>
      <c r="C356" s="80" t="s">
        <v>615</v>
      </c>
      <c r="D356" s="19">
        <v>2</v>
      </c>
      <c r="E356" s="19">
        <v>489</v>
      </c>
      <c r="F356" s="19">
        <f t="shared" si="55"/>
        <v>978</v>
      </c>
      <c r="G356" s="66">
        <f t="shared" si="56"/>
        <v>88.909090909090907</v>
      </c>
    </row>
    <row r="357" spans="2:7">
      <c r="B357" s="81">
        <v>45778</v>
      </c>
      <c r="C357" s="80" t="s">
        <v>616</v>
      </c>
      <c r="D357" s="19">
        <v>2</v>
      </c>
      <c r="E357" s="19">
        <v>539</v>
      </c>
      <c r="F357" s="19">
        <f t="shared" si="55"/>
        <v>1078</v>
      </c>
      <c r="G357" s="66">
        <f t="shared" si="56"/>
        <v>98</v>
      </c>
    </row>
    <row r="358" spans="2:7">
      <c r="B358" s="81">
        <v>45778</v>
      </c>
      <c r="C358" s="80" t="s">
        <v>617</v>
      </c>
      <c r="D358" s="19">
        <v>2</v>
      </c>
      <c r="E358" s="19">
        <v>489</v>
      </c>
      <c r="F358" s="19">
        <f t="shared" si="55"/>
        <v>978</v>
      </c>
      <c r="G358" s="66">
        <f t="shared" si="56"/>
        <v>88.909090909090907</v>
      </c>
    </row>
    <row r="359" spans="2:7">
      <c r="B359" s="81">
        <v>45778</v>
      </c>
      <c r="C359" s="80" t="s">
        <v>618</v>
      </c>
      <c r="D359" s="19">
        <v>3</v>
      </c>
      <c r="E359" s="19">
        <v>449</v>
      </c>
      <c r="F359" s="19">
        <f t="shared" si="55"/>
        <v>1347</v>
      </c>
      <c r="G359" s="66">
        <f t="shared" si="56"/>
        <v>122.45454545454545</v>
      </c>
    </row>
    <row r="360" spans="2:7">
      <c r="B360" s="18"/>
      <c r="C360" s="18"/>
      <c r="D360" s="125"/>
      <c r="E360" s="18"/>
      <c r="F360" s="19">
        <f t="shared" si="55"/>
        <v>0</v>
      </c>
      <c r="G360" s="66">
        <f t="shared" si="56"/>
        <v>0</v>
      </c>
    </row>
    <row r="361" spans="2:7">
      <c r="B361" s="81">
        <v>45780</v>
      </c>
      <c r="C361" s="230" t="s">
        <v>646</v>
      </c>
      <c r="D361" s="19">
        <v>3</v>
      </c>
      <c r="E361" s="145">
        <v>539</v>
      </c>
      <c r="F361" s="19">
        <f t="shared" si="55"/>
        <v>1617</v>
      </c>
      <c r="G361" s="66">
        <f t="shared" si="56"/>
        <v>147</v>
      </c>
    </row>
    <row r="362" spans="2:7">
      <c r="B362" s="81">
        <v>45780</v>
      </c>
      <c r="C362" s="230" t="s">
        <v>647</v>
      </c>
      <c r="D362" s="19">
        <v>2</v>
      </c>
      <c r="E362" s="145">
        <v>520</v>
      </c>
      <c r="F362" s="19">
        <f t="shared" si="55"/>
        <v>1040</v>
      </c>
      <c r="G362" s="66">
        <f t="shared" si="56"/>
        <v>94.545454545454547</v>
      </c>
    </row>
    <row r="363" spans="2:7">
      <c r="B363" s="19"/>
      <c r="C363" s="18"/>
      <c r="D363" s="19"/>
      <c r="E363" s="145"/>
      <c r="F363" s="19">
        <f t="shared" si="55"/>
        <v>0</v>
      </c>
      <c r="G363" s="66">
        <f t="shared" si="56"/>
        <v>0</v>
      </c>
    </row>
    <row r="364" spans="2:7">
      <c r="B364" s="81">
        <v>45785</v>
      </c>
      <c r="C364" s="18" t="s">
        <v>648</v>
      </c>
      <c r="D364" s="19">
        <v>22</v>
      </c>
      <c r="E364" s="145">
        <v>539</v>
      </c>
      <c r="F364" s="19">
        <f t="shared" si="55"/>
        <v>11858</v>
      </c>
      <c r="G364" s="66">
        <f t="shared" si="56"/>
        <v>1078</v>
      </c>
    </row>
    <row r="365" spans="2:7">
      <c r="B365" s="19"/>
      <c r="C365" s="19"/>
      <c r="D365" s="19"/>
      <c r="E365" s="19"/>
      <c r="F365" s="19">
        <f t="shared" si="55"/>
        <v>0</v>
      </c>
      <c r="G365" s="66">
        <f t="shared" si="56"/>
        <v>0</v>
      </c>
    </row>
    <row r="366" spans="2:7">
      <c r="B366" s="81">
        <v>45790</v>
      </c>
      <c r="C366" s="230" t="s">
        <v>649</v>
      </c>
      <c r="D366" s="19">
        <v>4</v>
      </c>
      <c r="E366" s="145">
        <v>539</v>
      </c>
      <c r="F366" s="19">
        <f t="shared" si="55"/>
        <v>2156</v>
      </c>
      <c r="G366" s="66">
        <f t="shared" si="56"/>
        <v>196</v>
      </c>
    </row>
    <row r="367" spans="2:7">
      <c r="B367" s="19"/>
      <c r="C367" s="19"/>
      <c r="D367" s="19"/>
      <c r="E367" s="19"/>
      <c r="F367" s="19">
        <f t="shared" si="55"/>
        <v>0</v>
      </c>
      <c r="G367" s="66">
        <f t="shared" si="56"/>
        <v>0</v>
      </c>
    </row>
    <row r="368" spans="2:7">
      <c r="B368" s="81">
        <v>45793</v>
      </c>
      <c r="C368" s="18" t="s">
        <v>650</v>
      </c>
      <c r="D368" s="19">
        <v>2</v>
      </c>
      <c r="E368" s="145">
        <v>699</v>
      </c>
      <c r="F368" s="19">
        <f t="shared" si="55"/>
        <v>1398</v>
      </c>
      <c r="G368" s="66">
        <f t="shared" si="56"/>
        <v>127.09090909090909</v>
      </c>
    </row>
    <row r="369" spans="2:7">
      <c r="B369" s="19"/>
      <c r="C369" s="19"/>
      <c r="D369" s="19"/>
      <c r="E369" s="19"/>
      <c r="F369" s="19">
        <f t="shared" si="55"/>
        <v>0</v>
      </c>
      <c r="G369" s="66">
        <f t="shared" si="56"/>
        <v>0</v>
      </c>
    </row>
    <row r="370" spans="2:7">
      <c r="B370" s="81">
        <v>45793</v>
      </c>
      <c r="C370" s="18" t="s">
        <v>651</v>
      </c>
      <c r="D370" s="19">
        <v>4</v>
      </c>
      <c r="E370" s="145">
        <v>679</v>
      </c>
      <c r="F370" s="19">
        <f t="shared" si="55"/>
        <v>2716</v>
      </c>
      <c r="G370" s="66">
        <f t="shared" si="56"/>
        <v>246.90909090909091</v>
      </c>
    </row>
    <row r="371" spans="2:7">
      <c r="B371" s="81">
        <v>45793</v>
      </c>
      <c r="C371" s="18" t="s">
        <v>652</v>
      </c>
      <c r="D371" s="19">
        <v>1</v>
      </c>
      <c r="E371" s="145">
        <v>3748</v>
      </c>
      <c r="F371" s="19">
        <f t="shared" si="55"/>
        <v>3748</v>
      </c>
      <c r="G371" s="66">
        <f t="shared" si="56"/>
        <v>340.72727272727275</v>
      </c>
    </row>
    <row r="372" spans="2:7">
      <c r="B372" s="96">
        <v>45793</v>
      </c>
      <c r="C372" s="110" t="s">
        <v>653</v>
      </c>
      <c r="D372" s="127">
        <v>12</v>
      </c>
      <c r="E372" s="146">
        <v>3478</v>
      </c>
      <c r="F372" s="19">
        <f t="shared" si="55"/>
        <v>41736</v>
      </c>
      <c r="G372" s="66">
        <f t="shared" si="56"/>
        <v>3794.181818181818</v>
      </c>
    </row>
    <row r="373" spans="2:7">
      <c r="B373" s="96">
        <v>45793</v>
      </c>
      <c r="C373" s="110" t="s">
        <v>654</v>
      </c>
      <c r="D373" s="127">
        <v>10</v>
      </c>
      <c r="E373" s="146">
        <v>2558</v>
      </c>
      <c r="F373" s="19">
        <f t="shared" si="55"/>
        <v>25580</v>
      </c>
      <c r="G373" s="66">
        <f t="shared" si="56"/>
        <v>2325.4545454545455</v>
      </c>
    </row>
    <row r="374" spans="2:7">
      <c r="B374" s="81">
        <v>45793</v>
      </c>
      <c r="C374" s="18" t="s">
        <v>655</v>
      </c>
      <c r="D374" s="19">
        <v>3</v>
      </c>
      <c r="E374" s="145">
        <v>98</v>
      </c>
      <c r="F374" s="19">
        <f t="shared" si="55"/>
        <v>294</v>
      </c>
      <c r="G374" s="66">
        <f t="shared" si="56"/>
        <v>26.727272727272727</v>
      </c>
    </row>
    <row r="375" spans="2:7">
      <c r="B375" s="19"/>
      <c r="C375" s="19"/>
      <c r="D375" s="19"/>
      <c r="E375" s="19"/>
      <c r="F375" s="19">
        <f t="shared" si="55"/>
        <v>0</v>
      </c>
      <c r="G375" s="66">
        <f t="shared" si="56"/>
        <v>0</v>
      </c>
    </row>
    <row r="376" spans="2:7">
      <c r="B376" s="81">
        <v>45794</v>
      </c>
      <c r="C376" s="18" t="s">
        <v>657</v>
      </c>
      <c r="D376" s="19">
        <v>3</v>
      </c>
      <c r="E376" s="145">
        <v>355</v>
      </c>
      <c r="F376" s="19">
        <f t="shared" si="55"/>
        <v>1065</v>
      </c>
      <c r="G376" s="66">
        <f t="shared" si="56"/>
        <v>96.818181818181813</v>
      </c>
    </row>
    <row r="377" spans="2:7">
      <c r="B377" s="81">
        <v>45794</v>
      </c>
      <c r="C377" s="18" t="s">
        <v>658</v>
      </c>
      <c r="D377" s="19">
        <v>3</v>
      </c>
      <c r="E377" s="145">
        <v>351</v>
      </c>
      <c r="F377" s="19">
        <f t="shared" si="55"/>
        <v>1053</v>
      </c>
      <c r="G377" s="66">
        <f t="shared" si="56"/>
        <v>95.727272727272734</v>
      </c>
    </row>
    <row r="378" spans="2:7">
      <c r="B378" s="81">
        <v>45794</v>
      </c>
      <c r="C378" s="18" t="s">
        <v>660</v>
      </c>
      <c r="D378" s="19">
        <v>3</v>
      </c>
      <c r="E378" s="145">
        <v>539</v>
      </c>
      <c r="F378" s="19">
        <f t="shared" si="55"/>
        <v>1617</v>
      </c>
      <c r="G378" s="66">
        <f t="shared" si="56"/>
        <v>147</v>
      </c>
    </row>
    <row r="379" spans="2:7">
      <c r="B379" s="96">
        <v>45794</v>
      </c>
      <c r="C379" s="110" t="s">
        <v>661</v>
      </c>
      <c r="D379" s="127">
        <v>2</v>
      </c>
      <c r="E379" s="146">
        <v>117</v>
      </c>
      <c r="F379" s="19">
        <f t="shared" si="55"/>
        <v>234</v>
      </c>
      <c r="G379" s="66">
        <f t="shared" si="56"/>
        <v>21.272727272727273</v>
      </c>
    </row>
    <row r="380" spans="2:7">
      <c r="B380" s="81">
        <v>45794</v>
      </c>
      <c r="C380" s="18" t="s">
        <v>659</v>
      </c>
      <c r="D380" s="19">
        <v>1</v>
      </c>
      <c r="E380" s="145">
        <v>377</v>
      </c>
      <c r="F380" s="19">
        <f t="shared" si="55"/>
        <v>377</v>
      </c>
      <c r="G380" s="66">
        <f t="shared" si="56"/>
        <v>34.272727272727273</v>
      </c>
    </row>
    <row r="381" spans="2:7">
      <c r="B381" s="19"/>
      <c r="C381" s="80"/>
      <c r="D381" s="19"/>
      <c r="E381" s="19"/>
      <c r="F381" s="19">
        <f t="shared" si="55"/>
        <v>0</v>
      </c>
      <c r="G381" s="66">
        <f t="shared" si="56"/>
        <v>0</v>
      </c>
    </row>
    <row r="382" spans="2:7">
      <c r="B382" s="96">
        <v>45794</v>
      </c>
      <c r="C382" s="138" t="s">
        <v>663</v>
      </c>
      <c r="D382" s="127">
        <v>4</v>
      </c>
      <c r="E382" s="127">
        <v>615</v>
      </c>
      <c r="F382" s="19">
        <f t="shared" si="55"/>
        <v>2460</v>
      </c>
      <c r="G382" s="66">
        <f t="shared" si="56"/>
        <v>223.63636363636363</v>
      </c>
    </row>
    <row r="383" spans="2:7">
      <c r="B383" s="81">
        <v>45794</v>
      </c>
      <c r="C383" s="80" t="s">
        <v>664</v>
      </c>
      <c r="D383" s="19">
        <v>2</v>
      </c>
      <c r="E383" s="19">
        <v>351</v>
      </c>
      <c r="F383" s="19">
        <f t="shared" si="55"/>
        <v>702</v>
      </c>
      <c r="G383" s="66">
        <f t="shared" si="56"/>
        <v>63.81818181818182</v>
      </c>
    </row>
    <row r="384" spans="2:7">
      <c r="B384" s="96">
        <v>45795</v>
      </c>
      <c r="C384" s="138" t="s">
        <v>665</v>
      </c>
      <c r="D384" s="127">
        <v>2</v>
      </c>
      <c r="E384" s="127">
        <v>351</v>
      </c>
      <c r="F384" s="19">
        <f t="shared" si="55"/>
        <v>702</v>
      </c>
      <c r="G384" s="66">
        <f t="shared" si="56"/>
        <v>63.81818181818182</v>
      </c>
    </row>
    <row r="385" spans="2:7">
      <c r="B385" s="81">
        <v>45795</v>
      </c>
      <c r="C385" s="80" t="s">
        <v>666</v>
      </c>
      <c r="D385" s="19">
        <v>50</v>
      </c>
      <c r="E385" s="19">
        <v>359</v>
      </c>
      <c r="F385" s="19">
        <f t="shared" si="55"/>
        <v>17950</v>
      </c>
      <c r="G385" s="66">
        <f t="shared" si="56"/>
        <v>1631.8181818181818</v>
      </c>
    </row>
    <row r="386" spans="2:7">
      <c r="B386" s="81">
        <v>45795</v>
      </c>
      <c r="C386" s="80" t="s">
        <v>667</v>
      </c>
      <c r="D386" s="19">
        <v>5</v>
      </c>
      <c r="E386" s="19">
        <v>1050</v>
      </c>
      <c r="F386" s="19">
        <f t="shared" si="55"/>
        <v>5250</v>
      </c>
      <c r="G386" s="66">
        <f t="shared" si="56"/>
        <v>477.27272727272725</v>
      </c>
    </row>
    <row r="387" spans="2:7">
      <c r="B387" s="81">
        <v>45795</v>
      </c>
      <c r="C387" s="80" t="s">
        <v>668</v>
      </c>
      <c r="D387" s="19">
        <v>5</v>
      </c>
      <c r="E387" s="19">
        <v>1030</v>
      </c>
      <c r="F387" s="19">
        <f t="shared" si="55"/>
        <v>5150</v>
      </c>
      <c r="G387" s="66">
        <f t="shared" si="56"/>
        <v>468.18181818181819</v>
      </c>
    </row>
    <row r="388" spans="2:7">
      <c r="B388" s="96">
        <v>45795</v>
      </c>
      <c r="C388" s="138" t="s">
        <v>669</v>
      </c>
      <c r="D388" s="127">
        <v>30</v>
      </c>
      <c r="E388" s="127">
        <v>340</v>
      </c>
      <c r="F388" s="19">
        <f t="shared" si="55"/>
        <v>10200</v>
      </c>
      <c r="G388" s="66">
        <f t="shared" si="56"/>
        <v>927.27272727272725</v>
      </c>
    </row>
    <row r="389" spans="2:7">
      <c r="B389" s="18"/>
      <c r="C389" s="18"/>
      <c r="D389" s="125"/>
      <c r="E389" s="18"/>
      <c r="F389" s="19">
        <f>E389*D389</f>
        <v>0</v>
      </c>
      <c r="G389" s="66">
        <f>F389/11</f>
        <v>0</v>
      </c>
    </row>
    <row r="390" spans="2:7">
      <c r="B390" s="81">
        <v>45810</v>
      </c>
      <c r="C390" t="s">
        <v>857</v>
      </c>
      <c r="D390" s="19"/>
      <c r="E390" s="19"/>
      <c r="F390" s="19">
        <f>E390*D390</f>
        <v>0</v>
      </c>
      <c r="G390" s="66">
        <f>F390/11</f>
        <v>0</v>
      </c>
    </row>
    <row r="391" spans="2:7">
      <c r="B391" s="18"/>
      <c r="C391" s="18"/>
      <c r="D391" s="125"/>
      <c r="E391" s="18"/>
      <c r="F391" s="19">
        <f>E391*D391</f>
        <v>0</v>
      </c>
      <c r="G391" s="66">
        <f>F391/11</f>
        <v>0</v>
      </c>
    </row>
    <row r="392" spans="2:7">
      <c r="B392" s="72">
        <v>45830</v>
      </c>
      <c r="C392" s="230" t="s">
        <v>779</v>
      </c>
      <c r="D392" s="19">
        <v>3</v>
      </c>
      <c r="E392" s="145">
        <v>1129</v>
      </c>
      <c r="F392" s="19">
        <f t="shared" ref="F392:F403" si="57">E392*D392</f>
        <v>3387</v>
      </c>
      <c r="G392" s="66">
        <f t="shared" ref="G392:G403" si="58">F392/11</f>
        <v>307.90909090909093</v>
      </c>
    </row>
    <row r="393" spans="2:7">
      <c r="B393" s="72">
        <v>45830</v>
      </c>
      <c r="C393" s="230" t="s">
        <v>779</v>
      </c>
      <c r="D393" s="19">
        <v>3</v>
      </c>
      <c r="E393" s="145">
        <v>1033</v>
      </c>
      <c r="F393" s="19">
        <f t="shared" si="57"/>
        <v>3099</v>
      </c>
      <c r="G393" s="66">
        <f t="shared" si="58"/>
        <v>281.72727272727275</v>
      </c>
    </row>
    <row r="394" spans="2:7">
      <c r="B394" s="72">
        <v>45830</v>
      </c>
      <c r="C394" s="230" t="s">
        <v>780</v>
      </c>
      <c r="D394" s="19">
        <v>3</v>
      </c>
      <c r="E394" s="145">
        <v>751</v>
      </c>
      <c r="F394" s="19">
        <f t="shared" si="57"/>
        <v>2253</v>
      </c>
      <c r="G394" s="66">
        <f t="shared" si="58"/>
        <v>204.81818181818181</v>
      </c>
    </row>
    <row r="395" spans="2:7">
      <c r="B395" s="72">
        <v>45830</v>
      </c>
      <c r="C395" s="18" t="s">
        <v>781</v>
      </c>
      <c r="D395" s="305">
        <v>5</v>
      </c>
      <c r="E395" s="145">
        <v>679</v>
      </c>
      <c r="F395" s="19">
        <f t="shared" si="57"/>
        <v>3395</v>
      </c>
      <c r="G395" s="66">
        <f t="shared" si="58"/>
        <v>308.63636363636363</v>
      </c>
    </row>
    <row r="396" spans="2:7">
      <c r="B396" s="72">
        <v>45830</v>
      </c>
      <c r="C396" s="18" t="s">
        <v>782</v>
      </c>
      <c r="D396" s="19">
        <v>3</v>
      </c>
      <c r="E396" s="145">
        <v>348</v>
      </c>
      <c r="F396" s="19">
        <f t="shared" si="57"/>
        <v>1044</v>
      </c>
      <c r="G396" s="66">
        <f t="shared" si="58"/>
        <v>94.909090909090907</v>
      </c>
    </row>
    <row r="397" spans="2:7">
      <c r="B397" s="72">
        <v>45830</v>
      </c>
      <c r="C397" s="18" t="s">
        <v>783</v>
      </c>
      <c r="D397" s="305">
        <v>3</v>
      </c>
      <c r="E397" s="145">
        <v>2834</v>
      </c>
      <c r="F397" s="19">
        <f t="shared" si="57"/>
        <v>8502</v>
      </c>
      <c r="G397" s="66">
        <f t="shared" si="58"/>
        <v>772.90909090909088</v>
      </c>
    </row>
    <row r="398" spans="2:7">
      <c r="B398" s="72">
        <v>45830</v>
      </c>
      <c r="C398" s="18" t="s">
        <v>784</v>
      </c>
      <c r="D398" s="19">
        <v>2</v>
      </c>
      <c r="E398" s="145">
        <v>3694</v>
      </c>
      <c r="F398" s="19">
        <f t="shared" si="57"/>
        <v>7388</v>
      </c>
      <c r="G398" s="66">
        <f t="shared" si="58"/>
        <v>671.63636363636363</v>
      </c>
    </row>
    <row r="399" spans="2:7">
      <c r="B399" s="72">
        <v>45830</v>
      </c>
      <c r="C399" s="18" t="s">
        <v>785</v>
      </c>
      <c r="D399" s="19">
        <v>6</v>
      </c>
      <c r="E399" s="145">
        <v>2558</v>
      </c>
      <c r="F399" s="19">
        <f t="shared" si="57"/>
        <v>15348</v>
      </c>
      <c r="G399" s="66">
        <f t="shared" si="58"/>
        <v>1395.2727272727273</v>
      </c>
    </row>
    <row r="400" spans="2:7">
      <c r="B400" s="72">
        <v>45830</v>
      </c>
      <c r="C400" s="18" t="s">
        <v>786</v>
      </c>
      <c r="D400" s="19">
        <v>6</v>
      </c>
      <c r="E400" s="145">
        <v>3478</v>
      </c>
      <c r="F400" s="19">
        <f t="shared" si="57"/>
        <v>20868</v>
      </c>
      <c r="G400" s="66">
        <f t="shared" si="58"/>
        <v>1897.090909090909</v>
      </c>
    </row>
    <row r="401" spans="2:7">
      <c r="B401" s="72">
        <v>45830</v>
      </c>
      <c r="C401" s="18" t="s">
        <v>787</v>
      </c>
      <c r="D401" s="19">
        <v>6</v>
      </c>
      <c r="E401" s="145">
        <v>3750</v>
      </c>
      <c r="F401" s="19">
        <f t="shared" si="57"/>
        <v>22500</v>
      </c>
      <c r="G401" s="66">
        <f t="shared" si="58"/>
        <v>2045.4545454545455</v>
      </c>
    </row>
    <row r="402" spans="2:7">
      <c r="B402" s="72">
        <v>45830</v>
      </c>
      <c r="C402" s="18" t="s">
        <v>788</v>
      </c>
      <c r="D402" s="19">
        <v>8</v>
      </c>
      <c r="E402" s="145">
        <v>2885</v>
      </c>
      <c r="F402" s="19">
        <f t="shared" si="57"/>
        <v>23080</v>
      </c>
      <c r="G402" s="66">
        <f t="shared" si="58"/>
        <v>2098.181818181818</v>
      </c>
    </row>
    <row r="403" spans="2:7">
      <c r="B403" s="18"/>
      <c r="C403" s="18"/>
      <c r="D403" s="125"/>
      <c r="E403" s="18"/>
      <c r="F403" s="19">
        <f t="shared" si="57"/>
        <v>0</v>
      </c>
      <c r="G403" s="66">
        <f t="shared" si="58"/>
        <v>0</v>
      </c>
    </row>
    <row r="404" spans="2:7">
      <c r="B404" s="72">
        <v>45826</v>
      </c>
      <c r="C404" s="18" t="s">
        <v>790</v>
      </c>
      <c r="D404" s="19">
        <v>32</v>
      </c>
      <c r="E404" s="145">
        <v>629</v>
      </c>
      <c r="F404" s="19">
        <f t="shared" ref="F404:F423" si="59">E404*D404</f>
        <v>20128</v>
      </c>
      <c r="G404" s="66">
        <f t="shared" ref="G404:G423" si="60">F404/11</f>
        <v>1829.8181818181818</v>
      </c>
    </row>
    <row r="405" spans="2:7">
      <c r="B405" s="72">
        <v>45826</v>
      </c>
      <c r="C405" s="18" t="s">
        <v>791</v>
      </c>
      <c r="D405" s="19">
        <v>1</v>
      </c>
      <c r="E405" s="145">
        <v>75</v>
      </c>
      <c r="F405" s="19">
        <f t="shared" si="59"/>
        <v>75</v>
      </c>
      <c r="G405" s="66">
        <f t="shared" si="60"/>
        <v>6.8181818181818183</v>
      </c>
    </row>
    <row r="406" spans="2:7">
      <c r="B406" s="209">
        <v>45826</v>
      </c>
      <c r="C406" s="110" t="s">
        <v>792</v>
      </c>
      <c r="D406" s="127">
        <v>1</v>
      </c>
      <c r="E406" s="146">
        <v>615</v>
      </c>
      <c r="F406" s="19">
        <f t="shared" si="59"/>
        <v>615</v>
      </c>
      <c r="G406" s="66">
        <f t="shared" si="60"/>
        <v>55.909090909090907</v>
      </c>
    </row>
    <row r="407" spans="2:7">
      <c r="B407" s="72">
        <v>45826</v>
      </c>
      <c r="C407" s="18" t="s">
        <v>793</v>
      </c>
      <c r="D407" s="19">
        <v>2</v>
      </c>
      <c r="E407" s="145">
        <v>629</v>
      </c>
      <c r="F407" s="19">
        <f t="shared" si="59"/>
        <v>1258</v>
      </c>
      <c r="G407" s="66">
        <f t="shared" si="60"/>
        <v>114.36363636363636</v>
      </c>
    </row>
    <row r="408" spans="2:7">
      <c r="B408" s="72">
        <v>45826</v>
      </c>
      <c r="C408" s="18" t="s">
        <v>794</v>
      </c>
      <c r="D408" s="19">
        <v>1</v>
      </c>
      <c r="E408" s="145">
        <v>615</v>
      </c>
      <c r="F408" s="19">
        <f t="shared" si="59"/>
        <v>615</v>
      </c>
      <c r="G408" s="66">
        <f t="shared" si="60"/>
        <v>55.909090909090907</v>
      </c>
    </row>
    <row r="409" spans="2:7">
      <c r="B409" s="72">
        <v>45826</v>
      </c>
      <c r="C409" s="18" t="s">
        <v>795</v>
      </c>
      <c r="D409" s="19">
        <v>4</v>
      </c>
      <c r="E409" s="145">
        <v>648</v>
      </c>
      <c r="F409" s="19">
        <f t="shared" si="59"/>
        <v>2592</v>
      </c>
      <c r="G409" s="66">
        <f t="shared" si="60"/>
        <v>235.63636363636363</v>
      </c>
    </row>
    <row r="410" spans="2:7">
      <c r="B410" s="209">
        <v>45826</v>
      </c>
      <c r="C410" s="110" t="s">
        <v>796</v>
      </c>
      <c r="D410" s="127">
        <v>1</v>
      </c>
      <c r="E410" s="146">
        <v>2799</v>
      </c>
      <c r="F410" s="19">
        <f t="shared" si="59"/>
        <v>2799</v>
      </c>
      <c r="G410" s="66">
        <f t="shared" si="60"/>
        <v>254.45454545454547</v>
      </c>
    </row>
    <row r="411" spans="2:7">
      <c r="B411" s="18"/>
      <c r="C411" s="18"/>
      <c r="D411" s="125"/>
      <c r="E411" s="18"/>
      <c r="F411" s="19">
        <f t="shared" si="59"/>
        <v>0</v>
      </c>
      <c r="G411" s="66">
        <f t="shared" si="60"/>
        <v>0</v>
      </c>
    </row>
    <row r="412" spans="2:7">
      <c r="B412" s="72">
        <v>45832</v>
      </c>
      <c r="C412" s="18" t="s">
        <v>794</v>
      </c>
      <c r="D412" s="19">
        <v>2</v>
      </c>
      <c r="E412" s="145">
        <v>615</v>
      </c>
      <c r="F412" s="19">
        <f t="shared" si="59"/>
        <v>1230</v>
      </c>
      <c r="G412" s="66">
        <f t="shared" si="60"/>
        <v>111.81818181818181</v>
      </c>
    </row>
    <row r="413" spans="2:7">
      <c r="B413" s="72">
        <v>45832</v>
      </c>
      <c r="C413" s="18" t="s">
        <v>799</v>
      </c>
      <c r="D413" s="19">
        <v>2</v>
      </c>
      <c r="E413" s="145">
        <v>615</v>
      </c>
      <c r="F413" s="19">
        <f t="shared" si="59"/>
        <v>1230</v>
      </c>
      <c r="G413" s="66">
        <f t="shared" si="60"/>
        <v>111.81818181818181</v>
      </c>
    </row>
    <row r="414" spans="2:7">
      <c r="B414" s="209">
        <v>45832</v>
      </c>
      <c r="C414" s="110" t="s">
        <v>800</v>
      </c>
      <c r="D414" s="127">
        <v>2</v>
      </c>
      <c r="E414" s="146">
        <v>629</v>
      </c>
      <c r="F414" s="19">
        <f t="shared" si="59"/>
        <v>1258</v>
      </c>
      <c r="G414" s="66">
        <f t="shared" si="60"/>
        <v>114.36363636363636</v>
      </c>
    </row>
    <row r="415" spans="2:7">
      <c r="B415" s="72"/>
      <c r="C415" s="18"/>
      <c r="D415" s="19"/>
      <c r="E415" s="145"/>
      <c r="F415" s="19">
        <f t="shared" si="59"/>
        <v>0</v>
      </c>
      <c r="G415" s="66">
        <f t="shared" si="60"/>
        <v>0</v>
      </c>
    </row>
    <row r="416" spans="2:7">
      <c r="B416" s="72">
        <v>45833</v>
      </c>
      <c r="C416" s="18" t="s">
        <v>798</v>
      </c>
      <c r="D416" s="19">
        <v>40</v>
      </c>
      <c r="E416" s="145">
        <v>340</v>
      </c>
      <c r="F416" s="19">
        <f t="shared" si="59"/>
        <v>13600</v>
      </c>
      <c r="G416" s="66">
        <f t="shared" si="60"/>
        <v>1236.3636363636363</v>
      </c>
    </row>
    <row r="417" spans="2:7">
      <c r="B417" s="18"/>
      <c r="C417" s="18"/>
      <c r="D417" s="125"/>
      <c r="E417" s="18"/>
      <c r="F417" s="19">
        <f t="shared" si="59"/>
        <v>0</v>
      </c>
      <c r="G417" s="66">
        <f t="shared" si="60"/>
        <v>0</v>
      </c>
    </row>
    <row r="418" spans="2:7">
      <c r="B418" s="72">
        <v>45837</v>
      </c>
      <c r="C418" s="18" t="s">
        <v>810</v>
      </c>
      <c r="D418" s="19">
        <v>2</v>
      </c>
      <c r="E418" s="19">
        <v>707</v>
      </c>
      <c r="F418" s="19">
        <f t="shared" si="59"/>
        <v>1414</v>
      </c>
      <c r="G418" s="66">
        <f t="shared" si="60"/>
        <v>128.54545454545453</v>
      </c>
    </row>
    <row r="419" spans="2:7">
      <c r="B419" s="18"/>
      <c r="C419" s="18"/>
      <c r="D419" s="125"/>
      <c r="E419" s="18"/>
      <c r="F419" s="19">
        <f t="shared" si="59"/>
        <v>0</v>
      </c>
      <c r="G419" s="66">
        <f t="shared" si="60"/>
        <v>0</v>
      </c>
    </row>
    <row r="420" spans="2:7">
      <c r="B420" s="81">
        <v>45832</v>
      </c>
      <c r="C420" s="80" t="s">
        <v>859</v>
      </c>
      <c r="D420" s="19">
        <v>4</v>
      </c>
      <c r="E420" s="19">
        <v>648</v>
      </c>
      <c r="F420" s="19">
        <f t="shared" si="59"/>
        <v>2592</v>
      </c>
      <c r="G420" s="66">
        <f t="shared" si="60"/>
        <v>235.63636363636363</v>
      </c>
    </row>
    <row r="421" spans="2:7">
      <c r="B421" s="19"/>
      <c r="C421" s="80"/>
      <c r="D421" s="19"/>
      <c r="E421" s="19"/>
      <c r="F421" s="19">
        <f t="shared" si="59"/>
        <v>0</v>
      </c>
      <c r="G421" s="66">
        <f t="shared" si="60"/>
        <v>0</v>
      </c>
    </row>
    <row r="422" spans="2:7">
      <c r="B422" s="72">
        <v>45860</v>
      </c>
      <c r="C422" s="80" t="s">
        <v>788</v>
      </c>
      <c r="D422" s="19">
        <v>3</v>
      </c>
      <c r="E422" s="145">
        <v>2885</v>
      </c>
      <c r="F422" s="19">
        <f t="shared" si="59"/>
        <v>8655</v>
      </c>
      <c r="G422" s="66">
        <f t="shared" si="60"/>
        <v>786.81818181818187</v>
      </c>
    </row>
    <row r="423" spans="2:7">
      <c r="B423" s="72">
        <v>45860</v>
      </c>
      <c r="C423" s="80" t="s">
        <v>866</v>
      </c>
      <c r="D423" s="19">
        <v>10</v>
      </c>
      <c r="E423" s="145">
        <v>2288</v>
      </c>
      <c r="F423" s="19">
        <f t="shared" si="59"/>
        <v>22880</v>
      </c>
      <c r="G423" s="66">
        <f t="shared" si="60"/>
        <v>2080</v>
      </c>
    </row>
    <row r="424" spans="2:7">
      <c r="B424" s="72">
        <v>45860</v>
      </c>
      <c r="C424" s="80" t="s">
        <v>867</v>
      </c>
      <c r="D424" s="19">
        <v>30</v>
      </c>
      <c r="E424" s="19">
        <v>560</v>
      </c>
      <c r="F424" s="19">
        <f t="shared" ref="F424:F435" si="61">E424*D424</f>
        <v>16800</v>
      </c>
      <c r="G424" s="66">
        <f t="shared" ref="G424:G435" si="62">F424/11</f>
        <v>1527.2727272727273</v>
      </c>
    </row>
    <row r="425" spans="2:7">
      <c r="B425" s="72">
        <v>45860</v>
      </c>
      <c r="C425" s="80" t="s">
        <v>868</v>
      </c>
      <c r="D425" s="19">
        <v>28</v>
      </c>
      <c r="E425" s="19">
        <v>1063</v>
      </c>
      <c r="F425" s="19">
        <f t="shared" si="61"/>
        <v>29764</v>
      </c>
      <c r="G425" s="66">
        <f t="shared" si="62"/>
        <v>2705.818181818182</v>
      </c>
    </row>
    <row r="426" spans="2:7">
      <c r="B426" s="72">
        <v>45860</v>
      </c>
      <c r="C426" s="80" t="s">
        <v>869</v>
      </c>
      <c r="D426" s="19">
        <v>1</v>
      </c>
      <c r="E426" s="19">
        <v>433</v>
      </c>
      <c r="F426" s="19">
        <f t="shared" si="61"/>
        <v>433</v>
      </c>
      <c r="G426" s="66">
        <f t="shared" si="62"/>
        <v>39.363636363636367</v>
      </c>
    </row>
    <row r="427" spans="2:7">
      <c r="B427" s="72">
        <v>45860</v>
      </c>
      <c r="C427" s="80" t="s">
        <v>870</v>
      </c>
      <c r="D427" s="19">
        <v>6</v>
      </c>
      <c r="E427" s="19">
        <v>655</v>
      </c>
      <c r="F427" s="19">
        <f t="shared" si="61"/>
        <v>3930</v>
      </c>
      <c r="G427" s="66">
        <f t="shared" si="62"/>
        <v>357.27272727272725</v>
      </c>
    </row>
    <row r="428" spans="2:7">
      <c r="B428" s="72">
        <v>45860</v>
      </c>
      <c r="C428" s="18" t="s">
        <v>871</v>
      </c>
      <c r="D428" s="19">
        <v>3</v>
      </c>
      <c r="E428" s="19">
        <v>679</v>
      </c>
      <c r="F428" s="19">
        <f t="shared" si="61"/>
        <v>2037</v>
      </c>
      <c r="G428" s="66">
        <f t="shared" si="62"/>
        <v>185.18181818181819</v>
      </c>
    </row>
    <row r="429" spans="2:7">
      <c r="B429" s="72">
        <v>45860</v>
      </c>
      <c r="C429" s="18" t="s">
        <v>872</v>
      </c>
      <c r="D429" s="19">
        <v>1</v>
      </c>
      <c r="E429" s="19">
        <v>1069</v>
      </c>
      <c r="F429" s="19">
        <f t="shared" si="61"/>
        <v>1069</v>
      </c>
      <c r="G429" s="66">
        <f t="shared" si="62"/>
        <v>97.181818181818187</v>
      </c>
    </row>
    <row r="430" spans="2:7">
      <c r="B430" s="18"/>
      <c r="C430" s="18"/>
      <c r="D430" s="125"/>
      <c r="E430" s="19"/>
      <c r="F430" s="19">
        <f t="shared" si="61"/>
        <v>0</v>
      </c>
      <c r="G430" s="66">
        <f t="shared" si="62"/>
        <v>0</v>
      </c>
    </row>
    <row r="431" spans="2:7">
      <c r="B431" s="72">
        <v>45862</v>
      </c>
      <c r="C431" s="18" t="s">
        <v>873</v>
      </c>
      <c r="D431" s="19">
        <v>2</v>
      </c>
      <c r="E431" s="19">
        <v>679</v>
      </c>
      <c r="F431" s="19">
        <f t="shared" si="61"/>
        <v>1358</v>
      </c>
      <c r="G431" s="66">
        <f t="shared" si="62"/>
        <v>123.45454545454545</v>
      </c>
    </row>
    <row r="432" spans="2:7">
      <c r="B432" s="72">
        <v>45862</v>
      </c>
      <c r="C432" s="18" t="s">
        <v>874</v>
      </c>
      <c r="D432" s="19">
        <v>1</v>
      </c>
      <c r="E432" s="19">
        <v>645</v>
      </c>
      <c r="F432" s="19">
        <f t="shared" si="61"/>
        <v>645</v>
      </c>
      <c r="G432" s="66">
        <f t="shared" si="62"/>
        <v>58.636363636363633</v>
      </c>
    </row>
    <row r="433" spans="2:7">
      <c r="B433" s="72">
        <v>45866</v>
      </c>
      <c r="C433" s="18" t="s">
        <v>875</v>
      </c>
      <c r="D433" s="19">
        <v>1</v>
      </c>
      <c r="E433" s="19">
        <v>549</v>
      </c>
      <c r="F433" s="19">
        <f t="shared" si="61"/>
        <v>549</v>
      </c>
      <c r="G433" s="66">
        <f t="shared" si="62"/>
        <v>49.909090909090907</v>
      </c>
    </row>
    <row r="434" spans="2:7">
      <c r="B434" s="72">
        <v>45866</v>
      </c>
      <c r="C434" s="18" t="s">
        <v>876</v>
      </c>
      <c r="D434" s="19">
        <v>1</v>
      </c>
      <c r="E434" s="19">
        <v>684</v>
      </c>
      <c r="F434" s="19">
        <f t="shared" si="61"/>
        <v>684</v>
      </c>
      <c r="G434" s="66">
        <f t="shared" si="62"/>
        <v>62.18181818181818</v>
      </c>
    </row>
    <row r="435" spans="2:7">
      <c r="B435" s="72">
        <v>45866</v>
      </c>
      <c r="C435" s="18" t="s">
        <v>877</v>
      </c>
      <c r="D435" s="19">
        <v>2</v>
      </c>
      <c r="E435" s="19">
        <v>80</v>
      </c>
      <c r="F435" s="19">
        <f t="shared" si="61"/>
        <v>160</v>
      </c>
      <c r="G435" s="66">
        <f t="shared" si="62"/>
        <v>14.545454545454545</v>
      </c>
    </row>
    <row r="436" spans="2:7">
      <c r="B436" s="72">
        <v>45866</v>
      </c>
      <c r="C436" s="18" t="s">
        <v>878</v>
      </c>
      <c r="D436" s="19">
        <v>1</v>
      </c>
      <c r="E436" s="19">
        <v>714</v>
      </c>
      <c r="F436" s="19">
        <f t="shared" ref="F436:F444" si="63">E436*D436</f>
        <v>714</v>
      </c>
      <c r="G436" s="66">
        <f t="shared" ref="G436:G444" si="64">F436/11</f>
        <v>64.909090909090907</v>
      </c>
    </row>
    <row r="437" spans="2:7">
      <c r="B437" s="72">
        <v>45866</v>
      </c>
      <c r="C437" s="18" t="s">
        <v>879</v>
      </c>
      <c r="D437" s="19">
        <v>1</v>
      </c>
      <c r="E437" s="19">
        <v>714</v>
      </c>
      <c r="F437" s="19">
        <f t="shared" si="63"/>
        <v>714</v>
      </c>
      <c r="G437" s="66">
        <f t="shared" si="64"/>
        <v>64.909090909090907</v>
      </c>
    </row>
    <row r="438" spans="2:7">
      <c r="B438" s="72">
        <v>45866</v>
      </c>
      <c r="C438" s="18" t="s">
        <v>880</v>
      </c>
      <c r="D438" s="19">
        <v>2</v>
      </c>
      <c r="E438" s="19">
        <v>574</v>
      </c>
      <c r="F438" s="19">
        <f t="shared" si="63"/>
        <v>1148</v>
      </c>
      <c r="G438" s="66">
        <f t="shared" si="64"/>
        <v>104.36363636363636</v>
      </c>
    </row>
    <row r="439" spans="2:7">
      <c r="B439" s="18"/>
      <c r="C439" s="18"/>
      <c r="D439" s="125"/>
      <c r="E439" s="19"/>
      <c r="F439" s="19">
        <f t="shared" si="63"/>
        <v>0</v>
      </c>
      <c r="G439" s="66">
        <f t="shared" si="64"/>
        <v>0</v>
      </c>
    </row>
    <row r="440" spans="2:7">
      <c r="B440" s="81">
        <v>45867</v>
      </c>
      <c r="C440" s="80" t="s">
        <v>884</v>
      </c>
      <c r="D440" s="19">
        <v>2</v>
      </c>
      <c r="E440" s="19">
        <v>574</v>
      </c>
      <c r="F440" s="19">
        <f t="shared" si="63"/>
        <v>1148</v>
      </c>
      <c r="G440" s="66">
        <f t="shared" si="64"/>
        <v>104.36363636363636</v>
      </c>
    </row>
    <row r="441" spans="2:7">
      <c r="B441" s="81">
        <v>45867</v>
      </c>
      <c r="C441" s="80" t="s">
        <v>885</v>
      </c>
      <c r="D441" s="19">
        <v>2</v>
      </c>
      <c r="E441" s="19">
        <v>549</v>
      </c>
      <c r="F441" s="19">
        <f t="shared" si="63"/>
        <v>1098</v>
      </c>
      <c r="G441" s="66">
        <f t="shared" si="64"/>
        <v>99.818181818181813</v>
      </c>
    </row>
    <row r="442" spans="2:7">
      <c r="B442" s="96">
        <v>45867</v>
      </c>
      <c r="C442" s="138" t="s">
        <v>891</v>
      </c>
      <c r="D442" s="127">
        <v>1</v>
      </c>
      <c r="E442" s="127">
        <v>549</v>
      </c>
      <c r="F442" s="19">
        <f t="shared" si="63"/>
        <v>549</v>
      </c>
      <c r="G442" s="66">
        <f t="shared" si="64"/>
        <v>49.909090909090907</v>
      </c>
    </row>
    <row r="443" spans="2:7">
      <c r="B443" s="96">
        <v>45867</v>
      </c>
      <c r="C443" s="138" t="s">
        <v>890</v>
      </c>
      <c r="D443" s="127">
        <v>1</v>
      </c>
      <c r="E443" s="127">
        <v>549</v>
      </c>
      <c r="F443" s="19">
        <f t="shared" si="63"/>
        <v>549</v>
      </c>
      <c r="G443" s="66">
        <f t="shared" si="64"/>
        <v>49.909090909090907</v>
      </c>
    </row>
    <row r="444" spans="2:7">
      <c r="B444" s="81">
        <v>45867</v>
      </c>
      <c r="C444" s="80" t="s">
        <v>886</v>
      </c>
      <c r="D444" s="19">
        <v>1</v>
      </c>
      <c r="E444" s="19">
        <v>549</v>
      </c>
      <c r="F444" s="19">
        <f t="shared" si="63"/>
        <v>549</v>
      </c>
      <c r="G444" s="66">
        <f t="shared" si="64"/>
        <v>49.909090909090907</v>
      </c>
    </row>
    <row r="445" spans="2:7">
      <c r="B445" s="81">
        <v>45867</v>
      </c>
      <c r="C445" s="80" t="s">
        <v>887</v>
      </c>
      <c r="D445" s="19">
        <v>2</v>
      </c>
      <c r="E445" s="19">
        <v>574</v>
      </c>
      <c r="F445" s="19">
        <f t="shared" ref="F445:F456" si="65">E445*D445</f>
        <v>1148</v>
      </c>
      <c r="G445" s="66">
        <f t="shared" ref="G445:G456" si="66">F445/11</f>
        <v>104.36363636363636</v>
      </c>
    </row>
    <row r="446" spans="2:7">
      <c r="B446" s="81">
        <v>45867</v>
      </c>
      <c r="C446" s="80" t="s">
        <v>888</v>
      </c>
      <c r="D446" s="19">
        <v>2</v>
      </c>
      <c r="E446" s="19">
        <v>574</v>
      </c>
      <c r="F446" s="19">
        <f t="shared" si="65"/>
        <v>1148</v>
      </c>
      <c r="G446" s="66">
        <f t="shared" si="66"/>
        <v>104.36363636363636</v>
      </c>
    </row>
    <row r="447" spans="2:7">
      <c r="B447" s="96">
        <v>45867</v>
      </c>
      <c r="C447" s="138" t="s">
        <v>892</v>
      </c>
      <c r="D447" s="127"/>
      <c r="E447" s="127"/>
      <c r="F447" s="19">
        <f t="shared" si="65"/>
        <v>0</v>
      </c>
      <c r="G447" s="66">
        <f t="shared" si="66"/>
        <v>0</v>
      </c>
    </row>
    <row r="448" spans="2:7">
      <c r="B448" s="81">
        <v>45867</v>
      </c>
      <c r="C448" s="80" t="s">
        <v>889</v>
      </c>
      <c r="D448" s="19">
        <v>2</v>
      </c>
      <c r="E448" s="19">
        <v>574</v>
      </c>
      <c r="F448" s="19">
        <f t="shared" si="65"/>
        <v>1148</v>
      </c>
      <c r="G448" s="66">
        <f t="shared" si="66"/>
        <v>104.36363636363636</v>
      </c>
    </row>
    <row r="449" spans="2:7">
      <c r="B449" s="72">
        <v>45869</v>
      </c>
      <c r="C449" s="230" t="s">
        <v>1000</v>
      </c>
      <c r="D449" s="19">
        <v>4</v>
      </c>
      <c r="E449" s="374">
        <v>574</v>
      </c>
      <c r="F449" s="19">
        <f t="shared" si="65"/>
        <v>2296</v>
      </c>
      <c r="G449" s="66">
        <f t="shared" si="66"/>
        <v>208.72727272727272</v>
      </c>
    </row>
    <row r="450" spans="2:7">
      <c r="B450" s="372">
        <v>45869</v>
      </c>
      <c r="C450" s="373" t="s">
        <v>1007</v>
      </c>
      <c r="D450" s="304">
        <v>2</v>
      </c>
      <c r="E450" s="304">
        <v>640</v>
      </c>
      <c r="F450" s="19">
        <f t="shared" si="65"/>
        <v>1280</v>
      </c>
      <c r="G450" s="66">
        <f t="shared" si="66"/>
        <v>116.36363636363636</v>
      </c>
    </row>
    <row r="451" spans="2:7">
      <c r="B451" s="72">
        <v>45869</v>
      </c>
      <c r="C451" s="230" t="s">
        <v>1001</v>
      </c>
      <c r="D451" s="19">
        <v>2</v>
      </c>
      <c r="E451" s="374">
        <v>714</v>
      </c>
      <c r="F451" s="19">
        <f t="shared" si="65"/>
        <v>1428</v>
      </c>
      <c r="G451" s="66">
        <f t="shared" si="66"/>
        <v>129.81818181818181</v>
      </c>
    </row>
    <row r="452" spans="2:7">
      <c r="B452" s="72">
        <v>45869</v>
      </c>
      <c r="C452" s="230" t="s">
        <v>1002</v>
      </c>
      <c r="D452" s="19">
        <v>2</v>
      </c>
      <c r="E452" s="374">
        <v>574</v>
      </c>
      <c r="F452" s="19">
        <f t="shared" si="65"/>
        <v>1148</v>
      </c>
      <c r="G452" s="66">
        <f t="shared" si="66"/>
        <v>104.36363636363636</v>
      </c>
    </row>
    <row r="453" spans="2:7">
      <c r="B453" s="72">
        <v>45869</v>
      </c>
      <c r="C453" s="230" t="s">
        <v>1003</v>
      </c>
      <c r="D453" s="19">
        <v>2</v>
      </c>
      <c r="E453" s="374">
        <v>549</v>
      </c>
      <c r="F453" s="19">
        <f t="shared" si="65"/>
        <v>1098</v>
      </c>
      <c r="G453" s="66">
        <f t="shared" si="66"/>
        <v>99.818181818181813</v>
      </c>
    </row>
    <row r="454" spans="2:7">
      <c r="B454" s="72">
        <v>45869</v>
      </c>
      <c r="C454" s="230" t="s">
        <v>1004</v>
      </c>
      <c r="D454" s="19">
        <v>6</v>
      </c>
      <c r="E454" s="374">
        <v>87</v>
      </c>
      <c r="F454" s="19">
        <f t="shared" si="65"/>
        <v>522</v>
      </c>
      <c r="G454" s="66">
        <f t="shared" si="66"/>
        <v>47.454545454545453</v>
      </c>
    </row>
    <row r="455" spans="2:7">
      <c r="B455" s="72">
        <v>45869</v>
      </c>
      <c r="C455" s="230" t="s">
        <v>1005</v>
      </c>
      <c r="D455" s="19">
        <v>4</v>
      </c>
      <c r="E455" s="374">
        <v>51</v>
      </c>
      <c r="F455" s="19">
        <f t="shared" si="65"/>
        <v>204</v>
      </c>
      <c r="G455" s="66">
        <f t="shared" si="66"/>
        <v>18.545454545454547</v>
      </c>
    </row>
    <row r="456" spans="2:7">
      <c r="B456" s="72">
        <v>45869</v>
      </c>
      <c r="C456" s="230" t="s">
        <v>1006</v>
      </c>
      <c r="D456" s="19">
        <v>7</v>
      </c>
      <c r="E456" s="374">
        <v>19</v>
      </c>
      <c r="F456" s="19">
        <f t="shared" si="65"/>
        <v>133</v>
      </c>
      <c r="G456" s="66">
        <f t="shared" si="66"/>
        <v>12.090909090909092</v>
      </c>
    </row>
    <row r="457" spans="2:7">
      <c r="B457" s="18"/>
      <c r="C457" s="18"/>
      <c r="D457" s="125"/>
      <c r="E457" s="18"/>
      <c r="F457" s="19">
        <f t="shared" ref="F457:F497" si="67">E457*D457</f>
        <v>0</v>
      </c>
      <c r="G457" s="66">
        <f t="shared" ref="G457:G497" si="68">F457/11</f>
        <v>0</v>
      </c>
    </row>
    <row r="458" spans="2:7">
      <c r="B458" s="72">
        <v>45873</v>
      </c>
      <c r="C458" s="18" t="s">
        <v>1015</v>
      </c>
      <c r="D458" s="19">
        <v>1</v>
      </c>
      <c r="E458" s="19">
        <v>285</v>
      </c>
      <c r="F458" s="19">
        <f t="shared" si="67"/>
        <v>285</v>
      </c>
      <c r="G458" s="66">
        <f t="shared" si="68"/>
        <v>25.90909090909091</v>
      </c>
    </row>
    <row r="459" spans="2:7">
      <c r="B459" s="72">
        <v>45873</v>
      </c>
      <c r="C459" s="18" t="s">
        <v>1015</v>
      </c>
      <c r="D459" s="19">
        <v>2</v>
      </c>
      <c r="E459" s="19">
        <v>285</v>
      </c>
      <c r="F459" s="19">
        <f t="shared" si="67"/>
        <v>570</v>
      </c>
      <c r="G459" s="66">
        <f t="shared" si="68"/>
        <v>51.81818181818182</v>
      </c>
    </row>
    <row r="460" spans="2:7">
      <c r="B460" s="72">
        <v>45875</v>
      </c>
      <c r="C460" s="18" t="s">
        <v>1016</v>
      </c>
      <c r="D460" s="19">
        <v>1</v>
      </c>
      <c r="E460" s="19">
        <v>274</v>
      </c>
      <c r="F460" s="19">
        <f t="shared" si="67"/>
        <v>274</v>
      </c>
      <c r="G460" s="66">
        <f t="shared" si="68"/>
        <v>24.90909090909091</v>
      </c>
    </row>
    <row r="461" spans="2:7">
      <c r="B461" s="209">
        <v>45876</v>
      </c>
      <c r="C461" s="110" t="s">
        <v>1020</v>
      </c>
      <c r="D461" s="127">
        <v>30</v>
      </c>
      <c r="E461" s="127">
        <v>274</v>
      </c>
      <c r="F461" s="19">
        <f t="shared" si="67"/>
        <v>8220</v>
      </c>
      <c r="G461" s="66">
        <f t="shared" si="68"/>
        <v>747.27272727272725</v>
      </c>
    </row>
    <row r="462" spans="2:7">
      <c r="B462" s="72">
        <v>45880</v>
      </c>
      <c r="C462" s="18" t="s">
        <v>1017</v>
      </c>
      <c r="D462" s="19">
        <v>4</v>
      </c>
      <c r="E462" s="19">
        <v>274</v>
      </c>
      <c r="F462" s="19">
        <f t="shared" si="67"/>
        <v>1096</v>
      </c>
      <c r="G462" s="66">
        <f t="shared" si="68"/>
        <v>99.63636363636364</v>
      </c>
    </row>
    <row r="463" spans="2:7">
      <c r="B463" s="72">
        <v>45880</v>
      </c>
      <c r="C463" s="18" t="s">
        <v>1018</v>
      </c>
      <c r="D463" s="19">
        <v>4</v>
      </c>
      <c r="E463" s="19">
        <v>274</v>
      </c>
      <c r="F463" s="19">
        <f t="shared" si="67"/>
        <v>1096</v>
      </c>
      <c r="G463" s="66">
        <f t="shared" si="68"/>
        <v>99.63636363636364</v>
      </c>
    </row>
    <row r="464" spans="2:7">
      <c r="B464" s="72">
        <v>45880</v>
      </c>
      <c r="C464" s="18" t="s">
        <v>1019</v>
      </c>
      <c r="D464" s="19">
        <v>2</v>
      </c>
      <c r="E464" s="19">
        <v>274</v>
      </c>
      <c r="F464" s="19">
        <f t="shared" si="67"/>
        <v>548</v>
      </c>
      <c r="G464" s="66">
        <f t="shared" si="68"/>
        <v>49.81818181818182</v>
      </c>
    </row>
    <row r="465" spans="2:7">
      <c r="B465" s="81">
        <v>45881</v>
      </c>
      <c r="C465" s="18" t="s">
        <v>1080</v>
      </c>
      <c r="D465" s="19">
        <v>4</v>
      </c>
      <c r="E465" s="145">
        <v>274</v>
      </c>
      <c r="F465" s="19">
        <f>E465*D465</f>
        <v>1096</v>
      </c>
      <c r="G465" s="66">
        <f t="shared" si="68"/>
        <v>99.63636363636364</v>
      </c>
    </row>
    <row r="466" spans="2:7">
      <c r="B466" s="81">
        <v>45881</v>
      </c>
      <c r="C466" s="18" t="s">
        <v>1080</v>
      </c>
      <c r="D466" s="19">
        <v>8</v>
      </c>
      <c r="E466" s="145">
        <v>274</v>
      </c>
      <c r="F466" s="19">
        <f t="shared" ref="F466:F484" si="69">E466*D466</f>
        <v>2192</v>
      </c>
      <c r="G466" s="66">
        <f t="shared" si="68"/>
        <v>199.27272727272728</v>
      </c>
    </row>
    <row r="467" spans="2:7">
      <c r="B467" s="81">
        <v>45881</v>
      </c>
      <c r="C467" s="18" t="s">
        <v>1081</v>
      </c>
      <c r="D467" s="19">
        <v>4</v>
      </c>
      <c r="E467" s="145">
        <v>274</v>
      </c>
      <c r="F467" s="19">
        <f t="shared" si="69"/>
        <v>1096</v>
      </c>
      <c r="G467" s="66">
        <f t="shared" si="68"/>
        <v>99.63636363636364</v>
      </c>
    </row>
    <row r="468" spans="2:7">
      <c r="B468" s="81">
        <v>45881</v>
      </c>
      <c r="C468" s="18" t="s">
        <v>1082</v>
      </c>
      <c r="D468" s="19">
        <v>4</v>
      </c>
      <c r="E468" s="145">
        <v>274</v>
      </c>
      <c r="F468" s="19">
        <f t="shared" si="69"/>
        <v>1096</v>
      </c>
      <c r="G468" s="66">
        <f t="shared" si="68"/>
        <v>99.63636363636364</v>
      </c>
    </row>
    <row r="469" spans="2:7">
      <c r="B469" s="81">
        <v>45881</v>
      </c>
      <c r="C469" s="18" t="s">
        <v>1082</v>
      </c>
      <c r="D469" s="19">
        <v>12</v>
      </c>
      <c r="E469" s="145">
        <v>274</v>
      </c>
      <c r="F469" s="19">
        <f t="shared" si="69"/>
        <v>3288</v>
      </c>
      <c r="G469" s="66">
        <f t="shared" si="68"/>
        <v>298.90909090909093</v>
      </c>
    </row>
    <row r="470" spans="2:7">
      <c r="B470" s="81">
        <v>45881</v>
      </c>
      <c r="C470" s="18" t="s">
        <v>1018</v>
      </c>
      <c r="D470" s="19">
        <v>4</v>
      </c>
      <c r="E470" s="145">
        <v>274</v>
      </c>
      <c r="F470" s="19">
        <f t="shared" si="69"/>
        <v>1096</v>
      </c>
      <c r="G470" s="66">
        <f t="shared" si="68"/>
        <v>99.63636363636364</v>
      </c>
    </row>
    <row r="471" spans="2:7">
      <c r="B471" s="81">
        <v>45882</v>
      </c>
      <c r="C471" s="18" t="s">
        <v>1018</v>
      </c>
      <c r="D471" s="19">
        <v>2</v>
      </c>
      <c r="E471" s="145">
        <v>274</v>
      </c>
      <c r="F471" s="19">
        <f t="shared" si="69"/>
        <v>548</v>
      </c>
      <c r="G471" s="66">
        <f t="shared" si="68"/>
        <v>49.81818181818182</v>
      </c>
    </row>
    <row r="472" spans="2:7">
      <c r="B472" s="81">
        <v>45882</v>
      </c>
      <c r="C472" s="18" t="s">
        <v>1018</v>
      </c>
      <c r="D472" s="19">
        <v>2</v>
      </c>
      <c r="E472" s="145">
        <v>274</v>
      </c>
      <c r="F472" s="19">
        <f t="shared" si="69"/>
        <v>548</v>
      </c>
      <c r="G472" s="66">
        <f t="shared" si="68"/>
        <v>49.81818181818182</v>
      </c>
    </row>
    <row r="473" spans="2:7">
      <c r="B473" s="81">
        <v>45882</v>
      </c>
      <c r="C473" s="18" t="s">
        <v>1083</v>
      </c>
      <c r="D473" s="19">
        <v>2</v>
      </c>
      <c r="E473" s="145">
        <v>274</v>
      </c>
      <c r="F473" s="19">
        <f t="shared" si="69"/>
        <v>548</v>
      </c>
      <c r="G473" s="66">
        <f t="shared" si="68"/>
        <v>49.81818181818182</v>
      </c>
    </row>
    <row r="474" spans="2:7">
      <c r="B474" s="81">
        <v>45882</v>
      </c>
      <c r="C474" s="18" t="s">
        <v>1084</v>
      </c>
      <c r="D474" s="19">
        <v>4</v>
      </c>
      <c r="E474" s="145">
        <v>274</v>
      </c>
      <c r="F474" s="19">
        <f t="shared" si="69"/>
        <v>1096</v>
      </c>
      <c r="G474" s="66">
        <f t="shared" si="68"/>
        <v>99.63636363636364</v>
      </c>
    </row>
    <row r="475" spans="2:7">
      <c r="B475" s="81">
        <v>45882</v>
      </c>
      <c r="C475" s="18" t="s">
        <v>1085</v>
      </c>
      <c r="D475" s="19">
        <v>6</v>
      </c>
      <c r="E475" s="145">
        <v>274</v>
      </c>
      <c r="F475" s="19">
        <f t="shared" si="69"/>
        <v>1644</v>
      </c>
      <c r="G475" s="66">
        <f t="shared" si="68"/>
        <v>149.45454545454547</v>
      </c>
    </row>
    <row r="476" spans="2:7">
      <c r="B476" s="81">
        <v>45882</v>
      </c>
      <c r="C476" s="18" t="s">
        <v>1086</v>
      </c>
      <c r="D476" s="19">
        <v>2</v>
      </c>
      <c r="E476" s="145">
        <v>274</v>
      </c>
      <c r="F476" s="19">
        <f t="shared" si="69"/>
        <v>548</v>
      </c>
      <c r="G476" s="66">
        <f t="shared" si="68"/>
        <v>49.81818181818182</v>
      </c>
    </row>
    <row r="477" spans="2:7">
      <c r="B477" s="81">
        <v>45882</v>
      </c>
      <c r="C477" s="18" t="s">
        <v>1087</v>
      </c>
      <c r="D477" s="19">
        <v>4</v>
      </c>
      <c r="E477" s="145">
        <v>274</v>
      </c>
      <c r="F477" s="19">
        <f t="shared" si="69"/>
        <v>1096</v>
      </c>
      <c r="G477" s="66">
        <f t="shared" si="68"/>
        <v>99.63636363636364</v>
      </c>
    </row>
    <row r="478" spans="2:7">
      <c r="B478" s="81">
        <v>45882</v>
      </c>
      <c r="C478" s="18" t="s">
        <v>1088</v>
      </c>
      <c r="D478" s="19">
        <v>6</v>
      </c>
      <c r="E478" s="145">
        <v>274</v>
      </c>
      <c r="F478" s="19">
        <f t="shared" si="69"/>
        <v>1644</v>
      </c>
      <c r="G478" s="66">
        <f t="shared" si="68"/>
        <v>149.45454545454547</v>
      </c>
    </row>
    <row r="479" spans="2:7">
      <c r="B479" s="81">
        <v>45882</v>
      </c>
      <c r="C479" s="18" t="s">
        <v>1088</v>
      </c>
      <c r="D479" s="19">
        <v>2</v>
      </c>
      <c r="E479" s="145">
        <v>274</v>
      </c>
      <c r="F479" s="19">
        <f t="shared" si="69"/>
        <v>548</v>
      </c>
      <c r="G479" s="66">
        <f t="shared" si="68"/>
        <v>49.81818181818182</v>
      </c>
    </row>
    <row r="480" spans="2:7">
      <c r="B480" s="81">
        <v>45882</v>
      </c>
      <c r="C480" s="18" t="s">
        <v>1089</v>
      </c>
      <c r="D480" s="19">
        <v>7</v>
      </c>
      <c r="E480" s="145">
        <v>274</v>
      </c>
      <c r="F480" s="19">
        <f t="shared" si="69"/>
        <v>1918</v>
      </c>
      <c r="G480" s="66">
        <f t="shared" si="68"/>
        <v>174.36363636363637</v>
      </c>
    </row>
    <row r="481" spans="2:7">
      <c r="B481" s="81">
        <v>45883</v>
      </c>
      <c r="C481" s="18" t="s">
        <v>1090</v>
      </c>
      <c r="D481" s="19">
        <v>8</v>
      </c>
      <c r="E481" s="145">
        <v>274</v>
      </c>
      <c r="F481" s="19">
        <f t="shared" si="69"/>
        <v>2192</v>
      </c>
      <c r="G481" s="66">
        <f t="shared" si="68"/>
        <v>199.27272727272728</v>
      </c>
    </row>
    <row r="482" spans="2:7">
      <c r="B482" s="96">
        <v>45883</v>
      </c>
      <c r="C482" s="110" t="s">
        <v>1091</v>
      </c>
      <c r="D482" s="127">
        <v>24</v>
      </c>
      <c r="E482" s="146">
        <v>274</v>
      </c>
      <c r="F482" s="127">
        <f t="shared" si="69"/>
        <v>6576</v>
      </c>
      <c r="G482" s="66">
        <f t="shared" si="68"/>
        <v>597.81818181818187</v>
      </c>
    </row>
    <row r="483" spans="2:7">
      <c r="B483" s="96">
        <v>45883</v>
      </c>
      <c r="C483" s="110" t="s">
        <v>1092</v>
      </c>
      <c r="D483" s="127">
        <v>20</v>
      </c>
      <c r="E483" s="146">
        <v>274</v>
      </c>
      <c r="F483" s="127">
        <f t="shared" si="69"/>
        <v>5480</v>
      </c>
      <c r="G483" s="66">
        <f t="shared" si="68"/>
        <v>498.18181818181819</v>
      </c>
    </row>
    <row r="484" spans="2:7">
      <c r="B484" s="96">
        <v>45883</v>
      </c>
      <c r="C484" s="417" t="s">
        <v>1134</v>
      </c>
      <c r="D484" s="127"/>
      <c r="E484" s="146"/>
      <c r="F484" s="127">
        <f t="shared" si="69"/>
        <v>0</v>
      </c>
      <c r="G484" s="66">
        <f t="shared" si="68"/>
        <v>0</v>
      </c>
    </row>
    <row r="485" spans="2:7">
      <c r="B485" s="102" t="s">
        <v>1135</v>
      </c>
      <c r="C485" s="103" t="s">
        <v>1141</v>
      </c>
      <c r="D485" s="102">
        <v>5</v>
      </c>
      <c r="E485" s="421">
        <v>274</v>
      </c>
      <c r="F485" s="19">
        <f t="shared" si="67"/>
        <v>1370</v>
      </c>
      <c r="G485" s="66">
        <f t="shared" si="68"/>
        <v>124.54545454545455</v>
      </c>
    </row>
    <row r="486" spans="2:7">
      <c r="B486" s="374" t="s">
        <v>1135</v>
      </c>
      <c r="C486" s="230" t="s">
        <v>1136</v>
      </c>
      <c r="D486" s="374">
        <v>8</v>
      </c>
      <c r="E486" s="422">
        <v>3750</v>
      </c>
      <c r="F486" s="19">
        <f t="shared" si="67"/>
        <v>30000</v>
      </c>
      <c r="G486" s="66">
        <f t="shared" si="68"/>
        <v>2727.2727272727275</v>
      </c>
    </row>
    <row r="487" spans="2:7">
      <c r="B487" s="19" t="s">
        <v>1135</v>
      </c>
      <c r="C487" s="18" t="s">
        <v>870</v>
      </c>
      <c r="D487" s="19">
        <v>2</v>
      </c>
      <c r="E487" s="145">
        <v>655</v>
      </c>
      <c r="F487" s="19">
        <f t="shared" si="67"/>
        <v>1310</v>
      </c>
      <c r="G487" s="66">
        <f t="shared" si="68"/>
        <v>119.09090909090909</v>
      </c>
    </row>
    <row r="488" spans="2:7">
      <c r="B488" s="19" t="s">
        <v>1135</v>
      </c>
      <c r="C488" s="18" t="s">
        <v>1137</v>
      </c>
      <c r="D488" s="19">
        <v>5</v>
      </c>
      <c r="E488" s="145">
        <v>433</v>
      </c>
      <c r="F488" s="19">
        <f t="shared" si="67"/>
        <v>2165</v>
      </c>
      <c r="G488" s="66">
        <f t="shared" si="68"/>
        <v>196.81818181818181</v>
      </c>
    </row>
    <row r="489" spans="2:7">
      <c r="B489" s="19" t="s">
        <v>1135</v>
      </c>
      <c r="C489" s="18" t="s">
        <v>1138</v>
      </c>
      <c r="D489" s="19">
        <v>2</v>
      </c>
      <c r="E489" s="145">
        <v>573</v>
      </c>
      <c r="F489" s="19">
        <f t="shared" si="67"/>
        <v>1146</v>
      </c>
      <c r="G489" s="66">
        <f t="shared" si="68"/>
        <v>104.18181818181819</v>
      </c>
    </row>
    <row r="490" spans="2:7">
      <c r="B490" s="19" t="s">
        <v>1135</v>
      </c>
      <c r="C490" s="18" t="s">
        <v>1139</v>
      </c>
      <c r="D490" s="19">
        <v>15</v>
      </c>
      <c r="E490" s="145">
        <v>560</v>
      </c>
      <c r="F490" s="19">
        <f t="shared" si="67"/>
        <v>8400</v>
      </c>
      <c r="G490" s="66">
        <f t="shared" si="68"/>
        <v>763.63636363636363</v>
      </c>
    </row>
    <row r="491" spans="2:7">
      <c r="B491" s="19" t="s">
        <v>1135</v>
      </c>
      <c r="C491" s="18" t="s">
        <v>1140</v>
      </c>
      <c r="D491" s="19">
        <v>1</v>
      </c>
      <c r="E491" s="145">
        <v>713</v>
      </c>
      <c r="F491" s="19">
        <f t="shared" si="67"/>
        <v>713</v>
      </c>
      <c r="G491" s="66">
        <f t="shared" si="68"/>
        <v>64.818181818181813</v>
      </c>
    </row>
    <row r="492" spans="2:7">
      <c r="B492" s="19"/>
      <c r="C492" s="19"/>
      <c r="D492" s="19"/>
      <c r="E492" s="19"/>
      <c r="F492" s="19">
        <f t="shared" si="67"/>
        <v>0</v>
      </c>
      <c r="G492" s="66">
        <f t="shared" si="68"/>
        <v>0</v>
      </c>
    </row>
    <row r="493" spans="2:7">
      <c r="B493" s="81">
        <v>45860</v>
      </c>
      <c r="C493" s="230" t="s">
        <v>1142</v>
      </c>
      <c r="D493" s="374">
        <v>5</v>
      </c>
      <c r="E493" s="422">
        <v>751</v>
      </c>
      <c r="F493" s="19">
        <f t="shared" si="67"/>
        <v>3755</v>
      </c>
      <c r="G493" s="66">
        <f t="shared" si="68"/>
        <v>341.36363636363637</v>
      </c>
    </row>
    <row r="494" spans="2:7">
      <c r="B494" s="81">
        <v>45860</v>
      </c>
      <c r="C494" s="230" t="s">
        <v>1143</v>
      </c>
      <c r="D494" s="374">
        <v>2</v>
      </c>
      <c r="E494" s="422">
        <v>2288</v>
      </c>
      <c r="F494" s="19">
        <f t="shared" si="67"/>
        <v>4576</v>
      </c>
      <c r="G494" s="66">
        <f t="shared" si="68"/>
        <v>416</v>
      </c>
    </row>
    <row r="495" spans="2:7">
      <c r="B495" s="81">
        <v>45860</v>
      </c>
      <c r="C495" s="230" t="s">
        <v>1144</v>
      </c>
      <c r="D495" s="374">
        <v>12</v>
      </c>
      <c r="E495" s="422">
        <v>1063</v>
      </c>
      <c r="F495" s="19">
        <f t="shared" si="67"/>
        <v>12756</v>
      </c>
      <c r="G495" s="66">
        <f t="shared" si="68"/>
        <v>1159.6363636363637</v>
      </c>
    </row>
    <row r="496" spans="2:7">
      <c r="B496" s="18"/>
      <c r="C496" s="18"/>
      <c r="D496" s="125"/>
      <c r="E496" s="18"/>
      <c r="F496" s="19">
        <f t="shared" si="67"/>
        <v>0</v>
      </c>
      <c r="G496" s="66">
        <f t="shared" si="68"/>
        <v>0</v>
      </c>
    </row>
    <row r="497" spans="2:7">
      <c r="B497" s="428">
        <v>45889</v>
      </c>
      <c r="C497" s="230" t="s">
        <v>1153</v>
      </c>
      <c r="D497" s="374">
        <v>5</v>
      </c>
      <c r="E497" s="422">
        <v>690</v>
      </c>
      <c r="F497" s="19">
        <f t="shared" si="67"/>
        <v>3450</v>
      </c>
      <c r="G497" s="66">
        <f t="shared" si="68"/>
        <v>313.63636363636363</v>
      </c>
    </row>
    <row r="498" spans="2:7">
      <c r="B498" s="428">
        <v>45891</v>
      </c>
      <c r="C498" s="230" t="s">
        <v>1154</v>
      </c>
      <c r="D498" s="374">
        <v>400</v>
      </c>
      <c r="E498" s="422">
        <v>274</v>
      </c>
      <c r="F498" s="19">
        <f>E498*D498</f>
        <v>109600</v>
      </c>
      <c r="G498" s="66">
        <f>F498/11</f>
        <v>9963.636363636364</v>
      </c>
    </row>
    <row r="499" spans="2:7">
      <c r="B499" s="96">
        <v>45895</v>
      </c>
      <c r="C499" s="110" t="s">
        <v>1156</v>
      </c>
      <c r="D499" s="127">
        <v>60</v>
      </c>
      <c r="E499" s="146">
        <v>274</v>
      </c>
      <c r="F499" s="19">
        <f>E499*D499</f>
        <v>16440</v>
      </c>
      <c r="G499" s="66">
        <f>F499/11</f>
        <v>1494.5454545454545</v>
      </c>
    </row>
    <row r="500" spans="2:7">
      <c r="B500" s="428">
        <v>45891</v>
      </c>
      <c r="C500" s="230" t="s">
        <v>1155</v>
      </c>
      <c r="D500" s="374">
        <v>57</v>
      </c>
      <c r="E500" s="422">
        <v>300</v>
      </c>
      <c r="F500" s="19">
        <f>E500*D500</f>
        <v>17100</v>
      </c>
      <c r="G500" s="66">
        <f>F500/11</f>
        <v>1554.5454545454545</v>
      </c>
    </row>
    <row r="501" spans="2:7">
      <c r="B501" s="96">
        <v>45883</v>
      </c>
      <c r="C501" s="110" t="s">
        <v>1158</v>
      </c>
      <c r="D501" s="127">
        <v>56</v>
      </c>
      <c r="E501" s="146">
        <v>274</v>
      </c>
      <c r="F501" s="19">
        <f>E501*D501</f>
        <v>15344</v>
      </c>
      <c r="G501" s="66">
        <f t="shared" ref="G501:G522" si="70">F501/11</f>
        <v>1394.909090909091</v>
      </c>
    </row>
    <row r="502" spans="2:7">
      <c r="B502" s="18"/>
      <c r="C502" s="18"/>
      <c r="D502" s="125"/>
      <c r="E502" s="18"/>
      <c r="F502" s="18"/>
      <c r="G502" s="66">
        <f t="shared" si="70"/>
        <v>0</v>
      </c>
    </row>
    <row r="503" spans="2:7">
      <c r="B503" s="428">
        <v>45883</v>
      </c>
      <c r="C503" s="80" t="s">
        <v>1080</v>
      </c>
      <c r="D503" s="19">
        <v>56</v>
      </c>
      <c r="E503" s="19">
        <v>274</v>
      </c>
      <c r="F503" s="19">
        <f>E503*D503</f>
        <v>15344</v>
      </c>
      <c r="G503" s="66">
        <f t="shared" si="70"/>
        <v>1394.909090909091</v>
      </c>
    </row>
    <row r="504" spans="2:7">
      <c r="B504" s="96">
        <v>45897</v>
      </c>
      <c r="C504" s="138" t="s">
        <v>1188</v>
      </c>
      <c r="D504" s="127">
        <v>10</v>
      </c>
      <c r="E504" s="127">
        <v>2600</v>
      </c>
      <c r="F504" s="127">
        <f>E504*D504</f>
        <v>26000</v>
      </c>
      <c r="G504" s="66">
        <f t="shared" si="70"/>
        <v>2363.6363636363635</v>
      </c>
    </row>
    <row r="505" spans="2:7">
      <c r="B505" s="428">
        <v>45898</v>
      </c>
      <c r="C505" s="80" t="s">
        <v>1187</v>
      </c>
      <c r="D505" s="19">
        <v>30</v>
      </c>
      <c r="E505" s="19">
        <v>274</v>
      </c>
      <c r="F505" s="19">
        <f>E505*D505</f>
        <v>8220</v>
      </c>
      <c r="G505" s="66">
        <f t="shared" si="70"/>
        <v>747.27272727272725</v>
      </c>
    </row>
    <row r="506" spans="2:7">
      <c r="B506" s="96">
        <v>45899</v>
      </c>
      <c r="C506" s="138" t="s">
        <v>1189</v>
      </c>
      <c r="D506" s="127">
        <v>20</v>
      </c>
      <c r="E506" s="127">
        <v>560</v>
      </c>
      <c r="F506" s="127">
        <f>E506*D506</f>
        <v>11200</v>
      </c>
      <c r="G506" s="66">
        <f t="shared" si="70"/>
        <v>1018.1818181818181</v>
      </c>
    </row>
    <row r="507" spans="2:7">
      <c r="B507" s="428">
        <v>45909</v>
      </c>
      <c r="C507" s="230" t="s">
        <v>1205</v>
      </c>
      <c r="D507" s="374">
        <v>10</v>
      </c>
      <c r="E507" s="422">
        <v>397</v>
      </c>
      <c r="F507" s="374">
        <f>E507*D507</f>
        <v>3970</v>
      </c>
      <c r="G507" s="66">
        <f t="shared" si="70"/>
        <v>360.90909090909093</v>
      </c>
    </row>
    <row r="508" spans="2:7">
      <c r="B508" s="428">
        <v>45909</v>
      </c>
      <c r="C508" s="230" t="s">
        <v>1206</v>
      </c>
      <c r="D508" s="374">
        <v>10</v>
      </c>
      <c r="E508" s="446">
        <v>353</v>
      </c>
      <c r="F508" s="374">
        <f t="shared" ref="F508:F522" si="71">E508*D508</f>
        <v>3530</v>
      </c>
      <c r="G508" s="66">
        <f t="shared" si="70"/>
        <v>320.90909090909093</v>
      </c>
    </row>
    <row r="509" spans="2:7">
      <c r="B509" s="428">
        <v>45910</v>
      </c>
      <c r="C509" s="230" t="s">
        <v>1207</v>
      </c>
      <c r="D509" s="374">
        <v>5</v>
      </c>
      <c r="E509" s="446">
        <v>999</v>
      </c>
      <c r="F509" s="374">
        <f t="shared" si="71"/>
        <v>4995</v>
      </c>
      <c r="G509" s="66">
        <f t="shared" si="70"/>
        <v>454.09090909090907</v>
      </c>
    </row>
    <row r="510" spans="2:7">
      <c r="B510" s="428">
        <v>45910</v>
      </c>
      <c r="C510" s="230" t="s">
        <v>1208</v>
      </c>
      <c r="D510" s="374">
        <v>15</v>
      </c>
      <c r="E510" s="446">
        <v>1150</v>
      </c>
      <c r="F510" s="374">
        <f t="shared" si="71"/>
        <v>17250</v>
      </c>
      <c r="G510" s="66">
        <f t="shared" si="70"/>
        <v>1568.1818181818182</v>
      </c>
    </row>
    <row r="511" spans="2:7">
      <c r="B511" s="428">
        <v>45910</v>
      </c>
      <c r="C511" s="230" t="s">
        <v>1209</v>
      </c>
      <c r="D511" s="374">
        <v>10</v>
      </c>
      <c r="E511" s="446">
        <v>1260</v>
      </c>
      <c r="F511" s="374">
        <f t="shared" si="71"/>
        <v>12600</v>
      </c>
      <c r="G511" s="66">
        <f t="shared" si="70"/>
        <v>1145.4545454545455</v>
      </c>
    </row>
    <row r="512" spans="2:7">
      <c r="B512" s="428">
        <v>45910</v>
      </c>
      <c r="C512" s="230" t="s">
        <v>1210</v>
      </c>
      <c r="D512" s="374">
        <v>5</v>
      </c>
      <c r="E512" s="446">
        <v>3300</v>
      </c>
      <c r="F512" s="374">
        <f t="shared" si="71"/>
        <v>16500</v>
      </c>
      <c r="G512" s="66">
        <f t="shared" si="70"/>
        <v>1500</v>
      </c>
    </row>
    <row r="513" spans="2:7">
      <c r="B513" s="428">
        <v>45910</v>
      </c>
      <c r="C513" s="230" t="s">
        <v>1211</v>
      </c>
      <c r="D513" s="374">
        <v>9</v>
      </c>
      <c r="E513" s="446">
        <v>1063</v>
      </c>
      <c r="F513" s="374">
        <f t="shared" si="71"/>
        <v>9567</v>
      </c>
      <c r="G513" s="66">
        <f t="shared" si="70"/>
        <v>869.72727272727275</v>
      </c>
    </row>
    <row r="514" spans="2:7">
      <c r="B514" s="428">
        <v>45910</v>
      </c>
      <c r="C514" s="230" t="s">
        <v>1212</v>
      </c>
      <c r="D514" s="374">
        <v>9</v>
      </c>
      <c r="E514" s="446">
        <v>433</v>
      </c>
      <c r="F514" s="374">
        <f t="shared" si="71"/>
        <v>3897</v>
      </c>
      <c r="G514" s="66">
        <f t="shared" si="70"/>
        <v>354.27272727272725</v>
      </c>
    </row>
    <row r="515" spans="2:7">
      <c r="B515" s="428">
        <v>45910</v>
      </c>
      <c r="C515" s="230" t="s">
        <v>781</v>
      </c>
      <c r="D515" s="374">
        <v>1</v>
      </c>
      <c r="E515" s="446">
        <v>655</v>
      </c>
      <c r="F515" s="374">
        <f t="shared" si="71"/>
        <v>655</v>
      </c>
      <c r="G515" s="66">
        <f t="shared" si="70"/>
        <v>59.545454545454547</v>
      </c>
    </row>
    <row r="516" spans="2:7">
      <c r="B516" s="81">
        <v>45910</v>
      </c>
      <c r="C516" s="18" t="s">
        <v>1213</v>
      </c>
      <c r="D516" s="19">
        <v>50</v>
      </c>
      <c r="E516" s="446">
        <v>49</v>
      </c>
      <c r="F516" s="19">
        <f t="shared" si="71"/>
        <v>2450</v>
      </c>
      <c r="G516" s="66">
        <f t="shared" si="70"/>
        <v>222.72727272727272</v>
      </c>
    </row>
    <row r="517" spans="2:7">
      <c r="B517" s="81">
        <v>45910</v>
      </c>
      <c r="C517" s="18" t="s">
        <v>1215</v>
      </c>
      <c r="D517" s="19">
        <v>5</v>
      </c>
      <c r="E517" s="449">
        <v>751</v>
      </c>
      <c r="F517" s="19">
        <f t="shared" si="71"/>
        <v>3755</v>
      </c>
      <c r="G517" s="66">
        <f t="shared" si="70"/>
        <v>341.36363636363637</v>
      </c>
    </row>
    <row r="518" spans="2:7">
      <c r="B518" s="81">
        <v>45910</v>
      </c>
      <c r="C518" s="18" t="s">
        <v>1216</v>
      </c>
      <c r="D518" s="19">
        <v>2</v>
      </c>
      <c r="E518" s="449">
        <v>2800</v>
      </c>
      <c r="F518" s="19">
        <f t="shared" si="71"/>
        <v>5600</v>
      </c>
      <c r="G518" s="66">
        <f t="shared" si="70"/>
        <v>509.09090909090907</v>
      </c>
    </row>
    <row r="519" spans="2:7">
      <c r="B519" s="81">
        <v>45910</v>
      </c>
      <c r="C519" s="230" t="s">
        <v>1217</v>
      </c>
      <c r="D519" s="19">
        <v>20</v>
      </c>
      <c r="E519" s="449">
        <v>560</v>
      </c>
      <c r="F519" s="19">
        <f t="shared" si="71"/>
        <v>11200</v>
      </c>
      <c r="G519" s="66">
        <f t="shared" si="70"/>
        <v>1018.1818181818181</v>
      </c>
    </row>
    <row r="520" spans="2:7">
      <c r="B520" s="81">
        <v>45910</v>
      </c>
      <c r="C520" s="18" t="s">
        <v>1218</v>
      </c>
      <c r="D520" s="19">
        <v>1</v>
      </c>
      <c r="E520" s="449">
        <v>3690</v>
      </c>
      <c r="F520" s="19">
        <f t="shared" si="71"/>
        <v>3690</v>
      </c>
      <c r="G520" s="66">
        <f t="shared" si="70"/>
        <v>335.45454545454544</v>
      </c>
    </row>
    <row r="521" spans="2:7">
      <c r="B521" s="447">
        <v>45910</v>
      </c>
      <c r="C521" s="313" t="s">
        <v>1214</v>
      </c>
      <c r="D521" s="374">
        <v>4</v>
      </c>
      <c r="E521" s="448">
        <v>679</v>
      </c>
      <c r="F521" s="19">
        <f>E521*D521</f>
        <v>2716</v>
      </c>
      <c r="G521" s="66">
        <f t="shared" si="70"/>
        <v>246.90909090909091</v>
      </c>
    </row>
    <row r="522" spans="2:7">
      <c r="B522" s="81">
        <v>45918</v>
      </c>
      <c r="C522" s="80" t="s">
        <v>1246</v>
      </c>
      <c r="D522" s="19">
        <v>2</v>
      </c>
      <c r="E522" s="19">
        <v>2199</v>
      </c>
      <c r="F522" s="19">
        <f t="shared" si="71"/>
        <v>4398</v>
      </c>
      <c r="G522" s="66">
        <f t="shared" si="70"/>
        <v>399.81818181818181</v>
      </c>
    </row>
    <row r="523" spans="2:7">
      <c r="B523" s="81">
        <v>45918</v>
      </c>
      <c r="C523" s="80" t="s">
        <v>1246</v>
      </c>
      <c r="D523" s="19">
        <v>4</v>
      </c>
      <c r="E523" s="19">
        <v>2199</v>
      </c>
      <c r="F523" s="19">
        <f>E523*D523</f>
        <v>8796</v>
      </c>
      <c r="G523" s="66">
        <f>F523/11</f>
        <v>799.63636363636363</v>
      </c>
    </row>
    <row r="524" spans="2:7">
      <c r="B524" s="81">
        <v>45920</v>
      </c>
      <c r="C524" s="80" t="s">
        <v>1246</v>
      </c>
      <c r="D524" s="19">
        <v>4</v>
      </c>
      <c r="E524" s="19">
        <v>2199</v>
      </c>
      <c r="F524" s="19">
        <f>E524*D524</f>
        <v>8796</v>
      </c>
      <c r="G524" s="66">
        <f>F524/11</f>
        <v>799.63636363636363</v>
      </c>
    </row>
    <row r="525" spans="2:7">
      <c r="B525" s="81">
        <v>45920</v>
      </c>
      <c r="C525" s="80" t="s">
        <v>1246</v>
      </c>
      <c r="D525" s="19">
        <v>28</v>
      </c>
      <c r="E525" s="19">
        <v>2599</v>
      </c>
      <c r="F525" s="19">
        <f>E525*D525</f>
        <v>72772</v>
      </c>
      <c r="G525" s="66">
        <f>F525/11</f>
        <v>6615.636363636364</v>
      </c>
    </row>
    <row r="526" spans="2:7">
      <c r="B526" s="81">
        <v>45920</v>
      </c>
      <c r="C526" s="80" t="s">
        <v>1249</v>
      </c>
      <c r="D526" s="19">
        <v>6</v>
      </c>
      <c r="E526" s="19">
        <v>2199</v>
      </c>
      <c r="F526" s="19">
        <f>E526*D526</f>
        <v>13194</v>
      </c>
      <c r="G526" s="66">
        <f>F526/11</f>
        <v>1199.4545454545455</v>
      </c>
    </row>
    <row r="527" spans="2:7">
      <c r="B527" s="81">
        <v>45925</v>
      </c>
      <c r="C527" s="18" t="s">
        <v>1261</v>
      </c>
      <c r="D527" s="19">
        <v>5</v>
      </c>
      <c r="E527" s="449">
        <v>1449</v>
      </c>
      <c r="F527" s="19">
        <f t="shared" ref="F527:F535" si="72">E527*D527</f>
        <v>7245</v>
      </c>
      <c r="G527" s="66">
        <f t="shared" ref="G527:G536" si="73">F527/11</f>
        <v>658.63636363636363</v>
      </c>
    </row>
    <row r="528" spans="2:7">
      <c r="B528" s="96">
        <v>45925</v>
      </c>
      <c r="C528" s="110" t="s">
        <v>1269</v>
      </c>
      <c r="D528" s="127">
        <v>5</v>
      </c>
      <c r="E528" s="496">
        <v>4400</v>
      </c>
      <c r="F528" s="19">
        <f t="shared" si="72"/>
        <v>22000</v>
      </c>
      <c r="G528" s="66">
        <f t="shared" si="73"/>
        <v>2000</v>
      </c>
    </row>
    <row r="529" spans="2:7">
      <c r="B529" s="81">
        <v>45925</v>
      </c>
      <c r="C529" s="18" t="s">
        <v>1262</v>
      </c>
      <c r="D529" s="19">
        <v>5</v>
      </c>
      <c r="E529" s="449">
        <v>645</v>
      </c>
      <c r="F529" s="19">
        <f t="shared" si="72"/>
        <v>3225</v>
      </c>
      <c r="G529" s="66">
        <f t="shared" si="73"/>
        <v>293.18181818181819</v>
      </c>
    </row>
    <row r="530" spans="2:7">
      <c r="B530" s="81">
        <v>45925</v>
      </c>
      <c r="C530" s="18" t="s">
        <v>1263</v>
      </c>
      <c r="D530" s="19">
        <v>5</v>
      </c>
      <c r="E530" s="449">
        <v>860</v>
      </c>
      <c r="F530" s="19">
        <f t="shared" si="72"/>
        <v>4300</v>
      </c>
      <c r="G530" s="66">
        <f t="shared" si="73"/>
        <v>390.90909090909093</v>
      </c>
    </row>
    <row r="531" spans="2:7">
      <c r="B531" s="81">
        <v>45925</v>
      </c>
      <c r="C531" s="18" t="s">
        <v>1264</v>
      </c>
      <c r="D531" s="19">
        <v>5</v>
      </c>
      <c r="E531" s="449">
        <v>999</v>
      </c>
      <c r="F531" s="19">
        <f t="shared" si="72"/>
        <v>4995</v>
      </c>
      <c r="G531" s="66">
        <f t="shared" si="73"/>
        <v>454.09090909090907</v>
      </c>
    </row>
    <row r="532" spans="2:7">
      <c r="B532" s="81">
        <v>45925</v>
      </c>
      <c r="C532" s="18" t="s">
        <v>1265</v>
      </c>
      <c r="D532" s="19">
        <v>5</v>
      </c>
      <c r="E532" s="449">
        <v>1150</v>
      </c>
      <c r="F532" s="19">
        <f t="shared" si="72"/>
        <v>5750</v>
      </c>
      <c r="G532" s="66">
        <f t="shared" si="73"/>
        <v>522.72727272727275</v>
      </c>
    </row>
    <row r="533" spans="2:7">
      <c r="B533" s="81">
        <v>45926</v>
      </c>
      <c r="C533" s="18" t="s">
        <v>1266</v>
      </c>
      <c r="D533" s="19">
        <v>23</v>
      </c>
      <c r="E533" s="449">
        <v>2199</v>
      </c>
      <c r="F533" s="19">
        <f t="shared" si="72"/>
        <v>50577</v>
      </c>
      <c r="G533" s="66">
        <f t="shared" si="73"/>
        <v>4597.909090909091</v>
      </c>
    </row>
    <row r="534" spans="2:7">
      <c r="B534" s="96">
        <v>45926</v>
      </c>
      <c r="C534" s="110" t="s">
        <v>1267</v>
      </c>
      <c r="D534" s="127">
        <v>2</v>
      </c>
      <c r="E534" s="496">
        <v>2199</v>
      </c>
      <c r="F534" s="19">
        <f t="shared" si="72"/>
        <v>4398</v>
      </c>
      <c r="G534" s="66">
        <f t="shared" si="73"/>
        <v>399.81818181818181</v>
      </c>
    </row>
    <row r="535" spans="2:7">
      <c r="B535" s="81">
        <v>45926</v>
      </c>
      <c r="C535" s="18" t="s">
        <v>1268</v>
      </c>
      <c r="D535" s="19">
        <v>2</v>
      </c>
      <c r="E535" s="449">
        <v>1999</v>
      </c>
      <c r="F535" s="19">
        <f t="shared" si="72"/>
        <v>3998</v>
      </c>
      <c r="G535" s="66">
        <f t="shared" si="73"/>
        <v>363.45454545454544</v>
      </c>
    </row>
    <row r="536" spans="2:7">
      <c r="B536" s="81">
        <v>45926</v>
      </c>
      <c r="C536" s="18" t="s">
        <v>1266</v>
      </c>
      <c r="D536" s="19">
        <v>2</v>
      </c>
      <c r="E536" s="449">
        <v>2199</v>
      </c>
      <c r="F536" s="19">
        <f>E536*D536</f>
        <v>4398</v>
      </c>
      <c r="G536" s="66">
        <f t="shared" si="73"/>
        <v>399.81818181818181</v>
      </c>
    </row>
    <row r="537" spans="2:7">
      <c r="B537" s="81">
        <v>45952</v>
      </c>
      <c r="C537" s="80" t="s">
        <v>1479</v>
      </c>
      <c r="D537" s="19">
        <v>6</v>
      </c>
      <c r="E537" s="19">
        <v>539</v>
      </c>
      <c r="F537" s="19">
        <f>E537*D537</f>
        <v>3234</v>
      </c>
      <c r="G537" s="66">
        <f>F537/11</f>
        <v>294</v>
      </c>
    </row>
    <row r="538" spans="2:7">
      <c r="B538" s="81">
        <v>45952</v>
      </c>
      <c r="C538" s="80" t="s">
        <v>1480</v>
      </c>
      <c r="D538" s="19">
        <v>2</v>
      </c>
      <c r="E538" s="19">
        <v>539</v>
      </c>
      <c r="F538" s="19">
        <f>E538*D538</f>
        <v>1078</v>
      </c>
      <c r="G538" s="66">
        <f>F538/11</f>
        <v>98</v>
      </c>
    </row>
    <row r="539" spans="2:7">
      <c r="B539" s="81">
        <v>45952</v>
      </c>
      <c r="C539" s="80" t="s">
        <v>1481</v>
      </c>
      <c r="D539" s="19">
        <v>1</v>
      </c>
      <c r="E539" s="19">
        <v>539</v>
      </c>
      <c r="F539" s="19">
        <f>E539*D539</f>
        <v>539</v>
      </c>
      <c r="G539" s="66">
        <f>F539/11</f>
        <v>49</v>
      </c>
    </row>
    <row r="540" spans="2:7">
      <c r="B540" s="532">
        <v>45946</v>
      </c>
      <c r="C540" s="230" t="s">
        <v>1495</v>
      </c>
      <c r="D540" s="230">
        <v>100</v>
      </c>
      <c r="E540" s="533">
        <v>274</v>
      </c>
      <c r="F540" s="19">
        <f t="shared" ref="F540:F559" si="74">E540*D540</f>
        <v>27400</v>
      </c>
      <c r="G540" s="66">
        <f t="shared" ref="G540:G559" si="75">F540/11</f>
        <v>2490.909090909091</v>
      </c>
    </row>
    <row r="541" spans="2:7">
      <c r="B541" s="532">
        <v>45946</v>
      </c>
      <c r="C541" s="230" t="s">
        <v>1507</v>
      </c>
      <c r="D541" s="230">
        <v>0</v>
      </c>
      <c r="E541" s="533">
        <v>120</v>
      </c>
      <c r="F541" s="19">
        <f t="shared" si="74"/>
        <v>0</v>
      </c>
      <c r="G541" s="66">
        <f t="shared" si="75"/>
        <v>0</v>
      </c>
    </row>
    <row r="542" spans="2:7">
      <c r="B542" s="532">
        <v>45950</v>
      </c>
      <c r="C542" s="230" t="s">
        <v>1496</v>
      </c>
      <c r="D542" s="230">
        <v>2</v>
      </c>
      <c r="E542" s="533">
        <v>699</v>
      </c>
      <c r="F542" s="19">
        <f t="shared" si="74"/>
        <v>1398</v>
      </c>
      <c r="G542" s="66">
        <f t="shared" si="75"/>
        <v>127.09090909090909</v>
      </c>
    </row>
    <row r="543" spans="2:7">
      <c r="B543" s="532">
        <v>45950</v>
      </c>
      <c r="C543" s="230" t="s">
        <v>1497</v>
      </c>
      <c r="D543" s="230">
        <v>4</v>
      </c>
      <c r="E543" s="533">
        <v>1239</v>
      </c>
      <c r="F543" s="19">
        <f t="shared" si="74"/>
        <v>4956</v>
      </c>
      <c r="G543" s="66">
        <f t="shared" si="75"/>
        <v>450.54545454545456</v>
      </c>
    </row>
    <row r="544" spans="2:7">
      <c r="B544" s="209">
        <v>45948</v>
      </c>
      <c r="C544" s="110" t="s">
        <v>1498</v>
      </c>
      <c r="D544" s="110">
        <v>2</v>
      </c>
      <c r="E544" s="184">
        <v>2999</v>
      </c>
      <c r="F544" s="19">
        <f t="shared" si="74"/>
        <v>5998</v>
      </c>
      <c r="G544" s="66">
        <f t="shared" si="75"/>
        <v>545.27272727272725</v>
      </c>
    </row>
    <row r="545" spans="2:7">
      <c r="B545" s="209">
        <v>45948</v>
      </c>
      <c r="C545" s="110" t="s">
        <v>1498</v>
      </c>
      <c r="D545" s="110">
        <v>2</v>
      </c>
      <c r="E545" s="184">
        <v>2999</v>
      </c>
      <c r="F545" s="19">
        <f t="shared" si="74"/>
        <v>5998</v>
      </c>
      <c r="G545" s="66">
        <f t="shared" si="75"/>
        <v>545.27272727272725</v>
      </c>
    </row>
    <row r="546" spans="2:7">
      <c r="B546" s="209">
        <v>45948</v>
      </c>
      <c r="C546" s="110" t="s">
        <v>1498</v>
      </c>
      <c r="D546" s="110">
        <v>1</v>
      </c>
      <c r="E546" s="184">
        <v>2999</v>
      </c>
      <c r="F546" s="19">
        <f t="shared" si="74"/>
        <v>2999</v>
      </c>
      <c r="G546" s="66">
        <f t="shared" si="75"/>
        <v>272.63636363636363</v>
      </c>
    </row>
    <row r="547" spans="2:7">
      <c r="B547" s="209">
        <v>45949</v>
      </c>
      <c r="C547" s="110" t="s">
        <v>1499</v>
      </c>
      <c r="D547" s="110">
        <v>0</v>
      </c>
      <c r="E547" s="184">
        <v>2199</v>
      </c>
      <c r="F547" s="19">
        <f t="shared" si="74"/>
        <v>0</v>
      </c>
      <c r="G547" s="66">
        <f t="shared" si="75"/>
        <v>0</v>
      </c>
    </row>
    <row r="548" spans="2:7">
      <c r="B548" s="209">
        <v>45950</v>
      </c>
      <c r="C548" s="110" t="s">
        <v>1499</v>
      </c>
      <c r="D548" s="110">
        <v>0</v>
      </c>
      <c r="E548" s="184">
        <v>2199</v>
      </c>
      <c r="F548" s="19">
        <f t="shared" si="74"/>
        <v>0</v>
      </c>
      <c r="G548" s="66">
        <f t="shared" si="75"/>
        <v>0</v>
      </c>
    </row>
    <row r="549" spans="2:7">
      <c r="B549" s="209">
        <v>45950</v>
      </c>
      <c r="C549" s="110" t="s">
        <v>1499</v>
      </c>
      <c r="D549" s="110">
        <v>0</v>
      </c>
      <c r="E549" s="184">
        <v>2199</v>
      </c>
      <c r="F549" s="19">
        <f t="shared" si="74"/>
        <v>0</v>
      </c>
      <c r="G549" s="66">
        <f t="shared" si="75"/>
        <v>0</v>
      </c>
    </row>
    <row r="550" spans="2:7">
      <c r="B550" s="532">
        <v>45950</v>
      </c>
      <c r="C550" s="230" t="s">
        <v>1501</v>
      </c>
      <c r="D550" s="230">
        <v>2</v>
      </c>
      <c r="E550" s="533">
        <v>2999</v>
      </c>
      <c r="F550" s="19">
        <f t="shared" si="74"/>
        <v>5998</v>
      </c>
      <c r="G550" s="66">
        <f t="shared" si="75"/>
        <v>545.27272727272725</v>
      </c>
    </row>
    <row r="551" spans="2:7">
      <c r="B551" s="209">
        <v>45950</v>
      </c>
      <c r="C551" s="110" t="s">
        <v>1500</v>
      </c>
      <c r="D551" s="110">
        <v>0</v>
      </c>
      <c r="E551" s="184">
        <v>2599</v>
      </c>
      <c r="F551" s="19">
        <f t="shared" si="74"/>
        <v>0</v>
      </c>
      <c r="G551" s="66">
        <f t="shared" si="75"/>
        <v>0</v>
      </c>
    </row>
    <row r="552" spans="2:7">
      <c r="B552" s="532">
        <v>45950</v>
      </c>
      <c r="C552" s="230" t="s">
        <v>1501</v>
      </c>
      <c r="D552" s="230">
        <v>2</v>
      </c>
      <c r="E552" s="533">
        <v>2999</v>
      </c>
      <c r="F552" s="19">
        <f t="shared" si="74"/>
        <v>5998</v>
      </c>
      <c r="G552" s="66">
        <f t="shared" si="75"/>
        <v>545.27272727272725</v>
      </c>
    </row>
    <row r="553" spans="2:7">
      <c r="B553" s="532">
        <v>45950</v>
      </c>
      <c r="C553" s="230" t="s">
        <v>1501</v>
      </c>
      <c r="D553" s="230">
        <v>2</v>
      </c>
      <c r="E553" s="533">
        <v>2999</v>
      </c>
      <c r="F553" s="19">
        <f t="shared" si="74"/>
        <v>5998</v>
      </c>
      <c r="G553" s="66">
        <f t="shared" si="75"/>
        <v>545.27272727272725</v>
      </c>
    </row>
    <row r="554" spans="2:7">
      <c r="B554" s="532">
        <v>45950</v>
      </c>
      <c r="C554" s="230" t="s">
        <v>1501</v>
      </c>
      <c r="D554" s="230">
        <v>2</v>
      </c>
      <c r="E554" s="533">
        <v>2999</v>
      </c>
      <c r="F554" s="19">
        <f t="shared" si="74"/>
        <v>5998</v>
      </c>
      <c r="G554" s="66">
        <f t="shared" si="75"/>
        <v>545.27272727272725</v>
      </c>
    </row>
    <row r="555" spans="2:7">
      <c r="B555" s="532">
        <v>45950</v>
      </c>
      <c r="C555" s="230" t="s">
        <v>1501</v>
      </c>
      <c r="D555" s="230">
        <v>2</v>
      </c>
      <c r="E555" s="533">
        <v>2999</v>
      </c>
      <c r="F555" s="19">
        <f t="shared" si="74"/>
        <v>5998</v>
      </c>
      <c r="G555" s="66">
        <f t="shared" si="75"/>
        <v>545.27272727272725</v>
      </c>
    </row>
    <row r="556" spans="2:7">
      <c r="B556" s="532">
        <v>45950</v>
      </c>
      <c r="C556" s="230" t="s">
        <v>1501</v>
      </c>
      <c r="D556" s="230">
        <v>2</v>
      </c>
      <c r="E556" s="533">
        <v>2999</v>
      </c>
      <c r="F556" s="19">
        <f t="shared" si="74"/>
        <v>5998</v>
      </c>
      <c r="G556" s="66">
        <f t="shared" si="75"/>
        <v>545.27272727272725</v>
      </c>
    </row>
    <row r="557" spans="2:7">
      <c r="B557" s="209">
        <v>45950</v>
      </c>
      <c r="C557" s="110" t="s">
        <v>1502</v>
      </c>
      <c r="D557" s="110">
        <v>2</v>
      </c>
      <c r="E557" s="184">
        <v>2999</v>
      </c>
      <c r="F557" s="19">
        <f t="shared" si="74"/>
        <v>5998</v>
      </c>
      <c r="G557" s="66">
        <f t="shared" si="75"/>
        <v>545.27272727272725</v>
      </c>
    </row>
    <row r="558" spans="2:7">
      <c r="B558" s="209">
        <v>45951</v>
      </c>
      <c r="C558" s="110" t="s">
        <v>1502</v>
      </c>
      <c r="D558" s="110">
        <v>2</v>
      </c>
      <c r="E558" s="184">
        <v>2999</v>
      </c>
      <c r="F558" s="19">
        <f t="shared" si="74"/>
        <v>5998</v>
      </c>
      <c r="G558" s="66">
        <f t="shared" si="75"/>
        <v>545.27272727272725</v>
      </c>
    </row>
    <row r="559" spans="2:7">
      <c r="B559" s="209">
        <v>45950</v>
      </c>
      <c r="C559" s="110" t="s">
        <v>1503</v>
      </c>
      <c r="D559" s="110">
        <v>1</v>
      </c>
      <c r="E559" s="184">
        <v>3006</v>
      </c>
      <c r="F559" s="19">
        <f t="shared" si="74"/>
        <v>3006</v>
      </c>
      <c r="G559" s="66">
        <f t="shared" si="75"/>
        <v>273.27272727272725</v>
      </c>
    </row>
    <row r="560" spans="2:7">
      <c r="B560" s="81">
        <v>45953</v>
      </c>
      <c r="C560" s="230" t="s">
        <v>1498</v>
      </c>
      <c r="D560" s="19">
        <v>8</v>
      </c>
      <c r="E560" s="19">
        <v>2199</v>
      </c>
      <c r="F560" s="19">
        <f t="shared" ref="F560:F565" si="76">E560*D560</f>
        <v>17592</v>
      </c>
      <c r="G560" s="66">
        <f t="shared" ref="G560:G565" si="77">F560/11</f>
        <v>1599.2727272727273</v>
      </c>
    </row>
    <row r="561" spans="2:7">
      <c r="B561" s="81">
        <v>45953</v>
      </c>
      <c r="C561" s="230" t="s">
        <v>1523</v>
      </c>
      <c r="D561" s="19">
        <v>4</v>
      </c>
      <c r="E561" s="19">
        <v>2199</v>
      </c>
      <c r="F561" s="19">
        <f t="shared" si="76"/>
        <v>8796</v>
      </c>
      <c r="G561" s="66">
        <f t="shared" si="77"/>
        <v>799.63636363636363</v>
      </c>
    </row>
    <row r="562" spans="2:7">
      <c r="B562" s="560">
        <v>45960</v>
      </c>
      <c r="C562" s="18" t="s">
        <v>1571</v>
      </c>
      <c r="D562" s="19">
        <v>5</v>
      </c>
      <c r="E562" s="19">
        <v>150</v>
      </c>
      <c r="F562" s="19">
        <f t="shared" si="76"/>
        <v>750</v>
      </c>
      <c r="G562" s="66">
        <f t="shared" si="77"/>
        <v>68.181818181818187</v>
      </c>
    </row>
    <row r="563" spans="2:7">
      <c r="B563" s="560">
        <v>45960</v>
      </c>
      <c r="C563" s="18" t="s">
        <v>1572</v>
      </c>
      <c r="D563" s="19">
        <v>4</v>
      </c>
      <c r="E563" s="19">
        <v>150</v>
      </c>
      <c r="F563" s="19">
        <f t="shared" si="76"/>
        <v>600</v>
      </c>
      <c r="G563" s="66">
        <f t="shared" si="77"/>
        <v>54.545454545454547</v>
      </c>
    </row>
    <row r="564" spans="2:7">
      <c r="B564" s="561">
        <v>45961</v>
      </c>
      <c r="C564" s="110" t="s">
        <v>1573</v>
      </c>
      <c r="D564" s="127">
        <v>10</v>
      </c>
      <c r="E564" s="127">
        <v>1400</v>
      </c>
      <c r="F564" s="127">
        <f t="shared" si="76"/>
        <v>14000</v>
      </c>
      <c r="G564" s="66">
        <f t="shared" si="77"/>
        <v>1272.7272727272727</v>
      </c>
    </row>
    <row r="565" spans="2:7">
      <c r="B565" s="561">
        <v>45961</v>
      </c>
      <c r="C565" s="110" t="s">
        <v>1574</v>
      </c>
      <c r="D565" s="127">
        <v>5</v>
      </c>
      <c r="E565" s="127">
        <v>840</v>
      </c>
      <c r="F565" s="127">
        <f t="shared" si="76"/>
        <v>4200</v>
      </c>
      <c r="G565" s="66">
        <f t="shared" si="77"/>
        <v>381.81818181818181</v>
      </c>
    </row>
    <row r="566" spans="2:7">
      <c r="B566" s="563">
        <v>45964</v>
      </c>
      <c r="C566" s="444" t="s">
        <v>1643</v>
      </c>
      <c r="D566" s="19">
        <v>10</v>
      </c>
      <c r="E566" s="577">
        <v>410</v>
      </c>
      <c r="F566" s="570">
        <f t="shared" ref="F566:F577" si="78">E566*D566</f>
        <v>4100</v>
      </c>
      <c r="G566" s="66">
        <f t="shared" ref="G566:G577" si="79">F566/11</f>
        <v>372.72727272727275</v>
      </c>
    </row>
    <row r="567" spans="2:7">
      <c r="B567" s="563">
        <v>45964</v>
      </c>
      <c r="C567" s="444" t="s">
        <v>1644</v>
      </c>
      <c r="D567" s="19">
        <v>7</v>
      </c>
      <c r="E567" s="577">
        <v>150</v>
      </c>
      <c r="F567" s="570">
        <f t="shared" si="78"/>
        <v>1050</v>
      </c>
      <c r="G567" s="66">
        <f t="shared" si="79"/>
        <v>95.454545454545453</v>
      </c>
    </row>
    <row r="568" spans="2:7">
      <c r="B568" s="563">
        <v>45963</v>
      </c>
      <c r="C568" s="444" t="s">
        <v>1645</v>
      </c>
      <c r="D568" s="19">
        <v>4</v>
      </c>
      <c r="E568" s="577">
        <v>150</v>
      </c>
      <c r="F568" s="570">
        <f t="shared" si="78"/>
        <v>600</v>
      </c>
      <c r="G568" s="66">
        <f t="shared" si="79"/>
        <v>54.545454545454547</v>
      </c>
    </row>
    <row r="569" spans="2:7">
      <c r="B569" s="563">
        <v>45963</v>
      </c>
      <c r="C569" s="444" t="s">
        <v>1646</v>
      </c>
      <c r="D569" s="19">
        <v>4</v>
      </c>
      <c r="E569" s="577">
        <v>150</v>
      </c>
      <c r="F569" s="570">
        <f t="shared" si="78"/>
        <v>600</v>
      </c>
      <c r="G569" s="66">
        <f t="shared" si="79"/>
        <v>54.545454545454547</v>
      </c>
    </row>
    <row r="570" spans="2:7">
      <c r="B570" s="563">
        <v>45965</v>
      </c>
      <c r="C570" s="444" t="s">
        <v>1647</v>
      </c>
      <c r="D570" s="19">
        <v>20</v>
      </c>
      <c r="E570" s="577">
        <v>1063</v>
      </c>
      <c r="F570" s="570">
        <f t="shared" si="78"/>
        <v>21260</v>
      </c>
      <c r="G570" s="66">
        <f t="shared" si="79"/>
        <v>1932.7272727272727</v>
      </c>
    </row>
    <row r="571" spans="2:7">
      <c r="B571" s="563">
        <v>45965</v>
      </c>
      <c r="C571" s="444" t="s">
        <v>1648</v>
      </c>
      <c r="D571" s="19">
        <v>12</v>
      </c>
      <c r="E571" s="577">
        <v>3375</v>
      </c>
      <c r="F571" s="570">
        <f t="shared" si="78"/>
        <v>40500</v>
      </c>
      <c r="G571" s="66">
        <f t="shared" si="79"/>
        <v>3681.818181818182</v>
      </c>
    </row>
    <row r="572" spans="2:7">
      <c r="B572" s="561">
        <v>45966</v>
      </c>
      <c r="C572" s="138" t="s">
        <v>1654</v>
      </c>
      <c r="D572" s="127">
        <v>30</v>
      </c>
      <c r="E572" s="579">
        <v>410</v>
      </c>
      <c r="F572" s="127">
        <f t="shared" si="78"/>
        <v>12300</v>
      </c>
      <c r="G572" s="66">
        <f t="shared" si="79"/>
        <v>1118.1818181818182</v>
      </c>
    </row>
    <row r="573" spans="2:7">
      <c r="B573" s="563">
        <v>45969</v>
      </c>
      <c r="C573" s="444" t="s">
        <v>1649</v>
      </c>
      <c r="D573" s="570">
        <v>1</v>
      </c>
      <c r="E573" s="577">
        <v>450</v>
      </c>
      <c r="F573" s="570">
        <f t="shared" si="78"/>
        <v>450</v>
      </c>
      <c r="G573" s="66">
        <f t="shared" si="79"/>
        <v>40.909090909090907</v>
      </c>
    </row>
    <row r="574" spans="2:7">
      <c r="B574" s="563">
        <v>45969</v>
      </c>
      <c r="C574" s="444" t="s">
        <v>1650</v>
      </c>
      <c r="D574" s="570">
        <v>1</v>
      </c>
      <c r="E574" s="577">
        <v>450</v>
      </c>
      <c r="F574" s="570">
        <f t="shared" si="78"/>
        <v>450</v>
      </c>
      <c r="G574" s="66">
        <f t="shared" si="79"/>
        <v>40.909090909090907</v>
      </c>
    </row>
    <row r="575" spans="2:7">
      <c r="B575" s="563">
        <v>45969</v>
      </c>
      <c r="C575" s="444" t="s">
        <v>1651</v>
      </c>
      <c r="D575" s="570">
        <v>4</v>
      </c>
      <c r="E575" s="577">
        <v>450</v>
      </c>
      <c r="F575" s="570">
        <f t="shared" si="78"/>
        <v>1800</v>
      </c>
      <c r="G575" s="66">
        <f t="shared" si="79"/>
        <v>163.63636363636363</v>
      </c>
    </row>
    <row r="576" spans="2:7">
      <c r="B576" s="563">
        <v>45969</v>
      </c>
      <c r="C576" s="444" t="s">
        <v>1652</v>
      </c>
      <c r="D576" s="570">
        <v>5</v>
      </c>
      <c r="E576" s="577">
        <v>450</v>
      </c>
      <c r="F576" s="570">
        <f t="shared" si="78"/>
        <v>2250</v>
      </c>
      <c r="G576" s="66">
        <f t="shared" si="79"/>
        <v>204.54545454545453</v>
      </c>
    </row>
    <row r="577" spans="2:7">
      <c r="B577" s="563">
        <v>45969</v>
      </c>
      <c r="C577" s="444" t="s">
        <v>1653</v>
      </c>
      <c r="D577" s="570">
        <v>11</v>
      </c>
      <c r="E577" s="577">
        <v>450</v>
      </c>
      <c r="F577" s="570">
        <f t="shared" si="78"/>
        <v>4950</v>
      </c>
      <c r="G577" s="66">
        <f t="shared" si="79"/>
        <v>450</v>
      </c>
    </row>
    <row r="578" spans="2:7">
      <c r="B578" s="583">
        <v>45970</v>
      </c>
      <c r="C578" s="230" t="s">
        <v>1670</v>
      </c>
      <c r="D578" s="230">
        <v>1</v>
      </c>
      <c r="E578" s="19">
        <v>1358</v>
      </c>
      <c r="F578" s="580">
        <f t="shared" ref="F578:F603" si="80">E578*D578</f>
        <v>1358</v>
      </c>
      <c r="G578" s="66">
        <f t="shared" ref="G578:G603" si="81">F578/11</f>
        <v>123.45454545454545</v>
      </c>
    </row>
    <row r="579" spans="2:7">
      <c r="B579" s="583">
        <v>45970</v>
      </c>
      <c r="C579" s="230" t="s">
        <v>1671</v>
      </c>
      <c r="D579" s="230">
        <v>3</v>
      </c>
      <c r="E579" s="19">
        <v>1358</v>
      </c>
      <c r="F579" s="580">
        <f t="shared" si="80"/>
        <v>4074</v>
      </c>
      <c r="G579" s="66">
        <f t="shared" si="81"/>
        <v>370.36363636363637</v>
      </c>
    </row>
    <row r="580" spans="2:7">
      <c r="B580" s="583">
        <v>45970</v>
      </c>
      <c r="C580" s="230" t="s">
        <v>1672</v>
      </c>
      <c r="D580" s="230">
        <v>3</v>
      </c>
      <c r="E580" s="19">
        <v>1477</v>
      </c>
      <c r="F580" s="580">
        <f t="shared" si="80"/>
        <v>4431</v>
      </c>
      <c r="G580" s="66">
        <f t="shared" si="81"/>
        <v>402.81818181818181</v>
      </c>
    </row>
    <row r="581" spans="2:7">
      <c r="B581" s="583">
        <v>45970</v>
      </c>
      <c r="C581" s="230" t="s">
        <v>1676</v>
      </c>
      <c r="D581" s="580">
        <v>10</v>
      </c>
      <c r="E581" s="533">
        <v>450</v>
      </c>
      <c r="F581" s="580">
        <f t="shared" si="80"/>
        <v>4500</v>
      </c>
      <c r="G581" s="66">
        <f t="shared" si="81"/>
        <v>409.09090909090907</v>
      </c>
    </row>
    <row r="582" spans="2:7">
      <c r="B582" s="583">
        <v>45970</v>
      </c>
      <c r="C582" s="230" t="s">
        <v>1677</v>
      </c>
      <c r="D582" s="580">
        <v>2</v>
      </c>
      <c r="E582" s="533">
        <v>1403</v>
      </c>
      <c r="F582" s="580">
        <f t="shared" si="80"/>
        <v>2806</v>
      </c>
      <c r="G582" s="66">
        <f t="shared" si="81"/>
        <v>255.09090909090909</v>
      </c>
    </row>
    <row r="583" spans="2:7">
      <c r="B583" s="583">
        <v>45970</v>
      </c>
      <c r="C583" s="230" t="s">
        <v>1678</v>
      </c>
      <c r="D583" s="580">
        <v>1</v>
      </c>
      <c r="E583" s="533">
        <v>474</v>
      </c>
      <c r="F583" s="580">
        <f t="shared" si="80"/>
        <v>474</v>
      </c>
      <c r="G583" s="66">
        <f t="shared" si="81"/>
        <v>43.090909090909093</v>
      </c>
    </row>
    <row r="584" spans="2:7">
      <c r="B584" s="583">
        <v>45970</v>
      </c>
      <c r="C584" s="230" t="s">
        <v>1679</v>
      </c>
      <c r="D584" s="580">
        <v>1</v>
      </c>
      <c r="E584" s="533">
        <v>1403</v>
      </c>
      <c r="F584" s="580">
        <f t="shared" si="80"/>
        <v>1403</v>
      </c>
      <c r="G584" s="66">
        <f t="shared" si="81"/>
        <v>127.54545454545455</v>
      </c>
    </row>
    <row r="585" spans="2:7">
      <c r="B585" s="585">
        <v>45970</v>
      </c>
      <c r="C585" s="110" t="s">
        <v>1679</v>
      </c>
      <c r="D585" s="127">
        <v>1</v>
      </c>
      <c r="E585" s="184">
        <v>1403</v>
      </c>
      <c r="F585" s="580">
        <f t="shared" si="80"/>
        <v>1403</v>
      </c>
      <c r="G585" s="66">
        <f t="shared" si="81"/>
        <v>127.54545454545455</v>
      </c>
    </row>
    <row r="586" spans="2:7">
      <c r="B586" s="583">
        <v>45970</v>
      </c>
      <c r="C586" s="230" t="s">
        <v>1649</v>
      </c>
      <c r="D586" s="580">
        <v>2</v>
      </c>
      <c r="E586" s="533">
        <v>450</v>
      </c>
      <c r="F586" s="580">
        <f t="shared" si="80"/>
        <v>900</v>
      </c>
      <c r="G586" s="66">
        <f t="shared" si="81"/>
        <v>81.818181818181813</v>
      </c>
    </row>
    <row r="587" spans="2:7">
      <c r="B587" s="583">
        <v>45970</v>
      </c>
      <c r="C587" s="230" t="s">
        <v>1680</v>
      </c>
      <c r="D587" s="580">
        <v>1</v>
      </c>
      <c r="E587" s="533">
        <v>1403</v>
      </c>
      <c r="F587" s="580">
        <f t="shared" si="80"/>
        <v>1403</v>
      </c>
      <c r="G587" s="66">
        <f t="shared" si="81"/>
        <v>127.54545454545455</v>
      </c>
    </row>
    <row r="588" spans="2:7">
      <c r="B588" s="583">
        <v>45970</v>
      </c>
      <c r="C588" s="230" t="s">
        <v>1681</v>
      </c>
      <c r="D588" s="580">
        <v>1</v>
      </c>
      <c r="E588" s="533">
        <v>1403</v>
      </c>
      <c r="F588" s="580">
        <f t="shared" si="80"/>
        <v>1403</v>
      </c>
      <c r="G588" s="66">
        <f t="shared" si="81"/>
        <v>127.54545454545455</v>
      </c>
    </row>
    <row r="589" spans="2:7">
      <c r="B589" s="583">
        <v>45970</v>
      </c>
      <c r="C589" s="230" t="s">
        <v>1681</v>
      </c>
      <c r="D589" s="580">
        <v>1</v>
      </c>
      <c r="E589" s="533">
        <v>1403</v>
      </c>
      <c r="F589" s="580">
        <f t="shared" si="80"/>
        <v>1403</v>
      </c>
      <c r="G589" s="66">
        <f t="shared" si="81"/>
        <v>127.54545454545455</v>
      </c>
    </row>
    <row r="590" spans="2:7">
      <c r="B590" s="583">
        <v>45970</v>
      </c>
      <c r="C590" s="230" t="s">
        <v>1682</v>
      </c>
      <c r="D590" s="580">
        <v>5</v>
      </c>
      <c r="E590" s="533">
        <v>450</v>
      </c>
      <c r="F590" s="580">
        <f t="shared" si="80"/>
        <v>2250</v>
      </c>
      <c r="G590" s="66">
        <f t="shared" si="81"/>
        <v>204.54545454545453</v>
      </c>
    </row>
    <row r="591" spans="2:7">
      <c r="B591" s="583">
        <v>45970</v>
      </c>
      <c r="C591" s="230" t="s">
        <v>1683</v>
      </c>
      <c r="D591" s="580">
        <v>5</v>
      </c>
      <c r="E591" s="533">
        <v>410</v>
      </c>
      <c r="F591" s="580">
        <f t="shared" si="80"/>
        <v>2050</v>
      </c>
      <c r="G591" s="66">
        <f t="shared" si="81"/>
        <v>186.36363636363637</v>
      </c>
    </row>
    <row r="592" spans="2:7">
      <c r="B592" s="583">
        <v>45972</v>
      </c>
      <c r="C592" s="230" t="s">
        <v>1748</v>
      </c>
      <c r="D592" s="230">
        <v>30</v>
      </c>
      <c r="E592" s="533">
        <v>410</v>
      </c>
      <c r="F592" s="580">
        <f t="shared" si="80"/>
        <v>12300</v>
      </c>
      <c r="G592" s="66">
        <f t="shared" si="81"/>
        <v>1118.1818181818182</v>
      </c>
    </row>
    <row r="593" spans="2:7">
      <c r="B593" s="583">
        <v>45972</v>
      </c>
      <c r="C593" s="230" t="s">
        <v>1573</v>
      </c>
      <c r="D593" s="230">
        <v>5</v>
      </c>
      <c r="E593" s="533">
        <v>1400</v>
      </c>
      <c r="F593" s="580">
        <f t="shared" si="80"/>
        <v>7000</v>
      </c>
      <c r="G593" s="66">
        <f t="shared" si="81"/>
        <v>636.36363636363637</v>
      </c>
    </row>
    <row r="594" spans="2:7">
      <c r="B594" s="583">
        <v>45972</v>
      </c>
      <c r="C594" s="230" t="s">
        <v>1749</v>
      </c>
      <c r="D594" s="230">
        <v>5</v>
      </c>
      <c r="E594" s="533">
        <v>2500</v>
      </c>
      <c r="F594" s="580">
        <f t="shared" si="80"/>
        <v>12500</v>
      </c>
      <c r="G594" s="66">
        <f t="shared" si="81"/>
        <v>1136.3636363636363</v>
      </c>
    </row>
    <row r="595" spans="2:7">
      <c r="B595" s="583">
        <v>45972</v>
      </c>
      <c r="C595" s="230" t="s">
        <v>1750</v>
      </c>
      <c r="D595" s="230">
        <v>10</v>
      </c>
      <c r="E595" s="533">
        <v>3300</v>
      </c>
      <c r="F595" s="580">
        <f t="shared" si="80"/>
        <v>33000</v>
      </c>
      <c r="G595" s="66">
        <f t="shared" si="81"/>
        <v>3000</v>
      </c>
    </row>
    <row r="596" spans="2:7">
      <c r="B596" s="585">
        <v>45979</v>
      </c>
      <c r="C596" s="110" t="s">
        <v>1756</v>
      </c>
      <c r="D596" s="110">
        <v>2</v>
      </c>
      <c r="E596" s="184">
        <v>454</v>
      </c>
      <c r="F596" s="580">
        <f t="shared" si="80"/>
        <v>908</v>
      </c>
      <c r="G596" s="66">
        <f t="shared" si="81"/>
        <v>82.545454545454547</v>
      </c>
    </row>
    <row r="597" spans="2:7">
      <c r="B597" s="585">
        <v>45979</v>
      </c>
      <c r="C597" s="110" t="s">
        <v>1756</v>
      </c>
      <c r="D597" s="110">
        <v>2</v>
      </c>
      <c r="E597" s="184">
        <v>454</v>
      </c>
      <c r="F597" s="580">
        <f t="shared" si="80"/>
        <v>908</v>
      </c>
      <c r="G597" s="66">
        <f t="shared" si="81"/>
        <v>82.545454545454547</v>
      </c>
    </row>
    <row r="598" spans="2:7">
      <c r="B598" s="585">
        <v>45979</v>
      </c>
      <c r="C598" s="110" t="s">
        <v>1757</v>
      </c>
      <c r="D598" s="110">
        <v>2</v>
      </c>
      <c r="E598" s="184">
        <v>454</v>
      </c>
      <c r="F598" s="580">
        <f t="shared" si="80"/>
        <v>908</v>
      </c>
      <c r="G598" s="66">
        <f t="shared" si="81"/>
        <v>82.545454545454547</v>
      </c>
    </row>
    <row r="599" spans="2:7">
      <c r="B599" s="585">
        <v>45979</v>
      </c>
      <c r="C599" s="110" t="s">
        <v>1758</v>
      </c>
      <c r="D599" s="110">
        <v>2</v>
      </c>
      <c r="E599" s="184">
        <v>454</v>
      </c>
      <c r="F599" s="580">
        <f t="shared" si="80"/>
        <v>908</v>
      </c>
      <c r="G599" s="66">
        <f t="shared" si="81"/>
        <v>82.545454545454547</v>
      </c>
    </row>
    <row r="600" spans="2:7">
      <c r="B600" s="585">
        <v>45979</v>
      </c>
      <c r="C600" s="110" t="s">
        <v>1757</v>
      </c>
      <c r="D600" s="110">
        <v>2</v>
      </c>
      <c r="E600" s="184">
        <v>454</v>
      </c>
      <c r="F600" s="580">
        <f t="shared" si="80"/>
        <v>908</v>
      </c>
      <c r="G600" s="66">
        <f t="shared" si="81"/>
        <v>82.545454545454547</v>
      </c>
    </row>
    <row r="601" spans="2:7">
      <c r="B601" s="583">
        <v>45979</v>
      </c>
      <c r="C601" s="230" t="s">
        <v>1753</v>
      </c>
      <c r="D601" s="230">
        <v>3</v>
      </c>
      <c r="E601" s="533">
        <v>130</v>
      </c>
      <c r="F601" s="580">
        <f t="shared" si="80"/>
        <v>390</v>
      </c>
      <c r="G601" s="66">
        <f t="shared" si="81"/>
        <v>35.454545454545453</v>
      </c>
    </row>
    <row r="602" spans="2:7">
      <c r="B602" s="585">
        <v>45978</v>
      </c>
      <c r="C602" s="110" t="s">
        <v>1754</v>
      </c>
      <c r="D602" s="110">
        <v>9</v>
      </c>
      <c r="E602" s="184">
        <v>625</v>
      </c>
      <c r="F602" s="580">
        <f t="shared" si="80"/>
        <v>5625</v>
      </c>
      <c r="G602" s="66">
        <f t="shared" si="81"/>
        <v>511.36363636363637</v>
      </c>
    </row>
    <row r="603" spans="2:7">
      <c r="B603" s="583">
        <v>45980</v>
      </c>
      <c r="C603" s="230" t="s">
        <v>1761</v>
      </c>
      <c r="D603" s="230">
        <v>6</v>
      </c>
      <c r="E603" s="533">
        <v>130</v>
      </c>
      <c r="F603" s="580">
        <f t="shared" si="80"/>
        <v>780</v>
      </c>
      <c r="G603" s="66">
        <f t="shared" si="81"/>
        <v>70.909090909090907</v>
      </c>
    </row>
    <row r="604" spans="2:7">
      <c r="B604" s="583">
        <v>45980</v>
      </c>
      <c r="C604" s="230" t="s">
        <v>1762</v>
      </c>
      <c r="D604" s="230">
        <v>10</v>
      </c>
      <c r="E604" s="533">
        <v>39</v>
      </c>
      <c r="F604" s="589">
        <f t="shared" ref="F604:F628" si="82">E604*D604</f>
        <v>390</v>
      </c>
      <c r="G604" s="66">
        <f t="shared" ref="G604:G628" si="83">F604/11</f>
        <v>35.454545454545453</v>
      </c>
    </row>
    <row r="605" spans="2:7">
      <c r="B605" s="583">
        <v>45980</v>
      </c>
      <c r="C605" s="230" t="s">
        <v>1763</v>
      </c>
      <c r="D605" s="230">
        <v>6</v>
      </c>
      <c r="E605" s="533">
        <v>779</v>
      </c>
      <c r="F605" s="589">
        <f t="shared" si="82"/>
        <v>4674</v>
      </c>
      <c r="G605" s="66">
        <f t="shared" si="83"/>
        <v>424.90909090909093</v>
      </c>
    </row>
    <row r="606" spans="2:7">
      <c r="B606" s="583">
        <v>45980</v>
      </c>
      <c r="C606" s="230" t="s">
        <v>1764</v>
      </c>
      <c r="D606" s="230">
        <v>6</v>
      </c>
      <c r="E606" s="533">
        <v>594</v>
      </c>
      <c r="F606" s="589">
        <f t="shared" si="82"/>
        <v>3564</v>
      </c>
      <c r="G606" s="66">
        <f t="shared" si="83"/>
        <v>324</v>
      </c>
    </row>
    <row r="607" spans="2:7">
      <c r="B607" s="583">
        <v>45980</v>
      </c>
      <c r="C607" s="230" t="s">
        <v>1764</v>
      </c>
      <c r="D607" s="230">
        <v>3</v>
      </c>
      <c r="E607" s="533">
        <v>594</v>
      </c>
      <c r="F607" s="589">
        <f t="shared" si="82"/>
        <v>1782</v>
      </c>
      <c r="G607" s="66">
        <f t="shared" si="83"/>
        <v>162</v>
      </c>
    </row>
    <row r="608" spans="2:7">
      <c r="B608" s="585">
        <v>45980</v>
      </c>
      <c r="C608" s="110" t="s">
        <v>1757</v>
      </c>
      <c r="D608" s="110">
        <v>4</v>
      </c>
      <c r="E608" s="184">
        <v>454</v>
      </c>
      <c r="F608" s="589">
        <f t="shared" si="82"/>
        <v>1816</v>
      </c>
      <c r="G608" s="66">
        <f t="shared" si="83"/>
        <v>165.09090909090909</v>
      </c>
    </row>
    <row r="609" spans="2:7">
      <c r="B609" s="583">
        <v>45980</v>
      </c>
      <c r="C609" s="230" t="s">
        <v>1765</v>
      </c>
      <c r="D609" s="230">
        <v>10</v>
      </c>
      <c r="E609" s="533">
        <v>777</v>
      </c>
      <c r="F609" s="589">
        <f t="shared" si="82"/>
        <v>7770</v>
      </c>
      <c r="G609" s="66">
        <f t="shared" si="83"/>
        <v>706.36363636363637</v>
      </c>
    </row>
    <row r="610" spans="2:7">
      <c r="B610" s="583">
        <v>45980</v>
      </c>
      <c r="C610" s="230" t="s">
        <v>1766</v>
      </c>
      <c r="D610" s="230">
        <v>10</v>
      </c>
      <c r="E610" s="533">
        <v>1400</v>
      </c>
      <c r="F610" s="589">
        <f t="shared" si="82"/>
        <v>14000</v>
      </c>
      <c r="G610" s="66">
        <f t="shared" si="83"/>
        <v>1272.7272727272727</v>
      </c>
    </row>
    <row r="611" spans="2:7">
      <c r="B611" s="583">
        <v>45980</v>
      </c>
      <c r="C611" s="230" t="s">
        <v>1767</v>
      </c>
      <c r="D611" s="230">
        <v>7</v>
      </c>
      <c r="E611" s="533">
        <v>559</v>
      </c>
      <c r="F611" s="589">
        <f t="shared" si="82"/>
        <v>3913</v>
      </c>
      <c r="G611" s="66">
        <f t="shared" si="83"/>
        <v>355.72727272727275</v>
      </c>
    </row>
    <row r="612" spans="2:7">
      <c r="B612" s="583">
        <v>45980</v>
      </c>
      <c r="C612" s="230" t="s">
        <v>1768</v>
      </c>
      <c r="D612" s="230">
        <v>6</v>
      </c>
      <c r="E612" s="533">
        <v>779</v>
      </c>
      <c r="F612" s="589">
        <f t="shared" si="82"/>
        <v>4674</v>
      </c>
      <c r="G612" s="66">
        <f t="shared" si="83"/>
        <v>424.90909090909093</v>
      </c>
    </row>
    <row r="613" spans="2:7">
      <c r="B613" s="583">
        <v>45980</v>
      </c>
      <c r="C613" s="230" t="s">
        <v>1769</v>
      </c>
      <c r="D613" s="230">
        <v>4</v>
      </c>
      <c r="E613" s="533">
        <v>125</v>
      </c>
      <c r="F613" s="589">
        <f t="shared" si="82"/>
        <v>500</v>
      </c>
      <c r="G613" s="66">
        <f t="shared" si="83"/>
        <v>45.454545454545453</v>
      </c>
    </row>
    <row r="614" spans="2:7">
      <c r="B614" s="585">
        <v>45980</v>
      </c>
      <c r="C614" s="110" t="s">
        <v>1770</v>
      </c>
      <c r="D614" s="110">
        <v>1</v>
      </c>
      <c r="E614" s="184">
        <v>699</v>
      </c>
      <c r="F614" s="589">
        <f t="shared" si="82"/>
        <v>699</v>
      </c>
      <c r="G614" s="66">
        <f t="shared" si="83"/>
        <v>63.545454545454547</v>
      </c>
    </row>
    <row r="615" spans="2:7">
      <c r="B615" s="585">
        <v>45980</v>
      </c>
      <c r="C615" s="110" t="s">
        <v>1771</v>
      </c>
      <c r="D615" s="110">
        <v>15</v>
      </c>
      <c r="E615" s="184">
        <v>125</v>
      </c>
      <c r="F615" s="589">
        <f t="shared" si="82"/>
        <v>1875</v>
      </c>
      <c r="G615" s="66">
        <f t="shared" si="83"/>
        <v>170.45454545454547</v>
      </c>
    </row>
    <row r="616" spans="2:7">
      <c r="B616" s="585">
        <v>45981</v>
      </c>
      <c r="C616" s="110" t="s">
        <v>1772</v>
      </c>
      <c r="D616" s="110">
        <v>12</v>
      </c>
      <c r="E616" s="184">
        <v>125</v>
      </c>
      <c r="F616" s="589">
        <f t="shared" si="82"/>
        <v>1500</v>
      </c>
      <c r="G616" s="66">
        <f t="shared" si="83"/>
        <v>136.36363636363637</v>
      </c>
    </row>
    <row r="617" spans="2:7">
      <c r="B617" s="585">
        <v>45981</v>
      </c>
      <c r="C617" s="110" t="s">
        <v>1773</v>
      </c>
      <c r="D617" s="110">
        <v>23</v>
      </c>
      <c r="E617" s="184">
        <v>125</v>
      </c>
      <c r="F617" s="589">
        <f t="shared" si="82"/>
        <v>2875</v>
      </c>
      <c r="G617" s="66">
        <f t="shared" si="83"/>
        <v>261.36363636363637</v>
      </c>
    </row>
    <row r="618" spans="2:7">
      <c r="B618" s="531">
        <v>45981</v>
      </c>
      <c r="C618" s="18" t="s">
        <v>1774</v>
      </c>
      <c r="D618" s="18">
        <v>1</v>
      </c>
      <c r="E618" s="210">
        <v>699</v>
      </c>
      <c r="F618" s="589">
        <f t="shared" si="82"/>
        <v>699</v>
      </c>
      <c r="G618" s="66">
        <f t="shared" si="83"/>
        <v>63.545454545454547</v>
      </c>
    </row>
    <row r="619" spans="2:7">
      <c r="B619" s="531">
        <v>45981</v>
      </c>
      <c r="C619" s="18" t="s">
        <v>1775</v>
      </c>
      <c r="D619" s="18">
        <v>2</v>
      </c>
      <c r="E619" s="210">
        <v>2100</v>
      </c>
      <c r="F619" s="589">
        <f t="shared" si="82"/>
        <v>4200</v>
      </c>
      <c r="G619" s="66">
        <f t="shared" si="83"/>
        <v>381.81818181818181</v>
      </c>
    </row>
    <row r="620" spans="2:7">
      <c r="B620" s="531">
        <v>45981</v>
      </c>
      <c r="C620" s="18" t="s">
        <v>1776</v>
      </c>
      <c r="D620" s="18">
        <v>3</v>
      </c>
      <c r="E620" s="210">
        <v>2100</v>
      </c>
      <c r="F620" s="589">
        <f t="shared" si="82"/>
        <v>6300</v>
      </c>
      <c r="G620" s="66">
        <f t="shared" si="83"/>
        <v>572.72727272727275</v>
      </c>
    </row>
    <row r="621" spans="2:7">
      <c r="B621" s="585">
        <v>45981</v>
      </c>
      <c r="C621" s="110" t="s">
        <v>1781</v>
      </c>
      <c r="D621" s="110">
        <v>2</v>
      </c>
      <c r="E621" s="184">
        <v>2100</v>
      </c>
      <c r="F621" s="589">
        <f t="shared" si="82"/>
        <v>4200</v>
      </c>
      <c r="G621" s="66">
        <f t="shared" si="83"/>
        <v>381.81818181818181</v>
      </c>
    </row>
    <row r="622" spans="2:7">
      <c r="B622" s="531">
        <v>45981</v>
      </c>
      <c r="C622" s="18" t="s">
        <v>1777</v>
      </c>
      <c r="D622" s="18">
        <v>5</v>
      </c>
      <c r="E622" s="210">
        <v>574</v>
      </c>
      <c r="F622" s="589">
        <f t="shared" si="82"/>
        <v>2870</v>
      </c>
      <c r="G622" s="66">
        <f t="shared" si="83"/>
        <v>260.90909090909093</v>
      </c>
    </row>
    <row r="623" spans="2:7">
      <c r="B623" s="531">
        <v>45981</v>
      </c>
      <c r="C623" s="18" t="s">
        <v>1778</v>
      </c>
      <c r="D623" s="18">
        <v>10</v>
      </c>
      <c r="E623" s="210">
        <v>103</v>
      </c>
      <c r="F623" s="589">
        <f t="shared" si="82"/>
        <v>1030</v>
      </c>
      <c r="G623" s="66">
        <f t="shared" si="83"/>
        <v>93.63636363636364</v>
      </c>
    </row>
    <row r="624" spans="2:7">
      <c r="B624" s="531">
        <v>45981</v>
      </c>
      <c r="C624" s="18" t="s">
        <v>1779</v>
      </c>
      <c r="D624" s="18">
        <v>3</v>
      </c>
      <c r="E624" s="210">
        <v>125</v>
      </c>
      <c r="F624" s="589">
        <f t="shared" si="82"/>
        <v>375</v>
      </c>
      <c r="G624" s="66">
        <f t="shared" si="83"/>
        <v>34.090909090909093</v>
      </c>
    </row>
    <row r="625" spans="2:7">
      <c r="B625" s="531">
        <v>45981</v>
      </c>
      <c r="C625" s="18" t="s">
        <v>1775</v>
      </c>
      <c r="D625" s="18">
        <v>3</v>
      </c>
      <c r="E625" s="210">
        <v>2100</v>
      </c>
      <c r="F625" s="589">
        <f t="shared" si="82"/>
        <v>6300</v>
      </c>
      <c r="G625" s="66">
        <f t="shared" si="83"/>
        <v>572.72727272727275</v>
      </c>
    </row>
    <row r="626" spans="2:7">
      <c r="B626" s="531">
        <v>45981</v>
      </c>
      <c r="C626" s="18" t="s">
        <v>1776</v>
      </c>
      <c r="D626" s="18">
        <v>3</v>
      </c>
      <c r="E626" s="210">
        <v>2100</v>
      </c>
      <c r="F626" s="589">
        <f t="shared" si="82"/>
        <v>6300</v>
      </c>
      <c r="G626" s="66">
        <f t="shared" si="83"/>
        <v>572.72727272727275</v>
      </c>
    </row>
    <row r="627" spans="2:7">
      <c r="B627" s="531">
        <v>45981</v>
      </c>
      <c r="C627" s="18" t="s">
        <v>1780</v>
      </c>
      <c r="D627" s="18">
        <v>12</v>
      </c>
      <c r="E627" s="210">
        <v>449</v>
      </c>
      <c r="F627" s="589">
        <f t="shared" si="82"/>
        <v>5388</v>
      </c>
      <c r="G627" s="66">
        <f t="shared" si="83"/>
        <v>489.81818181818181</v>
      </c>
    </row>
    <row r="628" spans="2:7">
      <c r="B628" s="583">
        <v>45982</v>
      </c>
      <c r="C628" s="230" t="s">
        <v>1775</v>
      </c>
      <c r="D628" s="230">
        <v>4</v>
      </c>
      <c r="E628" s="533">
        <v>2100</v>
      </c>
      <c r="F628" s="589">
        <f t="shared" si="82"/>
        <v>8400</v>
      </c>
      <c r="G628" s="66">
        <f t="shared" si="83"/>
        <v>763.63636363636363</v>
      </c>
    </row>
    <row r="629" spans="2:7">
      <c r="B629" s="583">
        <v>45982</v>
      </c>
      <c r="C629" s="230" t="s">
        <v>1789</v>
      </c>
      <c r="D629" s="230">
        <v>6</v>
      </c>
      <c r="E629" s="533">
        <v>2100</v>
      </c>
      <c r="F629" s="593">
        <f t="shared" ref="F629:F653" si="84">E629*D629</f>
        <v>12600</v>
      </c>
      <c r="G629" s="66">
        <f t="shared" ref="G629:G653" si="85">F629/11</f>
        <v>1145.4545454545455</v>
      </c>
    </row>
    <row r="630" spans="2:7">
      <c r="B630" s="583">
        <v>45982</v>
      </c>
      <c r="C630" s="230" t="s">
        <v>1790</v>
      </c>
      <c r="D630" s="230">
        <v>6</v>
      </c>
      <c r="E630" s="533">
        <v>2100</v>
      </c>
      <c r="F630" s="593">
        <f t="shared" si="84"/>
        <v>12600</v>
      </c>
      <c r="G630" s="66">
        <f t="shared" si="85"/>
        <v>1145.4545454545455</v>
      </c>
    </row>
    <row r="631" spans="2:7">
      <c r="B631" s="583">
        <v>45982</v>
      </c>
      <c r="C631" s="230" t="s">
        <v>1791</v>
      </c>
      <c r="D631" s="230">
        <v>20</v>
      </c>
      <c r="E631" s="533">
        <v>399</v>
      </c>
      <c r="F631" s="593">
        <f t="shared" si="84"/>
        <v>7980</v>
      </c>
      <c r="G631" s="66">
        <f t="shared" si="85"/>
        <v>725.4545454545455</v>
      </c>
    </row>
    <row r="632" spans="2:7">
      <c r="B632" s="583">
        <v>45982</v>
      </c>
      <c r="C632" s="230" t="s">
        <v>1653</v>
      </c>
      <c r="D632" s="230">
        <v>9</v>
      </c>
      <c r="E632" s="533">
        <v>399</v>
      </c>
      <c r="F632" s="593">
        <f t="shared" si="84"/>
        <v>3591</v>
      </c>
      <c r="G632" s="66">
        <f t="shared" si="85"/>
        <v>326.45454545454544</v>
      </c>
    </row>
    <row r="633" spans="2:7">
      <c r="B633" s="585">
        <v>45982</v>
      </c>
      <c r="C633" s="110" t="s">
        <v>1800</v>
      </c>
      <c r="D633" s="110">
        <v>3</v>
      </c>
      <c r="E633" s="184">
        <v>609.95000000000005</v>
      </c>
      <c r="F633" s="593">
        <f t="shared" si="84"/>
        <v>1829.8500000000001</v>
      </c>
      <c r="G633" s="66">
        <f t="shared" si="85"/>
        <v>166.35000000000002</v>
      </c>
    </row>
    <row r="634" spans="2:7">
      <c r="B634" s="585">
        <v>45982</v>
      </c>
      <c r="C634" s="110" t="s">
        <v>1799</v>
      </c>
      <c r="D634" s="110">
        <v>1</v>
      </c>
      <c r="E634" s="184">
        <v>598</v>
      </c>
      <c r="F634" s="593">
        <f t="shared" si="84"/>
        <v>598</v>
      </c>
      <c r="G634" s="66">
        <f t="shared" si="85"/>
        <v>54.363636363636367</v>
      </c>
    </row>
    <row r="635" spans="2:7">
      <c r="B635" s="583">
        <v>45982</v>
      </c>
      <c r="C635" s="230" t="s">
        <v>1792</v>
      </c>
      <c r="D635" s="230">
        <v>1</v>
      </c>
      <c r="E635" s="533">
        <v>598</v>
      </c>
      <c r="F635" s="593">
        <f t="shared" si="84"/>
        <v>598</v>
      </c>
      <c r="G635" s="66">
        <f t="shared" si="85"/>
        <v>54.363636363636367</v>
      </c>
    </row>
    <row r="636" spans="2:7">
      <c r="B636" s="585">
        <v>45982</v>
      </c>
      <c r="C636" s="110" t="s">
        <v>1797</v>
      </c>
      <c r="D636" s="110">
        <v>5</v>
      </c>
      <c r="E636" s="184">
        <v>509</v>
      </c>
      <c r="F636" s="593">
        <f t="shared" si="84"/>
        <v>2545</v>
      </c>
      <c r="G636" s="66">
        <f t="shared" si="85"/>
        <v>231.36363636363637</v>
      </c>
    </row>
    <row r="637" spans="2:7">
      <c r="B637" s="585">
        <v>45982</v>
      </c>
      <c r="C637" s="110" t="s">
        <v>1798</v>
      </c>
      <c r="D637" s="110">
        <v>6</v>
      </c>
      <c r="E637" s="184">
        <v>659</v>
      </c>
      <c r="F637" s="593">
        <f t="shared" si="84"/>
        <v>3954</v>
      </c>
      <c r="G637" s="66">
        <f t="shared" si="85"/>
        <v>359.45454545454544</v>
      </c>
    </row>
    <row r="638" spans="2:7">
      <c r="B638" s="583">
        <v>45982</v>
      </c>
      <c r="C638" s="230" t="s">
        <v>1794</v>
      </c>
      <c r="D638" s="230">
        <v>3</v>
      </c>
      <c r="E638" s="533">
        <v>659</v>
      </c>
      <c r="F638" s="593">
        <f t="shared" si="84"/>
        <v>1977</v>
      </c>
      <c r="G638" s="66">
        <f t="shared" si="85"/>
        <v>179.72727272727272</v>
      </c>
    </row>
    <row r="639" spans="2:7">
      <c r="B639" s="583">
        <v>45982</v>
      </c>
      <c r="C639" s="230" t="s">
        <v>1793</v>
      </c>
      <c r="D639" s="230">
        <v>7</v>
      </c>
      <c r="E639" s="533">
        <v>509</v>
      </c>
      <c r="F639" s="593">
        <f t="shared" si="84"/>
        <v>3563</v>
      </c>
      <c r="G639" s="66">
        <f t="shared" si="85"/>
        <v>323.90909090909093</v>
      </c>
    </row>
    <row r="640" spans="2:7">
      <c r="B640" s="583">
        <v>45982</v>
      </c>
      <c r="C640" s="230" t="s">
        <v>1795</v>
      </c>
      <c r="D640" s="230">
        <v>5</v>
      </c>
      <c r="E640" s="533">
        <v>659</v>
      </c>
      <c r="F640" s="593">
        <f t="shared" si="84"/>
        <v>3295</v>
      </c>
      <c r="G640" s="66">
        <f t="shared" si="85"/>
        <v>299.54545454545456</v>
      </c>
    </row>
    <row r="641" spans="2:7">
      <c r="B641" s="583">
        <v>45982</v>
      </c>
      <c r="C641" s="230" t="s">
        <v>1796</v>
      </c>
      <c r="D641" s="230">
        <v>9</v>
      </c>
      <c r="E641" s="533">
        <v>509</v>
      </c>
      <c r="F641" s="593">
        <f t="shared" si="84"/>
        <v>4581</v>
      </c>
      <c r="G641" s="66">
        <f t="shared" si="85"/>
        <v>416.45454545454544</v>
      </c>
    </row>
    <row r="642" spans="2:7">
      <c r="B642" s="583">
        <v>45982</v>
      </c>
      <c r="C642" s="230" t="s">
        <v>1796</v>
      </c>
      <c r="D642" s="230">
        <v>8</v>
      </c>
      <c r="E642" s="533">
        <v>509</v>
      </c>
      <c r="F642" s="593">
        <f t="shared" si="84"/>
        <v>4072</v>
      </c>
      <c r="G642" s="66">
        <f t="shared" si="85"/>
        <v>370.18181818181819</v>
      </c>
    </row>
    <row r="643" spans="2:7">
      <c r="B643" s="583">
        <v>45984</v>
      </c>
      <c r="C643" s="230" t="s">
        <v>1816</v>
      </c>
      <c r="D643" s="230">
        <v>14</v>
      </c>
      <c r="E643" s="533">
        <v>398</v>
      </c>
      <c r="F643" s="593">
        <f t="shared" si="84"/>
        <v>5572</v>
      </c>
      <c r="G643" s="66">
        <f t="shared" si="85"/>
        <v>506.54545454545456</v>
      </c>
    </row>
    <row r="644" spans="2:7">
      <c r="B644" s="583">
        <v>45984</v>
      </c>
      <c r="C644" s="230" t="s">
        <v>1649</v>
      </c>
      <c r="D644" s="230">
        <v>5</v>
      </c>
      <c r="E644" s="533">
        <v>398</v>
      </c>
      <c r="F644" s="593">
        <f t="shared" si="84"/>
        <v>1990</v>
      </c>
      <c r="G644" s="66">
        <f t="shared" si="85"/>
        <v>180.90909090909091</v>
      </c>
    </row>
    <row r="645" spans="2:7">
      <c r="B645" s="583">
        <v>45984</v>
      </c>
      <c r="C645" s="230" t="s">
        <v>1650</v>
      </c>
      <c r="D645" s="230">
        <v>27</v>
      </c>
      <c r="E645" s="533">
        <v>398</v>
      </c>
      <c r="F645" s="593">
        <f t="shared" si="84"/>
        <v>10746</v>
      </c>
      <c r="G645" s="66">
        <f t="shared" si="85"/>
        <v>976.90909090909088</v>
      </c>
    </row>
    <row r="646" spans="2:7">
      <c r="B646" s="583">
        <v>45984</v>
      </c>
      <c r="C646" s="230" t="s">
        <v>1817</v>
      </c>
      <c r="D646" s="230">
        <v>20</v>
      </c>
      <c r="E646" s="533">
        <v>398</v>
      </c>
      <c r="F646" s="593">
        <f t="shared" si="84"/>
        <v>7960</v>
      </c>
      <c r="G646" s="66">
        <f t="shared" si="85"/>
        <v>723.63636363636363</v>
      </c>
    </row>
    <row r="647" spans="2:7">
      <c r="B647" s="583">
        <v>45984</v>
      </c>
      <c r="C647" s="230" t="s">
        <v>1818</v>
      </c>
      <c r="D647" s="230">
        <v>12</v>
      </c>
      <c r="E647" s="533">
        <v>398</v>
      </c>
      <c r="F647" s="593">
        <f t="shared" si="84"/>
        <v>4776</v>
      </c>
      <c r="G647" s="66">
        <f t="shared" si="85"/>
        <v>434.18181818181819</v>
      </c>
    </row>
    <row r="648" spans="2:7">
      <c r="B648" s="583">
        <v>45984</v>
      </c>
      <c r="C648" s="230" t="s">
        <v>1819</v>
      </c>
      <c r="D648" s="230">
        <v>19</v>
      </c>
      <c r="E648" s="533">
        <v>398</v>
      </c>
      <c r="F648" s="593">
        <f t="shared" si="84"/>
        <v>7562</v>
      </c>
      <c r="G648" s="66">
        <f t="shared" si="85"/>
        <v>687.4545454545455</v>
      </c>
    </row>
    <row r="649" spans="2:7">
      <c r="B649" s="583">
        <v>45984</v>
      </c>
      <c r="C649" s="230" t="s">
        <v>1820</v>
      </c>
      <c r="D649" s="230">
        <v>10</v>
      </c>
      <c r="E649" s="533">
        <v>398</v>
      </c>
      <c r="F649" s="593">
        <f t="shared" si="84"/>
        <v>3980</v>
      </c>
      <c r="G649" s="66">
        <f t="shared" si="85"/>
        <v>361.81818181818181</v>
      </c>
    </row>
    <row r="650" spans="2:7">
      <c r="B650" s="583">
        <v>45984</v>
      </c>
      <c r="C650" s="230" t="s">
        <v>1821</v>
      </c>
      <c r="D650" s="230">
        <v>17</v>
      </c>
      <c r="E650" s="533">
        <v>398</v>
      </c>
      <c r="F650" s="593">
        <f t="shared" si="84"/>
        <v>6766</v>
      </c>
      <c r="G650" s="66">
        <f t="shared" si="85"/>
        <v>615.09090909090912</v>
      </c>
    </row>
    <row r="651" spans="2:7">
      <c r="B651" s="583">
        <v>45985</v>
      </c>
      <c r="C651" s="230" t="s">
        <v>1822</v>
      </c>
      <c r="D651" s="230">
        <v>27</v>
      </c>
      <c r="E651" s="533">
        <v>398</v>
      </c>
      <c r="F651" s="593">
        <f t="shared" si="84"/>
        <v>10746</v>
      </c>
      <c r="G651" s="66">
        <f t="shared" si="85"/>
        <v>976.90909090909088</v>
      </c>
    </row>
    <row r="652" spans="2:7">
      <c r="B652" s="583">
        <v>45985</v>
      </c>
      <c r="C652" s="230" t="s">
        <v>1822</v>
      </c>
      <c r="D652" s="230">
        <v>11</v>
      </c>
      <c r="E652" s="533">
        <v>398</v>
      </c>
      <c r="F652" s="593">
        <f t="shared" si="84"/>
        <v>4378</v>
      </c>
      <c r="G652" s="66">
        <f t="shared" si="85"/>
        <v>398</v>
      </c>
    </row>
    <row r="653" spans="2:7">
      <c r="B653" s="583">
        <v>45985</v>
      </c>
      <c r="C653" s="230" t="s">
        <v>1823</v>
      </c>
      <c r="D653" s="230">
        <v>2</v>
      </c>
      <c r="E653" s="533">
        <v>679</v>
      </c>
      <c r="F653" s="593">
        <f t="shared" si="84"/>
        <v>1358</v>
      </c>
      <c r="G653" s="66">
        <f t="shared" si="85"/>
        <v>123.45454545454545</v>
      </c>
    </row>
    <row r="654" spans="2:7">
      <c r="B654" s="583">
        <v>45988</v>
      </c>
      <c r="C654" s="230" t="s">
        <v>1853</v>
      </c>
      <c r="D654" s="230">
        <v>50</v>
      </c>
      <c r="E654" s="533">
        <v>398</v>
      </c>
      <c r="F654" s="600">
        <f t="shared" ref="F654:F673" si="86">E654*D654</f>
        <v>19900</v>
      </c>
      <c r="G654" s="66">
        <f t="shared" ref="G654:G673" si="87">F654/11</f>
        <v>1809.090909090909</v>
      </c>
    </row>
    <row r="655" spans="2:7">
      <c r="B655" s="583">
        <v>45988</v>
      </c>
      <c r="C655" s="230" t="s">
        <v>1643</v>
      </c>
      <c r="D655" s="230">
        <v>10</v>
      </c>
      <c r="E655" s="533">
        <v>410</v>
      </c>
      <c r="F655" s="600">
        <f t="shared" si="86"/>
        <v>4100</v>
      </c>
      <c r="G655" s="66">
        <f t="shared" si="87"/>
        <v>372.72727272727275</v>
      </c>
    </row>
    <row r="656" spans="2:7">
      <c r="B656" s="585">
        <v>45989</v>
      </c>
      <c r="C656" s="110" t="s">
        <v>1869</v>
      </c>
      <c r="D656" s="110">
        <v>6</v>
      </c>
      <c r="E656" s="184">
        <v>419</v>
      </c>
      <c r="F656" s="600">
        <f t="shared" si="86"/>
        <v>2514</v>
      </c>
      <c r="G656" s="66">
        <f t="shared" si="87"/>
        <v>228.54545454545453</v>
      </c>
    </row>
    <row r="657" spans="2:7">
      <c r="B657" s="585">
        <v>45989</v>
      </c>
      <c r="C657" s="110" t="s">
        <v>1868</v>
      </c>
      <c r="D657" s="110">
        <v>10</v>
      </c>
      <c r="E657" s="184">
        <v>125</v>
      </c>
      <c r="F657" s="600">
        <f t="shared" si="86"/>
        <v>1250</v>
      </c>
      <c r="G657" s="66">
        <f t="shared" si="87"/>
        <v>113.63636363636364</v>
      </c>
    </row>
    <row r="658" spans="2:7">
      <c r="B658" s="585">
        <v>45989</v>
      </c>
      <c r="C658" s="110" t="s">
        <v>1867</v>
      </c>
      <c r="D658" s="110">
        <v>3</v>
      </c>
      <c r="E658" s="184">
        <v>419</v>
      </c>
      <c r="F658" s="600">
        <f t="shared" si="86"/>
        <v>1257</v>
      </c>
      <c r="G658" s="66">
        <f t="shared" si="87"/>
        <v>114.27272727272727</v>
      </c>
    </row>
    <row r="659" spans="2:7">
      <c r="B659" s="585">
        <v>45989</v>
      </c>
      <c r="C659" s="110" t="s">
        <v>1866</v>
      </c>
      <c r="D659" s="110">
        <v>2</v>
      </c>
      <c r="E659" s="184">
        <v>419</v>
      </c>
      <c r="F659" s="600">
        <f t="shared" si="86"/>
        <v>838</v>
      </c>
      <c r="G659" s="66">
        <f t="shared" si="87"/>
        <v>76.181818181818187</v>
      </c>
    </row>
    <row r="660" spans="2:7">
      <c r="B660" s="583">
        <v>45990</v>
      </c>
      <c r="C660" s="230" t="s">
        <v>1854</v>
      </c>
      <c r="D660" s="230">
        <v>1</v>
      </c>
      <c r="E660" s="533">
        <v>467</v>
      </c>
      <c r="F660" s="600">
        <f t="shared" si="86"/>
        <v>467</v>
      </c>
      <c r="G660" s="66">
        <f t="shared" si="87"/>
        <v>42.454545454545453</v>
      </c>
    </row>
    <row r="661" spans="2:7">
      <c r="B661" s="583">
        <v>45990</v>
      </c>
      <c r="C661" s="230" t="s">
        <v>1855</v>
      </c>
      <c r="D661" s="230">
        <v>2</v>
      </c>
      <c r="E661" s="533">
        <v>479</v>
      </c>
      <c r="F661" s="600">
        <f t="shared" si="86"/>
        <v>958</v>
      </c>
      <c r="G661" s="66">
        <f t="shared" si="87"/>
        <v>87.090909090909093</v>
      </c>
    </row>
    <row r="662" spans="2:7">
      <c r="B662" s="583">
        <v>45990</v>
      </c>
      <c r="C662" s="230" t="s">
        <v>1856</v>
      </c>
      <c r="D662" s="230">
        <v>2</v>
      </c>
      <c r="E662" s="533">
        <v>399</v>
      </c>
      <c r="F662" s="600">
        <f t="shared" si="86"/>
        <v>798</v>
      </c>
      <c r="G662" s="66">
        <f t="shared" si="87"/>
        <v>72.545454545454547</v>
      </c>
    </row>
    <row r="663" spans="2:7">
      <c r="B663" s="583">
        <v>45990</v>
      </c>
      <c r="C663" s="230" t="s">
        <v>1857</v>
      </c>
      <c r="D663" s="230">
        <v>3</v>
      </c>
      <c r="E663" s="533">
        <v>419</v>
      </c>
      <c r="F663" s="600">
        <f t="shared" si="86"/>
        <v>1257</v>
      </c>
      <c r="G663" s="66">
        <f t="shared" si="87"/>
        <v>114.27272727272727</v>
      </c>
    </row>
    <row r="664" spans="2:7">
      <c r="B664" s="583">
        <v>45990</v>
      </c>
      <c r="C664" s="230" t="s">
        <v>1858</v>
      </c>
      <c r="D664" s="230">
        <v>2</v>
      </c>
      <c r="E664" s="533">
        <v>479</v>
      </c>
      <c r="F664" s="600">
        <f t="shared" si="86"/>
        <v>958</v>
      </c>
      <c r="G664" s="66">
        <f t="shared" si="87"/>
        <v>87.090909090909093</v>
      </c>
    </row>
    <row r="665" spans="2:7">
      <c r="B665" s="583">
        <v>45990</v>
      </c>
      <c r="C665" s="230" t="s">
        <v>1859</v>
      </c>
      <c r="D665" s="230">
        <v>3</v>
      </c>
      <c r="E665" s="533">
        <v>105</v>
      </c>
      <c r="F665" s="600">
        <f t="shared" si="86"/>
        <v>315</v>
      </c>
      <c r="G665" s="66">
        <f t="shared" si="87"/>
        <v>28.636363636363637</v>
      </c>
    </row>
    <row r="666" spans="2:7">
      <c r="B666" s="583">
        <v>45990</v>
      </c>
      <c r="C666" s="230" t="s">
        <v>1860</v>
      </c>
      <c r="D666" s="230">
        <v>2</v>
      </c>
      <c r="E666" s="533">
        <v>299</v>
      </c>
      <c r="F666" s="600">
        <f t="shared" si="86"/>
        <v>598</v>
      </c>
      <c r="G666" s="66">
        <f t="shared" si="87"/>
        <v>54.363636363636367</v>
      </c>
    </row>
    <row r="667" spans="2:7">
      <c r="B667" s="585">
        <v>45990</v>
      </c>
      <c r="C667" s="110" t="s">
        <v>1865</v>
      </c>
      <c r="D667" s="110">
        <v>1</v>
      </c>
      <c r="E667" s="184">
        <v>399</v>
      </c>
      <c r="F667" s="600">
        <f t="shared" si="86"/>
        <v>399</v>
      </c>
      <c r="G667" s="66">
        <f t="shared" si="87"/>
        <v>36.272727272727273</v>
      </c>
    </row>
    <row r="668" spans="2:7">
      <c r="B668" s="583">
        <v>45990</v>
      </c>
      <c r="C668" s="230" t="s">
        <v>1861</v>
      </c>
      <c r="D668" s="230">
        <v>4</v>
      </c>
      <c r="E668" s="533">
        <v>398</v>
      </c>
      <c r="F668" s="600">
        <f t="shared" si="86"/>
        <v>1592</v>
      </c>
      <c r="G668" s="66">
        <f t="shared" si="87"/>
        <v>144.72727272727272</v>
      </c>
    </row>
    <row r="669" spans="2:7">
      <c r="B669" s="585">
        <v>45990</v>
      </c>
      <c r="C669" s="110" t="s">
        <v>1864</v>
      </c>
      <c r="D669" s="110">
        <v>2</v>
      </c>
      <c r="E669" s="184">
        <v>398</v>
      </c>
      <c r="F669" s="600">
        <f t="shared" si="86"/>
        <v>796</v>
      </c>
      <c r="G669" s="66">
        <f t="shared" si="87"/>
        <v>72.36363636363636</v>
      </c>
    </row>
    <row r="670" spans="2:7">
      <c r="B670" s="583">
        <v>45990</v>
      </c>
      <c r="C670" s="230" t="s">
        <v>1682</v>
      </c>
      <c r="D670" s="230">
        <v>4</v>
      </c>
      <c r="E670" s="533">
        <v>398</v>
      </c>
      <c r="F670" s="600">
        <f t="shared" si="86"/>
        <v>1592</v>
      </c>
      <c r="G670" s="66">
        <f t="shared" si="87"/>
        <v>144.72727272727272</v>
      </c>
    </row>
    <row r="671" spans="2:7">
      <c r="B671" s="583">
        <v>45990</v>
      </c>
      <c r="C671" s="230" t="s">
        <v>1862</v>
      </c>
      <c r="D671" s="230">
        <v>3</v>
      </c>
      <c r="E671" s="533">
        <v>398</v>
      </c>
      <c r="F671" s="600">
        <f t="shared" si="86"/>
        <v>1194</v>
      </c>
      <c r="G671" s="66">
        <f t="shared" si="87"/>
        <v>108.54545454545455</v>
      </c>
    </row>
    <row r="672" spans="2:7">
      <c r="B672" s="585">
        <v>45990</v>
      </c>
      <c r="C672" s="110" t="s">
        <v>1863</v>
      </c>
      <c r="D672" s="110">
        <v>5</v>
      </c>
      <c r="E672" s="184">
        <v>398</v>
      </c>
      <c r="F672" s="600">
        <f t="shared" si="86"/>
        <v>1990</v>
      </c>
      <c r="G672" s="66">
        <f t="shared" si="87"/>
        <v>180.90909090909091</v>
      </c>
    </row>
    <row r="673" spans="2:7">
      <c r="B673" s="616">
        <v>45991</v>
      </c>
      <c r="C673" s="612" t="s">
        <v>1881</v>
      </c>
      <c r="D673" s="617">
        <v>18</v>
      </c>
      <c r="E673" s="613">
        <v>398</v>
      </c>
      <c r="F673" s="600">
        <f t="shared" si="86"/>
        <v>7164</v>
      </c>
      <c r="G673" s="66">
        <f t="shared" si="87"/>
        <v>651.27272727272725</v>
      </c>
    </row>
    <row r="674" spans="2:7">
      <c r="B674" s="616">
        <v>45991</v>
      </c>
      <c r="C674" s="612" t="s">
        <v>1882</v>
      </c>
      <c r="D674" s="617">
        <v>9</v>
      </c>
      <c r="E674" s="613">
        <v>398</v>
      </c>
      <c r="F674" s="601">
        <f t="shared" ref="F674:F702" si="88">E674*D674</f>
        <v>3582</v>
      </c>
      <c r="G674" s="66">
        <f t="shared" ref="G674:G702" si="89">F674/11</f>
        <v>325.63636363636363</v>
      </c>
    </row>
    <row r="675" spans="2:7">
      <c r="B675" s="616">
        <v>45991</v>
      </c>
      <c r="C675" s="612" t="s">
        <v>1883</v>
      </c>
      <c r="D675" s="617">
        <v>1</v>
      </c>
      <c r="E675" s="613">
        <v>299</v>
      </c>
      <c r="F675" s="601">
        <f t="shared" si="88"/>
        <v>299</v>
      </c>
      <c r="G675" s="66">
        <f t="shared" si="89"/>
        <v>27.181818181818183</v>
      </c>
    </row>
    <row r="676" spans="2:7">
      <c r="B676" s="616">
        <v>45991</v>
      </c>
      <c r="C676" s="617" t="s">
        <v>1884</v>
      </c>
      <c r="D676" s="617">
        <v>2</v>
      </c>
      <c r="E676" s="613">
        <v>479</v>
      </c>
      <c r="F676" s="601">
        <f t="shared" si="88"/>
        <v>958</v>
      </c>
      <c r="G676" s="66">
        <f t="shared" si="89"/>
        <v>87.090909090909093</v>
      </c>
    </row>
    <row r="677" spans="2:7">
      <c r="B677" s="616">
        <v>45991</v>
      </c>
      <c r="C677" s="617" t="s">
        <v>1885</v>
      </c>
      <c r="D677" s="617">
        <v>8</v>
      </c>
      <c r="E677" s="613">
        <v>125</v>
      </c>
      <c r="F677" s="601">
        <f t="shared" si="88"/>
        <v>1000</v>
      </c>
      <c r="G677" s="66">
        <f t="shared" si="89"/>
        <v>90.909090909090907</v>
      </c>
    </row>
    <row r="678" spans="2:7">
      <c r="B678" s="616">
        <v>45991</v>
      </c>
      <c r="C678" s="617" t="s">
        <v>1886</v>
      </c>
      <c r="D678" s="617">
        <v>1</v>
      </c>
      <c r="E678" s="613">
        <v>380</v>
      </c>
      <c r="F678" s="601">
        <f t="shared" si="88"/>
        <v>380</v>
      </c>
      <c r="G678" s="66">
        <f t="shared" si="89"/>
        <v>34.545454545454547</v>
      </c>
    </row>
    <row r="679" spans="2:7">
      <c r="B679" s="616">
        <v>45991</v>
      </c>
      <c r="C679" s="617" t="s">
        <v>1887</v>
      </c>
      <c r="D679" s="617">
        <v>1</v>
      </c>
      <c r="E679" s="613">
        <v>419</v>
      </c>
      <c r="F679" s="601">
        <f t="shared" si="88"/>
        <v>419</v>
      </c>
      <c r="G679" s="66">
        <f t="shared" si="89"/>
        <v>38.090909090909093</v>
      </c>
    </row>
    <row r="680" spans="2:7">
      <c r="B680" s="616">
        <v>45991</v>
      </c>
      <c r="C680" s="612" t="s">
        <v>1888</v>
      </c>
      <c r="D680" s="617">
        <v>2</v>
      </c>
      <c r="E680" s="613">
        <v>398</v>
      </c>
      <c r="F680" s="601">
        <f t="shared" si="88"/>
        <v>796</v>
      </c>
      <c r="G680" s="66">
        <f t="shared" si="89"/>
        <v>72.36363636363636</v>
      </c>
    </row>
    <row r="681" spans="2:7">
      <c r="B681" s="585">
        <v>45991</v>
      </c>
      <c r="C681" s="110" t="s">
        <v>1896</v>
      </c>
      <c r="D681" s="110">
        <v>2</v>
      </c>
      <c r="E681" s="184">
        <v>398</v>
      </c>
      <c r="F681" s="601">
        <f t="shared" si="88"/>
        <v>796</v>
      </c>
      <c r="G681" s="66">
        <f t="shared" si="89"/>
        <v>72.36363636363636</v>
      </c>
    </row>
    <row r="682" spans="2:7">
      <c r="B682" s="585">
        <v>45991</v>
      </c>
      <c r="C682" s="110" t="s">
        <v>1897</v>
      </c>
      <c r="D682" s="110">
        <v>4</v>
      </c>
      <c r="E682" s="184">
        <v>398</v>
      </c>
      <c r="F682" s="601">
        <f t="shared" si="88"/>
        <v>1592</v>
      </c>
      <c r="G682" s="66">
        <f t="shared" si="89"/>
        <v>144.72727272727272</v>
      </c>
    </row>
    <row r="683" spans="2:7">
      <c r="B683" s="616">
        <v>45991</v>
      </c>
      <c r="C683" s="612" t="s">
        <v>1889</v>
      </c>
      <c r="D683" s="617">
        <v>2</v>
      </c>
      <c r="E683" s="613">
        <v>398</v>
      </c>
      <c r="F683" s="601">
        <f t="shared" si="88"/>
        <v>796</v>
      </c>
      <c r="G683" s="66">
        <f t="shared" si="89"/>
        <v>72.36363636363636</v>
      </c>
    </row>
    <row r="684" spans="2:7">
      <c r="B684" s="616">
        <v>45991</v>
      </c>
      <c r="C684" s="612" t="s">
        <v>1890</v>
      </c>
      <c r="D684" s="612">
        <v>3</v>
      </c>
      <c r="E684" s="613">
        <v>299</v>
      </c>
      <c r="F684" s="601">
        <f t="shared" si="88"/>
        <v>897</v>
      </c>
      <c r="G684" s="66">
        <f t="shared" si="89"/>
        <v>81.545454545454547</v>
      </c>
    </row>
    <row r="685" spans="2:7">
      <c r="B685" s="616">
        <v>45991</v>
      </c>
      <c r="C685" s="612" t="s">
        <v>1891</v>
      </c>
      <c r="D685" s="612">
        <v>2</v>
      </c>
      <c r="E685" s="613">
        <v>479</v>
      </c>
      <c r="F685" s="601">
        <f t="shared" si="88"/>
        <v>958</v>
      </c>
      <c r="G685" s="66">
        <f t="shared" si="89"/>
        <v>87.090909090909093</v>
      </c>
    </row>
    <row r="686" spans="2:7">
      <c r="B686" s="616">
        <v>45991</v>
      </c>
      <c r="C686" s="612" t="s">
        <v>1892</v>
      </c>
      <c r="D686" s="612">
        <v>8</v>
      </c>
      <c r="E686" s="613">
        <v>125</v>
      </c>
      <c r="F686" s="601">
        <f t="shared" si="88"/>
        <v>1000</v>
      </c>
      <c r="G686" s="66">
        <f t="shared" si="89"/>
        <v>90.909090909090907</v>
      </c>
    </row>
    <row r="687" spans="2:7">
      <c r="B687" s="616">
        <v>45991</v>
      </c>
      <c r="C687" s="612" t="s">
        <v>1893</v>
      </c>
      <c r="D687" s="612">
        <v>7</v>
      </c>
      <c r="E687" s="613">
        <v>380</v>
      </c>
      <c r="F687" s="601">
        <f t="shared" si="88"/>
        <v>2660</v>
      </c>
      <c r="G687" s="66">
        <f t="shared" si="89"/>
        <v>241.81818181818181</v>
      </c>
    </row>
    <row r="688" spans="2:7">
      <c r="B688" s="585">
        <v>45991</v>
      </c>
      <c r="C688" s="110" t="s">
        <v>1898</v>
      </c>
      <c r="D688" s="110">
        <v>3</v>
      </c>
      <c r="E688" s="184">
        <v>410</v>
      </c>
      <c r="F688" s="601">
        <f t="shared" si="88"/>
        <v>1230</v>
      </c>
      <c r="G688" s="66">
        <f t="shared" si="89"/>
        <v>111.81818181818181</v>
      </c>
    </row>
    <row r="689" spans="2:7">
      <c r="B689" s="616">
        <v>45991</v>
      </c>
      <c r="C689" s="612" t="s">
        <v>1894</v>
      </c>
      <c r="D689" s="612">
        <v>47</v>
      </c>
      <c r="E689" s="613">
        <v>398</v>
      </c>
      <c r="F689" s="601">
        <f t="shared" si="88"/>
        <v>18706</v>
      </c>
      <c r="G689" s="66">
        <f t="shared" si="89"/>
        <v>1700.5454545454545</v>
      </c>
    </row>
    <row r="690" spans="2:7">
      <c r="B690" s="616">
        <v>45992</v>
      </c>
      <c r="C690" s="612" t="s">
        <v>1937</v>
      </c>
      <c r="D690" s="612">
        <v>2</v>
      </c>
      <c r="E690" s="621">
        <v>399</v>
      </c>
      <c r="F690" s="601">
        <f t="shared" si="88"/>
        <v>798</v>
      </c>
      <c r="G690" s="66">
        <f t="shared" si="89"/>
        <v>72.545454545454547</v>
      </c>
    </row>
    <row r="691" spans="2:7">
      <c r="B691" s="616">
        <v>45992</v>
      </c>
      <c r="C691" s="612" t="s">
        <v>1938</v>
      </c>
      <c r="D691" s="612">
        <v>2</v>
      </c>
      <c r="E691" s="621">
        <v>398</v>
      </c>
      <c r="F691" s="601">
        <f t="shared" si="88"/>
        <v>796</v>
      </c>
      <c r="G691" s="66">
        <f t="shared" si="89"/>
        <v>72.36363636363636</v>
      </c>
    </row>
    <row r="692" spans="2:7">
      <c r="B692" s="585">
        <v>45992</v>
      </c>
      <c r="C692" s="110" t="s">
        <v>1939</v>
      </c>
      <c r="D692" s="110">
        <v>2</v>
      </c>
      <c r="E692" s="623">
        <v>479</v>
      </c>
      <c r="F692" s="601">
        <f t="shared" si="88"/>
        <v>958</v>
      </c>
      <c r="G692" s="66">
        <f t="shared" si="89"/>
        <v>87.090909090909093</v>
      </c>
    </row>
    <row r="693" spans="2:7">
      <c r="B693" s="585">
        <v>45992</v>
      </c>
      <c r="C693" s="110" t="s">
        <v>1890</v>
      </c>
      <c r="D693" s="110">
        <v>2</v>
      </c>
      <c r="E693" s="623">
        <v>299</v>
      </c>
      <c r="F693" s="601">
        <f t="shared" si="88"/>
        <v>598</v>
      </c>
      <c r="G693" s="66">
        <f t="shared" si="89"/>
        <v>54.363636363636367</v>
      </c>
    </row>
    <row r="694" spans="2:7">
      <c r="B694" s="585">
        <v>45992</v>
      </c>
      <c r="C694" s="110" t="s">
        <v>1940</v>
      </c>
      <c r="D694" s="110">
        <v>3</v>
      </c>
      <c r="E694" s="623">
        <v>419</v>
      </c>
      <c r="F694" s="601">
        <f t="shared" si="88"/>
        <v>1257</v>
      </c>
      <c r="G694" s="66">
        <f t="shared" si="89"/>
        <v>114.27272727272727</v>
      </c>
    </row>
    <row r="695" spans="2:7">
      <c r="B695" s="585">
        <v>45992</v>
      </c>
      <c r="C695" s="110" t="s">
        <v>1892</v>
      </c>
      <c r="D695" s="110">
        <v>10</v>
      </c>
      <c r="E695" s="623">
        <v>125</v>
      </c>
      <c r="F695" s="601">
        <f t="shared" si="88"/>
        <v>1250</v>
      </c>
      <c r="G695" s="66">
        <f t="shared" si="89"/>
        <v>113.63636363636364</v>
      </c>
    </row>
    <row r="696" spans="2:7">
      <c r="B696" s="616">
        <v>45992</v>
      </c>
      <c r="C696" s="612" t="s">
        <v>1939</v>
      </c>
      <c r="D696" s="612">
        <v>2</v>
      </c>
      <c r="E696" s="621">
        <v>479</v>
      </c>
      <c r="F696" s="601">
        <f t="shared" si="88"/>
        <v>958</v>
      </c>
      <c r="G696" s="66">
        <f t="shared" si="89"/>
        <v>87.090909090909093</v>
      </c>
    </row>
    <row r="697" spans="2:7">
      <c r="B697" s="616">
        <v>45992</v>
      </c>
      <c r="C697" s="612" t="s">
        <v>1890</v>
      </c>
      <c r="D697" s="612">
        <v>1</v>
      </c>
      <c r="E697" s="621">
        <v>299</v>
      </c>
      <c r="F697" s="601">
        <f t="shared" si="88"/>
        <v>299</v>
      </c>
      <c r="G697" s="66">
        <f t="shared" si="89"/>
        <v>27.181818181818183</v>
      </c>
    </row>
    <row r="698" spans="2:7">
      <c r="B698" s="620">
        <v>45992</v>
      </c>
      <c r="C698" s="76" t="s">
        <v>1940</v>
      </c>
      <c r="D698" s="76">
        <v>3</v>
      </c>
      <c r="E698" s="622">
        <v>419</v>
      </c>
      <c r="F698" s="601">
        <f t="shared" si="88"/>
        <v>1257</v>
      </c>
      <c r="G698" s="66">
        <f t="shared" si="89"/>
        <v>114.27272727272727</v>
      </c>
    </row>
    <row r="699" spans="2:7">
      <c r="B699" s="616">
        <v>45992</v>
      </c>
      <c r="C699" s="612" t="s">
        <v>1941</v>
      </c>
      <c r="D699" s="612">
        <v>1</v>
      </c>
      <c r="E699" s="621">
        <v>659</v>
      </c>
      <c r="F699" s="601">
        <f t="shared" si="88"/>
        <v>659</v>
      </c>
      <c r="G699" s="66">
        <f t="shared" si="89"/>
        <v>59.909090909090907</v>
      </c>
    </row>
    <row r="700" spans="2:7">
      <c r="B700" s="616">
        <v>45992</v>
      </c>
      <c r="C700" s="612" t="s">
        <v>1942</v>
      </c>
      <c r="D700" s="612">
        <v>1</v>
      </c>
      <c r="E700" s="621">
        <v>509</v>
      </c>
      <c r="F700" s="601">
        <f t="shared" si="88"/>
        <v>509</v>
      </c>
      <c r="G700" s="66">
        <f t="shared" si="89"/>
        <v>46.272727272727273</v>
      </c>
    </row>
    <row r="701" spans="2:7">
      <c r="B701" s="585">
        <v>45992</v>
      </c>
      <c r="C701" s="110" t="s">
        <v>1943</v>
      </c>
      <c r="D701" s="110">
        <v>12</v>
      </c>
      <c r="E701" s="623">
        <v>398</v>
      </c>
      <c r="F701" s="601">
        <f t="shared" si="88"/>
        <v>4776</v>
      </c>
      <c r="G701" s="66">
        <f t="shared" si="89"/>
        <v>434.18181818181819</v>
      </c>
    </row>
    <row r="702" spans="2:7">
      <c r="B702" s="616">
        <v>45993</v>
      </c>
      <c r="C702" s="612" t="s">
        <v>1944</v>
      </c>
      <c r="D702" s="612">
        <v>2</v>
      </c>
      <c r="E702" s="621">
        <v>398</v>
      </c>
      <c r="F702" s="601">
        <f t="shared" si="88"/>
        <v>796</v>
      </c>
      <c r="G702" s="66">
        <f t="shared" si="89"/>
        <v>72.36363636363636</v>
      </c>
    </row>
    <row r="703" spans="2:7">
      <c r="B703" s="616">
        <v>45993</v>
      </c>
      <c r="C703" s="612" t="s">
        <v>1945</v>
      </c>
      <c r="D703" s="612">
        <v>2</v>
      </c>
      <c r="E703" s="621">
        <v>398</v>
      </c>
      <c r="F703" s="619">
        <f t="shared" ref="F703:F761" si="90">E703*D703</f>
        <v>796</v>
      </c>
      <c r="G703" s="66">
        <f t="shared" ref="G703:G762" si="91">F703/11</f>
        <v>72.36363636363636</v>
      </c>
    </row>
    <row r="704" spans="2:7">
      <c r="B704" s="585">
        <v>45993</v>
      </c>
      <c r="C704" s="110" t="s">
        <v>1943</v>
      </c>
      <c r="D704" s="110">
        <v>1</v>
      </c>
      <c r="E704" s="623">
        <v>398</v>
      </c>
      <c r="F704" s="619">
        <f t="shared" si="90"/>
        <v>398</v>
      </c>
      <c r="G704" s="66">
        <f t="shared" si="91"/>
        <v>36.18181818181818</v>
      </c>
    </row>
    <row r="705" spans="2:7">
      <c r="B705" s="616">
        <v>45993</v>
      </c>
      <c r="C705" s="612" t="s">
        <v>1895</v>
      </c>
      <c r="D705" s="612">
        <v>1</v>
      </c>
      <c r="E705" s="621">
        <v>130</v>
      </c>
      <c r="F705" s="619">
        <f t="shared" si="90"/>
        <v>130</v>
      </c>
      <c r="G705" s="66">
        <f t="shared" si="91"/>
        <v>11.818181818181818</v>
      </c>
    </row>
    <row r="706" spans="2:7">
      <c r="B706" s="616">
        <v>45993</v>
      </c>
      <c r="C706" s="612" t="s">
        <v>1946</v>
      </c>
      <c r="D706" s="612">
        <v>5</v>
      </c>
      <c r="E706" s="621">
        <v>105</v>
      </c>
      <c r="F706" s="619">
        <f t="shared" si="90"/>
        <v>525</v>
      </c>
      <c r="G706" s="66">
        <f t="shared" si="91"/>
        <v>47.727272727272727</v>
      </c>
    </row>
    <row r="707" spans="2:7">
      <c r="B707" s="616">
        <v>45993</v>
      </c>
      <c r="C707" s="612" t="s">
        <v>1947</v>
      </c>
      <c r="D707" s="612">
        <v>2</v>
      </c>
      <c r="E707" s="621">
        <v>299</v>
      </c>
      <c r="F707" s="619">
        <f t="shared" si="90"/>
        <v>598</v>
      </c>
      <c r="G707" s="66">
        <f t="shared" si="91"/>
        <v>54.363636363636367</v>
      </c>
    </row>
    <row r="708" spans="2:7">
      <c r="B708" s="616">
        <v>45993</v>
      </c>
      <c r="C708" s="612" t="s">
        <v>1948</v>
      </c>
      <c r="D708" s="612">
        <v>4</v>
      </c>
      <c r="E708" s="621">
        <v>125</v>
      </c>
      <c r="F708" s="619">
        <f t="shared" si="90"/>
        <v>500</v>
      </c>
      <c r="G708" s="66">
        <f t="shared" si="91"/>
        <v>45.454545454545453</v>
      </c>
    </row>
    <row r="709" spans="2:7">
      <c r="B709" s="616">
        <v>45993</v>
      </c>
      <c r="C709" s="612" t="s">
        <v>1949</v>
      </c>
      <c r="D709" s="612">
        <v>2</v>
      </c>
      <c r="E709" s="621">
        <v>479</v>
      </c>
      <c r="F709" s="619">
        <f t="shared" si="90"/>
        <v>958</v>
      </c>
      <c r="G709" s="66">
        <f t="shared" si="91"/>
        <v>87.090909090909093</v>
      </c>
    </row>
    <row r="710" spans="2:7">
      <c r="B710" s="616">
        <v>45993</v>
      </c>
      <c r="C710" s="612" t="s">
        <v>1950</v>
      </c>
      <c r="D710" s="612">
        <v>1</v>
      </c>
      <c r="E710" s="621">
        <v>299</v>
      </c>
      <c r="F710" s="619">
        <f t="shared" si="90"/>
        <v>299</v>
      </c>
      <c r="G710" s="66">
        <f t="shared" si="91"/>
        <v>27.181818181818183</v>
      </c>
    </row>
    <row r="711" spans="2:7">
      <c r="B711" s="616">
        <v>45993</v>
      </c>
      <c r="C711" s="612" t="s">
        <v>1951</v>
      </c>
      <c r="D711" s="612">
        <v>2</v>
      </c>
      <c r="E711" s="621">
        <v>478</v>
      </c>
      <c r="F711" s="619">
        <f t="shared" si="90"/>
        <v>956</v>
      </c>
      <c r="G711" s="66">
        <f t="shared" si="91"/>
        <v>86.909090909090907</v>
      </c>
    </row>
    <row r="712" spans="2:7">
      <c r="B712" s="616">
        <v>45993</v>
      </c>
      <c r="C712" s="612" t="s">
        <v>1952</v>
      </c>
      <c r="D712" s="612">
        <v>3</v>
      </c>
      <c r="E712" s="621">
        <v>399</v>
      </c>
      <c r="F712" s="619">
        <f t="shared" si="90"/>
        <v>1197</v>
      </c>
      <c r="G712" s="66">
        <f t="shared" si="91"/>
        <v>108.81818181818181</v>
      </c>
    </row>
    <row r="713" spans="2:7">
      <c r="B713" s="616">
        <v>45994</v>
      </c>
      <c r="C713" s="612" t="s">
        <v>1953</v>
      </c>
      <c r="D713" s="612">
        <v>12</v>
      </c>
      <c r="E713" s="621">
        <v>398</v>
      </c>
      <c r="F713" s="619">
        <f t="shared" si="90"/>
        <v>4776</v>
      </c>
      <c r="G713" s="66">
        <f t="shared" si="91"/>
        <v>434.18181818181819</v>
      </c>
    </row>
    <row r="714" spans="2:7">
      <c r="B714" s="616">
        <v>45994</v>
      </c>
      <c r="C714" s="612" t="s">
        <v>1954</v>
      </c>
      <c r="D714" s="612">
        <v>1</v>
      </c>
      <c r="E714" s="621">
        <v>598</v>
      </c>
      <c r="F714" s="619">
        <f t="shared" si="90"/>
        <v>598</v>
      </c>
      <c r="G714" s="66">
        <f t="shared" si="91"/>
        <v>54.363636363636367</v>
      </c>
    </row>
    <row r="715" spans="2:7">
      <c r="B715" s="616">
        <v>45994</v>
      </c>
      <c r="C715" s="612" t="s">
        <v>1955</v>
      </c>
      <c r="D715" s="612">
        <v>6</v>
      </c>
      <c r="E715" s="621">
        <v>103</v>
      </c>
      <c r="F715" s="619">
        <f t="shared" si="90"/>
        <v>618</v>
      </c>
      <c r="G715" s="66">
        <f t="shared" si="91"/>
        <v>56.18181818181818</v>
      </c>
    </row>
    <row r="716" spans="2:7">
      <c r="B716" s="616">
        <v>45994</v>
      </c>
      <c r="C716" s="612" t="s">
        <v>1956</v>
      </c>
      <c r="D716" s="612">
        <v>2</v>
      </c>
      <c r="E716" s="621">
        <v>629</v>
      </c>
      <c r="F716" s="619">
        <f t="shared" si="90"/>
        <v>1258</v>
      </c>
      <c r="G716" s="66">
        <f t="shared" si="91"/>
        <v>114.36363636363636</v>
      </c>
    </row>
    <row r="717" spans="2:7">
      <c r="B717" s="616">
        <v>45994</v>
      </c>
      <c r="C717" s="612" t="s">
        <v>1957</v>
      </c>
      <c r="D717" s="612">
        <v>1</v>
      </c>
      <c r="E717" s="621">
        <v>69</v>
      </c>
      <c r="F717" s="619">
        <f t="shared" si="90"/>
        <v>69</v>
      </c>
      <c r="G717" s="66">
        <f t="shared" si="91"/>
        <v>6.2727272727272725</v>
      </c>
    </row>
    <row r="718" spans="2:7">
      <c r="B718" s="616">
        <v>45994</v>
      </c>
      <c r="C718" s="612" t="s">
        <v>1958</v>
      </c>
      <c r="D718" s="612">
        <v>1</v>
      </c>
      <c r="E718" s="621">
        <v>44</v>
      </c>
      <c r="F718" s="619">
        <f t="shared" si="90"/>
        <v>44</v>
      </c>
      <c r="G718" s="66">
        <f t="shared" si="91"/>
        <v>4</v>
      </c>
    </row>
    <row r="719" spans="2:7">
      <c r="B719" s="616">
        <v>45994</v>
      </c>
      <c r="C719" s="612" t="s">
        <v>1959</v>
      </c>
      <c r="D719" s="612">
        <v>2</v>
      </c>
      <c r="E719" s="621">
        <v>299</v>
      </c>
      <c r="F719" s="619">
        <f t="shared" si="90"/>
        <v>598</v>
      </c>
      <c r="G719" s="66">
        <f t="shared" si="91"/>
        <v>54.363636363636367</v>
      </c>
    </row>
    <row r="720" spans="2:7">
      <c r="B720" s="616">
        <v>45994</v>
      </c>
      <c r="C720" s="612" t="s">
        <v>1960</v>
      </c>
      <c r="D720" s="612">
        <v>14</v>
      </c>
      <c r="E720" s="621">
        <v>125</v>
      </c>
      <c r="F720" s="619">
        <f t="shared" si="90"/>
        <v>1750</v>
      </c>
      <c r="G720" s="66">
        <f t="shared" si="91"/>
        <v>159.09090909090909</v>
      </c>
    </row>
    <row r="721" spans="2:7">
      <c r="B721" s="616">
        <v>45994</v>
      </c>
      <c r="C721" s="612" t="s">
        <v>1961</v>
      </c>
      <c r="D721" s="612">
        <v>1</v>
      </c>
      <c r="E721" s="621">
        <v>419</v>
      </c>
      <c r="F721" s="619">
        <f t="shared" si="90"/>
        <v>419</v>
      </c>
      <c r="G721" s="66">
        <f t="shared" si="91"/>
        <v>38.090909090909093</v>
      </c>
    </row>
    <row r="722" spans="2:7">
      <c r="B722" s="585">
        <v>45994</v>
      </c>
      <c r="C722" s="110" t="s">
        <v>1962</v>
      </c>
      <c r="D722" s="110">
        <v>5</v>
      </c>
      <c r="E722" s="623">
        <v>419</v>
      </c>
      <c r="F722" s="619">
        <f t="shared" si="90"/>
        <v>2095</v>
      </c>
      <c r="G722" s="66">
        <f t="shared" si="91"/>
        <v>190.45454545454547</v>
      </c>
    </row>
    <row r="723" spans="2:7">
      <c r="B723" s="585">
        <v>45994</v>
      </c>
      <c r="C723" s="110" t="s">
        <v>1959</v>
      </c>
      <c r="D723" s="110">
        <v>1</v>
      </c>
      <c r="E723" s="623">
        <v>299</v>
      </c>
      <c r="F723" s="619">
        <f t="shared" si="90"/>
        <v>299</v>
      </c>
      <c r="G723" s="66">
        <f t="shared" si="91"/>
        <v>27.181818181818183</v>
      </c>
    </row>
    <row r="724" spans="2:7">
      <c r="B724" s="585">
        <v>45994</v>
      </c>
      <c r="C724" s="110" t="s">
        <v>1959</v>
      </c>
      <c r="D724" s="110">
        <v>2</v>
      </c>
      <c r="E724" s="623">
        <v>299</v>
      </c>
      <c r="F724" s="619">
        <f t="shared" si="90"/>
        <v>598</v>
      </c>
      <c r="G724" s="66">
        <f t="shared" si="91"/>
        <v>54.363636363636367</v>
      </c>
    </row>
    <row r="725" spans="2:7">
      <c r="B725" s="585">
        <v>45994</v>
      </c>
      <c r="C725" s="110" t="s">
        <v>1959</v>
      </c>
      <c r="D725" s="110">
        <v>1</v>
      </c>
      <c r="E725" s="623">
        <v>299</v>
      </c>
      <c r="F725" s="619">
        <f t="shared" si="90"/>
        <v>299</v>
      </c>
      <c r="G725" s="66">
        <f t="shared" si="91"/>
        <v>27.181818181818183</v>
      </c>
    </row>
    <row r="726" spans="2:7">
      <c r="B726" s="585">
        <v>45994</v>
      </c>
      <c r="C726" s="110" t="s">
        <v>1963</v>
      </c>
      <c r="D726" s="110">
        <v>2</v>
      </c>
      <c r="E726" s="623">
        <v>479</v>
      </c>
      <c r="F726" s="619">
        <f t="shared" si="90"/>
        <v>958</v>
      </c>
      <c r="G726" s="66">
        <f t="shared" si="91"/>
        <v>87.090909090909093</v>
      </c>
    </row>
    <row r="727" spans="2:7">
      <c r="B727" s="616">
        <v>45994</v>
      </c>
      <c r="C727" s="612" t="s">
        <v>1964</v>
      </c>
      <c r="D727" s="612">
        <v>2</v>
      </c>
      <c r="E727" s="621">
        <v>479</v>
      </c>
      <c r="F727" s="619">
        <f t="shared" si="90"/>
        <v>958</v>
      </c>
      <c r="G727" s="66">
        <f t="shared" si="91"/>
        <v>87.090909090909093</v>
      </c>
    </row>
    <row r="728" spans="2:7">
      <c r="B728" s="624">
        <v>45994</v>
      </c>
      <c r="C728" s="313" t="s">
        <v>1965</v>
      </c>
      <c r="D728" s="313">
        <v>1</v>
      </c>
      <c r="E728" s="625">
        <v>499</v>
      </c>
      <c r="F728" s="619">
        <f t="shared" si="90"/>
        <v>499</v>
      </c>
      <c r="G728" s="66">
        <f t="shared" si="91"/>
        <v>45.363636363636367</v>
      </c>
    </row>
    <row r="729" spans="2:7">
      <c r="B729" s="616">
        <v>45994</v>
      </c>
      <c r="C729" s="612" t="s">
        <v>1966</v>
      </c>
      <c r="D729" s="612">
        <v>4</v>
      </c>
      <c r="E729" s="621">
        <v>398</v>
      </c>
      <c r="F729" s="619">
        <f t="shared" si="90"/>
        <v>1592</v>
      </c>
      <c r="G729" s="66">
        <f t="shared" si="91"/>
        <v>144.72727272727272</v>
      </c>
    </row>
    <row r="730" spans="2:7">
      <c r="B730" s="634">
        <v>45995</v>
      </c>
      <c r="C730" s="284" t="s">
        <v>1959</v>
      </c>
      <c r="D730" s="384">
        <v>1</v>
      </c>
      <c r="E730" s="635">
        <v>299</v>
      </c>
      <c r="F730" s="619">
        <f t="shared" si="90"/>
        <v>299</v>
      </c>
      <c r="G730" s="66">
        <f t="shared" si="91"/>
        <v>27.181818181818183</v>
      </c>
    </row>
    <row r="731" spans="2:7">
      <c r="B731" s="616">
        <v>45995</v>
      </c>
      <c r="C731" s="612" t="s">
        <v>1945</v>
      </c>
      <c r="D731" s="614">
        <v>2</v>
      </c>
      <c r="E731" s="621">
        <v>399</v>
      </c>
      <c r="F731" s="619">
        <f t="shared" si="90"/>
        <v>798</v>
      </c>
      <c r="G731" s="66">
        <f t="shared" si="91"/>
        <v>72.545454545454547</v>
      </c>
    </row>
    <row r="732" spans="2:7">
      <c r="B732" s="616">
        <v>45995</v>
      </c>
      <c r="C732" s="612" t="s">
        <v>2036</v>
      </c>
      <c r="D732" s="614">
        <v>3</v>
      </c>
      <c r="E732" s="621">
        <v>419</v>
      </c>
      <c r="F732" s="619">
        <f t="shared" si="90"/>
        <v>1257</v>
      </c>
      <c r="G732" s="66">
        <f t="shared" si="91"/>
        <v>114.27272727272727</v>
      </c>
    </row>
    <row r="733" spans="2:7">
      <c r="B733" s="616">
        <v>45995</v>
      </c>
      <c r="C733" s="612" t="s">
        <v>2037</v>
      </c>
      <c r="D733" s="614">
        <v>2</v>
      </c>
      <c r="E733" s="621">
        <v>299</v>
      </c>
      <c r="F733" s="619">
        <f t="shared" si="90"/>
        <v>598</v>
      </c>
      <c r="G733" s="66">
        <f t="shared" si="91"/>
        <v>54.363636363636367</v>
      </c>
    </row>
    <row r="734" spans="2:7">
      <c r="B734" s="616">
        <v>45995</v>
      </c>
      <c r="C734" s="612" t="s">
        <v>2038</v>
      </c>
      <c r="D734" s="614">
        <v>2</v>
      </c>
      <c r="E734" s="621">
        <v>398</v>
      </c>
      <c r="F734" s="619">
        <f t="shared" si="90"/>
        <v>796</v>
      </c>
      <c r="G734" s="66">
        <f t="shared" si="91"/>
        <v>72.36363636363636</v>
      </c>
    </row>
    <row r="735" spans="2:7">
      <c r="B735" s="616">
        <v>45995</v>
      </c>
      <c r="C735" s="612" t="s">
        <v>2039</v>
      </c>
      <c r="D735" s="614">
        <v>2</v>
      </c>
      <c r="E735" s="621">
        <v>398</v>
      </c>
      <c r="F735" s="619">
        <f t="shared" si="90"/>
        <v>796</v>
      </c>
      <c r="G735" s="66">
        <f t="shared" si="91"/>
        <v>72.36363636363636</v>
      </c>
    </row>
    <row r="736" spans="2:7">
      <c r="B736" s="616">
        <v>45995</v>
      </c>
      <c r="C736" s="612" t="s">
        <v>2039</v>
      </c>
      <c r="D736" s="614">
        <v>2</v>
      </c>
      <c r="E736" s="621">
        <v>398</v>
      </c>
      <c r="F736" s="619">
        <f t="shared" si="90"/>
        <v>796</v>
      </c>
      <c r="G736" s="66">
        <f t="shared" si="91"/>
        <v>72.36363636363636</v>
      </c>
    </row>
    <row r="737" spans="2:7">
      <c r="B737" s="616">
        <v>45995</v>
      </c>
      <c r="C737" s="612" t="s">
        <v>2040</v>
      </c>
      <c r="D737" s="614">
        <v>1</v>
      </c>
      <c r="E737" s="621">
        <v>399</v>
      </c>
      <c r="F737" s="619">
        <f t="shared" si="90"/>
        <v>399</v>
      </c>
      <c r="G737" s="66">
        <f t="shared" si="91"/>
        <v>36.272727272727273</v>
      </c>
    </row>
    <row r="738" spans="2:7">
      <c r="B738" s="616">
        <v>45995</v>
      </c>
      <c r="C738" s="612" t="s">
        <v>2041</v>
      </c>
      <c r="D738" s="614">
        <v>1</v>
      </c>
      <c r="E738" s="621">
        <v>299</v>
      </c>
      <c r="F738" s="619">
        <f t="shared" si="90"/>
        <v>299</v>
      </c>
      <c r="G738" s="66">
        <f t="shared" si="91"/>
        <v>27.181818181818183</v>
      </c>
    </row>
    <row r="739" spans="2:7">
      <c r="B739" s="616">
        <v>45995</v>
      </c>
      <c r="C739" s="612" t="s">
        <v>1769</v>
      </c>
      <c r="D739" s="614">
        <v>5</v>
      </c>
      <c r="E739" s="621">
        <v>125</v>
      </c>
      <c r="F739" s="619">
        <f t="shared" si="90"/>
        <v>625</v>
      </c>
      <c r="G739" s="66">
        <f t="shared" si="91"/>
        <v>56.81818181818182</v>
      </c>
    </row>
    <row r="740" spans="2:7">
      <c r="B740" s="585">
        <v>45995</v>
      </c>
      <c r="C740" s="110" t="s">
        <v>2043</v>
      </c>
      <c r="D740" s="127">
        <v>1</v>
      </c>
      <c r="E740" s="623">
        <v>299</v>
      </c>
      <c r="F740" s="619">
        <f t="shared" si="90"/>
        <v>299</v>
      </c>
      <c r="G740" s="66">
        <f t="shared" si="91"/>
        <v>27.181818181818183</v>
      </c>
    </row>
    <row r="741" spans="2:7">
      <c r="B741" s="616">
        <v>45995</v>
      </c>
      <c r="C741" s="612" t="s">
        <v>2042</v>
      </c>
      <c r="D741" s="614">
        <v>4</v>
      </c>
      <c r="E741" s="621">
        <v>419</v>
      </c>
      <c r="F741" s="619">
        <f t="shared" si="90"/>
        <v>1676</v>
      </c>
      <c r="G741" s="66">
        <f t="shared" si="91"/>
        <v>152.36363636363637</v>
      </c>
    </row>
    <row r="742" spans="2:7">
      <c r="B742" s="616">
        <v>45995</v>
      </c>
      <c r="C742" s="612" t="s">
        <v>2041</v>
      </c>
      <c r="D742" s="614">
        <v>1</v>
      </c>
      <c r="E742" s="621">
        <v>299</v>
      </c>
      <c r="F742" s="619">
        <f t="shared" si="90"/>
        <v>299</v>
      </c>
      <c r="G742" s="66">
        <f t="shared" si="91"/>
        <v>27.181818181818183</v>
      </c>
    </row>
    <row r="743" spans="2:7">
      <c r="B743" s="585">
        <v>45995</v>
      </c>
      <c r="C743" s="110" t="s">
        <v>2044</v>
      </c>
      <c r="D743" s="127">
        <v>0</v>
      </c>
      <c r="E743" s="623">
        <v>479</v>
      </c>
      <c r="F743" s="619">
        <f t="shared" si="90"/>
        <v>0</v>
      </c>
      <c r="G743" s="66">
        <f t="shared" si="91"/>
        <v>0</v>
      </c>
    </row>
    <row r="744" spans="2:7">
      <c r="B744" s="634">
        <v>45996</v>
      </c>
      <c r="C744" s="284" t="s">
        <v>1769</v>
      </c>
      <c r="D744" s="384">
        <v>2</v>
      </c>
      <c r="E744" s="635">
        <v>125</v>
      </c>
      <c r="F744" s="619">
        <f t="shared" si="90"/>
        <v>250</v>
      </c>
      <c r="G744" s="66">
        <f t="shared" si="91"/>
        <v>22.727272727272727</v>
      </c>
    </row>
    <row r="745" spans="2:7">
      <c r="B745" s="616">
        <v>45996</v>
      </c>
      <c r="C745" s="612" t="s">
        <v>1860</v>
      </c>
      <c r="D745" s="614">
        <v>3</v>
      </c>
      <c r="E745" s="621">
        <v>329</v>
      </c>
      <c r="F745" s="619">
        <f t="shared" si="90"/>
        <v>987</v>
      </c>
      <c r="G745" s="66">
        <f t="shared" si="91"/>
        <v>89.727272727272734</v>
      </c>
    </row>
    <row r="746" spans="2:7">
      <c r="B746" s="616">
        <v>45996</v>
      </c>
      <c r="C746" s="612" t="s">
        <v>2045</v>
      </c>
      <c r="D746" s="614">
        <v>1</v>
      </c>
      <c r="E746" s="621">
        <v>429</v>
      </c>
      <c r="F746" s="619">
        <f t="shared" si="90"/>
        <v>429</v>
      </c>
      <c r="G746" s="66">
        <f t="shared" si="91"/>
        <v>39</v>
      </c>
    </row>
    <row r="747" spans="2:7">
      <c r="B747" s="616">
        <v>45996</v>
      </c>
      <c r="C747" s="612" t="s">
        <v>2046</v>
      </c>
      <c r="D747" s="614">
        <v>2</v>
      </c>
      <c r="E747" s="621">
        <v>629</v>
      </c>
      <c r="F747" s="619">
        <f t="shared" si="90"/>
        <v>1258</v>
      </c>
      <c r="G747" s="66">
        <f t="shared" si="91"/>
        <v>114.36363636363636</v>
      </c>
    </row>
    <row r="748" spans="2:7">
      <c r="B748" s="616">
        <v>45996</v>
      </c>
      <c r="C748" s="612" t="s">
        <v>2047</v>
      </c>
      <c r="D748" s="614">
        <v>2</v>
      </c>
      <c r="E748" s="621">
        <v>398</v>
      </c>
      <c r="F748" s="619">
        <f t="shared" si="90"/>
        <v>796</v>
      </c>
      <c r="G748" s="66">
        <f t="shared" si="91"/>
        <v>72.36363636363636</v>
      </c>
    </row>
    <row r="749" spans="2:7">
      <c r="B749" s="616">
        <v>45996</v>
      </c>
      <c r="C749" s="612" t="s">
        <v>2048</v>
      </c>
      <c r="D749" s="614">
        <v>4</v>
      </c>
      <c r="E749" s="621">
        <v>398</v>
      </c>
      <c r="F749" s="619">
        <f t="shared" si="90"/>
        <v>1592</v>
      </c>
      <c r="G749" s="66">
        <f t="shared" si="91"/>
        <v>144.72727272727272</v>
      </c>
    </row>
    <row r="750" spans="2:7">
      <c r="B750" s="616">
        <v>45996</v>
      </c>
      <c r="C750" s="612" t="s">
        <v>2049</v>
      </c>
      <c r="D750" s="614">
        <v>2</v>
      </c>
      <c r="E750" s="621">
        <v>398</v>
      </c>
      <c r="F750" s="619">
        <f t="shared" si="90"/>
        <v>796</v>
      </c>
      <c r="G750" s="66">
        <f t="shared" si="91"/>
        <v>72.36363636363636</v>
      </c>
    </row>
    <row r="751" spans="2:7">
      <c r="B751" s="616">
        <v>45997</v>
      </c>
      <c r="C751" s="612" t="s">
        <v>2050</v>
      </c>
      <c r="D751" s="614">
        <v>20</v>
      </c>
      <c r="E751" s="621">
        <v>380</v>
      </c>
      <c r="F751" s="619">
        <f t="shared" si="90"/>
        <v>7600</v>
      </c>
      <c r="G751" s="66">
        <f t="shared" si="91"/>
        <v>690.90909090909088</v>
      </c>
    </row>
    <row r="752" spans="2:7">
      <c r="B752" s="616">
        <v>45998</v>
      </c>
      <c r="C752" s="612" t="s">
        <v>2051</v>
      </c>
      <c r="D752" s="614">
        <v>4</v>
      </c>
      <c r="E752" s="621">
        <v>398</v>
      </c>
      <c r="F752" s="619">
        <f t="shared" si="90"/>
        <v>1592</v>
      </c>
      <c r="G752" s="66">
        <f t="shared" si="91"/>
        <v>144.72727272727272</v>
      </c>
    </row>
    <row r="753" spans="2:7">
      <c r="B753" s="616">
        <v>45998</v>
      </c>
      <c r="C753" s="612" t="s">
        <v>2052</v>
      </c>
      <c r="D753" s="614">
        <v>2</v>
      </c>
      <c r="E753" s="621">
        <v>398</v>
      </c>
      <c r="F753" s="619">
        <f t="shared" si="90"/>
        <v>796</v>
      </c>
      <c r="G753" s="66">
        <f t="shared" si="91"/>
        <v>72.36363636363636</v>
      </c>
    </row>
    <row r="754" spans="2:7">
      <c r="B754" s="616">
        <v>45998</v>
      </c>
      <c r="C754" s="612" t="s">
        <v>2053</v>
      </c>
      <c r="D754" s="614">
        <v>2</v>
      </c>
      <c r="E754" s="621">
        <v>398</v>
      </c>
      <c r="F754" s="619">
        <f t="shared" si="90"/>
        <v>796</v>
      </c>
      <c r="G754" s="66">
        <f t="shared" si="91"/>
        <v>72.36363636363636</v>
      </c>
    </row>
    <row r="755" spans="2:7">
      <c r="B755" s="616">
        <v>45998</v>
      </c>
      <c r="C755" s="612" t="s">
        <v>2053</v>
      </c>
      <c r="D755" s="614">
        <v>2</v>
      </c>
      <c r="E755" s="621">
        <v>398</v>
      </c>
      <c r="F755" s="619">
        <f t="shared" si="90"/>
        <v>796</v>
      </c>
      <c r="G755" s="66">
        <f t="shared" si="91"/>
        <v>72.36363636363636</v>
      </c>
    </row>
    <row r="756" spans="2:7">
      <c r="B756" s="616">
        <v>45998</v>
      </c>
      <c r="C756" s="612" t="s">
        <v>2054</v>
      </c>
      <c r="D756" s="614">
        <v>3</v>
      </c>
      <c r="E756" s="621">
        <v>1400</v>
      </c>
      <c r="F756" s="619">
        <f t="shared" si="90"/>
        <v>4200</v>
      </c>
      <c r="G756" s="66">
        <f t="shared" si="91"/>
        <v>381.81818181818181</v>
      </c>
    </row>
    <row r="757" spans="2:7">
      <c r="B757" s="616">
        <v>45998</v>
      </c>
      <c r="C757" s="612" t="s">
        <v>2037</v>
      </c>
      <c r="D757" s="614">
        <v>1</v>
      </c>
      <c r="E757" s="621">
        <v>399</v>
      </c>
      <c r="F757" s="619">
        <f t="shared" si="90"/>
        <v>399</v>
      </c>
      <c r="G757" s="66">
        <f t="shared" si="91"/>
        <v>36.272727272727273</v>
      </c>
    </row>
    <row r="758" spans="2:7">
      <c r="B758" s="616">
        <v>45998</v>
      </c>
      <c r="C758" s="612" t="s">
        <v>2055</v>
      </c>
      <c r="D758" s="614">
        <v>7</v>
      </c>
      <c r="E758" s="621">
        <v>398</v>
      </c>
      <c r="F758" s="619">
        <f t="shared" si="90"/>
        <v>2786</v>
      </c>
      <c r="G758" s="66">
        <f t="shared" si="91"/>
        <v>253.27272727272728</v>
      </c>
    </row>
    <row r="759" spans="2:7">
      <c r="B759" s="616">
        <v>45998</v>
      </c>
      <c r="C759" s="612" t="s">
        <v>2056</v>
      </c>
      <c r="D759" s="614">
        <v>2</v>
      </c>
      <c r="E759" s="621">
        <v>379</v>
      </c>
      <c r="F759" s="619">
        <f t="shared" si="90"/>
        <v>758</v>
      </c>
      <c r="G759" s="66">
        <f t="shared" si="91"/>
        <v>68.909090909090907</v>
      </c>
    </row>
    <row r="760" spans="2:7">
      <c r="B760" s="616">
        <v>45998</v>
      </c>
      <c r="C760" s="612" t="s">
        <v>2057</v>
      </c>
      <c r="D760" s="614">
        <v>30</v>
      </c>
      <c r="E760" s="621">
        <v>399</v>
      </c>
      <c r="F760" s="619">
        <f t="shared" si="90"/>
        <v>11970</v>
      </c>
      <c r="G760" s="66">
        <f t="shared" si="91"/>
        <v>1088.1818181818182</v>
      </c>
    </row>
    <row r="761" spans="2:7">
      <c r="B761" s="616">
        <v>45998</v>
      </c>
      <c r="C761" s="612" t="s">
        <v>2057</v>
      </c>
      <c r="D761" s="614">
        <v>26</v>
      </c>
      <c r="E761" s="621">
        <v>399</v>
      </c>
      <c r="F761" s="619">
        <f t="shared" si="90"/>
        <v>10374</v>
      </c>
      <c r="G761" s="66">
        <f t="shared" si="91"/>
        <v>943.09090909090912</v>
      </c>
    </row>
    <row r="762" spans="2:7">
      <c r="B762" s="616">
        <v>45999</v>
      </c>
      <c r="C762" s="612" t="s">
        <v>1960</v>
      </c>
      <c r="D762" s="614">
        <v>15</v>
      </c>
      <c r="E762" s="621">
        <v>125</v>
      </c>
      <c r="F762" s="614">
        <f>E762*D762</f>
        <v>1875</v>
      </c>
      <c r="G762" s="66">
        <f t="shared" si="91"/>
        <v>170.45454545454547</v>
      </c>
    </row>
    <row r="763" spans="2:7">
      <c r="B763" s="616">
        <v>45999</v>
      </c>
      <c r="C763" s="612" t="s">
        <v>1959</v>
      </c>
      <c r="D763" s="614">
        <v>1</v>
      </c>
      <c r="E763" s="621">
        <v>299</v>
      </c>
      <c r="F763" s="614">
        <f t="shared" ref="F763:F777" si="92">E763*D763</f>
        <v>299</v>
      </c>
      <c r="G763" s="66">
        <f t="shared" ref="G763:G797" si="93">F763/11</f>
        <v>27.181818181818183</v>
      </c>
    </row>
    <row r="764" spans="2:7">
      <c r="B764" s="585">
        <v>45999</v>
      </c>
      <c r="C764" s="110" t="s">
        <v>2068</v>
      </c>
      <c r="D764" s="127">
        <v>2</v>
      </c>
      <c r="E764" s="623">
        <v>299</v>
      </c>
      <c r="F764" s="127">
        <f t="shared" si="92"/>
        <v>598</v>
      </c>
      <c r="G764" s="66">
        <f t="shared" si="93"/>
        <v>54.363636363636367</v>
      </c>
    </row>
    <row r="765" spans="2:7">
      <c r="B765" s="616">
        <v>45999</v>
      </c>
      <c r="C765" s="612" t="s">
        <v>1962</v>
      </c>
      <c r="D765" s="614">
        <v>2</v>
      </c>
      <c r="E765" s="621">
        <v>419</v>
      </c>
      <c r="F765" s="614">
        <f t="shared" si="92"/>
        <v>838</v>
      </c>
      <c r="G765" s="66">
        <f t="shared" si="93"/>
        <v>76.181818181818187</v>
      </c>
    </row>
    <row r="766" spans="2:7">
      <c r="B766" s="616">
        <v>45999</v>
      </c>
      <c r="C766" s="612" t="s">
        <v>1769</v>
      </c>
      <c r="D766" s="614">
        <v>18</v>
      </c>
      <c r="E766" s="621">
        <v>125</v>
      </c>
      <c r="F766" s="614">
        <f t="shared" si="92"/>
        <v>2250</v>
      </c>
      <c r="G766" s="66">
        <f t="shared" si="93"/>
        <v>204.54545454545453</v>
      </c>
    </row>
    <row r="767" spans="2:7">
      <c r="B767" s="616">
        <v>45999</v>
      </c>
      <c r="C767" s="612" t="s">
        <v>2059</v>
      </c>
      <c r="D767" s="614">
        <v>2</v>
      </c>
      <c r="E767" s="621">
        <v>2059</v>
      </c>
      <c r="F767" s="614">
        <f t="shared" si="92"/>
        <v>4118</v>
      </c>
      <c r="G767" s="66">
        <f t="shared" si="93"/>
        <v>374.36363636363637</v>
      </c>
    </row>
    <row r="768" spans="2:7">
      <c r="B768" s="585">
        <v>45999</v>
      </c>
      <c r="C768" s="110" t="s">
        <v>2043</v>
      </c>
      <c r="D768" s="127">
        <v>1</v>
      </c>
      <c r="E768" s="623">
        <v>299</v>
      </c>
      <c r="F768" s="127">
        <f t="shared" si="92"/>
        <v>299</v>
      </c>
      <c r="G768" s="66">
        <f t="shared" si="93"/>
        <v>27.181818181818183</v>
      </c>
    </row>
    <row r="769" spans="2:7">
      <c r="B769" s="585">
        <v>45999</v>
      </c>
      <c r="C769" s="110" t="s">
        <v>2067</v>
      </c>
      <c r="D769" s="127">
        <v>1</v>
      </c>
      <c r="E769" s="623">
        <v>299</v>
      </c>
      <c r="F769" s="127">
        <f t="shared" si="92"/>
        <v>299</v>
      </c>
      <c r="G769" s="66">
        <f t="shared" si="93"/>
        <v>27.181818181818183</v>
      </c>
    </row>
    <row r="770" spans="2:7">
      <c r="B770" s="616">
        <v>46000</v>
      </c>
      <c r="C770" s="612" t="s">
        <v>1653</v>
      </c>
      <c r="D770" s="614">
        <v>12</v>
      </c>
      <c r="E770" s="621">
        <v>398</v>
      </c>
      <c r="F770" s="614">
        <f t="shared" si="92"/>
        <v>4776</v>
      </c>
      <c r="G770" s="66">
        <f t="shared" si="93"/>
        <v>434.18181818181819</v>
      </c>
    </row>
    <row r="771" spans="2:7">
      <c r="B771" s="585">
        <v>46000</v>
      </c>
      <c r="C771" s="110" t="s">
        <v>2066</v>
      </c>
      <c r="D771" s="127">
        <v>40</v>
      </c>
      <c r="E771" s="623">
        <v>398</v>
      </c>
      <c r="F771" s="127">
        <f t="shared" si="92"/>
        <v>15920</v>
      </c>
      <c r="G771" s="66">
        <f t="shared" si="93"/>
        <v>1447.2727272727273</v>
      </c>
    </row>
    <row r="772" spans="2:7">
      <c r="B772" s="616">
        <v>46000</v>
      </c>
      <c r="C772" s="612" t="s">
        <v>2061</v>
      </c>
      <c r="D772" s="614">
        <v>1</v>
      </c>
      <c r="E772" s="621">
        <v>398</v>
      </c>
      <c r="F772" s="614">
        <f t="shared" si="92"/>
        <v>398</v>
      </c>
      <c r="G772" s="66">
        <f t="shared" si="93"/>
        <v>36.18181818181818</v>
      </c>
    </row>
    <row r="773" spans="2:7">
      <c r="B773" s="624">
        <v>46000</v>
      </c>
      <c r="C773" s="313" t="s">
        <v>2065</v>
      </c>
      <c r="D773" s="305">
        <v>1</v>
      </c>
      <c r="E773" s="625">
        <v>0</v>
      </c>
      <c r="F773" s="305">
        <f t="shared" si="92"/>
        <v>0</v>
      </c>
      <c r="G773" s="66">
        <f t="shared" si="93"/>
        <v>0</v>
      </c>
    </row>
    <row r="774" spans="2:7">
      <c r="B774" s="585">
        <v>46001</v>
      </c>
      <c r="C774" s="110" t="s">
        <v>2062</v>
      </c>
      <c r="D774" s="127">
        <v>10</v>
      </c>
      <c r="E774" s="623">
        <v>398</v>
      </c>
      <c r="F774" s="127">
        <f t="shared" si="92"/>
        <v>3980</v>
      </c>
      <c r="G774" s="66">
        <f t="shared" si="93"/>
        <v>361.81818181818181</v>
      </c>
    </row>
    <row r="775" spans="2:7">
      <c r="B775" s="585">
        <v>46001</v>
      </c>
      <c r="C775" s="110" t="s">
        <v>2063</v>
      </c>
      <c r="D775" s="127">
        <v>2</v>
      </c>
      <c r="E775" s="623">
        <v>399</v>
      </c>
      <c r="F775" s="127">
        <f t="shared" si="92"/>
        <v>798</v>
      </c>
      <c r="G775" s="66">
        <f t="shared" si="93"/>
        <v>72.545454545454547</v>
      </c>
    </row>
    <row r="776" spans="2:7">
      <c r="B776" s="585">
        <v>46001</v>
      </c>
      <c r="C776" s="110" t="s">
        <v>2064</v>
      </c>
      <c r="D776" s="127">
        <v>2</v>
      </c>
      <c r="E776" s="623">
        <v>398</v>
      </c>
      <c r="F776" s="127">
        <f t="shared" si="92"/>
        <v>796</v>
      </c>
      <c r="G776" s="66">
        <f t="shared" si="93"/>
        <v>72.36363636363636</v>
      </c>
    </row>
    <row r="777" spans="2:7">
      <c r="B777" s="583">
        <v>46001</v>
      </c>
      <c r="C777" s="230" t="s">
        <v>2053</v>
      </c>
      <c r="D777" s="632">
        <v>1</v>
      </c>
      <c r="E777" s="636">
        <v>398</v>
      </c>
      <c r="F777" s="632">
        <f t="shared" si="92"/>
        <v>398</v>
      </c>
      <c r="G777" s="66">
        <f t="shared" si="93"/>
        <v>36.18181818181818</v>
      </c>
    </row>
    <row r="778" spans="2:7">
      <c r="B778" s="616">
        <v>46002</v>
      </c>
      <c r="C778" s="612" t="s">
        <v>2168</v>
      </c>
      <c r="D778" s="612">
        <v>2</v>
      </c>
      <c r="E778" s="621">
        <v>419</v>
      </c>
      <c r="F778" s="632">
        <f t="shared" ref="F778:F797" si="94">E778*D778</f>
        <v>838</v>
      </c>
      <c r="G778" s="66">
        <f t="shared" si="93"/>
        <v>76.181818181818187</v>
      </c>
    </row>
    <row r="779" spans="2:7">
      <c r="B779" s="585">
        <v>46002</v>
      </c>
      <c r="C779" s="110" t="s">
        <v>2173</v>
      </c>
      <c r="D779" s="110">
        <v>3</v>
      </c>
      <c r="E779" s="623">
        <v>340</v>
      </c>
      <c r="F779" s="632">
        <f t="shared" si="94"/>
        <v>1020</v>
      </c>
      <c r="G779" s="66">
        <f t="shared" si="93"/>
        <v>92.727272727272734</v>
      </c>
    </row>
    <row r="780" spans="2:7">
      <c r="B780" s="616">
        <v>46002</v>
      </c>
      <c r="C780" s="612" t="s">
        <v>2169</v>
      </c>
      <c r="D780" s="612">
        <v>4</v>
      </c>
      <c r="E780" s="621">
        <v>105</v>
      </c>
      <c r="F780" s="632">
        <f t="shared" si="94"/>
        <v>420</v>
      </c>
      <c r="G780" s="66">
        <f t="shared" si="93"/>
        <v>38.18181818181818</v>
      </c>
    </row>
    <row r="781" spans="2:7">
      <c r="B781" s="616">
        <v>46002</v>
      </c>
      <c r="C781" s="612" t="s">
        <v>1153</v>
      </c>
      <c r="D781" s="612">
        <v>1</v>
      </c>
      <c r="E781" s="621">
        <v>573</v>
      </c>
      <c r="F781" s="632">
        <f t="shared" si="94"/>
        <v>573</v>
      </c>
      <c r="G781" s="66">
        <f t="shared" si="93"/>
        <v>52.090909090909093</v>
      </c>
    </row>
    <row r="782" spans="2:7">
      <c r="B782" s="616">
        <v>46002</v>
      </c>
      <c r="C782" s="612" t="s">
        <v>1892</v>
      </c>
      <c r="D782" s="612">
        <v>10</v>
      </c>
      <c r="E782" s="621">
        <v>130</v>
      </c>
      <c r="F782" s="632">
        <f t="shared" si="94"/>
        <v>1300</v>
      </c>
      <c r="G782" s="66">
        <f t="shared" si="93"/>
        <v>118.18181818181819</v>
      </c>
    </row>
    <row r="783" spans="2:7">
      <c r="B783" s="616">
        <v>46002</v>
      </c>
      <c r="C783" s="612" t="s">
        <v>2174</v>
      </c>
      <c r="D783" s="612">
        <v>3</v>
      </c>
      <c r="E783" s="621">
        <v>573</v>
      </c>
      <c r="F783" s="632">
        <f t="shared" si="94"/>
        <v>1719</v>
      </c>
      <c r="G783" s="66">
        <f t="shared" si="93"/>
        <v>156.27272727272728</v>
      </c>
    </row>
    <row r="784" spans="2:7">
      <c r="B784" s="585">
        <v>46002</v>
      </c>
      <c r="C784" s="110" t="s">
        <v>2175</v>
      </c>
      <c r="D784" s="110">
        <v>3</v>
      </c>
      <c r="E784" s="623">
        <v>1095</v>
      </c>
      <c r="F784" s="632">
        <f t="shared" si="94"/>
        <v>3285</v>
      </c>
      <c r="G784" s="66">
        <f t="shared" si="93"/>
        <v>298.63636363636363</v>
      </c>
    </row>
    <row r="785" spans="2:7">
      <c r="B785" s="616">
        <v>46002</v>
      </c>
      <c r="C785" s="612" t="s">
        <v>2170</v>
      </c>
      <c r="D785" s="612">
        <v>2</v>
      </c>
      <c r="E785" s="621">
        <v>1400</v>
      </c>
      <c r="F785" s="632">
        <f t="shared" si="94"/>
        <v>2800</v>
      </c>
      <c r="G785" s="66">
        <f t="shared" si="93"/>
        <v>254.54545454545453</v>
      </c>
    </row>
    <row r="786" spans="2:7">
      <c r="B786" s="616">
        <v>46002</v>
      </c>
      <c r="C786" s="612" t="s">
        <v>2041</v>
      </c>
      <c r="D786" s="612">
        <v>2</v>
      </c>
      <c r="E786" s="621">
        <v>399</v>
      </c>
      <c r="F786" s="632">
        <f t="shared" si="94"/>
        <v>798</v>
      </c>
      <c r="G786" s="66">
        <f t="shared" si="93"/>
        <v>72.545454545454547</v>
      </c>
    </row>
    <row r="787" spans="2:7">
      <c r="B787" s="616">
        <v>46002</v>
      </c>
      <c r="C787" s="612" t="s">
        <v>1769</v>
      </c>
      <c r="D787" s="612">
        <v>10</v>
      </c>
      <c r="E787" s="621">
        <v>125</v>
      </c>
      <c r="F787" s="632">
        <f t="shared" si="94"/>
        <v>1250</v>
      </c>
      <c r="G787" s="66">
        <f t="shared" si="93"/>
        <v>113.63636363636364</v>
      </c>
    </row>
    <row r="788" spans="2:7">
      <c r="B788" s="616">
        <v>46002</v>
      </c>
      <c r="C788" s="612" t="s">
        <v>2170</v>
      </c>
      <c r="D788" s="612">
        <v>2</v>
      </c>
      <c r="E788" s="621">
        <v>1400</v>
      </c>
      <c r="F788" s="632">
        <f t="shared" si="94"/>
        <v>2800</v>
      </c>
      <c r="G788" s="66">
        <f t="shared" si="93"/>
        <v>254.54545454545453</v>
      </c>
    </row>
    <row r="789" spans="2:7">
      <c r="B789" s="585">
        <v>46003</v>
      </c>
      <c r="C789" s="110" t="s">
        <v>2176</v>
      </c>
      <c r="D789" s="110">
        <v>20</v>
      </c>
      <c r="E789" s="623">
        <v>398</v>
      </c>
      <c r="F789" s="632">
        <f t="shared" si="94"/>
        <v>7960</v>
      </c>
      <c r="G789" s="66">
        <f t="shared" si="93"/>
        <v>723.63636363636363</v>
      </c>
    </row>
    <row r="790" spans="2:7">
      <c r="B790" s="616">
        <v>46003</v>
      </c>
      <c r="C790" s="612" t="s">
        <v>2171</v>
      </c>
      <c r="D790" s="612">
        <v>10</v>
      </c>
      <c r="E790" s="621">
        <v>1400</v>
      </c>
      <c r="F790" s="632">
        <f t="shared" si="94"/>
        <v>14000</v>
      </c>
      <c r="G790" s="66">
        <f t="shared" si="93"/>
        <v>1272.7272727272727</v>
      </c>
    </row>
    <row r="791" spans="2:7">
      <c r="B791" s="616">
        <v>46003</v>
      </c>
      <c r="C791" s="612" t="s">
        <v>2172</v>
      </c>
      <c r="D791" s="612">
        <v>3</v>
      </c>
      <c r="E791" s="621">
        <v>2490</v>
      </c>
      <c r="F791" s="632">
        <f t="shared" si="94"/>
        <v>7470</v>
      </c>
      <c r="G791" s="66">
        <f t="shared" si="93"/>
        <v>679.09090909090912</v>
      </c>
    </row>
    <row r="792" spans="2:7">
      <c r="B792" s="585">
        <v>46002</v>
      </c>
      <c r="C792" s="110" t="s">
        <v>2177</v>
      </c>
      <c r="D792" s="110">
        <v>100</v>
      </c>
      <c r="E792" s="623">
        <v>274</v>
      </c>
      <c r="F792" s="632">
        <f t="shared" si="94"/>
        <v>27400</v>
      </c>
      <c r="G792" s="66">
        <f t="shared" si="93"/>
        <v>2490.909090909091</v>
      </c>
    </row>
    <row r="793" spans="2:7">
      <c r="B793" s="585">
        <v>46003</v>
      </c>
      <c r="C793" s="110" t="s">
        <v>2179</v>
      </c>
      <c r="D793" s="110">
        <v>70</v>
      </c>
      <c r="E793" s="623">
        <v>132</v>
      </c>
      <c r="F793" s="632">
        <f t="shared" si="94"/>
        <v>9240</v>
      </c>
      <c r="G793" s="66">
        <f t="shared" si="93"/>
        <v>840</v>
      </c>
    </row>
    <row r="794" spans="2:7">
      <c r="B794" s="616">
        <v>46005</v>
      </c>
      <c r="C794" s="612" t="s">
        <v>2181</v>
      </c>
      <c r="D794" s="612">
        <v>3</v>
      </c>
      <c r="E794" s="621">
        <v>3300</v>
      </c>
      <c r="F794" s="632">
        <f t="shared" si="94"/>
        <v>9900</v>
      </c>
      <c r="G794" s="66">
        <f t="shared" si="93"/>
        <v>900</v>
      </c>
    </row>
    <row r="795" spans="2:7">
      <c r="B795" s="616">
        <v>46005</v>
      </c>
      <c r="C795" s="612" t="s">
        <v>2057</v>
      </c>
      <c r="D795" s="612">
        <v>23</v>
      </c>
      <c r="E795" s="621">
        <v>399</v>
      </c>
      <c r="F795" s="632">
        <f t="shared" si="94"/>
        <v>9177</v>
      </c>
      <c r="G795" s="66">
        <f t="shared" si="93"/>
        <v>834.27272727272725</v>
      </c>
    </row>
    <row r="796" spans="2:7">
      <c r="B796" s="585">
        <v>46004</v>
      </c>
      <c r="C796" s="110" t="s">
        <v>2180</v>
      </c>
      <c r="D796" s="110">
        <v>10</v>
      </c>
      <c r="E796" s="623">
        <v>960</v>
      </c>
      <c r="F796" s="632">
        <f t="shared" si="94"/>
        <v>9600</v>
      </c>
      <c r="G796" s="66">
        <f t="shared" si="93"/>
        <v>872.72727272727275</v>
      </c>
    </row>
    <row r="797" spans="2:7">
      <c r="B797" s="583">
        <v>46006</v>
      </c>
      <c r="C797" s="230" t="s">
        <v>1818</v>
      </c>
      <c r="D797" s="649">
        <v>12</v>
      </c>
      <c r="E797" s="636">
        <v>398</v>
      </c>
      <c r="F797" s="632">
        <f t="shared" si="94"/>
        <v>4776</v>
      </c>
      <c r="G797" s="66">
        <f t="shared" si="93"/>
        <v>434.18181818181819</v>
      </c>
    </row>
    <row r="798" spans="2:7">
      <c r="B798" s="583">
        <v>46006</v>
      </c>
      <c r="C798" s="230" t="s">
        <v>2208</v>
      </c>
      <c r="D798" s="649">
        <v>12</v>
      </c>
      <c r="E798" s="636">
        <v>398</v>
      </c>
      <c r="F798" s="649">
        <f t="shared" ref="F798:F830" si="95">E798*D798</f>
        <v>4776</v>
      </c>
      <c r="G798" s="66">
        <f t="shared" ref="G798:G830" si="96">F798/11</f>
        <v>434.18181818181819</v>
      </c>
    </row>
    <row r="799" spans="2:7">
      <c r="B799" s="583">
        <v>46006</v>
      </c>
      <c r="C799" s="230" t="s">
        <v>1853</v>
      </c>
      <c r="D799" s="649">
        <v>15</v>
      </c>
      <c r="E799" s="636">
        <v>398</v>
      </c>
      <c r="F799" s="649">
        <f t="shared" si="95"/>
        <v>5970</v>
      </c>
      <c r="G799" s="66">
        <f t="shared" si="96"/>
        <v>542.72727272727275</v>
      </c>
    </row>
    <row r="800" spans="2:7">
      <c r="B800" s="583">
        <v>46006</v>
      </c>
      <c r="C800" s="230" t="s">
        <v>2209</v>
      </c>
      <c r="D800" s="649">
        <v>3</v>
      </c>
      <c r="E800" s="636">
        <v>1059</v>
      </c>
      <c r="F800" s="649">
        <f t="shared" si="95"/>
        <v>3177</v>
      </c>
      <c r="G800" s="66">
        <f t="shared" si="96"/>
        <v>288.81818181818181</v>
      </c>
    </row>
    <row r="801" spans="2:7">
      <c r="B801" s="583">
        <v>46006</v>
      </c>
      <c r="C801" s="230" t="s">
        <v>2210</v>
      </c>
      <c r="D801" s="649">
        <v>1</v>
      </c>
      <c r="E801" s="636">
        <v>573</v>
      </c>
      <c r="F801" s="649">
        <f t="shared" si="95"/>
        <v>573</v>
      </c>
      <c r="G801" s="66">
        <f t="shared" si="96"/>
        <v>52.090909090909093</v>
      </c>
    </row>
    <row r="802" spans="2:7">
      <c r="B802" s="583">
        <v>46006</v>
      </c>
      <c r="C802" s="230" t="s">
        <v>2057</v>
      </c>
      <c r="D802" s="649">
        <v>7</v>
      </c>
      <c r="E802" s="636">
        <v>398</v>
      </c>
      <c r="F802" s="649">
        <f t="shared" si="95"/>
        <v>2786</v>
      </c>
      <c r="G802" s="66">
        <f t="shared" si="96"/>
        <v>253.27272727272728</v>
      </c>
    </row>
    <row r="803" spans="2:7">
      <c r="B803" s="583">
        <v>46006</v>
      </c>
      <c r="C803" s="230" t="s">
        <v>2211</v>
      </c>
      <c r="D803" s="649">
        <v>2</v>
      </c>
      <c r="E803" s="636">
        <v>2099</v>
      </c>
      <c r="F803" s="649">
        <f t="shared" si="95"/>
        <v>4198</v>
      </c>
      <c r="G803" s="66">
        <f t="shared" si="96"/>
        <v>381.63636363636363</v>
      </c>
    </row>
    <row r="804" spans="2:7">
      <c r="B804" s="583">
        <v>46006</v>
      </c>
      <c r="C804" s="230" t="s">
        <v>2057</v>
      </c>
      <c r="D804" s="649">
        <v>23</v>
      </c>
      <c r="E804" s="636">
        <v>399</v>
      </c>
      <c r="F804" s="649">
        <f t="shared" si="95"/>
        <v>9177</v>
      </c>
      <c r="G804" s="66">
        <f t="shared" si="96"/>
        <v>834.27272727272725</v>
      </c>
    </row>
    <row r="805" spans="2:7">
      <c r="B805" s="583">
        <v>46007</v>
      </c>
      <c r="C805" s="230" t="s">
        <v>2213</v>
      </c>
      <c r="D805" s="649">
        <v>4</v>
      </c>
      <c r="E805" s="636">
        <v>398</v>
      </c>
      <c r="F805" s="649">
        <f t="shared" si="95"/>
        <v>1592</v>
      </c>
      <c r="G805" s="66">
        <f t="shared" si="96"/>
        <v>144.72727272727272</v>
      </c>
    </row>
    <row r="806" spans="2:7">
      <c r="B806" s="583">
        <v>46008</v>
      </c>
      <c r="C806" s="230" t="s">
        <v>2214</v>
      </c>
      <c r="D806" s="649">
        <v>44</v>
      </c>
      <c r="E806" s="636">
        <v>398</v>
      </c>
      <c r="F806" s="649">
        <f t="shared" si="95"/>
        <v>17512</v>
      </c>
      <c r="G806" s="66">
        <f t="shared" si="96"/>
        <v>1592</v>
      </c>
    </row>
    <row r="807" spans="2:7">
      <c r="B807" s="583">
        <v>46008</v>
      </c>
      <c r="C807" s="230" t="s">
        <v>2215</v>
      </c>
      <c r="D807" s="649">
        <v>159</v>
      </c>
      <c r="E807" s="230">
        <v>398</v>
      </c>
      <c r="F807" s="649">
        <f t="shared" si="95"/>
        <v>63282</v>
      </c>
      <c r="G807" s="66">
        <f t="shared" si="96"/>
        <v>5752.909090909091</v>
      </c>
    </row>
    <row r="808" spans="2:7">
      <c r="B808" s="583">
        <v>46009</v>
      </c>
      <c r="C808" s="230" t="s">
        <v>2215</v>
      </c>
      <c r="D808" s="649">
        <v>9</v>
      </c>
      <c r="E808" s="230">
        <v>398</v>
      </c>
      <c r="F808" s="649">
        <f t="shared" si="95"/>
        <v>3582</v>
      </c>
      <c r="G808" s="66">
        <f t="shared" si="96"/>
        <v>325.63636363636363</v>
      </c>
    </row>
    <row r="809" spans="2:7">
      <c r="B809" s="585">
        <v>46010</v>
      </c>
      <c r="C809" s="110" t="s">
        <v>2216</v>
      </c>
      <c r="D809" s="127">
        <v>2</v>
      </c>
      <c r="E809" s="110">
        <v>477</v>
      </c>
      <c r="F809" s="649">
        <f t="shared" si="95"/>
        <v>954</v>
      </c>
      <c r="G809" s="66">
        <f t="shared" si="96"/>
        <v>86.727272727272734</v>
      </c>
    </row>
    <row r="810" spans="2:7">
      <c r="B810" s="585">
        <v>46010</v>
      </c>
      <c r="C810" s="110" t="s">
        <v>2216</v>
      </c>
      <c r="D810" s="127">
        <v>2</v>
      </c>
      <c r="E810" s="110">
        <v>477</v>
      </c>
      <c r="F810" s="649">
        <f t="shared" si="95"/>
        <v>954</v>
      </c>
      <c r="G810" s="66">
        <f t="shared" si="96"/>
        <v>86.727272727272734</v>
      </c>
    </row>
    <row r="811" spans="2:7">
      <c r="B811" s="585">
        <v>46010</v>
      </c>
      <c r="C811" s="110" t="s">
        <v>2217</v>
      </c>
      <c r="D811" s="127">
        <v>2</v>
      </c>
      <c r="E811" s="110">
        <v>477</v>
      </c>
      <c r="F811" s="649">
        <f t="shared" si="95"/>
        <v>954</v>
      </c>
      <c r="G811" s="66">
        <f t="shared" si="96"/>
        <v>86.727272727272734</v>
      </c>
    </row>
    <row r="812" spans="2:7">
      <c r="B812" s="585">
        <v>46010</v>
      </c>
      <c r="C812" s="110" t="s">
        <v>2218</v>
      </c>
      <c r="D812" s="127">
        <v>0</v>
      </c>
      <c r="E812" s="110">
        <v>477</v>
      </c>
      <c r="F812" s="649">
        <f t="shared" si="95"/>
        <v>0</v>
      </c>
      <c r="G812" s="66">
        <f t="shared" si="96"/>
        <v>0</v>
      </c>
    </row>
    <row r="813" spans="2:7">
      <c r="B813" s="585">
        <v>46010</v>
      </c>
      <c r="C813" s="110" t="s">
        <v>2219</v>
      </c>
      <c r="D813" s="127">
        <v>2</v>
      </c>
      <c r="E813" s="110">
        <v>480</v>
      </c>
      <c r="F813" s="649">
        <f t="shared" si="95"/>
        <v>960</v>
      </c>
      <c r="G813" s="66">
        <f t="shared" si="96"/>
        <v>87.272727272727266</v>
      </c>
    </row>
    <row r="814" spans="2:7">
      <c r="B814" s="583">
        <v>46010</v>
      </c>
      <c r="C814" s="230" t="s">
        <v>2220</v>
      </c>
      <c r="D814" s="649">
        <v>2</v>
      </c>
      <c r="E814" s="230">
        <v>480</v>
      </c>
      <c r="F814" s="649">
        <f t="shared" si="95"/>
        <v>960</v>
      </c>
      <c r="G814" s="66">
        <f t="shared" si="96"/>
        <v>87.272727272727266</v>
      </c>
    </row>
    <row r="815" spans="2:7">
      <c r="B815" s="583">
        <v>46010</v>
      </c>
      <c r="C815" s="230" t="s">
        <v>2221</v>
      </c>
      <c r="D815" s="649">
        <v>2</v>
      </c>
      <c r="E815" s="230">
        <v>480</v>
      </c>
      <c r="F815" s="649">
        <f t="shared" si="95"/>
        <v>960</v>
      </c>
      <c r="G815" s="66">
        <f t="shared" si="96"/>
        <v>87.272727272727266</v>
      </c>
    </row>
    <row r="816" spans="2:7">
      <c r="B816" s="583">
        <v>46010</v>
      </c>
      <c r="C816" s="230" t="s">
        <v>2221</v>
      </c>
      <c r="D816" s="649">
        <v>2</v>
      </c>
      <c r="E816" s="230">
        <v>480</v>
      </c>
      <c r="F816" s="649">
        <f t="shared" si="95"/>
        <v>960</v>
      </c>
      <c r="G816" s="66">
        <f t="shared" si="96"/>
        <v>87.272727272727266</v>
      </c>
    </row>
    <row r="817" spans="2:7">
      <c r="B817" s="583">
        <v>46010</v>
      </c>
      <c r="C817" s="230" t="s">
        <v>2216</v>
      </c>
      <c r="D817" s="649">
        <v>4</v>
      </c>
      <c r="E817" s="230">
        <v>477</v>
      </c>
      <c r="F817" s="649">
        <f t="shared" si="95"/>
        <v>1908</v>
      </c>
      <c r="G817" s="66">
        <f t="shared" si="96"/>
        <v>173.45454545454547</v>
      </c>
    </row>
    <row r="818" spans="2:7">
      <c r="B818" s="583">
        <v>46010</v>
      </c>
      <c r="C818" s="230" t="s">
        <v>2222</v>
      </c>
      <c r="D818" s="649">
        <v>4</v>
      </c>
      <c r="E818" s="230">
        <v>629</v>
      </c>
      <c r="F818" s="649">
        <f t="shared" si="95"/>
        <v>2516</v>
      </c>
      <c r="G818" s="66">
        <f t="shared" si="96"/>
        <v>228.72727272727272</v>
      </c>
    </row>
    <row r="819" spans="2:7">
      <c r="B819" s="583">
        <v>46010</v>
      </c>
      <c r="C819" s="230" t="s">
        <v>2217</v>
      </c>
      <c r="D819" s="649">
        <v>4</v>
      </c>
      <c r="E819" s="230">
        <v>477</v>
      </c>
      <c r="F819" s="649">
        <f t="shared" si="95"/>
        <v>1908</v>
      </c>
      <c r="G819" s="66">
        <f t="shared" si="96"/>
        <v>173.45454545454547</v>
      </c>
    </row>
    <row r="820" spans="2:7">
      <c r="B820" s="583">
        <v>46010</v>
      </c>
      <c r="C820" s="230" t="s">
        <v>2223</v>
      </c>
      <c r="D820" s="649">
        <v>4</v>
      </c>
      <c r="E820" s="230">
        <v>629</v>
      </c>
      <c r="F820" s="649">
        <f t="shared" si="95"/>
        <v>2516</v>
      </c>
      <c r="G820" s="66">
        <f t="shared" si="96"/>
        <v>228.72727272727272</v>
      </c>
    </row>
    <row r="821" spans="2:7">
      <c r="B821" s="583">
        <v>46010</v>
      </c>
      <c r="C821" s="230" t="s">
        <v>2218</v>
      </c>
      <c r="D821" s="649">
        <v>3</v>
      </c>
      <c r="E821" s="230">
        <v>477</v>
      </c>
      <c r="F821" s="649">
        <f t="shared" si="95"/>
        <v>1431</v>
      </c>
      <c r="G821" s="66">
        <f t="shared" si="96"/>
        <v>130.09090909090909</v>
      </c>
    </row>
    <row r="822" spans="2:7">
      <c r="B822" s="583">
        <v>46010</v>
      </c>
      <c r="C822" s="230" t="s">
        <v>2224</v>
      </c>
      <c r="D822" s="649">
        <v>3</v>
      </c>
      <c r="E822" s="230">
        <v>629</v>
      </c>
      <c r="F822" s="649">
        <f t="shared" si="95"/>
        <v>1887</v>
      </c>
      <c r="G822" s="66">
        <f t="shared" si="96"/>
        <v>171.54545454545453</v>
      </c>
    </row>
    <row r="823" spans="2:7">
      <c r="B823" s="583">
        <v>46010</v>
      </c>
      <c r="C823" s="230" t="s">
        <v>2225</v>
      </c>
      <c r="D823" s="649">
        <v>2</v>
      </c>
      <c r="E823" s="230">
        <v>479</v>
      </c>
      <c r="F823" s="649">
        <f t="shared" si="95"/>
        <v>958</v>
      </c>
      <c r="G823" s="66">
        <f t="shared" si="96"/>
        <v>87.090909090909093</v>
      </c>
    </row>
    <row r="824" spans="2:7">
      <c r="B824" s="585">
        <v>46010</v>
      </c>
      <c r="C824" s="110" t="s">
        <v>2171</v>
      </c>
      <c r="D824" s="127">
        <v>10</v>
      </c>
      <c r="E824" s="110">
        <v>1400</v>
      </c>
      <c r="F824" s="649">
        <f t="shared" si="95"/>
        <v>14000</v>
      </c>
      <c r="G824" s="66">
        <f t="shared" si="96"/>
        <v>1272.7272727272727</v>
      </c>
    </row>
    <row r="825" spans="2:7">
      <c r="B825" s="585">
        <v>46010</v>
      </c>
      <c r="C825" s="110" t="s">
        <v>2226</v>
      </c>
      <c r="D825" s="127">
        <v>10</v>
      </c>
      <c r="E825" s="110">
        <v>415</v>
      </c>
      <c r="F825" s="649">
        <f t="shared" si="95"/>
        <v>4150</v>
      </c>
      <c r="G825" s="66">
        <f t="shared" si="96"/>
        <v>377.27272727272725</v>
      </c>
    </row>
    <row r="826" spans="2:7">
      <c r="B826" s="585">
        <v>46010</v>
      </c>
      <c r="C826" s="110" t="s">
        <v>2227</v>
      </c>
      <c r="D826" s="127">
        <v>20</v>
      </c>
      <c r="E826" s="110">
        <v>765</v>
      </c>
      <c r="F826" s="649">
        <f t="shared" si="95"/>
        <v>15300</v>
      </c>
      <c r="G826" s="66">
        <f t="shared" si="96"/>
        <v>1390.909090909091</v>
      </c>
    </row>
    <row r="827" spans="2:7">
      <c r="B827" s="585">
        <v>46010</v>
      </c>
      <c r="C827" s="110" t="s">
        <v>2228</v>
      </c>
      <c r="D827" s="127">
        <v>3</v>
      </c>
      <c r="E827" s="110">
        <v>3300</v>
      </c>
      <c r="F827" s="649">
        <f t="shared" si="95"/>
        <v>9900</v>
      </c>
      <c r="G827" s="66">
        <f t="shared" si="96"/>
        <v>900</v>
      </c>
    </row>
    <row r="828" spans="2:7">
      <c r="B828" s="585">
        <v>46010</v>
      </c>
      <c r="C828" s="110" t="s">
        <v>2229</v>
      </c>
      <c r="D828" s="127">
        <v>2</v>
      </c>
      <c r="E828" s="110">
        <v>2500</v>
      </c>
      <c r="F828" s="649">
        <f t="shared" si="95"/>
        <v>5000</v>
      </c>
      <c r="G828" s="66">
        <f t="shared" si="96"/>
        <v>454.54545454545456</v>
      </c>
    </row>
    <row r="829" spans="2:7">
      <c r="B829" s="583">
        <v>46011</v>
      </c>
      <c r="C829" s="230" t="s">
        <v>2226</v>
      </c>
      <c r="D829" s="650">
        <v>1</v>
      </c>
      <c r="E829" s="636">
        <v>415</v>
      </c>
      <c r="F829" s="649">
        <f t="shared" si="95"/>
        <v>415</v>
      </c>
      <c r="G829" s="66">
        <f t="shared" si="96"/>
        <v>37.727272727272727</v>
      </c>
    </row>
    <row r="830" spans="2:7">
      <c r="B830" s="585">
        <v>46011</v>
      </c>
      <c r="C830" s="110" t="s">
        <v>1863</v>
      </c>
      <c r="D830" s="127">
        <v>5</v>
      </c>
      <c r="E830" s="623">
        <v>398</v>
      </c>
      <c r="F830" s="649">
        <f t="shared" si="95"/>
        <v>1990</v>
      </c>
      <c r="G830" s="66">
        <f t="shared" si="96"/>
        <v>180.90909090909091</v>
      </c>
    </row>
    <row r="831" spans="2:7">
      <c r="B831" s="583">
        <v>46011</v>
      </c>
      <c r="C831" s="230" t="s">
        <v>2241</v>
      </c>
      <c r="D831" s="650">
        <v>5</v>
      </c>
      <c r="E831" s="636">
        <v>477</v>
      </c>
      <c r="F831" s="650">
        <f t="shared" ref="F831:F888" si="97">E831*D831</f>
        <v>2385</v>
      </c>
      <c r="G831" s="66">
        <f t="shared" ref="G831:G888" si="98">F831/11</f>
        <v>216.81818181818181</v>
      </c>
    </row>
    <row r="832" spans="2:7">
      <c r="B832" s="583">
        <v>46011</v>
      </c>
      <c r="C832" s="230" t="s">
        <v>2242</v>
      </c>
      <c r="D832" s="650">
        <v>1</v>
      </c>
      <c r="E832" s="636">
        <v>549</v>
      </c>
      <c r="F832" s="650">
        <f t="shared" si="97"/>
        <v>549</v>
      </c>
      <c r="G832" s="66">
        <f t="shared" si="98"/>
        <v>49.909090909090907</v>
      </c>
    </row>
    <row r="833" spans="2:7">
      <c r="B833" s="583">
        <v>46011</v>
      </c>
      <c r="C833" s="230" t="s">
        <v>2243</v>
      </c>
      <c r="D833" s="650">
        <v>2</v>
      </c>
      <c r="E833" s="636">
        <v>477</v>
      </c>
      <c r="F833" s="650">
        <f t="shared" si="97"/>
        <v>954</v>
      </c>
      <c r="G833" s="66">
        <f t="shared" si="98"/>
        <v>86.727272727272734</v>
      </c>
    </row>
    <row r="834" spans="2:7">
      <c r="B834" s="585">
        <v>46011</v>
      </c>
      <c r="C834" s="110" t="s">
        <v>2259</v>
      </c>
      <c r="D834" s="127">
        <v>2</v>
      </c>
      <c r="E834" s="623">
        <v>629</v>
      </c>
      <c r="F834" s="650">
        <f t="shared" si="97"/>
        <v>1258</v>
      </c>
      <c r="G834" s="66">
        <f t="shared" si="98"/>
        <v>114.36363636363636</v>
      </c>
    </row>
    <row r="835" spans="2:7">
      <c r="B835" s="585">
        <v>46011</v>
      </c>
      <c r="C835" s="110" t="s">
        <v>2260</v>
      </c>
      <c r="D835" s="127">
        <v>2</v>
      </c>
      <c r="E835" s="623">
        <v>477</v>
      </c>
      <c r="F835" s="650">
        <f t="shared" si="97"/>
        <v>954</v>
      </c>
      <c r="G835" s="66">
        <f t="shared" si="98"/>
        <v>86.727272727272734</v>
      </c>
    </row>
    <row r="836" spans="2:7">
      <c r="B836" s="585">
        <v>46011</v>
      </c>
      <c r="C836" s="110" t="s">
        <v>2261</v>
      </c>
      <c r="D836" s="127">
        <v>2</v>
      </c>
      <c r="E836" s="623">
        <v>477</v>
      </c>
      <c r="F836" s="650">
        <f t="shared" si="97"/>
        <v>954</v>
      </c>
      <c r="G836" s="66">
        <f t="shared" si="98"/>
        <v>86.727272727272734</v>
      </c>
    </row>
    <row r="837" spans="2:7">
      <c r="B837" s="583">
        <v>46011</v>
      </c>
      <c r="C837" s="230" t="s">
        <v>2246</v>
      </c>
      <c r="D837" s="650">
        <v>3</v>
      </c>
      <c r="E837" s="636">
        <v>549</v>
      </c>
      <c r="F837" s="650">
        <f t="shared" si="97"/>
        <v>1647</v>
      </c>
      <c r="G837" s="66">
        <f t="shared" si="98"/>
        <v>149.72727272727272</v>
      </c>
    </row>
    <row r="838" spans="2:7">
      <c r="B838" s="583">
        <v>46011</v>
      </c>
      <c r="C838" s="230" t="s">
        <v>2247</v>
      </c>
      <c r="D838" s="650">
        <v>2</v>
      </c>
      <c r="E838" s="636">
        <v>477</v>
      </c>
      <c r="F838" s="650">
        <f t="shared" si="97"/>
        <v>954</v>
      </c>
      <c r="G838" s="66">
        <f t="shared" si="98"/>
        <v>86.727272727272734</v>
      </c>
    </row>
    <row r="839" spans="2:7">
      <c r="B839" s="583">
        <v>46011</v>
      </c>
      <c r="C839" s="230" t="s">
        <v>2248</v>
      </c>
      <c r="D839" s="650">
        <v>3</v>
      </c>
      <c r="E839" s="636">
        <v>549</v>
      </c>
      <c r="F839" s="650">
        <f t="shared" si="97"/>
        <v>1647</v>
      </c>
      <c r="G839" s="66">
        <f t="shared" si="98"/>
        <v>149.72727272727272</v>
      </c>
    </row>
    <row r="840" spans="2:7">
      <c r="B840" s="583">
        <v>46011</v>
      </c>
      <c r="C840" s="230" t="s">
        <v>2249</v>
      </c>
      <c r="D840" s="650">
        <v>3</v>
      </c>
      <c r="E840" s="636">
        <v>477</v>
      </c>
      <c r="F840" s="650">
        <f t="shared" si="97"/>
        <v>1431</v>
      </c>
      <c r="G840" s="66">
        <f t="shared" si="98"/>
        <v>130.09090909090909</v>
      </c>
    </row>
    <row r="841" spans="2:7">
      <c r="B841" s="583">
        <v>46011</v>
      </c>
      <c r="C841" s="230" t="s">
        <v>2222</v>
      </c>
      <c r="D841" s="650">
        <v>9</v>
      </c>
      <c r="E841" s="636">
        <v>629</v>
      </c>
      <c r="F841" s="650">
        <f t="shared" si="97"/>
        <v>5661</v>
      </c>
      <c r="G841" s="66">
        <f t="shared" si="98"/>
        <v>514.63636363636363</v>
      </c>
    </row>
    <row r="842" spans="2:7">
      <c r="B842" s="583">
        <v>46011</v>
      </c>
      <c r="C842" s="230" t="s">
        <v>2250</v>
      </c>
      <c r="D842" s="650">
        <v>4</v>
      </c>
      <c r="E842" s="636">
        <v>549</v>
      </c>
      <c r="F842" s="650">
        <f t="shared" si="97"/>
        <v>2196</v>
      </c>
      <c r="G842" s="66">
        <f t="shared" si="98"/>
        <v>199.63636363636363</v>
      </c>
    </row>
    <row r="843" spans="2:7">
      <c r="B843" s="583">
        <v>46011</v>
      </c>
      <c r="C843" s="230" t="s">
        <v>2244</v>
      </c>
      <c r="D843" s="650">
        <v>2</v>
      </c>
      <c r="E843" s="636">
        <v>477</v>
      </c>
      <c r="F843" s="650">
        <f t="shared" si="97"/>
        <v>954</v>
      </c>
      <c r="G843" s="66">
        <f t="shared" si="98"/>
        <v>86.727272727272734</v>
      </c>
    </row>
    <row r="844" spans="2:7">
      <c r="B844" s="583">
        <v>46011</v>
      </c>
      <c r="C844" s="230" t="s">
        <v>2244</v>
      </c>
      <c r="D844" s="650">
        <v>2</v>
      </c>
      <c r="E844" s="636">
        <v>454</v>
      </c>
      <c r="F844" s="650">
        <f t="shared" si="97"/>
        <v>908</v>
      </c>
      <c r="G844" s="66">
        <f t="shared" si="98"/>
        <v>82.545454545454547</v>
      </c>
    </row>
    <row r="845" spans="2:7">
      <c r="B845" s="583">
        <v>46011</v>
      </c>
      <c r="C845" s="230" t="s">
        <v>2251</v>
      </c>
      <c r="D845" s="650">
        <v>2</v>
      </c>
      <c r="E845" s="636">
        <v>125</v>
      </c>
      <c r="F845" s="650">
        <f t="shared" si="97"/>
        <v>250</v>
      </c>
      <c r="G845" s="66">
        <f t="shared" si="98"/>
        <v>22.727272727272727</v>
      </c>
    </row>
    <row r="846" spans="2:7">
      <c r="B846" s="583">
        <v>46011</v>
      </c>
      <c r="C846" s="230" t="s">
        <v>2252</v>
      </c>
      <c r="D846" s="650">
        <v>7</v>
      </c>
      <c r="E846" s="636">
        <v>549</v>
      </c>
      <c r="F846" s="650">
        <f t="shared" si="97"/>
        <v>3843</v>
      </c>
      <c r="G846" s="66">
        <f t="shared" si="98"/>
        <v>349.36363636363637</v>
      </c>
    </row>
    <row r="847" spans="2:7">
      <c r="B847" s="583">
        <v>46011</v>
      </c>
      <c r="C847" s="230" t="s">
        <v>2245</v>
      </c>
      <c r="D847" s="650">
        <v>10</v>
      </c>
      <c r="E847" s="636">
        <v>477</v>
      </c>
      <c r="F847" s="650">
        <f t="shared" si="97"/>
        <v>4770</v>
      </c>
      <c r="G847" s="66">
        <f t="shared" si="98"/>
        <v>433.63636363636363</v>
      </c>
    </row>
    <row r="848" spans="2:7">
      <c r="B848" s="583">
        <v>46011</v>
      </c>
      <c r="C848" s="230" t="s">
        <v>2253</v>
      </c>
      <c r="D848" s="650">
        <v>5</v>
      </c>
      <c r="E848" s="636">
        <v>629</v>
      </c>
      <c r="F848" s="650">
        <f t="shared" si="97"/>
        <v>3145</v>
      </c>
      <c r="G848" s="66">
        <f t="shared" si="98"/>
        <v>285.90909090909093</v>
      </c>
    </row>
    <row r="849" spans="2:7">
      <c r="B849" s="583">
        <v>46011</v>
      </c>
      <c r="C849" s="230" t="s">
        <v>2254</v>
      </c>
      <c r="D849" s="650">
        <v>2</v>
      </c>
      <c r="E849" s="636">
        <v>477</v>
      </c>
      <c r="F849" s="650">
        <f t="shared" si="97"/>
        <v>954</v>
      </c>
      <c r="G849" s="66">
        <f t="shared" si="98"/>
        <v>86.727272727272734</v>
      </c>
    </row>
    <row r="850" spans="2:7">
      <c r="B850" s="583">
        <v>46011</v>
      </c>
      <c r="C850" s="230" t="s">
        <v>2255</v>
      </c>
      <c r="D850" s="650">
        <v>4</v>
      </c>
      <c r="E850" s="636">
        <v>477</v>
      </c>
      <c r="F850" s="650">
        <f t="shared" si="97"/>
        <v>1908</v>
      </c>
      <c r="G850" s="66">
        <f t="shared" si="98"/>
        <v>173.45454545454547</v>
      </c>
    </row>
    <row r="851" spans="2:7">
      <c r="B851" s="583">
        <v>46011</v>
      </c>
      <c r="C851" s="230" t="s">
        <v>2256</v>
      </c>
      <c r="D851" s="650">
        <v>22</v>
      </c>
      <c r="E851" s="636">
        <v>399</v>
      </c>
      <c r="F851" s="650">
        <f t="shared" si="97"/>
        <v>8778</v>
      </c>
      <c r="G851" s="66">
        <f t="shared" si="98"/>
        <v>798</v>
      </c>
    </row>
    <row r="852" spans="2:7">
      <c r="B852" s="583">
        <v>46011</v>
      </c>
      <c r="C852" s="230" t="s">
        <v>2257</v>
      </c>
      <c r="D852" s="650">
        <v>3</v>
      </c>
      <c r="E852" s="636">
        <v>629</v>
      </c>
      <c r="F852" s="650">
        <f t="shared" si="97"/>
        <v>1887</v>
      </c>
      <c r="G852" s="66">
        <f t="shared" si="98"/>
        <v>171.54545454545453</v>
      </c>
    </row>
    <row r="853" spans="2:7">
      <c r="B853" s="583">
        <v>46011</v>
      </c>
      <c r="C853" s="230" t="s">
        <v>2258</v>
      </c>
      <c r="D853" s="650">
        <v>2</v>
      </c>
      <c r="E853" s="636">
        <v>477</v>
      </c>
      <c r="F853" s="650">
        <f t="shared" si="97"/>
        <v>954</v>
      </c>
      <c r="G853" s="66">
        <f t="shared" si="98"/>
        <v>86.727272727272734</v>
      </c>
    </row>
    <row r="854" spans="2:7">
      <c r="B854" s="583">
        <v>46012</v>
      </c>
      <c r="C854" s="230" t="s">
        <v>2262</v>
      </c>
      <c r="D854" s="650">
        <v>3</v>
      </c>
      <c r="E854" s="636">
        <v>629</v>
      </c>
      <c r="F854" s="650">
        <f t="shared" si="97"/>
        <v>1887</v>
      </c>
      <c r="G854" s="66">
        <f t="shared" si="98"/>
        <v>171.54545454545453</v>
      </c>
    </row>
    <row r="855" spans="2:7">
      <c r="B855" s="585">
        <v>46012</v>
      </c>
      <c r="C855" s="110" t="s">
        <v>2271</v>
      </c>
      <c r="D855" s="127">
        <v>2</v>
      </c>
      <c r="E855" s="623">
        <v>477</v>
      </c>
      <c r="F855" s="650">
        <f t="shared" si="97"/>
        <v>954</v>
      </c>
      <c r="G855" s="66">
        <f t="shared" si="98"/>
        <v>86.727272727272734</v>
      </c>
    </row>
    <row r="856" spans="2:7">
      <c r="B856" s="585">
        <v>46012</v>
      </c>
      <c r="C856" s="110" t="s">
        <v>2271</v>
      </c>
      <c r="D856" s="127">
        <v>2</v>
      </c>
      <c r="E856" s="623">
        <v>629</v>
      </c>
      <c r="F856" s="650">
        <f t="shared" si="97"/>
        <v>1258</v>
      </c>
      <c r="G856" s="66">
        <f t="shared" si="98"/>
        <v>114.36363636363636</v>
      </c>
    </row>
    <row r="857" spans="2:7">
      <c r="B857" s="585">
        <v>46012</v>
      </c>
      <c r="C857" s="110" t="s">
        <v>2272</v>
      </c>
      <c r="D857" s="127">
        <v>2</v>
      </c>
      <c r="E857" s="623">
        <v>477</v>
      </c>
      <c r="F857" s="650">
        <f t="shared" si="97"/>
        <v>954</v>
      </c>
      <c r="G857" s="66">
        <f t="shared" si="98"/>
        <v>86.727272727272734</v>
      </c>
    </row>
    <row r="858" spans="2:7">
      <c r="B858" s="651">
        <v>46012</v>
      </c>
      <c r="C858" s="431" t="s">
        <v>2273</v>
      </c>
      <c r="D858" s="432">
        <v>2</v>
      </c>
      <c r="E858" s="652">
        <v>477</v>
      </c>
      <c r="F858" s="650">
        <f t="shared" si="97"/>
        <v>954</v>
      </c>
      <c r="G858" s="66">
        <f t="shared" si="98"/>
        <v>86.727272727272734</v>
      </c>
    </row>
    <row r="859" spans="2:7">
      <c r="B859" s="585">
        <v>46012</v>
      </c>
      <c r="C859" s="110" t="s">
        <v>2273</v>
      </c>
      <c r="D859" s="127">
        <v>2</v>
      </c>
      <c r="E859" s="623">
        <v>477</v>
      </c>
      <c r="F859" s="650">
        <f t="shared" si="97"/>
        <v>954</v>
      </c>
      <c r="G859" s="66">
        <f t="shared" si="98"/>
        <v>86.727272727272734</v>
      </c>
    </row>
    <row r="860" spans="2:7">
      <c r="B860" s="585">
        <v>46012</v>
      </c>
      <c r="C860" s="110" t="s">
        <v>2260</v>
      </c>
      <c r="D860" s="127">
        <v>2</v>
      </c>
      <c r="E860" s="623">
        <v>477</v>
      </c>
      <c r="F860" s="650">
        <f t="shared" si="97"/>
        <v>954</v>
      </c>
      <c r="G860" s="66">
        <f t="shared" si="98"/>
        <v>86.727272727272734</v>
      </c>
    </row>
    <row r="861" spans="2:7">
      <c r="B861" s="585">
        <v>46012</v>
      </c>
      <c r="C861" s="110" t="s">
        <v>2259</v>
      </c>
      <c r="D861" s="127">
        <v>2</v>
      </c>
      <c r="E861" s="623">
        <v>629</v>
      </c>
      <c r="F861" s="650">
        <f t="shared" si="97"/>
        <v>1258</v>
      </c>
      <c r="G861" s="66">
        <f t="shared" si="98"/>
        <v>114.36363636363636</v>
      </c>
    </row>
    <row r="862" spans="2:7">
      <c r="B862" s="585">
        <v>46012</v>
      </c>
      <c r="C862" s="110" t="s">
        <v>2241</v>
      </c>
      <c r="D862" s="127">
        <v>2</v>
      </c>
      <c r="E862" s="623">
        <v>477</v>
      </c>
      <c r="F862" s="650">
        <f t="shared" si="97"/>
        <v>954</v>
      </c>
      <c r="G862" s="66">
        <f t="shared" si="98"/>
        <v>86.727272727272734</v>
      </c>
    </row>
    <row r="863" spans="2:7">
      <c r="B863" s="583">
        <v>46012</v>
      </c>
      <c r="C863" s="230" t="s">
        <v>2264</v>
      </c>
      <c r="D863" s="650">
        <v>2</v>
      </c>
      <c r="E863" s="636">
        <v>477</v>
      </c>
      <c r="F863" s="650">
        <f t="shared" si="97"/>
        <v>954</v>
      </c>
      <c r="G863" s="66">
        <f t="shared" si="98"/>
        <v>86.727272727272734</v>
      </c>
    </row>
    <row r="864" spans="2:7">
      <c r="B864" s="583">
        <v>46012</v>
      </c>
      <c r="C864" s="230" t="s">
        <v>2264</v>
      </c>
      <c r="D864" s="650">
        <v>2</v>
      </c>
      <c r="E864" s="636">
        <v>477</v>
      </c>
      <c r="F864" s="650">
        <f t="shared" si="97"/>
        <v>954</v>
      </c>
      <c r="G864" s="66">
        <f t="shared" si="98"/>
        <v>86.727272727272734</v>
      </c>
    </row>
    <row r="865" spans="2:7">
      <c r="B865" s="583">
        <v>46012</v>
      </c>
      <c r="C865" s="230" t="s">
        <v>2265</v>
      </c>
      <c r="D865" s="650">
        <v>2</v>
      </c>
      <c r="E865" s="636">
        <v>477</v>
      </c>
      <c r="F865" s="650">
        <f t="shared" si="97"/>
        <v>954</v>
      </c>
      <c r="G865" s="66">
        <f t="shared" si="98"/>
        <v>86.727272727272734</v>
      </c>
    </row>
    <row r="866" spans="2:7">
      <c r="B866" s="583">
        <v>46012</v>
      </c>
      <c r="C866" s="230" t="s">
        <v>2265</v>
      </c>
      <c r="D866" s="650">
        <v>2</v>
      </c>
      <c r="E866" s="636">
        <v>477</v>
      </c>
      <c r="F866" s="650">
        <f t="shared" si="97"/>
        <v>954</v>
      </c>
      <c r="G866" s="66">
        <f t="shared" si="98"/>
        <v>86.727272727272734</v>
      </c>
    </row>
    <row r="867" spans="2:7">
      <c r="B867" s="583">
        <v>46012</v>
      </c>
      <c r="C867" s="230" t="s">
        <v>2264</v>
      </c>
      <c r="D867" s="650">
        <v>2</v>
      </c>
      <c r="E867" s="636">
        <v>477</v>
      </c>
      <c r="F867" s="650">
        <f t="shared" si="97"/>
        <v>954</v>
      </c>
      <c r="G867" s="66">
        <f t="shared" si="98"/>
        <v>86.727272727272734</v>
      </c>
    </row>
    <row r="868" spans="2:7">
      <c r="B868" s="583">
        <v>46012</v>
      </c>
      <c r="C868" s="230" t="s">
        <v>2264</v>
      </c>
      <c r="D868" s="650">
        <v>2</v>
      </c>
      <c r="E868" s="636">
        <v>477</v>
      </c>
      <c r="F868" s="650">
        <f t="shared" si="97"/>
        <v>954</v>
      </c>
      <c r="G868" s="66">
        <f t="shared" si="98"/>
        <v>86.727272727272734</v>
      </c>
    </row>
    <row r="869" spans="2:7">
      <c r="B869" s="583">
        <v>46012</v>
      </c>
      <c r="C869" s="230" t="s">
        <v>2266</v>
      </c>
      <c r="D869" s="650">
        <v>2</v>
      </c>
      <c r="E869" s="636">
        <v>629</v>
      </c>
      <c r="F869" s="650">
        <f t="shared" si="97"/>
        <v>1258</v>
      </c>
      <c r="G869" s="66">
        <f t="shared" si="98"/>
        <v>114.36363636363636</v>
      </c>
    </row>
    <row r="870" spans="2:7">
      <c r="B870" s="583">
        <v>46012</v>
      </c>
      <c r="C870" s="230" t="s">
        <v>2267</v>
      </c>
      <c r="D870" s="650">
        <v>2</v>
      </c>
      <c r="E870" s="636">
        <v>477</v>
      </c>
      <c r="F870" s="650">
        <f t="shared" si="97"/>
        <v>954</v>
      </c>
      <c r="G870" s="66">
        <f t="shared" si="98"/>
        <v>86.727272727272734</v>
      </c>
    </row>
    <row r="871" spans="2:7">
      <c r="B871" s="583">
        <v>46012</v>
      </c>
      <c r="C871" s="230" t="s">
        <v>2262</v>
      </c>
      <c r="D871" s="650">
        <v>4</v>
      </c>
      <c r="E871" s="636">
        <v>629</v>
      </c>
      <c r="F871" s="650">
        <f t="shared" si="97"/>
        <v>2516</v>
      </c>
      <c r="G871" s="66">
        <f t="shared" si="98"/>
        <v>228.72727272727272</v>
      </c>
    </row>
    <row r="872" spans="2:7">
      <c r="B872" s="583">
        <v>46012</v>
      </c>
      <c r="C872" s="230" t="s">
        <v>2268</v>
      </c>
      <c r="D872" s="650">
        <v>2</v>
      </c>
      <c r="E872" s="636">
        <v>477</v>
      </c>
      <c r="F872" s="650">
        <f t="shared" si="97"/>
        <v>954</v>
      </c>
      <c r="G872" s="66">
        <f t="shared" si="98"/>
        <v>86.727272727272734</v>
      </c>
    </row>
    <row r="873" spans="2:7">
      <c r="B873" s="583">
        <v>46012</v>
      </c>
      <c r="C873" s="230" t="s">
        <v>2265</v>
      </c>
      <c r="D873" s="650">
        <v>3</v>
      </c>
      <c r="E873" s="636">
        <v>477</v>
      </c>
      <c r="F873" s="650">
        <f t="shared" si="97"/>
        <v>1431</v>
      </c>
      <c r="G873" s="66">
        <f t="shared" si="98"/>
        <v>130.09090909090909</v>
      </c>
    </row>
    <row r="874" spans="2:7">
      <c r="B874" s="583">
        <v>46012</v>
      </c>
      <c r="C874" s="230" t="s">
        <v>2269</v>
      </c>
      <c r="D874" s="650">
        <v>2</v>
      </c>
      <c r="E874" s="636">
        <v>629</v>
      </c>
      <c r="F874" s="650">
        <f t="shared" si="97"/>
        <v>1258</v>
      </c>
      <c r="G874" s="66">
        <f t="shared" si="98"/>
        <v>114.36363636363636</v>
      </c>
    </row>
    <row r="875" spans="2:7">
      <c r="B875" s="583">
        <v>46012</v>
      </c>
      <c r="C875" s="230" t="s">
        <v>2270</v>
      </c>
      <c r="D875" s="650">
        <v>2</v>
      </c>
      <c r="E875" s="636">
        <v>477</v>
      </c>
      <c r="F875" s="650">
        <f t="shared" si="97"/>
        <v>954</v>
      </c>
      <c r="G875" s="66">
        <f t="shared" si="98"/>
        <v>86.727272727272734</v>
      </c>
    </row>
    <row r="876" spans="2:7">
      <c r="B876" s="585">
        <v>46012</v>
      </c>
      <c r="C876" s="138" t="s">
        <v>2274</v>
      </c>
      <c r="D876" s="127">
        <v>2</v>
      </c>
      <c r="E876" s="623">
        <v>477</v>
      </c>
      <c r="F876" s="650">
        <f t="shared" si="97"/>
        <v>954</v>
      </c>
      <c r="G876" s="66">
        <f t="shared" si="98"/>
        <v>86.727272727272734</v>
      </c>
    </row>
    <row r="877" spans="2:7">
      <c r="B877" s="585">
        <v>46013</v>
      </c>
      <c r="C877" s="110" t="s">
        <v>2263</v>
      </c>
      <c r="D877" s="127">
        <v>2</v>
      </c>
      <c r="E877" s="653">
        <v>477</v>
      </c>
      <c r="F877" s="650">
        <f t="shared" si="97"/>
        <v>954</v>
      </c>
      <c r="G877" s="66">
        <f t="shared" si="98"/>
        <v>86.727272727272734</v>
      </c>
    </row>
    <row r="878" spans="2:7">
      <c r="B878" s="585">
        <v>46013</v>
      </c>
      <c r="C878" s="110" t="s">
        <v>2276</v>
      </c>
      <c r="D878" s="127">
        <v>2</v>
      </c>
      <c r="E878" s="653">
        <v>477</v>
      </c>
      <c r="F878" s="650">
        <f t="shared" si="97"/>
        <v>954</v>
      </c>
      <c r="G878" s="66">
        <f t="shared" si="98"/>
        <v>86.727272727272734</v>
      </c>
    </row>
    <row r="879" spans="2:7">
      <c r="B879" s="585">
        <v>46013</v>
      </c>
      <c r="C879" s="110" t="s">
        <v>2263</v>
      </c>
      <c r="D879" s="127">
        <v>2</v>
      </c>
      <c r="E879" s="653">
        <v>477</v>
      </c>
      <c r="F879" s="650">
        <f t="shared" si="97"/>
        <v>954</v>
      </c>
      <c r="G879" s="66">
        <f t="shared" si="98"/>
        <v>86.727272727272734</v>
      </c>
    </row>
    <row r="880" spans="2:7">
      <c r="B880" s="585">
        <v>46013</v>
      </c>
      <c r="C880" s="110" t="s">
        <v>2263</v>
      </c>
      <c r="D880" s="127">
        <v>2</v>
      </c>
      <c r="E880" s="653">
        <v>477</v>
      </c>
      <c r="F880" s="650">
        <f t="shared" si="97"/>
        <v>954</v>
      </c>
      <c r="G880" s="66">
        <f t="shared" si="98"/>
        <v>86.727272727272734</v>
      </c>
    </row>
    <row r="881" spans="2:7">
      <c r="B881" s="585">
        <v>46013</v>
      </c>
      <c r="C881" s="110" t="s">
        <v>2264</v>
      </c>
      <c r="D881" s="127">
        <v>2</v>
      </c>
      <c r="E881" s="653">
        <v>477</v>
      </c>
      <c r="F881" s="650">
        <f t="shared" si="97"/>
        <v>954</v>
      </c>
      <c r="G881" s="66">
        <f t="shared" si="98"/>
        <v>86.727272727272734</v>
      </c>
    </row>
    <row r="882" spans="2:7">
      <c r="B882" s="585">
        <v>46013</v>
      </c>
      <c r="C882" s="110" t="s">
        <v>2277</v>
      </c>
      <c r="D882" s="127">
        <v>2</v>
      </c>
      <c r="E882" s="653">
        <v>477</v>
      </c>
      <c r="F882" s="650">
        <f t="shared" si="97"/>
        <v>954</v>
      </c>
      <c r="G882" s="66">
        <f t="shared" si="98"/>
        <v>86.727272727272734</v>
      </c>
    </row>
    <row r="883" spans="2:7">
      <c r="B883" s="585">
        <v>46013</v>
      </c>
      <c r="C883" s="110" t="s">
        <v>2278</v>
      </c>
      <c r="D883" s="127">
        <v>2</v>
      </c>
      <c r="E883" s="653">
        <v>629</v>
      </c>
      <c r="F883" s="650">
        <f t="shared" si="97"/>
        <v>1258</v>
      </c>
      <c r="G883" s="66">
        <f t="shared" si="98"/>
        <v>114.36363636363636</v>
      </c>
    </row>
    <row r="884" spans="2:7">
      <c r="B884" s="585">
        <v>46013</v>
      </c>
      <c r="C884" s="110" t="s">
        <v>2278</v>
      </c>
      <c r="D884" s="127">
        <v>2</v>
      </c>
      <c r="E884" s="653">
        <v>629</v>
      </c>
      <c r="F884" s="650">
        <f t="shared" si="97"/>
        <v>1258</v>
      </c>
      <c r="G884" s="66">
        <f t="shared" si="98"/>
        <v>114.36363636363636</v>
      </c>
    </row>
    <row r="885" spans="2:7">
      <c r="B885" s="583">
        <v>46013</v>
      </c>
      <c r="C885" s="230" t="s">
        <v>2243</v>
      </c>
      <c r="D885" s="650">
        <v>2</v>
      </c>
      <c r="E885" s="604">
        <v>477</v>
      </c>
      <c r="F885" s="650">
        <f t="shared" si="97"/>
        <v>954</v>
      </c>
      <c r="G885" s="66">
        <f t="shared" si="98"/>
        <v>86.727272727272734</v>
      </c>
    </row>
    <row r="886" spans="2:7">
      <c r="B886" s="583">
        <v>46013</v>
      </c>
      <c r="C886" s="230" t="s">
        <v>2243</v>
      </c>
      <c r="D886" s="650">
        <v>2</v>
      </c>
      <c r="E886" s="604">
        <v>477</v>
      </c>
      <c r="F886" s="650">
        <f t="shared" si="97"/>
        <v>954</v>
      </c>
      <c r="G886" s="66">
        <f t="shared" si="98"/>
        <v>86.727272727272734</v>
      </c>
    </row>
    <row r="887" spans="2:7">
      <c r="B887" s="665">
        <v>46014</v>
      </c>
      <c r="C887" s="444" t="s">
        <v>2342</v>
      </c>
      <c r="D887" s="444">
        <v>20</v>
      </c>
      <c r="E887" s="444">
        <v>398</v>
      </c>
      <c r="F887" s="650">
        <f t="shared" si="97"/>
        <v>7960</v>
      </c>
      <c r="G887" s="66">
        <f t="shared" si="98"/>
        <v>723.63636363636363</v>
      </c>
    </row>
    <row r="888" spans="2:7">
      <c r="B888" s="665">
        <v>46014</v>
      </c>
      <c r="C888" s="444" t="s">
        <v>2343</v>
      </c>
      <c r="D888" s="444">
        <v>16</v>
      </c>
      <c r="E888" s="444">
        <v>398</v>
      </c>
      <c r="F888" s="650">
        <f t="shared" si="97"/>
        <v>6368</v>
      </c>
      <c r="G888" s="66">
        <f t="shared" si="98"/>
        <v>578.90909090909088</v>
      </c>
    </row>
    <row r="889" spans="2:7">
      <c r="B889" s="666">
        <v>46014</v>
      </c>
      <c r="C889" s="138" t="s">
        <v>2346</v>
      </c>
      <c r="D889" s="138">
        <v>1</v>
      </c>
      <c r="E889" s="138">
        <v>610</v>
      </c>
      <c r="F889" s="664">
        <f t="shared" ref="F889:F896" si="99">E889*D889</f>
        <v>610</v>
      </c>
      <c r="G889" s="66">
        <f t="shared" ref="G889:G896" si="100">F889/11</f>
        <v>55.454545454545453</v>
      </c>
    </row>
    <row r="890" spans="2:7">
      <c r="B890" s="666">
        <v>46014</v>
      </c>
      <c r="C890" s="138" t="s">
        <v>2346</v>
      </c>
      <c r="D890" s="138">
        <v>1</v>
      </c>
      <c r="E890" s="138">
        <v>610</v>
      </c>
      <c r="F890" s="664">
        <f t="shared" si="99"/>
        <v>610</v>
      </c>
      <c r="G890" s="66">
        <f t="shared" si="100"/>
        <v>55.454545454545453</v>
      </c>
    </row>
    <row r="891" spans="2:7">
      <c r="B891" s="666">
        <v>46014</v>
      </c>
      <c r="C891" s="138" t="s">
        <v>2347</v>
      </c>
      <c r="D891" s="138">
        <v>20</v>
      </c>
      <c r="E891" s="138">
        <v>398</v>
      </c>
      <c r="F891" s="664">
        <f t="shared" si="99"/>
        <v>7960</v>
      </c>
      <c r="G891" s="66">
        <f t="shared" si="100"/>
        <v>723.63636363636363</v>
      </c>
    </row>
    <row r="892" spans="2:7">
      <c r="B892" s="665">
        <v>46014</v>
      </c>
      <c r="C892" s="444" t="s">
        <v>2258</v>
      </c>
      <c r="D892" s="444">
        <v>9</v>
      </c>
      <c r="E892" s="444">
        <v>479</v>
      </c>
      <c r="F892" s="664">
        <f t="shared" si="99"/>
        <v>4311</v>
      </c>
      <c r="G892" s="66">
        <f t="shared" si="100"/>
        <v>391.90909090909093</v>
      </c>
    </row>
    <row r="893" spans="2:7">
      <c r="B893" s="665">
        <v>46014</v>
      </c>
      <c r="C893" s="444" t="s">
        <v>2344</v>
      </c>
      <c r="D893" s="444">
        <v>11</v>
      </c>
      <c r="E893" s="444">
        <v>629</v>
      </c>
      <c r="F893" s="664">
        <f t="shared" si="99"/>
        <v>6919</v>
      </c>
      <c r="G893" s="66">
        <f t="shared" si="100"/>
        <v>629</v>
      </c>
    </row>
    <row r="894" spans="2:7">
      <c r="B894" s="665">
        <v>46014</v>
      </c>
      <c r="C894" s="444" t="s">
        <v>2345</v>
      </c>
      <c r="D894" s="444">
        <v>2</v>
      </c>
      <c r="E894" s="444">
        <v>629</v>
      </c>
      <c r="F894" s="664">
        <f t="shared" si="99"/>
        <v>1258</v>
      </c>
      <c r="G894" s="66">
        <f t="shared" si="100"/>
        <v>114.36363636363636</v>
      </c>
    </row>
    <row r="895" spans="2:7">
      <c r="B895" s="583">
        <v>46015</v>
      </c>
      <c r="C895" s="230" t="s">
        <v>2353</v>
      </c>
      <c r="D895" s="230">
        <v>6</v>
      </c>
      <c r="E895" s="636">
        <v>398</v>
      </c>
      <c r="F895" s="664">
        <f t="shared" si="99"/>
        <v>2388</v>
      </c>
      <c r="G895" s="66">
        <f t="shared" si="100"/>
        <v>217.09090909090909</v>
      </c>
    </row>
    <row r="896" spans="2:7">
      <c r="B896" s="583">
        <v>46015</v>
      </c>
      <c r="C896" s="230" t="s">
        <v>2354</v>
      </c>
      <c r="D896" s="230">
        <v>20</v>
      </c>
      <c r="E896" s="636">
        <v>398</v>
      </c>
      <c r="F896" s="664">
        <f t="shared" si="99"/>
        <v>7960</v>
      </c>
      <c r="G896" s="66">
        <f t="shared" si="100"/>
        <v>723.63636363636363</v>
      </c>
    </row>
    <row r="897" spans="2:7">
      <c r="B897" s="583">
        <v>46015</v>
      </c>
      <c r="C897" s="230" t="s">
        <v>2355</v>
      </c>
      <c r="D897" s="230">
        <v>1</v>
      </c>
      <c r="E897" s="636">
        <v>398</v>
      </c>
      <c r="F897" s="667">
        <f t="shared" ref="F897:F960" si="101">E897*D897</f>
        <v>398</v>
      </c>
      <c r="G897" s="66">
        <f t="shared" ref="G897:G960" si="102">F897/11</f>
        <v>36.18181818181818</v>
      </c>
    </row>
    <row r="898" spans="2:7">
      <c r="B898" s="583">
        <v>46015</v>
      </c>
      <c r="C898" s="230" t="s">
        <v>2356</v>
      </c>
      <c r="D898" s="230">
        <v>12</v>
      </c>
      <c r="E898" s="636">
        <v>398</v>
      </c>
      <c r="F898" s="667">
        <f t="shared" si="101"/>
        <v>4776</v>
      </c>
      <c r="G898" s="66">
        <f t="shared" si="102"/>
        <v>434.18181818181819</v>
      </c>
    </row>
    <row r="899" spans="2:7">
      <c r="B899" s="585">
        <v>46017</v>
      </c>
      <c r="C899" s="110" t="s">
        <v>2360</v>
      </c>
      <c r="D899" s="110">
        <v>3</v>
      </c>
      <c r="E899" s="623">
        <v>4400</v>
      </c>
      <c r="F899" s="667">
        <f t="shared" si="101"/>
        <v>13200</v>
      </c>
      <c r="G899" s="66">
        <f t="shared" si="102"/>
        <v>1200</v>
      </c>
    </row>
    <row r="900" spans="2:7">
      <c r="B900" s="585">
        <v>46017</v>
      </c>
      <c r="C900" s="110" t="s">
        <v>2361</v>
      </c>
      <c r="D900" s="110">
        <v>2</v>
      </c>
      <c r="E900" s="623">
        <v>3250</v>
      </c>
      <c r="F900" s="667">
        <f t="shared" si="101"/>
        <v>6500</v>
      </c>
      <c r="G900" s="66">
        <f t="shared" si="102"/>
        <v>590.90909090909088</v>
      </c>
    </row>
    <row r="901" spans="2:7">
      <c r="B901" s="585">
        <v>46017</v>
      </c>
      <c r="C901" s="110" t="s">
        <v>2360</v>
      </c>
      <c r="D901" s="110">
        <v>1</v>
      </c>
      <c r="E901" s="623">
        <v>4400</v>
      </c>
      <c r="F901" s="667">
        <f t="shared" si="101"/>
        <v>4400</v>
      </c>
      <c r="G901" s="66">
        <f t="shared" si="102"/>
        <v>400</v>
      </c>
    </row>
    <row r="902" spans="2:7">
      <c r="B902" s="585">
        <v>46017</v>
      </c>
      <c r="C902" s="110" t="s">
        <v>2361</v>
      </c>
      <c r="D902" s="110">
        <v>1</v>
      </c>
      <c r="E902" s="623">
        <v>3250</v>
      </c>
      <c r="F902" s="667">
        <f t="shared" si="101"/>
        <v>3250</v>
      </c>
      <c r="G902" s="66">
        <f t="shared" si="102"/>
        <v>295.45454545454544</v>
      </c>
    </row>
    <row r="903" spans="2:7">
      <c r="B903" s="585">
        <v>46017</v>
      </c>
      <c r="C903" s="110" t="s">
        <v>2360</v>
      </c>
      <c r="D903" s="110">
        <v>1</v>
      </c>
      <c r="E903" s="623">
        <v>4400</v>
      </c>
      <c r="F903" s="667">
        <f t="shared" si="101"/>
        <v>4400</v>
      </c>
      <c r="G903" s="66">
        <f t="shared" si="102"/>
        <v>400</v>
      </c>
    </row>
    <row r="904" spans="2:7">
      <c r="B904" s="585">
        <v>46017</v>
      </c>
      <c r="C904" s="110" t="s">
        <v>2361</v>
      </c>
      <c r="D904" s="110">
        <v>2</v>
      </c>
      <c r="E904" s="623">
        <v>3250</v>
      </c>
      <c r="F904" s="667">
        <f t="shared" si="101"/>
        <v>6500</v>
      </c>
      <c r="G904" s="66">
        <f t="shared" si="102"/>
        <v>590.90909090909088</v>
      </c>
    </row>
    <row r="905" spans="2:7">
      <c r="B905" s="583">
        <v>46017</v>
      </c>
      <c r="C905" s="230" t="s">
        <v>2362</v>
      </c>
      <c r="D905" s="230">
        <v>8</v>
      </c>
      <c r="E905" s="636">
        <v>398</v>
      </c>
      <c r="F905" s="667">
        <f t="shared" si="101"/>
        <v>3184</v>
      </c>
      <c r="G905" s="66">
        <f t="shared" si="102"/>
        <v>289.45454545454544</v>
      </c>
    </row>
    <row r="906" spans="2:7">
      <c r="B906" s="585">
        <v>46017</v>
      </c>
      <c r="C906" s="110" t="s">
        <v>2363</v>
      </c>
      <c r="D906" s="110">
        <v>3</v>
      </c>
      <c r="E906" s="623">
        <v>642</v>
      </c>
      <c r="F906" s="667">
        <f t="shared" si="101"/>
        <v>1926</v>
      </c>
      <c r="G906" s="66">
        <f t="shared" si="102"/>
        <v>175.09090909090909</v>
      </c>
    </row>
    <row r="907" spans="2:7">
      <c r="B907" s="583">
        <v>46017</v>
      </c>
      <c r="C907" s="230" t="s">
        <v>1940</v>
      </c>
      <c r="D907" s="230">
        <v>3</v>
      </c>
      <c r="E907" s="636">
        <v>419</v>
      </c>
      <c r="F907" s="667">
        <f t="shared" si="101"/>
        <v>1257</v>
      </c>
      <c r="G907" s="66">
        <f t="shared" si="102"/>
        <v>114.27272727272727</v>
      </c>
    </row>
    <row r="908" spans="2:7">
      <c r="B908" s="583">
        <v>46017</v>
      </c>
      <c r="C908" s="230" t="s">
        <v>2169</v>
      </c>
      <c r="D908" s="230">
        <v>3</v>
      </c>
      <c r="E908" s="636">
        <v>105</v>
      </c>
      <c r="F908" s="667">
        <f t="shared" si="101"/>
        <v>315</v>
      </c>
      <c r="G908" s="66">
        <f t="shared" si="102"/>
        <v>28.636363636363637</v>
      </c>
    </row>
    <row r="909" spans="2:7">
      <c r="B909" s="583">
        <v>46017</v>
      </c>
      <c r="C909" s="230" t="s">
        <v>2364</v>
      </c>
      <c r="D909" s="230">
        <v>1</v>
      </c>
      <c r="E909" s="636">
        <v>218</v>
      </c>
      <c r="F909" s="667">
        <f t="shared" si="101"/>
        <v>218</v>
      </c>
      <c r="G909" s="66">
        <f t="shared" si="102"/>
        <v>19.818181818181817</v>
      </c>
    </row>
    <row r="910" spans="2:7">
      <c r="B910" s="583">
        <v>46017</v>
      </c>
      <c r="C910" s="230" t="s">
        <v>2365</v>
      </c>
      <c r="D910" s="230">
        <v>3</v>
      </c>
      <c r="E910" s="636">
        <v>779</v>
      </c>
      <c r="F910" s="667">
        <f t="shared" si="101"/>
        <v>2337</v>
      </c>
      <c r="G910" s="66">
        <f t="shared" si="102"/>
        <v>212.45454545454547</v>
      </c>
    </row>
    <row r="911" spans="2:7">
      <c r="B911" s="583">
        <v>46017</v>
      </c>
      <c r="C911" s="230" t="s">
        <v>2366</v>
      </c>
      <c r="D911" s="230">
        <v>3</v>
      </c>
      <c r="E911" s="636">
        <v>105</v>
      </c>
      <c r="F911" s="667">
        <f t="shared" si="101"/>
        <v>315</v>
      </c>
      <c r="G911" s="66">
        <f t="shared" si="102"/>
        <v>28.636363636363637</v>
      </c>
    </row>
    <row r="912" spans="2:7">
      <c r="B912" s="583">
        <v>46017</v>
      </c>
      <c r="C912" s="230" t="s">
        <v>2367</v>
      </c>
      <c r="D912" s="230">
        <v>3</v>
      </c>
      <c r="E912" s="636">
        <v>2597</v>
      </c>
      <c r="F912" s="667">
        <f t="shared" si="101"/>
        <v>7791</v>
      </c>
      <c r="G912" s="66">
        <f t="shared" si="102"/>
        <v>708.27272727272725</v>
      </c>
    </row>
    <row r="913" spans="2:7">
      <c r="B913" s="583">
        <v>46017</v>
      </c>
      <c r="C913" s="230" t="s">
        <v>2368</v>
      </c>
      <c r="D913" s="230">
        <v>1</v>
      </c>
      <c r="E913" s="636">
        <v>1789</v>
      </c>
      <c r="F913" s="667">
        <f t="shared" si="101"/>
        <v>1789</v>
      </c>
      <c r="G913" s="66">
        <f t="shared" si="102"/>
        <v>162.63636363636363</v>
      </c>
    </row>
    <row r="914" spans="2:7">
      <c r="B914" s="585">
        <v>46017</v>
      </c>
      <c r="C914" s="110" t="s">
        <v>2369</v>
      </c>
      <c r="D914" s="110">
        <v>6</v>
      </c>
      <c r="E914" s="623">
        <v>2197</v>
      </c>
      <c r="F914" s="667">
        <f t="shared" si="101"/>
        <v>13182</v>
      </c>
      <c r="G914" s="66">
        <f t="shared" si="102"/>
        <v>1198.3636363636363</v>
      </c>
    </row>
    <row r="915" spans="2:7">
      <c r="B915" s="585">
        <v>46017</v>
      </c>
      <c r="C915" s="110" t="s">
        <v>1892</v>
      </c>
      <c r="D915" s="110">
        <v>9</v>
      </c>
      <c r="E915" s="623">
        <v>135</v>
      </c>
      <c r="F915" s="667">
        <f t="shared" si="101"/>
        <v>1215</v>
      </c>
      <c r="G915" s="66">
        <f t="shared" si="102"/>
        <v>110.45454545454545</v>
      </c>
    </row>
    <row r="916" spans="2:7">
      <c r="B916" s="585">
        <v>46017</v>
      </c>
      <c r="C916" s="110" t="s">
        <v>2370</v>
      </c>
      <c r="D916" s="110">
        <v>6</v>
      </c>
      <c r="E916" s="623">
        <v>407</v>
      </c>
      <c r="F916" s="667">
        <f t="shared" si="101"/>
        <v>2442</v>
      </c>
      <c r="G916" s="66">
        <f t="shared" si="102"/>
        <v>222</v>
      </c>
    </row>
    <row r="917" spans="2:7">
      <c r="B917" s="585">
        <v>46017</v>
      </c>
      <c r="C917" s="110" t="s">
        <v>2371</v>
      </c>
      <c r="D917" s="110">
        <v>9</v>
      </c>
      <c r="E917" s="623">
        <v>629</v>
      </c>
      <c r="F917" s="667">
        <f t="shared" si="101"/>
        <v>5661</v>
      </c>
      <c r="G917" s="66">
        <f t="shared" si="102"/>
        <v>514.63636363636363</v>
      </c>
    </row>
    <row r="918" spans="2:7">
      <c r="B918" s="585">
        <v>46018</v>
      </c>
      <c r="C918" s="110" t="s">
        <v>1769</v>
      </c>
      <c r="D918" s="110">
        <v>6</v>
      </c>
      <c r="E918" s="623">
        <v>125</v>
      </c>
      <c r="F918" s="667">
        <f t="shared" si="101"/>
        <v>750</v>
      </c>
      <c r="G918" s="66">
        <f t="shared" si="102"/>
        <v>68.181818181818187</v>
      </c>
    </row>
    <row r="919" spans="2:7">
      <c r="B919" s="585">
        <v>46018</v>
      </c>
      <c r="C919" s="110" t="s">
        <v>2042</v>
      </c>
      <c r="D919" s="110">
        <v>3</v>
      </c>
      <c r="E919" s="623">
        <v>419</v>
      </c>
      <c r="F919" s="667">
        <f t="shared" si="101"/>
        <v>1257</v>
      </c>
      <c r="G919" s="66">
        <f t="shared" si="102"/>
        <v>114.27272727272727</v>
      </c>
    </row>
    <row r="920" spans="2:7">
      <c r="B920" s="585">
        <v>46018</v>
      </c>
      <c r="C920" s="110" t="s">
        <v>2372</v>
      </c>
      <c r="D920" s="110">
        <v>2</v>
      </c>
      <c r="E920" s="623">
        <v>629</v>
      </c>
      <c r="F920" s="667">
        <f t="shared" si="101"/>
        <v>1258</v>
      </c>
      <c r="G920" s="66">
        <f t="shared" si="102"/>
        <v>114.36363636363636</v>
      </c>
    </row>
    <row r="921" spans="2:7">
      <c r="B921" s="583">
        <v>46018</v>
      </c>
      <c r="C921" s="230" t="s">
        <v>2373</v>
      </c>
      <c r="D921" s="230">
        <v>3</v>
      </c>
      <c r="E921" s="636">
        <v>419</v>
      </c>
      <c r="F921" s="667">
        <f t="shared" si="101"/>
        <v>1257</v>
      </c>
      <c r="G921" s="66">
        <f t="shared" si="102"/>
        <v>114.27272727272727</v>
      </c>
    </row>
    <row r="922" spans="2:7">
      <c r="B922" s="583">
        <v>46018</v>
      </c>
      <c r="C922" s="230" t="s">
        <v>2376</v>
      </c>
      <c r="D922" s="230">
        <v>2</v>
      </c>
      <c r="E922" s="636">
        <v>180</v>
      </c>
      <c r="F922" s="667">
        <f t="shared" si="101"/>
        <v>360</v>
      </c>
      <c r="G922" s="66">
        <f t="shared" si="102"/>
        <v>32.727272727272727</v>
      </c>
    </row>
    <row r="923" spans="2:7">
      <c r="B923" s="583">
        <v>46018</v>
      </c>
      <c r="C923" s="230" t="s">
        <v>2377</v>
      </c>
      <c r="D923" s="230">
        <v>1</v>
      </c>
      <c r="E923" s="636">
        <v>135</v>
      </c>
      <c r="F923" s="667">
        <f t="shared" si="101"/>
        <v>135</v>
      </c>
      <c r="G923" s="66">
        <f t="shared" si="102"/>
        <v>12.272727272727273</v>
      </c>
    </row>
    <row r="924" spans="2:7">
      <c r="B924" s="583">
        <v>46018</v>
      </c>
      <c r="C924" s="230" t="s">
        <v>2372</v>
      </c>
      <c r="D924" s="230">
        <v>1</v>
      </c>
      <c r="E924" s="636">
        <v>629</v>
      </c>
      <c r="F924" s="667">
        <f t="shared" si="101"/>
        <v>629</v>
      </c>
      <c r="G924" s="66">
        <f t="shared" si="102"/>
        <v>57.18181818181818</v>
      </c>
    </row>
    <row r="925" spans="2:7">
      <c r="B925" s="583">
        <v>46018</v>
      </c>
      <c r="C925" s="230" t="s">
        <v>2378</v>
      </c>
      <c r="D925" s="230">
        <v>50</v>
      </c>
      <c r="E925" s="636">
        <v>477</v>
      </c>
      <c r="F925" s="667">
        <f t="shared" si="101"/>
        <v>23850</v>
      </c>
      <c r="G925" s="66">
        <f t="shared" si="102"/>
        <v>2168.181818181818</v>
      </c>
    </row>
    <row r="926" spans="2:7">
      <c r="B926" s="583">
        <v>46018</v>
      </c>
      <c r="C926" s="230" t="s">
        <v>2379</v>
      </c>
      <c r="D926" s="230">
        <v>37</v>
      </c>
      <c r="E926" s="636">
        <v>629</v>
      </c>
      <c r="F926" s="667">
        <f t="shared" si="101"/>
        <v>23273</v>
      </c>
      <c r="G926" s="66">
        <f t="shared" si="102"/>
        <v>2115.7272727272725</v>
      </c>
    </row>
    <row r="927" spans="2:7">
      <c r="B927" s="583">
        <v>46018</v>
      </c>
      <c r="C927" s="230" t="s">
        <v>2380</v>
      </c>
      <c r="D927" s="230">
        <v>50</v>
      </c>
      <c r="E927" s="636">
        <v>398</v>
      </c>
      <c r="F927" s="667">
        <f t="shared" si="101"/>
        <v>19900</v>
      </c>
      <c r="G927" s="66">
        <f t="shared" si="102"/>
        <v>1809.090909090909</v>
      </c>
    </row>
    <row r="928" spans="2:7">
      <c r="B928" s="585">
        <v>46017</v>
      </c>
      <c r="C928" s="110" t="s">
        <v>2381</v>
      </c>
      <c r="D928" s="110">
        <v>2</v>
      </c>
      <c r="E928" s="623">
        <v>2197</v>
      </c>
      <c r="F928" s="667">
        <f t="shared" si="101"/>
        <v>4394</v>
      </c>
      <c r="G928" s="66">
        <f t="shared" si="102"/>
        <v>399.45454545454544</v>
      </c>
    </row>
    <row r="929" spans="2:7">
      <c r="B929" s="583">
        <v>46018</v>
      </c>
      <c r="C929" s="230" t="s">
        <v>2382</v>
      </c>
      <c r="D929" s="230">
        <v>2</v>
      </c>
      <c r="E929" s="636">
        <v>2599</v>
      </c>
      <c r="F929" s="667">
        <f t="shared" si="101"/>
        <v>5198</v>
      </c>
      <c r="G929" s="66">
        <f t="shared" si="102"/>
        <v>472.54545454545456</v>
      </c>
    </row>
    <row r="930" spans="2:7">
      <c r="B930" s="583">
        <v>46018</v>
      </c>
      <c r="C930" s="230" t="s">
        <v>2359</v>
      </c>
      <c r="D930" s="230">
        <v>2</v>
      </c>
      <c r="E930" s="636">
        <v>629</v>
      </c>
      <c r="F930" s="667">
        <f t="shared" si="101"/>
        <v>1258</v>
      </c>
      <c r="G930" s="66">
        <f t="shared" si="102"/>
        <v>114.36363636363636</v>
      </c>
    </row>
    <row r="931" spans="2:7">
      <c r="B931" s="583">
        <v>46018</v>
      </c>
      <c r="C931" s="230" t="s">
        <v>2382</v>
      </c>
      <c r="D931" s="230">
        <v>2</v>
      </c>
      <c r="E931" s="636">
        <v>2599</v>
      </c>
      <c r="F931" s="667">
        <f t="shared" si="101"/>
        <v>5198</v>
      </c>
      <c r="G931" s="66">
        <f t="shared" si="102"/>
        <v>472.54545454545456</v>
      </c>
    </row>
    <row r="932" spans="2:7">
      <c r="B932" s="583">
        <v>46018</v>
      </c>
      <c r="C932" s="230" t="s">
        <v>2382</v>
      </c>
      <c r="D932" s="230">
        <v>3</v>
      </c>
      <c r="E932" s="636">
        <v>2599</v>
      </c>
      <c r="F932" s="667">
        <f t="shared" si="101"/>
        <v>7797</v>
      </c>
      <c r="G932" s="66">
        <f t="shared" si="102"/>
        <v>708.81818181818187</v>
      </c>
    </row>
    <row r="933" spans="2:7">
      <c r="B933" s="583">
        <v>46018</v>
      </c>
      <c r="C933" s="230" t="s">
        <v>2359</v>
      </c>
      <c r="D933" s="230">
        <v>3</v>
      </c>
      <c r="E933" s="636">
        <v>629</v>
      </c>
      <c r="F933" s="667">
        <f t="shared" si="101"/>
        <v>1887</v>
      </c>
      <c r="G933" s="66">
        <f t="shared" si="102"/>
        <v>171.54545454545453</v>
      </c>
    </row>
    <row r="934" spans="2:7">
      <c r="B934" s="585">
        <v>46019</v>
      </c>
      <c r="C934" s="110" t="s">
        <v>1575</v>
      </c>
      <c r="D934" s="110">
        <v>40</v>
      </c>
      <c r="E934" s="669">
        <v>145</v>
      </c>
      <c r="F934" s="667">
        <f t="shared" si="101"/>
        <v>5800</v>
      </c>
      <c r="G934" s="66">
        <f t="shared" si="102"/>
        <v>527.27272727272725</v>
      </c>
    </row>
    <row r="935" spans="2:7">
      <c r="B935" s="583">
        <v>46019</v>
      </c>
      <c r="C935" s="230" t="s">
        <v>2359</v>
      </c>
      <c r="D935" s="230">
        <v>2</v>
      </c>
      <c r="E935" s="670">
        <v>629</v>
      </c>
      <c r="F935" s="667">
        <f t="shared" si="101"/>
        <v>1258</v>
      </c>
      <c r="G935" s="66">
        <f t="shared" si="102"/>
        <v>114.36363636363636</v>
      </c>
    </row>
    <row r="936" spans="2:7">
      <c r="B936" s="583">
        <v>46019</v>
      </c>
      <c r="C936" s="230" t="s">
        <v>2375</v>
      </c>
      <c r="D936" s="230">
        <v>3</v>
      </c>
      <c r="E936" s="670">
        <v>149</v>
      </c>
      <c r="F936" s="667">
        <f t="shared" si="101"/>
        <v>447</v>
      </c>
      <c r="G936" s="66">
        <f t="shared" si="102"/>
        <v>40.636363636363633</v>
      </c>
    </row>
    <row r="937" spans="2:7">
      <c r="B937" s="583">
        <v>46019</v>
      </c>
      <c r="C937" s="230" t="s">
        <v>2392</v>
      </c>
      <c r="D937" s="230">
        <v>1</v>
      </c>
      <c r="E937" s="670">
        <v>159</v>
      </c>
      <c r="F937" s="667">
        <f t="shared" si="101"/>
        <v>159</v>
      </c>
      <c r="G937" s="66">
        <f t="shared" si="102"/>
        <v>14.454545454545455</v>
      </c>
    </row>
    <row r="938" spans="2:7">
      <c r="B938" s="583">
        <v>46019</v>
      </c>
      <c r="C938" s="230" t="s">
        <v>2393</v>
      </c>
      <c r="D938" s="230">
        <v>2</v>
      </c>
      <c r="E938" s="670">
        <v>199</v>
      </c>
      <c r="F938" s="667">
        <f t="shared" si="101"/>
        <v>398</v>
      </c>
      <c r="G938" s="66">
        <f t="shared" si="102"/>
        <v>36.18181818181818</v>
      </c>
    </row>
    <row r="939" spans="2:7">
      <c r="B939" s="583">
        <v>46019</v>
      </c>
      <c r="C939" s="230" t="s">
        <v>2394</v>
      </c>
      <c r="D939" s="230">
        <v>3</v>
      </c>
      <c r="E939" s="670">
        <v>109</v>
      </c>
      <c r="F939" s="667">
        <f t="shared" si="101"/>
        <v>327</v>
      </c>
      <c r="G939" s="66">
        <f t="shared" si="102"/>
        <v>29.727272727272727</v>
      </c>
    </row>
    <row r="940" spans="2:7">
      <c r="B940" s="583">
        <v>46019</v>
      </c>
      <c r="C940" s="230" t="s">
        <v>2395</v>
      </c>
      <c r="D940" s="230">
        <v>3</v>
      </c>
      <c r="E940" s="670">
        <v>189</v>
      </c>
      <c r="F940" s="667">
        <f t="shared" si="101"/>
        <v>567</v>
      </c>
      <c r="G940" s="66">
        <f t="shared" si="102"/>
        <v>51.545454545454547</v>
      </c>
    </row>
    <row r="941" spans="2:7">
      <c r="B941" s="585">
        <v>46019</v>
      </c>
      <c r="C941" s="110" t="s">
        <v>2396</v>
      </c>
      <c r="D941" s="110">
        <v>2</v>
      </c>
      <c r="E941" s="669">
        <v>488</v>
      </c>
      <c r="F941" s="667">
        <f t="shared" si="101"/>
        <v>976</v>
      </c>
      <c r="G941" s="66">
        <f t="shared" si="102"/>
        <v>88.727272727272734</v>
      </c>
    </row>
    <row r="942" spans="2:7">
      <c r="B942" s="583">
        <v>46019</v>
      </c>
      <c r="C942" s="230" t="s">
        <v>2359</v>
      </c>
      <c r="D942" s="230">
        <v>2</v>
      </c>
      <c r="E942" s="670">
        <v>629</v>
      </c>
      <c r="F942" s="667">
        <f t="shared" si="101"/>
        <v>1258</v>
      </c>
      <c r="G942" s="66">
        <f t="shared" si="102"/>
        <v>114.36363636363636</v>
      </c>
    </row>
    <row r="943" spans="2:7">
      <c r="B943" s="585">
        <v>46019</v>
      </c>
      <c r="C943" s="110" t="s">
        <v>2397</v>
      </c>
      <c r="D943" s="110">
        <v>2</v>
      </c>
      <c r="E943" s="669">
        <v>2599</v>
      </c>
      <c r="F943" s="667">
        <f t="shared" si="101"/>
        <v>5198</v>
      </c>
      <c r="G943" s="66">
        <f t="shared" si="102"/>
        <v>472.54545454545456</v>
      </c>
    </row>
    <row r="944" spans="2:7">
      <c r="B944" s="583">
        <v>46387</v>
      </c>
      <c r="C944" s="230" t="s">
        <v>2411</v>
      </c>
      <c r="D944" s="230">
        <v>8</v>
      </c>
      <c r="E944" s="636">
        <v>398</v>
      </c>
      <c r="F944" s="667">
        <f t="shared" si="101"/>
        <v>3184</v>
      </c>
      <c r="G944" s="66">
        <f t="shared" si="102"/>
        <v>289.45454545454544</v>
      </c>
    </row>
    <row r="945" spans="2:8">
      <c r="B945" s="583">
        <v>46387</v>
      </c>
      <c r="C945" s="230" t="s">
        <v>2412</v>
      </c>
      <c r="D945" s="230">
        <v>2</v>
      </c>
      <c r="E945" s="636">
        <v>477</v>
      </c>
      <c r="F945" s="667">
        <f t="shared" si="101"/>
        <v>954</v>
      </c>
      <c r="G945" s="66">
        <f t="shared" si="102"/>
        <v>86.727272727272734</v>
      </c>
    </row>
    <row r="946" spans="2:8">
      <c r="B946" s="583">
        <v>46384</v>
      </c>
      <c r="C946" s="230" t="s">
        <v>2359</v>
      </c>
      <c r="D946" s="230">
        <v>1</v>
      </c>
      <c r="E946" s="636">
        <v>628</v>
      </c>
      <c r="F946" s="667">
        <f t="shared" si="101"/>
        <v>628</v>
      </c>
      <c r="G946" s="66">
        <f t="shared" si="102"/>
        <v>57.090909090909093</v>
      </c>
    </row>
    <row r="947" spans="2:8">
      <c r="B947" s="583">
        <v>46384</v>
      </c>
      <c r="C947" s="230" t="s">
        <v>2410</v>
      </c>
      <c r="D947" s="230">
        <v>3</v>
      </c>
      <c r="E947" s="636">
        <v>328</v>
      </c>
      <c r="F947" s="667">
        <f t="shared" si="101"/>
        <v>984</v>
      </c>
      <c r="G947" s="66">
        <f t="shared" si="102"/>
        <v>89.454545454545453</v>
      </c>
    </row>
    <row r="948" spans="2:8">
      <c r="B948" s="616">
        <v>46026</v>
      </c>
      <c r="C948" s="612" t="s">
        <v>2650</v>
      </c>
      <c r="D948" s="612">
        <v>2</v>
      </c>
      <c r="E948" s="621">
        <v>2010</v>
      </c>
      <c r="F948" s="667">
        <f t="shared" si="101"/>
        <v>4020</v>
      </c>
      <c r="G948" s="66">
        <f t="shared" si="102"/>
        <v>365.45454545454544</v>
      </c>
      <c r="H948" s="735">
        <v>2.4285000000000001</v>
      </c>
    </row>
    <row r="949" spans="2:8">
      <c r="B949" s="616">
        <v>46026</v>
      </c>
      <c r="C949" s="612" t="s">
        <v>2651</v>
      </c>
      <c r="D949" s="612">
        <v>2</v>
      </c>
      <c r="E949" s="621">
        <v>2010</v>
      </c>
      <c r="F949" s="667">
        <f t="shared" si="101"/>
        <v>4020</v>
      </c>
      <c r="G949" s="66">
        <f t="shared" si="102"/>
        <v>365.45454545454544</v>
      </c>
      <c r="H949" s="735">
        <v>2.4285000000000001</v>
      </c>
    </row>
    <row r="950" spans="2:8">
      <c r="B950" s="616">
        <v>46025</v>
      </c>
      <c r="C950" s="612" t="s">
        <v>2652</v>
      </c>
      <c r="D950" s="612">
        <v>2</v>
      </c>
      <c r="E950" s="621">
        <v>398</v>
      </c>
      <c r="F950" s="667">
        <f t="shared" si="101"/>
        <v>796</v>
      </c>
      <c r="G950" s="66">
        <f t="shared" si="102"/>
        <v>72.36363636363636</v>
      </c>
      <c r="H950" s="735">
        <v>2.4285000000000001</v>
      </c>
    </row>
    <row r="951" spans="2:8">
      <c r="B951" s="616">
        <v>46025</v>
      </c>
      <c r="C951" s="612" t="s">
        <v>2653</v>
      </c>
      <c r="D951" s="612">
        <v>8</v>
      </c>
      <c r="E951" s="621">
        <v>629</v>
      </c>
      <c r="F951" s="667">
        <f t="shared" si="101"/>
        <v>5032</v>
      </c>
      <c r="G951" s="66">
        <f t="shared" si="102"/>
        <v>457.45454545454544</v>
      </c>
      <c r="H951" s="735">
        <v>2.4285000000000001</v>
      </c>
    </row>
    <row r="952" spans="2:8">
      <c r="B952" s="616">
        <v>46025</v>
      </c>
      <c r="C952" s="612" t="s">
        <v>2653</v>
      </c>
      <c r="D952" s="612">
        <v>2</v>
      </c>
      <c r="E952" s="621">
        <v>629</v>
      </c>
      <c r="F952" s="667">
        <f t="shared" si="101"/>
        <v>1258</v>
      </c>
      <c r="G952" s="66">
        <f t="shared" si="102"/>
        <v>114.36363636363636</v>
      </c>
      <c r="H952" s="735">
        <v>2.4285000000000001</v>
      </c>
    </row>
    <row r="953" spans="2:8">
      <c r="B953" s="616">
        <v>46025</v>
      </c>
      <c r="C953" s="612" t="s">
        <v>2654</v>
      </c>
      <c r="D953" s="612">
        <v>4</v>
      </c>
      <c r="E953" s="621">
        <v>477</v>
      </c>
      <c r="F953" s="667">
        <f t="shared" si="101"/>
        <v>1908</v>
      </c>
      <c r="G953" s="66">
        <f t="shared" si="102"/>
        <v>173.45454545454547</v>
      </c>
      <c r="H953" s="735">
        <v>2.4285000000000001</v>
      </c>
    </row>
    <row r="954" spans="2:8">
      <c r="B954" s="616">
        <v>46025</v>
      </c>
      <c r="C954" s="612" t="s">
        <v>2657</v>
      </c>
      <c r="D954" s="612">
        <v>2</v>
      </c>
      <c r="E954" s="621">
        <v>629</v>
      </c>
      <c r="F954" s="667">
        <f t="shared" si="101"/>
        <v>1258</v>
      </c>
      <c r="G954" s="66">
        <f t="shared" si="102"/>
        <v>114.36363636363636</v>
      </c>
      <c r="H954" s="735">
        <v>2.4285000000000001</v>
      </c>
    </row>
    <row r="955" spans="2:8">
      <c r="B955" s="616">
        <v>46028</v>
      </c>
      <c r="C955" s="612" t="s">
        <v>2651</v>
      </c>
      <c r="D955" s="614">
        <v>2</v>
      </c>
      <c r="E955" s="621">
        <v>2010</v>
      </c>
      <c r="F955" s="667">
        <f t="shared" si="101"/>
        <v>4020</v>
      </c>
      <c r="G955" s="66">
        <f t="shared" si="102"/>
        <v>365.45454545454544</v>
      </c>
      <c r="H955" s="735">
        <v>2.4285000000000001</v>
      </c>
    </row>
    <row r="956" spans="2:8">
      <c r="B956" s="616">
        <v>46028</v>
      </c>
      <c r="C956" s="612" t="s">
        <v>2658</v>
      </c>
      <c r="D956" s="614">
        <v>2</v>
      </c>
      <c r="E956" s="621">
        <v>2010</v>
      </c>
      <c r="F956" s="667">
        <f t="shared" si="101"/>
        <v>4020</v>
      </c>
      <c r="G956" s="66">
        <f t="shared" si="102"/>
        <v>365.45454545454544</v>
      </c>
      <c r="H956" s="735">
        <v>2.4285000000000001</v>
      </c>
    </row>
    <row r="957" spans="2:8">
      <c r="B957" s="616">
        <v>46028</v>
      </c>
      <c r="C957" s="612" t="s">
        <v>2658</v>
      </c>
      <c r="D957" s="614">
        <v>2</v>
      </c>
      <c r="E957" s="621">
        <v>2010</v>
      </c>
      <c r="F957" s="667">
        <f t="shared" si="101"/>
        <v>4020</v>
      </c>
      <c r="G957" s="66">
        <f t="shared" si="102"/>
        <v>365.45454545454544</v>
      </c>
      <c r="H957" s="735">
        <v>2.4285000000000001</v>
      </c>
    </row>
    <row r="958" spans="2:8">
      <c r="B958" s="616">
        <v>46028</v>
      </c>
      <c r="C958" s="612" t="s">
        <v>2659</v>
      </c>
      <c r="D958" s="614">
        <v>2</v>
      </c>
      <c r="E958" s="621">
        <v>2010</v>
      </c>
      <c r="F958" s="667">
        <f t="shared" si="101"/>
        <v>4020</v>
      </c>
      <c r="G958" s="66">
        <f t="shared" si="102"/>
        <v>365.45454545454544</v>
      </c>
      <c r="H958" s="735">
        <v>2.4285000000000001</v>
      </c>
    </row>
    <row r="959" spans="2:8">
      <c r="B959" s="585">
        <v>46028</v>
      </c>
      <c r="C959" s="110" t="s">
        <v>2660</v>
      </c>
      <c r="D959" s="127">
        <v>1</v>
      </c>
      <c r="E959" s="623">
        <v>2010</v>
      </c>
      <c r="F959" s="667">
        <f t="shared" si="101"/>
        <v>2010</v>
      </c>
      <c r="G959" s="66">
        <f t="shared" si="102"/>
        <v>182.72727272727272</v>
      </c>
      <c r="H959" s="735">
        <v>2.4285000000000001</v>
      </c>
    </row>
    <row r="960" spans="2:8">
      <c r="B960" s="585">
        <v>46031</v>
      </c>
      <c r="C960" s="110" t="s">
        <v>2650</v>
      </c>
      <c r="D960" s="127">
        <v>2</v>
      </c>
      <c r="E960" s="623">
        <v>2010</v>
      </c>
      <c r="F960" s="667">
        <f t="shared" si="101"/>
        <v>4020</v>
      </c>
      <c r="G960" s="66">
        <f t="shared" si="102"/>
        <v>365.45454545454544</v>
      </c>
      <c r="H960" s="735">
        <v>2.4285000000000001</v>
      </c>
    </row>
    <row r="961" spans="2:8">
      <c r="B961" s="585">
        <v>46031</v>
      </c>
      <c r="C961" s="110" t="s">
        <v>2659</v>
      </c>
      <c r="D961" s="127">
        <v>2</v>
      </c>
      <c r="E961" s="623">
        <v>2010</v>
      </c>
      <c r="F961" s="667">
        <f t="shared" ref="F961:F994" si="103">E961*D961</f>
        <v>4020</v>
      </c>
      <c r="G961" s="66">
        <f t="shared" ref="G961:G994" si="104">F961/11</f>
        <v>365.45454545454544</v>
      </c>
      <c r="H961" s="735">
        <v>2.4285000000000001</v>
      </c>
    </row>
    <row r="962" spans="2:8">
      <c r="B962" s="585">
        <v>46031</v>
      </c>
      <c r="C962" s="110" t="s">
        <v>2661</v>
      </c>
      <c r="D962" s="127">
        <v>2</v>
      </c>
      <c r="E962" s="623">
        <v>2010</v>
      </c>
      <c r="F962" s="667">
        <f t="shared" si="103"/>
        <v>4020</v>
      </c>
      <c r="G962" s="66">
        <f t="shared" si="104"/>
        <v>365.45454545454544</v>
      </c>
      <c r="H962" s="735">
        <v>2.4285000000000001</v>
      </c>
    </row>
    <row r="963" spans="2:8">
      <c r="B963" s="585">
        <v>46031</v>
      </c>
      <c r="C963" s="110" t="s">
        <v>2662</v>
      </c>
      <c r="D963" s="127">
        <v>1</v>
      </c>
      <c r="E963" s="623">
        <v>2010</v>
      </c>
      <c r="F963" s="667">
        <f t="shared" si="103"/>
        <v>2010</v>
      </c>
      <c r="G963" s="66">
        <f t="shared" si="104"/>
        <v>182.72727272727272</v>
      </c>
      <c r="H963" s="735">
        <v>2.4285000000000001</v>
      </c>
    </row>
    <row r="964" spans="2:8">
      <c r="B964" s="585">
        <v>46031</v>
      </c>
      <c r="C964" s="110" t="s">
        <v>2663</v>
      </c>
      <c r="D964" s="127">
        <v>2</v>
      </c>
      <c r="E964" s="623">
        <v>2010</v>
      </c>
      <c r="F964" s="667">
        <f t="shared" si="103"/>
        <v>4020</v>
      </c>
      <c r="G964" s="66">
        <f t="shared" si="104"/>
        <v>365.45454545454544</v>
      </c>
      <c r="H964" s="735">
        <v>2.4285000000000001</v>
      </c>
    </row>
    <row r="965" spans="2:8">
      <c r="B965" s="583">
        <v>46033</v>
      </c>
      <c r="C965" s="230" t="s">
        <v>2764</v>
      </c>
      <c r="D965" s="230">
        <v>7</v>
      </c>
      <c r="E965" s="670">
        <v>2197</v>
      </c>
      <c r="F965" s="667">
        <f t="shared" si="103"/>
        <v>15379</v>
      </c>
      <c r="G965" s="66">
        <f t="shared" si="104"/>
        <v>1398.090909090909</v>
      </c>
      <c r="H965" s="735">
        <v>2.4285000000000001</v>
      </c>
    </row>
    <row r="966" spans="2:8">
      <c r="B966" s="583">
        <v>46036</v>
      </c>
      <c r="C966" s="230" t="s">
        <v>2765</v>
      </c>
      <c r="D966" s="230">
        <v>8</v>
      </c>
      <c r="E966" s="636">
        <v>2490</v>
      </c>
      <c r="F966" s="667">
        <f t="shared" si="103"/>
        <v>19920</v>
      </c>
      <c r="G966" s="66">
        <f t="shared" si="104"/>
        <v>1810.909090909091</v>
      </c>
      <c r="H966" s="735">
        <v>2.4285000000000001</v>
      </c>
    </row>
    <row r="967" spans="2:8">
      <c r="B967" s="583">
        <v>46036</v>
      </c>
      <c r="C967" s="230" t="s">
        <v>2766</v>
      </c>
      <c r="D967" s="230">
        <v>25</v>
      </c>
      <c r="E967" s="636">
        <v>415</v>
      </c>
      <c r="F967" s="667">
        <f t="shared" si="103"/>
        <v>10375</v>
      </c>
      <c r="G967" s="66">
        <f t="shared" si="104"/>
        <v>943.18181818181813</v>
      </c>
      <c r="H967" s="735">
        <v>2.4285000000000001</v>
      </c>
    </row>
    <row r="968" spans="2:8">
      <c r="B968" s="583">
        <v>46037</v>
      </c>
      <c r="C968" s="230" t="s">
        <v>2763</v>
      </c>
      <c r="D968" s="230">
        <v>3</v>
      </c>
      <c r="E968" s="636">
        <v>2690</v>
      </c>
      <c r="F968" s="667">
        <f t="shared" si="103"/>
        <v>8070</v>
      </c>
      <c r="G968" s="66">
        <f t="shared" si="104"/>
        <v>733.63636363636363</v>
      </c>
      <c r="H968" s="735">
        <v>2.4285000000000001</v>
      </c>
    </row>
    <row r="969" spans="2:8">
      <c r="B969" s="583">
        <v>46037</v>
      </c>
      <c r="C969" s="230" t="s">
        <v>2762</v>
      </c>
      <c r="D969" s="230">
        <v>3</v>
      </c>
      <c r="E969" s="636">
        <v>259</v>
      </c>
      <c r="F969" s="667">
        <f t="shared" si="103"/>
        <v>777</v>
      </c>
      <c r="G969" s="66">
        <f t="shared" si="104"/>
        <v>70.63636363636364</v>
      </c>
      <c r="H969" s="735">
        <v>2.4285000000000001</v>
      </c>
    </row>
    <row r="970" spans="2:8">
      <c r="B970" s="583">
        <v>46037</v>
      </c>
      <c r="C970" s="230" t="s">
        <v>2761</v>
      </c>
      <c r="D970" s="230">
        <v>3</v>
      </c>
      <c r="E970" s="636">
        <v>519</v>
      </c>
      <c r="F970" s="667">
        <f t="shared" si="103"/>
        <v>1557</v>
      </c>
      <c r="G970" s="66">
        <f t="shared" si="104"/>
        <v>141.54545454545453</v>
      </c>
      <c r="H970" s="735">
        <v>2.4285000000000001</v>
      </c>
    </row>
    <row r="971" spans="2:8">
      <c r="B971" s="583">
        <v>46037</v>
      </c>
      <c r="C971" s="230" t="s">
        <v>2760</v>
      </c>
      <c r="D971" s="230">
        <v>3</v>
      </c>
      <c r="E971" s="636">
        <v>419</v>
      </c>
      <c r="F971" s="667">
        <f t="shared" si="103"/>
        <v>1257</v>
      </c>
      <c r="G971" s="66">
        <f t="shared" si="104"/>
        <v>114.27272727272727</v>
      </c>
      <c r="H971" s="735">
        <v>2.4285000000000001</v>
      </c>
    </row>
    <row r="972" spans="2:8">
      <c r="B972" s="583">
        <v>46038</v>
      </c>
      <c r="C972" s="230" t="s">
        <v>2842</v>
      </c>
      <c r="D972" s="230">
        <v>2</v>
      </c>
      <c r="E972" s="230">
        <v>1397</v>
      </c>
      <c r="F972" s="667">
        <f t="shared" si="103"/>
        <v>2794</v>
      </c>
      <c r="G972" s="66">
        <f t="shared" si="104"/>
        <v>254</v>
      </c>
      <c r="H972" s="735">
        <v>2.4218000000000002</v>
      </c>
    </row>
    <row r="973" spans="2:8">
      <c r="B973" s="583">
        <v>46038</v>
      </c>
      <c r="C973" s="230" t="s">
        <v>2843</v>
      </c>
      <c r="D973" s="230">
        <v>2</v>
      </c>
      <c r="E973" s="230">
        <v>1397</v>
      </c>
      <c r="F973" s="667">
        <f t="shared" si="103"/>
        <v>2794</v>
      </c>
      <c r="G973" s="66">
        <f t="shared" si="104"/>
        <v>254</v>
      </c>
      <c r="H973" s="735">
        <v>2.4218000000000002</v>
      </c>
    </row>
    <row r="974" spans="2:8">
      <c r="B974" s="583">
        <v>46038</v>
      </c>
      <c r="C974" s="230" t="s">
        <v>795</v>
      </c>
      <c r="D974" s="230">
        <v>4</v>
      </c>
      <c r="E974" s="230">
        <v>648</v>
      </c>
      <c r="F974" s="667">
        <f t="shared" si="103"/>
        <v>2592</v>
      </c>
      <c r="G974" s="66">
        <f t="shared" si="104"/>
        <v>235.63636363636363</v>
      </c>
      <c r="H974" s="735">
        <v>2.4218000000000002</v>
      </c>
    </row>
    <row r="975" spans="2:8">
      <c r="B975" s="583">
        <v>46039</v>
      </c>
      <c r="C975" s="230" t="s">
        <v>2844</v>
      </c>
      <c r="D975" s="230">
        <v>2</v>
      </c>
      <c r="E975" s="230">
        <v>1398</v>
      </c>
      <c r="F975" s="667">
        <f t="shared" si="103"/>
        <v>2796</v>
      </c>
      <c r="G975" s="66">
        <f t="shared" si="104"/>
        <v>254.18181818181819</v>
      </c>
      <c r="H975" s="735">
        <v>2.4218000000000002</v>
      </c>
    </row>
    <row r="976" spans="2:8">
      <c r="B976" s="583">
        <v>46039</v>
      </c>
      <c r="C976" s="230" t="s">
        <v>795</v>
      </c>
      <c r="D976" s="230">
        <v>2</v>
      </c>
      <c r="E976" s="230">
        <v>648</v>
      </c>
      <c r="F976" s="667">
        <f t="shared" si="103"/>
        <v>1296</v>
      </c>
      <c r="G976" s="66">
        <f t="shared" si="104"/>
        <v>117.81818181818181</v>
      </c>
      <c r="H976" s="735">
        <v>2.4218000000000002</v>
      </c>
    </row>
    <row r="977" spans="2:8">
      <c r="B977" s="583">
        <v>46039</v>
      </c>
      <c r="C977" s="230" t="s">
        <v>2845</v>
      </c>
      <c r="D977" s="230">
        <v>2</v>
      </c>
      <c r="E977" s="230">
        <v>1397</v>
      </c>
      <c r="F977" s="667">
        <f t="shared" si="103"/>
        <v>2794</v>
      </c>
      <c r="G977" s="66">
        <f t="shared" si="104"/>
        <v>254</v>
      </c>
      <c r="H977" s="735">
        <v>2.4218000000000002</v>
      </c>
    </row>
    <row r="978" spans="2:8">
      <c r="B978" s="583">
        <v>46039</v>
      </c>
      <c r="C978" s="230" t="s">
        <v>2846</v>
      </c>
      <c r="D978" s="230">
        <v>2</v>
      </c>
      <c r="E978" s="230">
        <v>1397</v>
      </c>
      <c r="F978" s="667">
        <f t="shared" si="103"/>
        <v>2794</v>
      </c>
      <c r="G978" s="66">
        <f t="shared" si="104"/>
        <v>254</v>
      </c>
      <c r="H978" s="735">
        <v>2.4218000000000002</v>
      </c>
    </row>
    <row r="979" spans="2:8">
      <c r="B979" s="583">
        <v>46041</v>
      </c>
      <c r="C979" s="230" t="s">
        <v>2847</v>
      </c>
      <c r="D979" s="230">
        <v>40</v>
      </c>
      <c r="E979" s="230">
        <v>402</v>
      </c>
      <c r="F979" s="667">
        <f t="shared" si="103"/>
        <v>16080</v>
      </c>
      <c r="G979" s="66">
        <f t="shared" si="104"/>
        <v>1461.8181818181818</v>
      </c>
      <c r="H979" s="735">
        <v>2.4218000000000002</v>
      </c>
    </row>
    <row r="980" spans="2:8">
      <c r="B980" s="583">
        <v>46041</v>
      </c>
      <c r="C980" s="230" t="s">
        <v>2848</v>
      </c>
      <c r="D980" s="230">
        <v>32</v>
      </c>
      <c r="E980" s="230">
        <v>402</v>
      </c>
      <c r="F980" s="667">
        <f t="shared" si="103"/>
        <v>12864</v>
      </c>
      <c r="G980" s="66">
        <f t="shared" si="104"/>
        <v>1169.4545454545455</v>
      </c>
      <c r="H980" s="735">
        <v>2.4218000000000002</v>
      </c>
    </row>
    <row r="981" spans="2:8">
      <c r="B981" s="583">
        <v>46041</v>
      </c>
      <c r="C981" s="230" t="s">
        <v>2849</v>
      </c>
      <c r="D981" s="230">
        <v>60</v>
      </c>
      <c r="E981" s="230">
        <v>402</v>
      </c>
      <c r="F981" s="667">
        <f t="shared" si="103"/>
        <v>24120</v>
      </c>
      <c r="G981" s="66">
        <f t="shared" si="104"/>
        <v>2192.7272727272725</v>
      </c>
      <c r="H981" s="735">
        <v>2.4218000000000002</v>
      </c>
    </row>
    <row r="982" spans="2:8">
      <c r="B982" s="585">
        <v>46043</v>
      </c>
      <c r="C982" s="110" t="s">
        <v>2853</v>
      </c>
      <c r="D982" s="110">
        <v>80</v>
      </c>
      <c r="E982" s="110">
        <v>398</v>
      </c>
      <c r="F982" s="667">
        <f t="shared" si="103"/>
        <v>31840</v>
      </c>
      <c r="G982" s="66">
        <f t="shared" si="104"/>
        <v>2894.5454545454545</v>
      </c>
      <c r="H982" s="735">
        <v>2.4218000000000002</v>
      </c>
    </row>
    <row r="983" spans="2:8">
      <c r="B983" s="583">
        <v>46044</v>
      </c>
      <c r="C983" s="230" t="s">
        <v>2850</v>
      </c>
      <c r="D983" s="230">
        <v>2</v>
      </c>
      <c r="E983" s="230">
        <v>1397</v>
      </c>
      <c r="F983" s="667">
        <f t="shared" si="103"/>
        <v>2794</v>
      </c>
      <c r="G983" s="66">
        <f t="shared" si="104"/>
        <v>254</v>
      </c>
      <c r="H983" s="735">
        <v>2.4218000000000002</v>
      </c>
    </row>
    <row r="984" spans="2:8">
      <c r="B984" s="583">
        <v>46044</v>
      </c>
      <c r="C984" s="230" t="s">
        <v>2851</v>
      </c>
      <c r="D984" s="230">
        <v>1</v>
      </c>
      <c r="E984" s="230">
        <v>1397</v>
      </c>
      <c r="F984" s="667">
        <f t="shared" si="103"/>
        <v>1397</v>
      </c>
      <c r="G984" s="66">
        <f t="shared" si="104"/>
        <v>127</v>
      </c>
      <c r="H984" s="735">
        <v>2.4218000000000002</v>
      </c>
    </row>
    <row r="985" spans="2:8">
      <c r="B985" s="583">
        <v>46044</v>
      </c>
      <c r="C985" s="230" t="s">
        <v>2852</v>
      </c>
      <c r="D985" s="230">
        <v>1</v>
      </c>
      <c r="E985" s="230">
        <v>439</v>
      </c>
      <c r="F985" s="667">
        <f t="shared" si="103"/>
        <v>439</v>
      </c>
      <c r="G985" s="66">
        <f t="shared" si="104"/>
        <v>39.909090909090907</v>
      </c>
      <c r="H985" s="735">
        <v>2.4218000000000002</v>
      </c>
    </row>
    <row r="986" spans="2:8">
      <c r="B986" s="585">
        <v>46045</v>
      </c>
      <c r="C986" s="110" t="s">
        <v>2904</v>
      </c>
      <c r="D986" s="110">
        <v>0</v>
      </c>
      <c r="E986" s="623">
        <v>0</v>
      </c>
      <c r="F986" s="667">
        <f t="shared" si="103"/>
        <v>0</v>
      </c>
      <c r="G986" s="66">
        <f t="shared" si="104"/>
        <v>0</v>
      </c>
      <c r="H986" s="735">
        <v>2.4272999999999998</v>
      </c>
    </row>
    <row r="987" spans="2:8">
      <c r="B987" s="737">
        <v>46045</v>
      </c>
      <c r="C987" s="732" t="s">
        <v>2902</v>
      </c>
      <c r="D987" s="732">
        <v>10</v>
      </c>
      <c r="E987" s="736">
        <v>431</v>
      </c>
      <c r="F987" s="667">
        <f t="shared" si="103"/>
        <v>4310</v>
      </c>
      <c r="G987" s="66">
        <f t="shared" si="104"/>
        <v>391.81818181818181</v>
      </c>
      <c r="H987" s="735">
        <v>2.4272999999999998</v>
      </c>
    </row>
    <row r="988" spans="2:8">
      <c r="B988" s="737">
        <v>46046</v>
      </c>
      <c r="C988" s="732" t="s">
        <v>2903</v>
      </c>
      <c r="D988" s="732">
        <v>4</v>
      </c>
      <c r="E988" s="736">
        <v>431</v>
      </c>
      <c r="F988" s="667">
        <f t="shared" si="103"/>
        <v>1724</v>
      </c>
      <c r="G988" s="66">
        <f t="shared" si="104"/>
        <v>156.72727272727272</v>
      </c>
      <c r="H988" s="735">
        <v>2.4272999999999998</v>
      </c>
    </row>
    <row r="989" spans="2:8">
      <c r="B989" s="737">
        <v>46046</v>
      </c>
      <c r="C989" s="732" t="s">
        <v>2852</v>
      </c>
      <c r="D989" s="732">
        <v>10</v>
      </c>
      <c r="E989" s="736">
        <v>451</v>
      </c>
      <c r="F989" s="667">
        <f t="shared" si="103"/>
        <v>4510</v>
      </c>
      <c r="G989" s="66">
        <f t="shared" si="104"/>
        <v>410</v>
      </c>
      <c r="H989" s="735">
        <v>2.4272999999999998</v>
      </c>
    </row>
    <row r="990" spans="2:8">
      <c r="B990" s="585">
        <v>46049</v>
      </c>
      <c r="C990" s="110" t="s">
        <v>2901</v>
      </c>
      <c r="D990" s="110">
        <v>24</v>
      </c>
      <c r="E990" s="110">
        <v>403</v>
      </c>
      <c r="F990" s="667">
        <f t="shared" si="103"/>
        <v>9672</v>
      </c>
      <c r="G990" s="66">
        <f t="shared" si="104"/>
        <v>879.27272727272725</v>
      </c>
      <c r="H990" s="735">
        <v>2.4272999999999998</v>
      </c>
    </row>
    <row r="991" spans="2:8">
      <c r="B991" s="737">
        <v>46046</v>
      </c>
      <c r="C991" s="732" t="s">
        <v>2905</v>
      </c>
      <c r="D991" s="735">
        <v>4</v>
      </c>
      <c r="E991" s="736">
        <v>2199</v>
      </c>
      <c r="F991" s="667">
        <f t="shared" si="103"/>
        <v>8796</v>
      </c>
      <c r="G991" s="66">
        <f t="shared" si="104"/>
        <v>799.63636363636363</v>
      </c>
      <c r="H991" s="735">
        <v>2.4272999999999998</v>
      </c>
    </row>
    <row r="992" spans="2:8">
      <c r="B992" s="737">
        <v>46046</v>
      </c>
      <c r="C992" s="732" t="s">
        <v>2906</v>
      </c>
      <c r="D992" s="735">
        <v>4</v>
      </c>
      <c r="E992" s="736">
        <v>2199</v>
      </c>
      <c r="F992" s="667">
        <f t="shared" si="103"/>
        <v>8796</v>
      </c>
      <c r="G992" s="66">
        <f t="shared" si="104"/>
        <v>799.63636363636363</v>
      </c>
      <c r="H992" s="735">
        <v>2.4272999999999998</v>
      </c>
    </row>
    <row r="993" spans="2:8">
      <c r="B993" s="737">
        <v>46046</v>
      </c>
      <c r="C993" s="732" t="s">
        <v>2907</v>
      </c>
      <c r="D993" s="735">
        <v>2</v>
      </c>
      <c r="E993" s="736">
        <v>2199</v>
      </c>
      <c r="F993" s="667">
        <f t="shared" si="103"/>
        <v>4398</v>
      </c>
      <c r="G993" s="66">
        <f t="shared" si="104"/>
        <v>399.81818181818181</v>
      </c>
      <c r="H993" s="735">
        <v>2.4272999999999998</v>
      </c>
    </row>
    <row r="994" spans="2:8">
      <c r="B994" s="737">
        <v>46046</v>
      </c>
      <c r="C994" s="732" t="s">
        <v>2908</v>
      </c>
      <c r="D994" s="735">
        <v>4</v>
      </c>
      <c r="E994" s="736">
        <v>2199</v>
      </c>
      <c r="F994" s="667">
        <f t="shared" si="103"/>
        <v>8796</v>
      </c>
      <c r="G994" s="66">
        <f t="shared" si="104"/>
        <v>799.63636363636363</v>
      </c>
      <c r="H994" s="735">
        <v>2.4272999999999998</v>
      </c>
    </row>
    <row r="995" spans="2:8">
      <c r="B995" s="737">
        <v>46046</v>
      </c>
      <c r="C995" s="732" t="s">
        <v>2909</v>
      </c>
      <c r="D995" s="735">
        <v>2</v>
      </c>
      <c r="E995" s="736">
        <v>2199</v>
      </c>
      <c r="F995" s="770">
        <f t="shared" ref="F995:F1009" si="105">E995*D995</f>
        <v>4398</v>
      </c>
      <c r="G995" s="66">
        <f t="shared" ref="G995:G1009" si="106">F995/11</f>
        <v>399.81818181818181</v>
      </c>
      <c r="H995" s="735">
        <v>2.4272999999999998</v>
      </c>
    </row>
    <row r="996" spans="2:8">
      <c r="B996" s="737">
        <v>46046</v>
      </c>
      <c r="C996" s="732" t="s">
        <v>2910</v>
      </c>
      <c r="D996" s="735">
        <v>2</v>
      </c>
      <c r="E996" s="736">
        <v>1497</v>
      </c>
      <c r="F996" s="770">
        <f t="shared" si="105"/>
        <v>2994</v>
      </c>
      <c r="G996" s="66">
        <f t="shared" si="106"/>
        <v>272.18181818181819</v>
      </c>
      <c r="H996" s="735">
        <v>2.4272999999999998</v>
      </c>
    </row>
    <row r="997" spans="2:8">
      <c r="B997" s="737">
        <v>46046</v>
      </c>
      <c r="C997" s="732" t="s">
        <v>2911</v>
      </c>
      <c r="D997" s="735">
        <v>3</v>
      </c>
      <c r="E997" s="736">
        <v>1497</v>
      </c>
      <c r="F997" s="770">
        <f t="shared" si="105"/>
        <v>4491</v>
      </c>
      <c r="G997" s="66">
        <f t="shared" si="106"/>
        <v>408.27272727272725</v>
      </c>
      <c r="H997" s="735">
        <v>2.4272999999999998</v>
      </c>
    </row>
    <row r="998" spans="2:8">
      <c r="B998" s="737">
        <v>46047</v>
      </c>
      <c r="C998" s="732" t="s">
        <v>2912</v>
      </c>
      <c r="D998" s="735">
        <v>4</v>
      </c>
      <c r="E998" s="736">
        <v>2199</v>
      </c>
      <c r="F998" s="770">
        <f t="shared" si="105"/>
        <v>8796</v>
      </c>
      <c r="G998" s="66">
        <f t="shared" si="106"/>
        <v>799.63636363636363</v>
      </c>
      <c r="H998" s="735">
        <v>2.4272999999999998</v>
      </c>
    </row>
    <row r="999" spans="2:8">
      <c r="B999" s="737">
        <v>46047</v>
      </c>
      <c r="C999" s="732" t="s">
        <v>2913</v>
      </c>
      <c r="D999" s="735">
        <v>2</v>
      </c>
      <c r="E999" s="736">
        <v>2199</v>
      </c>
      <c r="F999" s="770">
        <f t="shared" si="105"/>
        <v>4398</v>
      </c>
      <c r="G999" s="66">
        <f t="shared" si="106"/>
        <v>399.81818181818181</v>
      </c>
      <c r="H999" s="735">
        <v>2.4272999999999998</v>
      </c>
    </row>
    <row r="1000" spans="2:8">
      <c r="B1000" s="737">
        <v>46047</v>
      </c>
      <c r="C1000" s="732" t="s">
        <v>2914</v>
      </c>
      <c r="D1000" s="735">
        <v>2</v>
      </c>
      <c r="E1000" s="736">
        <v>1499</v>
      </c>
      <c r="F1000" s="770">
        <f t="shared" si="105"/>
        <v>2998</v>
      </c>
      <c r="G1000" s="66">
        <f t="shared" si="106"/>
        <v>272.54545454545456</v>
      </c>
      <c r="H1000" s="735">
        <v>2.4272999999999998</v>
      </c>
    </row>
    <row r="1001" spans="2:8">
      <c r="B1001" s="737">
        <v>46047</v>
      </c>
      <c r="C1001" s="732" t="s">
        <v>2915</v>
      </c>
      <c r="D1001" s="735">
        <v>2</v>
      </c>
      <c r="E1001" s="736">
        <v>1499</v>
      </c>
      <c r="F1001" s="770">
        <f t="shared" si="105"/>
        <v>2998</v>
      </c>
      <c r="G1001" s="66">
        <f t="shared" si="106"/>
        <v>272.54545454545456</v>
      </c>
      <c r="H1001" s="735">
        <v>2.4272999999999998</v>
      </c>
    </row>
    <row r="1002" spans="2:8">
      <c r="B1002" s="737">
        <v>46047</v>
      </c>
      <c r="C1002" s="732" t="s">
        <v>2916</v>
      </c>
      <c r="D1002" s="735">
        <v>3</v>
      </c>
      <c r="E1002" s="736">
        <v>2199</v>
      </c>
      <c r="F1002" s="770">
        <f t="shared" si="105"/>
        <v>6597</v>
      </c>
      <c r="G1002" s="66">
        <f t="shared" si="106"/>
        <v>599.72727272727275</v>
      </c>
      <c r="H1002" s="735">
        <v>2.4272999999999998</v>
      </c>
    </row>
    <row r="1003" spans="2:8">
      <c r="B1003" s="737">
        <v>46047</v>
      </c>
      <c r="C1003" s="732" t="s">
        <v>2917</v>
      </c>
      <c r="D1003" s="735">
        <v>4</v>
      </c>
      <c r="E1003" s="736">
        <v>2199</v>
      </c>
      <c r="F1003" s="770">
        <f t="shared" si="105"/>
        <v>8796</v>
      </c>
      <c r="G1003" s="66">
        <f t="shared" si="106"/>
        <v>799.63636363636363</v>
      </c>
      <c r="H1003" s="735">
        <v>2.4272999999999998</v>
      </c>
    </row>
    <row r="1004" spans="2:8">
      <c r="B1004" s="737">
        <v>46047</v>
      </c>
      <c r="C1004" s="732" t="s">
        <v>2918</v>
      </c>
      <c r="D1004" s="735">
        <v>4</v>
      </c>
      <c r="E1004" s="736">
        <v>2199</v>
      </c>
      <c r="F1004" s="770">
        <f t="shared" si="105"/>
        <v>8796</v>
      </c>
      <c r="G1004" s="66">
        <f t="shared" si="106"/>
        <v>799.63636363636363</v>
      </c>
      <c r="H1004" s="735">
        <v>2.4272999999999998</v>
      </c>
    </row>
    <row r="1005" spans="2:8">
      <c r="B1005" s="737">
        <v>46047</v>
      </c>
      <c r="C1005" s="732" t="s">
        <v>2919</v>
      </c>
      <c r="D1005" s="735">
        <v>4</v>
      </c>
      <c r="E1005" s="736">
        <v>1499</v>
      </c>
      <c r="F1005" s="770">
        <f t="shared" si="105"/>
        <v>5996</v>
      </c>
      <c r="G1005" s="66">
        <f t="shared" si="106"/>
        <v>545.09090909090912</v>
      </c>
      <c r="H1005" s="735">
        <v>2.4272999999999998</v>
      </c>
    </row>
    <row r="1006" spans="2:8">
      <c r="B1006" s="737">
        <v>46047</v>
      </c>
      <c r="C1006" s="732" t="s">
        <v>2920</v>
      </c>
      <c r="D1006" s="735">
        <v>4</v>
      </c>
      <c r="E1006" s="736">
        <v>1499</v>
      </c>
      <c r="F1006" s="770">
        <f t="shared" si="105"/>
        <v>5996</v>
      </c>
      <c r="G1006" s="66">
        <f t="shared" si="106"/>
        <v>545.09090909090912</v>
      </c>
      <c r="H1006" s="735">
        <v>2.4272999999999998</v>
      </c>
    </row>
    <row r="1007" spans="2:8">
      <c r="B1007" s="737">
        <v>46051</v>
      </c>
      <c r="C1007" s="732" t="s">
        <v>2931</v>
      </c>
      <c r="D1007" s="732">
        <v>15</v>
      </c>
      <c r="E1007" s="613">
        <v>403</v>
      </c>
      <c r="F1007" s="770">
        <f t="shared" si="105"/>
        <v>6045</v>
      </c>
      <c r="G1007" s="66">
        <f t="shared" si="106"/>
        <v>549.5454545454545</v>
      </c>
      <c r="H1007" s="735">
        <v>2.4994999999999998</v>
      </c>
    </row>
    <row r="1008" spans="2:8">
      <c r="B1008" s="585">
        <v>46052</v>
      </c>
      <c r="C1008" s="110" t="s">
        <v>2945</v>
      </c>
      <c r="D1008" s="110">
        <v>250</v>
      </c>
      <c r="E1008" s="184">
        <v>466</v>
      </c>
      <c r="F1008" s="770">
        <f t="shared" si="105"/>
        <v>116500</v>
      </c>
      <c r="G1008" s="66">
        <f t="shared" si="106"/>
        <v>10590.90909090909</v>
      </c>
      <c r="H1008" s="735">
        <v>2.4994999999999998</v>
      </c>
    </row>
    <row r="1009" spans="2:8">
      <c r="B1009" s="585">
        <v>46052</v>
      </c>
      <c r="C1009" s="110" t="s">
        <v>2946</v>
      </c>
      <c r="D1009" s="110">
        <v>48</v>
      </c>
      <c r="E1009" s="184">
        <v>466</v>
      </c>
      <c r="F1009" s="770">
        <f t="shared" si="105"/>
        <v>22368</v>
      </c>
      <c r="G1009" s="66">
        <f t="shared" si="106"/>
        <v>2033.4545454545455</v>
      </c>
      <c r="H1009" s="735">
        <v>2.4994999999999998</v>
      </c>
    </row>
    <row r="1010" spans="2:8">
      <c r="B1010" s="737">
        <v>46052</v>
      </c>
      <c r="C1010" s="732" t="s">
        <v>2932</v>
      </c>
      <c r="D1010" s="732">
        <v>8</v>
      </c>
      <c r="E1010" s="613">
        <v>450.89</v>
      </c>
      <c r="F1010" s="773">
        <f t="shared" ref="F1010:F1036" si="107">E1010*D1010</f>
        <v>3607.12</v>
      </c>
      <c r="G1010" s="66">
        <f t="shared" ref="G1010:G1036" si="108">F1010/11</f>
        <v>327.92</v>
      </c>
      <c r="H1010" s="735">
        <v>2.4994999999999998</v>
      </c>
    </row>
    <row r="1011" spans="2:8">
      <c r="B1011" s="737">
        <v>46052</v>
      </c>
      <c r="C1011" s="732" t="s">
        <v>2933</v>
      </c>
      <c r="D1011" s="732">
        <v>8</v>
      </c>
      <c r="E1011" s="613">
        <v>431.1</v>
      </c>
      <c r="F1011" s="773">
        <f t="shared" si="107"/>
        <v>3448.8</v>
      </c>
      <c r="G1011" s="66">
        <f t="shared" si="108"/>
        <v>313.52727272727276</v>
      </c>
      <c r="H1011" s="735">
        <v>2.4994999999999998</v>
      </c>
    </row>
    <row r="1012" spans="2:8">
      <c r="B1012" s="737">
        <v>46052</v>
      </c>
      <c r="C1012" s="732" t="s">
        <v>2934</v>
      </c>
      <c r="D1012" s="732">
        <v>6</v>
      </c>
      <c r="E1012" s="613">
        <v>440.1</v>
      </c>
      <c r="F1012" s="773">
        <f t="shared" si="107"/>
        <v>2640.6000000000004</v>
      </c>
      <c r="G1012" s="66">
        <f t="shared" si="108"/>
        <v>240.05454545454549</v>
      </c>
      <c r="H1012" s="735">
        <v>2.4994999999999998</v>
      </c>
    </row>
    <row r="1013" spans="2:8">
      <c r="B1013" s="737">
        <v>46052</v>
      </c>
      <c r="C1013" s="732" t="s">
        <v>2934</v>
      </c>
      <c r="D1013" s="732">
        <v>4</v>
      </c>
      <c r="E1013" s="613">
        <v>440.1</v>
      </c>
      <c r="F1013" s="773">
        <f t="shared" si="107"/>
        <v>1760.4</v>
      </c>
      <c r="G1013" s="66">
        <f t="shared" si="108"/>
        <v>160.03636363636363</v>
      </c>
      <c r="H1013" s="735">
        <v>2.4994999999999998</v>
      </c>
    </row>
    <row r="1014" spans="2:8">
      <c r="B1014" s="737">
        <v>46052</v>
      </c>
      <c r="C1014" s="732" t="s">
        <v>2935</v>
      </c>
      <c r="D1014" s="732">
        <v>10</v>
      </c>
      <c r="E1014" s="613">
        <v>454.49</v>
      </c>
      <c r="F1014" s="773">
        <f t="shared" si="107"/>
        <v>4544.8999999999996</v>
      </c>
      <c r="G1014" s="66">
        <f t="shared" si="108"/>
        <v>413.17272727272723</v>
      </c>
      <c r="H1014" s="735">
        <v>2.4994999999999998</v>
      </c>
    </row>
    <row r="1015" spans="2:8">
      <c r="B1015" s="737">
        <v>46052</v>
      </c>
      <c r="C1015" s="732" t="s">
        <v>2936</v>
      </c>
      <c r="D1015" s="732">
        <v>11</v>
      </c>
      <c r="E1015" s="613">
        <v>423.45</v>
      </c>
      <c r="F1015" s="773">
        <f t="shared" si="107"/>
        <v>4657.95</v>
      </c>
      <c r="G1015" s="66">
        <f t="shared" si="108"/>
        <v>423.45</v>
      </c>
      <c r="H1015" s="735">
        <v>2.4994999999999998</v>
      </c>
    </row>
    <row r="1016" spans="2:8">
      <c r="B1016" s="737">
        <v>46052</v>
      </c>
      <c r="C1016" s="732" t="s">
        <v>2936</v>
      </c>
      <c r="D1016" s="732">
        <v>1</v>
      </c>
      <c r="E1016" s="613">
        <v>431.1</v>
      </c>
      <c r="F1016" s="773">
        <f t="shared" si="107"/>
        <v>431.1</v>
      </c>
      <c r="G1016" s="66">
        <f t="shared" si="108"/>
        <v>39.190909090909095</v>
      </c>
      <c r="H1016" s="735">
        <v>2.4994999999999998</v>
      </c>
    </row>
    <row r="1017" spans="2:8">
      <c r="B1017" s="737">
        <v>46052</v>
      </c>
      <c r="C1017" s="732" t="s">
        <v>2937</v>
      </c>
      <c r="D1017" s="732">
        <v>7</v>
      </c>
      <c r="E1017" s="613">
        <v>431.1</v>
      </c>
      <c r="F1017" s="773">
        <f t="shared" si="107"/>
        <v>3017.7000000000003</v>
      </c>
      <c r="G1017" s="66">
        <f t="shared" si="108"/>
        <v>274.33636363636367</v>
      </c>
      <c r="H1017" s="735">
        <v>2.4994999999999998</v>
      </c>
    </row>
    <row r="1018" spans="2:8">
      <c r="B1018" s="737">
        <v>46052</v>
      </c>
      <c r="C1018" s="732" t="s">
        <v>2938</v>
      </c>
      <c r="D1018" s="732">
        <v>15</v>
      </c>
      <c r="E1018" s="613">
        <v>431.1</v>
      </c>
      <c r="F1018" s="773">
        <f t="shared" si="107"/>
        <v>6466.5</v>
      </c>
      <c r="G1018" s="66">
        <f t="shared" si="108"/>
        <v>587.86363636363637</v>
      </c>
      <c r="H1018" s="735">
        <v>2.4994999999999998</v>
      </c>
    </row>
    <row r="1019" spans="2:8">
      <c r="B1019" s="737">
        <v>46052</v>
      </c>
      <c r="C1019" s="732" t="s">
        <v>2939</v>
      </c>
      <c r="D1019" s="732">
        <v>5</v>
      </c>
      <c r="E1019" s="613">
        <v>450.89</v>
      </c>
      <c r="F1019" s="773">
        <f t="shared" si="107"/>
        <v>2254.4499999999998</v>
      </c>
      <c r="G1019" s="66">
        <f t="shared" si="108"/>
        <v>204.95</v>
      </c>
      <c r="H1019" s="735">
        <v>2.4994999999999998</v>
      </c>
    </row>
    <row r="1020" spans="2:8">
      <c r="B1020" s="737">
        <v>46052</v>
      </c>
      <c r="C1020" s="732" t="s">
        <v>2938</v>
      </c>
      <c r="D1020" s="732">
        <v>6</v>
      </c>
      <c r="E1020" s="613">
        <v>431.1</v>
      </c>
      <c r="F1020" s="773">
        <f t="shared" si="107"/>
        <v>2586.6000000000004</v>
      </c>
      <c r="G1020" s="66">
        <f t="shared" si="108"/>
        <v>235.14545454545458</v>
      </c>
      <c r="H1020" s="735">
        <v>2.4994999999999998</v>
      </c>
    </row>
    <row r="1021" spans="2:8">
      <c r="B1021" s="737">
        <v>46052</v>
      </c>
      <c r="C1021" s="732" t="s">
        <v>2940</v>
      </c>
      <c r="D1021" s="732">
        <v>8</v>
      </c>
      <c r="E1021" s="613">
        <v>431.1</v>
      </c>
      <c r="F1021" s="773">
        <f t="shared" si="107"/>
        <v>3448.8</v>
      </c>
      <c r="G1021" s="66">
        <f t="shared" si="108"/>
        <v>313.52727272727276</v>
      </c>
      <c r="H1021" s="735">
        <v>2.4994999999999998</v>
      </c>
    </row>
    <row r="1022" spans="2:8">
      <c r="B1022" s="737">
        <v>46052</v>
      </c>
      <c r="C1022" s="732" t="s">
        <v>2942</v>
      </c>
      <c r="D1022" s="732">
        <v>8</v>
      </c>
      <c r="E1022" s="613">
        <v>431.1</v>
      </c>
      <c r="F1022" s="773">
        <f t="shared" si="107"/>
        <v>3448.8</v>
      </c>
      <c r="G1022" s="66">
        <f t="shared" si="108"/>
        <v>313.52727272727276</v>
      </c>
      <c r="H1022" s="735">
        <v>2.4994999999999998</v>
      </c>
    </row>
    <row r="1023" spans="2:8">
      <c r="B1023" s="737">
        <v>46052</v>
      </c>
      <c r="C1023" s="732" t="s">
        <v>2941</v>
      </c>
      <c r="D1023" s="732">
        <v>16</v>
      </c>
      <c r="E1023" s="613">
        <v>431.1</v>
      </c>
      <c r="F1023" s="773">
        <f t="shared" si="107"/>
        <v>6897.6</v>
      </c>
      <c r="G1023" s="66">
        <f t="shared" si="108"/>
        <v>627.05454545454552</v>
      </c>
      <c r="H1023" s="735">
        <v>2.4994999999999998</v>
      </c>
    </row>
    <row r="1024" spans="2:8">
      <c r="B1024" s="737">
        <v>46052</v>
      </c>
      <c r="C1024" s="732" t="s">
        <v>2937</v>
      </c>
      <c r="D1024" s="732">
        <v>2</v>
      </c>
      <c r="E1024" s="613">
        <v>450.89</v>
      </c>
      <c r="F1024" s="773">
        <f t="shared" si="107"/>
        <v>901.78</v>
      </c>
      <c r="G1024" s="66">
        <f t="shared" si="108"/>
        <v>81.98</v>
      </c>
      <c r="H1024" s="735">
        <v>2.4994999999999998</v>
      </c>
    </row>
    <row r="1025" spans="2:8">
      <c r="B1025" s="737">
        <v>46053</v>
      </c>
      <c r="C1025" s="732" t="s">
        <v>2944</v>
      </c>
      <c r="D1025" s="732">
        <v>1</v>
      </c>
      <c r="E1025" s="613">
        <v>1400</v>
      </c>
      <c r="F1025" s="773">
        <f t="shared" si="107"/>
        <v>1400</v>
      </c>
      <c r="G1025" s="66">
        <f t="shared" si="108"/>
        <v>127.27272727272727</v>
      </c>
      <c r="H1025" s="735">
        <v>2.4994999999999998</v>
      </c>
    </row>
    <row r="1026" spans="2:8">
      <c r="B1026" s="737">
        <v>46053</v>
      </c>
      <c r="C1026" s="732" t="s">
        <v>2943</v>
      </c>
      <c r="D1026" s="732">
        <v>1</v>
      </c>
      <c r="E1026" s="613">
        <v>1480</v>
      </c>
      <c r="F1026" s="773">
        <f t="shared" si="107"/>
        <v>1480</v>
      </c>
      <c r="G1026" s="66">
        <f t="shared" si="108"/>
        <v>134.54545454545453</v>
      </c>
      <c r="H1026" s="735">
        <v>2.4994999999999998</v>
      </c>
    </row>
    <row r="1027" spans="2:8">
      <c r="B1027" s="583">
        <v>46055</v>
      </c>
      <c r="C1027" s="230" t="s">
        <v>1791</v>
      </c>
      <c r="D1027" s="230">
        <v>11</v>
      </c>
      <c r="E1027" s="636">
        <v>398</v>
      </c>
      <c r="F1027" s="773">
        <f t="shared" si="107"/>
        <v>4378</v>
      </c>
      <c r="G1027" s="66">
        <f t="shared" si="108"/>
        <v>398</v>
      </c>
      <c r="H1027" s="1243">
        <v>2.5188000000000001</v>
      </c>
    </row>
    <row r="1028" spans="2:8">
      <c r="B1028" s="583">
        <v>46055</v>
      </c>
      <c r="C1028" s="230" t="s">
        <v>1649</v>
      </c>
      <c r="D1028" s="230">
        <v>4</v>
      </c>
      <c r="E1028" s="533">
        <v>431</v>
      </c>
      <c r="F1028" s="773">
        <f t="shared" si="107"/>
        <v>1724</v>
      </c>
      <c r="G1028" s="66">
        <f t="shared" si="108"/>
        <v>156.72727272727272</v>
      </c>
      <c r="H1028" s="1243">
        <v>2.5188000000000001</v>
      </c>
    </row>
    <row r="1029" spans="2:8">
      <c r="B1029" s="583">
        <v>46056</v>
      </c>
      <c r="C1029" s="230" t="s">
        <v>1682</v>
      </c>
      <c r="D1029" s="230">
        <v>3</v>
      </c>
      <c r="E1029" s="533">
        <v>431</v>
      </c>
      <c r="F1029" s="773">
        <f t="shared" si="107"/>
        <v>1293</v>
      </c>
      <c r="G1029" s="66">
        <f t="shared" si="108"/>
        <v>117.54545454545455</v>
      </c>
      <c r="H1029" s="1243">
        <v>2.5188000000000001</v>
      </c>
    </row>
    <row r="1030" spans="2:8">
      <c r="B1030" s="583">
        <v>46056</v>
      </c>
      <c r="C1030" s="230" t="s">
        <v>2996</v>
      </c>
      <c r="D1030" s="230">
        <v>8</v>
      </c>
      <c r="E1030" s="533">
        <v>440</v>
      </c>
      <c r="F1030" s="773">
        <f t="shared" si="107"/>
        <v>3520</v>
      </c>
      <c r="G1030" s="66">
        <f t="shared" si="108"/>
        <v>320</v>
      </c>
      <c r="H1030" s="1243">
        <v>2.5188000000000001</v>
      </c>
    </row>
    <row r="1031" spans="2:8">
      <c r="B1031" s="583">
        <v>46056</v>
      </c>
      <c r="C1031" s="230" t="s">
        <v>1816</v>
      </c>
      <c r="D1031" s="230">
        <v>5</v>
      </c>
      <c r="E1031" s="533">
        <v>440</v>
      </c>
      <c r="F1031" s="773">
        <f t="shared" si="107"/>
        <v>2200</v>
      </c>
      <c r="G1031" s="66">
        <f t="shared" si="108"/>
        <v>200</v>
      </c>
      <c r="H1031" s="1243">
        <v>2.5188000000000001</v>
      </c>
    </row>
    <row r="1032" spans="2:8">
      <c r="B1032" s="583">
        <v>46056</v>
      </c>
      <c r="C1032" s="230" t="s">
        <v>1882</v>
      </c>
      <c r="D1032" s="230">
        <v>6</v>
      </c>
      <c r="E1032" s="533">
        <v>440</v>
      </c>
      <c r="F1032" s="773">
        <f t="shared" si="107"/>
        <v>2640</v>
      </c>
      <c r="G1032" s="66">
        <f t="shared" si="108"/>
        <v>240</v>
      </c>
      <c r="H1032" s="1243">
        <v>2.5188000000000001</v>
      </c>
    </row>
    <row r="1033" spans="2:8">
      <c r="B1033" s="583">
        <v>46056</v>
      </c>
      <c r="C1033" s="230" t="s">
        <v>2997</v>
      </c>
      <c r="D1033" s="230">
        <v>3</v>
      </c>
      <c r="E1033" s="533">
        <v>398</v>
      </c>
      <c r="F1033" s="773">
        <f t="shared" si="107"/>
        <v>1194</v>
      </c>
      <c r="G1033" s="66">
        <f t="shared" si="108"/>
        <v>108.54545454545455</v>
      </c>
      <c r="H1033" s="1243">
        <v>2.5188000000000001</v>
      </c>
    </row>
    <row r="1034" spans="2:8">
      <c r="B1034" s="583">
        <v>46056</v>
      </c>
      <c r="C1034" s="230" t="s">
        <v>2998</v>
      </c>
      <c r="D1034" s="230">
        <v>3</v>
      </c>
      <c r="E1034" s="533">
        <v>398</v>
      </c>
      <c r="F1034" s="773">
        <f t="shared" si="107"/>
        <v>1194</v>
      </c>
      <c r="G1034" s="66">
        <f t="shared" si="108"/>
        <v>108.54545454545455</v>
      </c>
      <c r="H1034" s="1243">
        <v>2.5188000000000001</v>
      </c>
    </row>
    <row r="1035" spans="2:8">
      <c r="B1035" s="583">
        <v>46056</v>
      </c>
      <c r="C1035" s="230" t="s">
        <v>2999</v>
      </c>
      <c r="D1035" s="230">
        <v>2</v>
      </c>
      <c r="E1035" s="533">
        <v>398</v>
      </c>
      <c r="F1035" s="773">
        <f t="shared" si="107"/>
        <v>796</v>
      </c>
      <c r="G1035" s="66">
        <f t="shared" si="108"/>
        <v>72.36363636363636</v>
      </c>
      <c r="H1035" s="1243">
        <v>2.5188000000000001</v>
      </c>
    </row>
    <row r="1036" spans="2:8">
      <c r="B1036" s="583">
        <v>46056</v>
      </c>
      <c r="C1036" s="230" t="s">
        <v>3000</v>
      </c>
      <c r="D1036" s="230">
        <v>1</v>
      </c>
      <c r="E1036" s="533">
        <v>7</v>
      </c>
      <c r="F1036" s="773">
        <f t="shared" si="107"/>
        <v>7</v>
      </c>
      <c r="G1036" s="66">
        <f t="shared" si="108"/>
        <v>0.63636363636363635</v>
      </c>
      <c r="H1036" s="1243">
        <v>2.5188000000000001</v>
      </c>
    </row>
    <row r="1037" spans="2:8">
      <c r="B1037" s="583">
        <v>46056</v>
      </c>
      <c r="C1037" s="230" t="s">
        <v>3002</v>
      </c>
      <c r="D1037" s="230">
        <v>5</v>
      </c>
      <c r="E1037" s="533">
        <v>2490</v>
      </c>
      <c r="F1037" s="770">
        <f t="shared" ref="F1037:F1044" si="109">E1037*D1037</f>
        <v>12450</v>
      </c>
      <c r="G1037" s="66">
        <f t="shared" ref="G1037:G1044" si="110">F1037/11</f>
        <v>1131.8181818181818</v>
      </c>
      <c r="H1037" s="1243">
        <v>2.5188000000000001</v>
      </c>
    </row>
    <row r="1038" spans="2:8">
      <c r="B1038" s="583">
        <v>46056</v>
      </c>
      <c r="C1038" s="230" t="s">
        <v>3001</v>
      </c>
      <c r="D1038" s="230">
        <v>2</v>
      </c>
      <c r="E1038" s="794">
        <v>2197</v>
      </c>
      <c r="F1038" s="770">
        <f t="shared" si="109"/>
        <v>4394</v>
      </c>
      <c r="G1038" s="66">
        <f t="shared" si="110"/>
        <v>399.45454545454544</v>
      </c>
      <c r="H1038" s="1243">
        <v>2.5188000000000001</v>
      </c>
    </row>
    <row r="1039" spans="2:8">
      <c r="B1039" s="583">
        <v>46057</v>
      </c>
      <c r="C1039" s="230" t="s">
        <v>3448</v>
      </c>
      <c r="D1039" s="230">
        <v>3</v>
      </c>
      <c r="E1039" s="230">
        <v>397</v>
      </c>
      <c r="F1039" s="770">
        <f t="shared" si="109"/>
        <v>1191</v>
      </c>
      <c r="G1039" s="66">
        <f t="shared" si="110"/>
        <v>108.27272727272727</v>
      </c>
      <c r="H1039" s="735">
        <v>2.5461</v>
      </c>
    </row>
    <row r="1040" spans="2:8">
      <c r="B1040" s="583">
        <v>46057</v>
      </c>
      <c r="C1040" s="230" t="s">
        <v>1652</v>
      </c>
      <c r="D1040" s="230">
        <v>4</v>
      </c>
      <c r="E1040" s="230">
        <v>454</v>
      </c>
      <c r="F1040" s="770">
        <f t="shared" si="109"/>
        <v>1816</v>
      </c>
      <c r="G1040" s="66">
        <f t="shared" si="110"/>
        <v>165.09090909090909</v>
      </c>
      <c r="H1040" s="735">
        <v>2.5461</v>
      </c>
    </row>
    <row r="1041" spans="2:8">
      <c r="B1041" s="583">
        <v>46057</v>
      </c>
      <c r="C1041" s="230" t="s">
        <v>1862</v>
      </c>
      <c r="D1041" s="230">
        <v>4</v>
      </c>
      <c r="E1041" s="230">
        <v>450</v>
      </c>
      <c r="F1041" s="770">
        <f t="shared" si="109"/>
        <v>1800</v>
      </c>
      <c r="G1041" s="66">
        <f t="shared" si="110"/>
        <v>163.63636363636363</v>
      </c>
      <c r="H1041" s="735">
        <v>2.5461</v>
      </c>
    </row>
    <row r="1042" spans="2:8">
      <c r="B1042" s="583">
        <v>46058</v>
      </c>
      <c r="C1042" s="230" t="s">
        <v>3449</v>
      </c>
      <c r="D1042" s="230">
        <v>50</v>
      </c>
      <c r="E1042" s="230">
        <v>397</v>
      </c>
      <c r="F1042" s="770">
        <f t="shared" si="109"/>
        <v>19850</v>
      </c>
      <c r="G1042" s="66">
        <f t="shared" si="110"/>
        <v>1804.5454545454545</v>
      </c>
      <c r="H1042" s="735">
        <v>2.5461</v>
      </c>
    </row>
    <row r="1043" spans="2:8">
      <c r="B1043" s="583">
        <v>46059</v>
      </c>
      <c r="C1043" s="230" t="s">
        <v>1652</v>
      </c>
      <c r="D1043" s="230">
        <v>2</v>
      </c>
      <c r="E1043" s="230">
        <v>450</v>
      </c>
      <c r="F1043" s="770">
        <f t="shared" si="109"/>
        <v>900</v>
      </c>
      <c r="G1043" s="66">
        <f t="shared" si="110"/>
        <v>81.818181818181813</v>
      </c>
      <c r="H1043" s="735">
        <v>2.5461</v>
      </c>
    </row>
    <row r="1044" spans="2:8">
      <c r="B1044" s="583">
        <v>46066</v>
      </c>
      <c r="C1044" s="230" t="s">
        <v>3450</v>
      </c>
      <c r="D1044" s="230">
        <v>1</v>
      </c>
      <c r="E1044" s="230">
        <v>2949</v>
      </c>
      <c r="F1044" s="770">
        <f t="shared" si="109"/>
        <v>2949</v>
      </c>
      <c r="G1044" s="66">
        <f t="shared" si="110"/>
        <v>268.09090909090907</v>
      </c>
      <c r="H1044" s="735">
        <v>2.5461</v>
      </c>
    </row>
    <row r="1045" spans="2:8">
      <c r="B1045" s="583">
        <v>46066</v>
      </c>
      <c r="C1045" s="230" t="s">
        <v>3451</v>
      </c>
      <c r="D1045" s="230">
        <v>1</v>
      </c>
      <c r="E1045" s="230">
        <v>0</v>
      </c>
      <c r="F1045" s="889">
        <f t="shared" ref="F1045:F1084" si="111">E1045*D1045</f>
        <v>0</v>
      </c>
      <c r="G1045" s="66">
        <f t="shared" ref="G1045:G1084" si="112">F1045/11</f>
        <v>0</v>
      </c>
      <c r="H1045" s="735">
        <v>2.5461</v>
      </c>
    </row>
    <row r="1046" spans="2:8">
      <c r="B1046" s="583">
        <v>46066</v>
      </c>
      <c r="C1046" s="230" t="s">
        <v>3452</v>
      </c>
      <c r="D1046" s="230">
        <v>1</v>
      </c>
      <c r="E1046" s="230">
        <v>4400</v>
      </c>
      <c r="F1046" s="889">
        <f t="shared" si="111"/>
        <v>4400</v>
      </c>
      <c r="G1046" s="66">
        <f t="shared" si="112"/>
        <v>400</v>
      </c>
      <c r="H1046" s="735">
        <v>2.5461</v>
      </c>
    </row>
    <row r="1047" spans="2:8">
      <c r="B1047" s="583">
        <v>46066</v>
      </c>
      <c r="C1047" s="230" t="s">
        <v>3453</v>
      </c>
      <c r="D1047" s="230">
        <v>1</v>
      </c>
      <c r="E1047" s="230">
        <v>3300</v>
      </c>
      <c r="F1047" s="889">
        <f t="shared" si="111"/>
        <v>3300</v>
      </c>
      <c r="G1047" s="66">
        <f t="shared" si="112"/>
        <v>300</v>
      </c>
      <c r="H1047" s="735">
        <v>2.5461</v>
      </c>
    </row>
    <row r="1048" spans="2:8">
      <c r="B1048" s="583">
        <v>46066</v>
      </c>
      <c r="C1048" s="230" t="s">
        <v>3454</v>
      </c>
      <c r="D1048" s="230">
        <v>2</v>
      </c>
      <c r="E1048" s="230">
        <v>1400</v>
      </c>
      <c r="F1048" s="889">
        <f t="shared" si="111"/>
        <v>2800</v>
      </c>
      <c r="G1048" s="66">
        <f t="shared" si="112"/>
        <v>254.54545454545453</v>
      </c>
      <c r="H1048" s="735">
        <v>2.5461</v>
      </c>
    </row>
    <row r="1049" spans="2:8">
      <c r="B1049" s="583">
        <v>46066</v>
      </c>
      <c r="C1049" s="230" t="s">
        <v>3455</v>
      </c>
      <c r="D1049" s="230">
        <v>3</v>
      </c>
      <c r="E1049" s="230">
        <v>520</v>
      </c>
      <c r="F1049" s="889">
        <f t="shared" si="111"/>
        <v>1560</v>
      </c>
      <c r="G1049" s="66">
        <f t="shared" si="112"/>
        <v>141.81818181818181</v>
      </c>
      <c r="H1049" s="735">
        <v>2.5461</v>
      </c>
    </row>
    <row r="1050" spans="2:8">
      <c r="B1050" s="583">
        <v>46066</v>
      </c>
      <c r="C1050" s="230" t="s">
        <v>3456</v>
      </c>
      <c r="D1050" s="230">
        <v>1</v>
      </c>
      <c r="E1050" s="230">
        <v>1299</v>
      </c>
      <c r="F1050" s="889">
        <f t="shared" si="111"/>
        <v>1299</v>
      </c>
      <c r="G1050" s="66">
        <f t="shared" si="112"/>
        <v>118.09090909090909</v>
      </c>
      <c r="H1050" s="735">
        <v>2.5461</v>
      </c>
    </row>
    <row r="1051" spans="2:8">
      <c r="B1051" s="583">
        <v>46066</v>
      </c>
      <c r="C1051" s="230" t="s">
        <v>3457</v>
      </c>
      <c r="D1051" s="230">
        <v>5</v>
      </c>
      <c r="E1051" s="230">
        <v>30</v>
      </c>
      <c r="F1051" s="889">
        <f t="shared" si="111"/>
        <v>150</v>
      </c>
      <c r="G1051" s="66">
        <f t="shared" si="112"/>
        <v>13.636363636363637</v>
      </c>
      <c r="H1051" s="735">
        <v>2.5461</v>
      </c>
    </row>
    <row r="1052" spans="2:8">
      <c r="B1052" s="583">
        <v>46073</v>
      </c>
      <c r="C1052" s="230" t="s">
        <v>3458</v>
      </c>
      <c r="D1052" s="230">
        <v>80</v>
      </c>
      <c r="E1052" s="230">
        <v>400</v>
      </c>
      <c r="F1052" s="889">
        <f t="shared" si="111"/>
        <v>32000</v>
      </c>
      <c r="G1052" s="66">
        <f t="shared" si="112"/>
        <v>2909.090909090909</v>
      </c>
      <c r="H1052" s="735">
        <v>2.5461</v>
      </c>
    </row>
    <row r="1053" spans="2:8">
      <c r="B1053" s="583">
        <v>46072</v>
      </c>
      <c r="C1053" s="230" t="s">
        <v>3459</v>
      </c>
      <c r="D1053" s="230">
        <v>60</v>
      </c>
      <c r="E1053" s="230">
        <v>400</v>
      </c>
      <c r="F1053" s="889">
        <f t="shared" si="111"/>
        <v>24000</v>
      </c>
      <c r="G1053" s="66">
        <f t="shared" si="112"/>
        <v>2181.818181818182</v>
      </c>
      <c r="H1053" s="735">
        <v>2.5461</v>
      </c>
    </row>
    <row r="1054" spans="2:8">
      <c r="B1054" s="583">
        <v>46074</v>
      </c>
      <c r="C1054" s="230" t="s">
        <v>2917</v>
      </c>
      <c r="D1054" s="230">
        <v>10</v>
      </c>
      <c r="E1054" s="230">
        <v>2100</v>
      </c>
      <c r="F1054" s="889">
        <f t="shared" si="111"/>
        <v>21000</v>
      </c>
      <c r="G1054" s="66">
        <f t="shared" si="112"/>
        <v>1909.090909090909</v>
      </c>
      <c r="H1054" s="735">
        <v>2.5461</v>
      </c>
    </row>
    <row r="1055" spans="2:8">
      <c r="B1055" s="583">
        <v>46074</v>
      </c>
      <c r="C1055" s="230" t="s">
        <v>2041</v>
      </c>
      <c r="D1055" s="230">
        <v>4</v>
      </c>
      <c r="E1055" s="230">
        <v>450</v>
      </c>
      <c r="F1055" s="889">
        <f t="shared" si="111"/>
        <v>1800</v>
      </c>
      <c r="G1055" s="66">
        <f t="shared" si="112"/>
        <v>163.63636363636363</v>
      </c>
      <c r="H1055" s="735">
        <v>2.5461</v>
      </c>
    </row>
    <row r="1056" spans="2:8">
      <c r="B1056" s="583">
        <v>46074</v>
      </c>
      <c r="C1056" s="230" t="s">
        <v>3460</v>
      </c>
      <c r="D1056" s="230">
        <v>4</v>
      </c>
      <c r="E1056" s="230">
        <v>2099</v>
      </c>
      <c r="F1056" s="889">
        <f t="shared" si="111"/>
        <v>8396</v>
      </c>
      <c r="G1056" s="66">
        <f t="shared" si="112"/>
        <v>763.27272727272725</v>
      </c>
      <c r="H1056" s="735">
        <v>2.5461</v>
      </c>
    </row>
    <row r="1057" spans="2:8">
      <c r="B1057" s="583">
        <v>46074</v>
      </c>
      <c r="C1057" s="230" t="s">
        <v>3461</v>
      </c>
      <c r="D1057" s="230">
        <v>5</v>
      </c>
      <c r="E1057" s="230">
        <v>450</v>
      </c>
      <c r="F1057" s="889">
        <f t="shared" si="111"/>
        <v>2250</v>
      </c>
      <c r="G1057" s="66">
        <f t="shared" si="112"/>
        <v>204.54545454545453</v>
      </c>
      <c r="H1057" s="735">
        <v>2.5461</v>
      </c>
    </row>
    <row r="1058" spans="2:8">
      <c r="B1058" s="583">
        <v>46047</v>
      </c>
      <c r="C1058" s="230" t="s">
        <v>3463</v>
      </c>
      <c r="D1058" s="906">
        <v>2</v>
      </c>
      <c r="E1058" s="230">
        <v>1497</v>
      </c>
      <c r="F1058" s="889">
        <f t="shared" si="111"/>
        <v>2994</v>
      </c>
      <c r="G1058" s="66">
        <f t="shared" si="112"/>
        <v>272.18181818181819</v>
      </c>
      <c r="H1058" s="735">
        <v>2.5461</v>
      </c>
    </row>
    <row r="1059" spans="2:8">
      <c r="B1059" s="585">
        <v>46078</v>
      </c>
      <c r="C1059" s="110" t="s">
        <v>3462</v>
      </c>
      <c r="D1059" s="110">
        <v>40</v>
      </c>
      <c r="E1059" s="110">
        <v>398</v>
      </c>
      <c r="F1059" s="889">
        <f t="shared" si="111"/>
        <v>15920</v>
      </c>
      <c r="G1059" s="66">
        <f t="shared" si="112"/>
        <v>1447.2727272727273</v>
      </c>
      <c r="H1059" s="735">
        <v>2.5461</v>
      </c>
    </row>
    <row r="1060" spans="2:8">
      <c r="B1060" s="583">
        <v>46080</v>
      </c>
      <c r="C1060" s="230" t="s">
        <v>1650</v>
      </c>
      <c r="D1060" s="230">
        <v>60</v>
      </c>
      <c r="E1060" s="230">
        <v>400</v>
      </c>
      <c r="F1060" s="889">
        <f t="shared" si="111"/>
        <v>24000</v>
      </c>
      <c r="G1060" s="66">
        <f t="shared" si="112"/>
        <v>2181.818181818182</v>
      </c>
      <c r="H1060" s="1243">
        <v>2.5466000000000002</v>
      </c>
    </row>
    <row r="1061" spans="2:8">
      <c r="B1061" s="583">
        <v>46081</v>
      </c>
      <c r="C1061" s="230" t="s">
        <v>3801</v>
      </c>
      <c r="D1061" s="230">
        <v>4</v>
      </c>
      <c r="E1061" s="230">
        <v>590</v>
      </c>
      <c r="F1061" s="889">
        <f t="shared" si="111"/>
        <v>2360</v>
      </c>
      <c r="G1061" s="66">
        <f t="shared" si="112"/>
        <v>214.54545454545453</v>
      </c>
      <c r="H1061" s="1243">
        <v>2.5466000000000002</v>
      </c>
    </row>
    <row r="1062" spans="2:8">
      <c r="B1062" s="583">
        <v>46081</v>
      </c>
      <c r="C1062" s="230" t="s">
        <v>2905</v>
      </c>
      <c r="D1062" s="230">
        <v>1</v>
      </c>
      <c r="E1062" s="230">
        <v>2099</v>
      </c>
      <c r="F1062" s="889">
        <f t="shared" si="111"/>
        <v>2099</v>
      </c>
      <c r="G1062" s="66">
        <f t="shared" si="112"/>
        <v>190.81818181818181</v>
      </c>
      <c r="H1062" s="1243">
        <v>2.5466000000000002</v>
      </c>
    </row>
    <row r="1063" spans="2:8">
      <c r="B1063" s="737">
        <v>46083</v>
      </c>
      <c r="C1063" s="732" t="s">
        <v>3802</v>
      </c>
      <c r="D1063" s="732">
        <v>80</v>
      </c>
      <c r="E1063" s="736">
        <v>400</v>
      </c>
      <c r="F1063" s="889">
        <f t="shared" si="111"/>
        <v>32000</v>
      </c>
      <c r="G1063" s="66">
        <f t="shared" si="112"/>
        <v>2909.090909090909</v>
      </c>
      <c r="H1063" s="1243">
        <v>2.5466000000000002</v>
      </c>
    </row>
    <row r="1064" spans="2:8">
      <c r="B1064" s="1095">
        <v>45982</v>
      </c>
      <c r="C1064" s="525" t="s">
        <v>4290</v>
      </c>
      <c r="D1064" s="904">
        <v>16</v>
      </c>
      <c r="E1064" s="904">
        <v>391</v>
      </c>
      <c r="F1064" s="305">
        <f t="shared" si="111"/>
        <v>6256</v>
      </c>
      <c r="G1064" s="1096">
        <f t="shared" si="112"/>
        <v>568.72727272727275</v>
      </c>
      <c r="H1064" s="1243">
        <v>2.5466000000000002</v>
      </c>
    </row>
    <row r="1065" spans="2:8">
      <c r="B1065" s="461">
        <v>46105</v>
      </c>
      <c r="C1065" s="80" t="s">
        <v>3816</v>
      </c>
      <c r="D1065" s="735">
        <v>40</v>
      </c>
      <c r="E1065" s="735">
        <v>398</v>
      </c>
      <c r="F1065" s="889">
        <f t="shared" si="111"/>
        <v>15920</v>
      </c>
      <c r="G1065" s="66">
        <f t="shared" si="112"/>
        <v>1447.2727272727273</v>
      </c>
      <c r="H1065" s="735">
        <v>2.5251999999999999</v>
      </c>
    </row>
    <row r="1066" spans="2:8">
      <c r="B1066" s="737">
        <v>46120</v>
      </c>
      <c r="C1066" s="1066" t="s">
        <v>4131</v>
      </c>
      <c r="D1066" s="1066">
        <v>2</v>
      </c>
      <c r="E1066" s="736">
        <v>2199</v>
      </c>
      <c r="F1066" s="889">
        <f t="shared" si="111"/>
        <v>4398</v>
      </c>
      <c r="G1066" s="66">
        <f t="shared" si="112"/>
        <v>399.81818181818181</v>
      </c>
      <c r="H1066" s="735">
        <v>2.5585</v>
      </c>
    </row>
    <row r="1067" spans="2:8">
      <c r="B1067" s="737">
        <v>46120</v>
      </c>
      <c r="C1067" s="1066" t="s">
        <v>4132</v>
      </c>
      <c r="D1067" s="1066">
        <v>2</v>
      </c>
      <c r="E1067" s="736">
        <v>2199</v>
      </c>
      <c r="F1067" s="889">
        <f t="shared" si="111"/>
        <v>4398</v>
      </c>
      <c r="G1067" s="66">
        <f t="shared" si="112"/>
        <v>399.81818181818181</v>
      </c>
      <c r="H1067" s="735">
        <v>2.5585</v>
      </c>
    </row>
    <row r="1068" spans="2:8">
      <c r="B1068" s="737">
        <v>46119</v>
      </c>
      <c r="C1068" s="1066" t="s">
        <v>4134</v>
      </c>
      <c r="D1068" s="1066">
        <v>40</v>
      </c>
      <c r="E1068" s="736">
        <v>2199</v>
      </c>
      <c r="F1068" s="889">
        <f t="shared" si="111"/>
        <v>87960</v>
      </c>
      <c r="G1068" s="66">
        <f t="shared" si="112"/>
        <v>7996.363636363636</v>
      </c>
      <c r="H1068" s="735">
        <v>2.5585</v>
      </c>
    </row>
    <row r="1069" spans="2:8">
      <c r="B1069" s="737">
        <v>46119</v>
      </c>
      <c r="C1069" s="1066" t="s">
        <v>4135</v>
      </c>
      <c r="D1069" s="1066">
        <v>6</v>
      </c>
      <c r="E1069" s="736">
        <v>689</v>
      </c>
      <c r="F1069" s="889">
        <f t="shared" si="111"/>
        <v>4134</v>
      </c>
      <c r="G1069" s="66">
        <f t="shared" si="112"/>
        <v>375.81818181818181</v>
      </c>
      <c r="H1069" s="735">
        <v>2.5585</v>
      </c>
    </row>
    <row r="1070" spans="2:8">
      <c r="B1070" s="737">
        <v>46119</v>
      </c>
      <c r="C1070" s="1066" t="s">
        <v>4136</v>
      </c>
      <c r="D1070" s="1066">
        <v>7</v>
      </c>
      <c r="E1070" s="736">
        <v>398</v>
      </c>
      <c r="F1070" s="889">
        <f t="shared" si="111"/>
        <v>2786</v>
      </c>
      <c r="G1070" s="66">
        <f t="shared" si="112"/>
        <v>253.27272727272728</v>
      </c>
      <c r="H1070" s="735">
        <v>2.5585</v>
      </c>
    </row>
    <row r="1071" spans="2:8">
      <c r="B1071" s="737">
        <v>46119</v>
      </c>
      <c r="C1071" s="1066" t="s">
        <v>4137</v>
      </c>
      <c r="D1071" s="1066">
        <v>60</v>
      </c>
      <c r="E1071" s="736">
        <v>398</v>
      </c>
      <c r="F1071" s="889">
        <f t="shared" si="111"/>
        <v>23880</v>
      </c>
      <c r="G1071" s="66">
        <f t="shared" si="112"/>
        <v>2170.909090909091</v>
      </c>
      <c r="H1071" s="735">
        <v>2.5585</v>
      </c>
    </row>
    <row r="1072" spans="2:8">
      <c r="B1072" s="737">
        <v>46127</v>
      </c>
      <c r="C1072" s="1066" t="s">
        <v>4125</v>
      </c>
      <c r="D1072" s="1066">
        <v>500</v>
      </c>
      <c r="E1072" s="736">
        <v>398</v>
      </c>
      <c r="F1072" s="889">
        <f t="shared" si="111"/>
        <v>199000</v>
      </c>
      <c r="G1072" s="66">
        <f t="shared" si="112"/>
        <v>18090.909090909092</v>
      </c>
      <c r="H1072" s="735">
        <v>2.5585</v>
      </c>
    </row>
    <row r="1073" spans="2:8">
      <c r="B1073" s="737">
        <v>46129</v>
      </c>
      <c r="C1073" s="1066" t="s">
        <v>4126</v>
      </c>
      <c r="D1073" s="1066">
        <v>2</v>
      </c>
      <c r="E1073" s="736">
        <v>1199</v>
      </c>
      <c r="F1073" s="889">
        <f t="shared" si="111"/>
        <v>2398</v>
      </c>
      <c r="G1073" s="66">
        <f t="shared" si="112"/>
        <v>218</v>
      </c>
      <c r="H1073" s="735">
        <v>2.5585</v>
      </c>
    </row>
    <row r="1074" spans="2:8">
      <c r="B1074" s="737">
        <v>46129</v>
      </c>
      <c r="C1074" s="1066" t="s">
        <v>4127</v>
      </c>
      <c r="D1074" s="1066">
        <v>2</v>
      </c>
      <c r="E1074" s="736">
        <v>1199</v>
      </c>
      <c r="F1074" s="889">
        <f t="shared" si="111"/>
        <v>2398</v>
      </c>
      <c r="G1074" s="66">
        <f t="shared" si="112"/>
        <v>218</v>
      </c>
      <c r="H1074" s="735">
        <v>2.5585</v>
      </c>
    </row>
    <row r="1075" spans="2:8">
      <c r="B1075" s="737">
        <v>46129</v>
      </c>
      <c r="C1075" s="1066" t="s">
        <v>4127</v>
      </c>
      <c r="D1075" s="1066">
        <v>3</v>
      </c>
      <c r="E1075" s="736">
        <v>1199</v>
      </c>
      <c r="F1075" s="889">
        <f t="shared" si="111"/>
        <v>3597</v>
      </c>
      <c r="G1075" s="66">
        <f t="shared" si="112"/>
        <v>327</v>
      </c>
      <c r="H1075" s="735">
        <v>2.5585</v>
      </c>
    </row>
    <row r="1076" spans="2:8">
      <c r="B1076" s="737">
        <v>46129</v>
      </c>
      <c r="C1076" s="1066" t="s">
        <v>4127</v>
      </c>
      <c r="D1076" s="1066">
        <v>1</v>
      </c>
      <c r="E1076" s="736">
        <v>750</v>
      </c>
      <c r="F1076" s="889">
        <f t="shared" si="111"/>
        <v>750</v>
      </c>
      <c r="G1076" s="66">
        <f t="shared" si="112"/>
        <v>68.181818181818187</v>
      </c>
      <c r="H1076" s="735">
        <v>2.5585</v>
      </c>
    </row>
    <row r="1077" spans="2:8">
      <c r="B1077" s="737">
        <v>46130</v>
      </c>
      <c r="C1077" s="1066" t="s">
        <v>4138</v>
      </c>
      <c r="D1077" s="1066">
        <v>4</v>
      </c>
      <c r="E1077" s="736">
        <v>1199</v>
      </c>
      <c r="F1077" s="889">
        <f t="shared" si="111"/>
        <v>4796</v>
      </c>
      <c r="G1077" s="66">
        <f t="shared" si="112"/>
        <v>436</v>
      </c>
      <c r="H1077" s="735">
        <v>2.5585</v>
      </c>
    </row>
    <row r="1078" spans="2:8">
      <c r="B1078" s="737">
        <v>46130</v>
      </c>
      <c r="C1078" s="1066" t="s">
        <v>4133</v>
      </c>
      <c r="D1078" s="1066">
        <v>4</v>
      </c>
      <c r="E1078" s="1066">
        <v>1199</v>
      </c>
      <c r="F1078" s="889">
        <f t="shared" si="111"/>
        <v>4796</v>
      </c>
      <c r="G1078" s="66">
        <f t="shared" si="112"/>
        <v>436</v>
      </c>
      <c r="H1078" s="735">
        <v>2.5585</v>
      </c>
    </row>
    <row r="1079" spans="2:8">
      <c r="B1079" s="583">
        <v>46138</v>
      </c>
      <c r="C1079" s="1064" t="s">
        <v>4510</v>
      </c>
      <c r="D1079" s="1064">
        <v>2</v>
      </c>
      <c r="E1079" s="533">
        <v>2199</v>
      </c>
      <c r="F1079" s="889">
        <f t="shared" si="111"/>
        <v>4398</v>
      </c>
      <c r="G1079" s="66">
        <f t="shared" si="112"/>
        <v>399.81818181818181</v>
      </c>
      <c r="H1079" s="735">
        <v>2.5994000000000002</v>
      </c>
    </row>
    <row r="1080" spans="2:8">
      <c r="B1080" s="583">
        <v>46138</v>
      </c>
      <c r="C1080" s="1064" t="s">
        <v>4511</v>
      </c>
      <c r="D1080" s="1064">
        <v>2</v>
      </c>
      <c r="E1080" s="533">
        <v>2199</v>
      </c>
      <c r="F1080" s="889">
        <f t="shared" si="111"/>
        <v>4398</v>
      </c>
      <c r="G1080" s="66">
        <f t="shared" si="112"/>
        <v>399.81818181818181</v>
      </c>
      <c r="H1080" s="735">
        <v>2.5994000000000002</v>
      </c>
    </row>
    <row r="1081" spans="2:8">
      <c r="B1081" s="583">
        <v>46138</v>
      </c>
      <c r="C1081" s="1064" t="s">
        <v>3805</v>
      </c>
      <c r="D1081" s="1064">
        <v>1</v>
      </c>
      <c r="E1081" s="533">
        <v>399</v>
      </c>
      <c r="F1081" s="889">
        <f t="shared" si="111"/>
        <v>399</v>
      </c>
      <c r="G1081" s="66">
        <f t="shared" si="112"/>
        <v>36.272727272727273</v>
      </c>
      <c r="H1081" s="735">
        <v>2.5994000000000002</v>
      </c>
    </row>
    <row r="1082" spans="2:8">
      <c r="B1082" s="583">
        <v>46138</v>
      </c>
      <c r="C1082" s="1064" t="s">
        <v>4512</v>
      </c>
      <c r="D1082" s="1064">
        <v>1</v>
      </c>
      <c r="E1082" s="533">
        <v>1400</v>
      </c>
      <c r="F1082" s="889">
        <f t="shared" si="111"/>
        <v>1400</v>
      </c>
      <c r="G1082" s="66">
        <f t="shared" si="112"/>
        <v>127.27272727272727</v>
      </c>
      <c r="H1082" s="735">
        <v>2.5994000000000002</v>
      </c>
    </row>
    <row r="1083" spans="2:8">
      <c r="B1083" s="583">
        <v>46138</v>
      </c>
      <c r="C1083" s="1064" t="s">
        <v>4513</v>
      </c>
      <c r="D1083" s="1064">
        <v>1</v>
      </c>
      <c r="E1083" s="533">
        <v>675.79</v>
      </c>
      <c r="F1083" s="889">
        <f t="shared" si="111"/>
        <v>675.79</v>
      </c>
      <c r="G1083" s="66">
        <f t="shared" si="112"/>
        <v>61.43545454545454</v>
      </c>
      <c r="H1083" s="735">
        <v>2.5994000000000002</v>
      </c>
    </row>
    <row r="1084" spans="2:8">
      <c r="B1084" s="583">
        <v>46139</v>
      </c>
      <c r="C1084" s="1064" t="s">
        <v>4511</v>
      </c>
      <c r="D1084" s="1064">
        <v>2</v>
      </c>
      <c r="E1084" s="533">
        <v>2199</v>
      </c>
      <c r="F1084" s="889">
        <f t="shared" si="111"/>
        <v>4398</v>
      </c>
      <c r="G1084" s="66">
        <f t="shared" si="112"/>
        <v>399.81818181818181</v>
      </c>
      <c r="H1084" s="735">
        <v>2.5994000000000002</v>
      </c>
    </row>
    <row r="1085" spans="2:8">
      <c r="B1085" s="583">
        <v>46139</v>
      </c>
      <c r="C1085" s="1064" t="s">
        <v>4513</v>
      </c>
      <c r="D1085" s="1064">
        <v>1</v>
      </c>
      <c r="E1085" s="533">
        <v>689</v>
      </c>
      <c r="F1085" s="1170">
        <f t="shared" ref="F1085:F1124" si="113">E1085*D1085</f>
        <v>689</v>
      </c>
      <c r="G1085" s="66">
        <f t="shared" ref="G1085:G1124" si="114">F1085/11</f>
        <v>62.636363636363633</v>
      </c>
      <c r="H1085" s="735">
        <v>2.5994000000000002</v>
      </c>
    </row>
    <row r="1086" spans="2:8">
      <c r="B1086" s="583">
        <v>46139</v>
      </c>
      <c r="C1086" s="1064" t="s">
        <v>4514</v>
      </c>
      <c r="D1086" s="1064">
        <v>1</v>
      </c>
      <c r="E1086" s="533">
        <v>4500</v>
      </c>
      <c r="F1086" s="1170">
        <f t="shared" si="113"/>
        <v>4500</v>
      </c>
      <c r="G1086" s="66">
        <f t="shared" si="114"/>
        <v>409.09090909090907</v>
      </c>
      <c r="H1086" s="735">
        <v>2.5994000000000002</v>
      </c>
    </row>
    <row r="1087" spans="2:8">
      <c r="B1087" s="583">
        <v>46139</v>
      </c>
      <c r="C1087" s="1064" t="s">
        <v>3805</v>
      </c>
      <c r="D1087" s="1064">
        <v>1</v>
      </c>
      <c r="E1087" s="533">
        <v>299</v>
      </c>
      <c r="F1087" s="1170">
        <f t="shared" si="113"/>
        <v>299</v>
      </c>
      <c r="G1087" s="66">
        <f t="shared" si="114"/>
        <v>27.181818181818183</v>
      </c>
      <c r="H1087" s="735">
        <v>2.5994000000000002</v>
      </c>
    </row>
    <row r="1088" spans="2:8">
      <c r="B1088" s="583">
        <v>46139</v>
      </c>
      <c r="C1088" s="1064" t="s">
        <v>1575</v>
      </c>
      <c r="D1088" s="1064">
        <v>11</v>
      </c>
      <c r="E1088" s="533">
        <v>125</v>
      </c>
      <c r="F1088" s="1170">
        <f t="shared" si="113"/>
        <v>1375</v>
      </c>
      <c r="G1088" s="66">
        <f t="shared" si="114"/>
        <v>125</v>
      </c>
      <c r="H1088" s="735">
        <v>2.5994000000000002</v>
      </c>
    </row>
    <row r="1089" spans="2:8">
      <c r="B1089" s="583">
        <v>46139</v>
      </c>
      <c r="C1089" s="1064" t="s">
        <v>4515</v>
      </c>
      <c r="D1089" s="1064">
        <v>2</v>
      </c>
      <c r="E1089" s="533">
        <v>2199</v>
      </c>
      <c r="F1089" s="1170">
        <f t="shared" si="113"/>
        <v>4398</v>
      </c>
      <c r="G1089" s="66">
        <f t="shared" si="114"/>
        <v>399.81818181818181</v>
      </c>
      <c r="H1089" s="735">
        <v>2.5994000000000002</v>
      </c>
    </row>
    <row r="1090" spans="2:8">
      <c r="B1090" s="583">
        <v>46139</v>
      </c>
      <c r="C1090" s="1064" t="s">
        <v>4516</v>
      </c>
      <c r="D1090" s="1064">
        <v>1</v>
      </c>
      <c r="E1090" s="533">
        <v>3440</v>
      </c>
      <c r="F1090" s="1170">
        <f t="shared" si="113"/>
        <v>3440</v>
      </c>
      <c r="G1090" s="66">
        <f t="shared" si="114"/>
        <v>312.72727272727275</v>
      </c>
      <c r="H1090" s="735">
        <v>2.5994000000000002</v>
      </c>
    </row>
    <row r="1091" spans="2:8">
      <c r="B1091" s="583">
        <v>46139</v>
      </c>
      <c r="C1091" s="1064" t="s">
        <v>4513</v>
      </c>
      <c r="D1091" s="1064">
        <v>1</v>
      </c>
      <c r="E1091" s="533">
        <v>689</v>
      </c>
      <c r="F1091" s="1170">
        <f t="shared" si="113"/>
        <v>689</v>
      </c>
      <c r="G1091" s="66">
        <f t="shared" si="114"/>
        <v>62.636363636363633</v>
      </c>
      <c r="H1091" s="735">
        <v>2.5994000000000002</v>
      </c>
    </row>
    <row r="1092" spans="2:8">
      <c r="B1092" s="583">
        <v>46139</v>
      </c>
      <c r="C1092" s="1064" t="s">
        <v>4515</v>
      </c>
      <c r="D1092" s="1064">
        <v>2</v>
      </c>
      <c r="E1092" s="533">
        <v>2199</v>
      </c>
      <c r="F1092" s="1170">
        <f t="shared" si="113"/>
        <v>4398</v>
      </c>
      <c r="G1092" s="66">
        <f t="shared" si="114"/>
        <v>399.81818181818181</v>
      </c>
      <c r="H1092" s="735">
        <v>2.5994000000000002</v>
      </c>
    </row>
    <row r="1093" spans="2:8">
      <c r="B1093" s="583">
        <v>46139</v>
      </c>
      <c r="C1093" s="1064" t="s">
        <v>3805</v>
      </c>
      <c r="D1093" s="1064">
        <v>1</v>
      </c>
      <c r="E1093" s="533">
        <v>299</v>
      </c>
      <c r="F1093" s="1170">
        <f t="shared" si="113"/>
        <v>299</v>
      </c>
      <c r="G1093" s="66">
        <f t="shared" si="114"/>
        <v>27.181818181818183</v>
      </c>
      <c r="H1093" s="735">
        <v>2.5994000000000002</v>
      </c>
    </row>
    <row r="1094" spans="2:8">
      <c r="B1094" s="583">
        <v>46139</v>
      </c>
      <c r="C1094" s="1064" t="s">
        <v>4514</v>
      </c>
      <c r="D1094" s="1064">
        <v>1</v>
      </c>
      <c r="E1094" s="533">
        <v>4500</v>
      </c>
      <c r="F1094" s="1170">
        <f t="shared" si="113"/>
        <v>4500</v>
      </c>
      <c r="G1094" s="66">
        <f t="shared" si="114"/>
        <v>409.09090909090907</v>
      </c>
      <c r="H1094" s="735">
        <v>2.5994000000000002</v>
      </c>
    </row>
    <row r="1095" spans="2:8">
      <c r="B1095" s="583">
        <v>46139</v>
      </c>
      <c r="C1095" s="1064" t="s">
        <v>4515</v>
      </c>
      <c r="D1095" s="1064">
        <v>3</v>
      </c>
      <c r="E1095" s="533">
        <v>2199</v>
      </c>
      <c r="F1095" s="1170">
        <f t="shared" si="113"/>
        <v>6597</v>
      </c>
      <c r="G1095" s="66">
        <f t="shared" si="114"/>
        <v>599.72727272727275</v>
      </c>
      <c r="H1095" s="735">
        <v>2.5994000000000002</v>
      </c>
    </row>
    <row r="1096" spans="2:8">
      <c r="B1096" s="583">
        <v>46139</v>
      </c>
      <c r="C1096" s="1064" t="s">
        <v>4515</v>
      </c>
      <c r="D1096" s="1064">
        <v>3</v>
      </c>
      <c r="E1096" s="533">
        <v>2199</v>
      </c>
      <c r="F1096" s="1170">
        <f t="shared" si="113"/>
        <v>6597</v>
      </c>
      <c r="G1096" s="66">
        <f t="shared" si="114"/>
        <v>599.72727272727275</v>
      </c>
      <c r="H1096" s="735">
        <v>2.5994000000000002</v>
      </c>
    </row>
    <row r="1097" spans="2:8">
      <c r="B1097" s="583">
        <v>46132</v>
      </c>
      <c r="C1097" s="1064" t="s">
        <v>4520</v>
      </c>
      <c r="D1097" s="1064">
        <v>4</v>
      </c>
      <c r="E1097" s="533">
        <v>1199</v>
      </c>
      <c r="F1097" s="1170">
        <f t="shared" si="113"/>
        <v>4796</v>
      </c>
      <c r="G1097" s="66">
        <f t="shared" si="114"/>
        <v>436</v>
      </c>
      <c r="H1097" s="735">
        <v>2.5994000000000002</v>
      </c>
    </row>
    <row r="1098" spans="2:8">
      <c r="B1098" s="585">
        <v>46132</v>
      </c>
      <c r="C1098" s="110" t="s">
        <v>4521</v>
      </c>
      <c r="D1098" s="110">
        <v>2</v>
      </c>
      <c r="E1098" s="184">
        <v>1199</v>
      </c>
      <c r="F1098" s="1170">
        <f t="shared" si="113"/>
        <v>2398</v>
      </c>
      <c r="G1098" s="66">
        <f t="shared" si="114"/>
        <v>218</v>
      </c>
      <c r="H1098" s="735">
        <v>2.5994000000000002</v>
      </c>
    </row>
    <row r="1099" spans="2:8">
      <c r="B1099" s="585">
        <v>46132</v>
      </c>
      <c r="C1099" s="110" t="s">
        <v>4521</v>
      </c>
      <c r="D1099" s="110">
        <v>4</v>
      </c>
      <c r="E1099" s="184">
        <v>1199</v>
      </c>
      <c r="F1099" s="1170">
        <f t="shared" si="113"/>
        <v>4796</v>
      </c>
      <c r="G1099" s="66">
        <f t="shared" si="114"/>
        <v>436</v>
      </c>
      <c r="H1099" s="735">
        <v>2.5994000000000002</v>
      </c>
    </row>
    <row r="1100" spans="2:8">
      <c r="B1100" s="1205">
        <v>46133</v>
      </c>
      <c r="C1100" s="183" t="s">
        <v>4528</v>
      </c>
      <c r="D1100" s="183">
        <v>1</v>
      </c>
      <c r="E1100" s="1206">
        <v>0</v>
      </c>
      <c r="F1100" s="1170">
        <f t="shared" si="113"/>
        <v>0</v>
      </c>
      <c r="G1100" s="66">
        <f t="shared" si="114"/>
        <v>0</v>
      </c>
      <c r="H1100" s="735">
        <v>2.5994000000000002</v>
      </c>
    </row>
    <row r="1101" spans="2:8">
      <c r="B1101" s="583">
        <v>46133</v>
      </c>
      <c r="C1101" s="1064" t="s">
        <v>4524</v>
      </c>
      <c r="D1101" s="1064">
        <v>2</v>
      </c>
      <c r="E1101" s="533">
        <v>1249</v>
      </c>
      <c r="F1101" s="1170">
        <f t="shared" si="113"/>
        <v>2498</v>
      </c>
      <c r="G1101" s="66">
        <f t="shared" si="114"/>
        <v>227.09090909090909</v>
      </c>
      <c r="H1101" s="735">
        <v>2.5994000000000002</v>
      </c>
    </row>
    <row r="1102" spans="2:8">
      <c r="B1102" s="583">
        <v>46134</v>
      </c>
      <c r="C1102" s="1064" t="s">
        <v>4521</v>
      </c>
      <c r="D1102" s="1064">
        <v>2</v>
      </c>
      <c r="E1102" s="533">
        <v>1199</v>
      </c>
      <c r="F1102" s="1170">
        <f t="shared" si="113"/>
        <v>2398</v>
      </c>
      <c r="G1102" s="66">
        <f t="shared" si="114"/>
        <v>218</v>
      </c>
      <c r="H1102" s="735">
        <v>2.5994000000000002</v>
      </c>
    </row>
    <row r="1103" spans="2:8">
      <c r="B1103" s="583">
        <v>46133</v>
      </c>
      <c r="C1103" s="1064" t="s">
        <v>4525</v>
      </c>
      <c r="D1103" s="1064">
        <v>10</v>
      </c>
      <c r="E1103" s="533">
        <v>999</v>
      </c>
      <c r="F1103" s="1170">
        <f t="shared" si="113"/>
        <v>9990</v>
      </c>
      <c r="G1103" s="66">
        <f t="shared" si="114"/>
        <v>908.18181818181813</v>
      </c>
      <c r="H1103" s="735">
        <v>2.5994000000000002</v>
      </c>
    </row>
    <row r="1104" spans="2:8">
      <c r="B1104" s="583">
        <v>46136</v>
      </c>
      <c r="C1104" s="1064" t="s">
        <v>4526</v>
      </c>
      <c r="D1104" s="1064">
        <v>32</v>
      </c>
      <c r="E1104" s="533">
        <v>398</v>
      </c>
      <c r="F1104" s="1170">
        <f t="shared" si="113"/>
        <v>12736</v>
      </c>
      <c r="G1104" s="66">
        <f t="shared" si="114"/>
        <v>1157.8181818181818</v>
      </c>
      <c r="H1104" s="735">
        <v>2.5994000000000002</v>
      </c>
    </row>
    <row r="1105" spans="2:8">
      <c r="B1105" s="1205">
        <v>46136</v>
      </c>
      <c r="C1105" s="183" t="s">
        <v>4527</v>
      </c>
      <c r="D1105" s="183"/>
      <c r="E1105" s="1206">
        <v>0</v>
      </c>
      <c r="F1105" s="1170">
        <f t="shared" si="113"/>
        <v>0</v>
      </c>
      <c r="G1105" s="66">
        <f t="shared" si="114"/>
        <v>0</v>
      </c>
      <c r="H1105" s="735">
        <v>2.5994000000000002</v>
      </c>
    </row>
    <row r="1106" spans="2:8">
      <c r="B1106" s="583">
        <v>46137</v>
      </c>
      <c r="C1106" s="1064" t="s">
        <v>4529</v>
      </c>
      <c r="D1106" s="1064">
        <v>4</v>
      </c>
      <c r="E1106" s="533">
        <v>398</v>
      </c>
      <c r="F1106" s="1170">
        <f t="shared" si="113"/>
        <v>1592</v>
      </c>
      <c r="G1106" s="66">
        <f t="shared" si="114"/>
        <v>144.72727272727272</v>
      </c>
      <c r="H1106" s="735">
        <v>2.5994000000000002</v>
      </c>
    </row>
    <row r="1107" spans="2:8">
      <c r="B1107" s="585">
        <v>46138</v>
      </c>
      <c r="C1107" s="110" t="s">
        <v>4521</v>
      </c>
      <c r="D1107" s="110">
        <v>2</v>
      </c>
      <c r="E1107" s="184">
        <v>1199</v>
      </c>
      <c r="F1107" s="1170">
        <f t="shared" si="113"/>
        <v>2398</v>
      </c>
      <c r="G1107" s="66">
        <f t="shared" si="114"/>
        <v>218</v>
      </c>
      <c r="H1107" s="735">
        <v>2.5994000000000002</v>
      </c>
    </row>
    <row r="1108" spans="2:8">
      <c r="B1108" s="585">
        <v>46138</v>
      </c>
      <c r="C1108" s="110" t="s">
        <v>4521</v>
      </c>
      <c r="D1108" s="110">
        <v>2</v>
      </c>
      <c r="E1108" s="184">
        <v>1199</v>
      </c>
      <c r="F1108" s="1170">
        <f t="shared" si="113"/>
        <v>2398</v>
      </c>
      <c r="G1108" s="66">
        <f t="shared" si="114"/>
        <v>218</v>
      </c>
      <c r="H1108" s="735">
        <v>2.5994000000000002</v>
      </c>
    </row>
    <row r="1109" spans="2:8">
      <c r="B1109" s="585">
        <v>46138</v>
      </c>
      <c r="C1109" s="110" t="s">
        <v>4521</v>
      </c>
      <c r="D1109" s="110">
        <v>2</v>
      </c>
      <c r="E1109" s="184">
        <v>1199</v>
      </c>
      <c r="F1109" s="1170">
        <f t="shared" si="113"/>
        <v>2398</v>
      </c>
      <c r="G1109" s="66">
        <f t="shared" si="114"/>
        <v>218</v>
      </c>
      <c r="H1109" s="735">
        <v>2.5994000000000002</v>
      </c>
    </row>
    <row r="1110" spans="2:8">
      <c r="B1110" s="585">
        <v>46138</v>
      </c>
      <c r="C1110" s="110" t="s">
        <v>4530</v>
      </c>
      <c r="D1110" s="110">
        <v>2</v>
      </c>
      <c r="E1110" s="184">
        <v>1199</v>
      </c>
      <c r="F1110" s="1170">
        <f t="shared" si="113"/>
        <v>2398</v>
      </c>
      <c r="G1110" s="66">
        <f t="shared" si="114"/>
        <v>218</v>
      </c>
      <c r="H1110" s="735">
        <v>2.5994000000000002</v>
      </c>
    </row>
    <row r="1111" spans="2:8">
      <c r="B1111" s="585">
        <v>46138</v>
      </c>
      <c r="C1111" s="110" t="s">
        <v>4530</v>
      </c>
      <c r="D1111" s="110">
        <v>2</v>
      </c>
      <c r="E1111" s="184">
        <v>1199</v>
      </c>
      <c r="F1111" s="1170">
        <f t="shared" si="113"/>
        <v>2398</v>
      </c>
      <c r="G1111" s="66">
        <f t="shared" si="114"/>
        <v>218</v>
      </c>
      <c r="H1111" s="735">
        <v>2.5994000000000002</v>
      </c>
    </row>
    <row r="1112" spans="2:8">
      <c r="B1112" s="1207">
        <v>46138</v>
      </c>
      <c r="C1112" s="250" t="s">
        <v>4530</v>
      </c>
      <c r="D1112" s="250">
        <v>2</v>
      </c>
      <c r="E1112" s="252">
        <v>1199</v>
      </c>
      <c r="F1112" s="1170">
        <f t="shared" si="113"/>
        <v>2398</v>
      </c>
      <c r="G1112" s="66">
        <f t="shared" si="114"/>
        <v>218</v>
      </c>
      <c r="H1112" s="735">
        <v>2.5994000000000002</v>
      </c>
    </row>
    <row r="1113" spans="2:8">
      <c r="B1113" s="585">
        <v>46138</v>
      </c>
      <c r="C1113" s="110" t="s">
        <v>4530</v>
      </c>
      <c r="D1113" s="110">
        <v>2</v>
      </c>
      <c r="E1113" s="184">
        <v>1199</v>
      </c>
      <c r="F1113" s="1170">
        <f t="shared" si="113"/>
        <v>2398</v>
      </c>
      <c r="G1113" s="66">
        <f t="shared" si="114"/>
        <v>218</v>
      </c>
      <c r="H1113" s="735">
        <v>2.5994000000000002</v>
      </c>
    </row>
    <row r="1114" spans="2:8">
      <c r="B1114" s="585">
        <v>46138</v>
      </c>
      <c r="C1114" s="110" t="s">
        <v>4521</v>
      </c>
      <c r="D1114" s="110">
        <v>2</v>
      </c>
      <c r="E1114" s="184">
        <v>1199</v>
      </c>
      <c r="F1114" s="1170">
        <f t="shared" si="113"/>
        <v>2398</v>
      </c>
      <c r="G1114" s="66">
        <f t="shared" si="114"/>
        <v>218</v>
      </c>
      <c r="H1114" s="735">
        <v>2.5994000000000002</v>
      </c>
    </row>
    <row r="1115" spans="2:8">
      <c r="B1115" s="583">
        <v>46138</v>
      </c>
      <c r="C1115" s="1064" t="s">
        <v>4531</v>
      </c>
      <c r="D1115" s="1064">
        <v>5</v>
      </c>
      <c r="E1115" s="533">
        <v>398</v>
      </c>
      <c r="F1115" s="1170">
        <f t="shared" si="113"/>
        <v>1990</v>
      </c>
      <c r="G1115" s="66">
        <f t="shared" si="114"/>
        <v>180.90909090909091</v>
      </c>
      <c r="H1115" s="735">
        <v>2.5994000000000002</v>
      </c>
    </row>
    <row r="1116" spans="2:8">
      <c r="B1116" s="583">
        <v>46139</v>
      </c>
      <c r="C1116" s="1064" t="s">
        <v>1890</v>
      </c>
      <c r="D1116" s="1064">
        <v>3</v>
      </c>
      <c r="E1116" s="533">
        <v>399</v>
      </c>
      <c r="F1116" s="1170">
        <f t="shared" si="113"/>
        <v>1197</v>
      </c>
      <c r="G1116" s="66">
        <f t="shared" si="114"/>
        <v>108.81818181818181</v>
      </c>
      <c r="H1116" s="735">
        <v>2.5994000000000002</v>
      </c>
    </row>
    <row r="1117" spans="2:8">
      <c r="B1117" s="585">
        <v>46139</v>
      </c>
      <c r="C1117" s="110" t="s">
        <v>4532</v>
      </c>
      <c r="D1117" s="110">
        <v>1</v>
      </c>
      <c r="E1117" s="184">
        <v>695</v>
      </c>
      <c r="F1117" s="1170">
        <f t="shared" si="113"/>
        <v>695</v>
      </c>
      <c r="G1117" s="66">
        <f t="shared" si="114"/>
        <v>63.18181818181818</v>
      </c>
      <c r="H1117" s="735">
        <v>2.5994000000000002</v>
      </c>
    </row>
    <row r="1118" spans="2:8">
      <c r="B1118" s="585">
        <v>46139</v>
      </c>
      <c r="C1118" s="110" t="s">
        <v>4533</v>
      </c>
      <c r="D1118" s="110">
        <v>1</v>
      </c>
      <c r="E1118" s="184">
        <v>1298</v>
      </c>
      <c r="F1118" s="1170">
        <f t="shared" si="113"/>
        <v>1298</v>
      </c>
      <c r="G1118" s="66">
        <f t="shared" si="114"/>
        <v>118</v>
      </c>
      <c r="H1118" s="735">
        <v>2.5994000000000002</v>
      </c>
    </row>
    <row r="1119" spans="2:8">
      <c r="B1119" s="583">
        <v>46139</v>
      </c>
      <c r="C1119" s="1064" t="s">
        <v>4534</v>
      </c>
      <c r="D1119" s="1064">
        <v>1</v>
      </c>
      <c r="E1119" s="533">
        <v>399</v>
      </c>
      <c r="F1119" s="1170">
        <f t="shared" si="113"/>
        <v>399</v>
      </c>
      <c r="G1119" s="66">
        <f t="shared" si="114"/>
        <v>36.272727272727273</v>
      </c>
      <c r="H1119" s="735">
        <v>2.5994000000000002</v>
      </c>
    </row>
    <row r="1120" spans="2:8">
      <c r="B1120" s="585">
        <v>46142</v>
      </c>
      <c r="C1120" s="110" t="s">
        <v>4678</v>
      </c>
      <c r="D1120" s="110">
        <v>2</v>
      </c>
      <c r="E1120" s="184">
        <v>1199</v>
      </c>
      <c r="F1120" s="735">
        <f>E1120*D1120</f>
        <v>2398</v>
      </c>
      <c r="G1120" s="66">
        <f t="shared" si="114"/>
        <v>218</v>
      </c>
      <c r="H1120" s="735">
        <v>2.6082999999999998</v>
      </c>
    </row>
    <row r="1121" spans="2:10">
      <c r="B1121" s="585">
        <v>46142</v>
      </c>
      <c r="C1121" s="110" t="s">
        <v>4678</v>
      </c>
      <c r="D1121" s="110">
        <v>2</v>
      </c>
      <c r="E1121" s="184">
        <v>1199</v>
      </c>
      <c r="F1121" s="735">
        <f t="shared" ref="F1121:F1123" si="115">E1121*D1121</f>
        <v>2398</v>
      </c>
      <c r="G1121" s="66">
        <f t="shared" si="114"/>
        <v>218</v>
      </c>
      <c r="H1121" s="735">
        <v>2.6082999999999998</v>
      </c>
    </row>
    <row r="1122" spans="2:10">
      <c r="B1122" s="585">
        <v>46142</v>
      </c>
      <c r="C1122" s="110" t="s">
        <v>4678</v>
      </c>
      <c r="D1122" s="110">
        <v>2</v>
      </c>
      <c r="E1122" s="184">
        <v>1199</v>
      </c>
      <c r="F1122" s="735">
        <f t="shared" si="115"/>
        <v>2398</v>
      </c>
      <c r="G1122" s="66">
        <f t="shared" si="114"/>
        <v>218</v>
      </c>
      <c r="H1122" s="735">
        <v>2.6082999999999998</v>
      </c>
    </row>
    <row r="1123" spans="2:10">
      <c r="B1123" s="585">
        <v>46142</v>
      </c>
      <c r="C1123" s="110" t="s">
        <v>4679</v>
      </c>
      <c r="D1123" s="110">
        <v>2</v>
      </c>
      <c r="E1123" s="184">
        <v>999</v>
      </c>
      <c r="F1123" s="735">
        <f t="shared" si="115"/>
        <v>1998</v>
      </c>
      <c r="G1123" s="66">
        <f t="shared" si="114"/>
        <v>181.63636363636363</v>
      </c>
      <c r="H1123" s="735">
        <v>2.6082999999999998</v>
      </c>
    </row>
    <row r="1124" spans="2:10">
      <c r="B1124" s="585">
        <v>46143</v>
      </c>
      <c r="C1124" s="110" t="s">
        <v>4678</v>
      </c>
      <c r="D1124" s="110">
        <v>2</v>
      </c>
      <c r="E1124" s="184">
        <v>1199</v>
      </c>
      <c r="F1124" s="1170">
        <f t="shared" si="113"/>
        <v>2398</v>
      </c>
      <c r="G1124" s="66">
        <f t="shared" si="114"/>
        <v>218</v>
      </c>
      <c r="H1124" s="735">
        <v>2.6082999999999998</v>
      </c>
    </row>
    <row r="1125" spans="2:10">
      <c r="B1125" s="585">
        <v>46143</v>
      </c>
      <c r="C1125" s="110" t="s">
        <v>4678</v>
      </c>
      <c r="D1125" s="110">
        <v>2</v>
      </c>
      <c r="E1125" s="184">
        <v>1199</v>
      </c>
      <c r="F1125" s="1248">
        <f t="shared" ref="F1125:F1142" si="116">E1125*D1125</f>
        <v>2398</v>
      </c>
      <c r="G1125" s="66">
        <f t="shared" ref="G1125:G1142" si="117">F1125/11</f>
        <v>218</v>
      </c>
      <c r="H1125" s="735">
        <v>2.6082999999999998</v>
      </c>
    </row>
    <row r="1126" spans="2:10">
      <c r="B1126" s="585">
        <v>46143</v>
      </c>
      <c r="C1126" s="110" t="s">
        <v>4678</v>
      </c>
      <c r="D1126" s="110">
        <v>2</v>
      </c>
      <c r="E1126" s="184">
        <v>1199</v>
      </c>
      <c r="F1126" s="1248">
        <f t="shared" si="116"/>
        <v>2398</v>
      </c>
      <c r="G1126" s="66">
        <f t="shared" si="117"/>
        <v>218</v>
      </c>
      <c r="H1126" s="735">
        <v>2.6082999999999998</v>
      </c>
    </row>
    <row r="1127" spans="2:10">
      <c r="B1127" s="585">
        <v>46143</v>
      </c>
      <c r="C1127" s="110" t="s">
        <v>4678</v>
      </c>
      <c r="D1127" s="110">
        <v>2</v>
      </c>
      <c r="E1127" s="184">
        <v>1199</v>
      </c>
      <c r="F1127" s="1248">
        <f t="shared" si="116"/>
        <v>2398</v>
      </c>
      <c r="G1127" s="66">
        <f t="shared" si="117"/>
        <v>218</v>
      </c>
      <c r="H1127" s="735">
        <v>2.6082999999999998</v>
      </c>
      <c r="J1127">
        <v>289671.69</v>
      </c>
    </row>
    <row r="1128" spans="2:10">
      <c r="B1128" s="583">
        <v>46144</v>
      </c>
      <c r="C1128" s="1064" t="s">
        <v>4680</v>
      </c>
      <c r="D1128" s="1064">
        <v>5</v>
      </c>
      <c r="E1128" s="533">
        <v>1999</v>
      </c>
      <c r="F1128" s="1248">
        <f t="shared" si="116"/>
        <v>9995</v>
      </c>
      <c r="G1128" s="66">
        <f t="shared" si="117"/>
        <v>908.63636363636363</v>
      </c>
      <c r="H1128" s="735">
        <v>2.6082999999999998</v>
      </c>
      <c r="J1128">
        <v>84852.96</v>
      </c>
    </row>
    <row r="1129" spans="2:10">
      <c r="B1129" s="583">
        <v>46144</v>
      </c>
      <c r="C1129" s="1064" t="s">
        <v>4681</v>
      </c>
      <c r="D1129" s="1064">
        <v>7</v>
      </c>
      <c r="E1129" s="533">
        <v>1982</v>
      </c>
      <c r="F1129" s="1248">
        <f t="shared" si="116"/>
        <v>13874</v>
      </c>
      <c r="G1129" s="66">
        <f t="shared" si="117"/>
        <v>1261.2727272727273</v>
      </c>
      <c r="H1129" s="735">
        <v>2.6082999999999998</v>
      </c>
    </row>
    <row r="1130" spans="2:10">
      <c r="B1130" s="583">
        <v>46145</v>
      </c>
      <c r="C1130" s="1064" t="s">
        <v>4682</v>
      </c>
      <c r="D1130" s="1064">
        <v>4</v>
      </c>
      <c r="E1130" s="533">
        <v>1999</v>
      </c>
      <c r="F1130" s="1248">
        <f t="shared" si="116"/>
        <v>7996</v>
      </c>
      <c r="G1130" s="66">
        <f t="shared" si="117"/>
        <v>726.90909090909088</v>
      </c>
      <c r="H1130" s="735">
        <v>2.6082999999999998</v>
      </c>
    </row>
    <row r="1131" spans="2:10">
      <c r="B1131" s="583">
        <v>46145</v>
      </c>
      <c r="C1131" s="1064" t="s">
        <v>4683</v>
      </c>
      <c r="D1131" s="1064">
        <v>10</v>
      </c>
      <c r="E1131" s="533">
        <v>1999</v>
      </c>
      <c r="F1131" s="1248">
        <f t="shared" si="116"/>
        <v>19990</v>
      </c>
      <c r="G1131" s="66">
        <f t="shared" si="117"/>
        <v>1817.2727272727273</v>
      </c>
      <c r="H1131" s="735">
        <v>2.6082999999999998</v>
      </c>
    </row>
    <row r="1132" spans="2:10">
      <c r="B1132" s="583">
        <v>46145</v>
      </c>
      <c r="C1132" s="1064" t="s">
        <v>4684</v>
      </c>
      <c r="D1132" s="1064">
        <v>8</v>
      </c>
      <c r="E1132" s="533">
        <v>1950</v>
      </c>
      <c r="F1132" s="1248">
        <f t="shared" si="116"/>
        <v>15600</v>
      </c>
      <c r="G1132" s="66">
        <f t="shared" si="117"/>
        <v>1418.1818181818182</v>
      </c>
      <c r="H1132" s="735">
        <v>2.6082999999999998</v>
      </c>
    </row>
    <row r="1133" spans="2:10">
      <c r="B1133" s="585">
        <v>46146</v>
      </c>
      <c r="C1133" s="110" t="s">
        <v>4678</v>
      </c>
      <c r="D1133" s="110">
        <v>2</v>
      </c>
      <c r="E1133" s="184">
        <v>1199</v>
      </c>
      <c r="F1133" s="1248">
        <f t="shared" si="116"/>
        <v>2398</v>
      </c>
      <c r="G1133" s="66">
        <f t="shared" si="117"/>
        <v>218</v>
      </c>
      <c r="H1133" s="735">
        <v>2.6082999999999998</v>
      </c>
    </row>
    <row r="1134" spans="2:10">
      <c r="B1134" s="585">
        <v>46146</v>
      </c>
      <c r="C1134" s="110" t="s">
        <v>4678</v>
      </c>
      <c r="D1134" s="110">
        <v>2</v>
      </c>
      <c r="E1134" s="184">
        <v>1199</v>
      </c>
      <c r="F1134" s="1248">
        <f t="shared" si="116"/>
        <v>2398</v>
      </c>
      <c r="G1134" s="66">
        <f t="shared" si="117"/>
        <v>218</v>
      </c>
      <c r="H1134" s="735">
        <v>2.6082999999999998</v>
      </c>
    </row>
    <row r="1135" spans="2:10">
      <c r="B1135" s="585">
        <v>46146</v>
      </c>
      <c r="C1135" s="110" t="s">
        <v>4678</v>
      </c>
      <c r="D1135" s="110">
        <v>2</v>
      </c>
      <c r="E1135" s="184">
        <v>1199</v>
      </c>
      <c r="F1135" s="1248">
        <f t="shared" si="116"/>
        <v>2398</v>
      </c>
      <c r="G1135" s="66">
        <f t="shared" si="117"/>
        <v>218</v>
      </c>
      <c r="H1135" s="735">
        <v>2.6082999999999998</v>
      </c>
    </row>
    <row r="1136" spans="2:10">
      <c r="B1136" s="585">
        <v>46146</v>
      </c>
      <c r="C1136" s="110" t="s">
        <v>4678</v>
      </c>
      <c r="D1136" s="110">
        <v>2</v>
      </c>
      <c r="E1136" s="184">
        <v>1199</v>
      </c>
      <c r="F1136" s="1248">
        <f t="shared" si="116"/>
        <v>2398</v>
      </c>
      <c r="G1136" s="66">
        <f t="shared" si="117"/>
        <v>218</v>
      </c>
      <c r="H1136" s="735">
        <v>2.6082999999999998</v>
      </c>
    </row>
    <row r="1137" spans="2:8">
      <c r="B1137" s="585">
        <v>46146</v>
      </c>
      <c r="C1137" s="110" t="s">
        <v>4678</v>
      </c>
      <c r="D1137" s="110">
        <v>2</v>
      </c>
      <c r="E1137" s="184">
        <v>1199</v>
      </c>
      <c r="F1137" s="1248">
        <f t="shared" si="116"/>
        <v>2398</v>
      </c>
      <c r="G1137" s="66">
        <f t="shared" si="117"/>
        <v>218</v>
      </c>
      <c r="H1137" s="735">
        <v>2.6082999999999998</v>
      </c>
    </row>
    <row r="1138" spans="2:8">
      <c r="B1138" s="585">
        <v>46147</v>
      </c>
      <c r="C1138" s="110" t="s">
        <v>4678</v>
      </c>
      <c r="D1138" s="110">
        <v>2</v>
      </c>
      <c r="E1138" s="184">
        <v>1199</v>
      </c>
      <c r="F1138" s="1248">
        <f t="shared" si="116"/>
        <v>2398</v>
      </c>
      <c r="G1138" s="66">
        <f t="shared" si="117"/>
        <v>218</v>
      </c>
      <c r="H1138" s="1296">
        <v>2.6267</v>
      </c>
    </row>
    <row r="1139" spans="2:8">
      <c r="B1139" s="585">
        <v>46147</v>
      </c>
      <c r="C1139" s="110" t="s">
        <v>4678</v>
      </c>
      <c r="D1139" s="110">
        <v>2</v>
      </c>
      <c r="E1139" s="184">
        <v>1199</v>
      </c>
      <c r="F1139" s="1248">
        <f t="shared" si="116"/>
        <v>2398</v>
      </c>
      <c r="G1139" s="66">
        <f t="shared" si="117"/>
        <v>218</v>
      </c>
      <c r="H1139" s="1296">
        <v>2.6267</v>
      </c>
    </row>
    <row r="1140" spans="2:8">
      <c r="B1140" s="585">
        <v>46147</v>
      </c>
      <c r="C1140" s="110" t="s">
        <v>4678</v>
      </c>
      <c r="D1140" s="110">
        <v>2</v>
      </c>
      <c r="E1140" s="184">
        <v>1199</v>
      </c>
      <c r="F1140" s="1248">
        <f t="shared" si="116"/>
        <v>2398</v>
      </c>
      <c r="G1140" s="66">
        <f t="shared" si="117"/>
        <v>218</v>
      </c>
      <c r="H1140" s="1296">
        <v>2.6267</v>
      </c>
    </row>
    <row r="1141" spans="2:8">
      <c r="B1141" s="585">
        <v>46147</v>
      </c>
      <c r="C1141" s="110" t="s">
        <v>4678</v>
      </c>
      <c r="D1141" s="110">
        <v>2</v>
      </c>
      <c r="E1141" s="184">
        <v>1199</v>
      </c>
      <c r="F1141" s="1248">
        <f t="shared" si="116"/>
        <v>2398</v>
      </c>
      <c r="G1141" s="66">
        <f t="shared" si="117"/>
        <v>218</v>
      </c>
      <c r="H1141" s="1296">
        <v>2.6267</v>
      </c>
    </row>
    <row r="1142" spans="2:8">
      <c r="B1142" s="585">
        <v>46147</v>
      </c>
      <c r="C1142" s="110" t="s">
        <v>4678</v>
      </c>
      <c r="D1142" s="110">
        <v>2</v>
      </c>
      <c r="E1142" s="184">
        <v>1199</v>
      </c>
      <c r="F1142" s="1248">
        <f t="shared" si="116"/>
        <v>2398</v>
      </c>
      <c r="G1142" s="66">
        <f t="shared" si="117"/>
        <v>218</v>
      </c>
      <c r="H1142" s="1296">
        <v>2.6267</v>
      </c>
    </row>
    <row r="1143" spans="2:8">
      <c r="B1143" s="737">
        <v>46148</v>
      </c>
      <c r="C1143" s="1066" t="s">
        <v>4812</v>
      </c>
      <c r="D1143" s="1066">
        <v>10</v>
      </c>
      <c r="E1143" s="1066">
        <v>1205</v>
      </c>
      <c r="F1143" s="1296">
        <f t="shared" ref="F1143:F1174" si="118">E1143*D1143</f>
        <v>12050</v>
      </c>
      <c r="G1143" s="66">
        <f t="shared" ref="G1143:G1174" si="119">F1143/11</f>
        <v>1095.4545454545455</v>
      </c>
      <c r="H1143" s="1296">
        <v>2.6267</v>
      </c>
    </row>
    <row r="1144" spans="2:8">
      <c r="B1144" s="585">
        <v>46150</v>
      </c>
      <c r="C1144" s="110" t="s">
        <v>4814</v>
      </c>
      <c r="D1144" s="110">
        <v>2</v>
      </c>
      <c r="E1144" s="110">
        <v>1199</v>
      </c>
      <c r="F1144" s="1296">
        <f t="shared" si="118"/>
        <v>2398</v>
      </c>
      <c r="G1144" s="66">
        <f t="shared" si="119"/>
        <v>218</v>
      </c>
      <c r="H1144" s="1296">
        <v>2.6267</v>
      </c>
    </row>
    <row r="1145" spans="2:8">
      <c r="B1145" s="585">
        <v>46150</v>
      </c>
      <c r="C1145" s="110" t="s">
        <v>4814</v>
      </c>
      <c r="D1145" s="110">
        <v>2</v>
      </c>
      <c r="E1145" s="110">
        <v>1199</v>
      </c>
      <c r="F1145" s="1296">
        <f t="shared" si="118"/>
        <v>2398</v>
      </c>
      <c r="G1145" s="66">
        <f t="shared" si="119"/>
        <v>218</v>
      </c>
      <c r="H1145" s="1296">
        <v>2.6267</v>
      </c>
    </row>
    <row r="1146" spans="2:8">
      <c r="B1146" s="585">
        <v>46150</v>
      </c>
      <c r="C1146" s="110" t="s">
        <v>4814</v>
      </c>
      <c r="D1146" s="110">
        <v>2</v>
      </c>
      <c r="E1146" s="110">
        <v>1199</v>
      </c>
      <c r="F1146" s="1296">
        <f t="shared" si="118"/>
        <v>2398</v>
      </c>
      <c r="G1146" s="66">
        <f t="shared" si="119"/>
        <v>218</v>
      </c>
      <c r="H1146" s="1296">
        <v>2.6267</v>
      </c>
    </row>
    <row r="1147" spans="2:8">
      <c r="B1147" s="585">
        <v>46150</v>
      </c>
      <c r="C1147" s="110" t="s">
        <v>4814</v>
      </c>
      <c r="D1147" s="110">
        <v>2</v>
      </c>
      <c r="E1147" s="110">
        <v>1199</v>
      </c>
      <c r="F1147" s="1296">
        <f t="shared" si="118"/>
        <v>2398</v>
      </c>
      <c r="G1147" s="66">
        <f t="shared" si="119"/>
        <v>218</v>
      </c>
      <c r="H1147" s="1296">
        <v>2.6267</v>
      </c>
    </row>
    <row r="1148" spans="2:8">
      <c r="B1148" s="737">
        <v>46150</v>
      </c>
      <c r="C1148" s="1066" t="s">
        <v>4680</v>
      </c>
      <c r="D1148" s="1066">
        <v>10</v>
      </c>
      <c r="E1148" s="1066">
        <v>1897</v>
      </c>
      <c r="F1148" s="1296">
        <f t="shared" si="118"/>
        <v>18970</v>
      </c>
      <c r="G1148" s="66">
        <f t="shared" si="119"/>
        <v>1724.5454545454545</v>
      </c>
      <c r="H1148" s="1296">
        <v>2.6267</v>
      </c>
    </row>
    <row r="1149" spans="2:8">
      <c r="B1149" s="737">
        <v>46150</v>
      </c>
      <c r="C1149" s="1066" t="s">
        <v>4813</v>
      </c>
      <c r="D1149" s="1066">
        <v>7</v>
      </c>
      <c r="E1149" s="1066">
        <v>1897</v>
      </c>
      <c r="F1149" s="1296">
        <f t="shared" si="118"/>
        <v>13279</v>
      </c>
      <c r="G1149" s="66">
        <f t="shared" si="119"/>
        <v>1207.1818181818182</v>
      </c>
      <c r="H1149" s="1296">
        <v>2.6267</v>
      </c>
    </row>
    <row r="1150" spans="2:8">
      <c r="B1150" s="737">
        <v>46150</v>
      </c>
      <c r="C1150" s="1066" t="s">
        <v>2040</v>
      </c>
      <c r="D1150" s="1066">
        <v>2</v>
      </c>
      <c r="E1150" s="1066">
        <v>394</v>
      </c>
      <c r="F1150" s="1296">
        <f t="shared" si="118"/>
        <v>788</v>
      </c>
      <c r="G1150" s="66">
        <f t="shared" si="119"/>
        <v>71.63636363636364</v>
      </c>
      <c r="H1150" s="1296">
        <v>2.6267</v>
      </c>
    </row>
    <row r="1151" spans="2:8">
      <c r="B1151" s="585">
        <v>46153</v>
      </c>
      <c r="C1151" s="110" t="s">
        <v>4814</v>
      </c>
      <c r="D1151" s="110">
        <v>2</v>
      </c>
      <c r="E1151" s="110">
        <v>1199</v>
      </c>
      <c r="F1151" s="1296">
        <f t="shared" si="118"/>
        <v>2398</v>
      </c>
      <c r="G1151" s="66">
        <f t="shared" si="119"/>
        <v>218</v>
      </c>
      <c r="H1151" s="1296">
        <v>2.6215000000000002</v>
      </c>
    </row>
    <row r="1152" spans="2:8">
      <c r="B1152" s="585">
        <v>46153</v>
      </c>
      <c r="C1152" s="110" t="s">
        <v>4814</v>
      </c>
      <c r="D1152" s="110">
        <v>2</v>
      </c>
      <c r="E1152" s="110">
        <v>1199</v>
      </c>
      <c r="F1152" s="1296">
        <f t="shared" si="118"/>
        <v>2398</v>
      </c>
      <c r="G1152" s="66">
        <f t="shared" si="119"/>
        <v>218</v>
      </c>
      <c r="H1152" s="1296">
        <v>2.6215000000000002</v>
      </c>
    </row>
    <row r="1153" spans="2:8">
      <c r="B1153" s="585">
        <v>46153</v>
      </c>
      <c r="C1153" s="110" t="s">
        <v>4814</v>
      </c>
      <c r="D1153" s="110">
        <v>2</v>
      </c>
      <c r="E1153" s="110">
        <v>1199</v>
      </c>
      <c r="F1153" s="1296">
        <f t="shared" si="118"/>
        <v>2398</v>
      </c>
      <c r="G1153" s="66">
        <f t="shared" si="119"/>
        <v>218</v>
      </c>
      <c r="H1153" s="1296">
        <v>2.6215000000000002</v>
      </c>
    </row>
    <row r="1154" spans="2:8">
      <c r="B1154" s="585">
        <v>46153</v>
      </c>
      <c r="C1154" s="110" t="s">
        <v>4814</v>
      </c>
      <c r="D1154" s="110">
        <v>2</v>
      </c>
      <c r="E1154" s="110">
        <v>1199</v>
      </c>
      <c r="F1154" s="1296">
        <f t="shared" si="118"/>
        <v>2398</v>
      </c>
      <c r="G1154" s="66">
        <f t="shared" si="119"/>
        <v>218</v>
      </c>
      <c r="H1154" s="1296">
        <v>2.6215000000000002</v>
      </c>
    </row>
    <row r="1155" spans="2:8">
      <c r="B1155" s="585">
        <v>46153</v>
      </c>
      <c r="C1155" s="110" t="s">
        <v>4814</v>
      </c>
      <c r="D1155" s="110">
        <v>2</v>
      </c>
      <c r="E1155" s="110">
        <v>1199</v>
      </c>
      <c r="F1155" s="1296">
        <f t="shared" si="118"/>
        <v>2398</v>
      </c>
      <c r="G1155" s="66">
        <f t="shared" si="119"/>
        <v>218</v>
      </c>
      <c r="H1155" s="1296">
        <v>2.6215000000000002</v>
      </c>
    </row>
    <row r="1156" spans="2:8">
      <c r="B1156" s="585">
        <v>46154</v>
      </c>
      <c r="C1156" s="110" t="s">
        <v>4814</v>
      </c>
      <c r="D1156" s="110">
        <v>2</v>
      </c>
      <c r="E1156" s="110">
        <v>1199</v>
      </c>
      <c r="F1156" s="1296">
        <f t="shared" si="118"/>
        <v>2398</v>
      </c>
      <c r="G1156" s="66">
        <f t="shared" si="119"/>
        <v>218</v>
      </c>
      <c r="H1156" s="1296">
        <v>2.6215000000000002</v>
      </c>
    </row>
    <row r="1157" spans="2:8">
      <c r="B1157" s="585">
        <v>46154</v>
      </c>
      <c r="C1157" s="110" t="s">
        <v>4814</v>
      </c>
      <c r="D1157" s="110">
        <v>2</v>
      </c>
      <c r="E1157" s="110">
        <v>1199</v>
      </c>
      <c r="F1157" s="1296">
        <f t="shared" si="118"/>
        <v>2398</v>
      </c>
      <c r="G1157" s="66">
        <f t="shared" si="119"/>
        <v>218</v>
      </c>
      <c r="H1157" s="1296">
        <v>2.6215000000000002</v>
      </c>
    </row>
    <row r="1158" spans="2:8">
      <c r="B1158" s="585">
        <v>46154</v>
      </c>
      <c r="C1158" s="110" t="s">
        <v>4814</v>
      </c>
      <c r="D1158" s="110">
        <v>2</v>
      </c>
      <c r="E1158" s="110">
        <v>1199</v>
      </c>
      <c r="F1158" s="1296">
        <f t="shared" si="118"/>
        <v>2398</v>
      </c>
      <c r="G1158" s="66">
        <f t="shared" si="119"/>
        <v>218</v>
      </c>
      <c r="H1158" s="1296">
        <v>2.6215000000000002</v>
      </c>
    </row>
    <row r="1159" spans="2:8">
      <c r="B1159" s="585">
        <v>46154</v>
      </c>
      <c r="C1159" s="110" t="s">
        <v>4814</v>
      </c>
      <c r="D1159" s="110">
        <v>2</v>
      </c>
      <c r="E1159" s="110">
        <v>1199</v>
      </c>
      <c r="F1159" s="1296">
        <f t="shared" si="118"/>
        <v>2398</v>
      </c>
      <c r="G1159" s="66">
        <f t="shared" si="119"/>
        <v>218</v>
      </c>
      <c r="H1159" s="1296">
        <v>2.6215000000000002</v>
      </c>
    </row>
    <row r="1160" spans="2:8">
      <c r="B1160" s="1207">
        <v>46154</v>
      </c>
      <c r="C1160" s="250" t="s">
        <v>4814</v>
      </c>
      <c r="D1160" s="250">
        <v>2</v>
      </c>
      <c r="E1160" s="250">
        <v>1199</v>
      </c>
      <c r="F1160" s="1296">
        <f t="shared" si="118"/>
        <v>2398</v>
      </c>
      <c r="G1160" s="66">
        <f t="shared" si="119"/>
        <v>218</v>
      </c>
      <c r="H1160" s="1296">
        <v>2.6215000000000002</v>
      </c>
    </row>
    <row r="1161" spans="2:8">
      <c r="B1161" s="585">
        <v>46155</v>
      </c>
      <c r="C1161" s="110" t="s">
        <v>4815</v>
      </c>
      <c r="D1161" s="110">
        <v>4</v>
      </c>
      <c r="E1161" s="110">
        <v>1199</v>
      </c>
      <c r="F1161" s="1296">
        <f t="shared" si="118"/>
        <v>4796</v>
      </c>
      <c r="G1161" s="66">
        <f t="shared" si="119"/>
        <v>436</v>
      </c>
      <c r="H1161" s="1296">
        <v>2.6215000000000002</v>
      </c>
    </row>
    <row r="1162" spans="2:8">
      <c r="B1162" s="585">
        <v>46155</v>
      </c>
      <c r="C1162" s="110" t="s">
        <v>4816</v>
      </c>
      <c r="D1162" s="110">
        <v>1</v>
      </c>
      <c r="E1162" s="110">
        <v>1199</v>
      </c>
      <c r="F1162" s="1296">
        <f t="shared" si="118"/>
        <v>1199</v>
      </c>
      <c r="G1162" s="66">
        <f t="shared" si="119"/>
        <v>109</v>
      </c>
      <c r="H1162" s="1296">
        <v>2.6215000000000002</v>
      </c>
    </row>
    <row r="1163" spans="2:8">
      <c r="B1163" s="585">
        <v>46155</v>
      </c>
      <c r="C1163" s="110" t="s">
        <v>4817</v>
      </c>
      <c r="D1163" s="110">
        <v>2</v>
      </c>
      <c r="E1163" s="110">
        <v>1199</v>
      </c>
      <c r="F1163" s="1296">
        <f t="shared" si="118"/>
        <v>2398</v>
      </c>
      <c r="G1163" s="66">
        <f t="shared" si="119"/>
        <v>218</v>
      </c>
      <c r="H1163" s="1296">
        <v>2.6215000000000002</v>
      </c>
    </row>
    <row r="1164" spans="2:8">
      <c r="B1164" s="585">
        <v>46156</v>
      </c>
      <c r="C1164" s="110" t="s">
        <v>4814</v>
      </c>
      <c r="D1164" s="110">
        <v>2</v>
      </c>
      <c r="E1164" s="110">
        <v>1199</v>
      </c>
      <c r="F1164" s="1296">
        <f t="shared" si="118"/>
        <v>2398</v>
      </c>
      <c r="G1164" s="66">
        <f t="shared" si="119"/>
        <v>218</v>
      </c>
      <c r="H1164" s="1296">
        <v>2.6215000000000002</v>
      </c>
    </row>
    <row r="1165" spans="2:8">
      <c r="B1165" s="585">
        <v>46156</v>
      </c>
      <c r="C1165" s="110" t="s">
        <v>4814</v>
      </c>
      <c r="D1165" s="110">
        <v>2</v>
      </c>
      <c r="E1165" s="110">
        <v>1199</v>
      </c>
      <c r="F1165" s="1296">
        <f t="shared" si="118"/>
        <v>2398</v>
      </c>
      <c r="G1165" s="66">
        <f t="shared" si="119"/>
        <v>218</v>
      </c>
      <c r="H1165" s="1296">
        <v>2.6215000000000002</v>
      </c>
    </row>
    <row r="1166" spans="2:8">
      <c r="B1166" s="585">
        <v>46156</v>
      </c>
      <c r="C1166" s="110" t="s">
        <v>4814</v>
      </c>
      <c r="D1166" s="110">
        <v>2</v>
      </c>
      <c r="E1166" s="110">
        <v>1199</v>
      </c>
      <c r="F1166" s="1296">
        <f t="shared" si="118"/>
        <v>2398</v>
      </c>
      <c r="G1166" s="66">
        <f t="shared" si="119"/>
        <v>218</v>
      </c>
      <c r="H1166" s="1296">
        <v>2.6215000000000002</v>
      </c>
    </row>
    <row r="1167" spans="2:8">
      <c r="B1167" s="585">
        <v>46156</v>
      </c>
      <c r="C1167" s="110" t="s">
        <v>4814</v>
      </c>
      <c r="D1167" s="110">
        <v>2</v>
      </c>
      <c r="E1167" s="110">
        <v>1199</v>
      </c>
      <c r="F1167" s="1296">
        <f t="shared" si="118"/>
        <v>2398</v>
      </c>
      <c r="G1167" s="66">
        <f t="shared" si="119"/>
        <v>218</v>
      </c>
      <c r="H1167" s="1296">
        <v>2.6215000000000002</v>
      </c>
    </row>
    <row r="1168" spans="2:8">
      <c r="B1168" s="585">
        <v>46156</v>
      </c>
      <c r="C1168" s="110" t="s">
        <v>4814</v>
      </c>
      <c r="D1168" s="110">
        <v>2</v>
      </c>
      <c r="E1168" s="110">
        <v>1199</v>
      </c>
      <c r="F1168" s="1296">
        <f t="shared" si="118"/>
        <v>2398</v>
      </c>
      <c r="G1168" s="66">
        <f t="shared" si="119"/>
        <v>218</v>
      </c>
      <c r="H1168" s="1296">
        <v>2.6215000000000002</v>
      </c>
    </row>
    <row r="1169" spans="2:8">
      <c r="B1169" s="585">
        <v>46156</v>
      </c>
      <c r="C1169" s="110" t="s">
        <v>4818</v>
      </c>
      <c r="D1169" s="110">
        <v>4</v>
      </c>
      <c r="E1169" s="110">
        <v>1199</v>
      </c>
      <c r="F1169" s="1296">
        <f t="shared" si="118"/>
        <v>4796</v>
      </c>
      <c r="G1169" s="66">
        <f t="shared" si="119"/>
        <v>436</v>
      </c>
      <c r="H1169" s="1296">
        <v>2.6215000000000002</v>
      </c>
    </row>
    <row r="1170" spans="2:8">
      <c r="B1170" s="585">
        <v>46156</v>
      </c>
      <c r="C1170" s="110" t="s">
        <v>4819</v>
      </c>
      <c r="D1170" s="110">
        <v>2</v>
      </c>
      <c r="E1170" s="110">
        <v>1200</v>
      </c>
      <c r="F1170" s="1296">
        <f t="shared" si="118"/>
        <v>2400</v>
      </c>
      <c r="G1170" s="66">
        <f t="shared" si="119"/>
        <v>218.18181818181819</v>
      </c>
      <c r="H1170" s="1296">
        <v>2.6215000000000002</v>
      </c>
    </row>
    <row r="1171" spans="2:8">
      <c r="B1171" s="737">
        <v>46156</v>
      </c>
      <c r="C1171" s="1066" t="s">
        <v>4821</v>
      </c>
      <c r="D1171" s="1066">
        <v>4</v>
      </c>
      <c r="E1171" s="1066">
        <v>2199</v>
      </c>
      <c r="F1171" s="1296">
        <f t="shared" si="118"/>
        <v>8796</v>
      </c>
      <c r="G1171" s="66">
        <f t="shared" si="119"/>
        <v>799.63636363636363</v>
      </c>
      <c r="H1171" s="1296">
        <v>2.6215000000000002</v>
      </c>
    </row>
    <row r="1172" spans="2:8">
      <c r="B1172" s="737">
        <v>46157</v>
      </c>
      <c r="C1172" s="1066" t="s">
        <v>5015</v>
      </c>
      <c r="D1172" s="1066">
        <v>2</v>
      </c>
      <c r="E1172" s="613">
        <v>1199</v>
      </c>
      <c r="F1172" s="1296">
        <f t="shared" si="118"/>
        <v>2398</v>
      </c>
      <c r="G1172" s="66">
        <f t="shared" si="119"/>
        <v>218</v>
      </c>
      <c r="H1172" s="735">
        <v>2.5863</v>
      </c>
    </row>
    <row r="1173" spans="2:8">
      <c r="B1173" s="737">
        <v>46159</v>
      </c>
      <c r="C1173" s="1066" t="s">
        <v>5016</v>
      </c>
      <c r="D1173" s="1066">
        <v>1</v>
      </c>
      <c r="E1173" s="613">
        <v>1199</v>
      </c>
      <c r="F1173" s="1296">
        <f t="shared" si="118"/>
        <v>1199</v>
      </c>
      <c r="G1173" s="66">
        <f t="shared" si="119"/>
        <v>109</v>
      </c>
      <c r="H1173" s="735">
        <v>2.5863</v>
      </c>
    </row>
    <row r="1174" spans="2:8">
      <c r="B1174" s="737">
        <v>46159</v>
      </c>
      <c r="C1174" s="1066" t="s">
        <v>5017</v>
      </c>
      <c r="D1174" s="1066">
        <v>2</v>
      </c>
      <c r="E1174" s="613">
        <v>1199</v>
      </c>
      <c r="F1174" s="1296">
        <f t="shared" si="118"/>
        <v>2398</v>
      </c>
      <c r="G1174" s="66">
        <f t="shared" si="119"/>
        <v>218</v>
      </c>
      <c r="H1174" s="735">
        <v>2.5863</v>
      </c>
    </row>
    <row r="1175" spans="2:8">
      <c r="B1175" s="737">
        <v>46159</v>
      </c>
      <c r="C1175" s="1066" t="s">
        <v>5018</v>
      </c>
      <c r="D1175" s="1066">
        <v>1</v>
      </c>
      <c r="E1175" s="613">
        <v>1199</v>
      </c>
      <c r="F1175" s="1315">
        <f t="shared" ref="F1175:F1222" si="120">E1175*D1175</f>
        <v>1199</v>
      </c>
      <c r="G1175" s="66">
        <f t="shared" ref="G1175:G1222" si="121">F1175/11</f>
        <v>109</v>
      </c>
      <c r="H1175" s="735">
        <v>2.5863</v>
      </c>
    </row>
    <row r="1176" spans="2:8">
      <c r="B1176" s="737">
        <v>46160</v>
      </c>
      <c r="C1176" s="1066" t="s">
        <v>5015</v>
      </c>
      <c r="D1176" s="1066">
        <v>7</v>
      </c>
      <c r="E1176" s="613">
        <v>1200</v>
      </c>
      <c r="F1176" s="1315">
        <f t="shared" si="120"/>
        <v>8400</v>
      </c>
      <c r="G1176" s="66">
        <f t="shared" si="121"/>
        <v>763.63636363636363</v>
      </c>
      <c r="H1176" s="735">
        <v>2.5863</v>
      </c>
    </row>
    <row r="1177" spans="2:8">
      <c r="B1177" s="585">
        <v>46160</v>
      </c>
      <c r="C1177" s="110" t="s">
        <v>5019</v>
      </c>
      <c r="D1177" s="110">
        <v>4</v>
      </c>
      <c r="E1177" s="184">
        <v>1199</v>
      </c>
      <c r="F1177" s="1315">
        <f t="shared" si="120"/>
        <v>4796</v>
      </c>
      <c r="G1177" s="66">
        <f t="shared" si="121"/>
        <v>436</v>
      </c>
      <c r="H1177" s="735">
        <v>2.5863</v>
      </c>
    </row>
    <row r="1178" spans="2:8">
      <c r="B1178" s="585">
        <v>46160</v>
      </c>
      <c r="C1178" s="110" t="s">
        <v>5020</v>
      </c>
      <c r="D1178" s="110">
        <v>2</v>
      </c>
      <c r="E1178" s="184">
        <v>1199</v>
      </c>
      <c r="F1178" s="1315">
        <f t="shared" si="120"/>
        <v>2398</v>
      </c>
      <c r="G1178" s="66">
        <f t="shared" si="121"/>
        <v>218</v>
      </c>
      <c r="H1178" s="735">
        <v>2.5863</v>
      </c>
    </row>
    <row r="1179" spans="2:8">
      <c r="B1179" s="1207">
        <v>46161</v>
      </c>
      <c r="C1179" s="250" t="s">
        <v>5021</v>
      </c>
      <c r="D1179" s="250">
        <v>2</v>
      </c>
      <c r="E1179" s="252">
        <v>1199</v>
      </c>
      <c r="F1179" s="1315">
        <f t="shared" si="120"/>
        <v>2398</v>
      </c>
      <c r="G1179" s="66">
        <f t="shared" si="121"/>
        <v>218</v>
      </c>
      <c r="H1179" s="735">
        <v>2.5863</v>
      </c>
    </row>
    <row r="1180" spans="2:8">
      <c r="B1180" s="585">
        <v>46161</v>
      </c>
      <c r="C1180" s="110" t="s">
        <v>5021</v>
      </c>
      <c r="D1180" s="110">
        <v>2</v>
      </c>
      <c r="E1180" s="184">
        <v>1199</v>
      </c>
      <c r="F1180" s="1315">
        <f t="shared" si="120"/>
        <v>2398</v>
      </c>
      <c r="G1180" s="66">
        <f t="shared" si="121"/>
        <v>218</v>
      </c>
      <c r="H1180" s="735">
        <v>2.5863</v>
      </c>
    </row>
    <row r="1181" spans="2:8">
      <c r="B1181" s="585">
        <v>46161</v>
      </c>
      <c r="C1181" s="110" t="s">
        <v>5021</v>
      </c>
      <c r="D1181" s="110">
        <v>2</v>
      </c>
      <c r="E1181" s="184">
        <v>1199</v>
      </c>
      <c r="F1181" s="1315">
        <f t="shared" si="120"/>
        <v>2398</v>
      </c>
      <c r="G1181" s="66">
        <f t="shared" si="121"/>
        <v>218</v>
      </c>
      <c r="H1181" s="735">
        <v>2.5863</v>
      </c>
    </row>
    <row r="1182" spans="2:8">
      <c r="B1182" s="737">
        <v>46161</v>
      </c>
      <c r="C1182" s="1066" t="s">
        <v>5020</v>
      </c>
      <c r="D1182" s="1066">
        <v>2</v>
      </c>
      <c r="E1182" s="613">
        <v>1199</v>
      </c>
      <c r="F1182" s="1315">
        <f t="shared" si="120"/>
        <v>2398</v>
      </c>
      <c r="G1182" s="66">
        <f t="shared" si="121"/>
        <v>218</v>
      </c>
      <c r="H1182" s="735">
        <v>2.5863</v>
      </c>
    </row>
    <row r="1183" spans="2:8">
      <c r="B1183" s="737">
        <v>46161</v>
      </c>
      <c r="C1183" s="1066" t="s">
        <v>5020</v>
      </c>
      <c r="D1183" s="1066">
        <v>2</v>
      </c>
      <c r="E1183" s="613">
        <v>1199</v>
      </c>
      <c r="F1183" s="1315">
        <f t="shared" si="120"/>
        <v>2398</v>
      </c>
      <c r="G1183" s="66">
        <f t="shared" si="121"/>
        <v>218</v>
      </c>
      <c r="H1183" s="735">
        <v>2.5863</v>
      </c>
    </row>
    <row r="1184" spans="2:8">
      <c r="B1184" s="737">
        <v>46161</v>
      </c>
      <c r="C1184" s="1066" t="s">
        <v>5020</v>
      </c>
      <c r="D1184" s="1066">
        <v>2</v>
      </c>
      <c r="E1184" s="613">
        <v>1199</v>
      </c>
      <c r="F1184" s="1315">
        <f t="shared" si="120"/>
        <v>2398</v>
      </c>
      <c r="G1184" s="66">
        <f t="shared" si="121"/>
        <v>218</v>
      </c>
      <c r="H1184" s="735">
        <v>2.5863</v>
      </c>
    </row>
    <row r="1185" spans="2:8">
      <c r="B1185" s="583">
        <v>46162</v>
      </c>
      <c r="C1185" s="1064" t="s">
        <v>4812</v>
      </c>
      <c r="D1185" s="1064">
        <v>5</v>
      </c>
      <c r="E1185" s="533">
        <v>1199</v>
      </c>
      <c r="F1185" s="1315">
        <f t="shared" si="120"/>
        <v>5995</v>
      </c>
      <c r="G1185" s="66">
        <f t="shared" si="121"/>
        <v>545</v>
      </c>
      <c r="H1185" s="735">
        <v>2.5971000000000002</v>
      </c>
    </row>
    <row r="1186" spans="2:8">
      <c r="B1186" s="737">
        <v>46162</v>
      </c>
      <c r="C1186" s="1066" t="s">
        <v>4681</v>
      </c>
      <c r="D1186" s="1066">
        <v>3</v>
      </c>
      <c r="E1186" s="613">
        <v>1897</v>
      </c>
      <c r="F1186" s="1315">
        <f t="shared" si="120"/>
        <v>5691</v>
      </c>
      <c r="G1186" s="66">
        <f t="shared" si="121"/>
        <v>517.36363636363637</v>
      </c>
      <c r="H1186" s="735">
        <v>2.5971000000000002</v>
      </c>
    </row>
    <row r="1187" spans="2:8">
      <c r="B1187" s="737">
        <v>46162</v>
      </c>
      <c r="C1187" s="1066" t="s">
        <v>5023</v>
      </c>
      <c r="D1187" s="1066">
        <v>3</v>
      </c>
      <c r="E1187" s="613">
        <v>105</v>
      </c>
      <c r="F1187" s="1315">
        <f t="shared" si="120"/>
        <v>315</v>
      </c>
      <c r="G1187" s="66">
        <f t="shared" si="121"/>
        <v>28.636363636363637</v>
      </c>
      <c r="H1187" s="735">
        <v>2.5971000000000002</v>
      </c>
    </row>
    <row r="1188" spans="2:8">
      <c r="B1188" s="737">
        <v>46162</v>
      </c>
      <c r="C1188" s="1066" t="s">
        <v>4681</v>
      </c>
      <c r="D1188" s="1066">
        <v>3</v>
      </c>
      <c r="E1188" s="613">
        <v>1897</v>
      </c>
      <c r="F1188" s="1315">
        <f t="shared" si="120"/>
        <v>5691</v>
      </c>
      <c r="G1188" s="66">
        <f t="shared" si="121"/>
        <v>517.36363636363637</v>
      </c>
      <c r="H1188" s="735">
        <v>2.5971000000000002</v>
      </c>
    </row>
    <row r="1189" spans="2:8">
      <c r="B1189" s="737">
        <v>46162</v>
      </c>
      <c r="C1189" s="1066" t="s">
        <v>4681</v>
      </c>
      <c r="D1189" s="1066">
        <v>2</v>
      </c>
      <c r="E1189" s="613">
        <v>1897</v>
      </c>
      <c r="F1189" s="1315">
        <f t="shared" si="120"/>
        <v>3794</v>
      </c>
      <c r="G1189" s="66">
        <f t="shared" si="121"/>
        <v>344.90909090909093</v>
      </c>
      <c r="H1189" s="735">
        <v>2.5971000000000002</v>
      </c>
    </row>
    <row r="1190" spans="2:8">
      <c r="B1190" s="585">
        <v>46162</v>
      </c>
      <c r="C1190" s="110" t="s">
        <v>5024</v>
      </c>
      <c r="D1190" s="110">
        <v>3</v>
      </c>
      <c r="E1190" s="184">
        <v>549</v>
      </c>
      <c r="F1190" s="1315">
        <f t="shared" si="120"/>
        <v>1647</v>
      </c>
      <c r="G1190" s="66">
        <f t="shared" si="121"/>
        <v>149.72727272727272</v>
      </c>
      <c r="H1190" s="735">
        <v>2.5971000000000002</v>
      </c>
    </row>
    <row r="1191" spans="2:8">
      <c r="B1191" s="585">
        <v>46162</v>
      </c>
      <c r="C1191" s="110" t="s">
        <v>5024</v>
      </c>
      <c r="D1191" s="110">
        <v>1</v>
      </c>
      <c r="E1191" s="184">
        <v>549</v>
      </c>
      <c r="F1191" s="1315">
        <f t="shared" si="120"/>
        <v>549</v>
      </c>
      <c r="G1191" s="66">
        <f t="shared" si="121"/>
        <v>49.909090909090907</v>
      </c>
      <c r="H1191" s="735">
        <v>2.5971000000000002</v>
      </c>
    </row>
    <row r="1192" spans="2:8">
      <c r="B1192" s="737">
        <v>46162</v>
      </c>
      <c r="C1192" s="1066" t="s">
        <v>4683</v>
      </c>
      <c r="D1192" s="1066">
        <v>2</v>
      </c>
      <c r="E1192" s="613">
        <v>1897</v>
      </c>
      <c r="F1192" s="1315">
        <f t="shared" si="120"/>
        <v>3794</v>
      </c>
      <c r="G1192" s="66">
        <f t="shared" si="121"/>
        <v>344.90909090909093</v>
      </c>
      <c r="H1192" s="735">
        <v>2.5971000000000002</v>
      </c>
    </row>
    <row r="1193" spans="2:8">
      <c r="B1193" s="737">
        <v>46162</v>
      </c>
      <c r="C1193" s="1066" t="s">
        <v>5025</v>
      </c>
      <c r="D1193" s="1066">
        <v>19</v>
      </c>
      <c r="E1193" s="613">
        <v>105</v>
      </c>
      <c r="F1193" s="1315">
        <f t="shared" si="120"/>
        <v>1995</v>
      </c>
      <c r="G1193" s="66">
        <f t="shared" si="121"/>
        <v>181.36363636363637</v>
      </c>
      <c r="H1193" s="735">
        <v>2.5971000000000002</v>
      </c>
    </row>
    <row r="1194" spans="2:8">
      <c r="B1194" s="737">
        <v>46162</v>
      </c>
      <c r="C1194" s="1066" t="s">
        <v>5026</v>
      </c>
      <c r="D1194" s="1066">
        <v>2</v>
      </c>
      <c r="E1194" s="613">
        <v>1298</v>
      </c>
      <c r="F1194" s="1315">
        <f t="shared" si="120"/>
        <v>2596</v>
      </c>
      <c r="G1194" s="66">
        <f t="shared" si="121"/>
        <v>236</v>
      </c>
      <c r="H1194" s="735">
        <v>2.5971000000000002</v>
      </c>
    </row>
    <row r="1195" spans="2:8">
      <c r="B1195" s="583">
        <v>46163</v>
      </c>
      <c r="C1195" s="1064" t="s">
        <v>5022</v>
      </c>
      <c r="D1195" s="1064">
        <v>1</v>
      </c>
      <c r="E1195" s="533">
        <v>0</v>
      </c>
      <c r="F1195" s="1315">
        <f t="shared" si="120"/>
        <v>0</v>
      </c>
      <c r="G1195" s="66">
        <f t="shared" si="121"/>
        <v>0</v>
      </c>
      <c r="H1195" s="735">
        <v>2.5971000000000002</v>
      </c>
    </row>
    <row r="1196" spans="2:8">
      <c r="B1196" s="585">
        <v>46163</v>
      </c>
      <c r="C1196" s="110" t="s">
        <v>5020</v>
      </c>
      <c r="D1196" s="110">
        <v>2</v>
      </c>
      <c r="E1196" s="184">
        <v>1199</v>
      </c>
      <c r="F1196" s="1315">
        <f t="shared" si="120"/>
        <v>2398</v>
      </c>
      <c r="G1196" s="66">
        <f t="shared" si="121"/>
        <v>218</v>
      </c>
      <c r="H1196" s="735">
        <v>2.5971000000000002</v>
      </c>
    </row>
    <row r="1197" spans="2:8">
      <c r="B1197" s="585">
        <v>46163</v>
      </c>
      <c r="C1197" s="110" t="s">
        <v>5020</v>
      </c>
      <c r="D1197" s="110">
        <v>2</v>
      </c>
      <c r="E1197" s="184">
        <v>1199</v>
      </c>
      <c r="F1197" s="1315">
        <f t="shared" si="120"/>
        <v>2398</v>
      </c>
      <c r="G1197" s="66">
        <f t="shared" si="121"/>
        <v>218</v>
      </c>
      <c r="H1197" s="735">
        <v>2.5971000000000002</v>
      </c>
    </row>
    <row r="1198" spans="2:8">
      <c r="B1198" s="585">
        <v>46163</v>
      </c>
      <c r="C1198" s="110" t="s">
        <v>5020</v>
      </c>
      <c r="D1198" s="110">
        <v>2</v>
      </c>
      <c r="E1198" s="184">
        <v>1199</v>
      </c>
      <c r="F1198" s="1315">
        <f t="shared" si="120"/>
        <v>2398</v>
      </c>
      <c r="G1198" s="66">
        <f t="shared" si="121"/>
        <v>218</v>
      </c>
      <c r="H1198" s="735">
        <v>2.5971000000000002</v>
      </c>
    </row>
    <row r="1199" spans="2:8">
      <c r="B1199" s="585">
        <v>46163</v>
      </c>
      <c r="C1199" s="250" t="s">
        <v>5021</v>
      </c>
      <c r="D1199" s="250">
        <v>2</v>
      </c>
      <c r="E1199" s="252">
        <v>1199</v>
      </c>
      <c r="F1199" s="1315">
        <f t="shared" si="120"/>
        <v>2398</v>
      </c>
      <c r="G1199" s="66">
        <f t="shared" si="121"/>
        <v>218</v>
      </c>
      <c r="H1199" s="735">
        <v>2.5971000000000002</v>
      </c>
    </row>
    <row r="1200" spans="2:8">
      <c r="B1200" s="585">
        <v>46163</v>
      </c>
      <c r="C1200" s="110" t="s">
        <v>5021</v>
      </c>
      <c r="D1200" s="110">
        <v>2</v>
      </c>
      <c r="E1200" s="184">
        <v>1199</v>
      </c>
      <c r="F1200" s="1315">
        <f t="shared" si="120"/>
        <v>2398</v>
      </c>
      <c r="G1200" s="66">
        <f t="shared" si="121"/>
        <v>218</v>
      </c>
      <c r="H1200" s="735">
        <v>2.5971000000000002</v>
      </c>
    </row>
    <row r="1201" spans="2:8">
      <c r="B1201" s="585">
        <v>46163</v>
      </c>
      <c r="C1201" s="110" t="s">
        <v>5021</v>
      </c>
      <c r="D1201" s="110">
        <v>2</v>
      </c>
      <c r="E1201" s="184">
        <v>1199</v>
      </c>
      <c r="F1201" s="1315">
        <f t="shared" si="120"/>
        <v>2398</v>
      </c>
      <c r="G1201" s="66">
        <f t="shared" si="121"/>
        <v>218</v>
      </c>
      <c r="H1201" s="735">
        <v>2.5971000000000002</v>
      </c>
    </row>
    <row r="1202" spans="2:8">
      <c r="B1202" s="737">
        <v>46165</v>
      </c>
      <c r="C1202" s="1066" t="s">
        <v>5015</v>
      </c>
      <c r="D1202" s="1066">
        <v>4</v>
      </c>
      <c r="E1202" s="613">
        <v>1199</v>
      </c>
      <c r="F1202" s="1315">
        <f t="shared" si="120"/>
        <v>4796</v>
      </c>
      <c r="G1202" s="66">
        <f t="shared" si="121"/>
        <v>436</v>
      </c>
      <c r="H1202" s="735">
        <v>2.5971000000000002</v>
      </c>
    </row>
    <row r="1203" spans="2:8">
      <c r="B1203" s="737">
        <v>46165</v>
      </c>
      <c r="C1203" s="1066" t="s">
        <v>5027</v>
      </c>
      <c r="D1203" s="1066">
        <v>4</v>
      </c>
      <c r="E1203" s="613">
        <v>1897</v>
      </c>
      <c r="F1203" s="1315">
        <f t="shared" si="120"/>
        <v>7588</v>
      </c>
      <c r="G1203" s="66">
        <f t="shared" si="121"/>
        <v>689.81818181818187</v>
      </c>
      <c r="H1203" s="735">
        <v>2.5971000000000002</v>
      </c>
    </row>
    <row r="1204" spans="2:8">
      <c r="B1204" s="1334">
        <v>46167</v>
      </c>
      <c r="C1204" s="1338" t="s">
        <v>5086</v>
      </c>
      <c r="D1204" s="1342">
        <v>1</v>
      </c>
      <c r="E1204" s="1342">
        <v>1249</v>
      </c>
      <c r="F1204" s="1315">
        <f t="shared" si="120"/>
        <v>1249</v>
      </c>
      <c r="G1204" s="66">
        <f t="shared" si="121"/>
        <v>113.54545454545455</v>
      </c>
      <c r="H1204" s="1348">
        <v>2.5859000000000001</v>
      </c>
    </row>
    <row r="1205" spans="2:8">
      <c r="B1205" s="1336">
        <v>46167</v>
      </c>
      <c r="C1205" s="1339" t="s">
        <v>5087</v>
      </c>
      <c r="D1205" s="1343">
        <v>3</v>
      </c>
      <c r="E1205" s="1343">
        <v>1199</v>
      </c>
      <c r="F1205" s="1315">
        <f t="shared" si="120"/>
        <v>3597</v>
      </c>
      <c r="G1205" s="66">
        <f t="shared" si="121"/>
        <v>327</v>
      </c>
      <c r="H1205" s="1348">
        <v>2.5859000000000001</v>
      </c>
    </row>
    <row r="1206" spans="2:8">
      <c r="B1206" s="1334">
        <v>46167</v>
      </c>
      <c r="C1206" s="1338" t="s">
        <v>5088</v>
      </c>
      <c r="D1206" s="1342">
        <v>4</v>
      </c>
      <c r="E1206" s="1342">
        <v>1199</v>
      </c>
      <c r="F1206" s="1315">
        <f t="shared" si="120"/>
        <v>4796</v>
      </c>
      <c r="G1206" s="66">
        <f t="shared" si="121"/>
        <v>436</v>
      </c>
      <c r="H1206" s="1348">
        <v>2.5859000000000001</v>
      </c>
    </row>
    <row r="1207" spans="2:8">
      <c r="B1207" s="1336">
        <v>46167</v>
      </c>
      <c r="C1207" s="1339" t="s">
        <v>5089</v>
      </c>
      <c r="D1207" s="1343">
        <v>2</v>
      </c>
      <c r="E1207" s="1343">
        <v>1199</v>
      </c>
      <c r="F1207" s="1315">
        <f t="shared" si="120"/>
        <v>2398</v>
      </c>
      <c r="G1207" s="66">
        <f t="shared" si="121"/>
        <v>218</v>
      </c>
      <c r="H1207" s="1348">
        <v>2.5859000000000001</v>
      </c>
    </row>
    <row r="1208" spans="2:8">
      <c r="B1208" s="1334">
        <v>46167</v>
      </c>
      <c r="C1208" s="1338" t="s">
        <v>5090</v>
      </c>
      <c r="D1208" s="1342">
        <v>5</v>
      </c>
      <c r="E1208" s="1342">
        <v>1199</v>
      </c>
      <c r="F1208" s="1315">
        <f t="shared" si="120"/>
        <v>5995</v>
      </c>
      <c r="G1208" s="66">
        <f t="shared" si="121"/>
        <v>545</v>
      </c>
      <c r="H1208" s="1348">
        <v>2.5859000000000001</v>
      </c>
    </row>
    <row r="1209" spans="2:8">
      <c r="B1209" s="1336">
        <v>46167</v>
      </c>
      <c r="C1209" s="1339" t="s">
        <v>5091</v>
      </c>
      <c r="D1209" s="1343">
        <v>3</v>
      </c>
      <c r="E1209" s="1343">
        <v>1199</v>
      </c>
      <c r="F1209" s="1315">
        <f t="shared" si="120"/>
        <v>3597</v>
      </c>
      <c r="G1209" s="66">
        <f t="shared" si="121"/>
        <v>327</v>
      </c>
      <c r="H1209" s="1348">
        <v>2.5859000000000001</v>
      </c>
    </row>
    <row r="1210" spans="2:8">
      <c r="B1210" s="1334">
        <v>46167</v>
      </c>
      <c r="C1210" s="1338" t="s">
        <v>5092</v>
      </c>
      <c r="D1210" s="1342">
        <v>2</v>
      </c>
      <c r="E1210" s="1342">
        <v>394</v>
      </c>
      <c r="F1210" s="1315">
        <f t="shared" si="120"/>
        <v>788</v>
      </c>
      <c r="G1210" s="66">
        <f t="shared" si="121"/>
        <v>71.63636363636364</v>
      </c>
      <c r="H1210" s="1348">
        <v>2.5859000000000001</v>
      </c>
    </row>
    <row r="1211" spans="2:8">
      <c r="B1211" s="1336">
        <v>46167</v>
      </c>
      <c r="C1211" s="1339" t="s">
        <v>5093</v>
      </c>
      <c r="D1211" s="1343">
        <v>1</v>
      </c>
      <c r="E1211" s="1343">
        <v>394</v>
      </c>
      <c r="F1211" s="1315">
        <f t="shared" si="120"/>
        <v>394</v>
      </c>
      <c r="G1211" s="66">
        <f t="shared" si="121"/>
        <v>35.81818181818182</v>
      </c>
      <c r="H1211" s="1348">
        <v>2.5859000000000001</v>
      </c>
    </row>
    <row r="1212" spans="2:8">
      <c r="B1212" s="1334">
        <v>46168</v>
      </c>
      <c r="C1212" s="1338" t="s">
        <v>5094</v>
      </c>
      <c r="D1212" s="1342">
        <v>4</v>
      </c>
      <c r="E1212" s="1342">
        <v>1199</v>
      </c>
      <c r="F1212" s="1315">
        <f t="shared" si="120"/>
        <v>4796</v>
      </c>
      <c r="G1212" s="66">
        <f t="shared" si="121"/>
        <v>436</v>
      </c>
      <c r="H1212" s="1348">
        <v>2.5859000000000001</v>
      </c>
    </row>
    <row r="1213" spans="2:8">
      <c r="B1213" s="1336">
        <v>46168</v>
      </c>
      <c r="C1213" s="1339" t="s">
        <v>5095</v>
      </c>
      <c r="D1213" s="1343">
        <v>6</v>
      </c>
      <c r="E1213" s="1343">
        <v>1199</v>
      </c>
      <c r="F1213" s="1315">
        <f t="shared" si="120"/>
        <v>7194</v>
      </c>
      <c r="G1213" s="66">
        <f t="shared" si="121"/>
        <v>654</v>
      </c>
      <c r="H1213" s="1348">
        <v>2.5859000000000001</v>
      </c>
    </row>
    <row r="1214" spans="2:8">
      <c r="B1214" s="1334">
        <v>46168</v>
      </c>
      <c r="C1214" s="1338" t="s">
        <v>5096</v>
      </c>
      <c r="D1214" s="1342">
        <v>5</v>
      </c>
      <c r="E1214" s="1342">
        <v>1199</v>
      </c>
      <c r="F1214" s="1315">
        <f t="shared" si="120"/>
        <v>5995</v>
      </c>
      <c r="G1214" s="66">
        <f t="shared" si="121"/>
        <v>545</v>
      </c>
      <c r="H1214" s="1348">
        <v>2.5859000000000001</v>
      </c>
    </row>
    <row r="1215" spans="2:8">
      <c r="B1215" s="1336">
        <v>46168</v>
      </c>
      <c r="C1215" s="1339" t="s">
        <v>5097</v>
      </c>
      <c r="D1215" s="1343">
        <v>7</v>
      </c>
      <c r="E1215" s="1343">
        <v>359</v>
      </c>
      <c r="F1215" s="1315">
        <f t="shared" si="120"/>
        <v>2513</v>
      </c>
      <c r="G1215" s="66">
        <f t="shared" si="121"/>
        <v>228.45454545454547</v>
      </c>
      <c r="H1215" s="1348">
        <v>2.5859000000000001</v>
      </c>
    </row>
    <row r="1216" spans="2:8">
      <c r="B1216" s="1334">
        <v>46168</v>
      </c>
      <c r="C1216" s="1338" t="s">
        <v>5098</v>
      </c>
      <c r="D1216" s="1342">
        <v>1</v>
      </c>
      <c r="E1216" s="1342">
        <v>95</v>
      </c>
      <c r="F1216" s="1315">
        <f t="shared" si="120"/>
        <v>95</v>
      </c>
      <c r="G1216" s="66">
        <f t="shared" si="121"/>
        <v>8.6363636363636367</v>
      </c>
      <c r="H1216" s="1348">
        <v>2.5859000000000001</v>
      </c>
    </row>
    <row r="1217" spans="2:20">
      <c r="B1217" s="1334">
        <v>46171</v>
      </c>
      <c r="C1217" s="1338" t="s">
        <v>5099</v>
      </c>
      <c r="D1217" s="1342">
        <v>4</v>
      </c>
      <c r="E1217" s="1342">
        <v>1199</v>
      </c>
      <c r="F1217" s="1315">
        <f t="shared" si="120"/>
        <v>4796</v>
      </c>
      <c r="G1217" s="66">
        <f t="shared" si="121"/>
        <v>436</v>
      </c>
      <c r="H1217" s="1348">
        <v>2.5859000000000001</v>
      </c>
    </row>
    <row r="1218" spans="2:20">
      <c r="B1218" s="1336">
        <v>46171</v>
      </c>
      <c r="C1218" s="1339" t="s">
        <v>5100</v>
      </c>
      <c r="D1218" s="1343">
        <v>2</v>
      </c>
      <c r="E1218" s="1343">
        <v>1199</v>
      </c>
      <c r="F1218" s="1315">
        <f t="shared" si="120"/>
        <v>2398</v>
      </c>
      <c r="G1218" s="66">
        <f t="shared" si="121"/>
        <v>218</v>
      </c>
      <c r="H1218" s="1348">
        <v>2.5859000000000001</v>
      </c>
    </row>
    <row r="1219" spans="2:20">
      <c r="B1219" s="1334">
        <v>46171</v>
      </c>
      <c r="C1219" s="1338" t="s">
        <v>5101</v>
      </c>
      <c r="D1219" s="1342">
        <v>4</v>
      </c>
      <c r="E1219" s="1342">
        <v>1199</v>
      </c>
      <c r="F1219" s="1315">
        <f t="shared" si="120"/>
        <v>4796</v>
      </c>
      <c r="G1219" s="66">
        <f t="shared" si="121"/>
        <v>436</v>
      </c>
      <c r="H1219" s="1348">
        <v>2.5859000000000001</v>
      </c>
    </row>
    <row r="1220" spans="2:20">
      <c r="B1220" s="1336">
        <v>46171</v>
      </c>
      <c r="C1220" s="1339" t="s">
        <v>5102</v>
      </c>
      <c r="D1220" s="1343">
        <v>5</v>
      </c>
      <c r="E1220" s="1343">
        <v>1199</v>
      </c>
      <c r="F1220" s="1315">
        <f t="shared" si="120"/>
        <v>5995</v>
      </c>
      <c r="G1220" s="66">
        <f t="shared" si="121"/>
        <v>545</v>
      </c>
      <c r="H1220" s="1348">
        <v>2.5859000000000001</v>
      </c>
    </row>
    <row r="1221" spans="2:20">
      <c r="B1221" s="1334">
        <v>46171</v>
      </c>
      <c r="C1221" s="1338" t="s">
        <v>5103</v>
      </c>
      <c r="D1221" s="1342">
        <v>2</v>
      </c>
      <c r="E1221" s="1342">
        <v>399</v>
      </c>
      <c r="F1221" s="1315">
        <f t="shared" si="120"/>
        <v>798</v>
      </c>
      <c r="G1221" s="66">
        <f t="shared" si="121"/>
        <v>72.545454545454547</v>
      </c>
      <c r="H1221" s="1348">
        <v>2.5859000000000001</v>
      </c>
    </row>
    <row r="1222" spans="2:20">
      <c r="B1222" s="1336">
        <v>46171</v>
      </c>
      <c r="C1222" s="1339" t="s">
        <v>5104</v>
      </c>
      <c r="D1222" s="1343">
        <v>3</v>
      </c>
      <c r="E1222" s="1343">
        <v>357</v>
      </c>
      <c r="F1222" s="1315">
        <f t="shared" si="120"/>
        <v>1071</v>
      </c>
      <c r="G1222" s="66">
        <f t="shared" si="121"/>
        <v>97.36363636363636</v>
      </c>
      <c r="H1222" s="1348">
        <v>2.5859000000000001</v>
      </c>
    </row>
    <row r="1223" spans="2:20">
      <c r="B1223" s="1336">
        <v>46174</v>
      </c>
      <c r="C1223" s="1337" t="s">
        <v>5107</v>
      </c>
      <c r="D1223" s="1341">
        <v>2</v>
      </c>
      <c r="E1223" s="1341">
        <v>1199</v>
      </c>
      <c r="F1223" s="1333">
        <f t="shared" ref="F1223:F1225" si="122">E1223*D1223</f>
        <v>2398</v>
      </c>
      <c r="G1223" s="66">
        <f t="shared" ref="G1223:G1225" si="123">F1223/11</f>
        <v>218</v>
      </c>
      <c r="H1223" s="735">
        <v>2.5979999999999999</v>
      </c>
    </row>
    <row r="1224" spans="2:20">
      <c r="B1224" s="1334">
        <v>46174</v>
      </c>
      <c r="C1224" s="1335" t="s">
        <v>5108</v>
      </c>
      <c r="D1224" s="1340">
        <v>4</v>
      </c>
      <c r="E1224" s="1340">
        <v>1199</v>
      </c>
      <c r="F1224" s="1333">
        <f t="shared" si="122"/>
        <v>4796</v>
      </c>
      <c r="G1224" s="66">
        <f t="shared" si="123"/>
        <v>436</v>
      </c>
      <c r="H1224" s="735">
        <v>2.5979999999999999</v>
      </c>
    </row>
    <row r="1225" spans="2:20">
      <c r="B1225" s="1336">
        <v>46174</v>
      </c>
      <c r="C1225" s="1337" t="s">
        <v>5109</v>
      </c>
      <c r="D1225" s="1341">
        <v>1</v>
      </c>
      <c r="E1225" s="1341">
        <v>1199</v>
      </c>
      <c r="F1225" s="1333">
        <f t="shared" si="122"/>
        <v>1199</v>
      </c>
      <c r="G1225" s="66">
        <f t="shared" si="123"/>
        <v>109</v>
      </c>
      <c r="H1225" s="735">
        <v>2.5979999999999999</v>
      </c>
    </row>
    <row r="1226" spans="2:20">
      <c r="B1226" s="1334">
        <v>46175</v>
      </c>
      <c r="C1226" s="1335" t="s">
        <v>5110</v>
      </c>
      <c r="D1226" s="1340">
        <v>3</v>
      </c>
      <c r="E1226" s="1340">
        <v>1199</v>
      </c>
      <c r="F1226" s="1333">
        <f t="shared" ref="F1226:F1311" si="124">E1226*D1226</f>
        <v>3597</v>
      </c>
      <c r="G1226" s="66">
        <f t="shared" ref="G1226:G1311" si="125">F1226/11</f>
        <v>327</v>
      </c>
      <c r="H1226" s="735">
        <v>2.5979999999999999</v>
      </c>
    </row>
    <row r="1227" spans="2:20">
      <c r="B1227" s="1336">
        <v>46175</v>
      </c>
      <c r="C1227" s="1337" t="s">
        <v>5111</v>
      </c>
      <c r="D1227" s="1341">
        <v>2</v>
      </c>
      <c r="E1227" s="1341">
        <v>1199</v>
      </c>
      <c r="F1227" s="1333">
        <f t="shared" si="124"/>
        <v>2398</v>
      </c>
      <c r="G1227" s="66">
        <f t="shared" si="125"/>
        <v>218</v>
      </c>
      <c r="H1227" s="735">
        <v>2.5979999999999999</v>
      </c>
    </row>
    <row r="1228" spans="2:20">
      <c r="B1228" s="1358">
        <v>46176</v>
      </c>
      <c r="C1228" s="1359" t="s">
        <v>5113</v>
      </c>
      <c r="D1228" s="1360">
        <v>2</v>
      </c>
      <c r="E1228" s="1360">
        <v>1199</v>
      </c>
      <c r="F1228" s="1333">
        <f t="shared" si="124"/>
        <v>2398</v>
      </c>
      <c r="G1228" s="66">
        <f t="shared" si="125"/>
        <v>218</v>
      </c>
      <c r="H1228" s="735">
        <v>2.5979999999999999</v>
      </c>
    </row>
    <row r="1229" spans="2:20">
      <c r="B1229" s="1358">
        <v>46176</v>
      </c>
      <c r="C1229" s="1359" t="s">
        <v>5114</v>
      </c>
      <c r="D1229" s="1360">
        <v>4</v>
      </c>
      <c r="E1229" s="1360">
        <v>1199</v>
      </c>
      <c r="F1229" s="1333">
        <f t="shared" si="124"/>
        <v>4796</v>
      </c>
      <c r="G1229" s="66">
        <f t="shared" si="125"/>
        <v>436</v>
      </c>
      <c r="H1229" s="735">
        <v>2.5979999999999999</v>
      </c>
    </row>
    <row r="1230" spans="2:20">
      <c r="B1230" s="1334">
        <v>46177</v>
      </c>
      <c r="C1230" s="1335" t="s">
        <v>5088</v>
      </c>
      <c r="D1230" s="1342">
        <v>6</v>
      </c>
      <c r="E1230" s="1342">
        <v>1199</v>
      </c>
      <c r="F1230" s="1333">
        <f t="shared" si="124"/>
        <v>7194</v>
      </c>
      <c r="G1230" s="66">
        <f t="shared" si="125"/>
        <v>654</v>
      </c>
      <c r="H1230" s="735">
        <v>2.5979999999999999</v>
      </c>
    </row>
    <row r="1231" spans="2:20">
      <c r="B1231" s="1336">
        <v>46177</v>
      </c>
      <c r="C1231" s="1337" t="s">
        <v>5091</v>
      </c>
      <c r="D1231" s="1343">
        <v>5</v>
      </c>
      <c r="E1231" s="1343">
        <v>1199</v>
      </c>
      <c r="F1231" s="1333">
        <f t="shared" si="124"/>
        <v>5995</v>
      </c>
      <c r="G1231" s="66">
        <f t="shared" si="125"/>
        <v>545</v>
      </c>
      <c r="H1231" s="735">
        <v>2.5979999999999999</v>
      </c>
    </row>
    <row r="1232" spans="2:20">
      <c r="B1232" s="1336">
        <v>46177</v>
      </c>
      <c r="C1232" s="1337" t="s">
        <v>5090</v>
      </c>
      <c r="D1232" s="1343">
        <v>4</v>
      </c>
      <c r="E1232" s="1343">
        <v>1199</v>
      </c>
      <c r="F1232" s="1333">
        <f t="shared" si="124"/>
        <v>4796</v>
      </c>
      <c r="G1232" s="66">
        <f t="shared" si="125"/>
        <v>436</v>
      </c>
      <c r="H1232" s="735">
        <v>2.5979999999999999</v>
      </c>
      <c r="I1232"/>
      <c r="J1232" s="126"/>
      <c r="M1232" s="62"/>
      <c r="N1232"/>
      <c r="O1232" s="1"/>
      <c r="T1232" s="61"/>
    </row>
    <row r="1233" spans="2:20">
      <c r="B1233" s="1358">
        <v>46177</v>
      </c>
      <c r="C1233" s="1359" t="s">
        <v>5113</v>
      </c>
      <c r="D1233" s="1360">
        <v>1</v>
      </c>
      <c r="E1233" s="1360">
        <v>1199</v>
      </c>
      <c r="F1233" s="1333">
        <f t="shared" si="124"/>
        <v>1199</v>
      </c>
      <c r="G1233" s="66">
        <f t="shared" si="125"/>
        <v>109</v>
      </c>
      <c r="H1233" s="735">
        <v>2.5979999999999999</v>
      </c>
      <c r="I1233"/>
      <c r="J1233" s="126"/>
      <c r="M1233" s="62"/>
      <c r="N1233"/>
      <c r="O1233" s="1"/>
      <c r="T1233" s="61"/>
    </row>
    <row r="1234" spans="2:20">
      <c r="B1234" s="737">
        <v>46166</v>
      </c>
      <c r="C1234" s="1066" t="s">
        <v>4684</v>
      </c>
      <c r="D1234" s="1066">
        <v>6</v>
      </c>
      <c r="E1234" s="613">
        <v>1897</v>
      </c>
      <c r="F1234" s="1333">
        <f t="shared" si="124"/>
        <v>11382</v>
      </c>
      <c r="G1234" s="66">
        <f t="shared" si="125"/>
        <v>1034.7272727272727</v>
      </c>
      <c r="H1234" s="735">
        <v>2.5979999999999999</v>
      </c>
      <c r="I1234"/>
      <c r="J1234" s="126"/>
      <c r="M1234" s="62"/>
      <c r="N1234"/>
      <c r="O1234" s="1"/>
      <c r="T1234" s="61"/>
    </row>
    <row r="1235" spans="2:20">
      <c r="B1235" s="737">
        <v>46166</v>
      </c>
      <c r="C1235" s="1066" t="s">
        <v>4684</v>
      </c>
      <c r="D1235" s="1066">
        <v>4</v>
      </c>
      <c r="E1235" s="613">
        <v>1897</v>
      </c>
      <c r="F1235" s="1333">
        <f t="shared" si="124"/>
        <v>7588</v>
      </c>
      <c r="G1235" s="66">
        <f t="shared" si="125"/>
        <v>689.81818181818187</v>
      </c>
      <c r="H1235" s="735">
        <v>2.5979999999999999</v>
      </c>
      <c r="I1235"/>
      <c r="J1235" s="126"/>
      <c r="M1235" s="62"/>
      <c r="N1235"/>
      <c r="O1235" s="1"/>
      <c r="T1235" s="61"/>
    </row>
    <row r="1236" spans="2:20">
      <c r="B1236" s="737">
        <v>46166</v>
      </c>
      <c r="C1236" s="1066" t="s">
        <v>4684</v>
      </c>
      <c r="D1236" s="1066">
        <v>4</v>
      </c>
      <c r="E1236" s="613">
        <v>1897</v>
      </c>
      <c r="F1236" s="1333">
        <f t="shared" si="124"/>
        <v>7588</v>
      </c>
      <c r="G1236" s="66">
        <f t="shared" si="125"/>
        <v>689.81818181818187</v>
      </c>
      <c r="H1236" s="735">
        <v>2.5979999999999999</v>
      </c>
      <c r="I1236"/>
      <c r="J1236" s="126"/>
      <c r="M1236" s="62"/>
      <c r="N1236"/>
      <c r="O1236" s="1"/>
      <c r="T1236" s="61"/>
    </row>
    <row r="1237" spans="2:20">
      <c r="B1237" s="585">
        <v>46167</v>
      </c>
      <c r="C1237" s="110" t="s">
        <v>5020</v>
      </c>
      <c r="D1237" s="110">
        <v>2</v>
      </c>
      <c r="E1237" s="613">
        <v>1199</v>
      </c>
      <c r="F1237" s="1366">
        <f t="shared" ref="F1237:F1282" si="126">E1237*D1237</f>
        <v>2398</v>
      </c>
      <c r="G1237" s="66">
        <f t="shared" ref="G1237:G1282" si="127">F1237/11</f>
        <v>218</v>
      </c>
      <c r="H1237" s="735">
        <v>2.5979999999999999</v>
      </c>
      <c r="I1237"/>
      <c r="J1237" s="126"/>
      <c r="M1237" s="62"/>
      <c r="N1237"/>
      <c r="O1237" s="1"/>
      <c r="T1237" s="61"/>
    </row>
    <row r="1238" spans="2:20">
      <c r="B1238" s="585">
        <v>46167</v>
      </c>
      <c r="C1238" s="110" t="s">
        <v>5020</v>
      </c>
      <c r="D1238" s="110">
        <v>2</v>
      </c>
      <c r="E1238" s="613">
        <v>1199</v>
      </c>
      <c r="F1238" s="1366">
        <f t="shared" si="126"/>
        <v>2398</v>
      </c>
      <c r="G1238" s="66">
        <f t="shared" si="127"/>
        <v>218</v>
      </c>
      <c r="H1238" s="735">
        <v>2.5979999999999999</v>
      </c>
      <c r="I1238"/>
      <c r="J1238" s="126"/>
      <c r="M1238" s="62"/>
      <c r="N1238"/>
      <c r="O1238" s="1"/>
      <c r="T1238" s="61"/>
    </row>
    <row r="1239" spans="2:20">
      <c r="B1239" s="585">
        <v>46167</v>
      </c>
      <c r="C1239" s="110" t="s">
        <v>5020</v>
      </c>
      <c r="D1239" s="110">
        <v>2</v>
      </c>
      <c r="E1239" s="613">
        <v>1199</v>
      </c>
      <c r="F1239" s="1366">
        <f t="shared" si="126"/>
        <v>2398</v>
      </c>
      <c r="G1239" s="66">
        <f t="shared" si="127"/>
        <v>218</v>
      </c>
      <c r="H1239" s="735">
        <v>2.5979999999999999</v>
      </c>
      <c r="I1239"/>
      <c r="J1239" s="126"/>
      <c r="M1239" s="62"/>
      <c r="N1239"/>
      <c r="O1239" s="1"/>
      <c r="T1239" s="61"/>
    </row>
    <row r="1240" spans="2:20">
      <c r="B1240" s="585">
        <v>46167</v>
      </c>
      <c r="C1240" s="110" t="s">
        <v>5021</v>
      </c>
      <c r="D1240" s="110">
        <v>2</v>
      </c>
      <c r="E1240" s="1371">
        <v>1199</v>
      </c>
      <c r="F1240" s="1366">
        <f t="shared" si="126"/>
        <v>2398</v>
      </c>
      <c r="G1240" s="66">
        <f t="shared" si="127"/>
        <v>218</v>
      </c>
      <c r="H1240" s="735">
        <v>2.5979999999999999</v>
      </c>
      <c r="I1240"/>
      <c r="J1240" s="126"/>
      <c r="M1240" s="62"/>
      <c r="N1240"/>
      <c r="O1240" s="1"/>
      <c r="T1240" s="61"/>
    </row>
    <row r="1241" spans="2:20">
      <c r="B1241" s="585">
        <v>46167</v>
      </c>
      <c r="C1241" s="110" t="s">
        <v>5021</v>
      </c>
      <c r="D1241" s="110">
        <v>2</v>
      </c>
      <c r="E1241" s="613">
        <v>1199</v>
      </c>
      <c r="F1241" s="1366">
        <f t="shared" si="126"/>
        <v>2398</v>
      </c>
      <c r="G1241" s="66">
        <f t="shared" si="127"/>
        <v>218</v>
      </c>
      <c r="H1241" s="735">
        <v>2.5979999999999999</v>
      </c>
      <c r="I1241"/>
      <c r="J1241" s="126"/>
      <c r="M1241" s="62"/>
      <c r="N1241"/>
      <c r="O1241" s="1"/>
      <c r="T1241" s="61"/>
    </row>
    <row r="1242" spans="2:20">
      <c r="B1242" s="585">
        <v>46167</v>
      </c>
      <c r="C1242" s="110" t="s">
        <v>5021</v>
      </c>
      <c r="D1242" s="110">
        <v>1</v>
      </c>
      <c r="E1242" s="613">
        <v>1199</v>
      </c>
      <c r="F1242" s="1366">
        <f t="shared" si="126"/>
        <v>1199</v>
      </c>
      <c r="G1242" s="66">
        <f t="shared" si="127"/>
        <v>109</v>
      </c>
      <c r="H1242" s="735">
        <v>2.5979999999999999</v>
      </c>
      <c r="I1242"/>
      <c r="J1242" s="126"/>
      <c r="M1242" s="62"/>
      <c r="N1242"/>
      <c r="O1242" s="1"/>
      <c r="T1242" s="61"/>
    </row>
    <row r="1243" spans="2:20">
      <c r="B1243" s="585">
        <v>46167</v>
      </c>
      <c r="C1243" s="110" t="s">
        <v>5021</v>
      </c>
      <c r="D1243" s="110">
        <v>2</v>
      </c>
      <c r="E1243" s="613">
        <v>1199</v>
      </c>
      <c r="F1243" s="1366">
        <f t="shared" si="126"/>
        <v>2398</v>
      </c>
      <c r="G1243" s="66">
        <f t="shared" si="127"/>
        <v>218</v>
      </c>
      <c r="H1243" s="735">
        <v>2.5979999999999999</v>
      </c>
      <c r="I1243"/>
      <c r="J1243" s="126"/>
      <c r="M1243" s="62"/>
      <c r="N1243"/>
      <c r="O1243" s="1"/>
      <c r="T1243" s="61"/>
    </row>
    <row r="1244" spans="2:20">
      <c r="B1244" s="737">
        <v>46170</v>
      </c>
      <c r="C1244" s="1066" t="s">
        <v>5145</v>
      </c>
      <c r="D1244" s="735">
        <v>15</v>
      </c>
      <c r="E1244" s="145">
        <v>1199</v>
      </c>
      <c r="F1244" s="1366">
        <f t="shared" si="126"/>
        <v>17985</v>
      </c>
      <c r="G1244" s="66">
        <f t="shared" si="127"/>
        <v>1635</v>
      </c>
      <c r="H1244" s="735">
        <v>2.5979999999999999</v>
      </c>
      <c r="I1244"/>
      <c r="J1244" s="126"/>
      <c r="M1244" s="62"/>
      <c r="N1244"/>
      <c r="O1244" s="1"/>
      <c r="T1244" s="61"/>
    </row>
    <row r="1245" spans="2:20">
      <c r="B1245" s="737">
        <v>46170</v>
      </c>
      <c r="C1245" s="1066" t="s">
        <v>4683</v>
      </c>
      <c r="D1245" s="735">
        <v>2</v>
      </c>
      <c r="E1245" s="145">
        <v>1897</v>
      </c>
      <c r="F1245" s="1366">
        <f t="shared" si="126"/>
        <v>3794</v>
      </c>
      <c r="G1245" s="66">
        <f t="shared" si="127"/>
        <v>344.90909090909093</v>
      </c>
      <c r="H1245" s="735">
        <v>2.5979999999999999</v>
      </c>
      <c r="I1245"/>
      <c r="J1245" s="126"/>
      <c r="M1245" s="62"/>
      <c r="N1245"/>
      <c r="O1245" s="1"/>
      <c r="T1245" s="61"/>
    </row>
    <row r="1246" spans="2:20">
      <c r="B1246" s="585">
        <v>46170</v>
      </c>
      <c r="C1246" s="110" t="s">
        <v>5020</v>
      </c>
      <c r="D1246" s="127">
        <v>2</v>
      </c>
      <c r="E1246" s="146">
        <v>1199</v>
      </c>
      <c r="F1246" s="1366">
        <f t="shared" si="126"/>
        <v>2398</v>
      </c>
      <c r="G1246" s="66">
        <f t="shared" si="127"/>
        <v>218</v>
      </c>
      <c r="H1246" s="735">
        <v>2.5979999999999999</v>
      </c>
      <c r="I1246"/>
      <c r="J1246" s="126"/>
      <c r="M1246" s="62"/>
      <c r="N1246"/>
      <c r="O1246" s="1"/>
      <c r="T1246" s="61"/>
    </row>
    <row r="1247" spans="2:20">
      <c r="B1247" s="585">
        <v>46170</v>
      </c>
      <c r="C1247" s="110" t="s">
        <v>5020</v>
      </c>
      <c r="D1247" s="127">
        <v>2</v>
      </c>
      <c r="E1247" s="146">
        <v>1199</v>
      </c>
      <c r="F1247" s="1366">
        <f t="shared" si="126"/>
        <v>2398</v>
      </c>
      <c r="G1247" s="66">
        <f t="shared" si="127"/>
        <v>218</v>
      </c>
      <c r="H1247" s="735">
        <v>2.5979999999999999</v>
      </c>
      <c r="I1247"/>
      <c r="J1247" s="126"/>
      <c r="M1247" s="62"/>
      <c r="N1247"/>
      <c r="O1247" s="1"/>
      <c r="T1247" s="61"/>
    </row>
    <row r="1248" spans="2:20">
      <c r="B1248" s="585">
        <v>46170</v>
      </c>
      <c r="C1248" s="110" t="s">
        <v>5020</v>
      </c>
      <c r="D1248" s="127">
        <v>2</v>
      </c>
      <c r="E1248" s="146">
        <v>1199</v>
      </c>
      <c r="F1248" s="1366">
        <f t="shared" si="126"/>
        <v>2398</v>
      </c>
      <c r="G1248" s="66">
        <f t="shared" si="127"/>
        <v>218</v>
      </c>
      <c r="H1248" s="735">
        <v>2.5979999999999999</v>
      </c>
      <c r="I1248"/>
      <c r="J1248" s="126"/>
      <c r="M1248" s="62"/>
      <c r="N1248"/>
      <c r="O1248" s="1"/>
      <c r="T1248" s="61"/>
    </row>
    <row r="1249" spans="2:20">
      <c r="B1249" s="585">
        <v>46170</v>
      </c>
      <c r="C1249" s="110" t="s">
        <v>5021</v>
      </c>
      <c r="D1249" s="127">
        <v>2</v>
      </c>
      <c r="E1249" s="146">
        <v>1199</v>
      </c>
      <c r="F1249" s="1366">
        <f t="shared" si="126"/>
        <v>2398</v>
      </c>
      <c r="G1249" s="66">
        <f t="shared" si="127"/>
        <v>218</v>
      </c>
      <c r="H1249" s="735">
        <v>2.5979999999999999</v>
      </c>
      <c r="I1249"/>
      <c r="J1249" s="126"/>
      <c r="M1249" s="62"/>
      <c r="N1249"/>
      <c r="O1249" s="1"/>
      <c r="T1249" s="61"/>
    </row>
    <row r="1250" spans="2:20">
      <c r="B1250" s="585">
        <v>46170</v>
      </c>
      <c r="C1250" s="110" t="s">
        <v>5021</v>
      </c>
      <c r="D1250" s="127">
        <v>2</v>
      </c>
      <c r="E1250" s="146">
        <v>1199</v>
      </c>
      <c r="F1250" s="1366">
        <f t="shared" si="126"/>
        <v>2398</v>
      </c>
      <c r="G1250" s="66">
        <f t="shared" si="127"/>
        <v>218</v>
      </c>
      <c r="H1250" s="735">
        <v>2.5979999999999999</v>
      </c>
      <c r="I1250"/>
      <c r="J1250" s="126"/>
      <c r="M1250" s="62"/>
      <c r="N1250"/>
      <c r="O1250" s="1"/>
      <c r="T1250" s="61"/>
    </row>
    <row r="1251" spans="2:20">
      <c r="B1251" s="585">
        <v>46170</v>
      </c>
      <c r="C1251" s="110" t="s">
        <v>5021</v>
      </c>
      <c r="D1251" s="127">
        <v>2</v>
      </c>
      <c r="E1251" s="146">
        <v>1199</v>
      </c>
      <c r="F1251" s="1366">
        <f t="shared" si="126"/>
        <v>2398</v>
      </c>
      <c r="G1251" s="66">
        <f t="shared" si="127"/>
        <v>218</v>
      </c>
      <c r="H1251" s="735">
        <v>2.5979999999999999</v>
      </c>
      <c r="I1251"/>
      <c r="J1251" s="126"/>
      <c r="M1251" s="62"/>
      <c r="N1251"/>
      <c r="O1251" s="1"/>
      <c r="T1251" s="61"/>
    </row>
    <row r="1252" spans="2:20">
      <c r="B1252" s="1207">
        <v>46170</v>
      </c>
      <c r="C1252" s="250" t="s">
        <v>5021</v>
      </c>
      <c r="D1252" s="251">
        <v>2</v>
      </c>
      <c r="E1252" s="1372">
        <v>1199</v>
      </c>
      <c r="F1252" s="1366">
        <f t="shared" si="126"/>
        <v>2398</v>
      </c>
      <c r="G1252" s="66">
        <f t="shared" si="127"/>
        <v>218</v>
      </c>
      <c r="H1252" s="735">
        <v>2.5979999999999999</v>
      </c>
      <c r="I1252"/>
      <c r="J1252" s="126"/>
      <c r="M1252" s="62"/>
      <c r="N1252"/>
      <c r="O1252" s="1"/>
      <c r="T1252" s="61"/>
    </row>
    <row r="1253" spans="2:20">
      <c r="B1253" s="585">
        <v>46170</v>
      </c>
      <c r="C1253" s="110" t="s">
        <v>5021</v>
      </c>
      <c r="D1253" s="127">
        <v>2</v>
      </c>
      <c r="E1253" s="146">
        <v>1199</v>
      </c>
      <c r="F1253" s="1366">
        <f t="shared" si="126"/>
        <v>2398</v>
      </c>
      <c r="G1253" s="66">
        <f t="shared" si="127"/>
        <v>218</v>
      </c>
      <c r="H1253" s="735">
        <v>2.5979999999999999</v>
      </c>
      <c r="I1253"/>
      <c r="J1253" s="126"/>
      <c r="M1253" s="62"/>
      <c r="N1253"/>
      <c r="O1253" s="1"/>
      <c r="T1253" s="61"/>
    </row>
    <row r="1254" spans="2:20">
      <c r="B1254" s="737">
        <v>46170</v>
      </c>
      <c r="C1254" s="1066" t="s">
        <v>4683</v>
      </c>
      <c r="D1254" s="735">
        <v>5</v>
      </c>
      <c r="E1254" s="145">
        <v>1930</v>
      </c>
      <c r="F1254" s="1366">
        <f t="shared" si="126"/>
        <v>9650</v>
      </c>
      <c r="G1254" s="66">
        <f t="shared" si="127"/>
        <v>877.27272727272725</v>
      </c>
      <c r="H1254" s="735">
        <v>2.5979999999999999</v>
      </c>
      <c r="I1254"/>
      <c r="J1254" s="126"/>
      <c r="M1254" s="62"/>
      <c r="N1254"/>
      <c r="O1254" s="1"/>
      <c r="T1254" s="61"/>
    </row>
    <row r="1255" spans="2:20">
      <c r="B1255" s="737">
        <v>46170</v>
      </c>
      <c r="C1255" s="1066" t="s">
        <v>5025</v>
      </c>
      <c r="D1255" s="735">
        <v>8</v>
      </c>
      <c r="E1255" s="145">
        <v>105</v>
      </c>
      <c r="F1255" s="1366">
        <f t="shared" si="126"/>
        <v>840</v>
      </c>
      <c r="G1255" s="66">
        <f t="shared" si="127"/>
        <v>76.36363636363636</v>
      </c>
      <c r="H1255" s="735">
        <v>2.5979999999999999</v>
      </c>
      <c r="I1255"/>
      <c r="J1255" s="126"/>
      <c r="M1255" s="62"/>
      <c r="N1255"/>
      <c r="O1255" s="1"/>
      <c r="T1255" s="61"/>
    </row>
    <row r="1256" spans="2:20">
      <c r="B1256" s="737">
        <v>46171</v>
      </c>
      <c r="C1256" s="1066" t="s">
        <v>4812</v>
      </c>
      <c r="D1256" s="735">
        <v>4</v>
      </c>
      <c r="E1256" s="145">
        <v>1210</v>
      </c>
      <c r="F1256" s="1366">
        <f t="shared" si="126"/>
        <v>4840</v>
      </c>
      <c r="G1256" s="66">
        <f t="shared" si="127"/>
        <v>440</v>
      </c>
      <c r="H1256" s="735">
        <v>2.5979999999999999</v>
      </c>
      <c r="I1256"/>
      <c r="J1256" s="126"/>
      <c r="M1256" s="62"/>
      <c r="N1256"/>
      <c r="O1256" s="1"/>
      <c r="T1256" s="61"/>
    </row>
    <row r="1257" spans="2:20">
      <c r="B1257" s="585">
        <v>46174</v>
      </c>
      <c r="C1257" s="110" t="s">
        <v>5021</v>
      </c>
      <c r="D1257" s="110">
        <v>2</v>
      </c>
      <c r="E1257" s="184">
        <v>1199</v>
      </c>
      <c r="F1257" s="1366">
        <f t="shared" si="126"/>
        <v>2398</v>
      </c>
      <c r="G1257" s="66">
        <f t="shared" si="127"/>
        <v>218</v>
      </c>
      <c r="H1257" s="735">
        <v>2.5979999999999999</v>
      </c>
      <c r="I1257"/>
      <c r="J1257" s="126"/>
      <c r="M1257" s="62"/>
      <c r="N1257"/>
      <c r="O1257" s="1"/>
      <c r="T1257" s="61"/>
    </row>
    <row r="1258" spans="2:20">
      <c r="B1258" s="585">
        <v>46174</v>
      </c>
      <c r="C1258" s="110" t="s">
        <v>5021</v>
      </c>
      <c r="D1258" s="110">
        <v>2</v>
      </c>
      <c r="E1258" s="184">
        <v>1199</v>
      </c>
      <c r="F1258" s="1366">
        <f t="shared" si="126"/>
        <v>2398</v>
      </c>
      <c r="G1258" s="66">
        <f t="shared" si="127"/>
        <v>218</v>
      </c>
      <c r="H1258" s="735">
        <v>2.5979999999999999</v>
      </c>
      <c r="I1258"/>
      <c r="J1258" s="126"/>
      <c r="M1258" s="62"/>
      <c r="N1258"/>
      <c r="O1258" s="1"/>
      <c r="T1258" s="61"/>
    </row>
    <row r="1259" spans="2:20">
      <c r="B1259" s="585">
        <v>46174</v>
      </c>
      <c r="C1259" s="110" t="s">
        <v>5021</v>
      </c>
      <c r="D1259" s="110">
        <v>2</v>
      </c>
      <c r="E1259" s="184">
        <v>1199</v>
      </c>
      <c r="F1259" s="1366">
        <f t="shared" ref="F1259:F1281" si="128">E1259*D1259</f>
        <v>2398</v>
      </c>
      <c r="G1259" s="66">
        <f t="shared" ref="G1259:G1281" si="129">F1259/11</f>
        <v>218</v>
      </c>
      <c r="H1259" s="735">
        <v>2.5979999999999999</v>
      </c>
      <c r="I1259"/>
      <c r="J1259" s="126"/>
      <c r="M1259" s="62"/>
      <c r="N1259"/>
      <c r="O1259" s="1"/>
      <c r="T1259" s="61"/>
    </row>
    <row r="1260" spans="2:20">
      <c r="B1260" s="585">
        <v>46174</v>
      </c>
      <c r="C1260" s="110" t="s">
        <v>5020</v>
      </c>
      <c r="D1260" s="110">
        <v>2</v>
      </c>
      <c r="E1260" s="184">
        <v>1199</v>
      </c>
      <c r="F1260" s="1366">
        <f t="shared" si="128"/>
        <v>2398</v>
      </c>
      <c r="G1260" s="66">
        <f t="shared" si="129"/>
        <v>218</v>
      </c>
      <c r="H1260" s="735">
        <v>2.5979999999999999</v>
      </c>
      <c r="I1260"/>
      <c r="J1260" s="126"/>
      <c r="M1260" s="62"/>
      <c r="N1260"/>
      <c r="O1260" s="1"/>
      <c r="T1260" s="61"/>
    </row>
    <row r="1261" spans="2:20">
      <c r="B1261" s="585">
        <v>46174</v>
      </c>
      <c r="C1261" s="250" t="s">
        <v>5020</v>
      </c>
      <c r="D1261" s="110">
        <v>2</v>
      </c>
      <c r="E1261" s="184">
        <v>1199</v>
      </c>
      <c r="F1261" s="1366">
        <f t="shared" si="128"/>
        <v>2398</v>
      </c>
      <c r="G1261" s="66">
        <f t="shared" si="129"/>
        <v>218</v>
      </c>
      <c r="H1261" s="735">
        <v>2.5979999999999999</v>
      </c>
    </row>
    <row r="1262" spans="2:20">
      <c r="B1262" s="585">
        <v>46174</v>
      </c>
      <c r="C1262" s="110" t="s">
        <v>5020</v>
      </c>
      <c r="D1262" s="110">
        <v>2</v>
      </c>
      <c r="E1262" s="184">
        <v>1199</v>
      </c>
      <c r="F1262" s="1366">
        <f t="shared" si="128"/>
        <v>2398</v>
      </c>
      <c r="G1262" s="66">
        <f t="shared" si="129"/>
        <v>218</v>
      </c>
      <c r="H1262" s="735">
        <v>2.5979999999999999</v>
      </c>
    </row>
    <row r="1263" spans="2:20">
      <c r="B1263" s="737">
        <v>46174</v>
      </c>
      <c r="C1263" s="1066" t="s">
        <v>4681</v>
      </c>
      <c r="D1263" s="1066">
        <v>3</v>
      </c>
      <c r="E1263" s="613">
        <v>1897</v>
      </c>
      <c r="F1263" s="1366">
        <f t="shared" si="128"/>
        <v>5691</v>
      </c>
      <c r="G1263" s="66">
        <f t="shared" si="129"/>
        <v>517.36363636363637</v>
      </c>
      <c r="H1263" s="735">
        <v>2.5979999999999999</v>
      </c>
    </row>
    <row r="1264" spans="2:20">
      <c r="B1264" s="737">
        <v>46174</v>
      </c>
      <c r="C1264" s="1066" t="s">
        <v>4681</v>
      </c>
      <c r="D1264" s="1066">
        <v>2</v>
      </c>
      <c r="E1264" s="613">
        <v>1897</v>
      </c>
      <c r="F1264" s="1366">
        <f t="shared" si="128"/>
        <v>3794</v>
      </c>
      <c r="G1264" s="66">
        <f t="shared" si="129"/>
        <v>344.90909090909093</v>
      </c>
      <c r="H1264" s="735">
        <v>2.5979999999999999</v>
      </c>
    </row>
    <row r="1265" spans="2:8">
      <c r="B1265" s="737">
        <v>46176</v>
      </c>
      <c r="C1265" s="1066" t="s">
        <v>4812</v>
      </c>
      <c r="D1265" s="1066">
        <v>18</v>
      </c>
      <c r="E1265" s="613">
        <v>1199</v>
      </c>
      <c r="F1265" s="1366">
        <f t="shared" si="128"/>
        <v>21582</v>
      </c>
      <c r="G1265" s="66">
        <f t="shared" si="129"/>
        <v>1962</v>
      </c>
      <c r="H1265" s="735">
        <v>2.5979999999999999</v>
      </c>
    </row>
    <row r="1266" spans="2:8">
      <c r="B1266" s="737">
        <v>46176</v>
      </c>
      <c r="C1266" s="1066" t="s">
        <v>4681</v>
      </c>
      <c r="D1266" s="1066">
        <v>4</v>
      </c>
      <c r="E1266" s="613">
        <v>1897</v>
      </c>
      <c r="F1266" s="1366">
        <f t="shared" si="128"/>
        <v>7588</v>
      </c>
      <c r="G1266" s="66">
        <f t="shared" si="129"/>
        <v>689.81818181818187</v>
      </c>
      <c r="H1266" s="735">
        <v>2.5979999999999999</v>
      </c>
    </row>
    <row r="1267" spans="2:8">
      <c r="B1267" s="737">
        <v>46176</v>
      </c>
      <c r="C1267" s="1066" t="s">
        <v>4681</v>
      </c>
      <c r="D1267" s="1066">
        <v>4</v>
      </c>
      <c r="E1267" s="613">
        <v>1897</v>
      </c>
      <c r="F1267" s="1366">
        <f t="shared" si="128"/>
        <v>7588</v>
      </c>
      <c r="G1267" s="66">
        <f t="shared" si="129"/>
        <v>689.81818181818187</v>
      </c>
      <c r="H1267" s="735">
        <v>2.5979999999999999</v>
      </c>
    </row>
    <row r="1268" spans="2:8">
      <c r="B1268" s="737">
        <v>46176</v>
      </c>
      <c r="C1268" s="1066" t="s">
        <v>4681</v>
      </c>
      <c r="D1268" s="1066">
        <v>2</v>
      </c>
      <c r="E1268" s="613">
        <v>1897</v>
      </c>
      <c r="F1268" s="1366">
        <f t="shared" si="128"/>
        <v>3794</v>
      </c>
      <c r="G1268" s="66">
        <f t="shared" si="129"/>
        <v>344.90909090909093</v>
      </c>
      <c r="H1268" s="735">
        <v>2.5979999999999999</v>
      </c>
    </row>
    <row r="1269" spans="2:8">
      <c r="B1269" s="737">
        <v>46176</v>
      </c>
      <c r="C1269" s="1066" t="s">
        <v>4681</v>
      </c>
      <c r="D1269" s="1066">
        <v>1</v>
      </c>
      <c r="E1269" s="613">
        <v>1987</v>
      </c>
      <c r="F1269" s="1366">
        <f t="shared" si="128"/>
        <v>1987</v>
      </c>
      <c r="G1269" s="66">
        <f t="shared" si="129"/>
        <v>180.63636363636363</v>
      </c>
      <c r="H1269" s="735">
        <v>2.5979999999999999</v>
      </c>
    </row>
    <row r="1270" spans="2:8">
      <c r="B1270" s="737">
        <v>46178</v>
      </c>
      <c r="C1270" s="1066" t="s">
        <v>5147</v>
      </c>
      <c r="D1270" s="1066">
        <v>20</v>
      </c>
      <c r="E1270" s="613">
        <v>398</v>
      </c>
      <c r="F1270" s="1366">
        <f t="shared" si="128"/>
        <v>7960</v>
      </c>
      <c r="G1270" s="66">
        <f t="shared" si="129"/>
        <v>723.63636363636363</v>
      </c>
      <c r="H1270" s="735">
        <v>2.5979999999999999</v>
      </c>
    </row>
    <row r="1271" spans="2:8">
      <c r="B1271" s="737">
        <v>46178</v>
      </c>
      <c r="C1271" s="1066" t="s">
        <v>5148</v>
      </c>
      <c r="D1271" s="1066">
        <v>6</v>
      </c>
      <c r="E1271" s="613">
        <v>1199</v>
      </c>
      <c r="F1271" s="1366">
        <f t="shared" si="128"/>
        <v>7194</v>
      </c>
      <c r="G1271" s="66">
        <f t="shared" si="129"/>
        <v>654</v>
      </c>
      <c r="H1271" s="735">
        <v>2.5979999999999999</v>
      </c>
    </row>
    <row r="1272" spans="2:8">
      <c r="B1272" s="1334">
        <v>46182</v>
      </c>
      <c r="C1272" s="1335" t="s">
        <v>5231</v>
      </c>
      <c r="D1272" s="1340">
        <v>2</v>
      </c>
      <c r="E1272" s="1340">
        <v>1199</v>
      </c>
      <c r="F1272" s="1366">
        <f t="shared" si="128"/>
        <v>2398</v>
      </c>
      <c r="G1272" s="66">
        <f t="shared" si="129"/>
        <v>218</v>
      </c>
      <c r="H1272" s="626">
        <v>2.56</v>
      </c>
    </row>
    <row r="1273" spans="2:8">
      <c r="B1273" s="1336">
        <v>46182</v>
      </c>
      <c r="C1273" s="1337" t="s">
        <v>5232</v>
      </c>
      <c r="D1273" s="1341">
        <v>5</v>
      </c>
      <c r="E1273" s="1341">
        <v>1199</v>
      </c>
      <c r="F1273" s="1366">
        <f t="shared" si="128"/>
        <v>5995</v>
      </c>
      <c r="G1273" s="66">
        <f t="shared" si="129"/>
        <v>545</v>
      </c>
      <c r="H1273" s="626">
        <v>2.56</v>
      </c>
    </row>
    <row r="1274" spans="2:8">
      <c r="B1274" s="1334">
        <v>46182</v>
      </c>
      <c r="C1274" s="1335" t="s">
        <v>5233</v>
      </c>
      <c r="D1274" s="1340">
        <v>2</v>
      </c>
      <c r="E1274" s="1340">
        <v>1897</v>
      </c>
      <c r="F1274" s="1366">
        <f t="shared" si="128"/>
        <v>3794</v>
      </c>
      <c r="G1274" s="66">
        <f t="shared" si="129"/>
        <v>344.90909090909093</v>
      </c>
      <c r="H1274" s="626">
        <v>2.56</v>
      </c>
    </row>
    <row r="1275" spans="2:8">
      <c r="B1275" s="1336">
        <v>46182</v>
      </c>
      <c r="C1275" s="1337" t="s">
        <v>5234</v>
      </c>
      <c r="D1275" s="1341">
        <v>8</v>
      </c>
      <c r="E1275" s="1341">
        <v>119</v>
      </c>
      <c r="F1275" s="1366">
        <f t="shared" si="128"/>
        <v>952</v>
      </c>
      <c r="G1275" s="66">
        <f t="shared" si="129"/>
        <v>86.545454545454547</v>
      </c>
      <c r="H1275" s="626">
        <v>2.56</v>
      </c>
    </row>
    <row r="1276" spans="2:8">
      <c r="B1276" s="1334">
        <v>46182</v>
      </c>
      <c r="C1276" s="1335" t="s">
        <v>5235</v>
      </c>
      <c r="D1276" s="1340">
        <v>19</v>
      </c>
      <c r="E1276" s="1340">
        <v>119</v>
      </c>
      <c r="F1276" s="1366">
        <f t="shared" si="128"/>
        <v>2261</v>
      </c>
      <c r="G1276" s="66">
        <f t="shared" si="129"/>
        <v>205.54545454545453</v>
      </c>
      <c r="H1276" s="626">
        <v>2.56</v>
      </c>
    </row>
    <row r="1277" spans="2:8">
      <c r="B1277" s="1336">
        <v>46182</v>
      </c>
      <c r="C1277" s="1337" t="s">
        <v>5236</v>
      </c>
      <c r="D1277" s="1341">
        <v>3</v>
      </c>
      <c r="E1277" s="1341">
        <v>112</v>
      </c>
      <c r="F1277" s="1366">
        <f t="shared" si="128"/>
        <v>336</v>
      </c>
      <c r="G1277" s="66">
        <f t="shared" si="129"/>
        <v>30.545454545454547</v>
      </c>
      <c r="H1277" s="626">
        <v>2.56</v>
      </c>
    </row>
    <row r="1278" spans="2:8">
      <c r="B1278" s="1334">
        <v>46182</v>
      </c>
      <c r="C1278" s="1335" t="s">
        <v>5236</v>
      </c>
      <c r="D1278" s="1340">
        <v>6</v>
      </c>
      <c r="E1278" s="1340">
        <v>119</v>
      </c>
      <c r="F1278" s="1366">
        <f t="shared" si="128"/>
        <v>714</v>
      </c>
      <c r="G1278" s="66">
        <f t="shared" si="129"/>
        <v>64.909090909090907</v>
      </c>
      <c r="H1278" s="626">
        <v>2.56</v>
      </c>
    </row>
    <row r="1279" spans="2:8">
      <c r="B1279" s="1334">
        <v>46183</v>
      </c>
      <c r="C1279" s="1335" t="s">
        <v>5238</v>
      </c>
      <c r="D1279" s="1340">
        <v>5</v>
      </c>
      <c r="E1279" s="1340">
        <v>113.05</v>
      </c>
      <c r="F1279" s="1366">
        <f t="shared" si="128"/>
        <v>565.25</v>
      </c>
      <c r="G1279" s="66">
        <f t="shared" si="129"/>
        <v>51.386363636363633</v>
      </c>
      <c r="H1279" s="626">
        <v>2.56</v>
      </c>
    </row>
    <row r="1280" spans="2:8">
      <c r="B1280" s="1336">
        <v>46183</v>
      </c>
      <c r="C1280" s="1337" t="s">
        <v>5238</v>
      </c>
      <c r="D1280" s="1341">
        <v>1</v>
      </c>
      <c r="E1280" s="1341">
        <v>115.05</v>
      </c>
      <c r="F1280" s="1366">
        <f t="shared" si="128"/>
        <v>115.05</v>
      </c>
      <c r="G1280" s="66">
        <f t="shared" si="129"/>
        <v>10.459090909090909</v>
      </c>
      <c r="H1280" s="626">
        <v>2.56</v>
      </c>
    </row>
    <row r="1281" spans="2:8">
      <c r="B1281" s="1334">
        <v>46183</v>
      </c>
      <c r="C1281" s="1335" t="s">
        <v>5239</v>
      </c>
      <c r="D1281" s="1340">
        <v>8</v>
      </c>
      <c r="E1281" s="1340">
        <v>119</v>
      </c>
      <c r="F1281" s="1366">
        <f t="shared" si="128"/>
        <v>952</v>
      </c>
      <c r="G1281" s="66">
        <f t="shared" si="129"/>
        <v>86.545454545454547</v>
      </c>
      <c r="H1281" s="626">
        <v>2.56</v>
      </c>
    </row>
    <row r="1282" spans="2:8">
      <c r="B1282" s="1336">
        <v>46183</v>
      </c>
      <c r="C1282" s="1337" t="s">
        <v>5240</v>
      </c>
      <c r="D1282" s="1341">
        <v>4</v>
      </c>
      <c r="E1282" s="1341">
        <v>119</v>
      </c>
      <c r="F1282" s="1366">
        <f t="shared" si="126"/>
        <v>476</v>
      </c>
      <c r="G1282" s="66">
        <f t="shared" si="127"/>
        <v>43.272727272727273</v>
      </c>
      <c r="H1282" s="626">
        <v>2.56</v>
      </c>
    </row>
    <row r="1283" spans="2:8">
      <c r="B1283" s="1334">
        <v>46183</v>
      </c>
      <c r="C1283" s="1335" t="s">
        <v>5241</v>
      </c>
      <c r="D1283" s="1340">
        <v>4</v>
      </c>
      <c r="E1283" s="1340">
        <v>119</v>
      </c>
      <c r="F1283" s="1381">
        <f t="shared" ref="F1283:F1309" si="130">E1283*D1283</f>
        <v>476</v>
      </c>
      <c r="G1283" s="66">
        <f t="shared" ref="G1283:G1309" si="131">F1283/11</f>
        <v>43.272727272727273</v>
      </c>
      <c r="H1283" s="626">
        <v>2.56</v>
      </c>
    </row>
    <row r="1284" spans="2:8">
      <c r="B1284" s="1336">
        <v>46183</v>
      </c>
      <c r="C1284" s="1337" t="s">
        <v>5242</v>
      </c>
      <c r="D1284" s="1341">
        <v>2</v>
      </c>
      <c r="E1284" s="1341">
        <v>1199</v>
      </c>
      <c r="F1284" s="1381">
        <f t="shared" si="130"/>
        <v>2398</v>
      </c>
      <c r="G1284" s="66">
        <f t="shared" si="131"/>
        <v>218</v>
      </c>
      <c r="H1284" s="626">
        <v>2.56</v>
      </c>
    </row>
    <row r="1285" spans="2:8">
      <c r="B1285" s="1334">
        <v>46183</v>
      </c>
      <c r="C1285" s="1335" t="s">
        <v>5243</v>
      </c>
      <c r="D1285" s="1340">
        <v>4</v>
      </c>
      <c r="E1285" s="1340">
        <v>119</v>
      </c>
      <c r="F1285" s="1381">
        <f t="shared" si="130"/>
        <v>476</v>
      </c>
      <c r="G1285" s="66">
        <f t="shared" si="131"/>
        <v>43.272727272727273</v>
      </c>
      <c r="H1285" s="626">
        <v>2.56</v>
      </c>
    </row>
    <row r="1286" spans="2:8">
      <c r="B1286" s="1336">
        <v>46183</v>
      </c>
      <c r="C1286" s="1337" t="s">
        <v>5244</v>
      </c>
      <c r="D1286" s="1341">
        <v>1</v>
      </c>
      <c r="E1286" s="1341">
        <v>1897</v>
      </c>
      <c r="F1286" s="1381">
        <f t="shared" si="130"/>
        <v>1897</v>
      </c>
      <c r="G1286" s="66">
        <f t="shared" si="131"/>
        <v>172.45454545454547</v>
      </c>
      <c r="H1286" s="626">
        <v>2.56</v>
      </c>
    </row>
    <row r="1287" spans="2:8">
      <c r="B1287" s="1334">
        <v>46183</v>
      </c>
      <c r="C1287" s="1335" t="s">
        <v>5245</v>
      </c>
      <c r="D1287" s="1340">
        <v>7</v>
      </c>
      <c r="E1287" s="1340">
        <v>112.1</v>
      </c>
      <c r="F1287" s="1381">
        <f t="shared" si="130"/>
        <v>784.69999999999993</v>
      </c>
      <c r="G1287" s="66">
        <f t="shared" si="131"/>
        <v>71.336363636363629</v>
      </c>
      <c r="H1287" s="626">
        <v>2.56</v>
      </c>
    </row>
    <row r="1288" spans="2:8">
      <c r="B1288" s="1336">
        <v>46183</v>
      </c>
      <c r="C1288" s="1337" t="s">
        <v>5246</v>
      </c>
      <c r="D1288" s="1341">
        <v>2</v>
      </c>
      <c r="E1288" s="1341">
        <v>119</v>
      </c>
      <c r="F1288" s="1381">
        <f t="shared" si="130"/>
        <v>238</v>
      </c>
      <c r="G1288" s="66">
        <f t="shared" si="131"/>
        <v>21.636363636363637</v>
      </c>
      <c r="H1288" s="626">
        <v>2.56</v>
      </c>
    </row>
    <row r="1289" spans="2:8">
      <c r="B1289" s="1334">
        <v>46183</v>
      </c>
      <c r="C1289" s="1335" t="s">
        <v>5247</v>
      </c>
      <c r="D1289" s="1340">
        <v>4</v>
      </c>
      <c r="E1289" s="1340">
        <v>119</v>
      </c>
      <c r="F1289" s="1381">
        <f t="shared" si="130"/>
        <v>476</v>
      </c>
      <c r="G1289" s="66">
        <f t="shared" si="131"/>
        <v>43.272727272727273</v>
      </c>
      <c r="H1289" s="626">
        <v>2.56</v>
      </c>
    </row>
    <row r="1290" spans="2:8">
      <c r="B1290" s="1336">
        <v>46183</v>
      </c>
      <c r="C1290" s="1337" t="s">
        <v>5099</v>
      </c>
      <c r="D1290" s="1341">
        <v>4</v>
      </c>
      <c r="E1290" s="1341">
        <v>1199</v>
      </c>
      <c r="F1290" s="1381">
        <f t="shared" si="130"/>
        <v>4796</v>
      </c>
      <c r="G1290" s="66">
        <f t="shared" si="131"/>
        <v>436</v>
      </c>
      <c r="H1290" s="626">
        <v>2.56</v>
      </c>
    </row>
    <row r="1291" spans="2:8">
      <c r="B1291" s="1334">
        <v>46183</v>
      </c>
      <c r="C1291" s="1335" t="s">
        <v>5248</v>
      </c>
      <c r="D1291" s="1340">
        <v>6</v>
      </c>
      <c r="E1291" s="1340">
        <v>112.1</v>
      </c>
      <c r="F1291" s="1381">
        <f t="shared" si="130"/>
        <v>672.59999999999991</v>
      </c>
      <c r="G1291" s="66">
        <f t="shared" si="131"/>
        <v>61.145454545454534</v>
      </c>
      <c r="H1291" s="626">
        <v>2.56</v>
      </c>
    </row>
    <row r="1292" spans="2:8">
      <c r="B1292" s="1336">
        <v>46183</v>
      </c>
      <c r="C1292" s="1337" t="s">
        <v>5248</v>
      </c>
      <c r="D1292" s="1341">
        <v>7</v>
      </c>
      <c r="E1292" s="1341">
        <v>119</v>
      </c>
      <c r="F1292" s="1381">
        <f t="shared" si="130"/>
        <v>833</v>
      </c>
      <c r="G1292" s="66">
        <f t="shared" si="131"/>
        <v>75.727272727272734</v>
      </c>
      <c r="H1292" s="626">
        <v>2.56</v>
      </c>
    </row>
    <row r="1293" spans="2:8">
      <c r="B1293" s="1334">
        <v>46183</v>
      </c>
      <c r="C1293" s="1335" t="s">
        <v>5249</v>
      </c>
      <c r="D1293" s="1340">
        <v>1</v>
      </c>
      <c r="E1293" s="1340">
        <v>1897</v>
      </c>
      <c r="F1293" s="1381">
        <f t="shared" si="130"/>
        <v>1897</v>
      </c>
      <c r="G1293" s="66">
        <f t="shared" si="131"/>
        <v>172.45454545454547</v>
      </c>
      <c r="H1293" s="626">
        <v>2.56</v>
      </c>
    </row>
    <row r="1294" spans="2:8">
      <c r="B1294" s="1336">
        <v>46183</v>
      </c>
      <c r="C1294" s="1337" t="s">
        <v>5250</v>
      </c>
      <c r="D1294" s="1341">
        <v>1</v>
      </c>
      <c r="E1294" s="1341">
        <v>1897</v>
      </c>
      <c r="F1294" s="1381">
        <f t="shared" si="130"/>
        <v>1897</v>
      </c>
      <c r="G1294" s="66">
        <f t="shared" si="131"/>
        <v>172.45454545454547</v>
      </c>
      <c r="H1294" s="626">
        <v>2.56</v>
      </c>
    </row>
    <row r="1295" spans="2:8">
      <c r="B1295" s="1334">
        <v>46183</v>
      </c>
      <c r="C1295" s="1335" t="s">
        <v>5251</v>
      </c>
      <c r="D1295" s="1340">
        <v>3</v>
      </c>
      <c r="E1295" s="1340">
        <v>1897</v>
      </c>
      <c r="F1295" s="1381">
        <f t="shared" si="130"/>
        <v>5691</v>
      </c>
      <c r="G1295" s="66">
        <f t="shared" si="131"/>
        <v>517.36363636363637</v>
      </c>
      <c r="H1295" s="626">
        <v>2.56</v>
      </c>
    </row>
    <row r="1296" spans="2:8">
      <c r="B1296" s="1336">
        <v>46183</v>
      </c>
      <c r="C1296" s="1337" t="s">
        <v>5252</v>
      </c>
      <c r="D1296" s="1341">
        <v>2</v>
      </c>
      <c r="E1296" s="1341">
        <v>1897</v>
      </c>
      <c r="F1296" s="1381">
        <f t="shared" si="130"/>
        <v>3794</v>
      </c>
      <c r="G1296" s="66">
        <f t="shared" si="131"/>
        <v>344.90909090909093</v>
      </c>
      <c r="H1296" s="626">
        <v>2.56</v>
      </c>
    </row>
    <row r="1297" spans="2:8">
      <c r="B1297" s="1334">
        <v>46183</v>
      </c>
      <c r="C1297" s="1335" t="s">
        <v>5253</v>
      </c>
      <c r="D1297" s="1340">
        <v>4</v>
      </c>
      <c r="E1297" s="1340">
        <v>119</v>
      </c>
      <c r="F1297" s="1381">
        <f t="shared" si="130"/>
        <v>476</v>
      </c>
      <c r="G1297" s="66">
        <f t="shared" si="131"/>
        <v>43.272727272727273</v>
      </c>
      <c r="H1297" s="626">
        <v>2.56</v>
      </c>
    </row>
    <row r="1298" spans="2:8">
      <c r="B1298" s="1386">
        <v>46157</v>
      </c>
      <c r="C1298" s="1335" t="s">
        <v>4124</v>
      </c>
      <c r="D1298" s="1340">
        <v>2</v>
      </c>
      <c r="E1298" s="1340">
        <v>1199</v>
      </c>
      <c r="F1298" s="1381">
        <f t="shared" si="130"/>
        <v>2398</v>
      </c>
      <c r="G1298" s="66">
        <f t="shared" si="131"/>
        <v>218</v>
      </c>
      <c r="H1298" s="735">
        <v>2.5979999999999999</v>
      </c>
    </row>
    <row r="1299" spans="2:8">
      <c r="B1299" s="1387">
        <v>46159</v>
      </c>
      <c r="C1299" s="1337" t="s">
        <v>4124</v>
      </c>
      <c r="D1299" s="1341">
        <v>2</v>
      </c>
      <c r="E1299" s="1341">
        <v>1199</v>
      </c>
      <c r="F1299" s="1381">
        <f t="shared" si="130"/>
        <v>2398</v>
      </c>
      <c r="G1299" s="66">
        <f t="shared" si="131"/>
        <v>218</v>
      </c>
      <c r="H1299" s="735">
        <v>2.5979999999999999</v>
      </c>
    </row>
    <row r="1300" spans="2:8">
      <c r="B1300" s="1386">
        <v>46159</v>
      </c>
      <c r="C1300" s="1335" t="s">
        <v>4124</v>
      </c>
      <c r="D1300" s="1340">
        <v>2</v>
      </c>
      <c r="E1300" s="1340">
        <v>1199</v>
      </c>
      <c r="F1300" s="1381">
        <f t="shared" si="130"/>
        <v>2398</v>
      </c>
      <c r="G1300" s="66">
        <f t="shared" si="131"/>
        <v>218</v>
      </c>
      <c r="H1300" s="735">
        <v>2.5979999999999999</v>
      </c>
    </row>
    <row r="1301" spans="2:8">
      <c r="B1301" s="1387">
        <v>46159</v>
      </c>
      <c r="C1301" s="1337" t="s">
        <v>4124</v>
      </c>
      <c r="D1301" s="1341">
        <v>2</v>
      </c>
      <c r="E1301" s="1341">
        <v>1194</v>
      </c>
      <c r="F1301" s="1381">
        <f t="shared" si="130"/>
        <v>2388</v>
      </c>
      <c r="G1301" s="66">
        <f t="shared" si="131"/>
        <v>217.09090909090909</v>
      </c>
      <c r="H1301" s="735">
        <v>2.5979999999999999</v>
      </c>
    </row>
    <row r="1302" spans="2:8">
      <c r="B1302" s="1386">
        <v>46162</v>
      </c>
      <c r="C1302" s="1335" t="s">
        <v>4124</v>
      </c>
      <c r="D1302" s="1340">
        <v>4</v>
      </c>
      <c r="E1302" s="1340">
        <v>1199</v>
      </c>
      <c r="F1302" s="1381">
        <f t="shared" si="130"/>
        <v>4796</v>
      </c>
      <c r="G1302" s="66">
        <f t="shared" si="131"/>
        <v>436</v>
      </c>
      <c r="H1302" s="735">
        <v>2.5979999999999999</v>
      </c>
    </row>
    <row r="1303" spans="2:8">
      <c r="B1303" s="1387">
        <v>46162</v>
      </c>
      <c r="C1303" s="1337" t="s">
        <v>4124</v>
      </c>
      <c r="D1303" s="1341">
        <v>4</v>
      </c>
      <c r="E1303" s="1341">
        <v>1199</v>
      </c>
      <c r="F1303" s="1381">
        <f t="shared" si="130"/>
        <v>4796</v>
      </c>
      <c r="G1303" s="66">
        <f t="shared" si="131"/>
        <v>436</v>
      </c>
      <c r="H1303" s="735">
        <v>2.5979999999999999</v>
      </c>
    </row>
    <row r="1304" spans="2:8">
      <c r="B1304" s="1386">
        <v>46163</v>
      </c>
      <c r="C1304" s="1335" t="s">
        <v>4124</v>
      </c>
      <c r="D1304" s="1340">
        <v>1</v>
      </c>
      <c r="E1304" s="1340">
        <v>1199</v>
      </c>
      <c r="F1304" s="1381">
        <f t="shared" si="130"/>
        <v>1199</v>
      </c>
      <c r="G1304" s="66">
        <f t="shared" si="131"/>
        <v>109</v>
      </c>
      <c r="H1304" s="735">
        <v>2.5979999999999999</v>
      </c>
    </row>
    <row r="1305" spans="2:8">
      <c r="B1305" s="1387">
        <v>46164</v>
      </c>
      <c r="C1305" s="1337" t="s">
        <v>4124</v>
      </c>
      <c r="D1305" s="1341">
        <v>3</v>
      </c>
      <c r="E1305" s="1341">
        <v>1199</v>
      </c>
      <c r="F1305" s="1381">
        <f t="shared" si="130"/>
        <v>3597</v>
      </c>
      <c r="G1305" s="66">
        <f t="shared" si="131"/>
        <v>327</v>
      </c>
      <c r="H1305" s="735">
        <v>2.5979999999999999</v>
      </c>
    </row>
    <row r="1306" spans="2:8">
      <c r="B1306" s="1386">
        <v>46171</v>
      </c>
      <c r="C1306" s="1335" t="s">
        <v>5255</v>
      </c>
      <c r="D1306" s="1340">
        <v>3</v>
      </c>
      <c r="E1306" s="1340">
        <v>357.3</v>
      </c>
      <c r="F1306" s="1381">
        <f t="shared" si="130"/>
        <v>1071.9000000000001</v>
      </c>
      <c r="G1306" s="66">
        <f t="shared" si="131"/>
        <v>97.445454545454552</v>
      </c>
      <c r="H1306" s="735">
        <v>2.5979999999999999</v>
      </c>
    </row>
    <row r="1307" spans="2:8">
      <c r="B1307" s="1387">
        <v>46173</v>
      </c>
      <c r="C1307" s="1337" t="s">
        <v>5255</v>
      </c>
      <c r="D1307" s="1341">
        <v>1</v>
      </c>
      <c r="E1307" s="1341">
        <v>357.3</v>
      </c>
      <c r="F1307" s="1381">
        <f t="shared" si="130"/>
        <v>357.3</v>
      </c>
      <c r="G1307" s="66">
        <f t="shared" si="131"/>
        <v>32.481818181818184</v>
      </c>
      <c r="H1307" s="735">
        <v>2.5979999999999999</v>
      </c>
    </row>
    <row r="1308" spans="2:8">
      <c r="B1308" s="1386">
        <v>46173</v>
      </c>
      <c r="C1308" s="1335" t="s">
        <v>5255</v>
      </c>
      <c r="D1308" s="1340">
        <v>3</v>
      </c>
      <c r="E1308" s="1340">
        <v>359.1</v>
      </c>
      <c r="F1308" s="1381">
        <f t="shared" si="130"/>
        <v>1077.3000000000002</v>
      </c>
      <c r="G1308" s="66">
        <f t="shared" si="131"/>
        <v>97.936363636363652</v>
      </c>
      <c r="H1308" s="735">
        <v>2.5979999999999999</v>
      </c>
    </row>
    <row r="1309" spans="2:8">
      <c r="B1309" s="737">
        <v>46184</v>
      </c>
      <c r="C1309" s="1066" t="s">
        <v>4812</v>
      </c>
      <c r="D1309" s="1066">
        <v>15</v>
      </c>
      <c r="E1309" s="613">
        <v>1205</v>
      </c>
      <c r="F1309" s="1381">
        <f t="shared" si="130"/>
        <v>18075</v>
      </c>
      <c r="G1309" s="66">
        <f t="shared" si="131"/>
        <v>1643.1818181818182</v>
      </c>
      <c r="H1309" s="626">
        <v>2.56</v>
      </c>
    </row>
    <row r="1310" spans="2:8">
      <c r="B1310" s="737">
        <v>46185</v>
      </c>
      <c r="C1310" s="1066" t="s">
        <v>5304</v>
      </c>
      <c r="D1310" s="1066">
        <v>50</v>
      </c>
      <c r="E1310" s="613">
        <v>94</v>
      </c>
      <c r="F1310" s="1333">
        <f t="shared" si="124"/>
        <v>4700</v>
      </c>
      <c r="G1310" s="66">
        <f t="shared" si="125"/>
        <v>427.27272727272725</v>
      </c>
      <c r="H1310" s="626">
        <v>2.56</v>
      </c>
    </row>
    <row r="1311" spans="2:8">
      <c r="B1311" s="1403">
        <v>46174</v>
      </c>
      <c r="C1311" s="1404" t="s">
        <v>5326</v>
      </c>
      <c r="D1311" s="1405">
        <v>1</v>
      </c>
      <c r="E1311" s="1405">
        <v>357.3</v>
      </c>
      <c r="F1311" s="1333">
        <f t="shared" si="124"/>
        <v>357.3</v>
      </c>
      <c r="G1311" s="66">
        <f t="shared" si="125"/>
        <v>32.481818181818184</v>
      </c>
      <c r="H1311" s="626">
        <v>2.56</v>
      </c>
    </row>
    <row r="1312" spans="2:8">
      <c r="B1312" s="1406">
        <v>46174</v>
      </c>
      <c r="C1312" s="1407" t="s">
        <v>5327</v>
      </c>
      <c r="D1312" s="1408">
        <v>1</v>
      </c>
      <c r="E1312" s="1408">
        <v>357.3</v>
      </c>
      <c r="F1312" s="1388">
        <f t="shared" ref="F1312:F1349" si="132">E1312*D1312</f>
        <v>357.3</v>
      </c>
      <c r="G1312" s="66">
        <f t="shared" ref="G1312:G1349" si="133">F1312/11</f>
        <v>32.481818181818184</v>
      </c>
      <c r="H1312" s="626">
        <v>2.56</v>
      </c>
    </row>
    <row r="1313" spans="2:8">
      <c r="B1313" s="1403">
        <v>46174</v>
      </c>
      <c r="C1313" s="1404" t="s">
        <v>5328</v>
      </c>
      <c r="D1313" s="1405">
        <v>1</v>
      </c>
      <c r="E1313" s="1405">
        <v>397</v>
      </c>
      <c r="F1313" s="1388">
        <f t="shared" si="132"/>
        <v>397</v>
      </c>
      <c r="G1313" s="66">
        <f t="shared" si="133"/>
        <v>36.090909090909093</v>
      </c>
      <c r="H1313" s="626">
        <v>2.56</v>
      </c>
    </row>
    <row r="1314" spans="2:8">
      <c r="B1314" s="1406">
        <v>46175</v>
      </c>
      <c r="C1314" s="1407" t="s">
        <v>5320</v>
      </c>
      <c r="D1314" s="1408">
        <v>4</v>
      </c>
      <c r="E1314" s="1408">
        <v>1199</v>
      </c>
      <c r="F1314" s="1388">
        <f t="shared" si="132"/>
        <v>4796</v>
      </c>
      <c r="G1314" s="66">
        <f t="shared" si="133"/>
        <v>436</v>
      </c>
      <c r="H1314" s="626">
        <v>2.56</v>
      </c>
    </row>
    <row r="1315" spans="2:8">
      <c r="B1315" s="1403">
        <v>46175</v>
      </c>
      <c r="C1315" s="1404" t="s">
        <v>5329</v>
      </c>
      <c r="D1315" s="1405">
        <v>2</v>
      </c>
      <c r="E1315" s="1405">
        <v>1897</v>
      </c>
      <c r="F1315" s="1388">
        <f t="shared" si="132"/>
        <v>3794</v>
      </c>
      <c r="G1315" s="66">
        <f t="shared" si="133"/>
        <v>344.90909090909093</v>
      </c>
      <c r="H1315" s="626">
        <v>2.56</v>
      </c>
    </row>
    <row r="1316" spans="2:8">
      <c r="B1316" s="1406">
        <v>46176</v>
      </c>
      <c r="C1316" s="1407" t="s">
        <v>5330</v>
      </c>
      <c r="D1316" s="1408">
        <v>4</v>
      </c>
      <c r="E1316" s="1408">
        <v>1199</v>
      </c>
      <c r="F1316" s="1388">
        <f t="shared" si="132"/>
        <v>4796</v>
      </c>
      <c r="G1316" s="66">
        <f t="shared" si="133"/>
        <v>436</v>
      </c>
      <c r="H1316" s="626">
        <v>2.56</v>
      </c>
    </row>
    <row r="1317" spans="2:8">
      <c r="B1317" s="1403">
        <v>46176</v>
      </c>
      <c r="C1317" s="1404" t="s">
        <v>5331</v>
      </c>
      <c r="D1317" s="1405">
        <v>4</v>
      </c>
      <c r="E1317" s="1405">
        <v>1199</v>
      </c>
      <c r="F1317" s="1388">
        <f t="shared" si="132"/>
        <v>4796</v>
      </c>
      <c r="G1317" s="66">
        <f t="shared" si="133"/>
        <v>436</v>
      </c>
      <c r="H1317" s="626">
        <v>2.56</v>
      </c>
    </row>
    <row r="1318" spans="2:8">
      <c r="B1318" s="1406">
        <v>46180</v>
      </c>
      <c r="C1318" s="1407" t="s">
        <v>5324</v>
      </c>
      <c r="D1318" s="1408">
        <v>2</v>
      </c>
      <c r="E1318" s="1408">
        <v>1199</v>
      </c>
      <c r="F1318" s="1388">
        <f t="shared" si="132"/>
        <v>2398</v>
      </c>
      <c r="G1318" s="66">
        <f t="shared" si="133"/>
        <v>218</v>
      </c>
      <c r="H1318" s="626">
        <v>2.56</v>
      </c>
    </row>
    <row r="1319" spans="2:8">
      <c r="B1319" s="1403">
        <v>46180</v>
      </c>
      <c r="C1319" s="1404" t="s">
        <v>5332</v>
      </c>
      <c r="D1319" s="1405">
        <v>4</v>
      </c>
      <c r="E1319" s="1405">
        <v>1199</v>
      </c>
      <c r="F1319" s="1388">
        <f t="shared" si="132"/>
        <v>4796</v>
      </c>
      <c r="G1319" s="66">
        <f t="shared" si="133"/>
        <v>436</v>
      </c>
      <c r="H1319" s="626">
        <v>2.56</v>
      </c>
    </row>
    <row r="1320" spans="2:8">
      <c r="B1320" s="1406">
        <v>46184</v>
      </c>
      <c r="C1320" s="1407" t="s">
        <v>5333</v>
      </c>
      <c r="D1320" s="1408">
        <v>10</v>
      </c>
      <c r="E1320" s="1408">
        <v>112.1</v>
      </c>
      <c r="F1320" s="1388">
        <f t="shared" si="132"/>
        <v>1121</v>
      </c>
      <c r="G1320" s="66">
        <f t="shared" si="133"/>
        <v>101.90909090909091</v>
      </c>
      <c r="H1320" s="626">
        <v>2.56</v>
      </c>
    </row>
    <row r="1321" spans="2:8">
      <c r="B1321" s="1403">
        <v>46184</v>
      </c>
      <c r="C1321" s="1404" t="s">
        <v>5334</v>
      </c>
      <c r="D1321" s="1405">
        <v>10</v>
      </c>
      <c r="E1321" s="1405">
        <v>113.04</v>
      </c>
      <c r="F1321" s="1388">
        <f t="shared" si="132"/>
        <v>1130.4000000000001</v>
      </c>
      <c r="G1321" s="66">
        <f t="shared" si="133"/>
        <v>102.76363636363637</v>
      </c>
      <c r="H1321" s="626">
        <v>2.56</v>
      </c>
    </row>
    <row r="1322" spans="2:8">
      <c r="B1322" s="1406">
        <v>46194</v>
      </c>
      <c r="C1322" s="1407" t="s">
        <v>5336</v>
      </c>
      <c r="D1322" s="1408">
        <v>2</v>
      </c>
      <c r="E1322" s="1408">
        <v>1897</v>
      </c>
      <c r="F1322" s="1388">
        <f t="shared" si="132"/>
        <v>3794</v>
      </c>
      <c r="G1322" s="66">
        <f t="shared" si="133"/>
        <v>344.90909090909093</v>
      </c>
      <c r="H1322" s="626">
        <v>2.56</v>
      </c>
    </row>
    <row r="1323" spans="2:8">
      <c r="B1323" s="1403">
        <v>46194</v>
      </c>
      <c r="C1323" s="1404" t="s">
        <v>5337</v>
      </c>
      <c r="D1323" s="1405">
        <v>4</v>
      </c>
      <c r="E1323" s="1405">
        <v>118</v>
      </c>
      <c r="F1323" s="1388">
        <f t="shared" si="132"/>
        <v>472</v>
      </c>
      <c r="G1323" s="66">
        <f t="shared" si="133"/>
        <v>42.909090909090907</v>
      </c>
      <c r="H1323" s="626">
        <v>2.56</v>
      </c>
    </row>
    <row r="1324" spans="2:8">
      <c r="B1324" s="1406">
        <v>46195</v>
      </c>
      <c r="C1324" s="1407" t="s">
        <v>5338</v>
      </c>
      <c r="D1324" s="1408">
        <v>5</v>
      </c>
      <c r="E1324" s="1408">
        <v>114</v>
      </c>
      <c r="F1324" s="1388">
        <f t="shared" si="132"/>
        <v>570</v>
      </c>
      <c r="G1324" s="66">
        <f t="shared" si="133"/>
        <v>51.81818181818182</v>
      </c>
      <c r="H1324" s="626">
        <v>2.56</v>
      </c>
    </row>
    <row r="1325" spans="2:8">
      <c r="B1325" s="1403">
        <v>46195</v>
      </c>
      <c r="C1325" s="1404" t="s">
        <v>5339</v>
      </c>
      <c r="D1325" s="1405">
        <v>5</v>
      </c>
      <c r="E1325" s="1405">
        <v>118</v>
      </c>
      <c r="F1325" s="1388">
        <f t="shared" si="132"/>
        <v>590</v>
      </c>
      <c r="G1325" s="66">
        <f t="shared" si="133"/>
        <v>53.636363636363633</v>
      </c>
      <c r="H1325" s="626">
        <v>2.56</v>
      </c>
    </row>
    <row r="1326" spans="2:8">
      <c r="B1326" s="1406">
        <v>46195</v>
      </c>
      <c r="C1326" s="1407" t="s">
        <v>5340</v>
      </c>
      <c r="D1326" s="1408">
        <v>2</v>
      </c>
      <c r="E1326" s="1408">
        <v>1199</v>
      </c>
      <c r="F1326" s="1388">
        <f t="shared" si="132"/>
        <v>2398</v>
      </c>
      <c r="G1326" s="66">
        <f t="shared" si="133"/>
        <v>218</v>
      </c>
      <c r="H1326" s="626">
        <v>2.56</v>
      </c>
    </row>
    <row r="1327" spans="2:8">
      <c r="B1327" s="1403">
        <v>46196</v>
      </c>
      <c r="C1327" s="1404" t="s">
        <v>5329</v>
      </c>
      <c r="D1327" s="1405">
        <v>2</v>
      </c>
      <c r="E1327" s="1405">
        <v>2099</v>
      </c>
      <c r="F1327" s="1388">
        <f t="shared" si="132"/>
        <v>4198</v>
      </c>
      <c r="G1327" s="66">
        <f t="shared" si="133"/>
        <v>381.63636363636363</v>
      </c>
      <c r="H1327" s="626">
        <v>2.56</v>
      </c>
    </row>
    <row r="1328" spans="2:8">
      <c r="B1328" s="1406">
        <v>46196</v>
      </c>
      <c r="C1328" s="1407" t="s">
        <v>5341</v>
      </c>
      <c r="D1328" s="1408">
        <v>2</v>
      </c>
      <c r="E1328" s="1408">
        <v>118</v>
      </c>
      <c r="F1328" s="1388">
        <f t="shared" si="132"/>
        <v>236</v>
      </c>
      <c r="G1328" s="66">
        <f t="shared" si="133"/>
        <v>21.454545454545453</v>
      </c>
      <c r="H1328" s="626">
        <v>2.56</v>
      </c>
    </row>
    <row r="1329" spans="2:8">
      <c r="B1329" s="1403">
        <v>46196</v>
      </c>
      <c r="C1329" s="1404" t="s">
        <v>5342</v>
      </c>
      <c r="D1329" s="1405">
        <v>2</v>
      </c>
      <c r="E1329" s="1405">
        <v>2150</v>
      </c>
      <c r="F1329" s="1388">
        <f t="shared" si="132"/>
        <v>4300</v>
      </c>
      <c r="G1329" s="66">
        <f t="shared" si="133"/>
        <v>390.90909090909093</v>
      </c>
      <c r="H1329" s="626">
        <v>2.56</v>
      </c>
    </row>
    <row r="1330" spans="2:8">
      <c r="B1330" s="1406">
        <v>46196</v>
      </c>
      <c r="C1330" s="1407" t="s">
        <v>5343</v>
      </c>
      <c r="D1330" s="1408">
        <v>3</v>
      </c>
      <c r="E1330" s="1408">
        <v>1897</v>
      </c>
      <c r="F1330" s="1388">
        <f t="shared" si="132"/>
        <v>5691</v>
      </c>
      <c r="G1330" s="66">
        <f t="shared" si="133"/>
        <v>517.36363636363637</v>
      </c>
      <c r="H1330" s="626">
        <v>2.56</v>
      </c>
    </row>
    <row r="1331" spans="2:8">
      <c r="B1331" s="1403">
        <v>46196</v>
      </c>
      <c r="C1331" s="1404" t="s">
        <v>5344</v>
      </c>
      <c r="D1331" s="1405">
        <v>2</v>
      </c>
      <c r="E1331" s="1405">
        <v>112.1</v>
      </c>
      <c r="F1331" s="1388">
        <f t="shared" si="132"/>
        <v>224.2</v>
      </c>
      <c r="G1331" s="66">
        <f t="shared" si="133"/>
        <v>20.381818181818179</v>
      </c>
      <c r="H1331" s="626">
        <v>2.56</v>
      </c>
    </row>
    <row r="1332" spans="2:8">
      <c r="B1332" s="1336">
        <v>46184</v>
      </c>
      <c r="C1332" s="1337" t="s">
        <v>5089</v>
      </c>
      <c r="D1332" s="1341">
        <v>2</v>
      </c>
      <c r="E1332" s="1341">
        <v>1199</v>
      </c>
      <c r="F1332" s="1388">
        <f t="shared" si="132"/>
        <v>2398</v>
      </c>
      <c r="G1332" s="66">
        <f t="shared" si="133"/>
        <v>218</v>
      </c>
      <c r="H1332" s="626">
        <v>2.577</v>
      </c>
    </row>
    <row r="1333" spans="2:8">
      <c r="B1333" s="1334">
        <v>46184</v>
      </c>
      <c r="C1333" s="1335" t="s">
        <v>5090</v>
      </c>
      <c r="D1333" s="1340">
        <v>2</v>
      </c>
      <c r="E1333" s="1340">
        <v>1199</v>
      </c>
      <c r="F1333" s="1388">
        <f t="shared" si="132"/>
        <v>2398</v>
      </c>
      <c r="G1333" s="66">
        <f t="shared" si="133"/>
        <v>218</v>
      </c>
      <c r="H1333" s="626">
        <v>2.577</v>
      </c>
    </row>
    <row r="1334" spans="2:8">
      <c r="B1334" s="1336">
        <v>46184</v>
      </c>
      <c r="C1334" s="1337" t="s">
        <v>5347</v>
      </c>
      <c r="D1334" s="1341">
        <v>2</v>
      </c>
      <c r="E1334" s="1341">
        <v>1897</v>
      </c>
      <c r="F1334" s="1388">
        <f t="shared" si="132"/>
        <v>3794</v>
      </c>
      <c r="G1334" s="66">
        <f t="shared" si="133"/>
        <v>344.90909090909093</v>
      </c>
      <c r="H1334" s="626">
        <v>2.577</v>
      </c>
    </row>
    <row r="1335" spans="2:8">
      <c r="B1335" s="1334">
        <v>46184</v>
      </c>
      <c r="C1335" s="1335" t="s">
        <v>5252</v>
      </c>
      <c r="D1335" s="1340">
        <v>2</v>
      </c>
      <c r="E1335" s="1340">
        <v>1897</v>
      </c>
      <c r="F1335" s="1388">
        <f t="shared" si="132"/>
        <v>3794</v>
      </c>
      <c r="G1335" s="66">
        <f t="shared" si="133"/>
        <v>344.90909090909093</v>
      </c>
      <c r="H1335" s="626">
        <v>2.577</v>
      </c>
    </row>
    <row r="1336" spans="2:8">
      <c r="B1336" s="1336">
        <v>46200</v>
      </c>
      <c r="C1336" s="1337" t="s">
        <v>5252</v>
      </c>
      <c r="D1336" s="1341">
        <v>1</v>
      </c>
      <c r="E1336" s="1341">
        <v>1897</v>
      </c>
      <c r="F1336" s="1388">
        <f t="shared" si="132"/>
        <v>1897</v>
      </c>
      <c r="G1336" s="66">
        <f t="shared" si="133"/>
        <v>172.45454545454547</v>
      </c>
      <c r="H1336" s="626">
        <v>2.577</v>
      </c>
    </row>
    <row r="1337" spans="2:8">
      <c r="B1337" s="1334">
        <v>46200</v>
      </c>
      <c r="C1337" s="1335" t="s">
        <v>5347</v>
      </c>
      <c r="D1337" s="1340">
        <v>3</v>
      </c>
      <c r="E1337" s="1340">
        <v>1897</v>
      </c>
      <c r="F1337" s="1388">
        <f t="shared" si="132"/>
        <v>5691</v>
      </c>
      <c r="G1337" s="66">
        <f t="shared" si="133"/>
        <v>517.36363636363637</v>
      </c>
      <c r="H1337" s="626">
        <v>2.577</v>
      </c>
    </row>
    <row r="1338" spans="2:8">
      <c r="B1338" s="1336">
        <v>46200</v>
      </c>
      <c r="C1338" s="1337" t="s">
        <v>5348</v>
      </c>
      <c r="D1338" s="1341">
        <v>2</v>
      </c>
      <c r="E1338" s="1341">
        <v>1249</v>
      </c>
      <c r="F1338" s="1388">
        <f t="shared" si="132"/>
        <v>2498</v>
      </c>
      <c r="G1338" s="66">
        <f t="shared" si="133"/>
        <v>227.09090909090909</v>
      </c>
      <c r="H1338" s="626">
        <v>2.577</v>
      </c>
    </row>
    <row r="1339" spans="2:8">
      <c r="B1339" s="1334">
        <v>46200</v>
      </c>
      <c r="C1339" s="1335" t="s">
        <v>5349</v>
      </c>
      <c r="D1339" s="1340">
        <v>5</v>
      </c>
      <c r="E1339" s="1340">
        <v>1897</v>
      </c>
      <c r="F1339" s="1388">
        <f t="shared" si="132"/>
        <v>9485</v>
      </c>
      <c r="G1339" s="66">
        <f t="shared" si="133"/>
        <v>862.27272727272725</v>
      </c>
      <c r="H1339" s="626">
        <v>2.577</v>
      </c>
    </row>
    <row r="1340" spans="2:8">
      <c r="B1340" s="1336">
        <v>46200</v>
      </c>
      <c r="C1340" s="1337" t="s">
        <v>5350</v>
      </c>
      <c r="D1340" s="1341">
        <v>1</v>
      </c>
      <c r="E1340" s="1341">
        <v>1897</v>
      </c>
      <c r="F1340" s="1388">
        <f t="shared" si="132"/>
        <v>1897</v>
      </c>
      <c r="G1340" s="66">
        <f t="shared" si="133"/>
        <v>172.45454545454547</v>
      </c>
      <c r="H1340" s="626">
        <v>2.577</v>
      </c>
    </row>
    <row r="1341" spans="2:8">
      <c r="B1341" s="1334">
        <v>46200</v>
      </c>
      <c r="C1341" s="1335" t="s">
        <v>5244</v>
      </c>
      <c r="D1341" s="1340">
        <v>1</v>
      </c>
      <c r="E1341" s="1340">
        <v>2150</v>
      </c>
      <c r="F1341" s="1388">
        <f t="shared" si="132"/>
        <v>2150</v>
      </c>
      <c r="G1341" s="66">
        <f t="shared" si="133"/>
        <v>195.45454545454547</v>
      </c>
      <c r="H1341" s="626">
        <v>2.577</v>
      </c>
    </row>
    <row r="1342" spans="2:8">
      <c r="B1342" s="1336">
        <v>46200</v>
      </c>
      <c r="C1342" s="1337" t="s">
        <v>5351</v>
      </c>
      <c r="D1342" s="1341">
        <v>1</v>
      </c>
      <c r="E1342" s="1341">
        <v>2150</v>
      </c>
      <c r="F1342" s="1388">
        <f t="shared" si="132"/>
        <v>2150</v>
      </c>
      <c r="G1342" s="66">
        <f t="shared" si="133"/>
        <v>195.45454545454547</v>
      </c>
      <c r="H1342" s="626">
        <v>2.577</v>
      </c>
    </row>
    <row r="1343" spans="2:8">
      <c r="B1343" s="1066"/>
      <c r="C1343" s="1066"/>
      <c r="D1343" s="1066"/>
      <c r="E1343" s="1066"/>
      <c r="F1343" s="1388">
        <f t="shared" si="132"/>
        <v>0</v>
      </c>
      <c r="G1343" s="66">
        <f t="shared" si="133"/>
        <v>0</v>
      </c>
    </row>
    <row r="1344" spans="2:8">
      <c r="B1344" s="1066"/>
      <c r="C1344" s="1066"/>
      <c r="D1344" s="1066"/>
      <c r="E1344" s="1066"/>
      <c r="F1344" s="1388">
        <f t="shared" si="132"/>
        <v>0</v>
      </c>
      <c r="G1344" s="66">
        <f t="shared" si="133"/>
        <v>0</v>
      </c>
    </row>
    <row r="1345" spans="2:7">
      <c r="B1345" s="1066"/>
      <c r="C1345" s="1066"/>
      <c r="D1345" s="1066"/>
      <c r="E1345" s="1066"/>
      <c r="F1345" s="1388">
        <f t="shared" si="132"/>
        <v>0</v>
      </c>
      <c r="G1345" s="66">
        <f t="shared" si="133"/>
        <v>0</v>
      </c>
    </row>
    <row r="1346" spans="2:7">
      <c r="B1346" s="1066"/>
      <c r="C1346" s="1066"/>
      <c r="D1346" s="1066"/>
      <c r="E1346" s="1066"/>
      <c r="F1346" s="1388">
        <f t="shared" si="132"/>
        <v>0</v>
      </c>
      <c r="G1346" s="66">
        <f t="shared" si="133"/>
        <v>0</v>
      </c>
    </row>
    <row r="1347" spans="2:7">
      <c r="B1347" s="1066"/>
      <c r="C1347" s="1066"/>
      <c r="D1347" s="1066"/>
      <c r="E1347" s="1066"/>
      <c r="F1347" s="1388">
        <f t="shared" si="132"/>
        <v>0</v>
      </c>
      <c r="G1347" s="66">
        <f t="shared" si="133"/>
        <v>0</v>
      </c>
    </row>
    <row r="1348" spans="2:7">
      <c r="B1348" s="1066"/>
      <c r="C1348" s="1066"/>
      <c r="D1348" s="1066"/>
      <c r="E1348" s="1066"/>
      <c r="F1348" s="1388">
        <f t="shared" si="132"/>
        <v>0</v>
      </c>
      <c r="G1348" s="66">
        <f t="shared" si="133"/>
        <v>0</v>
      </c>
    </row>
    <row r="1349" spans="2:7">
      <c r="B1349" s="72"/>
      <c r="C1349" s="18"/>
      <c r="D1349" s="125"/>
      <c r="E1349" s="73"/>
      <c r="F1349" s="1388">
        <f t="shared" si="132"/>
        <v>0</v>
      </c>
      <c r="G1349" s="66">
        <f t="shared" si="133"/>
        <v>0</v>
      </c>
    </row>
    <row r="1350" spans="2:7" ht="21">
      <c r="F1350" s="67" t="s">
        <v>104</v>
      </c>
      <c r="G1350" s="68">
        <f>SUM(G6:G1349)</f>
        <v>493802.10909090965</v>
      </c>
    </row>
    <row r="1356" spans="2:7">
      <c r="B1356" s="1324"/>
      <c r="C1356" s="1324"/>
      <c r="D1356" s="1324"/>
      <c r="E1356" s="1324"/>
      <c r="F1356" s="1324"/>
      <c r="G1356" s="1324"/>
    </row>
    <row r="1357" spans="2:7">
      <c r="B1357" s="1324"/>
      <c r="C1357" s="1324"/>
      <c r="D1357" s="1324"/>
      <c r="E1357" s="1324"/>
      <c r="F1357" s="1324"/>
      <c r="G1357" s="1324"/>
    </row>
    <row r="1358" spans="2:7">
      <c r="B1358" s="1324"/>
      <c r="C1358" s="1324"/>
      <c r="D1358" s="1324"/>
      <c r="E1358" s="1324"/>
      <c r="F1358" s="1324"/>
      <c r="G1358" s="1324"/>
    </row>
    <row r="1359" spans="2:7">
      <c r="B1359" s="1324"/>
      <c r="C1359" s="1324"/>
      <c r="D1359" s="1324"/>
      <c r="E1359" s="1324"/>
      <c r="F1359" s="1324"/>
      <c r="G1359" s="1324"/>
    </row>
    <row r="1360" spans="2:7">
      <c r="B1360" s="1324"/>
      <c r="C1360" s="1324"/>
      <c r="D1360" s="1324"/>
      <c r="E1360" s="1324"/>
      <c r="F1360" s="1324"/>
      <c r="G1360" s="1324"/>
    </row>
    <row r="1361" spans="2:7">
      <c r="B1361" s="1324"/>
      <c r="C1361" s="1324"/>
      <c r="D1361" s="1324"/>
      <c r="E1361" s="1324"/>
      <c r="F1361" s="1324"/>
      <c r="G1361" s="1324"/>
    </row>
    <row r="1362" spans="2:7">
      <c r="B1362" s="1324"/>
      <c r="C1362" s="1324"/>
      <c r="D1362" s="1324"/>
      <c r="E1362" s="1324"/>
      <c r="F1362" s="1324"/>
      <c r="G1362" s="1324"/>
    </row>
    <row r="1363" spans="2:7">
      <c r="B1363" s="1324"/>
      <c r="C1363" s="1324"/>
      <c r="D1363" s="1324"/>
      <c r="E1363" s="1324"/>
      <c r="F1363" s="1324"/>
      <c r="G1363" s="1324"/>
    </row>
    <row r="1364" spans="2:7">
      <c r="B1364" s="1324"/>
      <c r="C1364" s="1324"/>
      <c r="D1364" s="1324"/>
      <c r="E1364" s="1324"/>
      <c r="F1364" s="1324"/>
      <c r="G1364" s="1324"/>
    </row>
    <row r="1365" spans="2:7">
      <c r="B1365" s="1324"/>
      <c r="C1365" s="1324"/>
      <c r="D1365" s="1324"/>
      <c r="E1365" s="1324"/>
      <c r="F1365" s="1324"/>
      <c r="G1365" s="1324"/>
    </row>
    <row r="1366" spans="2:7">
      <c r="B1366" s="1324"/>
      <c r="C1366" s="1324"/>
      <c r="D1366" s="1324"/>
      <c r="E1366" s="1324"/>
      <c r="F1366" s="1324"/>
      <c r="G1366" s="1324"/>
    </row>
    <row r="1367" spans="2:7">
      <c r="B1367" s="1324"/>
      <c r="C1367" s="1324"/>
      <c r="D1367" s="1324"/>
      <c r="E1367" s="1324"/>
      <c r="F1367" s="1324"/>
      <c r="G1367" s="1324"/>
    </row>
    <row r="1368" spans="2:7">
      <c r="B1368" s="1324"/>
      <c r="C1368" s="1324"/>
      <c r="D1368" s="1324"/>
      <c r="E1368" s="1324"/>
      <c r="F1368" s="1324"/>
      <c r="G1368" s="1324"/>
    </row>
    <row r="1369" spans="2:7">
      <c r="B1369" s="1324"/>
      <c r="C1369" s="1324"/>
      <c r="D1369" s="1324"/>
      <c r="E1369" s="1324"/>
      <c r="F1369" s="1324"/>
      <c r="G1369" s="1324"/>
    </row>
    <row r="1370" spans="2:7">
      <c r="B1370" s="1324"/>
      <c r="C1370" s="1324"/>
      <c r="D1370" s="1324"/>
      <c r="E1370" s="1324"/>
      <c r="F1370" s="1324"/>
      <c r="G1370" s="1324"/>
    </row>
    <row r="1371" spans="2:7">
      <c r="B1371" s="1324"/>
      <c r="C1371" s="1324"/>
      <c r="D1371" s="1324"/>
      <c r="E1371" s="1324"/>
      <c r="F1371" s="1324"/>
      <c r="G1371" s="1324"/>
    </row>
    <row r="1372" spans="2:7">
      <c r="B1372" s="1324"/>
      <c r="C1372" s="1324"/>
      <c r="D1372" s="1324"/>
      <c r="E1372" s="1324"/>
      <c r="F1372" s="1324"/>
      <c r="G1372" s="1324"/>
    </row>
    <row r="1373" spans="2:7">
      <c r="B1373" s="1324"/>
      <c r="C1373" s="1324"/>
      <c r="D1373" s="1324"/>
      <c r="E1373" s="1324"/>
      <c r="F1373" s="1324"/>
      <c r="G1373" s="1324"/>
    </row>
    <row r="1374" spans="2:7">
      <c r="B1374" s="1324"/>
      <c r="C1374" s="1324"/>
      <c r="D1374" s="1324"/>
      <c r="E1374" s="1324"/>
      <c r="F1374" s="1324"/>
      <c r="G1374" s="1324"/>
    </row>
    <row r="1375" spans="2:7">
      <c r="B1375" s="1324"/>
      <c r="C1375" s="1324"/>
      <c r="D1375" s="1324"/>
      <c r="E1375" s="1324"/>
      <c r="F1375" s="1324"/>
      <c r="G1375" s="1324"/>
    </row>
    <row r="1376" spans="2:7">
      <c r="B1376" s="1324"/>
      <c r="C1376" s="1324"/>
      <c r="D1376" s="1324"/>
      <c r="E1376" s="1324"/>
      <c r="F1376" s="1324"/>
      <c r="G1376" s="1324"/>
    </row>
    <row r="1377" spans="2:7">
      <c r="B1377" s="1324"/>
      <c r="C1377" s="1324"/>
      <c r="D1377" s="1324"/>
      <c r="E1377" s="1324"/>
      <c r="F1377" s="1324"/>
      <c r="G1377" s="1324"/>
    </row>
    <row r="1378" spans="2:7">
      <c r="B1378" s="1324"/>
      <c r="C1378" s="1324"/>
      <c r="D1378" s="1324"/>
      <c r="E1378" s="1324"/>
      <c r="F1378" s="1324"/>
      <c r="G1378" s="1324"/>
    </row>
    <row r="1379" spans="2:7">
      <c r="B1379" s="1324"/>
      <c r="C1379" s="1324"/>
      <c r="D1379" s="1324"/>
      <c r="E1379" s="1324"/>
      <c r="F1379" s="1324"/>
      <c r="G1379" s="1324"/>
    </row>
    <row r="1380" spans="2:7">
      <c r="B1380" s="1324"/>
      <c r="C1380" s="1324"/>
      <c r="D1380" s="1324"/>
      <c r="E1380" s="1324"/>
      <c r="F1380" s="1324"/>
      <c r="G1380" s="1324"/>
    </row>
    <row r="1381" spans="2:7">
      <c r="B1381" s="1324"/>
      <c r="C1381" s="1324"/>
      <c r="D1381" s="1324"/>
      <c r="E1381" s="1324"/>
      <c r="F1381" s="1324"/>
      <c r="G1381" s="1324"/>
    </row>
    <row r="1382" spans="2:7">
      <c r="B1382" s="1324"/>
      <c r="C1382" s="1324"/>
      <c r="D1382" s="1324"/>
      <c r="E1382" s="1324"/>
      <c r="F1382" s="1324"/>
      <c r="G1382" s="1324"/>
    </row>
    <row r="1383" spans="2:7">
      <c r="B1383" s="1324"/>
      <c r="C1383" s="1324"/>
      <c r="D1383" s="1324"/>
      <c r="E1383" s="1324"/>
      <c r="F1383" s="1324"/>
      <c r="G1383" s="1324"/>
    </row>
    <row r="1384" spans="2:7">
      <c r="B1384" s="1324"/>
      <c r="C1384" s="1324"/>
      <c r="D1384" s="1324"/>
      <c r="E1384" s="1324"/>
      <c r="F1384" s="1324"/>
      <c r="G1384" s="1324"/>
    </row>
  </sheetData>
  <mergeCells count="7">
    <mergeCell ref="I300:N300"/>
    <mergeCell ref="G2:I2"/>
    <mergeCell ref="I242:N242"/>
    <mergeCell ref="B4:G4"/>
    <mergeCell ref="I4:N4"/>
    <mergeCell ref="B3:C3"/>
    <mergeCell ref="I3:J3"/>
  </mergeCells>
  <hyperlinks>
    <hyperlink ref="C531" r:id="rId1" display="https://www.harveynorman.com.au/dji-mini-4-pro-rc-2.html" xr:uid="{1A9687CA-36D9-4FC3-91B5-F14D575B9C4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N359"/>
  <sheetViews>
    <sheetView topLeftCell="C1" zoomScale="82" zoomScaleNormal="82" workbookViewId="0">
      <pane ySplit="3" topLeftCell="A53" activePane="bottomLeft" state="frozen"/>
      <selection pane="bottomLeft" activeCell="K63" sqref="K63"/>
    </sheetView>
  </sheetViews>
  <sheetFormatPr defaultRowHeight="15"/>
  <cols>
    <col min="2" max="2" width="20.85546875" style="1" customWidth="1"/>
    <col min="3" max="3" width="47.140625" style="1" customWidth="1"/>
    <col min="4" max="4" width="19.140625" style="1" customWidth="1"/>
    <col min="5" max="5" width="20.5703125" style="1" customWidth="1"/>
    <col min="6" max="6" width="20" style="1" customWidth="1"/>
    <col min="7" max="7" width="18.5703125" customWidth="1"/>
    <col min="8" max="8" width="22.85546875" style="1" customWidth="1"/>
    <col min="9" max="9" width="39.5703125" customWidth="1"/>
    <col min="10" max="10" width="15.42578125" customWidth="1"/>
    <col min="11" max="11" width="19.140625" style="1" customWidth="1"/>
    <col min="12" max="12" width="22.140625" customWidth="1"/>
    <col min="13" max="13" width="16.140625" customWidth="1"/>
    <col min="14" max="14" width="80.5703125" customWidth="1"/>
  </cols>
  <sheetData>
    <row r="2" spans="2:14" ht="21">
      <c r="B2" s="1530" t="s">
        <v>20</v>
      </c>
      <c r="C2" s="1530"/>
      <c r="D2" s="1530"/>
      <c r="E2" s="1530"/>
      <c r="F2" s="1530"/>
      <c r="H2" s="1530" t="s">
        <v>21</v>
      </c>
      <c r="I2" s="1530"/>
      <c r="J2" s="1530"/>
      <c r="K2" s="1530"/>
      <c r="L2" s="1530"/>
    </row>
    <row r="3" spans="2:14" ht="21">
      <c r="B3" s="6" t="s">
        <v>22</v>
      </c>
      <c r="C3" s="6" t="s">
        <v>2</v>
      </c>
      <c r="D3" s="6" t="s">
        <v>23</v>
      </c>
      <c r="E3" s="6" t="s">
        <v>24</v>
      </c>
      <c r="F3" s="6" t="s">
        <v>25</v>
      </c>
      <c r="H3" s="6" t="s">
        <v>22</v>
      </c>
      <c r="I3" s="6" t="s">
        <v>2</v>
      </c>
      <c r="J3" s="6" t="s">
        <v>23</v>
      </c>
      <c r="K3" s="6" t="s">
        <v>24</v>
      </c>
      <c r="L3" s="6" t="s">
        <v>25</v>
      </c>
    </row>
    <row r="4" spans="2:14" ht="21">
      <c r="B4" s="20">
        <v>45617</v>
      </c>
      <c r="C4" s="36" t="s">
        <v>78</v>
      </c>
      <c r="D4" s="2">
        <v>1</v>
      </c>
      <c r="E4" s="2">
        <v>1</v>
      </c>
      <c r="F4" s="2">
        <f>D4-E4</f>
        <v>0</v>
      </c>
      <c r="H4" s="20">
        <v>45695</v>
      </c>
      <c r="I4" s="36" t="s">
        <v>80</v>
      </c>
      <c r="J4" s="2">
        <v>17</v>
      </c>
      <c r="K4" s="2">
        <v>17</v>
      </c>
      <c r="L4" s="2">
        <f>J4-K4</f>
        <v>0</v>
      </c>
    </row>
    <row r="5" spans="2:14" ht="21">
      <c r="B5" s="20">
        <v>45612</v>
      </c>
      <c r="C5" s="36" t="s">
        <v>80</v>
      </c>
      <c r="D5" s="2">
        <v>3</v>
      </c>
      <c r="E5" s="2">
        <v>3</v>
      </c>
      <c r="F5" s="2">
        <f t="shared" ref="F5:F68" si="0">D5-E5</f>
        <v>0</v>
      </c>
      <c r="H5" s="2" t="s">
        <v>126</v>
      </c>
      <c r="I5" s="36" t="s">
        <v>78</v>
      </c>
      <c r="J5" s="2">
        <v>100</v>
      </c>
      <c r="K5" s="2">
        <v>100</v>
      </c>
      <c r="L5" s="2">
        <f t="shared" ref="L5:L77" si="1">J5-K5</f>
        <v>0</v>
      </c>
    </row>
    <row r="6" spans="2:14" ht="21">
      <c r="B6" s="20">
        <v>45644</v>
      </c>
      <c r="C6" s="36" t="s">
        <v>80</v>
      </c>
      <c r="D6" s="2">
        <v>32</v>
      </c>
      <c r="E6" s="2">
        <v>32</v>
      </c>
      <c r="F6" s="2">
        <f t="shared" si="0"/>
        <v>0</v>
      </c>
      <c r="H6" s="2"/>
      <c r="I6" s="2"/>
      <c r="J6" s="2"/>
      <c r="K6" s="2"/>
      <c r="L6" s="2">
        <f t="shared" si="1"/>
        <v>0</v>
      </c>
      <c r="N6" s="27" t="s">
        <v>53</v>
      </c>
    </row>
    <row r="7" spans="2:14" ht="21">
      <c r="B7" s="20">
        <v>45652</v>
      </c>
      <c r="C7" s="36" t="s">
        <v>80</v>
      </c>
      <c r="D7" s="2">
        <v>40</v>
      </c>
      <c r="E7" s="2">
        <v>40</v>
      </c>
      <c r="F7" s="2">
        <f t="shared" si="0"/>
        <v>0</v>
      </c>
      <c r="H7" s="265">
        <v>45831</v>
      </c>
      <c r="I7" s="92" t="s">
        <v>671</v>
      </c>
      <c r="J7" s="2">
        <v>4</v>
      </c>
      <c r="K7" s="2">
        <v>4</v>
      </c>
      <c r="L7" s="2">
        <f t="shared" si="1"/>
        <v>0</v>
      </c>
      <c r="N7" t="s">
        <v>52</v>
      </c>
    </row>
    <row r="8" spans="2:14" ht="21">
      <c r="B8" s="20">
        <v>45652</v>
      </c>
      <c r="C8" s="36" t="s">
        <v>80</v>
      </c>
      <c r="D8" s="2">
        <v>75</v>
      </c>
      <c r="E8" s="2">
        <v>75</v>
      </c>
      <c r="F8" s="2">
        <f t="shared" si="0"/>
        <v>0</v>
      </c>
      <c r="H8" s="2"/>
      <c r="I8" s="2"/>
      <c r="J8" s="2"/>
      <c r="K8" s="2"/>
      <c r="L8" s="2">
        <f t="shared" si="1"/>
        <v>0</v>
      </c>
    </row>
    <row r="9" spans="2:14" ht="21">
      <c r="B9" s="20">
        <v>45652</v>
      </c>
      <c r="C9" s="36" t="s">
        <v>81</v>
      </c>
      <c r="D9" s="2">
        <v>10</v>
      </c>
      <c r="E9" s="2">
        <v>10</v>
      </c>
      <c r="F9" s="2">
        <f t="shared" si="0"/>
        <v>0</v>
      </c>
      <c r="H9" s="265">
        <v>45870</v>
      </c>
      <c r="I9" s="93" t="s">
        <v>839</v>
      </c>
      <c r="J9" s="19">
        <v>10</v>
      </c>
      <c r="K9" s="2">
        <v>10</v>
      </c>
      <c r="L9" s="2">
        <f t="shared" si="1"/>
        <v>0</v>
      </c>
    </row>
    <row r="10" spans="2:14" ht="21">
      <c r="B10" s="20">
        <v>45652</v>
      </c>
      <c r="C10" s="43" t="s">
        <v>86</v>
      </c>
      <c r="D10" s="2">
        <v>1</v>
      </c>
      <c r="E10" s="2">
        <v>1</v>
      </c>
      <c r="F10" s="2">
        <f t="shared" si="0"/>
        <v>0</v>
      </c>
      <c r="H10" s="265">
        <v>45870</v>
      </c>
      <c r="I10" s="93" t="s">
        <v>839</v>
      </c>
      <c r="J10" s="19">
        <v>5</v>
      </c>
      <c r="K10" s="2">
        <v>5</v>
      </c>
      <c r="L10" s="2">
        <f t="shared" si="1"/>
        <v>0</v>
      </c>
      <c r="N10" s="27" t="s">
        <v>54</v>
      </c>
    </row>
    <row r="11" spans="2:14" ht="21">
      <c r="B11" s="20">
        <v>45652</v>
      </c>
      <c r="C11" s="43" t="s">
        <v>92</v>
      </c>
      <c r="D11" s="2">
        <v>11</v>
      </c>
      <c r="E11" s="2">
        <v>11</v>
      </c>
      <c r="F11" s="2">
        <f>D11-E11</f>
        <v>0</v>
      </c>
      <c r="H11" s="265">
        <v>45870</v>
      </c>
      <c r="I11" s="185" t="s">
        <v>901</v>
      </c>
      <c r="J11" s="19">
        <v>2</v>
      </c>
      <c r="K11" s="8">
        <v>2</v>
      </c>
      <c r="L11" s="8">
        <f t="shared" si="1"/>
        <v>0</v>
      </c>
      <c r="N11" s="26" t="s">
        <v>51</v>
      </c>
    </row>
    <row r="12" spans="2:14" ht="21">
      <c r="B12" s="20"/>
      <c r="C12" s="43"/>
      <c r="D12" s="2"/>
      <c r="E12" s="2"/>
      <c r="F12" s="2">
        <f>D12-E12</f>
        <v>0</v>
      </c>
      <c r="H12" s="265">
        <v>45870</v>
      </c>
      <c r="I12" s="93" t="s">
        <v>839</v>
      </c>
      <c r="J12" s="19">
        <v>1</v>
      </c>
      <c r="K12" s="19">
        <v>1</v>
      </c>
      <c r="L12" s="19">
        <f t="shared" si="1"/>
        <v>0</v>
      </c>
    </row>
    <row r="13" spans="2:14" ht="21">
      <c r="B13" s="20">
        <v>45709</v>
      </c>
      <c r="C13" s="43" t="s">
        <v>86</v>
      </c>
      <c r="D13" s="8">
        <v>1</v>
      </c>
      <c r="E13" s="8">
        <v>1</v>
      </c>
      <c r="F13" s="8">
        <f>D13-E13</f>
        <v>0</v>
      </c>
      <c r="H13" s="265">
        <v>45870</v>
      </c>
      <c r="I13" s="185" t="s">
        <v>671</v>
      </c>
      <c r="J13" s="375">
        <v>20</v>
      </c>
      <c r="K13" s="19">
        <v>20</v>
      </c>
      <c r="L13" s="19">
        <f t="shared" si="1"/>
        <v>0</v>
      </c>
    </row>
    <row r="14" spans="2:14" ht="21">
      <c r="B14" s="20">
        <v>45709</v>
      </c>
      <c r="C14" s="43" t="s">
        <v>87</v>
      </c>
      <c r="D14" s="19">
        <v>1</v>
      </c>
      <c r="E14" s="19">
        <v>1</v>
      </c>
      <c r="F14" s="8">
        <f>D14-E14</f>
        <v>0</v>
      </c>
      <c r="H14" s="265">
        <v>45870</v>
      </c>
      <c r="I14" s="93" t="s">
        <v>839</v>
      </c>
      <c r="J14" s="19">
        <v>1</v>
      </c>
      <c r="K14" s="19">
        <v>1</v>
      </c>
      <c r="L14" s="19">
        <f t="shared" si="1"/>
        <v>0</v>
      </c>
    </row>
    <row r="15" spans="2:14" ht="21">
      <c r="B15" s="20">
        <v>45709</v>
      </c>
      <c r="C15" s="43" t="s">
        <v>120</v>
      </c>
      <c r="D15" s="19">
        <v>10</v>
      </c>
      <c r="E15" s="19">
        <v>10</v>
      </c>
      <c r="F15" s="8">
        <f t="shared" si="0"/>
        <v>0</v>
      </c>
      <c r="H15" s="19"/>
      <c r="I15" s="18"/>
      <c r="J15" s="18"/>
      <c r="K15" s="19"/>
      <c r="L15" s="19">
        <f t="shared" si="1"/>
        <v>0</v>
      </c>
    </row>
    <row r="16" spans="2:14" ht="21">
      <c r="B16" s="19"/>
      <c r="C16" s="19"/>
      <c r="D16" s="19"/>
      <c r="E16" s="19"/>
      <c r="F16" s="8">
        <f t="shared" si="0"/>
        <v>0</v>
      </c>
      <c r="H16" s="265">
        <v>45864</v>
      </c>
      <c r="I16" s="93" t="s">
        <v>671</v>
      </c>
      <c r="J16" s="18">
        <v>10</v>
      </c>
      <c r="K16" s="19">
        <v>10</v>
      </c>
      <c r="L16" s="19">
        <f t="shared" si="1"/>
        <v>0</v>
      </c>
    </row>
    <row r="17" spans="2:13" ht="21">
      <c r="B17" s="81">
        <v>45730</v>
      </c>
      <c r="C17" s="92" t="s">
        <v>84</v>
      </c>
      <c r="D17" s="19">
        <v>5</v>
      </c>
      <c r="E17" s="19">
        <v>5</v>
      </c>
      <c r="F17" s="8">
        <f t="shared" si="0"/>
        <v>0</v>
      </c>
      <c r="H17" s="265">
        <v>45864</v>
      </c>
      <c r="I17" s="93" t="s">
        <v>671</v>
      </c>
      <c r="J17" s="18">
        <v>10</v>
      </c>
      <c r="K17" s="19">
        <v>10</v>
      </c>
      <c r="L17" s="19">
        <f t="shared" si="1"/>
        <v>0</v>
      </c>
    </row>
    <row r="18" spans="2:13" ht="21">
      <c r="B18" s="81">
        <v>45730</v>
      </c>
      <c r="C18" s="93" t="s">
        <v>201</v>
      </c>
      <c r="D18" s="19">
        <v>8</v>
      </c>
      <c r="E18" s="19">
        <v>8</v>
      </c>
      <c r="F18" s="8">
        <f t="shared" si="0"/>
        <v>0</v>
      </c>
      <c r="H18" s="19"/>
      <c r="I18" s="18"/>
      <c r="J18" s="18"/>
      <c r="K18" s="19"/>
      <c r="L18" s="19">
        <f t="shared" si="1"/>
        <v>0</v>
      </c>
    </row>
    <row r="19" spans="2:13" ht="21">
      <c r="B19" s="19"/>
      <c r="C19" s="19"/>
      <c r="D19" s="19"/>
      <c r="E19" s="19"/>
      <c r="F19" s="8">
        <f t="shared" si="0"/>
        <v>0</v>
      </c>
      <c r="H19" s="330">
        <v>45880</v>
      </c>
      <c r="I19" s="329" t="s">
        <v>121</v>
      </c>
      <c r="J19" s="18">
        <v>50</v>
      </c>
      <c r="K19" s="19">
        <v>50</v>
      </c>
      <c r="L19" s="19">
        <f t="shared" si="1"/>
        <v>0</v>
      </c>
    </row>
    <row r="20" spans="2:13" ht="21">
      <c r="B20" s="81">
        <v>45733</v>
      </c>
      <c r="C20" s="93" t="s">
        <v>201</v>
      </c>
      <c r="D20" s="19">
        <v>3</v>
      </c>
      <c r="E20" s="19">
        <v>3</v>
      </c>
      <c r="F20" s="8">
        <f t="shared" si="0"/>
        <v>0</v>
      </c>
      <c r="H20" s="19"/>
      <c r="I20" s="18"/>
      <c r="J20" s="18"/>
      <c r="K20" s="19"/>
      <c r="L20" s="19">
        <f t="shared" si="1"/>
        <v>0</v>
      </c>
    </row>
    <row r="21" spans="2:13" ht="21">
      <c r="B21" s="19"/>
      <c r="C21" s="19"/>
      <c r="D21" s="19"/>
      <c r="E21" s="19"/>
      <c r="F21" s="8">
        <f t="shared" si="0"/>
        <v>0</v>
      </c>
      <c r="H21" s="429">
        <v>45889</v>
      </c>
      <c r="I21" s="93" t="s">
        <v>671</v>
      </c>
      <c r="J21" s="18">
        <v>0</v>
      </c>
      <c r="K21" s="19"/>
      <c r="L21" s="19">
        <f t="shared" si="1"/>
        <v>0</v>
      </c>
      <c r="M21" s="441" t="s">
        <v>1226</v>
      </c>
    </row>
    <row r="22" spans="2:13" ht="21">
      <c r="B22" s="81">
        <v>45739</v>
      </c>
      <c r="C22" s="93" t="s">
        <v>266</v>
      </c>
      <c r="D22" s="19">
        <v>1</v>
      </c>
      <c r="E22" s="19">
        <v>1</v>
      </c>
      <c r="F22" s="8">
        <f t="shared" si="0"/>
        <v>0</v>
      </c>
      <c r="H22" s="429">
        <v>45889</v>
      </c>
      <c r="I22" s="93" t="s">
        <v>671</v>
      </c>
      <c r="J22" s="18">
        <v>0</v>
      </c>
      <c r="K22" s="19"/>
      <c r="L22" s="19">
        <f t="shared" si="1"/>
        <v>0</v>
      </c>
      <c r="M22" s="441" t="s">
        <v>1226</v>
      </c>
    </row>
    <row r="23" spans="2:13" ht="21">
      <c r="B23" s="81">
        <v>45739</v>
      </c>
      <c r="C23" s="93" t="s">
        <v>266</v>
      </c>
      <c r="D23" s="19">
        <v>2</v>
      </c>
      <c r="E23" s="19">
        <v>2</v>
      </c>
      <c r="F23" s="8">
        <f t="shared" si="0"/>
        <v>0</v>
      </c>
      <c r="H23" s="429">
        <v>45889</v>
      </c>
      <c r="I23" s="93" t="s">
        <v>671</v>
      </c>
      <c r="J23" s="18">
        <v>1</v>
      </c>
      <c r="K23" s="19">
        <v>1</v>
      </c>
      <c r="L23" s="19">
        <f t="shared" si="1"/>
        <v>0</v>
      </c>
    </row>
    <row r="24" spans="2:13" ht="21">
      <c r="B24" s="81">
        <v>45740</v>
      </c>
      <c r="C24" s="93" t="s">
        <v>266</v>
      </c>
      <c r="D24" s="19">
        <v>2</v>
      </c>
      <c r="E24" s="19">
        <v>2</v>
      </c>
      <c r="F24" s="8">
        <f t="shared" si="0"/>
        <v>0</v>
      </c>
      <c r="H24" s="429">
        <v>45889</v>
      </c>
      <c r="I24" s="93" t="s">
        <v>671</v>
      </c>
      <c r="J24" s="18">
        <v>4</v>
      </c>
      <c r="K24" s="19">
        <v>4</v>
      </c>
      <c r="L24" s="19">
        <f t="shared" si="1"/>
        <v>0</v>
      </c>
    </row>
    <row r="25" spans="2:13" ht="21">
      <c r="B25" s="81">
        <v>45740</v>
      </c>
      <c r="C25" s="93" t="s">
        <v>266</v>
      </c>
      <c r="D25" s="19">
        <v>2</v>
      </c>
      <c r="E25" s="19">
        <v>2</v>
      </c>
      <c r="F25" s="8">
        <f t="shared" si="0"/>
        <v>0</v>
      </c>
      <c r="H25" s="429">
        <v>45895</v>
      </c>
      <c r="I25" s="329" t="s">
        <v>121</v>
      </c>
      <c r="J25" s="18">
        <v>50</v>
      </c>
      <c r="K25" s="19">
        <v>50</v>
      </c>
      <c r="L25" s="19">
        <f t="shared" si="1"/>
        <v>0</v>
      </c>
    </row>
    <row r="26" spans="2:13" ht="21">
      <c r="B26" s="19"/>
      <c r="C26" s="19"/>
      <c r="D26" s="19"/>
      <c r="E26" s="19"/>
      <c r="F26" s="8">
        <f t="shared" si="0"/>
        <v>0</v>
      </c>
      <c r="H26" s="429">
        <v>45895</v>
      </c>
      <c r="I26" s="329" t="s">
        <v>121</v>
      </c>
      <c r="J26" s="18">
        <v>50</v>
      </c>
      <c r="K26" s="19">
        <v>50</v>
      </c>
      <c r="L26" s="19">
        <f t="shared" si="1"/>
        <v>0</v>
      </c>
    </row>
    <row r="27" spans="2:13" ht="21">
      <c r="B27" s="81">
        <v>45742</v>
      </c>
      <c r="C27" s="93" t="s">
        <v>266</v>
      </c>
      <c r="D27" s="19">
        <v>10</v>
      </c>
      <c r="E27" s="19">
        <v>10</v>
      </c>
      <c r="F27" s="8">
        <f t="shared" si="0"/>
        <v>0</v>
      </c>
      <c r="H27" s="330">
        <v>45957</v>
      </c>
      <c r="I27" s="329" t="s">
        <v>839</v>
      </c>
      <c r="J27" s="18">
        <v>1</v>
      </c>
      <c r="K27" s="19">
        <v>1</v>
      </c>
      <c r="L27" s="19">
        <f t="shared" si="1"/>
        <v>0</v>
      </c>
    </row>
    <row r="28" spans="2:13" ht="21">
      <c r="B28" s="81">
        <v>45742</v>
      </c>
      <c r="C28" s="92" t="s">
        <v>84</v>
      </c>
      <c r="D28" s="19">
        <v>2</v>
      </c>
      <c r="E28" s="19">
        <v>2</v>
      </c>
      <c r="F28" s="8">
        <f t="shared" si="0"/>
        <v>0</v>
      </c>
      <c r="H28" s="330">
        <v>45957</v>
      </c>
      <c r="I28" s="329" t="s">
        <v>839</v>
      </c>
      <c r="J28" s="18">
        <v>2</v>
      </c>
      <c r="K28" s="19">
        <v>2</v>
      </c>
      <c r="L28" s="19">
        <f t="shared" si="1"/>
        <v>0</v>
      </c>
    </row>
    <row r="29" spans="2:13" ht="21">
      <c r="B29" s="19"/>
      <c r="C29" s="19"/>
      <c r="D29" s="19"/>
      <c r="E29" s="19"/>
      <c r="F29" s="8">
        <f t="shared" si="0"/>
        <v>0</v>
      </c>
      <c r="H29" s="564">
        <v>45958</v>
      </c>
      <c r="I29" s="329" t="s">
        <v>839</v>
      </c>
      <c r="J29" s="557">
        <v>10</v>
      </c>
      <c r="K29" s="19">
        <v>10</v>
      </c>
      <c r="L29" s="19">
        <f t="shared" si="1"/>
        <v>0</v>
      </c>
    </row>
    <row r="30" spans="2:13" ht="21">
      <c r="B30" s="81">
        <v>45743</v>
      </c>
      <c r="C30" s="93" t="s">
        <v>266</v>
      </c>
      <c r="D30" s="19">
        <v>10</v>
      </c>
      <c r="E30" s="19">
        <v>10</v>
      </c>
      <c r="F30" s="8">
        <f t="shared" si="0"/>
        <v>0</v>
      </c>
      <c r="H30" s="564">
        <v>45958</v>
      </c>
      <c r="I30" s="93" t="s">
        <v>671</v>
      </c>
      <c r="J30" s="557">
        <v>3</v>
      </c>
      <c r="K30" s="19">
        <v>3</v>
      </c>
      <c r="L30" s="19">
        <f t="shared" si="1"/>
        <v>0</v>
      </c>
    </row>
    <row r="31" spans="2:13" ht="21">
      <c r="B31" s="81">
        <v>45743</v>
      </c>
      <c r="C31" s="104" t="s">
        <v>302</v>
      </c>
      <c r="D31" s="19">
        <v>2</v>
      </c>
      <c r="E31" s="19">
        <v>2</v>
      </c>
      <c r="F31" s="8">
        <f t="shared" si="0"/>
        <v>0</v>
      </c>
      <c r="H31" s="564">
        <v>45958</v>
      </c>
      <c r="I31" s="329" t="s">
        <v>839</v>
      </c>
      <c r="J31" s="557">
        <v>6</v>
      </c>
      <c r="K31" s="19">
        <v>6</v>
      </c>
      <c r="L31" s="19">
        <f t="shared" si="1"/>
        <v>0</v>
      </c>
    </row>
    <row r="32" spans="2:13" ht="21">
      <c r="B32" s="19"/>
      <c r="C32" s="19"/>
      <c r="D32" s="19"/>
      <c r="E32" s="19"/>
      <c r="F32" s="8">
        <f t="shared" si="0"/>
        <v>0</v>
      </c>
      <c r="H32" s="564">
        <v>45958</v>
      </c>
      <c r="I32" s="329" t="s">
        <v>839</v>
      </c>
      <c r="J32" s="557">
        <v>1</v>
      </c>
      <c r="K32" s="19">
        <v>1</v>
      </c>
      <c r="L32" s="19">
        <f t="shared" si="1"/>
        <v>0</v>
      </c>
    </row>
    <row r="33" spans="2:12" ht="21">
      <c r="B33" s="81">
        <v>45744</v>
      </c>
      <c r="C33" s="93" t="s">
        <v>266</v>
      </c>
      <c r="D33" s="19">
        <v>2</v>
      </c>
      <c r="E33" s="19">
        <v>2</v>
      </c>
      <c r="F33" s="8">
        <f t="shared" si="0"/>
        <v>0</v>
      </c>
      <c r="H33" s="330">
        <v>45990</v>
      </c>
      <c r="I33" s="329" t="s">
        <v>839</v>
      </c>
      <c r="J33" s="345">
        <v>1</v>
      </c>
      <c r="K33" s="19">
        <v>1</v>
      </c>
      <c r="L33" s="19">
        <f t="shared" si="1"/>
        <v>0</v>
      </c>
    </row>
    <row r="34" spans="2:12" ht="21">
      <c r="B34" s="81">
        <v>45744</v>
      </c>
      <c r="C34" s="104" t="s">
        <v>302</v>
      </c>
      <c r="D34" s="19">
        <v>1</v>
      </c>
      <c r="E34" s="19">
        <v>1</v>
      </c>
      <c r="F34" s="8">
        <f t="shared" si="0"/>
        <v>0</v>
      </c>
      <c r="H34" s="330">
        <v>45990</v>
      </c>
      <c r="I34" s="329" t="s">
        <v>839</v>
      </c>
      <c r="J34" s="345">
        <v>1</v>
      </c>
      <c r="K34" s="19">
        <v>1</v>
      </c>
      <c r="L34" s="19">
        <f t="shared" si="1"/>
        <v>0</v>
      </c>
    </row>
    <row r="35" spans="2:12" ht="21">
      <c r="B35" s="81">
        <v>45744</v>
      </c>
      <c r="C35" s="93" t="s">
        <v>121</v>
      </c>
      <c r="D35" s="19">
        <v>4</v>
      </c>
      <c r="E35" s="19">
        <v>4</v>
      </c>
      <c r="F35" s="8">
        <f t="shared" si="0"/>
        <v>0</v>
      </c>
      <c r="H35" s="330">
        <v>45990</v>
      </c>
      <c r="I35" s="329" t="s">
        <v>839</v>
      </c>
      <c r="J35" s="345">
        <v>3</v>
      </c>
      <c r="K35" s="19">
        <v>3</v>
      </c>
      <c r="L35" s="19">
        <f t="shared" si="1"/>
        <v>0</v>
      </c>
    </row>
    <row r="36" spans="2:12" ht="21">
      <c r="B36" s="81">
        <v>45744</v>
      </c>
      <c r="C36" s="93" t="s">
        <v>303</v>
      </c>
      <c r="D36" s="19">
        <v>3</v>
      </c>
      <c r="E36" s="19">
        <v>3</v>
      </c>
      <c r="F36" s="8">
        <f t="shared" si="0"/>
        <v>0</v>
      </c>
      <c r="H36" s="330">
        <v>45990</v>
      </c>
      <c r="I36" s="329" t="s">
        <v>839</v>
      </c>
      <c r="J36" s="345">
        <v>10</v>
      </c>
      <c r="K36" s="19">
        <v>10</v>
      </c>
      <c r="L36" s="19">
        <f t="shared" si="1"/>
        <v>0</v>
      </c>
    </row>
    <row r="37" spans="2:12" ht="21">
      <c r="B37" s="19"/>
      <c r="C37" s="19"/>
      <c r="D37" s="19"/>
      <c r="E37" s="19"/>
      <c r="F37" s="8">
        <f t="shared" si="0"/>
        <v>0</v>
      </c>
      <c r="H37" s="330">
        <v>45990</v>
      </c>
      <c r="I37" s="329" t="s">
        <v>839</v>
      </c>
      <c r="J37" s="345">
        <v>12</v>
      </c>
      <c r="K37" s="19">
        <v>12</v>
      </c>
      <c r="L37" s="19">
        <f t="shared" si="1"/>
        <v>0</v>
      </c>
    </row>
    <row r="38" spans="2:12" ht="21">
      <c r="B38" s="81">
        <v>45745</v>
      </c>
      <c r="C38" s="93" t="s">
        <v>266</v>
      </c>
      <c r="D38" s="19">
        <v>2</v>
      </c>
      <c r="E38" s="19">
        <v>2</v>
      </c>
      <c r="F38" s="8">
        <f t="shared" si="0"/>
        <v>0</v>
      </c>
      <c r="H38" s="330">
        <v>45966</v>
      </c>
      <c r="I38" s="329" t="s">
        <v>839</v>
      </c>
      <c r="J38" s="18">
        <v>10</v>
      </c>
      <c r="K38" s="19">
        <v>10</v>
      </c>
      <c r="L38" s="19">
        <f t="shared" si="1"/>
        <v>0</v>
      </c>
    </row>
    <row r="39" spans="2:12" ht="21">
      <c r="B39" s="81">
        <v>45745</v>
      </c>
      <c r="C39" s="104" t="s">
        <v>302</v>
      </c>
      <c r="D39" s="19">
        <v>2</v>
      </c>
      <c r="E39" s="19">
        <v>2</v>
      </c>
      <c r="F39" s="8">
        <f t="shared" si="0"/>
        <v>0</v>
      </c>
      <c r="H39" s="330">
        <v>45966</v>
      </c>
      <c r="I39" s="329" t="s">
        <v>839</v>
      </c>
      <c r="J39" s="18">
        <v>1</v>
      </c>
      <c r="K39" s="19">
        <v>1</v>
      </c>
      <c r="L39" s="19">
        <f t="shared" si="1"/>
        <v>0</v>
      </c>
    </row>
    <row r="40" spans="2:12" ht="21">
      <c r="B40" s="153">
        <v>45745</v>
      </c>
      <c r="C40" s="154" t="s">
        <v>84</v>
      </c>
      <c r="D40" s="75">
        <v>1</v>
      </c>
      <c r="E40" s="75">
        <v>1</v>
      </c>
      <c r="F40" s="8">
        <f t="shared" si="0"/>
        <v>0</v>
      </c>
      <c r="H40" s="330">
        <v>45966</v>
      </c>
      <c r="I40" s="327" t="s">
        <v>671</v>
      </c>
      <c r="J40" s="18">
        <v>3</v>
      </c>
      <c r="K40" s="19">
        <v>3</v>
      </c>
      <c r="L40" s="19">
        <f t="shared" si="1"/>
        <v>0</v>
      </c>
    </row>
    <row r="41" spans="2:12" ht="21">
      <c r="B41" s="81">
        <v>45749</v>
      </c>
      <c r="C41" s="93" t="s">
        <v>334</v>
      </c>
      <c r="D41" s="19">
        <v>4</v>
      </c>
      <c r="E41" s="19">
        <v>4</v>
      </c>
      <c r="F41" s="19">
        <f t="shared" si="0"/>
        <v>0</v>
      </c>
      <c r="H41" s="330">
        <v>45966</v>
      </c>
      <c r="I41" s="329" t="s">
        <v>839</v>
      </c>
      <c r="J41" s="18">
        <v>2</v>
      </c>
      <c r="K41" s="19">
        <v>2</v>
      </c>
      <c r="L41" s="19">
        <f t="shared" si="1"/>
        <v>0</v>
      </c>
    </row>
    <row r="42" spans="2:12" ht="21">
      <c r="B42" s="81">
        <v>45749</v>
      </c>
      <c r="C42" s="93" t="s">
        <v>266</v>
      </c>
      <c r="D42" s="19">
        <v>9</v>
      </c>
      <c r="E42" s="19">
        <v>9</v>
      </c>
      <c r="F42" s="19">
        <f t="shared" si="0"/>
        <v>0</v>
      </c>
      <c r="H42" s="330">
        <v>45966</v>
      </c>
      <c r="I42" s="329" t="s">
        <v>839</v>
      </c>
      <c r="J42" s="617">
        <v>2</v>
      </c>
      <c r="K42" s="614">
        <v>2</v>
      </c>
      <c r="L42" s="626">
        <f t="shared" si="1"/>
        <v>0</v>
      </c>
    </row>
    <row r="43" spans="2:12" ht="21">
      <c r="B43" s="81">
        <v>45749</v>
      </c>
      <c r="C43" s="117" t="s">
        <v>84</v>
      </c>
      <c r="D43" s="19">
        <v>1</v>
      </c>
      <c r="E43" s="19">
        <v>1</v>
      </c>
      <c r="F43" s="19">
        <f t="shared" si="0"/>
        <v>0</v>
      </c>
      <c r="H43" s="581">
        <v>46001</v>
      </c>
      <c r="I43" s="582" t="s">
        <v>482</v>
      </c>
      <c r="J43" s="617">
        <v>500</v>
      </c>
      <c r="K43" s="614">
        <v>500</v>
      </c>
      <c r="L43" s="626">
        <f t="shared" si="1"/>
        <v>0</v>
      </c>
    </row>
    <row r="44" spans="2:12" ht="21">
      <c r="B44" s="81">
        <v>45749</v>
      </c>
      <c r="C44" s="84" t="s">
        <v>131</v>
      </c>
      <c r="D44" s="19">
        <v>1</v>
      </c>
      <c r="E44" s="19">
        <v>1</v>
      </c>
      <c r="F44" s="19">
        <f t="shared" si="0"/>
        <v>0</v>
      </c>
      <c r="H44" s="581">
        <v>46001</v>
      </c>
      <c r="I44" s="582" t="s">
        <v>121</v>
      </c>
      <c r="J44" s="617">
        <v>100</v>
      </c>
      <c r="K44" s="614">
        <v>100</v>
      </c>
      <c r="L44" s="626">
        <f t="shared" si="1"/>
        <v>0</v>
      </c>
    </row>
    <row r="45" spans="2:12" ht="21">
      <c r="B45" s="19"/>
      <c r="C45" s="19"/>
      <c r="D45" s="19"/>
      <c r="E45" s="19"/>
      <c r="F45" s="19">
        <f t="shared" si="0"/>
        <v>0</v>
      </c>
      <c r="H45" s="581">
        <v>46001</v>
      </c>
      <c r="I45" s="582" t="s">
        <v>121</v>
      </c>
      <c r="J45" s="617">
        <v>100</v>
      </c>
      <c r="K45" s="614">
        <v>100</v>
      </c>
      <c r="L45" s="626">
        <f t="shared" si="1"/>
        <v>0</v>
      </c>
    </row>
    <row r="46" spans="2:12" ht="21">
      <c r="B46" s="81">
        <v>45747</v>
      </c>
      <c r="C46" s="93" t="s">
        <v>121</v>
      </c>
      <c r="D46" s="19">
        <v>10</v>
      </c>
      <c r="E46" s="19">
        <v>10</v>
      </c>
      <c r="F46" s="19">
        <f t="shared" si="0"/>
        <v>0</v>
      </c>
      <c r="H46" s="330">
        <v>46008</v>
      </c>
      <c r="I46" s="327" t="s">
        <v>671</v>
      </c>
      <c r="J46" s="617">
        <v>2</v>
      </c>
      <c r="K46" s="614">
        <v>2</v>
      </c>
      <c r="L46" s="626">
        <f t="shared" si="1"/>
        <v>0</v>
      </c>
    </row>
    <row r="47" spans="2:12" ht="21">
      <c r="B47" s="81">
        <v>45747</v>
      </c>
      <c r="C47" s="93" t="s">
        <v>303</v>
      </c>
      <c r="D47" s="53">
        <v>10</v>
      </c>
      <c r="E47" s="19">
        <v>10</v>
      </c>
      <c r="F47" s="19">
        <f t="shared" si="0"/>
        <v>0</v>
      </c>
      <c r="H47" s="330">
        <v>46013</v>
      </c>
      <c r="I47" s="329" t="s">
        <v>839</v>
      </c>
      <c r="J47" s="53">
        <v>5</v>
      </c>
      <c r="K47" s="614">
        <v>5</v>
      </c>
      <c r="L47" s="626">
        <f t="shared" si="1"/>
        <v>0</v>
      </c>
    </row>
    <row r="48" spans="2:12" ht="21">
      <c r="B48" s="19"/>
      <c r="C48" s="36"/>
      <c r="D48" s="19"/>
      <c r="E48" s="19"/>
      <c r="F48" s="19">
        <f t="shared" si="0"/>
        <v>0</v>
      </c>
      <c r="H48" s="581">
        <v>46020</v>
      </c>
      <c r="I48" s="582" t="s">
        <v>839</v>
      </c>
      <c r="J48" s="735">
        <v>4</v>
      </c>
      <c r="K48" s="614">
        <v>4</v>
      </c>
      <c r="L48" s="626">
        <f t="shared" si="1"/>
        <v>0</v>
      </c>
    </row>
    <row r="49" spans="2:12" ht="21">
      <c r="B49" s="81">
        <v>45750</v>
      </c>
      <c r="C49" s="117" t="s">
        <v>84</v>
      </c>
      <c r="D49" s="19">
        <v>1</v>
      </c>
      <c r="E49" s="19">
        <v>1</v>
      </c>
      <c r="F49" s="19">
        <f t="shared" si="0"/>
        <v>0</v>
      </c>
      <c r="H49" s="581">
        <v>46078</v>
      </c>
      <c r="I49" s="582" t="s">
        <v>839</v>
      </c>
      <c r="J49" s="735">
        <v>3</v>
      </c>
      <c r="K49" s="735">
        <v>3</v>
      </c>
      <c r="L49" s="626">
        <f t="shared" si="1"/>
        <v>0</v>
      </c>
    </row>
    <row r="50" spans="2:12" ht="21">
      <c r="B50" s="19"/>
      <c r="C50" s="36"/>
      <c r="D50" s="19"/>
      <c r="E50" s="19"/>
      <c r="F50" s="19">
        <f t="shared" si="0"/>
        <v>0</v>
      </c>
      <c r="H50" s="330">
        <v>46113</v>
      </c>
      <c r="I50" s="327" t="s">
        <v>76</v>
      </c>
      <c r="J50" s="345">
        <v>10</v>
      </c>
      <c r="K50" s="735">
        <v>10</v>
      </c>
      <c r="L50" s="626">
        <f t="shared" si="1"/>
        <v>0</v>
      </c>
    </row>
    <row r="51" spans="2:12" ht="21">
      <c r="B51" s="81">
        <v>45751</v>
      </c>
      <c r="C51" s="104" t="s">
        <v>302</v>
      </c>
      <c r="D51" s="19">
        <v>1</v>
      </c>
      <c r="E51" s="19">
        <v>1</v>
      </c>
      <c r="F51" s="19">
        <f t="shared" si="0"/>
        <v>0</v>
      </c>
      <c r="H51" s="330">
        <v>46113</v>
      </c>
      <c r="I51" s="329" t="s">
        <v>839</v>
      </c>
      <c r="J51" s="345">
        <v>8</v>
      </c>
      <c r="K51" s="735">
        <v>8</v>
      </c>
      <c r="L51" s="626">
        <f t="shared" si="1"/>
        <v>0</v>
      </c>
    </row>
    <row r="52" spans="2:12" ht="21">
      <c r="B52" s="81"/>
      <c r="C52" s="93"/>
      <c r="D52" s="19"/>
      <c r="E52" s="19"/>
      <c r="F52" s="19">
        <f t="shared" si="0"/>
        <v>0</v>
      </c>
      <c r="H52" s="330">
        <v>46113</v>
      </c>
      <c r="I52" s="329" t="s">
        <v>839</v>
      </c>
      <c r="J52" s="345">
        <v>5</v>
      </c>
      <c r="K52" s="735">
        <v>5</v>
      </c>
      <c r="L52" s="626">
        <f t="shared" si="1"/>
        <v>0</v>
      </c>
    </row>
    <row r="53" spans="2:12" ht="21">
      <c r="B53" s="81"/>
      <c r="C53" s="117"/>
      <c r="D53" s="19"/>
      <c r="E53" s="19"/>
      <c r="F53" s="19">
        <f t="shared" si="0"/>
        <v>0</v>
      </c>
      <c r="H53" s="330">
        <v>46113</v>
      </c>
      <c r="I53" s="327" t="s">
        <v>671</v>
      </c>
      <c r="J53" s="345">
        <v>4</v>
      </c>
      <c r="K53" s="735">
        <v>4</v>
      </c>
      <c r="L53" s="626">
        <f t="shared" si="1"/>
        <v>0</v>
      </c>
    </row>
    <row r="54" spans="2:12" ht="21">
      <c r="B54" s="81">
        <v>45757</v>
      </c>
      <c r="C54" s="117" t="s">
        <v>84</v>
      </c>
      <c r="D54" s="19">
        <v>8</v>
      </c>
      <c r="E54" s="19">
        <v>8</v>
      </c>
      <c r="F54" s="19">
        <f t="shared" si="0"/>
        <v>0</v>
      </c>
      <c r="H54" s="330">
        <v>46114</v>
      </c>
      <c r="I54" s="329" t="s">
        <v>839</v>
      </c>
      <c r="J54" s="345">
        <v>2</v>
      </c>
      <c r="K54" s="735">
        <v>2</v>
      </c>
      <c r="L54" s="626">
        <f t="shared" si="1"/>
        <v>0</v>
      </c>
    </row>
    <row r="55" spans="2:12" ht="21">
      <c r="B55" s="81">
        <v>45757</v>
      </c>
      <c r="C55" s="117" t="s">
        <v>84</v>
      </c>
      <c r="D55" s="19">
        <v>2</v>
      </c>
      <c r="E55" s="19">
        <v>2</v>
      </c>
      <c r="F55" s="19">
        <f t="shared" si="0"/>
        <v>0</v>
      </c>
      <c r="H55" s="330">
        <v>46113</v>
      </c>
      <c r="I55" s="329" t="s">
        <v>839</v>
      </c>
      <c r="J55" s="345">
        <v>4</v>
      </c>
      <c r="K55" s="735">
        <v>4</v>
      </c>
      <c r="L55" s="626">
        <f t="shared" si="1"/>
        <v>0</v>
      </c>
    </row>
    <row r="56" spans="2:12" ht="21">
      <c r="B56" s="19"/>
      <c r="C56" s="19"/>
      <c r="D56" s="19"/>
      <c r="E56" s="19"/>
      <c r="F56" s="19">
        <f t="shared" si="0"/>
        <v>0</v>
      </c>
      <c r="H56" s="330">
        <v>46113</v>
      </c>
      <c r="I56" s="329" t="s">
        <v>839</v>
      </c>
      <c r="J56" s="345">
        <v>3</v>
      </c>
      <c r="K56" s="735">
        <v>3</v>
      </c>
      <c r="L56" s="626">
        <f t="shared" si="1"/>
        <v>0</v>
      </c>
    </row>
    <row r="57" spans="2:12" ht="21">
      <c r="B57" s="81">
        <v>45759</v>
      </c>
      <c r="C57" s="93" t="s">
        <v>266</v>
      </c>
      <c r="D57" s="19">
        <v>2</v>
      </c>
      <c r="E57" s="19">
        <v>2</v>
      </c>
      <c r="F57" s="19">
        <f t="shared" si="0"/>
        <v>0</v>
      </c>
      <c r="H57" s="330">
        <v>46113</v>
      </c>
      <c r="I57" s="329" t="s">
        <v>839</v>
      </c>
      <c r="J57" s="345">
        <v>1</v>
      </c>
      <c r="K57" s="735">
        <v>1</v>
      </c>
      <c r="L57" s="626">
        <f t="shared" si="1"/>
        <v>0</v>
      </c>
    </row>
    <row r="58" spans="2:12" ht="21">
      <c r="B58" s="81">
        <v>45759</v>
      </c>
      <c r="C58" s="117" t="s">
        <v>84</v>
      </c>
      <c r="D58" s="19">
        <v>1</v>
      </c>
      <c r="E58" s="19">
        <v>1</v>
      </c>
      <c r="F58" s="19">
        <f t="shared" si="0"/>
        <v>0</v>
      </c>
      <c r="H58" s="330">
        <v>46114</v>
      </c>
      <c r="I58" s="329" t="s">
        <v>839</v>
      </c>
      <c r="J58" s="345">
        <v>3</v>
      </c>
      <c r="K58" s="735">
        <v>3</v>
      </c>
      <c r="L58" s="626">
        <f t="shared" si="1"/>
        <v>0</v>
      </c>
    </row>
    <row r="59" spans="2:12" ht="21">
      <c r="B59" s="81">
        <v>45759</v>
      </c>
      <c r="C59" s="93" t="s">
        <v>383</v>
      </c>
      <c r="D59" s="19">
        <v>3</v>
      </c>
      <c r="E59" s="19">
        <v>3</v>
      </c>
      <c r="F59" s="19">
        <f t="shared" si="0"/>
        <v>0</v>
      </c>
      <c r="H59" s="330">
        <v>46114</v>
      </c>
      <c r="I59" s="329" t="s">
        <v>839</v>
      </c>
      <c r="J59" s="345">
        <v>3</v>
      </c>
      <c r="K59" s="735">
        <v>3</v>
      </c>
      <c r="L59" s="626">
        <f t="shared" si="1"/>
        <v>0</v>
      </c>
    </row>
    <row r="60" spans="2:12" ht="21">
      <c r="B60" s="19"/>
      <c r="C60" s="19"/>
      <c r="D60" s="19"/>
      <c r="E60" s="19"/>
      <c r="F60" s="19">
        <f t="shared" si="0"/>
        <v>0</v>
      </c>
      <c r="H60" s="330">
        <v>46149</v>
      </c>
      <c r="I60" s="329" t="s">
        <v>4822</v>
      </c>
      <c r="J60" s="345">
        <v>2</v>
      </c>
      <c r="K60" s="735">
        <v>2</v>
      </c>
      <c r="L60" s="626">
        <f t="shared" si="1"/>
        <v>0</v>
      </c>
    </row>
    <row r="61" spans="2:12" ht="21">
      <c r="B61" s="81">
        <v>45759</v>
      </c>
      <c r="C61" s="93" t="s">
        <v>266</v>
      </c>
      <c r="D61" s="19">
        <v>15</v>
      </c>
      <c r="E61" s="19">
        <v>15</v>
      </c>
      <c r="F61" s="19">
        <f t="shared" si="0"/>
        <v>0</v>
      </c>
      <c r="H61" s="330">
        <v>46152</v>
      </c>
      <c r="I61" s="329" t="s">
        <v>839</v>
      </c>
      <c r="J61" s="345">
        <v>4</v>
      </c>
      <c r="K61" s="735">
        <v>4</v>
      </c>
      <c r="L61" s="626">
        <f t="shared" si="1"/>
        <v>0</v>
      </c>
    </row>
    <row r="62" spans="2:12" ht="21">
      <c r="B62" s="81">
        <v>45759</v>
      </c>
      <c r="C62" s="93" t="s">
        <v>266</v>
      </c>
      <c r="D62" s="19">
        <v>10</v>
      </c>
      <c r="E62" s="19">
        <v>10</v>
      </c>
      <c r="F62" s="19">
        <f t="shared" si="0"/>
        <v>0</v>
      </c>
      <c r="H62" s="330">
        <v>46153</v>
      </c>
      <c r="I62" s="329" t="s">
        <v>4800</v>
      </c>
      <c r="J62" s="345">
        <v>8</v>
      </c>
      <c r="K62" s="735">
        <v>8</v>
      </c>
      <c r="L62" s="626">
        <f t="shared" si="1"/>
        <v>0</v>
      </c>
    </row>
    <row r="63" spans="2:12" ht="21">
      <c r="B63" s="81">
        <v>45759</v>
      </c>
      <c r="C63" s="93" t="s">
        <v>266</v>
      </c>
      <c r="D63" s="19">
        <v>5</v>
      </c>
      <c r="E63" s="19">
        <v>5</v>
      </c>
      <c r="F63" s="19">
        <f t="shared" si="0"/>
        <v>0</v>
      </c>
      <c r="H63" s="330">
        <v>46154</v>
      </c>
      <c r="I63" s="329" t="s">
        <v>839</v>
      </c>
      <c r="J63" s="345">
        <v>4</v>
      </c>
      <c r="K63" s="735">
        <v>4</v>
      </c>
      <c r="L63" s="626">
        <f t="shared" si="1"/>
        <v>0</v>
      </c>
    </row>
    <row r="64" spans="2:12" ht="21">
      <c r="B64" s="19"/>
      <c r="C64" s="19"/>
      <c r="D64" s="19"/>
      <c r="E64" s="19"/>
      <c r="F64" s="19">
        <f t="shared" si="0"/>
        <v>0</v>
      </c>
      <c r="H64" s="330">
        <v>46154</v>
      </c>
      <c r="I64" s="329" t="s">
        <v>4503</v>
      </c>
      <c r="J64" s="345">
        <v>1</v>
      </c>
      <c r="K64" s="735">
        <v>1</v>
      </c>
      <c r="L64" s="626">
        <f t="shared" si="1"/>
        <v>0</v>
      </c>
    </row>
    <row r="65" spans="2:12" ht="21">
      <c r="B65" s="81">
        <v>45759</v>
      </c>
      <c r="C65" s="93" t="s">
        <v>366</v>
      </c>
      <c r="D65" s="19">
        <v>10</v>
      </c>
      <c r="E65" s="19">
        <v>10</v>
      </c>
      <c r="F65" s="19">
        <f t="shared" si="0"/>
        <v>0</v>
      </c>
      <c r="H65" s="330">
        <v>46156</v>
      </c>
      <c r="I65" s="329" t="s">
        <v>4124</v>
      </c>
      <c r="J65" s="345">
        <v>12</v>
      </c>
      <c r="K65" s="735">
        <v>12</v>
      </c>
      <c r="L65" s="626">
        <f t="shared" si="1"/>
        <v>0</v>
      </c>
    </row>
    <row r="66" spans="2:12" ht="21">
      <c r="B66" s="19"/>
      <c r="C66" s="19"/>
      <c r="D66" s="19"/>
      <c r="E66" s="19"/>
      <c r="F66" s="19">
        <f t="shared" si="0"/>
        <v>0</v>
      </c>
      <c r="H66" s="330">
        <v>46156</v>
      </c>
      <c r="I66" s="329" t="s">
        <v>839</v>
      </c>
      <c r="J66" s="345">
        <v>4</v>
      </c>
      <c r="K66" s="735">
        <v>4</v>
      </c>
      <c r="L66" s="626">
        <f t="shared" si="1"/>
        <v>0</v>
      </c>
    </row>
    <row r="67" spans="2:12" ht="21">
      <c r="B67" s="81">
        <v>45759</v>
      </c>
      <c r="C67" s="84" t="s">
        <v>467</v>
      </c>
      <c r="D67" s="19">
        <v>20</v>
      </c>
      <c r="E67" s="19"/>
      <c r="F67" s="19">
        <f t="shared" si="0"/>
        <v>20</v>
      </c>
      <c r="G67" t="s">
        <v>733</v>
      </c>
      <c r="H67" s="330">
        <v>46156</v>
      </c>
      <c r="I67" s="329" t="s">
        <v>839</v>
      </c>
      <c r="J67" s="345">
        <v>4</v>
      </c>
      <c r="K67" s="735">
        <v>4</v>
      </c>
      <c r="L67" s="626">
        <f t="shared" si="1"/>
        <v>0</v>
      </c>
    </row>
    <row r="68" spans="2:12" ht="21">
      <c r="B68" s="19"/>
      <c r="C68" s="19"/>
      <c r="D68" s="19"/>
      <c r="E68" s="19"/>
      <c r="F68" s="19">
        <f t="shared" si="0"/>
        <v>0</v>
      </c>
      <c r="H68" s="330">
        <v>46158</v>
      </c>
      <c r="I68" s="329" t="s">
        <v>4503</v>
      </c>
      <c r="J68" s="345">
        <v>1</v>
      </c>
      <c r="K68" s="735">
        <v>1</v>
      </c>
      <c r="L68" s="626">
        <f t="shared" si="1"/>
        <v>0</v>
      </c>
    </row>
    <row r="69" spans="2:12" ht="21">
      <c r="B69" s="81">
        <v>45760</v>
      </c>
      <c r="C69" s="117" t="s">
        <v>84</v>
      </c>
      <c r="D69" s="19">
        <v>18</v>
      </c>
      <c r="E69" s="19">
        <v>18</v>
      </c>
      <c r="F69" s="19">
        <f t="shared" ref="F69:F116" si="2">D69-E69</f>
        <v>0</v>
      </c>
      <c r="H69" s="330">
        <v>46158</v>
      </c>
      <c r="I69" s="329" t="s">
        <v>4800</v>
      </c>
      <c r="J69" s="345">
        <v>40</v>
      </c>
      <c r="K69" s="735">
        <v>40</v>
      </c>
      <c r="L69" s="626">
        <f t="shared" si="1"/>
        <v>0</v>
      </c>
    </row>
    <row r="70" spans="2:12" ht="21">
      <c r="B70" s="81">
        <v>45760</v>
      </c>
      <c r="C70" s="93" t="s">
        <v>366</v>
      </c>
      <c r="D70" s="19">
        <v>5</v>
      </c>
      <c r="E70" s="19">
        <v>5</v>
      </c>
      <c r="F70" s="19">
        <f t="shared" si="2"/>
        <v>0</v>
      </c>
      <c r="H70" s="330">
        <v>46158</v>
      </c>
      <c r="I70" s="329" t="s">
        <v>4800</v>
      </c>
      <c r="J70" s="345">
        <v>40</v>
      </c>
      <c r="K70" s="735">
        <v>40</v>
      </c>
      <c r="L70" s="626">
        <f t="shared" si="1"/>
        <v>0</v>
      </c>
    </row>
    <row r="71" spans="2:12" ht="21">
      <c r="B71" s="81">
        <v>45760</v>
      </c>
      <c r="C71" s="117" t="s">
        <v>84</v>
      </c>
      <c r="D71" s="19">
        <v>10</v>
      </c>
      <c r="E71" s="19">
        <v>10</v>
      </c>
      <c r="F71" s="19">
        <f t="shared" si="2"/>
        <v>0</v>
      </c>
      <c r="H71" s="330">
        <v>46160</v>
      </c>
      <c r="I71" s="329" t="s">
        <v>839</v>
      </c>
      <c r="J71" s="345">
        <v>4</v>
      </c>
      <c r="K71" s="735">
        <v>4</v>
      </c>
      <c r="L71" s="626">
        <f t="shared" si="1"/>
        <v>0</v>
      </c>
    </row>
    <row r="72" spans="2:12" ht="21">
      <c r="B72" s="19"/>
      <c r="C72" s="19"/>
      <c r="D72" s="19"/>
      <c r="E72" s="19"/>
      <c r="F72" s="19">
        <f t="shared" si="2"/>
        <v>0</v>
      </c>
      <c r="H72" s="330">
        <v>46162</v>
      </c>
      <c r="I72" s="329" t="s">
        <v>4800</v>
      </c>
      <c r="J72" s="345">
        <v>8</v>
      </c>
      <c r="K72" s="735">
        <v>8</v>
      </c>
      <c r="L72" s="626">
        <f t="shared" si="1"/>
        <v>0</v>
      </c>
    </row>
    <row r="73" spans="2:12" ht="21">
      <c r="B73" s="81">
        <v>45760</v>
      </c>
      <c r="C73" s="84" t="s">
        <v>467</v>
      </c>
      <c r="D73" s="19">
        <v>20</v>
      </c>
      <c r="E73" s="19">
        <v>20</v>
      </c>
      <c r="F73" s="19">
        <f t="shared" si="2"/>
        <v>0</v>
      </c>
      <c r="H73" s="330">
        <v>46171</v>
      </c>
      <c r="I73" s="329" t="s">
        <v>839</v>
      </c>
      <c r="J73" s="345">
        <v>2</v>
      </c>
      <c r="K73" s="735">
        <v>2</v>
      </c>
      <c r="L73" s="626">
        <f t="shared" si="1"/>
        <v>0</v>
      </c>
    </row>
    <row r="74" spans="2:12" ht="21">
      <c r="B74" s="81">
        <v>45760</v>
      </c>
      <c r="C74" s="117" t="s">
        <v>84</v>
      </c>
      <c r="D74" s="19">
        <v>3</v>
      </c>
      <c r="E74" s="19">
        <v>3</v>
      </c>
      <c r="F74" s="19">
        <f t="shared" si="2"/>
        <v>0</v>
      </c>
      <c r="H74" s="330">
        <v>46171</v>
      </c>
      <c r="I74" s="329" t="s">
        <v>839</v>
      </c>
      <c r="J74" s="345">
        <v>1</v>
      </c>
      <c r="K74" s="735">
        <v>1</v>
      </c>
      <c r="L74" s="626">
        <f t="shared" si="1"/>
        <v>0</v>
      </c>
    </row>
    <row r="75" spans="2:12" ht="21">
      <c r="B75" s="19"/>
      <c r="C75" s="19"/>
      <c r="D75" s="19"/>
      <c r="E75" s="19"/>
      <c r="F75" s="19">
        <f t="shared" si="2"/>
        <v>0</v>
      </c>
      <c r="H75" s="330">
        <v>46171</v>
      </c>
      <c r="I75" s="329" t="s">
        <v>839</v>
      </c>
      <c r="J75" s="345">
        <v>9</v>
      </c>
      <c r="K75" s="735">
        <v>9</v>
      </c>
      <c r="L75" s="626">
        <f t="shared" si="1"/>
        <v>0</v>
      </c>
    </row>
    <row r="76" spans="2:12" ht="21">
      <c r="B76" s="81">
        <v>45762</v>
      </c>
      <c r="C76" s="93" t="s">
        <v>366</v>
      </c>
      <c r="D76" s="43">
        <v>2</v>
      </c>
      <c r="E76" s="19">
        <v>2</v>
      </c>
      <c r="F76" s="19">
        <f t="shared" si="2"/>
        <v>0</v>
      </c>
      <c r="H76" s="330">
        <v>46178</v>
      </c>
      <c r="I76" s="329" t="s">
        <v>839</v>
      </c>
      <c r="J76" s="345">
        <v>4</v>
      </c>
      <c r="K76" s="735">
        <v>4</v>
      </c>
      <c r="L76" s="626">
        <f t="shared" si="1"/>
        <v>0</v>
      </c>
    </row>
    <row r="77" spans="2:12" ht="21">
      <c r="B77" s="81">
        <v>45762</v>
      </c>
      <c r="C77" s="93" t="s">
        <v>366</v>
      </c>
      <c r="D77" s="43">
        <v>1</v>
      </c>
      <c r="E77" s="19">
        <v>1</v>
      </c>
      <c r="F77" s="19">
        <f t="shared" si="2"/>
        <v>0</v>
      </c>
      <c r="H77" s="330">
        <v>46178</v>
      </c>
      <c r="I77" s="329" t="s">
        <v>839</v>
      </c>
      <c r="J77" s="345">
        <v>4</v>
      </c>
      <c r="K77" s="735">
        <v>4</v>
      </c>
      <c r="L77" s="626">
        <f t="shared" si="1"/>
        <v>0</v>
      </c>
    </row>
    <row r="78" spans="2:12" ht="21">
      <c r="B78" s="81">
        <v>45762</v>
      </c>
      <c r="C78" s="93" t="s">
        <v>266</v>
      </c>
      <c r="D78" s="43">
        <v>2</v>
      </c>
      <c r="E78" s="19">
        <v>2</v>
      </c>
      <c r="F78" s="19">
        <f t="shared" si="2"/>
        <v>0</v>
      </c>
    </row>
    <row r="79" spans="2:12">
      <c r="B79" s="19"/>
      <c r="C79" s="19"/>
      <c r="D79" s="19"/>
      <c r="E79" s="19"/>
      <c r="F79" s="19">
        <f t="shared" si="2"/>
        <v>0</v>
      </c>
    </row>
    <row r="80" spans="2:12" ht="21">
      <c r="B80" s="81">
        <v>45763</v>
      </c>
      <c r="C80" s="104" t="s">
        <v>533</v>
      </c>
      <c r="D80" s="43">
        <v>2</v>
      </c>
      <c r="E80" s="19">
        <v>2</v>
      </c>
      <c r="F80" s="19">
        <f t="shared" si="2"/>
        <v>0</v>
      </c>
      <c r="G80" s="441" t="s">
        <v>1340</v>
      </c>
    </row>
    <row r="81" spans="2:7" ht="21">
      <c r="B81" s="81">
        <v>45763</v>
      </c>
      <c r="C81" s="84" t="s">
        <v>477</v>
      </c>
      <c r="D81" s="43">
        <v>4</v>
      </c>
      <c r="E81" s="19">
        <v>4</v>
      </c>
      <c r="F81" s="19">
        <f t="shared" si="2"/>
        <v>0</v>
      </c>
      <c r="G81" t="s">
        <v>733</v>
      </c>
    </row>
    <row r="82" spans="2:7" ht="21">
      <c r="B82" s="81">
        <v>45763</v>
      </c>
      <c r="C82" s="104" t="s">
        <v>534</v>
      </c>
      <c r="D82" s="43">
        <v>2</v>
      </c>
      <c r="E82" s="19">
        <v>2</v>
      </c>
      <c r="F82" s="19">
        <f t="shared" si="2"/>
        <v>0</v>
      </c>
      <c r="G82" s="441" t="s">
        <v>1340</v>
      </c>
    </row>
    <row r="83" spans="2:7">
      <c r="B83" s="19"/>
      <c r="C83" s="19"/>
      <c r="D83" s="19"/>
      <c r="E83" s="19"/>
      <c r="F83" s="19">
        <f t="shared" si="2"/>
        <v>0</v>
      </c>
    </row>
    <row r="84" spans="2:7" ht="21">
      <c r="B84" s="81">
        <v>45769</v>
      </c>
      <c r="C84" s="104" t="s">
        <v>375</v>
      </c>
      <c r="D84" s="19">
        <v>5</v>
      </c>
      <c r="E84" s="19">
        <v>5</v>
      </c>
      <c r="F84" s="19">
        <f t="shared" si="2"/>
        <v>0</v>
      </c>
    </row>
    <row r="85" spans="2:7" ht="21">
      <c r="B85" s="81">
        <v>45769</v>
      </c>
      <c r="C85" s="104" t="s">
        <v>375</v>
      </c>
      <c r="D85" s="19">
        <v>1</v>
      </c>
      <c r="E85" s="19">
        <v>1</v>
      </c>
      <c r="F85" s="19">
        <f t="shared" si="2"/>
        <v>0</v>
      </c>
    </row>
    <row r="86" spans="2:7" ht="21">
      <c r="B86" s="81">
        <v>45769</v>
      </c>
      <c r="C86" s="104" t="s">
        <v>266</v>
      </c>
      <c r="D86" s="19">
        <v>9</v>
      </c>
      <c r="E86" s="19">
        <v>9</v>
      </c>
      <c r="F86" s="19">
        <f t="shared" si="2"/>
        <v>0</v>
      </c>
    </row>
    <row r="87" spans="2:7">
      <c r="B87" s="19"/>
      <c r="C87" s="19"/>
      <c r="D87" s="19"/>
      <c r="E87" s="19"/>
      <c r="F87" s="19">
        <f t="shared" si="2"/>
        <v>0</v>
      </c>
    </row>
    <row r="88" spans="2:7" ht="21">
      <c r="B88" s="81">
        <v>45793</v>
      </c>
      <c r="C88" s="84" t="s">
        <v>497</v>
      </c>
      <c r="D88" s="19">
        <v>12</v>
      </c>
      <c r="E88" s="19">
        <v>12</v>
      </c>
      <c r="F88" s="19">
        <f t="shared" si="2"/>
        <v>0</v>
      </c>
    </row>
    <row r="89" spans="2:7" ht="21">
      <c r="B89" s="81">
        <v>45793</v>
      </c>
      <c r="C89" s="84" t="s">
        <v>498</v>
      </c>
      <c r="D89" s="19">
        <v>10</v>
      </c>
      <c r="E89" s="19">
        <v>10</v>
      </c>
      <c r="F89" s="19">
        <f t="shared" si="2"/>
        <v>0</v>
      </c>
    </row>
    <row r="90" spans="2:7">
      <c r="B90" s="19"/>
      <c r="C90" s="19"/>
      <c r="D90" s="19"/>
      <c r="E90" s="19"/>
      <c r="F90" s="19">
        <f t="shared" si="2"/>
        <v>0</v>
      </c>
    </row>
    <row r="91" spans="2:7" ht="21">
      <c r="B91" s="81">
        <v>45794</v>
      </c>
      <c r="C91" s="104" t="s">
        <v>673</v>
      </c>
      <c r="D91" s="19">
        <v>2</v>
      </c>
      <c r="E91" s="19">
        <v>2</v>
      </c>
      <c r="F91" s="19">
        <f t="shared" si="2"/>
        <v>0</v>
      </c>
    </row>
    <row r="92" spans="2:7">
      <c r="B92" s="19"/>
      <c r="C92" s="19"/>
      <c r="D92" s="19"/>
      <c r="E92" s="19"/>
      <c r="F92" s="19">
        <f t="shared" si="2"/>
        <v>0</v>
      </c>
    </row>
    <row r="93" spans="2:7" ht="21">
      <c r="B93" s="81">
        <v>45794</v>
      </c>
      <c r="C93" s="92" t="s">
        <v>671</v>
      </c>
      <c r="D93" s="19">
        <v>4</v>
      </c>
      <c r="E93" s="19">
        <v>4</v>
      </c>
      <c r="F93" s="19">
        <f t="shared" si="2"/>
        <v>0</v>
      </c>
    </row>
    <row r="94" spans="2:7" ht="21">
      <c r="B94" s="81">
        <v>45795</v>
      </c>
      <c r="C94" s="92" t="s">
        <v>662</v>
      </c>
      <c r="D94" s="19">
        <v>2</v>
      </c>
      <c r="E94" s="19">
        <v>2</v>
      </c>
      <c r="F94" s="19">
        <f t="shared" si="2"/>
        <v>0</v>
      </c>
    </row>
    <row r="95" spans="2:7" ht="21">
      <c r="B95" s="81">
        <v>45795</v>
      </c>
      <c r="C95" s="92" t="s">
        <v>662</v>
      </c>
      <c r="D95" s="19">
        <v>30</v>
      </c>
      <c r="E95" s="19">
        <v>30</v>
      </c>
      <c r="F95" s="19">
        <f t="shared" si="2"/>
        <v>0</v>
      </c>
    </row>
    <row r="96" spans="2:7">
      <c r="B96" s="19"/>
      <c r="C96" s="19"/>
      <c r="D96" s="19"/>
      <c r="E96" s="19"/>
      <c r="F96" s="19">
        <f t="shared" si="2"/>
        <v>0</v>
      </c>
    </row>
    <row r="97" spans="2:7" ht="21">
      <c r="B97" s="265"/>
      <c r="C97" s="104"/>
      <c r="D97" s="19"/>
      <c r="E97" s="19"/>
      <c r="F97" s="19">
        <f t="shared" si="2"/>
        <v>0</v>
      </c>
    </row>
    <row r="98" spans="2:7">
      <c r="B98" s="19"/>
      <c r="C98" s="19"/>
      <c r="D98" s="19"/>
      <c r="E98" s="19"/>
      <c r="F98" s="19">
        <f t="shared" si="2"/>
        <v>0</v>
      </c>
    </row>
    <row r="99" spans="2:7" ht="21">
      <c r="B99" s="72">
        <v>45826</v>
      </c>
      <c r="C99" s="92" t="s">
        <v>84</v>
      </c>
      <c r="D99" s="19">
        <v>1</v>
      </c>
      <c r="E99" s="19">
        <v>1</v>
      </c>
      <c r="F99" s="19">
        <f t="shared" si="2"/>
        <v>0</v>
      </c>
    </row>
    <row r="100" spans="2:7" ht="21">
      <c r="B100" s="72">
        <v>45826</v>
      </c>
      <c r="C100" s="93" t="s">
        <v>797</v>
      </c>
      <c r="D100" s="19">
        <v>1</v>
      </c>
      <c r="E100" s="19">
        <v>1</v>
      </c>
      <c r="F100" s="19">
        <f t="shared" si="2"/>
        <v>0</v>
      </c>
    </row>
    <row r="101" spans="2:7" ht="21">
      <c r="B101" s="265">
        <v>45832</v>
      </c>
      <c r="C101" s="92" t="s">
        <v>84</v>
      </c>
      <c r="D101" s="19">
        <v>2</v>
      </c>
      <c r="E101" s="19">
        <v>2</v>
      </c>
      <c r="F101" s="19">
        <f t="shared" si="2"/>
        <v>0</v>
      </c>
    </row>
    <row r="102" spans="2:7" ht="21">
      <c r="B102" s="265">
        <v>45832</v>
      </c>
      <c r="C102" s="93" t="s">
        <v>671</v>
      </c>
      <c r="D102" s="19">
        <v>4</v>
      </c>
      <c r="E102" s="19">
        <v>4</v>
      </c>
      <c r="F102" s="19">
        <f t="shared" si="2"/>
        <v>0</v>
      </c>
      <c r="G102" t="s">
        <v>861</v>
      </c>
    </row>
    <row r="103" spans="2:7" ht="21">
      <c r="B103" s="81">
        <v>45840</v>
      </c>
      <c r="C103" s="93" t="s">
        <v>838</v>
      </c>
      <c r="D103" s="19">
        <v>1</v>
      </c>
      <c r="E103" s="19">
        <v>1</v>
      </c>
      <c r="F103" s="19">
        <f t="shared" si="2"/>
        <v>0</v>
      </c>
    </row>
    <row r="104" spans="2:7" ht="21">
      <c r="B104" s="81">
        <v>45840</v>
      </c>
      <c r="C104" s="93" t="s">
        <v>671</v>
      </c>
      <c r="D104" s="19">
        <v>1</v>
      </c>
      <c r="E104" s="19">
        <v>1</v>
      </c>
      <c r="F104" s="19">
        <f t="shared" si="2"/>
        <v>0</v>
      </c>
    </row>
    <row r="105" spans="2:7" ht="21">
      <c r="B105" s="81">
        <v>45841</v>
      </c>
      <c r="C105" s="93" t="s">
        <v>671</v>
      </c>
      <c r="D105" s="19">
        <v>4</v>
      </c>
      <c r="E105" s="19">
        <v>4</v>
      </c>
      <c r="F105" s="19">
        <f t="shared" si="2"/>
        <v>0</v>
      </c>
    </row>
    <row r="106" spans="2:7" ht="21">
      <c r="B106" s="81">
        <v>45867</v>
      </c>
      <c r="C106" s="93" t="s">
        <v>808</v>
      </c>
      <c r="D106" s="19">
        <v>1</v>
      </c>
      <c r="E106" s="19">
        <v>1</v>
      </c>
      <c r="F106" s="19">
        <f t="shared" si="2"/>
        <v>0</v>
      </c>
    </row>
    <row r="107" spans="2:7" ht="21">
      <c r="B107" s="81">
        <v>45867</v>
      </c>
      <c r="C107" s="93" t="s">
        <v>808</v>
      </c>
      <c r="D107" s="19">
        <v>1</v>
      </c>
      <c r="E107" s="19">
        <v>1</v>
      </c>
      <c r="F107" s="19">
        <f t="shared" si="2"/>
        <v>0</v>
      </c>
    </row>
    <row r="108" spans="2:7" ht="21">
      <c r="B108" s="81"/>
      <c r="C108" s="93"/>
      <c r="D108" s="19"/>
      <c r="E108" s="19"/>
      <c r="F108" s="19">
        <f t="shared" si="2"/>
        <v>0</v>
      </c>
    </row>
    <row r="109" spans="2:7" ht="21">
      <c r="B109" s="81">
        <v>45866</v>
      </c>
      <c r="C109" s="93" t="s">
        <v>808</v>
      </c>
      <c r="D109" s="19">
        <v>2</v>
      </c>
      <c r="E109" s="19">
        <v>2</v>
      </c>
      <c r="F109" s="19">
        <f t="shared" si="2"/>
        <v>0</v>
      </c>
    </row>
    <row r="110" spans="2:7" ht="21">
      <c r="B110" s="272">
        <v>45871</v>
      </c>
      <c r="C110" s="139" t="s">
        <v>671</v>
      </c>
      <c r="D110" s="19">
        <v>2</v>
      </c>
      <c r="E110" s="19">
        <v>2</v>
      </c>
      <c r="F110" s="19">
        <f t="shared" si="2"/>
        <v>0</v>
      </c>
    </row>
    <row r="111" spans="2:7" ht="21">
      <c r="B111" s="272">
        <v>45880</v>
      </c>
      <c r="C111" s="139" t="s">
        <v>76</v>
      </c>
      <c r="D111" s="19">
        <v>30</v>
      </c>
      <c r="E111" s="19">
        <v>30</v>
      </c>
      <c r="F111" s="19">
        <f t="shared" si="2"/>
        <v>0</v>
      </c>
    </row>
    <row r="112" spans="2:7" ht="21">
      <c r="B112" s="265">
        <v>45883</v>
      </c>
      <c r="C112" s="139" t="s">
        <v>76</v>
      </c>
      <c r="D112" s="19">
        <v>24</v>
      </c>
      <c r="E112" s="19">
        <v>24</v>
      </c>
      <c r="F112" s="19">
        <f t="shared" si="2"/>
        <v>0</v>
      </c>
    </row>
    <row r="113" spans="2:7" ht="21">
      <c r="B113" s="265">
        <v>45883</v>
      </c>
      <c r="C113" s="139" t="s">
        <v>76</v>
      </c>
      <c r="D113" s="19">
        <v>19</v>
      </c>
      <c r="E113" s="19">
        <v>19</v>
      </c>
      <c r="F113" s="19">
        <f t="shared" si="2"/>
        <v>0</v>
      </c>
      <c r="G113" s="441" t="s">
        <v>1340</v>
      </c>
    </row>
    <row r="114" spans="2:7" ht="21">
      <c r="B114" s="345" t="s">
        <v>1135</v>
      </c>
      <c r="C114" s="343" t="s">
        <v>76</v>
      </c>
      <c r="D114" s="19">
        <v>5</v>
      </c>
      <c r="E114" s="19">
        <v>5</v>
      </c>
      <c r="F114" s="19">
        <f t="shared" si="2"/>
        <v>0</v>
      </c>
    </row>
    <row r="115" spans="2:7" ht="21">
      <c r="B115" s="429">
        <v>45895</v>
      </c>
      <c r="C115" s="343" t="s">
        <v>76</v>
      </c>
      <c r="D115" s="19">
        <v>60</v>
      </c>
      <c r="E115" s="19">
        <v>60</v>
      </c>
      <c r="F115" s="19">
        <f t="shared" si="2"/>
        <v>0</v>
      </c>
    </row>
    <row r="116" spans="2:7" ht="21">
      <c r="B116" s="272">
        <v>45895</v>
      </c>
      <c r="C116" s="139" t="s">
        <v>76</v>
      </c>
      <c r="D116" s="19">
        <v>56</v>
      </c>
      <c r="E116" s="19">
        <v>56</v>
      </c>
      <c r="F116" s="19">
        <f t="shared" si="2"/>
        <v>0</v>
      </c>
    </row>
    <row r="117" spans="2:7" ht="21">
      <c r="B117" s="272">
        <v>45902</v>
      </c>
      <c r="C117" s="128" t="s">
        <v>789</v>
      </c>
      <c r="D117" s="19">
        <v>10</v>
      </c>
      <c r="E117" s="19">
        <v>10</v>
      </c>
      <c r="F117" s="19">
        <f t="shared" ref="F117:F122" si="3">D117-E117</f>
        <v>0</v>
      </c>
    </row>
    <row r="118" spans="2:7" ht="21">
      <c r="B118" s="434">
        <v>45902</v>
      </c>
      <c r="C118" s="503" t="s">
        <v>881</v>
      </c>
      <c r="D118" s="174">
        <v>20</v>
      </c>
      <c r="E118" s="174">
        <v>20</v>
      </c>
      <c r="F118" s="174">
        <f t="shared" si="3"/>
        <v>0</v>
      </c>
      <c r="G118" s="441" t="s">
        <v>1342</v>
      </c>
    </row>
    <row r="119" spans="2:7" ht="21">
      <c r="B119" s="484">
        <v>45918</v>
      </c>
      <c r="C119" s="485" t="s">
        <v>1246</v>
      </c>
      <c r="D119" s="19">
        <v>2</v>
      </c>
      <c r="E119" s="19">
        <v>2</v>
      </c>
      <c r="F119" s="19">
        <f t="shared" si="3"/>
        <v>0</v>
      </c>
    </row>
    <row r="120" spans="2:7" ht="21">
      <c r="B120" s="484">
        <v>45918</v>
      </c>
      <c r="C120" s="485" t="s">
        <v>1246</v>
      </c>
      <c r="D120" s="19">
        <v>4</v>
      </c>
      <c r="E120" s="19">
        <v>4</v>
      </c>
      <c r="F120" s="19">
        <f t="shared" si="3"/>
        <v>0</v>
      </c>
    </row>
    <row r="121" spans="2:7" ht="21">
      <c r="B121" s="272">
        <v>45929</v>
      </c>
      <c r="C121" s="139" t="s">
        <v>1246</v>
      </c>
      <c r="D121" s="19">
        <v>2</v>
      </c>
      <c r="E121" s="19">
        <v>2</v>
      </c>
      <c r="F121" s="19">
        <f t="shared" si="3"/>
        <v>0</v>
      </c>
    </row>
    <row r="122" spans="2:7" ht="21">
      <c r="B122" s="272">
        <v>45929</v>
      </c>
      <c r="C122" s="128" t="s">
        <v>672</v>
      </c>
      <c r="D122" s="19">
        <v>1</v>
      </c>
      <c r="E122" s="19">
        <v>1</v>
      </c>
      <c r="F122" s="19">
        <f t="shared" si="3"/>
        <v>0</v>
      </c>
    </row>
    <row r="123" spans="2:7" ht="21">
      <c r="B123" s="272">
        <v>45952</v>
      </c>
      <c r="C123" s="139" t="s">
        <v>1289</v>
      </c>
      <c r="D123" s="345">
        <v>2</v>
      </c>
      <c r="E123" s="19">
        <v>2</v>
      </c>
      <c r="F123" s="19">
        <f t="shared" ref="F123:F137" si="4">D123-E123</f>
        <v>0</v>
      </c>
    </row>
    <row r="124" spans="2:7" ht="21">
      <c r="B124" s="272">
        <v>45952</v>
      </c>
      <c r="C124" s="139" t="s">
        <v>1289</v>
      </c>
      <c r="D124" s="345">
        <v>2</v>
      </c>
      <c r="E124" s="19">
        <v>2</v>
      </c>
      <c r="F124" s="19">
        <f t="shared" si="4"/>
        <v>0</v>
      </c>
    </row>
    <row r="125" spans="2:7" ht="21">
      <c r="B125" s="272">
        <v>45952</v>
      </c>
      <c r="C125" s="139" t="s">
        <v>1289</v>
      </c>
      <c r="D125" s="345">
        <v>1</v>
      </c>
      <c r="E125" s="19">
        <v>1</v>
      </c>
      <c r="F125" s="19">
        <f t="shared" si="4"/>
        <v>0</v>
      </c>
    </row>
    <row r="126" spans="2:7" ht="21">
      <c r="B126" s="272">
        <v>45952</v>
      </c>
      <c r="C126" s="139" t="s">
        <v>1246</v>
      </c>
      <c r="D126" s="345">
        <v>2</v>
      </c>
      <c r="E126" s="19">
        <v>2</v>
      </c>
      <c r="F126" s="19">
        <f t="shared" si="4"/>
        <v>0</v>
      </c>
      <c r="G126" s="206" t="s">
        <v>1340</v>
      </c>
    </row>
    <row r="127" spans="2:7" ht="21">
      <c r="B127" s="272">
        <v>45952</v>
      </c>
      <c r="C127" s="139" t="s">
        <v>1246</v>
      </c>
      <c r="D127" s="345">
        <v>2</v>
      </c>
      <c r="E127" s="19">
        <v>2</v>
      </c>
      <c r="F127" s="19">
        <f t="shared" si="4"/>
        <v>0</v>
      </c>
      <c r="G127" s="206" t="s">
        <v>1340</v>
      </c>
    </row>
    <row r="128" spans="2:7" ht="21">
      <c r="B128" s="272">
        <v>45952</v>
      </c>
      <c r="C128" s="139" t="s">
        <v>1246</v>
      </c>
      <c r="D128" s="345">
        <v>2</v>
      </c>
      <c r="E128" s="19">
        <v>2</v>
      </c>
      <c r="F128" s="19">
        <f t="shared" si="4"/>
        <v>0</v>
      </c>
      <c r="G128" s="206" t="s">
        <v>1340</v>
      </c>
    </row>
    <row r="129" spans="2:7" ht="21">
      <c r="B129" s="272">
        <v>45952</v>
      </c>
      <c r="C129" s="139" t="s">
        <v>1249</v>
      </c>
      <c r="D129" s="345">
        <v>2</v>
      </c>
      <c r="E129" s="19">
        <v>2</v>
      </c>
      <c r="F129" s="19">
        <f t="shared" si="4"/>
        <v>0</v>
      </c>
      <c r="G129" s="206" t="s">
        <v>1340</v>
      </c>
    </row>
    <row r="130" spans="2:7" ht="21">
      <c r="B130" s="272">
        <v>45952</v>
      </c>
      <c r="C130" s="139" t="s">
        <v>1289</v>
      </c>
      <c r="D130" s="345">
        <v>2</v>
      </c>
      <c r="E130" s="19">
        <v>2</v>
      </c>
      <c r="F130" s="19">
        <f t="shared" si="4"/>
        <v>0</v>
      </c>
    </row>
    <row r="131" spans="2:7" ht="21">
      <c r="B131" s="272">
        <v>45952</v>
      </c>
      <c r="C131" s="139" t="s">
        <v>1289</v>
      </c>
      <c r="D131" s="345">
        <v>2</v>
      </c>
      <c r="E131" s="19">
        <v>2</v>
      </c>
      <c r="F131" s="19">
        <f t="shared" si="4"/>
        <v>0</v>
      </c>
    </row>
    <row r="132" spans="2:7" ht="21">
      <c r="B132" s="272">
        <v>45952</v>
      </c>
      <c r="C132" s="139" t="s">
        <v>1289</v>
      </c>
      <c r="D132" s="345">
        <v>1</v>
      </c>
      <c r="E132" s="19">
        <v>1</v>
      </c>
      <c r="F132" s="19">
        <f t="shared" si="4"/>
        <v>0</v>
      </c>
    </row>
    <row r="133" spans="2:7" ht="21">
      <c r="B133" s="272">
        <v>45961</v>
      </c>
      <c r="C133" s="139" t="s">
        <v>1270</v>
      </c>
      <c r="D133" s="562">
        <v>10</v>
      </c>
      <c r="E133" s="19">
        <v>10</v>
      </c>
      <c r="F133" s="19">
        <f t="shared" si="4"/>
        <v>0</v>
      </c>
    </row>
    <row r="134" spans="2:7" ht="21">
      <c r="B134" s="272">
        <v>45961</v>
      </c>
      <c r="C134" s="128" t="s">
        <v>642</v>
      </c>
      <c r="D134" s="562">
        <v>5</v>
      </c>
      <c r="E134" s="19">
        <v>5</v>
      </c>
      <c r="F134" s="19">
        <f t="shared" si="4"/>
        <v>0</v>
      </c>
    </row>
    <row r="135" spans="2:7" ht="21">
      <c r="B135" s="272">
        <v>45968</v>
      </c>
      <c r="C135" s="139" t="s">
        <v>1617</v>
      </c>
      <c r="D135" s="19">
        <v>30</v>
      </c>
      <c r="E135" s="19">
        <v>30</v>
      </c>
      <c r="F135" s="19">
        <f t="shared" si="4"/>
        <v>0</v>
      </c>
    </row>
    <row r="136" spans="2:7" ht="21">
      <c r="B136" s="272">
        <v>45971</v>
      </c>
      <c r="C136" s="139" t="s">
        <v>1674</v>
      </c>
      <c r="D136" s="345">
        <v>3</v>
      </c>
      <c r="E136" s="19">
        <v>3</v>
      </c>
      <c r="F136" s="19">
        <f t="shared" si="4"/>
        <v>0</v>
      </c>
    </row>
    <row r="137" spans="2:7" ht="21">
      <c r="B137" s="272">
        <v>45971</v>
      </c>
      <c r="C137" s="139" t="s">
        <v>1673</v>
      </c>
      <c r="D137" s="345">
        <v>3</v>
      </c>
      <c r="E137" s="19">
        <v>3</v>
      </c>
      <c r="F137" s="19">
        <f t="shared" si="4"/>
        <v>0</v>
      </c>
    </row>
    <row r="138" spans="2:7" ht="21">
      <c r="B138" s="272">
        <v>45971</v>
      </c>
      <c r="C138" s="139" t="s">
        <v>1674</v>
      </c>
      <c r="D138" s="345">
        <v>1</v>
      </c>
      <c r="E138" s="19">
        <v>1</v>
      </c>
      <c r="F138" s="19">
        <f t="shared" ref="F138:F202" si="5">D138-E138</f>
        <v>0</v>
      </c>
    </row>
    <row r="139" spans="2:7" ht="21">
      <c r="B139" s="272">
        <v>45979</v>
      </c>
      <c r="C139" s="233" t="s">
        <v>1183</v>
      </c>
      <c r="D139" s="345">
        <v>2</v>
      </c>
      <c r="E139" s="588">
        <v>2</v>
      </c>
      <c r="F139" s="588">
        <f t="shared" si="5"/>
        <v>0</v>
      </c>
    </row>
    <row r="140" spans="2:7" ht="21">
      <c r="B140" s="272">
        <v>45979</v>
      </c>
      <c r="C140" s="233" t="s">
        <v>1183</v>
      </c>
      <c r="D140" s="345">
        <v>2</v>
      </c>
      <c r="E140" s="588">
        <v>2</v>
      </c>
      <c r="F140" s="588">
        <f t="shared" si="5"/>
        <v>0</v>
      </c>
    </row>
    <row r="141" spans="2:7" ht="21">
      <c r="B141" s="272">
        <v>45979</v>
      </c>
      <c r="C141" s="233" t="s">
        <v>1183</v>
      </c>
      <c r="D141" s="345">
        <v>2</v>
      </c>
      <c r="E141" s="588">
        <v>2</v>
      </c>
      <c r="F141" s="588">
        <f t="shared" si="5"/>
        <v>0</v>
      </c>
    </row>
    <row r="142" spans="2:7" ht="21">
      <c r="B142" s="272">
        <v>45979</v>
      </c>
      <c r="C142" s="233" t="s">
        <v>1183</v>
      </c>
      <c r="D142" s="345">
        <v>2</v>
      </c>
      <c r="E142" s="588">
        <v>2</v>
      </c>
      <c r="F142" s="588">
        <f t="shared" si="5"/>
        <v>0</v>
      </c>
    </row>
    <row r="143" spans="2:7" ht="21">
      <c r="B143" s="272">
        <v>45979</v>
      </c>
      <c r="C143" s="233" t="s">
        <v>1183</v>
      </c>
      <c r="D143" s="345">
        <v>2</v>
      </c>
      <c r="E143" s="588">
        <v>2</v>
      </c>
      <c r="F143" s="588">
        <f t="shared" si="5"/>
        <v>0</v>
      </c>
    </row>
    <row r="144" spans="2:7" ht="21">
      <c r="B144" s="272">
        <v>45979</v>
      </c>
      <c r="C144" s="139" t="s">
        <v>1754</v>
      </c>
      <c r="D144" s="345">
        <v>9</v>
      </c>
      <c r="E144" s="19">
        <v>9</v>
      </c>
      <c r="F144" s="588">
        <f t="shared" si="5"/>
        <v>0</v>
      </c>
    </row>
    <row r="145" spans="2:6" ht="21">
      <c r="B145" s="272">
        <v>45980</v>
      </c>
      <c r="C145" s="233" t="s">
        <v>1183</v>
      </c>
      <c r="D145" s="43">
        <v>4</v>
      </c>
      <c r="E145" s="19">
        <v>4</v>
      </c>
      <c r="F145" s="19">
        <f t="shared" si="5"/>
        <v>0</v>
      </c>
    </row>
    <row r="146" spans="2:6" ht="21">
      <c r="B146" s="272">
        <v>45980</v>
      </c>
      <c r="C146" s="234" t="s">
        <v>960</v>
      </c>
      <c r="D146" s="43">
        <v>1</v>
      </c>
      <c r="E146" s="19">
        <v>1</v>
      </c>
      <c r="F146" s="19">
        <f t="shared" si="5"/>
        <v>0</v>
      </c>
    </row>
    <row r="147" spans="2:6" ht="21">
      <c r="B147" s="272">
        <v>45980</v>
      </c>
      <c r="C147" s="139" t="s">
        <v>1575</v>
      </c>
      <c r="D147" s="43">
        <v>15</v>
      </c>
      <c r="E147" s="19">
        <v>15</v>
      </c>
      <c r="F147" s="19">
        <f t="shared" si="5"/>
        <v>0</v>
      </c>
    </row>
    <row r="148" spans="2:6" ht="21">
      <c r="B148" s="272">
        <v>45981</v>
      </c>
      <c r="C148" s="139" t="s">
        <v>1575</v>
      </c>
      <c r="D148" s="19">
        <v>12</v>
      </c>
      <c r="E148" s="19">
        <v>12</v>
      </c>
      <c r="F148" s="19">
        <f t="shared" si="5"/>
        <v>0</v>
      </c>
    </row>
    <row r="149" spans="2:6" ht="21">
      <c r="B149" s="272">
        <v>45981</v>
      </c>
      <c r="C149" s="139" t="s">
        <v>1575</v>
      </c>
      <c r="D149" s="19">
        <v>22</v>
      </c>
      <c r="E149" s="19">
        <v>22</v>
      </c>
      <c r="F149" s="19">
        <f t="shared" si="5"/>
        <v>0</v>
      </c>
    </row>
    <row r="150" spans="2:6" ht="21">
      <c r="B150" s="272">
        <v>45981</v>
      </c>
      <c r="C150" s="139" t="s">
        <v>1246</v>
      </c>
      <c r="D150" s="19">
        <v>2</v>
      </c>
      <c r="E150" s="19">
        <v>2</v>
      </c>
      <c r="F150" s="19">
        <f t="shared" si="5"/>
        <v>0</v>
      </c>
    </row>
    <row r="151" spans="2:6" ht="21">
      <c r="B151" s="272">
        <v>45980</v>
      </c>
      <c r="C151" s="128" t="s">
        <v>642</v>
      </c>
      <c r="D151" s="19">
        <v>10</v>
      </c>
      <c r="E151" s="19">
        <v>10</v>
      </c>
      <c r="F151" s="19">
        <f t="shared" si="5"/>
        <v>0</v>
      </c>
    </row>
    <row r="152" spans="2:6" ht="21">
      <c r="B152" s="272">
        <v>45980</v>
      </c>
      <c r="C152" s="139" t="s">
        <v>1270</v>
      </c>
      <c r="D152" s="19">
        <v>10</v>
      </c>
      <c r="E152" s="19">
        <v>10</v>
      </c>
      <c r="F152" s="19">
        <f t="shared" si="5"/>
        <v>0</v>
      </c>
    </row>
    <row r="153" spans="2:6" ht="21">
      <c r="B153" s="272">
        <v>45982</v>
      </c>
      <c r="C153" s="139" t="s">
        <v>807</v>
      </c>
      <c r="D153" s="19">
        <v>3</v>
      </c>
      <c r="E153" s="19">
        <v>3</v>
      </c>
      <c r="F153" s="19">
        <f t="shared" si="5"/>
        <v>0</v>
      </c>
    </row>
    <row r="154" spans="2:6" ht="21">
      <c r="B154" s="272">
        <v>45982</v>
      </c>
      <c r="C154" s="139" t="s">
        <v>807</v>
      </c>
      <c r="D154" s="19">
        <v>1</v>
      </c>
      <c r="E154" s="19">
        <v>1</v>
      </c>
      <c r="F154" s="19">
        <f t="shared" si="5"/>
        <v>0</v>
      </c>
    </row>
    <row r="155" spans="2:6" ht="21">
      <c r="B155" s="272">
        <v>45982</v>
      </c>
      <c r="C155" s="139" t="s">
        <v>808</v>
      </c>
      <c r="D155" s="19">
        <v>5</v>
      </c>
      <c r="E155" s="19">
        <v>5</v>
      </c>
      <c r="F155" s="19">
        <f t="shared" si="5"/>
        <v>0</v>
      </c>
    </row>
    <row r="156" spans="2:6" ht="21">
      <c r="B156" s="272">
        <v>45982</v>
      </c>
      <c r="C156" s="139" t="s">
        <v>807</v>
      </c>
      <c r="D156" s="19">
        <v>6</v>
      </c>
      <c r="E156" s="19">
        <v>6</v>
      </c>
      <c r="F156" s="19">
        <f t="shared" si="5"/>
        <v>0</v>
      </c>
    </row>
    <row r="157" spans="2:6" ht="21">
      <c r="B157" s="272">
        <v>45990</v>
      </c>
      <c r="C157" s="139" t="s">
        <v>1617</v>
      </c>
      <c r="D157" s="345">
        <v>6</v>
      </c>
      <c r="E157" s="19">
        <v>6</v>
      </c>
      <c r="F157" s="19">
        <f t="shared" si="5"/>
        <v>0</v>
      </c>
    </row>
    <row r="158" spans="2:6" ht="21">
      <c r="B158" s="272">
        <v>45990</v>
      </c>
      <c r="C158" s="139" t="s">
        <v>1575</v>
      </c>
      <c r="D158" s="345">
        <v>10</v>
      </c>
      <c r="E158" s="19">
        <v>10</v>
      </c>
      <c r="F158" s="19">
        <f t="shared" si="5"/>
        <v>0</v>
      </c>
    </row>
    <row r="159" spans="2:6" ht="21">
      <c r="B159" s="272">
        <v>45990</v>
      </c>
      <c r="C159" s="139" t="s">
        <v>1617</v>
      </c>
      <c r="D159" s="345">
        <v>3</v>
      </c>
      <c r="E159" s="19">
        <v>3</v>
      </c>
      <c r="F159" s="19">
        <f t="shared" si="5"/>
        <v>0</v>
      </c>
    </row>
    <row r="160" spans="2:6" ht="21">
      <c r="B160" s="272">
        <v>45990</v>
      </c>
      <c r="C160" s="139" t="s">
        <v>1617</v>
      </c>
      <c r="D160" s="345">
        <v>2</v>
      </c>
      <c r="E160" s="19">
        <v>2</v>
      </c>
      <c r="F160" s="19">
        <f t="shared" si="5"/>
        <v>0</v>
      </c>
    </row>
    <row r="161" spans="2:6" ht="21">
      <c r="B161" s="272">
        <v>45991</v>
      </c>
      <c r="C161" s="128" t="s">
        <v>76</v>
      </c>
      <c r="D161" s="614">
        <v>2</v>
      </c>
      <c r="E161" s="614">
        <v>2</v>
      </c>
      <c r="F161" s="614">
        <f t="shared" si="5"/>
        <v>0</v>
      </c>
    </row>
    <row r="162" spans="2:6" ht="21">
      <c r="B162" s="272">
        <v>45991</v>
      </c>
      <c r="C162" s="128" t="s">
        <v>76</v>
      </c>
      <c r="D162" s="614">
        <v>4</v>
      </c>
      <c r="E162" s="614">
        <v>4</v>
      </c>
      <c r="F162" s="614">
        <f t="shared" si="5"/>
        <v>0</v>
      </c>
    </row>
    <row r="163" spans="2:6" ht="21">
      <c r="B163" s="272">
        <v>45991</v>
      </c>
      <c r="C163" s="139" t="s">
        <v>1617</v>
      </c>
      <c r="D163" s="614">
        <v>3</v>
      </c>
      <c r="E163" s="614">
        <v>3</v>
      </c>
      <c r="F163" s="614">
        <f t="shared" si="5"/>
        <v>0</v>
      </c>
    </row>
    <row r="164" spans="2:6" ht="21">
      <c r="B164" s="272">
        <v>45992</v>
      </c>
      <c r="C164" s="139" t="s">
        <v>808</v>
      </c>
      <c r="D164" s="614">
        <v>2</v>
      </c>
      <c r="E164" s="614">
        <v>2</v>
      </c>
      <c r="F164" s="614">
        <f t="shared" si="5"/>
        <v>0</v>
      </c>
    </row>
    <row r="165" spans="2:6" ht="21">
      <c r="B165" s="272">
        <v>45992</v>
      </c>
      <c r="C165" s="128" t="s">
        <v>76</v>
      </c>
      <c r="D165" s="614">
        <v>2</v>
      </c>
      <c r="E165" s="614">
        <v>2</v>
      </c>
      <c r="F165" s="614">
        <f t="shared" si="5"/>
        <v>0</v>
      </c>
    </row>
    <row r="166" spans="2:6" ht="21">
      <c r="B166" s="272">
        <v>45992</v>
      </c>
      <c r="C166" s="139" t="s">
        <v>1617</v>
      </c>
      <c r="D166" s="614">
        <v>3</v>
      </c>
      <c r="E166" s="614">
        <v>3</v>
      </c>
      <c r="F166" s="614">
        <f t="shared" si="5"/>
        <v>0</v>
      </c>
    </row>
    <row r="167" spans="2:6" ht="21">
      <c r="B167" s="272">
        <v>45992</v>
      </c>
      <c r="C167" s="139" t="s">
        <v>1575</v>
      </c>
      <c r="D167" s="614">
        <v>10</v>
      </c>
      <c r="E167" s="614">
        <v>10</v>
      </c>
      <c r="F167" s="614">
        <f t="shared" si="5"/>
        <v>0</v>
      </c>
    </row>
    <row r="168" spans="2:6" ht="21">
      <c r="B168" s="272">
        <v>45992</v>
      </c>
      <c r="C168" s="128" t="s">
        <v>76</v>
      </c>
      <c r="D168" s="614">
        <v>12</v>
      </c>
      <c r="E168" s="614">
        <v>12</v>
      </c>
      <c r="F168" s="614">
        <f t="shared" si="5"/>
        <v>0</v>
      </c>
    </row>
    <row r="169" spans="2:6" ht="21">
      <c r="B169" s="272">
        <v>45993</v>
      </c>
      <c r="C169" s="128" t="s">
        <v>76</v>
      </c>
      <c r="D169" s="614">
        <v>1</v>
      </c>
      <c r="E169" s="614">
        <v>1</v>
      </c>
      <c r="F169" s="614">
        <f t="shared" si="5"/>
        <v>0</v>
      </c>
    </row>
    <row r="170" spans="2:6" ht="21">
      <c r="B170" s="272">
        <v>45994</v>
      </c>
      <c r="C170" s="139" t="s">
        <v>1617</v>
      </c>
      <c r="D170" s="614">
        <v>5</v>
      </c>
      <c r="E170" s="614">
        <v>5</v>
      </c>
      <c r="F170" s="614">
        <f t="shared" si="5"/>
        <v>0</v>
      </c>
    </row>
    <row r="171" spans="2:6" ht="21">
      <c r="B171" s="272">
        <v>45994</v>
      </c>
      <c r="C171" s="128" t="s">
        <v>76</v>
      </c>
      <c r="D171" s="614">
        <v>1</v>
      </c>
      <c r="E171" s="614">
        <v>1</v>
      </c>
      <c r="F171" s="614">
        <f t="shared" si="5"/>
        <v>0</v>
      </c>
    </row>
    <row r="172" spans="2:6" ht="21">
      <c r="B172" s="272">
        <v>45994</v>
      </c>
      <c r="C172" s="128" t="s">
        <v>76</v>
      </c>
      <c r="D172" s="614">
        <v>2</v>
      </c>
      <c r="E172" s="614">
        <v>2</v>
      </c>
      <c r="F172" s="614">
        <f t="shared" si="5"/>
        <v>0</v>
      </c>
    </row>
    <row r="173" spans="2:6" ht="21">
      <c r="B173" s="272">
        <v>45994</v>
      </c>
      <c r="C173" s="128" t="s">
        <v>76</v>
      </c>
      <c r="D173" s="614">
        <v>1</v>
      </c>
      <c r="E173" s="614">
        <v>1</v>
      </c>
      <c r="F173" s="614">
        <f t="shared" si="5"/>
        <v>0</v>
      </c>
    </row>
    <row r="174" spans="2:6" ht="21">
      <c r="B174" s="272">
        <v>45994</v>
      </c>
      <c r="C174" s="139" t="s">
        <v>808</v>
      </c>
      <c r="D174" s="614">
        <v>2</v>
      </c>
      <c r="E174" s="614">
        <v>2</v>
      </c>
      <c r="F174" s="614">
        <f t="shared" si="5"/>
        <v>0</v>
      </c>
    </row>
    <row r="175" spans="2:6" ht="21">
      <c r="B175" s="272">
        <v>45990</v>
      </c>
      <c r="C175" s="128" t="s">
        <v>76</v>
      </c>
      <c r="D175" s="614">
        <v>5</v>
      </c>
      <c r="E175" s="614">
        <v>5</v>
      </c>
      <c r="F175" s="614">
        <f t="shared" si="5"/>
        <v>0</v>
      </c>
    </row>
    <row r="176" spans="2:6" ht="21">
      <c r="B176" s="272">
        <v>45990</v>
      </c>
      <c r="C176" s="233" t="s">
        <v>375</v>
      </c>
      <c r="D176" s="614">
        <v>1</v>
      </c>
      <c r="E176" s="614">
        <v>1</v>
      </c>
      <c r="F176" s="614">
        <f t="shared" si="5"/>
        <v>0</v>
      </c>
    </row>
    <row r="177" spans="2:6" ht="21">
      <c r="B177" s="272">
        <v>45995</v>
      </c>
      <c r="C177" s="128" t="s">
        <v>76</v>
      </c>
      <c r="D177" s="614">
        <v>1</v>
      </c>
      <c r="E177" s="614">
        <v>1</v>
      </c>
      <c r="F177" s="614">
        <f t="shared" si="5"/>
        <v>0</v>
      </c>
    </row>
    <row r="178" spans="2:6" ht="21">
      <c r="B178" s="272">
        <v>45995</v>
      </c>
      <c r="C178" s="139" t="s">
        <v>808</v>
      </c>
      <c r="D178" s="614">
        <v>2</v>
      </c>
      <c r="E178" s="614">
        <v>2</v>
      </c>
      <c r="F178" s="614">
        <f t="shared" si="5"/>
        <v>0</v>
      </c>
    </row>
    <row r="179" spans="2:6" ht="21">
      <c r="B179" s="272">
        <v>45999</v>
      </c>
      <c r="C179" s="128" t="s">
        <v>76</v>
      </c>
      <c r="D179" s="614">
        <v>2</v>
      </c>
      <c r="E179" s="614">
        <v>2</v>
      </c>
      <c r="F179" s="614">
        <f t="shared" si="5"/>
        <v>0</v>
      </c>
    </row>
    <row r="180" spans="2:6" ht="21">
      <c r="B180" s="272">
        <v>45999</v>
      </c>
      <c r="C180" s="128" t="s">
        <v>76</v>
      </c>
      <c r="D180" s="614">
        <v>1</v>
      </c>
      <c r="E180" s="614">
        <v>1</v>
      </c>
      <c r="F180" s="614">
        <f t="shared" si="5"/>
        <v>0</v>
      </c>
    </row>
    <row r="181" spans="2:6" ht="21">
      <c r="B181" s="272">
        <v>45999</v>
      </c>
      <c r="C181" s="128" t="s">
        <v>76</v>
      </c>
      <c r="D181" s="614">
        <v>1</v>
      </c>
      <c r="E181" s="614">
        <v>1</v>
      </c>
      <c r="F181" s="614">
        <f t="shared" si="5"/>
        <v>0</v>
      </c>
    </row>
    <row r="182" spans="2:6" ht="21">
      <c r="B182" s="272">
        <v>46000</v>
      </c>
      <c r="C182" s="128" t="s">
        <v>76</v>
      </c>
      <c r="D182" s="614">
        <v>40</v>
      </c>
      <c r="E182" s="614">
        <v>40</v>
      </c>
      <c r="F182" s="614">
        <f t="shared" si="5"/>
        <v>0</v>
      </c>
    </row>
    <row r="183" spans="2:6" ht="21">
      <c r="B183" s="272">
        <v>46001</v>
      </c>
      <c r="C183" s="128" t="s">
        <v>76</v>
      </c>
      <c r="D183" s="614">
        <v>10</v>
      </c>
      <c r="E183" s="614">
        <v>10</v>
      </c>
      <c r="F183" s="614">
        <f t="shared" si="5"/>
        <v>0</v>
      </c>
    </row>
    <row r="184" spans="2:6" ht="21">
      <c r="B184" s="272">
        <v>46001</v>
      </c>
      <c r="C184" s="128" t="s">
        <v>76</v>
      </c>
      <c r="D184" s="614">
        <v>2</v>
      </c>
      <c r="E184" s="614">
        <v>2</v>
      </c>
      <c r="F184" s="614">
        <f t="shared" si="5"/>
        <v>0</v>
      </c>
    </row>
    <row r="185" spans="2:6" ht="21">
      <c r="B185" s="272">
        <v>46001</v>
      </c>
      <c r="C185" s="128" t="s">
        <v>76</v>
      </c>
      <c r="D185" s="614">
        <v>2</v>
      </c>
      <c r="E185" s="614">
        <v>2</v>
      </c>
      <c r="F185" s="614">
        <f t="shared" si="5"/>
        <v>0</v>
      </c>
    </row>
    <row r="186" spans="2:6" ht="21">
      <c r="B186" s="272">
        <v>46008</v>
      </c>
      <c r="C186" s="128" t="s">
        <v>76</v>
      </c>
      <c r="D186" s="614">
        <v>3</v>
      </c>
      <c r="E186" s="614">
        <v>3</v>
      </c>
      <c r="F186" s="614">
        <f t="shared" si="5"/>
        <v>0</v>
      </c>
    </row>
    <row r="187" spans="2:6" ht="21">
      <c r="B187" s="272">
        <v>46008</v>
      </c>
      <c r="C187" s="139" t="s">
        <v>839</v>
      </c>
      <c r="D187" s="614">
        <v>3</v>
      </c>
      <c r="E187" s="614">
        <v>3</v>
      </c>
      <c r="F187" s="614">
        <f t="shared" si="5"/>
        <v>0</v>
      </c>
    </row>
    <row r="188" spans="2:6" ht="21">
      <c r="B188" s="272">
        <v>46008</v>
      </c>
      <c r="C188" s="128" t="s">
        <v>76</v>
      </c>
      <c r="D188" s="614">
        <v>20</v>
      </c>
      <c r="E188" s="614">
        <v>20</v>
      </c>
      <c r="F188" s="614">
        <f t="shared" si="5"/>
        <v>0</v>
      </c>
    </row>
    <row r="189" spans="2:6" ht="21">
      <c r="B189" s="272">
        <v>46008</v>
      </c>
      <c r="C189" s="128" t="s">
        <v>76</v>
      </c>
      <c r="D189" s="614">
        <v>100</v>
      </c>
      <c r="E189" s="614">
        <v>100</v>
      </c>
      <c r="F189" s="614">
        <f t="shared" si="5"/>
        <v>0</v>
      </c>
    </row>
    <row r="190" spans="2:6" ht="21">
      <c r="B190" s="272">
        <v>46008</v>
      </c>
      <c r="C190" s="139" t="s">
        <v>1575</v>
      </c>
      <c r="D190" s="614">
        <v>70</v>
      </c>
      <c r="E190" s="614">
        <v>70</v>
      </c>
      <c r="F190" s="614">
        <f t="shared" si="5"/>
        <v>0</v>
      </c>
    </row>
    <row r="191" spans="2:6" ht="21">
      <c r="B191" s="272">
        <v>46008</v>
      </c>
      <c r="C191" s="139" t="s">
        <v>2167</v>
      </c>
      <c r="D191" s="614">
        <v>10</v>
      </c>
      <c r="E191" s="614">
        <v>10</v>
      </c>
      <c r="F191" s="614">
        <f t="shared" si="5"/>
        <v>0</v>
      </c>
    </row>
    <row r="192" spans="2:6" ht="21">
      <c r="B192" s="272">
        <v>46010</v>
      </c>
      <c r="C192" s="139" t="s">
        <v>1270</v>
      </c>
      <c r="D192" s="614">
        <v>10</v>
      </c>
      <c r="E192" s="614">
        <v>10</v>
      </c>
      <c r="F192" s="614">
        <f t="shared" si="5"/>
        <v>0</v>
      </c>
    </row>
    <row r="193" spans="2:6" ht="21">
      <c r="B193" s="272">
        <v>46010</v>
      </c>
      <c r="C193" s="139" t="s">
        <v>1617</v>
      </c>
      <c r="D193" s="614">
        <v>10</v>
      </c>
      <c r="E193" s="614">
        <v>10</v>
      </c>
      <c r="F193" s="614">
        <f t="shared" si="5"/>
        <v>0</v>
      </c>
    </row>
    <row r="194" spans="2:6" ht="21">
      <c r="B194" s="272">
        <v>46010</v>
      </c>
      <c r="C194" s="128" t="s">
        <v>642</v>
      </c>
      <c r="D194" s="614">
        <v>20</v>
      </c>
      <c r="E194" s="614">
        <v>20</v>
      </c>
      <c r="F194" s="614">
        <f t="shared" si="5"/>
        <v>0</v>
      </c>
    </row>
    <row r="195" spans="2:6" ht="21">
      <c r="B195" s="272">
        <v>46010</v>
      </c>
      <c r="C195" s="128" t="s">
        <v>672</v>
      </c>
      <c r="D195" s="614">
        <v>3</v>
      </c>
      <c r="E195" s="614">
        <v>3</v>
      </c>
      <c r="F195" s="614">
        <f t="shared" si="5"/>
        <v>0</v>
      </c>
    </row>
    <row r="196" spans="2:6" ht="21">
      <c r="B196" s="272">
        <v>46010</v>
      </c>
      <c r="C196" s="128" t="s">
        <v>789</v>
      </c>
      <c r="D196" s="614">
        <v>2</v>
      </c>
      <c r="E196" s="614">
        <v>2</v>
      </c>
      <c r="F196" s="614">
        <f t="shared" si="5"/>
        <v>0</v>
      </c>
    </row>
    <row r="197" spans="2:6" ht="21">
      <c r="B197" s="272">
        <v>46010</v>
      </c>
      <c r="C197" s="139" t="s">
        <v>808</v>
      </c>
      <c r="D197" s="614">
        <v>2</v>
      </c>
      <c r="E197" s="614">
        <v>2</v>
      </c>
      <c r="F197" s="614">
        <f t="shared" si="5"/>
        <v>0</v>
      </c>
    </row>
    <row r="198" spans="2:6" ht="21">
      <c r="B198" s="272">
        <v>46010</v>
      </c>
      <c r="C198" s="139" t="s">
        <v>808</v>
      </c>
      <c r="D198" s="614">
        <v>2</v>
      </c>
      <c r="E198" s="614">
        <v>2</v>
      </c>
      <c r="F198" s="614">
        <f t="shared" si="5"/>
        <v>0</v>
      </c>
    </row>
    <row r="199" spans="2:6" ht="21">
      <c r="B199" s="272">
        <v>46010</v>
      </c>
      <c r="C199" s="139" t="s">
        <v>808</v>
      </c>
      <c r="D199" s="614">
        <v>2</v>
      </c>
      <c r="E199" s="614">
        <v>2</v>
      </c>
      <c r="F199" s="614">
        <f t="shared" si="5"/>
        <v>0</v>
      </c>
    </row>
    <row r="200" spans="2:6" ht="21">
      <c r="B200" s="272">
        <v>46010</v>
      </c>
      <c r="C200" s="139" t="s">
        <v>808</v>
      </c>
      <c r="D200" s="614">
        <v>0</v>
      </c>
      <c r="E200" s="614"/>
      <c r="F200" s="614">
        <f t="shared" si="5"/>
        <v>0</v>
      </c>
    </row>
    <row r="201" spans="2:6" ht="21">
      <c r="B201" s="272">
        <v>46010</v>
      </c>
      <c r="C201" s="139" t="s">
        <v>808</v>
      </c>
      <c r="D201" s="614">
        <v>2</v>
      </c>
      <c r="E201" s="614">
        <v>2</v>
      </c>
      <c r="F201" s="614">
        <f t="shared" si="5"/>
        <v>0</v>
      </c>
    </row>
    <row r="202" spans="2:6" ht="21">
      <c r="B202" s="272">
        <v>46013</v>
      </c>
      <c r="C202" s="128" t="s">
        <v>76</v>
      </c>
      <c r="D202" s="614">
        <v>4</v>
      </c>
      <c r="E202" s="614">
        <v>4</v>
      </c>
      <c r="F202" s="614">
        <f t="shared" si="5"/>
        <v>0</v>
      </c>
    </row>
    <row r="203" spans="2:6" ht="21">
      <c r="B203" s="272">
        <v>46013</v>
      </c>
      <c r="C203" s="139" t="s">
        <v>807</v>
      </c>
      <c r="D203" s="614">
        <v>2</v>
      </c>
      <c r="E203" s="614">
        <v>2</v>
      </c>
      <c r="F203" s="614">
        <f t="shared" ref="F203:F243" si="6">D203-E203</f>
        <v>0</v>
      </c>
    </row>
    <row r="204" spans="2:6" ht="21">
      <c r="B204" s="272">
        <v>46013</v>
      </c>
      <c r="C204" s="139" t="s">
        <v>808</v>
      </c>
      <c r="D204" s="614">
        <v>2</v>
      </c>
      <c r="E204" s="614">
        <v>2</v>
      </c>
      <c r="F204" s="614">
        <f t="shared" si="6"/>
        <v>0</v>
      </c>
    </row>
    <row r="205" spans="2:6" ht="21">
      <c r="B205" s="272">
        <v>46013</v>
      </c>
      <c r="C205" s="139" t="s">
        <v>808</v>
      </c>
      <c r="D205" s="614">
        <v>2</v>
      </c>
      <c r="E205" s="614">
        <v>2</v>
      </c>
      <c r="F205" s="614">
        <f t="shared" si="6"/>
        <v>0</v>
      </c>
    </row>
    <row r="206" spans="2:6" ht="21">
      <c r="B206" s="272">
        <v>46013</v>
      </c>
      <c r="C206" s="139" t="s">
        <v>808</v>
      </c>
      <c r="D206" s="614">
        <v>2</v>
      </c>
      <c r="E206" s="614">
        <v>2</v>
      </c>
      <c r="F206" s="614">
        <f t="shared" si="6"/>
        <v>0</v>
      </c>
    </row>
    <row r="207" spans="2:6" ht="21">
      <c r="B207" s="272">
        <v>46013</v>
      </c>
      <c r="C207" s="139" t="s">
        <v>808</v>
      </c>
      <c r="D207" s="614">
        <v>2</v>
      </c>
      <c r="E207" s="614">
        <v>2</v>
      </c>
      <c r="F207" s="614">
        <f t="shared" si="6"/>
        <v>0</v>
      </c>
    </row>
    <row r="208" spans="2:6" ht="21">
      <c r="B208" s="272">
        <v>46013</v>
      </c>
      <c r="C208" s="139" t="s">
        <v>808</v>
      </c>
      <c r="D208" s="614">
        <v>2</v>
      </c>
      <c r="E208" s="614">
        <v>2</v>
      </c>
      <c r="F208" s="614">
        <f t="shared" si="6"/>
        <v>0</v>
      </c>
    </row>
    <row r="209" spans="2:6" ht="21">
      <c r="B209" s="272">
        <v>46013</v>
      </c>
      <c r="C209" s="139" t="s">
        <v>808</v>
      </c>
      <c r="D209" s="614">
        <v>2</v>
      </c>
      <c r="E209" s="614">
        <v>2</v>
      </c>
      <c r="F209" s="614">
        <f t="shared" si="6"/>
        <v>0</v>
      </c>
    </row>
    <row r="210" spans="2:6" ht="21">
      <c r="B210" s="272">
        <v>46013</v>
      </c>
      <c r="C210" s="139" t="s">
        <v>808</v>
      </c>
      <c r="D210" s="614">
        <v>2</v>
      </c>
      <c r="E210" s="614">
        <v>2</v>
      </c>
      <c r="F210" s="614">
        <f t="shared" si="6"/>
        <v>0</v>
      </c>
    </row>
    <row r="211" spans="2:6" ht="21">
      <c r="B211" s="272">
        <v>46013</v>
      </c>
      <c r="C211" s="139" t="s">
        <v>808</v>
      </c>
      <c r="D211" s="614">
        <v>1</v>
      </c>
      <c r="E211" s="614">
        <v>1</v>
      </c>
      <c r="F211" s="614">
        <f t="shared" si="6"/>
        <v>0</v>
      </c>
    </row>
    <row r="212" spans="2:6" ht="21">
      <c r="B212" s="272">
        <v>46013</v>
      </c>
      <c r="C212" s="139" t="s">
        <v>807</v>
      </c>
      <c r="D212" s="614">
        <v>2</v>
      </c>
      <c r="E212" s="614">
        <v>2</v>
      </c>
      <c r="F212" s="614">
        <f t="shared" si="6"/>
        <v>0</v>
      </c>
    </row>
    <row r="213" spans="2:6" ht="21">
      <c r="B213" s="272">
        <v>46013</v>
      </c>
      <c r="C213" s="139" t="s">
        <v>808</v>
      </c>
      <c r="D213" s="614">
        <v>2</v>
      </c>
      <c r="E213" s="614">
        <v>2</v>
      </c>
      <c r="F213" s="614">
        <f t="shared" si="6"/>
        <v>0</v>
      </c>
    </row>
    <row r="214" spans="2:6" ht="21">
      <c r="B214" s="272">
        <v>46013</v>
      </c>
      <c r="C214" s="139" t="s">
        <v>808</v>
      </c>
      <c r="D214" s="614">
        <v>2</v>
      </c>
      <c r="E214" s="614">
        <v>2</v>
      </c>
      <c r="F214" s="614">
        <f t="shared" si="6"/>
        <v>0</v>
      </c>
    </row>
    <row r="215" spans="2:6" ht="21">
      <c r="B215" s="272">
        <v>46013</v>
      </c>
      <c r="C215" s="139" t="s">
        <v>808</v>
      </c>
      <c r="D215" s="614">
        <v>2</v>
      </c>
      <c r="E215" s="614">
        <v>2</v>
      </c>
      <c r="F215" s="614">
        <f t="shared" si="6"/>
        <v>0</v>
      </c>
    </row>
    <row r="216" spans="2:6" ht="21">
      <c r="B216" s="272">
        <v>46013</v>
      </c>
      <c r="C216" s="139" t="s">
        <v>808</v>
      </c>
      <c r="D216" s="614">
        <v>2</v>
      </c>
      <c r="E216" s="614">
        <v>2</v>
      </c>
      <c r="F216" s="614">
        <f t="shared" si="6"/>
        <v>0</v>
      </c>
    </row>
    <row r="217" spans="2:6" ht="21">
      <c r="B217" s="272">
        <v>46013</v>
      </c>
      <c r="C217" s="139" t="s">
        <v>808</v>
      </c>
      <c r="D217" s="614">
        <v>2</v>
      </c>
      <c r="E217" s="614">
        <v>2</v>
      </c>
      <c r="F217" s="614">
        <f t="shared" si="6"/>
        <v>0</v>
      </c>
    </row>
    <row r="218" spans="2:6" ht="21">
      <c r="B218" s="272">
        <v>46013</v>
      </c>
      <c r="C218" s="139" t="s">
        <v>808</v>
      </c>
      <c r="D218" s="614">
        <v>2</v>
      </c>
      <c r="E218" s="614">
        <v>2</v>
      </c>
      <c r="F218" s="614">
        <f t="shared" si="6"/>
        <v>0</v>
      </c>
    </row>
    <row r="219" spans="2:6" ht="21">
      <c r="B219" s="272">
        <v>46013</v>
      </c>
      <c r="C219" s="139" t="s">
        <v>808</v>
      </c>
      <c r="D219" s="614">
        <v>2</v>
      </c>
      <c r="E219" s="614">
        <v>2</v>
      </c>
      <c r="F219" s="614">
        <f t="shared" si="6"/>
        <v>0</v>
      </c>
    </row>
    <row r="220" spans="2:6" ht="21">
      <c r="B220" s="272">
        <v>46013</v>
      </c>
      <c r="C220" s="139" t="s">
        <v>808</v>
      </c>
      <c r="D220" s="614">
        <v>2</v>
      </c>
      <c r="E220" s="614">
        <v>2</v>
      </c>
      <c r="F220" s="614">
        <f t="shared" si="6"/>
        <v>0</v>
      </c>
    </row>
    <row r="221" spans="2:6" ht="21">
      <c r="B221" s="272">
        <v>46013</v>
      </c>
      <c r="C221" s="139" t="s">
        <v>807</v>
      </c>
      <c r="D221" s="614">
        <v>2</v>
      </c>
      <c r="E221" s="614">
        <v>2</v>
      </c>
      <c r="F221" s="614">
        <f t="shared" si="6"/>
        <v>0</v>
      </c>
    </row>
    <row r="222" spans="2:6" ht="21">
      <c r="B222" s="272">
        <v>46013</v>
      </c>
      <c r="C222" s="139" t="s">
        <v>807</v>
      </c>
      <c r="D222" s="614">
        <v>2</v>
      </c>
      <c r="E222" s="614">
        <v>2</v>
      </c>
      <c r="F222" s="614">
        <f t="shared" si="6"/>
        <v>0</v>
      </c>
    </row>
    <row r="223" spans="2:6" ht="21">
      <c r="B223" s="272">
        <v>46017</v>
      </c>
      <c r="C223" s="139" t="s">
        <v>807</v>
      </c>
      <c r="D223" s="614">
        <v>1</v>
      </c>
      <c r="E223" s="614">
        <v>1</v>
      </c>
      <c r="F223" s="614">
        <f t="shared" si="6"/>
        <v>0</v>
      </c>
    </row>
    <row r="224" spans="2:6" ht="21">
      <c r="B224" s="272">
        <v>46017</v>
      </c>
      <c r="C224" s="139" t="s">
        <v>807</v>
      </c>
      <c r="D224" s="614">
        <v>1</v>
      </c>
      <c r="E224" s="614">
        <v>1</v>
      </c>
      <c r="F224" s="614">
        <f t="shared" si="6"/>
        <v>0</v>
      </c>
    </row>
    <row r="225" spans="2:6" ht="21">
      <c r="B225" s="272">
        <v>46017</v>
      </c>
      <c r="C225" s="128" t="s">
        <v>76</v>
      </c>
      <c r="D225" s="614">
        <v>20</v>
      </c>
      <c r="E225" s="614">
        <v>20</v>
      </c>
      <c r="F225" s="614">
        <f t="shared" si="6"/>
        <v>0</v>
      </c>
    </row>
    <row r="226" spans="2:6" ht="21">
      <c r="B226" s="272">
        <v>46020</v>
      </c>
      <c r="C226" s="128" t="s">
        <v>672</v>
      </c>
      <c r="D226" s="345">
        <v>3</v>
      </c>
      <c r="E226" s="614">
        <v>3</v>
      </c>
      <c r="F226" s="614">
        <f t="shared" si="6"/>
        <v>0</v>
      </c>
    </row>
    <row r="227" spans="2:6" ht="21">
      <c r="B227" s="272">
        <v>46020</v>
      </c>
      <c r="C227" s="128" t="s">
        <v>672</v>
      </c>
      <c r="D227" s="345">
        <v>2</v>
      </c>
      <c r="E227" s="614">
        <v>2</v>
      </c>
      <c r="F227" s="614">
        <f t="shared" si="6"/>
        <v>0</v>
      </c>
    </row>
    <row r="228" spans="2:6" ht="21">
      <c r="B228" s="272">
        <v>46020</v>
      </c>
      <c r="C228" s="128" t="s">
        <v>672</v>
      </c>
      <c r="D228" s="345">
        <v>1</v>
      </c>
      <c r="E228" s="614">
        <v>1</v>
      </c>
      <c r="F228" s="614">
        <f t="shared" si="6"/>
        <v>0</v>
      </c>
    </row>
    <row r="229" spans="2:6" ht="21">
      <c r="B229" s="272">
        <v>46020</v>
      </c>
      <c r="C229" s="128" t="s">
        <v>672</v>
      </c>
      <c r="D229" s="345">
        <v>1</v>
      </c>
      <c r="E229" s="614">
        <v>1</v>
      </c>
      <c r="F229" s="614">
        <f t="shared" si="6"/>
        <v>0</v>
      </c>
    </row>
    <row r="230" spans="2:6" ht="21">
      <c r="B230" s="272">
        <v>46020</v>
      </c>
      <c r="C230" s="128" t="s">
        <v>672</v>
      </c>
      <c r="D230" s="345">
        <v>1</v>
      </c>
      <c r="E230" s="614">
        <v>1</v>
      </c>
      <c r="F230" s="614">
        <f t="shared" si="6"/>
        <v>0</v>
      </c>
    </row>
    <row r="231" spans="2:6" ht="21">
      <c r="B231" s="272">
        <v>46020</v>
      </c>
      <c r="C231" s="128" t="s">
        <v>672</v>
      </c>
      <c r="D231" s="345">
        <v>2</v>
      </c>
      <c r="E231" s="614">
        <v>2</v>
      </c>
      <c r="F231" s="614">
        <f t="shared" si="6"/>
        <v>0</v>
      </c>
    </row>
    <row r="232" spans="2:6" ht="21">
      <c r="B232" s="272">
        <v>46020</v>
      </c>
      <c r="C232" s="233" t="s">
        <v>375</v>
      </c>
      <c r="D232" s="544">
        <v>3</v>
      </c>
      <c r="E232" s="614">
        <v>3</v>
      </c>
      <c r="F232" s="614">
        <f t="shared" si="6"/>
        <v>0</v>
      </c>
    </row>
    <row r="233" spans="2:6" ht="21">
      <c r="B233" s="272">
        <v>46020</v>
      </c>
      <c r="C233" s="139" t="s">
        <v>1246</v>
      </c>
      <c r="D233" s="668">
        <v>6</v>
      </c>
      <c r="E233" s="614">
        <v>6</v>
      </c>
      <c r="F233" s="614">
        <f t="shared" si="6"/>
        <v>0</v>
      </c>
    </row>
    <row r="234" spans="2:6" ht="21">
      <c r="B234" s="272">
        <v>46020</v>
      </c>
      <c r="C234" s="139" t="s">
        <v>1575</v>
      </c>
      <c r="D234" s="668">
        <v>9</v>
      </c>
      <c r="E234" s="614">
        <v>9</v>
      </c>
      <c r="F234" s="614">
        <f t="shared" si="6"/>
        <v>0</v>
      </c>
    </row>
    <row r="235" spans="2:6" ht="21">
      <c r="B235" s="272">
        <v>46020</v>
      </c>
      <c r="C235" s="139" t="s">
        <v>2386</v>
      </c>
      <c r="D235" s="668">
        <v>6</v>
      </c>
      <c r="E235" s="614">
        <v>6</v>
      </c>
      <c r="F235" s="614">
        <f t="shared" si="6"/>
        <v>0</v>
      </c>
    </row>
    <row r="236" spans="2:6" ht="21">
      <c r="B236" s="272">
        <v>46020</v>
      </c>
      <c r="C236" s="139" t="s">
        <v>807</v>
      </c>
      <c r="D236" s="668">
        <v>9</v>
      </c>
      <c r="E236" s="614">
        <v>9</v>
      </c>
      <c r="F236" s="614">
        <f t="shared" si="6"/>
        <v>0</v>
      </c>
    </row>
    <row r="237" spans="2:6" ht="21">
      <c r="B237" s="272">
        <v>46020</v>
      </c>
      <c r="C237" s="139" t="s">
        <v>1575</v>
      </c>
      <c r="D237" s="668">
        <v>6</v>
      </c>
      <c r="E237" s="614">
        <v>6</v>
      </c>
      <c r="F237" s="614">
        <f t="shared" si="6"/>
        <v>0</v>
      </c>
    </row>
    <row r="238" spans="2:6" ht="21">
      <c r="B238" s="272">
        <v>46020</v>
      </c>
      <c r="C238" s="139" t="s">
        <v>1617</v>
      </c>
      <c r="D238" s="668">
        <v>3</v>
      </c>
      <c r="E238" s="614">
        <v>3</v>
      </c>
      <c r="F238" s="614">
        <f t="shared" si="6"/>
        <v>0</v>
      </c>
    </row>
    <row r="239" spans="2:6" ht="21">
      <c r="B239" s="272">
        <v>46020</v>
      </c>
      <c r="C239" s="139" t="s">
        <v>807</v>
      </c>
      <c r="D239" s="668">
        <v>2</v>
      </c>
      <c r="E239" s="614">
        <v>2</v>
      </c>
      <c r="F239" s="614">
        <f t="shared" si="6"/>
        <v>0</v>
      </c>
    </row>
    <row r="240" spans="2:6" ht="21">
      <c r="B240" s="272">
        <v>46020</v>
      </c>
      <c r="C240" s="139" t="s">
        <v>1246</v>
      </c>
      <c r="D240" s="614">
        <v>2</v>
      </c>
      <c r="E240" s="614">
        <v>2</v>
      </c>
      <c r="F240" s="614">
        <f t="shared" si="6"/>
        <v>0</v>
      </c>
    </row>
    <row r="241" spans="2:6" ht="21">
      <c r="B241" s="272">
        <v>46021</v>
      </c>
      <c r="C241" s="139" t="s">
        <v>1575</v>
      </c>
      <c r="D241" s="614">
        <v>40</v>
      </c>
      <c r="E241" s="614">
        <v>40</v>
      </c>
      <c r="F241" s="614">
        <f t="shared" si="6"/>
        <v>0</v>
      </c>
    </row>
    <row r="242" spans="2:6" ht="21">
      <c r="B242" s="272">
        <v>46021</v>
      </c>
      <c r="C242" s="139" t="s">
        <v>2386</v>
      </c>
      <c r="D242" s="614">
        <v>2</v>
      </c>
      <c r="E242" s="614">
        <v>2</v>
      </c>
      <c r="F242" s="614">
        <f t="shared" si="6"/>
        <v>0</v>
      </c>
    </row>
    <row r="243" spans="2:6" ht="21">
      <c r="B243" s="272">
        <v>46021</v>
      </c>
      <c r="C243" s="139" t="s">
        <v>1249</v>
      </c>
      <c r="D243" s="614">
        <v>2</v>
      </c>
      <c r="E243" s="614">
        <v>2</v>
      </c>
      <c r="F243" s="614">
        <f t="shared" si="6"/>
        <v>0</v>
      </c>
    </row>
    <row r="244" spans="2:6" ht="21">
      <c r="B244" s="272">
        <v>46025</v>
      </c>
      <c r="C244" s="139" t="s">
        <v>807</v>
      </c>
      <c r="D244" s="614">
        <v>2</v>
      </c>
      <c r="E244" s="614">
        <v>2</v>
      </c>
      <c r="F244" s="614">
        <f t="shared" ref="F244:F260" si="7">D244-E244</f>
        <v>0</v>
      </c>
    </row>
    <row r="245" spans="2:6" ht="21">
      <c r="B245" s="272">
        <v>46028</v>
      </c>
      <c r="C245" s="139" t="s">
        <v>1246</v>
      </c>
      <c r="D245" s="345">
        <v>1</v>
      </c>
      <c r="E245" s="614">
        <v>1</v>
      </c>
      <c r="F245" s="614">
        <f t="shared" si="7"/>
        <v>0</v>
      </c>
    </row>
    <row r="246" spans="2:6" ht="21">
      <c r="B246" s="272">
        <v>46031</v>
      </c>
      <c r="C246" s="139" t="s">
        <v>1246</v>
      </c>
      <c r="D246" s="345">
        <v>2</v>
      </c>
      <c r="E246" s="614">
        <v>2</v>
      </c>
      <c r="F246" s="614">
        <f t="shared" si="7"/>
        <v>0</v>
      </c>
    </row>
    <row r="247" spans="2:6" ht="21">
      <c r="B247" s="272">
        <v>46031</v>
      </c>
      <c r="C247" s="139" t="s">
        <v>1246</v>
      </c>
      <c r="D247" s="345">
        <v>2</v>
      </c>
      <c r="E247" s="614">
        <v>2</v>
      </c>
      <c r="F247" s="614">
        <f t="shared" si="7"/>
        <v>0</v>
      </c>
    </row>
    <row r="248" spans="2:6" ht="21">
      <c r="B248" s="272">
        <v>46031</v>
      </c>
      <c r="C248" s="139" t="s">
        <v>1246</v>
      </c>
      <c r="D248" s="345">
        <v>2</v>
      </c>
      <c r="E248" s="614">
        <v>2</v>
      </c>
      <c r="F248" s="614">
        <f t="shared" si="7"/>
        <v>0</v>
      </c>
    </row>
    <row r="249" spans="2:6" ht="21">
      <c r="B249" s="272">
        <v>46031</v>
      </c>
      <c r="C249" s="139" t="s">
        <v>1246</v>
      </c>
      <c r="D249" s="345">
        <v>1</v>
      </c>
      <c r="E249" s="614">
        <v>1</v>
      </c>
      <c r="F249" s="614">
        <f t="shared" si="7"/>
        <v>0</v>
      </c>
    </row>
    <row r="250" spans="2:6" ht="21">
      <c r="B250" s="272">
        <v>46031</v>
      </c>
      <c r="C250" s="139" t="s">
        <v>1246</v>
      </c>
      <c r="D250" s="345">
        <v>2</v>
      </c>
      <c r="E250" s="614">
        <v>2</v>
      </c>
      <c r="F250" s="614">
        <f t="shared" si="7"/>
        <v>0</v>
      </c>
    </row>
    <row r="251" spans="2:6" ht="21">
      <c r="B251" s="272">
        <v>46033</v>
      </c>
      <c r="C251" s="139" t="s">
        <v>1246</v>
      </c>
      <c r="D251" s="735">
        <v>7</v>
      </c>
      <c r="E251" s="735">
        <v>7</v>
      </c>
      <c r="F251" s="735">
        <f t="shared" si="7"/>
        <v>0</v>
      </c>
    </row>
    <row r="252" spans="2:6" ht="21">
      <c r="B252" s="272">
        <v>46036</v>
      </c>
      <c r="C252" s="128" t="s">
        <v>789</v>
      </c>
      <c r="D252" s="735">
        <v>8</v>
      </c>
      <c r="E252" s="735">
        <v>8</v>
      </c>
      <c r="F252" s="735">
        <f t="shared" si="7"/>
        <v>0</v>
      </c>
    </row>
    <row r="253" spans="2:6" ht="21">
      <c r="B253" s="272">
        <v>46036</v>
      </c>
      <c r="C253" s="139" t="s">
        <v>1617</v>
      </c>
      <c r="D253" s="735">
        <v>25</v>
      </c>
      <c r="E253" s="735">
        <v>25</v>
      </c>
      <c r="F253" s="735">
        <f t="shared" si="7"/>
        <v>0</v>
      </c>
    </row>
    <row r="254" spans="2:6" ht="21">
      <c r="B254" s="272">
        <v>46043</v>
      </c>
      <c r="C254" s="128" t="s">
        <v>76</v>
      </c>
      <c r="D254" s="735">
        <v>80</v>
      </c>
      <c r="E254" s="735">
        <v>80</v>
      </c>
      <c r="F254" s="735">
        <f t="shared" si="7"/>
        <v>0</v>
      </c>
    </row>
    <row r="255" spans="2:6" ht="21">
      <c r="B255" s="272">
        <v>46046</v>
      </c>
      <c r="C255" s="128" t="s">
        <v>76</v>
      </c>
      <c r="D255" s="735">
        <v>40</v>
      </c>
      <c r="E255" s="735">
        <v>40</v>
      </c>
      <c r="F255" s="735">
        <f t="shared" si="7"/>
        <v>0</v>
      </c>
    </row>
    <row r="256" spans="2:6" ht="21">
      <c r="B256" s="272">
        <v>46049</v>
      </c>
      <c r="C256" s="128" t="s">
        <v>76</v>
      </c>
      <c r="D256" s="735">
        <v>24</v>
      </c>
      <c r="E256" s="735">
        <v>24</v>
      </c>
      <c r="F256" s="735">
        <f t="shared" si="7"/>
        <v>0</v>
      </c>
    </row>
    <row r="257" spans="2:6" ht="21">
      <c r="B257" s="272">
        <v>46052</v>
      </c>
      <c r="C257" s="128" t="s">
        <v>76</v>
      </c>
      <c r="D257" s="735">
        <v>250</v>
      </c>
      <c r="E257" s="735">
        <v>250</v>
      </c>
      <c r="F257" s="735">
        <f t="shared" si="7"/>
        <v>0</v>
      </c>
    </row>
    <row r="258" spans="2:6" ht="21">
      <c r="B258" s="272">
        <v>46052</v>
      </c>
      <c r="C258" s="128" t="s">
        <v>76</v>
      </c>
      <c r="D258" s="735">
        <v>48</v>
      </c>
      <c r="E258" s="735">
        <v>48</v>
      </c>
      <c r="F258" s="735">
        <f t="shared" si="7"/>
        <v>0</v>
      </c>
    </row>
    <row r="259" spans="2:6" ht="21">
      <c r="B259" s="272">
        <v>46056</v>
      </c>
      <c r="C259" s="128" t="s">
        <v>789</v>
      </c>
      <c r="D259" s="735">
        <v>5</v>
      </c>
      <c r="E259" s="735">
        <v>5</v>
      </c>
      <c r="F259" s="735">
        <f t="shared" si="7"/>
        <v>0</v>
      </c>
    </row>
    <row r="260" spans="2:6" ht="21">
      <c r="B260" s="272">
        <v>46056</v>
      </c>
      <c r="C260" s="139" t="s">
        <v>1246</v>
      </c>
      <c r="D260" s="735">
        <v>2</v>
      </c>
      <c r="E260" s="735">
        <v>2</v>
      </c>
      <c r="F260" s="735">
        <f t="shared" si="7"/>
        <v>0</v>
      </c>
    </row>
    <row r="261" spans="2:6" ht="21">
      <c r="B261" s="272">
        <v>46078</v>
      </c>
      <c r="C261" s="128" t="s">
        <v>76</v>
      </c>
      <c r="D261" s="735">
        <v>40</v>
      </c>
      <c r="E261" s="735">
        <v>40</v>
      </c>
      <c r="F261" s="735">
        <f t="shared" ref="F261:F324" si="8">D261-E261</f>
        <v>0</v>
      </c>
    </row>
    <row r="262" spans="2:6" ht="21">
      <c r="B262" s="272">
        <v>46083</v>
      </c>
      <c r="C262" s="128" t="s">
        <v>76</v>
      </c>
      <c r="D262" s="735">
        <v>80</v>
      </c>
      <c r="E262" s="735">
        <v>80</v>
      </c>
      <c r="F262" s="735">
        <f t="shared" si="8"/>
        <v>0</v>
      </c>
    </row>
    <row r="263" spans="2:6" ht="21">
      <c r="B263" s="272">
        <v>46106</v>
      </c>
      <c r="C263" s="128" t="s">
        <v>76</v>
      </c>
      <c r="D263" s="735">
        <v>40</v>
      </c>
      <c r="E263" s="735">
        <v>40</v>
      </c>
      <c r="F263" s="735">
        <f t="shared" si="8"/>
        <v>0</v>
      </c>
    </row>
    <row r="264" spans="2:6" ht="21">
      <c r="B264" s="272">
        <v>46130</v>
      </c>
      <c r="C264" s="139" t="s">
        <v>4124</v>
      </c>
      <c r="D264" s="735">
        <v>4</v>
      </c>
      <c r="E264" s="735">
        <v>4</v>
      </c>
      <c r="F264" s="735">
        <f t="shared" si="8"/>
        <v>0</v>
      </c>
    </row>
    <row r="265" spans="2:6" ht="21">
      <c r="B265" s="272">
        <v>46130</v>
      </c>
      <c r="C265" s="139" t="s">
        <v>4124</v>
      </c>
      <c r="D265" s="735">
        <v>4</v>
      </c>
      <c r="E265" s="735">
        <v>4</v>
      </c>
      <c r="F265" s="735">
        <f t="shared" si="8"/>
        <v>0</v>
      </c>
    </row>
    <row r="266" spans="2:6" ht="21">
      <c r="B266" s="272">
        <v>46120</v>
      </c>
      <c r="C266" s="139" t="s">
        <v>1246</v>
      </c>
      <c r="D266" s="735">
        <v>2</v>
      </c>
      <c r="E266" s="735">
        <v>2</v>
      </c>
      <c r="F266" s="735">
        <f t="shared" si="8"/>
        <v>0</v>
      </c>
    </row>
    <row r="267" spans="2:6" ht="21">
      <c r="B267" s="272">
        <v>46120</v>
      </c>
      <c r="C267" s="139" t="s">
        <v>1246</v>
      </c>
      <c r="D267" s="735">
        <v>2</v>
      </c>
      <c r="E267" s="735">
        <v>2</v>
      </c>
      <c r="F267" s="735">
        <f t="shared" si="8"/>
        <v>0</v>
      </c>
    </row>
    <row r="268" spans="2:6" ht="21">
      <c r="B268" s="272">
        <v>46132</v>
      </c>
      <c r="C268" s="139" t="s">
        <v>4124</v>
      </c>
      <c r="D268" s="735">
        <v>2</v>
      </c>
      <c r="E268" s="735">
        <v>2</v>
      </c>
      <c r="F268" s="735">
        <f t="shared" si="8"/>
        <v>0</v>
      </c>
    </row>
    <row r="269" spans="2:6" ht="21">
      <c r="B269" s="272">
        <v>46132</v>
      </c>
      <c r="C269" s="139" t="s">
        <v>4124</v>
      </c>
      <c r="D269" s="735">
        <v>4</v>
      </c>
      <c r="E269" s="735">
        <v>4</v>
      </c>
      <c r="F269" s="735">
        <f t="shared" si="8"/>
        <v>0</v>
      </c>
    </row>
    <row r="270" spans="2:6" ht="21">
      <c r="B270" s="272">
        <v>46138</v>
      </c>
      <c r="C270" s="139" t="s">
        <v>4124</v>
      </c>
      <c r="D270" s="735">
        <v>2</v>
      </c>
      <c r="E270" s="735">
        <v>2</v>
      </c>
      <c r="F270" s="735">
        <f t="shared" si="8"/>
        <v>0</v>
      </c>
    </row>
    <row r="271" spans="2:6" ht="21">
      <c r="B271" s="272">
        <v>46138</v>
      </c>
      <c r="C271" s="139" t="s">
        <v>4124</v>
      </c>
      <c r="D271" s="735">
        <v>2</v>
      </c>
      <c r="E271" s="735">
        <v>2</v>
      </c>
      <c r="F271" s="735">
        <f t="shared" si="8"/>
        <v>0</v>
      </c>
    </row>
    <row r="272" spans="2:6" ht="21">
      <c r="B272" s="272">
        <v>46138</v>
      </c>
      <c r="C272" s="139" t="s">
        <v>4124</v>
      </c>
      <c r="D272" s="735">
        <v>2</v>
      </c>
      <c r="E272" s="735">
        <v>2</v>
      </c>
      <c r="F272" s="735">
        <f t="shared" si="8"/>
        <v>0</v>
      </c>
    </row>
    <row r="273" spans="2:6" ht="21">
      <c r="B273" s="272">
        <v>46138</v>
      </c>
      <c r="C273" s="139" t="s">
        <v>4124</v>
      </c>
      <c r="D273" s="735">
        <v>2</v>
      </c>
      <c r="E273" s="735">
        <v>2</v>
      </c>
      <c r="F273" s="735">
        <f t="shared" si="8"/>
        <v>0</v>
      </c>
    </row>
    <row r="274" spans="2:6" ht="21">
      <c r="B274" s="272">
        <v>46138</v>
      </c>
      <c r="C274" s="139" t="s">
        <v>4124</v>
      </c>
      <c r="D274" s="735">
        <v>2</v>
      </c>
      <c r="E274" s="735">
        <v>2</v>
      </c>
      <c r="F274" s="735">
        <f t="shared" si="8"/>
        <v>0</v>
      </c>
    </row>
    <row r="275" spans="2:6" ht="21">
      <c r="B275" s="272">
        <v>46138</v>
      </c>
      <c r="C275" s="139" t="s">
        <v>4124</v>
      </c>
      <c r="D275" s="735">
        <v>2</v>
      </c>
      <c r="E275" s="735">
        <v>2</v>
      </c>
      <c r="F275" s="735">
        <f t="shared" si="8"/>
        <v>0</v>
      </c>
    </row>
    <row r="276" spans="2:6" ht="21">
      <c r="B276" s="272">
        <v>46138</v>
      </c>
      <c r="C276" s="139" t="s">
        <v>4124</v>
      </c>
      <c r="D276" s="735">
        <v>2</v>
      </c>
      <c r="E276" s="735">
        <v>2</v>
      </c>
      <c r="F276" s="735">
        <f t="shared" si="8"/>
        <v>0</v>
      </c>
    </row>
    <row r="277" spans="2:6" ht="21">
      <c r="B277" s="272">
        <v>46138</v>
      </c>
      <c r="C277" s="139" t="s">
        <v>4124</v>
      </c>
      <c r="D277" s="735">
        <v>2</v>
      </c>
      <c r="E277" s="735">
        <v>2</v>
      </c>
      <c r="F277" s="735">
        <f t="shared" si="8"/>
        <v>0</v>
      </c>
    </row>
    <row r="278" spans="2:6" ht="21">
      <c r="B278" s="272">
        <v>46139</v>
      </c>
      <c r="C278" s="128" t="s">
        <v>671</v>
      </c>
      <c r="D278" s="735">
        <v>1</v>
      </c>
      <c r="E278" s="735">
        <v>1</v>
      </c>
      <c r="F278" s="735">
        <f t="shared" si="8"/>
        <v>0</v>
      </c>
    </row>
    <row r="279" spans="2:6" ht="21">
      <c r="B279" s="272">
        <v>46139</v>
      </c>
      <c r="C279" s="139" t="s">
        <v>839</v>
      </c>
      <c r="D279" s="735">
        <v>1</v>
      </c>
      <c r="E279" s="735">
        <v>1</v>
      </c>
      <c r="F279" s="735">
        <f t="shared" si="8"/>
        <v>0</v>
      </c>
    </row>
    <row r="280" spans="2:6" ht="21">
      <c r="B280" s="272">
        <v>46142</v>
      </c>
      <c r="C280" s="139" t="s">
        <v>4124</v>
      </c>
      <c r="D280" s="735">
        <v>2</v>
      </c>
      <c r="E280" s="735">
        <v>2</v>
      </c>
      <c r="F280" s="735">
        <f t="shared" si="8"/>
        <v>0</v>
      </c>
    </row>
    <row r="281" spans="2:6" ht="21">
      <c r="B281" s="272">
        <v>46142</v>
      </c>
      <c r="C281" s="139" t="s">
        <v>4124</v>
      </c>
      <c r="D281" s="735">
        <v>2</v>
      </c>
      <c r="E281" s="735">
        <v>2</v>
      </c>
      <c r="F281" s="735">
        <f t="shared" si="8"/>
        <v>0</v>
      </c>
    </row>
    <row r="282" spans="2:6" ht="21">
      <c r="B282" s="272">
        <v>46142</v>
      </c>
      <c r="C282" s="139" t="s">
        <v>4124</v>
      </c>
      <c r="D282" s="735">
        <v>2</v>
      </c>
      <c r="E282" s="735">
        <v>2</v>
      </c>
      <c r="F282" s="735">
        <f t="shared" si="8"/>
        <v>0</v>
      </c>
    </row>
    <row r="283" spans="2:6" ht="21">
      <c r="B283" s="272">
        <v>46142</v>
      </c>
      <c r="C283" s="139" t="s">
        <v>92</v>
      </c>
      <c r="D283" s="735">
        <v>2</v>
      </c>
      <c r="E283" s="735">
        <v>2</v>
      </c>
      <c r="F283" s="735">
        <f t="shared" si="8"/>
        <v>0</v>
      </c>
    </row>
    <row r="284" spans="2:6" ht="21">
      <c r="B284" s="272">
        <v>46143</v>
      </c>
      <c r="C284" s="139" t="s">
        <v>4124</v>
      </c>
      <c r="D284" s="735">
        <v>2</v>
      </c>
      <c r="E284" s="735">
        <v>2</v>
      </c>
      <c r="F284" s="735">
        <f t="shared" si="8"/>
        <v>0</v>
      </c>
    </row>
    <row r="285" spans="2:6" ht="21">
      <c r="B285" s="272">
        <v>46143</v>
      </c>
      <c r="C285" s="139" t="s">
        <v>4124</v>
      </c>
      <c r="D285" s="735">
        <v>2</v>
      </c>
      <c r="E285" s="735">
        <v>2</v>
      </c>
      <c r="F285" s="735">
        <f t="shared" si="8"/>
        <v>0</v>
      </c>
    </row>
    <row r="286" spans="2:6" ht="21">
      <c r="B286" s="272">
        <v>46143</v>
      </c>
      <c r="C286" s="139" t="s">
        <v>4124</v>
      </c>
      <c r="D286" s="735">
        <v>2</v>
      </c>
      <c r="E286" s="735">
        <v>2</v>
      </c>
      <c r="F286" s="735">
        <f t="shared" si="8"/>
        <v>0</v>
      </c>
    </row>
    <row r="287" spans="2:6" ht="21">
      <c r="B287" s="272">
        <v>46143</v>
      </c>
      <c r="C287" s="139" t="s">
        <v>4124</v>
      </c>
      <c r="D287" s="735">
        <v>2</v>
      </c>
      <c r="E287" s="735">
        <v>2</v>
      </c>
      <c r="F287" s="735">
        <f t="shared" si="8"/>
        <v>0</v>
      </c>
    </row>
    <row r="288" spans="2:6" ht="21">
      <c r="B288" s="272">
        <v>46146</v>
      </c>
      <c r="C288" s="139" t="s">
        <v>4124</v>
      </c>
      <c r="D288" s="735">
        <v>2</v>
      </c>
      <c r="E288" s="735">
        <v>2</v>
      </c>
      <c r="F288" s="735">
        <f t="shared" si="8"/>
        <v>0</v>
      </c>
    </row>
    <row r="289" spans="2:6" ht="21">
      <c r="B289" s="272">
        <v>46146</v>
      </c>
      <c r="C289" s="139" t="s">
        <v>4124</v>
      </c>
      <c r="D289" s="735">
        <v>2</v>
      </c>
      <c r="E289" s="735">
        <v>2</v>
      </c>
      <c r="F289" s="735">
        <f t="shared" si="8"/>
        <v>0</v>
      </c>
    </row>
    <row r="290" spans="2:6" ht="21">
      <c r="B290" s="272">
        <v>46146</v>
      </c>
      <c r="C290" s="139" t="s">
        <v>4124</v>
      </c>
      <c r="D290" s="735">
        <v>2</v>
      </c>
      <c r="E290" s="735">
        <v>2</v>
      </c>
      <c r="F290" s="735">
        <f t="shared" si="8"/>
        <v>0</v>
      </c>
    </row>
    <row r="291" spans="2:6" ht="21">
      <c r="B291" s="272">
        <v>46146</v>
      </c>
      <c r="C291" s="139" t="s">
        <v>4124</v>
      </c>
      <c r="D291" s="735">
        <v>2</v>
      </c>
      <c r="E291" s="735">
        <v>2</v>
      </c>
      <c r="F291" s="735">
        <f t="shared" si="8"/>
        <v>0</v>
      </c>
    </row>
    <row r="292" spans="2:6" ht="21">
      <c r="B292" s="272">
        <v>46146</v>
      </c>
      <c r="C292" s="139" t="s">
        <v>4124</v>
      </c>
      <c r="D292" s="735">
        <v>2</v>
      </c>
      <c r="E292" s="735">
        <v>2</v>
      </c>
      <c r="F292" s="735">
        <f t="shared" si="8"/>
        <v>0</v>
      </c>
    </row>
    <row r="293" spans="2:6" ht="21">
      <c r="B293" s="272">
        <v>46147</v>
      </c>
      <c r="C293" s="139" t="s">
        <v>4124</v>
      </c>
      <c r="D293" s="735">
        <v>2</v>
      </c>
      <c r="E293" s="735">
        <v>2</v>
      </c>
      <c r="F293" s="735">
        <f t="shared" si="8"/>
        <v>0</v>
      </c>
    </row>
    <row r="294" spans="2:6" ht="21">
      <c r="B294" s="272">
        <v>46147</v>
      </c>
      <c r="C294" s="139" t="s">
        <v>4124</v>
      </c>
      <c r="D294" s="735">
        <v>2</v>
      </c>
      <c r="E294" s="735">
        <v>2</v>
      </c>
      <c r="F294" s="735">
        <f t="shared" si="8"/>
        <v>0</v>
      </c>
    </row>
    <row r="295" spans="2:6" ht="21">
      <c r="B295" s="272">
        <v>46147</v>
      </c>
      <c r="C295" s="139" t="s">
        <v>4124</v>
      </c>
      <c r="D295" s="735">
        <v>2</v>
      </c>
      <c r="E295" s="735">
        <v>2</v>
      </c>
      <c r="F295" s="735">
        <f t="shared" si="8"/>
        <v>0</v>
      </c>
    </row>
    <row r="296" spans="2:6" ht="21">
      <c r="B296" s="272">
        <v>46147</v>
      </c>
      <c r="C296" s="139" t="s">
        <v>4124</v>
      </c>
      <c r="D296" s="735">
        <v>2</v>
      </c>
      <c r="E296" s="735">
        <v>2</v>
      </c>
      <c r="F296" s="735">
        <f t="shared" si="8"/>
        <v>0</v>
      </c>
    </row>
    <row r="297" spans="2:6" ht="21">
      <c r="B297" s="272">
        <v>46147</v>
      </c>
      <c r="C297" s="139" t="s">
        <v>4124</v>
      </c>
      <c r="D297" s="735">
        <v>2</v>
      </c>
      <c r="E297" s="735">
        <v>2</v>
      </c>
      <c r="F297" s="735">
        <f t="shared" si="8"/>
        <v>0</v>
      </c>
    </row>
    <row r="298" spans="2:6" ht="21">
      <c r="B298" s="272">
        <v>46150</v>
      </c>
      <c r="C298" s="139" t="s">
        <v>4124</v>
      </c>
      <c r="D298" s="735">
        <v>2</v>
      </c>
      <c r="E298" s="735">
        <v>2</v>
      </c>
      <c r="F298" s="735">
        <f t="shared" si="8"/>
        <v>0</v>
      </c>
    </row>
    <row r="299" spans="2:6" ht="21">
      <c r="B299" s="272">
        <v>46150</v>
      </c>
      <c r="C299" s="139" t="s">
        <v>4124</v>
      </c>
      <c r="D299" s="735">
        <v>2</v>
      </c>
      <c r="E299" s="735">
        <v>2</v>
      </c>
      <c r="F299" s="735">
        <f t="shared" si="8"/>
        <v>0</v>
      </c>
    </row>
    <row r="300" spans="2:6" ht="21">
      <c r="B300" s="272">
        <v>46150</v>
      </c>
      <c r="C300" s="139" t="s">
        <v>4124</v>
      </c>
      <c r="D300" s="735">
        <v>2</v>
      </c>
      <c r="E300" s="735">
        <v>2</v>
      </c>
      <c r="F300" s="735">
        <f t="shared" si="8"/>
        <v>0</v>
      </c>
    </row>
    <row r="301" spans="2:6" ht="21">
      <c r="B301" s="272">
        <v>46150</v>
      </c>
      <c r="C301" s="139" t="s">
        <v>4124</v>
      </c>
      <c r="D301" s="735">
        <v>2</v>
      </c>
      <c r="E301" s="735">
        <v>2</v>
      </c>
      <c r="F301" s="735">
        <f t="shared" si="8"/>
        <v>0</v>
      </c>
    </row>
    <row r="302" spans="2:6" ht="21">
      <c r="B302" s="272">
        <v>46153</v>
      </c>
      <c r="C302" s="139" t="s">
        <v>4124</v>
      </c>
      <c r="D302" s="735">
        <v>2</v>
      </c>
      <c r="E302" s="735">
        <v>2</v>
      </c>
      <c r="F302" s="735">
        <f t="shared" si="8"/>
        <v>0</v>
      </c>
    </row>
    <row r="303" spans="2:6" ht="21">
      <c r="B303" s="272">
        <v>46153</v>
      </c>
      <c r="C303" s="139" t="s">
        <v>4124</v>
      </c>
      <c r="D303" s="735">
        <v>2</v>
      </c>
      <c r="E303" s="735">
        <v>2</v>
      </c>
      <c r="F303" s="735">
        <f t="shared" si="8"/>
        <v>0</v>
      </c>
    </row>
    <row r="304" spans="2:6" ht="21">
      <c r="B304" s="272">
        <v>46153</v>
      </c>
      <c r="C304" s="139" t="s">
        <v>4124</v>
      </c>
      <c r="D304" s="735">
        <v>2</v>
      </c>
      <c r="E304" s="735">
        <v>2</v>
      </c>
      <c r="F304" s="735">
        <f t="shared" si="8"/>
        <v>0</v>
      </c>
    </row>
    <row r="305" spans="2:6" ht="21">
      <c r="B305" s="272">
        <v>46153</v>
      </c>
      <c r="C305" s="139" t="s">
        <v>4124</v>
      </c>
      <c r="D305" s="735">
        <v>2</v>
      </c>
      <c r="E305" s="735">
        <v>2</v>
      </c>
      <c r="F305" s="735">
        <f t="shared" si="8"/>
        <v>0</v>
      </c>
    </row>
    <row r="306" spans="2:6" ht="21">
      <c r="B306" s="272">
        <v>46153</v>
      </c>
      <c r="C306" s="139" t="s">
        <v>4124</v>
      </c>
      <c r="D306" s="735">
        <v>2</v>
      </c>
      <c r="E306" s="735">
        <v>2</v>
      </c>
      <c r="F306" s="735">
        <f t="shared" si="8"/>
        <v>0</v>
      </c>
    </row>
    <row r="307" spans="2:6" ht="21">
      <c r="B307" s="272">
        <v>46154</v>
      </c>
      <c r="C307" s="139" t="s">
        <v>4124</v>
      </c>
      <c r="D307" s="735">
        <v>2</v>
      </c>
      <c r="E307" s="735">
        <v>2</v>
      </c>
      <c r="F307" s="735">
        <f t="shared" si="8"/>
        <v>0</v>
      </c>
    </row>
    <row r="308" spans="2:6" ht="21">
      <c r="B308" s="272">
        <v>46154</v>
      </c>
      <c r="C308" s="139" t="s">
        <v>4124</v>
      </c>
      <c r="D308" s="735">
        <v>2</v>
      </c>
      <c r="E308" s="735">
        <v>2</v>
      </c>
      <c r="F308" s="735">
        <f t="shared" si="8"/>
        <v>0</v>
      </c>
    </row>
    <row r="309" spans="2:6" ht="21">
      <c r="B309" s="272">
        <v>46154</v>
      </c>
      <c r="C309" s="139" t="s">
        <v>4124</v>
      </c>
      <c r="D309" s="735">
        <v>2</v>
      </c>
      <c r="E309" s="735">
        <v>2</v>
      </c>
      <c r="F309" s="735">
        <f t="shared" si="8"/>
        <v>0</v>
      </c>
    </row>
    <row r="310" spans="2:6" ht="21">
      <c r="B310" s="272">
        <v>46154</v>
      </c>
      <c r="C310" s="139" t="s">
        <v>4124</v>
      </c>
      <c r="D310" s="735">
        <v>2</v>
      </c>
      <c r="E310" s="735">
        <v>2</v>
      </c>
      <c r="F310" s="735">
        <f t="shared" si="8"/>
        <v>0</v>
      </c>
    </row>
    <row r="311" spans="2:6" ht="21">
      <c r="B311" s="272">
        <v>46154</v>
      </c>
      <c r="C311" s="139" t="s">
        <v>4124</v>
      </c>
      <c r="D311" s="735">
        <v>2</v>
      </c>
      <c r="E311" s="735">
        <v>2</v>
      </c>
      <c r="F311" s="735">
        <f t="shared" si="8"/>
        <v>0</v>
      </c>
    </row>
    <row r="312" spans="2:6" ht="21">
      <c r="B312" s="272">
        <v>46155</v>
      </c>
      <c r="C312" s="139" t="s">
        <v>4124</v>
      </c>
      <c r="D312" s="735">
        <v>4</v>
      </c>
      <c r="E312" s="735">
        <v>4</v>
      </c>
      <c r="F312" s="735">
        <f t="shared" si="8"/>
        <v>0</v>
      </c>
    </row>
    <row r="313" spans="2:6" ht="21">
      <c r="B313" s="272">
        <v>46155</v>
      </c>
      <c r="C313" s="139" t="s">
        <v>4124</v>
      </c>
      <c r="D313" s="735">
        <v>1</v>
      </c>
      <c r="E313" s="735">
        <v>1</v>
      </c>
      <c r="F313" s="735">
        <f t="shared" si="8"/>
        <v>0</v>
      </c>
    </row>
    <row r="314" spans="2:6" ht="21">
      <c r="B314" s="272">
        <v>46155</v>
      </c>
      <c r="C314" s="139" t="s">
        <v>4124</v>
      </c>
      <c r="D314" s="735">
        <v>2</v>
      </c>
      <c r="E314" s="735">
        <v>2</v>
      </c>
      <c r="F314" s="735">
        <f t="shared" si="8"/>
        <v>0</v>
      </c>
    </row>
    <row r="315" spans="2:6" ht="21">
      <c r="B315" s="272">
        <v>46156</v>
      </c>
      <c r="C315" s="139" t="s">
        <v>4124</v>
      </c>
      <c r="D315" s="735">
        <v>2</v>
      </c>
      <c r="E315" s="735">
        <v>2</v>
      </c>
      <c r="F315" s="735">
        <f t="shared" si="8"/>
        <v>0</v>
      </c>
    </row>
    <row r="316" spans="2:6" ht="21">
      <c r="B316" s="272">
        <v>46156</v>
      </c>
      <c r="C316" s="139" t="s">
        <v>4124</v>
      </c>
      <c r="D316" s="735">
        <v>2</v>
      </c>
      <c r="E316" s="735">
        <v>2</v>
      </c>
      <c r="F316" s="735">
        <f t="shared" si="8"/>
        <v>0</v>
      </c>
    </row>
    <row r="317" spans="2:6" ht="21">
      <c r="B317" s="272">
        <v>46156</v>
      </c>
      <c r="C317" s="139" t="s">
        <v>4124</v>
      </c>
      <c r="D317" s="735">
        <v>2</v>
      </c>
      <c r="E317" s="735">
        <v>2</v>
      </c>
      <c r="F317" s="735">
        <f t="shared" si="8"/>
        <v>0</v>
      </c>
    </row>
    <row r="318" spans="2:6" ht="21">
      <c r="B318" s="272">
        <v>46156</v>
      </c>
      <c r="C318" s="139" t="s">
        <v>4124</v>
      </c>
      <c r="D318" s="735">
        <v>2</v>
      </c>
      <c r="E318" s="735">
        <v>2</v>
      </c>
      <c r="F318" s="735">
        <f t="shared" si="8"/>
        <v>0</v>
      </c>
    </row>
    <row r="319" spans="2:6" ht="21">
      <c r="B319" s="272">
        <v>46156</v>
      </c>
      <c r="C319" s="139" t="s">
        <v>4124</v>
      </c>
      <c r="D319" s="735">
        <v>2</v>
      </c>
      <c r="E319" s="735">
        <v>2</v>
      </c>
      <c r="F319" s="735">
        <f t="shared" si="8"/>
        <v>0</v>
      </c>
    </row>
    <row r="320" spans="2:6" ht="21">
      <c r="B320" s="272">
        <v>46156</v>
      </c>
      <c r="C320" s="139" t="s">
        <v>4124</v>
      </c>
      <c r="D320" s="735">
        <v>4</v>
      </c>
      <c r="E320" s="735">
        <v>4</v>
      </c>
      <c r="F320" s="735">
        <f t="shared" si="8"/>
        <v>0</v>
      </c>
    </row>
    <row r="321" spans="2:6" ht="21">
      <c r="B321" s="272">
        <v>46156</v>
      </c>
      <c r="C321" s="139" t="s">
        <v>4124</v>
      </c>
      <c r="D321" s="735">
        <v>2</v>
      </c>
      <c r="E321" s="735">
        <v>2</v>
      </c>
      <c r="F321" s="735">
        <f t="shared" si="8"/>
        <v>0</v>
      </c>
    </row>
    <row r="322" spans="2:6" ht="21">
      <c r="B322" s="272">
        <v>46160</v>
      </c>
      <c r="C322" s="139" t="s">
        <v>4124</v>
      </c>
      <c r="D322" s="735">
        <v>4</v>
      </c>
      <c r="E322" s="735">
        <v>4</v>
      </c>
      <c r="F322" s="735">
        <f t="shared" si="8"/>
        <v>0</v>
      </c>
    </row>
    <row r="323" spans="2:6" ht="21">
      <c r="B323" s="272">
        <v>46160</v>
      </c>
      <c r="C323" s="139" t="s">
        <v>4124</v>
      </c>
      <c r="D323" s="735">
        <v>2</v>
      </c>
      <c r="E323" s="735">
        <v>2</v>
      </c>
      <c r="F323" s="735">
        <f t="shared" si="8"/>
        <v>0</v>
      </c>
    </row>
    <row r="324" spans="2:6" ht="21">
      <c r="B324" s="272">
        <v>46161</v>
      </c>
      <c r="C324" s="139" t="s">
        <v>4124</v>
      </c>
      <c r="D324" s="735">
        <v>2</v>
      </c>
      <c r="E324" s="735">
        <v>2</v>
      </c>
      <c r="F324" s="735">
        <f t="shared" si="8"/>
        <v>0</v>
      </c>
    </row>
    <row r="325" spans="2:6" ht="21">
      <c r="B325" s="272">
        <v>46161</v>
      </c>
      <c r="C325" s="139" t="s">
        <v>4124</v>
      </c>
      <c r="D325" s="735">
        <v>2</v>
      </c>
      <c r="E325" s="735">
        <v>2</v>
      </c>
      <c r="F325" s="735">
        <f t="shared" ref="F325:F359" si="9">D325-E325</f>
        <v>0</v>
      </c>
    </row>
    <row r="326" spans="2:6" ht="21">
      <c r="B326" s="272">
        <v>46161</v>
      </c>
      <c r="C326" s="139" t="s">
        <v>4124</v>
      </c>
      <c r="D326" s="735">
        <v>2</v>
      </c>
      <c r="E326" s="735">
        <v>2</v>
      </c>
      <c r="F326" s="735">
        <f t="shared" si="9"/>
        <v>0</v>
      </c>
    </row>
    <row r="327" spans="2:6" ht="21">
      <c r="B327" s="272">
        <v>46162</v>
      </c>
      <c r="C327" s="233" t="s">
        <v>375</v>
      </c>
      <c r="D327" s="735">
        <v>3</v>
      </c>
      <c r="E327" s="735">
        <v>3</v>
      </c>
      <c r="F327" s="735">
        <f t="shared" si="9"/>
        <v>0</v>
      </c>
    </row>
    <row r="328" spans="2:6" ht="21">
      <c r="B328" s="272">
        <v>46162</v>
      </c>
      <c r="C328" s="233" t="s">
        <v>375</v>
      </c>
      <c r="D328" s="735">
        <v>1</v>
      </c>
      <c r="E328" s="735">
        <v>1</v>
      </c>
      <c r="F328" s="735">
        <f t="shared" si="9"/>
        <v>0</v>
      </c>
    </row>
    <row r="329" spans="2:6" ht="21">
      <c r="B329" s="272">
        <v>46163</v>
      </c>
      <c r="C329" s="139" t="s">
        <v>4124</v>
      </c>
      <c r="D329" s="735">
        <v>2</v>
      </c>
      <c r="E329" s="735">
        <v>2</v>
      </c>
      <c r="F329" s="735">
        <f t="shared" si="9"/>
        <v>0</v>
      </c>
    </row>
    <row r="330" spans="2:6" ht="21">
      <c r="B330" s="272">
        <v>46163</v>
      </c>
      <c r="C330" s="139" t="s">
        <v>4124</v>
      </c>
      <c r="D330" s="735">
        <v>2</v>
      </c>
      <c r="E330" s="735">
        <v>2</v>
      </c>
      <c r="F330" s="735">
        <f t="shared" si="9"/>
        <v>0</v>
      </c>
    </row>
    <row r="331" spans="2:6" ht="21">
      <c r="B331" s="272">
        <v>46163</v>
      </c>
      <c r="C331" s="139" t="s">
        <v>4124</v>
      </c>
      <c r="D331" s="735">
        <v>2</v>
      </c>
      <c r="E331" s="735">
        <v>2</v>
      </c>
      <c r="F331" s="735">
        <f t="shared" si="9"/>
        <v>0</v>
      </c>
    </row>
    <row r="332" spans="2:6" ht="21">
      <c r="B332" s="272">
        <v>46163</v>
      </c>
      <c r="C332" s="139" t="s">
        <v>4124</v>
      </c>
      <c r="D332" s="735">
        <v>2</v>
      </c>
      <c r="E332" s="735">
        <v>2</v>
      </c>
      <c r="F332" s="735">
        <f t="shared" si="9"/>
        <v>0</v>
      </c>
    </row>
    <row r="333" spans="2:6" ht="21">
      <c r="B333" s="272">
        <v>46163</v>
      </c>
      <c r="C333" s="139" t="s">
        <v>4124</v>
      </c>
      <c r="D333" s="735">
        <v>2</v>
      </c>
      <c r="E333" s="735">
        <v>2</v>
      </c>
      <c r="F333" s="735">
        <f t="shared" si="9"/>
        <v>0</v>
      </c>
    </row>
    <row r="334" spans="2:6" ht="21">
      <c r="B334" s="272">
        <v>46163</v>
      </c>
      <c r="C334" s="139" t="s">
        <v>4124</v>
      </c>
      <c r="D334" s="735">
        <v>2</v>
      </c>
      <c r="E334" s="735">
        <v>2</v>
      </c>
      <c r="F334" s="735">
        <f t="shared" si="9"/>
        <v>0</v>
      </c>
    </row>
    <row r="335" spans="2:6" ht="21">
      <c r="B335" s="272">
        <v>46176</v>
      </c>
      <c r="C335" s="139" t="s">
        <v>4124</v>
      </c>
      <c r="D335" s="735">
        <v>2</v>
      </c>
      <c r="E335" s="735">
        <v>2</v>
      </c>
      <c r="F335" s="735">
        <f t="shared" si="9"/>
        <v>0</v>
      </c>
    </row>
    <row r="336" spans="2:6" ht="21">
      <c r="B336" s="272">
        <v>46176</v>
      </c>
      <c r="C336" s="139" t="s">
        <v>4124</v>
      </c>
      <c r="D336" s="735">
        <v>4</v>
      </c>
      <c r="E336" s="735">
        <v>4</v>
      </c>
      <c r="F336" s="735">
        <f t="shared" si="9"/>
        <v>0</v>
      </c>
    </row>
    <row r="337" spans="2:6" ht="21">
      <c r="B337" s="272">
        <v>46177</v>
      </c>
      <c r="C337" s="139" t="s">
        <v>4124</v>
      </c>
      <c r="D337" s="735">
        <v>1</v>
      </c>
      <c r="E337" s="735">
        <v>1</v>
      </c>
      <c r="F337" s="735">
        <f t="shared" si="9"/>
        <v>0</v>
      </c>
    </row>
    <row r="338" spans="2:6" ht="21">
      <c r="B338" s="272">
        <v>46167</v>
      </c>
      <c r="C338" s="139" t="s">
        <v>4124</v>
      </c>
      <c r="D338" s="735">
        <v>2</v>
      </c>
      <c r="E338" s="735">
        <v>2</v>
      </c>
      <c r="F338" s="735">
        <f t="shared" si="9"/>
        <v>0</v>
      </c>
    </row>
    <row r="339" spans="2:6" ht="21">
      <c r="B339" s="272">
        <v>46167</v>
      </c>
      <c r="C339" s="139" t="s">
        <v>4124</v>
      </c>
      <c r="D339" s="735">
        <v>2</v>
      </c>
      <c r="E339" s="735">
        <v>2</v>
      </c>
      <c r="F339" s="735">
        <f t="shared" si="9"/>
        <v>0</v>
      </c>
    </row>
    <row r="340" spans="2:6" ht="21">
      <c r="B340" s="272">
        <v>46167</v>
      </c>
      <c r="C340" s="139" t="s">
        <v>4124</v>
      </c>
      <c r="D340" s="735">
        <v>2</v>
      </c>
      <c r="E340" s="735">
        <v>2</v>
      </c>
      <c r="F340" s="735">
        <f t="shared" si="9"/>
        <v>0</v>
      </c>
    </row>
    <row r="341" spans="2:6" ht="21">
      <c r="B341" s="272">
        <v>46167</v>
      </c>
      <c r="C341" s="139" t="s">
        <v>4124</v>
      </c>
      <c r="D341" s="735">
        <v>2</v>
      </c>
      <c r="E341" s="735">
        <v>2</v>
      </c>
      <c r="F341" s="735">
        <f t="shared" si="9"/>
        <v>0</v>
      </c>
    </row>
    <row r="342" spans="2:6" ht="21">
      <c r="B342" s="272">
        <v>46167</v>
      </c>
      <c r="C342" s="139" t="s">
        <v>4124</v>
      </c>
      <c r="D342" s="735">
        <v>2</v>
      </c>
      <c r="E342" s="735">
        <v>2</v>
      </c>
      <c r="F342" s="735">
        <f t="shared" si="9"/>
        <v>0</v>
      </c>
    </row>
    <row r="343" spans="2:6" ht="21">
      <c r="B343" s="272">
        <v>46167</v>
      </c>
      <c r="C343" s="139" t="s">
        <v>4124</v>
      </c>
      <c r="D343" s="735">
        <v>1</v>
      </c>
      <c r="E343" s="735">
        <v>1</v>
      </c>
      <c r="F343" s="735">
        <f t="shared" si="9"/>
        <v>0</v>
      </c>
    </row>
    <row r="344" spans="2:6" ht="21">
      <c r="B344" s="272">
        <v>46167</v>
      </c>
      <c r="C344" s="139" t="s">
        <v>4124</v>
      </c>
      <c r="D344" s="735">
        <v>2</v>
      </c>
      <c r="E344" s="735">
        <v>2</v>
      </c>
      <c r="F344" s="735">
        <f t="shared" si="9"/>
        <v>0</v>
      </c>
    </row>
    <row r="345" spans="2:6" ht="21">
      <c r="B345" s="272">
        <v>46170</v>
      </c>
      <c r="C345" s="139" t="s">
        <v>4124</v>
      </c>
      <c r="D345" s="735">
        <v>2</v>
      </c>
      <c r="E345" s="735"/>
      <c r="F345" s="735">
        <f t="shared" si="9"/>
        <v>2</v>
      </c>
    </row>
    <row r="346" spans="2:6" ht="21">
      <c r="B346" s="272">
        <v>46170</v>
      </c>
      <c r="C346" s="139" t="s">
        <v>4124</v>
      </c>
      <c r="D346" s="735">
        <v>2</v>
      </c>
      <c r="E346" s="735"/>
      <c r="F346" s="735">
        <f t="shared" si="9"/>
        <v>2</v>
      </c>
    </row>
    <row r="347" spans="2:6" ht="21">
      <c r="B347" s="272">
        <v>46170</v>
      </c>
      <c r="C347" s="139" t="s">
        <v>4124</v>
      </c>
      <c r="D347" s="735">
        <v>2</v>
      </c>
      <c r="E347" s="735"/>
      <c r="F347" s="735">
        <f t="shared" si="9"/>
        <v>2</v>
      </c>
    </row>
    <row r="348" spans="2:6" ht="21">
      <c r="B348" s="272">
        <v>46170</v>
      </c>
      <c r="C348" s="139" t="s">
        <v>4124</v>
      </c>
      <c r="D348" s="735">
        <v>2</v>
      </c>
      <c r="E348" s="735"/>
      <c r="F348" s="735">
        <f t="shared" si="9"/>
        <v>2</v>
      </c>
    </row>
    <row r="349" spans="2:6" ht="21">
      <c r="B349" s="272">
        <v>46170</v>
      </c>
      <c r="C349" s="139" t="s">
        <v>4124</v>
      </c>
      <c r="D349" s="735">
        <v>2</v>
      </c>
      <c r="E349" s="735"/>
      <c r="F349" s="735">
        <f t="shared" si="9"/>
        <v>2</v>
      </c>
    </row>
    <row r="350" spans="2:6" ht="21">
      <c r="B350" s="272">
        <v>46170</v>
      </c>
      <c r="C350" s="139" t="s">
        <v>4124</v>
      </c>
      <c r="D350" s="735">
        <v>2</v>
      </c>
      <c r="E350" s="735"/>
      <c r="F350" s="735">
        <f t="shared" si="9"/>
        <v>2</v>
      </c>
    </row>
    <row r="351" spans="2:6" ht="21">
      <c r="B351" s="272">
        <v>46170</v>
      </c>
      <c r="C351" s="139" t="s">
        <v>4124</v>
      </c>
      <c r="D351" s="735">
        <v>2</v>
      </c>
      <c r="E351" s="735"/>
      <c r="F351" s="735">
        <f t="shared" si="9"/>
        <v>2</v>
      </c>
    </row>
    <row r="352" spans="2:6" ht="21">
      <c r="B352" s="272">
        <v>46170</v>
      </c>
      <c r="C352" s="139" t="s">
        <v>4124</v>
      </c>
      <c r="D352" s="735">
        <v>2</v>
      </c>
      <c r="E352" s="735"/>
      <c r="F352" s="735">
        <f t="shared" si="9"/>
        <v>2</v>
      </c>
    </row>
    <row r="353" spans="2:6" ht="21">
      <c r="B353" s="272">
        <v>46174</v>
      </c>
      <c r="C353" s="139" t="s">
        <v>4124</v>
      </c>
      <c r="D353" s="735">
        <v>2</v>
      </c>
      <c r="E353" s="735"/>
      <c r="F353" s="735">
        <f t="shared" si="9"/>
        <v>2</v>
      </c>
    </row>
    <row r="354" spans="2:6" ht="21">
      <c r="B354" s="272">
        <v>46174</v>
      </c>
      <c r="C354" s="139" t="s">
        <v>4124</v>
      </c>
      <c r="D354" s="735">
        <v>2</v>
      </c>
      <c r="E354" s="735"/>
      <c r="F354" s="735">
        <f t="shared" si="9"/>
        <v>2</v>
      </c>
    </row>
    <row r="355" spans="2:6" ht="21">
      <c r="B355" s="272">
        <v>46174</v>
      </c>
      <c r="C355" s="139" t="s">
        <v>4124</v>
      </c>
      <c r="D355" s="735">
        <v>2</v>
      </c>
      <c r="E355" s="735"/>
      <c r="F355" s="735">
        <f t="shared" si="9"/>
        <v>2</v>
      </c>
    </row>
    <row r="356" spans="2:6" ht="21">
      <c r="B356" s="272">
        <v>46174</v>
      </c>
      <c r="C356" s="139" t="s">
        <v>4124</v>
      </c>
      <c r="D356" s="735">
        <v>2</v>
      </c>
      <c r="E356" s="735"/>
      <c r="F356" s="735">
        <f t="shared" si="9"/>
        <v>2</v>
      </c>
    </row>
    <row r="357" spans="2:6" ht="21">
      <c r="B357" s="272">
        <v>46174</v>
      </c>
      <c r="C357" s="139" t="s">
        <v>4124</v>
      </c>
      <c r="D357" s="735">
        <v>2</v>
      </c>
      <c r="E357" s="735"/>
      <c r="F357" s="735">
        <f t="shared" si="9"/>
        <v>2</v>
      </c>
    </row>
    <row r="358" spans="2:6" ht="21">
      <c r="B358" s="272">
        <v>46174</v>
      </c>
      <c r="C358" s="139" t="s">
        <v>4124</v>
      </c>
      <c r="D358" s="735">
        <v>2</v>
      </c>
      <c r="E358" s="735"/>
      <c r="F358" s="735">
        <f t="shared" si="9"/>
        <v>2</v>
      </c>
    </row>
    <row r="359" spans="2:6" ht="21">
      <c r="B359" s="272">
        <v>46185</v>
      </c>
      <c r="C359" s="139" t="s">
        <v>4800</v>
      </c>
      <c r="D359" s="735">
        <v>50</v>
      </c>
      <c r="E359" s="735">
        <v>50</v>
      </c>
      <c r="F359" s="735">
        <f t="shared" si="9"/>
        <v>0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L2524"/>
  <sheetViews>
    <sheetView zoomScale="65" zoomScaleNormal="65" workbookViewId="0">
      <pane ySplit="4" topLeftCell="A2505" activePane="bottomLeft" state="frozen"/>
      <selection pane="bottomLeft" activeCell="C2525" sqref="C2525"/>
    </sheetView>
  </sheetViews>
  <sheetFormatPr defaultRowHeight="21"/>
  <cols>
    <col min="2" max="2" width="18.5703125" style="33" customWidth="1"/>
    <col min="3" max="3" width="56.42578125" style="33" customWidth="1"/>
    <col min="4" max="4" width="31.42578125" style="33" customWidth="1"/>
    <col min="5" max="5" width="48.140625" style="33" customWidth="1"/>
    <col min="6" max="6" width="18.5703125" style="33" customWidth="1"/>
    <col min="7" max="7" width="20.5703125" style="32" customWidth="1"/>
    <col min="8" max="8" width="17.85546875" customWidth="1"/>
    <col min="11" max="11" width="35.140625" customWidth="1"/>
  </cols>
  <sheetData>
    <row r="2" spans="2:12">
      <c r="C2" s="1533"/>
      <c r="D2" s="1533"/>
    </row>
    <row r="3" spans="2:12">
      <c r="C3" s="1534" t="s">
        <v>30</v>
      </c>
      <c r="D3" s="1534"/>
      <c r="E3" s="1534"/>
      <c r="F3" s="1534"/>
    </row>
    <row r="4" spans="2:12">
      <c r="B4" s="6" t="s">
        <v>31</v>
      </c>
      <c r="C4" s="6" t="s">
        <v>2</v>
      </c>
      <c r="D4" s="6" t="s">
        <v>32</v>
      </c>
      <c r="E4" s="6" t="s">
        <v>33</v>
      </c>
      <c r="F4" s="6" t="s">
        <v>24</v>
      </c>
      <c r="G4" s="6" t="s">
        <v>50</v>
      </c>
    </row>
    <row r="5" spans="2:12">
      <c r="B5" s="42" t="s">
        <v>77</v>
      </c>
      <c r="C5" s="36" t="s">
        <v>76</v>
      </c>
      <c r="D5" s="45">
        <v>201</v>
      </c>
      <c r="E5" s="45" t="s">
        <v>75</v>
      </c>
      <c r="F5" s="45">
        <v>201</v>
      </c>
      <c r="G5" s="45">
        <f>D5-F5</f>
        <v>0</v>
      </c>
      <c r="K5" s="51" t="s">
        <v>96</v>
      </c>
    </row>
    <row r="6" spans="2:12">
      <c r="B6" s="42" t="s">
        <v>77</v>
      </c>
      <c r="C6" s="36" t="s">
        <v>78</v>
      </c>
      <c r="D6" s="43">
        <v>200</v>
      </c>
      <c r="E6" s="45" t="s">
        <v>75</v>
      </c>
      <c r="F6" s="43">
        <v>200</v>
      </c>
      <c r="G6" s="45">
        <f t="shared" ref="G6:G69" si="0">D6-F6</f>
        <v>0</v>
      </c>
      <c r="K6" s="52" t="s">
        <v>2</v>
      </c>
      <c r="L6" s="52" t="s">
        <v>3</v>
      </c>
    </row>
    <row r="7" spans="2:12">
      <c r="B7" s="42" t="s">
        <v>77</v>
      </c>
      <c r="C7" s="36" t="s">
        <v>80</v>
      </c>
      <c r="D7" s="43">
        <v>17</v>
      </c>
      <c r="E7" s="45" t="s">
        <v>75</v>
      </c>
      <c r="F7" s="43">
        <v>17</v>
      </c>
      <c r="G7" s="45">
        <f t="shared" si="0"/>
        <v>0</v>
      </c>
      <c r="K7" s="43" t="s">
        <v>94</v>
      </c>
      <c r="L7" s="18">
        <v>1</v>
      </c>
    </row>
    <row r="8" spans="2:12">
      <c r="B8" s="42" t="s">
        <v>77</v>
      </c>
      <c r="C8" s="36" t="s">
        <v>82</v>
      </c>
      <c r="D8" s="43">
        <v>309</v>
      </c>
      <c r="E8" s="45" t="s">
        <v>75</v>
      </c>
      <c r="F8" s="43">
        <v>309</v>
      </c>
      <c r="G8" s="45">
        <f t="shared" si="0"/>
        <v>0</v>
      </c>
      <c r="K8" s="36"/>
      <c r="L8" s="18"/>
    </row>
    <row r="9" spans="2:12">
      <c r="B9" s="42" t="s">
        <v>77</v>
      </c>
      <c r="C9" s="36" t="s">
        <v>84</v>
      </c>
      <c r="D9" s="43">
        <v>15</v>
      </c>
      <c r="E9" s="45" t="s">
        <v>75</v>
      </c>
      <c r="F9" s="43">
        <v>15</v>
      </c>
      <c r="G9" s="45">
        <f t="shared" si="0"/>
        <v>0</v>
      </c>
      <c r="K9" s="43" t="s">
        <v>91</v>
      </c>
      <c r="L9" s="18">
        <v>2</v>
      </c>
    </row>
    <row r="10" spans="2:12">
      <c r="B10" s="42" t="s">
        <v>77</v>
      </c>
      <c r="C10" s="36" t="s">
        <v>88</v>
      </c>
      <c r="D10" s="43">
        <v>2</v>
      </c>
      <c r="E10" s="45" t="s">
        <v>75</v>
      </c>
      <c r="F10" s="43">
        <v>2</v>
      </c>
      <c r="G10" s="45">
        <f t="shared" si="0"/>
        <v>0</v>
      </c>
      <c r="K10" s="43" t="s">
        <v>97</v>
      </c>
      <c r="L10" s="18">
        <v>1</v>
      </c>
    </row>
    <row r="11" spans="2:12">
      <c r="B11" s="42" t="s">
        <v>77</v>
      </c>
      <c r="C11" s="36" t="s">
        <v>89</v>
      </c>
      <c r="D11" s="43">
        <v>2</v>
      </c>
      <c r="E11" s="45" t="s">
        <v>75</v>
      </c>
      <c r="F11" s="43">
        <v>2</v>
      </c>
      <c r="G11" s="45">
        <f t="shared" si="0"/>
        <v>0</v>
      </c>
      <c r="K11" s="36" t="s">
        <v>90</v>
      </c>
      <c r="L11" s="18">
        <v>2</v>
      </c>
    </row>
    <row r="12" spans="2:12">
      <c r="B12" s="42" t="s">
        <v>77</v>
      </c>
      <c r="C12" s="36" t="s">
        <v>85</v>
      </c>
      <c r="D12" s="43">
        <v>5</v>
      </c>
      <c r="E12" s="45" t="s">
        <v>75</v>
      </c>
      <c r="F12" s="43">
        <v>5</v>
      </c>
      <c r="G12" s="45">
        <f t="shared" si="0"/>
        <v>0</v>
      </c>
      <c r="K12" s="43"/>
      <c r="L12" s="18"/>
    </row>
    <row r="13" spans="2:12">
      <c r="B13" s="42" t="s">
        <v>77</v>
      </c>
      <c r="C13" s="36" t="s">
        <v>90</v>
      </c>
      <c r="D13" s="43">
        <v>2</v>
      </c>
      <c r="E13" s="45" t="s">
        <v>75</v>
      </c>
      <c r="F13" s="43">
        <v>2</v>
      </c>
      <c r="G13" s="45">
        <f t="shared" si="0"/>
        <v>0</v>
      </c>
    </row>
    <row r="14" spans="2:12">
      <c r="B14" s="42" t="s">
        <v>77</v>
      </c>
      <c r="C14" s="43" t="s">
        <v>91</v>
      </c>
      <c r="D14" s="43">
        <v>2</v>
      </c>
      <c r="E14" s="45" t="s">
        <v>75</v>
      </c>
      <c r="F14" s="43">
        <v>2</v>
      </c>
      <c r="G14" s="45">
        <f t="shared" si="0"/>
        <v>0</v>
      </c>
    </row>
    <row r="15" spans="2:12">
      <c r="B15" s="42" t="s">
        <v>77</v>
      </c>
      <c r="C15" s="43" t="s">
        <v>92</v>
      </c>
      <c r="D15" s="43">
        <v>10</v>
      </c>
      <c r="E15" s="45" t="s">
        <v>75</v>
      </c>
      <c r="F15" s="43">
        <v>10</v>
      </c>
      <c r="G15" s="45">
        <f t="shared" si="0"/>
        <v>0</v>
      </c>
    </row>
    <row r="16" spans="2:12">
      <c r="B16" s="42" t="s">
        <v>77</v>
      </c>
      <c r="C16" s="43" t="s">
        <v>93</v>
      </c>
      <c r="D16" s="43">
        <v>1</v>
      </c>
      <c r="E16" s="45" t="s">
        <v>75</v>
      </c>
      <c r="F16" s="43">
        <v>1</v>
      </c>
      <c r="G16" s="45">
        <f t="shared" si="0"/>
        <v>0</v>
      </c>
    </row>
    <row r="17" spans="2:7">
      <c r="B17" s="42" t="s">
        <v>77</v>
      </c>
      <c r="C17" s="43" t="s">
        <v>94</v>
      </c>
      <c r="D17" s="43">
        <v>1</v>
      </c>
      <c r="E17" s="45" t="s">
        <v>75</v>
      </c>
      <c r="F17" s="43">
        <v>1</v>
      </c>
      <c r="G17" s="45">
        <f t="shared" si="0"/>
        <v>0</v>
      </c>
    </row>
    <row r="18" spans="2:7">
      <c r="B18" s="42" t="s">
        <v>77</v>
      </c>
      <c r="C18" s="43" t="s">
        <v>95</v>
      </c>
      <c r="D18" s="43">
        <v>2</v>
      </c>
      <c r="E18" s="45" t="s">
        <v>75</v>
      </c>
      <c r="F18" s="43">
        <v>2</v>
      </c>
      <c r="G18" s="45">
        <f t="shared" si="0"/>
        <v>0</v>
      </c>
    </row>
    <row r="19" spans="2:7">
      <c r="B19" s="43"/>
      <c r="C19" s="43"/>
      <c r="D19" s="43"/>
      <c r="E19" s="43"/>
      <c r="F19" s="43"/>
      <c r="G19" s="45">
        <f t="shared" si="0"/>
        <v>0</v>
      </c>
    </row>
    <row r="20" spans="2:7">
      <c r="B20" s="42">
        <v>45711</v>
      </c>
      <c r="C20" s="43" t="s">
        <v>86</v>
      </c>
      <c r="D20" s="43">
        <v>23</v>
      </c>
      <c r="E20" s="111" t="s">
        <v>143</v>
      </c>
      <c r="F20" s="43">
        <v>23</v>
      </c>
      <c r="G20" s="45">
        <f t="shared" si="0"/>
        <v>0</v>
      </c>
    </row>
    <row r="21" spans="2:7">
      <c r="B21" s="42">
        <v>45711</v>
      </c>
      <c r="C21" s="36" t="s">
        <v>80</v>
      </c>
      <c r="D21" s="43">
        <v>188</v>
      </c>
      <c r="E21" s="111" t="s">
        <v>143</v>
      </c>
      <c r="F21" s="43">
        <v>188</v>
      </c>
      <c r="G21" s="45">
        <f t="shared" si="0"/>
        <v>0</v>
      </c>
    </row>
    <row r="22" spans="2:7">
      <c r="B22" s="42">
        <v>45711</v>
      </c>
      <c r="C22" s="36" t="s">
        <v>85</v>
      </c>
      <c r="D22" s="43">
        <v>2</v>
      </c>
      <c r="E22" s="111" t="s">
        <v>143</v>
      </c>
      <c r="F22" s="43">
        <v>2</v>
      </c>
      <c r="G22" s="45">
        <f t="shared" si="0"/>
        <v>0</v>
      </c>
    </row>
    <row r="23" spans="2:7">
      <c r="B23" s="42">
        <v>45711</v>
      </c>
      <c r="C23" s="43" t="s">
        <v>87</v>
      </c>
      <c r="D23" s="43">
        <v>21</v>
      </c>
      <c r="E23" s="111" t="s">
        <v>143</v>
      </c>
      <c r="F23" s="43">
        <v>21</v>
      </c>
      <c r="G23" s="45">
        <f t="shared" si="0"/>
        <v>0</v>
      </c>
    </row>
    <row r="24" spans="2:7">
      <c r="B24" s="42">
        <v>45711</v>
      </c>
      <c r="C24" s="43" t="s">
        <v>120</v>
      </c>
      <c r="D24" s="43">
        <v>5</v>
      </c>
      <c r="E24" s="111" t="s">
        <v>143</v>
      </c>
      <c r="F24" s="43">
        <v>5</v>
      </c>
      <c r="G24" s="45">
        <f t="shared" si="0"/>
        <v>0</v>
      </c>
    </row>
    <row r="25" spans="2:7">
      <c r="B25" s="42">
        <v>45711</v>
      </c>
      <c r="C25" s="43" t="s">
        <v>121</v>
      </c>
      <c r="D25" s="43">
        <v>1</v>
      </c>
      <c r="E25" s="111" t="s">
        <v>143</v>
      </c>
      <c r="F25" s="43">
        <v>1</v>
      </c>
      <c r="G25" s="45">
        <f t="shared" si="0"/>
        <v>0</v>
      </c>
    </row>
    <row r="26" spans="2:7">
      <c r="B26" s="42">
        <v>45711</v>
      </c>
      <c r="C26" s="43" t="s">
        <v>122</v>
      </c>
      <c r="D26" s="43">
        <v>1</v>
      </c>
      <c r="E26" s="111" t="s">
        <v>143</v>
      </c>
      <c r="F26" s="43">
        <v>1</v>
      </c>
      <c r="G26" s="45">
        <f t="shared" si="0"/>
        <v>0</v>
      </c>
    </row>
    <row r="27" spans="2:7">
      <c r="B27" s="42">
        <v>45711</v>
      </c>
      <c r="C27" s="43" t="s">
        <v>123</v>
      </c>
      <c r="D27" s="43">
        <v>1</v>
      </c>
      <c r="E27" s="111" t="s">
        <v>143</v>
      </c>
      <c r="F27" s="43">
        <v>1</v>
      </c>
      <c r="G27" s="45">
        <f t="shared" si="0"/>
        <v>0</v>
      </c>
    </row>
    <row r="28" spans="2:7">
      <c r="B28" s="42">
        <v>45711</v>
      </c>
      <c r="C28" s="43" t="s">
        <v>124</v>
      </c>
      <c r="D28" s="43">
        <v>1</v>
      </c>
      <c r="E28" s="111" t="s">
        <v>143</v>
      </c>
      <c r="F28" s="43">
        <v>1</v>
      </c>
      <c r="G28" s="45">
        <f t="shared" si="0"/>
        <v>0</v>
      </c>
    </row>
    <row r="29" spans="2:7">
      <c r="B29" s="82"/>
      <c r="C29" s="82"/>
      <c r="D29" s="82"/>
      <c r="E29" s="82"/>
      <c r="F29" s="82"/>
      <c r="G29" s="45">
        <f t="shared" si="0"/>
        <v>0</v>
      </c>
    </row>
    <row r="30" spans="2:7">
      <c r="B30" s="218">
        <v>45719</v>
      </c>
      <c r="C30" s="224" t="s">
        <v>131</v>
      </c>
      <c r="D30" s="220">
        <v>13</v>
      </c>
      <c r="E30" s="220" t="s">
        <v>142</v>
      </c>
      <c r="F30" s="220">
        <v>13</v>
      </c>
      <c r="G30" s="220">
        <f t="shared" si="0"/>
        <v>0</v>
      </c>
    </row>
    <row r="31" spans="2:7">
      <c r="B31" s="218">
        <v>45719</v>
      </c>
      <c r="C31" s="224" t="s">
        <v>134</v>
      </c>
      <c r="D31" s="220">
        <v>20</v>
      </c>
      <c r="E31" s="220" t="s">
        <v>142</v>
      </c>
      <c r="F31" s="220">
        <v>20</v>
      </c>
      <c r="G31" s="220">
        <f t="shared" si="0"/>
        <v>0</v>
      </c>
    </row>
    <row r="32" spans="2:7">
      <c r="B32" s="218">
        <v>45719</v>
      </c>
      <c r="C32" s="224" t="s">
        <v>135</v>
      </c>
      <c r="D32" s="220">
        <v>4</v>
      </c>
      <c r="E32" s="220" t="s">
        <v>142</v>
      </c>
      <c r="F32" s="220">
        <v>4</v>
      </c>
      <c r="G32" s="220">
        <f t="shared" si="0"/>
        <v>0</v>
      </c>
    </row>
    <row r="33" spans="2:7">
      <c r="B33" s="218">
        <v>45719</v>
      </c>
      <c r="C33" s="220" t="s">
        <v>87</v>
      </c>
      <c r="D33" s="220">
        <v>4</v>
      </c>
      <c r="E33" s="220" t="s">
        <v>142</v>
      </c>
      <c r="F33" s="220">
        <v>4</v>
      </c>
      <c r="G33" s="220">
        <f t="shared" si="0"/>
        <v>0</v>
      </c>
    </row>
    <row r="34" spans="2:7">
      <c r="B34" s="218">
        <v>45719</v>
      </c>
      <c r="C34" s="224" t="s">
        <v>137</v>
      </c>
      <c r="D34" s="220">
        <v>14</v>
      </c>
      <c r="E34" s="220" t="s">
        <v>142</v>
      </c>
      <c r="F34" s="220">
        <v>14</v>
      </c>
      <c r="G34" s="220">
        <f t="shared" si="0"/>
        <v>0</v>
      </c>
    </row>
    <row r="35" spans="2:7">
      <c r="B35" s="218">
        <v>45719</v>
      </c>
      <c r="C35" s="224" t="s">
        <v>138</v>
      </c>
      <c r="D35" s="220">
        <v>2</v>
      </c>
      <c r="E35" s="220" t="s">
        <v>142</v>
      </c>
      <c r="F35" s="220">
        <v>2</v>
      </c>
      <c r="G35" s="220">
        <f t="shared" si="0"/>
        <v>0</v>
      </c>
    </row>
    <row r="36" spans="2:7">
      <c r="B36" s="218">
        <v>45719</v>
      </c>
      <c r="C36" s="224" t="s">
        <v>139</v>
      </c>
      <c r="D36" s="220">
        <v>1</v>
      </c>
      <c r="E36" s="220" t="s">
        <v>142</v>
      </c>
      <c r="F36" s="220">
        <v>1</v>
      </c>
      <c r="G36" s="220">
        <f t="shared" si="0"/>
        <v>0</v>
      </c>
    </row>
    <row r="37" spans="2:7">
      <c r="B37" s="43"/>
      <c r="C37" s="43"/>
      <c r="D37" s="43"/>
      <c r="E37" s="43"/>
      <c r="F37" s="43"/>
      <c r="G37" s="43">
        <f t="shared" si="0"/>
        <v>0</v>
      </c>
    </row>
    <row r="38" spans="2:7">
      <c r="B38" s="81">
        <v>45728</v>
      </c>
      <c r="C38" s="93" t="s">
        <v>166</v>
      </c>
      <c r="D38" s="43">
        <v>2</v>
      </c>
      <c r="E38" s="43" t="s">
        <v>172</v>
      </c>
      <c r="F38" s="43">
        <v>2</v>
      </c>
      <c r="G38" s="43">
        <f t="shared" si="0"/>
        <v>0</v>
      </c>
    </row>
    <row r="39" spans="2:7">
      <c r="B39" s="81">
        <v>45728</v>
      </c>
      <c r="C39" s="93" t="s">
        <v>167</v>
      </c>
      <c r="D39" s="43">
        <v>1</v>
      </c>
      <c r="E39" s="43" t="s">
        <v>172</v>
      </c>
      <c r="F39" s="43">
        <v>1</v>
      </c>
      <c r="G39" s="43">
        <f t="shared" si="0"/>
        <v>0</v>
      </c>
    </row>
    <row r="40" spans="2:7">
      <c r="B40" s="81">
        <v>45728</v>
      </c>
      <c r="C40" s="84" t="s">
        <v>131</v>
      </c>
      <c r="D40" s="43">
        <v>2</v>
      </c>
      <c r="E40" s="43" t="s">
        <v>172</v>
      </c>
      <c r="F40" s="43">
        <v>2</v>
      </c>
      <c r="G40" s="43">
        <f t="shared" si="0"/>
        <v>0</v>
      </c>
    </row>
    <row r="41" spans="2:7">
      <c r="B41" s="81">
        <v>45728</v>
      </c>
      <c r="C41" s="93" t="s">
        <v>154</v>
      </c>
      <c r="D41" s="43">
        <v>12</v>
      </c>
      <c r="E41" s="43" t="s">
        <v>172</v>
      </c>
      <c r="F41" s="43">
        <v>12</v>
      </c>
      <c r="G41" s="43">
        <f t="shared" si="0"/>
        <v>0</v>
      </c>
    </row>
    <row r="42" spans="2:7">
      <c r="B42" s="81">
        <v>45728</v>
      </c>
      <c r="C42" s="93" t="s">
        <v>155</v>
      </c>
      <c r="D42" s="43">
        <v>17</v>
      </c>
      <c r="E42" s="43" t="s">
        <v>172</v>
      </c>
      <c r="F42" s="43">
        <v>17</v>
      </c>
      <c r="G42" s="43">
        <f t="shared" si="0"/>
        <v>0</v>
      </c>
    </row>
    <row r="43" spans="2:7">
      <c r="B43" s="81">
        <v>45728</v>
      </c>
      <c r="C43" s="93" t="s">
        <v>159</v>
      </c>
      <c r="D43" s="43">
        <v>7</v>
      </c>
      <c r="E43" s="43" t="s">
        <v>172</v>
      </c>
      <c r="F43" s="43">
        <v>7</v>
      </c>
      <c r="G43" s="43">
        <f t="shared" si="0"/>
        <v>0</v>
      </c>
    </row>
    <row r="44" spans="2:7">
      <c r="B44" s="81">
        <v>45728</v>
      </c>
      <c r="C44" s="93" t="s">
        <v>168</v>
      </c>
      <c r="D44" s="43">
        <v>1</v>
      </c>
      <c r="E44" s="43" t="s">
        <v>172</v>
      </c>
      <c r="F44" s="43">
        <v>1</v>
      </c>
      <c r="G44" s="43">
        <f t="shared" si="0"/>
        <v>0</v>
      </c>
    </row>
    <row r="45" spans="2:7">
      <c r="B45" s="81">
        <v>45728</v>
      </c>
      <c r="C45" s="93" t="s">
        <v>169</v>
      </c>
      <c r="D45" s="43">
        <v>1</v>
      </c>
      <c r="E45" s="43" t="s">
        <v>172</v>
      </c>
      <c r="F45" s="43">
        <v>1</v>
      </c>
      <c r="G45" s="43">
        <f t="shared" si="0"/>
        <v>0</v>
      </c>
    </row>
    <row r="46" spans="2:7">
      <c r="B46" s="81">
        <v>45728</v>
      </c>
      <c r="C46" s="93" t="s">
        <v>170</v>
      </c>
      <c r="D46" s="43">
        <v>1</v>
      </c>
      <c r="E46" s="43" t="s">
        <v>172</v>
      </c>
      <c r="F46" s="43">
        <v>1</v>
      </c>
      <c r="G46" s="43">
        <f t="shared" si="0"/>
        <v>0</v>
      </c>
    </row>
    <row r="47" spans="2:7">
      <c r="B47" s="81">
        <v>45728</v>
      </c>
      <c r="C47" s="93" t="s">
        <v>171</v>
      </c>
      <c r="D47" s="43">
        <v>1</v>
      </c>
      <c r="E47" s="43" t="s">
        <v>172</v>
      </c>
      <c r="F47" s="43">
        <v>1</v>
      </c>
      <c r="G47" s="43">
        <f t="shared" si="0"/>
        <v>0</v>
      </c>
    </row>
    <row r="48" spans="2:7">
      <c r="B48" s="81">
        <v>45728</v>
      </c>
      <c r="C48" s="84" t="s">
        <v>134</v>
      </c>
      <c r="D48" s="43">
        <v>1</v>
      </c>
      <c r="E48" s="43" t="s">
        <v>172</v>
      </c>
      <c r="F48" s="43">
        <v>1</v>
      </c>
      <c r="G48" s="43">
        <f t="shared" si="0"/>
        <v>0</v>
      </c>
    </row>
    <row r="49" spans="2:7">
      <c r="G49" s="43">
        <f t="shared" si="0"/>
        <v>0</v>
      </c>
    </row>
    <row r="50" spans="2:7">
      <c r="B50" s="81">
        <v>45730</v>
      </c>
      <c r="C50" s="93" t="s">
        <v>86</v>
      </c>
      <c r="D50" s="43">
        <v>55</v>
      </c>
      <c r="E50" s="111" t="s">
        <v>143</v>
      </c>
      <c r="F50" s="43">
        <v>55</v>
      </c>
      <c r="G50" s="43">
        <f t="shared" si="0"/>
        <v>0</v>
      </c>
    </row>
    <row r="51" spans="2:7">
      <c r="B51" s="81">
        <v>45730</v>
      </c>
      <c r="C51" s="93" t="s">
        <v>186</v>
      </c>
      <c r="D51" s="43">
        <v>11</v>
      </c>
      <c r="E51" s="111" t="s">
        <v>143</v>
      </c>
      <c r="F51" s="43">
        <v>11</v>
      </c>
      <c r="G51" s="43">
        <f t="shared" si="0"/>
        <v>0</v>
      </c>
    </row>
    <row r="52" spans="2:7">
      <c r="B52" s="81">
        <v>45730</v>
      </c>
      <c r="C52" s="92" t="s">
        <v>85</v>
      </c>
      <c r="D52" s="43">
        <v>1</v>
      </c>
      <c r="E52" s="111" t="s">
        <v>143</v>
      </c>
      <c r="F52" s="43">
        <v>1</v>
      </c>
      <c r="G52" s="43">
        <f t="shared" si="0"/>
        <v>0</v>
      </c>
    </row>
    <row r="53" spans="2:7">
      <c r="B53" s="81">
        <v>45730</v>
      </c>
      <c r="C53" s="93" t="s">
        <v>87</v>
      </c>
      <c r="D53" s="43">
        <v>68</v>
      </c>
      <c r="E53" s="111" t="s">
        <v>143</v>
      </c>
      <c r="F53" s="43">
        <v>68</v>
      </c>
      <c r="G53" s="43">
        <f t="shared" si="0"/>
        <v>0</v>
      </c>
    </row>
    <row r="54" spans="2:7">
      <c r="B54" s="81">
        <v>45730</v>
      </c>
      <c r="C54" s="92" t="s">
        <v>84</v>
      </c>
      <c r="D54" s="43">
        <v>2</v>
      </c>
      <c r="E54" s="111" t="s">
        <v>143</v>
      </c>
      <c r="F54" s="43">
        <v>2</v>
      </c>
      <c r="G54" s="43">
        <f t="shared" si="0"/>
        <v>0</v>
      </c>
    </row>
    <row r="55" spans="2:7">
      <c r="B55" s="81">
        <v>45730</v>
      </c>
      <c r="C55" s="93" t="s">
        <v>120</v>
      </c>
      <c r="D55" s="43">
        <v>1</v>
      </c>
      <c r="E55" s="111" t="s">
        <v>143</v>
      </c>
      <c r="F55" s="43">
        <v>1</v>
      </c>
      <c r="G55" s="43">
        <f t="shared" si="0"/>
        <v>0</v>
      </c>
    </row>
    <row r="56" spans="2:7">
      <c r="B56" s="81">
        <v>45730</v>
      </c>
      <c r="C56" s="117" t="s">
        <v>78</v>
      </c>
      <c r="D56" s="43">
        <v>17</v>
      </c>
      <c r="E56" s="111" t="s">
        <v>143</v>
      </c>
      <c r="F56" s="43">
        <v>17</v>
      </c>
      <c r="G56" s="43">
        <f t="shared" si="0"/>
        <v>0</v>
      </c>
    </row>
    <row r="57" spans="2:7">
      <c r="B57" s="81">
        <v>45730</v>
      </c>
      <c r="C57" s="104" t="s">
        <v>124</v>
      </c>
      <c r="D57" s="33">
        <v>1</v>
      </c>
      <c r="E57" s="111" t="s">
        <v>143</v>
      </c>
      <c r="F57" s="33">
        <v>1</v>
      </c>
      <c r="G57" s="43">
        <f t="shared" si="0"/>
        <v>0</v>
      </c>
    </row>
    <row r="58" spans="2:7">
      <c r="B58" s="81">
        <v>45730</v>
      </c>
      <c r="C58" s="117" t="s">
        <v>82</v>
      </c>
      <c r="D58" s="43">
        <v>250</v>
      </c>
      <c r="E58" s="111" t="s">
        <v>143</v>
      </c>
      <c r="F58" s="43">
        <v>250</v>
      </c>
      <c r="G58" s="43">
        <f t="shared" si="0"/>
        <v>0</v>
      </c>
    </row>
    <row r="59" spans="2:7">
      <c r="B59" s="81">
        <v>45730</v>
      </c>
      <c r="C59" s="117" t="s">
        <v>78</v>
      </c>
      <c r="D59" s="43">
        <v>100</v>
      </c>
      <c r="E59" s="111" t="s">
        <v>143</v>
      </c>
      <c r="F59" s="43">
        <v>100</v>
      </c>
      <c r="G59" s="43">
        <f t="shared" si="0"/>
        <v>0</v>
      </c>
    </row>
    <row r="60" spans="2:7">
      <c r="B60" s="81">
        <v>45730</v>
      </c>
      <c r="C60" s="117" t="s">
        <v>76</v>
      </c>
      <c r="D60" s="43">
        <v>153</v>
      </c>
      <c r="E60" s="111" t="s">
        <v>143</v>
      </c>
      <c r="F60" s="43">
        <v>153</v>
      </c>
      <c r="G60" s="43">
        <f t="shared" si="0"/>
        <v>0</v>
      </c>
    </row>
    <row r="61" spans="2:7">
      <c r="B61" s="81">
        <v>45730</v>
      </c>
      <c r="C61" s="104" t="s">
        <v>201</v>
      </c>
      <c r="D61" s="43">
        <v>6</v>
      </c>
      <c r="E61" s="111" t="s">
        <v>143</v>
      </c>
      <c r="F61" s="43">
        <v>6</v>
      </c>
      <c r="G61" s="43">
        <f t="shared" si="0"/>
        <v>0</v>
      </c>
    </row>
    <row r="62" spans="2:7">
      <c r="B62" s="81">
        <v>45737</v>
      </c>
      <c r="C62" s="104" t="s">
        <v>201</v>
      </c>
      <c r="D62" s="43">
        <v>1</v>
      </c>
      <c r="E62" s="111" t="s">
        <v>277</v>
      </c>
      <c r="F62" s="43">
        <v>1</v>
      </c>
      <c r="G62" s="43">
        <f t="shared" si="0"/>
        <v>0</v>
      </c>
    </row>
    <row r="63" spans="2:7">
      <c r="B63" s="218">
        <v>45742</v>
      </c>
      <c r="C63" s="221" t="s">
        <v>274</v>
      </c>
      <c r="D63" s="220">
        <v>100</v>
      </c>
      <c r="E63" s="220" t="s">
        <v>276</v>
      </c>
      <c r="F63" s="220">
        <v>100</v>
      </c>
      <c r="G63" s="220">
        <f t="shared" si="0"/>
        <v>0</v>
      </c>
    </row>
    <row r="64" spans="2:7">
      <c r="B64" s="81">
        <v>45742</v>
      </c>
      <c r="C64" s="93" t="s">
        <v>86</v>
      </c>
      <c r="D64" s="43">
        <v>10</v>
      </c>
      <c r="E64" s="43" t="s">
        <v>273</v>
      </c>
      <c r="F64" s="43">
        <v>10</v>
      </c>
      <c r="G64" s="43">
        <f t="shared" si="0"/>
        <v>0</v>
      </c>
    </row>
    <row r="65" spans="2:7">
      <c r="B65" s="218">
        <v>45744</v>
      </c>
      <c r="C65" s="219" t="s">
        <v>78</v>
      </c>
      <c r="D65" s="220">
        <v>79</v>
      </c>
      <c r="E65" s="220" t="s">
        <v>276</v>
      </c>
      <c r="F65" s="220">
        <v>79</v>
      </c>
      <c r="G65" s="221">
        <f t="shared" si="0"/>
        <v>0</v>
      </c>
    </row>
    <row r="66" spans="2:7">
      <c r="B66" s="218">
        <v>45744</v>
      </c>
      <c r="C66" s="222" t="s">
        <v>274</v>
      </c>
      <c r="D66" s="220">
        <v>174</v>
      </c>
      <c r="E66" s="220" t="s">
        <v>276</v>
      </c>
      <c r="F66" s="220">
        <v>174</v>
      </c>
      <c r="G66" s="221">
        <f t="shared" si="0"/>
        <v>0</v>
      </c>
    </row>
    <row r="67" spans="2:7">
      <c r="B67" s="81">
        <v>45754</v>
      </c>
      <c r="C67" s="93" t="s">
        <v>120</v>
      </c>
      <c r="D67" s="33">
        <v>1</v>
      </c>
      <c r="E67" s="111" t="s">
        <v>143</v>
      </c>
      <c r="F67" s="33">
        <v>1</v>
      </c>
      <c r="G67" s="156">
        <f t="shared" si="0"/>
        <v>0</v>
      </c>
    </row>
    <row r="68" spans="2:7">
      <c r="B68" s="81">
        <v>45754</v>
      </c>
      <c r="C68" s="104" t="s">
        <v>302</v>
      </c>
      <c r="D68" s="43">
        <v>5</v>
      </c>
      <c r="E68" s="111" t="s">
        <v>143</v>
      </c>
      <c r="F68" s="43">
        <v>5</v>
      </c>
      <c r="G68" s="104">
        <f t="shared" si="0"/>
        <v>0</v>
      </c>
    </row>
    <row r="69" spans="2:7">
      <c r="B69" s="81">
        <v>45754</v>
      </c>
      <c r="C69" s="93" t="s">
        <v>334</v>
      </c>
      <c r="D69" s="43">
        <v>8</v>
      </c>
      <c r="E69" s="111" t="s">
        <v>143</v>
      </c>
      <c r="F69" s="43">
        <v>8</v>
      </c>
      <c r="G69" s="104">
        <f t="shared" si="0"/>
        <v>0</v>
      </c>
    </row>
    <row r="70" spans="2:7">
      <c r="B70" s="81">
        <v>45754</v>
      </c>
      <c r="C70" s="93" t="s">
        <v>86</v>
      </c>
      <c r="D70" s="43">
        <v>3</v>
      </c>
      <c r="E70" s="111" t="s">
        <v>143</v>
      </c>
      <c r="F70" s="43">
        <v>3</v>
      </c>
      <c r="G70" s="104">
        <f t="shared" ref="G70:G86" si="1">D70-F70</f>
        <v>0</v>
      </c>
    </row>
    <row r="71" spans="2:7">
      <c r="B71" s="81">
        <v>45754</v>
      </c>
      <c r="C71" s="92" t="s">
        <v>84</v>
      </c>
      <c r="D71" s="43">
        <v>45</v>
      </c>
      <c r="E71" s="111" t="s">
        <v>143</v>
      </c>
      <c r="F71" s="43">
        <v>45</v>
      </c>
      <c r="G71" s="104">
        <f t="shared" si="1"/>
        <v>0</v>
      </c>
    </row>
    <row r="72" spans="2:7">
      <c r="B72" s="81">
        <v>45754</v>
      </c>
      <c r="C72" s="93" t="s">
        <v>121</v>
      </c>
      <c r="D72" s="43">
        <v>7</v>
      </c>
      <c r="E72" s="111" t="s">
        <v>143</v>
      </c>
      <c r="F72" s="43">
        <v>7</v>
      </c>
      <c r="G72" s="104">
        <f t="shared" si="1"/>
        <v>0</v>
      </c>
    </row>
    <row r="73" spans="2:7">
      <c r="B73" s="81">
        <v>45754</v>
      </c>
      <c r="C73" s="93" t="s">
        <v>303</v>
      </c>
      <c r="D73" s="43">
        <v>15</v>
      </c>
      <c r="E73" s="111" t="s">
        <v>143</v>
      </c>
      <c r="F73" s="43">
        <v>15</v>
      </c>
      <c r="G73" s="104">
        <f t="shared" si="1"/>
        <v>0</v>
      </c>
    </row>
    <row r="74" spans="2:7">
      <c r="B74" s="81">
        <v>45754</v>
      </c>
      <c r="C74" s="93" t="s">
        <v>201</v>
      </c>
      <c r="D74" s="43">
        <v>23</v>
      </c>
      <c r="E74" s="111" t="s">
        <v>143</v>
      </c>
      <c r="F74" s="43">
        <v>23</v>
      </c>
      <c r="G74" s="104">
        <f t="shared" si="1"/>
        <v>0</v>
      </c>
    </row>
    <row r="75" spans="2:7">
      <c r="B75" s="81">
        <v>45754</v>
      </c>
      <c r="C75" s="93" t="s">
        <v>124</v>
      </c>
      <c r="D75" s="43">
        <v>1</v>
      </c>
      <c r="E75" s="111" t="s">
        <v>143</v>
      </c>
      <c r="F75" s="43">
        <v>1</v>
      </c>
      <c r="G75" s="104">
        <f t="shared" si="1"/>
        <v>0</v>
      </c>
    </row>
    <row r="76" spans="2:7">
      <c r="B76" s="81">
        <v>45754</v>
      </c>
      <c r="C76" s="84" t="s">
        <v>131</v>
      </c>
      <c r="D76" s="43">
        <v>2</v>
      </c>
      <c r="E76" s="111" t="s">
        <v>143</v>
      </c>
      <c r="F76" s="43">
        <v>2</v>
      </c>
      <c r="G76" s="104">
        <f t="shared" si="1"/>
        <v>0</v>
      </c>
    </row>
    <row r="77" spans="2:7">
      <c r="B77" s="81">
        <v>45754</v>
      </c>
      <c r="C77" s="84" t="s">
        <v>134</v>
      </c>
      <c r="D77" s="43">
        <v>2</v>
      </c>
      <c r="E77" s="111" t="s">
        <v>143</v>
      </c>
      <c r="F77" s="43">
        <v>2</v>
      </c>
      <c r="G77" s="104">
        <f t="shared" si="1"/>
        <v>0</v>
      </c>
    </row>
    <row r="78" spans="2:7">
      <c r="B78" s="81">
        <v>45754</v>
      </c>
      <c r="C78" s="93" t="s">
        <v>87</v>
      </c>
      <c r="D78" s="43">
        <v>4</v>
      </c>
      <c r="E78" s="111" t="s">
        <v>143</v>
      </c>
      <c r="F78" s="43">
        <v>4</v>
      </c>
      <c r="G78" s="104">
        <f t="shared" si="1"/>
        <v>0</v>
      </c>
    </row>
    <row r="79" spans="2:7">
      <c r="B79" s="81">
        <v>45754</v>
      </c>
      <c r="C79" s="104" t="s">
        <v>304</v>
      </c>
      <c r="D79" s="43">
        <v>2</v>
      </c>
      <c r="E79" s="111" t="s">
        <v>143</v>
      </c>
      <c r="F79" s="43">
        <v>2</v>
      </c>
      <c r="G79" s="104">
        <f t="shared" si="1"/>
        <v>0</v>
      </c>
    </row>
    <row r="80" spans="2:7">
      <c r="B80" s="81">
        <v>45754</v>
      </c>
      <c r="C80" s="186" t="s">
        <v>367</v>
      </c>
      <c r="D80" s="43">
        <v>1</v>
      </c>
      <c r="E80" s="111" t="s">
        <v>143</v>
      </c>
      <c r="F80" s="43">
        <v>1</v>
      </c>
      <c r="G80" s="104">
        <f t="shared" si="1"/>
        <v>0</v>
      </c>
    </row>
    <row r="81" spans="2:7">
      <c r="B81" s="81">
        <v>45754</v>
      </c>
      <c r="C81" s="43" t="s">
        <v>92</v>
      </c>
      <c r="D81" s="43">
        <v>11</v>
      </c>
      <c r="E81" s="111" t="s">
        <v>143</v>
      </c>
      <c r="F81" s="33">
        <v>11</v>
      </c>
      <c r="G81" s="157">
        <f t="shared" si="1"/>
        <v>0</v>
      </c>
    </row>
    <row r="82" spans="2:7">
      <c r="B82" s="81">
        <v>45754</v>
      </c>
      <c r="C82" s="104" t="s">
        <v>266</v>
      </c>
      <c r="D82" s="43">
        <v>59</v>
      </c>
      <c r="E82" s="111" t="s">
        <v>143</v>
      </c>
      <c r="F82" s="33">
        <v>59</v>
      </c>
      <c r="G82" s="157">
        <f t="shared" si="1"/>
        <v>0</v>
      </c>
    </row>
    <row r="83" spans="2:7">
      <c r="B83" s="81">
        <v>45754</v>
      </c>
      <c r="C83" s="43" t="s">
        <v>366</v>
      </c>
      <c r="D83" s="43">
        <v>1</v>
      </c>
      <c r="E83" s="111" t="s">
        <v>143</v>
      </c>
      <c r="F83" s="33">
        <v>1</v>
      </c>
      <c r="G83" s="157">
        <f t="shared" si="1"/>
        <v>0</v>
      </c>
    </row>
    <row r="84" spans="2:7">
      <c r="B84" s="81"/>
      <c r="C84" s="43"/>
      <c r="E84" s="43"/>
      <c r="G84" s="157"/>
    </row>
    <row r="85" spans="2:7">
      <c r="B85" s="218">
        <v>45754</v>
      </c>
      <c r="C85" s="219" t="s">
        <v>84</v>
      </c>
      <c r="D85" s="220">
        <v>10</v>
      </c>
      <c r="E85" s="220" t="s">
        <v>276</v>
      </c>
      <c r="F85" s="220">
        <v>10</v>
      </c>
      <c r="G85" s="221">
        <f t="shared" si="1"/>
        <v>0</v>
      </c>
    </row>
    <row r="86" spans="2:7">
      <c r="B86" s="43"/>
      <c r="C86" s="43"/>
      <c r="D86" s="43"/>
      <c r="E86" s="43"/>
      <c r="F86" s="43"/>
      <c r="G86" s="104">
        <f t="shared" si="1"/>
        <v>0</v>
      </c>
    </row>
    <row r="87" spans="2:7">
      <c r="B87" s="218">
        <v>45758</v>
      </c>
      <c r="C87" s="222" t="s">
        <v>375</v>
      </c>
      <c r="D87" s="220">
        <v>37</v>
      </c>
      <c r="E87" s="220" t="s">
        <v>276</v>
      </c>
      <c r="F87" s="220">
        <v>37</v>
      </c>
      <c r="G87" s="221">
        <f t="shared" ref="G87:G150" si="2">D87-F87</f>
        <v>0</v>
      </c>
    </row>
    <row r="88" spans="2:7">
      <c r="B88" s="81">
        <v>45758</v>
      </c>
      <c r="C88" s="84" t="s">
        <v>131</v>
      </c>
      <c r="D88" s="43">
        <v>9</v>
      </c>
      <c r="E88" s="111" t="s">
        <v>388</v>
      </c>
      <c r="F88" s="43">
        <v>9</v>
      </c>
      <c r="G88" s="104">
        <f t="shared" si="2"/>
        <v>0</v>
      </c>
    </row>
    <row r="89" spans="2:7">
      <c r="B89" s="81">
        <v>45758</v>
      </c>
      <c r="C89" s="93" t="s">
        <v>382</v>
      </c>
      <c r="D89" s="43">
        <v>18</v>
      </c>
      <c r="E89" s="111" t="s">
        <v>388</v>
      </c>
      <c r="F89" s="43">
        <v>18</v>
      </c>
      <c r="G89" s="104">
        <f t="shared" si="2"/>
        <v>0</v>
      </c>
    </row>
    <row r="90" spans="2:7">
      <c r="B90" s="81">
        <v>45758</v>
      </c>
      <c r="C90" s="93" t="s">
        <v>383</v>
      </c>
      <c r="D90" s="43">
        <v>1</v>
      </c>
      <c r="E90" s="111" t="s">
        <v>388</v>
      </c>
      <c r="F90" s="43">
        <v>1</v>
      </c>
      <c r="G90" s="104">
        <f t="shared" si="2"/>
        <v>0</v>
      </c>
    </row>
    <row r="91" spans="2:7">
      <c r="B91" s="81">
        <v>45758</v>
      </c>
      <c r="C91" s="93" t="s">
        <v>384</v>
      </c>
      <c r="D91" s="43">
        <v>30</v>
      </c>
      <c r="E91" s="111" t="s">
        <v>388</v>
      </c>
      <c r="F91" s="43">
        <v>30</v>
      </c>
      <c r="G91" s="104">
        <f t="shared" si="2"/>
        <v>0</v>
      </c>
    </row>
    <row r="92" spans="2:7">
      <c r="B92" s="81">
        <v>45758</v>
      </c>
      <c r="C92" s="93" t="s">
        <v>385</v>
      </c>
      <c r="D92" s="43">
        <v>12</v>
      </c>
      <c r="E92" s="111" t="s">
        <v>388</v>
      </c>
      <c r="F92" s="43">
        <v>12</v>
      </c>
      <c r="G92" s="104">
        <f t="shared" si="2"/>
        <v>0</v>
      </c>
    </row>
    <row r="93" spans="2:7">
      <c r="B93" s="81">
        <v>45758</v>
      </c>
      <c r="C93" s="93" t="s">
        <v>87</v>
      </c>
      <c r="D93" s="43">
        <v>22</v>
      </c>
      <c r="E93" s="111" t="s">
        <v>388</v>
      </c>
      <c r="F93" s="43">
        <v>22</v>
      </c>
      <c r="G93" s="104">
        <f t="shared" si="2"/>
        <v>0</v>
      </c>
    </row>
    <row r="94" spans="2:7">
      <c r="B94" s="81">
        <v>45758</v>
      </c>
      <c r="C94" s="36" t="s">
        <v>85</v>
      </c>
      <c r="D94" s="43">
        <v>2</v>
      </c>
      <c r="E94" s="43" t="s">
        <v>389</v>
      </c>
      <c r="F94" s="43">
        <v>2</v>
      </c>
      <c r="G94" s="104">
        <f t="shared" si="2"/>
        <v>0</v>
      </c>
    </row>
    <row r="95" spans="2:7">
      <c r="B95" s="218">
        <v>45761</v>
      </c>
      <c r="C95" s="223" t="s">
        <v>131</v>
      </c>
      <c r="D95" s="220">
        <v>5</v>
      </c>
      <c r="E95" s="220" t="s">
        <v>441</v>
      </c>
      <c r="F95" s="220">
        <v>5</v>
      </c>
      <c r="G95" s="221">
        <f t="shared" si="2"/>
        <v>0</v>
      </c>
    </row>
    <row r="96" spans="2:7">
      <c r="B96" s="218">
        <v>45761</v>
      </c>
      <c r="C96" s="223" t="s">
        <v>440</v>
      </c>
      <c r="D96" s="220">
        <v>3</v>
      </c>
      <c r="E96" s="220" t="s">
        <v>442</v>
      </c>
      <c r="F96" s="220">
        <v>3</v>
      </c>
      <c r="G96" s="221">
        <f t="shared" si="2"/>
        <v>0</v>
      </c>
    </row>
    <row r="97" spans="2:8">
      <c r="B97" s="43"/>
      <c r="C97" s="43"/>
      <c r="D97" s="43"/>
      <c r="E97" s="43"/>
      <c r="F97" s="43"/>
      <c r="G97" s="104">
        <f t="shared" si="2"/>
        <v>0</v>
      </c>
    </row>
    <row r="98" spans="2:8">
      <c r="B98" s="81">
        <v>45764</v>
      </c>
      <c r="C98" s="93" t="s">
        <v>482</v>
      </c>
      <c r="D98" s="43">
        <v>31</v>
      </c>
      <c r="E98" s="111" t="s">
        <v>143</v>
      </c>
      <c r="F98" s="43">
        <v>31</v>
      </c>
      <c r="G98" s="104">
        <f t="shared" si="2"/>
        <v>0</v>
      </c>
    </row>
    <row r="99" spans="2:8">
      <c r="B99" s="81">
        <v>45764</v>
      </c>
      <c r="C99" s="93" t="s">
        <v>383</v>
      </c>
      <c r="D99" s="43">
        <v>2</v>
      </c>
      <c r="E99" s="111" t="s">
        <v>143</v>
      </c>
      <c r="F99" s="43">
        <v>2</v>
      </c>
      <c r="G99" s="104">
        <f t="shared" si="2"/>
        <v>0</v>
      </c>
    </row>
    <row r="100" spans="2:8">
      <c r="B100" s="81">
        <v>45764</v>
      </c>
      <c r="C100" s="84" t="s">
        <v>477</v>
      </c>
      <c r="D100" s="43">
        <v>1</v>
      </c>
      <c r="E100" s="111" t="s">
        <v>143</v>
      </c>
      <c r="F100" s="43">
        <v>1</v>
      </c>
      <c r="G100" s="104">
        <f t="shared" si="2"/>
        <v>0</v>
      </c>
    </row>
    <row r="101" spans="2:8">
      <c r="B101" s="81">
        <v>45764</v>
      </c>
      <c r="C101" s="93" t="s">
        <v>123</v>
      </c>
      <c r="D101" s="43">
        <v>5</v>
      </c>
      <c r="E101" s="111" t="s">
        <v>143</v>
      </c>
      <c r="F101" s="43">
        <v>5</v>
      </c>
      <c r="G101" s="104">
        <f t="shared" si="2"/>
        <v>0</v>
      </c>
    </row>
    <row r="102" spans="2:8">
      <c r="B102" s="81">
        <v>45764</v>
      </c>
      <c r="C102" s="93" t="s">
        <v>303</v>
      </c>
      <c r="D102" s="43">
        <v>15</v>
      </c>
      <c r="E102" s="111" t="s">
        <v>143</v>
      </c>
      <c r="F102" s="43">
        <v>15</v>
      </c>
      <c r="G102" s="104">
        <f t="shared" si="2"/>
        <v>0</v>
      </c>
      <c r="H102" t="s">
        <v>509</v>
      </c>
    </row>
    <row r="103" spans="2:8">
      <c r="B103" s="81">
        <v>45764</v>
      </c>
      <c r="C103" s="84" t="s">
        <v>410</v>
      </c>
      <c r="D103" s="43">
        <v>1</v>
      </c>
      <c r="E103" s="111" t="s">
        <v>143</v>
      </c>
      <c r="F103" s="43">
        <v>1</v>
      </c>
      <c r="G103" s="104">
        <f t="shared" si="2"/>
        <v>0</v>
      </c>
    </row>
    <row r="104" spans="2:8">
      <c r="B104" s="81">
        <v>45764</v>
      </c>
      <c r="C104" s="92" t="s">
        <v>84</v>
      </c>
      <c r="D104" s="43">
        <v>57</v>
      </c>
      <c r="E104" s="111" t="s">
        <v>143</v>
      </c>
      <c r="F104" s="43">
        <v>57</v>
      </c>
      <c r="G104" s="104">
        <f t="shared" si="2"/>
        <v>0</v>
      </c>
    </row>
    <row r="105" spans="2:8">
      <c r="B105" s="81">
        <v>45764</v>
      </c>
      <c r="C105" s="93" t="s">
        <v>121</v>
      </c>
      <c r="D105" s="43">
        <v>14</v>
      </c>
      <c r="E105" s="111" t="s">
        <v>143</v>
      </c>
      <c r="F105" s="43">
        <v>14</v>
      </c>
      <c r="G105" s="104">
        <f t="shared" si="2"/>
        <v>0</v>
      </c>
    </row>
    <row r="106" spans="2:8">
      <c r="B106" s="81">
        <v>45764</v>
      </c>
      <c r="C106" s="84" t="s">
        <v>122</v>
      </c>
      <c r="D106" s="43">
        <v>9</v>
      </c>
      <c r="E106" s="111" t="s">
        <v>143</v>
      </c>
      <c r="F106" s="43">
        <v>9</v>
      </c>
      <c r="G106" s="104">
        <f t="shared" si="2"/>
        <v>0</v>
      </c>
    </row>
    <row r="107" spans="2:8">
      <c r="B107" s="81">
        <v>45764</v>
      </c>
      <c r="C107" s="84" t="s">
        <v>467</v>
      </c>
      <c r="D107" s="43">
        <v>48</v>
      </c>
      <c r="E107" s="111" t="s">
        <v>143</v>
      </c>
      <c r="F107" s="43">
        <v>48</v>
      </c>
      <c r="G107" s="104">
        <f t="shared" si="2"/>
        <v>0</v>
      </c>
    </row>
    <row r="108" spans="2:8">
      <c r="B108" s="81">
        <v>45764</v>
      </c>
      <c r="C108" s="117" t="s">
        <v>84</v>
      </c>
      <c r="D108" s="43">
        <v>5</v>
      </c>
      <c r="E108" s="220" t="s">
        <v>511</v>
      </c>
      <c r="F108" s="43">
        <v>5</v>
      </c>
      <c r="G108" s="104">
        <f t="shared" si="2"/>
        <v>0</v>
      </c>
    </row>
    <row r="109" spans="2:8">
      <c r="B109" s="81">
        <v>45762</v>
      </c>
      <c r="C109" s="84" t="s">
        <v>513</v>
      </c>
      <c r="D109" s="43">
        <v>2</v>
      </c>
      <c r="E109" s="220" t="s">
        <v>276</v>
      </c>
      <c r="F109" s="43">
        <v>2</v>
      </c>
      <c r="G109" s="104">
        <f t="shared" si="2"/>
        <v>0</v>
      </c>
    </row>
    <row r="110" spans="2:8">
      <c r="B110" s="81">
        <v>45764</v>
      </c>
      <c r="C110" s="84" t="s">
        <v>512</v>
      </c>
      <c r="D110" s="43">
        <v>4</v>
      </c>
      <c r="E110" s="220" t="s">
        <v>276</v>
      </c>
      <c r="F110" s="43">
        <v>4</v>
      </c>
      <c r="G110" s="104">
        <f t="shared" si="2"/>
        <v>0</v>
      </c>
    </row>
    <row r="111" spans="2:8">
      <c r="B111" s="81">
        <v>45764</v>
      </c>
      <c r="C111" s="84" t="s">
        <v>497</v>
      </c>
      <c r="D111" s="43">
        <v>4</v>
      </c>
      <c r="E111" s="111" t="s">
        <v>143</v>
      </c>
      <c r="F111" s="43">
        <v>4</v>
      </c>
      <c r="G111" s="104">
        <f t="shared" si="2"/>
        <v>0</v>
      </c>
    </row>
    <row r="112" spans="2:8">
      <c r="B112" s="81">
        <v>45764</v>
      </c>
      <c r="C112" s="84" t="s">
        <v>498</v>
      </c>
      <c r="D112" s="43">
        <v>1</v>
      </c>
      <c r="E112" s="111" t="s">
        <v>143</v>
      </c>
      <c r="F112" s="43">
        <v>1</v>
      </c>
      <c r="G112" s="104">
        <f t="shared" si="2"/>
        <v>0</v>
      </c>
    </row>
    <row r="113" spans="2:7">
      <c r="B113" s="81">
        <v>45764</v>
      </c>
      <c r="C113" s="93" t="s">
        <v>86</v>
      </c>
      <c r="D113" s="43">
        <v>1</v>
      </c>
      <c r="E113" s="111" t="s">
        <v>143</v>
      </c>
      <c r="F113" s="43">
        <v>1</v>
      </c>
      <c r="G113" s="104">
        <f t="shared" si="2"/>
        <v>0</v>
      </c>
    </row>
    <row r="114" spans="2:7">
      <c r="B114" s="81">
        <v>45764</v>
      </c>
      <c r="C114" s="104" t="s">
        <v>302</v>
      </c>
      <c r="D114" s="43">
        <v>1</v>
      </c>
      <c r="E114" s="111" t="s">
        <v>143</v>
      </c>
      <c r="F114" s="43">
        <v>1</v>
      </c>
      <c r="G114" s="104">
        <f t="shared" si="2"/>
        <v>0</v>
      </c>
    </row>
    <row r="115" spans="2:7">
      <c r="B115" s="81">
        <v>45764</v>
      </c>
      <c r="C115" s="104" t="s">
        <v>366</v>
      </c>
      <c r="D115" s="43">
        <v>9</v>
      </c>
      <c r="E115" s="111" t="s">
        <v>143</v>
      </c>
      <c r="F115" s="43">
        <v>9</v>
      </c>
      <c r="G115" s="104">
        <f t="shared" si="2"/>
        <v>0</v>
      </c>
    </row>
    <row r="116" spans="2:7">
      <c r="B116" s="81">
        <v>45764</v>
      </c>
      <c r="C116" s="104" t="s">
        <v>408</v>
      </c>
      <c r="D116" s="43">
        <v>13</v>
      </c>
      <c r="E116" s="111" t="s">
        <v>143</v>
      </c>
      <c r="F116" s="43">
        <v>13</v>
      </c>
      <c r="G116" s="104">
        <f t="shared" si="2"/>
        <v>0</v>
      </c>
    </row>
    <row r="117" spans="2:7">
      <c r="B117" s="81">
        <v>45764</v>
      </c>
      <c r="C117" s="104" t="s">
        <v>266</v>
      </c>
      <c r="D117" s="43">
        <v>16</v>
      </c>
      <c r="E117" s="111" t="s">
        <v>143</v>
      </c>
      <c r="F117" s="43">
        <v>16</v>
      </c>
      <c r="G117" s="104">
        <f t="shared" si="2"/>
        <v>0</v>
      </c>
    </row>
    <row r="118" spans="2:7">
      <c r="B118" s="81">
        <v>45764</v>
      </c>
      <c r="C118" s="104" t="s">
        <v>375</v>
      </c>
      <c r="D118" s="43">
        <v>2</v>
      </c>
      <c r="E118" s="111" t="s">
        <v>143</v>
      </c>
      <c r="F118" s="43">
        <v>2</v>
      </c>
      <c r="G118" s="104">
        <f t="shared" si="2"/>
        <v>0</v>
      </c>
    </row>
    <row r="119" spans="2:7">
      <c r="B119" s="214">
        <v>45767</v>
      </c>
      <c r="C119" s="247" t="s">
        <v>375</v>
      </c>
      <c r="D119" s="43">
        <v>9</v>
      </c>
      <c r="E119" s="220" t="s">
        <v>537</v>
      </c>
      <c r="F119" s="43">
        <v>9</v>
      </c>
      <c r="G119" s="104">
        <f t="shared" si="2"/>
        <v>0</v>
      </c>
    </row>
    <row r="120" spans="2:7">
      <c r="B120" s="214">
        <v>45764</v>
      </c>
      <c r="C120" s="247" t="s">
        <v>134</v>
      </c>
      <c r="D120" s="43">
        <v>2</v>
      </c>
      <c r="E120" s="235" t="s">
        <v>538</v>
      </c>
      <c r="F120" s="43">
        <v>2</v>
      </c>
      <c r="G120" s="104">
        <f t="shared" si="2"/>
        <v>0</v>
      </c>
    </row>
    <row r="121" spans="2:7">
      <c r="B121" s="214">
        <v>45769</v>
      </c>
      <c r="C121" s="248" t="s">
        <v>87</v>
      </c>
      <c r="D121" s="43">
        <v>14</v>
      </c>
      <c r="E121" s="235" t="s">
        <v>539</v>
      </c>
      <c r="F121" s="43">
        <v>14</v>
      </c>
      <c r="G121" s="104">
        <f t="shared" si="2"/>
        <v>0</v>
      </c>
    </row>
    <row r="122" spans="2:7">
      <c r="B122" s="214">
        <v>45771</v>
      </c>
      <c r="C122" s="236" t="s">
        <v>513</v>
      </c>
      <c r="D122" s="43">
        <v>2</v>
      </c>
      <c r="E122" s="235" t="s">
        <v>538</v>
      </c>
      <c r="F122" s="43">
        <v>2</v>
      </c>
      <c r="G122" s="104">
        <f t="shared" si="2"/>
        <v>0</v>
      </c>
    </row>
    <row r="123" spans="2:7">
      <c r="B123" s="214">
        <v>45771</v>
      </c>
      <c r="C123" s="236" t="s">
        <v>134</v>
      </c>
      <c r="D123" s="43">
        <v>2</v>
      </c>
      <c r="E123" s="235" t="s">
        <v>538</v>
      </c>
      <c r="F123" s="43">
        <v>2</v>
      </c>
      <c r="G123" s="104">
        <f t="shared" si="2"/>
        <v>0</v>
      </c>
    </row>
    <row r="124" spans="2:7">
      <c r="G124" s="156">
        <f t="shared" si="2"/>
        <v>0</v>
      </c>
    </row>
    <row r="125" spans="2:7">
      <c r="B125" s="81">
        <v>45775</v>
      </c>
      <c r="C125" s="104" t="s">
        <v>375</v>
      </c>
      <c r="D125" s="43">
        <v>53</v>
      </c>
      <c r="E125" s="111" t="s">
        <v>602</v>
      </c>
      <c r="F125" s="43">
        <v>53</v>
      </c>
      <c r="G125" s="104">
        <f t="shared" si="2"/>
        <v>0</v>
      </c>
    </row>
    <row r="126" spans="2:7">
      <c r="B126" s="81">
        <v>45775</v>
      </c>
      <c r="C126" s="93" t="s">
        <v>87</v>
      </c>
      <c r="D126" s="43">
        <v>5</v>
      </c>
      <c r="E126" s="111" t="s">
        <v>602</v>
      </c>
      <c r="F126" s="43">
        <v>5</v>
      </c>
      <c r="G126" s="104">
        <f t="shared" si="2"/>
        <v>0</v>
      </c>
    </row>
    <row r="127" spans="2:7">
      <c r="B127" s="81">
        <v>45775</v>
      </c>
      <c r="C127" s="93" t="s">
        <v>303</v>
      </c>
      <c r="D127" s="43">
        <v>18</v>
      </c>
      <c r="E127" s="111" t="s">
        <v>602</v>
      </c>
      <c r="F127" s="43">
        <v>18</v>
      </c>
      <c r="G127" s="104">
        <f t="shared" si="2"/>
        <v>0</v>
      </c>
    </row>
    <row r="128" spans="2:7">
      <c r="B128" s="81">
        <v>45775</v>
      </c>
      <c r="C128" s="84" t="s">
        <v>497</v>
      </c>
      <c r="D128" s="43">
        <v>15</v>
      </c>
      <c r="E128" s="111" t="s">
        <v>602</v>
      </c>
      <c r="F128" s="43">
        <v>15</v>
      </c>
      <c r="G128" s="104">
        <f t="shared" si="2"/>
        <v>0</v>
      </c>
    </row>
    <row r="129" spans="2:7">
      <c r="B129" s="81">
        <v>45775</v>
      </c>
      <c r="C129" s="84" t="s">
        <v>498</v>
      </c>
      <c r="D129" s="43">
        <v>11</v>
      </c>
      <c r="E129" s="111" t="s">
        <v>602</v>
      </c>
      <c r="F129" s="43">
        <v>11</v>
      </c>
      <c r="G129" s="104">
        <f t="shared" si="2"/>
        <v>0</v>
      </c>
    </row>
    <row r="130" spans="2:7">
      <c r="B130" s="81">
        <v>45775</v>
      </c>
      <c r="C130" s="93" t="s">
        <v>121</v>
      </c>
      <c r="D130" s="43">
        <v>6</v>
      </c>
      <c r="E130" s="111" t="s">
        <v>602</v>
      </c>
      <c r="F130" s="43">
        <v>6</v>
      </c>
      <c r="G130" s="104">
        <f t="shared" si="2"/>
        <v>0</v>
      </c>
    </row>
    <row r="131" spans="2:7">
      <c r="B131" s="81">
        <v>45775</v>
      </c>
      <c r="C131" s="84" t="s">
        <v>122</v>
      </c>
      <c r="D131" s="43">
        <v>2</v>
      </c>
      <c r="E131" s="111" t="s">
        <v>602</v>
      </c>
      <c r="F131" s="43">
        <v>2</v>
      </c>
      <c r="G131" s="104">
        <f t="shared" si="2"/>
        <v>0</v>
      </c>
    </row>
    <row r="132" spans="2:7">
      <c r="B132" s="81">
        <v>45775</v>
      </c>
      <c r="C132" s="93" t="s">
        <v>581</v>
      </c>
      <c r="D132" s="43">
        <v>1</v>
      </c>
      <c r="E132" s="111" t="s">
        <v>602</v>
      </c>
      <c r="F132" s="43">
        <v>1</v>
      </c>
      <c r="G132" s="104">
        <f t="shared" si="2"/>
        <v>0</v>
      </c>
    </row>
    <row r="133" spans="2:7">
      <c r="B133" s="81">
        <v>45775</v>
      </c>
      <c r="C133" s="104" t="s">
        <v>534</v>
      </c>
      <c r="D133" s="43">
        <v>5</v>
      </c>
      <c r="E133" s="111" t="s">
        <v>602</v>
      </c>
      <c r="F133" s="43">
        <v>5</v>
      </c>
      <c r="G133" s="104">
        <f t="shared" si="2"/>
        <v>0</v>
      </c>
    </row>
    <row r="134" spans="2:7">
      <c r="B134" s="81">
        <v>45775</v>
      </c>
      <c r="C134" s="93" t="s">
        <v>383</v>
      </c>
      <c r="D134" s="43">
        <v>3</v>
      </c>
      <c r="E134" s="111" t="s">
        <v>602</v>
      </c>
      <c r="F134" s="43">
        <v>3</v>
      </c>
      <c r="G134" s="104">
        <f t="shared" si="2"/>
        <v>0</v>
      </c>
    </row>
    <row r="135" spans="2:7">
      <c r="B135" s="81">
        <v>45775</v>
      </c>
      <c r="C135" s="104" t="s">
        <v>266</v>
      </c>
      <c r="D135" s="43">
        <v>39</v>
      </c>
      <c r="E135" s="111" t="s">
        <v>602</v>
      </c>
      <c r="F135" s="43">
        <v>39</v>
      </c>
      <c r="G135" s="104">
        <f t="shared" si="2"/>
        <v>0</v>
      </c>
    </row>
    <row r="136" spans="2:7">
      <c r="B136" s="81">
        <v>45775</v>
      </c>
      <c r="C136" s="104" t="s">
        <v>366</v>
      </c>
      <c r="D136" s="43">
        <v>15</v>
      </c>
      <c r="E136" s="111" t="s">
        <v>602</v>
      </c>
      <c r="F136" s="43">
        <v>15</v>
      </c>
      <c r="G136" s="104">
        <f t="shared" si="2"/>
        <v>0</v>
      </c>
    </row>
    <row r="137" spans="2:7">
      <c r="B137" s="81">
        <v>45775</v>
      </c>
      <c r="C137" s="93" t="s">
        <v>582</v>
      </c>
      <c r="D137" s="43">
        <v>47</v>
      </c>
      <c r="E137" s="111" t="s">
        <v>602</v>
      </c>
      <c r="F137" s="43">
        <v>47</v>
      </c>
      <c r="G137" s="104">
        <f t="shared" si="2"/>
        <v>0</v>
      </c>
    </row>
    <row r="138" spans="2:7">
      <c r="B138" s="81">
        <v>45775</v>
      </c>
      <c r="C138" s="93" t="s">
        <v>482</v>
      </c>
      <c r="D138" s="43">
        <v>26</v>
      </c>
      <c r="E138" s="111" t="s">
        <v>602</v>
      </c>
      <c r="F138" s="43">
        <v>26</v>
      </c>
      <c r="G138" s="104">
        <f t="shared" si="2"/>
        <v>0</v>
      </c>
    </row>
    <row r="139" spans="2:7">
      <c r="B139" s="81">
        <v>45775</v>
      </c>
      <c r="C139" s="93" t="s">
        <v>467</v>
      </c>
      <c r="D139" s="43">
        <v>30</v>
      </c>
      <c r="E139" s="111" t="s">
        <v>602</v>
      </c>
      <c r="F139" s="43">
        <v>30</v>
      </c>
      <c r="G139" s="104">
        <f t="shared" si="2"/>
        <v>0</v>
      </c>
    </row>
    <row r="140" spans="2:7">
      <c r="B140" s="214">
        <v>45779</v>
      </c>
      <c r="C140" s="236" t="s">
        <v>134</v>
      </c>
      <c r="D140" s="235">
        <v>4</v>
      </c>
      <c r="E140" s="235" t="s">
        <v>538</v>
      </c>
      <c r="F140" s="235">
        <v>4</v>
      </c>
      <c r="G140" s="247">
        <f t="shared" si="2"/>
        <v>0</v>
      </c>
    </row>
    <row r="141" spans="2:7">
      <c r="B141" s="214">
        <v>45782</v>
      </c>
      <c r="C141" s="236" t="s">
        <v>619</v>
      </c>
      <c r="D141" s="235">
        <v>108</v>
      </c>
      <c r="E141" s="235" t="s">
        <v>538</v>
      </c>
      <c r="F141" s="235">
        <v>108</v>
      </c>
      <c r="G141" s="247">
        <f t="shared" si="2"/>
        <v>0</v>
      </c>
    </row>
    <row r="142" spans="2:7">
      <c r="B142" s="214">
        <v>45784</v>
      </c>
      <c r="C142" s="236" t="s">
        <v>513</v>
      </c>
      <c r="D142" s="237">
        <v>5</v>
      </c>
      <c r="E142" s="264" t="s">
        <v>538</v>
      </c>
      <c r="F142" s="237">
        <v>5</v>
      </c>
      <c r="G142" s="258">
        <f t="shared" si="2"/>
        <v>0</v>
      </c>
    </row>
    <row r="143" spans="2:7">
      <c r="B143" s="81">
        <v>45784</v>
      </c>
      <c r="C143" s="93" t="s">
        <v>482</v>
      </c>
      <c r="D143" s="43">
        <v>700</v>
      </c>
      <c r="E143" s="111" t="s">
        <v>636</v>
      </c>
      <c r="F143" s="43">
        <v>700</v>
      </c>
      <c r="G143" s="104">
        <f t="shared" si="2"/>
        <v>0</v>
      </c>
    </row>
    <row r="144" spans="2:7">
      <c r="B144" s="81">
        <v>45784</v>
      </c>
      <c r="C144" s="92" t="s">
        <v>76</v>
      </c>
      <c r="D144" s="43">
        <v>147</v>
      </c>
      <c r="E144" s="111" t="s">
        <v>636</v>
      </c>
      <c r="F144" s="43">
        <v>147</v>
      </c>
      <c r="G144" s="104">
        <f t="shared" si="2"/>
        <v>0</v>
      </c>
    </row>
    <row r="145" spans="2:7">
      <c r="B145" s="81">
        <v>45784</v>
      </c>
      <c r="C145" s="93" t="s">
        <v>121</v>
      </c>
      <c r="D145" s="43">
        <v>200</v>
      </c>
      <c r="E145" s="111" t="s">
        <v>636</v>
      </c>
      <c r="F145" s="43">
        <v>200</v>
      </c>
      <c r="G145" s="104">
        <f t="shared" si="2"/>
        <v>0</v>
      </c>
    </row>
    <row r="146" spans="2:7">
      <c r="B146" s="81">
        <v>45784</v>
      </c>
      <c r="C146" s="92" t="s">
        <v>84</v>
      </c>
      <c r="D146" s="43">
        <v>34</v>
      </c>
      <c r="E146" s="111" t="s">
        <v>636</v>
      </c>
      <c r="F146" s="43">
        <v>34</v>
      </c>
      <c r="G146" s="104">
        <f t="shared" si="2"/>
        <v>0</v>
      </c>
    </row>
    <row r="147" spans="2:7">
      <c r="B147" s="81">
        <v>45784</v>
      </c>
      <c r="C147" s="92" t="s">
        <v>634</v>
      </c>
      <c r="D147" s="43">
        <v>250</v>
      </c>
      <c r="E147" s="111" t="s">
        <v>636</v>
      </c>
      <c r="F147" s="43">
        <v>250</v>
      </c>
      <c r="G147" s="104">
        <f t="shared" si="2"/>
        <v>0</v>
      </c>
    </row>
    <row r="148" spans="2:7">
      <c r="B148" s="81">
        <v>45785</v>
      </c>
      <c r="C148" s="92" t="s">
        <v>641</v>
      </c>
      <c r="D148" s="43">
        <v>5</v>
      </c>
      <c r="E148" s="43" t="s">
        <v>636</v>
      </c>
      <c r="F148" s="43">
        <v>5</v>
      </c>
      <c r="G148" s="104">
        <f t="shared" si="2"/>
        <v>0</v>
      </c>
    </row>
    <row r="149" spans="2:7">
      <c r="B149" s="81">
        <v>45785</v>
      </c>
      <c r="C149" s="92" t="s">
        <v>642</v>
      </c>
      <c r="D149" s="43">
        <v>5</v>
      </c>
      <c r="E149" s="43" t="s">
        <v>636</v>
      </c>
      <c r="F149" s="43">
        <v>5</v>
      </c>
      <c r="G149" s="104">
        <f t="shared" si="2"/>
        <v>0</v>
      </c>
    </row>
    <row r="150" spans="2:7">
      <c r="B150" s="81">
        <v>45785</v>
      </c>
      <c r="C150" s="84" t="s">
        <v>477</v>
      </c>
      <c r="D150" s="43">
        <v>5</v>
      </c>
      <c r="E150" s="43" t="s">
        <v>636</v>
      </c>
      <c r="F150" s="43">
        <v>5</v>
      </c>
      <c r="G150" s="104">
        <f t="shared" si="2"/>
        <v>0</v>
      </c>
    </row>
    <row r="151" spans="2:7">
      <c r="B151" s="214">
        <v>45789</v>
      </c>
      <c r="C151" s="248" t="s">
        <v>121</v>
      </c>
      <c r="D151" s="235">
        <v>10</v>
      </c>
      <c r="E151" s="235" t="s">
        <v>538</v>
      </c>
      <c r="F151" s="235">
        <v>10</v>
      </c>
      <c r="G151" s="247">
        <f t="shared" ref="G151:G215" si="3">D151-F151</f>
        <v>0</v>
      </c>
    </row>
    <row r="152" spans="2:7">
      <c r="B152" s="214">
        <v>45789</v>
      </c>
      <c r="C152" s="248" t="s">
        <v>121</v>
      </c>
      <c r="D152" s="235">
        <v>2</v>
      </c>
      <c r="E152" s="235" t="s">
        <v>637</v>
      </c>
      <c r="F152" s="235">
        <v>2</v>
      </c>
      <c r="G152" s="247">
        <f t="shared" si="3"/>
        <v>0</v>
      </c>
    </row>
    <row r="153" spans="2:7">
      <c r="B153" s="214">
        <v>45800</v>
      </c>
      <c r="C153" s="236" t="s">
        <v>134</v>
      </c>
      <c r="D153" s="235">
        <v>3</v>
      </c>
      <c r="E153" s="235" t="s">
        <v>538</v>
      </c>
      <c r="F153" s="235">
        <v>3</v>
      </c>
      <c r="G153" s="247">
        <f t="shared" si="3"/>
        <v>0</v>
      </c>
    </row>
    <row r="154" spans="2:7">
      <c r="B154" s="81">
        <v>45799</v>
      </c>
      <c r="C154" s="92" t="s">
        <v>671</v>
      </c>
      <c r="D154" s="43">
        <v>8</v>
      </c>
      <c r="E154" s="43" t="s">
        <v>674</v>
      </c>
      <c r="F154" s="43">
        <v>8</v>
      </c>
      <c r="G154" s="104">
        <f t="shared" si="3"/>
        <v>0</v>
      </c>
    </row>
    <row r="155" spans="2:7">
      <c r="B155" s="81">
        <v>45799</v>
      </c>
      <c r="C155" s="93" t="s">
        <v>303</v>
      </c>
      <c r="D155" s="43">
        <v>3</v>
      </c>
      <c r="E155" s="43" t="s">
        <v>674</v>
      </c>
      <c r="F155" s="43">
        <v>3</v>
      </c>
      <c r="G155" s="104">
        <f t="shared" si="3"/>
        <v>0</v>
      </c>
    </row>
    <row r="156" spans="2:7">
      <c r="B156" s="81">
        <v>45799</v>
      </c>
      <c r="C156" s="92" t="s">
        <v>662</v>
      </c>
      <c r="D156" s="43">
        <v>61</v>
      </c>
      <c r="E156" s="43" t="s">
        <v>674</v>
      </c>
      <c r="F156" s="43">
        <v>61</v>
      </c>
      <c r="G156" s="104">
        <f t="shared" si="3"/>
        <v>0</v>
      </c>
    </row>
    <row r="157" spans="2:7">
      <c r="B157" s="81">
        <v>45799</v>
      </c>
      <c r="C157" s="92" t="s">
        <v>84</v>
      </c>
      <c r="D157" s="43">
        <v>26</v>
      </c>
      <c r="E157" s="43" t="s">
        <v>674</v>
      </c>
      <c r="F157" s="43">
        <v>26</v>
      </c>
      <c r="G157" s="104">
        <f t="shared" si="3"/>
        <v>0</v>
      </c>
    </row>
    <row r="158" spans="2:7">
      <c r="B158" s="81">
        <v>45799</v>
      </c>
      <c r="C158" s="84" t="s">
        <v>497</v>
      </c>
      <c r="D158" s="43">
        <v>10</v>
      </c>
      <c r="E158" s="43" t="s">
        <v>674</v>
      </c>
      <c r="F158" s="43">
        <v>10</v>
      </c>
      <c r="G158" s="104">
        <f t="shared" si="3"/>
        <v>0</v>
      </c>
    </row>
    <row r="159" spans="2:7">
      <c r="B159" s="81">
        <v>45799</v>
      </c>
      <c r="C159" s="84" t="s">
        <v>498</v>
      </c>
      <c r="D159" s="43">
        <v>12</v>
      </c>
      <c r="E159" s="43" t="s">
        <v>674</v>
      </c>
      <c r="F159" s="43">
        <v>12</v>
      </c>
      <c r="G159" s="104">
        <f t="shared" si="3"/>
        <v>0</v>
      </c>
    </row>
    <row r="160" spans="2:7">
      <c r="B160" s="81">
        <v>45799</v>
      </c>
      <c r="C160" s="92" t="s">
        <v>672</v>
      </c>
      <c r="D160" s="43">
        <v>1</v>
      </c>
      <c r="E160" s="43" t="s">
        <v>674</v>
      </c>
      <c r="F160" s="43">
        <v>1</v>
      </c>
      <c r="G160" s="104">
        <f t="shared" si="3"/>
        <v>0</v>
      </c>
    </row>
    <row r="161" spans="2:7">
      <c r="B161" s="81">
        <v>45799</v>
      </c>
      <c r="C161" s="92" t="s">
        <v>642</v>
      </c>
      <c r="D161" s="43">
        <v>10</v>
      </c>
      <c r="E161" s="43" t="s">
        <v>674</v>
      </c>
      <c r="F161" s="43">
        <v>10</v>
      </c>
      <c r="G161" s="104">
        <f t="shared" si="3"/>
        <v>0</v>
      </c>
    </row>
    <row r="162" spans="2:7">
      <c r="B162" s="81">
        <v>45799</v>
      </c>
      <c r="C162" s="104" t="s">
        <v>375</v>
      </c>
      <c r="D162" s="43">
        <v>48</v>
      </c>
      <c r="E162" s="43" t="s">
        <v>674</v>
      </c>
      <c r="F162" s="43">
        <v>48</v>
      </c>
      <c r="G162" s="104">
        <f t="shared" si="3"/>
        <v>0</v>
      </c>
    </row>
    <row r="163" spans="2:7">
      <c r="B163" s="81">
        <v>45799</v>
      </c>
      <c r="C163" s="104" t="s">
        <v>266</v>
      </c>
      <c r="D163" s="43">
        <v>10</v>
      </c>
      <c r="E163" s="43" t="s">
        <v>674</v>
      </c>
      <c r="F163" s="43">
        <v>10</v>
      </c>
      <c r="G163" s="104">
        <f t="shared" si="3"/>
        <v>0</v>
      </c>
    </row>
    <row r="164" spans="2:7">
      <c r="B164" s="81">
        <v>45799</v>
      </c>
      <c r="C164" s="104" t="s">
        <v>366</v>
      </c>
      <c r="D164" s="43">
        <v>4</v>
      </c>
      <c r="E164" s="43" t="s">
        <v>674</v>
      </c>
      <c r="F164" s="43">
        <v>4</v>
      </c>
      <c r="G164" s="104">
        <f t="shared" si="3"/>
        <v>0</v>
      </c>
    </row>
    <row r="165" spans="2:7">
      <c r="B165" s="273">
        <v>45803</v>
      </c>
      <c r="C165" s="236" t="s">
        <v>131</v>
      </c>
      <c r="D165" s="43">
        <v>1</v>
      </c>
      <c r="E165" s="235" t="s">
        <v>637</v>
      </c>
      <c r="F165" s="43">
        <v>1</v>
      </c>
      <c r="G165" s="104">
        <f t="shared" si="3"/>
        <v>0</v>
      </c>
    </row>
    <row r="166" spans="2:7">
      <c r="B166" s="273">
        <v>45803</v>
      </c>
      <c r="C166" s="236" t="s">
        <v>675</v>
      </c>
      <c r="D166" s="43">
        <v>1</v>
      </c>
      <c r="E166" s="235" t="s">
        <v>637</v>
      </c>
      <c r="F166" s="43">
        <v>1</v>
      </c>
      <c r="G166" s="104">
        <f t="shared" si="3"/>
        <v>0</v>
      </c>
    </row>
    <row r="167" spans="2:7">
      <c r="B167" s="274">
        <v>45806</v>
      </c>
      <c r="C167" s="275" t="s">
        <v>134</v>
      </c>
      <c r="D167" s="277">
        <v>5</v>
      </c>
      <c r="E167" s="276" t="s">
        <v>682</v>
      </c>
      <c r="F167" s="277">
        <v>5</v>
      </c>
      <c r="G167" s="279">
        <f t="shared" si="3"/>
        <v>0</v>
      </c>
    </row>
    <row r="168" spans="2:7">
      <c r="B168" s="274">
        <v>45806</v>
      </c>
      <c r="C168" s="275" t="s">
        <v>131</v>
      </c>
      <c r="D168" s="277">
        <v>8</v>
      </c>
      <c r="E168" s="276" t="s">
        <v>682</v>
      </c>
      <c r="F168" s="277">
        <v>8</v>
      </c>
      <c r="G168" s="279">
        <f t="shared" si="3"/>
        <v>0</v>
      </c>
    </row>
    <row r="169" spans="2:7">
      <c r="B169" s="274">
        <v>45806</v>
      </c>
      <c r="C169" s="279" t="s">
        <v>681</v>
      </c>
      <c r="D169" s="277">
        <v>11</v>
      </c>
      <c r="E169" s="276" t="s">
        <v>682</v>
      </c>
      <c r="F169" s="277">
        <v>11</v>
      </c>
      <c r="G169" s="279">
        <f t="shared" si="3"/>
        <v>0</v>
      </c>
    </row>
    <row r="170" spans="2:7">
      <c r="B170" s="274">
        <v>45806</v>
      </c>
      <c r="C170" s="279" t="s">
        <v>382</v>
      </c>
      <c r="D170" s="277">
        <v>11</v>
      </c>
      <c r="E170" s="276" t="s">
        <v>682</v>
      </c>
      <c r="F170" s="277">
        <v>11</v>
      </c>
      <c r="G170" s="279">
        <f t="shared" si="3"/>
        <v>0</v>
      </c>
    </row>
    <row r="171" spans="2:7">
      <c r="B171" s="274">
        <v>45806</v>
      </c>
      <c r="C171" s="279" t="s">
        <v>375</v>
      </c>
      <c r="D171" s="277">
        <v>7</v>
      </c>
      <c r="E171" s="276" t="s">
        <v>682</v>
      </c>
      <c r="F171" s="277">
        <v>7</v>
      </c>
      <c r="G171" s="279">
        <f t="shared" si="3"/>
        <v>0</v>
      </c>
    </row>
    <row r="172" spans="2:7">
      <c r="B172" s="273">
        <v>45785</v>
      </c>
      <c r="C172" s="236" t="s">
        <v>134</v>
      </c>
      <c r="D172" s="235">
        <v>2</v>
      </c>
      <c r="E172" s="235" t="s">
        <v>687</v>
      </c>
      <c r="F172" s="235">
        <v>2</v>
      </c>
      <c r="G172" s="247">
        <f t="shared" si="3"/>
        <v>0</v>
      </c>
    </row>
    <row r="173" spans="2:7">
      <c r="B173" s="265">
        <v>45811</v>
      </c>
      <c r="C173" s="93" t="s">
        <v>76</v>
      </c>
      <c r="D173" s="43">
        <v>200</v>
      </c>
      <c r="E173" s="43" t="s">
        <v>726</v>
      </c>
      <c r="F173" s="43">
        <v>200</v>
      </c>
      <c r="G173" s="104">
        <f t="shared" si="3"/>
        <v>0</v>
      </c>
    </row>
    <row r="174" spans="2:7">
      <c r="B174" s="265">
        <v>45811</v>
      </c>
      <c r="C174" s="93" t="s">
        <v>121</v>
      </c>
      <c r="D174" s="43">
        <v>100</v>
      </c>
      <c r="E174" s="43" t="s">
        <v>726</v>
      </c>
      <c r="F174" s="43">
        <v>100</v>
      </c>
      <c r="G174" s="104">
        <f t="shared" si="3"/>
        <v>0</v>
      </c>
    </row>
    <row r="175" spans="2:7">
      <c r="B175" s="265">
        <v>45811</v>
      </c>
      <c r="C175" s="93" t="s">
        <v>671</v>
      </c>
      <c r="D175" s="43">
        <v>10</v>
      </c>
      <c r="E175" s="43" t="s">
        <v>726</v>
      </c>
      <c r="F175" s="43">
        <v>10</v>
      </c>
      <c r="G175" s="104">
        <f t="shared" si="3"/>
        <v>0</v>
      </c>
    </row>
    <row r="176" spans="2:7">
      <c r="B176" s="274">
        <v>45787</v>
      </c>
      <c r="C176" s="290" t="s">
        <v>410</v>
      </c>
      <c r="D176" s="276">
        <v>76</v>
      </c>
      <c r="E176" s="276" t="s">
        <v>682</v>
      </c>
      <c r="F176" s="276">
        <v>76</v>
      </c>
      <c r="G176" s="279">
        <f t="shared" si="3"/>
        <v>0</v>
      </c>
    </row>
    <row r="177" spans="2:7">
      <c r="B177" s="265">
        <v>45819</v>
      </c>
      <c r="C177" s="93" t="s">
        <v>76</v>
      </c>
      <c r="D177" s="43">
        <v>300</v>
      </c>
      <c r="E177" s="43" t="s">
        <v>729</v>
      </c>
      <c r="F177" s="43">
        <v>300</v>
      </c>
      <c r="G177" s="104">
        <f t="shared" si="3"/>
        <v>0</v>
      </c>
    </row>
    <row r="178" spans="2:7">
      <c r="B178" s="265">
        <v>45819</v>
      </c>
      <c r="C178" s="92" t="s">
        <v>634</v>
      </c>
      <c r="D178" s="43">
        <v>250</v>
      </c>
      <c r="E178" s="43" t="s">
        <v>729</v>
      </c>
      <c r="F178" s="43">
        <v>250</v>
      </c>
      <c r="G178" s="104">
        <f t="shared" si="3"/>
        <v>0</v>
      </c>
    </row>
    <row r="179" spans="2:7">
      <c r="B179" s="265">
        <v>45819</v>
      </c>
      <c r="C179" s="93" t="s">
        <v>671</v>
      </c>
      <c r="D179" s="43">
        <v>10</v>
      </c>
      <c r="E179" s="43" t="s">
        <v>729</v>
      </c>
      <c r="F179" s="43">
        <v>10</v>
      </c>
      <c r="G179" s="104">
        <f t="shared" si="3"/>
        <v>0</v>
      </c>
    </row>
    <row r="180" spans="2:7">
      <c r="B180" s="273">
        <v>45819</v>
      </c>
      <c r="C180" s="236" t="s">
        <v>134</v>
      </c>
      <c r="D180" s="235">
        <v>3</v>
      </c>
      <c r="E180" s="235" t="s">
        <v>730</v>
      </c>
      <c r="F180" s="235">
        <v>3</v>
      </c>
      <c r="G180" s="247">
        <f t="shared" si="3"/>
        <v>0</v>
      </c>
    </row>
    <row r="181" spans="2:7">
      <c r="B181" s="273">
        <v>45819</v>
      </c>
      <c r="C181" s="248" t="s">
        <v>167</v>
      </c>
      <c r="D181" s="235">
        <v>4</v>
      </c>
      <c r="E181" s="235" t="s">
        <v>731</v>
      </c>
      <c r="F181" s="235">
        <v>4</v>
      </c>
      <c r="G181" s="247">
        <f t="shared" si="3"/>
        <v>0</v>
      </c>
    </row>
    <row r="182" spans="2:7">
      <c r="B182" s="273">
        <v>45822</v>
      </c>
      <c r="C182" s="236" t="s">
        <v>134</v>
      </c>
      <c r="D182" s="235">
        <v>3</v>
      </c>
      <c r="E182" s="235" t="s">
        <v>538</v>
      </c>
      <c r="F182" s="235">
        <v>3</v>
      </c>
      <c r="G182" s="247">
        <f t="shared" si="3"/>
        <v>0</v>
      </c>
    </row>
    <row r="183" spans="2:7">
      <c r="B183" s="265">
        <v>45824</v>
      </c>
      <c r="C183" s="92" t="s">
        <v>76</v>
      </c>
      <c r="D183" s="43">
        <v>19</v>
      </c>
      <c r="E183" s="43" t="s">
        <v>735</v>
      </c>
      <c r="F183" s="43">
        <v>19</v>
      </c>
      <c r="G183" s="104">
        <f t="shared" si="3"/>
        <v>0</v>
      </c>
    </row>
    <row r="184" spans="2:7">
      <c r="B184" s="273">
        <v>45831</v>
      </c>
      <c r="C184" s="236" t="s">
        <v>134</v>
      </c>
      <c r="D184" s="235">
        <v>2</v>
      </c>
      <c r="E184" s="235" t="s">
        <v>774</v>
      </c>
      <c r="F184" s="235">
        <v>2</v>
      </c>
      <c r="G184" s="247">
        <f t="shared" si="3"/>
        <v>0</v>
      </c>
    </row>
    <row r="185" spans="2:7">
      <c r="B185" s="273">
        <v>45831</v>
      </c>
      <c r="C185" s="301" t="s">
        <v>78</v>
      </c>
      <c r="D185" s="235">
        <v>270</v>
      </c>
      <c r="E185" s="235" t="s">
        <v>775</v>
      </c>
      <c r="F185" s="235">
        <v>270</v>
      </c>
      <c r="G185" s="247">
        <f t="shared" si="3"/>
        <v>0</v>
      </c>
    </row>
    <row r="186" spans="2:7">
      <c r="B186" s="273">
        <v>45832</v>
      </c>
      <c r="C186" s="236" t="s">
        <v>134</v>
      </c>
      <c r="D186" s="235">
        <v>6</v>
      </c>
      <c r="E186" s="235" t="s">
        <v>538</v>
      </c>
      <c r="F186" s="235">
        <v>6</v>
      </c>
      <c r="G186" s="247">
        <f t="shared" si="3"/>
        <v>0</v>
      </c>
    </row>
    <row r="187" spans="2:7">
      <c r="B187" s="273">
        <v>45832</v>
      </c>
      <c r="C187" s="247" t="s">
        <v>408</v>
      </c>
      <c r="D187" s="235">
        <v>1</v>
      </c>
      <c r="E187" s="235" t="s">
        <v>777</v>
      </c>
      <c r="F187" s="235">
        <v>1</v>
      </c>
      <c r="G187" s="247">
        <f t="shared" si="3"/>
        <v>0</v>
      </c>
    </row>
    <row r="188" spans="2:7">
      <c r="B188" s="265">
        <v>45834</v>
      </c>
      <c r="C188" s="92" t="s">
        <v>670</v>
      </c>
      <c r="D188" s="43">
        <v>2</v>
      </c>
      <c r="E188" s="43" t="s">
        <v>801</v>
      </c>
      <c r="F188" s="43">
        <v>2</v>
      </c>
      <c r="G188" s="104">
        <f t="shared" si="3"/>
        <v>0</v>
      </c>
    </row>
    <row r="189" spans="2:7">
      <c r="B189" s="265">
        <v>45834</v>
      </c>
      <c r="C189" s="92" t="s">
        <v>671</v>
      </c>
      <c r="D189" s="43">
        <v>11</v>
      </c>
      <c r="E189" s="43" t="s">
        <v>801</v>
      </c>
      <c r="F189" s="43">
        <v>11</v>
      </c>
      <c r="G189" s="104">
        <f t="shared" si="3"/>
        <v>0</v>
      </c>
    </row>
    <row r="190" spans="2:7">
      <c r="B190" s="265">
        <v>45834</v>
      </c>
      <c r="C190" s="92" t="s">
        <v>662</v>
      </c>
      <c r="D190" s="43">
        <v>73</v>
      </c>
      <c r="E190" s="43" t="s">
        <v>801</v>
      </c>
      <c r="F190" s="43">
        <v>73</v>
      </c>
      <c r="G190" s="104">
        <f t="shared" si="3"/>
        <v>0</v>
      </c>
    </row>
    <row r="191" spans="2:7">
      <c r="B191" s="265">
        <v>45834</v>
      </c>
      <c r="C191" s="84" t="s">
        <v>497</v>
      </c>
      <c r="D191" s="43">
        <v>6</v>
      </c>
      <c r="E191" s="43" t="s">
        <v>801</v>
      </c>
      <c r="F191" s="43">
        <v>6</v>
      </c>
      <c r="G191" s="104">
        <f t="shared" si="3"/>
        <v>0</v>
      </c>
    </row>
    <row r="192" spans="2:7">
      <c r="B192" s="265">
        <v>45834</v>
      </c>
      <c r="C192" s="84" t="s">
        <v>498</v>
      </c>
      <c r="D192" s="43">
        <v>6</v>
      </c>
      <c r="E192" s="43" t="s">
        <v>801</v>
      </c>
      <c r="F192" s="43">
        <v>6</v>
      </c>
      <c r="G192" s="104">
        <f t="shared" si="3"/>
        <v>0</v>
      </c>
    </row>
    <row r="193" spans="2:7">
      <c r="B193" s="265">
        <v>45834</v>
      </c>
      <c r="C193" s="92" t="s">
        <v>789</v>
      </c>
      <c r="D193" s="43">
        <v>11</v>
      </c>
      <c r="E193" s="43" t="s">
        <v>801</v>
      </c>
      <c r="F193" s="43">
        <v>11</v>
      </c>
      <c r="G193" s="104">
        <f t="shared" si="3"/>
        <v>0</v>
      </c>
    </row>
    <row r="194" spans="2:7">
      <c r="B194" s="265">
        <v>45834</v>
      </c>
      <c r="C194" s="92" t="s">
        <v>672</v>
      </c>
      <c r="D194" s="43">
        <v>8</v>
      </c>
      <c r="E194" s="43" t="s">
        <v>801</v>
      </c>
      <c r="F194" s="43">
        <v>8</v>
      </c>
      <c r="G194" s="104">
        <f t="shared" si="3"/>
        <v>0</v>
      </c>
    </row>
    <row r="195" spans="2:7">
      <c r="B195" s="265">
        <v>45834</v>
      </c>
      <c r="C195" s="84" t="s">
        <v>477</v>
      </c>
      <c r="D195" s="43">
        <v>3</v>
      </c>
      <c r="E195" s="43" t="s">
        <v>801</v>
      </c>
      <c r="F195" s="43">
        <v>3</v>
      </c>
      <c r="G195" s="104">
        <f t="shared" si="3"/>
        <v>0</v>
      </c>
    </row>
    <row r="196" spans="2:7">
      <c r="B196" s="265">
        <v>45834</v>
      </c>
      <c r="C196" s="92" t="s">
        <v>642</v>
      </c>
      <c r="D196" s="43">
        <v>6</v>
      </c>
      <c r="E196" s="43" t="s">
        <v>801</v>
      </c>
      <c r="F196" s="43">
        <v>6</v>
      </c>
      <c r="G196" s="104">
        <f t="shared" si="3"/>
        <v>0</v>
      </c>
    </row>
    <row r="197" spans="2:7">
      <c r="B197" s="265">
        <v>45834</v>
      </c>
      <c r="C197" s="92" t="s">
        <v>84</v>
      </c>
      <c r="D197" s="43">
        <v>38</v>
      </c>
      <c r="E197" s="43" t="s">
        <v>801</v>
      </c>
      <c r="F197" s="43">
        <v>38</v>
      </c>
      <c r="G197" s="104">
        <f t="shared" si="3"/>
        <v>0</v>
      </c>
    </row>
    <row r="198" spans="2:7">
      <c r="B198" s="265">
        <v>45834</v>
      </c>
      <c r="C198" s="93" t="s">
        <v>154</v>
      </c>
      <c r="D198" s="43">
        <v>1</v>
      </c>
      <c r="E198" s="43" t="s">
        <v>801</v>
      </c>
      <c r="F198" s="43">
        <v>1</v>
      </c>
      <c r="G198" s="104">
        <f t="shared" si="3"/>
        <v>0</v>
      </c>
    </row>
    <row r="199" spans="2:7">
      <c r="B199" s="265">
        <v>45834</v>
      </c>
      <c r="C199" s="92" t="s">
        <v>81</v>
      </c>
      <c r="D199" s="43">
        <v>8</v>
      </c>
      <c r="E199" s="43" t="s">
        <v>801</v>
      </c>
      <c r="F199" s="43">
        <v>8</v>
      </c>
      <c r="G199" s="104">
        <f t="shared" si="3"/>
        <v>0</v>
      </c>
    </row>
    <row r="200" spans="2:7">
      <c r="B200" s="273">
        <v>45831</v>
      </c>
      <c r="C200" s="301" t="s">
        <v>78</v>
      </c>
      <c r="D200" s="235">
        <v>100</v>
      </c>
      <c r="E200" s="235" t="s">
        <v>775</v>
      </c>
      <c r="F200" s="235">
        <v>100</v>
      </c>
      <c r="G200" s="247">
        <f t="shared" si="3"/>
        <v>0</v>
      </c>
    </row>
    <row r="201" spans="2:7">
      <c r="B201" s="273">
        <v>45839</v>
      </c>
      <c r="C201" s="301" t="s">
        <v>76</v>
      </c>
      <c r="D201" s="235">
        <v>120</v>
      </c>
      <c r="E201" s="235" t="s">
        <v>775</v>
      </c>
      <c r="F201" s="235">
        <v>120</v>
      </c>
      <c r="G201" s="247">
        <f t="shared" si="3"/>
        <v>0</v>
      </c>
    </row>
    <row r="202" spans="2:7">
      <c r="B202" s="273">
        <v>45842</v>
      </c>
      <c r="C202" s="301" t="s">
        <v>78</v>
      </c>
      <c r="D202" s="235">
        <v>140</v>
      </c>
      <c r="E202" s="235" t="s">
        <v>775</v>
      </c>
      <c r="F202" s="235">
        <v>140</v>
      </c>
      <c r="G202" s="247">
        <f t="shared" si="3"/>
        <v>0</v>
      </c>
    </row>
    <row r="203" spans="2:7">
      <c r="B203" s="306">
        <v>45845</v>
      </c>
      <c r="C203" s="242" t="s">
        <v>131</v>
      </c>
      <c r="D203" s="240">
        <v>8</v>
      </c>
      <c r="E203" s="240" t="s">
        <v>682</v>
      </c>
      <c r="F203" s="240">
        <v>8</v>
      </c>
      <c r="G203" s="307">
        <f t="shared" si="3"/>
        <v>0</v>
      </c>
    </row>
    <row r="204" spans="2:7">
      <c r="B204" s="306">
        <v>45845</v>
      </c>
      <c r="C204" s="239" t="s">
        <v>805</v>
      </c>
      <c r="D204" s="240">
        <v>2</v>
      </c>
      <c r="E204" s="240" t="s">
        <v>682</v>
      </c>
      <c r="F204" s="240">
        <v>2</v>
      </c>
      <c r="G204" s="307">
        <f t="shared" si="3"/>
        <v>0</v>
      </c>
    </row>
    <row r="205" spans="2:7">
      <c r="B205" s="306">
        <v>45845</v>
      </c>
      <c r="C205" s="239" t="s">
        <v>806</v>
      </c>
      <c r="D205" s="240">
        <v>23</v>
      </c>
      <c r="E205" s="240" t="s">
        <v>682</v>
      </c>
      <c r="F205" s="240">
        <v>23</v>
      </c>
      <c r="G205" s="307">
        <f t="shared" si="3"/>
        <v>0</v>
      </c>
    </row>
    <row r="206" spans="2:7">
      <c r="B206" s="306">
        <v>45845</v>
      </c>
      <c r="C206" s="239" t="s">
        <v>807</v>
      </c>
      <c r="D206" s="240">
        <v>8</v>
      </c>
      <c r="E206" s="240" t="s">
        <v>682</v>
      </c>
      <c r="F206" s="240">
        <v>8</v>
      </c>
      <c r="G206" s="307">
        <f t="shared" si="3"/>
        <v>0</v>
      </c>
    </row>
    <row r="207" spans="2:7">
      <c r="B207" s="306">
        <v>45845</v>
      </c>
      <c r="C207" s="239" t="s">
        <v>808</v>
      </c>
      <c r="D207" s="240">
        <v>1</v>
      </c>
      <c r="E207" s="240" t="s">
        <v>682</v>
      </c>
      <c r="F207" s="240">
        <v>1</v>
      </c>
      <c r="G207" s="307">
        <f t="shared" si="3"/>
        <v>0</v>
      </c>
    </row>
    <row r="208" spans="2:7">
      <c r="B208" s="273">
        <v>45846</v>
      </c>
      <c r="C208" s="301" t="s">
        <v>78</v>
      </c>
      <c r="D208" s="235">
        <v>100</v>
      </c>
      <c r="E208" s="235" t="s">
        <v>775</v>
      </c>
      <c r="F208" s="235">
        <v>100</v>
      </c>
      <c r="G208" s="247">
        <f t="shared" si="3"/>
        <v>0</v>
      </c>
    </row>
    <row r="209" spans="2:7">
      <c r="B209" s="273">
        <v>45839</v>
      </c>
      <c r="C209" s="301" t="s">
        <v>76</v>
      </c>
      <c r="D209" s="235">
        <v>5</v>
      </c>
      <c r="E209" s="235" t="s">
        <v>809</v>
      </c>
      <c r="F209" s="235">
        <v>5</v>
      </c>
      <c r="G209" s="247">
        <f t="shared" si="3"/>
        <v>0</v>
      </c>
    </row>
    <row r="210" spans="2:7">
      <c r="B210" s="265">
        <v>45849</v>
      </c>
      <c r="C210" s="93" t="s">
        <v>76</v>
      </c>
      <c r="D210" s="43">
        <v>150</v>
      </c>
      <c r="E210" s="43" t="s">
        <v>842</v>
      </c>
      <c r="F210" s="43">
        <v>150</v>
      </c>
      <c r="G210" s="104">
        <f t="shared" si="3"/>
        <v>0</v>
      </c>
    </row>
    <row r="211" spans="2:7">
      <c r="B211" s="265">
        <v>45849</v>
      </c>
      <c r="C211" s="93" t="s">
        <v>839</v>
      </c>
      <c r="D211" s="43">
        <v>3</v>
      </c>
      <c r="E211" s="43" t="s">
        <v>842</v>
      </c>
      <c r="F211" s="43">
        <v>3</v>
      </c>
      <c r="G211" s="104">
        <f t="shared" si="3"/>
        <v>0</v>
      </c>
    </row>
    <row r="212" spans="2:7">
      <c r="B212" s="265">
        <v>45849</v>
      </c>
      <c r="C212" s="93" t="s">
        <v>838</v>
      </c>
      <c r="D212" s="43">
        <v>13</v>
      </c>
      <c r="E212" s="43" t="s">
        <v>842</v>
      </c>
      <c r="F212" s="43">
        <v>13</v>
      </c>
      <c r="G212" s="104">
        <f t="shared" si="3"/>
        <v>0</v>
      </c>
    </row>
    <row r="213" spans="2:7">
      <c r="B213" s="265">
        <v>45849</v>
      </c>
      <c r="C213" s="92" t="s">
        <v>671</v>
      </c>
      <c r="D213" s="43">
        <v>17</v>
      </c>
      <c r="E213" s="43" t="s">
        <v>842</v>
      </c>
      <c r="F213" s="43">
        <v>17</v>
      </c>
      <c r="G213" s="104">
        <f t="shared" si="3"/>
        <v>0</v>
      </c>
    </row>
    <row r="214" spans="2:7">
      <c r="B214" s="265">
        <v>45849</v>
      </c>
      <c r="C214" s="93" t="s">
        <v>840</v>
      </c>
      <c r="D214" s="43">
        <v>6</v>
      </c>
      <c r="E214" s="43" t="s">
        <v>842</v>
      </c>
      <c r="F214" s="43">
        <v>6</v>
      </c>
      <c r="G214" s="104">
        <f t="shared" si="3"/>
        <v>0</v>
      </c>
    </row>
    <row r="215" spans="2:7">
      <c r="B215" s="265">
        <v>45849</v>
      </c>
      <c r="C215" s="93" t="s">
        <v>843</v>
      </c>
      <c r="D215" s="43">
        <v>5</v>
      </c>
      <c r="E215" s="43" t="s">
        <v>842</v>
      </c>
      <c r="F215" s="43">
        <v>5</v>
      </c>
      <c r="G215" s="104">
        <f t="shared" si="3"/>
        <v>0</v>
      </c>
    </row>
    <row r="216" spans="2:7">
      <c r="B216" s="265">
        <v>45849</v>
      </c>
      <c r="C216" s="93" t="s">
        <v>844</v>
      </c>
      <c r="D216" s="43">
        <v>5</v>
      </c>
      <c r="E216" s="43" t="s">
        <v>842</v>
      </c>
      <c r="F216" s="43">
        <v>5</v>
      </c>
      <c r="G216" s="104">
        <f t="shared" ref="G216:G279" si="4">D216-F216</f>
        <v>0</v>
      </c>
    </row>
    <row r="217" spans="2:7">
      <c r="B217" s="306">
        <v>45850</v>
      </c>
      <c r="C217" s="242" t="s">
        <v>410</v>
      </c>
      <c r="D217" s="240">
        <v>112</v>
      </c>
      <c r="E217" s="240" t="s">
        <v>682</v>
      </c>
      <c r="F217" s="240">
        <v>112</v>
      </c>
      <c r="G217" s="104">
        <f t="shared" si="4"/>
        <v>0</v>
      </c>
    </row>
    <row r="218" spans="2:7">
      <c r="B218" s="306">
        <v>45850</v>
      </c>
      <c r="C218" s="239" t="s">
        <v>806</v>
      </c>
      <c r="D218" s="240">
        <v>24</v>
      </c>
      <c r="E218" s="240" t="s">
        <v>682</v>
      </c>
      <c r="F218" s="240">
        <v>24</v>
      </c>
      <c r="G218" s="104">
        <f t="shared" si="4"/>
        <v>0</v>
      </c>
    </row>
    <row r="219" spans="2:7">
      <c r="B219" s="306">
        <v>45850</v>
      </c>
      <c r="C219" s="239" t="s">
        <v>807</v>
      </c>
      <c r="D219" s="240">
        <v>1</v>
      </c>
      <c r="E219" s="240" t="s">
        <v>682</v>
      </c>
      <c r="F219" s="240">
        <v>1</v>
      </c>
      <c r="G219" s="104">
        <f t="shared" si="4"/>
        <v>0</v>
      </c>
    </row>
    <row r="220" spans="2:7">
      <c r="B220" s="273">
        <v>45843</v>
      </c>
      <c r="C220" s="301" t="s">
        <v>78</v>
      </c>
      <c r="D220" s="235">
        <v>40</v>
      </c>
      <c r="E220" s="235" t="s">
        <v>775</v>
      </c>
      <c r="F220" s="235">
        <v>40</v>
      </c>
      <c r="G220" s="247">
        <f t="shared" si="4"/>
        <v>0</v>
      </c>
    </row>
    <row r="221" spans="2:7">
      <c r="B221" s="316">
        <v>45848</v>
      </c>
      <c r="C221" s="317" t="s">
        <v>134</v>
      </c>
      <c r="D221" s="319">
        <v>5</v>
      </c>
      <c r="E221" s="319" t="s">
        <v>851</v>
      </c>
      <c r="F221" s="319">
        <v>5</v>
      </c>
      <c r="G221" s="320">
        <f t="shared" si="4"/>
        <v>0</v>
      </c>
    </row>
    <row r="222" spans="2:7">
      <c r="B222" s="265">
        <v>45853</v>
      </c>
      <c r="C222" s="92" t="s">
        <v>76</v>
      </c>
      <c r="D222" s="43">
        <v>100</v>
      </c>
      <c r="E222" s="43" t="s">
        <v>852</v>
      </c>
      <c r="F222" s="43">
        <v>100</v>
      </c>
      <c r="G222" s="104">
        <f t="shared" si="4"/>
        <v>0</v>
      </c>
    </row>
    <row r="223" spans="2:7">
      <c r="B223" s="265">
        <v>45853</v>
      </c>
      <c r="C223" s="93" t="s">
        <v>120</v>
      </c>
      <c r="D223" s="43">
        <v>64</v>
      </c>
      <c r="E223" s="43" t="s">
        <v>852</v>
      </c>
      <c r="F223" s="43">
        <v>64</v>
      </c>
      <c r="G223" s="104">
        <f t="shared" si="4"/>
        <v>0</v>
      </c>
    </row>
    <row r="224" spans="2:7">
      <c r="B224" s="323">
        <v>45859</v>
      </c>
      <c r="C224" s="324" t="s">
        <v>410</v>
      </c>
      <c r="D224" s="322">
        <v>8</v>
      </c>
      <c r="E224" s="322" t="s">
        <v>682</v>
      </c>
      <c r="F224" s="322">
        <v>8</v>
      </c>
      <c r="G224" s="104">
        <f t="shared" si="4"/>
        <v>0</v>
      </c>
    </row>
    <row r="225" spans="2:7">
      <c r="B225" s="323">
        <v>45859</v>
      </c>
      <c r="C225" s="324" t="s">
        <v>856</v>
      </c>
      <c r="D225" s="322">
        <v>39</v>
      </c>
      <c r="E225" s="322" t="s">
        <v>682</v>
      </c>
      <c r="F225" s="322">
        <v>39</v>
      </c>
      <c r="G225" s="104">
        <f t="shared" si="4"/>
        <v>0</v>
      </c>
    </row>
    <row r="226" spans="2:7">
      <c r="B226" s="323">
        <v>45859</v>
      </c>
      <c r="C226" s="325" t="s">
        <v>806</v>
      </c>
      <c r="D226" s="322">
        <v>35</v>
      </c>
      <c r="E226" s="322" t="s">
        <v>682</v>
      </c>
      <c r="F226" s="322">
        <v>35</v>
      </c>
      <c r="G226" s="104">
        <f t="shared" si="4"/>
        <v>0</v>
      </c>
    </row>
    <row r="227" spans="2:7">
      <c r="B227" s="323">
        <v>45859</v>
      </c>
      <c r="C227" s="325" t="s">
        <v>807</v>
      </c>
      <c r="D227" s="322">
        <v>15</v>
      </c>
      <c r="E227" s="322" t="s">
        <v>682</v>
      </c>
      <c r="F227" s="322">
        <v>15</v>
      </c>
      <c r="G227" s="104">
        <f t="shared" si="4"/>
        <v>0</v>
      </c>
    </row>
    <row r="228" spans="2:7">
      <c r="B228" s="323">
        <v>45859</v>
      </c>
      <c r="C228" s="325" t="s">
        <v>808</v>
      </c>
      <c r="D228" s="322">
        <v>7</v>
      </c>
      <c r="E228" s="322" t="s">
        <v>682</v>
      </c>
      <c r="F228" s="322">
        <v>7</v>
      </c>
      <c r="G228" s="104">
        <f t="shared" si="4"/>
        <v>0</v>
      </c>
    </row>
    <row r="229" spans="2:7">
      <c r="B229" s="323">
        <v>45863</v>
      </c>
      <c r="C229" s="324" t="s">
        <v>131</v>
      </c>
      <c r="D229" s="322">
        <v>15</v>
      </c>
      <c r="E229" s="322" t="s">
        <v>682</v>
      </c>
      <c r="F229" s="322">
        <v>15</v>
      </c>
      <c r="G229" s="104">
        <f t="shared" si="4"/>
        <v>0</v>
      </c>
    </row>
    <row r="230" spans="2:7">
      <c r="B230" s="323">
        <v>45863</v>
      </c>
      <c r="C230" s="325" t="s">
        <v>806</v>
      </c>
      <c r="D230" s="322">
        <v>21</v>
      </c>
      <c r="E230" s="322" t="s">
        <v>682</v>
      </c>
      <c r="F230" s="322">
        <v>21</v>
      </c>
      <c r="G230" s="104">
        <f t="shared" si="4"/>
        <v>0</v>
      </c>
    </row>
    <row r="231" spans="2:7">
      <c r="B231" s="323">
        <v>45863</v>
      </c>
      <c r="C231" s="325" t="s">
        <v>807</v>
      </c>
      <c r="D231" s="322">
        <v>3</v>
      </c>
      <c r="E231" s="322" t="s">
        <v>682</v>
      </c>
      <c r="F231" s="322">
        <v>3</v>
      </c>
      <c r="G231" s="104">
        <f t="shared" si="4"/>
        <v>0</v>
      </c>
    </row>
    <row r="232" spans="2:7">
      <c r="B232" s="323">
        <v>45863</v>
      </c>
      <c r="C232" s="325" t="s">
        <v>808</v>
      </c>
      <c r="D232" s="322">
        <v>6</v>
      </c>
      <c r="E232" s="322" t="s">
        <v>682</v>
      </c>
      <c r="F232" s="322">
        <v>6</v>
      </c>
      <c r="G232" s="104">
        <f t="shared" si="4"/>
        <v>0</v>
      </c>
    </row>
    <row r="233" spans="2:7">
      <c r="B233" s="265">
        <v>45867</v>
      </c>
      <c r="C233" s="92" t="s">
        <v>84</v>
      </c>
      <c r="D233" s="43">
        <v>200</v>
      </c>
      <c r="E233" s="43" t="s">
        <v>883</v>
      </c>
      <c r="F233" s="43">
        <v>200</v>
      </c>
      <c r="G233" s="104">
        <f t="shared" si="4"/>
        <v>0</v>
      </c>
    </row>
    <row r="234" spans="2:7">
      <c r="B234" s="265">
        <v>45867</v>
      </c>
      <c r="C234" s="93" t="s">
        <v>154</v>
      </c>
      <c r="D234" s="43">
        <v>80</v>
      </c>
      <c r="E234" s="43" t="s">
        <v>883</v>
      </c>
      <c r="F234" s="43">
        <v>80</v>
      </c>
      <c r="G234" s="104">
        <f t="shared" si="4"/>
        <v>0</v>
      </c>
    </row>
    <row r="235" spans="2:7">
      <c r="B235" s="265">
        <v>45867</v>
      </c>
      <c r="C235" s="93" t="s">
        <v>120</v>
      </c>
      <c r="D235" s="43">
        <v>36</v>
      </c>
      <c r="E235" s="43" t="s">
        <v>883</v>
      </c>
      <c r="F235" s="43">
        <v>36</v>
      </c>
      <c r="G235" s="104">
        <f t="shared" si="4"/>
        <v>0</v>
      </c>
    </row>
    <row r="236" spans="2:7">
      <c r="B236" s="273">
        <v>45868</v>
      </c>
      <c r="C236" s="247" t="s">
        <v>76</v>
      </c>
      <c r="D236" s="235">
        <v>10</v>
      </c>
      <c r="E236" s="235" t="s">
        <v>893</v>
      </c>
      <c r="F236" s="235">
        <v>10</v>
      </c>
      <c r="G236" s="247">
        <f t="shared" si="4"/>
        <v>0</v>
      </c>
    </row>
    <row r="237" spans="2:7">
      <c r="B237" s="265">
        <v>45839</v>
      </c>
      <c r="C237" s="341" t="s">
        <v>78</v>
      </c>
      <c r="D237" s="43">
        <v>3</v>
      </c>
      <c r="E237" s="43" t="s">
        <v>906</v>
      </c>
      <c r="F237" s="43">
        <v>3</v>
      </c>
      <c r="G237" s="104">
        <f t="shared" si="4"/>
        <v>0</v>
      </c>
    </row>
    <row r="238" spans="2:7">
      <c r="B238" s="265">
        <v>45840</v>
      </c>
      <c r="C238" s="342" t="s">
        <v>881</v>
      </c>
      <c r="D238" s="43">
        <v>31</v>
      </c>
      <c r="E238" s="43" t="s">
        <v>907</v>
      </c>
      <c r="F238" s="43">
        <v>31</v>
      </c>
      <c r="G238" s="104">
        <f t="shared" si="4"/>
        <v>0</v>
      </c>
    </row>
    <row r="239" spans="2:7">
      <c r="B239" s="265">
        <v>45841</v>
      </c>
      <c r="C239" s="341" t="s">
        <v>882</v>
      </c>
      <c r="D239" s="43">
        <v>28</v>
      </c>
      <c r="E239" s="43" t="s">
        <v>908</v>
      </c>
      <c r="F239" s="43">
        <v>28</v>
      </c>
      <c r="G239" s="104">
        <f t="shared" si="4"/>
        <v>0</v>
      </c>
    </row>
    <row r="240" spans="2:7">
      <c r="B240" s="265">
        <v>45842</v>
      </c>
      <c r="C240" s="343" t="s">
        <v>671</v>
      </c>
      <c r="D240" s="43">
        <v>18</v>
      </c>
      <c r="E240" s="43" t="s">
        <v>909</v>
      </c>
      <c r="F240" s="43">
        <v>18</v>
      </c>
      <c r="G240" s="104">
        <f t="shared" si="4"/>
        <v>0</v>
      </c>
    </row>
    <row r="241" spans="2:8">
      <c r="B241" s="265">
        <v>45843</v>
      </c>
      <c r="C241" s="342" t="s">
        <v>497</v>
      </c>
      <c r="D241" s="43">
        <v>10</v>
      </c>
      <c r="E241" s="43" t="s">
        <v>910</v>
      </c>
      <c r="F241" s="43">
        <v>10</v>
      </c>
      <c r="G241" s="104">
        <f t="shared" si="4"/>
        <v>0</v>
      </c>
    </row>
    <row r="242" spans="2:8">
      <c r="B242" s="265">
        <v>45844</v>
      </c>
      <c r="C242" s="341" t="s">
        <v>789</v>
      </c>
      <c r="D242" s="43">
        <v>3</v>
      </c>
      <c r="E242" s="43" t="s">
        <v>911</v>
      </c>
      <c r="F242" s="43">
        <v>3</v>
      </c>
      <c r="G242" s="104">
        <f t="shared" si="4"/>
        <v>0</v>
      </c>
    </row>
    <row r="243" spans="2:8">
      <c r="B243" s="265">
        <v>45845</v>
      </c>
      <c r="C243" s="343" t="s">
        <v>303</v>
      </c>
      <c r="D243" s="43">
        <v>6</v>
      </c>
      <c r="E243" s="43" t="s">
        <v>912</v>
      </c>
      <c r="F243" s="43">
        <v>6</v>
      </c>
      <c r="G243" s="104">
        <f t="shared" si="4"/>
        <v>0</v>
      </c>
    </row>
    <row r="244" spans="2:8">
      <c r="B244" s="265">
        <v>45846</v>
      </c>
      <c r="C244" s="342" t="s">
        <v>477</v>
      </c>
      <c r="D244" s="43">
        <v>4</v>
      </c>
      <c r="E244" s="43" t="s">
        <v>913</v>
      </c>
      <c r="F244" s="43">
        <v>4</v>
      </c>
      <c r="G244" s="104">
        <f t="shared" si="4"/>
        <v>0</v>
      </c>
    </row>
    <row r="245" spans="2:8">
      <c r="B245" s="265">
        <v>45847</v>
      </c>
      <c r="C245" s="343" t="s">
        <v>838</v>
      </c>
      <c r="D245" s="43">
        <v>1</v>
      </c>
      <c r="E245" s="43" t="s">
        <v>914</v>
      </c>
      <c r="F245" s="43">
        <v>1</v>
      </c>
      <c r="G245" s="104">
        <f t="shared" si="4"/>
        <v>0</v>
      </c>
    </row>
    <row r="246" spans="2:8">
      <c r="B246" s="265">
        <v>45848</v>
      </c>
      <c r="C246" s="343" t="s">
        <v>865</v>
      </c>
      <c r="D246" s="43">
        <v>1</v>
      </c>
      <c r="E246" s="43" t="s">
        <v>915</v>
      </c>
      <c r="F246" s="43">
        <v>1</v>
      </c>
      <c r="G246" s="104">
        <f t="shared" si="4"/>
        <v>0</v>
      </c>
    </row>
    <row r="247" spans="2:8">
      <c r="B247" s="265">
        <v>45849</v>
      </c>
      <c r="C247" s="343" t="s">
        <v>797</v>
      </c>
      <c r="D247" s="43">
        <v>1</v>
      </c>
      <c r="E247" s="43" t="s">
        <v>916</v>
      </c>
      <c r="F247" s="43">
        <v>1</v>
      </c>
      <c r="G247" s="104">
        <f t="shared" si="4"/>
        <v>0</v>
      </c>
    </row>
    <row r="248" spans="2:8">
      <c r="B248" s="265">
        <v>45850</v>
      </c>
      <c r="C248" s="344" t="s">
        <v>673</v>
      </c>
      <c r="D248" s="43">
        <v>2</v>
      </c>
      <c r="E248" s="43" t="s">
        <v>917</v>
      </c>
      <c r="F248" s="43">
        <v>2</v>
      </c>
      <c r="G248" s="104">
        <f t="shared" si="4"/>
        <v>0</v>
      </c>
    </row>
    <row r="249" spans="2:8">
      <c r="B249" s="265">
        <v>45851</v>
      </c>
      <c r="C249" s="343" t="s">
        <v>482</v>
      </c>
      <c r="D249" s="43">
        <v>19</v>
      </c>
      <c r="E249" s="43" t="s">
        <v>918</v>
      </c>
      <c r="F249" s="43">
        <v>19</v>
      </c>
      <c r="G249" s="104">
        <f t="shared" si="4"/>
        <v>0</v>
      </c>
    </row>
    <row r="250" spans="2:8">
      <c r="B250" s="346">
        <v>45868</v>
      </c>
      <c r="C250" s="347" t="s">
        <v>919</v>
      </c>
      <c r="D250" s="348">
        <v>14</v>
      </c>
      <c r="E250" s="348" t="s">
        <v>921</v>
      </c>
      <c r="F250" s="348">
        <v>14</v>
      </c>
      <c r="G250" s="351">
        <f t="shared" si="4"/>
        <v>0</v>
      </c>
      <c r="H250" t="s">
        <v>980</v>
      </c>
    </row>
    <row r="251" spans="2:8">
      <c r="B251" s="346">
        <v>45868</v>
      </c>
      <c r="C251" s="347" t="s">
        <v>923</v>
      </c>
      <c r="D251" s="348">
        <v>7</v>
      </c>
      <c r="E251" s="348" t="s">
        <v>921</v>
      </c>
      <c r="F251" s="348">
        <v>7</v>
      </c>
      <c r="G251" s="351">
        <f t="shared" si="4"/>
        <v>0</v>
      </c>
      <c r="H251" t="s">
        <v>980</v>
      </c>
    </row>
    <row r="252" spans="2:8">
      <c r="B252" s="346">
        <v>45868</v>
      </c>
      <c r="C252" s="347" t="s">
        <v>926</v>
      </c>
      <c r="D252" s="348">
        <v>1</v>
      </c>
      <c r="E252" s="348" t="s">
        <v>921</v>
      </c>
      <c r="F252" s="348">
        <v>1</v>
      </c>
      <c r="G252" s="351">
        <f t="shared" si="4"/>
        <v>0</v>
      </c>
      <c r="H252" t="s">
        <v>980</v>
      </c>
    </row>
    <row r="253" spans="2:8">
      <c r="B253" s="346">
        <v>45868</v>
      </c>
      <c r="C253" s="350" t="s">
        <v>925</v>
      </c>
      <c r="D253" s="348">
        <v>1</v>
      </c>
      <c r="E253" s="348" t="s">
        <v>921</v>
      </c>
      <c r="F253" s="348">
        <v>1</v>
      </c>
      <c r="G253" s="351">
        <f t="shared" si="4"/>
        <v>0</v>
      </c>
      <c r="H253" t="s">
        <v>980</v>
      </c>
    </row>
    <row r="254" spans="2:8">
      <c r="B254" s="346">
        <v>45868</v>
      </c>
      <c r="C254" s="347" t="s">
        <v>135</v>
      </c>
      <c r="D254" s="348">
        <v>1</v>
      </c>
      <c r="E254" s="348" t="s">
        <v>921</v>
      </c>
      <c r="F254" s="348">
        <v>1</v>
      </c>
      <c r="G254" s="351">
        <f t="shared" si="4"/>
        <v>0</v>
      </c>
      <c r="H254" t="s">
        <v>980</v>
      </c>
    </row>
    <row r="255" spans="2:8">
      <c r="B255" s="346">
        <v>45868</v>
      </c>
      <c r="C255" s="349" t="s">
        <v>920</v>
      </c>
      <c r="D255" s="348">
        <v>4</v>
      </c>
      <c r="E255" s="348" t="s">
        <v>921</v>
      </c>
      <c r="F255" s="348">
        <v>4</v>
      </c>
      <c r="G255" s="351">
        <f t="shared" si="4"/>
        <v>0</v>
      </c>
      <c r="H255" t="s">
        <v>980</v>
      </c>
    </row>
    <row r="256" spans="2:8">
      <c r="B256" s="346">
        <v>45868</v>
      </c>
      <c r="C256" s="347" t="s">
        <v>134</v>
      </c>
      <c r="D256" s="348">
        <v>46</v>
      </c>
      <c r="E256" s="348" t="s">
        <v>921</v>
      </c>
      <c r="F256" s="348">
        <v>46</v>
      </c>
      <c r="G256" s="351">
        <f t="shared" si="4"/>
        <v>0</v>
      </c>
      <c r="H256" t="s">
        <v>980</v>
      </c>
    </row>
    <row r="257" spans="2:8">
      <c r="B257" s="346">
        <v>45868</v>
      </c>
      <c r="C257" s="350" t="s">
        <v>928</v>
      </c>
      <c r="D257" s="348">
        <v>5</v>
      </c>
      <c r="E257" s="348" t="s">
        <v>921</v>
      </c>
      <c r="F257" s="348">
        <v>5</v>
      </c>
      <c r="G257" s="351">
        <f t="shared" si="4"/>
        <v>0</v>
      </c>
      <c r="H257" t="s">
        <v>980</v>
      </c>
    </row>
    <row r="258" spans="2:8">
      <c r="B258" s="346">
        <v>45868</v>
      </c>
      <c r="C258" s="349" t="s">
        <v>929</v>
      </c>
      <c r="D258" s="348">
        <v>1</v>
      </c>
      <c r="E258" s="348" t="s">
        <v>921</v>
      </c>
      <c r="F258" s="348">
        <v>1</v>
      </c>
      <c r="G258" s="351">
        <f t="shared" si="4"/>
        <v>0</v>
      </c>
      <c r="H258" t="s">
        <v>980</v>
      </c>
    </row>
    <row r="259" spans="2:8">
      <c r="B259" s="346">
        <v>45868</v>
      </c>
      <c r="C259" s="349" t="s">
        <v>167</v>
      </c>
      <c r="D259" s="348">
        <v>5</v>
      </c>
      <c r="E259" s="348" t="s">
        <v>921</v>
      </c>
      <c r="F259" s="348">
        <v>5</v>
      </c>
      <c r="G259" s="351">
        <f t="shared" si="4"/>
        <v>0</v>
      </c>
      <c r="H259" t="s">
        <v>980</v>
      </c>
    </row>
    <row r="260" spans="2:8">
      <c r="B260" s="346">
        <v>45868</v>
      </c>
      <c r="C260" s="349" t="s">
        <v>166</v>
      </c>
      <c r="D260" s="348">
        <v>6</v>
      </c>
      <c r="E260" s="348" t="s">
        <v>921</v>
      </c>
      <c r="F260" s="348">
        <v>6</v>
      </c>
      <c r="G260" s="351">
        <f t="shared" si="4"/>
        <v>0</v>
      </c>
      <c r="H260" t="s">
        <v>980</v>
      </c>
    </row>
    <row r="261" spans="2:8">
      <c r="B261" s="346">
        <v>45868</v>
      </c>
      <c r="C261" s="347" t="s">
        <v>927</v>
      </c>
      <c r="D261" s="348">
        <v>4</v>
      </c>
      <c r="E261" s="348" t="s">
        <v>921</v>
      </c>
      <c r="F261" s="348">
        <v>4</v>
      </c>
      <c r="G261" s="351">
        <f t="shared" si="4"/>
        <v>0</v>
      </c>
      <c r="H261" t="s">
        <v>980</v>
      </c>
    </row>
    <row r="262" spans="2:8">
      <c r="B262" s="346">
        <v>45868</v>
      </c>
      <c r="C262" s="350" t="s">
        <v>930</v>
      </c>
      <c r="D262" s="348">
        <v>2</v>
      </c>
      <c r="E262" s="348" t="s">
        <v>921</v>
      </c>
      <c r="F262" s="348">
        <v>2</v>
      </c>
      <c r="G262" s="351">
        <f t="shared" si="4"/>
        <v>0</v>
      </c>
      <c r="H262" t="s">
        <v>980</v>
      </c>
    </row>
    <row r="263" spans="2:8">
      <c r="B263" s="346">
        <v>45868</v>
      </c>
      <c r="C263" s="350" t="s">
        <v>931</v>
      </c>
      <c r="D263" s="348">
        <v>1</v>
      </c>
      <c r="E263" s="348" t="s">
        <v>921</v>
      </c>
      <c r="F263" s="348">
        <v>1</v>
      </c>
      <c r="G263" s="351">
        <f t="shared" si="4"/>
        <v>0</v>
      </c>
      <c r="H263" t="s">
        <v>980</v>
      </c>
    </row>
    <row r="264" spans="2:8">
      <c r="B264" s="346">
        <v>45868</v>
      </c>
      <c r="C264" s="351" t="s">
        <v>932</v>
      </c>
      <c r="D264" s="348">
        <v>8</v>
      </c>
      <c r="E264" s="348" t="s">
        <v>921</v>
      </c>
      <c r="F264" s="348">
        <v>8</v>
      </c>
      <c r="G264" s="351">
        <f t="shared" si="4"/>
        <v>0</v>
      </c>
      <c r="H264" t="s">
        <v>980</v>
      </c>
    </row>
    <row r="265" spans="2:8">
      <c r="B265" s="346">
        <v>45868</v>
      </c>
      <c r="C265" s="351" t="s">
        <v>934</v>
      </c>
      <c r="D265" s="348">
        <v>2</v>
      </c>
      <c r="E265" s="348" t="s">
        <v>921</v>
      </c>
      <c r="F265" s="348">
        <v>2</v>
      </c>
      <c r="G265" s="351">
        <f t="shared" si="4"/>
        <v>0</v>
      </c>
      <c r="H265" t="s">
        <v>980</v>
      </c>
    </row>
    <row r="266" spans="2:8">
      <c r="B266" s="346">
        <v>45871</v>
      </c>
      <c r="C266" s="349" t="s">
        <v>920</v>
      </c>
      <c r="D266" s="348">
        <v>2</v>
      </c>
      <c r="E266" s="348" t="s">
        <v>921</v>
      </c>
      <c r="F266" s="348">
        <v>2</v>
      </c>
      <c r="G266" s="351">
        <f t="shared" si="4"/>
        <v>0</v>
      </c>
      <c r="H266" s="352" t="s">
        <v>957</v>
      </c>
    </row>
    <row r="267" spans="2:8">
      <c r="B267" s="346">
        <v>45871</v>
      </c>
      <c r="C267" s="349" t="s">
        <v>931</v>
      </c>
      <c r="D267" s="348">
        <v>1</v>
      </c>
      <c r="E267" s="348" t="s">
        <v>921</v>
      </c>
      <c r="F267" s="348">
        <v>1</v>
      </c>
      <c r="G267" s="351">
        <f t="shared" si="4"/>
        <v>0</v>
      </c>
      <c r="H267" s="352" t="s">
        <v>957</v>
      </c>
    </row>
    <row r="268" spans="2:8">
      <c r="B268" s="346">
        <v>45871</v>
      </c>
      <c r="C268" s="349" t="s">
        <v>134</v>
      </c>
      <c r="D268" s="348">
        <v>9</v>
      </c>
      <c r="E268" s="348" t="s">
        <v>921</v>
      </c>
      <c r="F268" s="348">
        <v>9</v>
      </c>
      <c r="G268" s="351">
        <f t="shared" si="4"/>
        <v>0</v>
      </c>
      <c r="H268" s="352" t="s">
        <v>957</v>
      </c>
    </row>
    <row r="269" spans="2:8">
      <c r="B269" s="346">
        <v>45871</v>
      </c>
      <c r="C269" s="349" t="s">
        <v>935</v>
      </c>
      <c r="D269" s="348">
        <v>4</v>
      </c>
      <c r="E269" s="348" t="s">
        <v>921</v>
      </c>
      <c r="F269" s="348">
        <v>4</v>
      </c>
      <c r="G269" s="351">
        <f t="shared" si="4"/>
        <v>0</v>
      </c>
      <c r="H269" s="352" t="s">
        <v>957</v>
      </c>
    </row>
    <row r="270" spans="2:8">
      <c r="B270" s="346">
        <v>45871</v>
      </c>
      <c r="C270" s="349" t="s">
        <v>932</v>
      </c>
      <c r="D270" s="348">
        <v>1</v>
      </c>
      <c r="E270" s="348" t="s">
        <v>921</v>
      </c>
      <c r="F270" s="348">
        <v>1</v>
      </c>
      <c r="G270" s="351">
        <f t="shared" si="4"/>
        <v>0</v>
      </c>
      <c r="H270" s="352" t="s">
        <v>957</v>
      </c>
    </row>
    <row r="271" spans="2:8">
      <c r="B271" s="346">
        <v>45871</v>
      </c>
      <c r="C271" s="349" t="s">
        <v>936</v>
      </c>
      <c r="D271" s="348">
        <v>4</v>
      </c>
      <c r="E271" s="348" t="s">
        <v>921</v>
      </c>
      <c r="F271" s="348">
        <v>4</v>
      </c>
      <c r="G271" s="351">
        <f t="shared" si="4"/>
        <v>0</v>
      </c>
      <c r="H271" s="352" t="s">
        <v>957</v>
      </c>
    </row>
    <row r="272" spans="2:8">
      <c r="B272" s="346">
        <v>45871</v>
      </c>
      <c r="C272" s="349" t="s">
        <v>928</v>
      </c>
      <c r="D272" s="348">
        <v>5</v>
      </c>
      <c r="E272" s="348" t="s">
        <v>921</v>
      </c>
      <c r="F272" s="348">
        <v>5</v>
      </c>
      <c r="G272" s="351">
        <f t="shared" si="4"/>
        <v>0</v>
      </c>
      <c r="H272" s="352" t="s">
        <v>957</v>
      </c>
    </row>
    <row r="273" spans="2:8">
      <c r="B273" s="346">
        <v>45871</v>
      </c>
      <c r="C273" s="349" t="s">
        <v>920</v>
      </c>
      <c r="D273" s="348">
        <v>1</v>
      </c>
      <c r="E273" s="348" t="s">
        <v>921</v>
      </c>
      <c r="F273" s="348">
        <v>1</v>
      </c>
      <c r="G273" s="351">
        <f t="shared" si="4"/>
        <v>0</v>
      </c>
      <c r="H273" t="s">
        <v>958</v>
      </c>
    </row>
    <row r="274" spans="2:8">
      <c r="B274" s="346">
        <v>45871</v>
      </c>
      <c r="C274" s="349" t="s">
        <v>959</v>
      </c>
      <c r="D274" s="348">
        <v>7</v>
      </c>
      <c r="E274" s="348" t="s">
        <v>921</v>
      </c>
      <c r="F274" s="348">
        <v>7</v>
      </c>
      <c r="G274" s="351">
        <f t="shared" si="4"/>
        <v>0</v>
      </c>
      <c r="H274" t="s">
        <v>958</v>
      </c>
    </row>
    <row r="275" spans="2:8">
      <c r="B275" s="346">
        <v>45871</v>
      </c>
      <c r="C275" s="349" t="s">
        <v>167</v>
      </c>
      <c r="D275" s="348">
        <v>3</v>
      </c>
      <c r="E275" s="348" t="s">
        <v>921</v>
      </c>
      <c r="F275" s="348">
        <v>3</v>
      </c>
      <c r="G275" s="351">
        <f t="shared" si="4"/>
        <v>0</v>
      </c>
      <c r="H275" t="s">
        <v>958</v>
      </c>
    </row>
    <row r="276" spans="2:8">
      <c r="B276" s="346">
        <v>45871</v>
      </c>
      <c r="C276" s="349" t="s">
        <v>166</v>
      </c>
      <c r="D276" s="348">
        <v>1</v>
      </c>
      <c r="E276" s="348" t="s">
        <v>921</v>
      </c>
      <c r="F276" s="348">
        <v>1</v>
      </c>
      <c r="G276" s="351">
        <f t="shared" si="4"/>
        <v>0</v>
      </c>
      <c r="H276" t="s">
        <v>958</v>
      </c>
    </row>
    <row r="277" spans="2:8">
      <c r="B277" s="346">
        <v>45871</v>
      </c>
      <c r="C277" s="349" t="s">
        <v>134</v>
      </c>
      <c r="D277" s="348">
        <v>6</v>
      </c>
      <c r="E277" s="348" t="s">
        <v>921</v>
      </c>
      <c r="F277" s="348">
        <v>6</v>
      </c>
      <c r="G277" s="351">
        <f t="shared" si="4"/>
        <v>0</v>
      </c>
      <c r="H277" t="s">
        <v>958</v>
      </c>
    </row>
    <row r="278" spans="2:8">
      <c r="B278" s="346">
        <v>45871</v>
      </c>
      <c r="C278" s="349" t="s">
        <v>928</v>
      </c>
      <c r="D278" s="348">
        <v>1</v>
      </c>
      <c r="E278" s="348" t="s">
        <v>921</v>
      </c>
      <c r="F278" s="348">
        <v>1</v>
      </c>
      <c r="G278" s="351">
        <f t="shared" si="4"/>
        <v>0</v>
      </c>
      <c r="H278" t="s">
        <v>958</v>
      </c>
    </row>
    <row r="279" spans="2:8">
      <c r="B279" s="346">
        <v>45871</v>
      </c>
      <c r="C279" s="349" t="s">
        <v>936</v>
      </c>
      <c r="D279" s="348">
        <v>1</v>
      </c>
      <c r="E279" s="348" t="s">
        <v>921</v>
      </c>
      <c r="F279" s="348">
        <v>1</v>
      </c>
      <c r="G279" s="351">
        <f t="shared" si="4"/>
        <v>0</v>
      </c>
      <c r="H279" t="s">
        <v>958</v>
      </c>
    </row>
    <row r="280" spans="2:8">
      <c r="B280" s="346">
        <v>45871</v>
      </c>
      <c r="C280" s="349" t="s">
        <v>134</v>
      </c>
      <c r="D280" s="348">
        <v>10</v>
      </c>
      <c r="E280" s="348" t="s">
        <v>921</v>
      </c>
      <c r="F280" s="348">
        <v>10</v>
      </c>
      <c r="G280" s="351">
        <f t="shared" ref="G280:G344" si="5">D280-F280</f>
        <v>0</v>
      </c>
      <c r="H280" t="s">
        <v>958</v>
      </c>
    </row>
    <row r="281" spans="2:8">
      <c r="B281" s="346">
        <v>45871</v>
      </c>
      <c r="C281" s="349" t="s">
        <v>928</v>
      </c>
      <c r="D281" s="348">
        <v>1</v>
      </c>
      <c r="E281" s="348" t="s">
        <v>921</v>
      </c>
      <c r="F281" s="348">
        <v>1</v>
      </c>
      <c r="G281" s="351">
        <f t="shared" si="5"/>
        <v>0</v>
      </c>
      <c r="H281" t="s">
        <v>958</v>
      </c>
    </row>
    <row r="282" spans="2:8">
      <c r="B282" s="346">
        <v>45871</v>
      </c>
      <c r="C282" s="349" t="s">
        <v>134</v>
      </c>
      <c r="D282" s="348">
        <v>4</v>
      </c>
      <c r="E282" s="348" t="s">
        <v>921</v>
      </c>
      <c r="F282" s="348">
        <v>4</v>
      </c>
      <c r="G282" s="351">
        <f t="shared" si="5"/>
        <v>0</v>
      </c>
      <c r="H282" t="s">
        <v>958</v>
      </c>
    </row>
    <row r="283" spans="2:8">
      <c r="B283" s="346">
        <v>45871</v>
      </c>
      <c r="C283" s="349" t="s">
        <v>167</v>
      </c>
      <c r="D283" s="348">
        <v>1</v>
      </c>
      <c r="E283" s="348" t="s">
        <v>921</v>
      </c>
      <c r="F283" s="348">
        <v>1</v>
      </c>
      <c r="G283" s="351">
        <f t="shared" si="5"/>
        <v>0</v>
      </c>
      <c r="H283" t="s">
        <v>958</v>
      </c>
    </row>
    <row r="284" spans="2:8">
      <c r="B284" s="346">
        <v>45871</v>
      </c>
      <c r="C284" s="349" t="s">
        <v>166</v>
      </c>
      <c r="D284" s="348">
        <v>1</v>
      </c>
      <c r="E284" s="348" t="s">
        <v>921</v>
      </c>
      <c r="F284" s="348">
        <v>1</v>
      </c>
      <c r="G284" s="351">
        <f t="shared" si="5"/>
        <v>0</v>
      </c>
      <c r="H284" t="s">
        <v>958</v>
      </c>
    </row>
    <row r="285" spans="2:8">
      <c r="B285" s="346">
        <v>45871</v>
      </c>
      <c r="C285" s="349" t="s">
        <v>169</v>
      </c>
      <c r="D285" s="348">
        <v>4</v>
      </c>
      <c r="E285" s="348" t="s">
        <v>921</v>
      </c>
      <c r="F285" s="348">
        <v>4</v>
      </c>
      <c r="G285" s="351">
        <f t="shared" si="5"/>
        <v>0</v>
      </c>
      <c r="H285" t="s">
        <v>958</v>
      </c>
    </row>
    <row r="286" spans="2:8">
      <c r="B286" s="346">
        <v>45871</v>
      </c>
      <c r="C286" s="349" t="s">
        <v>929</v>
      </c>
      <c r="D286" s="348">
        <v>1</v>
      </c>
      <c r="E286" s="348" t="s">
        <v>921</v>
      </c>
      <c r="F286" s="348">
        <v>1</v>
      </c>
      <c r="G286" s="351">
        <f t="shared" si="5"/>
        <v>0</v>
      </c>
      <c r="H286" t="s">
        <v>958</v>
      </c>
    </row>
    <row r="287" spans="2:8">
      <c r="B287" s="346">
        <v>45871</v>
      </c>
      <c r="C287" s="349" t="s">
        <v>932</v>
      </c>
      <c r="D287" s="348">
        <v>11</v>
      </c>
      <c r="E287" s="348" t="s">
        <v>921</v>
      </c>
      <c r="F287" s="348">
        <v>11</v>
      </c>
      <c r="G287" s="351">
        <f t="shared" si="5"/>
        <v>0</v>
      </c>
      <c r="H287" t="s">
        <v>958</v>
      </c>
    </row>
    <row r="288" spans="2:8">
      <c r="B288" s="306">
        <v>45871</v>
      </c>
      <c r="C288" s="239" t="s">
        <v>806</v>
      </c>
      <c r="D288" s="240">
        <v>24</v>
      </c>
      <c r="E288" s="322" t="s">
        <v>682</v>
      </c>
      <c r="F288" s="240">
        <v>24</v>
      </c>
      <c r="G288" s="307">
        <f t="shared" si="5"/>
        <v>0</v>
      </c>
    </row>
    <row r="289" spans="2:8">
      <c r="B289" s="306">
        <v>45871</v>
      </c>
      <c r="C289" s="239" t="s">
        <v>807</v>
      </c>
      <c r="D289" s="240">
        <v>30</v>
      </c>
      <c r="E289" s="322" t="s">
        <v>682</v>
      </c>
      <c r="F289" s="240">
        <v>30</v>
      </c>
      <c r="G289" s="307">
        <f t="shared" si="5"/>
        <v>0</v>
      </c>
    </row>
    <row r="290" spans="2:8">
      <c r="B290" s="306">
        <v>45871</v>
      </c>
      <c r="C290" s="239" t="s">
        <v>808</v>
      </c>
      <c r="D290" s="240">
        <v>13</v>
      </c>
      <c r="E290" s="322" t="s">
        <v>682</v>
      </c>
      <c r="F290" s="240">
        <v>13</v>
      </c>
      <c r="G290" s="307">
        <f t="shared" si="5"/>
        <v>0</v>
      </c>
    </row>
    <row r="291" spans="2:8">
      <c r="B291" s="306">
        <v>45871</v>
      </c>
      <c r="C291" s="242" t="s">
        <v>131</v>
      </c>
      <c r="D291" s="240">
        <v>5</v>
      </c>
      <c r="E291" s="322" t="s">
        <v>682</v>
      </c>
      <c r="F291" s="240">
        <v>5</v>
      </c>
      <c r="G291" s="307">
        <f t="shared" si="5"/>
        <v>0</v>
      </c>
    </row>
    <row r="292" spans="2:8">
      <c r="B292" s="306">
        <v>45871</v>
      </c>
      <c r="C292" s="239" t="s">
        <v>383</v>
      </c>
      <c r="D292" s="240">
        <v>2</v>
      </c>
      <c r="E292" s="322" t="s">
        <v>682</v>
      </c>
      <c r="F292" s="240">
        <v>2</v>
      </c>
      <c r="G292" s="307">
        <f t="shared" si="5"/>
        <v>0</v>
      </c>
    </row>
    <row r="293" spans="2:8">
      <c r="B293" s="306">
        <v>45871</v>
      </c>
      <c r="C293" s="358" t="s">
        <v>960</v>
      </c>
      <c r="D293" s="240">
        <v>2</v>
      </c>
      <c r="E293" s="322" t="s">
        <v>682</v>
      </c>
      <c r="F293" s="240">
        <v>2</v>
      </c>
      <c r="G293" s="307">
        <f t="shared" si="5"/>
        <v>0</v>
      </c>
    </row>
    <row r="294" spans="2:8">
      <c r="B294" s="306">
        <v>45871</v>
      </c>
      <c r="C294" s="239" t="s">
        <v>134</v>
      </c>
      <c r="D294" s="240">
        <v>4</v>
      </c>
      <c r="E294" s="322" t="s">
        <v>682</v>
      </c>
      <c r="F294" s="240">
        <v>4</v>
      </c>
      <c r="G294" s="307">
        <f t="shared" si="5"/>
        <v>0</v>
      </c>
    </row>
    <row r="295" spans="2:8">
      <c r="B295" s="306">
        <v>45871</v>
      </c>
      <c r="C295" s="242" t="s">
        <v>919</v>
      </c>
      <c r="D295" s="240">
        <v>3</v>
      </c>
      <c r="E295" s="322" t="s">
        <v>682</v>
      </c>
      <c r="F295" s="240">
        <v>3</v>
      </c>
      <c r="G295" s="307">
        <f t="shared" si="5"/>
        <v>0</v>
      </c>
    </row>
    <row r="296" spans="2:8">
      <c r="B296" s="306">
        <v>45871</v>
      </c>
      <c r="C296" s="358" t="s">
        <v>962</v>
      </c>
      <c r="D296" s="240">
        <v>14</v>
      </c>
      <c r="E296" s="322" t="s">
        <v>682</v>
      </c>
      <c r="F296" s="240">
        <v>14</v>
      </c>
      <c r="G296" s="307">
        <f t="shared" si="5"/>
        <v>0</v>
      </c>
    </row>
    <row r="297" spans="2:8">
      <c r="B297" s="346">
        <v>45873</v>
      </c>
      <c r="C297" s="349" t="s">
        <v>971</v>
      </c>
      <c r="D297" s="348">
        <v>1</v>
      </c>
      <c r="E297" s="348" t="s">
        <v>921</v>
      </c>
      <c r="F297" s="348">
        <v>1</v>
      </c>
      <c r="G297" s="351">
        <f t="shared" si="5"/>
        <v>0</v>
      </c>
      <c r="H297" t="s">
        <v>981</v>
      </c>
    </row>
    <row r="298" spans="2:8">
      <c r="B298" s="346">
        <v>45873</v>
      </c>
      <c r="C298" s="347" t="s">
        <v>926</v>
      </c>
      <c r="D298" s="348">
        <v>3</v>
      </c>
      <c r="E298" s="348" t="s">
        <v>921</v>
      </c>
      <c r="F298" s="348">
        <v>3</v>
      </c>
      <c r="G298" s="351">
        <f t="shared" si="5"/>
        <v>0</v>
      </c>
      <c r="H298" t="s">
        <v>981</v>
      </c>
    </row>
    <row r="299" spans="2:8">
      <c r="B299" s="346">
        <v>45873</v>
      </c>
      <c r="C299" s="349" t="s">
        <v>169</v>
      </c>
      <c r="D299" s="348">
        <v>3</v>
      </c>
      <c r="E299" s="348" t="s">
        <v>921</v>
      </c>
      <c r="F299" s="348">
        <v>3</v>
      </c>
      <c r="G299" s="351">
        <f t="shared" si="5"/>
        <v>0</v>
      </c>
      <c r="H299" t="s">
        <v>981</v>
      </c>
    </row>
    <row r="300" spans="2:8">
      <c r="B300" s="346">
        <v>45873</v>
      </c>
      <c r="C300" s="349" t="s">
        <v>972</v>
      </c>
      <c r="D300" s="348">
        <v>1</v>
      </c>
      <c r="E300" s="348" t="s">
        <v>921</v>
      </c>
      <c r="F300" s="348">
        <v>1</v>
      </c>
      <c r="G300" s="351">
        <f t="shared" si="5"/>
        <v>0</v>
      </c>
      <c r="H300" t="s">
        <v>981</v>
      </c>
    </row>
    <row r="301" spans="2:8">
      <c r="B301" s="346">
        <v>45873</v>
      </c>
      <c r="C301" s="349" t="s">
        <v>134</v>
      </c>
      <c r="D301" s="348">
        <v>22</v>
      </c>
      <c r="E301" s="348" t="s">
        <v>921</v>
      </c>
      <c r="F301" s="348">
        <v>22</v>
      </c>
      <c r="G301" s="351">
        <f t="shared" si="5"/>
        <v>0</v>
      </c>
      <c r="H301" t="s">
        <v>981</v>
      </c>
    </row>
    <row r="302" spans="2:8">
      <c r="B302" s="346">
        <v>45873</v>
      </c>
      <c r="C302" s="349" t="s">
        <v>167</v>
      </c>
      <c r="D302" s="348">
        <v>6</v>
      </c>
      <c r="E302" s="348" t="s">
        <v>921</v>
      </c>
      <c r="F302" s="348">
        <v>6</v>
      </c>
      <c r="G302" s="351">
        <f t="shared" si="5"/>
        <v>0</v>
      </c>
      <c r="H302" t="s">
        <v>981</v>
      </c>
    </row>
    <row r="303" spans="2:8">
      <c r="B303" s="346">
        <v>45873</v>
      </c>
      <c r="C303" s="349" t="s">
        <v>166</v>
      </c>
      <c r="D303" s="348">
        <v>1</v>
      </c>
      <c r="E303" s="348" t="s">
        <v>921</v>
      </c>
      <c r="F303" s="348">
        <v>1</v>
      </c>
      <c r="G303" s="351">
        <f t="shared" si="5"/>
        <v>0</v>
      </c>
      <c r="H303" t="s">
        <v>981</v>
      </c>
    </row>
    <row r="304" spans="2:8">
      <c r="B304" s="346">
        <v>45873</v>
      </c>
      <c r="C304" s="349" t="s">
        <v>169</v>
      </c>
      <c r="D304" s="348">
        <v>2</v>
      </c>
      <c r="E304" s="348" t="s">
        <v>921</v>
      </c>
      <c r="F304" s="348">
        <v>2</v>
      </c>
      <c r="G304" s="351">
        <f t="shared" si="5"/>
        <v>0</v>
      </c>
      <c r="H304" t="s">
        <v>981</v>
      </c>
    </row>
    <row r="305" spans="2:8">
      <c r="B305" s="346">
        <v>45873</v>
      </c>
      <c r="C305" s="349" t="s">
        <v>920</v>
      </c>
      <c r="D305" s="348">
        <v>10</v>
      </c>
      <c r="E305" s="348" t="s">
        <v>921</v>
      </c>
      <c r="F305" s="348">
        <v>10</v>
      </c>
      <c r="G305" s="351">
        <f t="shared" si="5"/>
        <v>0</v>
      </c>
      <c r="H305" t="s">
        <v>981</v>
      </c>
    </row>
    <row r="306" spans="2:8">
      <c r="B306" s="346">
        <v>45873</v>
      </c>
      <c r="C306" s="351" t="s">
        <v>932</v>
      </c>
      <c r="D306" s="348">
        <v>4</v>
      </c>
      <c r="E306" s="348" t="s">
        <v>921</v>
      </c>
      <c r="F306" s="348">
        <v>4</v>
      </c>
      <c r="G306" s="351">
        <f t="shared" si="5"/>
        <v>0</v>
      </c>
      <c r="H306" t="s">
        <v>981</v>
      </c>
    </row>
    <row r="307" spans="2:8">
      <c r="B307" s="346">
        <v>45873</v>
      </c>
      <c r="C307" s="349" t="s">
        <v>935</v>
      </c>
      <c r="D307" s="348">
        <v>1</v>
      </c>
      <c r="E307" s="348" t="s">
        <v>921</v>
      </c>
      <c r="F307" s="348">
        <v>1</v>
      </c>
      <c r="G307" s="351">
        <f t="shared" si="5"/>
        <v>0</v>
      </c>
      <c r="H307" t="s">
        <v>981</v>
      </c>
    </row>
    <row r="308" spans="2:8">
      <c r="B308" s="346">
        <v>45873</v>
      </c>
      <c r="C308" s="349" t="s">
        <v>973</v>
      </c>
      <c r="D308" s="348">
        <v>1</v>
      </c>
      <c r="E308" s="348" t="s">
        <v>921</v>
      </c>
      <c r="F308" s="348">
        <v>1</v>
      </c>
      <c r="G308" s="351">
        <f t="shared" si="5"/>
        <v>0</v>
      </c>
      <c r="H308" t="s">
        <v>981</v>
      </c>
    </row>
    <row r="309" spans="2:8">
      <c r="B309" s="323">
        <v>45874</v>
      </c>
      <c r="C309" s="325" t="s">
        <v>806</v>
      </c>
      <c r="D309" s="322">
        <v>14</v>
      </c>
      <c r="E309" s="322" t="s">
        <v>682</v>
      </c>
      <c r="F309" s="322">
        <v>14</v>
      </c>
      <c r="G309" s="307">
        <f t="shared" si="5"/>
        <v>0</v>
      </c>
    </row>
    <row r="310" spans="2:8">
      <c r="B310" s="323">
        <v>45874</v>
      </c>
      <c r="C310" s="325" t="s">
        <v>807</v>
      </c>
      <c r="D310" s="322">
        <v>21</v>
      </c>
      <c r="E310" s="322" t="s">
        <v>682</v>
      </c>
      <c r="F310" s="322">
        <v>21</v>
      </c>
      <c r="G310" s="307">
        <f t="shared" si="5"/>
        <v>0</v>
      </c>
    </row>
    <row r="311" spans="2:8">
      <c r="B311" s="323">
        <v>45874</v>
      </c>
      <c r="C311" s="325" t="s">
        <v>808</v>
      </c>
      <c r="D311" s="322">
        <v>18</v>
      </c>
      <c r="E311" s="322" t="s">
        <v>682</v>
      </c>
      <c r="F311" s="322">
        <v>18</v>
      </c>
      <c r="G311" s="307">
        <f t="shared" si="5"/>
        <v>0</v>
      </c>
    </row>
    <row r="312" spans="2:8">
      <c r="B312" s="323">
        <v>45874</v>
      </c>
      <c r="C312" s="324" t="s">
        <v>131</v>
      </c>
      <c r="D312" s="322">
        <v>14</v>
      </c>
      <c r="E312" s="322" t="s">
        <v>682</v>
      </c>
      <c r="F312" s="322">
        <v>14</v>
      </c>
      <c r="G312" s="307">
        <f t="shared" si="5"/>
        <v>0</v>
      </c>
    </row>
    <row r="313" spans="2:8">
      <c r="B313" s="323">
        <v>45874</v>
      </c>
      <c r="C313" s="325" t="s">
        <v>960</v>
      </c>
      <c r="D313" s="322">
        <v>6</v>
      </c>
      <c r="E313" s="322" t="s">
        <v>682</v>
      </c>
      <c r="F313" s="322">
        <v>6</v>
      </c>
      <c r="G313" s="307">
        <f t="shared" si="5"/>
        <v>0</v>
      </c>
    </row>
    <row r="314" spans="2:8">
      <c r="B314" s="323">
        <v>45874</v>
      </c>
      <c r="C314" s="325" t="s">
        <v>975</v>
      </c>
      <c r="D314" s="322">
        <v>5</v>
      </c>
      <c r="E314" s="322" t="s">
        <v>682</v>
      </c>
      <c r="F314" s="322">
        <v>5</v>
      </c>
      <c r="G314" s="307">
        <f t="shared" si="5"/>
        <v>0</v>
      </c>
    </row>
    <row r="315" spans="2:8">
      <c r="B315" s="323">
        <v>45874</v>
      </c>
      <c r="C315" s="324" t="s">
        <v>919</v>
      </c>
      <c r="D315" s="322">
        <v>3</v>
      </c>
      <c r="E315" s="322" t="s">
        <v>682</v>
      </c>
      <c r="F315" s="322">
        <v>3</v>
      </c>
      <c r="G315" s="307">
        <f t="shared" si="5"/>
        <v>0</v>
      </c>
    </row>
    <row r="316" spans="2:8">
      <c r="B316" s="323">
        <v>45874</v>
      </c>
      <c r="C316" s="325" t="s">
        <v>976</v>
      </c>
      <c r="D316" s="322">
        <v>1</v>
      </c>
      <c r="E316" s="322" t="s">
        <v>682</v>
      </c>
      <c r="F316" s="322">
        <v>1</v>
      </c>
      <c r="G316" s="307">
        <f t="shared" si="5"/>
        <v>0</v>
      </c>
    </row>
    <row r="317" spans="2:8">
      <c r="B317" s="323">
        <v>45874</v>
      </c>
      <c r="C317" s="325" t="s">
        <v>977</v>
      </c>
      <c r="D317" s="322">
        <v>1</v>
      </c>
      <c r="E317" s="322" t="s">
        <v>682</v>
      </c>
      <c r="F317" s="322">
        <v>1</v>
      </c>
      <c r="G317" s="307">
        <f t="shared" si="5"/>
        <v>0</v>
      </c>
    </row>
    <row r="318" spans="2:8">
      <c r="B318" s="323">
        <v>45874</v>
      </c>
      <c r="C318" s="325" t="s">
        <v>134</v>
      </c>
      <c r="D318" s="322">
        <v>4</v>
      </c>
      <c r="E318" s="322" t="s">
        <v>682</v>
      </c>
      <c r="F318" s="322">
        <v>4</v>
      </c>
      <c r="G318" s="307">
        <f t="shared" si="5"/>
        <v>0</v>
      </c>
    </row>
    <row r="319" spans="2:8">
      <c r="B319" s="323">
        <v>45874</v>
      </c>
      <c r="C319" s="325" t="s">
        <v>167</v>
      </c>
      <c r="D319" s="322">
        <v>2</v>
      </c>
      <c r="E319" s="322" t="s">
        <v>682</v>
      </c>
      <c r="F319" s="322">
        <v>2</v>
      </c>
      <c r="G319" s="307">
        <f t="shared" si="5"/>
        <v>0</v>
      </c>
    </row>
    <row r="320" spans="2:8">
      <c r="B320" s="323">
        <v>45874</v>
      </c>
      <c r="C320" s="325" t="s">
        <v>166</v>
      </c>
      <c r="D320" s="322">
        <v>2</v>
      </c>
      <c r="E320" s="322" t="s">
        <v>682</v>
      </c>
      <c r="F320" s="322">
        <v>2</v>
      </c>
      <c r="G320" s="307">
        <f t="shared" si="5"/>
        <v>0</v>
      </c>
    </row>
    <row r="321" spans="2:8">
      <c r="B321" s="273">
        <v>45880</v>
      </c>
      <c r="C321" s="301" t="s">
        <v>78</v>
      </c>
      <c r="D321" s="237">
        <v>30</v>
      </c>
      <c r="E321" s="237" t="s">
        <v>1036</v>
      </c>
      <c r="F321" s="237">
        <v>30</v>
      </c>
      <c r="G321" s="247">
        <f t="shared" si="5"/>
        <v>0</v>
      </c>
    </row>
    <row r="322" spans="2:8">
      <c r="B322" s="393">
        <v>45881</v>
      </c>
      <c r="C322" s="188" t="s">
        <v>134</v>
      </c>
      <c r="D322" s="387">
        <v>1</v>
      </c>
      <c r="E322" s="387" t="s">
        <v>1041</v>
      </c>
      <c r="F322" s="387">
        <v>1</v>
      </c>
      <c r="G322" s="394">
        <f t="shared" si="5"/>
        <v>0</v>
      </c>
    </row>
    <row r="323" spans="2:8">
      <c r="B323" s="265">
        <v>45881</v>
      </c>
      <c r="C323" s="93" t="s">
        <v>807</v>
      </c>
      <c r="D323" s="43">
        <v>4</v>
      </c>
      <c r="E323" s="43" t="s">
        <v>918</v>
      </c>
      <c r="F323" s="43">
        <v>4</v>
      </c>
      <c r="G323" s="104">
        <f t="shared" si="5"/>
        <v>0</v>
      </c>
      <c r="H323" t="s">
        <v>1075</v>
      </c>
    </row>
    <row r="324" spans="2:8">
      <c r="B324" s="346">
        <v>45881</v>
      </c>
      <c r="C324" s="349" t="s">
        <v>134</v>
      </c>
      <c r="D324" s="348">
        <v>9</v>
      </c>
      <c r="E324" s="348" t="s">
        <v>1076</v>
      </c>
      <c r="F324" s="348">
        <v>9</v>
      </c>
      <c r="G324" s="351">
        <f t="shared" si="5"/>
        <v>0</v>
      </c>
    </row>
    <row r="325" spans="2:8">
      <c r="B325" s="346">
        <v>45881</v>
      </c>
      <c r="C325" s="349" t="s">
        <v>920</v>
      </c>
      <c r="D325" s="348">
        <v>4</v>
      </c>
      <c r="E325" s="348" t="s">
        <v>1076</v>
      </c>
      <c r="F325" s="348">
        <v>4</v>
      </c>
      <c r="G325" s="351">
        <f t="shared" si="5"/>
        <v>0</v>
      </c>
    </row>
    <row r="326" spans="2:8">
      <c r="B326" s="346">
        <v>45881</v>
      </c>
      <c r="C326" s="349" t="s">
        <v>928</v>
      </c>
      <c r="D326" s="348">
        <v>1</v>
      </c>
      <c r="E326" s="348" t="s">
        <v>1076</v>
      </c>
      <c r="F326" s="348">
        <v>1</v>
      </c>
      <c r="G326" s="351">
        <f t="shared" si="5"/>
        <v>0</v>
      </c>
    </row>
    <row r="327" spans="2:8">
      <c r="B327" s="346">
        <v>45881</v>
      </c>
      <c r="C327" s="347" t="s">
        <v>919</v>
      </c>
      <c r="D327" s="397">
        <v>1</v>
      </c>
      <c r="E327" s="348" t="s">
        <v>1076</v>
      </c>
      <c r="F327" s="397">
        <v>1</v>
      </c>
      <c r="G327" s="351">
        <f t="shared" si="5"/>
        <v>0</v>
      </c>
    </row>
    <row r="328" spans="2:8">
      <c r="B328" s="273">
        <v>45882</v>
      </c>
      <c r="C328" s="301" t="s">
        <v>78</v>
      </c>
      <c r="D328" s="237">
        <v>40</v>
      </c>
      <c r="E328" s="237" t="s">
        <v>1036</v>
      </c>
      <c r="F328" s="237">
        <v>40</v>
      </c>
      <c r="G328" s="247">
        <f t="shared" si="5"/>
        <v>0</v>
      </c>
    </row>
    <row r="329" spans="2:8">
      <c r="B329" s="346">
        <v>45883</v>
      </c>
      <c r="C329" s="349" t="s">
        <v>1094</v>
      </c>
      <c r="D329" s="348">
        <v>1</v>
      </c>
      <c r="E329" s="348" t="s">
        <v>921</v>
      </c>
      <c r="F329" s="348">
        <v>1</v>
      </c>
      <c r="G329" s="351">
        <f t="shared" si="5"/>
        <v>0</v>
      </c>
      <c r="H329" t="s">
        <v>1100</v>
      </c>
    </row>
    <row r="330" spans="2:8">
      <c r="B330" s="346">
        <v>45883</v>
      </c>
      <c r="C330" s="349" t="s">
        <v>1095</v>
      </c>
      <c r="D330" s="348">
        <v>1</v>
      </c>
      <c r="E330" s="348" t="s">
        <v>921</v>
      </c>
      <c r="F330" s="348">
        <v>1</v>
      </c>
      <c r="G330" s="351">
        <f t="shared" si="5"/>
        <v>0</v>
      </c>
    </row>
    <row r="331" spans="2:8">
      <c r="B331" s="346">
        <v>45883</v>
      </c>
      <c r="C331" s="347" t="s">
        <v>919</v>
      </c>
      <c r="D331" s="348">
        <v>5</v>
      </c>
      <c r="E331" s="348" t="s">
        <v>921</v>
      </c>
      <c r="F331" s="348">
        <v>5</v>
      </c>
      <c r="G331" s="351">
        <f t="shared" si="5"/>
        <v>0</v>
      </c>
    </row>
    <row r="332" spans="2:8">
      <c r="B332" s="346">
        <v>45883</v>
      </c>
      <c r="C332" s="349" t="s">
        <v>169</v>
      </c>
      <c r="D332" s="348">
        <v>1</v>
      </c>
      <c r="E332" s="348" t="s">
        <v>921</v>
      </c>
      <c r="F332" s="348">
        <v>1</v>
      </c>
      <c r="G332" s="351">
        <f t="shared" si="5"/>
        <v>0</v>
      </c>
    </row>
    <row r="333" spans="2:8">
      <c r="B333" s="346">
        <v>45883</v>
      </c>
      <c r="C333" s="347" t="s">
        <v>134</v>
      </c>
      <c r="D333" s="348">
        <v>27</v>
      </c>
      <c r="E333" s="348" t="s">
        <v>921</v>
      </c>
      <c r="F333" s="348">
        <v>27</v>
      </c>
      <c r="G333" s="351">
        <f t="shared" si="5"/>
        <v>0</v>
      </c>
    </row>
    <row r="334" spans="2:8">
      <c r="B334" s="346">
        <v>45883</v>
      </c>
      <c r="C334" s="349" t="s">
        <v>166</v>
      </c>
      <c r="D334" s="348">
        <v>1</v>
      </c>
      <c r="E334" s="348" t="s">
        <v>921</v>
      </c>
      <c r="F334" s="348">
        <v>1</v>
      </c>
      <c r="G334" s="351">
        <f t="shared" si="5"/>
        <v>0</v>
      </c>
    </row>
    <row r="335" spans="2:8">
      <c r="B335" s="346">
        <v>45883</v>
      </c>
      <c r="C335" s="349" t="s">
        <v>167</v>
      </c>
      <c r="D335" s="348">
        <v>3</v>
      </c>
      <c r="E335" s="348" t="s">
        <v>921</v>
      </c>
      <c r="F335" s="348">
        <v>3</v>
      </c>
      <c r="G335" s="351">
        <f t="shared" si="5"/>
        <v>0</v>
      </c>
    </row>
    <row r="336" spans="2:8">
      <c r="B336" s="346">
        <v>45883</v>
      </c>
      <c r="C336" s="349" t="s">
        <v>929</v>
      </c>
      <c r="D336" s="348">
        <v>1</v>
      </c>
      <c r="E336" s="348" t="s">
        <v>921</v>
      </c>
      <c r="F336" s="348">
        <v>1</v>
      </c>
      <c r="G336" s="351">
        <f t="shared" si="5"/>
        <v>0</v>
      </c>
    </row>
    <row r="337" spans="2:8">
      <c r="B337" s="346">
        <v>45883</v>
      </c>
      <c r="C337" s="349" t="s">
        <v>1096</v>
      </c>
      <c r="D337" s="348">
        <v>2</v>
      </c>
      <c r="E337" s="348" t="s">
        <v>921</v>
      </c>
      <c r="F337" s="348">
        <v>2</v>
      </c>
      <c r="G337" s="351">
        <f t="shared" si="5"/>
        <v>0</v>
      </c>
    </row>
    <row r="338" spans="2:8">
      <c r="B338" s="346">
        <v>45883</v>
      </c>
      <c r="C338" s="350" t="s">
        <v>931</v>
      </c>
      <c r="D338" s="348">
        <v>1</v>
      </c>
      <c r="E338" s="348" t="s">
        <v>921</v>
      </c>
      <c r="F338" s="348">
        <v>1</v>
      </c>
      <c r="G338" s="351">
        <f t="shared" si="5"/>
        <v>0</v>
      </c>
    </row>
    <row r="339" spans="2:8">
      <c r="B339" s="346">
        <v>45883</v>
      </c>
      <c r="C339" s="351" t="s">
        <v>932</v>
      </c>
      <c r="D339" s="348">
        <v>8</v>
      </c>
      <c r="E339" s="348" t="s">
        <v>921</v>
      </c>
      <c r="F339" s="348">
        <v>8</v>
      </c>
      <c r="G339" s="351">
        <f t="shared" si="5"/>
        <v>0</v>
      </c>
    </row>
    <row r="340" spans="2:8">
      <c r="B340" s="346">
        <v>45883</v>
      </c>
      <c r="C340" s="349" t="s">
        <v>1097</v>
      </c>
      <c r="D340" s="348">
        <v>1</v>
      </c>
      <c r="E340" s="348" t="s">
        <v>921</v>
      </c>
      <c r="F340" s="348">
        <v>1</v>
      </c>
      <c r="G340" s="351">
        <f t="shared" si="5"/>
        <v>0</v>
      </c>
    </row>
    <row r="341" spans="2:8">
      <c r="B341" s="346">
        <v>45883</v>
      </c>
      <c r="C341" s="347" t="s">
        <v>134</v>
      </c>
      <c r="D341" s="348">
        <v>16</v>
      </c>
      <c r="E341" s="348" t="s">
        <v>921</v>
      </c>
      <c r="F341" s="348">
        <v>16</v>
      </c>
      <c r="G341" s="351">
        <f t="shared" si="5"/>
        <v>0</v>
      </c>
      <c r="H341" t="s">
        <v>1099</v>
      </c>
    </row>
    <row r="342" spans="2:8">
      <c r="B342" s="346">
        <v>45883</v>
      </c>
      <c r="C342" s="349" t="s">
        <v>167</v>
      </c>
      <c r="D342" s="348">
        <v>5</v>
      </c>
      <c r="E342" s="348" t="s">
        <v>921</v>
      </c>
      <c r="F342" s="348">
        <v>5</v>
      </c>
      <c r="G342" s="351">
        <f t="shared" si="5"/>
        <v>0</v>
      </c>
    </row>
    <row r="343" spans="2:8">
      <c r="B343" s="346">
        <v>45883</v>
      </c>
      <c r="C343" s="349" t="s">
        <v>166</v>
      </c>
      <c r="D343" s="348">
        <v>2</v>
      </c>
      <c r="E343" s="348" t="s">
        <v>921</v>
      </c>
      <c r="F343" s="348">
        <v>2</v>
      </c>
      <c r="G343" s="351">
        <f t="shared" si="5"/>
        <v>0</v>
      </c>
    </row>
    <row r="344" spans="2:8">
      <c r="B344" s="346">
        <v>45883</v>
      </c>
      <c r="C344" s="351" t="s">
        <v>932</v>
      </c>
      <c r="D344" s="348">
        <v>5</v>
      </c>
      <c r="E344" s="348" t="s">
        <v>921</v>
      </c>
      <c r="F344" s="348">
        <v>5</v>
      </c>
      <c r="G344" s="351">
        <f t="shared" si="5"/>
        <v>0</v>
      </c>
    </row>
    <row r="345" spans="2:8">
      <c r="B345" s="346">
        <v>45883</v>
      </c>
      <c r="C345" s="349" t="s">
        <v>935</v>
      </c>
      <c r="D345" s="348">
        <v>1</v>
      </c>
      <c r="E345" s="348" t="s">
        <v>921</v>
      </c>
      <c r="F345" s="348">
        <v>1</v>
      </c>
      <c r="G345" s="351">
        <f t="shared" ref="G345:G408" si="6">D345-F345</f>
        <v>0</v>
      </c>
    </row>
    <row r="346" spans="2:8">
      <c r="B346" s="346">
        <v>45883</v>
      </c>
      <c r="C346" s="349" t="s">
        <v>169</v>
      </c>
      <c r="D346" s="348">
        <v>1</v>
      </c>
      <c r="E346" s="348" t="s">
        <v>921</v>
      </c>
      <c r="F346" s="348">
        <v>1</v>
      </c>
      <c r="G346" s="351">
        <f t="shared" si="6"/>
        <v>0</v>
      </c>
    </row>
    <row r="347" spans="2:8">
      <c r="B347" s="335">
        <v>45884</v>
      </c>
      <c r="C347" s="341" t="s">
        <v>76</v>
      </c>
      <c r="D347" s="345">
        <v>111</v>
      </c>
      <c r="E347" s="345" t="s">
        <v>1101</v>
      </c>
      <c r="F347" s="345">
        <v>111</v>
      </c>
      <c r="G347" s="344">
        <f t="shared" si="6"/>
        <v>0</v>
      </c>
    </row>
    <row r="348" spans="2:8">
      <c r="B348" s="335">
        <v>45884</v>
      </c>
      <c r="C348" s="341" t="s">
        <v>671</v>
      </c>
      <c r="D348" s="345">
        <v>10</v>
      </c>
      <c r="E348" s="345" t="s">
        <v>1101</v>
      </c>
      <c r="F348" s="345">
        <v>10</v>
      </c>
      <c r="G348" s="344">
        <f t="shared" si="6"/>
        <v>0</v>
      </c>
    </row>
    <row r="349" spans="2:8">
      <c r="B349" s="335">
        <v>45884</v>
      </c>
      <c r="C349" s="343" t="s">
        <v>839</v>
      </c>
      <c r="D349" s="345">
        <v>15</v>
      </c>
      <c r="E349" s="345" t="s">
        <v>1101</v>
      </c>
      <c r="F349" s="345">
        <v>15</v>
      </c>
      <c r="G349" s="344">
        <f t="shared" si="6"/>
        <v>0</v>
      </c>
    </row>
    <row r="350" spans="2:8">
      <c r="B350" s="335">
        <v>45884</v>
      </c>
      <c r="C350" s="343" t="s">
        <v>901</v>
      </c>
      <c r="D350" s="345">
        <v>2</v>
      </c>
      <c r="E350" s="345" t="s">
        <v>1101</v>
      </c>
      <c r="F350" s="345">
        <v>2</v>
      </c>
      <c r="G350" s="344">
        <f t="shared" si="6"/>
        <v>0</v>
      </c>
    </row>
    <row r="351" spans="2:8">
      <c r="B351" s="335">
        <v>45889</v>
      </c>
      <c r="C351" s="343" t="s">
        <v>76</v>
      </c>
      <c r="D351" s="345">
        <v>85</v>
      </c>
      <c r="E351" s="345" t="s">
        <v>1130</v>
      </c>
      <c r="F351" s="345">
        <v>85</v>
      </c>
      <c r="G351" s="344">
        <f t="shared" si="6"/>
        <v>0</v>
      </c>
    </row>
    <row r="352" spans="2:8">
      <c r="B352" s="335">
        <v>45889</v>
      </c>
      <c r="C352" s="343" t="s">
        <v>671</v>
      </c>
      <c r="D352" s="345">
        <v>2</v>
      </c>
      <c r="E352" s="345" t="s">
        <v>1130</v>
      </c>
      <c r="F352" s="345">
        <v>2</v>
      </c>
      <c r="G352" s="344">
        <f t="shared" si="6"/>
        <v>0</v>
      </c>
    </row>
    <row r="353" spans="2:7">
      <c r="B353" s="335">
        <v>45889</v>
      </c>
      <c r="C353" s="341" t="s">
        <v>672</v>
      </c>
      <c r="D353" s="345">
        <v>8</v>
      </c>
      <c r="E353" s="345" t="s">
        <v>1130</v>
      </c>
      <c r="F353" s="345">
        <v>8</v>
      </c>
      <c r="G353" s="344">
        <f t="shared" si="6"/>
        <v>0</v>
      </c>
    </row>
    <row r="354" spans="2:7">
      <c r="B354" s="335">
        <v>45889</v>
      </c>
      <c r="C354" s="343" t="s">
        <v>865</v>
      </c>
      <c r="D354" s="345">
        <v>5</v>
      </c>
      <c r="E354" s="345" t="s">
        <v>1130</v>
      </c>
      <c r="F354" s="345">
        <v>5</v>
      </c>
      <c r="G354" s="344">
        <f t="shared" si="6"/>
        <v>0</v>
      </c>
    </row>
    <row r="355" spans="2:7">
      <c r="B355" s="335">
        <v>45889</v>
      </c>
      <c r="C355" s="343" t="s">
        <v>808</v>
      </c>
      <c r="D355" s="345">
        <v>26</v>
      </c>
      <c r="E355" s="345" t="s">
        <v>1130</v>
      </c>
      <c r="F355" s="345">
        <v>26</v>
      </c>
      <c r="G355" s="344">
        <f t="shared" si="6"/>
        <v>0</v>
      </c>
    </row>
    <row r="356" spans="2:7">
      <c r="B356" s="335">
        <v>45889</v>
      </c>
      <c r="C356" s="343" t="s">
        <v>807</v>
      </c>
      <c r="D356" s="345">
        <v>2</v>
      </c>
      <c r="E356" s="345" t="s">
        <v>1130</v>
      </c>
      <c r="F356" s="345">
        <v>2</v>
      </c>
      <c r="G356" s="344">
        <f t="shared" si="6"/>
        <v>0</v>
      </c>
    </row>
    <row r="357" spans="2:7">
      <c r="B357" s="335">
        <v>45889</v>
      </c>
      <c r="C357" s="342" t="s">
        <v>477</v>
      </c>
      <c r="D357" s="345">
        <v>5</v>
      </c>
      <c r="E357" s="345" t="s">
        <v>1130</v>
      </c>
      <c r="F357" s="345">
        <v>5</v>
      </c>
      <c r="G357" s="344">
        <f t="shared" si="6"/>
        <v>0</v>
      </c>
    </row>
    <row r="358" spans="2:7">
      <c r="B358" s="335">
        <v>45889</v>
      </c>
      <c r="C358" s="342" t="s">
        <v>497</v>
      </c>
      <c r="D358" s="345">
        <v>2</v>
      </c>
      <c r="E358" s="345" t="s">
        <v>1130</v>
      </c>
      <c r="F358" s="345">
        <v>2</v>
      </c>
      <c r="G358" s="344">
        <f t="shared" si="6"/>
        <v>0</v>
      </c>
    </row>
    <row r="359" spans="2:7">
      <c r="B359" s="335">
        <v>45889</v>
      </c>
      <c r="C359" s="341" t="s">
        <v>882</v>
      </c>
      <c r="D359" s="345">
        <v>12</v>
      </c>
      <c r="E359" s="345" t="s">
        <v>1130</v>
      </c>
      <c r="F359" s="345">
        <v>12</v>
      </c>
      <c r="G359" s="344">
        <f t="shared" si="6"/>
        <v>0</v>
      </c>
    </row>
    <row r="360" spans="2:7">
      <c r="B360" s="335">
        <v>45889</v>
      </c>
      <c r="C360" s="341" t="s">
        <v>84</v>
      </c>
      <c r="D360" s="345">
        <v>3</v>
      </c>
      <c r="E360" s="345" t="s">
        <v>1130</v>
      </c>
      <c r="F360" s="345">
        <v>3</v>
      </c>
      <c r="G360" s="344">
        <f t="shared" si="6"/>
        <v>0</v>
      </c>
    </row>
    <row r="361" spans="2:7">
      <c r="B361" s="273">
        <v>45890</v>
      </c>
      <c r="C361" s="248" t="s">
        <v>134</v>
      </c>
      <c r="D361" s="235">
        <v>4</v>
      </c>
      <c r="E361" s="235" t="s">
        <v>1131</v>
      </c>
      <c r="F361" s="235">
        <v>4</v>
      </c>
      <c r="G361" s="247">
        <f t="shared" si="6"/>
        <v>0</v>
      </c>
    </row>
    <row r="362" spans="2:7">
      <c r="B362" s="323">
        <v>45894</v>
      </c>
      <c r="C362" s="325" t="s">
        <v>808</v>
      </c>
      <c r="D362" s="423">
        <v>3</v>
      </c>
      <c r="E362" s="322" t="s">
        <v>682</v>
      </c>
      <c r="F362" s="423">
        <v>3</v>
      </c>
      <c r="G362" s="425">
        <f t="shared" si="6"/>
        <v>0</v>
      </c>
    </row>
    <row r="363" spans="2:7">
      <c r="B363" s="323">
        <v>45894</v>
      </c>
      <c r="C363" s="325" t="s">
        <v>806</v>
      </c>
      <c r="D363" s="423">
        <v>11</v>
      </c>
      <c r="E363" s="322" t="s">
        <v>682</v>
      </c>
      <c r="F363" s="423">
        <v>11</v>
      </c>
      <c r="G363" s="425">
        <f t="shared" si="6"/>
        <v>0</v>
      </c>
    </row>
    <row r="364" spans="2:7">
      <c r="B364" s="323">
        <v>45894</v>
      </c>
      <c r="C364" s="325" t="s">
        <v>807</v>
      </c>
      <c r="D364" s="423">
        <v>4</v>
      </c>
      <c r="E364" s="322" t="s">
        <v>682</v>
      </c>
      <c r="F364" s="423">
        <v>4</v>
      </c>
      <c r="G364" s="425">
        <f t="shared" si="6"/>
        <v>0</v>
      </c>
    </row>
    <row r="365" spans="2:7">
      <c r="B365" s="323">
        <v>45894</v>
      </c>
      <c r="C365" s="324" t="s">
        <v>131</v>
      </c>
      <c r="D365" s="423">
        <v>7</v>
      </c>
      <c r="E365" s="322" t="s">
        <v>682</v>
      </c>
      <c r="F365" s="423">
        <v>7</v>
      </c>
      <c r="G365" s="425">
        <f t="shared" si="6"/>
        <v>0</v>
      </c>
    </row>
    <row r="366" spans="2:7">
      <c r="B366" s="323">
        <v>45894</v>
      </c>
      <c r="C366" s="324" t="s">
        <v>410</v>
      </c>
      <c r="D366" s="423">
        <v>1</v>
      </c>
      <c r="E366" s="322" t="s">
        <v>682</v>
      </c>
      <c r="F366" s="423">
        <v>1</v>
      </c>
      <c r="G366" s="425">
        <f t="shared" si="6"/>
        <v>0</v>
      </c>
    </row>
    <row r="367" spans="2:7">
      <c r="B367" s="323">
        <v>45894</v>
      </c>
      <c r="C367" s="425" t="s">
        <v>1146</v>
      </c>
      <c r="D367" s="423">
        <v>2</v>
      </c>
      <c r="E367" s="322" t="s">
        <v>682</v>
      </c>
      <c r="F367" s="423">
        <v>2</v>
      </c>
      <c r="G367" s="425">
        <f t="shared" si="6"/>
        <v>0</v>
      </c>
    </row>
    <row r="368" spans="2:7">
      <c r="B368" s="323">
        <v>45894</v>
      </c>
      <c r="C368" s="425" t="s">
        <v>1147</v>
      </c>
      <c r="D368" s="423">
        <v>4</v>
      </c>
      <c r="E368" s="322" t="s">
        <v>682</v>
      </c>
      <c r="F368" s="423">
        <v>4</v>
      </c>
      <c r="G368" s="425">
        <f t="shared" si="6"/>
        <v>0</v>
      </c>
    </row>
    <row r="369" spans="2:7">
      <c r="B369" s="323">
        <v>45894</v>
      </c>
      <c r="C369" s="425" t="s">
        <v>1147</v>
      </c>
      <c r="D369" s="423">
        <v>4</v>
      </c>
      <c r="E369" s="322" t="s">
        <v>682</v>
      </c>
      <c r="F369" s="423">
        <v>4</v>
      </c>
      <c r="G369" s="425">
        <f t="shared" si="6"/>
        <v>0</v>
      </c>
    </row>
    <row r="370" spans="2:7">
      <c r="B370" s="323">
        <v>45894</v>
      </c>
      <c r="C370" s="425" t="s">
        <v>1148</v>
      </c>
      <c r="D370" s="423">
        <v>2</v>
      </c>
      <c r="E370" s="322" t="s">
        <v>682</v>
      </c>
      <c r="F370" s="423">
        <v>2</v>
      </c>
      <c r="G370" s="425">
        <f t="shared" si="6"/>
        <v>0</v>
      </c>
    </row>
    <row r="371" spans="2:7">
      <c r="B371" s="323">
        <v>45894</v>
      </c>
      <c r="C371" s="425" t="s">
        <v>1149</v>
      </c>
      <c r="D371" s="423">
        <v>1</v>
      </c>
      <c r="E371" s="322" t="s">
        <v>682</v>
      </c>
      <c r="F371" s="423">
        <v>1</v>
      </c>
      <c r="G371" s="425">
        <f t="shared" si="6"/>
        <v>0</v>
      </c>
    </row>
    <row r="372" spans="2:7">
      <c r="B372" s="323">
        <v>45894</v>
      </c>
      <c r="C372" s="426" t="s">
        <v>919</v>
      </c>
      <c r="D372" s="423">
        <v>2</v>
      </c>
      <c r="E372" s="322" t="s">
        <v>682</v>
      </c>
      <c r="F372" s="423">
        <v>2</v>
      </c>
      <c r="G372" s="425">
        <f t="shared" si="6"/>
        <v>0</v>
      </c>
    </row>
    <row r="373" spans="2:7">
      <c r="B373" s="323">
        <v>45894</v>
      </c>
      <c r="C373" s="426" t="s">
        <v>923</v>
      </c>
      <c r="D373" s="423">
        <v>2</v>
      </c>
      <c r="E373" s="322" t="s">
        <v>682</v>
      </c>
      <c r="F373" s="423">
        <v>2</v>
      </c>
      <c r="G373" s="425">
        <f t="shared" si="6"/>
        <v>0</v>
      </c>
    </row>
    <row r="374" spans="2:7">
      <c r="B374" s="323">
        <v>45894</v>
      </c>
      <c r="C374" s="426" t="s">
        <v>1150</v>
      </c>
      <c r="D374" s="423">
        <v>1</v>
      </c>
      <c r="E374" s="322" t="s">
        <v>682</v>
      </c>
      <c r="F374" s="423">
        <v>1</v>
      </c>
      <c r="G374" s="425">
        <f t="shared" si="6"/>
        <v>0</v>
      </c>
    </row>
    <row r="375" spans="2:7">
      <c r="B375" s="323">
        <v>45894</v>
      </c>
      <c r="C375" s="325" t="s">
        <v>976</v>
      </c>
      <c r="D375" s="423">
        <v>2</v>
      </c>
      <c r="E375" s="322" t="s">
        <v>682</v>
      </c>
      <c r="F375" s="423">
        <v>2</v>
      </c>
      <c r="G375" s="425">
        <f t="shared" si="6"/>
        <v>0</v>
      </c>
    </row>
    <row r="376" spans="2:7">
      <c r="B376" s="323">
        <v>45894</v>
      </c>
      <c r="C376" s="325" t="s">
        <v>920</v>
      </c>
      <c r="D376" s="423">
        <v>1</v>
      </c>
      <c r="E376" s="322" t="s">
        <v>682</v>
      </c>
      <c r="F376" s="423">
        <v>1</v>
      </c>
      <c r="G376" s="425">
        <f t="shared" si="6"/>
        <v>0</v>
      </c>
    </row>
    <row r="377" spans="2:7">
      <c r="B377" s="323">
        <v>45894</v>
      </c>
      <c r="C377" s="426" t="s">
        <v>928</v>
      </c>
      <c r="D377" s="423">
        <v>1</v>
      </c>
      <c r="E377" s="322" t="s">
        <v>682</v>
      </c>
      <c r="F377" s="423">
        <v>1</v>
      </c>
      <c r="G377" s="425">
        <f t="shared" si="6"/>
        <v>0</v>
      </c>
    </row>
    <row r="378" spans="2:7">
      <c r="B378" s="323">
        <v>45894</v>
      </c>
      <c r="C378" s="426" t="s">
        <v>134</v>
      </c>
      <c r="D378" s="423">
        <v>2</v>
      </c>
      <c r="E378" s="322" t="s">
        <v>682</v>
      </c>
      <c r="F378" s="423">
        <v>2</v>
      </c>
      <c r="G378" s="425">
        <f t="shared" si="6"/>
        <v>0</v>
      </c>
    </row>
    <row r="379" spans="2:7">
      <c r="B379" s="323">
        <v>45894</v>
      </c>
      <c r="C379" s="426" t="s">
        <v>134</v>
      </c>
      <c r="D379" s="423">
        <v>4</v>
      </c>
      <c r="E379" s="322" t="s">
        <v>682</v>
      </c>
      <c r="F379" s="423">
        <v>4</v>
      </c>
      <c r="G379" s="425">
        <f t="shared" si="6"/>
        <v>0</v>
      </c>
    </row>
    <row r="380" spans="2:7">
      <c r="B380" s="323">
        <v>45894</v>
      </c>
      <c r="C380" s="426" t="s">
        <v>134</v>
      </c>
      <c r="D380" s="423">
        <v>3</v>
      </c>
      <c r="E380" s="322" t="s">
        <v>682</v>
      </c>
      <c r="F380" s="423">
        <v>3</v>
      </c>
      <c r="G380" s="425">
        <f t="shared" si="6"/>
        <v>0</v>
      </c>
    </row>
    <row r="381" spans="2:7">
      <c r="B381" s="323">
        <v>45894</v>
      </c>
      <c r="C381" s="426" t="s">
        <v>134</v>
      </c>
      <c r="D381" s="423">
        <v>4</v>
      </c>
      <c r="E381" s="322" t="s">
        <v>682</v>
      </c>
      <c r="F381" s="423">
        <v>4</v>
      </c>
      <c r="G381" s="425">
        <f t="shared" si="6"/>
        <v>0</v>
      </c>
    </row>
    <row r="382" spans="2:7">
      <c r="B382" s="323">
        <v>45894</v>
      </c>
      <c r="C382" s="425" t="s">
        <v>1151</v>
      </c>
      <c r="D382" s="423">
        <v>4</v>
      </c>
      <c r="E382" s="322" t="s">
        <v>682</v>
      </c>
      <c r="F382" s="423">
        <v>4</v>
      </c>
      <c r="G382" s="425">
        <f t="shared" si="6"/>
        <v>0</v>
      </c>
    </row>
    <row r="383" spans="2:7">
      <c r="B383" s="323">
        <v>45894</v>
      </c>
      <c r="C383" s="425" t="s">
        <v>167</v>
      </c>
      <c r="D383" s="423">
        <v>1</v>
      </c>
      <c r="E383" s="322" t="s">
        <v>682</v>
      </c>
      <c r="F383" s="423">
        <v>1</v>
      </c>
      <c r="G383" s="425">
        <f t="shared" si="6"/>
        <v>0</v>
      </c>
    </row>
    <row r="384" spans="2:7">
      <c r="B384" s="323">
        <v>45894</v>
      </c>
      <c r="C384" s="426" t="s">
        <v>134</v>
      </c>
      <c r="D384" s="423">
        <v>1</v>
      </c>
      <c r="E384" s="322" t="s">
        <v>682</v>
      </c>
      <c r="F384" s="423">
        <v>1</v>
      </c>
      <c r="G384" s="425">
        <f t="shared" si="6"/>
        <v>0</v>
      </c>
    </row>
    <row r="385" spans="2:8">
      <c r="B385" s="346">
        <v>45890</v>
      </c>
      <c r="C385" s="349" t="s">
        <v>169</v>
      </c>
      <c r="D385" s="348">
        <v>1</v>
      </c>
      <c r="E385" s="348" t="s">
        <v>921</v>
      </c>
      <c r="F385" s="348">
        <v>1</v>
      </c>
      <c r="G385" s="351">
        <f t="shared" si="6"/>
        <v>0</v>
      </c>
      <c r="H385" t="s">
        <v>1169</v>
      </c>
    </row>
    <row r="386" spans="2:8">
      <c r="B386" s="346">
        <v>45890</v>
      </c>
      <c r="C386" s="349" t="s">
        <v>134</v>
      </c>
      <c r="D386" s="348">
        <v>9</v>
      </c>
      <c r="E386" s="348" t="s">
        <v>921</v>
      </c>
      <c r="F386" s="348">
        <v>9</v>
      </c>
      <c r="G386" s="351">
        <f t="shared" si="6"/>
        <v>0</v>
      </c>
    </row>
    <row r="387" spans="2:8">
      <c r="B387" s="346">
        <v>45890</v>
      </c>
      <c r="C387" s="349" t="s">
        <v>134</v>
      </c>
      <c r="D387" s="348">
        <v>10</v>
      </c>
      <c r="E387" s="348" t="s">
        <v>921</v>
      </c>
      <c r="F387" s="348">
        <v>10</v>
      </c>
      <c r="G387" s="351">
        <f t="shared" si="6"/>
        <v>0</v>
      </c>
    </row>
    <row r="388" spans="2:8">
      <c r="B388" s="346">
        <v>45890</v>
      </c>
      <c r="C388" s="350" t="s">
        <v>928</v>
      </c>
      <c r="D388" s="348">
        <v>1</v>
      </c>
      <c r="E388" s="348" t="s">
        <v>921</v>
      </c>
      <c r="F388" s="348">
        <v>1</v>
      </c>
      <c r="G388" s="351">
        <f t="shared" si="6"/>
        <v>0</v>
      </c>
    </row>
    <row r="389" spans="2:8">
      <c r="B389" s="346">
        <v>45890</v>
      </c>
      <c r="C389" s="349" t="s">
        <v>134</v>
      </c>
      <c r="D389" s="348">
        <v>1</v>
      </c>
      <c r="E389" s="348" t="s">
        <v>921</v>
      </c>
      <c r="F389" s="348">
        <v>1</v>
      </c>
      <c r="G389" s="351">
        <f t="shared" si="6"/>
        <v>0</v>
      </c>
    </row>
    <row r="390" spans="2:8">
      <c r="B390" s="346">
        <v>45890</v>
      </c>
      <c r="C390" s="349" t="s">
        <v>167</v>
      </c>
      <c r="D390" s="348">
        <v>2</v>
      </c>
      <c r="E390" s="348" t="s">
        <v>921</v>
      </c>
      <c r="F390" s="348">
        <v>2</v>
      </c>
      <c r="G390" s="351">
        <f t="shared" si="6"/>
        <v>0</v>
      </c>
    </row>
    <row r="391" spans="2:8">
      <c r="B391" s="346">
        <v>45890</v>
      </c>
      <c r="C391" s="349" t="s">
        <v>167</v>
      </c>
      <c r="D391" s="348">
        <v>6</v>
      </c>
      <c r="E391" s="348" t="s">
        <v>921</v>
      </c>
      <c r="F391" s="348">
        <v>6</v>
      </c>
      <c r="G391" s="351">
        <f t="shared" si="6"/>
        <v>0</v>
      </c>
    </row>
    <row r="392" spans="2:8">
      <c r="B392" s="346">
        <v>45890</v>
      </c>
      <c r="C392" s="349" t="s">
        <v>973</v>
      </c>
      <c r="D392" s="348">
        <v>1</v>
      </c>
      <c r="E392" s="348" t="s">
        <v>921</v>
      </c>
      <c r="F392" s="348">
        <v>1</v>
      </c>
      <c r="G392" s="351">
        <f t="shared" si="6"/>
        <v>0</v>
      </c>
    </row>
    <row r="393" spans="2:8">
      <c r="B393" s="346">
        <v>45890</v>
      </c>
      <c r="C393" s="349" t="s">
        <v>973</v>
      </c>
      <c r="D393" s="348">
        <v>1</v>
      </c>
      <c r="E393" s="348" t="s">
        <v>921</v>
      </c>
      <c r="F393" s="348">
        <v>1</v>
      </c>
      <c r="G393" s="351">
        <f t="shared" si="6"/>
        <v>0</v>
      </c>
    </row>
    <row r="394" spans="2:8">
      <c r="B394" s="346">
        <v>45890</v>
      </c>
      <c r="C394" s="349" t="s">
        <v>167</v>
      </c>
      <c r="D394" s="348">
        <v>1</v>
      </c>
      <c r="E394" s="348" t="s">
        <v>921</v>
      </c>
      <c r="F394" s="348">
        <v>1</v>
      </c>
      <c r="G394" s="351">
        <f t="shared" si="6"/>
        <v>0</v>
      </c>
    </row>
    <row r="395" spans="2:8">
      <c r="B395" s="346">
        <v>45890</v>
      </c>
      <c r="C395" s="349" t="s">
        <v>166</v>
      </c>
      <c r="D395" s="348">
        <v>1</v>
      </c>
      <c r="E395" s="348" t="s">
        <v>921</v>
      </c>
      <c r="F395" s="348">
        <v>1</v>
      </c>
      <c r="G395" s="351">
        <f t="shared" si="6"/>
        <v>0</v>
      </c>
    </row>
    <row r="396" spans="2:8">
      <c r="B396" s="346">
        <v>45890</v>
      </c>
      <c r="C396" s="349" t="s">
        <v>973</v>
      </c>
      <c r="D396" s="348">
        <v>1</v>
      </c>
      <c r="E396" s="348" t="s">
        <v>921</v>
      </c>
      <c r="F396" s="348">
        <v>1</v>
      </c>
      <c r="G396" s="351">
        <f t="shared" si="6"/>
        <v>0</v>
      </c>
    </row>
    <row r="397" spans="2:8">
      <c r="B397" s="346">
        <v>45890</v>
      </c>
      <c r="C397" s="350" t="s">
        <v>919</v>
      </c>
      <c r="D397" s="348">
        <v>4</v>
      </c>
      <c r="E397" s="348" t="s">
        <v>921</v>
      </c>
      <c r="F397" s="348">
        <v>4</v>
      </c>
      <c r="G397" s="351">
        <f t="shared" si="6"/>
        <v>0</v>
      </c>
    </row>
    <row r="398" spans="2:8">
      <c r="B398" s="346">
        <v>45890</v>
      </c>
      <c r="C398" s="427" t="s">
        <v>1152</v>
      </c>
      <c r="D398" s="348">
        <v>1</v>
      </c>
      <c r="E398" s="348" t="s">
        <v>921</v>
      </c>
      <c r="F398" s="348">
        <v>1</v>
      </c>
      <c r="G398" s="351">
        <f t="shared" si="6"/>
        <v>0</v>
      </c>
    </row>
    <row r="399" spans="2:8">
      <c r="B399" s="346">
        <v>45890</v>
      </c>
      <c r="C399" s="350" t="s">
        <v>919</v>
      </c>
      <c r="D399" s="348">
        <v>1</v>
      </c>
      <c r="E399" s="348" t="s">
        <v>921</v>
      </c>
      <c r="F399" s="348">
        <v>1</v>
      </c>
      <c r="G399" s="351">
        <f t="shared" si="6"/>
        <v>0</v>
      </c>
    </row>
    <row r="400" spans="2:8">
      <c r="B400" s="346">
        <v>45890</v>
      </c>
      <c r="C400" s="350" t="s">
        <v>923</v>
      </c>
      <c r="D400" s="348">
        <v>1</v>
      </c>
      <c r="E400" s="348" t="s">
        <v>921</v>
      </c>
      <c r="F400" s="348">
        <v>1</v>
      </c>
      <c r="G400" s="351">
        <f t="shared" si="6"/>
        <v>0</v>
      </c>
    </row>
    <row r="401" spans="2:8">
      <c r="B401" s="346">
        <v>45890</v>
      </c>
      <c r="C401" s="351" t="s">
        <v>932</v>
      </c>
      <c r="D401" s="348">
        <v>4</v>
      </c>
      <c r="E401" s="348" t="s">
        <v>921</v>
      </c>
      <c r="F401" s="348">
        <v>4</v>
      </c>
      <c r="G401" s="351">
        <f t="shared" si="6"/>
        <v>0</v>
      </c>
    </row>
    <row r="402" spans="2:8">
      <c r="B402" s="346">
        <v>45890</v>
      </c>
      <c r="C402" s="349" t="s">
        <v>920</v>
      </c>
      <c r="D402" s="348">
        <v>9</v>
      </c>
      <c r="E402" s="348" t="s">
        <v>921</v>
      </c>
      <c r="F402" s="348">
        <v>9</v>
      </c>
      <c r="G402" s="351">
        <f t="shared" si="6"/>
        <v>0</v>
      </c>
    </row>
    <row r="403" spans="2:8">
      <c r="B403" s="346">
        <v>45890</v>
      </c>
      <c r="C403" s="349" t="s">
        <v>1094</v>
      </c>
      <c r="D403" s="348">
        <v>0</v>
      </c>
      <c r="E403" s="348" t="s">
        <v>921</v>
      </c>
      <c r="F403" s="348">
        <v>0</v>
      </c>
      <c r="G403" s="351">
        <f t="shared" si="6"/>
        <v>0</v>
      </c>
    </row>
    <row r="404" spans="2:8">
      <c r="B404" s="335">
        <v>45895</v>
      </c>
      <c r="C404" s="343" t="s">
        <v>76</v>
      </c>
      <c r="D404" s="345">
        <v>57</v>
      </c>
      <c r="E404" s="345" t="s">
        <v>1157</v>
      </c>
      <c r="F404" s="43">
        <v>57</v>
      </c>
      <c r="G404" s="104">
        <f t="shared" si="6"/>
        <v>0</v>
      </c>
    </row>
    <row r="405" spans="2:8">
      <c r="B405" s="346">
        <v>45896</v>
      </c>
      <c r="C405" s="347" t="s">
        <v>135</v>
      </c>
      <c r="D405" s="348">
        <v>1</v>
      </c>
      <c r="E405" s="348" t="s">
        <v>921</v>
      </c>
      <c r="F405" s="348">
        <v>1</v>
      </c>
      <c r="G405" s="351">
        <f t="shared" si="6"/>
        <v>0</v>
      </c>
      <c r="H405" t="s">
        <v>1168</v>
      </c>
    </row>
    <row r="406" spans="2:8">
      <c r="B406" s="346">
        <v>45896</v>
      </c>
      <c r="C406" s="350" t="s">
        <v>919</v>
      </c>
      <c r="D406" s="348">
        <v>3</v>
      </c>
      <c r="E406" s="348" t="s">
        <v>921</v>
      </c>
      <c r="F406" s="348">
        <v>3</v>
      </c>
      <c r="G406" s="351">
        <f t="shared" si="6"/>
        <v>0</v>
      </c>
    </row>
    <row r="407" spans="2:8">
      <c r="B407" s="346">
        <v>45896</v>
      </c>
      <c r="C407" s="349" t="s">
        <v>134</v>
      </c>
      <c r="D407" s="348">
        <v>3</v>
      </c>
      <c r="E407" s="348" t="s">
        <v>921</v>
      </c>
      <c r="F407" s="348">
        <v>3</v>
      </c>
      <c r="G407" s="351">
        <f t="shared" si="6"/>
        <v>0</v>
      </c>
    </row>
    <row r="408" spans="2:8">
      <c r="B408" s="346">
        <v>45896</v>
      </c>
      <c r="C408" s="349" t="s">
        <v>134</v>
      </c>
      <c r="D408" s="348">
        <v>1</v>
      </c>
      <c r="E408" s="348" t="s">
        <v>921</v>
      </c>
      <c r="F408" s="348">
        <v>1</v>
      </c>
      <c r="G408" s="351">
        <f t="shared" si="6"/>
        <v>0</v>
      </c>
    </row>
    <row r="409" spans="2:8">
      <c r="B409" s="346">
        <v>45896</v>
      </c>
      <c r="C409" s="349" t="s">
        <v>167</v>
      </c>
      <c r="D409" s="348">
        <v>2</v>
      </c>
      <c r="E409" s="348" t="s">
        <v>921</v>
      </c>
      <c r="F409" s="348">
        <v>2</v>
      </c>
      <c r="G409" s="351">
        <f t="shared" ref="G409:G472" si="7">D409-F409</f>
        <v>0</v>
      </c>
    </row>
    <row r="410" spans="2:8">
      <c r="B410" s="346">
        <v>45896</v>
      </c>
      <c r="C410" s="349" t="s">
        <v>920</v>
      </c>
      <c r="D410" s="348">
        <v>8</v>
      </c>
      <c r="E410" s="348" t="s">
        <v>921</v>
      </c>
      <c r="F410" s="348">
        <v>8</v>
      </c>
      <c r="G410" s="351">
        <f t="shared" si="7"/>
        <v>0</v>
      </c>
    </row>
    <row r="411" spans="2:8">
      <c r="B411" s="335">
        <v>45896</v>
      </c>
      <c r="C411" s="343" t="s">
        <v>76</v>
      </c>
      <c r="D411" s="345">
        <v>180</v>
      </c>
      <c r="E411" s="345" t="s">
        <v>1170</v>
      </c>
      <c r="F411" s="345">
        <v>180</v>
      </c>
      <c r="G411" s="344">
        <f t="shared" si="7"/>
        <v>0</v>
      </c>
    </row>
    <row r="412" spans="2:8">
      <c r="B412" s="265">
        <v>45897</v>
      </c>
      <c r="C412" s="343" t="s">
        <v>76</v>
      </c>
      <c r="D412" s="43">
        <v>263</v>
      </c>
      <c r="E412" s="345" t="s">
        <v>1279</v>
      </c>
      <c r="F412" s="43">
        <v>263</v>
      </c>
      <c r="G412" s="104">
        <f t="shared" si="7"/>
        <v>0</v>
      </c>
    </row>
    <row r="413" spans="2:8">
      <c r="B413" s="437">
        <v>45897</v>
      </c>
      <c r="C413" s="222" t="s">
        <v>1173</v>
      </c>
      <c r="D413" s="220">
        <v>65</v>
      </c>
      <c r="E413" s="220" t="s">
        <v>775</v>
      </c>
      <c r="F413" s="220">
        <v>65</v>
      </c>
      <c r="G413" s="221">
        <f t="shared" si="7"/>
        <v>0</v>
      </c>
    </row>
    <row r="414" spans="2:8">
      <c r="B414" s="346">
        <v>45897</v>
      </c>
      <c r="C414" s="350" t="s">
        <v>919</v>
      </c>
      <c r="D414" s="348">
        <v>1</v>
      </c>
      <c r="E414" s="348" t="s">
        <v>921</v>
      </c>
      <c r="F414" s="348">
        <v>1</v>
      </c>
      <c r="G414" s="351">
        <f t="shared" si="7"/>
        <v>0</v>
      </c>
      <c r="H414" t="s">
        <v>1177</v>
      </c>
    </row>
    <row r="415" spans="2:8">
      <c r="B415" s="346">
        <v>45897</v>
      </c>
      <c r="C415" s="350" t="s">
        <v>919</v>
      </c>
      <c r="D415" s="348">
        <v>1</v>
      </c>
      <c r="E415" s="348" t="s">
        <v>921</v>
      </c>
      <c r="F415" s="348">
        <v>1</v>
      </c>
      <c r="G415" s="351">
        <f t="shared" si="7"/>
        <v>0</v>
      </c>
    </row>
    <row r="416" spans="2:8">
      <c r="B416" s="346">
        <v>45897</v>
      </c>
      <c r="C416" s="349" t="s">
        <v>134</v>
      </c>
      <c r="D416" s="348">
        <v>3</v>
      </c>
      <c r="E416" s="348" t="s">
        <v>921</v>
      </c>
      <c r="F416" s="348">
        <v>3</v>
      </c>
      <c r="G416" s="351">
        <f t="shared" si="7"/>
        <v>0</v>
      </c>
    </row>
    <row r="417" spans="2:8">
      <c r="B417" s="346">
        <v>45897</v>
      </c>
      <c r="C417" s="349" t="s">
        <v>134</v>
      </c>
      <c r="D417" s="348">
        <v>1</v>
      </c>
      <c r="E417" s="348" t="s">
        <v>921</v>
      </c>
      <c r="F417" s="348">
        <v>1</v>
      </c>
      <c r="G417" s="351">
        <f t="shared" si="7"/>
        <v>0</v>
      </c>
    </row>
    <row r="418" spans="2:8">
      <c r="B418" s="346">
        <v>45897</v>
      </c>
      <c r="C418" s="349" t="s">
        <v>167</v>
      </c>
      <c r="D418" s="348">
        <v>1</v>
      </c>
      <c r="E418" s="348" t="s">
        <v>921</v>
      </c>
      <c r="F418" s="348">
        <v>1</v>
      </c>
      <c r="G418" s="351">
        <f t="shared" si="7"/>
        <v>0</v>
      </c>
    </row>
    <row r="419" spans="2:8">
      <c r="B419" s="346">
        <v>45897</v>
      </c>
      <c r="C419" s="347" t="s">
        <v>927</v>
      </c>
      <c r="D419" s="348">
        <v>2</v>
      </c>
      <c r="E419" s="348" t="s">
        <v>921</v>
      </c>
      <c r="F419" s="348">
        <v>2</v>
      </c>
      <c r="G419" s="351">
        <f t="shared" si="7"/>
        <v>0</v>
      </c>
    </row>
    <row r="420" spans="2:8">
      <c r="B420" s="346">
        <v>45897</v>
      </c>
      <c r="C420" s="427" t="s">
        <v>1176</v>
      </c>
      <c r="D420" s="348">
        <v>1</v>
      </c>
      <c r="E420" s="348" t="s">
        <v>921</v>
      </c>
      <c r="F420" s="348">
        <v>1</v>
      </c>
      <c r="G420" s="351">
        <f t="shared" si="7"/>
        <v>0</v>
      </c>
    </row>
    <row r="421" spans="2:8">
      <c r="B421" s="346">
        <v>45897</v>
      </c>
      <c r="C421" s="349" t="s">
        <v>920</v>
      </c>
      <c r="D421" s="348">
        <v>5</v>
      </c>
      <c r="E421" s="348" t="s">
        <v>921</v>
      </c>
      <c r="F421" s="348">
        <v>5</v>
      </c>
      <c r="G421" s="351">
        <f t="shared" si="7"/>
        <v>0</v>
      </c>
    </row>
    <row r="422" spans="2:8">
      <c r="B422" s="346">
        <v>45897</v>
      </c>
      <c r="C422" s="351" t="s">
        <v>932</v>
      </c>
      <c r="D422" s="348">
        <v>4</v>
      </c>
      <c r="E422" s="348" t="s">
        <v>921</v>
      </c>
      <c r="F422" s="348">
        <v>4</v>
      </c>
      <c r="G422" s="351">
        <f t="shared" si="7"/>
        <v>0</v>
      </c>
    </row>
    <row r="423" spans="2:8">
      <c r="B423" s="346">
        <v>45896</v>
      </c>
      <c r="C423" s="349" t="s">
        <v>936</v>
      </c>
      <c r="D423" s="348">
        <v>1</v>
      </c>
      <c r="E423" s="348" t="s">
        <v>921</v>
      </c>
      <c r="F423" s="348">
        <v>1</v>
      </c>
      <c r="G423" s="351">
        <f t="shared" si="7"/>
        <v>0</v>
      </c>
      <c r="H423" s="314" t="s">
        <v>1179</v>
      </c>
    </row>
    <row r="424" spans="2:8">
      <c r="B424" s="346">
        <v>45896</v>
      </c>
      <c r="C424" s="349" t="s">
        <v>166</v>
      </c>
      <c r="D424" s="348">
        <v>1</v>
      </c>
      <c r="E424" s="348" t="s">
        <v>921</v>
      </c>
      <c r="F424" s="348">
        <v>1</v>
      </c>
      <c r="G424" s="351">
        <f t="shared" si="7"/>
        <v>0</v>
      </c>
    </row>
    <row r="425" spans="2:8">
      <c r="B425" s="346">
        <v>45896</v>
      </c>
      <c r="C425" s="351" t="s">
        <v>932</v>
      </c>
      <c r="D425" s="348">
        <v>1</v>
      </c>
      <c r="E425" s="348" t="s">
        <v>921</v>
      </c>
      <c r="F425" s="348">
        <v>1</v>
      </c>
      <c r="G425" s="351">
        <f t="shared" si="7"/>
        <v>0</v>
      </c>
    </row>
    <row r="426" spans="2:8">
      <c r="B426" s="437">
        <v>45898</v>
      </c>
      <c r="C426" s="222" t="s">
        <v>806</v>
      </c>
      <c r="D426" s="220">
        <v>1</v>
      </c>
      <c r="E426" s="220" t="s">
        <v>1180</v>
      </c>
      <c r="F426" s="220">
        <v>1</v>
      </c>
      <c r="G426" s="221">
        <f t="shared" si="7"/>
        <v>0</v>
      </c>
    </row>
    <row r="427" spans="2:8">
      <c r="B427" s="306">
        <v>45902</v>
      </c>
      <c r="C427" s="242" t="s">
        <v>410</v>
      </c>
      <c r="D427" s="240">
        <v>116</v>
      </c>
      <c r="E427" s="322" t="s">
        <v>682</v>
      </c>
      <c r="F427" s="240">
        <v>116</v>
      </c>
      <c r="G427" s="307">
        <f t="shared" si="7"/>
        <v>0</v>
      </c>
    </row>
    <row r="428" spans="2:8">
      <c r="B428" s="306">
        <v>45902</v>
      </c>
      <c r="C428" s="307" t="s">
        <v>1182</v>
      </c>
      <c r="D428" s="240">
        <v>1</v>
      </c>
      <c r="E428" s="322" t="s">
        <v>682</v>
      </c>
      <c r="F428" s="240">
        <v>1</v>
      </c>
      <c r="G428" s="307">
        <f t="shared" si="7"/>
        <v>0</v>
      </c>
    </row>
    <row r="429" spans="2:8">
      <c r="B429" s="306">
        <v>45902</v>
      </c>
      <c r="C429" s="307" t="s">
        <v>1183</v>
      </c>
      <c r="D429" s="240">
        <v>1</v>
      </c>
      <c r="E429" s="322" t="s">
        <v>682</v>
      </c>
      <c r="F429" s="240">
        <v>1</v>
      </c>
      <c r="G429" s="307">
        <f t="shared" si="7"/>
        <v>0</v>
      </c>
    </row>
    <row r="430" spans="2:8">
      <c r="B430" s="306">
        <v>45902</v>
      </c>
      <c r="C430" s="242" t="s">
        <v>856</v>
      </c>
      <c r="D430" s="240">
        <v>7</v>
      </c>
      <c r="E430" s="322" t="s">
        <v>682</v>
      </c>
      <c r="F430" s="240">
        <v>7</v>
      </c>
      <c r="G430" s="307">
        <f t="shared" si="7"/>
        <v>0</v>
      </c>
    </row>
    <row r="431" spans="2:8">
      <c r="B431" s="306">
        <v>45902</v>
      </c>
      <c r="C431" s="239" t="s">
        <v>383</v>
      </c>
      <c r="D431" s="240">
        <v>1</v>
      </c>
      <c r="E431" s="322" t="s">
        <v>682</v>
      </c>
      <c r="F431" s="240">
        <v>1</v>
      </c>
      <c r="G431" s="307">
        <f t="shared" si="7"/>
        <v>0</v>
      </c>
    </row>
    <row r="432" spans="2:8">
      <c r="B432" s="306">
        <v>45902</v>
      </c>
      <c r="C432" s="239" t="s">
        <v>806</v>
      </c>
      <c r="D432" s="240">
        <v>3</v>
      </c>
      <c r="E432" s="322" t="s">
        <v>682</v>
      </c>
      <c r="F432" s="240">
        <v>3</v>
      </c>
      <c r="G432" s="307">
        <f t="shared" si="7"/>
        <v>0</v>
      </c>
    </row>
    <row r="433" spans="2:7">
      <c r="B433" s="306">
        <v>45902</v>
      </c>
      <c r="C433" s="239" t="s">
        <v>807</v>
      </c>
      <c r="D433" s="240">
        <v>1</v>
      </c>
      <c r="E433" s="322" t="s">
        <v>682</v>
      </c>
      <c r="F433" s="240">
        <v>1</v>
      </c>
      <c r="G433" s="307">
        <f t="shared" si="7"/>
        <v>0</v>
      </c>
    </row>
    <row r="434" spans="2:7">
      <c r="B434" s="306">
        <v>45902</v>
      </c>
      <c r="C434" s="239" t="s">
        <v>154</v>
      </c>
      <c r="D434" s="240">
        <v>6</v>
      </c>
      <c r="E434" s="322" t="s">
        <v>682</v>
      </c>
      <c r="F434" s="240">
        <v>6</v>
      </c>
      <c r="G434" s="307">
        <f t="shared" si="7"/>
        <v>0</v>
      </c>
    </row>
    <row r="435" spans="2:7">
      <c r="B435" s="306">
        <v>45902</v>
      </c>
      <c r="C435" s="242" t="s">
        <v>135</v>
      </c>
      <c r="D435" s="240">
        <v>3</v>
      </c>
      <c r="E435" s="322" t="s">
        <v>682</v>
      </c>
      <c r="F435" s="240">
        <v>3</v>
      </c>
      <c r="G435" s="307">
        <f t="shared" si="7"/>
        <v>0</v>
      </c>
    </row>
    <row r="436" spans="2:7">
      <c r="B436" s="306">
        <v>45902</v>
      </c>
      <c r="C436" s="242" t="s">
        <v>919</v>
      </c>
      <c r="D436" s="240">
        <v>3</v>
      </c>
      <c r="E436" s="322" t="s">
        <v>682</v>
      </c>
      <c r="F436" s="240">
        <v>3</v>
      </c>
      <c r="G436" s="307">
        <f t="shared" si="7"/>
        <v>0</v>
      </c>
    </row>
    <row r="437" spans="2:7">
      <c r="B437" s="306">
        <v>45902</v>
      </c>
      <c r="C437" s="242" t="s">
        <v>923</v>
      </c>
      <c r="D437" s="240">
        <v>1</v>
      </c>
      <c r="E437" s="322" t="s">
        <v>682</v>
      </c>
      <c r="F437" s="240">
        <v>1</v>
      </c>
      <c r="G437" s="307">
        <f t="shared" si="7"/>
        <v>0</v>
      </c>
    </row>
    <row r="438" spans="2:7">
      <c r="B438" s="306">
        <v>45902</v>
      </c>
      <c r="C438" s="242" t="s">
        <v>1186</v>
      </c>
      <c r="D438" s="240">
        <v>1</v>
      </c>
      <c r="E438" s="322" t="s">
        <v>682</v>
      </c>
      <c r="F438" s="240">
        <v>1</v>
      </c>
      <c r="G438" s="307">
        <f t="shared" si="7"/>
        <v>0</v>
      </c>
    </row>
    <row r="439" spans="2:7">
      <c r="B439" s="306">
        <v>45902</v>
      </c>
      <c r="C439" s="307" t="s">
        <v>1148</v>
      </c>
      <c r="D439" s="240">
        <v>1</v>
      </c>
      <c r="E439" s="322" t="s">
        <v>682</v>
      </c>
      <c r="F439" s="240">
        <v>1</v>
      </c>
      <c r="G439" s="307">
        <f t="shared" si="7"/>
        <v>0</v>
      </c>
    </row>
    <row r="440" spans="2:7">
      <c r="B440" s="265">
        <v>45906</v>
      </c>
      <c r="C440" s="343" t="s">
        <v>76</v>
      </c>
      <c r="D440" s="43">
        <v>90</v>
      </c>
      <c r="E440" s="345" t="s">
        <v>1280</v>
      </c>
      <c r="F440" s="43">
        <v>90</v>
      </c>
      <c r="G440" s="104">
        <f t="shared" si="7"/>
        <v>0</v>
      </c>
    </row>
    <row r="441" spans="2:7">
      <c r="B441" s="437">
        <v>45906</v>
      </c>
      <c r="C441" s="222" t="s">
        <v>76</v>
      </c>
      <c r="D441" s="220">
        <v>10</v>
      </c>
      <c r="E441" s="220" t="s">
        <v>1219</v>
      </c>
      <c r="F441" s="220">
        <v>10</v>
      </c>
      <c r="G441" s="221">
        <f t="shared" si="7"/>
        <v>0</v>
      </c>
    </row>
    <row r="442" spans="2:7">
      <c r="B442" s="437">
        <v>45908</v>
      </c>
      <c r="C442" s="222" t="s">
        <v>76</v>
      </c>
      <c r="D442" s="220">
        <v>5</v>
      </c>
      <c r="E442" s="220" t="s">
        <v>1219</v>
      </c>
      <c r="F442" s="220">
        <v>5</v>
      </c>
      <c r="G442" s="221">
        <f t="shared" si="7"/>
        <v>0</v>
      </c>
    </row>
    <row r="443" spans="2:7">
      <c r="B443" s="437">
        <v>45908</v>
      </c>
      <c r="C443" s="222" t="s">
        <v>76</v>
      </c>
      <c r="D443" s="458">
        <v>15</v>
      </c>
      <c r="E443" s="220" t="s">
        <v>1219</v>
      </c>
      <c r="F443" s="458">
        <v>15</v>
      </c>
      <c r="G443" s="221">
        <f t="shared" si="7"/>
        <v>0</v>
      </c>
    </row>
    <row r="444" spans="2:7">
      <c r="B444" s="346">
        <v>45909</v>
      </c>
      <c r="C444" s="349" t="s">
        <v>1095</v>
      </c>
      <c r="D444" s="348">
        <v>1</v>
      </c>
      <c r="E444" s="348" t="s">
        <v>921</v>
      </c>
      <c r="F444" s="348">
        <v>1</v>
      </c>
      <c r="G444" s="351">
        <f t="shared" si="7"/>
        <v>0</v>
      </c>
    </row>
    <row r="445" spans="2:7">
      <c r="B445" s="346">
        <v>45909</v>
      </c>
      <c r="C445" s="347" t="s">
        <v>923</v>
      </c>
      <c r="D445" s="348">
        <v>1</v>
      </c>
      <c r="E445" s="348" t="s">
        <v>921</v>
      </c>
      <c r="F445" s="348">
        <v>1</v>
      </c>
      <c r="G445" s="351">
        <f t="shared" si="7"/>
        <v>0</v>
      </c>
    </row>
    <row r="446" spans="2:7">
      <c r="B446" s="346">
        <v>45909</v>
      </c>
      <c r="C446" s="349" t="s">
        <v>1220</v>
      </c>
      <c r="D446" s="348">
        <v>1</v>
      </c>
      <c r="E446" s="348" t="s">
        <v>921</v>
      </c>
      <c r="F446" s="348">
        <v>1</v>
      </c>
      <c r="G446" s="351">
        <f t="shared" si="7"/>
        <v>0</v>
      </c>
    </row>
    <row r="447" spans="2:7">
      <c r="B447" s="346">
        <v>45909</v>
      </c>
      <c r="C447" s="347" t="s">
        <v>134</v>
      </c>
      <c r="D447" s="348">
        <v>1</v>
      </c>
      <c r="E447" s="348" t="s">
        <v>921</v>
      </c>
      <c r="F447" s="348">
        <v>1</v>
      </c>
      <c r="G447" s="351">
        <f t="shared" si="7"/>
        <v>0</v>
      </c>
    </row>
    <row r="448" spans="2:7">
      <c r="B448" s="346">
        <v>45909</v>
      </c>
      <c r="C448" s="350" t="s">
        <v>928</v>
      </c>
      <c r="D448" s="348">
        <v>1</v>
      </c>
      <c r="E448" s="348" t="s">
        <v>921</v>
      </c>
      <c r="F448" s="348">
        <v>1</v>
      </c>
      <c r="G448" s="351">
        <f t="shared" si="7"/>
        <v>0</v>
      </c>
    </row>
    <row r="449" spans="2:8">
      <c r="B449" s="346">
        <v>45909</v>
      </c>
      <c r="C449" s="347" t="s">
        <v>134</v>
      </c>
      <c r="D449" s="348">
        <v>7</v>
      </c>
      <c r="E449" s="348" t="s">
        <v>921</v>
      </c>
      <c r="F449" s="348">
        <v>7</v>
      </c>
      <c r="G449" s="351">
        <f t="shared" si="7"/>
        <v>0</v>
      </c>
    </row>
    <row r="450" spans="2:8">
      <c r="B450" s="346">
        <v>45909</v>
      </c>
      <c r="C450" s="349" t="s">
        <v>167</v>
      </c>
      <c r="D450" s="348">
        <v>3</v>
      </c>
      <c r="E450" s="348" t="s">
        <v>921</v>
      </c>
      <c r="F450" s="348">
        <v>3</v>
      </c>
      <c r="G450" s="351">
        <f t="shared" si="7"/>
        <v>0</v>
      </c>
    </row>
    <row r="451" spans="2:8">
      <c r="B451" s="346">
        <v>45909</v>
      </c>
      <c r="C451" s="349" t="s">
        <v>166</v>
      </c>
      <c r="D451" s="348">
        <v>1</v>
      </c>
      <c r="E451" s="348" t="s">
        <v>921</v>
      </c>
      <c r="F451" s="348">
        <v>1</v>
      </c>
      <c r="G451" s="351">
        <f t="shared" si="7"/>
        <v>0</v>
      </c>
    </row>
    <row r="452" spans="2:8">
      <c r="B452" s="346">
        <v>45909</v>
      </c>
      <c r="C452" s="349" t="s">
        <v>973</v>
      </c>
      <c r="D452" s="348">
        <v>1</v>
      </c>
      <c r="E452" s="348" t="s">
        <v>921</v>
      </c>
      <c r="F452" s="348">
        <v>1</v>
      </c>
      <c r="G452" s="351">
        <f t="shared" si="7"/>
        <v>0</v>
      </c>
    </row>
    <row r="453" spans="2:8">
      <c r="B453" s="346">
        <v>45909</v>
      </c>
      <c r="C453" s="349" t="s">
        <v>167</v>
      </c>
      <c r="D453" s="348">
        <v>7</v>
      </c>
      <c r="E453" s="348" t="s">
        <v>921</v>
      </c>
      <c r="F453" s="348">
        <v>7</v>
      </c>
      <c r="G453" s="351">
        <f t="shared" si="7"/>
        <v>0</v>
      </c>
    </row>
    <row r="454" spans="2:8">
      <c r="B454" s="346">
        <v>45909</v>
      </c>
      <c r="C454" s="349" t="s">
        <v>166</v>
      </c>
      <c r="D454" s="348">
        <v>0</v>
      </c>
      <c r="E454" s="348" t="s">
        <v>921</v>
      </c>
      <c r="F454" s="348">
        <v>0</v>
      </c>
      <c r="G454" s="351">
        <f t="shared" si="7"/>
        <v>0</v>
      </c>
      <c r="H454" s="441" t="s">
        <v>1305</v>
      </c>
    </row>
    <row r="455" spans="2:8">
      <c r="B455" s="346">
        <v>45909</v>
      </c>
      <c r="C455" s="349" t="s">
        <v>166</v>
      </c>
      <c r="D455" s="348">
        <v>1</v>
      </c>
      <c r="E455" s="348" t="s">
        <v>921</v>
      </c>
      <c r="F455" s="348">
        <v>1</v>
      </c>
      <c r="G455" s="351">
        <f t="shared" si="7"/>
        <v>0</v>
      </c>
    </row>
    <row r="456" spans="2:8">
      <c r="B456" s="346">
        <v>45909</v>
      </c>
      <c r="C456" s="349" t="s">
        <v>973</v>
      </c>
      <c r="D456" s="348">
        <v>2</v>
      </c>
      <c r="E456" s="348" t="s">
        <v>921</v>
      </c>
      <c r="F456" s="348">
        <v>2</v>
      </c>
      <c r="G456" s="351">
        <f t="shared" si="7"/>
        <v>0</v>
      </c>
    </row>
    <row r="457" spans="2:8">
      <c r="B457" s="346">
        <v>45909</v>
      </c>
      <c r="C457" s="349" t="s">
        <v>167</v>
      </c>
      <c r="D457" s="348">
        <v>1</v>
      </c>
      <c r="E457" s="348" t="s">
        <v>921</v>
      </c>
      <c r="F457" s="348">
        <v>1</v>
      </c>
      <c r="G457" s="351">
        <f t="shared" si="7"/>
        <v>0</v>
      </c>
    </row>
    <row r="458" spans="2:8">
      <c r="B458" s="346">
        <v>45909</v>
      </c>
      <c r="C458" s="350" t="s">
        <v>930</v>
      </c>
      <c r="D458" s="348">
        <v>1</v>
      </c>
      <c r="E458" s="348" t="s">
        <v>921</v>
      </c>
      <c r="F458" s="348">
        <v>1</v>
      </c>
      <c r="G458" s="351">
        <f t="shared" si="7"/>
        <v>0</v>
      </c>
    </row>
    <row r="459" spans="2:8">
      <c r="B459" s="346">
        <v>45909</v>
      </c>
      <c r="C459" s="349" t="s">
        <v>920</v>
      </c>
      <c r="D459" s="348">
        <v>8</v>
      </c>
      <c r="E459" s="348" t="s">
        <v>921</v>
      </c>
      <c r="F459" s="348">
        <v>8</v>
      </c>
      <c r="G459" s="351">
        <f t="shared" si="7"/>
        <v>0</v>
      </c>
    </row>
    <row r="460" spans="2:8">
      <c r="B460" s="346">
        <v>45909</v>
      </c>
      <c r="C460" s="349" t="s">
        <v>920</v>
      </c>
      <c r="D460" s="348">
        <v>0</v>
      </c>
      <c r="E460" s="348" t="s">
        <v>921</v>
      </c>
      <c r="F460" s="348">
        <v>0</v>
      </c>
      <c r="G460" s="351">
        <f t="shared" si="7"/>
        <v>0</v>
      </c>
    </row>
    <row r="461" spans="2:8">
      <c r="B461" s="346">
        <v>45909</v>
      </c>
      <c r="C461" s="347" t="s">
        <v>919</v>
      </c>
      <c r="D461" s="348">
        <v>1</v>
      </c>
      <c r="E461" s="348" t="s">
        <v>921</v>
      </c>
      <c r="F461" s="348">
        <v>1</v>
      </c>
      <c r="G461" s="351">
        <f t="shared" si="7"/>
        <v>0</v>
      </c>
    </row>
    <row r="462" spans="2:8">
      <c r="B462" s="346">
        <v>45909</v>
      </c>
      <c r="C462" s="347" t="s">
        <v>134</v>
      </c>
      <c r="D462" s="348">
        <v>8</v>
      </c>
      <c r="E462" s="348" t="s">
        <v>921</v>
      </c>
      <c r="F462" s="348">
        <v>8</v>
      </c>
      <c r="G462" s="351">
        <f t="shared" si="7"/>
        <v>0</v>
      </c>
    </row>
    <row r="463" spans="2:8">
      <c r="B463" s="346">
        <v>45909</v>
      </c>
      <c r="C463" s="349" t="s">
        <v>166</v>
      </c>
      <c r="D463" s="348">
        <v>1</v>
      </c>
      <c r="E463" s="348" t="s">
        <v>921</v>
      </c>
      <c r="F463" s="348">
        <v>1</v>
      </c>
      <c r="G463" s="351">
        <f t="shared" si="7"/>
        <v>0</v>
      </c>
    </row>
    <row r="464" spans="2:8">
      <c r="B464" s="346">
        <v>45909</v>
      </c>
      <c r="C464" s="350" t="s">
        <v>928</v>
      </c>
      <c r="D464" s="348">
        <v>1</v>
      </c>
      <c r="E464" s="348" t="s">
        <v>921</v>
      </c>
      <c r="F464" s="348">
        <v>1</v>
      </c>
      <c r="G464" s="351">
        <f t="shared" si="7"/>
        <v>0</v>
      </c>
    </row>
    <row r="465" spans="2:7">
      <c r="B465" s="346">
        <v>45909</v>
      </c>
      <c r="C465" s="347" t="s">
        <v>134</v>
      </c>
      <c r="D465" s="348">
        <v>4</v>
      </c>
      <c r="E465" s="348" t="s">
        <v>921</v>
      </c>
      <c r="F465" s="348">
        <v>4</v>
      </c>
      <c r="G465" s="351">
        <f t="shared" si="7"/>
        <v>0</v>
      </c>
    </row>
    <row r="466" spans="2:7">
      <c r="B466" s="346">
        <v>45909</v>
      </c>
      <c r="C466" s="349" t="s">
        <v>166</v>
      </c>
      <c r="D466" s="348">
        <v>1</v>
      </c>
      <c r="E466" s="348" t="s">
        <v>921</v>
      </c>
      <c r="F466" s="348">
        <v>1</v>
      </c>
      <c r="G466" s="351">
        <f t="shared" si="7"/>
        <v>0</v>
      </c>
    </row>
    <row r="467" spans="2:7">
      <c r="B467" s="346">
        <v>45909</v>
      </c>
      <c r="C467" s="349" t="s">
        <v>167</v>
      </c>
      <c r="D467" s="348">
        <v>1</v>
      </c>
      <c r="E467" s="348" t="s">
        <v>921</v>
      </c>
      <c r="F467" s="348">
        <v>1</v>
      </c>
      <c r="G467" s="351">
        <f t="shared" si="7"/>
        <v>0</v>
      </c>
    </row>
    <row r="468" spans="2:7">
      <c r="B468" s="346">
        <v>45909</v>
      </c>
      <c r="C468" s="349" t="s">
        <v>166</v>
      </c>
      <c r="D468" s="348">
        <v>2</v>
      </c>
      <c r="E468" s="348" t="s">
        <v>921</v>
      </c>
      <c r="F468" s="348">
        <v>2</v>
      </c>
      <c r="G468" s="351">
        <f t="shared" si="7"/>
        <v>0</v>
      </c>
    </row>
    <row r="469" spans="2:7">
      <c r="B469" s="346">
        <v>45909</v>
      </c>
      <c r="C469" s="349" t="s">
        <v>920</v>
      </c>
      <c r="D469" s="348">
        <v>3</v>
      </c>
      <c r="E469" s="348" t="s">
        <v>921</v>
      </c>
      <c r="F469" s="348">
        <v>3</v>
      </c>
      <c r="G469" s="351">
        <f t="shared" si="7"/>
        <v>0</v>
      </c>
    </row>
    <row r="470" spans="2:7">
      <c r="B470" s="346">
        <v>45909</v>
      </c>
      <c r="C470" s="349" t="s">
        <v>920</v>
      </c>
      <c r="D470" s="348">
        <v>0</v>
      </c>
      <c r="E470" s="348" t="s">
        <v>921</v>
      </c>
      <c r="F470" s="348">
        <v>0</v>
      </c>
      <c r="G470" s="351">
        <f t="shared" si="7"/>
        <v>0</v>
      </c>
    </row>
    <row r="471" spans="2:7">
      <c r="B471" s="346">
        <v>45909</v>
      </c>
      <c r="C471" s="351" t="s">
        <v>932</v>
      </c>
      <c r="D471" s="348">
        <v>3</v>
      </c>
      <c r="E471" s="348" t="s">
        <v>921</v>
      </c>
      <c r="F471" s="348">
        <v>3</v>
      </c>
      <c r="G471" s="351">
        <f t="shared" si="7"/>
        <v>0</v>
      </c>
    </row>
    <row r="472" spans="2:7">
      <c r="G472" s="344">
        <f t="shared" si="7"/>
        <v>0</v>
      </c>
    </row>
    <row r="473" spans="2:7">
      <c r="B473" s="323">
        <v>45908</v>
      </c>
      <c r="C473" s="451" t="s">
        <v>807</v>
      </c>
      <c r="D473" s="322">
        <v>2</v>
      </c>
      <c r="E473" s="322" t="s">
        <v>682</v>
      </c>
      <c r="F473" s="322">
        <v>2</v>
      </c>
      <c r="G473" s="425">
        <f t="shared" ref="G473:G489" si="8">D473-F473</f>
        <v>0</v>
      </c>
    </row>
    <row r="474" spans="2:7">
      <c r="B474" s="323">
        <v>45908</v>
      </c>
      <c r="C474" s="452" t="s">
        <v>1182</v>
      </c>
      <c r="D474" s="322">
        <v>1</v>
      </c>
      <c r="E474" s="322" t="s">
        <v>682</v>
      </c>
      <c r="F474" s="322">
        <v>1</v>
      </c>
      <c r="G474" s="425">
        <f t="shared" si="8"/>
        <v>0</v>
      </c>
    </row>
    <row r="475" spans="2:7">
      <c r="B475" s="323">
        <v>45908</v>
      </c>
      <c r="C475" s="453" t="s">
        <v>410</v>
      </c>
      <c r="D475" s="322">
        <v>4</v>
      </c>
      <c r="E475" s="322" t="s">
        <v>682</v>
      </c>
      <c r="F475" s="322">
        <v>4</v>
      </c>
      <c r="G475" s="425">
        <f t="shared" si="8"/>
        <v>0</v>
      </c>
    </row>
    <row r="476" spans="2:7">
      <c r="B476" s="323">
        <v>45908</v>
      </c>
      <c r="C476" s="453" t="s">
        <v>131</v>
      </c>
      <c r="D476" s="322">
        <v>12</v>
      </c>
      <c r="E476" s="322" t="s">
        <v>682</v>
      </c>
      <c r="F476" s="322">
        <v>12</v>
      </c>
      <c r="G476" s="425">
        <f t="shared" si="8"/>
        <v>0</v>
      </c>
    </row>
    <row r="477" spans="2:7">
      <c r="B477" s="323">
        <v>45908</v>
      </c>
      <c r="C477" s="453" t="s">
        <v>919</v>
      </c>
      <c r="D477" s="322">
        <v>4</v>
      </c>
      <c r="E477" s="322" t="s">
        <v>682</v>
      </c>
      <c r="F477" s="322">
        <v>4</v>
      </c>
      <c r="G477" s="425">
        <f t="shared" si="8"/>
        <v>0</v>
      </c>
    </row>
    <row r="478" spans="2:7">
      <c r="B478" s="323">
        <v>45908</v>
      </c>
      <c r="C478" s="453" t="s">
        <v>919</v>
      </c>
      <c r="D478" s="322">
        <v>4</v>
      </c>
      <c r="E478" s="322" t="s">
        <v>682</v>
      </c>
      <c r="F478" s="322">
        <v>4</v>
      </c>
      <c r="G478" s="425">
        <f t="shared" si="8"/>
        <v>0</v>
      </c>
    </row>
    <row r="479" spans="2:7">
      <c r="B479" s="323">
        <v>45908</v>
      </c>
      <c r="C479" s="453" t="s">
        <v>135</v>
      </c>
      <c r="D479" s="322">
        <v>1</v>
      </c>
      <c r="E479" s="322" t="s">
        <v>682</v>
      </c>
      <c r="F479" s="322">
        <v>1</v>
      </c>
      <c r="G479" s="425">
        <f t="shared" si="8"/>
        <v>0</v>
      </c>
    </row>
    <row r="480" spans="2:7">
      <c r="B480" s="323">
        <v>45908</v>
      </c>
      <c r="C480" s="453" t="s">
        <v>135</v>
      </c>
      <c r="D480" s="322">
        <v>1</v>
      </c>
      <c r="E480" s="322" t="s">
        <v>682</v>
      </c>
      <c r="F480" s="322">
        <v>1</v>
      </c>
      <c r="G480" s="425">
        <f t="shared" si="8"/>
        <v>0</v>
      </c>
    </row>
    <row r="481" spans="2:8">
      <c r="B481" s="323">
        <v>45908</v>
      </c>
      <c r="C481" s="453" t="s">
        <v>137</v>
      </c>
      <c r="D481" s="322">
        <v>1</v>
      </c>
      <c r="E481" s="322" t="s">
        <v>682</v>
      </c>
      <c r="F481" s="322">
        <v>1</v>
      </c>
      <c r="G481" s="425">
        <f t="shared" si="8"/>
        <v>0</v>
      </c>
    </row>
    <row r="482" spans="2:8">
      <c r="B482" s="323">
        <v>45908</v>
      </c>
      <c r="C482" s="451" t="s">
        <v>1152</v>
      </c>
      <c r="D482" s="322">
        <v>1</v>
      </c>
      <c r="E482" s="322" t="s">
        <v>682</v>
      </c>
      <c r="F482" s="322">
        <v>1</v>
      </c>
      <c r="G482" s="425">
        <f t="shared" si="8"/>
        <v>0</v>
      </c>
    </row>
    <row r="483" spans="2:8">
      <c r="B483" s="323">
        <v>45908</v>
      </c>
      <c r="C483" s="451" t="s">
        <v>1095</v>
      </c>
      <c r="D483" s="322">
        <v>1</v>
      </c>
      <c r="E483" s="322" t="s">
        <v>682</v>
      </c>
      <c r="F483" s="322">
        <v>1</v>
      </c>
      <c r="G483" s="425">
        <f t="shared" si="8"/>
        <v>0</v>
      </c>
    </row>
    <row r="484" spans="2:8">
      <c r="B484" s="323">
        <v>45908</v>
      </c>
      <c r="C484" s="454" t="s">
        <v>1202</v>
      </c>
      <c r="D484" s="322">
        <v>1</v>
      </c>
      <c r="E484" s="322" t="s">
        <v>682</v>
      </c>
      <c r="F484" s="322">
        <v>1</v>
      </c>
      <c r="G484" s="425">
        <f t="shared" si="8"/>
        <v>0</v>
      </c>
    </row>
    <row r="485" spans="2:8">
      <c r="B485" s="323">
        <v>45908</v>
      </c>
      <c r="C485" s="453" t="s">
        <v>134</v>
      </c>
      <c r="D485" s="322">
        <v>9</v>
      </c>
      <c r="E485" s="322" t="s">
        <v>682</v>
      </c>
      <c r="F485" s="322">
        <v>9</v>
      </c>
      <c r="G485" s="425">
        <f t="shared" si="8"/>
        <v>0</v>
      </c>
    </row>
    <row r="486" spans="2:8">
      <c r="B486" s="323">
        <v>45908</v>
      </c>
      <c r="C486" s="455" t="s">
        <v>928</v>
      </c>
      <c r="D486" s="322">
        <v>2</v>
      </c>
      <c r="E486" s="322" t="s">
        <v>682</v>
      </c>
      <c r="F486" s="322">
        <v>2</v>
      </c>
      <c r="G486" s="425">
        <f t="shared" si="8"/>
        <v>0</v>
      </c>
    </row>
    <row r="487" spans="2:8">
      <c r="B487" s="323">
        <v>45908</v>
      </c>
      <c r="C487" s="453" t="s">
        <v>134</v>
      </c>
      <c r="D487" s="322">
        <v>1</v>
      </c>
      <c r="E487" s="322" t="s">
        <v>682</v>
      </c>
      <c r="F487" s="322">
        <v>1</v>
      </c>
      <c r="G487" s="425">
        <f t="shared" si="8"/>
        <v>0</v>
      </c>
    </row>
    <row r="488" spans="2:8">
      <c r="B488" s="323">
        <v>45908</v>
      </c>
      <c r="C488" s="451" t="s">
        <v>167</v>
      </c>
      <c r="D488" s="322">
        <v>1</v>
      </c>
      <c r="E488" s="322" t="s">
        <v>682</v>
      </c>
      <c r="F488" s="322">
        <v>1</v>
      </c>
      <c r="G488" s="425">
        <f t="shared" si="8"/>
        <v>0</v>
      </c>
    </row>
    <row r="489" spans="2:8">
      <c r="B489" s="323">
        <v>45908</v>
      </c>
      <c r="C489" s="451" t="s">
        <v>169</v>
      </c>
      <c r="D489" s="322">
        <v>2</v>
      </c>
      <c r="E489" s="322" t="s">
        <v>682</v>
      </c>
      <c r="F489" s="322">
        <v>2</v>
      </c>
      <c r="G489" s="425">
        <f t="shared" si="8"/>
        <v>0</v>
      </c>
    </row>
    <row r="490" spans="2:8">
      <c r="B490" s="471">
        <v>45908</v>
      </c>
      <c r="C490" s="478" t="s">
        <v>806</v>
      </c>
      <c r="D490" s="473">
        <v>3</v>
      </c>
      <c r="E490" s="473" t="s">
        <v>1233</v>
      </c>
      <c r="F490" s="473">
        <v>3</v>
      </c>
      <c r="G490" s="472">
        <f>D490-F490</f>
        <v>0</v>
      </c>
      <c r="H490" s="480"/>
    </row>
    <row r="491" spans="2:8">
      <c r="B491" s="471">
        <v>45908</v>
      </c>
      <c r="C491" s="479" t="s">
        <v>131</v>
      </c>
      <c r="D491" s="473">
        <v>1</v>
      </c>
      <c r="E491" s="473" t="s">
        <v>1233</v>
      </c>
      <c r="F491" s="473">
        <v>1</v>
      </c>
      <c r="G491" s="472">
        <f>D491-F491</f>
        <v>0</v>
      </c>
      <c r="H491" s="480"/>
    </row>
    <row r="492" spans="2:8">
      <c r="B492" s="471">
        <v>45906</v>
      </c>
      <c r="C492" s="475" t="s">
        <v>131</v>
      </c>
      <c r="D492" s="473">
        <v>1</v>
      </c>
      <c r="E492" s="473" t="s">
        <v>1233</v>
      </c>
      <c r="F492" s="473">
        <v>1</v>
      </c>
      <c r="G492" s="472">
        <f t="shared" ref="G492:G555" si="9">D492-F492</f>
        <v>0</v>
      </c>
      <c r="H492" s="314"/>
    </row>
    <row r="493" spans="2:8">
      <c r="B493" s="471">
        <v>45906</v>
      </c>
      <c r="C493" s="476" t="s">
        <v>134</v>
      </c>
      <c r="D493" s="473">
        <v>1</v>
      </c>
      <c r="E493" s="473" t="s">
        <v>1233</v>
      </c>
      <c r="F493" s="473">
        <v>1</v>
      </c>
      <c r="G493" s="472">
        <f t="shared" si="9"/>
        <v>0</v>
      </c>
      <c r="H493" s="314"/>
    </row>
    <row r="494" spans="2:8">
      <c r="B494" s="471">
        <v>45906</v>
      </c>
      <c r="C494" s="477" t="s">
        <v>1232</v>
      </c>
      <c r="D494" s="473">
        <v>1</v>
      </c>
      <c r="E494" s="473" t="s">
        <v>1233</v>
      </c>
      <c r="F494" s="473">
        <v>1</v>
      </c>
      <c r="G494" s="472">
        <f t="shared" si="9"/>
        <v>0</v>
      </c>
      <c r="H494" s="314"/>
    </row>
    <row r="495" spans="2:8">
      <c r="B495" s="265">
        <v>45916</v>
      </c>
      <c r="C495" s="341" t="s">
        <v>882</v>
      </c>
      <c r="D495" s="43">
        <v>14</v>
      </c>
      <c r="E495" s="345" t="s">
        <v>1281</v>
      </c>
      <c r="F495" s="43">
        <v>14</v>
      </c>
      <c r="G495" s="344">
        <f t="shared" si="9"/>
        <v>0</v>
      </c>
    </row>
    <row r="496" spans="2:8">
      <c r="B496" s="265">
        <v>45916</v>
      </c>
      <c r="C496" s="342" t="s">
        <v>477</v>
      </c>
      <c r="D496" s="43">
        <v>5</v>
      </c>
      <c r="E496" s="345" t="s">
        <v>1281</v>
      </c>
      <c r="F496" s="43">
        <v>5</v>
      </c>
      <c r="G496" s="344">
        <f t="shared" si="9"/>
        <v>0</v>
      </c>
    </row>
    <row r="497" spans="2:8">
      <c r="B497" s="265">
        <v>45916</v>
      </c>
      <c r="C497" s="341" t="s">
        <v>789</v>
      </c>
      <c r="D497" s="43">
        <v>11</v>
      </c>
      <c r="E497" s="345" t="s">
        <v>1281</v>
      </c>
      <c r="F497" s="43">
        <v>11</v>
      </c>
      <c r="G497" s="344">
        <f t="shared" si="9"/>
        <v>0</v>
      </c>
    </row>
    <row r="498" spans="2:8">
      <c r="B498" s="265">
        <v>45916</v>
      </c>
      <c r="C498" s="343" t="s">
        <v>1223</v>
      </c>
      <c r="D498" s="43">
        <v>15</v>
      </c>
      <c r="E498" s="345" t="s">
        <v>1281</v>
      </c>
      <c r="F498" s="43">
        <v>15</v>
      </c>
      <c r="G498" s="344">
        <f t="shared" si="9"/>
        <v>0</v>
      </c>
    </row>
    <row r="499" spans="2:8">
      <c r="B499" s="265">
        <v>45916</v>
      </c>
      <c r="C499" s="343" t="s">
        <v>1224</v>
      </c>
      <c r="D499" s="43">
        <v>10</v>
      </c>
      <c r="E499" s="345" t="s">
        <v>1281</v>
      </c>
      <c r="F499" s="43">
        <v>10</v>
      </c>
      <c r="G499" s="344">
        <f t="shared" si="9"/>
        <v>0</v>
      </c>
    </row>
    <row r="500" spans="2:8">
      <c r="B500" s="265">
        <v>45916</v>
      </c>
      <c r="C500" s="341" t="s">
        <v>881</v>
      </c>
      <c r="D500" s="43">
        <v>35</v>
      </c>
      <c r="E500" s="345" t="s">
        <v>1281</v>
      </c>
      <c r="F500" s="43">
        <v>35</v>
      </c>
      <c r="G500" s="344">
        <f t="shared" si="9"/>
        <v>0</v>
      </c>
    </row>
    <row r="501" spans="2:8">
      <c r="B501" s="265">
        <v>45916</v>
      </c>
      <c r="C501" s="343" t="s">
        <v>865</v>
      </c>
      <c r="D501" s="43">
        <v>9</v>
      </c>
      <c r="E501" s="345" t="s">
        <v>1281</v>
      </c>
      <c r="F501" s="43">
        <v>9</v>
      </c>
      <c r="G501" s="344">
        <f t="shared" si="9"/>
        <v>0</v>
      </c>
    </row>
    <row r="502" spans="2:8">
      <c r="B502" s="265">
        <v>45916</v>
      </c>
      <c r="C502" s="341" t="s">
        <v>671</v>
      </c>
      <c r="D502" s="43">
        <v>11</v>
      </c>
      <c r="E502" s="345" t="s">
        <v>1281</v>
      </c>
      <c r="F502" s="43">
        <v>11</v>
      </c>
      <c r="G502" s="344">
        <f t="shared" si="9"/>
        <v>0</v>
      </c>
    </row>
    <row r="503" spans="2:8">
      <c r="B503" s="265">
        <v>45916</v>
      </c>
      <c r="C503" s="343" t="s">
        <v>1221</v>
      </c>
      <c r="D503" s="43">
        <v>10</v>
      </c>
      <c r="E503" s="345" t="s">
        <v>1281</v>
      </c>
      <c r="F503" s="43">
        <v>10</v>
      </c>
      <c r="G503" s="344">
        <f t="shared" si="9"/>
        <v>0</v>
      </c>
    </row>
    <row r="504" spans="2:8">
      <c r="B504" s="265">
        <v>45916</v>
      </c>
      <c r="C504" s="344" t="s">
        <v>304</v>
      </c>
      <c r="D504" s="43">
        <v>50</v>
      </c>
      <c r="E504" s="345" t="s">
        <v>1281</v>
      </c>
      <c r="F504" s="43">
        <v>50</v>
      </c>
      <c r="G504" s="344">
        <f t="shared" si="9"/>
        <v>0</v>
      </c>
    </row>
    <row r="505" spans="2:8">
      <c r="B505" s="265">
        <v>45916</v>
      </c>
      <c r="C505" s="343" t="s">
        <v>1222</v>
      </c>
      <c r="D505" s="43">
        <v>10</v>
      </c>
      <c r="E505" s="345" t="s">
        <v>1281</v>
      </c>
      <c r="F505" s="43">
        <v>10</v>
      </c>
      <c r="G505" s="344">
        <f t="shared" si="9"/>
        <v>0</v>
      </c>
    </row>
    <row r="506" spans="2:8">
      <c r="B506" s="265">
        <v>45916</v>
      </c>
      <c r="C506" s="341" t="s">
        <v>84</v>
      </c>
      <c r="D506" s="43">
        <v>2</v>
      </c>
      <c r="E506" s="345" t="s">
        <v>1281</v>
      </c>
      <c r="F506" s="43">
        <v>2</v>
      </c>
      <c r="G506" s="344">
        <f t="shared" si="9"/>
        <v>0</v>
      </c>
    </row>
    <row r="507" spans="2:8">
      <c r="B507" s="265">
        <v>45916</v>
      </c>
      <c r="C507" s="341" t="s">
        <v>76</v>
      </c>
      <c r="D507" s="43">
        <v>140</v>
      </c>
      <c r="E507" s="345" t="s">
        <v>1281</v>
      </c>
      <c r="F507" s="43">
        <v>140</v>
      </c>
      <c r="G507" s="344">
        <f t="shared" si="9"/>
        <v>0</v>
      </c>
    </row>
    <row r="508" spans="2:8">
      <c r="B508" s="265">
        <v>45916</v>
      </c>
      <c r="C508" s="93" t="s">
        <v>121</v>
      </c>
      <c r="D508" s="43">
        <v>3</v>
      </c>
      <c r="E508" s="345" t="s">
        <v>1281</v>
      </c>
      <c r="F508" s="43">
        <v>3</v>
      </c>
      <c r="G508" s="344">
        <f t="shared" si="9"/>
        <v>0</v>
      </c>
    </row>
    <row r="509" spans="2:8">
      <c r="B509" s="265">
        <v>45916</v>
      </c>
      <c r="C509" s="93" t="s">
        <v>154</v>
      </c>
      <c r="D509" s="43">
        <v>2</v>
      </c>
      <c r="E509" s="345" t="s">
        <v>1281</v>
      </c>
      <c r="F509" s="43">
        <v>2</v>
      </c>
      <c r="G509" s="344">
        <f t="shared" si="9"/>
        <v>0</v>
      </c>
    </row>
    <row r="510" spans="2:8">
      <c r="B510" s="265">
        <v>45916</v>
      </c>
      <c r="C510" s="341" t="s">
        <v>672</v>
      </c>
      <c r="D510" s="43">
        <v>5</v>
      </c>
      <c r="E510" s="345" t="s">
        <v>1281</v>
      </c>
      <c r="F510" s="43">
        <v>5</v>
      </c>
      <c r="G510" s="344">
        <f t="shared" si="9"/>
        <v>0</v>
      </c>
    </row>
    <row r="511" spans="2:8">
      <c r="B511" s="346">
        <v>45914</v>
      </c>
      <c r="C511" s="349" t="s">
        <v>1096</v>
      </c>
      <c r="D511" s="348">
        <v>1</v>
      </c>
      <c r="E511" s="348" t="s">
        <v>921</v>
      </c>
      <c r="F511" s="348">
        <v>1</v>
      </c>
      <c r="G511" s="351">
        <f t="shared" si="9"/>
        <v>0</v>
      </c>
      <c r="H511" t="s">
        <v>1239</v>
      </c>
    </row>
    <row r="512" spans="2:8">
      <c r="B512" s="346">
        <v>45914</v>
      </c>
      <c r="C512" s="349" t="s">
        <v>1095</v>
      </c>
      <c r="D512" s="348">
        <v>3</v>
      </c>
      <c r="E512" s="348" t="s">
        <v>921</v>
      </c>
      <c r="F512" s="348">
        <v>3</v>
      </c>
      <c r="G512" s="351">
        <f t="shared" si="9"/>
        <v>0</v>
      </c>
    </row>
    <row r="513" spans="2:7">
      <c r="B513" s="346">
        <v>45914</v>
      </c>
      <c r="C513" s="347" t="s">
        <v>135</v>
      </c>
      <c r="D513" s="348">
        <v>4</v>
      </c>
      <c r="E513" s="348" t="s">
        <v>921</v>
      </c>
      <c r="F513" s="348">
        <v>4</v>
      </c>
      <c r="G513" s="351">
        <f t="shared" si="9"/>
        <v>0</v>
      </c>
    </row>
    <row r="514" spans="2:7">
      <c r="B514" s="346">
        <v>45914</v>
      </c>
      <c r="C514" s="347" t="s">
        <v>919</v>
      </c>
      <c r="D514" s="348">
        <v>2</v>
      </c>
      <c r="E514" s="348" t="s">
        <v>921</v>
      </c>
      <c r="F514" s="348">
        <v>2</v>
      </c>
      <c r="G514" s="351">
        <f t="shared" si="9"/>
        <v>0</v>
      </c>
    </row>
    <row r="515" spans="2:7">
      <c r="B515" s="346">
        <v>45914</v>
      </c>
      <c r="C515" s="347" t="s">
        <v>134</v>
      </c>
      <c r="D515" s="348">
        <v>5</v>
      </c>
      <c r="E515" s="348" t="s">
        <v>921</v>
      </c>
      <c r="F515" s="348">
        <v>5</v>
      </c>
      <c r="G515" s="351">
        <f t="shared" si="9"/>
        <v>0</v>
      </c>
    </row>
    <row r="516" spans="2:7">
      <c r="B516" s="346">
        <v>45914</v>
      </c>
      <c r="C516" s="350" t="s">
        <v>928</v>
      </c>
      <c r="D516" s="348">
        <v>2</v>
      </c>
      <c r="E516" s="348" t="s">
        <v>921</v>
      </c>
      <c r="F516" s="348">
        <v>2</v>
      </c>
      <c r="G516" s="351">
        <f t="shared" si="9"/>
        <v>0</v>
      </c>
    </row>
    <row r="517" spans="2:7">
      <c r="B517" s="346">
        <v>45914</v>
      </c>
      <c r="C517" s="347" t="s">
        <v>134</v>
      </c>
      <c r="D517" s="348">
        <v>2</v>
      </c>
      <c r="E517" s="348" t="s">
        <v>921</v>
      </c>
      <c r="F517" s="348">
        <v>2</v>
      </c>
      <c r="G517" s="351">
        <f t="shared" si="9"/>
        <v>0</v>
      </c>
    </row>
    <row r="518" spans="2:7">
      <c r="B518" s="346">
        <v>45914</v>
      </c>
      <c r="C518" s="347" t="s">
        <v>134</v>
      </c>
      <c r="D518" s="348">
        <v>1</v>
      </c>
      <c r="E518" s="348" t="s">
        <v>921</v>
      </c>
      <c r="F518" s="348">
        <v>1</v>
      </c>
      <c r="G518" s="351">
        <f t="shared" si="9"/>
        <v>0</v>
      </c>
    </row>
    <row r="519" spans="2:7">
      <c r="B519" s="346">
        <v>45914</v>
      </c>
      <c r="C519" s="349" t="s">
        <v>167</v>
      </c>
      <c r="D519" s="348">
        <v>1</v>
      </c>
      <c r="E519" s="348" t="s">
        <v>921</v>
      </c>
      <c r="F519" s="348">
        <v>1</v>
      </c>
      <c r="G519" s="351">
        <f t="shared" si="9"/>
        <v>0</v>
      </c>
    </row>
    <row r="520" spans="2:7">
      <c r="B520" s="346">
        <v>45914</v>
      </c>
      <c r="C520" s="349" t="s">
        <v>166</v>
      </c>
      <c r="D520" s="348">
        <v>2</v>
      </c>
      <c r="E520" s="348" t="s">
        <v>921</v>
      </c>
      <c r="F520" s="348">
        <v>2</v>
      </c>
      <c r="G520" s="351">
        <f t="shared" si="9"/>
        <v>0</v>
      </c>
    </row>
    <row r="521" spans="2:7">
      <c r="B521" s="346">
        <v>45914</v>
      </c>
      <c r="C521" s="349" t="s">
        <v>167</v>
      </c>
      <c r="D521" s="348">
        <v>1</v>
      </c>
      <c r="E521" s="348" t="s">
        <v>921</v>
      </c>
      <c r="F521" s="348">
        <v>1</v>
      </c>
      <c r="G521" s="351">
        <f t="shared" si="9"/>
        <v>0</v>
      </c>
    </row>
    <row r="522" spans="2:7">
      <c r="B522" s="346">
        <v>45914</v>
      </c>
      <c r="C522" s="349" t="s">
        <v>166</v>
      </c>
      <c r="D522" s="348">
        <v>1</v>
      </c>
      <c r="E522" s="348" t="s">
        <v>921</v>
      </c>
      <c r="F522" s="348">
        <v>1</v>
      </c>
      <c r="G522" s="351">
        <f t="shared" si="9"/>
        <v>0</v>
      </c>
    </row>
    <row r="523" spans="2:7">
      <c r="B523" s="346">
        <v>45914</v>
      </c>
      <c r="C523" s="349" t="s">
        <v>166</v>
      </c>
      <c r="D523" s="348">
        <v>1</v>
      </c>
      <c r="E523" s="348" t="s">
        <v>921</v>
      </c>
      <c r="F523" s="348">
        <v>1</v>
      </c>
      <c r="G523" s="351">
        <f t="shared" si="9"/>
        <v>0</v>
      </c>
    </row>
    <row r="524" spans="2:7">
      <c r="B524" s="346">
        <v>45914</v>
      </c>
      <c r="C524" s="349" t="s">
        <v>166</v>
      </c>
      <c r="D524" s="348">
        <v>1</v>
      </c>
      <c r="E524" s="348" t="s">
        <v>921</v>
      </c>
      <c r="F524" s="348">
        <v>1</v>
      </c>
      <c r="G524" s="351">
        <f t="shared" si="9"/>
        <v>0</v>
      </c>
    </row>
    <row r="525" spans="2:7">
      <c r="B525" s="346">
        <v>45914</v>
      </c>
      <c r="C525" s="350" t="s">
        <v>930</v>
      </c>
      <c r="D525" s="348">
        <v>1</v>
      </c>
      <c r="E525" s="348" t="s">
        <v>921</v>
      </c>
      <c r="F525" s="348">
        <v>1</v>
      </c>
      <c r="G525" s="351">
        <f t="shared" si="9"/>
        <v>0</v>
      </c>
    </row>
    <row r="526" spans="2:7">
      <c r="B526" s="346">
        <v>45914</v>
      </c>
      <c r="C526" s="349" t="s">
        <v>920</v>
      </c>
      <c r="D526" s="348">
        <v>10</v>
      </c>
      <c r="E526" s="348" t="s">
        <v>921</v>
      </c>
      <c r="F526" s="348">
        <v>10</v>
      </c>
      <c r="G526" s="351">
        <f t="shared" si="9"/>
        <v>0</v>
      </c>
    </row>
    <row r="527" spans="2:7">
      <c r="B527" s="346">
        <v>45914</v>
      </c>
      <c r="C527" s="351" t="s">
        <v>932</v>
      </c>
      <c r="D527" s="348">
        <v>2</v>
      </c>
      <c r="E527" s="348" t="s">
        <v>921</v>
      </c>
      <c r="F527" s="348">
        <v>2</v>
      </c>
      <c r="G527" s="351">
        <f t="shared" si="9"/>
        <v>0</v>
      </c>
    </row>
    <row r="528" spans="2:7">
      <c r="B528" s="265">
        <v>45918</v>
      </c>
      <c r="C528" s="92" t="s">
        <v>76</v>
      </c>
      <c r="D528" s="43">
        <v>400</v>
      </c>
      <c r="E528" s="345" t="s">
        <v>1282</v>
      </c>
      <c r="F528" s="43">
        <v>400</v>
      </c>
      <c r="G528" s="344">
        <f t="shared" si="9"/>
        <v>0</v>
      </c>
    </row>
    <row r="529" spans="2:8">
      <c r="B529" s="265">
        <v>45918</v>
      </c>
      <c r="C529" s="93" t="s">
        <v>838</v>
      </c>
      <c r="D529" s="43">
        <v>1</v>
      </c>
      <c r="E529" s="345" t="s">
        <v>1282</v>
      </c>
      <c r="F529" s="43">
        <v>1</v>
      </c>
      <c r="G529" s="344">
        <f t="shared" si="9"/>
        <v>0</v>
      </c>
    </row>
    <row r="530" spans="2:8">
      <c r="B530" s="265">
        <v>45918</v>
      </c>
      <c r="C530" s="93" t="s">
        <v>839</v>
      </c>
      <c r="D530" s="43">
        <v>6</v>
      </c>
      <c r="E530" s="345" t="s">
        <v>1282</v>
      </c>
      <c r="F530" s="43">
        <v>6</v>
      </c>
      <c r="G530" s="344">
        <f t="shared" si="9"/>
        <v>0</v>
      </c>
    </row>
    <row r="531" spans="2:8">
      <c r="B531" s="265">
        <v>45918</v>
      </c>
      <c r="C531" s="92" t="s">
        <v>671</v>
      </c>
      <c r="D531" s="43">
        <v>7</v>
      </c>
      <c r="E531" s="345" t="s">
        <v>1282</v>
      </c>
      <c r="F531" s="43">
        <v>7</v>
      </c>
      <c r="G531" s="344">
        <f t="shared" si="9"/>
        <v>0</v>
      </c>
    </row>
    <row r="532" spans="2:8">
      <c r="B532" s="265">
        <v>45918</v>
      </c>
      <c r="C532" s="93" t="s">
        <v>121</v>
      </c>
      <c r="D532" s="43">
        <v>150</v>
      </c>
      <c r="E532" s="345" t="s">
        <v>1282</v>
      </c>
      <c r="F532" s="43">
        <v>150</v>
      </c>
      <c r="G532" s="344">
        <f t="shared" si="9"/>
        <v>0</v>
      </c>
    </row>
    <row r="533" spans="2:8">
      <c r="B533" s="335">
        <v>45920</v>
      </c>
      <c r="C533" s="343" t="s">
        <v>1246</v>
      </c>
      <c r="D533" s="345">
        <v>28</v>
      </c>
      <c r="E533" s="345" t="s">
        <v>1282</v>
      </c>
      <c r="F533" s="345">
        <v>28</v>
      </c>
      <c r="G533" s="344">
        <f t="shared" si="9"/>
        <v>0</v>
      </c>
    </row>
    <row r="534" spans="2:8">
      <c r="B534" s="484">
        <v>45920</v>
      </c>
      <c r="C534" s="486" t="s">
        <v>1246</v>
      </c>
      <c r="D534" s="486">
        <v>4</v>
      </c>
      <c r="E534" s="486" t="s">
        <v>1247</v>
      </c>
      <c r="F534" s="486">
        <v>4</v>
      </c>
      <c r="G534" s="486">
        <f t="shared" si="9"/>
        <v>0</v>
      </c>
    </row>
    <row r="535" spans="2:8">
      <c r="B535" s="335">
        <v>45920</v>
      </c>
      <c r="C535" s="343" t="s">
        <v>1249</v>
      </c>
      <c r="D535" s="345">
        <v>6</v>
      </c>
      <c r="E535" s="345" t="s">
        <v>1283</v>
      </c>
      <c r="F535" s="345">
        <v>6</v>
      </c>
      <c r="G535" s="344">
        <f t="shared" si="9"/>
        <v>0</v>
      </c>
    </row>
    <row r="536" spans="2:8">
      <c r="B536" s="437">
        <v>45924</v>
      </c>
      <c r="C536" s="222" t="s">
        <v>1246</v>
      </c>
      <c r="D536" s="220">
        <v>3</v>
      </c>
      <c r="E536" s="220" t="s">
        <v>1256</v>
      </c>
      <c r="F536" s="220">
        <v>3</v>
      </c>
      <c r="G536" s="221">
        <f t="shared" si="9"/>
        <v>0</v>
      </c>
    </row>
    <row r="537" spans="2:8">
      <c r="B537" s="346">
        <v>45926</v>
      </c>
      <c r="C537" s="347" t="s">
        <v>134</v>
      </c>
      <c r="D537" s="348">
        <v>2</v>
      </c>
      <c r="E537" s="348" t="s">
        <v>921</v>
      </c>
      <c r="F537" s="348">
        <v>2</v>
      </c>
      <c r="G537" s="351">
        <f t="shared" si="9"/>
        <v>0</v>
      </c>
      <c r="H537" t="s">
        <v>1257</v>
      </c>
    </row>
    <row r="538" spans="2:8">
      <c r="B538" s="346">
        <v>45926</v>
      </c>
      <c r="C538" s="347" t="s">
        <v>134</v>
      </c>
      <c r="D538" s="348">
        <v>3</v>
      </c>
      <c r="E538" s="348" t="s">
        <v>921</v>
      </c>
      <c r="F538" s="348">
        <v>3</v>
      </c>
      <c r="G538" s="351">
        <f t="shared" si="9"/>
        <v>0</v>
      </c>
    </row>
    <row r="539" spans="2:8">
      <c r="B539" s="346">
        <v>45926</v>
      </c>
      <c r="C539" s="347" t="s">
        <v>134</v>
      </c>
      <c r="D539" s="348">
        <v>7</v>
      </c>
      <c r="E539" s="348" t="s">
        <v>921</v>
      </c>
      <c r="F539" s="348">
        <v>7</v>
      </c>
      <c r="G539" s="351">
        <f t="shared" si="9"/>
        <v>0</v>
      </c>
    </row>
    <row r="540" spans="2:8">
      <c r="B540" s="346">
        <v>45926</v>
      </c>
      <c r="C540" s="347" t="s">
        <v>134</v>
      </c>
      <c r="D540" s="348">
        <v>4</v>
      </c>
      <c r="E540" s="348" t="s">
        <v>921</v>
      </c>
      <c r="F540" s="348">
        <v>4</v>
      </c>
      <c r="G540" s="351">
        <f t="shared" si="9"/>
        <v>0</v>
      </c>
    </row>
    <row r="541" spans="2:8">
      <c r="B541" s="346">
        <v>45926</v>
      </c>
      <c r="C541" s="349" t="s">
        <v>166</v>
      </c>
      <c r="D541" s="348">
        <v>1</v>
      </c>
      <c r="E541" s="348" t="s">
        <v>921</v>
      </c>
      <c r="F541" s="348">
        <v>1</v>
      </c>
      <c r="G541" s="351">
        <f t="shared" si="9"/>
        <v>0</v>
      </c>
    </row>
    <row r="542" spans="2:8">
      <c r="B542" s="346">
        <v>45926</v>
      </c>
      <c r="C542" s="349" t="s">
        <v>167</v>
      </c>
      <c r="D542" s="348">
        <v>4</v>
      </c>
      <c r="E542" s="348" t="s">
        <v>921</v>
      </c>
      <c r="F542" s="348">
        <v>4</v>
      </c>
      <c r="G542" s="351">
        <f t="shared" si="9"/>
        <v>0</v>
      </c>
    </row>
    <row r="543" spans="2:8">
      <c r="B543" s="346">
        <v>45926</v>
      </c>
      <c r="C543" s="349" t="s">
        <v>1176</v>
      </c>
      <c r="D543" s="348">
        <v>1</v>
      </c>
      <c r="E543" s="348" t="s">
        <v>921</v>
      </c>
      <c r="F543" s="348">
        <v>1</v>
      </c>
      <c r="G543" s="351">
        <f t="shared" si="9"/>
        <v>0</v>
      </c>
    </row>
    <row r="544" spans="2:8">
      <c r="B544" s="346">
        <v>45926</v>
      </c>
      <c r="C544" s="351" t="s">
        <v>932</v>
      </c>
      <c r="D544" s="348">
        <v>8</v>
      </c>
      <c r="E544" s="348" t="s">
        <v>921</v>
      </c>
      <c r="F544" s="348">
        <v>8</v>
      </c>
      <c r="G544" s="351">
        <f t="shared" si="9"/>
        <v>0</v>
      </c>
    </row>
    <row r="545" spans="2:8">
      <c r="B545" s="346">
        <v>45926</v>
      </c>
      <c r="C545" s="349" t="s">
        <v>1097</v>
      </c>
      <c r="D545" s="348">
        <v>1</v>
      </c>
      <c r="E545" s="348" t="s">
        <v>921</v>
      </c>
      <c r="F545" s="348">
        <v>1</v>
      </c>
      <c r="G545" s="351">
        <f t="shared" si="9"/>
        <v>0</v>
      </c>
    </row>
    <row r="546" spans="2:8">
      <c r="B546" s="346">
        <v>45926</v>
      </c>
      <c r="C546" s="349" t="s">
        <v>1095</v>
      </c>
      <c r="D546" s="348">
        <v>2</v>
      </c>
      <c r="E546" s="348" t="s">
        <v>921</v>
      </c>
      <c r="F546" s="348">
        <v>2</v>
      </c>
      <c r="G546" s="351">
        <f t="shared" si="9"/>
        <v>0</v>
      </c>
    </row>
    <row r="547" spans="2:8">
      <c r="B547" s="346">
        <v>45926</v>
      </c>
      <c r="C547" s="347" t="s">
        <v>135</v>
      </c>
      <c r="D547" s="348">
        <v>1</v>
      </c>
      <c r="E547" s="348" t="s">
        <v>921</v>
      </c>
      <c r="F547" s="348">
        <v>1</v>
      </c>
      <c r="G547" s="351">
        <f t="shared" si="9"/>
        <v>0</v>
      </c>
    </row>
    <row r="548" spans="2:8">
      <c r="B548" s="346">
        <v>45926</v>
      </c>
      <c r="C548" s="347" t="s">
        <v>919</v>
      </c>
      <c r="D548" s="348">
        <v>1</v>
      </c>
      <c r="E548" s="348" t="s">
        <v>921</v>
      </c>
      <c r="F548" s="348">
        <v>1</v>
      </c>
      <c r="G548" s="351">
        <f t="shared" si="9"/>
        <v>0</v>
      </c>
    </row>
    <row r="549" spans="2:8">
      <c r="B549" s="346">
        <v>45926</v>
      </c>
      <c r="C549" s="349" t="s">
        <v>1095</v>
      </c>
      <c r="D549" s="348">
        <v>1</v>
      </c>
      <c r="E549" s="348" t="s">
        <v>921</v>
      </c>
      <c r="F549" s="348">
        <v>1</v>
      </c>
      <c r="G549" s="351">
        <f t="shared" si="9"/>
        <v>0</v>
      </c>
      <c r="H549" t="s">
        <v>1258</v>
      </c>
    </row>
    <row r="550" spans="2:8">
      <c r="B550" s="346">
        <v>45926</v>
      </c>
      <c r="C550" s="347" t="s">
        <v>135</v>
      </c>
      <c r="D550" s="348">
        <v>1</v>
      </c>
      <c r="E550" s="348" t="s">
        <v>921</v>
      </c>
      <c r="F550" s="348">
        <v>1</v>
      </c>
      <c r="G550" s="351">
        <f t="shared" si="9"/>
        <v>0</v>
      </c>
    </row>
    <row r="551" spans="2:8">
      <c r="B551" s="346">
        <v>45926</v>
      </c>
      <c r="C551" s="347" t="s">
        <v>919</v>
      </c>
      <c r="D551" s="348">
        <v>1</v>
      </c>
      <c r="E551" s="348" t="s">
        <v>921</v>
      </c>
      <c r="F551" s="348">
        <v>1</v>
      </c>
      <c r="G551" s="351">
        <f t="shared" si="9"/>
        <v>0</v>
      </c>
    </row>
    <row r="552" spans="2:8">
      <c r="B552" s="346">
        <v>45926</v>
      </c>
      <c r="C552" s="347" t="s">
        <v>134</v>
      </c>
      <c r="D552" s="348">
        <v>1</v>
      </c>
      <c r="E552" s="348" t="s">
        <v>921</v>
      </c>
      <c r="F552" s="348">
        <v>1</v>
      </c>
      <c r="G552" s="351">
        <f t="shared" si="9"/>
        <v>0</v>
      </c>
    </row>
    <row r="553" spans="2:8">
      <c r="B553" s="346">
        <v>45926</v>
      </c>
      <c r="C553" s="347" t="s">
        <v>134</v>
      </c>
      <c r="D553" s="348">
        <v>6</v>
      </c>
      <c r="E553" s="348" t="s">
        <v>921</v>
      </c>
      <c r="F553" s="348">
        <v>6</v>
      </c>
      <c r="G553" s="351">
        <f t="shared" si="9"/>
        <v>0</v>
      </c>
    </row>
    <row r="554" spans="2:8">
      <c r="B554" s="346">
        <v>45926</v>
      </c>
      <c r="C554" s="350" t="s">
        <v>928</v>
      </c>
      <c r="D554" s="348">
        <v>1</v>
      </c>
      <c r="E554" s="348" t="s">
        <v>921</v>
      </c>
      <c r="F554" s="348">
        <v>1</v>
      </c>
      <c r="G554" s="351">
        <f t="shared" si="9"/>
        <v>0</v>
      </c>
    </row>
    <row r="555" spans="2:8">
      <c r="B555" s="346">
        <v>45926</v>
      </c>
      <c r="C555" s="349" t="s">
        <v>167</v>
      </c>
      <c r="D555" s="348">
        <v>3</v>
      </c>
      <c r="E555" s="348" t="s">
        <v>921</v>
      </c>
      <c r="F555" s="348">
        <v>3</v>
      </c>
      <c r="G555" s="351">
        <f t="shared" si="9"/>
        <v>0</v>
      </c>
    </row>
    <row r="556" spans="2:8">
      <c r="B556" s="346">
        <v>45926</v>
      </c>
      <c r="C556" s="349" t="s">
        <v>167</v>
      </c>
      <c r="D556" s="348">
        <v>2</v>
      </c>
      <c r="E556" s="348" t="s">
        <v>921</v>
      </c>
      <c r="F556" s="348">
        <v>2</v>
      </c>
      <c r="G556" s="351">
        <f t="shared" ref="G556:G576" si="10">D556-F556</f>
        <v>0</v>
      </c>
    </row>
    <row r="557" spans="2:8">
      <c r="B557" s="346">
        <v>45926</v>
      </c>
      <c r="C557" s="349" t="s">
        <v>166</v>
      </c>
      <c r="D557" s="348">
        <v>1</v>
      </c>
      <c r="E557" s="348" t="s">
        <v>921</v>
      </c>
      <c r="F557" s="348">
        <v>1</v>
      </c>
      <c r="G557" s="351">
        <f t="shared" si="10"/>
        <v>0</v>
      </c>
    </row>
    <row r="558" spans="2:8">
      <c r="B558" s="346">
        <v>45926</v>
      </c>
      <c r="C558" s="350" t="s">
        <v>931</v>
      </c>
      <c r="D558" s="348">
        <v>2</v>
      </c>
      <c r="E558" s="348" t="s">
        <v>921</v>
      </c>
      <c r="F558" s="348">
        <v>2</v>
      </c>
      <c r="G558" s="351">
        <f t="shared" si="10"/>
        <v>0</v>
      </c>
    </row>
    <row r="559" spans="2:8">
      <c r="B559" s="346">
        <v>45926</v>
      </c>
      <c r="C559" s="349" t="s">
        <v>920</v>
      </c>
      <c r="D559" s="348">
        <v>3</v>
      </c>
      <c r="E559" s="348" t="s">
        <v>921</v>
      </c>
      <c r="F559" s="348">
        <v>3</v>
      </c>
      <c r="G559" s="351">
        <f t="shared" si="10"/>
        <v>0</v>
      </c>
    </row>
    <row r="560" spans="2:8">
      <c r="B560" s="346">
        <v>45926</v>
      </c>
      <c r="C560" s="349" t="s">
        <v>1096</v>
      </c>
      <c r="D560" s="348">
        <v>1</v>
      </c>
      <c r="E560" s="348" t="s">
        <v>921</v>
      </c>
      <c r="F560" s="348">
        <v>1</v>
      </c>
      <c r="G560" s="351">
        <f t="shared" si="10"/>
        <v>0</v>
      </c>
      <c r="H560" t="s">
        <v>1260</v>
      </c>
    </row>
    <row r="561" spans="2:7">
      <c r="B561" s="346">
        <v>45926</v>
      </c>
      <c r="C561" s="427" t="s">
        <v>1259</v>
      </c>
      <c r="D561" s="348">
        <v>1</v>
      </c>
      <c r="E561" s="348" t="s">
        <v>921</v>
      </c>
      <c r="F561" s="348">
        <v>1</v>
      </c>
      <c r="G561" s="351">
        <f t="shared" si="10"/>
        <v>0</v>
      </c>
    </row>
    <row r="562" spans="2:7">
      <c r="B562" s="346">
        <v>45926</v>
      </c>
      <c r="C562" s="349" t="s">
        <v>976</v>
      </c>
      <c r="D562" s="348">
        <v>2</v>
      </c>
      <c r="E562" s="348" t="s">
        <v>921</v>
      </c>
      <c r="F562" s="348">
        <v>2</v>
      </c>
      <c r="G562" s="351">
        <f t="shared" si="10"/>
        <v>0</v>
      </c>
    </row>
    <row r="563" spans="2:7">
      <c r="B563" s="346">
        <v>45926</v>
      </c>
      <c r="C563" s="349" t="s">
        <v>1152</v>
      </c>
      <c r="D563" s="348">
        <v>2</v>
      </c>
      <c r="E563" s="348" t="s">
        <v>921</v>
      </c>
      <c r="F563" s="348">
        <v>2</v>
      </c>
      <c r="G563" s="351">
        <f t="shared" si="10"/>
        <v>0</v>
      </c>
    </row>
    <row r="564" spans="2:7">
      <c r="B564" s="346">
        <v>45926</v>
      </c>
      <c r="C564" s="347" t="s">
        <v>919</v>
      </c>
      <c r="D564" s="348">
        <v>2</v>
      </c>
      <c r="E564" s="348" t="s">
        <v>921</v>
      </c>
      <c r="F564" s="348">
        <v>2</v>
      </c>
      <c r="G564" s="351">
        <f t="shared" si="10"/>
        <v>0</v>
      </c>
    </row>
    <row r="565" spans="2:7">
      <c r="B565" s="346">
        <v>45926</v>
      </c>
      <c r="C565" s="347" t="s">
        <v>923</v>
      </c>
      <c r="D565" s="348">
        <v>1</v>
      </c>
      <c r="E565" s="348" t="s">
        <v>921</v>
      </c>
      <c r="F565" s="348">
        <v>1</v>
      </c>
      <c r="G565" s="351">
        <f t="shared" si="10"/>
        <v>0</v>
      </c>
    </row>
    <row r="566" spans="2:7">
      <c r="B566" s="346">
        <v>45926</v>
      </c>
      <c r="C566" s="347" t="s">
        <v>134</v>
      </c>
      <c r="D566" s="348">
        <v>2</v>
      </c>
      <c r="E566" s="348" t="s">
        <v>921</v>
      </c>
      <c r="F566" s="348">
        <v>2</v>
      </c>
      <c r="G566" s="351">
        <f t="shared" si="10"/>
        <v>0</v>
      </c>
    </row>
    <row r="567" spans="2:7">
      <c r="B567" s="346">
        <v>45926</v>
      </c>
      <c r="C567" s="347" t="s">
        <v>134</v>
      </c>
      <c r="D567" s="348">
        <v>5</v>
      </c>
      <c r="E567" s="348" t="s">
        <v>921</v>
      </c>
      <c r="F567" s="348">
        <v>5</v>
      </c>
      <c r="G567" s="351">
        <f t="shared" si="10"/>
        <v>0</v>
      </c>
    </row>
    <row r="568" spans="2:7">
      <c r="B568" s="346">
        <v>45926</v>
      </c>
      <c r="C568" s="347" t="s">
        <v>134</v>
      </c>
      <c r="D568" s="348">
        <v>3</v>
      </c>
      <c r="E568" s="348" t="s">
        <v>921</v>
      </c>
      <c r="F568" s="348">
        <v>3</v>
      </c>
      <c r="G568" s="351">
        <f t="shared" si="10"/>
        <v>0</v>
      </c>
    </row>
    <row r="569" spans="2:7">
      <c r="B569" s="346">
        <v>45926</v>
      </c>
      <c r="C569" s="349" t="s">
        <v>166</v>
      </c>
      <c r="D569" s="348">
        <v>2</v>
      </c>
      <c r="E569" s="348" t="s">
        <v>921</v>
      </c>
      <c r="F569" s="348">
        <v>2</v>
      </c>
      <c r="G569" s="351">
        <f t="shared" si="10"/>
        <v>0</v>
      </c>
    </row>
    <row r="570" spans="2:7">
      <c r="B570" s="346">
        <v>45926</v>
      </c>
      <c r="C570" s="349" t="s">
        <v>167</v>
      </c>
      <c r="D570" s="348">
        <v>1</v>
      </c>
      <c r="E570" s="348" t="s">
        <v>921</v>
      </c>
      <c r="F570" s="348">
        <v>1</v>
      </c>
      <c r="G570" s="351">
        <f t="shared" si="10"/>
        <v>0</v>
      </c>
    </row>
    <row r="571" spans="2:7">
      <c r="B571" s="346">
        <v>45926</v>
      </c>
      <c r="C571" s="349" t="s">
        <v>166</v>
      </c>
      <c r="D571" s="348">
        <v>2</v>
      </c>
      <c r="E571" s="348" t="s">
        <v>921</v>
      </c>
      <c r="F571" s="348">
        <v>2</v>
      </c>
      <c r="G571" s="351">
        <f t="shared" si="10"/>
        <v>0</v>
      </c>
    </row>
    <row r="572" spans="2:7">
      <c r="B572" s="346">
        <v>45926</v>
      </c>
      <c r="C572" s="349" t="s">
        <v>167</v>
      </c>
      <c r="D572" s="348">
        <v>1</v>
      </c>
      <c r="E572" s="348" t="s">
        <v>921</v>
      </c>
      <c r="F572" s="348">
        <v>1</v>
      </c>
      <c r="G572" s="351">
        <f t="shared" si="10"/>
        <v>0</v>
      </c>
    </row>
    <row r="573" spans="2:7">
      <c r="B573" s="346">
        <v>45926</v>
      </c>
      <c r="C573" s="349" t="s">
        <v>920</v>
      </c>
      <c r="D573" s="348">
        <v>4</v>
      </c>
      <c r="E573" s="348" t="s">
        <v>921</v>
      </c>
      <c r="F573" s="348">
        <v>4</v>
      </c>
      <c r="G573" s="351">
        <f t="shared" si="10"/>
        <v>0</v>
      </c>
    </row>
    <row r="574" spans="2:7">
      <c r="B574" s="335">
        <v>45927</v>
      </c>
      <c r="C574" s="343" t="s">
        <v>1246</v>
      </c>
      <c r="D574" s="345">
        <v>25</v>
      </c>
      <c r="E574" s="345" t="s">
        <v>1284</v>
      </c>
      <c r="F574" s="345">
        <v>25</v>
      </c>
      <c r="G574" s="344">
        <f t="shared" si="10"/>
        <v>0</v>
      </c>
    </row>
    <row r="575" spans="2:7">
      <c r="B575" s="335">
        <v>45927</v>
      </c>
      <c r="C575" s="343" t="s">
        <v>1246</v>
      </c>
      <c r="D575" s="345">
        <v>8</v>
      </c>
      <c r="E575" s="345" t="s">
        <v>1284</v>
      </c>
      <c r="F575" s="345">
        <v>8</v>
      </c>
      <c r="G575" s="344">
        <f t="shared" si="10"/>
        <v>0</v>
      </c>
    </row>
    <row r="576" spans="2:7">
      <c r="B576" s="335">
        <v>45927</v>
      </c>
      <c r="C576" s="343" t="s">
        <v>1271</v>
      </c>
      <c r="D576" s="345">
        <v>2</v>
      </c>
      <c r="E576" s="345" t="s">
        <v>1284</v>
      </c>
      <c r="F576" s="345">
        <v>2</v>
      </c>
      <c r="G576" s="344">
        <f t="shared" si="10"/>
        <v>0</v>
      </c>
    </row>
    <row r="577" spans="2:7">
      <c r="B577" s="346">
        <v>45926</v>
      </c>
      <c r="C577" s="347" t="s">
        <v>134</v>
      </c>
      <c r="D577" s="348">
        <v>1</v>
      </c>
      <c r="E577" s="348" t="s">
        <v>921</v>
      </c>
      <c r="F577" s="348">
        <v>1</v>
      </c>
      <c r="G577" s="351">
        <f t="shared" ref="G577:G640" si="11">D577-F577</f>
        <v>0</v>
      </c>
    </row>
    <row r="578" spans="2:7">
      <c r="B578" s="265">
        <v>45933</v>
      </c>
      <c r="C578" s="342" t="s">
        <v>134</v>
      </c>
      <c r="D578" s="345">
        <v>21</v>
      </c>
      <c r="E578" s="345" t="s">
        <v>1238</v>
      </c>
      <c r="F578" s="345">
        <v>21</v>
      </c>
      <c r="G578" s="344">
        <f t="shared" si="11"/>
        <v>0</v>
      </c>
    </row>
    <row r="579" spans="2:7">
      <c r="B579" s="265">
        <v>45933</v>
      </c>
      <c r="C579" s="342" t="s">
        <v>134</v>
      </c>
      <c r="D579" s="345">
        <v>7</v>
      </c>
      <c r="E579" s="345" t="s">
        <v>1238</v>
      </c>
      <c r="F579" s="345">
        <v>7</v>
      </c>
      <c r="G579" s="344">
        <f t="shared" si="11"/>
        <v>0</v>
      </c>
    </row>
    <row r="580" spans="2:7">
      <c r="B580" s="265">
        <v>45933</v>
      </c>
      <c r="C580" s="343" t="s">
        <v>166</v>
      </c>
      <c r="D580" s="345">
        <v>19</v>
      </c>
      <c r="E580" s="345" t="s">
        <v>1238</v>
      </c>
      <c r="F580" s="345">
        <v>19</v>
      </c>
      <c r="G580" s="344">
        <f t="shared" si="11"/>
        <v>0</v>
      </c>
    </row>
    <row r="581" spans="2:7">
      <c r="B581" s="265">
        <v>45933</v>
      </c>
      <c r="C581" s="343" t="s">
        <v>166</v>
      </c>
      <c r="D581" s="345">
        <v>1</v>
      </c>
      <c r="E581" s="345" t="s">
        <v>1238</v>
      </c>
      <c r="F581" s="345">
        <v>1</v>
      </c>
      <c r="G581" s="344">
        <f t="shared" si="11"/>
        <v>0</v>
      </c>
    </row>
    <row r="582" spans="2:7">
      <c r="B582" s="265">
        <v>45933</v>
      </c>
      <c r="C582" s="342" t="s">
        <v>135</v>
      </c>
      <c r="D582" s="345">
        <v>2</v>
      </c>
      <c r="E582" s="345" t="s">
        <v>1238</v>
      </c>
      <c r="F582" s="345">
        <v>2</v>
      </c>
      <c r="G582" s="344">
        <f t="shared" si="11"/>
        <v>0</v>
      </c>
    </row>
    <row r="583" spans="2:7">
      <c r="B583" s="346">
        <v>45930</v>
      </c>
      <c r="C583" s="347" t="s">
        <v>134</v>
      </c>
      <c r="D583" s="348">
        <v>3</v>
      </c>
      <c r="E583" s="348" t="s">
        <v>921</v>
      </c>
      <c r="F583" s="348">
        <v>3</v>
      </c>
      <c r="G583" s="351">
        <f t="shared" si="11"/>
        <v>0</v>
      </c>
    </row>
    <row r="584" spans="2:7">
      <c r="B584" s="346">
        <v>45930</v>
      </c>
      <c r="C584" s="347" t="s">
        <v>134</v>
      </c>
      <c r="D584" s="348">
        <v>2</v>
      </c>
      <c r="E584" s="348" t="s">
        <v>921</v>
      </c>
      <c r="F584" s="348">
        <v>2</v>
      </c>
      <c r="G584" s="351">
        <f t="shared" si="11"/>
        <v>0</v>
      </c>
    </row>
    <row r="585" spans="2:7">
      <c r="B585" s="346">
        <v>45930</v>
      </c>
      <c r="C585" s="347" t="s">
        <v>134</v>
      </c>
      <c r="D585" s="348">
        <v>5</v>
      </c>
      <c r="E585" s="348" t="s">
        <v>921</v>
      </c>
      <c r="F585" s="348">
        <v>5</v>
      </c>
      <c r="G585" s="351">
        <f t="shared" si="11"/>
        <v>0</v>
      </c>
    </row>
    <row r="586" spans="2:7">
      <c r="B586" s="346">
        <v>45930</v>
      </c>
      <c r="C586" s="350" t="s">
        <v>928</v>
      </c>
      <c r="D586" s="348">
        <v>3</v>
      </c>
      <c r="E586" s="348" t="s">
        <v>921</v>
      </c>
      <c r="F586" s="348">
        <v>3</v>
      </c>
      <c r="G586" s="351">
        <f t="shared" si="11"/>
        <v>0</v>
      </c>
    </row>
    <row r="587" spans="2:7">
      <c r="B587" s="346">
        <v>45930</v>
      </c>
      <c r="C587" s="347" t="s">
        <v>134</v>
      </c>
      <c r="D587" s="348">
        <v>6</v>
      </c>
      <c r="E587" s="348" t="s">
        <v>921</v>
      </c>
      <c r="F587" s="348">
        <v>6</v>
      </c>
      <c r="G587" s="351">
        <f t="shared" si="11"/>
        <v>0</v>
      </c>
    </row>
    <row r="588" spans="2:7">
      <c r="B588" s="346">
        <v>45930</v>
      </c>
      <c r="C588" s="350" t="s">
        <v>928</v>
      </c>
      <c r="D588" s="348">
        <v>1</v>
      </c>
      <c r="E588" s="348" t="s">
        <v>921</v>
      </c>
      <c r="F588" s="348">
        <v>1</v>
      </c>
      <c r="G588" s="351">
        <f t="shared" si="11"/>
        <v>0</v>
      </c>
    </row>
    <row r="589" spans="2:7">
      <c r="B589" s="346">
        <v>45930</v>
      </c>
      <c r="C589" s="349" t="s">
        <v>167</v>
      </c>
      <c r="D589" s="348">
        <v>2</v>
      </c>
      <c r="E589" s="348" t="s">
        <v>921</v>
      </c>
      <c r="F589" s="348">
        <v>2</v>
      </c>
      <c r="G589" s="351">
        <f t="shared" si="11"/>
        <v>0</v>
      </c>
    </row>
    <row r="590" spans="2:7">
      <c r="B590" s="346">
        <v>45930</v>
      </c>
      <c r="C590" s="349" t="s">
        <v>167</v>
      </c>
      <c r="D590" s="348">
        <v>2</v>
      </c>
      <c r="E590" s="348" t="s">
        <v>921</v>
      </c>
      <c r="F590" s="348">
        <v>2</v>
      </c>
      <c r="G590" s="351">
        <f t="shared" si="11"/>
        <v>0</v>
      </c>
    </row>
    <row r="591" spans="2:7">
      <c r="B591" s="346">
        <v>45930</v>
      </c>
      <c r="C591" s="349" t="s">
        <v>166</v>
      </c>
      <c r="D591" s="348">
        <v>1</v>
      </c>
      <c r="E591" s="348" t="s">
        <v>921</v>
      </c>
      <c r="F591" s="348">
        <v>1</v>
      </c>
      <c r="G591" s="351">
        <f t="shared" si="11"/>
        <v>0</v>
      </c>
    </row>
    <row r="592" spans="2:7">
      <c r="B592" s="346">
        <v>45930</v>
      </c>
      <c r="C592" s="349" t="s">
        <v>166</v>
      </c>
      <c r="D592" s="348">
        <v>2</v>
      </c>
      <c r="E592" s="348" t="s">
        <v>921</v>
      </c>
      <c r="F592" s="348">
        <v>2</v>
      </c>
      <c r="G592" s="351">
        <f t="shared" si="11"/>
        <v>0</v>
      </c>
    </row>
    <row r="593" spans="2:7">
      <c r="B593" s="346">
        <v>45930</v>
      </c>
      <c r="C593" s="349" t="s">
        <v>167</v>
      </c>
      <c r="D593" s="348">
        <v>3</v>
      </c>
      <c r="E593" s="348" t="s">
        <v>921</v>
      </c>
      <c r="F593" s="348">
        <v>3</v>
      </c>
      <c r="G593" s="351">
        <f t="shared" si="11"/>
        <v>0</v>
      </c>
    </row>
    <row r="594" spans="2:7">
      <c r="B594" s="346">
        <v>45930</v>
      </c>
      <c r="C594" s="349" t="s">
        <v>167</v>
      </c>
      <c r="D594" s="348">
        <v>3</v>
      </c>
      <c r="E594" s="348" t="s">
        <v>921</v>
      </c>
      <c r="F594" s="348">
        <v>3</v>
      </c>
      <c r="G594" s="351">
        <f t="shared" si="11"/>
        <v>0</v>
      </c>
    </row>
    <row r="595" spans="2:7">
      <c r="B595" s="346">
        <v>45930</v>
      </c>
      <c r="C595" s="349" t="s">
        <v>166</v>
      </c>
      <c r="D595" s="348">
        <v>1</v>
      </c>
      <c r="E595" s="348" t="s">
        <v>921</v>
      </c>
      <c r="F595" s="348">
        <v>1</v>
      </c>
      <c r="G595" s="351">
        <f t="shared" si="11"/>
        <v>0</v>
      </c>
    </row>
    <row r="596" spans="2:7">
      <c r="B596" s="346">
        <v>45930</v>
      </c>
      <c r="C596" s="349" t="s">
        <v>920</v>
      </c>
      <c r="D596" s="348">
        <v>1</v>
      </c>
      <c r="E596" s="348" t="s">
        <v>921</v>
      </c>
      <c r="F596" s="348">
        <v>1</v>
      </c>
      <c r="G596" s="351">
        <f t="shared" si="11"/>
        <v>0</v>
      </c>
    </row>
    <row r="597" spans="2:7">
      <c r="B597" s="346">
        <v>45930</v>
      </c>
      <c r="C597" s="349" t="s">
        <v>1096</v>
      </c>
      <c r="D597" s="348">
        <v>1</v>
      </c>
      <c r="E597" s="348" t="s">
        <v>921</v>
      </c>
      <c r="F597" s="348">
        <v>1</v>
      </c>
      <c r="G597" s="351">
        <f t="shared" si="11"/>
        <v>0</v>
      </c>
    </row>
    <row r="598" spans="2:7">
      <c r="B598" s="346">
        <v>45930</v>
      </c>
      <c r="C598" s="347" t="s">
        <v>135</v>
      </c>
      <c r="D598" s="348">
        <v>1</v>
      </c>
      <c r="E598" s="348" t="s">
        <v>921</v>
      </c>
      <c r="F598" s="348">
        <v>1</v>
      </c>
      <c r="G598" s="351">
        <f t="shared" si="11"/>
        <v>0</v>
      </c>
    </row>
    <row r="599" spans="2:7">
      <c r="B599" s="346">
        <v>45930</v>
      </c>
      <c r="C599" s="349" t="s">
        <v>1095</v>
      </c>
      <c r="D599" s="348">
        <v>1</v>
      </c>
      <c r="E599" s="348" t="s">
        <v>921</v>
      </c>
      <c r="F599" s="348">
        <v>1</v>
      </c>
      <c r="G599" s="351">
        <f t="shared" si="11"/>
        <v>0</v>
      </c>
    </row>
    <row r="600" spans="2:7">
      <c r="B600" s="346">
        <v>45930</v>
      </c>
      <c r="C600" s="349" t="s">
        <v>976</v>
      </c>
      <c r="D600" s="348">
        <v>3</v>
      </c>
      <c r="E600" s="348" t="s">
        <v>921</v>
      </c>
      <c r="F600" s="348">
        <v>3</v>
      </c>
      <c r="G600" s="351">
        <f t="shared" si="11"/>
        <v>0</v>
      </c>
    </row>
    <row r="601" spans="2:7">
      <c r="B601" s="346">
        <v>45930</v>
      </c>
      <c r="C601" s="351" t="s">
        <v>932</v>
      </c>
      <c r="D601" s="348">
        <v>10</v>
      </c>
      <c r="E601" s="348" t="s">
        <v>921</v>
      </c>
      <c r="F601" s="348">
        <v>10</v>
      </c>
      <c r="G601" s="351">
        <f t="shared" si="11"/>
        <v>0</v>
      </c>
    </row>
    <row r="602" spans="2:7">
      <c r="B602" s="346">
        <v>45930</v>
      </c>
      <c r="C602" s="349" t="s">
        <v>1097</v>
      </c>
      <c r="D602" s="348">
        <v>1</v>
      </c>
      <c r="E602" s="348" t="s">
        <v>921</v>
      </c>
      <c r="F602" s="348">
        <v>1</v>
      </c>
      <c r="G602" s="351">
        <f t="shared" si="11"/>
        <v>0</v>
      </c>
    </row>
    <row r="603" spans="2:7">
      <c r="B603" s="265">
        <v>45931</v>
      </c>
      <c r="C603" s="343" t="s">
        <v>1270</v>
      </c>
      <c r="D603" s="43">
        <v>2</v>
      </c>
      <c r="E603" s="345" t="s">
        <v>1278</v>
      </c>
      <c r="F603" s="43">
        <v>2</v>
      </c>
      <c r="G603" s="344">
        <f t="shared" si="11"/>
        <v>0</v>
      </c>
    </row>
    <row r="604" spans="2:7">
      <c r="B604" s="265">
        <v>45931</v>
      </c>
      <c r="C604" s="342" t="s">
        <v>477</v>
      </c>
      <c r="D604" s="43">
        <v>5</v>
      </c>
      <c r="E604" s="345" t="s">
        <v>1278</v>
      </c>
      <c r="F604" s="43">
        <v>5</v>
      </c>
      <c r="G604" s="344">
        <f t="shared" si="11"/>
        <v>0</v>
      </c>
    </row>
    <row r="605" spans="2:7">
      <c r="B605" s="265">
        <v>45931</v>
      </c>
      <c r="C605" s="92" t="s">
        <v>642</v>
      </c>
      <c r="D605" s="43">
        <v>5</v>
      </c>
      <c r="E605" s="345" t="s">
        <v>1278</v>
      </c>
      <c r="F605" s="43">
        <v>5</v>
      </c>
      <c r="G605" s="344">
        <f t="shared" si="11"/>
        <v>0</v>
      </c>
    </row>
    <row r="606" spans="2:7">
      <c r="B606" s="323">
        <v>45932</v>
      </c>
      <c r="C606" s="425" t="s">
        <v>1151</v>
      </c>
      <c r="D606" s="322">
        <v>8</v>
      </c>
      <c r="E606" s="322" t="s">
        <v>682</v>
      </c>
      <c r="F606" s="322">
        <v>8</v>
      </c>
      <c r="G606" s="425">
        <f t="shared" si="11"/>
        <v>0</v>
      </c>
    </row>
    <row r="607" spans="2:7">
      <c r="B607" s="323">
        <v>45932</v>
      </c>
      <c r="C607" s="325" t="s">
        <v>1271</v>
      </c>
      <c r="D607" s="322">
        <v>1</v>
      </c>
      <c r="E607" s="322" t="s">
        <v>682</v>
      </c>
      <c r="F607" s="322">
        <v>1</v>
      </c>
      <c r="G607" s="425">
        <f t="shared" si="11"/>
        <v>0</v>
      </c>
    </row>
    <row r="608" spans="2:7">
      <c r="B608" s="323">
        <v>45932</v>
      </c>
      <c r="C608" s="325" t="s">
        <v>1301</v>
      </c>
      <c r="D608" s="322">
        <v>2</v>
      </c>
      <c r="E608" s="322" t="s">
        <v>682</v>
      </c>
      <c r="F608" s="322">
        <v>2</v>
      </c>
      <c r="G608" s="425">
        <f t="shared" si="11"/>
        <v>0</v>
      </c>
    </row>
    <row r="609" spans="2:7">
      <c r="B609" s="323">
        <v>45932</v>
      </c>
      <c r="C609" s="325" t="s">
        <v>1301</v>
      </c>
      <c r="D609" s="322">
        <v>4</v>
      </c>
      <c r="E609" s="322" t="s">
        <v>682</v>
      </c>
      <c r="F609" s="322">
        <v>4</v>
      </c>
      <c r="G609" s="425">
        <f t="shared" si="11"/>
        <v>0</v>
      </c>
    </row>
    <row r="610" spans="2:7">
      <c r="B610" s="323">
        <v>45932</v>
      </c>
      <c r="C610" s="325" t="s">
        <v>1246</v>
      </c>
      <c r="D610" s="322">
        <v>5</v>
      </c>
      <c r="E610" s="322" t="s">
        <v>682</v>
      </c>
      <c r="F610" s="322">
        <v>5</v>
      </c>
      <c r="G610" s="425">
        <f t="shared" si="11"/>
        <v>0</v>
      </c>
    </row>
    <row r="611" spans="2:7">
      <c r="B611" s="323">
        <v>45932</v>
      </c>
      <c r="C611" s="325" t="s">
        <v>1246</v>
      </c>
      <c r="D611" s="322">
        <v>1</v>
      </c>
      <c r="E611" s="322" t="s">
        <v>682</v>
      </c>
      <c r="F611" s="322">
        <v>1</v>
      </c>
      <c r="G611" s="425">
        <f t="shared" si="11"/>
        <v>0</v>
      </c>
    </row>
    <row r="612" spans="2:7">
      <c r="B612" s="323">
        <v>45932</v>
      </c>
      <c r="C612" s="325" t="s">
        <v>1249</v>
      </c>
      <c r="D612" s="322">
        <v>2</v>
      </c>
      <c r="E612" s="322" t="s">
        <v>682</v>
      </c>
      <c r="F612" s="322">
        <v>2</v>
      </c>
      <c r="G612" s="425">
        <f t="shared" si="11"/>
        <v>0</v>
      </c>
    </row>
    <row r="613" spans="2:7">
      <c r="B613" s="323">
        <v>45932</v>
      </c>
      <c r="C613" s="325" t="s">
        <v>1249</v>
      </c>
      <c r="D613" s="322">
        <v>4</v>
      </c>
      <c r="E613" s="322" t="s">
        <v>682</v>
      </c>
      <c r="F613" s="322">
        <v>4</v>
      </c>
      <c r="G613" s="425">
        <f t="shared" si="11"/>
        <v>0</v>
      </c>
    </row>
    <row r="614" spans="2:7">
      <c r="B614" s="323">
        <v>45932</v>
      </c>
      <c r="C614" s="325" t="s">
        <v>1289</v>
      </c>
      <c r="D614" s="322">
        <v>1</v>
      </c>
      <c r="E614" s="322" t="s">
        <v>682</v>
      </c>
      <c r="F614" s="322">
        <v>1</v>
      </c>
      <c r="G614" s="425">
        <f t="shared" si="11"/>
        <v>0</v>
      </c>
    </row>
    <row r="615" spans="2:7">
      <c r="B615" s="323">
        <v>45932</v>
      </c>
      <c r="C615" s="325" t="s">
        <v>1290</v>
      </c>
      <c r="D615" s="322">
        <v>1</v>
      </c>
      <c r="E615" s="322" t="s">
        <v>682</v>
      </c>
      <c r="F615" s="322">
        <v>1</v>
      </c>
      <c r="G615" s="425">
        <f t="shared" si="11"/>
        <v>0</v>
      </c>
    </row>
    <row r="616" spans="2:7">
      <c r="B616" s="323">
        <v>45932</v>
      </c>
      <c r="C616" s="325" t="s">
        <v>1291</v>
      </c>
      <c r="D616" s="322">
        <v>2</v>
      </c>
      <c r="E616" s="322" t="s">
        <v>682</v>
      </c>
      <c r="F616" s="322">
        <v>2</v>
      </c>
      <c r="G616" s="425">
        <f t="shared" si="11"/>
        <v>0</v>
      </c>
    </row>
    <row r="617" spans="2:7">
      <c r="B617" s="323">
        <v>45932</v>
      </c>
      <c r="C617" s="324" t="s">
        <v>131</v>
      </c>
      <c r="D617" s="322">
        <v>8</v>
      </c>
      <c r="E617" s="322" t="s">
        <v>682</v>
      </c>
      <c r="F617" s="322">
        <v>8</v>
      </c>
      <c r="G617" s="425">
        <f t="shared" si="11"/>
        <v>0</v>
      </c>
    </row>
    <row r="618" spans="2:7">
      <c r="B618" s="323">
        <v>45932</v>
      </c>
      <c r="C618" s="324" t="s">
        <v>960</v>
      </c>
      <c r="D618" s="322">
        <v>4</v>
      </c>
      <c r="E618" s="322" t="s">
        <v>682</v>
      </c>
      <c r="F618" s="322">
        <v>4</v>
      </c>
      <c r="G618" s="425">
        <f t="shared" si="11"/>
        <v>0</v>
      </c>
    </row>
    <row r="619" spans="2:7">
      <c r="B619" s="323">
        <v>45932</v>
      </c>
      <c r="C619" s="325" t="s">
        <v>1294</v>
      </c>
      <c r="D619" s="322">
        <v>1</v>
      </c>
      <c r="E619" s="322" t="s">
        <v>682</v>
      </c>
      <c r="F619" s="322">
        <v>1</v>
      </c>
      <c r="G619" s="425">
        <f t="shared" si="11"/>
        <v>0</v>
      </c>
    </row>
    <row r="620" spans="2:7">
      <c r="B620" s="323">
        <v>45932</v>
      </c>
      <c r="C620" s="324" t="s">
        <v>919</v>
      </c>
      <c r="D620" s="322">
        <v>1</v>
      </c>
      <c r="E620" s="322" t="s">
        <v>682</v>
      </c>
      <c r="F620" s="322">
        <v>1</v>
      </c>
      <c r="G620" s="425">
        <f t="shared" si="11"/>
        <v>0</v>
      </c>
    </row>
    <row r="621" spans="2:7">
      <c r="B621" s="323">
        <v>45932</v>
      </c>
      <c r="C621" s="325" t="s">
        <v>1296</v>
      </c>
      <c r="D621" s="322">
        <v>1</v>
      </c>
      <c r="E621" s="322" t="s">
        <v>682</v>
      </c>
      <c r="F621" s="322">
        <v>1</v>
      </c>
      <c r="G621" s="425">
        <f t="shared" si="11"/>
        <v>0</v>
      </c>
    </row>
    <row r="622" spans="2:7">
      <c r="B622" s="323">
        <v>45932</v>
      </c>
      <c r="C622" s="325" t="s">
        <v>1297</v>
      </c>
      <c r="D622" s="322">
        <v>2</v>
      </c>
      <c r="E622" s="322" t="s">
        <v>682</v>
      </c>
      <c r="F622" s="322">
        <v>2</v>
      </c>
      <c r="G622" s="425">
        <f t="shared" si="11"/>
        <v>0</v>
      </c>
    </row>
    <row r="623" spans="2:7">
      <c r="B623" s="323">
        <v>45932</v>
      </c>
      <c r="C623" s="325" t="s">
        <v>1302</v>
      </c>
      <c r="D623" s="322">
        <v>1</v>
      </c>
      <c r="E623" s="322" t="s">
        <v>682</v>
      </c>
      <c r="F623" s="322">
        <v>1</v>
      </c>
      <c r="G623" s="425">
        <f t="shared" si="11"/>
        <v>0</v>
      </c>
    </row>
    <row r="624" spans="2:7">
      <c r="B624" s="323">
        <v>45932</v>
      </c>
      <c r="C624" s="425" t="s">
        <v>1147</v>
      </c>
      <c r="D624" s="322">
        <v>1</v>
      </c>
      <c r="E624" s="322" t="s">
        <v>682</v>
      </c>
      <c r="F624" s="322">
        <v>1</v>
      </c>
      <c r="G624" s="425">
        <f t="shared" si="11"/>
        <v>0</v>
      </c>
    </row>
    <row r="625" spans="2:7">
      <c r="B625" s="323">
        <v>45932</v>
      </c>
      <c r="C625" s="325" t="s">
        <v>1299</v>
      </c>
      <c r="D625" s="322">
        <v>1</v>
      </c>
      <c r="E625" s="322" t="s">
        <v>682</v>
      </c>
      <c r="F625" s="322">
        <v>1</v>
      </c>
      <c r="G625" s="425">
        <f t="shared" si="11"/>
        <v>0</v>
      </c>
    </row>
    <row r="626" spans="2:7">
      <c r="B626" s="323">
        <v>45932</v>
      </c>
      <c r="C626" s="325" t="s">
        <v>1300</v>
      </c>
      <c r="D626" s="322">
        <v>1</v>
      </c>
      <c r="E626" s="322" t="s">
        <v>682</v>
      </c>
      <c r="F626" s="322">
        <v>1</v>
      </c>
      <c r="G626" s="425">
        <f t="shared" si="11"/>
        <v>0</v>
      </c>
    </row>
    <row r="627" spans="2:7">
      <c r="B627" s="471">
        <v>45932</v>
      </c>
      <c r="C627" s="472" t="s">
        <v>1095</v>
      </c>
      <c r="D627" s="473">
        <v>3</v>
      </c>
      <c r="E627" s="473" t="s">
        <v>1238</v>
      </c>
      <c r="F627" s="473">
        <v>3</v>
      </c>
      <c r="G627" s="472">
        <f t="shared" si="11"/>
        <v>0</v>
      </c>
    </row>
    <row r="628" spans="2:7">
      <c r="B628" s="471">
        <v>45932</v>
      </c>
      <c r="C628" s="472" t="s">
        <v>167</v>
      </c>
      <c r="D628" s="473">
        <v>1</v>
      </c>
      <c r="E628" s="473" t="s">
        <v>1238</v>
      </c>
      <c r="F628" s="473">
        <v>1</v>
      </c>
      <c r="G628" s="472">
        <f t="shared" si="11"/>
        <v>0</v>
      </c>
    </row>
    <row r="629" spans="2:7">
      <c r="B629" s="471">
        <v>45932</v>
      </c>
      <c r="C629" s="472" t="s">
        <v>166</v>
      </c>
      <c r="D629" s="473">
        <v>1</v>
      </c>
      <c r="E629" s="473" t="s">
        <v>1238</v>
      </c>
      <c r="F629" s="473">
        <v>1</v>
      </c>
      <c r="G629" s="472">
        <f t="shared" si="11"/>
        <v>0</v>
      </c>
    </row>
    <row r="630" spans="2:7">
      <c r="B630" s="471">
        <v>45932</v>
      </c>
      <c r="C630" s="476" t="s">
        <v>134</v>
      </c>
      <c r="D630" s="473">
        <v>6</v>
      </c>
      <c r="E630" s="473" t="s">
        <v>1238</v>
      </c>
      <c r="F630" s="473">
        <v>6</v>
      </c>
      <c r="G630" s="472">
        <f t="shared" si="11"/>
        <v>0</v>
      </c>
    </row>
    <row r="631" spans="2:7">
      <c r="B631" s="471">
        <v>45932</v>
      </c>
      <c r="C631" s="476" t="s">
        <v>134</v>
      </c>
      <c r="D631" s="473">
        <v>2</v>
      </c>
      <c r="E631" s="473" t="s">
        <v>1238</v>
      </c>
      <c r="F631" s="473">
        <v>2</v>
      </c>
      <c r="G631" s="472">
        <f t="shared" si="11"/>
        <v>0</v>
      </c>
    </row>
    <row r="632" spans="2:7">
      <c r="B632" s="471">
        <v>45932</v>
      </c>
      <c r="C632" s="476" t="s">
        <v>134</v>
      </c>
      <c r="D632" s="473">
        <v>2</v>
      </c>
      <c r="E632" s="473" t="s">
        <v>1238</v>
      </c>
      <c r="F632" s="473">
        <v>2</v>
      </c>
      <c r="G632" s="472">
        <f t="shared" si="11"/>
        <v>0</v>
      </c>
    </row>
    <row r="633" spans="2:7">
      <c r="B633" s="471">
        <v>45932</v>
      </c>
      <c r="C633" s="472" t="s">
        <v>1303</v>
      </c>
      <c r="D633" s="473">
        <v>6</v>
      </c>
      <c r="E633" s="473" t="s">
        <v>1238</v>
      </c>
      <c r="F633" s="473">
        <v>6</v>
      </c>
      <c r="G633" s="472">
        <f t="shared" si="11"/>
        <v>0</v>
      </c>
    </row>
    <row r="634" spans="2:7">
      <c r="B634" s="471">
        <v>45932</v>
      </c>
      <c r="C634" s="476" t="s">
        <v>931</v>
      </c>
      <c r="D634" s="473">
        <v>5</v>
      </c>
      <c r="E634" s="473" t="s">
        <v>1238</v>
      </c>
      <c r="F634" s="473">
        <v>5</v>
      </c>
      <c r="G634" s="472">
        <f t="shared" si="11"/>
        <v>0</v>
      </c>
    </row>
    <row r="635" spans="2:7">
      <c r="B635" s="471">
        <v>45932</v>
      </c>
      <c r="C635" s="476" t="s">
        <v>930</v>
      </c>
      <c r="D635" s="473">
        <v>4</v>
      </c>
      <c r="E635" s="473" t="s">
        <v>1238</v>
      </c>
      <c r="F635" s="473">
        <v>4</v>
      </c>
      <c r="G635" s="472">
        <f t="shared" si="11"/>
        <v>0</v>
      </c>
    </row>
    <row r="636" spans="2:7">
      <c r="B636" s="471">
        <v>45932</v>
      </c>
      <c r="C636" s="472" t="s">
        <v>920</v>
      </c>
      <c r="D636" s="473">
        <v>2</v>
      </c>
      <c r="E636" s="473" t="s">
        <v>1238</v>
      </c>
      <c r="F636" s="473">
        <v>2</v>
      </c>
      <c r="G636" s="472">
        <f t="shared" si="11"/>
        <v>0</v>
      </c>
    </row>
    <row r="637" spans="2:7">
      <c r="B637" s="471">
        <v>45932</v>
      </c>
      <c r="C637" s="472" t="s">
        <v>1096</v>
      </c>
      <c r="D637" s="473">
        <v>2</v>
      </c>
      <c r="E637" s="473" t="s">
        <v>1238</v>
      </c>
      <c r="F637" s="473">
        <v>2</v>
      </c>
      <c r="G637" s="472">
        <f t="shared" si="11"/>
        <v>0</v>
      </c>
    </row>
    <row r="638" spans="2:7">
      <c r="B638" s="323">
        <v>45933</v>
      </c>
      <c r="C638" s="325" t="s">
        <v>975</v>
      </c>
      <c r="D638" s="322">
        <v>13</v>
      </c>
      <c r="E638" s="322" t="s">
        <v>682</v>
      </c>
      <c r="F638" s="322">
        <v>13</v>
      </c>
      <c r="G638" s="425">
        <f t="shared" si="11"/>
        <v>0</v>
      </c>
    </row>
    <row r="639" spans="2:7">
      <c r="B639" s="323">
        <v>45933</v>
      </c>
      <c r="C639" s="325" t="s">
        <v>807</v>
      </c>
      <c r="D639" s="322">
        <v>4</v>
      </c>
      <c r="E639" s="322" t="s">
        <v>682</v>
      </c>
      <c r="F639" s="322">
        <v>4</v>
      </c>
      <c r="G639" s="425">
        <f t="shared" si="11"/>
        <v>0</v>
      </c>
    </row>
    <row r="640" spans="2:7">
      <c r="B640" s="323">
        <v>45933</v>
      </c>
      <c r="C640" s="325" t="s">
        <v>806</v>
      </c>
      <c r="D640" s="322">
        <v>9</v>
      </c>
      <c r="E640" s="322" t="s">
        <v>682</v>
      </c>
      <c r="F640" s="322">
        <v>9</v>
      </c>
      <c r="G640" s="425">
        <f t="shared" si="11"/>
        <v>0</v>
      </c>
    </row>
    <row r="641" spans="2:7">
      <c r="B641" s="323">
        <v>45933</v>
      </c>
      <c r="C641" s="324" t="s">
        <v>960</v>
      </c>
      <c r="D641" s="322">
        <v>25</v>
      </c>
      <c r="E641" s="322" t="s">
        <v>682</v>
      </c>
      <c r="F641" s="322">
        <v>25</v>
      </c>
      <c r="G641" s="425">
        <f t="shared" ref="G641:G704" si="12">D641-F641</f>
        <v>0</v>
      </c>
    </row>
    <row r="642" spans="2:7">
      <c r="B642" s="323">
        <v>45933</v>
      </c>
      <c r="C642" s="325" t="s">
        <v>808</v>
      </c>
      <c r="D642" s="322">
        <v>2</v>
      </c>
      <c r="E642" s="322" t="s">
        <v>682</v>
      </c>
      <c r="F642" s="322">
        <v>2</v>
      </c>
      <c r="G642" s="425">
        <f t="shared" si="12"/>
        <v>0</v>
      </c>
    </row>
    <row r="643" spans="2:7">
      <c r="B643" s="323">
        <v>45933</v>
      </c>
      <c r="C643" s="324" t="s">
        <v>131</v>
      </c>
      <c r="D643" s="322">
        <v>2</v>
      </c>
      <c r="E643" s="322" t="s">
        <v>682</v>
      </c>
      <c r="F643" s="322">
        <v>2</v>
      </c>
      <c r="G643" s="425">
        <f t="shared" si="12"/>
        <v>0</v>
      </c>
    </row>
    <row r="644" spans="2:7">
      <c r="B644" s="323">
        <v>45933</v>
      </c>
      <c r="C644" s="324" t="s">
        <v>131</v>
      </c>
      <c r="D644" s="322">
        <v>13</v>
      </c>
      <c r="E644" s="322" t="s">
        <v>682</v>
      </c>
      <c r="F644" s="322">
        <v>13</v>
      </c>
      <c r="G644" s="425">
        <f t="shared" si="12"/>
        <v>0</v>
      </c>
    </row>
    <row r="645" spans="2:7">
      <c r="B645" s="323">
        <v>45933</v>
      </c>
      <c r="C645" s="425" t="s">
        <v>1183</v>
      </c>
      <c r="D645" s="322">
        <v>6</v>
      </c>
      <c r="E645" s="322" t="s">
        <v>682</v>
      </c>
      <c r="F645" s="322">
        <v>6</v>
      </c>
      <c r="G645" s="425">
        <f t="shared" si="12"/>
        <v>0</v>
      </c>
    </row>
    <row r="646" spans="2:7">
      <c r="B646" s="323">
        <v>45936</v>
      </c>
      <c r="C646" s="325" t="s">
        <v>1318</v>
      </c>
      <c r="D646" s="322">
        <v>1</v>
      </c>
      <c r="E646" s="322" t="s">
        <v>682</v>
      </c>
      <c r="F646" s="322">
        <v>1</v>
      </c>
      <c r="G646" s="425">
        <f t="shared" si="12"/>
        <v>0</v>
      </c>
    </row>
    <row r="647" spans="2:7">
      <c r="B647" s="323">
        <v>45936</v>
      </c>
      <c r="C647" s="325" t="s">
        <v>169</v>
      </c>
      <c r="D647" s="322">
        <v>1</v>
      </c>
      <c r="E647" s="322" t="s">
        <v>682</v>
      </c>
      <c r="F647" s="322">
        <v>1</v>
      </c>
      <c r="G647" s="425">
        <f t="shared" si="12"/>
        <v>0</v>
      </c>
    </row>
    <row r="648" spans="2:7">
      <c r="B648" s="323">
        <v>45936</v>
      </c>
      <c r="C648" s="325" t="s">
        <v>167</v>
      </c>
      <c r="D648" s="322">
        <v>1</v>
      </c>
      <c r="E648" s="322" t="s">
        <v>682</v>
      </c>
      <c r="F648" s="322">
        <v>1</v>
      </c>
      <c r="G648" s="425">
        <f t="shared" si="12"/>
        <v>0</v>
      </c>
    </row>
    <row r="649" spans="2:7">
      <c r="B649" s="323">
        <v>45936</v>
      </c>
      <c r="C649" s="324" t="s">
        <v>134</v>
      </c>
      <c r="D649" s="322">
        <v>12</v>
      </c>
      <c r="E649" s="322" t="s">
        <v>682</v>
      </c>
      <c r="F649" s="322">
        <v>12</v>
      </c>
      <c r="G649" s="425">
        <f t="shared" si="12"/>
        <v>0</v>
      </c>
    </row>
    <row r="650" spans="2:7">
      <c r="B650" s="323">
        <v>45936</v>
      </c>
      <c r="C650" s="324" t="s">
        <v>134</v>
      </c>
      <c r="D650" s="322">
        <v>5</v>
      </c>
      <c r="E650" s="322" t="s">
        <v>682</v>
      </c>
      <c r="F650" s="322">
        <v>5</v>
      </c>
      <c r="G650" s="425">
        <f t="shared" si="12"/>
        <v>0</v>
      </c>
    </row>
    <row r="651" spans="2:7">
      <c r="B651" s="323">
        <v>45936</v>
      </c>
      <c r="C651" s="325" t="s">
        <v>1319</v>
      </c>
      <c r="D651" s="322">
        <v>1</v>
      </c>
      <c r="E651" s="322" t="s">
        <v>682</v>
      </c>
      <c r="F651" s="322">
        <v>1</v>
      </c>
      <c r="G651" s="425">
        <f t="shared" si="12"/>
        <v>0</v>
      </c>
    </row>
    <row r="652" spans="2:7">
      <c r="B652" s="323">
        <v>45936</v>
      </c>
      <c r="C652" s="325" t="s">
        <v>1307</v>
      </c>
      <c r="D652" s="322">
        <v>4</v>
      </c>
      <c r="E652" s="322" t="s">
        <v>682</v>
      </c>
      <c r="F652" s="322">
        <v>4</v>
      </c>
      <c r="G652" s="425">
        <f t="shared" si="12"/>
        <v>0</v>
      </c>
    </row>
    <row r="653" spans="2:7">
      <c r="B653" s="323">
        <v>45936</v>
      </c>
      <c r="C653" s="325" t="s">
        <v>976</v>
      </c>
      <c r="D653" s="322">
        <v>2</v>
      </c>
      <c r="E653" s="322" t="s">
        <v>682</v>
      </c>
      <c r="F653" s="322">
        <v>2</v>
      </c>
      <c r="G653" s="425">
        <f t="shared" si="12"/>
        <v>0</v>
      </c>
    </row>
    <row r="654" spans="2:7">
      <c r="B654" s="323">
        <v>45936</v>
      </c>
      <c r="C654" s="324" t="s">
        <v>131</v>
      </c>
      <c r="D654" s="322">
        <v>13</v>
      </c>
      <c r="E654" s="322" t="s">
        <v>682</v>
      </c>
      <c r="F654" s="322">
        <v>13</v>
      </c>
      <c r="G654" s="425">
        <f t="shared" si="12"/>
        <v>0</v>
      </c>
    </row>
    <row r="655" spans="2:7">
      <c r="B655" s="323">
        <v>45936</v>
      </c>
      <c r="C655" s="325" t="s">
        <v>1311</v>
      </c>
      <c r="D655" s="322">
        <v>15</v>
      </c>
      <c r="E655" s="322" t="s">
        <v>682</v>
      </c>
      <c r="F655" s="322">
        <v>15</v>
      </c>
      <c r="G655" s="425">
        <f t="shared" si="12"/>
        <v>0</v>
      </c>
    </row>
    <row r="656" spans="2:7">
      <c r="B656" s="323">
        <v>45936</v>
      </c>
      <c r="C656" s="325" t="s">
        <v>1296</v>
      </c>
      <c r="D656" s="322">
        <v>1</v>
      </c>
      <c r="E656" s="322" t="s">
        <v>682</v>
      </c>
      <c r="F656" s="322">
        <v>1</v>
      </c>
      <c r="G656" s="425">
        <f t="shared" si="12"/>
        <v>0</v>
      </c>
    </row>
    <row r="657" spans="2:8">
      <c r="B657" s="323">
        <v>45936</v>
      </c>
      <c r="C657" s="325" t="s">
        <v>1148</v>
      </c>
      <c r="D657" s="322">
        <v>1</v>
      </c>
      <c r="E657" s="322" t="s">
        <v>682</v>
      </c>
      <c r="F657" s="322">
        <v>1</v>
      </c>
      <c r="G657" s="425">
        <f t="shared" si="12"/>
        <v>0</v>
      </c>
    </row>
    <row r="658" spans="2:8">
      <c r="B658" s="323">
        <v>45936</v>
      </c>
      <c r="C658" s="325" t="s">
        <v>1147</v>
      </c>
      <c r="D658" s="322">
        <v>2</v>
      </c>
      <c r="E658" s="322" t="s">
        <v>682</v>
      </c>
      <c r="F658" s="322">
        <v>2</v>
      </c>
      <c r="G658" s="425">
        <f t="shared" si="12"/>
        <v>0</v>
      </c>
    </row>
    <row r="659" spans="2:8">
      <c r="B659" s="323">
        <v>45936</v>
      </c>
      <c r="C659" s="325" t="s">
        <v>136</v>
      </c>
      <c r="D659" s="322">
        <v>9</v>
      </c>
      <c r="E659" s="322" t="s">
        <v>682</v>
      </c>
      <c r="F659" s="322">
        <v>9</v>
      </c>
      <c r="G659" s="425">
        <f t="shared" si="12"/>
        <v>0</v>
      </c>
    </row>
    <row r="660" spans="2:8">
      <c r="B660" s="323">
        <v>45936</v>
      </c>
      <c r="C660" s="325" t="s">
        <v>1312</v>
      </c>
      <c r="D660" s="322">
        <v>14</v>
      </c>
      <c r="E660" s="322" t="s">
        <v>682</v>
      </c>
      <c r="F660" s="322">
        <v>14</v>
      </c>
      <c r="G660" s="425">
        <f t="shared" si="12"/>
        <v>0</v>
      </c>
    </row>
    <row r="661" spans="2:8">
      <c r="B661" s="323">
        <v>45936</v>
      </c>
      <c r="C661" s="324" t="s">
        <v>135</v>
      </c>
      <c r="D661" s="322">
        <v>2</v>
      </c>
      <c r="E661" s="322" t="s">
        <v>682</v>
      </c>
      <c r="F661" s="322">
        <v>2</v>
      </c>
      <c r="G661" s="425">
        <f t="shared" si="12"/>
        <v>0</v>
      </c>
    </row>
    <row r="662" spans="2:8">
      <c r="B662" s="323">
        <v>45936</v>
      </c>
      <c r="C662" s="324" t="s">
        <v>919</v>
      </c>
      <c r="D662" s="322">
        <v>3</v>
      </c>
      <c r="E662" s="322" t="s">
        <v>682</v>
      </c>
      <c r="F662" s="322">
        <v>3</v>
      </c>
      <c r="G662" s="425">
        <f t="shared" si="12"/>
        <v>0</v>
      </c>
    </row>
    <row r="663" spans="2:8">
      <c r="B663" s="323">
        <v>45936</v>
      </c>
      <c r="C663" s="324" t="s">
        <v>919</v>
      </c>
      <c r="D663" s="322">
        <v>1</v>
      </c>
      <c r="E663" s="322" t="s">
        <v>682</v>
      </c>
      <c r="F663" s="322">
        <v>1</v>
      </c>
      <c r="G663" s="425">
        <f t="shared" si="12"/>
        <v>0</v>
      </c>
    </row>
    <row r="664" spans="2:8">
      <c r="B664" s="323">
        <v>45936</v>
      </c>
      <c r="C664" s="325" t="s">
        <v>1313</v>
      </c>
      <c r="D664" s="322">
        <v>1</v>
      </c>
      <c r="E664" s="322" t="s">
        <v>682</v>
      </c>
      <c r="F664" s="322">
        <v>1</v>
      </c>
      <c r="G664" s="425">
        <f t="shared" si="12"/>
        <v>0</v>
      </c>
    </row>
    <row r="665" spans="2:8">
      <c r="B665" s="323">
        <v>45936</v>
      </c>
      <c r="C665" s="425" t="s">
        <v>932</v>
      </c>
      <c r="D665" s="322">
        <v>1</v>
      </c>
      <c r="E665" s="322" t="s">
        <v>682</v>
      </c>
      <c r="F665" s="322">
        <v>1</v>
      </c>
      <c r="G665" s="425">
        <f t="shared" si="12"/>
        <v>0</v>
      </c>
    </row>
    <row r="666" spans="2:8">
      <c r="B666" s="323">
        <v>45936</v>
      </c>
      <c r="C666" s="325" t="s">
        <v>975</v>
      </c>
      <c r="D666" s="322">
        <v>6</v>
      </c>
      <c r="E666" s="322" t="s">
        <v>682</v>
      </c>
      <c r="F666" s="322">
        <v>6</v>
      </c>
      <c r="G666" s="425">
        <f t="shared" si="12"/>
        <v>0</v>
      </c>
    </row>
    <row r="667" spans="2:8">
      <c r="B667" s="323">
        <v>45936</v>
      </c>
      <c r="C667" s="325" t="s">
        <v>1095</v>
      </c>
      <c r="D667" s="322">
        <v>1</v>
      </c>
      <c r="E667" s="322" t="s">
        <v>682</v>
      </c>
      <c r="F667" s="322">
        <v>1</v>
      </c>
      <c r="G667" s="425">
        <f t="shared" si="12"/>
        <v>0</v>
      </c>
    </row>
    <row r="668" spans="2:8">
      <c r="B668" s="335">
        <v>45936</v>
      </c>
      <c r="C668" s="342" t="s">
        <v>134</v>
      </c>
      <c r="D668" s="345">
        <v>20</v>
      </c>
      <c r="E668" s="312" t="s">
        <v>1323</v>
      </c>
      <c r="F668" s="345">
        <v>20</v>
      </c>
      <c r="G668" s="344">
        <f t="shared" si="12"/>
        <v>0</v>
      </c>
    </row>
    <row r="669" spans="2:8">
      <c r="B669" s="335">
        <v>45936</v>
      </c>
      <c r="C669" s="342" t="s">
        <v>134</v>
      </c>
      <c r="D669" s="345">
        <v>1</v>
      </c>
      <c r="E669" s="345" t="s">
        <v>1320</v>
      </c>
      <c r="F669" s="345">
        <v>1</v>
      </c>
      <c r="G669" s="344">
        <f t="shared" si="12"/>
        <v>0</v>
      </c>
      <c r="H669" t="s">
        <v>1321</v>
      </c>
    </row>
    <row r="670" spans="2:8">
      <c r="B670" s="335">
        <v>45936</v>
      </c>
      <c r="C670" s="342" t="s">
        <v>919</v>
      </c>
      <c r="D670" s="345">
        <v>7</v>
      </c>
      <c r="E670" s="345" t="s">
        <v>1320</v>
      </c>
      <c r="F670" s="345">
        <v>7</v>
      </c>
      <c r="G670" s="344">
        <f t="shared" si="12"/>
        <v>0</v>
      </c>
    </row>
    <row r="671" spans="2:8">
      <c r="B671" s="335">
        <v>45936</v>
      </c>
      <c r="C671" s="343" t="s">
        <v>1259</v>
      </c>
      <c r="D671" s="345">
        <v>1</v>
      </c>
      <c r="E671" s="345" t="s">
        <v>1320</v>
      </c>
      <c r="F671" s="345">
        <v>1</v>
      </c>
      <c r="G671" s="344">
        <f t="shared" si="12"/>
        <v>0</v>
      </c>
    </row>
    <row r="672" spans="2:8">
      <c r="B672" s="335">
        <v>45936</v>
      </c>
      <c r="C672" s="343" t="s">
        <v>1095</v>
      </c>
      <c r="D672" s="345">
        <v>2</v>
      </c>
      <c r="E672" s="312" t="s">
        <v>1322</v>
      </c>
      <c r="F672" s="345">
        <v>2</v>
      </c>
      <c r="G672" s="344">
        <f t="shared" si="12"/>
        <v>0</v>
      </c>
    </row>
    <row r="673" spans="2:7">
      <c r="B673" s="335">
        <v>45936</v>
      </c>
      <c r="C673" s="342" t="s">
        <v>135</v>
      </c>
      <c r="D673" s="345">
        <v>10</v>
      </c>
      <c r="E673" s="345" t="s">
        <v>1320</v>
      </c>
      <c r="F673" s="345">
        <v>10</v>
      </c>
      <c r="G673" s="344">
        <f t="shared" si="12"/>
        <v>0</v>
      </c>
    </row>
    <row r="674" spans="2:7">
      <c r="B674" s="335">
        <v>45936</v>
      </c>
      <c r="C674" s="343" t="s">
        <v>167</v>
      </c>
      <c r="D674" s="345">
        <v>1</v>
      </c>
      <c r="E674" s="312" t="s">
        <v>1322</v>
      </c>
      <c r="F674" s="345">
        <v>1</v>
      </c>
      <c r="G674" s="344">
        <f t="shared" si="12"/>
        <v>0</v>
      </c>
    </row>
    <row r="675" spans="2:7">
      <c r="B675" s="335">
        <v>45936</v>
      </c>
      <c r="C675" s="343" t="s">
        <v>169</v>
      </c>
      <c r="D675" s="345">
        <v>1</v>
      </c>
      <c r="E675" s="345" t="s">
        <v>1320</v>
      </c>
      <c r="F675" s="345">
        <v>1</v>
      </c>
      <c r="G675" s="344">
        <f t="shared" si="12"/>
        <v>0</v>
      </c>
    </row>
    <row r="676" spans="2:7">
      <c r="B676" s="335">
        <v>45936</v>
      </c>
      <c r="C676" s="342" t="s">
        <v>513</v>
      </c>
      <c r="D676" s="345">
        <v>1</v>
      </c>
      <c r="E676" s="312" t="s">
        <v>1322</v>
      </c>
      <c r="F676" s="345">
        <v>1</v>
      </c>
      <c r="G676" s="344">
        <f t="shared" si="12"/>
        <v>0</v>
      </c>
    </row>
    <row r="677" spans="2:7">
      <c r="B677" s="335">
        <v>45936</v>
      </c>
      <c r="C677" s="343" t="s">
        <v>920</v>
      </c>
      <c r="D677" s="345">
        <v>1</v>
      </c>
      <c r="E677" s="345" t="s">
        <v>1320</v>
      </c>
      <c r="F677" s="345">
        <v>1</v>
      </c>
      <c r="G677" s="344">
        <f t="shared" si="12"/>
        <v>0</v>
      </c>
    </row>
    <row r="678" spans="2:7">
      <c r="B678" s="437">
        <v>45936</v>
      </c>
      <c r="C678" s="222" t="s">
        <v>807</v>
      </c>
      <c r="D678" s="220">
        <v>1</v>
      </c>
      <c r="E678" s="220" t="s">
        <v>1324</v>
      </c>
      <c r="F678" s="220">
        <v>1</v>
      </c>
      <c r="G678" s="221">
        <f t="shared" si="12"/>
        <v>0</v>
      </c>
    </row>
    <row r="679" spans="2:7">
      <c r="B679" s="437">
        <v>45936</v>
      </c>
      <c r="C679" s="222" t="s">
        <v>808</v>
      </c>
      <c r="D679" s="220">
        <v>1</v>
      </c>
      <c r="E679" s="220" t="s">
        <v>1324</v>
      </c>
      <c r="F679" s="220">
        <v>1</v>
      </c>
      <c r="G679" s="221">
        <f t="shared" si="12"/>
        <v>0</v>
      </c>
    </row>
    <row r="680" spans="2:7">
      <c r="B680" s="323">
        <v>45936</v>
      </c>
      <c r="C680" s="325" t="s">
        <v>1314</v>
      </c>
      <c r="D680" s="322">
        <v>12</v>
      </c>
      <c r="E680" s="322" t="s">
        <v>682</v>
      </c>
      <c r="F680" s="322">
        <v>12</v>
      </c>
      <c r="G680" s="425">
        <f t="shared" si="12"/>
        <v>0</v>
      </c>
    </row>
    <row r="681" spans="2:7">
      <c r="B681" s="335">
        <v>45936</v>
      </c>
      <c r="C681" s="343" t="s">
        <v>154</v>
      </c>
      <c r="D681" s="345">
        <v>1</v>
      </c>
      <c r="E681" s="345" t="s">
        <v>1320</v>
      </c>
      <c r="F681" s="345">
        <v>1</v>
      </c>
      <c r="G681" s="344">
        <f t="shared" si="12"/>
        <v>0</v>
      </c>
    </row>
    <row r="682" spans="2:7">
      <c r="B682" s="346">
        <v>45938</v>
      </c>
      <c r="C682" s="349" t="s">
        <v>1095</v>
      </c>
      <c r="D682" s="348">
        <v>1</v>
      </c>
      <c r="E682" s="348" t="s">
        <v>921</v>
      </c>
      <c r="F682" s="348">
        <v>1</v>
      </c>
      <c r="G682" s="351">
        <f t="shared" si="12"/>
        <v>0</v>
      </c>
    </row>
    <row r="683" spans="2:7">
      <c r="B683" s="346">
        <v>45938</v>
      </c>
      <c r="C683" s="347" t="s">
        <v>919</v>
      </c>
      <c r="D683" s="348">
        <v>1</v>
      </c>
      <c r="E683" s="348" t="s">
        <v>921</v>
      </c>
      <c r="F683" s="348">
        <v>1</v>
      </c>
      <c r="G683" s="351">
        <f t="shared" si="12"/>
        <v>0</v>
      </c>
    </row>
    <row r="684" spans="2:7">
      <c r="B684" s="346">
        <v>45938</v>
      </c>
      <c r="C684" s="349" t="s">
        <v>1318</v>
      </c>
      <c r="D684" s="348">
        <v>1</v>
      </c>
      <c r="E684" s="348" t="s">
        <v>921</v>
      </c>
      <c r="F684" s="348">
        <v>1</v>
      </c>
      <c r="G684" s="351">
        <f t="shared" si="12"/>
        <v>0</v>
      </c>
    </row>
    <row r="685" spans="2:7">
      <c r="B685" s="346">
        <v>45938</v>
      </c>
      <c r="C685" s="347" t="s">
        <v>134</v>
      </c>
      <c r="D685" s="348">
        <v>1</v>
      </c>
      <c r="E685" s="348" t="s">
        <v>921</v>
      </c>
      <c r="F685" s="348">
        <v>1</v>
      </c>
      <c r="G685" s="351">
        <f t="shared" si="12"/>
        <v>0</v>
      </c>
    </row>
    <row r="686" spans="2:7">
      <c r="B686" s="346">
        <v>45938</v>
      </c>
      <c r="C686" s="350" t="s">
        <v>928</v>
      </c>
      <c r="D686" s="348">
        <v>2</v>
      </c>
      <c r="E686" s="348" t="s">
        <v>921</v>
      </c>
      <c r="F686" s="348">
        <v>2</v>
      </c>
      <c r="G686" s="351">
        <f t="shared" si="12"/>
        <v>0</v>
      </c>
    </row>
    <row r="687" spans="2:7">
      <c r="B687" s="346">
        <v>45938</v>
      </c>
      <c r="C687" s="349" t="s">
        <v>167</v>
      </c>
      <c r="D687" s="348">
        <v>1</v>
      </c>
      <c r="E687" s="348" t="s">
        <v>921</v>
      </c>
      <c r="F687" s="348">
        <v>1</v>
      </c>
      <c r="G687" s="351">
        <f t="shared" si="12"/>
        <v>0</v>
      </c>
    </row>
    <row r="688" spans="2:7">
      <c r="B688" s="346">
        <v>45938</v>
      </c>
      <c r="C688" s="349" t="s">
        <v>1319</v>
      </c>
      <c r="D688" s="348">
        <v>1</v>
      </c>
      <c r="E688" s="348" t="s">
        <v>921</v>
      </c>
      <c r="F688" s="348">
        <v>1</v>
      </c>
      <c r="G688" s="351">
        <f t="shared" si="12"/>
        <v>0</v>
      </c>
    </row>
    <row r="689" spans="2:7">
      <c r="B689" s="346">
        <v>45938</v>
      </c>
      <c r="C689" s="349" t="s">
        <v>1326</v>
      </c>
      <c r="D689" s="348">
        <v>1</v>
      </c>
      <c r="E689" s="348" t="s">
        <v>921</v>
      </c>
      <c r="F689" s="348">
        <v>1</v>
      </c>
      <c r="G689" s="351">
        <f t="shared" si="12"/>
        <v>0</v>
      </c>
    </row>
    <row r="690" spans="2:7">
      <c r="B690" s="346">
        <v>45938</v>
      </c>
      <c r="C690" s="349" t="s">
        <v>1246</v>
      </c>
      <c r="D690" s="348">
        <v>1</v>
      </c>
      <c r="E690" s="348" t="s">
        <v>921</v>
      </c>
      <c r="F690" s="348">
        <v>1</v>
      </c>
      <c r="G690" s="351">
        <f t="shared" si="12"/>
        <v>0</v>
      </c>
    </row>
    <row r="691" spans="2:7">
      <c r="B691" s="346">
        <v>45938</v>
      </c>
      <c r="C691" s="349" t="s">
        <v>1249</v>
      </c>
      <c r="D691" s="348">
        <v>1</v>
      </c>
      <c r="E691" s="348" t="s">
        <v>921</v>
      </c>
      <c r="F691" s="348">
        <v>1</v>
      </c>
      <c r="G691" s="351">
        <f t="shared" si="12"/>
        <v>0</v>
      </c>
    </row>
    <row r="692" spans="2:7">
      <c r="B692" s="346">
        <v>45938</v>
      </c>
      <c r="C692" s="349" t="s">
        <v>1271</v>
      </c>
      <c r="D692" s="348">
        <v>1</v>
      </c>
      <c r="E692" s="348" t="s">
        <v>921</v>
      </c>
      <c r="F692" s="348">
        <v>1</v>
      </c>
      <c r="G692" s="351">
        <f t="shared" si="12"/>
        <v>0</v>
      </c>
    </row>
    <row r="693" spans="2:7">
      <c r="B693" s="346">
        <v>45938</v>
      </c>
      <c r="C693" s="349" t="s">
        <v>1327</v>
      </c>
      <c r="D693" s="348">
        <v>3</v>
      </c>
      <c r="E693" s="348" t="s">
        <v>921</v>
      </c>
      <c r="F693" s="348">
        <v>3</v>
      </c>
      <c r="G693" s="351">
        <f t="shared" si="12"/>
        <v>0</v>
      </c>
    </row>
    <row r="694" spans="2:7">
      <c r="B694" s="346">
        <v>45938</v>
      </c>
      <c r="C694" s="349" t="s">
        <v>1334</v>
      </c>
      <c r="D694" s="348">
        <v>2</v>
      </c>
      <c r="E694" s="348" t="s">
        <v>921</v>
      </c>
      <c r="F694" s="348">
        <v>2</v>
      </c>
      <c r="G694" s="351">
        <f t="shared" si="12"/>
        <v>0</v>
      </c>
    </row>
    <row r="695" spans="2:7">
      <c r="B695" s="346">
        <v>45938</v>
      </c>
      <c r="C695" s="349" t="s">
        <v>1291</v>
      </c>
      <c r="D695" s="348">
        <v>1</v>
      </c>
      <c r="E695" s="348" t="s">
        <v>921</v>
      </c>
      <c r="F695" s="348">
        <v>1</v>
      </c>
      <c r="G695" s="351">
        <f t="shared" si="12"/>
        <v>0</v>
      </c>
    </row>
    <row r="696" spans="2:7">
      <c r="B696" s="346">
        <v>45938</v>
      </c>
      <c r="C696" s="349" t="s">
        <v>1097</v>
      </c>
      <c r="D696" s="348">
        <v>1</v>
      </c>
      <c r="E696" s="348" t="s">
        <v>921</v>
      </c>
      <c r="F696" s="348">
        <v>1</v>
      </c>
      <c r="G696" s="351">
        <f t="shared" si="12"/>
        <v>0</v>
      </c>
    </row>
    <row r="697" spans="2:7">
      <c r="B697" s="346">
        <v>45938</v>
      </c>
      <c r="C697" s="351" t="s">
        <v>932</v>
      </c>
      <c r="D697" s="348">
        <v>6</v>
      </c>
      <c r="E697" s="348" t="s">
        <v>921</v>
      </c>
      <c r="F697" s="348">
        <v>6</v>
      </c>
      <c r="G697" s="351">
        <f t="shared" si="12"/>
        <v>0</v>
      </c>
    </row>
    <row r="698" spans="2:7">
      <c r="B698" s="346">
        <v>45938</v>
      </c>
      <c r="C698" s="349" t="s">
        <v>1094</v>
      </c>
      <c r="D698" s="348">
        <v>1</v>
      </c>
      <c r="E698" s="348" t="s">
        <v>921</v>
      </c>
      <c r="F698" s="348">
        <v>1</v>
      </c>
      <c r="G698" s="351">
        <f t="shared" si="12"/>
        <v>0</v>
      </c>
    </row>
    <row r="699" spans="2:7">
      <c r="B699" s="346">
        <v>45938</v>
      </c>
      <c r="C699" s="349" t="s">
        <v>169</v>
      </c>
      <c r="D699" s="348">
        <v>1</v>
      </c>
      <c r="E699" s="348" t="s">
        <v>921</v>
      </c>
      <c r="F699" s="348">
        <v>1</v>
      </c>
      <c r="G699" s="351">
        <f t="shared" si="12"/>
        <v>0</v>
      </c>
    </row>
    <row r="700" spans="2:7">
      <c r="B700" s="323">
        <v>45936</v>
      </c>
      <c r="C700" s="325" t="s">
        <v>807</v>
      </c>
      <c r="D700" s="322">
        <v>2</v>
      </c>
      <c r="E700" s="322" t="s">
        <v>682</v>
      </c>
      <c r="F700" s="322">
        <v>2</v>
      </c>
      <c r="G700" s="425">
        <f t="shared" si="12"/>
        <v>0</v>
      </c>
    </row>
    <row r="701" spans="2:7">
      <c r="B701" s="323">
        <v>45936</v>
      </c>
      <c r="C701" s="325" t="s">
        <v>806</v>
      </c>
      <c r="D701" s="322">
        <v>1</v>
      </c>
      <c r="E701" s="322" t="s">
        <v>682</v>
      </c>
      <c r="F701" s="322">
        <v>1</v>
      </c>
      <c r="G701" s="425">
        <f t="shared" si="12"/>
        <v>0</v>
      </c>
    </row>
    <row r="702" spans="2:7">
      <c r="B702" s="335">
        <v>45936</v>
      </c>
      <c r="C702" s="343" t="s">
        <v>806</v>
      </c>
      <c r="D702" s="345">
        <v>1</v>
      </c>
      <c r="E702" s="345" t="s">
        <v>1320</v>
      </c>
      <c r="F702" s="345">
        <v>1</v>
      </c>
      <c r="G702" s="344">
        <f t="shared" si="12"/>
        <v>0</v>
      </c>
    </row>
    <row r="703" spans="2:7">
      <c r="B703" s="346">
        <v>45944</v>
      </c>
      <c r="C703" s="349" t="s">
        <v>976</v>
      </c>
      <c r="D703" s="348">
        <v>1</v>
      </c>
      <c r="E703" s="348" t="s">
        <v>921</v>
      </c>
      <c r="F703" s="348">
        <v>1</v>
      </c>
      <c r="G703" s="351">
        <f t="shared" si="12"/>
        <v>0</v>
      </c>
    </row>
    <row r="704" spans="2:7">
      <c r="B704" s="346">
        <v>45944</v>
      </c>
      <c r="C704" s="349" t="s">
        <v>976</v>
      </c>
      <c r="D704" s="348">
        <v>1</v>
      </c>
      <c r="E704" s="348" t="s">
        <v>921</v>
      </c>
      <c r="F704" s="348">
        <v>1</v>
      </c>
      <c r="G704" s="351">
        <f t="shared" si="12"/>
        <v>0</v>
      </c>
    </row>
    <row r="705" spans="2:7">
      <c r="B705" s="346">
        <v>45944</v>
      </c>
      <c r="C705" s="349" t="s">
        <v>1386</v>
      </c>
      <c r="D705" s="348">
        <v>1</v>
      </c>
      <c r="E705" s="348" t="s">
        <v>921</v>
      </c>
      <c r="F705" s="348">
        <v>1</v>
      </c>
      <c r="G705" s="351">
        <f t="shared" ref="G705:G769" si="13">D705-F705</f>
        <v>0</v>
      </c>
    </row>
    <row r="706" spans="2:7">
      <c r="B706" s="346">
        <v>45944</v>
      </c>
      <c r="C706" s="347" t="s">
        <v>919</v>
      </c>
      <c r="D706" s="348">
        <v>2</v>
      </c>
      <c r="E706" s="348" t="s">
        <v>921</v>
      </c>
      <c r="F706" s="348">
        <v>2</v>
      </c>
      <c r="G706" s="351">
        <f t="shared" si="13"/>
        <v>0</v>
      </c>
    </row>
    <row r="707" spans="2:7">
      <c r="B707" s="346">
        <v>45944</v>
      </c>
      <c r="C707" s="347" t="s">
        <v>134</v>
      </c>
      <c r="D707" s="348">
        <v>2</v>
      </c>
      <c r="E707" s="348" t="s">
        <v>921</v>
      </c>
      <c r="F707" s="348">
        <v>2</v>
      </c>
      <c r="G707" s="351">
        <f t="shared" si="13"/>
        <v>0</v>
      </c>
    </row>
    <row r="708" spans="2:7">
      <c r="B708" s="346">
        <v>45944</v>
      </c>
      <c r="C708" s="347" t="s">
        <v>134</v>
      </c>
      <c r="D708" s="348">
        <v>1</v>
      </c>
      <c r="E708" s="348" t="s">
        <v>921</v>
      </c>
      <c r="F708" s="348">
        <v>1</v>
      </c>
      <c r="G708" s="351">
        <f t="shared" si="13"/>
        <v>0</v>
      </c>
    </row>
    <row r="709" spans="2:7">
      <c r="B709" s="346">
        <v>45944</v>
      </c>
      <c r="C709" s="347" t="s">
        <v>134</v>
      </c>
      <c r="D709" s="348">
        <v>2</v>
      </c>
      <c r="E709" s="348" t="s">
        <v>921</v>
      </c>
      <c r="F709" s="348">
        <v>2</v>
      </c>
      <c r="G709" s="351">
        <f t="shared" si="13"/>
        <v>0</v>
      </c>
    </row>
    <row r="710" spans="2:7">
      <c r="B710" s="346">
        <v>45944</v>
      </c>
      <c r="C710" s="349" t="s">
        <v>167</v>
      </c>
      <c r="D710" s="348">
        <v>1</v>
      </c>
      <c r="E710" s="348" t="s">
        <v>921</v>
      </c>
      <c r="F710" s="348">
        <v>1</v>
      </c>
      <c r="G710" s="351">
        <f t="shared" si="13"/>
        <v>0</v>
      </c>
    </row>
    <row r="711" spans="2:7">
      <c r="B711" s="346">
        <v>45944</v>
      </c>
      <c r="C711" s="349" t="s">
        <v>167</v>
      </c>
      <c r="D711" s="348">
        <v>2</v>
      </c>
      <c r="E711" s="348" t="s">
        <v>921</v>
      </c>
      <c r="F711" s="348">
        <v>2</v>
      </c>
      <c r="G711" s="351">
        <f t="shared" si="13"/>
        <v>0</v>
      </c>
    </row>
    <row r="712" spans="2:7">
      <c r="B712" s="346">
        <v>45944</v>
      </c>
      <c r="C712" s="349" t="s">
        <v>167</v>
      </c>
      <c r="D712" s="348">
        <v>1</v>
      </c>
      <c r="E712" s="348" t="s">
        <v>921</v>
      </c>
      <c r="F712" s="348">
        <v>1</v>
      </c>
      <c r="G712" s="351">
        <f t="shared" si="13"/>
        <v>0</v>
      </c>
    </row>
    <row r="713" spans="2:7">
      <c r="B713" s="346">
        <v>45944</v>
      </c>
      <c r="C713" s="349" t="s">
        <v>1271</v>
      </c>
      <c r="D713" s="348">
        <v>1</v>
      </c>
      <c r="E713" s="348" t="s">
        <v>921</v>
      </c>
      <c r="F713" s="348">
        <v>1</v>
      </c>
      <c r="G713" s="351">
        <f t="shared" si="13"/>
        <v>0</v>
      </c>
    </row>
    <row r="714" spans="2:7">
      <c r="B714" s="346">
        <v>45944</v>
      </c>
      <c r="C714" s="347" t="s">
        <v>1387</v>
      </c>
      <c r="D714" s="348">
        <v>1</v>
      </c>
      <c r="E714" s="348" t="s">
        <v>921</v>
      </c>
      <c r="F714" s="348">
        <v>1</v>
      </c>
      <c r="G714" s="351">
        <f t="shared" si="13"/>
        <v>0</v>
      </c>
    </row>
    <row r="715" spans="2:7">
      <c r="B715" s="346">
        <v>45944</v>
      </c>
      <c r="C715" s="349" t="s">
        <v>1334</v>
      </c>
      <c r="D715" s="348">
        <v>3</v>
      </c>
      <c r="E715" s="348" t="s">
        <v>921</v>
      </c>
      <c r="F715" s="348">
        <v>3</v>
      </c>
      <c r="G715" s="351">
        <f t="shared" si="13"/>
        <v>0</v>
      </c>
    </row>
    <row r="716" spans="2:7">
      <c r="B716" s="346">
        <v>45944</v>
      </c>
      <c r="C716" s="349" t="s">
        <v>1291</v>
      </c>
      <c r="D716" s="348">
        <v>2</v>
      </c>
      <c r="E716" s="348" t="s">
        <v>921</v>
      </c>
      <c r="F716" s="348">
        <v>2</v>
      </c>
      <c r="G716" s="351">
        <f t="shared" si="13"/>
        <v>0</v>
      </c>
    </row>
    <row r="717" spans="2:7">
      <c r="B717" s="346">
        <v>45944</v>
      </c>
      <c r="C717" s="349" t="s">
        <v>1097</v>
      </c>
      <c r="D717" s="348">
        <v>2</v>
      </c>
      <c r="E717" s="348" t="s">
        <v>921</v>
      </c>
      <c r="F717" s="348">
        <v>2</v>
      </c>
      <c r="G717" s="351">
        <f t="shared" si="13"/>
        <v>0</v>
      </c>
    </row>
    <row r="718" spans="2:7">
      <c r="B718" s="346">
        <v>45944</v>
      </c>
      <c r="C718" s="351" t="s">
        <v>934</v>
      </c>
      <c r="D718" s="348">
        <v>1</v>
      </c>
      <c r="E718" s="348" t="s">
        <v>921</v>
      </c>
      <c r="F718" s="348">
        <v>1</v>
      </c>
      <c r="G718" s="351">
        <f t="shared" si="13"/>
        <v>0</v>
      </c>
    </row>
    <row r="719" spans="2:7">
      <c r="B719" s="346">
        <v>45944</v>
      </c>
      <c r="C719" s="349" t="s">
        <v>1094</v>
      </c>
      <c r="D719" s="348">
        <v>1</v>
      </c>
      <c r="E719" s="348" t="s">
        <v>921</v>
      </c>
      <c r="F719" s="348">
        <v>1</v>
      </c>
      <c r="G719" s="351">
        <f t="shared" si="13"/>
        <v>0</v>
      </c>
    </row>
    <row r="720" spans="2:7">
      <c r="B720" s="346">
        <v>45944</v>
      </c>
      <c r="C720" s="349" t="s">
        <v>973</v>
      </c>
      <c r="D720" s="348">
        <v>1</v>
      </c>
      <c r="E720" s="348" t="s">
        <v>921</v>
      </c>
      <c r="F720" s="348">
        <v>1</v>
      </c>
      <c r="G720" s="351">
        <f t="shared" si="13"/>
        <v>0</v>
      </c>
    </row>
    <row r="721" spans="2:7">
      <c r="B721" s="346">
        <v>45944</v>
      </c>
      <c r="C721" s="349" t="s">
        <v>166</v>
      </c>
      <c r="D721" s="348">
        <v>1</v>
      </c>
      <c r="E721" s="348" t="s">
        <v>921</v>
      </c>
      <c r="F721" s="348">
        <v>1</v>
      </c>
      <c r="G721" s="351">
        <f t="shared" si="13"/>
        <v>0</v>
      </c>
    </row>
    <row r="722" spans="2:7">
      <c r="B722" s="346">
        <v>45944</v>
      </c>
      <c r="C722" s="349" t="s">
        <v>920</v>
      </c>
      <c r="D722" s="348">
        <v>1</v>
      </c>
      <c r="E722" s="348" t="s">
        <v>921</v>
      </c>
      <c r="F722" s="348">
        <v>1</v>
      </c>
      <c r="G722" s="351">
        <f t="shared" si="13"/>
        <v>0</v>
      </c>
    </row>
    <row r="723" spans="2:7">
      <c r="B723" s="323">
        <v>45944</v>
      </c>
      <c r="C723" s="425" t="s">
        <v>1182</v>
      </c>
      <c r="D723" s="322">
        <v>6</v>
      </c>
      <c r="E723" s="322" t="s">
        <v>682</v>
      </c>
      <c r="F723" s="322">
        <v>6</v>
      </c>
      <c r="G723" s="425">
        <f t="shared" si="13"/>
        <v>0</v>
      </c>
    </row>
    <row r="724" spans="2:7">
      <c r="B724" s="323">
        <v>45944</v>
      </c>
      <c r="C724" s="324" t="s">
        <v>410</v>
      </c>
      <c r="D724" s="322">
        <v>4</v>
      </c>
      <c r="E724" s="322" t="s">
        <v>682</v>
      </c>
      <c r="F724" s="322">
        <v>4</v>
      </c>
      <c r="G724" s="425">
        <f t="shared" si="13"/>
        <v>0</v>
      </c>
    </row>
    <row r="725" spans="2:7">
      <c r="B725" s="323">
        <v>45944</v>
      </c>
      <c r="C725" s="425" t="s">
        <v>1183</v>
      </c>
      <c r="D725" s="322">
        <v>10</v>
      </c>
      <c r="E725" s="322" t="s">
        <v>682</v>
      </c>
      <c r="F725" s="322">
        <v>10</v>
      </c>
      <c r="G725" s="425">
        <f t="shared" si="13"/>
        <v>0</v>
      </c>
    </row>
    <row r="726" spans="2:7">
      <c r="B726" s="323">
        <v>45944</v>
      </c>
      <c r="C726" s="324" t="s">
        <v>131</v>
      </c>
      <c r="D726" s="322">
        <v>19</v>
      </c>
      <c r="E726" s="322" t="s">
        <v>682</v>
      </c>
      <c r="F726" s="322">
        <v>19</v>
      </c>
      <c r="G726" s="425">
        <f t="shared" si="13"/>
        <v>0</v>
      </c>
    </row>
    <row r="727" spans="2:7">
      <c r="B727" s="323">
        <v>45944</v>
      </c>
      <c r="C727" s="324" t="s">
        <v>960</v>
      </c>
      <c r="D727" s="322">
        <v>13</v>
      </c>
      <c r="E727" s="322" t="s">
        <v>682</v>
      </c>
      <c r="F727" s="322">
        <v>13</v>
      </c>
      <c r="G727" s="425">
        <f t="shared" si="13"/>
        <v>0</v>
      </c>
    </row>
    <row r="728" spans="2:7">
      <c r="B728" s="323">
        <v>45944</v>
      </c>
      <c r="C728" s="325" t="s">
        <v>1327</v>
      </c>
      <c r="D728" s="322">
        <v>9</v>
      </c>
      <c r="E728" s="322" t="s">
        <v>682</v>
      </c>
      <c r="F728" s="322">
        <v>9</v>
      </c>
      <c r="G728" s="425">
        <f t="shared" si="13"/>
        <v>0</v>
      </c>
    </row>
    <row r="729" spans="2:7">
      <c r="B729" s="323">
        <v>45944</v>
      </c>
      <c r="C729" s="325" t="s">
        <v>1271</v>
      </c>
      <c r="D729" s="322">
        <v>2</v>
      </c>
      <c r="E729" s="322" t="s">
        <v>682</v>
      </c>
      <c r="F729" s="322">
        <v>2</v>
      </c>
      <c r="G729" s="425">
        <f t="shared" si="13"/>
        <v>0</v>
      </c>
    </row>
    <row r="730" spans="2:7">
      <c r="B730" s="323">
        <v>45944</v>
      </c>
      <c r="C730" s="325" t="s">
        <v>1301</v>
      </c>
      <c r="D730" s="322">
        <v>3</v>
      </c>
      <c r="E730" s="322" t="s">
        <v>682</v>
      </c>
      <c r="F730" s="322">
        <v>3</v>
      </c>
      <c r="G730" s="425">
        <f t="shared" si="13"/>
        <v>0</v>
      </c>
    </row>
    <row r="731" spans="2:7">
      <c r="B731" s="323">
        <v>45944</v>
      </c>
      <c r="C731" s="325" t="s">
        <v>1301</v>
      </c>
      <c r="D731" s="322">
        <v>1</v>
      </c>
      <c r="E731" s="322" t="s">
        <v>682</v>
      </c>
      <c r="F731" s="322">
        <v>1</v>
      </c>
      <c r="G731" s="425">
        <f t="shared" si="13"/>
        <v>0</v>
      </c>
    </row>
    <row r="732" spans="2:7">
      <c r="B732" s="323">
        <v>45944</v>
      </c>
      <c r="C732" s="325" t="s">
        <v>1271</v>
      </c>
      <c r="D732" s="322">
        <v>1</v>
      </c>
      <c r="E732" s="322" t="s">
        <v>682</v>
      </c>
      <c r="F732" s="322">
        <v>1</v>
      </c>
      <c r="G732" s="425">
        <f t="shared" si="13"/>
        <v>0</v>
      </c>
    </row>
    <row r="733" spans="2:7">
      <c r="B733" s="323">
        <v>45944</v>
      </c>
      <c r="C733" s="325" t="s">
        <v>1289</v>
      </c>
      <c r="D733" s="322">
        <v>1</v>
      </c>
      <c r="E733" s="322" t="s">
        <v>682</v>
      </c>
      <c r="F733" s="322">
        <v>1</v>
      </c>
      <c r="G733" s="425">
        <f t="shared" si="13"/>
        <v>0</v>
      </c>
    </row>
    <row r="734" spans="2:7">
      <c r="B734" s="323">
        <v>45944</v>
      </c>
      <c r="C734" s="325" t="s">
        <v>1246</v>
      </c>
      <c r="D734" s="322">
        <v>1</v>
      </c>
      <c r="E734" s="322" t="s">
        <v>682</v>
      </c>
      <c r="F734" s="322">
        <v>1</v>
      </c>
      <c r="G734" s="425">
        <f t="shared" si="13"/>
        <v>0</v>
      </c>
    </row>
    <row r="735" spans="2:7">
      <c r="B735" s="323">
        <v>45944</v>
      </c>
      <c r="C735" s="325" t="s">
        <v>1249</v>
      </c>
      <c r="D735" s="322">
        <v>1</v>
      </c>
      <c r="E735" s="322" t="s">
        <v>682</v>
      </c>
      <c r="F735" s="322">
        <v>1</v>
      </c>
      <c r="G735" s="425">
        <f t="shared" si="13"/>
        <v>0</v>
      </c>
    </row>
    <row r="736" spans="2:7">
      <c r="B736" s="323">
        <v>45944</v>
      </c>
      <c r="C736" s="325" t="s">
        <v>1249</v>
      </c>
      <c r="D736" s="322">
        <v>2</v>
      </c>
      <c r="E736" s="322" t="s">
        <v>682</v>
      </c>
      <c r="F736" s="322">
        <v>2</v>
      </c>
      <c r="G736" s="425">
        <f t="shared" si="13"/>
        <v>0</v>
      </c>
    </row>
    <row r="737" spans="2:7">
      <c r="B737" s="323">
        <v>45944</v>
      </c>
      <c r="C737" s="325" t="s">
        <v>1246</v>
      </c>
      <c r="D737" s="322">
        <v>6</v>
      </c>
      <c r="E737" s="322" t="s">
        <v>682</v>
      </c>
      <c r="F737" s="322">
        <v>6</v>
      </c>
      <c r="G737" s="425">
        <f t="shared" si="13"/>
        <v>0</v>
      </c>
    </row>
    <row r="738" spans="2:7">
      <c r="B738" s="323">
        <v>45944</v>
      </c>
      <c r="C738" s="324" t="s">
        <v>134</v>
      </c>
      <c r="D738" s="322">
        <v>4</v>
      </c>
      <c r="E738" s="322" t="s">
        <v>682</v>
      </c>
      <c r="F738" s="322">
        <v>4</v>
      </c>
      <c r="G738" s="425">
        <f t="shared" si="13"/>
        <v>0</v>
      </c>
    </row>
    <row r="739" spans="2:7">
      <c r="B739" s="323">
        <v>45944</v>
      </c>
      <c r="C739" s="325" t="s">
        <v>1311</v>
      </c>
      <c r="D739" s="322">
        <v>1</v>
      </c>
      <c r="E739" s="322" t="s">
        <v>682</v>
      </c>
      <c r="F739" s="322">
        <v>1</v>
      </c>
      <c r="G739" s="425">
        <f t="shared" si="13"/>
        <v>0</v>
      </c>
    </row>
    <row r="740" spans="2:7">
      <c r="B740" s="323">
        <v>45944</v>
      </c>
      <c r="C740" s="324" t="s">
        <v>1387</v>
      </c>
      <c r="D740" s="322">
        <v>1</v>
      </c>
      <c r="E740" s="322" t="s">
        <v>682</v>
      </c>
      <c r="F740" s="322">
        <v>1</v>
      </c>
      <c r="G740" s="425">
        <f t="shared" si="13"/>
        <v>0</v>
      </c>
    </row>
    <row r="741" spans="2:7">
      <c r="B741" s="323">
        <v>45944</v>
      </c>
      <c r="C741" s="325" t="s">
        <v>1291</v>
      </c>
      <c r="D741" s="322">
        <v>1</v>
      </c>
      <c r="E741" s="322" t="s">
        <v>682</v>
      </c>
      <c r="F741" s="322">
        <v>1</v>
      </c>
      <c r="G741" s="425">
        <f t="shared" si="13"/>
        <v>0</v>
      </c>
    </row>
    <row r="742" spans="2:7">
      <c r="B742" s="323">
        <v>45944</v>
      </c>
      <c r="C742" s="325" t="s">
        <v>806</v>
      </c>
      <c r="D742" s="322">
        <v>1</v>
      </c>
      <c r="E742" s="322" t="s">
        <v>682</v>
      </c>
      <c r="F742" s="322">
        <v>1</v>
      </c>
      <c r="G742" s="425">
        <f t="shared" si="13"/>
        <v>0</v>
      </c>
    </row>
    <row r="743" spans="2:7">
      <c r="B743" s="323">
        <v>45944</v>
      </c>
      <c r="C743" s="425" t="s">
        <v>1148</v>
      </c>
      <c r="D743" s="322">
        <v>1</v>
      </c>
      <c r="E743" s="322" t="s">
        <v>682</v>
      </c>
      <c r="F743" s="322">
        <v>1</v>
      </c>
      <c r="G743" s="425">
        <f t="shared" si="13"/>
        <v>0</v>
      </c>
    </row>
    <row r="744" spans="2:7">
      <c r="B744" s="323">
        <v>45944</v>
      </c>
      <c r="C744" s="425" t="s">
        <v>1149</v>
      </c>
      <c r="D744" s="322">
        <v>1</v>
      </c>
      <c r="E744" s="322" t="s">
        <v>682</v>
      </c>
      <c r="F744" s="322">
        <v>1</v>
      </c>
      <c r="G744" s="425">
        <f t="shared" si="13"/>
        <v>0</v>
      </c>
    </row>
    <row r="745" spans="2:7">
      <c r="B745" s="323">
        <v>45944</v>
      </c>
      <c r="C745" s="425" t="s">
        <v>1147</v>
      </c>
      <c r="D745" s="322">
        <v>1</v>
      </c>
      <c r="E745" s="322" t="s">
        <v>682</v>
      </c>
      <c r="F745" s="322">
        <v>1</v>
      </c>
      <c r="G745" s="425">
        <f t="shared" si="13"/>
        <v>0</v>
      </c>
    </row>
    <row r="746" spans="2:7">
      <c r="B746" s="323">
        <v>45944</v>
      </c>
      <c r="C746" s="325" t="s">
        <v>1246</v>
      </c>
      <c r="D746" s="322">
        <v>1</v>
      </c>
      <c r="E746" s="322" t="s">
        <v>682</v>
      </c>
      <c r="F746" s="322">
        <v>1</v>
      </c>
      <c r="G746" s="425">
        <f t="shared" si="13"/>
        <v>0</v>
      </c>
    </row>
    <row r="747" spans="2:7">
      <c r="B747" s="323">
        <v>45944</v>
      </c>
      <c r="C747" s="325" t="s">
        <v>1096</v>
      </c>
      <c r="D747" s="322">
        <v>2</v>
      </c>
      <c r="E747" s="322" t="s">
        <v>682</v>
      </c>
      <c r="F747" s="322">
        <v>2</v>
      </c>
      <c r="G747" s="425">
        <f t="shared" si="13"/>
        <v>0</v>
      </c>
    </row>
    <row r="748" spans="2:7">
      <c r="B748" s="346">
        <v>45947</v>
      </c>
      <c r="C748" s="349" t="s">
        <v>1095</v>
      </c>
      <c r="D748" s="348">
        <v>1</v>
      </c>
      <c r="E748" s="348" t="s">
        <v>921</v>
      </c>
      <c r="F748" s="348">
        <v>1</v>
      </c>
      <c r="G748" s="351">
        <f t="shared" si="13"/>
        <v>0</v>
      </c>
    </row>
    <row r="749" spans="2:7">
      <c r="B749" s="346">
        <v>45947</v>
      </c>
      <c r="C749" s="349" t="s">
        <v>976</v>
      </c>
      <c r="D749" s="348">
        <v>1</v>
      </c>
      <c r="E749" s="348" t="s">
        <v>921</v>
      </c>
      <c r="F749" s="348">
        <v>1</v>
      </c>
      <c r="G749" s="351">
        <f t="shared" si="13"/>
        <v>0</v>
      </c>
    </row>
    <row r="750" spans="2:7">
      <c r="B750" s="346">
        <v>45947</v>
      </c>
      <c r="C750" s="349" t="s">
        <v>1397</v>
      </c>
      <c r="D750" s="348">
        <v>2</v>
      </c>
      <c r="E750" s="348" t="s">
        <v>921</v>
      </c>
      <c r="F750" s="348">
        <v>2</v>
      </c>
      <c r="G750" s="351">
        <f t="shared" si="13"/>
        <v>0</v>
      </c>
    </row>
    <row r="751" spans="2:7">
      <c r="B751" s="346">
        <v>45947</v>
      </c>
      <c r="C751" s="349" t="s">
        <v>1386</v>
      </c>
      <c r="D751" s="348">
        <v>1</v>
      </c>
      <c r="E751" s="348" t="s">
        <v>921</v>
      </c>
      <c r="F751" s="348">
        <v>1</v>
      </c>
      <c r="G751" s="351">
        <f t="shared" si="13"/>
        <v>0</v>
      </c>
    </row>
    <row r="752" spans="2:7">
      <c r="B752" s="346">
        <v>45947</v>
      </c>
      <c r="C752" s="347" t="s">
        <v>919</v>
      </c>
      <c r="D752" s="348">
        <v>1</v>
      </c>
      <c r="E752" s="348" t="s">
        <v>921</v>
      </c>
      <c r="F752" s="348">
        <v>1</v>
      </c>
      <c r="G752" s="351">
        <f t="shared" si="13"/>
        <v>0</v>
      </c>
    </row>
    <row r="753" spans="2:7">
      <c r="B753" s="346">
        <v>45947</v>
      </c>
      <c r="C753" s="350" t="s">
        <v>928</v>
      </c>
      <c r="D753" s="348">
        <v>3</v>
      </c>
      <c r="E753" s="348" t="s">
        <v>921</v>
      </c>
      <c r="F753" s="348">
        <v>3</v>
      </c>
      <c r="G753" s="351">
        <f t="shared" si="13"/>
        <v>0</v>
      </c>
    </row>
    <row r="754" spans="2:7">
      <c r="B754" s="346">
        <v>45947</v>
      </c>
      <c r="C754" s="347" t="s">
        <v>134</v>
      </c>
      <c r="D754" s="348">
        <v>6</v>
      </c>
      <c r="E754" s="348" t="s">
        <v>921</v>
      </c>
      <c r="F754" s="348">
        <v>6</v>
      </c>
      <c r="G754" s="351">
        <f t="shared" si="13"/>
        <v>0</v>
      </c>
    </row>
    <row r="755" spans="2:7">
      <c r="B755" s="346">
        <v>45947</v>
      </c>
      <c r="C755" s="347" t="s">
        <v>134</v>
      </c>
      <c r="D755" s="348">
        <v>1</v>
      </c>
      <c r="E755" s="348" t="s">
        <v>921</v>
      </c>
      <c r="F755" s="348">
        <v>1</v>
      </c>
      <c r="G755" s="351">
        <f t="shared" si="13"/>
        <v>0</v>
      </c>
    </row>
    <row r="756" spans="2:7">
      <c r="B756" s="346">
        <v>45947</v>
      </c>
      <c r="C756" s="349" t="s">
        <v>167</v>
      </c>
      <c r="D756" s="348">
        <v>1</v>
      </c>
      <c r="E756" s="348" t="s">
        <v>921</v>
      </c>
      <c r="F756" s="348">
        <v>1</v>
      </c>
      <c r="G756" s="351">
        <f t="shared" si="13"/>
        <v>0</v>
      </c>
    </row>
    <row r="757" spans="2:7">
      <c r="B757" s="346">
        <v>45947</v>
      </c>
      <c r="C757" s="349" t="s">
        <v>167</v>
      </c>
      <c r="D757" s="348">
        <v>2</v>
      </c>
      <c r="E757" s="348" t="s">
        <v>921</v>
      </c>
      <c r="F757" s="348">
        <v>2</v>
      </c>
      <c r="G757" s="351">
        <f t="shared" si="13"/>
        <v>0</v>
      </c>
    </row>
    <row r="758" spans="2:7">
      <c r="B758" s="346">
        <v>45947</v>
      </c>
      <c r="C758" s="349" t="s">
        <v>166</v>
      </c>
      <c r="D758" s="348">
        <v>5</v>
      </c>
      <c r="E758" s="348" t="s">
        <v>921</v>
      </c>
      <c r="F758" s="348">
        <v>5</v>
      </c>
      <c r="G758" s="351">
        <f t="shared" si="13"/>
        <v>0</v>
      </c>
    </row>
    <row r="759" spans="2:7">
      <c r="B759" s="346">
        <v>45947</v>
      </c>
      <c r="C759" s="349" t="s">
        <v>169</v>
      </c>
      <c r="D759" s="348">
        <v>2</v>
      </c>
      <c r="E759" s="348" t="s">
        <v>921</v>
      </c>
      <c r="F759" s="348">
        <v>2</v>
      </c>
      <c r="G759" s="351">
        <f t="shared" si="13"/>
        <v>0</v>
      </c>
    </row>
    <row r="760" spans="2:7">
      <c r="B760" s="346">
        <v>45947</v>
      </c>
      <c r="C760" s="349" t="s">
        <v>1326</v>
      </c>
      <c r="D760" s="348">
        <v>6</v>
      </c>
      <c r="E760" s="348" t="s">
        <v>921</v>
      </c>
      <c r="F760" s="348">
        <v>6</v>
      </c>
      <c r="G760" s="351">
        <f t="shared" si="13"/>
        <v>0</v>
      </c>
    </row>
    <row r="761" spans="2:7">
      <c r="B761" s="346">
        <v>45947</v>
      </c>
      <c r="C761" s="349" t="s">
        <v>1271</v>
      </c>
      <c r="D761" s="348">
        <v>2</v>
      </c>
      <c r="E761" s="348" t="s">
        <v>921</v>
      </c>
      <c r="F761" s="348">
        <v>2</v>
      </c>
      <c r="G761" s="351">
        <f t="shared" si="13"/>
        <v>0</v>
      </c>
    </row>
    <row r="762" spans="2:7">
      <c r="B762" s="346">
        <v>45947</v>
      </c>
      <c r="C762" s="349" t="s">
        <v>1327</v>
      </c>
      <c r="D762" s="348">
        <v>2</v>
      </c>
      <c r="E762" s="348" t="s">
        <v>921</v>
      </c>
      <c r="F762" s="348">
        <v>2</v>
      </c>
      <c r="G762" s="351">
        <f t="shared" si="13"/>
        <v>0</v>
      </c>
    </row>
    <row r="763" spans="2:7">
      <c r="B763" s="346">
        <v>45947</v>
      </c>
      <c r="C763" s="349" t="s">
        <v>1327</v>
      </c>
      <c r="D763" s="348">
        <v>1</v>
      </c>
      <c r="E763" s="348" t="s">
        <v>921</v>
      </c>
      <c r="F763" s="348">
        <v>1</v>
      </c>
      <c r="G763" s="351">
        <f t="shared" si="13"/>
        <v>0</v>
      </c>
    </row>
    <row r="764" spans="2:7">
      <c r="B764" s="346">
        <v>45947</v>
      </c>
      <c r="C764" s="347" t="s">
        <v>1387</v>
      </c>
      <c r="D764" s="348">
        <v>1</v>
      </c>
      <c r="E764" s="348" t="s">
        <v>921</v>
      </c>
      <c r="F764" s="348">
        <v>1</v>
      </c>
      <c r="G764" s="351">
        <f t="shared" si="13"/>
        <v>0</v>
      </c>
    </row>
    <row r="765" spans="2:7">
      <c r="B765" s="346">
        <v>45947</v>
      </c>
      <c r="C765" s="349" t="s">
        <v>1334</v>
      </c>
      <c r="D765" s="348">
        <v>1</v>
      </c>
      <c r="E765" s="348" t="s">
        <v>921</v>
      </c>
      <c r="F765" s="348">
        <v>1</v>
      </c>
      <c r="G765" s="351">
        <f t="shared" si="13"/>
        <v>0</v>
      </c>
    </row>
    <row r="766" spans="2:7">
      <c r="B766" s="346">
        <v>45947</v>
      </c>
      <c r="C766" s="349" t="s">
        <v>1334</v>
      </c>
      <c r="D766" s="348">
        <v>1</v>
      </c>
      <c r="E766" s="348" t="s">
        <v>921</v>
      </c>
      <c r="F766" s="348">
        <v>1</v>
      </c>
      <c r="G766" s="351">
        <f t="shared" si="13"/>
        <v>0</v>
      </c>
    </row>
    <row r="767" spans="2:7">
      <c r="B767" s="346">
        <v>45947</v>
      </c>
      <c r="C767" s="349" t="s">
        <v>1291</v>
      </c>
      <c r="D767" s="348">
        <v>3</v>
      </c>
      <c r="E767" s="348" t="s">
        <v>921</v>
      </c>
      <c r="F767" s="348">
        <v>3</v>
      </c>
      <c r="G767" s="351">
        <f t="shared" si="13"/>
        <v>0</v>
      </c>
    </row>
    <row r="768" spans="2:7">
      <c r="B768" s="346">
        <v>45947</v>
      </c>
      <c r="C768" s="351" t="s">
        <v>932</v>
      </c>
      <c r="D768" s="348">
        <v>3</v>
      </c>
      <c r="E768" s="348" t="s">
        <v>921</v>
      </c>
      <c r="F768" s="348">
        <v>3</v>
      </c>
      <c r="G768" s="351">
        <f t="shared" si="13"/>
        <v>0</v>
      </c>
    </row>
    <row r="769" spans="2:7">
      <c r="B769" s="323">
        <v>45946</v>
      </c>
      <c r="C769" s="325" t="s">
        <v>1249</v>
      </c>
      <c r="D769" s="322">
        <v>1</v>
      </c>
      <c r="E769" s="322" t="s">
        <v>682</v>
      </c>
      <c r="F769" s="322">
        <v>1</v>
      </c>
      <c r="G769" s="425">
        <f t="shared" si="13"/>
        <v>0</v>
      </c>
    </row>
    <row r="770" spans="2:7">
      <c r="B770" s="323">
        <v>45946</v>
      </c>
      <c r="C770" s="325" t="s">
        <v>1246</v>
      </c>
      <c r="D770" s="322">
        <v>3</v>
      </c>
      <c r="E770" s="322" t="s">
        <v>682</v>
      </c>
      <c r="F770" s="322">
        <v>3</v>
      </c>
      <c r="G770" s="425">
        <f t="shared" ref="G770:G833" si="14">D770-F770</f>
        <v>0</v>
      </c>
    </row>
    <row r="771" spans="2:7">
      <c r="B771" s="323">
        <v>45946</v>
      </c>
      <c r="C771" s="325" t="s">
        <v>1290</v>
      </c>
      <c r="D771" s="322">
        <v>1</v>
      </c>
      <c r="E771" s="322" t="s">
        <v>682</v>
      </c>
      <c r="F771" s="322">
        <v>1</v>
      </c>
      <c r="G771" s="425">
        <f t="shared" si="14"/>
        <v>0</v>
      </c>
    </row>
    <row r="772" spans="2:7">
      <c r="B772" s="323">
        <v>45946</v>
      </c>
      <c r="C772" s="325" t="s">
        <v>1249</v>
      </c>
      <c r="D772" s="322">
        <v>2</v>
      </c>
      <c r="E772" s="322" t="s">
        <v>682</v>
      </c>
      <c r="F772" s="322">
        <v>2</v>
      </c>
      <c r="G772" s="425">
        <f t="shared" si="14"/>
        <v>0</v>
      </c>
    </row>
    <row r="773" spans="2:7">
      <c r="B773" s="323">
        <v>45946</v>
      </c>
      <c r="C773" s="325" t="s">
        <v>1246</v>
      </c>
      <c r="D773" s="322">
        <v>3</v>
      </c>
      <c r="E773" s="322" t="s">
        <v>682</v>
      </c>
      <c r="F773" s="322">
        <v>3</v>
      </c>
      <c r="G773" s="425">
        <f t="shared" si="14"/>
        <v>0</v>
      </c>
    </row>
    <row r="774" spans="2:7">
      <c r="B774" s="323">
        <v>45946</v>
      </c>
      <c r="C774" s="325" t="s">
        <v>1407</v>
      </c>
      <c r="D774" s="322">
        <v>1</v>
      </c>
      <c r="E774" s="322" t="s">
        <v>682</v>
      </c>
      <c r="F774" s="322">
        <v>1</v>
      </c>
      <c r="G774" s="425">
        <f t="shared" si="14"/>
        <v>0</v>
      </c>
    </row>
    <row r="775" spans="2:7">
      <c r="B775" s="323">
        <v>45946</v>
      </c>
      <c r="C775" s="325" t="s">
        <v>1301</v>
      </c>
      <c r="D775" s="322">
        <v>3</v>
      </c>
      <c r="E775" s="322" t="s">
        <v>682</v>
      </c>
      <c r="F775" s="322">
        <v>3</v>
      </c>
      <c r="G775" s="425">
        <f t="shared" si="14"/>
        <v>0</v>
      </c>
    </row>
    <row r="776" spans="2:7">
      <c r="B776" s="323">
        <v>45946</v>
      </c>
      <c r="C776" s="325" t="s">
        <v>1271</v>
      </c>
      <c r="D776" s="322">
        <v>7</v>
      </c>
      <c r="E776" s="322" t="s">
        <v>682</v>
      </c>
      <c r="F776" s="322">
        <v>7</v>
      </c>
      <c r="G776" s="425">
        <f t="shared" si="14"/>
        <v>0</v>
      </c>
    </row>
    <row r="777" spans="2:7">
      <c r="B777" s="323">
        <v>45946</v>
      </c>
      <c r="C777" s="325" t="s">
        <v>1271</v>
      </c>
      <c r="D777" s="322">
        <v>1</v>
      </c>
      <c r="E777" s="322" t="s">
        <v>682</v>
      </c>
      <c r="F777" s="322">
        <v>1</v>
      </c>
      <c r="G777" s="425">
        <f t="shared" si="14"/>
        <v>0</v>
      </c>
    </row>
    <row r="778" spans="2:7">
      <c r="B778" s="323">
        <v>45946</v>
      </c>
      <c r="C778" s="325" t="s">
        <v>1407</v>
      </c>
      <c r="D778" s="322">
        <v>1</v>
      </c>
      <c r="E778" s="322" t="s">
        <v>682</v>
      </c>
      <c r="F778" s="322">
        <v>1</v>
      </c>
      <c r="G778" s="425">
        <f t="shared" si="14"/>
        <v>0</v>
      </c>
    </row>
    <row r="779" spans="2:7">
      <c r="B779" s="323">
        <v>45946</v>
      </c>
      <c r="C779" s="325" t="s">
        <v>1301</v>
      </c>
      <c r="D779" s="322">
        <v>3</v>
      </c>
      <c r="E779" s="322" t="s">
        <v>682</v>
      </c>
      <c r="F779" s="322">
        <v>3</v>
      </c>
      <c r="G779" s="425">
        <f t="shared" si="14"/>
        <v>0</v>
      </c>
    </row>
    <row r="780" spans="2:7">
      <c r="B780" s="323">
        <v>45946</v>
      </c>
      <c r="C780" s="325" t="s">
        <v>1271</v>
      </c>
      <c r="D780" s="322">
        <v>4</v>
      </c>
      <c r="E780" s="322" t="s">
        <v>682</v>
      </c>
      <c r="F780" s="322">
        <v>4</v>
      </c>
      <c r="G780" s="425">
        <f t="shared" si="14"/>
        <v>0</v>
      </c>
    </row>
    <row r="781" spans="2:7">
      <c r="B781" s="323">
        <v>45946</v>
      </c>
      <c r="C781" s="325" t="s">
        <v>1408</v>
      </c>
      <c r="D781" s="322">
        <v>1</v>
      </c>
      <c r="E781" s="322" t="s">
        <v>682</v>
      </c>
      <c r="F781" s="322">
        <v>1</v>
      </c>
      <c r="G781" s="425">
        <f t="shared" si="14"/>
        <v>0</v>
      </c>
    </row>
    <row r="782" spans="2:7">
      <c r="B782" s="323">
        <v>45946</v>
      </c>
      <c r="C782" s="325" t="s">
        <v>1327</v>
      </c>
      <c r="D782" s="322">
        <v>4</v>
      </c>
      <c r="E782" s="322" t="s">
        <v>682</v>
      </c>
      <c r="F782" s="322">
        <v>4</v>
      </c>
      <c r="G782" s="425">
        <f t="shared" si="14"/>
        <v>0</v>
      </c>
    </row>
    <row r="783" spans="2:7">
      <c r="B783" s="323">
        <v>45946</v>
      </c>
      <c r="C783" s="426" t="s">
        <v>928</v>
      </c>
      <c r="D783" s="322">
        <v>1</v>
      </c>
      <c r="E783" s="322" t="s">
        <v>682</v>
      </c>
      <c r="F783" s="322">
        <v>1</v>
      </c>
      <c r="G783" s="425">
        <f t="shared" si="14"/>
        <v>0</v>
      </c>
    </row>
    <row r="784" spans="2:7">
      <c r="B784" s="323">
        <v>45946</v>
      </c>
      <c r="C784" s="325" t="s">
        <v>973</v>
      </c>
      <c r="D784" s="322">
        <v>1</v>
      </c>
      <c r="E784" s="322" t="s">
        <v>682</v>
      </c>
      <c r="F784" s="322">
        <v>1</v>
      </c>
      <c r="G784" s="425">
        <f t="shared" si="14"/>
        <v>0</v>
      </c>
    </row>
    <row r="785" spans="2:7">
      <c r="B785" s="323">
        <v>45946</v>
      </c>
      <c r="C785" s="426" t="s">
        <v>928</v>
      </c>
      <c r="D785" s="322">
        <v>1</v>
      </c>
      <c r="E785" s="322" t="s">
        <v>682</v>
      </c>
      <c r="F785" s="322">
        <v>1</v>
      </c>
      <c r="G785" s="425">
        <f t="shared" si="14"/>
        <v>0</v>
      </c>
    </row>
    <row r="786" spans="2:7">
      <c r="B786" s="323">
        <v>45946</v>
      </c>
      <c r="C786" s="324" t="s">
        <v>134</v>
      </c>
      <c r="D786" s="322">
        <v>4</v>
      </c>
      <c r="E786" s="322" t="s">
        <v>682</v>
      </c>
      <c r="F786" s="322">
        <v>4</v>
      </c>
      <c r="G786" s="425">
        <f t="shared" si="14"/>
        <v>0</v>
      </c>
    </row>
    <row r="787" spans="2:7">
      <c r="B787" s="323">
        <v>45946</v>
      </c>
      <c r="C787" s="426" t="s">
        <v>928</v>
      </c>
      <c r="D787" s="322">
        <v>1</v>
      </c>
      <c r="E787" s="322" t="s">
        <v>682</v>
      </c>
      <c r="F787" s="322">
        <v>1</v>
      </c>
      <c r="G787" s="425">
        <f t="shared" si="14"/>
        <v>0</v>
      </c>
    </row>
    <row r="788" spans="2:7">
      <c r="B788" s="323">
        <v>45946</v>
      </c>
      <c r="C788" s="324" t="s">
        <v>919</v>
      </c>
      <c r="D788" s="322">
        <v>2</v>
      </c>
      <c r="E788" s="322" t="s">
        <v>682</v>
      </c>
      <c r="F788" s="322">
        <v>2</v>
      </c>
      <c r="G788" s="425">
        <f t="shared" si="14"/>
        <v>0</v>
      </c>
    </row>
    <row r="789" spans="2:7">
      <c r="B789" s="323">
        <v>45946</v>
      </c>
      <c r="C789" s="324" t="s">
        <v>919</v>
      </c>
      <c r="D789" s="322">
        <v>2</v>
      </c>
      <c r="E789" s="322" t="s">
        <v>682</v>
      </c>
      <c r="F789" s="322">
        <v>2</v>
      </c>
      <c r="G789" s="425">
        <f t="shared" si="14"/>
        <v>0</v>
      </c>
    </row>
    <row r="790" spans="2:7">
      <c r="B790" s="323">
        <v>45946</v>
      </c>
      <c r="C790" s="325" t="s">
        <v>1152</v>
      </c>
      <c r="D790" s="322">
        <v>2</v>
      </c>
      <c r="E790" s="322" t="s">
        <v>682</v>
      </c>
      <c r="F790" s="322">
        <v>2</v>
      </c>
      <c r="G790" s="425">
        <f t="shared" si="14"/>
        <v>0</v>
      </c>
    </row>
    <row r="791" spans="2:7">
      <c r="B791" s="323">
        <v>45946</v>
      </c>
      <c r="C791" s="325" t="s">
        <v>1095</v>
      </c>
      <c r="D791" s="322">
        <v>2</v>
      </c>
      <c r="E791" s="322" t="s">
        <v>682</v>
      </c>
      <c r="F791" s="322">
        <v>2</v>
      </c>
      <c r="G791" s="425">
        <f t="shared" si="14"/>
        <v>0</v>
      </c>
    </row>
    <row r="792" spans="2:7">
      <c r="B792" s="323">
        <v>45946</v>
      </c>
      <c r="C792" s="325" t="s">
        <v>1404</v>
      </c>
      <c r="D792" s="322">
        <v>3</v>
      </c>
      <c r="E792" s="322" t="s">
        <v>682</v>
      </c>
      <c r="F792" s="322">
        <v>3</v>
      </c>
      <c r="G792" s="425">
        <f t="shared" si="14"/>
        <v>0</v>
      </c>
    </row>
    <row r="793" spans="2:7">
      <c r="B793" s="323">
        <v>45946</v>
      </c>
      <c r="C793" s="425" t="s">
        <v>1148</v>
      </c>
      <c r="D793" s="322">
        <v>1</v>
      </c>
      <c r="E793" s="322" t="s">
        <v>682</v>
      </c>
      <c r="F793" s="322">
        <v>1</v>
      </c>
      <c r="G793" s="425">
        <f t="shared" si="14"/>
        <v>0</v>
      </c>
    </row>
    <row r="794" spans="2:7">
      <c r="B794" s="323">
        <v>45946</v>
      </c>
      <c r="C794" s="325" t="s">
        <v>1409</v>
      </c>
      <c r="D794" s="322">
        <v>4</v>
      </c>
      <c r="E794" s="322" t="s">
        <v>682</v>
      </c>
      <c r="F794" s="322">
        <v>4</v>
      </c>
      <c r="G794" s="425">
        <f t="shared" si="14"/>
        <v>0</v>
      </c>
    </row>
    <row r="795" spans="2:7">
      <c r="B795" s="323">
        <v>45946</v>
      </c>
      <c r="C795" s="325" t="s">
        <v>1311</v>
      </c>
      <c r="D795" s="322">
        <v>1</v>
      </c>
      <c r="E795" s="322" t="s">
        <v>682</v>
      </c>
      <c r="F795" s="322">
        <v>1</v>
      </c>
      <c r="G795" s="425">
        <f t="shared" si="14"/>
        <v>0</v>
      </c>
    </row>
    <row r="796" spans="2:7">
      <c r="B796" s="323">
        <v>45946</v>
      </c>
      <c r="C796" s="325" t="s">
        <v>1291</v>
      </c>
      <c r="D796" s="322">
        <v>2</v>
      </c>
      <c r="E796" s="322" t="s">
        <v>682</v>
      </c>
      <c r="F796" s="322">
        <v>2</v>
      </c>
      <c r="G796" s="425">
        <f t="shared" si="14"/>
        <v>0</v>
      </c>
    </row>
    <row r="797" spans="2:7">
      <c r="B797" s="323">
        <v>45946</v>
      </c>
      <c r="C797" s="325" t="s">
        <v>1334</v>
      </c>
      <c r="D797" s="322">
        <v>1</v>
      </c>
      <c r="E797" s="322" t="s">
        <v>682</v>
      </c>
      <c r="F797" s="322">
        <v>1</v>
      </c>
      <c r="G797" s="425">
        <f t="shared" si="14"/>
        <v>0</v>
      </c>
    </row>
    <row r="798" spans="2:7">
      <c r="B798" s="323">
        <v>45946</v>
      </c>
      <c r="C798" s="325" t="s">
        <v>1406</v>
      </c>
      <c r="D798" s="322">
        <v>1</v>
      </c>
      <c r="E798" s="322" t="s">
        <v>682</v>
      </c>
      <c r="F798" s="322">
        <v>1</v>
      </c>
      <c r="G798" s="425">
        <f t="shared" si="14"/>
        <v>0</v>
      </c>
    </row>
    <row r="799" spans="2:7">
      <c r="B799" s="323">
        <v>45946</v>
      </c>
      <c r="C799" s="324" t="s">
        <v>131</v>
      </c>
      <c r="D799" s="322">
        <v>3</v>
      </c>
      <c r="E799" s="322" t="s">
        <v>682</v>
      </c>
      <c r="F799" s="322">
        <v>3</v>
      </c>
      <c r="G799" s="425">
        <f t="shared" si="14"/>
        <v>0</v>
      </c>
    </row>
    <row r="800" spans="2:7">
      <c r="B800" s="323">
        <v>45946</v>
      </c>
      <c r="C800" s="324" t="s">
        <v>960</v>
      </c>
      <c r="D800" s="322">
        <v>14</v>
      </c>
      <c r="E800" s="322" t="s">
        <v>682</v>
      </c>
      <c r="F800" s="322">
        <v>14</v>
      </c>
      <c r="G800" s="425">
        <f t="shared" si="14"/>
        <v>0</v>
      </c>
    </row>
    <row r="801" spans="2:7">
      <c r="B801" s="437">
        <v>45948</v>
      </c>
      <c r="C801" s="222" t="s">
        <v>1410</v>
      </c>
      <c r="D801" s="458">
        <v>6</v>
      </c>
      <c r="E801" s="220" t="s">
        <v>1411</v>
      </c>
      <c r="F801" s="458">
        <v>6</v>
      </c>
      <c r="G801" s="221">
        <f t="shared" si="14"/>
        <v>0</v>
      </c>
    </row>
    <row r="802" spans="2:7">
      <c r="B802" s="464">
        <v>45948</v>
      </c>
      <c r="C802" s="465" t="s">
        <v>1407</v>
      </c>
      <c r="D802" s="466">
        <v>1</v>
      </c>
      <c r="E802" s="466" t="s">
        <v>1231</v>
      </c>
      <c r="F802" s="466">
        <v>1</v>
      </c>
      <c r="G802" s="470">
        <f t="shared" si="14"/>
        <v>0</v>
      </c>
    </row>
    <row r="803" spans="2:7">
      <c r="B803" s="464">
        <v>45948</v>
      </c>
      <c r="C803" s="465" t="s">
        <v>1249</v>
      </c>
      <c r="D803" s="466">
        <v>2</v>
      </c>
      <c r="E803" s="466" t="s">
        <v>1231</v>
      </c>
      <c r="F803" s="466">
        <v>2</v>
      </c>
      <c r="G803" s="470">
        <f t="shared" si="14"/>
        <v>0</v>
      </c>
    </row>
    <row r="804" spans="2:7">
      <c r="B804" s="464">
        <v>45948</v>
      </c>
      <c r="C804" s="465" t="s">
        <v>1301</v>
      </c>
      <c r="D804" s="466">
        <v>2</v>
      </c>
      <c r="E804" s="466" t="s">
        <v>1231</v>
      </c>
      <c r="F804" s="466">
        <v>2</v>
      </c>
      <c r="G804" s="470">
        <f t="shared" si="14"/>
        <v>0</v>
      </c>
    </row>
    <row r="805" spans="2:7">
      <c r="B805" s="464">
        <v>45948</v>
      </c>
      <c r="C805" s="465" t="s">
        <v>1289</v>
      </c>
      <c r="D805" s="466">
        <v>1</v>
      </c>
      <c r="E805" s="466" t="s">
        <v>1231</v>
      </c>
      <c r="F805" s="466">
        <v>1</v>
      </c>
      <c r="G805" s="470">
        <f t="shared" si="14"/>
        <v>0</v>
      </c>
    </row>
    <row r="806" spans="2:7">
      <c r="B806" s="464">
        <v>45948</v>
      </c>
      <c r="C806" s="465" t="s">
        <v>1271</v>
      </c>
      <c r="D806" s="466">
        <v>9</v>
      </c>
      <c r="E806" s="466" t="s">
        <v>1231</v>
      </c>
      <c r="F806" s="466">
        <v>9</v>
      </c>
      <c r="G806" s="470">
        <f t="shared" si="14"/>
        <v>0</v>
      </c>
    </row>
    <row r="807" spans="2:7">
      <c r="B807" s="464">
        <v>45948</v>
      </c>
      <c r="C807" s="465" t="s">
        <v>1301</v>
      </c>
      <c r="D807" s="466">
        <v>1</v>
      </c>
      <c r="E807" s="466" t="s">
        <v>1231</v>
      </c>
      <c r="F807" s="466">
        <v>1</v>
      </c>
      <c r="G807" s="470">
        <f t="shared" si="14"/>
        <v>0</v>
      </c>
    </row>
    <row r="808" spans="2:7">
      <c r="B808" s="464">
        <v>45948</v>
      </c>
      <c r="C808" s="465" t="s">
        <v>1326</v>
      </c>
      <c r="D808" s="466">
        <v>4</v>
      </c>
      <c r="E808" s="466" t="s">
        <v>1231</v>
      </c>
      <c r="F808" s="466">
        <v>4</v>
      </c>
      <c r="G808" s="470">
        <f t="shared" si="14"/>
        <v>0</v>
      </c>
    </row>
    <row r="809" spans="2:7">
      <c r="B809" s="464">
        <v>45948</v>
      </c>
      <c r="C809" s="469" t="s">
        <v>134</v>
      </c>
      <c r="D809" s="466">
        <v>4</v>
      </c>
      <c r="E809" s="466" t="s">
        <v>1231</v>
      </c>
      <c r="F809" s="466">
        <v>4</v>
      </c>
      <c r="G809" s="470">
        <f t="shared" si="14"/>
        <v>0</v>
      </c>
    </row>
    <row r="810" spans="2:7">
      <c r="B810" s="464">
        <v>45948</v>
      </c>
      <c r="C810" s="469" t="s">
        <v>134</v>
      </c>
      <c r="D810" s="466">
        <v>2</v>
      </c>
      <c r="E810" s="466" t="s">
        <v>1231</v>
      </c>
      <c r="F810" s="466">
        <v>2</v>
      </c>
      <c r="G810" s="470">
        <f t="shared" si="14"/>
        <v>0</v>
      </c>
    </row>
    <row r="811" spans="2:7">
      <c r="B811" s="464">
        <v>45948</v>
      </c>
      <c r="C811" s="465" t="s">
        <v>1327</v>
      </c>
      <c r="D811" s="466">
        <v>7</v>
      </c>
      <c r="E811" s="466" t="s">
        <v>1231</v>
      </c>
      <c r="F811" s="466">
        <v>7</v>
      </c>
      <c r="G811" s="470">
        <f t="shared" si="14"/>
        <v>0</v>
      </c>
    </row>
    <row r="812" spans="2:7">
      <c r="B812" s="464">
        <v>45948</v>
      </c>
      <c r="C812" s="465" t="s">
        <v>169</v>
      </c>
      <c r="D812" s="466">
        <v>5</v>
      </c>
      <c r="E812" s="466" t="s">
        <v>1231</v>
      </c>
      <c r="F812" s="466">
        <v>5</v>
      </c>
      <c r="G812" s="470">
        <f t="shared" si="14"/>
        <v>0</v>
      </c>
    </row>
    <row r="813" spans="2:7">
      <c r="B813" s="464">
        <v>45948</v>
      </c>
      <c r="C813" s="465" t="s">
        <v>167</v>
      </c>
      <c r="D813" s="466">
        <v>3</v>
      </c>
      <c r="E813" s="466" t="s">
        <v>1231</v>
      </c>
      <c r="F813" s="466">
        <v>3</v>
      </c>
      <c r="G813" s="470">
        <f t="shared" si="14"/>
        <v>0</v>
      </c>
    </row>
    <row r="814" spans="2:7">
      <c r="B814" s="464">
        <v>45948</v>
      </c>
      <c r="C814" s="469" t="s">
        <v>134</v>
      </c>
      <c r="D814" s="466">
        <v>1</v>
      </c>
      <c r="E814" s="466" t="s">
        <v>1231</v>
      </c>
      <c r="F814" s="466">
        <v>1</v>
      </c>
      <c r="G814" s="470">
        <f t="shared" si="14"/>
        <v>0</v>
      </c>
    </row>
    <row r="815" spans="2:7">
      <c r="B815" s="464">
        <v>45948</v>
      </c>
      <c r="C815" s="465" t="s">
        <v>1301</v>
      </c>
      <c r="D815" s="466">
        <v>1</v>
      </c>
      <c r="E815" s="466" t="s">
        <v>1231</v>
      </c>
      <c r="F815" s="466">
        <v>1</v>
      </c>
      <c r="G815" s="470">
        <f t="shared" si="14"/>
        <v>0</v>
      </c>
    </row>
    <row r="816" spans="2:7">
      <c r="B816" s="464">
        <v>45948</v>
      </c>
      <c r="C816" s="465" t="s">
        <v>1318</v>
      </c>
      <c r="D816" s="466">
        <v>2</v>
      </c>
      <c r="E816" s="466" t="s">
        <v>1231</v>
      </c>
      <c r="F816" s="466">
        <v>2</v>
      </c>
      <c r="G816" s="470">
        <f t="shared" si="14"/>
        <v>0</v>
      </c>
    </row>
    <row r="817" spans="2:7">
      <c r="B817" s="464">
        <v>45948</v>
      </c>
      <c r="C817" s="465" t="s">
        <v>1246</v>
      </c>
      <c r="D817" s="466">
        <v>1</v>
      </c>
      <c r="E817" s="466" t="s">
        <v>1231</v>
      </c>
      <c r="F817" s="466">
        <v>1</v>
      </c>
      <c r="G817" s="470">
        <f t="shared" si="14"/>
        <v>0</v>
      </c>
    </row>
    <row r="818" spans="2:7">
      <c r="B818" s="464">
        <v>45948</v>
      </c>
      <c r="C818" s="465" t="s">
        <v>1319</v>
      </c>
      <c r="D818" s="466">
        <v>4</v>
      </c>
      <c r="E818" s="466" t="s">
        <v>1231</v>
      </c>
      <c r="F818" s="466">
        <v>4</v>
      </c>
      <c r="G818" s="470">
        <f t="shared" si="14"/>
        <v>0</v>
      </c>
    </row>
    <row r="819" spans="2:7">
      <c r="B819" s="310">
        <v>45948</v>
      </c>
      <c r="C819" s="526" t="s">
        <v>1246</v>
      </c>
      <c r="D819" s="312">
        <v>1</v>
      </c>
      <c r="E819" s="312" t="s">
        <v>1517</v>
      </c>
      <c r="F819" s="312">
        <v>1</v>
      </c>
      <c r="G819" s="528">
        <f t="shared" si="14"/>
        <v>0</v>
      </c>
    </row>
    <row r="820" spans="2:7">
      <c r="B820" s="310">
        <v>45948</v>
      </c>
      <c r="C820" s="315" t="s">
        <v>134</v>
      </c>
      <c r="D820" s="312">
        <v>2</v>
      </c>
      <c r="E820" s="312" t="s">
        <v>1517</v>
      </c>
      <c r="F820" s="312">
        <v>2</v>
      </c>
      <c r="G820" s="528">
        <f t="shared" si="14"/>
        <v>0</v>
      </c>
    </row>
    <row r="821" spans="2:7">
      <c r="B821" s="310">
        <v>45948</v>
      </c>
      <c r="C821" s="527" t="s">
        <v>928</v>
      </c>
      <c r="D821" s="312">
        <v>2</v>
      </c>
      <c r="E821" s="312" t="s">
        <v>1517</v>
      </c>
      <c r="F821" s="312">
        <v>2</v>
      </c>
      <c r="G821" s="528">
        <f t="shared" si="14"/>
        <v>0</v>
      </c>
    </row>
    <row r="822" spans="2:7">
      <c r="B822" s="310">
        <v>45948</v>
      </c>
      <c r="C822" s="526" t="s">
        <v>1434</v>
      </c>
      <c r="D822" s="312">
        <v>1</v>
      </c>
      <c r="E822" s="312" t="s">
        <v>1517</v>
      </c>
      <c r="F822" s="312">
        <v>1</v>
      </c>
      <c r="G822" s="528">
        <f t="shared" si="14"/>
        <v>0</v>
      </c>
    </row>
    <row r="823" spans="2:7">
      <c r="B823" s="310">
        <v>45948</v>
      </c>
      <c r="C823" s="526" t="s">
        <v>1334</v>
      </c>
      <c r="D823" s="312">
        <v>2</v>
      </c>
      <c r="E823" s="312" t="s">
        <v>1517</v>
      </c>
      <c r="F823" s="312">
        <v>2</v>
      </c>
      <c r="G823" s="528">
        <f t="shared" si="14"/>
        <v>0</v>
      </c>
    </row>
    <row r="824" spans="2:7">
      <c r="B824" s="310">
        <v>45948</v>
      </c>
      <c r="C824" s="315" t="s">
        <v>1387</v>
      </c>
      <c r="D824" s="312">
        <v>1</v>
      </c>
      <c r="E824" s="312" t="s">
        <v>1517</v>
      </c>
      <c r="F824" s="312">
        <v>1</v>
      </c>
      <c r="G824" s="528">
        <f t="shared" si="14"/>
        <v>0</v>
      </c>
    </row>
    <row r="825" spans="2:7">
      <c r="B825" s="310">
        <v>45948</v>
      </c>
      <c r="C825" s="527" t="s">
        <v>931</v>
      </c>
      <c r="D825" s="312">
        <v>1</v>
      </c>
      <c r="E825" s="312" t="s">
        <v>1517</v>
      </c>
      <c r="F825" s="312">
        <v>1</v>
      </c>
      <c r="G825" s="528">
        <f t="shared" si="14"/>
        <v>0</v>
      </c>
    </row>
    <row r="826" spans="2:7">
      <c r="B826" s="323">
        <v>45948</v>
      </c>
      <c r="C826" s="325" t="s">
        <v>1246</v>
      </c>
      <c r="D826" s="322">
        <v>1</v>
      </c>
      <c r="E826" s="322" t="s">
        <v>682</v>
      </c>
      <c r="F826" s="322">
        <v>1</v>
      </c>
      <c r="G826" s="425">
        <f t="shared" si="14"/>
        <v>0</v>
      </c>
    </row>
    <row r="827" spans="2:7">
      <c r="B827" s="323">
        <v>45948</v>
      </c>
      <c r="C827" s="325" t="s">
        <v>1246</v>
      </c>
      <c r="D827" s="322">
        <v>1</v>
      </c>
      <c r="E827" s="322" t="s">
        <v>682</v>
      </c>
      <c r="F827" s="322">
        <v>1</v>
      </c>
      <c r="G827" s="425">
        <f t="shared" si="14"/>
        <v>0</v>
      </c>
    </row>
    <row r="828" spans="2:7">
      <c r="B828" s="323">
        <v>45948</v>
      </c>
      <c r="C828" s="325" t="s">
        <v>1289</v>
      </c>
      <c r="D828" s="322">
        <v>3</v>
      </c>
      <c r="E828" s="322" t="s">
        <v>682</v>
      </c>
      <c r="F828" s="322">
        <v>3</v>
      </c>
      <c r="G828" s="425">
        <f t="shared" si="14"/>
        <v>0</v>
      </c>
    </row>
    <row r="829" spans="2:7">
      <c r="B829" s="323">
        <v>45948</v>
      </c>
      <c r="C829" s="325" t="s">
        <v>1246</v>
      </c>
      <c r="D829" s="322">
        <v>8</v>
      </c>
      <c r="E829" s="322" t="s">
        <v>682</v>
      </c>
      <c r="F829" s="322">
        <v>8</v>
      </c>
      <c r="G829" s="425">
        <f t="shared" si="14"/>
        <v>0</v>
      </c>
    </row>
    <row r="830" spans="2:7">
      <c r="B830" s="323">
        <v>45948</v>
      </c>
      <c r="C830" s="325" t="s">
        <v>1249</v>
      </c>
      <c r="D830" s="322">
        <v>2</v>
      </c>
      <c r="E830" s="322" t="s">
        <v>682</v>
      </c>
      <c r="F830" s="322">
        <v>2</v>
      </c>
      <c r="G830" s="425">
        <f t="shared" si="14"/>
        <v>0</v>
      </c>
    </row>
    <row r="831" spans="2:7">
      <c r="B831" s="323">
        <v>45948</v>
      </c>
      <c r="C831" s="325" t="s">
        <v>1289</v>
      </c>
      <c r="D831" s="322">
        <v>1</v>
      </c>
      <c r="E831" s="322" t="s">
        <v>682</v>
      </c>
      <c r="F831" s="322">
        <v>1</v>
      </c>
      <c r="G831" s="425">
        <f t="shared" si="14"/>
        <v>0</v>
      </c>
    </row>
    <row r="832" spans="2:7">
      <c r="B832" s="323">
        <v>45948</v>
      </c>
      <c r="C832" s="325" t="s">
        <v>1271</v>
      </c>
      <c r="D832" s="322">
        <v>1</v>
      </c>
      <c r="E832" s="322" t="s">
        <v>682</v>
      </c>
      <c r="F832" s="322">
        <v>1</v>
      </c>
      <c r="G832" s="425">
        <f t="shared" si="14"/>
        <v>0</v>
      </c>
    </row>
    <row r="833" spans="2:7">
      <c r="B833" s="323">
        <v>45948</v>
      </c>
      <c r="C833" s="325" t="s">
        <v>1271</v>
      </c>
      <c r="D833" s="322">
        <v>20</v>
      </c>
      <c r="E833" s="322" t="s">
        <v>682</v>
      </c>
      <c r="F833" s="322">
        <v>20</v>
      </c>
      <c r="G833" s="425">
        <f t="shared" si="14"/>
        <v>0</v>
      </c>
    </row>
    <row r="834" spans="2:7">
      <c r="B834" s="323">
        <v>45948</v>
      </c>
      <c r="C834" s="325" t="s">
        <v>1301</v>
      </c>
      <c r="D834" s="322">
        <v>5</v>
      </c>
      <c r="E834" s="322" t="s">
        <v>682</v>
      </c>
      <c r="F834" s="322">
        <v>5</v>
      </c>
      <c r="G834" s="425">
        <f t="shared" ref="G834:G899" si="15">D834-F834</f>
        <v>0</v>
      </c>
    </row>
    <row r="835" spans="2:7">
      <c r="B835" s="323">
        <v>45948</v>
      </c>
      <c r="C835" s="325" t="s">
        <v>1271</v>
      </c>
      <c r="D835" s="322">
        <v>2</v>
      </c>
      <c r="E835" s="322" t="s">
        <v>682</v>
      </c>
      <c r="F835" s="322">
        <v>2</v>
      </c>
      <c r="G835" s="425">
        <f t="shared" si="15"/>
        <v>0</v>
      </c>
    </row>
    <row r="836" spans="2:7">
      <c r="B836" s="323">
        <v>45948</v>
      </c>
      <c r="C836" s="325" t="s">
        <v>1301</v>
      </c>
      <c r="D836" s="322">
        <v>1</v>
      </c>
      <c r="E836" s="322" t="s">
        <v>682</v>
      </c>
      <c r="F836" s="322">
        <v>1</v>
      </c>
      <c r="G836" s="425">
        <f t="shared" si="15"/>
        <v>0</v>
      </c>
    </row>
    <row r="837" spans="2:7">
      <c r="B837" s="323">
        <v>45948</v>
      </c>
      <c r="C837" s="325" t="s">
        <v>1301</v>
      </c>
      <c r="D837" s="322">
        <v>1</v>
      </c>
      <c r="E837" s="322" t="s">
        <v>682</v>
      </c>
      <c r="F837" s="322">
        <v>1</v>
      </c>
      <c r="G837" s="425">
        <f t="shared" si="15"/>
        <v>0</v>
      </c>
    </row>
    <row r="838" spans="2:7">
      <c r="B838" s="323">
        <v>45948</v>
      </c>
      <c r="C838" s="325" t="s">
        <v>1407</v>
      </c>
      <c r="D838" s="322">
        <v>1</v>
      </c>
      <c r="E838" s="322" t="s">
        <v>682</v>
      </c>
      <c r="F838" s="322">
        <v>1</v>
      </c>
      <c r="G838" s="425">
        <f t="shared" si="15"/>
        <v>0</v>
      </c>
    </row>
    <row r="839" spans="2:7">
      <c r="B839" s="323">
        <v>45948</v>
      </c>
      <c r="C839" s="325" t="s">
        <v>1327</v>
      </c>
      <c r="D839" s="322">
        <v>6</v>
      </c>
      <c r="E839" s="322" t="s">
        <v>682</v>
      </c>
      <c r="F839" s="322">
        <v>6</v>
      </c>
      <c r="G839" s="425">
        <f t="shared" si="15"/>
        <v>0</v>
      </c>
    </row>
    <row r="840" spans="2:7">
      <c r="B840" s="323">
        <v>45948</v>
      </c>
      <c r="C840" s="325" t="s">
        <v>1326</v>
      </c>
      <c r="D840" s="322">
        <v>2</v>
      </c>
      <c r="E840" s="322" t="s">
        <v>682</v>
      </c>
      <c r="F840" s="322">
        <v>2</v>
      </c>
      <c r="G840" s="425">
        <f t="shared" si="15"/>
        <v>0</v>
      </c>
    </row>
    <row r="841" spans="2:7">
      <c r="B841" s="323">
        <v>45948</v>
      </c>
      <c r="C841" s="324" t="s">
        <v>134</v>
      </c>
      <c r="D841" s="322">
        <v>1</v>
      </c>
      <c r="E841" s="322" t="s">
        <v>682</v>
      </c>
      <c r="F841" s="322">
        <v>1</v>
      </c>
      <c r="G841" s="425">
        <f t="shared" si="15"/>
        <v>0</v>
      </c>
    </row>
    <row r="842" spans="2:7">
      <c r="B842" s="323">
        <v>45948</v>
      </c>
      <c r="C842" s="325" t="s">
        <v>166</v>
      </c>
      <c r="D842" s="322">
        <v>2</v>
      </c>
      <c r="E842" s="322" t="s">
        <v>682</v>
      </c>
      <c r="F842" s="322">
        <v>2</v>
      </c>
      <c r="G842" s="425">
        <f t="shared" si="15"/>
        <v>0</v>
      </c>
    </row>
    <row r="843" spans="2:7">
      <c r="B843" s="323">
        <v>45948</v>
      </c>
      <c r="C843" s="325" t="s">
        <v>1319</v>
      </c>
      <c r="D843" s="322">
        <v>1</v>
      </c>
      <c r="E843" s="322" t="s">
        <v>682</v>
      </c>
      <c r="F843" s="322">
        <v>1</v>
      </c>
      <c r="G843" s="425">
        <f t="shared" si="15"/>
        <v>0</v>
      </c>
    </row>
    <row r="844" spans="2:7">
      <c r="B844" s="323">
        <v>45948</v>
      </c>
      <c r="C844" s="325" t="s">
        <v>1477</v>
      </c>
      <c r="D844" s="322">
        <v>1</v>
      </c>
      <c r="E844" s="322" t="s">
        <v>682</v>
      </c>
      <c r="F844" s="322">
        <v>1</v>
      </c>
      <c r="G844" s="425">
        <f t="shared" si="15"/>
        <v>0</v>
      </c>
    </row>
    <row r="845" spans="2:7">
      <c r="B845" s="323">
        <v>45948</v>
      </c>
      <c r="C845" s="325" t="s">
        <v>1318</v>
      </c>
      <c r="D845" s="322">
        <v>1</v>
      </c>
      <c r="E845" s="322" t="s">
        <v>682</v>
      </c>
      <c r="F845" s="322">
        <v>1</v>
      </c>
      <c r="G845" s="425">
        <f t="shared" si="15"/>
        <v>0</v>
      </c>
    </row>
    <row r="846" spans="2:7">
      <c r="B846" s="323">
        <v>45948</v>
      </c>
      <c r="C846" s="425" t="s">
        <v>1151</v>
      </c>
      <c r="D846" s="322">
        <v>8</v>
      </c>
      <c r="E846" s="322" t="s">
        <v>682</v>
      </c>
      <c r="F846" s="322">
        <v>8</v>
      </c>
      <c r="G846" s="425">
        <f t="shared" si="15"/>
        <v>0</v>
      </c>
    </row>
    <row r="847" spans="2:7">
      <c r="B847" s="323">
        <v>45948</v>
      </c>
      <c r="C847" s="324" t="s">
        <v>919</v>
      </c>
      <c r="D847" s="322">
        <v>2</v>
      </c>
      <c r="E847" s="322" t="s">
        <v>682</v>
      </c>
      <c r="F847" s="322">
        <v>2</v>
      </c>
      <c r="G847" s="425">
        <f t="shared" si="15"/>
        <v>0</v>
      </c>
    </row>
    <row r="848" spans="2:7">
      <c r="B848" s="323">
        <v>45948</v>
      </c>
      <c r="C848" s="324" t="s">
        <v>919</v>
      </c>
      <c r="D848" s="322">
        <v>1</v>
      </c>
      <c r="E848" s="322" t="s">
        <v>682</v>
      </c>
      <c r="F848" s="322">
        <v>1</v>
      </c>
      <c r="G848" s="425">
        <f t="shared" si="15"/>
        <v>0</v>
      </c>
    </row>
    <row r="849" spans="2:7">
      <c r="B849" s="323">
        <v>45948</v>
      </c>
      <c r="C849" s="324" t="s">
        <v>135</v>
      </c>
      <c r="D849" s="322">
        <v>4</v>
      </c>
      <c r="E849" s="322" t="s">
        <v>682</v>
      </c>
      <c r="F849" s="322">
        <v>4</v>
      </c>
      <c r="G849" s="425">
        <f t="shared" si="15"/>
        <v>0</v>
      </c>
    </row>
    <row r="850" spans="2:7">
      <c r="B850" s="323">
        <v>45948</v>
      </c>
      <c r="C850" s="325" t="s">
        <v>1152</v>
      </c>
      <c r="D850" s="322">
        <v>6</v>
      </c>
      <c r="E850" s="322" t="s">
        <v>682</v>
      </c>
      <c r="F850" s="322">
        <v>6</v>
      </c>
      <c r="G850" s="425">
        <f t="shared" si="15"/>
        <v>0</v>
      </c>
    </row>
    <row r="851" spans="2:7">
      <c r="B851" s="323">
        <v>45948</v>
      </c>
      <c r="C851" s="325" t="s">
        <v>1259</v>
      </c>
      <c r="D851" s="322">
        <v>2</v>
      </c>
      <c r="E851" s="322" t="s">
        <v>682</v>
      </c>
      <c r="F851" s="322">
        <v>2</v>
      </c>
      <c r="G851" s="425">
        <f t="shared" si="15"/>
        <v>0</v>
      </c>
    </row>
    <row r="852" spans="2:7">
      <c r="B852" s="323">
        <v>45948</v>
      </c>
      <c r="C852" s="325" t="s">
        <v>1291</v>
      </c>
      <c r="D852" s="322">
        <v>2</v>
      </c>
      <c r="E852" s="322" t="s">
        <v>682</v>
      </c>
      <c r="F852" s="322">
        <v>2</v>
      </c>
      <c r="G852" s="425">
        <f t="shared" si="15"/>
        <v>0</v>
      </c>
    </row>
    <row r="853" spans="2:7">
      <c r="B853" s="323">
        <v>45948</v>
      </c>
      <c r="C853" s="325" t="s">
        <v>1334</v>
      </c>
      <c r="D853" s="322">
        <v>1</v>
      </c>
      <c r="E853" s="322" t="s">
        <v>682</v>
      </c>
      <c r="F853" s="322">
        <v>1</v>
      </c>
      <c r="G853" s="425">
        <f t="shared" si="15"/>
        <v>0</v>
      </c>
    </row>
    <row r="854" spans="2:7">
      <c r="B854" s="323">
        <v>45948</v>
      </c>
      <c r="C854" s="325" t="s">
        <v>1409</v>
      </c>
      <c r="D854" s="322">
        <v>2</v>
      </c>
      <c r="E854" s="322" t="s">
        <v>682</v>
      </c>
      <c r="F854" s="322">
        <v>2</v>
      </c>
      <c r="G854" s="425">
        <f t="shared" si="15"/>
        <v>0</v>
      </c>
    </row>
    <row r="855" spans="2:7">
      <c r="B855" s="323">
        <v>45948</v>
      </c>
      <c r="C855" s="325" t="s">
        <v>136</v>
      </c>
      <c r="D855" s="322">
        <v>12</v>
      </c>
      <c r="E855" s="322" t="s">
        <v>682</v>
      </c>
      <c r="F855" s="322">
        <v>12</v>
      </c>
      <c r="G855" s="425">
        <f t="shared" si="15"/>
        <v>0</v>
      </c>
    </row>
    <row r="856" spans="2:7">
      <c r="B856" s="323">
        <v>45948</v>
      </c>
      <c r="C856" s="325" t="s">
        <v>1312</v>
      </c>
      <c r="D856" s="322">
        <v>2</v>
      </c>
      <c r="E856" s="322" t="s">
        <v>682</v>
      </c>
      <c r="F856" s="322">
        <v>2</v>
      </c>
      <c r="G856" s="425">
        <f t="shared" si="15"/>
        <v>0</v>
      </c>
    </row>
    <row r="857" spans="2:7">
      <c r="B857" s="323">
        <v>45948</v>
      </c>
      <c r="C857" s="325" t="s">
        <v>1404</v>
      </c>
      <c r="D857" s="322">
        <v>1</v>
      </c>
      <c r="E857" s="322" t="s">
        <v>682</v>
      </c>
      <c r="F857" s="322">
        <v>1</v>
      </c>
      <c r="G857" s="425">
        <f t="shared" si="15"/>
        <v>0</v>
      </c>
    </row>
    <row r="858" spans="2:7">
      <c r="B858" s="323">
        <v>45948</v>
      </c>
      <c r="C858" s="324" t="s">
        <v>960</v>
      </c>
      <c r="D858" s="322">
        <v>6</v>
      </c>
      <c r="E858" s="322" t="s">
        <v>682</v>
      </c>
      <c r="F858" s="322">
        <v>6</v>
      </c>
      <c r="G858" s="425">
        <f t="shared" si="15"/>
        <v>0</v>
      </c>
    </row>
    <row r="859" spans="2:7">
      <c r="B859" s="323">
        <v>45948</v>
      </c>
      <c r="C859" s="324" t="s">
        <v>960</v>
      </c>
      <c r="D859" s="322">
        <v>1</v>
      </c>
      <c r="E859" s="322" t="s">
        <v>682</v>
      </c>
      <c r="F859" s="322">
        <v>1</v>
      </c>
      <c r="G859" s="425">
        <f t="shared" si="15"/>
        <v>0</v>
      </c>
    </row>
    <row r="860" spans="2:7">
      <c r="B860" s="323">
        <v>45948</v>
      </c>
      <c r="C860" s="325" t="s">
        <v>1478</v>
      </c>
      <c r="D860" s="322">
        <v>1</v>
      </c>
      <c r="E860" s="322" t="s">
        <v>682</v>
      </c>
      <c r="F860" s="322">
        <v>1</v>
      </c>
      <c r="G860" s="425">
        <f t="shared" si="15"/>
        <v>0</v>
      </c>
    </row>
    <row r="861" spans="2:7">
      <c r="B861" s="310">
        <v>45948</v>
      </c>
      <c r="C861" s="526" t="s">
        <v>1291</v>
      </c>
      <c r="D861" s="312">
        <v>1</v>
      </c>
      <c r="E861" s="312" t="s">
        <v>1517</v>
      </c>
      <c r="F861" s="312">
        <v>1</v>
      </c>
      <c r="G861" s="528">
        <f t="shared" si="15"/>
        <v>0</v>
      </c>
    </row>
    <row r="862" spans="2:7">
      <c r="B862" s="310">
        <v>45948</v>
      </c>
      <c r="C862" s="526" t="s">
        <v>1095</v>
      </c>
      <c r="D862" s="312">
        <v>1</v>
      </c>
      <c r="E862" s="312" t="s">
        <v>1517</v>
      </c>
      <c r="F862" s="312">
        <v>1</v>
      </c>
      <c r="G862" s="528">
        <f t="shared" si="15"/>
        <v>0</v>
      </c>
    </row>
    <row r="863" spans="2:7">
      <c r="B863" s="310">
        <v>45948</v>
      </c>
      <c r="C863" s="315" t="s">
        <v>134</v>
      </c>
      <c r="D863" s="312">
        <v>3</v>
      </c>
      <c r="E863" s="312" t="s">
        <v>1517</v>
      </c>
      <c r="F863" s="312">
        <v>3</v>
      </c>
      <c r="G863" s="528">
        <f t="shared" si="15"/>
        <v>0</v>
      </c>
    </row>
    <row r="864" spans="2:7">
      <c r="B864" s="310">
        <v>45948</v>
      </c>
      <c r="C864" s="315" t="s">
        <v>134</v>
      </c>
      <c r="D864" s="312">
        <v>3</v>
      </c>
      <c r="E864" s="312" t="s">
        <v>1517</v>
      </c>
      <c r="F864" s="312">
        <v>3</v>
      </c>
      <c r="G864" s="528">
        <f t="shared" si="15"/>
        <v>0</v>
      </c>
    </row>
    <row r="865" spans="2:7">
      <c r="B865" s="310">
        <v>45948</v>
      </c>
      <c r="C865" s="526" t="s">
        <v>1271</v>
      </c>
      <c r="D865" s="312">
        <v>1</v>
      </c>
      <c r="E865" s="312" t="s">
        <v>1517</v>
      </c>
      <c r="F865" s="312">
        <v>1</v>
      </c>
      <c r="G865" s="528">
        <f t="shared" si="15"/>
        <v>0</v>
      </c>
    </row>
    <row r="866" spans="2:7">
      <c r="B866" s="434">
        <v>45951</v>
      </c>
      <c r="C866" s="168" t="s">
        <v>1327</v>
      </c>
      <c r="D866" s="166">
        <v>3</v>
      </c>
      <c r="E866" s="166" t="s">
        <v>1492</v>
      </c>
      <c r="F866" s="166">
        <v>3</v>
      </c>
      <c r="G866" s="167">
        <f t="shared" si="15"/>
        <v>0</v>
      </c>
    </row>
    <row r="867" spans="2:7">
      <c r="B867" s="346">
        <v>45952</v>
      </c>
      <c r="C867" s="349" t="s">
        <v>1246</v>
      </c>
      <c r="D867" s="348">
        <v>2</v>
      </c>
      <c r="E867" s="348" t="s">
        <v>921</v>
      </c>
      <c r="F867" s="348">
        <v>2</v>
      </c>
      <c r="G867" s="351">
        <f t="shared" si="15"/>
        <v>0</v>
      </c>
    </row>
    <row r="868" spans="2:7">
      <c r="B868" s="346">
        <v>45952</v>
      </c>
      <c r="C868" s="349" t="s">
        <v>1326</v>
      </c>
      <c r="D868" s="348">
        <v>1</v>
      </c>
      <c r="E868" s="348" t="s">
        <v>921</v>
      </c>
      <c r="F868" s="348">
        <v>1</v>
      </c>
      <c r="G868" s="351">
        <f t="shared" si="15"/>
        <v>0</v>
      </c>
    </row>
    <row r="869" spans="2:7">
      <c r="B869" s="346">
        <v>45952</v>
      </c>
      <c r="C869" s="349" t="s">
        <v>1327</v>
      </c>
      <c r="D869" s="348">
        <v>3</v>
      </c>
      <c r="E869" s="348" t="s">
        <v>921</v>
      </c>
      <c r="F869" s="348">
        <v>3</v>
      </c>
      <c r="G869" s="351">
        <f t="shared" si="15"/>
        <v>0</v>
      </c>
    </row>
    <row r="870" spans="2:7">
      <c r="B870" s="346">
        <v>45952</v>
      </c>
      <c r="C870" s="349" t="s">
        <v>1327</v>
      </c>
      <c r="D870" s="348">
        <v>1</v>
      </c>
      <c r="E870" s="348" t="s">
        <v>921</v>
      </c>
      <c r="F870" s="348">
        <v>1</v>
      </c>
      <c r="G870" s="351">
        <f t="shared" si="15"/>
        <v>0</v>
      </c>
    </row>
    <row r="871" spans="2:7">
      <c r="B871" s="346">
        <v>45952</v>
      </c>
      <c r="C871" s="347" t="s">
        <v>134</v>
      </c>
      <c r="D871" s="348">
        <v>6</v>
      </c>
      <c r="E871" s="348" t="s">
        <v>921</v>
      </c>
      <c r="F871" s="348">
        <v>6</v>
      </c>
      <c r="G871" s="351">
        <f t="shared" si="15"/>
        <v>0</v>
      </c>
    </row>
    <row r="872" spans="2:7">
      <c r="B872" s="346">
        <v>45952</v>
      </c>
      <c r="C872" s="349" t="s">
        <v>167</v>
      </c>
      <c r="D872" s="348">
        <v>2</v>
      </c>
      <c r="E872" s="348" t="s">
        <v>921</v>
      </c>
      <c r="F872" s="348">
        <v>2</v>
      </c>
      <c r="G872" s="351">
        <f t="shared" si="15"/>
        <v>0</v>
      </c>
    </row>
    <row r="873" spans="2:7">
      <c r="B873" s="346">
        <v>45952</v>
      </c>
      <c r="C873" s="349" t="s">
        <v>166</v>
      </c>
      <c r="D873" s="348">
        <v>2</v>
      </c>
      <c r="E873" s="348" t="s">
        <v>921</v>
      </c>
      <c r="F873" s="348">
        <v>2</v>
      </c>
      <c r="G873" s="351">
        <f t="shared" si="15"/>
        <v>0</v>
      </c>
    </row>
    <row r="874" spans="2:7">
      <c r="B874" s="346">
        <v>45952</v>
      </c>
      <c r="C874" s="349" t="s">
        <v>166</v>
      </c>
      <c r="D874" s="348">
        <v>2</v>
      </c>
      <c r="E874" s="348" t="s">
        <v>921</v>
      </c>
      <c r="F874" s="348">
        <v>2</v>
      </c>
      <c r="G874" s="351">
        <f t="shared" si="15"/>
        <v>0</v>
      </c>
    </row>
    <row r="875" spans="2:7">
      <c r="B875" s="346">
        <v>45952</v>
      </c>
      <c r="C875" s="347" t="s">
        <v>135</v>
      </c>
      <c r="D875" s="348">
        <v>1</v>
      </c>
      <c r="E875" s="348" t="s">
        <v>921</v>
      </c>
      <c r="F875" s="348">
        <v>1</v>
      </c>
      <c r="G875" s="351">
        <f t="shared" si="15"/>
        <v>0</v>
      </c>
    </row>
    <row r="876" spans="2:7">
      <c r="B876" s="346">
        <v>45952</v>
      </c>
      <c r="C876" s="347" t="s">
        <v>919</v>
      </c>
      <c r="D876" s="348">
        <v>2</v>
      </c>
      <c r="E876" s="348" t="s">
        <v>921</v>
      </c>
      <c r="F876" s="348">
        <v>2</v>
      </c>
      <c r="G876" s="351">
        <f t="shared" si="15"/>
        <v>0</v>
      </c>
    </row>
    <row r="877" spans="2:7">
      <c r="B877" s="346">
        <v>45952</v>
      </c>
      <c r="C877" s="347" t="s">
        <v>923</v>
      </c>
      <c r="D877" s="348">
        <v>1</v>
      </c>
      <c r="E877" s="348" t="s">
        <v>921</v>
      </c>
      <c r="F877" s="348">
        <v>1</v>
      </c>
      <c r="G877" s="351">
        <f t="shared" si="15"/>
        <v>0</v>
      </c>
    </row>
    <row r="878" spans="2:7">
      <c r="B878" s="346">
        <v>45952</v>
      </c>
      <c r="C878" s="349" t="s">
        <v>1386</v>
      </c>
      <c r="D878" s="348">
        <v>1</v>
      </c>
      <c r="E878" s="348" t="s">
        <v>921</v>
      </c>
      <c r="F878" s="348">
        <v>1</v>
      </c>
      <c r="G878" s="351">
        <f t="shared" si="15"/>
        <v>0</v>
      </c>
    </row>
    <row r="879" spans="2:7">
      <c r="B879" s="346">
        <v>45952</v>
      </c>
      <c r="C879" s="349" t="s">
        <v>1291</v>
      </c>
      <c r="D879" s="348">
        <v>5</v>
      </c>
      <c r="E879" s="348" t="s">
        <v>921</v>
      </c>
      <c r="F879" s="348">
        <v>5</v>
      </c>
      <c r="G879" s="351">
        <f t="shared" si="15"/>
        <v>0</v>
      </c>
    </row>
    <row r="880" spans="2:7">
      <c r="B880" s="346">
        <v>45952</v>
      </c>
      <c r="C880" s="349" t="s">
        <v>1491</v>
      </c>
      <c r="D880" s="348">
        <v>0</v>
      </c>
      <c r="E880" s="348" t="s">
        <v>921</v>
      </c>
      <c r="F880" s="348">
        <v>0</v>
      </c>
      <c r="G880" s="351">
        <f t="shared" si="15"/>
        <v>0</v>
      </c>
    </row>
    <row r="881" spans="2:7">
      <c r="B881" s="346">
        <v>45952</v>
      </c>
      <c r="C881" s="349" t="s">
        <v>1334</v>
      </c>
      <c r="D881" s="348">
        <v>1</v>
      </c>
      <c r="E881" s="348" t="s">
        <v>921</v>
      </c>
      <c r="F881" s="348">
        <v>1</v>
      </c>
      <c r="G881" s="351">
        <f t="shared" si="15"/>
        <v>0</v>
      </c>
    </row>
    <row r="882" spans="2:7">
      <c r="B882" s="346">
        <v>45952</v>
      </c>
      <c r="C882" s="351" t="s">
        <v>932</v>
      </c>
      <c r="D882" s="348">
        <v>7</v>
      </c>
      <c r="E882" s="348" t="s">
        <v>921</v>
      </c>
      <c r="F882" s="348">
        <v>7</v>
      </c>
      <c r="G882" s="351">
        <f t="shared" si="15"/>
        <v>0</v>
      </c>
    </row>
    <row r="883" spans="2:7">
      <c r="B883" s="265">
        <v>45909</v>
      </c>
      <c r="C883" s="93" t="s">
        <v>121</v>
      </c>
      <c r="D883" s="43">
        <v>50</v>
      </c>
      <c r="E883" s="43" t="s">
        <v>2189</v>
      </c>
      <c r="F883" s="43">
        <v>50</v>
      </c>
      <c r="G883" s="530">
        <f t="shared" si="15"/>
        <v>0</v>
      </c>
    </row>
    <row r="884" spans="2:7">
      <c r="B884" s="265">
        <v>45948</v>
      </c>
      <c r="C884" s="233" t="s">
        <v>375</v>
      </c>
      <c r="D884" s="43">
        <v>9</v>
      </c>
      <c r="E884" s="345" t="s">
        <v>1494</v>
      </c>
      <c r="F884" s="43">
        <v>9</v>
      </c>
      <c r="G884" s="104">
        <f t="shared" si="15"/>
        <v>0</v>
      </c>
    </row>
    <row r="885" spans="2:7">
      <c r="B885" s="265">
        <v>45948</v>
      </c>
      <c r="C885" s="92" t="s">
        <v>671</v>
      </c>
      <c r="D885" s="43">
        <v>2</v>
      </c>
      <c r="E885" s="345" t="s">
        <v>1494</v>
      </c>
      <c r="F885" s="43">
        <v>2</v>
      </c>
      <c r="G885" s="104">
        <f t="shared" si="15"/>
        <v>0</v>
      </c>
    </row>
    <row r="886" spans="2:7">
      <c r="B886" s="434">
        <v>45952</v>
      </c>
      <c r="C886" s="503" t="s">
        <v>919</v>
      </c>
      <c r="D886" s="166">
        <v>4</v>
      </c>
      <c r="E886" s="166" t="s">
        <v>1508</v>
      </c>
      <c r="F886" s="166">
        <v>4</v>
      </c>
      <c r="G886" s="167">
        <f t="shared" si="15"/>
        <v>0</v>
      </c>
    </row>
    <row r="887" spans="2:7">
      <c r="B887" s="434">
        <v>45952</v>
      </c>
      <c r="C887" s="168" t="s">
        <v>1313</v>
      </c>
      <c r="D887" s="166">
        <v>1</v>
      </c>
      <c r="E887" s="166" t="s">
        <v>1508</v>
      </c>
      <c r="F887" s="166">
        <v>1</v>
      </c>
      <c r="G887" s="167">
        <f t="shared" si="15"/>
        <v>0</v>
      </c>
    </row>
    <row r="888" spans="2:7">
      <c r="B888" s="434">
        <v>45952</v>
      </c>
      <c r="C888" s="168" t="s">
        <v>1095</v>
      </c>
      <c r="D888" s="166">
        <v>2</v>
      </c>
      <c r="E888" s="166" t="s">
        <v>1508</v>
      </c>
      <c r="F888" s="166">
        <v>2</v>
      </c>
      <c r="G888" s="167">
        <f t="shared" si="15"/>
        <v>0</v>
      </c>
    </row>
    <row r="889" spans="2:7">
      <c r="B889" s="393">
        <v>45952</v>
      </c>
      <c r="C889" s="534" t="s">
        <v>134</v>
      </c>
      <c r="D889" s="387">
        <v>1</v>
      </c>
      <c r="E889" s="535" t="s">
        <v>1509</v>
      </c>
      <c r="F889" s="387">
        <v>1</v>
      </c>
      <c r="G889" s="394">
        <f t="shared" si="15"/>
        <v>0</v>
      </c>
    </row>
    <row r="890" spans="2:7">
      <c r="B890" s="265">
        <v>45953</v>
      </c>
      <c r="C890" s="92" t="s">
        <v>76</v>
      </c>
      <c r="D890" s="43">
        <v>100</v>
      </c>
      <c r="E890" s="345" t="s">
        <v>1510</v>
      </c>
      <c r="F890" s="43">
        <v>100</v>
      </c>
      <c r="G890" s="104">
        <f t="shared" si="15"/>
        <v>0</v>
      </c>
    </row>
    <row r="891" spans="2:7">
      <c r="B891" s="265">
        <v>45955</v>
      </c>
      <c r="C891" s="93" t="s">
        <v>839</v>
      </c>
      <c r="D891" s="43">
        <v>4</v>
      </c>
      <c r="F891" s="43">
        <v>4</v>
      </c>
      <c r="G891" s="104">
        <f t="shared" si="15"/>
        <v>0</v>
      </c>
    </row>
    <row r="892" spans="2:7">
      <c r="B892" s="265">
        <v>45955</v>
      </c>
      <c r="C892" s="343" t="s">
        <v>1289</v>
      </c>
      <c r="D892" s="43">
        <v>34</v>
      </c>
      <c r="E892" s="345" t="s">
        <v>1519</v>
      </c>
      <c r="F892" s="43">
        <v>34</v>
      </c>
      <c r="G892" s="104">
        <f t="shared" si="15"/>
        <v>0</v>
      </c>
    </row>
    <row r="893" spans="2:7">
      <c r="B893" s="346">
        <v>45955</v>
      </c>
      <c r="C893" s="351" t="s">
        <v>932</v>
      </c>
      <c r="D893" s="348">
        <v>1</v>
      </c>
      <c r="E893" s="348" t="s">
        <v>921</v>
      </c>
      <c r="F893" s="348">
        <v>1</v>
      </c>
      <c r="G893" s="351">
        <f t="shared" si="15"/>
        <v>0</v>
      </c>
    </row>
    <row r="894" spans="2:7">
      <c r="B894" s="346">
        <v>45957</v>
      </c>
      <c r="C894" s="347" t="s">
        <v>134</v>
      </c>
      <c r="D894" s="348">
        <v>4</v>
      </c>
      <c r="E894" s="348" t="s">
        <v>921</v>
      </c>
      <c r="F894" s="348">
        <v>4</v>
      </c>
      <c r="G894" s="351">
        <f t="shared" si="15"/>
        <v>0</v>
      </c>
    </row>
    <row r="895" spans="2:7">
      <c r="B895" s="346">
        <v>45957</v>
      </c>
      <c r="C895" s="349" t="s">
        <v>1520</v>
      </c>
      <c r="D895" s="348">
        <v>1</v>
      </c>
      <c r="E895" s="348" t="s">
        <v>921</v>
      </c>
      <c r="F895" s="348">
        <v>1</v>
      </c>
      <c r="G895" s="351">
        <f t="shared" si="15"/>
        <v>0</v>
      </c>
    </row>
    <row r="896" spans="2:7">
      <c r="B896" s="346">
        <v>45957</v>
      </c>
      <c r="C896" s="349" t="s">
        <v>1521</v>
      </c>
      <c r="D896" s="348">
        <v>1</v>
      </c>
      <c r="E896" s="348" t="s">
        <v>921</v>
      </c>
      <c r="F896" s="348">
        <v>1</v>
      </c>
      <c r="G896" s="351">
        <f t="shared" si="15"/>
        <v>0</v>
      </c>
    </row>
    <row r="897" spans="2:8">
      <c r="B897" s="346">
        <v>45957</v>
      </c>
      <c r="C897" s="349" t="s">
        <v>1522</v>
      </c>
      <c r="D897" s="348">
        <v>1</v>
      </c>
      <c r="E897" s="348" t="s">
        <v>921</v>
      </c>
      <c r="F897" s="348">
        <v>1</v>
      </c>
      <c r="G897" s="351">
        <f t="shared" si="15"/>
        <v>0</v>
      </c>
    </row>
    <row r="898" spans="2:8">
      <c r="B898" s="434">
        <v>45955</v>
      </c>
      <c r="C898" s="503" t="s">
        <v>134</v>
      </c>
      <c r="D898" s="166">
        <v>2</v>
      </c>
      <c r="E898" s="166" t="s">
        <v>1526</v>
      </c>
      <c r="F898" s="166">
        <v>2</v>
      </c>
      <c r="G898" s="167">
        <f t="shared" si="15"/>
        <v>0</v>
      </c>
    </row>
    <row r="899" spans="2:8">
      <c r="B899" s="434">
        <v>45955</v>
      </c>
      <c r="C899" s="168" t="s">
        <v>1407</v>
      </c>
      <c r="D899" s="166">
        <v>1</v>
      </c>
      <c r="E899" s="166" t="s">
        <v>1527</v>
      </c>
      <c r="F899" s="166">
        <v>1</v>
      </c>
      <c r="G899" s="167">
        <f t="shared" si="15"/>
        <v>0</v>
      </c>
    </row>
    <row r="900" spans="2:8">
      <c r="B900" s="434">
        <v>45955</v>
      </c>
      <c r="C900" s="168" t="s">
        <v>1407</v>
      </c>
      <c r="D900" s="166">
        <v>2</v>
      </c>
      <c r="E900" s="166" t="s">
        <v>1527</v>
      </c>
      <c r="F900" s="166">
        <v>2</v>
      </c>
      <c r="G900" s="167">
        <f t="shared" ref="G900:G963" si="16">D900-F900</f>
        <v>0</v>
      </c>
    </row>
    <row r="901" spans="2:8">
      <c r="B901" s="434">
        <v>45955</v>
      </c>
      <c r="C901" s="168" t="s">
        <v>1290</v>
      </c>
      <c r="D901" s="166">
        <v>1</v>
      </c>
      <c r="E901" s="166" t="s">
        <v>1527</v>
      </c>
      <c r="F901" s="166">
        <v>1</v>
      </c>
      <c r="G901" s="167">
        <f t="shared" si="16"/>
        <v>0</v>
      </c>
    </row>
    <row r="902" spans="2:8">
      <c r="B902" s="434">
        <v>45957</v>
      </c>
      <c r="C902" s="168" t="s">
        <v>1271</v>
      </c>
      <c r="D902" s="166">
        <v>2</v>
      </c>
      <c r="E902" s="166" t="s">
        <v>1529</v>
      </c>
      <c r="F902" s="166">
        <v>2</v>
      </c>
      <c r="G902" s="167">
        <f t="shared" si="16"/>
        <v>0</v>
      </c>
    </row>
    <row r="903" spans="2:8">
      <c r="B903" s="434">
        <v>45957</v>
      </c>
      <c r="C903" s="168" t="s">
        <v>1327</v>
      </c>
      <c r="D903" s="166">
        <v>1</v>
      </c>
      <c r="E903" s="166" t="s">
        <v>1529</v>
      </c>
      <c r="F903" s="166">
        <v>1</v>
      </c>
      <c r="G903" s="167">
        <f t="shared" si="16"/>
        <v>0</v>
      </c>
    </row>
    <row r="904" spans="2:8">
      <c r="B904" s="437">
        <v>45957</v>
      </c>
      <c r="C904" s="222" t="s">
        <v>1528</v>
      </c>
      <c r="D904" s="220">
        <v>2</v>
      </c>
      <c r="E904" s="220" t="s">
        <v>1530</v>
      </c>
      <c r="F904" s="220">
        <v>2</v>
      </c>
      <c r="G904" s="221">
        <f t="shared" si="16"/>
        <v>0</v>
      </c>
    </row>
    <row r="905" spans="2:8">
      <c r="B905" s="434">
        <v>45958</v>
      </c>
      <c r="C905" s="179" t="s">
        <v>671</v>
      </c>
      <c r="D905" s="166">
        <v>1</v>
      </c>
      <c r="E905" s="166" t="s">
        <v>1531</v>
      </c>
      <c r="F905" s="166">
        <v>1</v>
      </c>
      <c r="G905" s="167">
        <f t="shared" si="16"/>
        <v>0</v>
      </c>
    </row>
    <row r="906" spans="2:8">
      <c r="B906" s="346">
        <v>45958</v>
      </c>
      <c r="C906" s="349" t="s">
        <v>1271</v>
      </c>
      <c r="D906" s="348">
        <v>4</v>
      </c>
      <c r="E906" s="348" t="s">
        <v>921</v>
      </c>
      <c r="F906" s="348">
        <v>4</v>
      </c>
      <c r="G906" s="351">
        <f t="shared" si="16"/>
        <v>0</v>
      </c>
      <c r="H906" t="s">
        <v>1542</v>
      </c>
    </row>
    <row r="907" spans="2:8">
      <c r="B907" s="346">
        <v>45958</v>
      </c>
      <c r="C907" s="349" t="s">
        <v>1326</v>
      </c>
      <c r="D907" s="348">
        <v>2</v>
      </c>
      <c r="E907" s="348" t="s">
        <v>921</v>
      </c>
      <c r="F907" s="348">
        <v>2</v>
      </c>
      <c r="G907" s="351">
        <f t="shared" si="16"/>
        <v>0</v>
      </c>
    </row>
    <row r="908" spans="2:8">
      <c r="B908" s="346">
        <v>45958</v>
      </c>
      <c r="C908" s="347" t="s">
        <v>134</v>
      </c>
      <c r="D908" s="348">
        <v>1</v>
      </c>
      <c r="E908" s="348" t="s">
        <v>921</v>
      </c>
      <c r="F908" s="348">
        <v>1</v>
      </c>
      <c r="G908" s="351">
        <f t="shared" si="16"/>
        <v>0</v>
      </c>
    </row>
    <row r="909" spans="2:8">
      <c r="B909" s="346">
        <v>45958</v>
      </c>
      <c r="C909" s="349" t="s">
        <v>1327</v>
      </c>
      <c r="D909" s="348">
        <v>17</v>
      </c>
      <c r="E909" s="348" t="s">
        <v>921</v>
      </c>
      <c r="F909" s="348">
        <v>17</v>
      </c>
      <c r="G909" s="351">
        <f t="shared" si="16"/>
        <v>0</v>
      </c>
    </row>
    <row r="910" spans="2:8">
      <c r="B910" s="346">
        <v>45958</v>
      </c>
      <c r="C910" s="349" t="s">
        <v>167</v>
      </c>
      <c r="D910" s="348">
        <v>2</v>
      </c>
      <c r="E910" s="348" t="s">
        <v>921</v>
      </c>
      <c r="F910" s="348">
        <v>2</v>
      </c>
      <c r="G910" s="351">
        <f t="shared" si="16"/>
        <v>0</v>
      </c>
    </row>
    <row r="911" spans="2:8">
      <c r="B911" s="346">
        <v>45958</v>
      </c>
      <c r="C911" s="349" t="s">
        <v>166</v>
      </c>
      <c r="D911" s="348">
        <v>1</v>
      </c>
      <c r="E911" s="348" t="s">
        <v>921</v>
      </c>
      <c r="F911" s="348">
        <v>1</v>
      </c>
      <c r="G911" s="351">
        <f t="shared" si="16"/>
        <v>0</v>
      </c>
    </row>
    <row r="912" spans="2:8">
      <c r="B912" s="346">
        <v>45958</v>
      </c>
      <c r="C912" s="349" t="s">
        <v>167</v>
      </c>
      <c r="D912" s="348">
        <v>2</v>
      </c>
      <c r="E912" s="348" t="s">
        <v>921</v>
      </c>
      <c r="F912" s="348">
        <v>2</v>
      </c>
      <c r="G912" s="351">
        <f t="shared" si="16"/>
        <v>0</v>
      </c>
    </row>
    <row r="913" spans="2:8">
      <c r="B913" s="346">
        <v>45958</v>
      </c>
      <c r="C913" s="349" t="s">
        <v>169</v>
      </c>
      <c r="D913" s="348">
        <v>1</v>
      </c>
      <c r="E913" s="348" t="s">
        <v>921</v>
      </c>
      <c r="F913" s="348">
        <v>1</v>
      </c>
      <c r="G913" s="351">
        <f t="shared" si="16"/>
        <v>0</v>
      </c>
    </row>
    <row r="914" spans="2:8">
      <c r="B914" s="346">
        <v>45958</v>
      </c>
      <c r="C914" s="349" t="s">
        <v>1532</v>
      </c>
      <c r="D914" s="348">
        <v>1</v>
      </c>
      <c r="E914" s="348" t="s">
        <v>921</v>
      </c>
      <c r="F914" s="348">
        <v>1</v>
      </c>
      <c r="G914" s="351">
        <f t="shared" si="16"/>
        <v>0</v>
      </c>
    </row>
    <row r="915" spans="2:8">
      <c r="B915" s="346">
        <v>45958</v>
      </c>
      <c r="C915" s="347" t="s">
        <v>919</v>
      </c>
      <c r="D915" s="348">
        <v>2</v>
      </c>
      <c r="E915" s="348" t="s">
        <v>921</v>
      </c>
      <c r="F915" s="348">
        <v>2</v>
      </c>
      <c r="G915" s="351">
        <f t="shared" si="16"/>
        <v>0</v>
      </c>
    </row>
    <row r="916" spans="2:8">
      <c r="B916" s="346">
        <v>45958</v>
      </c>
      <c r="C916" s="349" t="s">
        <v>1291</v>
      </c>
      <c r="D916" s="348">
        <v>2</v>
      </c>
      <c r="E916" s="348" t="s">
        <v>921</v>
      </c>
      <c r="F916" s="348">
        <v>2</v>
      </c>
      <c r="G916" s="351">
        <f t="shared" si="16"/>
        <v>0</v>
      </c>
    </row>
    <row r="917" spans="2:8">
      <c r="B917" s="346">
        <v>45958</v>
      </c>
      <c r="C917" s="349" t="s">
        <v>1334</v>
      </c>
      <c r="D917" s="348">
        <v>3</v>
      </c>
      <c r="E917" s="348" t="s">
        <v>921</v>
      </c>
      <c r="F917" s="348">
        <v>3</v>
      </c>
      <c r="G917" s="351">
        <f t="shared" si="16"/>
        <v>0</v>
      </c>
    </row>
    <row r="918" spans="2:8">
      <c r="B918" s="346">
        <v>45958</v>
      </c>
      <c r="C918" s="347" t="s">
        <v>1387</v>
      </c>
      <c r="D918" s="348">
        <v>1</v>
      </c>
      <c r="E918" s="348" t="s">
        <v>921</v>
      </c>
      <c r="F918" s="348">
        <v>1</v>
      </c>
      <c r="G918" s="351">
        <f t="shared" si="16"/>
        <v>0</v>
      </c>
    </row>
    <row r="919" spans="2:8">
      <c r="B919" s="346">
        <v>45958</v>
      </c>
      <c r="C919" s="349" t="s">
        <v>1533</v>
      </c>
      <c r="D919" s="348">
        <v>1</v>
      </c>
      <c r="E919" s="348" t="s">
        <v>921</v>
      </c>
      <c r="F919" s="348">
        <v>1</v>
      </c>
      <c r="G919" s="351">
        <f t="shared" si="16"/>
        <v>0</v>
      </c>
    </row>
    <row r="920" spans="2:8">
      <c r="B920" s="346">
        <v>45958</v>
      </c>
      <c r="C920" s="349" t="s">
        <v>1097</v>
      </c>
      <c r="D920" s="348">
        <v>1</v>
      </c>
      <c r="E920" s="348" t="s">
        <v>921</v>
      </c>
      <c r="F920" s="348">
        <v>1</v>
      </c>
      <c r="G920" s="351">
        <f t="shared" si="16"/>
        <v>0</v>
      </c>
    </row>
    <row r="921" spans="2:8">
      <c r="B921" s="346">
        <v>45958</v>
      </c>
      <c r="C921" s="351" t="s">
        <v>932</v>
      </c>
      <c r="D921" s="348">
        <v>5</v>
      </c>
      <c r="E921" s="348" t="s">
        <v>921</v>
      </c>
      <c r="F921" s="348">
        <v>5</v>
      </c>
      <c r="G921" s="351">
        <f t="shared" si="16"/>
        <v>0</v>
      </c>
    </row>
    <row r="922" spans="2:8">
      <c r="B922" s="346">
        <v>45958</v>
      </c>
      <c r="C922" s="349" t="s">
        <v>935</v>
      </c>
      <c r="D922" s="348">
        <v>1</v>
      </c>
      <c r="E922" s="348" t="s">
        <v>921</v>
      </c>
      <c r="F922" s="348">
        <v>1</v>
      </c>
      <c r="G922" s="351">
        <f t="shared" si="16"/>
        <v>0</v>
      </c>
    </row>
    <row r="923" spans="2:8">
      <c r="B923" s="346">
        <v>45958</v>
      </c>
      <c r="C923" s="349" t="s">
        <v>1271</v>
      </c>
      <c r="D923" s="348">
        <v>1</v>
      </c>
      <c r="E923" s="348" t="s">
        <v>921</v>
      </c>
      <c r="F923" s="348">
        <v>1</v>
      </c>
      <c r="G923" s="351">
        <f t="shared" si="16"/>
        <v>0</v>
      </c>
    </row>
    <row r="924" spans="2:8">
      <c r="B924" s="434">
        <v>45959</v>
      </c>
      <c r="C924" s="168" t="s">
        <v>1386</v>
      </c>
      <c r="D924" s="166">
        <v>1</v>
      </c>
      <c r="E924" s="166" t="s">
        <v>1535</v>
      </c>
      <c r="F924" s="166">
        <v>1</v>
      </c>
      <c r="G924" s="167">
        <f t="shared" si="16"/>
        <v>0</v>
      </c>
    </row>
    <row r="925" spans="2:8">
      <c r="B925" s="434">
        <v>45959</v>
      </c>
      <c r="C925" s="168" t="s">
        <v>976</v>
      </c>
      <c r="D925" s="166">
        <v>1</v>
      </c>
      <c r="E925" s="166" t="s">
        <v>1535</v>
      </c>
      <c r="F925" s="166">
        <v>1</v>
      </c>
      <c r="G925" s="167">
        <f t="shared" si="16"/>
        <v>0</v>
      </c>
    </row>
    <row r="926" spans="2:8">
      <c r="B926" s="434">
        <v>45959</v>
      </c>
      <c r="C926" s="503" t="s">
        <v>919</v>
      </c>
      <c r="D926" s="166">
        <v>1</v>
      </c>
      <c r="E926" s="166" t="s">
        <v>1535</v>
      </c>
      <c r="F926" s="166">
        <v>1</v>
      </c>
      <c r="G926" s="167">
        <f t="shared" si="16"/>
        <v>0</v>
      </c>
    </row>
    <row r="927" spans="2:8">
      <c r="B927" s="346">
        <v>45959</v>
      </c>
      <c r="C927" s="349" t="s">
        <v>1246</v>
      </c>
      <c r="D927" s="348">
        <v>1</v>
      </c>
      <c r="E927" s="348" t="s">
        <v>921</v>
      </c>
      <c r="F927" s="348">
        <v>1</v>
      </c>
      <c r="G927" s="351">
        <f t="shared" si="16"/>
        <v>0</v>
      </c>
      <c r="H927" t="s">
        <v>1541</v>
      </c>
    </row>
    <row r="928" spans="2:8">
      <c r="B928" s="346">
        <v>45959</v>
      </c>
      <c r="C928" s="349" t="s">
        <v>1327</v>
      </c>
      <c r="D928" s="348">
        <v>11</v>
      </c>
      <c r="E928" s="348" t="s">
        <v>921</v>
      </c>
      <c r="F928" s="348">
        <v>11</v>
      </c>
      <c r="G928" s="351">
        <f t="shared" si="16"/>
        <v>0</v>
      </c>
    </row>
    <row r="929" spans="2:7">
      <c r="B929" s="346">
        <v>45959</v>
      </c>
      <c r="C929" s="349" t="s">
        <v>1326</v>
      </c>
      <c r="D929" s="348">
        <v>2</v>
      </c>
      <c r="E929" s="348" t="s">
        <v>921</v>
      </c>
      <c r="F929" s="348">
        <v>2</v>
      </c>
      <c r="G929" s="351">
        <f t="shared" si="16"/>
        <v>0</v>
      </c>
    </row>
    <row r="930" spans="2:7">
      <c r="B930" s="346">
        <v>45959</v>
      </c>
      <c r="C930" s="347" t="s">
        <v>134</v>
      </c>
      <c r="D930" s="348">
        <v>1</v>
      </c>
      <c r="E930" s="348" t="s">
        <v>921</v>
      </c>
      <c r="F930" s="348">
        <v>1</v>
      </c>
      <c r="G930" s="351">
        <f t="shared" si="16"/>
        <v>0</v>
      </c>
    </row>
    <row r="931" spans="2:7">
      <c r="B931" s="346">
        <v>45959</v>
      </c>
      <c r="C931" s="349" t="s">
        <v>166</v>
      </c>
      <c r="D931" s="348">
        <v>4</v>
      </c>
      <c r="E931" s="348" t="s">
        <v>921</v>
      </c>
      <c r="F931" s="348">
        <v>4</v>
      </c>
      <c r="G931" s="351">
        <f t="shared" si="16"/>
        <v>0</v>
      </c>
    </row>
    <row r="932" spans="2:7">
      <c r="B932" s="346">
        <v>45959</v>
      </c>
      <c r="C932" s="349" t="s">
        <v>167</v>
      </c>
      <c r="D932" s="348">
        <v>1</v>
      </c>
      <c r="E932" s="348" t="s">
        <v>921</v>
      </c>
      <c r="F932" s="348">
        <v>1</v>
      </c>
      <c r="G932" s="351">
        <f t="shared" si="16"/>
        <v>0</v>
      </c>
    </row>
    <row r="933" spans="2:7">
      <c r="B933" s="346">
        <v>45959</v>
      </c>
      <c r="C933" s="349" t="s">
        <v>1319</v>
      </c>
      <c r="D933" s="348">
        <v>1</v>
      </c>
      <c r="E933" s="348" t="s">
        <v>921</v>
      </c>
      <c r="F933" s="348">
        <v>1</v>
      </c>
      <c r="G933" s="351">
        <f t="shared" si="16"/>
        <v>0</v>
      </c>
    </row>
    <row r="934" spans="2:7">
      <c r="B934" s="346">
        <v>45959</v>
      </c>
      <c r="C934" s="349" t="s">
        <v>1536</v>
      </c>
      <c r="D934" s="348">
        <v>1</v>
      </c>
      <c r="E934" s="348" t="s">
        <v>921</v>
      </c>
      <c r="F934" s="348">
        <v>1</v>
      </c>
      <c r="G934" s="351">
        <f t="shared" si="16"/>
        <v>0</v>
      </c>
    </row>
    <row r="935" spans="2:7">
      <c r="B935" s="346">
        <v>45959</v>
      </c>
      <c r="C935" s="349" t="s">
        <v>1537</v>
      </c>
      <c r="D935" s="348">
        <v>2</v>
      </c>
      <c r="E935" s="348" t="s">
        <v>921</v>
      </c>
      <c r="F935" s="348">
        <v>2</v>
      </c>
      <c r="G935" s="351">
        <f t="shared" si="16"/>
        <v>0</v>
      </c>
    </row>
    <row r="936" spans="2:7">
      <c r="B936" s="346">
        <v>45959</v>
      </c>
      <c r="C936" s="351" t="s">
        <v>932</v>
      </c>
      <c r="D936" s="348">
        <v>5</v>
      </c>
      <c r="E936" s="348" t="s">
        <v>921</v>
      </c>
      <c r="F936" s="348">
        <v>5</v>
      </c>
      <c r="G936" s="351">
        <f t="shared" si="16"/>
        <v>0</v>
      </c>
    </row>
    <row r="937" spans="2:7">
      <c r="B937" s="346">
        <v>45959</v>
      </c>
      <c r="C937" s="349" t="s">
        <v>1538</v>
      </c>
      <c r="D937" s="348">
        <v>1</v>
      </c>
      <c r="E937" s="348" t="s">
        <v>921</v>
      </c>
      <c r="F937" s="348">
        <v>1</v>
      </c>
      <c r="G937" s="351">
        <f t="shared" si="16"/>
        <v>0</v>
      </c>
    </row>
    <row r="938" spans="2:7">
      <c r="B938" s="346">
        <v>45959</v>
      </c>
      <c r="C938" s="349" t="s">
        <v>1539</v>
      </c>
      <c r="D938" s="348">
        <v>2</v>
      </c>
      <c r="E938" s="348" t="s">
        <v>921</v>
      </c>
      <c r="F938" s="348">
        <v>2</v>
      </c>
      <c r="G938" s="351">
        <f t="shared" si="16"/>
        <v>0</v>
      </c>
    </row>
    <row r="939" spans="2:7">
      <c r="B939" s="346">
        <v>45959</v>
      </c>
      <c r="C939" s="349" t="s">
        <v>1540</v>
      </c>
      <c r="D939" s="348">
        <v>1</v>
      </c>
      <c r="E939" s="348" t="s">
        <v>921</v>
      </c>
      <c r="F939" s="348">
        <v>1</v>
      </c>
      <c r="G939" s="351">
        <f t="shared" si="16"/>
        <v>0</v>
      </c>
    </row>
    <row r="940" spans="2:7">
      <c r="B940" s="346">
        <v>45959</v>
      </c>
      <c r="C940" s="347" t="s">
        <v>135</v>
      </c>
      <c r="D940" s="348">
        <v>1</v>
      </c>
      <c r="E940" s="348" t="s">
        <v>921</v>
      </c>
      <c r="F940" s="348">
        <v>1</v>
      </c>
      <c r="G940" s="351">
        <f t="shared" si="16"/>
        <v>0</v>
      </c>
    </row>
    <row r="941" spans="2:7">
      <c r="B941" s="346">
        <v>45959</v>
      </c>
      <c r="C941" s="349" t="s">
        <v>1152</v>
      </c>
      <c r="D941" s="348">
        <v>1</v>
      </c>
      <c r="E941" s="348" t="s">
        <v>921</v>
      </c>
      <c r="F941" s="348">
        <v>1</v>
      </c>
      <c r="G941" s="351">
        <f t="shared" si="16"/>
        <v>0</v>
      </c>
    </row>
    <row r="942" spans="2:7">
      <c r="B942" s="346">
        <v>45959</v>
      </c>
      <c r="C942" s="349" t="s">
        <v>976</v>
      </c>
      <c r="D942" s="348">
        <v>1</v>
      </c>
      <c r="E942" s="348" t="s">
        <v>921</v>
      </c>
      <c r="F942" s="348">
        <v>1</v>
      </c>
      <c r="G942" s="351">
        <f t="shared" si="16"/>
        <v>0</v>
      </c>
    </row>
    <row r="943" spans="2:7">
      <c r="B943" s="346">
        <v>45959</v>
      </c>
      <c r="C943" s="349" t="s">
        <v>1334</v>
      </c>
      <c r="D943" s="348">
        <v>1</v>
      </c>
      <c r="E943" s="348" t="s">
        <v>921</v>
      </c>
      <c r="F943" s="348">
        <v>1</v>
      </c>
      <c r="G943" s="351">
        <f t="shared" si="16"/>
        <v>0</v>
      </c>
    </row>
    <row r="944" spans="2:7">
      <c r="B944" s="346">
        <v>45959</v>
      </c>
      <c r="C944" s="347" t="s">
        <v>1387</v>
      </c>
      <c r="D944" s="348">
        <v>1</v>
      </c>
      <c r="E944" s="348" t="s">
        <v>921</v>
      </c>
      <c r="F944" s="348">
        <v>1</v>
      </c>
      <c r="G944" s="351">
        <f t="shared" si="16"/>
        <v>0</v>
      </c>
    </row>
    <row r="945" spans="2:7">
      <c r="B945" s="346">
        <v>45959</v>
      </c>
      <c r="C945" s="349" t="s">
        <v>1491</v>
      </c>
      <c r="D945" s="348">
        <v>1</v>
      </c>
      <c r="E945" s="348" t="s">
        <v>921</v>
      </c>
      <c r="F945" s="348">
        <v>1</v>
      </c>
      <c r="G945" s="351">
        <f t="shared" si="16"/>
        <v>0</v>
      </c>
    </row>
    <row r="946" spans="2:7">
      <c r="B946" s="346">
        <v>45959</v>
      </c>
      <c r="C946" s="349" t="s">
        <v>1533</v>
      </c>
      <c r="D946" s="348">
        <v>1</v>
      </c>
      <c r="E946" s="348" t="s">
        <v>921</v>
      </c>
      <c r="F946" s="348">
        <v>1</v>
      </c>
      <c r="G946" s="351">
        <f t="shared" si="16"/>
        <v>0</v>
      </c>
    </row>
    <row r="947" spans="2:7">
      <c r="B947" s="434">
        <v>45959</v>
      </c>
      <c r="C947" s="168" t="s">
        <v>1289</v>
      </c>
      <c r="D947" s="166">
        <v>3</v>
      </c>
      <c r="E947" s="166" t="s">
        <v>1544</v>
      </c>
      <c r="F947" s="166">
        <v>3</v>
      </c>
      <c r="G947" s="167">
        <f t="shared" si="16"/>
        <v>0</v>
      </c>
    </row>
    <row r="948" spans="2:7">
      <c r="B948" s="323">
        <v>45959</v>
      </c>
      <c r="C948" s="324" t="s">
        <v>960</v>
      </c>
      <c r="D948" s="322">
        <v>42</v>
      </c>
      <c r="E948" s="322" t="s">
        <v>682</v>
      </c>
      <c r="F948" s="322">
        <v>42</v>
      </c>
      <c r="G948" s="425">
        <f t="shared" si="16"/>
        <v>0</v>
      </c>
    </row>
    <row r="949" spans="2:7">
      <c r="B949" s="323">
        <v>45959</v>
      </c>
      <c r="C949" s="324" t="s">
        <v>131</v>
      </c>
      <c r="D949" s="322">
        <v>16</v>
      </c>
      <c r="E949" s="322" t="s">
        <v>682</v>
      </c>
      <c r="F949" s="322">
        <v>16</v>
      </c>
      <c r="G949" s="425">
        <f t="shared" si="16"/>
        <v>0</v>
      </c>
    </row>
    <row r="950" spans="2:7">
      <c r="B950" s="323">
        <v>45959</v>
      </c>
      <c r="C950" s="325" t="s">
        <v>1271</v>
      </c>
      <c r="D950" s="322">
        <v>12</v>
      </c>
      <c r="E950" s="322" t="s">
        <v>682</v>
      </c>
      <c r="F950" s="322">
        <v>12</v>
      </c>
      <c r="G950" s="425">
        <f t="shared" si="16"/>
        <v>0</v>
      </c>
    </row>
    <row r="951" spans="2:7">
      <c r="B951" s="323">
        <v>45959</v>
      </c>
      <c r="C951" s="325" t="s">
        <v>1409</v>
      </c>
      <c r="D951" s="322">
        <v>10</v>
      </c>
      <c r="E951" s="322" t="s">
        <v>682</v>
      </c>
      <c r="F951" s="322">
        <v>10</v>
      </c>
      <c r="G951" s="425">
        <f t="shared" si="16"/>
        <v>0</v>
      </c>
    </row>
    <row r="952" spans="2:7">
      <c r="B952" s="323">
        <v>45959</v>
      </c>
      <c r="C952" s="425" t="s">
        <v>1182</v>
      </c>
      <c r="D952" s="322">
        <v>6</v>
      </c>
      <c r="E952" s="322" t="s">
        <v>682</v>
      </c>
      <c r="F952" s="322">
        <v>6</v>
      </c>
      <c r="G952" s="425">
        <f t="shared" si="16"/>
        <v>0</v>
      </c>
    </row>
    <row r="953" spans="2:7">
      <c r="B953" s="323">
        <v>45959</v>
      </c>
      <c r="C953" s="425" t="s">
        <v>1151</v>
      </c>
      <c r="D953" s="322">
        <v>5</v>
      </c>
      <c r="E953" s="322" t="s">
        <v>682</v>
      </c>
      <c r="F953" s="322">
        <v>5</v>
      </c>
      <c r="G953" s="425">
        <f t="shared" si="16"/>
        <v>0</v>
      </c>
    </row>
    <row r="954" spans="2:7">
      <c r="B954" s="323">
        <v>45959</v>
      </c>
      <c r="C954" s="325" t="s">
        <v>1291</v>
      </c>
      <c r="D954" s="322">
        <v>5</v>
      </c>
      <c r="E954" s="322" t="s">
        <v>682</v>
      </c>
      <c r="F954" s="322">
        <v>5</v>
      </c>
      <c r="G954" s="425">
        <f t="shared" si="16"/>
        <v>0</v>
      </c>
    </row>
    <row r="955" spans="2:7">
      <c r="B955" s="323">
        <v>45959</v>
      </c>
      <c r="C955" s="325" t="s">
        <v>1326</v>
      </c>
      <c r="D955" s="322">
        <v>3</v>
      </c>
      <c r="E955" s="322" t="s">
        <v>682</v>
      </c>
      <c r="F955" s="322">
        <v>3</v>
      </c>
      <c r="G955" s="425">
        <f t="shared" si="16"/>
        <v>0</v>
      </c>
    </row>
    <row r="956" spans="2:7">
      <c r="B956" s="323">
        <v>45959</v>
      </c>
      <c r="C956" s="325" t="s">
        <v>1246</v>
      </c>
      <c r="D956" s="322">
        <v>3</v>
      </c>
      <c r="E956" s="322" t="s">
        <v>682</v>
      </c>
      <c r="F956" s="322">
        <v>3</v>
      </c>
      <c r="G956" s="425">
        <f t="shared" si="16"/>
        <v>0</v>
      </c>
    </row>
    <row r="957" spans="2:7">
      <c r="B957" s="323">
        <v>45959</v>
      </c>
      <c r="C957" s="324" t="s">
        <v>134</v>
      </c>
      <c r="D957" s="322">
        <v>2</v>
      </c>
      <c r="E957" s="322" t="s">
        <v>682</v>
      </c>
      <c r="F957" s="322">
        <v>2</v>
      </c>
      <c r="G957" s="425">
        <f t="shared" si="16"/>
        <v>0</v>
      </c>
    </row>
    <row r="958" spans="2:7">
      <c r="B958" s="323">
        <v>45959</v>
      </c>
      <c r="C958" s="325" t="s">
        <v>1271</v>
      </c>
      <c r="D958" s="322">
        <v>2</v>
      </c>
      <c r="E958" s="322" t="s">
        <v>682</v>
      </c>
      <c r="F958" s="322">
        <v>2</v>
      </c>
      <c r="G958" s="425">
        <f t="shared" si="16"/>
        <v>0</v>
      </c>
    </row>
    <row r="959" spans="2:7">
      <c r="B959" s="323">
        <v>45959</v>
      </c>
      <c r="C959" s="325" t="s">
        <v>1301</v>
      </c>
      <c r="D959" s="322">
        <v>2</v>
      </c>
      <c r="E959" s="322" t="s">
        <v>682</v>
      </c>
      <c r="F959" s="322">
        <v>2</v>
      </c>
      <c r="G959" s="425">
        <f t="shared" si="16"/>
        <v>0</v>
      </c>
    </row>
    <row r="960" spans="2:7">
      <c r="B960" s="323">
        <v>45959</v>
      </c>
      <c r="C960" s="325" t="s">
        <v>1249</v>
      </c>
      <c r="D960" s="322">
        <v>2</v>
      </c>
      <c r="E960" s="322" t="s">
        <v>682</v>
      </c>
      <c r="F960" s="322">
        <v>2</v>
      </c>
      <c r="G960" s="425">
        <f t="shared" si="16"/>
        <v>0</v>
      </c>
    </row>
    <row r="961" spans="2:7">
      <c r="B961" s="323">
        <v>45959</v>
      </c>
      <c r="C961" s="325" t="s">
        <v>1327</v>
      </c>
      <c r="D961" s="322">
        <v>2</v>
      </c>
      <c r="E961" s="322" t="s">
        <v>682</v>
      </c>
      <c r="F961" s="322">
        <v>2</v>
      </c>
      <c r="G961" s="425">
        <f t="shared" si="16"/>
        <v>0</v>
      </c>
    </row>
    <row r="962" spans="2:7">
      <c r="B962" s="323">
        <v>45959</v>
      </c>
      <c r="C962" s="325" t="s">
        <v>976</v>
      </c>
      <c r="D962" s="322">
        <v>2</v>
      </c>
      <c r="E962" s="322" t="s">
        <v>682</v>
      </c>
      <c r="F962" s="322">
        <v>2</v>
      </c>
      <c r="G962" s="425">
        <f t="shared" si="16"/>
        <v>0</v>
      </c>
    </row>
    <row r="963" spans="2:7">
      <c r="B963" s="323">
        <v>45959</v>
      </c>
      <c r="C963" s="324" t="s">
        <v>410</v>
      </c>
      <c r="D963" s="322">
        <v>2</v>
      </c>
      <c r="E963" s="322" t="s">
        <v>682</v>
      </c>
      <c r="F963" s="322">
        <v>2</v>
      </c>
      <c r="G963" s="425">
        <f t="shared" si="16"/>
        <v>0</v>
      </c>
    </row>
    <row r="964" spans="2:7">
      <c r="B964" s="323">
        <v>45959</v>
      </c>
      <c r="C964" s="425" t="s">
        <v>1183</v>
      </c>
      <c r="D964" s="322">
        <v>2</v>
      </c>
      <c r="E964" s="322" t="s">
        <v>682</v>
      </c>
      <c r="F964" s="322">
        <v>2</v>
      </c>
      <c r="G964" s="425">
        <f t="shared" ref="G964:G1027" si="17">D964-F964</f>
        <v>0</v>
      </c>
    </row>
    <row r="965" spans="2:7">
      <c r="B965" s="323">
        <v>45959</v>
      </c>
      <c r="C965" s="325" t="s">
        <v>1567</v>
      </c>
      <c r="D965" s="322">
        <v>1</v>
      </c>
      <c r="E965" s="322" t="s">
        <v>682</v>
      </c>
      <c r="F965" s="322">
        <v>1</v>
      </c>
      <c r="G965" s="425">
        <f t="shared" si="17"/>
        <v>0</v>
      </c>
    </row>
    <row r="966" spans="2:7">
      <c r="B966" s="323">
        <v>45959</v>
      </c>
      <c r="C966" s="325" t="s">
        <v>1434</v>
      </c>
      <c r="D966" s="322">
        <v>1</v>
      </c>
      <c r="E966" s="322" t="s">
        <v>682</v>
      </c>
      <c r="F966" s="322">
        <v>1</v>
      </c>
      <c r="G966" s="425">
        <f t="shared" si="17"/>
        <v>0</v>
      </c>
    </row>
    <row r="967" spans="2:7">
      <c r="B967" s="323">
        <v>45959</v>
      </c>
      <c r="C967" s="325" t="s">
        <v>166</v>
      </c>
      <c r="D967" s="322">
        <v>1</v>
      </c>
      <c r="E967" s="322" t="s">
        <v>682</v>
      </c>
      <c r="F967" s="322">
        <v>1</v>
      </c>
      <c r="G967" s="425">
        <f t="shared" si="17"/>
        <v>0</v>
      </c>
    </row>
    <row r="968" spans="2:7">
      <c r="B968" s="323">
        <v>45959</v>
      </c>
      <c r="C968" s="324" t="s">
        <v>134</v>
      </c>
      <c r="D968" s="322">
        <v>1</v>
      </c>
      <c r="E968" s="322" t="s">
        <v>682</v>
      </c>
      <c r="F968" s="322">
        <v>1</v>
      </c>
      <c r="G968" s="425">
        <f t="shared" si="17"/>
        <v>0</v>
      </c>
    </row>
    <row r="969" spans="2:7">
      <c r="B969" s="323">
        <v>45959</v>
      </c>
      <c r="C969" s="426" t="s">
        <v>928</v>
      </c>
      <c r="D969" s="322">
        <v>1</v>
      </c>
      <c r="E969" s="322" t="s">
        <v>682</v>
      </c>
      <c r="F969" s="322">
        <v>1</v>
      </c>
      <c r="G969" s="425">
        <f t="shared" si="17"/>
        <v>0</v>
      </c>
    </row>
    <row r="970" spans="2:7">
      <c r="B970" s="323">
        <v>45959</v>
      </c>
      <c r="C970" s="324" t="s">
        <v>134</v>
      </c>
      <c r="D970" s="322">
        <v>1</v>
      </c>
      <c r="E970" s="322" t="s">
        <v>682</v>
      </c>
      <c r="F970" s="322">
        <v>1</v>
      </c>
      <c r="G970" s="425">
        <f t="shared" si="17"/>
        <v>0</v>
      </c>
    </row>
    <row r="971" spans="2:7">
      <c r="B971" s="323">
        <v>45959</v>
      </c>
      <c r="C971" s="324" t="s">
        <v>134</v>
      </c>
      <c r="D971" s="322">
        <v>1</v>
      </c>
      <c r="E971" s="322" t="s">
        <v>682</v>
      </c>
      <c r="F971" s="322">
        <v>1</v>
      </c>
      <c r="G971" s="425">
        <f t="shared" si="17"/>
        <v>0</v>
      </c>
    </row>
    <row r="972" spans="2:7">
      <c r="B972" s="323">
        <v>45959</v>
      </c>
      <c r="C972" s="325" t="s">
        <v>936</v>
      </c>
      <c r="D972" s="322">
        <v>1</v>
      </c>
      <c r="E972" s="322" t="s">
        <v>682</v>
      </c>
      <c r="F972" s="322">
        <v>1</v>
      </c>
      <c r="G972" s="425">
        <f t="shared" si="17"/>
        <v>0</v>
      </c>
    </row>
    <row r="973" spans="2:7">
      <c r="B973" s="323">
        <v>45959</v>
      </c>
      <c r="C973" s="325" t="s">
        <v>1289</v>
      </c>
      <c r="D973" s="322">
        <v>1</v>
      </c>
      <c r="E973" s="322" t="s">
        <v>682</v>
      </c>
      <c r="F973" s="322">
        <v>1</v>
      </c>
      <c r="G973" s="425">
        <f t="shared" si="17"/>
        <v>0</v>
      </c>
    </row>
    <row r="974" spans="2:7">
      <c r="B974" s="323">
        <v>45959</v>
      </c>
      <c r="C974" s="425" t="s">
        <v>1183</v>
      </c>
      <c r="D974" s="322">
        <v>1</v>
      </c>
      <c r="E974" s="322" t="s">
        <v>682</v>
      </c>
      <c r="F974" s="322">
        <v>1</v>
      </c>
      <c r="G974" s="425">
        <f t="shared" si="17"/>
        <v>0</v>
      </c>
    </row>
    <row r="975" spans="2:7">
      <c r="B975" s="323">
        <v>45959</v>
      </c>
      <c r="C975" s="325" t="s">
        <v>1561</v>
      </c>
      <c r="D975" s="322">
        <v>1</v>
      </c>
      <c r="E975" s="322" t="s">
        <v>682</v>
      </c>
      <c r="F975" s="322">
        <v>1</v>
      </c>
      <c r="G975" s="425">
        <f t="shared" si="17"/>
        <v>0</v>
      </c>
    </row>
    <row r="976" spans="2:7">
      <c r="B976" s="323">
        <v>45959</v>
      </c>
      <c r="C976" s="325" t="s">
        <v>1545</v>
      </c>
      <c r="D976" s="322">
        <v>1</v>
      </c>
      <c r="E976" s="322" t="s">
        <v>682</v>
      </c>
      <c r="F976" s="322">
        <v>1</v>
      </c>
      <c r="G976" s="425">
        <f t="shared" si="17"/>
        <v>0</v>
      </c>
    </row>
    <row r="977" spans="2:8">
      <c r="B977" s="323">
        <v>45959</v>
      </c>
      <c r="C977" s="325" t="s">
        <v>1568</v>
      </c>
      <c r="D977" s="322">
        <v>1</v>
      </c>
      <c r="E977" s="322" t="s">
        <v>682</v>
      </c>
      <c r="F977" s="322">
        <v>1</v>
      </c>
      <c r="G977" s="425">
        <f t="shared" si="17"/>
        <v>0</v>
      </c>
    </row>
    <row r="978" spans="2:8">
      <c r="B978" s="323">
        <v>45959</v>
      </c>
      <c r="C978" s="325" t="s">
        <v>1568</v>
      </c>
      <c r="D978" s="322">
        <v>1</v>
      </c>
      <c r="E978" s="322" t="s">
        <v>682</v>
      </c>
      <c r="F978" s="322">
        <v>1</v>
      </c>
      <c r="G978" s="425">
        <f t="shared" si="17"/>
        <v>0</v>
      </c>
    </row>
    <row r="979" spans="2:8">
      <c r="B979" s="323">
        <v>45959</v>
      </c>
      <c r="C979" s="425" t="s">
        <v>1146</v>
      </c>
      <c r="D979" s="322">
        <v>1</v>
      </c>
      <c r="E979" s="322" t="s">
        <v>682</v>
      </c>
      <c r="F979" s="322">
        <v>1</v>
      </c>
      <c r="G979" s="425">
        <f t="shared" si="17"/>
        <v>0</v>
      </c>
    </row>
    <row r="980" spans="2:8">
      <c r="B980" s="323">
        <v>45959</v>
      </c>
      <c r="C980" s="325" t="s">
        <v>807</v>
      </c>
      <c r="D980" s="322">
        <v>1</v>
      </c>
      <c r="E980" s="322" t="s">
        <v>682</v>
      </c>
      <c r="F980" s="322">
        <v>1</v>
      </c>
      <c r="G980" s="425">
        <f t="shared" si="17"/>
        <v>0</v>
      </c>
    </row>
    <row r="981" spans="2:8">
      <c r="B981" s="323">
        <v>45959</v>
      </c>
      <c r="C981" s="325" t="s">
        <v>1569</v>
      </c>
      <c r="D981" s="322">
        <v>1</v>
      </c>
      <c r="E981" s="322" t="s">
        <v>682</v>
      </c>
      <c r="F981" s="322">
        <v>1</v>
      </c>
      <c r="G981" s="425">
        <f t="shared" si="17"/>
        <v>0</v>
      </c>
    </row>
    <row r="982" spans="2:8">
      <c r="B982" s="346">
        <v>45962</v>
      </c>
      <c r="C982" s="349" t="s">
        <v>1271</v>
      </c>
      <c r="D982" s="348">
        <v>2</v>
      </c>
      <c r="E982" s="348" t="s">
        <v>921</v>
      </c>
      <c r="F982" s="348">
        <v>2</v>
      </c>
      <c r="G982" s="351">
        <f t="shared" si="17"/>
        <v>0</v>
      </c>
    </row>
    <row r="983" spans="2:8">
      <c r="B983" s="346">
        <v>45962</v>
      </c>
      <c r="C983" s="347" t="s">
        <v>134</v>
      </c>
      <c r="D983" s="348">
        <v>1</v>
      </c>
      <c r="E983" s="348" t="s">
        <v>921</v>
      </c>
      <c r="F983" s="348">
        <v>1</v>
      </c>
      <c r="G983" s="351">
        <f t="shared" si="17"/>
        <v>0</v>
      </c>
    </row>
    <row r="984" spans="2:8">
      <c r="B984" s="346">
        <v>45962</v>
      </c>
      <c r="C984" s="347" t="s">
        <v>134</v>
      </c>
      <c r="D984" s="348">
        <v>1</v>
      </c>
      <c r="E984" s="348" t="s">
        <v>921</v>
      </c>
      <c r="F984" s="348">
        <v>1</v>
      </c>
      <c r="G984" s="351">
        <f t="shared" si="17"/>
        <v>0</v>
      </c>
    </row>
    <row r="985" spans="2:8">
      <c r="B985" s="346">
        <v>45962</v>
      </c>
      <c r="C985" s="349" t="s">
        <v>166</v>
      </c>
      <c r="D985" s="348">
        <v>1</v>
      </c>
      <c r="E985" s="348" t="s">
        <v>921</v>
      </c>
      <c r="F985" s="348">
        <v>1</v>
      </c>
      <c r="G985" s="351">
        <f t="shared" si="17"/>
        <v>0</v>
      </c>
      <c r="H985" t="s">
        <v>1591</v>
      </c>
    </row>
    <row r="986" spans="2:8">
      <c r="B986" s="346">
        <v>45962</v>
      </c>
      <c r="C986" s="349" t="s">
        <v>166</v>
      </c>
      <c r="D986" s="348">
        <v>2</v>
      </c>
      <c r="E986" s="348" t="s">
        <v>921</v>
      </c>
      <c r="F986" s="348">
        <v>2</v>
      </c>
      <c r="G986" s="351">
        <f t="shared" si="17"/>
        <v>0</v>
      </c>
    </row>
    <row r="987" spans="2:8">
      <c r="B987" s="346">
        <v>45962</v>
      </c>
      <c r="C987" s="349" t="s">
        <v>167</v>
      </c>
      <c r="D987" s="348">
        <v>2</v>
      </c>
      <c r="E987" s="348" t="s">
        <v>921</v>
      </c>
      <c r="F987" s="348">
        <v>2</v>
      </c>
      <c r="G987" s="351">
        <f t="shared" si="17"/>
        <v>0</v>
      </c>
    </row>
    <row r="988" spans="2:8">
      <c r="B988" s="346">
        <v>45962</v>
      </c>
      <c r="C988" s="351" t="s">
        <v>932</v>
      </c>
      <c r="D988" s="348">
        <v>1</v>
      </c>
      <c r="E988" s="348" t="s">
        <v>921</v>
      </c>
      <c r="F988" s="348">
        <v>1</v>
      </c>
      <c r="G988" s="351">
        <f t="shared" si="17"/>
        <v>0</v>
      </c>
    </row>
    <row r="989" spans="2:8">
      <c r="B989" s="346">
        <v>45962</v>
      </c>
      <c r="C989" s="349" t="s">
        <v>976</v>
      </c>
      <c r="D989" s="348">
        <v>1</v>
      </c>
      <c r="E989" s="348" t="s">
        <v>921</v>
      </c>
      <c r="F989" s="348">
        <v>1</v>
      </c>
      <c r="G989" s="351">
        <f t="shared" si="17"/>
        <v>0</v>
      </c>
    </row>
    <row r="990" spans="2:8">
      <c r="B990" s="346">
        <v>45962</v>
      </c>
      <c r="C990" s="349" t="s">
        <v>1095</v>
      </c>
      <c r="D990" s="348">
        <v>2</v>
      </c>
      <c r="E990" s="348" t="s">
        <v>921</v>
      </c>
      <c r="F990" s="348">
        <v>2</v>
      </c>
      <c r="G990" s="351">
        <f t="shared" si="17"/>
        <v>0</v>
      </c>
    </row>
    <row r="991" spans="2:8">
      <c r="B991" s="346">
        <v>45962</v>
      </c>
      <c r="C991" s="349" t="s">
        <v>1532</v>
      </c>
      <c r="D991" s="348">
        <v>1</v>
      </c>
      <c r="E991" s="348" t="s">
        <v>921</v>
      </c>
      <c r="F991" s="348">
        <v>1</v>
      </c>
      <c r="G991" s="351">
        <f t="shared" si="17"/>
        <v>0</v>
      </c>
    </row>
    <row r="992" spans="2:8">
      <c r="B992" s="346">
        <v>45962</v>
      </c>
      <c r="C992" s="349" t="s">
        <v>1291</v>
      </c>
      <c r="D992" s="348">
        <v>5</v>
      </c>
      <c r="E992" s="348" t="s">
        <v>921</v>
      </c>
      <c r="F992" s="348">
        <v>5</v>
      </c>
      <c r="G992" s="351">
        <f t="shared" si="17"/>
        <v>0</v>
      </c>
    </row>
    <row r="993" spans="2:8">
      <c r="B993" s="346">
        <v>45962</v>
      </c>
      <c r="C993" s="349" t="s">
        <v>1334</v>
      </c>
      <c r="D993" s="348">
        <v>2</v>
      </c>
      <c r="E993" s="348" t="s">
        <v>921</v>
      </c>
      <c r="F993" s="348">
        <v>2</v>
      </c>
      <c r="G993" s="351">
        <f t="shared" si="17"/>
        <v>0</v>
      </c>
    </row>
    <row r="994" spans="2:8">
      <c r="B994" s="346">
        <v>45962</v>
      </c>
      <c r="C994" s="347" t="s">
        <v>1387</v>
      </c>
      <c r="D994" s="348">
        <v>1</v>
      </c>
      <c r="E994" s="348" t="s">
        <v>921</v>
      </c>
      <c r="F994" s="348">
        <v>1</v>
      </c>
      <c r="G994" s="351">
        <f t="shared" si="17"/>
        <v>0</v>
      </c>
    </row>
    <row r="995" spans="2:8">
      <c r="B995" s="346">
        <v>45962</v>
      </c>
      <c r="C995" s="349" t="s">
        <v>1490</v>
      </c>
      <c r="D995" s="348">
        <v>1</v>
      </c>
      <c r="E995" s="348" t="s">
        <v>921</v>
      </c>
      <c r="F995" s="348">
        <v>1</v>
      </c>
      <c r="G995" s="351">
        <f t="shared" si="17"/>
        <v>0</v>
      </c>
    </row>
    <row r="996" spans="2:8">
      <c r="B996" s="346">
        <v>45962</v>
      </c>
      <c r="C996" s="349" t="s">
        <v>1533</v>
      </c>
      <c r="D996" s="348">
        <v>1</v>
      </c>
      <c r="E996" s="348" t="s">
        <v>921</v>
      </c>
      <c r="F996" s="348">
        <v>1</v>
      </c>
      <c r="G996" s="351">
        <f t="shared" si="17"/>
        <v>0</v>
      </c>
    </row>
    <row r="997" spans="2:8">
      <c r="B997" s="434">
        <v>45964</v>
      </c>
      <c r="C997" s="435" t="s">
        <v>928</v>
      </c>
      <c r="D997" s="166">
        <v>1</v>
      </c>
      <c r="E997" s="166" t="s">
        <v>1596</v>
      </c>
      <c r="F997" s="166">
        <v>1</v>
      </c>
      <c r="G997" s="167">
        <f t="shared" si="17"/>
        <v>0</v>
      </c>
    </row>
    <row r="998" spans="2:8">
      <c r="B998" s="434">
        <v>45965</v>
      </c>
      <c r="C998" s="168" t="s">
        <v>1568</v>
      </c>
      <c r="D998" s="166">
        <v>1</v>
      </c>
      <c r="E998" s="166" t="s">
        <v>1601</v>
      </c>
      <c r="F998" s="166">
        <v>1</v>
      </c>
      <c r="G998" s="167">
        <f t="shared" si="17"/>
        <v>0</v>
      </c>
    </row>
    <row r="999" spans="2:8">
      <c r="B999" s="434">
        <v>45965</v>
      </c>
      <c r="C999" s="168" t="s">
        <v>1568</v>
      </c>
      <c r="D999" s="166">
        <v>1</v>
      </c>
      <c r="E999" s="166" t="s">
        <v>1601</v>
      </c>
      <c r="F999" s="166">
        <v>1</v>
      </c>
      <c r="G999" s="167">
        <f t="shared" si="17"/>
        <v>0</v>
      </c>
    </row>
    <row r="1000" spans="2:8">
      <c r="B1000" s="434">
        <v>45965</v>
      </c>
      <c r="C1000" s="503" t="s">
        <v>919</v>
      </c>
      <c r="D1000" s="166">
        <v>1</v>
      </c>
      <c r="E1000" s="166" t="s">
        <v>1601</v>
      </c>
      <c r="F1000" s="166">
        <v>1</v>
      </c>
      <c r="G1000" s="167">
        <f t="shared" si="17"/>
        <v>0</v>
      </c>
    </row>
    <row r="1001" spans="2:8">
      <c r="B1001" s="434">
        <v>45965</v>
      </c>
      <c r="C1001" s="168" t="s">
        <v>1313</v>
      </c>
      <c r="D1001" s="166">
        <v>1</v>
      </c>
      <c r="E1001" s="166" t="s">
        <v>1601</v>
      </c>
      <c r="F1001" s="166">
        <v>1</v>
      </c>
      <c r="G1001" s="167">
        <f t="shared" si="17"/>
        <v>0</v>
      </c>
    </row>
    <row r="1002" spans="2:8">
      <c r="B1002" s="434">
        <v>45965</v>
      </c>
      <c r="C1002" s="168" t="s">
        <v>1386</v>
      </c>
      <c r="D1002" s="166">
        <v>1</v>
      </c>
      <c r="E1002" s="166" t="s">
        <v>1601</v>
      </c>
      <c r="F1002" s="166">
        <v>1</v>
      </c>
      <c r="G1002" s="167">
        <f t="shared" si="17"/>
        <v>0</v>
      </c>
    </row>
    <row r="1003" spans="2:8">
      <c r="B1003" s="434">
        <v>45965</v>
      </c>
      <c r="C1003" s="168" t="s">
        <v>1095</v>
      </c>
      <c r="D1003" s="166">
        <v>1</v>
      </c>
      <c r="E1003" s="166" t="s">
        <v>1601</v>
      </c>
      <c r="F1003" s="166">
        <v>1</v>
      </c>
      <c r="G1003" s="167">
        <f t="shared" si="17"/>
        <v>0</v>
      </c>
    </row>
    <row r="1004" spans="2:8">
      <c r="B1004" s="434">
        <v>45965</v>
      </c>
      <c r="C1004" s="168" t="s">
        <v>1404</v>
      </c>
      <c r="D1004" s="166">
        <v>1</v>
      </c>
      <c r="E1004" s="166" t="s">
        <v>1601</v>
      </c>
      <c r="F1004" s="166">
        <v>1</v>
      </c>
      <c r="G1004" s="167">
        <f t="shared" si="17"/>
        <v>0</v>
      </c>
    </row>
    <row r="1005" spans="2:8">
      <c r="B1005" s="346">
        <v>45959</v>
      </c>
      <c r="C1005" s="349" t="s">
        <v>166</v>
      </c>
      <c r="D1005" s="348">
        <v>1</v>
      </c>
      <c r="E1005" s="348" t="s">
        <v>921</v>
      </c>
      <c r="F1005" s="348">
        <v>1</v>
      </c>
      <c r="G1005" s="351">
        <f t="shared" si="17"/>
        <v>0</v>
      </c>
      <c r="H1005" t="s">
        <v>1602</v>
      </c>
    </row>
    <row r="1006" spans="2:8">
      <c r="B1006" s="346">
        <v>45959</v>
      </c>
      <c r="C1006" s="349" t="s">
        <v>166</v>
      </c>
      <c r="D1006" s="348">
        <v>1</v>
      </c>
      <c r="E1006" s="348" t="s">
        <v>921</v>
      </c>
      <c r="F1006" s="348">
        <v>1</v>
      </c>
      <c r="G1006" s="351">
        <f t="shared" si="17"/>
        <v>0</v>
      </c>
    </row>
    <row r="1007" spans="2:8">
      <c r="B1007" s="346">
        <v>45959</v>
      </c>
      <c r="C1007" s="349" t="s">
        <v>1271</v>
      </c>
      <c r="D1007" s="348">
        <v>1</v>
      </c>
      <c r="E1007" s="348" t="s">
        <v>921</v>
      </c>
      <c r="F1007" s="348">
        <v>1</v>
      </c>
      <c r="G1007" s="351">
        <f t="shared" si="17"/>
        <v>0</v>
      </c>
    </row>
    <row r="1008" spans="2:8">
      <c r="B1008" s="346">
        <v>45959</v>
      </c>
      <c r="C1008" s="349" t="s">
        <v>1246</v>
      </c>
      <c r="D1008" s="348">
        <v>1</v>
      </c>
      <c r="E1008" s="348" t="s">
        <v>921</v>
      </c>
      <c r="F1008" s="348">
        <v>1</v>
      </c>
      <c r="G1008" s="351">
        <f t="shared" si="17"/>
        <v>0</v>
      </c>
    </row>
    <row r="1009" spans="2:7">
      <c r="B1009" s="265">
        <v>45967</v>
      </c>
      <c r="C1009" s="343" t="s">
        <v>1270</v>
      </c>
      <c r="D1009" s="43">
        <v>13</v>
      </c>
      <c r="E1009" s="345" t="s">
        <v>1616</v>
      </c>
      <c r="F1009" s="43">
        <v>13</v>
      </c>
      <c r="G1009" s="104">
        <f t="shared" si="17"/>
        <v>0</v>
      </c>
    </row>
    <row r="1010" spans="2:7">
      <c r="B1010" s="265">
        <v>45967</v>
      </c>
      <c r="C1010" s="92" t="s">
        <v>672</v>
      </c>
      <c r="D1010" s="43">
        <v>18</v>
      </c>
      <c r="E1010" s="345" t="s">
        <v>1616</v>
      </c>
      <c r="F1010" s="43">
        <v>18</v>
      </c>
      <c r="G1010" s="104">
        <f t="shared" si="17"/>
        <v>0</v>
      </c>
    </row>
    <row r="1011" spans="2:7">
      <c r="B1011" s="265">
        <v>45967</v>
      </c>
      <c r="C1011" s="92" t="s">
        <v>789</v>
      </c>
      <c r="D1011" s="43">
        <v>1</v>
      </c>
      <c r="E1011" s="345" t="s">
        <v>1616</v>
      </c>
      <c r="F1011" s="43">
        <v>1</v>
      </c>
      <c r="G1011" s="104">
        <f t="shared" si="17"/>
        <v>0</v>
      </c>
    </row>
    <row r="1012" spans="2:7">
      <c r="B1012" s="265">
        <v>45967</v>
      </c>
      <c r="C1012" s="92" t="s">
        <v>882</v>
      </c>
      <c r="D1012" s="43">
        <v>25</v>
      </c>
      <c r="E1012" s="345" t="s">
        <v>1616</v>
      </c>
      <c r="F1012" s="43">
        <v>25</v>
      </c>
      <c r="G1012" s="104">
        <f t="shared" si="17"/>
        <v>0</v>
      </c>
    </row>
    <row r="1013" spans="2:7">
      <c r="B1013" s="265">
        <v>45967</v>
      </c>
      <c r="C1013" s="93" t="s">
        <v>1223</v>
      </c>
      <c r="D1013" s="43">
        <v>5</v>
      </c>
      <c r="E1013" s="345" t="s">
        <v>1616</v>
      </c>
      <c r="F1013" s="43">
        <v>5</v>
      </c>
      <c r="G1013" s="104">
        <f t="shared" si="17"/>
        <v>0</v>
      </c>
    </row>
    <row r="1014" spans="2:7">
      <c r="B1014" s="265">
        <v>45967</v>
      </c>
      <c r="C1014" s="92" t="s">
        <v>642</v>
      </c>
      <c r="D1014" s="43">
        <v>5</v>
      </c>
      <c r="E1014" s="345" t="s">
        <v>1616</v>
      </c>
      <c r="F1014" s="43">
        <v>5</v>
      </c>
      <c r="G1014" s="104">
        <f t="shared" si="17"/>
        <v>0</v>
      </c>
    </row>
    <row r="1015" spans="2:7">
      <c r="B1015" s="265">
        <v>45967</v>
      </c>
      <c r="C1015" s="93" t="s">
        <v>1617</v>
      </c>
      <c r="D1015" s="43">
        <v>10</v>
      </c>
      <c r="E1015" s="345" t="s">
        <v>1616</v>
      </c>
      <c r="F1015" s="43">
        <v>10</v>
      </c>
      <c r="G1015" s="104">
        <f t="shared" si="17"/>
        <v>0</v>
      </c>
    </row>
    <row r="1016" spans="2:7">
      <c r="B1016" s="265">
        <v>45967</v>
      </c>
      <c r="C1016" s="139" t="s">
        <v>1575</v>
      </c>
      <c r="D1016" s="43">
        <v>24</v>
      </c>
      <c r="E1016" s="345" t="s">
        <v>1616</v>
      </c>
      <c r="F1016" s="43">
        <v>24</v>
      </c>
      <c r="G1016" s="104">
        <f t="shared" si="17"/>
        <v>0</v>
      </c>
    </row>
    <row r="1017" spans="2:7">
      <c r="B1017" s="265">
        <v>45967</v>
      </c>
      <c r="C1017" s="92" t="s">
        <v>81</v>
      </c>
      <c r="D1017" s="43">
        <v>2</v>
      </c>
      <c r="E1017" s="345" t="s">
        <v>1616</v>
      </c>
      <c r="F1017" s="43">
        <v>2</v>
      </c>
      <c r="G1017" s="104">
        <f t="shared" si="17"/>
        <v>0</v>
      </c>
    </row>
    <row r="1018" spans="2:7">
      <c r="B1018" s="434">
        <v>45967</v>
      </c>
      <c r="C1018" s="167" t="s">
        <v>366</v>
      </c>
      <c r="D1018" s="166">
        <v>3</v>
      </c>
      <c r="E1018" s="166" t="s">
        <v>1601</v>
      </c>
      <c r="F1018" s="166">
        <v>3</v>
      </c>
      <c r="G1018" s="167">
        <f t="shared" si="17"/>
        <v>0</v>
      </c>
    </row>
    <row r="1019" spans="2:7">
      <c r="B1019" s="434">
        <v>45967</v>
      </c>
      <c r="C1019" s="168" t="s">
        <v>1478</v>
      </c>
      <c r="D1019" s="166">
        <v>1</v>
      </c>
      <c r="E1019" s="166" t="s">
        <v>1601</v>
      </c>
      <c r="F1019" s="166">
        <v>1</v>
      </c>
      <c r="G1019" s="167">
        <f t="shared" si="17"/>
        <v>0</v>
      </c>
    </row>
    <row r="1020" spans="2:7">
      <c r="B1020" s="434">
        <v>45967</v>
      </c>
      <c r="C1020" s="168" t="s">
        <v>1327</v>
      </c>
      <c r="D1020" s="166">
        <v>1</v>
      </c>
      <c r="E1020" s="166" t="s">
        <v>1618</v>
      </c>
      <c r="F1020" s="166">
        <v>1</v>
      </c>
      <c r="G1020" s="167">
        <f t="shared" si="17"/>
        <v>0</v>
      </c>
    </row>
    <row r="1021" spans="2:7">
      <c r="B1021" s="323">
        <v>45966</v>
      </c>
      <c r="C1021" s="325" t="s">
        <v>1246</v>
      </c>
      <c r="D1021" s="322">
        <v>1</v>
      </c>
      <c r="E1021" s="322" t="s">
        <v>682</v>
      </c>
      <c r="F1021" s="322">
        <v>1</v>
      </c>
      <c r="G1021" s="425">
        <f t="shared" si="17"/>
        <v>0</v>
      </c>
    </row>
    <row r="1022" spans="2:7">
      <c r="B1022" s="323">
        <v>45966</v>
      </c>
      <c r="C1022" s="325" t="s">
        <v>1246</v>
      </c>
      <c r="D1022" s="322">
        <v>16</v>
      </c>
      <c r="E1022" s="322" t="s">
        <v>682</v>
      </c>
      <c r="F1022" s="322">
        <v>16</v>
      </c>
      <c r="G1022" s="425">
        <f t="shared" si="17"/>
        <v>0</v>
      </c>
    </row>
    <row r="1023" spans="2:7">
      <c r="B1023" s="323">
        <v>45966</v>
      </c>
      <c r="C1023" s="325" t="s">
        <v>1249</v>
      </c>
      <c r="D1023" s="322">
        <v>2</v>
      </c>
      <c r="E1023" s="322" t="s">
        <v>682</v>
      </c>
      <c r="F1023" s="322">
        <v>2</v>
      </c>
      <c r="G1023" s="425">
        <f t="shared" si="17"/>
        <v>0</v>
      </c>
    </row>
    <row r="1024" spans="2:7">
      <c r="B1024" s="323">
        <v>45966</v>
      </c>
      <c r="C1024" s="325" t="s">
        <v>1271</v>
      </c>
      <c r="D1024" s="322">
        <v>4</v>
      </c>
      <c r="E1024" s="322" t="s">
        <v>682</v>
      </c>
      <c r="F1024" s="322">
        <v>4</v>
      </c>
      <c r="G1024" s="425">
        <f t="shared" si="17"/>
        <v>0</v>
      </c>
    </row>
    <row r="1025" spans="2:7">
      <c r="B1025" s="323">
        <v>45966</v>
      </c>
      <c r="C1025" s="325" t="s">
        <v>1301</v>
      </c>
      <c r="D1025" s="322">
        <v>1</v>
      </c>
      <c r="E1025" s="322" t="s">
        <v>682</v>
      </c>
      <c r="F1025" s="322">
        <v>1</v>
      </c>
      <c r="G1025" s="425">
        <f t="shared" si="17"/>
        <v>0</v>
      </c>
    </row>
    <row r="1026" spans="2:7">
      <c r="B1026" s="323">
        <v>45966</v>
      </c>
      <c r="C1026" s="325" t="s">
        <v>1407</v>
      </c>
      <c r="D1026" s="322">
        <v>3</v>
      </c>
      <c r="E1026" s="322" t="s">
        <v>682</v>
      </c>
      <c r="F1026" s="322">
        <v>3</v>
      </c>
      <c r="G1026" s="425">
        <f t="shared" si="17"/>
        <v>0</v>
      </c>
    </row>
    <row r="1027" spans="2:7">
      <c r="B1027" s="323">
        <v>45966</v>
      </c>
      <c r="C1027" s="325" t="s">
        <v>1271</v>
      </c>
      <c r="D1027" s="322">
        <v>1</v>
      </c>
      <c r="E1027" s="322" t="s">
        <v>682</v>
      </c>
      <c r="F1027" s="322">
        <v>1</v>
      </c>
      <c r="G1027" s="425">
        <f t="shared" si="17"/>
        <v>0</v>
      </c>
    </row>
    <row r="1028" spans="2:7">
      <c r="B1028" s="323">
        <v>45966</v>
      </c>
      <c r="C1028" s="325" t="s">
        <v>1271</v>
      </c>
      <c r="D1028" s="322">
        <v>3</v>
      </c>
      <c r="E1028" s="322" t="s">
        <v>682</v>
      </c>
      <c r="F1028" s="322">
        <v>3</v>
      </c>
      <c r="G1028" s="425">
        <f t="shared" ref="G1028:G1093" si="18">D1028-F1028</f>
        <v>0</v>
      </c>
    </row>
    <row r="1029" spans="2:7">
      <c r="B1029" s="323">
        <v>45966</v>
      </c>
      <c r="C1029" s="325" t="s">
        <v>1326</v>
      </c>
      <c r="D1029" s="322">
        <v>3</v>
      </c>
      <c r="E1029" s="322" t="s">
        <v>682</v>
      </c>
      <c r="F1029" s="322">
        <v>3</v>
      </c>
      <c r="G1029" s="425">
        <f t="shared" si="18"/>
        <v>0</v>
      </c>
    </row>
    <row r="1030" spans="2:7">
      <c r="B1030" s="323">
        <v>45966</v>
      </c>
      <c r="C1030" s="324" t="s">
        <v>134</v>
      </c>
      <c r="D1030" s="322">
        <v>2</v>
      </c>
      <c r="E1030" s="322" t="s">
        <v>682</v>
      </c>
      <c r="F1030" s="322">
        <v>2</v>
      </c>
      <c r="G1030" s="425">
        <f t="shared" si="18"/>
        <v>0</v>
      </c>
    </row>
    <row r="1031" spans="2:7">
      <c r="B1031" s="323">
        <v>45966</v>
      </c>
      <c r="C1031" s="324" t="s">
        <v>134</v>
      </c>
      <c r="D1031" s="322">
        <v>1</v>
      </c>
      <c r="E1031" s="322" t="s">
        <v>682</v>
      </c>
      <c r="F1031" s="322">
        <v>1</v>
      </c>
      <c r="G1031" s="425">
        <f t="shared" si="18"/>
        <v>0</v>
      </c>
    </row>
    <row r="1032" spans="2:7">
      <c r="B1032" s="323">
        <v>45966</v>
      </c>
      <c r="C1032" s="324" t="s">
        <v>134</v>
      </c>
      <c r="D1032" s="322">
        <v>2</v>
      </c>
      <c r="E1032" s="322" t="s">
        <v>682</v>
      </c>
      <c r="F1032" s="322">
        <v>2</v>
      </c>
      <c r="G1032" s="425">
        <f t="shared" si="18"/>
        <v>0</v>
      </c>
    </row>
    <row r="1033" spans="2:7">
      <c r="B1033" s="323">
        <v>45966</v>
      </c>
      <c r="C1033" s="426" t="s">
        <v>928</v>
      </c>
      <c r="D1033" s="322">
        <v>1</v>
      </c>
      <c r="E1033" s="322" t="s">
        <v>682</v>
      </c>
      <c r="F1033" s="322">
        <v>1</v>
      </c>
      <c r="G1033" s="425">
        <f t="shared" si="18"/>
        <v>0</v>
      </c>
    </row>
    <row r="1034" spans="2:7">
      <c r="B1034" s="323">
        <v>45966</v>
      </c>
      <c r="C1034" s="325" t="s">
        <v>166</v>
      </c>
      <c r="D1034" s="322">
        <v>1</v>
      </c>
      <c r="E1034" s="322" t="s">
        <v>682</v>
      </c>
      <c r="F1034" s="322">
        <v>1</v>
      </c>
      <c r="G1034" s="425">
        <f t="shared" si="18"/>
        <v>0</v>
      </c>
    </row>
    <row r="1035" spans="2:7">
      <c r="B1035" s="323">
        <v>45966</v>
      </c>
      <c r="C1035" s="325" t="s">
        <v>166</v>
      </c>
      <c r="D1035" s="322">
        <v>1</v>
      </c>
      <c r="E1035" s="322" t="s">
        <v>682</v>
      </c>
      <c r="F1035" s="322">
        <v>1</v>
      </c>
      <c r="G1035" s="425">
        <f t="shared" si="18"/>
        <v>0</v>
      </c>
    </row>
    <row r="1036" spans="2:7">
      <c r="B1036" s="323">
        <v>45966</v>
      </c>
      <c r="C1036" s="425" t="s">
        <v>1151</v>
      </c>
      <c r="D1036" s="322">
        <v>2</v>
      </c>
      <c r="E1036" s="322" t="s">
        <v>682</v>
      </c>
      <c r="F1036" s="322">
        <v>2</v>
      </c>
      <c r="G1036" s="425">
        <f t="shared" si="18"/>
        <v>0</v>
      </c>
    </row>
    <row r="1037" spans="2:7">
      <c r="B1037" s="323">
        <v>45966</v>
      </c>
      <c r="C1037" s="425" t="s">
        <v>932</v>
      </c>
      <c r="D1037" s="322">
        <v>1</v>
      </c>
      <c r="E1037" s="322" t="s">
        <v>682</v>
      </c>
      <c r="F1037" s="322">
        <v>1</v>
      </c>
      <c r="G1037" s="425">
        <f t="shared" si="18"/>
        <v>0</v>
      </c>
    </row>
    <row r="1038" spans="2:7">
      <c r="B1038" s="323">
        <v>45966</v>
      </c>
      <c r="C1038" s="325" t="s">
        <v>1568</v>
      </c>
      <c r="D1038" s="322">
        <v>4</v>
      </c>
      <c r="E1038" s="322" t="s">
        <v>682</v>
      </c>
      <c r="F1038" s="322">
        <v>4</v>
      </c>
      <c r="G1038" s="425">
        <f t="shared" si="18"/>
        <v>0</v>
      </c>
    </row>
    <row r="1039" spans="2:7">
      <c r="B1039" s="323">
        <v>45966</v>
      </c>
      <c r="C1039" s="325" t="s">
        <v>1640</v>
      </c>
      <c r="D1039" s="322">
        <v>3</v>
      </c>
      <c r="E1039" s="322" t="s">
        <v>682</v>
      </c>
      <c r="F1039" s="322">
        <v>3</v>
      </c>
      <c r="G1039" s="425">
        <f t="shared" si="18"/>
        <v>0</v>
      </c>
    </row>
    <row r="1040" spans="2:7">
      <c r="B1040" s="323">
        <v>45966</v>
      </c>
      <c r="C1040" s="325" t="s">
        <v>1641</v>
      </c>
      <c r="D1040" s="322">
        <v>3</v>
      </c>
      <c r="E1040" s="322" t="s">
        <v>682</v>
      </c>
      <c r="F1040" s="322">
        <v>3</v>
      </c>
      <c r="G1040" s="425">
        <f t="shared" si="18"/>
        <v>0</v>
      </c>
    </row>
    <row r="1041" spans="2:8">
      <c r="B1041" s="323">
        <v>45966</v>
      </c>
      <c r="C1041" s="324" t="s">
        <v>919</v>
      </c>
      <c r="D1041" s="322">
        <v>4</v>
      </c>
      <c r="E1041" s="322" t="s">
        <v>682</v>
      </c>
      <c r="F1041" s="322">
        <v>4</v>
      </c>
      <c r="G1041" s="425">
        <f t="shared" si="18"/>
        <v>0</v>
      </c>
    </row>
    <row r="1042" spans="2:8">
      <c r="B1042" s="323">
        <v>45966</v>
      </c>
      <c r="C1042" s="324" t="s">
        <v>926</v>
      </c>
      <c r="D1042" s="322">
        <v>1</v>
      </c>
      <c r="E1042" s="322" t="s">
        <v>682</v>
      </c>
      <c r="F1042" s="322">
        <v>1</v>
      </c>
      <c r="G1042" s="425">
        <f t="shared" si="18"/>
        <v>0</v>
      </c>
    </row>
    <row r="1043" spans="2:8">
      <c r="B1043" s="323">
        <v>45966</v>
      </c>
      <c r="C1043" s="325" t="s">
        <v>1291</v>
      </c>
      <c r="D1043" s="322">
        <v>1</v>
      </c>
      <c r="E1043" s="322" t="s">
        <v>682</v>
      </c>
      <c r="F1043" s="322">
        <v>1</v>
      </c>
      <c r="G1043" s="425">
        <f t="shared" si="18"/>
        <v>0</v>
      </c>
    </row>
    <row r="1044" spans="2:8">
      <c r="B1044" s="323">
        <v>45966</v>
      </c>
      <c r="C1044" s="325" t="s">
        <v>1409</v>
      </c>
      <c r="D1044" s="322">
        <v>43</v>
      </c>
      <c r="E1044" s="322" t="s">
        <v>682</v>
      </c>
      <c r="F1044" s="322">
        <v>43</v>
      </c>
      <c r="G1044" s="425">
        <f t="shared" si="18"/>
        <v>0</v>
      </c>
    </row>
    <row r="1045" spans="2:8">
      <c r="B1045" s="323">
        <v>45966</v>
      </c>
      <c r="C1045" s="325" t="s">
        <v>1642</v>
      </c>
      <c r="D1045" s="322">
        <v>2</v>
      </c>
      <c r="E1045" s="322" t="s">
        <v>682</v>
      </c>
      <c r="F1045" s="322">
        <v>2</v>
      </c>
      <c r="G1045" s="425">
        <f t="shared" si="18"/>
        <v>0</v>
      </c>
    </row>
    <row r="1046" spans="2:8">
      <c r="B1046" s="434">
        <v>45969</v>
      </c>
      <c r="C1046" s="503" t="s">
        <v>1387</v>
      </c>
      <c r="D1046" s="166">
        <v>3</v>
      </c>
      <c r="E1046" s="166" t="s">
        <v>1662</v>
      </c>
      <c r="F1046" s="166">
        <v>3</v>
      </c>
      <c r="G1046" s="167">
        <f t="shared" si="18"/>
        <v>0</v>
      </c>
    </row>
    <row r="1047" spans="2:8">
      <c r="B1047" s="434">
        <v>45969</v>
      </c>
      <c r="C1047" s="168" t="s">
        <v>1490</v>
      </c>
      <c r="D1047" s="166">
        <v>1</v>
      </c>
      <c r="E1047" s="166" t="s">
        <v>1662</v>
      </c>
      <c r="F1047" s="166">
        <v>1</v>
      </c>
      <c r="G1047" s="167">
        <f t="shared" si="18"/>
        <v>0</v>
      </c>
    </row>
    <row r="1048" spans="2:8">
      <c r="B1048" s="434">
        <v>45969</v>
      </c>
      <c r="C1048" s="168" t="s">
        <v>1334</v>
      </c>
      <c r="D1048" s="166">
        <v>1</v>
      </c>
      <c r="E1048" s="166" t="s">
        <v>1662</v>
      </c>
      <c r="F1048" s="166">
        <v>1</v>
      </c>
      <c r="G1048" s="167">
        <f t="shared" si="18"/>
        <v>0</v>
      </c>
    </row>
    <row r="1049" spans="2:8">
      <c r="B1049" s="346">
        <v>45973</v>
      </c>
      <c r="C1049" s="349" t="s">
        <v>1326</v>
      </c>
      <c r="D1049" s="348">
        <v>1</v>
      </c>
      <c r="E1049" s="348" t="s">
        <v>921</v>
      </c>
      <c r="F1049" s="348">
        <v>1</v>
      </c>
      <c r="G1049" s="351">
        <f t="shared" si="18"/>
        <v>0</v>
      </c>
      <c r="H1049" t="s">
        <v>1692</v>
      </c>
    </row>
    <row r="1050" spans="2:8">
      <c r="B1050" s="346">
        <v>45973</v>
      </c>
      <c r="C1050" s="347" t="s">
        <v>134</v>
      </c>
      <c r="D1050" s="348">
        <v>1</v>
      </c>
      <c r="E1050" s="348" t="s">
        <v>921</v>
      </c>
      <c r="F1050" s="348">
        <v>1</v>
      </c>
      <c r="G1050" s="351">
        <f t="shared" si="18"/>
        <v>0</v>
      </c>
    </row>
    <row r="1051" spans="2:8">
      <c r="B1051" s="346">
        <v>45973</v>
      </c>
      <c r="C1051" s="349" t="s">
        <v>167</v>
      </c>
      <c r="D1051" s="348">
        <v>3</v>
      </c>
      <c r="E1051" s="348" t="s">
        <v>921</v>
      </c>
      <c r="F1051" s="348">
        <v>3</v>
      </c>
      <c r="G1051" s="351">
        <f t="shared" si="18"/>
        <v>0</v>
      </c>
    </row>
    <row r="1052" spans="2:8">
      <c r="B1052" s="346">
        <v>45973</v>
      </c>
      <c r="C1052" s="349" t="s">
        <v>166</v>
      </c>
      <c r="D1052" s="348">
        <v>2</v>
      </c>
      <c r="E1052" s="348" t="s">
        <v>921</v>
      </c>
      <c r="F1052" s="348">
        <v>2</v>
      </c>
      <c r="G1052" s="351">
        <f t="shared" si="18"/>
        <v>0</v>
      </c>
    </row>
    <row r="1053" spans="2:8">
      <c r="B1053" s="346">
        <v>45973</v>
      </c>
      <c r="C1053" s="349" t="s">
        <v>1568</v>
      </c>
      <c r="D1053" s="348">
        <v>2</v>
      </c>
      <c r="E1053" s="348" t="s">
        <v>921</v>
      </c>
      <c r="F1053" s="348">
        <v>2</v>
      </c>
      <c r="G1053" s="351">
        <f t="shared" si="18"/>
        <v>0</v>
      </c>
    </row>
    <row r="1054" spans="2:8">
      <c r="B1054" s="346">
        <v>45973</v>
      </c>
      <c r="C1054" s="347" t="s">
        <v>919</v>
      </c>
      <c r="D1054" s="348">
        <v>1</v>
      </c>
      <c r="E1054" s="348" t="s">
        <v>921</v>
      </c>
      <c r="F1054" s="348">
        <v>1</v>
      </c>
      <c r="G1054" s="351">
        <f t="shared" si="18"/>
        <v>0</v>
      </c>
    </row>
    <row r="1055" spans="2:8">
      <c r="B1055" s="346">
        <v>45973</v>
      </c>
      <c r="C1055" s="349" t="s">
        <v>976</v>
      </c>
      <c r="D1055" s="348">
        <v>1</v>
      </c>
      <c r="E1055" s="348" t="s">
        <v>921</v>
      </c>
      <c r="F1055" s="348">
        <v>1</v>
      </c>
      <c r="G1055" s="351">
        <f t="shared" si="18"/>
        <v>0</v>
      </c>
    </row>
    <row r="1056" spans="2:8">
      <c r="B1056" s="346">
        <v>45973</v>
      </c>
      <c r="C1056" s="349" t="s">
        <v>1095</v>
      </c>
      <c r="D1056" s="348">
        <v>1</v>
      </c>
      <c r="E1056" s="348" t="s">
        <v>921</v>
      </c>
      <c r="F1056" s="348">
        <v>1</v>
      </c>
      <c r="G1056" s="351">
        <f t="shared" si="18"/>
        <v>0</v>
      </c>
    </row>
    <row r="1057" spans="2:8">
      <c r="B1057" s="346">
        <v>45973</v>
      </c>
      <c r="C1057" s="349" t="s">
        <v>1094</v>
      </c>
      <c r="D1057" s="348">
        <v>0</v>
      </c>
      <c r="E1057" s="348" t="s">
        <v>921</v>
      </c>
      <c r="F1057" s="348">
        <v>0</v>
      </c>
      <c r="G1057" s="351">
        <f t="shared" si="18"/>
        <v>0</v>
      </c>
    </row>
    <row r="1058" spans="2:8">
      <c r="B1058" s="346">
        <v>45973</v>
      </c>
      <c r="C1058" s="349" t="s">
        <v>1291</v>
      </c>
      <c r="D1058" s="348">
        <v>3</v>
      </c>
      <c r="E1058" s="348" t="s">
        <v>921</v>
      </c>
      <c r="F1058" s="348">
        <v>3</v>
      </c>
      <c r="G1058" s="351">
        <f t="shared" si="18"/>
        <v>0</v>
      </c>
    </row>
    <row r="1059" spans="2:8">
      <c r="B1059" s="346">
        <v>45973</v>
      </c>
      <c r="C1059" s="349" t="s">
        <v>920</v>
      </c>
      <c r="D1059" s="348">
        <v>1</v>
      </c>
      <c r="E1059" s="348" t="s">
        <v>921</v>
      </c>
      <c r="F1059" s="348">
        <v>1</v>
      </c>
      <c r="G1059" s="351">
        <f t="shared" si="18"/>
        <v>0</v>
      </c>
    </row>
    <row r="1060" spans="2:8">
      <c r="B1060" s="346">
        <v>45973</v>
      </c>
      <c r="C1060" s="349" t="s">
        <v>1334</v>
      </c>
      <c r="D1060" s="348">
        <v>3</v>
      </c>
      <c r="E1060" s="348" t="s">
        <v>921</v>
      </c>
      <c r="F1060" s="348">
        <v>3</v>
      </c>
      <c r="G1060" s="351">
        <f t="shared" si="18"/>
        <v>0</v>
      </c>
    </row>
    <row r="1061" spans="2:8">
      <c r="B1061" s="346">
        <v>45973</v>
      </c>
      <c r="C1061" s="347" t="s">
        <v>1387</v>
      </c>
      <c r="D1061" s="348">
        <v>2</v>
      </c>
      <c r="E1061" s="348" t="s">
        <v>921</v>
      </c>
      <c r="F1061" s="348">
        <v>2</v>
      </c>
      <c r="G1061" s="351">
        <f t="shared" si="18"/>
        <v>0</v>
      </c>
    </row>
    <row r="1062" spans="2:8">
      <c r="B1062" s="346">
        <v>45973</v>
      </c>
      <c r="C1062" s="349" t="s">
        <v>1533</v>
      </c>
      <c r="D1062" s="348">
        <v>1</v>
      </c>
      <c r="E1062" s="348" t="s">
        <v>921</v>
      </c>
      <c r="F1062" s="348">
        <v>1</v>
      </c>
      <c r="G1062" s="351">
        <f t="shared" si="18"/>
        <v>0</v>
      </c>
    </row>
    <row r="1063" spans="2:8">
      <c r="B1063" s="346">
        <v>45973</v>
      </c>
      <c r="C1063" s="349" t="s">
        <v>1246</v>
      </c>
      <c r="D1063" s="348">
        <v>1</v>
      </c>
      <c r="E1063" s="348" t="s">
        <v>921</v>
      </c>
      <c r="F1063" s="348">
        <v>1</v>
      </c>
      <c r="G1063" s="351">
        <f t="shared" si="18"/>
        <v>0</v>
      </c>
      <c r="H1063" t="s">
        <v>1693</v>
      </c>
    </row>
    <row r="1064" spans="2:8">
      <c r="B1064" s="346">
        <v>45973</v>
      </c>
      <c r="C1064" s="349" t="s">
        <v>1271</v>
      </c>
      <c r="D1064" s="348">
        <v>7</v>
      </c>
      <c r="E1064" s="348" t="s">
        <v>921</v>
      </c>
      <c r="F1064" s="348">
        <v>7</v>
      </c>
      <c r="G1064" s="351">
        <f t="shared" si="18"/>
        <v>0</v>
      </c>
    </row>
    <row r="1065" spans="2:8">
      <c r="B1065" s="346">
        <v>45973</v>
      </c>
      <c r="C1065" s="349" t="s">
        <v>1326</v>
      </c>
      <c r="D1065" s="348">
        <v>2</v>
      </c>
      <c r="E1065" s="348" t="s">
        <v>921</v>
      </c>
      <c r="F1065" s="348">
        <v>2</v>
      </c>
      <c r="G1065" s="351">
        <f t="shared" si="18"/>
        <v>0</v>
      </c>
    </row>
    <row r="1066" spans="2:8">
      <c r="B1066" s="346">
        <v>45973</v>
      </c>
      <c r="C1066" s="349" t="s">
        <v>166</v>
      </c>
      <c r="D1066" s="348">
        <v>2</v>
      </c>
      <c r="E1066" s="348" t="s">
        <v>921</v>
      </c>
      <c r="F1066" s="348">
        <v>2</v>
      </c>
      <c r="G1066" s="351">
        <f t="shared" si="18"/>
        <v>0</v>
      </c>
    </row>
    <row r="1067" spans="2:8">
      <c r="B1067" s="346">
        <v>45973</v>
      </c>
      <c r="C1067" s="349" t="s">
        <v>1568</v>
      </c>
      <c r="D1067" s="348">
        <v>2</v>
      </c>
      <c r="E1067" s="348" t="s">
        <v>921</v>
      </c>
      <c r="F1067" s="348">
        <v>2</v>
      </c>
      <c r="G1067" s="351">
        <f t="shared" si="18"/>
        <v>0</v>
      </c>
    </row>
    <row r="1068" spans="2:8">
      <c r="B1068" s="346">
        <v>45973</v>
      </c>
      <c r="C1068" s="349" t="s">
        <v>976</v>
      </c>
      <c r="D1068" s="348">
        <v>1</v>
      </c>
      <c r="E1068" s="348" t="s">
        <v>921</v>
      </c>
      <c r="F1068" s="348">
        <v>1</v>
      </c>
      <c r="G1068" s="351">
        <f t="shared" si="18"/>
        <v>0</v>
      </c>
    </row>
    <row r="1069" spans="2:8">
      <c r="B1069" s="346">
        <v>45973</v>
      </c>
      <c r="C1069" s="349" t="s">
        <v>1291</v>
      </c>
      <c r="D1069" s="348">
        <v>3</v>
      </c>
      <c r="E1069" s="348" t="s">
        <v>921</v>
      </c>
      <c r="F1069" s="348">
        <v>3</v>
      </c>
      <c r="G1069" s="351">
        <f t="shared" si="18"/>
        <v>0</v>
      </c>
    </row>
    <row r="1070" spans="2:8">
      <c r="B1070" s="346">
        <v>45973</v>
      </c>
      <c r="C1070" s="349" t="s">
        <v>920</v>
      </c>
      <c r="D1070" s="348">
        <v>0</v>
      </c>
      <c r="E1070" s="348" t="s">
        <v>921</v>
      </c>
      <c r="F1070" s="348">
        <v>0</v>
      </c>
      <c r="G1070" s="351">
        <f t="shared" si="18"/>
        <v>0</v>
      </c>
    </row>
    <row r="1071" spans="2:8">
      <c r="B1071" s="346">
        <v>45973</v>
      </c>
      <c r="C1071" s="349" t="s">
        <v>1334</v>
      </c>
      <c r="D1071" s="348">
        <v>1</v>
      </c>
      <c r="E1071" s="348" t="s">
        <v>921</v>
      </c>
      <c r="F1071" s="348">
        <v>1</v>
      </c>
      <c r="G1071" s="351">
        <f t="shared" si="18"/>
        <v>0</v>
      </c>
    </row>
    <row r="1072" spans="2:8">
      <c r="B1072" s="346">
        <v>45973</v>
      </c>
      <c r="C1072" s="347" t="s">
        <v>1387</v>
      </c>
      <c r="D1072" s="348">
        <v>1</v>
      </c>
      <c r="E1072" s="348" t="s">
        <v>921</v>
      </c>
      <c r="F1072" s="348">
        <v>1</v>
      </c>
      <c r="G1072" s="351">
        <f t="shared" si="18"/>
        <v>0</v>
      </c>
    </row>
    <row r="1073" spans="2:8">
      <c r="B1073" s="346">
        <v>45973</v>
      </c>
      <c r="C1073" s="349" t="s">
        <v>1326</v>
      </c>
      <c r="D1073" s="348">
        <v>1</v>
      </c>
      <c r="E1073" s="348" t="s">
        <v>921</v>
      </c>
      <c r="F1073" s="348">
        <v>1</v>
      </c>
      <c r="G1073" s="351">
        <f t="shared" si="18"/>
        <v>0</v>
      </c>
      <c r="H1073" t="s">
        <v>1695</v>
      </c>
    </row>
    <row r="1074" spans="2:8">
      <c r="B1074" s="346">
        <v>45973</v>
      </c>
      <c r="C1074" s="349" t="s">
        <v>167</v>
      </c>
      <c r="D1074" s="348">
        <v>2</v>
      </c>
      <c r="E1074" s="348" t="s">
        <v>921</v>
      </c>
      <c r="F1074" s="348">
        <v>2</v>
      </c>
      <c r="G1074" s="351">
        <f t="shared" si="18"/>
        <v>0</v>
      </c>
    </row>
    <row r="1075" spans="2:8">
      <c r="B1075" s="346">
        <v>45973</v>
      </c>
      <c r="C1075" s="349" t="s">
        <v>169</v>
      </c>
      <c r="D1075" s="348">
        <v>1</v>
      </c>
      <c r="E1075" s="348" t="s">
        <v>921</v>
      </c>
      <c r="F1075" s="348">
        <v>1</v>
      </c>
      <c r="G1075" s="351">
        <f t="shared" si="18"/>
        <v>0</v>
      </c>
    </row>
    <row r="1076" spans="2:8">
      <c r="B1076" s="346">
        <v>45973</v>
      </c>
      <c r="C1076" s="349" t="s">
        <v>169</v>
      </c>
      <c r="D1076" s="348">
        <v>1</v>
      </c>
      <c r="E1076" s="348" t="s">
        <v>921</v>
      </c>
      <c r="F1076" s="348">
        <v>1</v>
      </c>
      <c r="G1076" s="351">
        <f t="shared" si="18"/>
        <v>0</v>
      </c>
    </row>
    <row r="1077" spans="2:8">
      <c r="B1077" s="346">
        <v>45973</v>
      </c>
      <c r="C1077" s="349" t="s">
        <v>1095</v>
      </c>
      <c r="D1077" s="348">
        <v>2</v>
      </c>
      <c r="E1077" s="348" t="s">
        <v>921</v>
      </c>
      <c r="F1077" s="348">
        <v>2</v>
      </c>
      <c r="G1077" s="351">
        <f t="shared" si="18"/>
        <v>0</v>
      </c>
    </row>
    <row r="1078" spans="2:8">
      <c r="B1078" s="346">
        <v>45973</v>
      </c>
      <c r="C1078" s="349" t="s">
        <v>1532</v>
      </c>
      <c r="D1078" s="348">
        <v>0</v>
      </c>
      <c r="E1078" s="348" t="s">
        <v>921</v>
      </c>
      <c r="F1078" s="348">
        <v>0</v>
      </c>
      <c r="G1078" s="351">
        <f t="shared" si="18"/>
        <v>0</v>
      </c>
    </row>
    <row r="1079" spans="2:8">
      <c r="B1079" s="346">
        <v>45973</v>
      </c>
      <c r="C1079" s="349" t="s">
        <v>1533</v>
      </c>
      <c r="D1079" s="348">
        <v>1</v>
      </c>
      <c r="E1079" s="348" t="s">
        <v>921</v>
      </c>
      <c r="F1079" s="348">
        <v>1</v>
      </c>
      <c r="G1079" s="351">
        <f t="shared" si="18"/>
        <v>0</v>
      </c>
    </row>
    <row r="1080" spans="2:8">
      <c r="B1080" s="346">
        <v>45973</v>
      </c>
      <c r="C1080" s="349" t="s">
        <v>1271</v>
      </c>
      <c r="D1080" s="348">
        <v>2</v>
      </c>
      <c r="E1080" s="348" t="s">
        <v>921</v>
      </c>
      <c r="F1080" s="348">
        <v>2</v>
      </c>
      <c r="G1080" s="351">
        <f t="shared" si="18"/>
        <v>0</v>
      </c>
    </row>
    <row r="1081" spans="2:8">
      <c r="B1081" s="346">
        <v>45973</v>
      </c>
      <c r="C1081" s="349" t="s">
        <v>1271</v>
      </c>
      <c r="D1081" s="348">
        <v>1</v>
      </c>
      <c r="E1081" s="348" t="s">
        <v>921</v>
      </c>
      <c r="F1081" s="348">
        <v>1</v>
      </c>
      <c r="G1081" s="351">
        <f t="shared" si="18"/>
        <v>0</v>
      </c>
    </row>
    <row r="1082" spans="2:8">
      <c r="B1082" s="346">
        <v>45973</v>
      </c>
      <c r="C1082" s="349" t="s">
        <v>167</v>
      </c>
      <c r="D1082" s="348">
        <v>1</v>
      </c>
      <c r="E1082" s="348" t="s">
        <v>921</v>
      </c>
      <c r="F1082" s="348">
        <v>1</v>
      </c>
      <c r="G1082" s="351">
        <f t="shared" si="18"/>
        <v>0</v>
      </c>
    </row>
    <row r="1083" spans="2:8">
      <c r="B1083" s="346">
        <v>45973</v>
      </c>
      <c r="C1083" s="427" t="s">
        <v>1694</v>
      </c>
      <c r="D1083" s="348">
        <v>1</v>
      </c>
      <c r="E1083" s="348" t="s">
        <v>921</v>
      </c>
      <c r="F1083" s="348">
        <v>1</v>
      </c>
      <c r="G1083" s="351">
        <f t="shared" si="18"/>
        <v>0</v>
      </c>
    </row>
    <row r="1084" spans="2:8">
      <c r="B1084" s="346">
        <v>45973</v>
      </c>
      <c r="C1084" s="349" t="s">
        <v>1095</v>
      </c>
      <c r="D1084" s="348">
        <v>1</v>
      </c>
      <c r="E1084" s="348" t="s">
        <v>921</v>
      </c>
      <c r="F1084" s="348">
        <v>1</v>
      </c>
      <c r="G1084" s="351">
        <f t="shared" si="18"/>
        <v>0</v>
      </c>
    </row>
    <row r="1085" spans="2:8">
      <c r="B1085" s="346">
        <v>45973</v>
      </c>
      <c r="C1085" s="349" t="s">
        <v>1291</v>
      </c>
      <c r="D1085" s="348">
        <v>3</v>
      </c>
      <c r="E1085" s="348" t="s">
        <v>921</v>
      </c>
      <c r="F1085" s="348">
        <v>3</v>
      </c>
      <c r="G1085" s="351">
        <f t="shared" si="18"/>
        <v>0</v>
      </c>
    </row>
    <row r="1086" spans="2:8">
      <c r="B1086" s="346">
        <v>45973</v>
      </c>
      <c r="C1086" s="349" t="s">
        <v>1334</v>
      </c>
      <c r="D1086" s="348">
        <v>1</v>
      </c>
      <c r="E1086" s="348" t="s">
        <v>921</v>
      </c>
      <c r="F1086" s="348">
        <v>1</v>
      </c>
      <c r="G1086" s="351">
        <f t="shared" si="18"/>
        <v>0</v>
      </c>
    </row>
    <row r="1087" spans="2:8">
      <c r="B1087" s="434">
        <v>45973</v>
      </c>
      <c r="C1087" s="168" t="s">
        <v>1301</v>
      </c>
      <c r="D1087" s="166">
        <v>1</v>
      </c>
      <c r="E1087" s="166" t="s">
        <v>1618</v>
      </c>
      <c r="F1087" s="166">
        <v>1</v>
      </c>
      <c r="G1087" s="167">
        <f t="shared" si="18"/>
        <v>0</v>
      </c>
    </row>
    <row r="1088" spans="2:8">
      <c r="B1088" s="434">
        <v>45972</v>
      </c>
      <c r="C1088" s="168" t="s">
        <v>1689</v>
      </c>
      <c r="D1088" s="166">
        <v>1</v>
      </c>
      <c r="E1088" s="166" t="s">
        <v>1696</v>
      </c>
      <c r="F1088" s="166">
        <v>1</v>
      </c>
      <c r="G1088" s="167">
        <f t="shared" si="18"/>
        <v>0</v>
      </c>
    </row>
    <row r="1089" spans="2:8">
      <c r="B1089" s="434">
        <v>45972</v>
      </c>
      <c r="C1089" s="168" t="s">
        <v>1640</v>
      </c>
      <c r="D1089" s="166">
        <v>1</v>
      </c>
      <c r="E1089" s="166" t="s">
        <v>1696</v>
      </c>
      <c r="F1089" s="166">
        <v>1</v>
      </c>
      <c r="G1089" s="167">
        <f t="shared" si="18"/>
        <v>0</v>
      </c>
    </row>
    <row r="1090" spans="2:8">
      <c r="B1090" s="434">
        <v>45972</v>
      </c>
      <c r="C1090" s="503" t="s">
        <v>919</v>
      </c>
      <c r="D1090" s="166">
        <v>1</v>
      </c>
      <c r="E1090" s="166" t="s">
        <v>1592</v>
      </c>
      <c r="F1090" s="166">
        <v>1</v>
      </c>
      <c r="G1090" s="167">
        <f t="shared" si="18"/>
        <v>0</v>
      </c>
    </row>
    <row r="1091" spans="2:8">
      <c r="B1091" s="434">
        <v>45974</v>
      </c>
      <c r="C1091" s="168" t="s">
        <v>1640</v>
      </c>
      <c r="D1091" s="166">
        <v>1</v>
      </c>
      <c r="E1091" s="166" t="s">
        <v>1696</v>
      </c>
      <c r="F1091" s="166">
        <v>1</v>
      </c>
      <c r="G1091" s="167">
        <f t="shared" si="18"/>
        <v>0</v>
      </c>
    </row>
    <row r="1092" spans="2:8">
      <c r="B1092" s="434">
        <v>45974</v>
      </c>
      <c r="C1092" s="168" t="s">
        <v>1291</v>
      </c>
      <c r="D1092" s="387">
        <v>6</v>
      </c>
      <c r="E1092" s="166" t="s">
        <v>1592</v>
      </c>
      <c r="F1092" s="387">
        <v>6</v>
      </c>
      <c r="G1092" s="167">
        <f t="shared" si="18"/>
        <v>0</v>
      </c>
    </row>
    <row r="1093" spans="2:8">
      <c r="B1093" s="323">
        <v>45974</v>
      </c>
      <c r="C1093" s="325" t="s">
        <v>1326</v>
      </c>
      <c r="D1093" s="322">
        <v>1</v>
      </c>
      <c r="E1093" s="322" t="s">
        <v>682</v>
      </c>
      <c r="F1093" s="322">
        <v>1</v>
      </c>
      <c r="G1093" s="425">
        <f t="shared" si="18"/>
        <v>0</v>
      </c>
      <c r="H1093" t="s">
        <v>1719</v>
      </c>
    </row>
    <row r="1094" spans="2:8">
      <c r="B1094" s="323">
        <v>45974</v>
      </c>
      <c r="C1094" s="325" t="s">
        <v>1694</v>
      </c>
      <c r="D1094" s="322">
        <v>1</v>
      </c>
      <c r="E1094" s="322" t="s">
        <v>682</v>
      </c>
      <c r="F1094" s="322">
        <v>1</v>
      </c>
      <c r="G1094" s="425">
        <f t="shared" ref="G1094:G1158" si="19">D1094-F1094</f>
        <v>0</v>
      </c>
    </row>
    <row r="1095" spans="2:8">
      <c r="B1095" s="323">
        <v>45974</v>
      </c>
      <c r="C1095" s="325" t="s">
        <v>167</v>
      </c>
      <c r="D1095" s="322">
        <v>5</v>
      </c>
      <c r="E1095" s="322" t="s">
        <v>682</v>
      </c>
      <c r="F1095" s="322">
        <v>5</v>
      </c>
      <c r="G1095" s="425">
        <f t="shared" si="19"/>
        <v>0</v>
      </c>
    </row>
    <row r="1096" spans="2:8">
      <c r="B1096" s="323">
        <v>45974</v>
      </c>
      <c r="C1096" s="325" t="s">
        <v>973</v>
      </c>
      <c r="D1096" s="322">
        <v>1</v>
      </c>
      <c r="E1096" s="322" t="s">
        <v>682</v>
      </c>
      <c r="F1096" s="322">
        <v>1</v>
      </c>
      <c r="G1096" s="425">
        <f t="shared" si="19"/>
        <v>0</v>
      </c>
    </row>
    <row r="1097" spans="2:8">
      <c r="B1097" s="323">
        <v>45974</v>
      </c>
      <c r="C1097" s="324" t="s">
        <v>134</v>
      </c>
      <c r="D1097" s="322">
        <v>3</v>
      </c>
      <c r="E1097" s="322" t="s">
        <v>682</v>
      </c>
      <c r="F1097" s="322">
        <v>3</v>
      </c>
      <c r="G1097" s="425">
        <f t="shared" si="19"/>
        <v>0</v>
      </c>
    </row>
    <row r="1098" spans="2:8">
      <c r="B1098" s="323">
        <v>45974</v>
      </c>
      <c r="C1098" s="325" t="s">
        <v>1301</v>
      </c>
      <c r="D1098" s="322">
        <v>1</v>
      </c>
      <c r="E1098" s="322" t="s">
        <v>682</v>
      </c>
      <c r="F1098" s="322">
        <v>1</v>
      </c>
      <c r="G1098" s="425">
        <f t="shared" si="19"/>
        <v>0</v>
      </c>
    </row>
    <row r="1099" spans="2:8">
      <c r="B1099" s="323">
        <v>45974</v>
      </c>
      <c r="C1099" s="325" t="s">
        <v>1271</v>
      </c>
      <c r="D1099" s="322">
        <v>6</v>
      </c>
      <c r="E1099" s="322" t="s">
        <v>682</v>
      </c>
      <c r="F1099" s="322">
        <v>6</v>
      </c>
      <c r="G1099" s="425">
        <f t="shared" si="19"/>
        <v>0</v>
      </c>
    </row>
    <row r="1100" spans="2:8">
      <c r="B1100" s="323">
        <v>45974</v>
      </c>
      <c r="C1100" s="325" t="s">
        <v>1301</v>
      </c>
      <c r="D1100" s="322">
        <v>2</v>
      </c>
      <c r="E1100" s="322" t="s">
        <v>682</v>
      </c>
      <c r="F1100" s="322">
        <v>2</v>
      </c>
      <c r="G1100" s="425">
        <f t="shared" si="19"/>
        <v>0</v>
      </c>
    </row>
    <row r="1101" spans="2:8">
      <c r="B1101" s="323">
        <v>45974</v>
      </c>
      <c r="C1101" s="325" t="s">
        <v>1271</v>
      </c>
      <c r="D1101" s="322">
        <v>7</v>
      </c>
      <c r="E1101" s="322" t="s">
        <v>682</v>
      </c>
      <c r="F1101" s="322">
        <v>7</v>
      </c>
      <c r="G1101" s="425">
        <f t="shared" si="19"/>
        <v>0</v>
      </c>
    </row>
    <row r="1102" spans="2:8">
      <c r="B1102" s="323">
        <v>45974</v>
      </c>
      <c r="C1102" s="325" t="s">
        <v>1246</v>
      </c>
      <c r="D1102" s="322">
        <v>5</v>
      </c>
      <c r="E1102" s="322" t="s">
        <v>682</v>
      </c>
      <c r="F1102" s="322">
        <v>5</v>
      </c>
      <c r="G1102" s="425">
        <f t="shared" si="19"/>
        <v>0</v>
      </c>
    </row>
    <row r="1103" spans="2:8">
      <c r="B1103" s="323">
        <v>45974</v>
      </c>
      <c r="C1103" s="325" t="s">
        <v>1246</v>
      </c>
      <c r="D1103" s="322">
        <v>13</v>
      </c>
      <c r="E1103" s="322" t="s">
        <v>682</v>
      </c>
      <c r="F1103" s="322">
        <v>13</v>
      </c>
      <c r="G1103" s="425">
        <f t="shared" si="19"/>
        <v>0</v>
      </c>
    </row>
    <row r="1104" spans="2:8">
      <c r="B1104" s="323">
        <v>45974</v>
      </c>
      <c r="C1104" s="325" t="s">
        <v>1249</v>
      </c>
      <c r="D1104" s="322">
        <v>1</v>
      </c>
      <c r="E1104" s="322" t="s">
        <v>682</v>
      </c>
      <c r="F1104" s="322">
        <v>1</v>
      </c>
      <c r="G1104" s="425">
        <f t="shared" si="19"/>
        <v>0</v>
      </c>
    </row>
    <row r="1105" spans="2:8">
      <c r="B1105" s="323">
        <v>45974</v>
      </c>
      <c r="C1105" s="325" t="s">
        <v>1246</v>
      </c>
      <c r="D1105" s="322">
        <v>2</v>
      </c>
      <c r="E1105" s="322" t="s">
        <v>682</v>
      </c>
      <c r="F1105" s="322">
        <v>2</v>
      </c>
      <c r="G1105" s="425">
        <f t="shared" si="19"/>
        <v>0</v>
      </c>
    </row>
    <row r="1106" spans="2:8">
      <c r="B1106" s="323">
        <v>45974</v>
      </c>
      <c r="C1106" s="325" t="s">
        <v>136</v>
      </c>
      <c r="D1106" s="322">
        <v>2</v>
      </c>
      <c r="E1106" s="322" t="s">
        <v>682</v>
      </c>
      <c r="F1106" s="322">
        <v>2</v>
      </c>
      <c r="G1106" s="425">
        <f t="shared" si="19"/>
        <v>0</v>
      </c>
    </row>
    <row r="1107" spans="2:8">
      <c r="B1107" s="323">
        <v>45974</v>
      </c>
      <c r="C1107" s="325" t="s">
        <v>1717</v>
      </c>
      <c r="D1107" s="322">
        <v>1</v>
      </c>
      <c r="E1107" s="322" t="s">
        <v>682</v>
      </c>
      <c r="F1107" s="322">
        <v>1</v>
      </c>
      <c r="G1107" s="425">
        <f t="shared" si="19"/>
        <v>0</v>
      </c>
    </row>
    <row r="1108" spans="2:8">
      <c r="B1108" s="323">
        <v>45974</v>
      </c>
      <c r="C1108" s="325" t="s">
        <v>1409</v>
      </c>
      <c r="D1108" s="322">
        <v>48</v>
      </c>
      <c r="E1108" s="322" t="s">
        <v>682</v>
      </c>
      <c r="F1108" s="322">
        <v>48</v>
      </c>
      <c r="G1108" s="425">
        <f t="shared" si="19"/>
        <v>0</v>
      </c>
    </row>
    <row r="1109" spans="2:8">
      <c r="B1109" s="323">
        <v>45974</v>
      </c>
      <c r="C1109" s="325" t="s">
        <v>1714</v>
      </c>
      <c r="D1109" s="322">
        <v>1</v>
      </c>
      <c r="E1109" s="322" t="s">
        <v>682</v>
      </c>
      <c r="F1109" s="322">
        <v>1</v>
      </c>
      <c r="G1109" s="425">
        <f t="shared" si="19"/>
        <v>0</v>
      </c>
    </row>
    <row r="1110" spans="2:8">
      <c r="B1110" s="323">
        <v>45974</v>
      </c>
      <c r="C1110" s="325" t="s">
        <v>1689</v>
      </c>
      <c r="D1110" s="322">
        <v>2</v>
      </c>
      <c r="E1110" s="322" t="s">
        <v>682</v>
      </c>
      <c r="F1110" s="322">
        <v>2</v>
      </c>
      <c r="G1110" s="425">
        <f t="shared" si="19"/>
        <v>0</v>
      </c>
    </row>
    <row r="1111" spans="2:8">
      <c r="B1111" s="323">
        <v>45974</v>
      </c>
      <c r="C1111" s="325" t="s">
        <v>1568</v>
      </c>
      <c r="D1111" s="322">
        <v>4</v>
      </c>
      <c r="E1111" s="322" t="s">
        <v>682</v>
      </c>
      <c r="F1111" s="322">
        <v>4</v>
      </c>
      <c r="G1111" s="425">
        <f t="shared" si="19"/>
        <v>0</v>
      </c>
    </row>
    <row r="1112" spans="2:8">
      <c r="B1112" s="323">
        <v>45974</v>
      </c>
      <c r="C1112" s="325" t="s">
        <v>1291</v>
      </c>
      <c r="D1112" s="322">
        <v>10</v>
      </c>
      <c r="E1112" s="322" t="s">
        <v>682</v>
      </c>
      <c r="F1112" s="322">
        <v>10</v>
      </c>
      <c r="G1112" s="425">
        <f t="shared" si="19"/>
        <v>0</v>
      </c>
    </row>
    <row r="1113" spans="2:8">
      <c r="B1113" s="323">
        <v>45974</v>
      </c>
      <c r="C1113" s="425" t="s">
        <v>1182</v>
      </c>
      <c r="D1113" s="322">
        <v>1</v>
      </c>
      <c r="E1113" s="322" t="s">
        <v>682</v>
      </c>
      <c r="F1113" s="322">
        <v>1</v>
      </c>
      <c r="G1113" s="425">
        <f t="shared" si="19"/>
        <v>0</v>
      </c>
    </row>
    <row r="1114" spans="2:8">
      <c r="B1114" s="323">
        <v>45974</v>
      </c>
      <c r="C1114" s="324" t="s">
        <v>131</v>
      </c>
      <c r="D1114" s="322">
        <v>3</v>
      </c>
      <c r="E1114" s="322" t="s">
        <v>682</v>
      </c>
      <c r="F1114" s="322">
        <v>3</v>
      </c>
      <c r="G1114" s="425">
        <f t="shared" si="19"/>
        <v>0</v>
      </c>
    </row>
    <row r="1115" spans="2:8">
      <c r="B1115" s="323">
        <v>45974</v>
      </c>
      <c r="C1115" s="325" t="s">
        <v>975</v>
      </c>
      <c r="D1115" s="322">
        <v>1</v>
      </c>
      <c r="E1115" s="322" t="s">
        <v>682</v>
      </c>
      <c r="F1115" s="322">
        <v>1</v>
      </c>
      <c r="G1115" s="425">
        <f t="shared" si="19"/>
        <v>0</v>
      </c>
    </row>
    <row r="1116" spans="2:8">
      <c r="B1116" s="323">
        <v>45974</v>
      </c>
      <c r="C1116" s="325" t="s">
        <v>1312</v>
      </c>
      <c r="D1116" s="322">
        <v>1</v>
      </c>
      <c r="E1116" s="322" t="s">
        <v>682</v>
      </c>
      <c r="F1116" s="322">
        <v>1</v>
      </c>
      <c r="G1116" s="425">
        <f t="shared" si="19"/>
        <v>0</v>
      </c>
    </row>
    <row r="1117" spans="2:8">
      <c r="B1117" s="323">
        <v>45974</v>
      </c>
      <c r="C1117" s="324" t="s">
        <v>960</v>
      </c>
      <c r="D1117" s="322">
        <v>1</v>
      </c>
      <c r="E1117" s="322" t="s">
        <v>682</v>
      </c>
      <c r="F1117" s="322">
        <v>1</v>
      </c>
      <c r="G1117" s="425">
        <f t="shared" si="19"/>
        <v>0</v>
      </c>
    </row>
    <row r="1118" spans="2:8">
      <c r="B1118" s="323">
        <v>45974</v>
      </c>
      <c r="C1118" s="325" t="s">
        <v>1246</v>
      </c>
      <c r="D1118" s="322">
        <v>1</v>
      </c>
      <c r="E1118" s="322" t="s">
        <v>682</v>
      </c>
      <c r="F1118" s="322">
        <v>1</v>
      </c>
      <c r="G1118" s="425">
        <f t="shared" si="19"/>
        <v>0</v>
      </c>
      <c r="H1118" t="s">
        <v>1721</v>
      </c>
    </row>
    <row r="1119" spans="2:8">
      <c r="B1119" s="323">
        <v>45974</v>
      </c>
      <c r="C1119" s="325" t="s">
        <v>1290</v>
      </c>
      <c r="D1119" s="322">
        <v>2</v>
      </c>
      <c r="E1119" s="322" t="s">
        <v>682</v>
      </c>
      <c r="F1119" s="322">
        <v>2</v>
      </c>
      <c r="G1119" s="425">
        <f t="shared" si="19"/>
        <v>0</v>
      </c>
    </row>
    <row r="1120" spans="2:8">
      <c r="B1120" s="323">
        <v>45974</v>
      </c>
      <c r="C1120" s="325" t="s">
        <v>1271</v>
      </c>
      <c r="D1120" s="322">
        <v>1</v>
      </c>
      <c r="E1120" s="322" t="s">
        <v>682</v>
      </c>
      <c r="F1120" s="322">
        <v>1</v>
      </c>
      <c r="G1120" s="425">
        <f t="shared" si="19"/>
        <v>0</v>
      </c>
    </row>
    <row r="1121" spans="2:7">
      <c r="B1121" s="323">
        <v>45974</v>
      </c>
      <c r="C1121" s="325" t="s">
        <v>1301</v>
      </c>
      <c r="D1121" s="322">
        <v>2</v>
      </c>
      <c r="E1121" s="322" t="s">
        <v>682</v>
      </c>
      <c r="F1121" s="322">
        <v>2</v>
      </c>
      <c r="G1121" s="425">
        <f t="shared" si="19"/>
        <v>0</v>
      </c>
    </row>
    <row r="1122" spans="2:7">
      <c r="B1122" s="323">
        <v>45974</v>
      </c>
      <c r="C1122" s="325" t="s">
        <v>1271</v>
      </c>
      <c r="D1122" s="322">
        <v>4</v>
      </c>
      <c r="E1122" s="322" t="s">
        <v>682</v>
      </c>
      <c r="F1122" s="322">
        <v>4</v>
      </c>
      <c r="G1122" s="425">
        <f t="shared" si="19"/>
        <v>0</v>
      </c>
    </row>
    <row r="1123" spans="2:7">
      <c r="B1123" s="323">
        <v>45974</v>
      </c>
      <c r="C1123" s="325" t="s">
        <v>1301</v>
      </c>
      <c r="D1123" s="322">
        <v>2</v>
      </c>
      <c r="E1123" s="322" t="s">
        <v>682</v>
      </c>
      <c r="F1123" s="322">
        <v>2</v>
      </c>
      <c r="G1123" s="425">
        <f t="shared" si="19"/>
        <v>0</v>
      </c>
    </row>
    <row r="1124" spans="2:7">
      <c r="B1124" s="323">
        <v>45974</v>
      </c>
      <c r="C1124" s="325" t="s">
        <v>1271</v>
      </c>
      <c r="D1124" s="322">
        <v>4</v>
      </c>
      <c r="E1124" s="322" t="s">
        <v>682</v>
      </c>
      <c r="F1124" s="322">
        <v>4</v>
      </c>
      <c r="G1124" s="425">
        <f t="shared" si="19"/>
        <v>0</v>
      </c>
    </row>
    <row r="1125" spans="2:7">
      <c r="B1125" s="323">
        <v>45974</v>
      </c>
      <c r="C1125" s="325" t="s">
        <v>1326</v>
      </c>
      <c r="D1125" s="322">
        <v>2</v>
      </c>
      <c r="E1125" s="322" t="s">
        <v>682</v>
      </c>
      <c r="F1125" s="322">
        <v>2</v>
      </c>
      <c r="G1125" s="425">
        <f t="shared" si="19"/>
        <v>0</v>
      </c>
    </row>
    <row r="1126" spans="2:7">
      <c r="B1126" s="323">
        <v>45974</v>
      </c>
      <c r="C1126" s="325" t="s">
        <v>920</v>
      </c>
      <c r="D1126" s="322">
        <v>2</v>
      </c>
      <c r="E1126" s="322" t="s">
        <v>682</v>
      </c>
      <c r="F1126" s="322">
        <v>2</v>
      </c>
      <c r="G1126" s="425">
        <f t="shared" si="19"/>
        <v>0</v>
      </c>
    </row>
    <row r="1127" spans="2:7">
      <c r="B1127" s="323">
        <v>45974</v>
      </c>
      <c r="C1127" s="425" t="s">
        <v>1716</v>
      </c>
      <c r="D1127" s="322">
        <v>1</v>
      </c>
      <c r="E1127" s="322" t="s">
        <v>682</v>
      </c>
      <c r="F1127" s="322">
        <v>1</v>
      </c>
      <c r="G1127" s="425">
        <f t="shared" si="19"/>
        <v>0</v>
      </c>
    </row>
    <row r="1128" spans="2:7">
      <c r="B1128" s="335">
        <v>45974</v>
      </c>
      <c r="C1128" s="343" t="s">
        <v>839</v>
      </c>
      <c r="D1128" s="345">
        <v>40</v>
      </c>
      <c r="E1128" s="345" t="s">
        <v>1722</v>
      </c>
      <c r="F1128" s="345">
        <v>40</v>
      </c>
      <c r="G1128" s="344">
        <f t="shared" si="19"/>
        <v>0</v>
      </c>
    </row>
    <row r="1129" spans="2:7">
      <c r="B1129" s="335">
        <v>45974</v>
      </c>
      <c r="C1129" s="341" t="s">
        <v>671</v>
      </c>
      <c r="D1129" s="345">
        <v>20</v>
      </c>
      <c r="E1129" s="345" t="s">
        <v>1722</v>
      </c>
      <c r="F1129" s="345">
        <v>20</v>
      </c>
      <c r="G1129" s="344">
        <f t="shared" si="19"/>
        <v>0</v>
      </c>
    </row>
    <row r="1130" spans="2:7">
      <c r="B1130" s="434">
        <v>45975</v>
      </c>
      <c r="C1130" s="503" t="s">
        <v>960</v>
      </c>
      <c r="D1130" s="166">
        <v>6</v>
      </c>
      <c r="E1130" s="166" t="s">
        <v>1727</v>
      </c>
      <c r="F1130" s="166">
        <v>6</v>
      </c>
      <c r="G1130" s="167">
        <f t="shared" si="19"/>
        <v>0</v>
      </c>
    </row>
    <row r="1131" spans="2:7">
      <c r="B1131" s="434">
        <v>45976</v>
      </c>
      <c r="C1131" s="168" t="s">
        <v>1246</v>
      </c>
      <c r="D1131" s="166">
        <v>1</v>
      </c>
      <c r="E1131" s="166" t="s">
        <v>1734</v>
      </c>
      <c r="F1131" s="166">
        <v>1</v>
      </c>
      <c r="G1131" s="167">
        <f t="shared" si="19"/>
        <v>0</v>
      </c>
    </row>
    <row r="1132" spans="2:7">
      <c r="B1132" s="434">
        <v>45976</v>
      </c>
      <c r="C1132" s="168" t="s">
        <v>1640</v>
      </c>
      <c r="D1132" s="166">
        <v>1</v>
      </c>
      <c r="E1132" s="166" t="s">
        <v>1734</v>
      </c>
      <c r="F1132" s="166">
        <v>1</v>
      </c>
      <c r="G1132" s="167">
        <f t="shared" si="19"/>
        <v>0</v>
      </c>
    </row>
    <row r="1133" spans="2:7">
      <c r="B1133" s="437">
        <v>45976</v>
      </c>
      <c r="C1133" s="222" t="s">
        <v>1246</v>
      </c>
      <c r="D1133" s="220">
        <v>3</v>
      </c>
      <c r="E1133" s="220" t="s">
        <v>1737</v>
      </c>
      <c r="F1133" s="220">
        <v>3</v>
      </c>
      <c r="G1133" s="221">
        <f t="shared" si="19"/>
        <v>0</v>
      </c>
    </row>
    <row r="1134" spans="2:7">
      <c r="B1134" s="437">
        <v>45978</v>
      </c>
      <c r="C1134" s="222" t="s">
        <v>1246</v>
      </c>
      <c r="D1134" s="220">
        <v>6</v>
      </c>
      <c r="E1134" s="220" t="s">
        <v>1740</v>
      </c>
      <c r="F1134" s="220">
        <v>6</v>
      </c>
      <c r="G1134" s="221">
        <f t="shared" si="19"/>
        <v>0</v>
      </c>
    </row>
    <row r="1135" spans="2:7">
      <c r="B1135" s="434">
        <v>45979</v>
      </c>
      <c r="C1135" s="168" t="s">
        <v>1313</v>
      </c>
      <c r="D1135" s="166">
        <v>1</v>
      </c>
      <c r="E1135" s="166" t="s">
        <v>1601</v>
      </c>
      <c r="F1135" s="166">
        <v>1</v>
      </c>
      <c r="G1135" s="167">
        <f t="shared" si="19"/>
        <v>0</v>
      </c>
    </row>
    <row r="1136" spans="2:7">
      <c r="B1136" s="434">
        <v>45979</v>
      </c>
      <c r="C1136" s="503" t="s">
        <v>926</v>
      </c>
      <c r="D1136" s="166">
        <v>1</v>
      </c>
      <c r="E1136" s="166" t="s">
        <v>1601</v>
      </c>
      <c r="F1136" s="166">
        <v>1</v>
      </c>
      <c r="G1136" s="167">
        <f t="shared" si="19"/>
        <v>0</v>
      </c>
    </row>
    <row r="1137" spans="2:8">
      <c r="B1137" s="434">
        <v>45979</v>
      </c>
      <c r="C1137" s="168" t="s">
        <v>1291</v>
      </c>
      <c r="D1137" s="166">
        <v>13</v>
      </c>
      <c r="E1137" s="166" t="s">
        <v>1601</v>
      </c>
      <c r="F1137" s="166">
        <v>13</v>
      </c>
      <c r="G1137" s="167">
        <f t="shared" si="19"/>
        <v>0</v>
      </c>
    </row>
    <row r="1138" spans="2:8">
      <c r="B1138" s="434">
        <v>45979</v>
      </c>
      <c r="C1138" s="168" t="s">
        <v>920</v>
      </c>
      <c r="D1138" s="166">
        <v>2</v>
      </c>
      <c r="E1138" s="166" t="s">
        <v>1601</v>
      </c>
      <c r="F1138" s="166">
        <v>2</v>
      </c>
      <c r="G1138" s="167">
        <f t="shared" si="19"/>
        <v>0</v>
      </c>
    </row>
    <row r="1139" spans="2:8">
      <c r="B1139" s="265">
        <v>45981</v>
      </c>
      <c r="C1139" s="92" t="s">
        <v>672</v>
      </c>
      <c r="D1139" s="43">
        <v>10</v>
      </c>
      <c r="E1139" s="43" t="s">
        <v>1785</v>
      </c>
      <c r="F1139" s="43">
        <v>10</v>
      </c>
      <c r="G1139" s="344">
        <f t="shared" si="19"/>
        <v>0</v>
      </c>
    </row>
    <row r="1140" spans="2:8">
      <c r="B1140" s="265">
        <v>45981</v>
      </c>
      <c r="C1140" s="92" t="s">
        <v>789</v>
      </c>
      <c r="D1140" s="43">
        <v>5</v>
      </c>
      <c r="E1140" s="43" t="s">
        <v>1785</v>
      </c>
      <c r="F1140" s="43">
        <v>5</v>
      </c>
      <c r="G1140" s="344">
        <f t="shared" si="19"/>
        <v>0</v>
      </c>
    </row>
    <row r="1141" spans="2:8">
      <c r="B1141" s="265">
        <v>45981</v>
      </c>
      <c r="C1141" s="93" t="s">
        <v>1617</v>
      </c>
      <c r="D1141" s="43">
        <v>62</v>
      </c>
      <c r="E1141" s="43" t="s">
        <v>1785</v>
      </c>
      <c r="F1141" s="43">
        <v>62</v>
      </c>
      <c r="G1141" s="344">
        <f t="shared" si="19"/>
        <v>0</v>
      </c>
    </row>
    <row r="1142" spans="2:8">
      <c r="B1142" s="265">
        <v>45981</v>
      </c>
      <c r="C1142" s="343" t="s">
        <v>1270</v>
      </c>
      <c r="D1142" s="43">
        <v>5</v>
      </c>
      <c r="E1142" s="43" t="s">
        <v>1785</v>
      </c>
      <c r="F1142" s="43">
        <v>5</v>
      </c>
      <c r="G1142" s="344">
        <f t="shared" si="19"/>
        <v>0</v>
      </c>
    </row>
    <row r="1143" spans="2:8">
      <c r="B1143" s="265">
        <v>45981</v>
      </c>
      <c r="C1143" s="343" t="s">
        <v>1673</v>
      </c>
      <c r="D1143" s="43">
        <v>1</v>
      </c>
      <c r="E1143" s="43" t="s">
        <v>1785</v>
      </c>
      <c r="F1143" s="43">
        <v>1</v>
      </c>
      <c r="G1143" s="344">
        <f t="shared" si="19"/>
        <v>0</v>
      </c>
    </row>
    <row r="1144" spans="2:8">
      <c r="B1144" s="265">
        <v>45981</v>
      </c>
      <c r="C1144" s="343" t="s">
        <v>1674</v>
      </c>
      <c r="D1144" s="43">
        <v>7</v>
      </c>
      <c r="E1144" s="43" t="s">
        <v>1785</v>
      </c>
      <c r="F1144" s="43">
        <v>7</v>
      </c>
      <c r="G1144" s="344">
        <f t="shared" si="19"/>
        <v>0</v>
      </c>
    </row>
    <row r="1145" spans="2:8">
      <c r="B1145" s="265">
        <v>45981</v>
      </c>
      <c r="C1145" s="92" t="s">
        <v>76</v>
      </c>
      <c r="D1145" s="43">
        <v>36</v>
      </c>
      <c r="E1145" s="43" t="s">
        <v>1785</v>
      </c>
      <c r="F1145" s="43">
        <v>36</v>
      </c>
      <c r="G1145" s="344">
        <f t="shared" si="19"/>
        <v>0</v>
      </c>
    </row>
    <row r="1146" spans="2:8">
      <c r="B1146" s="346">
        <v>45982</v>
      </c>
      <c r="C1146" s="349" t="s">
        <v>1327</v>
      </c>
      <c r="D1146" s="348">
        <v>2</v>
      </c>
      <c r="E1146" s="348" t="s">
        <v>921</v>
      </c>
      <c r="F1146" s="348">
        <v>2</v>
      </c>
      <c r="G1146" s="351">
        <f t="shared" si="19"/>
        <v>0</v>
      </c>
      <c r="H1146" t="s">
        <v>1801</v>
      </c>
    </row>
    <row r="1147" spans="2:8">
      <c r="B1147" s="346">
        <v>45982</v>
      </c>
      <c r="C1147" s="349" t="s">
        <v>1327</v>
      </c>
      <c r="D1147" s="348">
        <v>2</v>
      </c>
      <c r="E1147" s="348" t="s">
        <v>921</v>
      </c>
      <c r="F1147" s="348">
        <v>2</v>
      </c>
      <c r="G1147" s="351">
        <f t="shared" si="19"/>
        <v>0</v>
      </c>
    </row>
    <row r="1148" spans="2:8">
      <c r="B1148" s="346">
        <v>45982</v>
      </c>
      <c r="C1148" s="349" t="s">
        <v>1326</v>
      </c>
      <c r="D1148" s="348">
        <v>6</v>
      </c>
      <c r="E1148" s="348" t="s">
        <v>921</v>
      </c>
      <c r="F1148" s="348">
        <v>6</v>
      </c>
      <c r="G1148" s="351">
        <f t="shared" si="19"/>
        <v>0</v>
      </c>
    </row>
    <row r="1149" spans="2:8">
      <c r="B1149" s="346">
        <v>45982</v>
      </c>
      <c r="C1149" s="349" t="s">
        <v>166</v>
      </c>
      <c r="D1149" s="348">
        <v>1</v>
      </c>
      <c r="E1149" s="348" t="s">
        <v>921</v>
      </c>
      <c r="F1149" s="348">
        <v>1</v>
      </c>
      <c r="G1149" s="351">
        <f t="shared" si="19"/>
        <v>0</v>
      </c>
    </row>
    <row r="1150" spans="2:8">
      <c r="B1150" s="346">
        <v>45982</v>
      </c>
      <c r="C1150" s="351" t="s">
        <v>932</v>
      </c>
      <c r="D1150" s="348">
        <v>2</v>
      </c>
      <c r="E1150" s="348" t="s">
        <v>921</v>
      </c>
      <c r="F1150" s="348">
        <v>2</v>
      </c>
      <c r="G1150" s="351">
        <f t="shared" si="19"/>
        <v>0</v>
      </c>
    </row>
    <row r="1151" spans="2:8">
      <c r="B1151" s="346">
        <v>45982</v>
      </c>
      <c r="C1151" s="349" t="s">
        <v>1291</v>
      </c>
      <c r="D1151" s="348">
        <v>1</v>
      </c>
      <c r="E1151" s="348" t="s">
        <v>921</v>
      </c>
      <c r="F1151" s="348">
        <v>1</v>
      </c>
      <c r="G1151" s="351">
        <f t="shared" si="19"/>
        <v>0</v>
      </c>
    </row>
    <row r="1152" spans="2:8">
      <c r="B1152" s="346">
        <v>45982</v>
      </c>
      <c r="C1152" s="349" t="s">
        <v>1334</v>
      </c>
      <c r="D1152" s="348">
        <v>1</v>
      </c>
      <c r="E1152" s="348" t="s">
        <v>921</v>
      </c>
      <c r="F1152" s="348">
        <v>1</v>
      </c>
      <c r="G1152" s="351">
        <f t="shared" si="19"/>
        <v>0</v>
      </c>
    </row>
    <row r="1153" spans="2:7">
      <c r="B1153" s="346">
        <v>45982</v>
      </c>
      <c r="C1153" s="349" t="s">
        <v>1533</v>
      </c>
      <c r="D1153" s="348">
        <v>2</v>
      </c>
      <c r="E1153" s="348" t="s">
        <v>921</v>
      </c>
      <c r="F1153" s="348">
        <v>2</v>
      </c>
      <c r="G1153" s="351">
        <f t="shared" si="19"/>
        <v>0</v>
      </c>
    </row>
    <row r="1154" spans="2:7">
      <c r="B1154" s="346">
        <v>45982</v>
      </c>
      <c r="C1154" s="349" t="s">
        <v>1568</v>
      </c>
      <c r="D1154" s="348">
        <v>1</v>
      </c>
      <c r="E1154" s="348" t="s">
        <v>921</v>
      </c>
      <c r="F1154" s="348">
        <v>1</v>
      </c>
      <c r="G1154" s="351">
        <f t="shared" si="19"/>
        <v>0</v>
      </c>
    </row>
    <row r="1155" spans="2:7">
      <c r="B1155" s="346">
        <v>45982</v>
      </c>
      <c r="C1155" s="347" t="s">
        <v>919</v>
      </c>
      <c r="D1155" s="348">
        <v>1</v>
      </c>
      <c r="E1155" s="348" t="s">
        <v>921</v>
      </c>
      <c r="F1155" s="348">
        <v>1</v>
      </c>
      <c r="G1155" s="351">
        <f t="shared" si="19"/>
        <v>0</v>
      </c>
    </row>
    <row r="1156" spans="2:7">
      <c r="B1156" s="434">
        <v>45983</v>
      </c>
      <c r="C1156" s="168" t="s">
        <v>1327</v>
      </c>
      <c r="D1156" s="166">
        <v>3</v>
      </c>
      <c r="E1156" s="166" t="s">
        <v>1618</v>
      </c>
      <c r="F1156" s="166">
        <v>3</v>
      </c>
      <c r="G1156" s="167">
        <f t="shared" si="19"/>
        <v>0</v>
      </c>
    </row>
    <row r="1157" spans="2:7">
      <c r="B1157" s="335">
        <v>45983</v>
      </c>
      <c r="C1157" s="343" t="s">
        <v>1246</v>
      </c>
      <c r="D1157" s="345">
        <v>29</v>
      </c>
      <c r="E1157" s="345" t="s">
        <v>1813</v>
      </c>
      <c r="F1157" s="345">
        <v>29</v>
      </c>
      <c r="G1157" s="344">
        <f t="shared" si="19"/>
        <v>0</v>
      </c>
    </row>
    <row r="1158" spans="2:7">
      <c r="B1158" s="335">
        <v>45983</v>
      </c>
      <c r="C1158" s="343" t="s">
        <v>1673</v>
      </c>
      <c r="D1158" s="345">
        <v>3</v>
      </c>
      <c r="E1158" s="345" t="s">
        <v>1813</v>
      </c>
      <c r="F1158" s="345">
        <v>3</v>
      </c>
      <c r="G1158" s="344">
        <f t="shared" si="19"/>
        <v>0</v>
      </c>
    </row>
    <row r="1159" spans="2:7">
      <c r="B1159" s="335">
        <v>45983</v>
      </c>
      <c r="C1159" s="343" t="s">
        <v>1674</v>
      </c>
      <c r="D1159" s="345">
        <v>3</v>
      </c>
      <c r="E1159" s="345" t="s">
        <v>1813</v>
      </c>
      <c r="F1159" s="345">
        <v>3</v>
      </c>
      <c r="G1159" s="344">
        <f t="shared" ref="G1159:G1222" si="20">D1159-F1159</f>
        <v>0</v>
      </c>
    </row>
    <row r="1160" spans="2:7">
      <c r="B1160" s="335">
        <v>45983</v>
      </c>
      <c r="C1160" s="343" t="s">
        <v>1754</v>
      </c>
      <c r="D1160" s="345">
        <v>9</v>
      </c>
      <c r="E1160" s="345" t="s">
        <v>1813</v>
      </c>
      <c r="F1160" s="345">
        <v>9</v>
      </c>
      <c r="G1160" s="344">
        <f t="shared" si="20"/>
        <v>0</v>
      </c>
    </row>
    <row r="1161" spans="2:7">
      <c r="B1161" s="335">
        <v>45983</v>
      </c>
      <c r="C1161" s="344" t="s">
        <v>1183</v>
      </c>
      <c r="D1161" s="345">
        <v>4</v>
      </c>
      <c r="E1161" s="345" t="s">
        <v>1813</v>
      </c>
      <c r="F1161" s="345">
        <v>4</v>
      </c>
      <c r="G1161" s="344">
        <f t="shared" si="20"/>
        <v>0</v>
      </c>
    </row>
    <row r="1162" spans="2:7">
      <c r="B1162" s="335">
        <v>45983</v>
      </c>
      <c r="C1162" s="343" t="s">
        <v>807</v>
      </c>
      <c r="D1162" s="345">
        <v>1</v>
      </c>
      <c r="E1162" s="345" t="s">
        <v>1813</v>
      </c>
      <c r="F1162" s="345">
        <v>1</v>
      </c>
      <c r="G1162" s="344">
        <f t="shared" si="20"/>
        <v>0</v>
      </c>
    </row>
    <row r="1163" spans="2:7">
      <c r="B1163" s="335">
        <v>45983</v>
      </c>
      <c r="C1163" s="342" t="s">
        <v>960</v>
      </c>
      <c r="D1163" s="345">
        <v>2</v>
      </c>
      <c r="E1163" s="345" t="s">
        <v>1813</v>
      </c>
      <c r="F1163" s="345">
        <v>2</v>
      </c>
      <c r="G1163" s="344">
        <f t="shared" si="20"/>
        <v>0</v>
      </c>
    </row>
    <row r="1164" spans="2:7">
      <c r="B1164" s="335">
        <v>45983</v>
      </c>
      <c r="C1164" s="344" t="s">
        <v>304</v>
      </c>
      <c r="D1164" s="345">
        <v>10</v>
      </c>
      <c r="E1164" s="345" t="s">
        <v>1813</v>
      </c>
      <c r="F1164" s="345">
        <v>10</v>
      </c>
      <c r="G1164" s="344">
        <f t="shared" si="20"/>
        <v>0</v>
      </c>
    </row>
    <row r="1165" spans="2:7">
      <c r="B1165" s="335">
        <v>45983</v>
      </c>
      <c r="C1165" s="343" t="s">
        <v>1575</v>
      </c>
      <c r="D1165" s="345">
        <v>16</v>
      </c>
      <c r="E1165" s="345" t="s">
        <v>1813</v>
      </c>
      <c r="F1165" s="345">
        <v>16</v>
      </c>
      <c r="G1165" s="344">
        <f t="shared" si="20"/>
        <v>0</v>
      </c>
    </row>
    <row r="1166" spans="2:7">
      <c r="B1166" s="335">
        <v>45983</v>
      </c>
      <c r="C1166" s="341" t="s">
        <v>642</v>
      </c>
      <c r="D1166" s="345">
        <v>12</v>
      </c>
      <c r="E1166" s="345" t="s">
        <v>1813</v>
      </c>
      <c r="F1166" s="345">
        <v>12</v>
      </c>
      <c r="G1166" s="344">
        <f t="shared" si="20"/>
        <v>0</v>
      </c>
    </row>
    <row r="1167" spans="2:7">
      <c r="B1167" s="335">
        <v>45983</v>
      </c>
      <c r="C1167" s="342" t="s">
        <v>477</v>
      </c>
      <c r="D1167" s="345">
        <v>21</v>
      </c>
      <c r="E1167" s="345" t="s">
        <v>1813</v>
      </c>
      <c r="F1167" s="345">
        <v>21</v>
      </c>
      <c r="G1167" s="344">
        <f t="shared" si="20"/>
        <v>0</v>
      </c>
    </row>
    <row r="1168" spans="2:7">
      <c r="B1168" s="335">
        <v>45983</v>
      </c>
      <c r="C1168" s="343" t="s">
        <v>1782</v>
      </c>
      <c r="D1168" s="345">
        <v>10</v>
      </c>
      <c r="E1168" s="345" t="s">
        <v>1813</v>
      </c>
      <c r="F1168" s="345">
        <v>10</v>
      </c>
      <c r="G1168" s="344">
        <f t="shared" si="20"/>
        <v>0</v>
      </c>
    </row>
    <row r="1169" spans="2:8">
      <c r="B1169" s="335">
        <v>45983</v>
      </c>
      <c r="C1169" s="341" t="s">
        <v>76</v>
      </c>
      <c r="D1169" s="345">
        <v>36</v>
      </c>
      <c r="E1169" s="345" t="s">
        <v>1813</v>
      </c>
      <c r="F1169" s="345">
        <v>36</v>
      </c>
      <c r="G1169" s="344">
        <f t="shared" si="20"/>
        <v>0</v>
      </c>
    </row>
    <row r="1170" spans="2:8">
      <c r="B1170" s="437">
        <v>45987</v>
      </c>
      <c r="C1170" s="598" t="s">
        <v>642</v>
      </c>
      <c r="D1170" s="220">
        <v>10</v>
      </c>
      <c r="E1170" s="220" t="s">
        <v>1831</v>
      </c>
      <c r="F1170" s="220">
        <v>10</v>
      </c>
      <c r="G1170" s="221">
        <f t="shared" si="20"/>
        <v>0</v>
      </c>
    </row>
    <row r="1171" spans="2:8">
      <c r="B1171" s="437">
        <v>45988</v>
      </c>
      <c r="C1171" s="598" t="s">
        <v>642</v>
      </c>
      <c r="D1171" s="220">
        <v>30</v>
      </c>
      <c r="E1171" s="220" t="s">
        <v>1831</v>
      </c>
      <c r="F1171" s="220">
        <v>30</v>
      </c>
      <c r="G1171" s="221">
        <f t="shared" si="20"/>
        <v>0</v>
      </c>
    </row>
    <row r="1172" spans="2:8">
      <c r="B1172" s="437">
        <v>45988</v>
      </c>
      <c r="C1172" s="222" t="s">
        <v>1617</v>
      </c>
      <c r="D1172" s="220">
        <v>30</v>
      </c>
      <c r="E1172" s="220" t="s">
        <v>1842</v>
      </c>
      <c r="F1172" s="220">
        <v>30</v>
      </c>
      <c r="G1172" s="221">
        <f t="shared" si="20"/>
        <v>0</v>
      </c>
    </row>
    <row r="1173" spans="2:8">
      <c r="B1173" s="346">
        <v>45988</v>
      </c>
      <c r="C1173" s="349" t="s">
        <v>1246</v>
      </c>
      <c r="D1173" s="348">
        <v>2</v>
      </c>
      <c r="E1173" s="348" t="s">
        <v>921</v>
      </c>
      <c r="F1173" s="348">
        <v>2</v>
      </c>
      <c r="G1173" s="351">
        <f t="shared" si="20"/>
        <v>0</v>
      </c>
      <c r="H1173" t="s">
        <v>1844</v>
      </c>
    </row>
    <row r="1174" spans="2:8">
      <c r="B1174" s="346">
        <v>45988</v>
      </c>
      <c r="C1174" s="349" t="s">
        <v>1249</v>
      </c>
      <c r="D1174" s="348">
        <v>1</v>
      </c>
      <c r="E1174" s="348" t="s">
        <v>921</v>
      </c>
      <c r="F1174" s="348">
        <v>1</v>
      </c>
      <c r="G1174" s="351">
        <f t="shared" si="20"/>
        <v>0</v>
      </c>
    </row>
    <row r="1175" spans="2:8">
      <c r="B1175" s="346">
        <v>45988</v>
      </c>
      <c r="C1175" s="349" t="s">
        <v>1290</v>
      </c>
      <c r="D1175" s="348">
        <v>1</v>
      </c>
      <c r="E1175" s="348" t="s">
        <v>921</v>
      </c>
      <c r="F1175" s="348">
        <v>1</v>
      </c>
      <c r="G1175" s="351">
        <f t="shared" si="20"/>
        <v>0</v>
      </c>
    </row>
    <row r="1176" spans="2:8">
      <c r="B1176" s="346">
        <v>45988</v>
      </c>
      <c r="C1176" s="349" t="s">
        <v>1271</v>
      </c>
      <c r="D1176" s="348">
        <v>6</v>
      </c>
      <c r="E1176" s="348" t="s">
        <v>921</v>
      </c>
      <c r="F1176" s="348">
        <v>6</v>
      </c>
      <c r="G1176" s="351">
        <f t="shared" si="20"/>
        <v>0</v>
      </c>
    </row>
    <row r="1177" spans="2:8">
      <c r="B1177" s="346">
        <v>45988</v>
      </c>
      <c r="C1177" s="349" t="s">
        <v>1327</v>
      </c>
      <c r="D1177" s="348">
        <v>20</v>
      </c>
      <c r="E1177" s="348" t="s">
        <v>921</v>
      </c>
      <c r="F1177" s="348">
        <v>20</v>
      </c>
      <c r="G1177" s="351">
        <f t="shared" si="20"/>
        <v>0</v>
      </c>
    </row>
    <row r="1178" spans="2:8">
      <c r="B1178" s="346">
        <v>45988</v>
      </c>
      <c r="C1178" s="349" t="s">
        <v>1326</v>
      </c>
      <c r="D1178" s="348">
        <v>6</v>
      </c>
      <c r="E1178" s="348" t="s">
        <v>921</v>
      </c>
      <c r="F1178" s="348">
        <v>6</v>
      </c>
      <c r="G1178" s="351">
        <f t="shared" si="20"/>
        <v>0</v>
      </c>
    </row>
    <row r="1179" spans="2:8">
      <c r="B1179" s="346">
        <v>45988</v>
      </c>
      <c r="C1179" s="349" t="s">
        <v>167</v>
      </c>
      <c r="D1179" s="348">
        <v>1</v>
      </c>
      <c r="E1179" s="348" t="s">
        <v>921</v>
      </c>
      <c r="F1179" s="348">
        <v>1</v>
      </c>
      <c r="G1179" s="351">
        <f t="shared" si="20"/>
        <v>0</v>
      </c>
    </row>
    <row r="1180" spans="2:8">
      <c r="B1180" s="346">
        <v>45988</v>
      </c>
      <c r="C1180" s="349" t="s">
        <v>1641</v>
      </c>
      <c r="D1180" s="348">
        <v>1</v>
      </c>
      <c r="E1180" s="348" t="s">
        <v>921</v>
      </c>
      <c r="F1180" s="348">
        <v>1</v>
      </c>
      <c r="G1180" s="351">
        <f t="shared" si="20"/>
        <v>0</v>
      </c>
    </row>
    <row r="1181" spans="2:8">
      <c r="B1181" s="346">
        <v>45988</v>
      </c>
      <c r="C1181" s="349" t="s">
        <v>1095</v>
      </c>
      <c r="D1181" s="348">
        <v>4</v>
      </c>
      <c r="E1181" s="348" t="s">
        <v>921</v>
      </c>
      <c r="F1181" s="348">
        <v>4</v>
      </c>
      <c r="G1181" s="351">
        <f t="shared" si="20"/>
        <v>0</v>
      </c>
    </row>
    <row r="1182" spans="2:8">
      <c r="B1182" s="346">
        <v>45988</v>
      </c>
      <c r="C1182" s="349" t="s">
        <v>1094</v>
      </c>
      <c r="D1182" s="348">
        <v>2</v>
      </c>
      <c r="E1182" s="348" t="s">
        <v>921</v>
      </c>
      <c r="F1182" s="348">
        <v>2</v>
      </c>
      <c r="G1182" s="351">
        <f t="shared" si="20"/>
        <v>0</v>
      </c>
    </row>
    <row r="1183" spans="2:8">
      <c r="B1183" s="346">
        <v>45988</v>
      </c>
      <c r="C1183" s="349" t="s">
        <v>1291</v>
      </c>
      <c r="D1183" s="348">
        <v>4</v>
      </c>
      <c r="E1183" s="348" t="s">
        <v>921</v>
      </c>
      <c r="F1183" s="348">
        <v>4</v>
      </c>
      <c r="G1183" s="351">
        <f t="shared" si="20"/>
        <v>0</v>
      </c>
    </row>
    <row r="1184" spans="2:8">
      <c r="B1184" s="346">
        <v>45988</v>
      </c>
      <c r="C1184" s="349" t="s">
        <v>1334</v>
      </c>
      <c r="D1184" s="348">
        <v>1</v>
      </c>
      <c r="E1184" s="348" t="s">
        <v>921</v>
      </c>
      <c r="F1184" s="348">
        <v>1</v>
      </c>
      <c r="G1184" s="351">
        <f t="shared" si="20"/>
        <v>0</v>
      </c>
    </row>
    <row r="1185" spans="2:8">
      <c r="B1185" s="346">
        <v>45988</v>
      </c>
      <c r="C1185" s="349" t="s">
        <v>1533</v>
      </c>
      <c r="D1185" s="348">
        <v>1</v>
      </c>
      <c r="E1185" s="348" t="s">
        <v>921</v>
      </c>
      <c r="F1185" s="348">
        <v>1</v>
      </c>
      <c r="G1185" s="351">
        <f t="shared" si="20"/>
        <v>0</v>
      </c>
    </row>
    <row r="1186" spans="2:8">
      <c r="B1186" s="346">
        <v>45988</v>
      </c>
      <c r="C1186" s="349" t="s">
        <v>1533</v>
      </c>
      <c r="D1186" s="348">
        <v>1</v>
      </c>
      <c r="E1186" s="348" t="s">
        <v>921</v>
      </c>
      <c r="F1186" s="348">
        <v>1</v>
      </c>
      <c r="G1186" s="351">
        <f t="shared" si="20"/>
        <v>0</v>
      </c>
    </row>
    <row r="1187" spans="2:8">
      <c r="B1187" s="310">
        <v>45988</v>
      </c>
      <c r="C1187" s="526" t="s">
        <v>1334</v>
      </c>
      <c r="D1187" s="312">
        <v>2</v>
      </c>
      <c r="E1187" s="312" t="s">
        <v>1845</v>
      </c>
      <c r="F1187" s="312">
        <v>2</v>
      </c>
      <c r="G1187" s="528">
        <f t="shared" si="20"/>
        <v>0</v>
      </c>
    </row>
    <row r="1188" spans="2:8">
      <c r="B1188" s="346">
        <v>45988</v>
      </c>
      <c r="C1188" s="349" t="s">
        <v>1246</v>
      </c>
      <c r="D1188" s="348">
        <v>2</v>
      </c>
      <c r="E1188" s="348" t="s">
        <v>921</v>
      </c>
      <c r="F1188" s="348">
        <v>2</v>
      </c>
      <c r="G1188" s="351">
        <f t="shared" si="20"/>
        <v>0</v>
      </c>
      <c r="H1188" t="s">
        <v>1846</v>
      </c>
    </row>
    <row r="1189" spans="2:8">
      <c r="B1189" s="346">
        <v>45988</v>
      </c>
      <c r="C1189" s="349" t="s">
        <v>1271</v>
      </c>
      <c r="D1189" s="348">
        <v>2</v>
      </c>
      <c r="E1189" s="348" t="s">
        <v>921</v>
      </c>
      <c r="F1189" s="348">
        <v>2</v>
      </c>
      <c r="G1189" s="351">
        <f t="shared" si="20"/>
        <v>0</v>
      </c>
    </row>
    <row r="1190" spans="2:8">
      <c r="B1190" s="346">
        <v>45988</v>
      </c>
      <c r="C1190" s="349" t="s">
        <v>1271</v>
      </c>
      <c r="D1190" s="348">
        <v>3</v>
      </c>
      <c r="E1190" s="348" t="s">
        <v>921</v>
      </c>
      <c r="F1190" s="348">
        <v>3</v>
      </c>
      <c r="G1190" s="351">
        <f t="shared" si="20"/>
        <v>0</v>
      </c>
    </row>
    <row r="1191" spans="2:8">
      <c r="B1191" s="346">
        <v>45988</v>
      </c>
      <c r="C1191" s="349" t="s">
        <v>1271</v>
      </c>
      <c r="D1191" s="348">
        <v>1</v>
      </c>
      <c r="E1191" s="348" t="s">
        <v>921</v>
      </c>
      <c r="F1191" s="348">
        <v>1</v>
      </c>
      <c r="G1191" s="351">
        <f t="shared" si="20"/>
        <v>0</v>
      </c>
    </row>
    <row r="1192" spans="2:8">
      <c r="B1192" s="346">
        <v>45988</v>
      </c>
      <c r="C1192" s="349" t="s">
        <v>1327</v>
      </c>
      <c r="D1192" s="348">
        <v>4</v>
      </c>
      <c r="E1192" s="348" t="s">
        <v>921</v>
      </c>
      <c r="F1192" s="348">
        <v>4</v>
      </c>
      <c r="G1192" s="351">
        <f t="shared" si="20"/>
        <v>0</v>
      </c>
    </row>
    <row r="1193" spans="2:8">
      <c r="B1193" s="346">
        <v>45988</v>
      </c>
      <c r="C1193" s="349" t="s">
        <v>1327</v>
      </c>
      <c r="D1193" s="348">
        <v>1</v>
      </c>
      <c r="E1193" s="348" t="s">
        <v>921</v>
      </c>
      <c r="F1193" s="348">
        <v>1</v>
      </c>
      <c r="G1193" s="351">
        <f t="shared" si="20"/>
        <v>0</v>
      </c>
    </row>
    <row r="1194" spans="2:8">
      <c r="B1194" s="346">
        <v>45988</v>
      </c>
      <c r="C1194" s="349" t="s">
        <v>1326</v>
      </c>
      <c r="D1194" s="348">
        <v>1</v>
      </c>
      <c r="E1194" s="348" t="s">
        <v>921</v>
      </c>
      <c r="F1194" s="348">
        <v>1</v>
      </c>
      <c r="G1194" s="351">
        <f t="shared" si="20"/>
        <v>0</v>
      </c>
    </row>
    <row r="1195" spans="2:8">
      <c r="B1195" s="346">
        <v>45988</v>
      </c>
      <c r="C1195" s="349" t="s">
        <v>169</v>
      </c>
      <c r="D1195" s="348">
        <v>1</v>
      </c>
      <c r="E1195" s="348" t="s">
        <v>921</v>
      </c>
      <c r="F1195" s="348">
        <v>1</v>
      </c>
      <c r="G1195" s="351">
        <f t="shared" si="20"/>
        <v>0</v>
      </c>
    </row>
    <row r="1196" spans="2:8">
      <c r="B1196" s="346">
        <v>45988</v>
      </c>
      <c r="C1196" s="349" t="s">
        <v>169</v>
      </c>
      <c r="D1196" s="348">
        <v>5</v>
      </c>
      <c r="E1196" s="348" t="s">
        <v>921</v>
      </c>
      <c r="F1196" s="348">
        <v>5</v>
      </c>
      <c r="G1196" s="351">
        <f t="shared" si="20"/>
        <v>0</v>
      </c>
    </row>
    <row r="1197" spans="2:8">
      <c r="B1197" s="346">
        <v>45988</v>
      </c>
      <c r="C1197" s="351" t="s">
        <v>932</v>
      </c>
      <c r="D1197" s="348">
        <v>2</v>
      </c>
      <c r="E1197" s="348" t="s">
        <v>921</v>
      </c>
      <c r="F1197" s="348">
        <v>2</v>
      </c>
      <c r="G1197" s="351">
        <f t="shared" si="20"/>
        <v>0</v>
      </c>
    </row>
    <row r="1198" spans="2:8">
      <c r="B1198" s="346">
        <v>45988</v>
      </c>
      <c r="C1198" s="349" t="s">
        <v>935</v>
      </c>
      <c r="D1198" s="348">
        <v>1</v>
      </c>
      <c r="E1198" s="348" t="s">
        <v>921</v>
      </c>
      <c r="F1198" s="348">
        <v>1</v>
      </c>
      <c r="G1198" s="351">
        <f t="shared" si="20"/>
        <v>0</v>
      </c>
    </row>
    <row r="1199" spans="2:8">
      <c r="B1199" s="346">
        <v>45988</v>
      </c>
      <c r="C1199" s="349" t="s">
        <v>1291</v>
      </c>
      <c r="D1199" s="348">
        <v>1</v>
      </c>
      <c r="E1199" s="348" t="s">
        <v>921</v>
      </c>
      <c r="F1199" s="348">
        <v>1</v>
      </c>
      <c r="G1199" s="351">
        <f t="shared" si="20"/>
        <v>0</v>
      </c>
    </row>
    <row r="1200" spans="2:8">
      <c r="B1200" s="434">
        <v>45989</v>
      </c>
      <c r="C1200" s="168" t="s">
        <v>1561</v>
      </c>
      <c r="D1200" s="166">
        <v>1</v>
      </c>
      <c r="E1200" s="166" t="s">
        <v>254</v>
      </c>
      <c r="F1200" s="166">
        <v>1</v>
      </c>
      <c r="G1200" s="167">
        <f t="shared" si="20"/>
        <v>0</v>
      </c>
    </row>
    <row r="1201" spans="2:7">
      <c r="B1201" s="285">
        <v>45989</v>
      </c>
      <c r="C1201" s="92" t="s">
        <v>76</v>
      </c>
      <c r="D1201" s="43">
        <v>180</v>
      </c>
      <c r="E1201" s="345" t="s">
        <v>1851</v>
      </c>
      <c r="F1201" s="43">
        <v>180</v>
      </c>
      <c r="G1201" s="104">
        <f t="shared" si="20"/>
        <v>0</v>
      </c>
    </row>
    <row r="1202" spans="2:7">
      <c r="B1202" s="434">
        <v>45990</v>
      </c>
      <c r="C1202" s="168" t="s">
        <v>1334</v>
      </c>
      <c r="D1202" s="166">
        <v>1</v>
      </c>
      <c r="E1202" s="166" t="s">
        <v>1877</v>
      </c>
      <c r="F1202" s="166">
        <v>1</v>
      </c>
      <c r="G1202" s="167">
        <f t="shared" si="20"/>
        <v>0</v>
      </c>
    </row>
    <row r="1203" spans="2:7">
      <c r="B1203" s="434">
        <v>45991</v>
      </c>
      <c r="C1203" s="168" t="s">
        <v>166</v>
      </c>
      <c r="D1203" s="166">
        <v>1</v>
      </c>
      <c r="E1203" s="166" t="s">
        <v>1596</v>
      </c>
      <c r="F1203" s="166">
        <v>1</v>
      </c>
      <c r="G1203" s="167">
        <f t="shared" si="20"/>
        <v>0</v>
      </c>
    </row>
    <row r="1204" spans="2:7">
      <c r="B1204" s="434">
        <v>45991</v>
      </c>
      <c r="C1204" s="503" t="s">
        <v>134</v>
      </c>
      <c r="D1204" s="166">
        <v>2</v>
      </c>
      <c r="E1204" s="166" t="s">
        <v>1899</v>
      </c>
      <c r="F1204" s="166">
        <v>2</v>
      </c>
      <c r="G1204" s="167">
        <f t="shared" si="20"/>
        <v>0</v>
      </c>
    </row>
    <row r="1205" spans="2:7">
      <c r="B1205" s="434">
        <v>45991</v>
      </c>
      <c r="C1205" s="503" t="s">
        <v>134</v>
      </c>
      <c r="D1205" s="166">
        <v>3</v>
      </c>
      <c r="E1205" s="166" t="s">
        <v>1899</v>
      </c>
      <c r="F1205" s="166">
        <v>3</v>
      </c>
      <c r="G1205" s="167">
        <f t="shared" si="20"/>
        <v>0</v>
      </c>
    </row>
    <row r="1206" spans="2:7">
      <c r="B1206" s="434">
        <v>45991</v>
      </c>
      <c r="C1206" s="435" t="s">
        <v>928</v>
      </c>
      <c r="D1206" s="166">
        <v>1</v>
      </c>
      <c r="E1206" s="166" t="s">
        <v>1899</v>
      </c>
      <c r="F1206" s="166">
        <v>1</v>
      </c>
      <c r="G1206" s="167">
        <f t="shared" si="20"/>
        <v>0</v>
      </c>
    </row>
    <row r="1207" spans="2:7">
      <c r="B1207" s="434">
        <v>45991</v>
      </c>
      <c r="C1207" s="435" t="s">
        <v>928</v>
      </c>
      <c r="D1207" s="166">
        <v>1</v>
      </c>
      <c r="E1207" s="166" t="s">
        <v>1899</v>
      </c>
      <c r="F1207" s="166">
        <v>1</v>
      </c>
      <c r="G1207" s="167">
        <f t="shared" si="20"/>
        <v>0</v>
      </c>
    </row>
    <row r="1208" spans="2:7">
      <c r="B1208" s="434">
        <v>45991</v>
      </c>
      <c r="C1208" s="435" t="s">
        <v>928</v>
      </c>
      <c r="D1208" s="166">
        <v>1</v>
      </c>
      <c r="E1208" s="166" t="s">
        <v>1899</v>
      </c>
      <c r="F1208" s="166">
        <v>1</v>
      </c>
      <c r="G1208" s="167">
        <f t="shared" si="20"/>
        <v>0</v>
      </c>
    </row>
    <row r="1209" spans="2:7">
      <c r="B1209" s="434">
        <v>45991</v>
      </c>
      <c r="C1209" s="168" t="s">
        <v>973</v>
      </c>
      <c r="D1209" s="166">
        <v>1</v>
      </c>
      <c r="E1209" s="166" t="s">
        <v>1899</v>
      </c>
      <c r="F1209" s="166">
        <v>1</v>
      </c>
      <c r="G1209" s="167">
        <f t="shared" si="20"/>
        <v>0</v>
      </c>
    </row>
    <row r="1210" spans="2:7">
      <c r="B1210" s="434">
        <v>45993</v>
      </c>
      <c r="C1210" s="503" t="s">
        <v>134</v>
      </c>
      <c r="D1210" s="166">
        <v>2</v>
      </c>
      <c r="E1210" s="166" t="s">
        <v>1904</v>
      </c>
      <c r="F1210" s="166">
        <v>2</v>
      </c>
      <c r="G1210" s="167">
        <f t="shared" si="20"/>
        <v>0</v>
      </c>
    </row>
    <row r="1211" spans="2:7">
      <c r="B1211" s="434">
        <v>45993</v>
      </c>
      <c r="C1211" s="168" t="s">
        <v>1407</v>
      </c>
      <c r="D1211" s="166">
        <v>3</v>
      </c>
      <c r="E1211" s="166" t="s">
        <v>1904</v>
      </c>
      <c r="F1211" s="166">
        <v>3</v>
      </c>
      <c r="G1211" s="167">
        <f t="shared" si="20"/>
        <v>0</v>
      </c>
    </row>
    <row r="1212" spans="2:7">
      <c r="B1212" s="437">
        <v>45994</v>
      </c>
      <c r="C1212" s="222" t="s">
        <v>1617</v>
      </c>
      <c r="D1212" s="220">
        <v>20</v>
      </c>
      <c r="E1212" s="220" t="s">
        <v>1909</v>
      </c>
      <c r="F1212" s="220">
        <v>20</v>
      </c>
      <c r="G1212" s="221">
        <f t="shared" si="20"/>
        <v>0</v>
      </c>
    </row>
    <row r="1213" spans="2:7">
      <c r="B1213" s="323">
        <v>45994</v>
      </c>
      <c r="C1213" s="325" t="s">
        <v>1096</v>
      </c>
      <c r="D1213" s="322">
        <v>1</v>
      </c>
      <c r="E1213" s="322" t="s">
        <v>682</v>
      </c>
      <c r="F1213" s="322">
        <v>1</v>
      </c>
      <c r="G1213" s="425">
        <f t="shared" si="20"/>
        <v>0</v>
      </c>
    </row>
    <row r="1214" spans="2:7">
      <c r="B1214" s="323">
        <v>45994</v>
      </c>
      <c r="C1214" s="325" t="s">
        <v>1259</v>
      </c>
      <c r="D1214" s="322">
        <v>1</v>
      </c>
      <c r="E1214" s="322" t="s">
        <v>682</v>
      </c>
      <c r="F1214" s="322">
        <v>1</v>
      </c>
      <c r="G1214" s="425">
        <f t="shared" si="20"/>
        <v>0</v>
      </c>
    </row>
    <row r="1215" spans="2:7">
      <c r="B1215" s="323">
        <v>45994</v>
      </c>
      <c r="C1215" s="325" t="s">
        <v>920</v>
      </c>
      <c r="D1215" s="322">
        <v>1</v>
      </c>
      <c r="E1215" s="322" t="s">
        <v>682</v>
      </c>
      <c r="F1215" s="322">
        <v>1</v>
      </c>
      <c r="G1215" s="425">
        <f t="shared" si="20"/>
        <v>0</v>
      </c>
    </row>
    <row r="1216" spans="2:7">
      <c r="B1216" s="323">
        <v>45994</v>
      </c>
      <c r="C1216" s="325" t="s">
        <v>1296</v>
      </c>
      <c r="D1216" s="322">
        <v>1</v>
      </c>
      <c r="E1216" s="322" t="s">
        <v>682</v>
      </c>
      <c r="F1216" s="322">
        <v>1</v>
      </c>
      <c r="G1216" s="425">
        <f t="shared" si="20"/>
        <v>0</v>
      </c>
    </row>
    <row r="1217" spans="2:7">
      <c r="B1217" s="323">
        <v>45994</v>
      </c>
      <c r="C1217" s="325" t="s">
        <v>1271</v>
      </c>
      <c r="D1217" s="322">
        <v>1</v>
      </c>
      <c r="E1217" s="322" t="s">
        <v>682</v>
      </c>
      <c r="F1217" s="322">
        <v>1</v>
      </c>
      <c r="G1217" s="425">
        <f t="shared" si="20"/>
        <v>0</v>
      </c>
    </row>
    <row r="1218" spans="2:7">
      <c r="B1218" s="323">
        <v>45994</v>
      </c>
      <c r="C1218" s="325" t="s">
        <v>1407</v>
      </c>
      <c r="D1218" s="322">
        <v>1</v>
      </c>
      <c r="E1218" s="322" t="s">
        <v>682</v>
      </c>
      <c r="F1218" s="322">
        <v>1</v>
      </c>
      <c r="G1218" s="425">
        <f t="shared" si="20"/>
        <v>0</v>
      </c>
    </row>
    <row r="1219" spans="2:7">
      <c r="B1219" s="323">
        <v>45994</v>
      </c>
      <c r="C1219" s="325" t="s">
        <v>1246</v>
      </c>
      <c r="D1219" s="322">
        <v>1</v>
      </c>
      <c r="E1219" s="322" t="s">
        <v>682</v>
      </c>
      <c r="F1219" s="322">
        <v>1</v>
      </c>
      <c r="G1219" s="425">
        <f t="shared" si="20"/>
        <v>0</v>
      </c>
    </row>
    <row r="1220" spans="2:7">
      <c r="B1220" s="323">
        <v>45994</v>
      </c>
      <c r="C1220" s="325" t="s">
        <v>1246</v>
      </c>
      <c r="D1220" s="322">
        <v>1</v>
      </c>
      <c r="E1220" s="322" t="s">
        <v>682</v>
      </c>
      <c r="F1220" s="322">
        <v>1</v>
      </c>
      <c r="G1220" s="425">
        <f t="shared" si="20"/>
        <v>0</v>
      </c>
    </row>
    <row r="1221" spans="2:7">
      <c r="B1221" s="323">
        <v>45994</v>
      </c>
      <c r="C1221" s="324" t="s">
        <v>919</v>
      </c>
      <c r="D1221" s="322">
        <v>1</v>
      </c>
      <c r="E1221" s="322" t="s">
        <v>682</v>
      </c>
      <c r="F1221" s="322">
        <v>1</v>
      </c>
      <c r="G1221" s="425">
        <f t="shared" si="20"/>
        <v>0</v>
      </c>
    </row>
    <row r="1222" spans="2:7">
      <c r="B1222" s="323">
        <v>45994</v>
      </c>
      <c r="C1222" s="325" t="s">
        <v>1290</v>
      </c>
      <c r="D1222" s="322">
        <v>3</v>
      </c>
      <c r="E1222" s="322" t="s">
        <v>682</v>
      </c>
      <c r="F1222" s="322">
        <v>3</v>
      </c>
      <c r="G1222" s="425">
        <f t="shared" si="20"/>
        <v>0</v>
      </c>
    </row>
    <row r="1223" spans="2:7">
      <c r="B1223" s="323">
        <v>45994</v>
      </c>
      <c r="C1223" s="324" t="s">
        <v>960</v>
      </c>
      <c r="D1223" s="322">
        <v>1</v>
      </c>
      <c r="E1223" s="322" t="s">
        <v>682</v>
      </c>
      <c r="F1223" s="322">
        <v>1</v>
      </c>
      <c r="G1223" s="425">
        <f t="shared" ref="G1223:G1287" si="21">D1223-F1223</f>
        <v>0</v>
      </c>
    </row>
    <row r="1224" spans="2:7">
      <c r="B1224" s="323">
        <v>45994</v>
      </c>
      <c r="C1224" s="324" t="s">
        <v>138</v>
      </c>
      <c r="D1224" s="322">
        <v>1</v>
      </c>
      <c r="E1224" s="322" t="s">
        <v>682</v>
      </c>
      <c r="F1224" s="322">
        <v>1</v>
      </c>
      <c r="G1224" s="425">
        <f t="shared" si="21"/>
        <v>0</v>
      </c>
    </row>
    <row r="1225" spans="2:7">
      <c r="B1225" s="323">
        <v>45994</v>
      </c>
      <c r="C1225" s="324" t="s">
        <v>1397</v>
      </c>
      <c r="D1225" s="322">
        <v>1</v>
      </c>
      <c r="E1225" s="322" t="s">
        <v>682</v>
      </c>
      <c r="F1225" s="322">
        <v>1</v>
      </c>
      <c r="G1225" s="425">
        <f t="shared" si="21"/>
        <v>0</v>
      </c>
    </row>
    <row r="1226" spans="2:7">
      <c r="B1226" s="323">
        <v>45994</v>
      </c>
      <c r="C1226" s="325" t="s">
        <v>806</v>
      </c>
      <c r="D1226" s="322">
        <v>1</v>
      </c>
      <c r="E1226" s="322" t="s">
        <v>682</v>
      </c>
      <c r="F1226" s="322">
        <v>1</v>
      </c>
      <c r="G1226" s="425">
        <f t="shared" si="21"/>
        <v>0</v>
      </c>
    </row>
    <row r="1227" spans="2:7">
      <c r="B1227" s="323">
        <v>45994</v>
      </c>
      <c r="C1227" s="325" t="s">
        <v>1296</v>
      </c>
      <c r="D1227" s="322">
        <v>1</v>
      </c>
      <c r="E1227" s="322" t="s">
        <v>682</v>
      </c>
      <c r="F1227" s="322">
        <v>1</v>
      </c>
      <c r="G1227" s="425">
        <f t="shared" si="21"/>
        <v>0</v>
      </c>
    </row>
    <row r="1228" spans="2:7">
      <c r="B1228" s="323">
        <v>45994</v>
      </c>
      <c r="C1228" s="325" t="s">
        <v>1296</v>
      </c>
      <c r="D1228" s="322">
        <v>1</v>
      </c>
      <c r="E1228" s="322" t="s">
        <v>682</v>
      </c>
      <c r="F1228" s="322">
        <v>1</v>
      </c>
      <c r="G1228" s="425">
        <f t="shared" si="21"/>
        <v>0</v>
      </c>
    </row>
    <row r="1229" spans="2:7">
      <c r="B1229" s="323">
        <v>45994</v>
      </c>
      <c r="C1229" s="325" t="s">
        <v>1907</v>
      </c>
      <c r="D1229" s="322">
        <v>1</v>
      </c>
      <c r="E1229" s="322" t="s">
        <v>682</v>
      </c>
      <c r="F1229" s="322">
        <v>1</v>
      </c>
      <c r="G1229" s="425">
        <f t="shared" si="21"/>
        <v>0</v>
      </c>
    </row>
    <row r="1230" spans="2:7">
      <c r="B1230" s="323">
        <v>45994</v>
      </c>
      <c r="C1230" s="325" t="s">
        <v>1908</v>
      </c>
      <c r="D1230" s="322">
        <v>1</v>
      </c>
      <c r="E1230" s="322" t="s">
        <v>682</v>
      </c>
      <c r="F1230" s="322">
        <v>1</v>
      </c>
      <c r="G1230" s="425">
        <f t="shared" si="21"/>
        <v>0</v>
      </c>
    </row>
    <row r="1231" spans="2:7">
      <c r="B1231" s="323">
        <v>45994</v>
      </c>
      <c r="C1231" s="325" t="s">
        <v>1246</v>
      </c>
      <c r="D1231" s="322">
        <v>1</v>
      </c>
      <c r="E1231" s="322" t="s">
        <v>682</v>
      </c>
      <c r="F1231" s="322">
        <v>1</v>
      </c>
      <c r="G1231" s="425">
        <f t="shared" si="21"/>
        <v>0</v>
      </c>
    </row>
    <row r="1232" spans="2:7">
      <c r="B1232" s="323">
        <v>45994</v>
      </c>
      <c r="C1232" s="324" t="s">
        <v>134</v>
      </c>
      <c r="D1232" s="322">
        <v>1</v>
      </c>
      <c r="E1232" s="322" t="s">
        <v>682</v>
      </c>
      <c r="F1232" s="322">
        <v>1</v>
      </c>
      <c r="G1232" s="425">
        <f t="shared" si="21"/>
        <v>0</v>
      </c>
    </row>
    <row r="1233" spans="2:7">
      <c r="B1233" s="323">
        <v>45994</v>
      </c>
      <c r="C1233" s="325" t="s">
        <v>973</v>
      </c>
      <c r="D1233" s="322">
        <v>1</v>
      </c>
      <c r="E1233" s="322" t="s">
        <v>682</v>
      </c>
      <c r="F1233" s="322">
        <v>1</v>
      </c>
      <c r="G1233" s="425">
        <f t="shared" si="21"/>
        <v>0</v>
      </c>
    </row>
    <row r="1234" spans="2:7">
      <c r="B1234" s="323">
        <v>45994</v>
      </c>
      <c r="C1234" s="325" t="s">
        <v>1641</v>
      </c>
      <c r="D1234" s="322">
        <v>1</v>
      </c>
      <c r="E1234" s="322" t="s">
        <v>682</v>
      </c>
      <c r="F1234" s="322">
        <v>1</v>
      </c>
      <c r="G1234" s="425">
        <f t="shared" si="21"/>
        <v>0</v>
      </c>
    </row>
    <row r="1235" spans="2:7">
      <c r="B1235" s="323">
        <v>45994</v>
      </c>
      <c r="C1235" s="325" t="s">
        <v>1313</v>
      </c>
      <c r="D1235" s="322">
        <v>3</v>
      </c>
      <c r="E1235" s="322" t="s">
        <v>682</v>
      </c>
      <c r="F1235" s="322">
        <v>3</v>
      </c>
      <c r="G1235" s="425">
        <f t="shared" si="21"/>
        <v>0</v>
      </c>
    </row>
    <row r="1236" spans="2:7">
      <c r="B1236" s="323">
        <v>45994</v>
      </c>
      <c r="C1236" s="325" t="s">
        <v>1246</v>
      </c>
      <c r="D1236" s="322">
        <v>1</v>
      </c>
      <c r="E1236" s="322" t="s">
        <v>682</v>
      </c>
      <c r="F1236" s="322">
        <v>1</v>
      </c>
      <c r="G1236" s="425">
        <f t="shared" si="21"/>
        <v>0</v>
      </c>
    </row>
    <row r="1237" spans="2:7">
      <c r="B1237" s="323">
        <v>45994</v>
      </c>
      <c r="C1237" s="325" t="s">
        <v>1407</v>
      </c>
      <c r="D1237" s="322">
        <v>1</v>
      </c>
      <c r="E1237" s="322" t="s">
        <v>682</v>
      </c>
      <c r="F1237" s="322">
        <v>1</v>
      </c>
      <c r="G1237" s="425">
        <f t="shared" si="21"/>
        <v>0</v>
      </c>
    </row>
    <row r="1238" spans="2:7">
      <c r="B1238" s="323">
        <v>45994</v>
      </c>
      <c r="C1238" s="325" t="s">
        <v>1936</v>
      </c>
      <c r="D1238" s="322">
        <v>1</v>
      </c>
      <c r="E1238" s="322" t="s">
        <v>682</v>
      </c>
      <c r="F1238" s="322">
        <v>1</v>
      </c>
      <c r="G1238" s="425">
        <f t="shared" si="21"/>
        <v>0</v>
      </c>
    </row>
    <row r="1239" spans="2:7">
      <c r="B1239" s="265">
        <v>45996</v>
      </c>
      <c r="C1239" s="92" t="s">
        <v>671</v>
      </c>
      <c r="D1239" s="43">
        <v>2</v>
      </c>
      <c r="E1239" s="43" t="s">
        <v>1968</v>
      </c>
      <c r="F1239" s="43">
        <v>2</v>
      </c>
      <c r="G1239" s="104">
        <f t="shared" si="21"/>
        <v>0</v>
      </c>
    </row>
    <row r="1240" spans="2:7">
      <c r="B1240" s="335">
        <v>45996</v>
      </c>
      <c r="C1240" s="341" t="s">
        <v>671</v>
      </c>
      <c r="D1240" s="345">
        <v>4</v>
      </c>
      <c r="E1240" s="345" t="s">
        <v>1969</v>
      </c>
      <c r="F1240" s="345">
        <v>4</v>
      </c>
      <c r="G1240" s="344">
        <f t="shared" si="21"/>
        <v>0</v>
      </c>
    </row>
    <row r="1241" spans="2:7">
      <c r="B1241" s="335">
        <v>45996</v>
      </c>
      <c r="C1241" s="344" t="s">
        <v>375</v>
      </c>
      <c r="D1241" s="345">
        <v>8</v>
      </c>
      <c r="E1241" s="345" t="s">
        <v>1969</v>
      </c>
      <c r="F1241" s="345">
        <v>8</v>
      </c>
      <c r="G1241" s="344">
        <f t="shared" si="21"/>
        <v>0</v>
      </c>
    </row>
    <row r="1242" spans="2:7">
      <c r="B1242" s="335">
        <v>45996</v>
      </c>
      <c r="C1242" s="343" t="s">
        <v>1575</v>
      </c>
      <c r="D1242" s="345">
        <v>65</v>
      </c>
      <c r="E1242" s="345" t="s">
        <v>1969</v>
      </c>
      <c r="F1242" s="345">
        <v>65</v>
      </c>
      <c r="G1242" s="344">
        <f t="shared" si="21"/>
        <v>0</v>
      </c>
    </row>
    <row r="1243" spans="2:7">
      <c r="B1243" s="335">
        <v>45996</v>
      </c>
      <c r="C1243" s="344" t="s">
        <v>1183</v>
      </c>
      <c r="D1243" s="345">
        <v>10</v>
      </c>
      <c r="E1243" s="345" t="s">
        <v>1969</v>
      </c>
      <c r="F1243" s="345">
        <v>10</v>
      </c>
      <c r="G1243" s="344">
        <f t="shared" si="21"/>
        <v>0</v>
      </c>
    </row>
    <row r="1244" spans="2:7">
      <c r="B1244" s="335">
        <v>45996</v>
      </c>
      <c r="C1244" s="343" t="s">
        <v>1270</v>
      </c>
      <c r="D1244" s="345">
        <v>10</v>
      </c>
      <c r="E1244" s="345" t="s">
        <v>1969</v>
      </c>
      <c r="F1244" s="345">
        <v>10</v>
      </c>
      <c r="G1244" s="344">
        <f t="shared" si="21"/>
        <v>0</v>
      </c>
    </row>
    <row r="1245" spans="2:7">
      <c r="B1245" s="335">
        <v>45996</v>
      </c>
      <c r="C1245" s="341" t="s">
        <v>642</v>
      </c>
      <c r="D1245" s="345">
        <v>10</v>
      </c>
      <c r="E1245" s="345" t="s">
        <v>1969</v>
      </c>
      <c r="F1245" s="345">
        <v>10</v>
      </c>
      <c r="G1245" s="344">
        <f t="shared" si="21"/>
        <v>0</v>
      </c>
    </row>
    <row r="1246" spans="2:7">
      <c r="B1246" s="335">
        <v>45996</v>
      </c>
      <c r="C1246" s="343" t="s">
        <v>1617</v>
      </c>
      <c r="D1246" s="345">
        <v>20</v>
      </c>
      <c r="E1246" s="345" t="s">
        <v>1969</v>
      </c>
      <c r="F1246" s="345">
        <v>20</v>
      </c>
      <c r="G1246" s="344">
        <f t="shared" si="21"/>
        <v>0</v>
      </c>
    </row>
    <row r="1247" spans="2:7">
      <c r="B1247" s="335">
        <v>45996</v>
      </c>
      <c r="C1247" s="343" t="s">
        <v>1782</v>
      </c>
      <c r="D1247" s="345">
        <v>8</v>
      </c>
      <c r="E1247" s="345" t="s">
        <v>1969</v>
      </c>
      <c r="F1247" s="345">
        <v>8</v>
      </c>
      <c r="G1247" s="344">
        <f t="shared" si="21"/>
        <v>0</v>
      </c>
    </row>
    <row r="1248" spans="2:7">
      <c r="B1248" s="335">
        <v>45996</v>
      </c>
      <c r="C1248" s="341" t="s">
        <v>76</v>
      </c>
      <c r="D1248" s="345">
        <v>95</v>
      </c>
      <c r="E1248" s="345" t="s">
        <v>1969</v>
      </c>
      <c r="F1248" s="345">
        <v>95</v>
      </c>
      <c r="G1248" s="344">
        <f t="shared" si="21"/>
        <v>0</v>
      </c>
    </row>
    <row r="1249" spans="2:8">
      <c r="B1249" s="335">
        <v>45996</v>
      </c>
      <c r="C1249" s="341" t="s">
        <v>76</v>
      </c>
      <c r="D1249" s="43">
        <v>60</v>
      </c>
      <c r="E1249" s="345" t="s">
        <v>1969</v>
      </c>
      <c r="F1249" s="43">
        <v>60</v>
      </c>
      <c r="G1249" s="104">
        <f t="shared" si="21"/>
        <v>0</v>
      </c>
    </row>
    <row r="1250" spans="2:8">
      <c r="B1250" s="434">
        <v>45967</v>
      </c>
      <c r="C1250" s="168" t="s">
        <v>1641</v>
      </c>
      <c r="D1250" s="166">
        <v>1</v>
      </c>
      <c r="E1250" s="166" t="s">
        <v>1618</v>
      </c>
      <c r="F1250" s="166">
        <v>1</v>
      </c>
      <c r="G1250" s="167">
        <f t="shared" si="21"/>
        <v>0</v>
      </c>
    </row>
    <row r="1251" spans="2:8">
      <c r="B1251" s="434">
        <v>45997</v>
      </c>
      <c r="C1251" s="168" t="s">
        <v>1327</v>
      </c>
      <c r="D1251" s="166">
        <v>1</v>
      </c>
      <c r="E1251" s="166" t="s">
        <v>1978</v>
      </c>
      <c r="F1251" s="166">
        <v>1</v>
      </c>
      <c r="G1251" s="167">
        <f t="shared" si="21"/>
        <v>0</v>
      </c>
    </row>
    <row r="1252" spans="2:8">
      <c r="B1252" s="265">
        <v>45997</v>
      </c>
      <c r="C1252" s="341" t="s">
        <v>76</v>
      </c>
      <c r="D1252" s="43">
        <v>50</v>
      </c>
      <c r="E1252" s="43" t="s">
        <v>1985</v>
      </c>
      <c r="F1252" s="43">
        <v>50</v>
      </c>
      <c r="G1252" s="344">
        <f t="shared" si="21"/>
        <v>0</v>
      </c>
    </row>
    <row r="1253" spans="2:8">
      <c r="B1253" s="434">
        <v>45999</v>
      </c>
      <c r="C1253" s="168" t="s">
        <v>1094</v>
      </c>
      <c r="D1253" s="166">
        <v>2</v>
      </c>
      <c r="E1253" s="166" t="s">
        <v>1986</v>
      </c>
      <c r="F1253" s="166">
        <v>2</v>
      </c>
      <c r="G1253" s="167">
        <f t="shared" si="21"/>
        <v>0</v>
      </c>
    </row>
    <row r="1254" spans="2:8">
      <c r="B1254" s="323">
        <v>46000</v>
      </c>
      <c r="C1254" s="325" t="s">
        <v>136</v>
      </c>
      <c r="D1254" s="322">
        <v>78</v>
      </c>
      <c r="E1254" s="322" t="s">
        <v>682</v>
      </c>
      <c r="F1254" s="322">
        <v>78</v>
      </c>
      <c r="G1254" s="425">
        <f t="shared" si="21"/>
        <v>0</v>
      </c>
      <c r="H1254" t="s">
        <v>2012</v>
      </c>
    </row>
    <row r="1255" spans="2:8">
      <c r="B1255" s="323">
        <v>46000</v>
      </c>
      <c r="C1255" s="325" t="s">
        <v>1409</v>
      </c>
      <c r="D1255" s="322">
        <v>3</v>
      </c>
      <c r="E1255" s="322" t="s">
        <v>682</v>
      </c>
      <c r="F1255" s="322">
        <v>3</v>
      </c>
      <c r="G1255" s="425">
        <f t="shared" si="21"/>
        <v>0</v>
      </c>
    </row>
    <row r="1256" spans="2:8">
      <c r="B1256" s="323">
        <v>46000</v>
      </c>
      <c r="C1256" s="325" t="s">
        <v>1096</v>
      </c>
      <c r="D1256" s="322">
        <v>1</v>
      </c>
      <c r="E1256" s="322" t="s">
        <v>682</v>
      </c>
      <c r="F1256" s="322">
        <v>1</v>
      </c>
      <c r="G1256" s="425">
        <f t="shared" si="21"/>
        <v>0</v>
      </c>
    </row>
    <row r="1257" spans="2:8">
      <c r="B1257" s="323">
        <v>46000</v>
      </c>
      <c r="C1257" s="325" t="s">
        <v>1096</v>
      </c>
      <c r="D1257" s="322">
        <v>1</v>
      </c>
      <c r="E1257" s="322" t="s">
        <v>682</v>
      </c>
      <c r="F1257" s="322">
        <v>1</v>
      </c>
      <c r="G1257" s="425">
        <f t="shared" si="21"/>
        <v>0</v>
      </c>
    </row>
    <row r="1258" spans="2:8">
      <c r="B1258" s="323">
        <v>46000</v>
      </c>
      <c r="C1258" s="325" t="s">
        <v>1491</v>
      </c>
      <c r="D1258" s="322">
        <v>1</v>
      </c>
      <c r="E1258" s="322" t="s">
        <v>682</v>
      </c>
      <c r="F1258" s="322">
        <v>1</v>
      </c>
      <c r="G1258" s="425">
        <f t="shared" si="21"/>
        <v>0</v>
      </c>
    </row>
    <row r="1259" spans="2:8">
      <c r="B1259" s="323">
        <v>46000</v>
      </c>
      <c r="C1259" s="426" t="s">
        <v>931</v>
      </c>
      <c r="D1259" s="322">
        <v>1</v>
      </c>
      <c r="E1259" s="322" t="s">
        <v>682</v>
      </c>
      <c r="F1259" s="322">
        <v>1</v>
      </c>
      <c r="G1259" s="425">
        <f t="shared" si="21"/>
        <v>0</v>
      </c>
    </row>
    <row r="1260" spans="2:8">
      <c r="B1260" s="323">
        <v>46000</v>
      </c>
      <c r="C1260" s="324" t="s">
        <v>1387</v>
      </c>
      <c r="D1260" s="322">
        <v>1</v>
      </c>
      <c r="E1260" s="322" t="s">
        <v>682</v>
      </c>
      <c r="F1260" s="322">
        <v>1</v>
      </c>
      <c r="G1260" s="425">
        <f t="shared" si="21"/>
        <v>0</v>
      </c>
    </row>
    <row r="1261" spans="2:8">
      <c r="B1261" s="323">
        <v>46000</v>
      </c>
      <c r="C1261" s="325" t="s">
        <v>1291</v>
      </c>
      <c r="D1261" s="322">
        <v>2</v>
      </c>
      <c r="E1261" s="322" t="s">
        <v>682</v>
      </c>
      <c r="F1261" s="322">
        <v>2</v>
      </c>
      <c r="G1261" s="425">
        <f t="shared" si="21"/>
        <v>0</v>
      </c>
    </row>
    <row r="1262" spans="2:8">
      <c r="B1262" s="323">
        <v>46000</v>
      </c>
      <c r="C1262" s="325" t="s">
        <v>1095</v>
      </c>
      <c r="D1262" s="322">
        <v>5</v>
      </c>
      <c r="E1262" s="322" t="s">
        <v>682</v>
      </c>
      <c r="F1262" s="322">
        <v>5</v>
      </c>
      <c r="G1262" s="425">
        <f t="shared" si="21"/>
        <v>0</v>
      </c>
    </row>
    <row r="1263" spans="2:8">
      <c r="B1263" s="323">
        <v>46000</v>
      </c>
      <c r="C1263" s="325" t="s">
        <v>1907</v>
      </c>
      <c r="D1263" s="322">
        <v>1</v>
      </c>
      <c r="E1263" s="322" t="s">
        <v>682</v>
      </c>
      <c r="F1263" s="322">
        <v>1</v>
      </c>
      <c r="G1263" s="425">
        <f t="shared" si="21"/>
        <v>0</v>
      </c>
    </row>
    <row r="1264" spans="2:8">
      <c r="B1264" s="323">
        <v>46000</v>
      </c>
      <c r="C1264" s="324" t="s">
        <v>923</v>
      </c>
      <c r="D1264" s="322">
        <v>1</v>
      </c>
      <c r="E1264" s="322" t="s">
        <v>682</v>
      </c>
      <c r="F1264" s="322">
        <v>1</v>
      </c>
      <c r="G1264" s="425">
        <f t="shared" si="21"/>
        <v>0</v>
      </c>
    </row>
    <row r="1265" spans="2:7">
      <c r="B1265" s="323">
        <v>46000</v>
      </c>
      <c r="C1265" s="324" t="s">
        <v>1991</v>
      </c>
      <c r="D1265" s="322">
        <v>1</v>
      </c>
      <c r="E1265" s="322" t="s">
        <v>682</v>
      </c>
      <c r="F1265" s="322">
        <v>1</v>
      </c>
      <c r="G1265" s="425">
        <f t="shared" si="21"/>
        <v>0</v>
      </c>
    </row>
    <row r="1266" spans="2:7">
      <c r="B1266" s="323">
        <v>46000</v>
      </c>
      <c r="C1266" s="324" t="s">
        <v>1992</v>
      </c>
      <c r="D1266" s="322">
        <v>1</v>
      </c>
      <c r="E1266" s="322" t="s">
        <v>682</v>
      </c>
      <c r="F1266" s="322">
        <v>1</v>
      </c>
      <c r="G1266" s="425">
        <f t="shared" si="21"/>
        <v>0</v>
      </c>
    </row>
    <row r="1267" spans="2:7">
      <c r="B1267" s="323">
        <v>46000</v>
      </c>
      <c r="C1267" s="325" t="s">
        <v>1641</v>
      </c>
      <c r="D1267" s="322">
        <v>1</v>
      </c>
      <c r="E1267" s="322" t="s">
        <v>682</v>
      </c>
      <c r="F1267" s="322">
        <v>1</v>
      </c>
      <c r="G1267" s="425">
        <f t="shared" si="21"/>
        <v>0</v>
      </c>
    </row>
    <row r="1268" spans="2:7">
      <c r="B1268" s="323">
        <v>46000</v>
      </c>
      <c r="C1268" s="324" t="s">
        <v>1994</v>
      </c>
      <c r="D1268" s="322">
        <v>2</v>
      </c>
      <c r="E1268" s="322" t="s">
        <v>682</v>
      </c>
      <c r="F1268" s="322">
        <v>2</v>
      </c>
      <c r="G1268" s="425">
        <f t="shared" si="21"/>
        <v>0</v>
      </c>
    </row>
    <row r="1269" spans="2:7">
      <c r="B1269" s="323">
        <v>46000</v>
      </c>
      <c r="C1269" s="325" t="s">
        <v>1568</v>
      </c>
      <c r="D1269" s="322">
        <v>1</v>
      </c>
      <c r="E1269" s="322" t="s">
        <v>682</v>
      </c>
      <c r="F1269" s="322">
        <v>1</v>
      </c>
      <c r="G1269" s="425">
        <f t="shared" si="21"/>
        <v>0</v>
      </c>
    </row>
    <row r="1270" spans="2:7">
      <c r="B1270" s="323">
        <v>46000</v>
      </c>
      <c r="C1270" s="325" t="s">
        <v>1640</v>
      </c>
      <c r="D1270" s="322">
        <v>1</v>
      </c>
      <c r="E1270" s="322" t="s">
        <v>682</v>
      </c>
      <c r="F1270" s="322">
        <v>1</v>
      </c>
      <c r="G1270" s="425">
        <f t="shared" si="21"/>
        <v>0</v>
      </c>
    </row>
    <row r="1271" spans="2:7">
      <c r="B1271" s="323">
        <v>46000</v>
      </c>
      <c r="C1271" s="325" t="s">
        <v>1232</v>
      </c>
      <c r="D1271" s="322">
        <v>1</v>
      </c>
      <c r="E1271" s="322" t="s">
        <v>682</v>
      </c>
      <c r="F1271" s="322">
        <v>1</v>
      </c>
      <c r="G1271" s="425">
        <f t="shared" si="21"/>
        <v>0</v>
      </c>
    </row>
    <row r="1272" spans="2:7">
      <c r="B1272" s="323">
        <v>46000</v>
      </c>
      <c r="C1272" s="425" t="s">
        <v>1151</v>
      </c>
      <c r="D1272" s="322">
        <v>3</v>
      </c>
      <c r="E1272" s="322" t="s">
        <v>682</v>
      </c>
      <c r="F1272" s="322">
        <v>3</v>
      </c>
      <c r="G1272" s="425">
        <f t="shared" si="21"/>
        <v>0</v>
      </c>
    </row>
    <row r="1273" spans="2:7">
      <c r="B1273" s="323">
        <v>46000</v>
      </c>
      <c r="C1273" s="425" t="s">
        <v>170</v>
      </c>
      <c r="D1273" s="322">
        <v>1</v>
      </c>
      <c r="E1273" s="322" t="s">
        <v>682</v>
      </c>
      <c r="F1273" s="322">
        <v>1</v>
      </c>
      <c r="G1273" s="425">
        <f t="shared" si="21"/>
        <v>0</v>
      </c>
    </row>
    <row r="1274" spans="2:7">
      <c r="B1274" s="323">
        <v>46000</v>
      </c>
      <c r="C1274" s="325" t="s">
        <v>2014</v>
      </c>
      <c r="D1274" s="322">
        <v>1</v>
      </c>
      <c r="E1274" s="322" t="s">
        <v>682</v>
      </c>
      <c r="F1274" s="322">
        <v>1</v>
      </c>
      <c r="G1274" s="425">
        <f t="shared" si="21"/>
        <v>0</v>
      </c>
    </row>
    <row r="1275" spans="2:7">
      <c r="B1275" s="323">
        <v>46000</v>
      </c>
      <c r="C1275" s="325" t="s">
        <v>1434</v>
      </c>
      <c r="D1275" s="322">
        <v>1</v>
      </c>
      <c r="E1275" s="322" t="s">
        <v>682</v>
      </c>
      <c r="F1275" s="322">
        <v>1</v>
      </c>
      <c r="G1275" s="425">
        <f t="shared" si="21"/>
        <v>0</v>
      </c>
    </row>
    <row r="1276" spans="2:7">
      <c r="B1276" s="323">
        <v>46000</v>
      </c>
      <c r="C1276" s="325" t="s">
        <v>1434</v>
      </c>
      <c r="D1276" s="322">
        <v>2</v>
      </c>
      <c r="E1276" s="322" t="s">
        <v>682</v>
      </c>
      <c r="F1276" s="322">
        <v>2</v>
      </c>
      <c r="G1276" s="425">
        <f t="shared" si="21"/>
        <v>0</v>
      </c>
    </row>
    <row r="1277" spans="2:7">
      <c r="B1277" s="323">
        <v>46000</v>
      </c>
      <c r="C1277" s="324" t="s">
        <v>134</v>
      </c>
      <c r="D1277" s="322">
        <v>1</v>
      </c>
      <c r="E1277" s="322" t="s">
        <v>682</v>
      </c>
      <c r="F1277" s="322">
        <v>1</v>
      </c>
      <c r="G1277" s="425">
        <f t="shared" si="21"/>
        <v>0</v>
      </c>
    </row>
    <row r="1278" spans="2:7">
      <c r="B1278" s="323">
        <v>46000</v>
      </c>
      <c r="C1278" s="325" t="s">
        <v>1271</v>
      </c>
      <c r="D1278" s="322">
        <v>3</v>
      </c>
      <c r="E1278" s="322" t="s">
        <v>682</v>
      </c>
      <c r="F1278" s="322">
        <v>3</v>
      </c>
      <c r="G1278" s="425">
        <f t="shared" si="21"/>
        <v>0</v>
      </c>
    </row>
    <row r="1279" spans="2:7">
      <c r="B1279" s="323">
        <v>46000</v>
      </c>
      <c r="C1279" s="325" t="s">
        <v>1271</v>
      </c>
      <c r="D1279" s="322">
        <v>1</v>
      </c>
      <c r="E1279" s="322" t="s">
        <v>682</v>
      </c>
      <c r="F1279" s="322">
        <v>1</v>
      </c>
      <c r="G1279" s="425">
        <f t="shared" si="21"/>
        <v>0</v>
      </c>
    </row>
    <row r="1280" spans="2:7">
      <c r="B1280" s="323">
        <v>46000</v>
      </c>
      <c r="C1280" s="325" t="s">
        <v>1271</v>
      </c>
      <c r="D1280" s="322">
        <v>1</v>
      </c>
      <c r="E1280" s="322" t="s">
        <v>682</v>
      </c>
      <c r="F1280" s="322">
        <v>1</v>
      </c>
      <c r="G1280" s="425">
        <f t="shared" si="21"/>
        <v>0</v>
      </c>
    </row>
    <row r="1281" spans="2:8">
      <c r="B1281" s="323">
        <v>46000</v>
      </c>
      <c r="C1281" s="325" t="s">
        <v>1301</v>
      </c>
      <c r="D1281" s="322">
        <v>3</v>
      </c>
      <c r="E1281" s="322" t="s">
        <v>682</v>
      </c>
      <c r="F1281" s="322">
        <v>3</v>
      </c>
      <c r="G1281" s="425">
        <f t="shared" si="21"/>
        <v>0</v>
      </c>
    </row>
    <row r="1282" spans="2:8">
      <c r="B1282" s="323">
        <v>46000</v>
      </c>
      <c r="C1282" s="325" t="s">
        <v>1246</v>
      </c>
      <c r="D1282" s="322">
        <v>21</v>
      </c>
      <c r="E1282" s="322" t="s">
        <v>682</v>
      </c>
      <c r="F1282" s="322">
        <v>21</v>
      </c>
      <c r="G1282" s="425">
        <f t="shared" si="21"/>
        <v>0</v>
      </c>
    </row>
    <row r="1283" spans="2:8">
      <c r="B1283" s="323">
        <v>46000</v>
      </c>
      <c r="C1283" s="325" t="s">
        <v>1246</v>
      </c>
      <c r="D1283" s="322">
        <v>1</v>
      </c>
      <c r="E1283" s="322" t="s">
        <v>682</v>
      </c>
      <c r="F1283" s="322">
        <v>1</v>
      </c>
      <c r="G1283" s="425">
        <f t="shared" si="21"/>
        <v>0</v>
      </c>
    </row>
    <row r="1284" spans="2:8">
      <c r="B1284" s="323">
        <v>46000</v>
      </c>
      <c r="C1284" s="325" t="s">
        <v>1246</v>
      </c>
      <c r="D1284" s="322">
        <v>1</v>
      </c>
      <c r="E1284" s="322" t="s">
        <v>682</v>
      </c>
      <c r="F1284" s="322">
        <v>1</v>
      </c>
      <c r="G1284" s="425">
        <f t="shared" si="21"/>
        <v>0</v>
      </c>
    </row>
    <row r="1285" spans="2:8">
      <c r="B1285" s="323">
        <v>46000</v>
      </c>
      <c r="C1285" s="325" t="s">
        <v>1289</v>
      </c>
      <c r="D1285" s="322">
        <v>1</v>
      </c>
      <c r="E1285" s="322" t="s">
        <v>682</v>
      </c>
      <c r="F1285" s="322">
        <v>1</v>
      </c>
      <c r="G1285" s="425">
        <f t="shared" si="21"/>
        <v>0</v>
      </c>
    </row>
    <row r="1286" spans="2:8">
      <c r="B1286" s="323">
        <v>46000</v>
      </c>
      <c r="C1286" s="325" t="s">
        <v>1290</v>
      </c>
      <c r="D1286" s="322">
        <v>1</v>
      </c>
      <c r="E1286" s="322" t="s">
        <v>682</v>
      </c>
      <c r="F1286" s="322">
        <v>1</v>
      </c>
      <c r="G1286" s="425">
        <f t="shared" si="21"/>
        <v>0</v>
      </c>
    </row>
    <row r="1287" spans="2:8">
      <c r="B1287" s="323">
        <v>46001</v>
      </c>
      <c r="C1287" s="325" t="s">
        <v>1311</v>
      </c>
      <c r="D1287" s="322">
        <v>1</v>
      </c>
      <c r="E1287" s="322" t="s">
        <v>682</v>
      </c>
      <c r="F1287" s="322">
        <v>1</v>
      </c>
      <c r="G1287" s="425">
        <f t="shared" si="21"/>
        <v>0</v>
      </c>
      <c r="H1287" t="s">
        <v>2033</v>
      </c>
    </row>
    <row r="1288" spans="2:8">
      <c r="B1288" s="323">
        <v>46001</v>
      </c>
      <c r="C1288" s="325" t="s">
        <v>1409</v>
      </c>
      <c r="D1288" s="322">
        <v>4</v>
      </c>
      <c r="E1288" s="322" t="s">
        <v>682</v>
      </c>
      <c r="F1288" s="322">
        <v>4</v>
      </c>
      <c r="G1288" s="425">
        <f t="shared" ref="G1288:G1351" si="22">D1288-F1288</f>
        <v>0</v>
      </c>
    </row>
    <row r="1289" spans="2:8">
      <c r="B1289" s="323">
        <v>46001</v>
      </c>
      <c r="C1289" s="325" t="s">
        <v>1490</v>
      </c>
      <c r="D1289" s="322">
        <v>1</v>
      </c>
      <c r="E1289" s="322" t="s">
        <v>682</v>
      </c>
      <c r="F1289" s="322">
        <v>1</v>
      </c>
      <c r="G1289" s="425">
        <f t="shared" si="22"/>
        <v>0</v>
      </c>
    </row>
    <row r="1290" spans="2:8">
      <c r="B1290" s="323">
        <v>46001</v>
      </c>
      <c r="C1290" s="324" t="s">
        <v>1387</v>
      </c>
      <c r="D1290" s="322">
        <v>1</v>
      </c>
      <c r="E1290" s="322" t="s">
        <v>682</v>
      </c>
      <c r="F1290" s="322">
        <v>1</v>
      </c>
      <c r="G1290" s="425">
        <f t="shared" si="22"/>
        <v>0</v>
      </c>
    </row>
    <row r="1291" spans="2:8">
      <c r="B1291" s="323">
        <v>46001</v>
      </c>
      <c r="C1291" s="325" t="s">
        <v>920</v>
      </c>
      <c r="D1291" s="322">
        <v>1</v>
      </c>
      <c r="E1291" s="322" t="s">
        <v>682</v>
      </c>
      <c r="F1291" s="322">
        <v>1</v>
      </c>
      <c r="G1291" s="425">
        <f t="shared" si="22"/>
        <v>0</v>
      </c>
    </row>
    <row r="1292" spans="2:8">
      <c r="B1292" s="323">
        <v>46001</v>
      </c>
      <c r="C1292" s="325" t="s">
        <v>1291</v>
      </c>
      <c r="D1292" s="322">
        <v>4</v>
      </c>
      <c r="E1292" s="322" t="s">
        <v>682</v>
      </c>
      <c r="F1292" s="322">
        <v>4</v>
      </c>
      <c r="G1292" s="425">
        <f t="shared" si="22"/>
        <v>0</v>
      </c>
    </row>
    <row r="1293" spans="2:8">
      <c r="B1293" s="323">
        <v>46001</v>
      </c>
      <c r="C1293" s="425" t="s">
        <v>932</v>
      </c>
      <c r="D1293" s="322">
        <v>1</v>
      </c>
      <c r="E1293" s="322" t="s">
        <v>682</v>
      </c>
      <c r="F1293" s="322">
        <v>1</v>
      </c>
      <c r="G1293" s="425">
        <f t="shared" si="22"/>
        <v>0</v>
      </c>
    </row>
    <row r="1294" spans="2:8">
      <c r="B1294" s="323">
        <v>46001</v>
      </c>
      <c r="C1294" s="324" t="s">
        <v>135</v>
      </c>
      <c r="D1294" s="322">
        <v>1</v>
      </c>
      <c r="E1294" s="322" t="s">
        <v>682</v>
      </c>
      <c r="F1294" s="322">
        <v>1</v>
      </c>
      <c r="G1294" s="425">
        <f t="shared" si="22"/>
        <v>0</v>
      </c>
    </row>
    <row r="1295" spans="2:8">
      <c r="B1295" s="323">
        <v>46001</v>
      </c>
      <c r="C1295" s="324" t="s">
        <v>1991</v>
      </c>
      <c r="D1295" s="322">
        <v>1</v>
      </c>
      <c r="E1295" s="322" t="s">
        <v>682</v>
      </c>
      <c r="F1295" s="322">
        <v>1</v>
      </c>
      <c r="G1295" s="425">
        <f t="shared" si="22"/>
        <v>0</v>
      </c>
    </row>
    <row r="1296" spans="2:8">
      <c r="B1296" s="323">
        <v>46001</v>
      </c>
      <c r="C1296" s="325" t="s">
        <v>1641</v>
      </c>
      <c r="D1296" s="322">
        <v>1</v>
      </c>
      <c r="E1296" s="322" t="s">
        <v>682</v>
      </c>
      <c r="F1296" s="322">
        <v>1</v>
      </c>
      <c r="G1296" s="425">
        <f t="shared" si="22"/>
        <v>0</v>
      </c>
    </row>
    <row r="1297" spans="2:7">
      <c r="B1297" s="323">
        <v>46001</v>
      </c>
      <c r="C1297" s="325" t="s">
        <v>1641</v>
      </c>
      <c r="D1297" s="322">
        <v>2</v>
      </c>
      <c r="E1297" s="322" t="s">
        <v>682</v>
      </c>
      <c r="F1297" s="322">
        <v>2</v>
      </c>
      <c r="G1297" s="425">
        <f t="shared" si="22"/>
        <v>0</v>
      </c>
    </row>
    <row r="1298" spans="2:7">
      <c r="B1298" s="323">
        <v>46001</v>
      </c>
      <c r="C1298" s="325" t="s">
        <v>1568</v>
      </c>
      <c r="D1298" s="322">
        <v>5</v>
      </c>
      <c r="E1298" s="322" t="s">
        <v>682</v>
      </c>
      <c r="F1298" s="322">
        <v>5</v>
      </c>
      <c r="G1298" s="425">
        <f t="shared" si="22"/>
        <v>0</v>
      </c>
    </row>
    <row r="1299" spans="2:7">
      <c r="B1299" s="323">
        <v>46001</v>
      </c>
      <c r="C1299" s="325" t="s">
        <v>1318</v>
      </c>
      <c r="D1299" s="322">
        <v>8</v>
      </c>
      <c r="E1299" s="322" t="s">
        <v>682</v>
      </c>
      <c r="F1299" s="322">
        <v>8</v>
      </c>
      <c r="G1299" s="425">
        <f t="shared" si="22"/>
        <v>0</v>
      </c>
    </row>
    <row r="1300" spans="2:7">
      <c r="B1300" s="323">
        <v>46001</v>
      </c>
      <c r="C1300" s="324" t="s">
        <v>134</v>
      </c>
      <c r="D1300" s="322">
        <v>2</v>
      </c>
      <c r="E1300" s="322" t="s">
        <v>682</v>
      </c>
      <c r="F1300" s="322">
        <v>2</v>
      </c>
      <c r="G1300" s="425">
        <f t="shared" si="22"/>
        <v>0</v>
      </c>
    </row>
    <row r="1301" spans="2:7">
      <c r="B1301" s="323">
        <v>46001</v>
      </c>
      <c r="C1301" s="325" t="s">
        <v>1407</v>
      </c>
      <c r="D1301" s="322">
        <v>1</v>
      </c>
      <c r="E1301" s="322" t="s">
        <v>682</v>
      </c>
      <c r="F1301" s="322">
        <v>1</v>
      </c>
      <c r="G1301" s="425">
        <f t="shared" si="22"/>
        <v>0</v>
      </c>
    </row>
    <row r="1302" spans="2:7">
      <c r="B1302" s="323">
        <v>46001</v>
      </c>
      <c r="C1302" s="325" t="s">
        <v>1271</v>
      </c>
      <c r="D1302" s="322">
        <v>4</v>
      </c>
      <c r="E1302" s="322" t="s">
        <v>682</v>
      </c>
      <c r="F1302" s="322">
        <v>4</v>
      </c>
      <c r="G1302" s="425">
        <f t="shared" si="22"/>
        <v>0</v>
      </c>
    </row>
    <row r="1303" spans="2:7">
      <c r="B1303" s="323">
        <v>46001</v>
      </c>
      <c r="C1303" s="325" t="s">
        <v>1301</v>
      </c>
      <c r="D1303" s="322">
        <v>1</v>
      </c>
      <c r="E1303" s="322" t="s">
        <v>682</v>
      </c>
      <c r="F1303" s="322">
        <v>1</v>
      </c>
      <c r="G1303" s="425">
        <f t="shared" si="22"/>
        <v>0</v>
      </c>
    </row>
    <row r="1304" spans="2:7">
      <c r="B1304" s="323">
        <v>46001</v>
      </c>
      <c r="C1304" s="325" t="s">
        <v>1246</v>
      </c>
      <c r="D1304" s="322">
        <v>23</v>
      </c>
      <c r="E1304" s="322" t="s">
        <v>682</v>
      </c>
      <c r="F1304" s="322">
        <v>23</v>
      </c>
      <c r="G1304" s="425">
        <f t="shared" si="22"/>
        <v>0</v>
      </c>
    </row>
    <row r="1305" spans="2:7">
      <c r="B1305" s="323">
        <v>46001</v>
      </c>
      <c r="C1305" s="325" t="s">
        <v>1249</v>
      </c>
      <c r="D1305" s="322">
        <v>5</v>
      </c>
      <c r="E1305" s="322" t="s">
        <v>682</v>
      </c>
      <c r="F1305" s="322">
        <v>5</v>
      </c>
      <c r="G1305" s="425">
        <f t="shared" si="22"/>
        <v>0</v>
      </c>
    </row>
    <row r="1306" spans="2:7">
      <c r="B1306" s="323">
        <v>46001</v>
      </c>
      <c r="C1306" s="325" t="s">
        <v>1249</v>
      </c>
      <c r="D1306" s="322">
        <v>1</v>
      </c>
      <c r="E1306" s="322" t="s">
        <v>682</v>
      </c>
      <c r="F1306" s="322">
        <v>1</v>
      </c>
      <c r="G1306" s="425">
        <f t="shared" si="22"/>
        <v>0</v>
      </c>
    </row>
    <row r="1307" spans="2:7">
      <c r="B1307" s="323">
        <v>46001</v>
      </c>
      <c r="C1307" s="325" t="s">
        <v>1290</v>
      </c>
      <c r="D1307" s="322">
        <v>1</v>
      </c>
      <c r="E1307" s="322" t="s">
        <v>682</v>
      </c>
      <c r="F1307" s="322">
        <v>1</v>
      </c>
      <c r="G1307" s="425">
        <f t="shared" si="22"/>
        <v>0</v>
      </c>
    </row>
    <row r="1308" spans="2:7">
      <c r="B1308" s="323">
        <v>46001</v>
      </c>
      <c r="C1308" s="325" t="s">
        <v>1246</v>
      </c>
      <c r="D1308" s="322">
        <v>7</v>
      </c>
      <c r="E1308" s="322" t="s">
        <v>682</v>
      </c>
      <c r="F1308" s="322">
        <v>7</v>
      </c>
      <c r="G1308" s="425">
        <f t="shared" si="22"/>
        <v>0</v>
      </c>
    </row>
    <row r="1309" spans="2:7">
      <c r="B1309" s="323">
        <v>46001</v>
      </c>
      <c r="C1309" s="425" t="s">
        <v>1716</v>
      </c>
      <c r="D1309" s="322">
        <v>1</v>
      </c>
      <c r="E1309" s="322" t="s">
        <v>682</v>
      </c>
      <c r="F1309" s="322">
        <v>1</v>
      </c>
      <c r="G1309" s="425">
        <f t="shared" si="22"/>
        <v>0</v>
      </c>
    </row>
    <row r="1310" spans="2:7">
      <c r="B1310" s="323">
        <v>46001</v>
      </c>
      <c r="C1310" s="325" t="s">
        <v>2019</v>
      </c>
      <c r="D1310" s="322">
        <v>1</v>
      </c>
      <c r="E1310" s="322" t="s">
        <v>682</v>
      </c>
      <c r="F1310" s="322">
        <v>1</v>
      </c>
      <c r="G1310" s="425">
        <f t="shared" si="22"/>
        <v>0</v>
      </c>
    </row>
    <row r="1311" spans="2:7">
      <c r="B1311" s="323">
        <v>46001</v>
      </c>
      <c r="C1311" s="325" t="s">
        <v>1296</v>
      </c>
      <c r="D1311" s="322">
        <v>3</v>
      </c>
      <c r="E1311" s="322" t="s">
        <v>682</v>
      </c>
      <c r="F1311" s="322">
        <v>3</v>
      </c>
      <c r="G1311" s="425">
        <f t="shared" si="22"/>
        <v>0</v>
      </c>
    </row>
    <row r="1312" spans="2:7">
      <c r="B1312" s="323">
        <v>46001</v>
      </c>
      <c r="C1312" s="324" t="s">
        <v>131</v>
      </c>
      <c r="D1312" s="322">
        <v>4</v>
      </c>
      <c r="E1312" s="322" t="s">
        <v>682</v>
      </c>
      <c r="F1312" s="322">
        <v>4</v>
      </c>
      <c r="G1312" s="425">
        <f t="shared" si="22"/>
        <v>0</v>
      </c>
    </row>
    <row r="1313" spans="2:7">
      <c r="B1313" s="323">
        <v>46001</v>
      </c>
      <c r="C1313" s="325" t="s">
        <v>2032</v>
      </c>
      <c r="D1313" s="322">
        <v>1</v>
      </c>
      <c r="E1313" s="322" t="s">
        <v>682</v>
      </c>
      <c r="F1313" s="322">
        <v>1</v>
      </c>
      <c r="G1313" s="425">
        <f t="shared" si="22"/>
        <v>0</v>
      </c>
    </row>
    <row r="1314" spans="2:7">
      <c r="B1314" s="335">
        <v>46001</v>
      </c>
      <c r="C1314" s="343" t="s">
        <v>808</v>
      </c>
      <c r="D1314" s="345">
        <v>44</v>
      </c>
      <c r="E1314" s="345" t="s">
        <v>2073</v>
      </c>
      <c r="F1314" s="345">
        <v>44</v>
      </c>
      <c r="G1314" s="344">
        <f t="shared" si="22"/>
        <v>0</v>
      </c>
    </row>
    <row r="1315" spans="2:7">
      <c r="B1315" s="335">
        <v>46001</v>
      </c>
      <c r="C1315" s="343" t="s">
        <v>807</v>
      </c>
      <c r="D1315" s="345">
        <v>15</v>
      </c>
      <c r="E1315" s="345" t="s">
        <v>2073</v>
      </c>
      <c r="F1315" s="345">
        <v>15</v>
      </c>
      <c r="G1315" s="344">
        <f t="shared" si="22"/>
        <v>0</v>
      </c>
    </row>
    <row r="1316" spans="2:7">
      <c r="B1316" s="335">
        <v>46001</v>
      </c>
      <c r="C1316" s="343" t="s">
        <v>1575</v>
      </c>
      <c r="D1316" s="345">
        <v>24</v>
      </c>
      <c r="E1316" s="345" t="s">
        <v>2073</v>
      </c>
      <c r="F1316" s="345">
        <v>24</v>
      </c>
      <c r="G1316" s="344">
        <f t="shared" si="22"/>
        <v>0</v>
      </c>
    </row>
    <row r="1317" spans="2:7">
      <c r="B1317" s="335">
        <v>46001</v>
      </c>
      <c r="C1317" s="343" t="s">
        <v>1270</v>
      </c>
      <c r="D1317" s="345">
        <v>3</v>
      </c>
      <c r="E1317" s="345" t="s">
        <v>2073</v>
      </c>
      <c r="F1317" s="345">
        <v>3</v>
      </c>
      <c r="G1317" s="344">
        <f t="shared" si="22"/>
        <v>0</v>
      </c>
    </row>
    <row r="1318" spans="2:7">
      <c r="B1318" s="335">
        <v>46001</v>
      </c>
      <c r="C1318" s="343" t="s">
        <v>1617</v>
      </c>
      <c r="D1318" s="345">
        <v>20</v>
      </c>
      <c r="E1318" s="345" t="s">
        <v>2073</v>
      </c>
      <c r="F1318" s="345">
        <v>20</v>
      </c>
      <c r="G1318" s="344">
        <f t="shared" si="22"/>
        <v>0</v>
      </c>
    </row>
    <row r="1319" spans="2:7">
      <c r="B1319" s="335">
        <v>46001</v>
      </c>
      <c r="C1319" s="343" t="s">
        <v>1782</v>
      </c>
      <c r="D1319" s="345">
        <v>6</v>
      </c>
      <c r="E1319" s="345" t="s">
        <v>2073</v>
      </c>
      <c r="F1319" s="345">
        <v>6</v>
      </c>
      <c r="G1319" s="344">
        <f t="shared" si="22"/>
        <v>0</v>
      </c>
    </row>
    <row r="1320" spans="2:7">
      <c r="B1320" s="335">
        <v>46001</v>
      </c>
      <c r="C1320" s="341" t="s">
        <v>76</v>
      </c>
      <c r="D1320" s="345">
        <v>127</v>
      </c>
      <c r="E1320" s="345" t="s">
        <v>2073</v>
      </c>
      <c r="F1320" s="345">
        <v>127</v>
      </c>
      <c r="G1320" s="344">
        <f t="shared" si="22"/>
        <v>0</v>
      </c>
    </row>
    <row r="1321" spans="2:7">
      <c r="B1321" s="434">
        <v>45973</v>
      </c>
      <c r="C1321" s="503" t="s">
        <v>134</v>
      </c>
      <c r="D1321" s="166">
        <v>2</v>
      </c>
      <c r="E1321" s="166" t="s">
        <v>1596</v>
      </c>
      <c r="F1321" s="166">
        <v>2</v>
      </c>
      <c r="G1321" s="167">
        <f t="shared" si="22"/>
        <v>0</v>
      </c>
    </row>
    <row r="1322" spans="2:7">
      <c r="B1322" s="434">
        <v>45973</v>
      </c>
      <c r="C1322" s="168" t="s">
        <v>1249</v>
      </c>
      <c r="D1322" s="166">
        <v>2</v>
      </c>
      <c r="E1322" s="166" t="s">
        <v>1596</v>
      </c>
      <c r="F1322" s="166">
        <v>2</v>
      </c>
      <c r="G1322" s="167">
        <f t="shared" si="22"/>
        <v>0</v>
      </c>
    </row>
    <row r="1323" spans="2:7">
      <c r="B1323" s="434">
        <v>45973</v>
      </c>
      <c r="C1323" s="168" t="s">
        <v>1407</v>
      </c>
      <c r="D1323" s="166">
        <v>1</v>
      </c>
      <c r="E1323" s="166" t="s">
        <v>1596</v>
      </c>
      <c r="F1323" s="166">
        <v>1</v>
      </c>
      <c r="G1323" s="167">
        <f t="shared" si="22"/>
        <v>0</v>
      </c>
    </row>
    <row r="1324" spans="2:7">
      <c r="B1324" s="434">
        <v>45973</v>
      </c>
      <c r="C1324" s="168" t="s">
        <v>1327</v>
      </c>
      <c r="D1324" s="166">
        <v>1</v>
      </c>
      <c r="E1324" s="166" t="s">
        <v>1596</v>
      </c>
      <c r="F1324" s="166">
        <v>1</v>
      </c>
      <c r="G1324" s="167">
        <f t="shared" si="22"/>
        <v>0</v>
      </c>
    </row>
    <row r="1325" spans="2:7">
      <c r="B1325" s="346">
        <v>45973</v>
      </c>
      <c r="C1325" s="349" t="s">
        <v>1246</v>
      </c>
      <c r="D1325" s="348">
        <v>1</v>
      </c>
      <c r="E1325" s="348" t="s">
        <v>2093</v>
      </c>
      <c r="F1325" s="348">
        <v>1</v>
      </c>
      <c r="G1325" s="351">
        <f t="shared" si="22"/>
        <v>0</v>
      </c>
    </row>
    <row r="1326" spans="2:7">
      <c r="B1326" s="346">
        <v>45973</v>
      </c>
      <c r="C1326" s="349" t="s">
        <v>1249</v>
      </c>
      <c r="D1326" s="348">
        <v>1</v>
      </c>
      <c r="E1326" s="348" t="s">
        <v>2093</v>
      </c>
      <c r="F1326" s="348">
        <v>1</v>
      </c>
      <c r="G1326" s="351">
        <f t="shared" si="22"/>
        <v>0</v>
      </c>
    </row>
    <row r="1327" spans="2:7">
      <c r="B1327" s="346">
        <v>45973</v>
      </c>
      <c r="C1327" s="349" t="s">
        <v>1271</v>
      </c>
      <c r="D1327" s="348">
        <v>6</v>
      </c>
      <c r="E1327" s="348" t="s">
        <v>2093</v>
      </c>
      <c r="F1327" s="348">
        <v>6</v>
      </c>
      <c r="G1327" s="351">
        <f t="shared" si="22"/>
        <v>0</v>
      </c>
    </row>
    <row r="1328" spans="2:7">
      <c r="B1328" s="346">
        <v>45973</v>
      </c>
      <c r="C1328" s="349" t="s">
        <v>1271</v>
      </c>
      <c r="D1328" s="348">
        <v>2</v>
      </c>
      <c r="E1328" s="348" t="s">
        <v>2093</v>
      </c>
      <c r="F1328" s="348">
        <v>2</v>
      </c>
      <c r="G1328" s="351">
        <f t="shared" si="22"/>
        <v>0</v>
      </c>
    </row>
    <row r="1329" spans="2:8">
      <c r="B1329" s="346">
        <v>45973</v>
      </c>
      <c r="C1329" s="349" t="s">
        <v>1327</v>
      </c>
      <c r="D1329" s="348">
        <v>5</v>
      </c>
      <c r="E1329" s="348" t="s">
        <v>2093</v>
      </c>
      <c r="F1329" s="348">
        <v>5</v>
      </c>
      <c r="G1329" s="351">
        <f t="shared" si="22"/>
        <v>0</v>
      </c>
    </row>
    <row r="1330" spans="2:8">
      <c r="B1330" s="346">
        <v>45973</v>
      </c>
      <c r="C1330" s="349" t="s">
        <v>169</v>
      </c>
      <c r="D1330" s="348">
        <v>2</v>
      </c>
      <c r="E1330" s="348" t="s">
        <v>2093</v>
      </c>
      <c r="F1330" s="348">
        <v>2</v>
      </c>
      <c r="G1330" s="351">
        <f t="shared" si="22"/>
        <v>0</v>
      </c>
    </row>
    <row r="1331" spans="2:8">
      <c r="B1331" s="346">
        <v>45973</v>
      </c>
      <c r="C1331" s="351" t="s">
        <v>932</v>
      </c>
      <c r="D1331" s="348">
        <v>4</v>
      </c>
      <c r="E1331" s="348" t="s">
        <v>2093</v>
      </c>
      <c r="F1331" s="348">
        <v>4</v>
      </c>
      <c r="G1331" s="351">
        <f t="shared" si="22"/>
        <v>0</v>
      </c>
    </row>
    <row r="1332" spans="2:8">
      <c r="B1332" s="346">
        <v>45973</v>
      </c>
      <c r="C1332" s="349" t="s">
        <v>1568</v>
      </c>
      <c r="D1332" s="348">
        <v>2</v>
      </c>
      <c r="E1332" s="348" t="s">
        <v>2093</v>
      </c>
      <c r="F1332" s="348">
        <v>2</v>
      </c>
      <c r="G1332" s="351">
        <f t="shared" si="22"/>
        <v>0</v>
      </c>
    </row>
    <row r="1333" spans="2:8">
      <c r="B1333" s="346">
        <v>45973</v>
      </c>
      <c r="C1333" s="349" t="s">
        <v>1291</v>
      </c>
      <c r="D1333" s="348">
        <v>3</v>
      </c>
      <c r="E1333" s="348" t="s">
        <v>2093</v>
      </c>
      <c r="F1333" s="348">
        <v>3</v>
      </c>
      <c r="G1333" s="351">
        <f t="shared" si="22"/>
        <v>0</v>
      </c>
    </row>
    <row r="1334" spans="2:8">
      <c r="B1334" s="346">
        <v>45973</v>
      </c>
      <c r="C1334" s="349" t="s">
        <v>1334</v>
      </c>
      <c r="D1334" s="348">
        <v>1</v>
      </c>
      <c r="E1334" s="348" t="s">
        <v>2093</v>
      </c>
      <c r="F1334" s="348">
        <v>1</v>
      </c>
      <c r="G1334" s="351">
        <f t="shared" si="22"/>
        <v>0</v>
      </c>
    </row>
    <row r="1335" spans="2:8">
      <c r="B1335" s="346">
        <v>45973</v>
      </c>
      <c r="C1335" s="349" t="s">
        <v>1490</v>
      </c>
      <c r="D1335" s="348">
        <v>1</v>
      </c>
      <c r="E1335" s="348" t="s">
        <v>2093</v>
      </c>
      <c r="F1335" s="348">
        <v>1</v>
      </c>
      <c r="G1335" s="351">
        <f t="shared" si="22"/>
        <v>0</v>
      </c>
    </row>
    <row r="1336" spans="2:8">
      <c r="B1336" s="434">
        <v>46004</v>
      </c>
      <c r="C1336" s="168" t="s">
        <v>1246</v>
      </c>
      <c r="D1336" s="166">
        <v>1</v>
      </c>
      <c r="E1336" s="166" t="s">
        <v>2095</v>
      </c>
      <c r="F1336" s="166">
        <v>1</v>
      </c>
      <c r="G1336" s="167">
        <f t="shared" si="22"/>
        <v>0</v>
      </c>
    </row>
    <row r="1337" spans="2:8">
      <c r="B1337" s="323">
        <v>46007</v>
      </c>
      <c r="C1337" s="324" t="s">
        <v>131</v>
      </c>
      <c r="D1337" s="322">
        <v>8</v>
      </c>
      <c r="E1337" s="322" t="s">
        <v>682</v>
      </c>
      <c r="F1337" s="322">
        <v>8</v>
      </c>
      <c r="G1337" s="425">
        <f t="shared" si="22"/>
        <v>0</v>
      </c>
      <c r="H1337" t="s">
        <v>2166</v>
      </c>
    </row>
    <row r="1338" spans="2:8">
      <c r="B1338" s="323">
        <v>46007</v>
      </c>
      <c r="C1338" s="325" t="s">
        <v>2115</v>
      </c>
      <c r="D1338" s="322">
        <v>2</v>
      </c>
      <c r="E1338" s="322" t="s">
        <v>682</v>
      </c>
      <c r="F1338" s="322">
        <v>2</v>
      </c>
      <c r="G1338" s="425">
        <f t="shared" si="22"/>
        <v>0</v>
      </c>
    </row>
    <row r="1339" spans="2:8">
      <c r="B1339" s="323">
        <v>46007</v>
      </c>
      <c r="C1339" s="325" t="s">
        <v>2160</v>
      </c>
      <c r="D1339" s="322">
        <v>6</v>
      </c>
      <c r="E1339" s="322" t="s">
        <v>682</v>
      </c>
      <c r="F1339" s="322">
        <v>6</v>
      </c>
      <c r="G1339" s="425">
        <f t="shared" si="22"/>
        <v>0</v>
      </c>
    </row>
    <row r="1340" spans="2:8">
      <c r="B1340" s="323">
        <v>46007</v>
      </c>
      <c r="C1340" s="325" t="s">
        <v>154</v>
      </c>
      <c r="D1340" s="322">
        <v>16</v>
      </c>
      <c r="E1340" s="322" t="s">
        <v>682</v>
      </c>
      <c r="F1340" s="322">
        <v>16</v>
      </c>
      <c r="G1340" s="425">
        <f t="shared" si="22"/>
        <v>0</v>
      </c>
    </row>
    <row r="1341" spans="2:8">
      <c r="B1341" s="323">
        <v>46007</v>
      </c>
      <c r="C1341" s="425" t="s">
        <v>1716</v>
      </c>
      <c r="D1341" s="322">
        <v>6</v>
      </c>
      <c r="E1341" s="322" t="s">
        <v>682</v>
      </c>
      <c r="F1341" s="322">
        <v>6</v>
      </c>
      <c r="G1341" s="425">
        <f t="shared" si="22"/>
        <v>0</v>
      </c>
    </row>
    <row r="1342" spans="2:8">
      <c r="B1342" s="323">
        <v>46007</v>
      </c>
      <c r="C1342" s="325" t="s">
        <v>808</v>
      </c>
      <c r="D1342" s="322">
        <v>3</v>
      </c>
      <c r="E1342" s="322" t="s">
        <v>682</v>
      </c>
      <c r="F1342" s="322">
        <v>3</v>
      </c>
      <c r="G1342" s="425">
        <f t="shared" si="22"/>
        <v>0</v>
      </c>
    </row>
    <row r="1343" spans="2:8">
      <c r="B1343" s="323">
        <v>46007</v>
      </c>
      <c r="C1343" s="325" t="s">
        <v>807</v>
      </c>
      <c r="D1343" s="322">
        <v>2</v>
      </c>
      <c r="E1343" s="322" t="s">
        <v>682</v>
      </c>
      <c r="F1343" s="322">
        <v>2</v>
      </c>
      <c r="G1343" s="425">
        <f t="shared" si="22"/>
        <v>0</v>
      </c>
    </row>
    <row r="1344" spans="2:8">
      <c r="B1344" s="323">
        <v>46007</v>
      </c>
      <c r="C1344" s="325" t="s">
        <v>975</v>
      </c>
      <c r="D1344" s="322">
        <v>2</v>
      </c>
      <c r="E1344" s="322" t="s">
        <v>682</v>
      </c>
      <c r="F1344" s="322">
        <v>2</v>
      </c>
      <c r="G1344" s="425">
        <f t="shared" si="22"/>
        <v>0</v>
      </c>
    </row>
    <row r="1345" spans="2:7">
      <c r="B1345" s="323">
        <v>46007</v>
      </c>
      <c r="C1345" s="325" t="s">
        <v>2111</v>
      </c>
      <c r="D1345" s="322">
        <v>3</v>
      </c>
      <c r="E1345" s="322" t="s">
        <v>682</v>
      </c>
      <c r="F1345" s="322">
        <v>3</v>
      </c>
      <c r="G1345" s="425">
        <f t="shared" si="22"/>
        <v>0</v>
      </c>
    </row>
    <row r="1346" spans="2:7">
      <c r="B1346" s="323">
        <v>46007</v>
      </c>
      <c r="C1346" s="325" t="s">
        <v>1246</v>
      </c>
      <c r="D1346" s="322">
        <v>13</v>
      </c>
      <c r="E1346" s="322" t="s">
        <v>682</v>
      </c>
      <c r="F1346" s="322">
        <v>13</v>
      </c>
      <c r="G1346" s="425">
        <f t="shared" si="22"/>
        <v>0</v>
      </c>
    </row>
    <row r="1347" spans="2:7">
      <c r="B1347" s="323">
        <v>46007</v>
      </c>
      <c r="C1347" s="325" t="s">
        <v>1246</v>
      </c>
      <c r="D1347" s="322">
        <v>1</v>
      </c>
      <c r="E1347" s="322" t="s">
        <v>682</v>
      </c>
      <c r="F1347" s="322">
        <v>1</v>
      </c>
      <c r="G1347" s="425">
        <f t="shared" si="22"/>
        <v>0</v>
      </c>
    </row>
    <row r="1348" spans="2:7">
      <c r="B1348" s="323">
        <v>46007</v>
      </c>
      <c r="C1348" s="325" t="s">
        <v>1246</v>
      </c>
      <c r="D1348" s="322">
        <v>7</v>
      </c>
      <c r="E1348" s="322" t="s">
        <v>682</v>
      </c>
      <c r="F1348" s="322">
        <v>7</v>
      </c>
      <c r="G1348" s="425">
        <f t="shared" si="22"/>
        <v>0</v>
      </c>
    </row>
    <row r="1349" spans="2:7">
      <c r="B1349" s="323">
        <v>46007</v>
      </c>
      <c r="C1349" s="325" t="s">
        <v>1290</v>
      </c>
      <c r="D1349" s="322">
        <v>1</v>
      </c>
      <c r="E1349" s="322" t="s">
        <v>682</v>
      </c>
      <c r="F1349" s="322">
        <v>1</v>
      </c>
      <c r="G1349" s="425">
        <f t="shared" si="22"/>
        <v>0</v>
      </c>
    </row>
    <row r="1350" spans="2:7">
      <c r="B1350" s="323">
        <v>46007</v>
      </c>
      <c r="C1350" s="325" t="s">
        <v>1246</v>
      </c>
      <c r="D1350" s="322">
        <v>1</v>
      </c>
      <c r="E1350" s="322" t="s">
        <v>682</v>
      </c>
      <c r="F1350" s="322">
        <v>1</v>
      </c>
      <c r="G1350" s="425">
        <f t="shared" si="22"/>
        <v>0</v>
      </c>
    </row>
    <row r="1351" spans="2:7">
      <c r="B1351" s="323">
        <v>46007</v>
      </c>
      <c r="C1351" s="325" t="s">
        <v>1271</v>
      </c>
      <c r="D1351" s="322">
        <v>1</v>
      </c>
      <c r="E1351" s="322" t="s">
        <v>682</v>
      </c>
      <c r="F1351" s="322">
        <v>1</v>
      </c>
      <c r="G1351" s="425">
        <f t="shared" si="22"/>
        <v>0</v>
      </c>
    </row>
    <row r="1352" spans="2:7">
      <c r="B1352" s="323">
        <v>46007</v>
      </c>
      <c r="C1352" s="325" t="s">
        <v>1271</v>
      </c>
      <c r="D1352" s="322">
        <v>1</v>
      </c>
      <c r="E1352" s="322" t="s">
        <v>682</v>
      </c>
      <c r="F1352" s="322">
        <v>1</v>
      </c>
      <c r="G1352" s="425">
        <f t="shared" ref="G1352:G1415" si="23">D1352-F1352</f>
        <v>0</v>
      </c>
    </row>
    <row r="1353" spans="2:7">
      <c r="B1353" s="323">
        <v>46007</v>
      </c>
      <c r="C1353" s="325" t="s">
        <v>1271</v>
      </c>
      <c r="D1353" s="322">
        <v>3</v>
      </c>
      <c r="E1353" s="322" t="s">
        <v>682</v>
      </c>
      <c r="F1353" s="322">
        <v>3</v>
      </c>
      <c r="G1353" s="425">
        <f t="shared" si="23"/>
        <v>0</v>
      </c>
    </row>
    <row r="1354" spans="2:7">
      <c r="B1354" s="323">
        <v>46007</v>
      </c>
      <c r="C1354" s="325" t="s">
        <v>1408</v>
      </c>
      <c r="D1354" s="322">
        <v>2</v>
      </c>
      <c r="E1354" s="322" t="s">
        <v>682</v>
      </c>
      <c r="F1354" s="322">
        <v>2</v>
      </c>
      <c r="G1354" s="425">
        <f t="shared" si="23"/>
        <v>0</v>
      </c>
    </row>
    <row r="1355" spans="2:7">
      <c r="B1355" s="323">
        <v>46007</v>
      </c>
      <c r="C1355" s="325" t="s">
        <v>1434</v>
      </c>
      <c r="D1355" s="322">
        <v>3</v>
      </c>
      <c r="E1355" s="322" t="s">
        <v>682</v>
      </c>
      <c r="F1355" s="322">
        <v>3</v>
      </c>
      <c r="G1355" s="425">
        <f t="shared" si="23"/>
        <v>0</v>
      </c>
    </row>
    <row r="1356" spans="2:7">
      <c r="B1356" s="323">
        <v>46007</v>
      </c>
      <c r="C1356" s="325" t="s">
        <v>169</v>
      </c>
      <c r="D1356" s="322">
        <v>1</v>
      </c>
      <c r="E1356" s="322" t="s">
        <v>682</v>
      </c>
      <c r="F1356" s="322">
        <v>1</v>
      </c>
      <c r="G1356" s="425">
        <f t="shared" si="23"/>
        <v>0</v>
      </c>
    </row>
    <row r="1357" spans="2:7">
      <c r="B1357" s="323">
        <v>46007</v>
      </c>
      <c r="C1357" s="325" t="s">
        <v>1318</v>
      </c>
      <c r="D1357" s="322">
        <v>1</v>
      </c>
      <c r="E1357" s="322" t="s">
        <v>682</v>
      </c>
      <c r="F1357" s="322">
        <v>1</v>
      </c>
      <c r="G1357" s="425">
        <f t="shared" si="23"/>
        <v>0</v>
      </c>
    </row>
    <row r="1358" spans="2:7">
      <c r="B1358" s="323">
        <v>46007</v>
      </c>
      <c r="C1358" s="425" t="s">
        <v>170</v>
      </c>
      <c r="D1358" s="322">
        <v>1</v>
      </c>
      <c r="E1358" s="322" t="s">
        <v>682</v>
      </c>
      <c r="F1358" s="322">
        <v>1</v>
      </c>
      <c r="G1358" s="425">
        <f t="shared" si="23"/>
        <v>0</v>
      </c>
    </row>
    <row r="1359" spans="2:7">
      <c r="B1359" s="323">
        <v>46007</v>
      </c>
      <c r="C1359" s="325" t="s">
        <v>1259</v>
      </c>
      <c r="D1359" s="322">
        <v>4</v>
      </c>
      <c r="E1359" s="322" t="s">
        <v>682</v>
      </c>
      <c r="F1359" s="322">
        <v>4</v>
      </c>
      <c r="G1359" s="425">
        <f t="shared" si="23"/>
        <v>0</v>
      </c>
    </row>
    <row r="1360" spans="2:7">
      <c r="B1360" s="323">
        <v>46007</v>
      </c>
      <c r="C1360" s="325" t="s">
        <v>1095</v>
      </c>
      <c r="D1360" s="322">
        <v>1</v>
      </c>
      <c r="E1360" s="322" t="s">
        <v>682</v>
      </c>
      <c r="F1360" s="322">
        <v>1</v>
      </c>
      <c r="G1360" s="425">
        <f t="shared" si="23"/>
        <v>0</v>
      </c>
    </row>
    <row r="1361" spans="2:7">
      <c r="B1361" s="323">
        <v>46007</v>
      </c>
      <c r="C1361" s="325" t="s">
        <v>1259</v>
      </c>
      <c r="D1361" s="322">
        <v>1</v>
      </c>
      <c r="E1361" s="322" t="s">
        <v>682</v>
      </c>
      <c r="F1361" s="322">
        <v>1</v>
      </c>
      <c r="G1361" s="425">
        <f t="shared" si="23"/>
        <v>0</v>
      </c>
    </row>
    <row r="1362" spans="2:7">
      <c r="B1362" s="323">
        <v>46007</v>
      </c>
      <c r="C1362" s="325" t="s">
        <v>136</v>
      </c>
      <c r="D1362" s="322">
        <v>3</v>
      </c>
      <c r="E1362" s="322" t="s">
        <v>682</v>
      </c>
      <c r="F1362" s="322">
        <v>3</v>
      </c>
      <c r="G1362" s="425">
        <f t="shared" si="23"/>
        <v>0</v>
      </c>
    </row>
    <row r="1363" spans="2:7">
      <c r="B1363" s="323">
        <v>46007</v>
      </c>
      <c r="C1363" s="325" t="s">
        <v>136</v>
      </c>
      <c r="D1363" s="322">
        <v>2</v>
      </c>
      <c r="E1363" s="322" t="s">
        <v>682</v>
      </c>
      <c r="F1363" s="322">
        <v>2</v>
      </c>
      <c r="G1363" s="425">
        <f t="shared" si="23"/>
        <v>0</v>
      </c>
    </row>
    <row r="1364" spans="2:7">
      <c r="B1364" s="323">
        <v>46007</v>
      </c>
      <c r="C1364" s="325" t="s">
        <v>1312</v>
      </c>
      <c r="D1364" s="322">
        <v>2</v>
      </c>
      <c r="E1364" s="322" t="s">
        <v>682</v>
      </c>
      <c r="F1364" s="322">
        <v>2</v>
      </c>
      <c r="G1364" s="425">
        <f t="shared" si="23"/>
        <v>0</v>
      </c>
    </row>
    <row r="1365" spans="2:7">
      <c r="B1365" s="323">
        <v>46007</v>
      </c>
      <c r="C1365" s="325" t="s">
        <v>1246</v>
      </c>
      <c r="D1365" s="322">
        <v>1</v>
      </c>
      <c r="E1365" s="322" t="s">
        <v>682</v>
      </c>
      <c r="F1365" s="322">
        <v>1</v>
      </c>
      <c r="G1365" s="425">
        <f t="shared" si="23"/>
        <v>0</v>
      </c>
    </row>
    <row r="1366" spans="2:7">
      <c r="B1366" s="323">
        <v>46007</v>
      </c>
      <c r="C1366" s="325" t="s">
        <v>1568</v>
      </c>
      <c r="D1366" s="322">
        <v>7</v>
      </c>
      <c r="E1366" s="322" t="s">
        <v>682</v>
      </c>
      <c r="F1366" s="322">
        <v>7</v>
      </c>
      <c r="G1366" s="425">
        <f t="shared" si="23"/>
        <v>0</v>
      </c>
    </row>
    <row r="1367" spans="2:7">
      <c r="B1367" s="323">
        <v>46007</v>
      </c>
      <c r="C1367" s="325" t="s">
        <v>1568</v>
      </c>
      <c r="D1367" s="322">
        <v>2</v>
      </c>
      <c r="E1367" s="322" t="s">
        <v>682</v>
      </c>
      <c r="F1367" s="322">
        <v>2</v>
      </c>
      <c r="G1367" s="425">
        <f t="shared" si="23"/>
        <v>0</v>
      </c>
    </row>
    <row r="1368" spans="2:7">
      <c r="B1368" s="323">
        <v>46007</v>
      </c>
      <c r="C1368" s="325" t="s">
        <v>1640</v>
      </c>
      <c r="D1368" s="322">
        <v>2</v>
      </c>
      <c r="E1368" s="322" t="s">
        <v>682</v>
      </c>
      <c r="F1368" s="322">
        <v>2</v>
      </c>
      <c r="G1368" s="425">
        <f t="shared" si="23"/>
        <v>0</v>
      </c>
    </row>
    <row r="1369" spans="2:7">
      <c r="B1369" s="323">
        <v>46007</v>
      </c>
      <c r="C1369" s="325" t="s">
        <v>2019</v>
      </c>
      <c r="D1369" s="322">
        <v>4</v>
      </c>
      <c r="E1369" s="322" t="s">
        <v>682</v>
      </c>
      <c r="F1369" s="322">
        <v>4</v>
      </c>
      <c r="G1369" s="425">
        <f t="shared" si="23"/>
        <v>0</v>
      </c>
    </row>
    <row r="1370" spans="2:7">
      <c r="B1370" s="323">
        <v>46007</v>
      </c>
      <c r="C1370" s="325" t="s">
        <v>1641</v>
      </c>
      <c r="D1370" s="322">
        <v>3</v>
      </c>
      <c r="E1370" s="322" t="s">
        <v>682</v>
      </c>
      <c r="F1370" s="322">
        <v>3</v>
      </c>
      <c r="G1370" s="425">
        <f t="shared" si="23"/>
        <v>0</v>
      </c>
    </row>
    <row r="1371" spans="2:7">
      <c r="B1371" s="323">
        <v>46007</v>
      </c>
      <c r="C1371" s="325" t="s">
        <v>1641</v>
      </c>
      <c r="D1371" s="322">
        <v>1</v>
      </c>
      <c r="E1371" s="322" t="s">
        <v>682</v>
      </c>
      <c r="F1371" s="322">
        <v>1</v>
      </c>
      <c r="G1371" s="425">
        <f t="shared" si="23"/>
        <v>0</v>
      </c>
    </row>
    <row r="1372" spans="2:7">
      <c r="B1372" s="323">
        <v>46007</v>
      </c>
      <c r="C1372" s="325" t="s">
        <v>1907</v>
      </c>
      <c r="D1372" s="322">
        <v>2</v>
      </c>
      <c r="E1372" s="322" t="s">
        <v>682</v>
      </c>
      <c r="F1372" s="322">
        <v>2</v>
      </c>
      <c r="G1372" s="425">
        <f t="shared" si="23"/>
        <v>0</v>
      </c>
    </row>
    <row r="1373" spans="2:7">
      <c r="B1373" s="323">
        <v>46007</v>
      </c>
      <c r="C1373" s="325" t="s">
        <v>2140</v>
      </c>
      <c r="D1373" s="322">
        <v>2</v>
      </c>
      <c r="E1373" s="322" t="s">
        <v>682</v>
      </c>
      <c r="F1373" s="322">
        <v>2</v>
      </c>
      <c r="G1373" s="425">
        <f t="shared" si="23"/>
        <v>0</v>
      </c>
    </row>
    <row r="1374" spans="2:7">
      <c r="B1374" s="323">
        <v>46007</v>
      </c>
      <c r="C1374" s="325" t="s">
        <v>2141</v>
      </c>
      <c r="D1374" s="322">
        <v>2</v>
      </c>
      <c r="E1374" s="322" t="s">
        <v>682</v>
      </c>
      <c r="F1374" s="322">
        <v>2</v>
      </c>
      <c r="G1374" s="425">
        <f t="shared" si="23"/>
        <v>0</v>
      </c>
    </row>
    <row r="1375" spans="2:7">
      <c r="B1375" s="323">
        <v>46007</v>
      </c>
      <c r="C1375" s="325" t="s">
        <v>2142</v>
      </c>
      <c r="D1375" s="322">
        <v>1</v>
      </c>
      <c r="E1375" s="322" t="s">
        <v>682</v>
      </c>
      <c r="F1375" s="322">
        <v>1</v>
      </c>
      <c r="G1375" s="425">
        <f t="shared" si="23"/>
        <v>0</v>
      </c>
    </row>
    <row r="1376" spans="2:7">
      <c r="B1376" s="323">
        <v>46007</v>
      </c>
      <c r="C1376" s="325" t="s">
        <v>2143</v>
      </c>
      <c r="D1376" s="322">
        <v>1</v>
      </c>
      <c r="E1376" s="322" t="s">
        <v>682</v>
      </c>
      <c r="F1376" s="322">
        <v>1</v>
      </c>
      <c r="G1376" s="425">
        <f t="shared" si="23"/>
        <v>0</v>
      </c>
    </row>
    <row r="1377" spans="2:7">
      <c r="B1377" s="323">
        <v>46007</v>
      </c>
      <c r="C1377" s="325" t="s">
        <v>2144</v>
      </c>
      <c r="D1377" s="322">
        <v>1</v>
      </c>
      <c r="E1377" s="322" t="s">
        <v>682</v>
      </c>
      <c r="F1377" s="322">
        <v>1</v>
      </c>
      <c r="G1377" s="425">
        <f t="shared" si="23"/>
        <v>0</v>
      </c>
    </row>
    <row r="1378" spans="2:7">
      <c r="B1378" s="323">
        <v>46007</v>
      </c>
      <c r="C1378" s="324" t="s">
        <v>410</v>
      </c>
      <c r="D1378" s="322">
        <v>1</v>
      </c>
      <c r="E1378" s="322" t="s">
        <v>682</v>
      </c>
      <c r="F1378" s="322">
        <v>1</v>
      </c>
      <c r="G1378" s="425">
        <f t="shared" si="23"/>
        <v>0</v>
      </c>
    </row>
    <row r="1379" spans="2:7">
      <c r="B1379" s="323">
        <v>46007</v>
      </c>
      <c r="C1379" s="425" t="s">
        <v>375</v>
      </c>
      <c r="D1379" s="322">
        <v>7</v>
      </c>
      <c r="E1379" s="322" t="s">
        <v>682</v>
      </c>
      <c r="F1379" s="322">
        <v>7</v>
      </c>
      <c r="G1379" s="425">
        <f t="shared" si="23"/>
        <v>0</v>
      </c>
    </row>
    <row r="1380" spans="2:7">
      <c r="B1380" s="323">
        <v>46007</v>
      </c>
      <c r="C1380" s="425" t="s">
        <v>375</v>
      </c>
      <c r="D1380" s="322">
        <v>1</v>
      </c>
      <c r="E1380" s="322" t="s">
        <v>682</v>
      </c>
      <c r="F1380" s="322">
        <v>1</v>
      </c>
      <c r="G1380" s="425">
        <f t="shared" si="23"/>
        <v>0</v>
      </c>
    </row>
    <row r="1381" spans="2:7">
      <c r="B1381" s="323">
        <v>46007</v>
      </c>
      <c r="C1381" s="425" t="s">
        <v>375</v>
      </c>
      <c r="D1381" s="322">
        <v>1</v>
      </c>
      <c r="E1381" s="322" t="s">
        <v>682</v>
      </c>
      <c r="F1381" s="322">
        <v>1</v>
      </c>
      <c r="G1381" s="425">
        <f t="shared" si="23"/>
        <v>0</v>
      </c>
    </row>
    <row r="1382" spans="2:7">
      <c r="B1382" s="323">
        <v>46007</v>
      </c>
      <c r="C1382" s="325" t="s">
        <v>1717</v>
      </c>
      <c r="D1382" s="322">
        <v>1</v>
      </c>
      <c r="E1382" s="322" t="s">
        <v>682</v>
      </c>
      <c r="F1382" s="322">
        <v>1</v>
      </c>
      <c r="G1382" s="425">
        <f t="shared" si="23"/>
        <v>0</v>
      </c>
    </row>
    <row r="1383" spans="2:7">
      <c r="B1383" s="323">
        <v>46007</v>
      </c>
      <c r="C1383" s="325" t="s">
        <v>977</v>
      </c>
      <c r="D1383" s="322">
        <v>1</v>
      </c>
      <c r="E1383" s="322" t="s">
        <v>682</v>
      </c>
      <c r="F1383" s="322">
        <v>1</v>
      </c>
      <c r="G1383" s="425">
        <f t="shared" si="23"/>
        <v>0</v>
      </c>
    </row>
    <row r="1384" spans="2:7">
      <c r="B1384" s="323">
        <v>46007</v>
      </c>
      <c r="C1384" s="324" t="s">
        <v>960</v>
      </c>
      <c r="D1384" s="322">
        <v>1</v>
      </c>
      <c r="E1384" s="322" t="s">
        <v>682</v>
      </c>
      <c r="F1384" s="322">
        <v>1</v>
      </c>
      <c r="G1384" s="425">
        <f t="shared" si="23"/>
        <v>0</v>
      </c>
    </row>
    <row r="1385" spans="2:7">
      <c r="B1385" s="323">
        <v>46007</v>
      </c>
      <c r="C1385" s="324" t="s">
        <v>960</v>
      </c>
      <c r="D1385" s="322">
        <v>1</v>
      </c>
      <c r="E1385" s="322" t="s">
        <v>682</v>
      </c>
      <c r="F1385" s="322">
        <v>1</v>
      </c>
      <c r="G1385" s="425">
        <f t="shared" si="23"/>
        <v>0</v>
      </c>
    </row>
    <row r="1386" spans="2:7">
      <c r="B1386" s="323">
        <v>46007</v>
      </c>
      <c r="C1386" s="325" t="s">
        <v>1291</v>
      </c>
      <c r="D1386" s="322">
        <v>1</v>
      </c>
      <c r="E1386" s="322" t="s">
        <v>682</v>
      </c>
      <c r="F1386" s="322">
        <v>1</v>
      </c>
      <c r="G1386" s="425">
        <f t="shared" si="23"/>
        <v>0</v>
      </c>
    </row>
    <row r="1387" spans="2:7">
      <c r="B1387" s="323">
        <v>46007</v>
      </c>
      <c r="C1387" s="325" t="s">
        <v>2148</v>
      </c>
      <c r="D1387" s="322">
        <v>1</v>
      </c>
      <c r="E1387" s="322" t="s">
        <v>682</v>
      </c>
      <c r="F1387" s="322">
        <v>1</v>
      </c>
      <c r="G1387" s="425">
        <f t="shared" si="23"/>
        <v>0</v>
      </c>
    </row>
    <row r="1388" spans="2:7">
      <c r="B1388" s="323">
        <v>46007</v>
      </c>
      <c r="C1388" s="325" t="s">
        <v>2149</v>
      </c>
      <c r="D1388" s="322">
        <v>1</v>
      </c>
      <c r="E1388" s="322" t="s">
        <v>682</v>
      </c>
      <c r="F1388" s="322">
        <v>1</v>
      </c>
      <c r="G1388" s="425">
        <f t="shared" si="23"/>
        <v>0</v>
      </c>
    </row>
    <row r="1389" spans="2:7">
      <c r="B1389" s="323">
        <v>46007</v>
      </c>
      <c r="C1389" s="325" t="s">
        <v>1528</v>
      </c>
      <c r="D1389" s="322">
        <v>1</v>
      </c>
      <c r="E1389" s="322" t="s">
        <v>682</v>
      </c>
      <c r="F1389" s="322">
        <v>1</v>
      </c>
      <c r="G1389" s="425">
        <f t="shared" si="23"/>
        <v>0</v>
      </c>
    </row>
    <row r="1390" spans="2:7">
      <c r="B1390" s="323">
        <v>46007</v>
      </c>
      <c r="C1390" s="325" t="s">
        <v>2151</v>
      </c>
      <c r="D1390" s="322">
        <v>2</v>
      </c>
      <c r="E1390" s="322" t="s">
        <v>682</v>
      </c>
      <c r="F1390" s="322">
        <v>2</v>
      </c>
      <c r="G1390" s="425">
        <f t="shared" si="23"/>
        <v>0</v>
      </c>
    </row>
    <row r="1391" spans="2:7">
      <c r="B1391" s="323">
        <v>46007</v>
      </c>
      <c r="C1391" s="325" t="s">
        <v>2152</v>
      </c>
      <c r="D1391" s="322">
        <v>1</v>
      </c>
      <c r="E1391" s="322" t="s">
        <v>682</v>
      </c>
      <c r="F1391" s="322">
        <v>1</v>
      </c>
      <c r="G1391" s="425">
        <f t="shared" si="23"/>
        <v>0</v>
      </c>
    </row>
    <row r="1392" spans="2:7">
      <c r="B1392" s="323">
        <v>46007</v>
      </c>
      <c r="C1392" s="425" t="s">
        <v>1149</v>
      </c>
      <c r="D1392" s="322">
        <v>1</v>
      </c>
      <c r="E1392" s="322" t="s">
        <v>682</v>
      </c>
      <c r="F1392" s="322">
        <v>1</v>
      </c>
      <c r="G1392" s="425">
        <f t="shared" si="23"/>
        <v>0</v>
      </c>
    </row>
    <row r="1393" spans="2:8">
      <c r="B1393" s="323">
        <v>46007</v>
      </c>
      <c r="C1393" s="425" t="s">
        <v>1149</v>
      </c>
      <c r="D1393" s="322">
        <v>1</v>
      </c>
      <c r="E1393" s="322" t="s">
        <v>682</v>
      </c>
      <c r="F1393" s="322">
        <v>1</v>
      </c>
      <c r="G1393" s="425">
        <f t="shared" si="23"/>
        <v>0</v>
      </c>
    </row>
    <row r="1394" spans="2:8">
      <c r="B1394" s="323">
        <v>46007</v>
      </c>
      <c r="C1394" s="325" t="s">
        <v>1404</v>
      </c>
      <c r="D1394" s="322">
        <v>1</v>
      </c>
      <c r="E1394" s="322" t="s">
        <v>682</v>
      </c>
      <c r="F1394" s="322">
        <v>1</v>
      </c>
      <c r="G1394" s="425">
        <f t="shared" si="23"/>
        <v>0</v>
      </c>
    </row>
    <row r="1395" spans="2:8">
      <c r="B1395" s="323">
        <v>46007</v>
      </c>
      <c r="C1395" s="324" t="s">
        <v>467</v>
      </c>
      <c r="D1395" s="322">
        <v>3</v>
      </c>
      <c r="E1395" s="322" t="s">
        <v>682</v>
      </c>
      <c r="F1395" s="322">
        <v>3</v>
      </c>
      <c r="G1395" s="425">
        <f t="shared" si="23"/>
        <v>0</v>
      </c>
    </row>
    <row r="1396" spans="2:8">
      <c r="B1396" s="323">
        <v>46007</v>
      </c>
      <c r="C1396" s="324" t="s">
        <v>2153</v>
      </c>
      <c r="D1396" s="322">
        <v>1</v>
      </c>
      <c r="E1396" s="322" t="s">
        <v>682</v>
      </c>
      <c r="F1396" s="322">
        <v>1</v>
      </c>
      <c r="G1396" s="425">
        <f t="shared" si="23"/>
        <v>0</v>
      </c>
    </row>
    <row r="1397" spans="2:8">
      <c r="B1397" s="323">
        <v>46007</v>
      </c>
      <c r="C1397" s="324" t="s">
        <v>2154</v>
      </c>
      <c r="D1397" s="322">
        <v>1</v>
      </c>
      <c r="E1397" s="322" t="s">
        <v>682</v>
      </c>
      <c r="F1397" s="322">
        <v>1</v>
      </c>
      <c r="G1397" s="425">
        <f t="shared" si="23"/>
        <v>0</v>
      </c>
    </row>
    <row r="1398" spans="2:8">
      <c r="B1398" s="323">
        <v>46007</v>
      </c>
      <c r="C1398" s="324" t="s">
        <v>2155</v>
      </c>
      <c r="D1398" s="322">
        <v>1</v>
      </c>
      <c r="E1398" s="322" t="s">
        <v>682</v>
      </c>
      <c r="F1398" s="322">
        <v>1</v>
      </c>
      <c r="G1398" s="425">
        <f t="shared" si="23"/>
        <v>0</v>
      </c>
    </row>
    <row r="1399" spans="2:8">
      <c r="B1399" s="323">
        <v>46007</v>
      </c>
      <c r="C1399" s="324" t="s">
        <v>2156</v>
      </c>
      <c r="D1399" s="322">
        <v>1</v>
      </c>
      <c r="E1399" s="322" t="s">
        <v>682</v>
      </c>
      <c r="F1399" s="322">
        <v>1</v>
      </c>
      <c r="G1399" s="425">
        <f t="shared" si="23"/>
        <v>0</v>
      </c>
    </row>
    <row r="1400" spans="2:8">
      <c r="B1400" s="323">
        <v>46007</v>
      </c>
      <c r="C1400" s="324" t="s">
        <v>2161</v>
      </c>
      <c r="D1400" s="322">
        <v>1</v>
      </c>
      <c r="E1400" s="322" t="s">
        <v>682</v>
      </c>
      <c r="F1400" s="322">
        <v>1</v>
      </c>
      <c r="G1400" s="425">
        <f t="shared" si="23"/>
        <v>0</v>
      </c>
      <c r="H1400" t="s">
        <v>2165</v>
      </c>
    </row>
    <row r="1401" spans="2:8">
      <c r="B1401" s="323">
        <v>46007</v>
      </c>
      <c r="C1401" s="324" t="s">
        <v>2162</v>
      </c>
      <c r="D1401" s="322">
        <v>1</v>
      </c>
      <c r="E1401" s="322" t="s">
        <v>682</v>
      </c>
      <c r="F1401" s="322">
        <v>1</v>
      </c>
      <c r="G1401" s="425">
        <f t="shared" si="23"/>
        <v>0</v>
      </c>
    </row>
    <row r="1402" spans="2:8">
      <c r="B1402" s="323">
        <v>46007</v>
      </c>
      <c r="C1402" s="324" t="s">
        <v>2163</v>
      </c>
      <c r="D1402" s="322">
        <v>1</v>
      </c>
      <c r="E1402" s="322" t="s">
        <v>682</v>
      </c>
      <c r="F1402" s="322">
        <v>1</v>
      </c>
      <c r="G1402" s="425">
        <f t="shared" si="23"/>
        <v>0</v>
      </c>
    </row>
    <row r="1403" spans="2:8">
      <c r="B1403" s="323">
        <v>46007</v>
      </c>
      <c r="C1403" s="324" t="s">
        <v>2164</v>
      </c>
      <c r="D1403" s="322">
        <v>1</v>
      </c>
      <c r="E1403" s="322" t="s">
        <v>682</v>
      </c>
      <c r="F1403" s="322">
        <v>1</v>
      </c>
      <c r="G1403" s="425">
        <f t="shared" si="23"/>
        <v>0</v>
      </c>
    </row>
    <row r="1404" spans="2:8">
      <c r="B1404" s="265">
        <v>46008</v>
      </c>
      <c r="C1404" s="92" t="s">
        <v>76</v>
      </c>
      <c r="D1404" s="43">
        <v>150</v>
      </c>
      <c r="E1404" s="43" t="s">
        <v>2190</v>
      </c>
      <c r="F1404" s="43">
        <v>150</v>
      </c>
      <c r="G1404" s="104">
        <f t="shared" si="23"/>
        <v>0</v>
      </c>
    </row>
    <row r="1405" spans="2:8">
      <c r="B1405" s="434">
        <v>46007</v>
      </c>
      <c r="C1405" s="168" t="s">
        <v>1641</v>
      </c>
      <c r="D1405" s="166">
        <v>1</v>
      </c>
      <c r="E1405" s="166" t="s">
        <v>1601</v>
      </c>
      <c r="F1405" s="166">
        <v>1</v>
      </c>
      <c r="G1405" s="167">
        <f t="shared" si="23"/>
        <v>0</v>
      </c>
    </row>
    <row r="1406" spans="2:8">
      <c r="B1406" s="434">
        <v>46007</v>
      </c>
      <c r="C1406" s="168" t="s">
        <v>1641</v>
      </c>
      <c r="D1406" s="166">
        <v>1</v>
      </c>
      <c r="E1406" s="166" t="s">
        <v>1601</v>
      </c>
      <c r="F1406" s="166">
        <v>1</v>
      </c>
      <c r="G1406" s="167">
        <f t="shared" si="23"/>
        <v>0</v>
      </c>
    </row>
    <row r="1407" spans="2:8">
      <c r="B1407" s="434">
        <v>46007</v>
      </c>
      <c r="C1407" s="503" t="s">
        <v>923</v>
      </c>
      <c r="D1407" s="166">
        <v>1</v>
      </c>
      <c r="E1407" s="166" t="s">
        <v>1601</v>
      </c>
      <c r="F1407" s="166">
        <v>1</v>
      </c>
      <c r="G1407" s="167">
        <f t="shared" si="23"/>
        <v>0</v>
      </c>
    </row>
    <row r="1408" spans="2:8">
      <c r="B1408" s="335">
        <v>46008</v>
      </c>
      <c r="C1408" s="343" t="s">
        <v>839</v>
      </c>
      <c r="D1408" s="345">
        <v>45</v>
      </c>
      <c r="E1408" s="345" t="s">
        <v>2191</v>
      </c>
      <c r="F1408" s="345">
        <v>45</v>
      </c>
      <c r="G1408" s="344">
        <f t="shared" si="23"/>
        <v>0</v>
      </c>
    </row>
    <row r="1409" spans="2:7">
      <c r="B1409" s="335">
        <v>46008</v>
      </c>
      <c r="C1409" s="341" t="s">
        <v>671</v>
      </c>
      <c r="D1409" s="345">
        <v>3</v>
      </c>
      <c r="E1409" s="345" t="s">
        <v>2191</v>
      </c>
      <c r="F1409" s="345">
        <v>3</v>
      </c>
      <c r="G1409" s="344">
        <f t="shared" si="23"/>
        <v>0</v>
      </c>
    </row>
    <row r="1410" spans="2:7">
      <c r="B1410" s="335">
        <v>46008</v>
      </c>
      <c r="C1410" s="343" t="s">
        <v>121</v>
      </c>
      <c r="D1410" s="345">
        <v>200</v>
      </c>
      <c r="E1410" s="345" t="s">
        <v>2191</v>
      </c>
      <c r="F1410" s="345">
        <v>200</v>
      </c>
      <c r="G1410" s="344">
        <f t="shared" si="23"/>
        <v>0</v>
      </c>
    </row>
    <row r="1411" spans="2:7">
      <c r="B1411" s="335">
        <v>46008</v>
      </c>
      <c r="C1411" s="343" t="s">
        <v>482</v>
      </c>
      <c r="D1411" s="345">
        <v>500</v>
      </c>
      <c r="E1411" s="345" t="s">
        <v>2191</v>
      </c>
      <c r="F1411" s="345">
        <v>500</v>
      </c>
      <c r="G1411" s="344">
        <f t="shared" si="23"/>
        <v>0</v>
      </c>
    </row>
    <row r="1412" spans="2:7">
      <c r="B1412" s="346">
        <v>46009</v>
      </c>
      <c r="C1412" s="349" t="s">
        <v>1246</v>
      </c>
      <c r="D1412" s="348">
        <v>4</v>
      </c>
      <c r="E1412" s="348" t="s">
        <v>2193</v>
      </c>
      <c r="F1412" s="348">
        <v>4</v>
      </c>
      <c r="G1412" s="351">
        <f t="shared" si="23"/>
        <v>0</v>
      </c>
    </row>
    <row r="1413" spans="2:7">
      <c r="B1413" s="335">
        <v>46009</v>
      </c>
      <c r="C1413" s="343" t="s">
        <v>1246</v>
      </c>
      <c r="D1413" s="345">
        <v>6</v>
      </c>
      <c r="E1413" s="345" t="s">
        <v>2206</v>
      </c>
      <c r="F1413" s="345">
        <v>6</v>
      </c>
      <c r="G1413" s="344">
        <f t="shared" si="23"/>
        <v>0</v>
      </c>
    </row>
    <row r="1414" spans="2:7">
      <c r="B1414" s="335">
        <v>46009</v>
      </c>
      <c r="C1414" s="343" t="s">
        <v>808</v>
      </c>
      <c r="D1414" s="345">
        <v>4</v>
      </c>
      <c r="E1414" s="345" t="s">
        <v>2206</v>
      </c>
      <c r="F1414" s="345">
        <v>4</v>
      </c>
      <c r="G1414" s="344">
        <f t="shared" si="23"/>
        <v>0</v>
      </c>
    </row>
    <row r="1415" spans="2:7">
      <c r="B1415" s="335">
        <v>46009</v>
      </c>
      <c r="C1415" s="343" t="s">
        <v>807</v>
      </c>
      <c r="D1415" s="345">
        <v>4</v>
      </c>
      <c r="E1415" s="345" t="s">
        <v>2206</v>
      </c>
      <c r="F1415" s="345">
        <v>4</v>
      </c>
      <c r="G1415" s="344">
        <f t="shared" si="23"/>
        <v>0</v>
      </c>
    </row>
    <row r="1416" spans="2:7">
      <c r="B1416" s="335">
        <v>46009</v>
      </c>
      <c r="C1416" s="343" t="s">
        <v>1270</v>
      </c>
      <c r="D1416" s="345">
        <v>14</v>
      </c>
      <c r="E1416" s="345" t="s">
        <v>2206</v>
      </c>
      <c r="F1416" s="345">
        <v>14</v>
      </c>
      <c r="G1416" s="344">
        <f t="shared" ref="G1416:G1479" si="24">D1416-F1416</f>
        <v>0</v>
      </c>
    </row>
    <row r="1417" spans="2:7">
      <c r="B1417" s="335">
        <v>46009</v>
      </c>
      <c r="C1417" s="341" t="s">
        <v>672</v>
      </c>
      <c r="D1417" s="345">
        <v>3</v>
      </c>
      <c r="E1417" s="345" t="s">
        <v>2206</v>
      </c>
      <c r="F1417" s="345">
        <v>3</v>
      </c>
      <c r="G1417" s="344">
        <f t="shared" si="24"/>
        <v>0</v>
      </c>
    </row>
    <row r="1418" spans="2:7">
      <c r="B1418" s="335">
        <v>46009</v>
      </c>
      <c r="C1418" s="341" t="s">
        <v>789</v>
      </c>
      <c r="D1418" s="345">
        <v>3</v>
      </c>
      <c r="E1418" s="345" t="s">
        <v>2206</v>
      </c>
      <c r="F1418" s="345">
        <v>3</v>
      </c>
      <c r="G1418" s="344">
        <f t="shared" si="24"/>
        <v>0</v>
      </c>
    </row>
    <row r="1419" spans="2:7">
      <c r="B1419" s="335">
        <v>46009</v>
      </c>
      <c r="C1419" s="343" t="s">
        <v>1617</v>
      </c>
      <c r="D1419" s="345">
        <v>6</v>
      </c>
      <c r="E1419" s="345" t="s">
        <v>2206</v>
      </c>
      <c r="F1419" s="345">
        <v>6</v>
      </c>
      <c r="G1419" s="344">
        <f t="shared" si="24"/>
        <v>0</v>
      </c>
    </row>
    <row r="1420" spans="2:7">
      <c r="B1420" s="335">
        <v>46009</v>
      </c>
      <c r="C1420" s="343" t="s">
        <v>1782</v>
      </c>
      <c r="D1420" s="345">
        <v>5</v>
      </c>
      <c r="E1420" s="345" t="s">
        <v>2206</v>
      </c>
      <c r="F1420" s="345">
        <v>5</v>
      </c>
      <c r="G1420" s="344">
        <f t="shared" si="24"/>
        <v>0</v>
      </c>
    </row>
    <row r="1421" spans="2:7">
      <c r="B1421" s="335">
        <v>46009</v>
      </c>
      <c r="C1421" s="341" t="s">
        <v>671</v>
      </c>
      <c r="D1421" s="345">
        <v>1</v>
      </c>
      <c r="E1421" s="345" t="s">
        <v>2206</v>
      </c>
      <c r="F1421" s="345">
        <v>1</v>
      </c>
      <c r="G1421" s="344">
        <f t="shared" si="24"/>
        <v>0</v>
      </c>
    </row>
    <row r="1422" spans="2:7">
      <c r="B1422" s="335">
        <v>46009</v>
      </c>
      <c r="C1422" s="343" t="s">
        <v>1575</v>
      </c>
      <c r="D1422" s="345">
        <v>64</v>
      </c>
      <c r="E1422" s="345" t="s">
        <v>2206</v>
      </c>
      <c r="F1422" s="345">
        <v>64</v>
      </c>
      <c r="G1422" s="344">
        <f t="shared" si="24"/>
        <v>0</v>
      </c>
    </row>
    <row r="1423" spans="2:7">
      <c r="B1423" s="335">
        <v>46009</v>
      </c>
      <c r="C1423" s="341" t="s">
        <v>76</v>
      </c>
      <c r="D1423" s="345">
        <v>83</v>
      </c>
      <c r="E1423" s="345" t="s">
        <v>2206</v>
      </c>
      <c r="F1423" s="345">
        <v>83</v>
      </c>
      <c r="G1423" s="344">
        <f t="shared" si="24"/>
        <v>0</v>
      </c>
    </row>
    <row r="1424" spans="2:7">
      <c r="B1424" s="434">
        <v>46010</v>
      </c>
      <c r="C1424" s="168" t="s">
        <v>136</v>
      </c>
      <c r="D1424" s="166">
        <v>1</v>
      </c>
      <c r="E1424" s="166" t="s">
        <v>2233</v>
      </c>
      <c r="F1424" s="166">
        <v>1</v>
      </c>
      <c r="G1424" s="167">
        <f t="shared" si="24"/>
        <v>0</v>
      </c>
    </row>
    <row r="1425" spans="2:8">
      <c r="B1425" s="434">
        <v>46010</v>
      </c>
      <c r="C1425" s="168" t="s">
        <v>1259</v>
      </c>
      <c r="D1425" s="166">
        <v>1</v>
      </c>
      <c r="E1425" s="166" t="s">
        <v>2233</v>
      </c>
      <c r="F1425" s="166">
        <v>1</v>
      </c>
      <c r="G1425" s="167">
        <f t="shared" si="24"/>
        <v>0</v>
      </c>
    </row>
    <row r="1426" spans="2:8">
      <c r="B1426" s="346">
        <v>46010</v>
      </c>
      <c r="C1426" s="349" t="s">
        <v>1246</v>
      </c>
      <c r="D1426" s="348">
        <v>3</v>
      </c>
      <c r="E1426" s="348" t="s">
        <v>2093</v>
      </c>
      <c r="F1426" s="348">
        <v>3</v>
      </c>
      <c r="G1426" s="351">
        <f t="shared" si="24"/>
        <v>0</v>
      </c>
    </row>
    <row r="1427" spans="2:8">
      <c r="B1427" s="346">
        <v>46010</v>
      </c>
      <c r="C1427" s="349" t="s">
        <v>1246</v>
      </c>
      <c r="D1427" s="348">
        <v>5</v>
      </c>
      <c r="E1427" s="348" t="s">
        <v>2093</v>
      </c>
      <c r="F1427" s="348">
        <v>5</v>
      </c>
      <c r="G1427" s="351">
        <f t="shared" si="24"/>
        <v>0</v>
      </c>
    </row>
    <row r="1428" spans="2:8">
      <c r="B1428" s="346">
        <v>46010</v>
      </c>
      <c r="C1428" s="349" t="s">
        <v>1271</v>
      </c>
      <c r="D1428" s="348">
        <v>3</v>
      </c>
      <c r="E1428" s="348" t="s">
        <v>2093</v>
      </c>
      <c r="F1428" s="348">
        <v>3</v>
      </c>
      <c r="G1428" s="351">
        <f t="shared" si="24"/>
        <v>0</v>
      </c>
    </row>
    <row r="1429" spans="2:8">
      <c r="B1429" s="346">
        <v>46010</v>
      </c>
      <c r="C1429" s="349" t="s">
        <v>1271</v>
      </c>
      <c r="D1429" s="348">
        <v>3</v>
      </c>
      <c r="E1429" s="348" t="s">
        <v>2093</v>
      </c>
      <c r="F1429" s="348">
        <v>3</v>
      </c>
      <c r="G1429" s="351">
        <f t="shared" si="24"/>
        <v>0</v>
      </c>
    </row>
    <row r="1430" spans="2:8">
      <c r="B1430" s="346">
        <v>46010</v>
      </c>
      <c r="C1430" s="349" t="s">
        <v>1327</v>
      </c>
      <c r="D1430" s="348">
        <v>1</v>
      </c>
      <c r="E1430" s="348" t="s">
        <v>2093</v>
      </c>
      <c r="F1430" s="348">
        <v>1</v>
      </c>
      <c r="G1430" s="351">
        <f t="shared" si="24"/>
        <v>0</v>
      </c>
    </row>
    <row r="1431" spans="2:8">
      <c r="B1431" s="346">
        <v>46010</v>
      </c>
      <c r="C1431" s="349" t="s">
        <v>1568</v>
      </c>
      <c r="D1431" s="348">
        <v>1</v>
      </c>
      <c r="E1431" s="348" t="s">
        <v>2093</v>
      </c>
      <c r="F1431" s="348">
        <v>1</v>
      </c>
      <c r="G1431" s="351">
        <f t="shared" si="24"/>
        <v>0</v>
      </c>
    </row>
    <row r="1432" spans="2:8">
      <c r="B1432" s="346">
        <v>46010</v>
      </c>
      <c r="C1432" s="349" t="s">
        <v>1291</v>
      </c>
      <c r="D1432" s="348">
        <v>2</v>
      </c>
      <c r="E1432" s="348" t="s">
        <v>2093</v>
      </c>
      <c r="F1432" s="348">
        <v>2</v>
      </c>
      <c r="G1432" s="351">
        <f t="shared" si="24"/>
        <v>0</v>
      </c>
    </row>
    <row r="1433" spans="2:8">
      <c r="B1433" s="346">
        <v>46010</v>
      </c>
      <c r="C1433" s="351" t="s">
        <v>932</v>
      </c>
      <c r="D1433" s="348">
        <v>5</v>
      </c>
      <c r="E1433" s="348" t="s">
        <v>2093</v>
      </c>
      <c r="F1433" s="348">
        <v>5</v>
      </c>
      <c r="G1433" s="351">
        <f t="shared" si="24"/>
        <v>0</v>
      </c>
    </row>
    <row r="1434" spans="2:8">
      <c r="B1434" s="346">
        <v>46010</v>
      </c>
      <c r="C1434" s="349" t="s">
        <v>935</v>
      </c>
      <c r="D1434" s="348">
        <v>1</v>
      </c>
      <c r="E1434" s="348" t="s">
        <v>2093</v>
      </c>
      <c r="F1434" s="348">
        <v>1</v>
      </c>
      <c r="G1434" s="351">
        <f t="shared" si="24"/>
        <v>0</v>
      </c>
    </row>
    <row r="1435" spans="2:8">
      <c r="B1435" s="437">
        <v>46010</v>
      </c>
      <c r="C1435" s="598" t="s">
        <v>76</v>
      </c>
      <c r="D1435" s="220">
        <v>5</v>
      </c>
      <c r="E1435" s="220" t="s">
        <v>2235</v>
      </c>
      <c r="F1435" s="220">
        <v>5</v>
      </c>
      <c r="G1435" s="221">
        <f t="shared" si="24"/>
        <v>0</v>
      </c>
    </row>
    <row r="1436" spans="2:8">
      <c r="B1436" s="437">
        <v>46010</v>
      </c>
      <c r="C1436" s="223" t="s">
        <v>134</v>
      </c>
      <c r="D1436" s="220">
        <v>1</v>
      </c>
      <c r="E1436" s="220" t="s">
        <v>2236</v>
      </c>
      <c r="F1436" s="220">
        <v>1</v>
      </c>
      <c r="G1436" s="221">
        <f t="shared" si="24"/>
        <v>0</v>
      </c>
    </row>
    <row r="1437" spans="2:8">
      <c r="B1437" s="437">
        <v>46010</v>
      </c>
      <c r="C1437" s="222" t="s">
        <v>167</v>
      </c>
      <c r="D1437" s="220">
        <v>1</v>
      </c>
      <c r="E1437" s="220" t="s">
        <v>2236</v>
      </c>
      <c r="F1437" s="220">
        <v>1</v>
      </c>
      <c r="G1437" s="221">
        <f t="shared" si="24"/>
        <v>0</v>
      </c>
    </row>
    <row r="1438" spans="2:8">
      <c r="B1438" s="434">
        <v>46010</v>
      </c>
      <c r="C1438" s="503" t="s">
        <v>134</v>
      </c>
      <c r="D1438" s="166">
        <v>1</v>
      </c>
      <c r="E1438" s="166" t="s">
        <v>2237</v>
      </c>
      <c r="F1438" s="166">
        <v>1</v>
      </c>
      <c r="G1438" s="167">
        <f t="shared" si="24"/>
        <v>0</v>
      </c>
    </row>
    <row r="1439" spans="2:8">
      <c r="B1439" s="323">
        <v>46000</v>
      </c>
      <c r="C1439" s="325" t="s">
        <v>167</v>
      </c>
      <c r="D1439" s="322">
        <v>1</v>
      </c>
      <c r="E1439" s="322" t="s">
        <v>682</v>
      </c>
      <c r="F1439" s="322">
        <v>1</v>
      </c>
      <c r="G1439" s="425">
        <f t="shared" si="24"/>
        <v>0</v>
      </c>
      <c r="H1439" s="611" t="s">
        <v>2239</v>
      </c>
    </row>
    <row r="1440" spans="2:8">
      <c r="B1440" s="323">
        <v>46000</v>
      </c>
      <c r="C1440" s="325" t="s">
        <v>2195</v>
      </c>
      <c r="D1440" s="322">
        <v>1</v>
      </c>
      <c r="E1440" s="322" t="s">
        <v>682</v>
      </c>
      <c r="F1440" s="322">
        <v>1</v>
      </c>
      <c r="G1440" s="425">
        <f t="shared" si="24"/>
        <v>0</v>
      </c>
    </row>
    <row r="1441" spans="2:8">
      <c r="B1441" s="323">
        <v>46000</v>
      </c>
      <c r="C1441" s="325" t="s">
        <v>1096</v>
      </c>
      <c r="D1441" s="322">
        <v>1</v>
      </c>
      <c r="E1441" s="322" t="s">
        <v>682</v>
      </c>
      <c r="F1441" s="322">
        <v>1</v>
      </c>
      <c r="G1441" s="425">
        <f t="shared" si="24"/>
        <v>0</v>
      </c>
    </row>
    <row r="1442" spans="2:8">
      <c r="B1442" s="323">
        <v>46000</v>
      </c>
      <c r="C1442" s="325" t="s">
        <v>1569</v>
      </c>
      <c r="D1442" s="322">
        <v>1</v>
      </c>
      <c r="E1442" s="322" t="s">
        <v>682</v>
      </c>
      <c r="F1442" s="322">
        <v>1</v>
      </c>
      <c r="G1442" s="425">
        <f t="shared" si="24"/>
        <v>0</v>
      </c>
    </row>
    <row r="1443" spans="2:8">
      <c r="B1443" s="323">
        <v>46000</v>
      </c>
      <c r="C1443" s="325" t="s">
        <v>973</v>
      </c>
      <c r="D1443" s="322">
        <v>1</v>
      </c>
      <c r="E1443" s="322" t="s">
        <v>682</v>
      </c>
      <c r="F1443" s="322">
        <v>1</v>
      </c>
      <c r="G1443" s="425">
        <f t="shared" si="24"/>
        <v>0</v>
      </c>
    </row>
    <row r="1444" spans="2:8">
      <c r="B1444" s="323">
        <v>46000</v>
      </c>
      <c r="C1444" s="325" t="s">
        <v>1694</v>
      </c>
      <c r="D1444" s="322">
        <v>1</v>
      </c>
      <c r="E1444" s="322" t="s">
        <v>682</v>
      </c>
      <c r="F1444" s="322">
        <v>1</v>
      </c>
      <c r="G1444" s="425">
        <f t="shared" si="24"/>
        <v>0</v>
      </c>
    </row>
    <row r="1445" spans="2:8">
      <c r="B1445" s="323">
        <v>46014</v>
      </c>
      <c r="C1445" s="325" t="s">
        <v>154</v>
      </c>
      <c r="D1445" s="322">
        <v>19</v>
      </c>
      <c r="E1445" s="322" t="s">
        <v>682</v>
      </c>
      <c r="F1445" s="322">
        <v>19</v>
      </c>
      <c r="G1445" s="425">
        <f t="shared" si="24"/>
        <v>0</v>
      </c>
      <c r="H1445" t="s">
        <v>2322</v>
      </c>
    </row>
    <row r="1446" spans="2:8">
      <c r="B1446" s="323">
        <v>46014</v>
      </c>
      <c r="C1446" s="325" t="s">
        <v>154</v>
      </c>
      <c r="D1446" s="322">
        <v>2</v>
      </c>
      <c r="E1446" s="322" t="s">
        <v>682</v>
      </c>
      <c r="F1446" s="322">
        <v>2</v>
      </c>
      <c r="G1446" s="425">
        <f t="shared" si="24"/>
        <v>0</v>
      </c>
    </row>
    <row r="1447" spans="2:8">
      <c r="B1447" s="323">
        <v>46014</v>
      </c>
      <c r="C1447" s="325" t="s">
        <v>806</v>
      </c>
      <c r="D1447" s="322">
        <v>9</v>
      </c>
      <c r="E1447" s="322" t="s">
        <v>682</v>
      </c>
      <c r="F1447" s="322">
        <v>9</v>
      </c>
      <c r="G1447" s="425">
        <f t="shared" si="24"/>
        <v>0</v>
      </c>
    </row>
    <row r="1448" spans="2:8">
      <c r="B1448" s="323">
        <v>46014</v>
      </c>
      <c r="C1448" s="325" t="s">
        <v>807</v>
      </c>
      <c r="D1448" s="322">
        <v>13</v>
      </c>
      <c r="E1448" s="322" t="s">
        <v>682</v>
      </c>
      <c r="F1448" s="322">
        <v>13</v>
      </c>
      <c r="G1448" s="425">
        <f t="shared" si="24"/>
        <v>0</v>
      </c>
    </row>
    <row r="1449" spans="2:8">
      <c r="B1449" s="323">
        <v>46014</v>
      </c>
      <c r="C1449" s="325" t="s">
        <v>808</v>
      </c>
      <c r="D1449" s="322">
        <v>2</v>
      </c>
      <c r="E1449" s="322" t="s">
        <v>682</v>
      </c>
      <c r="F1449" s="322">
        <v>2</v>
      </c>
      <c r="G1449" s="425">
        <f t="shared" si="24"/>
        <v>0</v>
      </c>
    </row>
    <row r="1450" spans="2:8">
      <c r="B1450" s="323">
        <v>46014</v>
      </c>
      <c r="C1450" s="325" t="s">
        <v>383</v>
      </c>
      <c r="D1450" s="322">
        <v>2</v>
      </c>
      <c r="E1450" s="322" t="s">
        <v>682</v>
      </c>
      <c r="F1450" s="322">
        <v>2</v>
      </c>
      <c r="G1450" s="425">
        <f t="shared" si="24"/>
        <v>0</v>
      </c>
    </row>
    <row r="1451" spans="2:8">
      <c r="B1451" s="323">
        <v>46014</v>
      </c>
      <c r="C1451" s="325" t="s">
        <v>2275</v>
      </c>
      <c r="D1451" s="322">
        <v>1</v>
      </c>
      <c r="E1451" s="322" t="s">
        <v>682</v>
      </c>
      <c r="F1451" s="322">
        <v>1</v>
      </c>
      <c r="G1451" s="425">
        <f t="shared" si="24"/>
        <v>0</v>
      </c>
    </row>
    <row r="1452" spans="2:8">
      <c r="B1452" s="323">
        <v>46014</v>
      </c>
      <c r="C1452" s="325" t="s">
        <v>1334</v>
      </c>
      <c r="D1452" s="322">
        <v>6</v>
      </c>
      <c r="E1452" s="322" t="s">
        <v>682</v>
      </c>
      <c r="F1452" s="322">
        <v>6</v>
      </c>
      <c r="G1452" s="425">
        <f t="shared" si="24"/>
        <v>0</v>
      </c>
    </row>
    <row r="1453" spans="2:8">
      <c r="B1453" s="323">
        <v>46014</v>
      </c>
      <c r="C1453" s="325" t="s">
        <v>1409</v>
      </c>
      <c r="D1453" s="322">
        <v>4</v>
      </c>
      <c r="E1453" s="322" t="s">
        <v>682</v>
      </c>
      <c r="F1453" s="322">
        <v>4</v>
      </c>
      <c r="G1453" s="425">
        <f t="shared" si="24"/>
        <v>0</v>
      </c>
    </row>
    <row r="1454" spans="2:8">
      <c r="B1454" s="323">
        <v>46014</v>
      </c>
      <c r="C1454" s="325" t="s">
        <v>1095</v>
      </c>
      <c r="D1454" s="322">
        <v>7</v>
      </c>
      <c r="E1454" s="322" t="s">
        <v>682</v>
      </c>
      <c r="F1454" s="322">
        <v>7</v>
      </c>
      <c r="G1454" s="425">
        <f t="shared" si="24"/>
        <v>0</v>
      </c>
    </row>
    <row r="1455" spans="2:8">
      <c r="B1455" s="323">
        <v>46014</v>
      </c>
      <c r="C1455" s="325" t="s">
        <v>1095</v>
      </c>
      <c r="D1455" s="322">
        <v>4</v>
      </c>
      <c r="E1455" s="322" t="s">
        <v>682</v>
      </c>
      <c r="F1455" s="322">
        <v>4</v>
      </c>
      <c r="G1455" s="425">
        <f t="shared" si="24"/>
        <v>0</v>
      </c>
    </row>
    <row r="1456" spans="2:8">
      <c r="B1456" s="323">
        <v>46014</v>
      </c>
      <c r="C1456" s="325" t="s">
        <v>1259</v>
      </c>
      <c r="D1456" s="322">
        <v>5</v>
      </c>
      <c r="E1456" s="322" t="s">
        <v>682</v>
      </c>
      <c r="F1456" s="322">
        <v>5</v>
      </c>
      <c r="G1456" s="425">
        <f t="shared" si="24"/>
        <v>0</v>
      </c>
    </row>
    <row r="1457" spans="2:7">
      <c r="B1457" s="323">
        <v>46014</v>
      </c>
      <c r="C1457" s="324" t="s">
        <v>2156</v>
      </c>
      <c r="D1457" s="322">
        <v>8</v>
      </c>
      <c r="E1457" s="322" t="s">
        <v>682</v>
      </c>
      <c r="F1457" s="322">
        <v>8</v>
      </c>
      <c r="G1457" s="425">
        <f t="shared" si="24"/>
        <v>0</v>
      </c>
    </row>
    <row r="1458" spans="2:7">
      <c r="B1458" s="323">
        <v>46014</v>
      </c>
      <c r="C1458" s="425" t="s">
        <v>1147</v>
      </c>
      <c r="D1458" s="322">
        <v>3</v>
      </c>
      <c r="E1458" s="322" t="s">
        <v>682</v>
      </c>
      <c r="F1458" s="322">
        <v>3</v>
      </c>
      <c r="G1458" s="425">
        <f t="shared" si="24"/>
        <v>0</v>
      </c>
    </row>
    <row r="1459" spans="2:7">
      <c r="B1459" s="323">
        <v>46014</v>
      </c>
      <c r="C1459" s="325" t="s">
        <v>1246</v>
      </c>
      <c r="D1459" s="322">
        <v>8</v>
      </c>
      <c r="E1459" s="322" t="s">
        <v>682</v>
      </c>
      <c r="F1459" s="322">
        <v>8</v>
      </c>
      <c r="G1459" s="425">
        <f t="shared" si="24"/>
        <v>0</v>
      </c>
    </row>
    <row r="1460" spans="2:7">
      <c r="B1460" s="323">
        <v>46014</v>
      </c>
      <c r="C1460" s="325" t="s">
        <v>1246</v>
      </c>
      <c r="D1460" s="322">
        <v>2</v>
      </c>
      <c r="E1460" s="322" t="s">
        <v>682</v>
      </c>
      <c r="F1460" s="322">
        <v>2</v>
      </c>
      <c r="G1460" s="425">
        <f t="shared" si="24"/>
        <v>0</v>
      </c>
    </row>
    <row r="1461" spans="2:7">
      <c r="B1461" s="323">
        <v>46014</v>
      </c>
      <c r="C1461" s="324" t="s">
        <v>131</v>
      </c>
      <c r="D1461" s="322">
        <v>4</v>
      </c>
      <c r="E1461" s="322" t="s">
        <v>682</v>
      </c>
      <c r="F1461" s="322">
        <v>4</v>
      </c>
      <c r="G1461" s="425">
        <f t="shared" si="24"/>
        <v>0</v>
      </c>
    </row>
    <row r="1462" spans="2:7">
      <c r="B1462" s="323">
        <v>46014</v>
      </c>
      <c r="C1462" s="425" t="s">
        <v>375</v>
      </c>
      <c r="D1462" s="322">
        <v>3</v>
      </c>
      <c r="E1462" s="322" t="s">
        <v>682</v>
      </c>
      <c r="F1462" s="322">
        <v>3</v>
      </c>
      <c r="G1462" s="425">
        <f t="shared" si="24"/>
        <v>0</v>
      </c>
    </row>
    <row r="1463" spans="2:7">
      <c r="B1463" s="323">
        <v>46014</v>
      </c>
      <c r="C1463" s="425" t="s">
        <v>375</v>
      </c>
      <c r="D1463" s="322">
        <v>2</v>
      </c>
      <c r="E1463" s="322" t="s">
        <v>682</v>
      </c>
      <c r="F1463" s="322">
        <v>2</v>
      </c>
      <c r="G1463" s="425">
        <f t="shared" si="24"/>
        <v>0</v>
      </c>
    </row>
    <row r="1464" spans="2:7">
      <c r="B1464" s="323">
        <v>46014</v>
      </c>
      <c r="C1464" s="324" t="s">
        <v>960</v>
      </c>
      <c r="D1464" s="322">
        <v>2</v>
      </c>
      <c r="E1464" s="322" t="s">
        <v>682</v>
      </c>
      <c r="F1464" s="322">
        <v>2</v>
      </c>
      <c r="G1464" s="425">
        <f t="shared" si="24"/>
        <v>0</v>
      </c>
    </row>
    <row r="1465" spans="2:7">
      <c r="B1465" s="323">
        <v>46014</v>
      </c>
      <c r="C1465" s="325" t="s">
        <v>1246</v>
      </c>
      <c r="D1465" s="322">
        <v>16</v>
      </c>
      <c r="E1465" s="322" t="s">
        <v>682</v>
      </c>
      <c r="F1465" s="322">
        <v>16</v>
      </c>
      <c r="G1465" s="425">
        <f t="shared" si="24"/>
        <v>0</v>
      </c>
    </row>
    <row r="1466" spans="2:7">
      <c r="B1466" s="323">
        <v>46014</v>
      </c>
      <c r="C1466" s="325" t="s">
        <v>1246</v>
      </c>
      <c r="D1466" s="322">
        <v>1</v>
      </c>
      <c r="E1466" s="322" t="s">
        <v>682</v>
      </c>
      <c r="F1466" s="322">
        <v>1</v>
      </c>
      <c r="G1466" s="425">
        <f t="shared" si="24"/>
        <v>0</v>
      </c>
    </row>
    <row r="1467" spans="2:7">
      <c r="B1467" s="323">
        <v>46014</v>
      </c>
      <c r="C1467" s="325" t="s">
        <v>1246</v>
      </c>
      <c r="D1467" s="322">
        <v>2</v>
      </c>
      <c r="E1467" s="322" t="s">
        <v>682</v>
      </c>
      <c r="F1467" s="322">
        <v>2</v>
      </c>
      <c r="G1467" s="425">
        <f t="shared" si="24"/>
        <v>0</v>
      </c>
    </row>
    <row r="1468" spans="2:7">
      <c r="B1468" s="323">
        <v>46014</v>
      </c>
      <c r="C1468" s="325" t="s">
        <v>1246</v>
      </c>
      <c r="D1468" s="322">
        <v>1</v>
      </c>
      <c r="E1468" s="322" t="s">
        <v>682</v>
      </c>
      <c r="F1468" s="322">
        <v>1</v>
      </c>
      <c r="G1468" s="425">
        <f t="shared" si="24"/>
        <v>0</v>
      </c>
    </row>
    <row r="1469" spans="2:7">
      <c r="B1469" s="323">
        <v>46014</v>
      </c>
      <c r="C1469" s="325" t="s">
        <v>1301</v>
      </c>
      <c r="D1469" s="322">
        <v>2</v>
      </c>
      <c r="E1469" s="322" t="s">
        <v>682</v>
      </c>
      <c r="F1469" s="322">
        <v>2</v>
      </c>
      <c r="G1469" s="425">
        <f t="shared" si="24"/>
        <v>0</v>
      </c>
    </row>
    <row r="1470" spans="2:7">
      <c r="B1470" s="323">
        <v>46014</v>
      </c>
      <c r="C1470" s="325" t="s">
        <v>1301</v>
      </c>
      <c r="D1470" s="322">
        <v>1</v>
      </c>
      <c r="E1470" s="322" t="s">
        <v>682</v>
      </c>
      <c r="F1470" s="322">
        <v>1</v>
      </c>
      <c r="G1470" s="425">
        <f t="shared" si="24"/>
        <v>0</v>
      </c>
    </row>
    <row r="1471" spans="2:7">
      <c r="B1471" s="323">
        <v>46014</v>
      </c>
      <c r="C1471" s="325" t="s">
        <v>167</v>
      </c>
      <c r="D1471" s="322">
        <v>1</v>
      </c>
      <c r="E1471" s="322" t="s">
        <v>682</v>
      </c>
      <c r="F1471" s="322">
        <v>1</v>
      </c>
      <c r="G1471" s="425">
        <f t="shared" si="24"/>
        <v>0</v>
      </c>
    </row>
    <row r="1472" spans="2:7">
      <c r="B1472" s="323">
        <v>46014</v>
      </c>
      <c r="C1472" s="325" t="s">
        <v>1246</v>
      </c>
      <c r="D1472" s="322">
        <v>1</v>
      </c>
      <c r="E1472" s="322" t="s">
        <v>682</v>
      </c>
      <c r="F1472" s="322">
        <v>1</v>
      </c>
      <c r="G1472" s="425">
        <f t="shared" si="24"/>
        <v>0</v>
      </c>
    </row>
    <row r="1473" spans="2:7">
      <c r="B1473" s="323">
        <v>46014</v>
      </c>
      <c r="C1473" s="324" t="s">
        <v>134</v>
      </c>
      <c r="D1473" s="322">
        <v>1</v>
      </c>
      <c r="E1473" s="322" t="s">
        <v>682</v>
      </c>
      <c r="F1473" s="322">
        <v>1</v>
      </c>
      <c r="G1473" s="425">
        <f t="shared" si="24"/>
        <v>0</v>
      </c>
    </row>
    <row r="1474" spans="2:7">
      <c r="B1474" s="323">
        <v>46014</v>
      </c>
      <c r="C1474" s="325" t="s">
        <v>1434</v>
      </c>
      <c r="D1474" s="322">
        <v>1</v>
      </c>
      <c r="E1474" s="322" t="s">
        <v>682</v>
      </c>
      <c r="F1474" s="322">
        <v>1</v>
      </c>
      <c r="G1474" s="425">
        <f t="shared" si="24"/>
        <v>0</v>
      </c>
    </row>
    <row r="1475" spans="2:7">
      <c r="B1475" s="323">
        <v>46014</v>
      </c>
      <c r="C1475" s="325" t="s">
        <v>167</v>
      </c>
      <c r="D1475" s="322">
        <v>1</v>
      </c>
      <c r="E1475" s="322" t="s">
        <v>682</v>
      </c>
      <c r="F1475" s="322">
        <v>1</v>
      </c>
      <c r="G1475" s="425">
        <f t="shared" si="24"/>
        <v>0</v>
      </c>
    </row>
    <row r="1476" spans="2:7">
      <c r="B1476" s="323">
        <v>46014</v>
      </c>
      <c r="C1476" s="425" t="s">
        <v>170</v>
      </c>
      <c r="D1476" s="322">
        <v>1</v>
      </c>
      <c r="E1476" s="322" t="s">
        <v>682</v>
      </c>
      <c r="F1476" s="322">
        <v>1</v>
      </c>
      <c r="G1476" s="425">
        <f t="shared" si="24"/>
        <v>0</v>
      </c>
    </row>
    <row r="1477" spans="2:7">
      <c r="B1477" s="323">
        <v>46014</v>
      </c>
      <c r="C1477" s="325" t="s">
        <v>975</v>
      </c>
      <c r="D1477" s="322">
        <v>1</v>
      </c>
      <c r="E1477" s="322" t="s">
        <v>682</v>
      </c>
      <c r="F1477" s="322">
        <v>1</v>
      </c>
      <c r="G1477" s="425">
        <f t="shared" si="24"/>
        <v>0</v>
      </c>
    </row>
    <row r="1478" spans="2:7">
      <c r="B1478" s="323">
        <v>46014</v>
      </c>
      <c r="C1478" s="325" t="s">
        <v>1568</v>
      </c>
      <c r="D1478" s="322">
        <v>4</v>
      </c>
      <c r="E1478" s="322" t="s">
        <v>682</v>
      </c>
      <c r="F1478" s="322">
        <v>4</v>
      </c>
      <c r="G1478" s="425">
        <f t="shared" si="24"/>
        <v>0</v>
      </c>
    </row>
    <row r="1479" spans="2:7">
      <c r="B1479" s="323">
        <v>46014</v>
      </c>
      <c r="C1479" s="325" t="s">
        <v>1568</v>
      </c>
      <c r="D1479" s="322">
        <v>1</v>
      </c>
      <c r="E1479" s="322" t="s">
        <v>682</v>
      </c>
      <c r="F1479" s="322">
        <v>1</v>
      </c>
      <c r="G1479" s="425">
        <f t="shared" si="24"/>
        <v>0</v>
      </c>
    </row>
    <row r="1480" spans="2:7">
      <c r="B1480" s="323">
        <v>46014</v>
      </c>
      <c r="C1480" s="325" t="s">
        <v>1641</v>
      </c>
      <c r="D1480" s="322">
        <v>1</v>
      </c>
      <c r="E1480" s="322" t="s">
        <v>682</v>
      </c>
      <c r="F1480" s="322">
        <v>1</v>
      </c>
      <c r="G1480" s="425">
        <f t="shared" ref="G1480:G1543" si="25">D1480-F1480</f>
        <v>0</v>
      </c>
    </row>
    <row r="1481" spans="2:7">
      <c r="B1481" s="323">
        <v>46014</v>
      </c>
      <c r="C1481" s="325" t="s">
        <v>2141</v>
      </c>
      <c r="D1481" s="322">
        <v>1</v>
      </c>
      <c r="E1481" s="322" t="s">
        <v>682</v>
      </c>
      <c r="F1481" s="322">
        <v>1</v>
      </c>
      <c r="G1481" s="425">
        <f t="shared" si="25"/>
        <v>0</v>
      </c>
    </row>
    <row r="1482" spans="2:7">
      <c r="B1482" s="323">
        <v>46014</v>
      </c>
      <c r="C1482" s="325" t="s">
        <v>1312</v>
      </c>
      <c r="D1482" s="322">
        <v>1</v>
      </c>
      <c r="E1482" s="322" t="s">
        <v>682</v>
      </c>
      <c r="F1482" s="322">
        <v>1</v>
      </c>
      <c r="G1482" s="425">
        <f t="shared" si="25"/>
        <v>0</v>
      </c>
    </row>
    <row r="1483" spans="2:7">
      <c r="B1483" s="323">
        <v>46014</v>
      </c>
      <c r="C1483" s="325" t="s">
        <v>1291</v>
      </c>
      <c r="D1483" s="322">
        <v>1</v>
      </c>
      <c r="E1483" s="322" t="s">
        <v>682</v>
      </c>
      <c r="F1483" s="322">
        <v>1</v>
      </c>
      <c r="G1483" s="425">
        <f t="shared" si="25"/>
        <v>0</v>
      </c>
    </row>
    <row r="1484" spans="2:7">
      <c r="B1484" s="323">
        <v>46014</v>
      </c>
      <c r="C1484" s="325" t="s">
        <v>1299</v>
      </c>
      <c r="D1484" s="322">
        <v>1</v>
      </c>
      <c r="E1484" s="322" t="s">
        <v>682</v>
      </c>
      <c r="F1484" s="322">
        <v>1</v>
      </c>
      <c r="G1484" s="425">
        <f t="shared" si="25"/>
        <v>0</v>
      </c>
    </row>
    <row r="1485" spans="2:7">
      <c r="B1485" s="323">
        <v>46014</v>
      </c>
      <c r="C1485" s="425" t="s">
        <v>1716</v>
      </c>
      <c r="D1485" s="322">
        <v>1</v>
      </c>
      <c r="E1485" s="322" t="s">
        <v>682</v>
      </c>
      <c r="F1485" s="322">
        <v>1</v>
      </c>
      <c r="G1485" s="425">
        <f t="shared" si="25"/>
        <v>0</v>
      </c>
    </row>
    <row r="1486" spans="2:7">
      <c r="B1486" s="323">
        <v>46014</v>
      </c>
      <c r="C1486" s="325" t="s">
        <v>1296</v>
      </c>
      <c r="D1486" s="322">
        <v>1</v>
      </c>
      <c r="E1486" s="322" t="s">
        <v>682</v>
      </c>
      <c r="F1486" s="322">
        <v>1</v>
      </c>
      <c r="G1486" s="425">
        <f t="shared" si="25"/>
        <v>0</v>
      </c>
    </row>
    <row r="1487" spans="2:7">
      <c r="B1487" s="323">
        <v>46014</v>
      </c>
      <c r="C1487" s="425" t="s">
        <v>1148</v>
      </c>
      <c r="D1487" s="322">
        <v>1</v>
      </c>
      <c r="E1487" s="322" t="s">
        <v>682</v>
      </c>
      <c r="F1487" s="322">
        <v>1</v>
      </c>
      <c r="G1487" s="425">
        <f t="shared" si="25"/>
        <v>0</v>
      </c>
    </row>
    <row r="1488" spans="2:7">
      <c r="B1488" s="323">
        <v>46014</v>
      </c>
      <c r="C1488" s="325" t="s">
        <v>1561</v>
      </c>
      <c r="D1488" s="322">
        <v>1</v>
      </c>
      <c r="E1488" s="322" t="s">
        <v>682</v>
      </c>
      <c r="F1488" s="322">
        <v>1</v>
      </c>
      <c r="G1488" s="425">
        <f t="shared" si="25"/>
        <v>0</v>
      </c>
    </row>
    <row r="1489" spans="2:7">
      <c r="B1489" s="323">
        <v>46014</v>
      </c>
      <c r="C1489" s="325" t="s">
        <v>2295</v>
      </c>
      <c r="D1489" s="322">
        <v>2</v>
      </c>
      <c r="E1489" s="322" t="s">
        <v>682</v>
      </c>
      <c r="F1489" s="322">
        <v>2</v>
      </c>
      <c r="G1489" s="425">
        <f t="shared" si="25"/>
        <v>0</v>
      </c>
    </row>
    <row r="1490" spans="2:7">
      <c r="B1490" s="323">
        <v>46014</v>
      </c>
      <c r="C1490" s="325" t="s">
        <v>2296</v>
      </c>
      <c r="D1490" s="322">
        <v>2</v>
      </c>
      <c r="E1490" s="322" t="s">
        <v>682</v>
      </c>
      <c r="F1490" s="322">
        <v>2</v>
      </c>
      <c r="G1490" s="425">
        <f t="shared" si="25"/>
        <v>0</v>
      </c>
    </row>
    <row r="1491" spans="2:7">
      <c r="B1491" s="323">
        <v>46014</v>
      </c>
      <c r="C1491" s="325" t="s">
        <v>2321</v>
      </c>
      <c r="D1491" s="322">
        <v>1</v>
      </c>
      <c r="E1491" s="322" t="s">
        <v>682</v>
      </c>
      <c r="F1491" s="322">
        <v>1</v>
      </c>
      <c r="G1491" s="425">
        <f t="shared" si="25"/>
        <v>0</v>
      </c>
    </row>
    <row r="1492" spans="2:7">
      <c r="B1492" s="323">
        <v>46014</v>
      </c>
      <c r="C1492" s="325" t="s">
        <v>2309</v>
      </c>
      <c r="D1492" s="322">
        <v>1</v>
      </c>
      <c r="E1492" s="322" t="s">
        <v>682</v>
      </c>
      <c r="F1492" s="322">
        <v>1</v>
      </c>
      <c r="G1492" s="425">
        <f t="shared" si="25"/>
        <v>0</v>
      </c>
    </row>
    <row r="1493" spans="2:7">
      <c r="B1493" s="323">
        <v>46014</v>
      </c>
      <c r="C1493" s="325" t="s">
        <v>2312</v>
      </c>
      <c r="D1493" s="322">
        <v>1</v>
      </c>
      <c r="E1493" s="322" t="s">
        <v>682</v>
      </c>
      <c r="F1493" s="322">
        <v>1</v>
      </c>
      <c r="G1493" s="425">
        <f t="shared" si="25"/>
        <v>0</v>
      </c>
    </row>
    <row r="1494" spans="2:7">
      <c r="B1494" s="323">
        <v>46014</v>
      </c>
      <c r="C1494" s="325" t="s">
        <v>2317</v>
      </c>
      <c r="D1494" s="322">
        <v>1</v>
      </c>
      <c r="E1494" s="322" t="s">
        <v>682</v>
      </c>
      <c r="F1494" s="322">
        <v>1</v>
      </c>
      <c r="G1494" s="425">
        <f t="shared" si="25"/>
        <v>0</v>
      </c>
    </row>
    <row r="1495" spans="2:7">
      <c r="B1495" s="323">
        <v>46014</v>
      </c>
      <c r="C1495" s="325" t="s">
        <v>2318</v>
      </c>
      <c r="D1495" s="322">
        <v>1</v>
      </c>
      <c r="E1495" s="322" t="s">
        <v>682</v>
      </c>
      <c r="F1495" s="322">
        <v>1</v>
      </c>
      <c r="G1495" s="425">
        <f t="shared" si="25"/>
        <v>0</v>
      </c>
    </row>
    <row r="1496" spans="2:7">
      <c r="B1496" s="323">
        <v>46014</v>
      </c>
      <c r="C1496" s="325" t="s">
        <v>2285</v>
      </c>
      <c r="D1496" s="322">
        <v>1</v>
      </c>
      <c r="E1496" s="322" t="s">
        <v>682</v>
      </c>
      <c r="F1496" s="322">
        <v>1</v>
      </c>
      <c r="G1496" s="425">
        <f t="shared" si="25"/>
        <v>0</v>
      </c>
    </row>
    <row r="1497" spans="2:7">
      <c r="B1497" s="323">
        <v>46014</v>
      </c>
      <c r="C1497" s="325" t="s">
        <v>2319</v>
      </c>
      <c r="D1497" s="322">
        <v>1</v>
      </c>
      <c r="E1497" s="322" t="s">
        <v>682</v>
      </c>
      <c r="F1497" s="322">
        <v>1</v>
      </c>
      <c r="G1497" s="425">
        <f t="shared" si="25"/>
        <v>0</v>
      </c>
    </row>
    <row r="1498" spans="2:7">
      <c r="B1498" s="323">
        <v>46014</v>
      </c>
      <c r="C1498" s="325" t="s">
        <v>2314</v>
      </c>
      <c r="D1498" s="322">
        <v>1</v>
      </c>
      <c r="E1498" s="322" t="s">
        <v>682</v>
      </c>
      <c r="F1498" s="322">
        <v>1</v>
      </c>
      <c r="G1498" s="425">
        <f t="shared" si="25"/>
        <v>0</v>
      </c>
    </row>
    <row r="1499" spans="2:7">
      <c r="B1499" s="323">
        <v>46014</v>
      </c>
      <c r="C1499" s="325" t="s">
        <v>2315</v>
      </c>
      <c r="D1499" s="322">
        <v>1</v>
      </c>
      <c r="E1499" s="322" t="s">
        <v>682</v>
      </c>
      <c r="F1499" s="322">
        <v>1</v>
      </c>
      <c r="G1499" s="425">
        <f t="shared" si="25"/>
        <v>0</v>
      </c>
    </row>
    <row r="1500" spans="2:7">
      <c r="B1500" s="323">
        <v>46014</v>
      </c>
      <c r="C1500" s="325" t="s">
        <v>2316</v>
      </c>
      <c r="D1500" s="322">
        <v>1</v>
      </c>
      <c r="E1500" s="322" t="s">
        <v>682</v>
      </c>
      <c r="F1500" s="322">
        <v>1</v>
      </c>
      <c r="G1500" s="425">
        <f t="shared" si="25"/>
        <v>0</v>
      </c>
    </row>
    <row r="1501" spans="2:7">
      <c r="B1501" s="434">
        <v>46018</v>
      </c>
      <c r="C1501" s="168" t="s">
        <v>1232</v>
      </c>
      <c r="D1501" s="166">
        <v>1</v>
      </c>
      <c r="E1501" s="166" t="s">
        <v>1904</v>
      </c>
      <c r="F1501" s="166">
        <v>1</v>
      </c>
      <c r="G1501" s="167">
        <f t="shared" si="25"/>
        <v>0</v>
      </c>
    </row>
    <row r="1502" spans="2:7">
      <c r="B1502" s="335">
        <v>46018</v>
      </c>
      <c r="C1502" s="92" t="s">
        <v>76</v>
      </c>
      <c r="D1502" s="43">
        <v>216</v>
      </c>
      <c r="E1502" s="43" t="s">
        <v>2349</v>
      </c>
      <c r="F1502" s="43">
        <v>216</v>
      </c>
      <c r="G1502" s="104">
        <f t="shared" si="25"/>
        <v>0</v>
      </c>
    </row>
    <row r="1503" spans="2:7">
      <c r="B1503" s="434">
        <v>46020</v>
      </c>
      <c r="C1503" s="168" t="s">
        <v>1334</v>
      </c>
      <c r="D1503" s="166">
        <v>2</v>
      </c>
      <c r="E1503" s="166" t="s">
        <v>2388</v>
      </c>
      <c r="F1503" s="166">
        <v>2</v>
      </c>
      <c r="G1503" s="167">
        <f t="shared" si="25"/>
        <v>0</v>
      </c>
    </row>
    <row r="1504" spans="2:7">
      <c r="B1504" s="310">
        <v>46020</v>
      </c>
      <c r="C1504" s="526" t="s">
        <v>2389</v>
      </c>
      <c r="D1504" s="312">
        <v>1</v>
      </c>
      <c r="E1504" s="312" t="s">
        <v>2390</v>
      </c>
      <c r="F1504" s="312">
        <v>1</v>
      </c>
      <c r="G1504" s="528">
        <f t="shared" si="25"/>
        <v>0</v>
      </c>
    </row>
    <row r="1505" spans="2:7">
      <c r="B1505" s="434">
        <v>46022</v>
      </c>
      <c r="C1505" s="503" t="s">
        <v>960</v>
      </c>
      <c r="D1505" s="166">
        <v>1</v>
      </c>
      <c r="E1505" s="166" t="s">
        <v>2405</v>
      </c>
      <c r="F1505" s="166">
        <v>1</v>
      </c>
      <c r="G1505" s="167">
        <f t="shared" si="25"/>
        <v>0</v>
      </c>
    </row>
    <row r="1506" spans="2:7">
      <c r="B1506" s="434">
        <v>46022</v>
      </c>
      <c r="C1506" s="167" t="s">
        <v>375</v>
      </c>
      <c r="D1506" s="166">
        <v>1</v>
      </c>
      <c r="E1506" s="166" t="s">
        <v>2405</v>
      </c>
      <c r="F1506" s="166">
        <v>1</v>
      </c>
      <c r="G1506" s="167">
        <f t="shared" si="25"/>
        <v>0</v>
      </c>
    </row>
    <row r="1507" spans="2:7">
      <c r="B1507" s="434">
        <v>46022</v>
      </c>
      <c r="C1507" s="168" t="s">
        <v>2148</v>
      </c>
      <c r="D1507" s="166">
        <v>1</v>
      </c>
      <c r="E1507" s="166" t="s">
        <v>2405</v>
      </c>
      <c r="F1507" s="166">
        <v>1</v>
      </c>
      <c r="G1507" s="167">
        <f t="shared" si="25"/>
        <v>0</v>
      </c>
    </row>
    <row r="1508" spans="2:7">
      <c r="B1508" s="434">
        <v>46022</v>
      </c>
      <c r="C1508" s="168" t="s">
        <v>2151</v>
      </c>
      <c r="D1508" s="166">
        <v>2</v>
      </c>
      <c r="E1508" s="166" t="s">
        <v>2405</v>
      </c>
      <c r="F1508" s="166">
        <v>2</v>
      </c>
      <c r="G1508" s="167">
        <f t="shared" si="25"/>
        <v>0</v>
      </c>
    </row>
    <row r="1509" spans="2:7">
      <c r="B1509" s="265">
        <v>46020</v>
      </c>
      <c r="C1509" s="92" t="s">
        <v>76</v>
      </c>
      <c r="D1509" s="43">
        <v>48</v>
      </c>
      <c r="E1509" s="43" t="s">
        <v>2408</v>
      </c>
      <c r="F1509" s="43">
        <v>48</v>
      </c>
      <c r="G1509" s="104">
        <f t="shared" si="25"/>
        <v>0</v>
      </c>
    </row>
    <row r="1510" spans="2:7">
      <c r="B1510" s="265">
        <v>46022</v>
      </c>
      <c r="C1510" s="343" t="s">
        <v>1249</v>
      </c>
      <c r="D1510" s="345">
        <v>12</v>
      </c>
      <c r="E1510" s="43" t="s">
        <v>2409</v>
      </c>
      <c r="F1510" s="345">
        <v>12</v>
      </c>
      <c r="G1510" s="104">
        <f t="shared" si="25"/>
        <v>0</v>
      </c>
    </row>
    <row r="1511" spans="2:7">
      <c r="B1511" s="265">
        <v>46022</v>
      </c>
      <c r="C1511" s="93" t="s">
        <v>154</v>
      </c>
      <c r="D1511" s="345">
        <v>1</v>
      </c>
      <c r="E1511" s="43" t="s">
        <v>2409</v>
      </c>
      <c r="F1511" s="345">
        <v>1</v>
      </c>
      <c r="G1511" s="104">
        <f t="shared" si="25"/>
        <v>0</v>
      </c>
    </row>
    <row r="1512" spans="2:7">
      <c r="B1512" s="265">
        <v>46022</v>
      </c>
      <c r="C1512" s="104" t="s">
        <v>375</v>
      </c>
      <c r="D1512" s="345">
        <v>1</v>
      </c>
      <c r="E1512" s="43" t="s">
        <v>2409</v>
      </c>
      <c r="F1512" s="345">
        <v>1</v>
      </c>
      <c r="G1512" s="104">
        <f t="shared" si="25"/>
        <v>0</v>
      </c>
    </row>
    <row r="1513" spans="2:7">
      <c r="B1513" s="265">
        <v>46022</v>
      </c>
      <c r="C1513" s="343" t="s">
        <v>1270</v>
      </c>
      <c r="D1513" s="345">
        <v>10</v>
      </c>
      <c r="E1513" s="43" t="s">
        <v>2409</v>
      </c>
      <c r="F1513" s="345">
        <v>10</v>
      </c>
      <c r="G1513" s="104">
        <f t="shared" si="25"/>
        <v>0</v>
      </c>
    </row>
    <row r="1514" spans="2:7">
      <c r="B1514" s="265">
        <v>46022</v>
      </c>
      <c r="C1514" s="92" t="s">
        <v>672</v>
      </c>
      <c r="D1514" s="345">
        <v>3</v>
      </c>
      <c r="E1514" s="43" t="s">
        <v>2409</v>
      </c>
      <c r="F1514" s="345">
        <v>3</v>
      </c>
      <c r="G1514" s="104">
        <f t="shared" si="25"/>
        <v>0</v>
      </c>
    </row>
    <row r="1515" spans="2:7">
      <c r="B1515" s="265">
        <v>46022</v>
      </c>
      <c r="C1515" s="92" t="s">
        <v>789</v>
      </c>
      <c r="D1515" s="345">
        <v>2</v>
      </c>
      <c r="E1515" s="43" t="s">
        <v>2409</v>
      </c>
      <c r="F1515" s="345">
        <v>2</v>
      </c>
      <c r="G1515" s="104">
        <f t="shared" si="25"/>
        <v>0</v>
      </c>
    </row>
    <row r="1516" spans="2:7">
      <c r="B1516" s="265">
        <v>46022</v>
      </c>
      <c r="C1516" s="92" t="s">
        <v>642</v>
      </c>
      <c r="D1516" s="345">
        <v>23</v>
      </c>
      <c r="E1516" s="43" t="s">
        <v>2409</v>
      </c>
      <c r="F1516" s="345">
        <v>23</v>
      </c>
      <c r="G1516" s="104">
        <f t="shared" si="25"/>
        <v>0</v>
      </c>
    </row>
    <row r="1517" spans="2:7">
      <c r="B1517" s="265">
        <v>46022</v>
      </c>
      <c r="C1517" s="93" t="s">
        <v>1617</v>
      </c>
      <c r="D1517" s="345">
        <v>25</v>
      </c>
      <c r="E1517" s="43" t="s">
        <v>2409</v>
      </c>
      <c r="F1517" s="345">
        <v>25</v>
      </c>
      <c r="G1517" s="104">
        <f t="shared" si="25"/>
        <v>0</v>
      </c>
    </row>
    <row r="1518" spans="2:7">
      <c r="B1518" s="265">
        <v>46022</v>
      </c>
      <c r="C1518" s="93" t="s">
        <v>839</v>
      </c>
      <c r="D1518" s="345">
        <v>6</v>
      </c>
      <c r="E1518" s="43" t="s">
        <v>2409</v>
      </c>
      <c r="F1518" s="345">
        <v>6</v>
      </c>
      <c r="G1518" s="104">
        <f t="shared" si="25"/>
        <v>0</v>
      </c>
    </row>
    <row r="1519" spans="2:7">
      <c r="B1519" s="265">
        <v>46022</v>
      </c>
      <c r="C1519" s="92" t="s">
        <v>671</v>
      </c>
      <c r="D1519" s="345">
        <v>4</v>
      </c>
      <c r="E1519" s="43" t="s">
        <v>2409</v>
      </c>
      <c r="F1519" s="345">
        <v>4</v>
      </c>
      <c r="G1519" s="104">
        <f t="shared" si="25"/>
        <v>0</v>
      </c>
    </row>
    <row r="1520" spans="2:7">
      <c r="B1520" s="265">
        <v>46022</v>
      </c>
      <c r="C1520" s="93" t="s">
        <v>865</v>
      </c>
      <c r="D1520" s="345">
        <v>18</v>
      </c>
      <c r="E1520" s="43" t="s">
        <v>2409</v>
      </c>
      <c r="F1520" s="345">
        <v>18</v>
      </c>
      <c r="G1520" s="104">
        <f t="shared" si="25"/>
        <v>0</v>
      </c>
    </row>
    <row r="1521" spans="2:8">
      <c r="B1521" s="265">
        <v>46022</v>
      </c>
      <c r="C1521" s="343" t="s">
        <v>2358</v>
      </c>
      <c r="D1521" s="43">
        <v>3</v>
      </c>
      <c r="E1521" s="43" t="s">
        <v>2409</v>
      </c>
      <c r="F1521" s="43">
        <v>3</v>
      </c>
      <c r="G1521" s="104">
        <f t="shared" si="25"/>
        <v>0</v>
      </c>
    </row>
    <row r="1522" spans="2:8">
      <c r="B1522" s="265">
        <v>46022</v>
      </c>
      <c r="C1522" s="343" t="s">
        <v>1575</v>
      </c>
      <c r="D1522" s="43">
        <v>73</v>
      </c>
      <c r="E1522" s="43" t="s">
        <v>2409</v>
      </c>
      <c r="F1522" s="43">
        <v>73</v>
      </c>
      <c r="G1522" s="104">
        <f t="shared" si="25"/>
        <v>0</v>
      </c>
    </row>
    <row r="1523" spans="2:8">
      <c r="B1523" s="265">
        <v>46022</v>
      </c>
      <c r="C1523" s="343" t="s">
        <v>2167</v>
      </c>
      <c r="D1523" s="43">
        <v>10</v>
      </c>
      <c r="E1523" s="43" t="s">
        <v>2409</v>
      </c>
      <c r="F1523" s="43">
        <v>10</v>
      </c>
      <c r="G1523" s="104">
        <f t="shared" si="25"/>
        <v>0</v>
      </c>
    </row>
    <row r="1524" spans="2:8">
      <c r="B1524" s="265">
        <v>46022</v>
      </c>
      <c r="C1524" s="343" t="s">
        <v>2374</v>
      </c>
      <c r="D1524" s="43">
        <v>2</v>
      </c>
      <c r="E1524" s="43" t="s">
        <v>2409</v>
      </c>
      <c r="F1524" s="43">
        <v>2</v>
      </c>
      <c r="G1524" s="104">
        <f t="shared" si="25"/>
        <v>0</v>
      </c>
    </row>
    <row r="1525" spans="2:8">
      <c r="B1525" s="265">
        <v>46022</v>
      </c>
      <c r="C1525" s="343" t="s">
        <v>2401</v>
      </c>
      <c r="D1525" s="43">
        <v>2</v>
      </c>
      <c r="E1525" s="43" t="s">
        <v>2409</v>
      </c>
      <c r="F1525" s="43">
        <v>2</v>
      </c>
      <c r="G1525" s="104">
        <f t="shared" si="25"/>
        <v>0</v>
      </c>
    </row>
    <row r="1526" spans="2:8">
      <c r="B1526" s="265">
        <v>46022</v>
      </c>
      <c r="C1526" s="343" t="s">
        <v>2395</v>
      </c>
      <c r="D1526" s="43">
        <v>3</v>
      </c>
      <c r="E1526" s="43" t="s">
        <v>2409</v>
      </c>
      <c r="F1526" s="43">
        <v>3</v>
      </c>
      <c r="G1526" s="104">
        <f t="shared" si="25"/>
        <v>0</v>
      </c>
    </row>
    <row r="1527" spans="2:8">
      <c r="B1527" s="265">
        <v>46022</v>
      </c>
      <c r="C1527" s="343" t="s">
        <v>2375</v>
      </c>
      <c r="D1527" s="43">
        <v>4</v>
      </c>
      <c r="E1527" s="43" t="s">
        <v>2409</v>
      </c>
      <c r="F1527" s="43">
        <v>4</v>
      </c>
      <c r="G1527" s="104">
        <f t="shared" si="25"/>
        <v>0</v>
      </c>
    </row>
    <row r="1528" spans="2:8">
      <c r="B1528" s="265">
        <v>46022</v>
      </c>
      <c r="C1528" s="343" t="s">
        <v>2392</v>
      </c>
      <c r="D1528" s="43">
        <v>1</v>
      </c>
      <c r="E1528" s="43" t="s">
        <v>2409</v>
      </c>
      <c r="F1528" s="43">
        <v>1</v>
      </c>
      <c r="G1528" s="104">
        <f t="shared" si="25"/>
        <v>0</v>
      </c>
    </row>
    <row r="1529" spans="2:8">
      <c r="B1529" s="265">
        <v>46022</v>
      </c>
      <c r="C1529" s="343" t="s">
        <v>2394</v>
      </c>
      <c r="D1529" s="43">
        <v>3</v>
      </c>
      <c r="E1529" s="43" t="s">
        <v>2409</v>
      </c>
      <c r="F1529" s="43">
        <v>3</v>
      </c>
      <c r="G1529" s="104">
        <f t="shared" si="25"/>
        <v>0</v>
      </c>
    </row>
    <row r="1530" spans="2:8">
      <c r="B1530" s="265">
        <v>46022</v>
      </c>
      <c r="C1530" s="92" t="s">
        <v>76</v>
      </c>
      <c r="D1530" s="43">
        <v>84</v>
      </c>
      <c r="E1530" s="43" t="s">
        <v>2409</v>
      </c>
      <c r="F1530" s="43">
        <v>84</v>
      </c>
      <c r="G1530" s="104">
        <f t="shared" si="25"/>
        <v>0</v>
      </c>
    </row>
    <row r="1531" spans="2:8">
      <c r="B1531" s="323">
        <v>45660</v>
      </c>
      <c r="C1531" s="325" t="s">
        <v>1246</v>
      </c>
      <c r="D1531" s="322">
        <v>7</v>
      </c>
      <c r="E1531" s="322" t="s">
        <v>682</v>
      </c>
      <c r="F1531" s="322">
        <v>7</v>
      </c>
      <c r="G1531" s="425">
        <f t="shared" si="25"/>
        <v>0</v>
      </c>
      <c r="H1531" t="s">
        <v>2522</v>
      </c>
    </row>
    <row r="1532" spans="2:8">
      <c r="B1532" s="323">
        <v>45660</v>
      </c>
      <c r="C1532" s="325" t="s">
        <v>1246</v>
      </c>
      <c r="D1532" s="322">
        <v>3</v>
      </c>
      <c r="E1532" s="322" t="s">
        <v>682</v>
      </c>
      <c r="F1532" s="322">
        <v>3</v>
      </c>
      <c r="G1532" s="425">
        <f t="shared" si="25"/>
        <v>0</v>
      </c>
    </row>
    <row r="1533" spans="2:8">
      <c r="B1533" s="323">
        <v>45660</v>
      </c>
      <c r="C1533" s="325" t="s">
        <v>1249</v>
      </c>
      <c r="D1533" s="322">
        <v>1</v>
      </c>
      <c r="E1533" s="322" t="s">
        <v>682</v>
      </c>
      <c r="F1533" s="322">
        <v>1</v>
      </c>
      <c r="G1533" s="425">
        <f t="shared" si="25"/>
        <v>0</v>
      </c>
    </row>
    <row r="1534" spans="2:8">
      <c r="B1534" s="323">
        <v>45660</v>
      </c>
      <c r="C1534" s="324" t="s">
        <v>134</v>
      </c>
      <c r="D1534" s="322">
        <v>1</v>
      </c>
      <c r="E1534" s="322" t="s">
        <v>682</v>
      </c>
      <c r="F1534" s="322">
        <v>1</v>
      </c>
      <c r="G1534" s="425">
        <f t="shared" si="25"/>
        <v>0</v>
      </c>
    </row>
    <row r="1535" spans="2:8">
      <c r="B1535" s="323">
        <v>45660</v>
      </c>
      <c r="C1535" s="325" t="s">
        <v>936</v>
      </c>
      <c r="D1535" s="322">
        <v>1</v>
      </c>
      <c r="E1535" s="322" t="s">
        <v>682</v>
      </c>
      <c r="F1535" s="322">
        <v>1</v>
      </c>
      <c r="G1535" s="425">
        <f t="shared" si="25"/>
        <v>0</v>
      </c>
    </row>
    <row r="1536" spans="2:8">
      <c r="B1536" s="323">
        <v>45660</v>
      </c>
      <c r="C1536" s="325" t="s">
        <v>166</v>
      </c>
      <c r="D1536" s="322">
        <v>1</v>
      </c>
      <c r="E1536" s="322" t="s">
        <v>682</v>
      </c>
      <c r="F1536" s="322">
        <v>1</v>
      </c>
      <c r="G1536" s="425">
        <f t="shared" si="25"/>
        <v>0</v>
      </c>
    </row>
    <row r="1537" spans="2:7">
      <c r="B1537" s="323">
        <v>45660</v>
      </c>
      <c r="C1537" s="325" t="s">
        <v>929</v>
      </c>
      <c r="D1537" s="322">
        <v>2</v>
      </c>
      <c r="E1537" s="322" t="s">
        <v>682</v>
      </c>
      <c r="F1537" s="322">
        <v>2</v>
      </c>
      <c r="G1537" s="425">
        <f t="shared" si="25"/>
        <v>0</v>
      </c>
    </row>
    <row r="1538" spans="2:7">
      <c r="B1538" s="323">
        <v>45660</v>
      </c>
      <c r="C1538" s="325" t="s">
        <v>169</v>
      </c>
      <c r="D1538" s="322">
        <v>1</v>
      </c>
      <c r="E1538" s="322" t="s">
        <v>682</v>
      </c>
      <c r="F1538" s="322">
        <v>1</v>
      </c>
      <c r="G1538" s="425">
        <f t="shared" si="25"/>
        <v>0</v>
      </c>
    </row>
    <row r="1539" spans="2:7">
      <c r="B1539" s="323">
        <v>45660</v>
      </c>
      <c r="C1539" s="325" t="s">
        <v>1319</v>
      </c>
      <c r="D1539" s="322">
        <v>4</v>
      </c>
      <c r="E1539" s="322" t="s">
        <v>682</v>
      </c>
      <c r="F1539" s="322">
        <v>4</v>
      </c>
      <c r="G1539" s="425">
        <f t="shared" si="25"/>
        <v>0</v>
      </c>
    </row>
    <row r="1540" spans="2:7">
      <c r="B1540" s="323">
        <v>45660</v>
      </c>
      <c r="C1540" s="325" t="s">
        <v>1318</v>
      </c>
      <c r="D1540" s="322">
        <v>1</v>
      </c>
      <c r="E1540" s="322" t="s">
        <v>682</v>
      </c>
      <c r="F1540" s="322">
        <v>1</v>
      </c>
      <c r="G1540" s="425">
        <f t="shared" si="25"/>
        <v>0</v>
      </c>
    </row>
    <row r="1541" spans="2:7">
      <c r="B1541" s="323">
        <v>45660</v>
      </c>
      <c r="C1541" s="425" t="s">
        <v>170</v>
      </c>
      <c r="D1541" s="322">
        <v>1</v>
      </c>
      <c r="E1541" s="322" t="s">
        <v>682</v>
      </c>
      <c r="F1541" s="322">
        <v>1</v>
      </c>
      <c r="G1541" s="425">
        <f t="shared" si="25"/>
        <v>0</v>
      </c>
    </row>
    <row r="1542" spans="2:7">
      <c r="B1542" s="323">
        <v>45660</v>
      </c>
      <c r="C1542" s="325" t="s">
        <v>2517</v>
      </c>
      <c r="D1542" s="322">
        <v>1</v>
      </c>
      <c r="E1542" s="322" t="s">
        <v>682</v>
      </c>
      <c r="F1542" s="322">
        <v>1</v>
      </c>
      <c r="G1542" s="425">
        <f t="shared" si="25"/>
        <v>0</v>
      </c>
    </row>
    <row r="1543" spans="2:7">
      <c r="B1543" s="323">
        <v>45660</v>
      </c>
      <c r="C1543" s="324" t="s">
        <v>513</v>
      </c>
      <c r="D1543" s="322">
        <v>1</v>
      </c>
      <c r="E1543" s="322" t="s">
        <v>682</v>
      </c>
      <c r="F1543" s="322">
        <v>1</v>
      </c>
      <c r="G1543" s="425">
        <f t="shared" si="25"/>
        <v>0</v>
      </c>
    </row>
    <row r="1544" spans="2:7">
      <c r="B1544" s="323">
        <v>45660</v>
      </c>
      <c r="C1544" s="325" t="s">
        <v>1641</v>
      </c>
      <c r="D1544" s="322">
        <v>1</v>
      </c>
      <c r="E1544" s="322" t="s">
        <v>682</v>
      </c>
      <c r="F1544" s="322">
        <v>1</v>
      </c>
      <c r="G1544" s="425">
        <f t="shared" ref="G1544:G1608" si="26">D1544-F1544</f>
        <v>0</v>
      </c>
    </row>
    <row r="1545" spans="2:7">
      <c r="B1545" s="323">
        <v>45660</v>
      </c>
      <c r="C1545" s="324" t="s">
        <v>919</v>
      </c>
      <c r="D1545" s="322">
        <v>1</v>
      </c>
      <c r="E1545" s="322" t="s">
        <v>682</v>
      </c>
      <c r="F1545" s="322">
        <v>1</v>
      </c>
      <c r="G1545" s="425">
        <f t="shared" si="26"/>
        <v>0</v>
      </c>
    </row>
    <row r="1546" spans="2:7">
      <c r="B1546" s="323">
        <v>45660</v>
      </c>
      <c r="C1546" s="325" t="s">
        <v>2142</v>
      </c>
      <c r="D1546" s="322">
        <v>1</v>
      </c>
      <c r="E1546" s="322" t="s">
        <v>682</v>
      </c>
      <c r="F1546" s="322">
        <v>1</v>
      </c>
      <c r="G1546" s="425">
        <f t="shared" si="26"/>
        <v>0</v>
      </c>
    </row>
    <row r="1547" spans="2:7">
      <c r="B1547" s="323">
        <v>45660</v>
      </c>
      <c r="C1547" s="325" t="s">
        <v>2142</v>
      </c>
      <c r="D1547" s="322">
        <v>1</v>
      </c>
      <c r="E1547" s="322" t="s">
        <v>682</v>
      </c>
      <c r="F1547" s="322">
        <v>1</v>
      </c>
      <c r="G1547" s="425">
        <f t="shared" si="26"/>
        <v>0</v>
      </c>
    </row>
    <row r="1548" spans="2:7">
      <c r="B1548" s="323">
        <v>45660</v>
      </c>
      <c r="C1548" s="325" t="s">
        <v>1095</v>
      </c>
      <c r="D1548" s="322">
        <v>2</v>
      </c>
      <c r="E1548" s="322" t="s">
        <v>682</v>
      </c>
      <c r="F1548" s="322">
        <v>2</v>
      </c>
      <c r="G1548" s="425">
        <f t="shared" si="26"/>
        <v>0</v>
      </c>
    </row>
    <row r="1549" spans="2:7">
      <c r="B1549" s="323">
        <v>45660</v>
      </c>
      <c r="C1549" s="324" t="s">
        <v>2156</v>
      </c>
      <c r="D1549" s="322">
        <v>2</v>
      </c>
      <c r="E1549" s="322" t="s">
        <v>682</v>
      </c>
      <c r="F1549" s="322">
        <v>2</v>
      </c>
      <c r="G1549" s="425">
        <f t="shared" si="26"/>
        <v>0</v>
      </c>
    </row>
    <row r="1550" spans="2:7">
      <c r="B1550" s="323">
        <v>45660</v>
      </c>
      <c r="C1550" s="325" t="s">
        <v>2312</v>
      </c>
      <c r="D1550" s="322">
        <v>1</v>
      </c>
      <c r="E1550" s="322" t="s">
        <v>682</v>
      </c>
      <c r="F1550" s="322">
        <v>1</v>
      </c>
      <c r="G1550" s="425">
        <f t="shared" si="26"/>
        <v>0</v>
      </c>
    </row>
    <row r="1551" spans="2:7">
      <c r="B1551" s="323">
        <v>45660</v>
      </c>
      <c r="C1551" s="425" t="s">
        <v>1149</v>
      </c>
      <c r="D1551" s="322">
        <v>1</v>
      </c>
      <c r="E1551" s="322" t="s">
        <v>682</v>
      </c>
      <c r="F1551" s="322">
        <v>1</v>
      </c>
      <c r="G1551" s="425">
        <f t="shared" si="26"/>
        <v>0</v>
      </c>
    </row>
    <row r="1552" spans="2:7">
      <c r="B1552" s="323">
        <v>45660</v>
      </c>
      <c r="C1552" s="325" t="s">
        <v>1291</v>
      </c>
      <c r="D1552" s="322">
        <v>1</v>
      </c>
      <c r="E1552" s="322" t="s">
        <v>682</v>
      </c>
      <c r="F1552" s="322">
        <v>1</v>
      </c>
      <c r="G1552" s="425">
        <f t="shared" si="26"/>
        <v>0</v>
      </c>
    </row>
    <row r="1553" spans="2:7">
      <c r="B1553" s="323">
        <v>45660</v>
      </c>
      <c r="C1553" s="325" t="s">
        <v>1491</v>
      </c>
      <c r="D1553" s="322">
        <v>1</v>
      </c>
      <c r="E1553" s="322" t="s">
        <v>682</v>
      </c>
      <c r="F1553" s="322">
        <v>1</v>
      </c>
      <c r="G1553" s="425">
        <f t="shared" si="26"/>
        <v>0</v>
      </c>
    </row>
    <row r="1554" spans="2:7">
      <c r="B1554" s="323">
        <v>45660</v>
      </c>
      <c r="C1554" s="325" t="s">
        <v>1490</v>
      </c>
      <c r="D1554" s="322">
        <v>1</v>
      </c>
      <c r="E1554" s="322" t="s">
        <v>682</v>
      </c>
      <c r="F1554" s="322">
        <v>1</v>
      </c>
      <c r="G1554" s="425">
        <f t="shared" si="26"/>
        <v>0</v>
      </c>
    </row>
    <row r="1555" spans="2:7">
      <c r="B1555" s="323">
        <v>45660</v>
      </c>
      <c r="C1555" s="325" t="s">
        <v>1409</v>
      </c>
      <c r="D1555" s="322">
        <v>4</v>
      </c>
      <c r="E1555" s="322" t="s">
        <v>682</v>
      </c>
      <c r="F1555" s="322">
        <v>4</v>
      </c>
      <c r="G1555" s="425">
        <f t="shared" si="26"/>
        <v>0</v>
      </c>
    </row>
    <row r="1556" spans="2:7">
      <c r="B1556" s="323">
        <v>45660</v>
      </c>
      <c r="C1556" s="325" t="s">
        <v>1312</v>
      </c>
      <c r="D1556" s="322">
        <v>3</v>
      </c>
      <c r="E1556" s="322" t="s">
        <v>682</v>
      </c>
      <c r="F1556" s="322">
        <v>3</v>
      </c>
      <c r="G1556" s="425">
        <f t="shared" si="26"/>
        <v>0</v>
      </c>
    </row>
    <row r="1557" spans="2:7">
      <c r="B1557" s="323">
        <v>45660</v>
      </c>
      <c r="C1557" s="425" t="s">
        <v>375</v>
      </c>
      <c r="D1557" s="322">
        <v>4</v>
      </c>
      <c r="E1557" s="322" t="s">
        <v>682</v>
      </c>
      <c r="F1557" s="322">
        <v>4</v>
      </c>
      <c r="G1557" s="425">
        <f t="shared" si="26"/>
        <v>0</v>
      </c>
    </row>
    <row r="1558" spans="2:7">
      <c r="B1558" s="323">
        <v>45660</v>
      </c>
      <c r="C1558" s="425" t="s">
        <v>375</v>
      </c>
      <c r="D1558" s="322">
        <v>2</v>
      </c>
      <c r="E1558" s="322" t="s">
        <v>682</v>
      </c>
      <c r="F1558" s="322">
        <v>2</v>
      </c>
      <c r="G1558" s="425">
        <f t="shared" si="26"/>
        <v>0</v>
      </c>
    </row>
    <row r="1559" spans="2:7">
      <c r="B1559" s="323">
        <v>45660</v>
      </c>
      <c r="C1559" s="325" t="s">
        <v>2518</v>
      </c>
      <c r="D1559" s="322">
        <v>1</v>
      </c>
      <c r="E1559" s="322" t="s">
        <v>682</v>
      </c>
      <c r="F1559" s="322">
        <v>1</v>
      </c>
      <c r="G1559" s="425">
        <f t="shared" si="26"/>
        <v>0</v>
      </c>
    </row>
    <row r="1560" spans="2:7">
      <c r="B1560" s="323">
        <v>45660</v>
      </c>
      <c r="C1560" s="325" t="s">
        <v>2519</v>
      </c>
      <c r="D1560" s="322">
        <v>1</v>
      </c>
      <c r="E1560" s="322" t="s">
        <v>682</v>
      </c>
      <c r="F1560" s="322">
        <v>1</v>
      </c>
      <c r="G1560" s="425">
        <f t="shared" si="26"/>
        <v>0</v>
      </c>
    </row>
    <row r="1561" spans="2:7">
      <c r="B1561" s="323">
        <v>45660</v>
      </c>
      <c r="C1561" s="325" t="s">
        <v>2520</v>
      </c>
      <c r="D1561" s="322">
        <v>1</v>
      </c>
      <c r="E1561" s="322" t="s">
        <v>682</v>
      </c>
      <c r="F1561" s="322">
        <v>1</v>
      </c>
      <c r="G1561" s="425">
        <f t="shared" si="26"/>
        <v>0</v>
      </c>
    </row>
    <row r="1562" spans="2:7">
      <c r="B1562" s="323">
        <v>45660</v>
      </c>
      <c r="C1562" s="325" t="s">
        <v>2521</v>
      </c>
      <c r="D1562" s="322">
        <v>1</v>
      </c>
      <c r="E1562" s="322" t="s">
        <v>682</v>
      </c>
      <c r="F1562" s="322">
        <v>1</v>
      </c>
      <c r="G1562" s="425">
        <f t="shared" si="26"/>
        <v>0</v>
      </c>
    </row>
    <row r="1563" spans="2:7">
      <c r="B1563" s="323">
        <v>45660</v>
      </c>
      <c r="C1563" s="325" t="s">
        <v>1537</v>
      </c>
      <c r="D1563" s="322">
        <v>3</v>
      </c>
      <c r="E1563" s="322" t="s">
        <v>682</v>
      </c>
      <c r="F1563" s="322">
        <v>3</v>
      </c>
      <c r="G1563" s="425">
        <f t="shared" si="26"/>
        <v>0</v>
      </c>
    </row>
    <row r="1564" spans="2:7">
      <c r="B1564" s="346">
        <v>46023</v>
      </c>
      <c r="C1564" s="349" t="s">
        <v>1246</v>
      </c>
      <c r="D1564" s="348">
        <v>6</v>
      </c>
      <c r="E1564" s="348" t="s">
        <v>2093</v>
      </c>
      <c r="F1564" s="348">
        <v>6</v>
      </c>
      <c r="G1564" s="351">
        <f t="shared" si="26"/>
        <v>0</v>
      </c>
    </row>
    <row r="1565" spans="2:7">
      <c r="B1565" s="346">
        <v>46023</v>
      </c>
      <c r="C1565" s="349" t="s">
        <v>1246</v>
      </c>
      <c r="D1565" s="348">
        <v>4</v>
      </c>
      <c r="E1565" s="348" t="s">
        <v>2093</v>
      </c>
      <c r="F1565" s="348">
        <v>4</v>
      </c>
      <c r="G1565" s="351">
        <f t="shared" si="26"/>
        <v>0</v>
      </c>
    </row>
    <row r="1566" spans="2:7">
      <c r="B1566" s="346">
        <v>46023</v>
      </c>
      <c r="C1566" s="349" t="s">
        <v>1246</v>
      </c>
      <c r="D1566" s="348">
        <v>2</v>
      </c>
      <c r="E1566" s="348" t="s">
        <v>2093</v>
      </c>
      <c r="F1566" s="348">
        <v>2</v>
      </c>
      <c r="G1566" s="351">
        <f t="shared" si="26"/>
        <v>0</v>
      </c>
    </row>
    <row r="1567" spans="2:7">
      <c r="B1567" s="346">
        <v>46023</v>
      </c>
      <c r="C1567" s="349" t="s">
        <v>1271</v>
      </c>
      <c r="D1567" s="348">
        <v>2</v>
      </c>
      <c r="E1567" s="348" t="s">
        <v>2093</v>
      </c>
      <c r="F1567" s="348">
        <v>2</v>
      </c>
      <c r="G1567" s="351">
        <f t="shared" si="26"/>
        <v>0</v>
      </c>
    </row>
    <row r="1568" spans="2:7">
      <c r="B1568" s="346">
        <v>46023</v>
      </c>
      <c r="C1568" s="349" t="s">
        <v>1271</v>
      </c>
      <c r="D1568" s="348">
        <v>2</v>
      </c>
      <c r="E1568" s="348" t="s">
        <v>2093</v>
      </c>
      <c r="F1568" s="348">
        <v>2</v>
      </c>
      <c r="G1568" s="351">
        <f t="shared" si="26"/>
        <v>0</v>
      </c>
    </row>
    <row r="1569" spans="2:8">
      <c r="B1569" s="346">
        <v>46023</v>
      </c>
      <c r="C1569" s="349" t="s">
        <v>1327</v>
      </c>
      <c r="D1569" s="348">
        <v>5</v>
      </c>
      <c r="E1569" s="348" t="s">
        <v>2093</v>
      </c>
      <c r="F1569" s="348">
        <v>5</v>
      </c>
      <c r="G1569" s="351">
        <f t="shared" si="26"/>
        <v>0</v>
      </c>
    </row>
    <row r="1570" spans="2:8">
      <c r="B1570" s="346">
        <v>46023</v>
      </c>
      <c r="C1570" s="349" t="s">
        <v>1326</v>
      </c>
      <c r="D1570" s="348">
        <v>2</v>
      </c>
      <c r="E1570" s="348" t="s">
        <v>2093</v>
      </c>
      <c r="F1570" s="348">
        <v>2</v>
      </c>
      <c r="G1570" s="351">
        <f t="shared" si="26"/>
        <v>0</v>
      </c>
    </row>
    <row r="1571" spans="2:8">
      <c r="B1571" s="346">
        <v>46023</v>
      </c>
      <c r="C1571" s="349" t="s">
        <v>1641</v>
      </c>
      <c r="D1571" s="348">
        <v>1</v>
      </c>
      <c r="E1571" s="348" t="s">
        <v>2093</v>
      </c>
      <c r="F1571" s="348">
        <v>1</v>
      </c>
      <c r="G1571" s="351">
        <f t="shared" si="26"/>
        <v>0</v>
      </c>
    </row>
    <row r="1572" spans="2:8">
      <c r="B1572" s="346">
        <v>46023</v>
      </c>
      <c r="C1572" s="349" t="s">
        <v>1291</v>
      </c>
      <c r="D1572" s="348">
        <v>5</v>
      </c>
      <c r="E1572" s="348" t="s">
        <v>2093</v>
      </c>
      <c r="F1572" s="348">
        <v>5</v>
      </c>
      <c r="G1572" s="351">
        <f t="shared" si="26"/>
        <v>0</v>
      </c>
    </row>
    <row r="1573" spans="2:8">
      <c r="B1573" s="346">
        <v>46023</v>
      </c>
      <c r="C1573" s="349" t="s">
        <v>1491</v>
      </c>
      <c r="D1573" s="348">
        <v>2</v>
      </c>
      <c r="E1573" s="348" t="s">
        <v>2093</v>
      </c>
      <c r="F1573" s="348">
        <v>2</v>
      </c>
      <c r="G1573" s="351">
        <f t="shared" si="26"/>
        <v>0</v>
      </c>
    </row>
    <row r="1574" spans="2:8">
      <c r="B1574" s="346">
        <v>46023</v>
      </c>
      <c r="C1574" s="351" t="s">
        <v>932</v>
      </c>
      <c r="D1574" s="348">
        <v>3</v>
      </c>
      <c r="E1574" s="348" t="s">
        <v>2093</v>
      </c>
      <c r="F1574" s="348">
        <v>3</v>
      </c>
      <c r="G1574" s="351">
        <f t="shared" si="26"/>
        <v>0</v>
      </c>
    </row>
    <row r="1575" spans="2:8">
      <c r="B1575" s="346">
        <v>46023</v>
      </c>
      <c r="C1575" s="349" t="s">
        <v>1246</v>
      </c>
      <c r="D1575" s="348">
        <v>6</v>
      </c>
      <c r="E1575" s="348" t="s">
        <v>2093</v>
      </c>
      <c r="F1575" s="348">
        <v>6</v>
      </c>
      <c r="G1575" s="351">
        <f t="shared" si="26"/>
        <v>0</v>
      </c>
      <c r="H1575" t="s">
        <v>2566</v>
      </c>
    </row>
    <row r="1576" spans="2:8">
      <c r="B1576" s="346">
        <v>46023</v>
      </c>
      <c r="C1576" s="349" t="s">
        <v>1246</v>
      </c>
      <c r="D1576" s="348">
        <v>1</v>
      </c>
      <c r="E1576" s="348" t="s">
        <v>2093</v>
      </c>
      <c r="F1576" s="348">
        <v>1</v>
      </c>
      <c r="G1576" s="351">
        <f t="shared" si="26"/>
        <v>0</v>
      </c>
    </row>
    <row r="1577" spans="2:8">
      <c r="B1577" s="346">
        <v>46023</v>
      </c>
      <c r="C1577" s="349" t="s">
        <v>1271</v>
      </c>
      <c r="D1577" s="348">
        <v>7</v>
      </c>
      <c r="E1577" s="348" t="s">
        <v>2093</v>
      </c>
      <c r="F1577" s="348">
        <v>7</v>
      </c>
      <c r="G1577" s="351">
        <f t="shared" si="26"/>
        <v>0</v>
      </c>
    </row>
    <row r="1578" spans="2:8">
      <c r="B1578" s="346">
        <v>46023</v>
      </c>
      <c r="C1578" s="349" t="s">
        <v>1271</v>
      </c>
      <c r="D1578" s="348">
        <v>1</v>
      </c>
      <c r="E1578" s="348" t="s">
        <v>2093</v>
      </c>
      <c r="F1578" s="348">
        <v>1</v>
      </c>
      <c r="G1578" s="351">
        <f t="shared" si="26"/>
        <v>0</v>
      </c>
    </row>
    <row r="1579" spans="2:8">
      <c r="B1579" s="346">
        <v>46023</v>
      </c>
      <c r="C1579" s="349" t="s">
        <v>1301</v>
      </c>
      <c r="D1579" s="348">
        <v>2</v>
      </c>
      <c r="E1579" s="348" t="s">
        <v>2093</v>
      </c>
      <c r="F1579" s="348">
        <v>2</v>
      </c>
      <c r="G1579" s="351">
        <f t="shared" si="26"/>
        <v>0</v>
      </c>
    </row>
    <row r="1580" spans="2:8">
      <c r="B1580" s="346">
        <v>46023</v>
      </c>
      <c r="C1580" s="349" t="s">
        <v>1327</v>
      </c>
      <c r="D1580" s="348">
        <v>2</v>
      </c>
      <c r="E1580" s="348" t="s">
        <v>2093</v>
      </c>
      <c r="F1580" s="348">
        <v>2</v>
      </c>
      <c r="G1580" s="351">
        <f t="shared" si="26"/>
        <v>0</v>
      </c>
    </row>
    <row r="1581" spans="2:8">
      <c r="B1581" s="346">
        <v>46023</v>
      </c>
      <c r="C1581" s="349" t="s">
        <v>1568</v>
      </c>
      <c r="D1581" s="348">
        <v>1</v>
      </c>
      <c r="E1581" s="348" t="s">
        <v>2093</v>
      </c>
      <c r="F1581" s="348">
        <v>1</v>
      </c>
      <c r="G1581" s="351">
        <f t="shared" si="26"/>
        <v>0</v>
      </c>
    </row>
    <row r="1582" spans="2:8">
      <c r="B1582" s="346">
        <v>46023</v>
      </c>
      <c r="C1582" s="349" t="s">
        <v>1291</v>
      </c>
      <c r="D1582" s="348">
        <v>7</v>
      </c>
      <c r="E1582" s="348" t="s">
        <v>2093</v>
      </c>
      <c r="F1582" s="348">
        <v>7</v>
      </c>
      <c r="G1582" s="351">
        <f t="shared" si="26"/>
        <v>0</v>
      </c>
    </row>
    <row r="1583" spans="2:8">
      <c r="B1583" s="346">
        <v>46023</v>
      </c>
      <c r="C1583" s="349" t="s">
        <v>1291</v>
      </c>
      <c r="D1583" s="348">
        <v>2</v>
      </c>
      <c r="E1583" s="348" t="s">
        <v>2093</v>
      </c>
      <c r="F1583" s="348">
        <v>2</v>
      </c>
      <c r="G1583" s="351">
        <f t="shared" si="26"/>
        <v>0</v>
      </c>
    </row>
    <row r="1584" spans="2:8">
      <c r="B1584" s="346">
        <v>46023</v>
      </c>
      <c r="C1584" s="349" t="s">
        <v>1291</v>
      </c>
      <c r="D1584" s="348">
        <v>1</v>
      </c>
      <c r="E1584" s="348" t="s">
        <v>2093</v>
      </c>
      <c r="F1584" s="348">
        <v>1</v>
      </c>
      <c r="G1584" s="351">
        <f t="shared" si="26"/>
        <v>0</v>
      </c>
    </row>
    <row r="1585" spans="2:8">
      <c r="B1585" s="346">
        <v>46023</v>
      </c>
      <c r="C1585" s="349" t="s">
        <v>1271</v>
      </c>
      <c r="D1585" s="348">
        <v>1</v>
      </c>
      <c r="E1585" s="348" t="s">
        <v>2093</v>
      </c>
      <c r="F1585" s="348">
        <v>1</v>
      </c>
      <c r="G1585" s="351">
        <f t="shared" si="26"/>
        <v>0</v>
      </c>
    </row>
    <row r="1586" spans="2:8">
      <c r="B1586" s="346">
        <v>46023</v>
      </c>
      <c r="C1586" s="349" t="s">
        <v>1246</v>
      </c>
      <c r="D1586" s="348">
        <v>6</v>
      </c>
      <c r="E1586" s="348" t="s">
        <v>2093</v>
      </c>
      <c r="F1586" s="348">
        <v>6</v>
      </c>
      <c r="G1586" s="351">
        <f t="shared" si="26"/>
        <v>0</v>
      </c>
      <c r="H1586" t="s">
        <v>2567</v>
      </c>
    </row>
    <row r="1587" spans="2:8">
      <c r="B1587" s="346">
        <v>46023</v>
      </c>
      <c r="C1587" s="349" t="s">
        <v>1246</v>
      </c>
      <c r="D1587" s="348">
        <v>2</v>
      </c>
      <c r="E1587" s="348" t="s">
        <v>2093</v>
      </c>
      <c r="F1587" s="348">
        <v>2</v>
      </c>
      <c r="G1587" s="351">
        <f t="shared" si="26"/>
        <v>0</v>
      </c>
    </row>
    <row r="1588" spans="2:8">
      <c r="B1588" s="346">
        <v>46023</v>
      </c>
      <c r="C1588" s="349" t="s">
        <v>1271</v>
      </c>
      <c r="D1588" s="348">
        <v>7</v>
      </c>
      <c r="E1588" s="348" t="s">
        <v>2093</v>
      </c>
      <c r="F1588" s="348">
        <v>7</v>
      </c>
      <c r="G1588" s="351">
        <f t="shared" si="26"/>
        <v>0</v>
      </c>
    </row>
    <row r="1589" spans="2:8">
      <c r="B1589" s="346">
        <v>46023</v>
      </c>
      <c r="C1589" s="349" t="s">
        <v>1327</v>
      </c>
      <c r="D1589" s="348">
        <v>4</v>
      </c>
      <c r="E1589" s="348" t="s">
        <v>2093</v>
      </c>
      <c r="F1589" s="348">
        <v>4</v>
      </c>
      <c r="G1589" s="351">
        <f t="shared" si="26"/>
        <v>0</v>
      </c>
    </row>
    <row r="1590" spans="2:8">
      <c r="B1590" s="346">
        <v>46023</v>
      </c>
      <c r="C1590" s="349" t="s">
        <v>1568</v>
      </c>
      <c r="D1590" s="348">
        <v>1</v>
      </c>
      <c r="E1590" s="348" t="s">
        <v>2093</v>
      </c>
      <c r="F1590" s="348">
        <v>1</v>
      </c>
      <c r="G1590" s="351">
        <f t="shared" si="26"/>
        <v>0</v>
      </c>
    </row>
    <row r="1591" spans="2:8">
      <c r="B1591" s="346">
        <v>46023</v>
      </c>
      <c r="C1591" s="349" t="s">
        <v>1291</v>
      </c>
      <c r="D1591" s="348">
        <v>7</v>
      </c>
      <c r="E1591" s="348" t="s">
        <v>2093</v>
      </c>
      <c r="F1591" s="348">
        <v>7</v>
      </c>
      <c r="G1591" s="351">
        <f t="shared" si="26"/>
        <v>0</v>
      </c>
    </row>
    <row r="1592" spans="2:8">
      <c r="B1592" s="346">
        <v>46023</v>
      </c>
      <c r="C1592" s="349" t="s">
        <v>1491</v>
      </c>
      <c r="D1592" s="348">
        <v>2</v>
      </c>
      <c r="E1592" s="348" t="s">
        <v>2093</v>
      </c>
      <c r="F1592" s="348">
        <v>2</v>
      </c>
      <c r="G1592" s="351">
        <f t="shared" si="26"/>
        <v>0</v>
      </c>
    </row>
    <row r="1593" spans="2:8">
      <c r="B1593" s="346">
        <v>46023</v>
      </c>
      <c r="C1593" s="351" t="s">
        <v>932</v>
      </c>
      <c r="D1593" s="348">
        <v>3</v>
      </c>
      <c r="E1593" s="348" t="s">
        <v>2093</v>
      </c>
      <c r="F1593" s="348">
        <v>3</v>
      </c>
      <c r="G1593" s="351">
        <f t="shared" si="26"/>
        <v>0</v>
      </c>
    </row>
    <row r="1594" spans="2:8">
      <c r="B1594" s="434">
        <v>46025</v>
      </c>
      <c r="C1594" s="168" t="s">
        <v>1094</v>
      </c>
      <c r="D1594" s="166">
        <v>1</v>
      </c>
      <c r="E1594" s="166" t="s">
        <v>2605</v>
      </c>
      <c r="F1594" s="166">
        <v>1</v>
      </c>
      <c r="G1594" s="167">
        <f t="shared" si="26"/>
        <v>0</v>
      </c>
    </row>
    <row r="1595" spans="2:8">
      <c r="B1595" s="323">
        <v>46030</v>
      </c>
      <c r="C1595" s="325" t="s">
        <v>1246</v>
      </c>
      <c r="D1595" s="322">
        <v>20</v>
      </c>
      <c r="E1595" s="322" t="s">
        <v>682</v>
      </c>
      <c r="F1595" s="322">
        <v>20</v>
      </c>
      <c r="G1595" s="425">
        <f t="shared" si="26"/>
        <v>0</v>
      </c>
      <c r="H1595" t="s">
        <v>2626</v>
      </c>
    </row>
    <row r="1596" spans="2:8">
      <c r="B1596" s="323">
        <v>46030</v>
      </c>
      <c r="C1596" s="325" t="s">
        <v>1246</v>
      </c>
      <c r="D1596" s="322">
        <v>6</v>
      </c>
      <c r="E1596" s="322" t="s">
        <v>682</v>
      </c>
      <c r="F1596" s="322">
        <v>6</v>
      </c>
      <c r="G1596" s="425">
        <f t="shared" si="26"/>
        <v>0</v>
      </c>
    </row>
    <row r="1597" spans="2:8">
      <c r="B1597" s="323">
        <v>46030</v>
      </c>
      <c r="C1597" s="325" t="s">
        <v>1246</v>
      </c>
      <c r="D1597" s="322">
        <v>11</v>
      </c>
      <c r="E1597" s="322" t="s">
        <v>682</v>
      </c>
      <c r="F1597" s="322">
        <v>11</v>
      </c>
      <c r="G1597" s="425">
        <f t="shared" si="26"/>
        <v>0</v>
      </c>
    </row>
    <row r="1598" spans="2:8">
      <c r="B1598" s="323">
        <v>46030</v>
      </c>
      <c r="C1598" s="325" t="s">
        <v>1271</v>
      </c>
      <c r="D1598" s="322">
        <v>1</v>
      </c>
      <c r="E1598" s="322" t="s">
        <v>682</v>
      </c>
      <c r="F1598" s="322">
        <v>1</v>
      </c>
      <c r="G1598" s="425">
        <f t="shared" si="26"/>
        <v>0</v>
      </c>
    </row>
    <row r="1599" spans="2:8">
      <c r="B1599" s="323">
        <v>46030</v>
      </c>
      <c r="C1599" s="325" t="s">
        <v>154</v>
      </c>
      <c r="D1599" s="322">
        <v>6</v>
      </c>
      <c r="E1599" s="322" t="s">
        <v>682</v>
      </c>
      <c r="F1599" s="322">
        <v>6</v>
      </c>
      <c r="G1599" s="425">
        <f t="shared" si="26"/>
        <v>0</v>
      </c>
    </row>
    <row r="1600" spans="2:8">
      <c r="B1600" s="323">
        <v>46030</v>
      </c>
      <c r="C1600" s="325" t="s">
        <v>2625</v>
      </c>
      <c r="D1600" s="322">
        <v>8</v>
      </c>
      <c r="E1600" s="322" t="s">
        <v>682</v>
      </c>
      <c r="F1600" s="322">
        <v>8</v>
      </c>
      <c r="G1600" s="425">
        <f t="shared" si="26"/>
        <v>0</v>
      </c>
    </row>
    <row r="1601" spans="2:8">
      <c r="B1601" s="346">
        <v>46036</v>
      </c>
      <c r="C1601" s="349" t="s">
        <v>2646</v>
      </c>
      <c r="D1601" s="348">
        <v>1</v>
      </c>
      <c r="E1601" s="348" t="s">
        <v>2093</v>
      </c>
      <c r="F1601" s="348">
        <v>1</v>
      </c>
      <c r="G1601" s="351">
        <f t="shared" si="26"/>
        <v>0</v>
      </c>
    </row>
    <row r="1602" spans="2:8">
      <c r="B1602" s="346">
        <v>46036</v>
      </c>
      <c r="C1602" s="349" t="s">
        <v>1259</v>
      </c>
      <c r="D1602" s="348">
        <v>1</v>
      </c>
      <c r="E1602" s="348" t="s">
        <v>2093</v>
      </c>
      <c r="F1602" s="348">
        <v>1</v>
      </c>
      <c r="G1602" s="351">
        <f t="shared" si="26"/>
        <v>0</v>
      </c>
    </row>
    <row r="1603" spans="2:8">
      <c r="B1603" s="346">
        <v>46036</v>
      </c>
      <c r="C1603" s="351" t="s">
        <v>1716</v>
      </c>
      <c r="D1603" s="348">
        <v>1</v>
      </c>
      <c r="E1603" s="348" t="s">
        <v>2093</v>
      </c>
      <c r="F1603" s="348">
        <v>1</v>
      </c>
      <c r="G1603" s="351">
        <f t="shared" si="26"/>
        <v>0</v>
      </c>
    </row>
    <row r="1604" spans="2:8">
      <c r="B1604" s="346">
        <v>46036</v>
      </c>
      <c r="C1604" s="349" t="s">
        <v>1297</v>
      </c>
      <c r="D1604" s="348">
        <v>2</v>
      </c>
      <c r="E1604" s="348" t="s">
        <v>2093</v>
      </c>
      <c r="F1604" s="348">
        <v>2</v>
      </c>
      <c r="G1604" s="351">
        <f t="shared" si="26"/>
        <v>0</v>
      </c>
    </row>
    <row r="1605" spans="2:8">
      <c r="B1605" s="346">
        <v>46036</v>
      </c>
      <c r="C1605" s="347" t="s">
        <v>2155</v>
      </c>
      <c r="D1605" s="348">
        <v>1</v>
      </c>
      <c r="E1605" s="348" t="s">
        <v>2093</v>
      </c>
      <c r="F1605" s="348">
        <v>1</v>
      </c>
      <c r="G1605" s="351">
        <f t="shared" si="26"/>
        <v>0</v>
      </c>
    </row>
    <row r="1606" spans="2:8">
      <c r="B1606" s="346">
        <v>46036</v>
      </c>
      <c r="C1606" s="349" t="s">
        <v>1296</v>
      </c>
      <c r="D1606" s="348">
        <v>1</v>
      </c>
      <c r="E1606" s="348" t="s">
        <v>2093</v>
      </c>
      <c r="F1606" s="348">
        <v>1</v>
      </c>
      <c r="G1606" s="351">
        <f t="shared" si="26"/>
        <v>0</v>
      </c>
    </row>
    <row r="1607" spans="2:8">
      <c r="B1607" s="346">
        <v>46036</v>
      </c>
      <c r="C1607" s="349" t="s">
        <v>2627</v>
      </c>
      <c r="D1607" s="348">
        <v>6</v>
      </c>
      <c r="E1607" s="348" t="s">
        <v>2093</v>
      </c>
      <c r="F1607" s="348">
        <v>6</v>
      </c>
      <c r="G1607" s="351">
        <f t="shared" si="26"/>
        <v>0</v>
      </c>
    </row>
    <row r="1608" spans="2:8">
      <c r="B1608" s="323">
        <v>46036</v>
      </c>
      <c r="C1608" s="325" t="s">
        <v>1246</v>
      </c>
      <c r="D1608" s="322">
        <v>11</v>
      </c>
      <c r="E1608" s="322" t="s">
        <v>682</v>
      </c>
      <c r="F1608" s="322">
        <v>11</v>
      </c>
      <c r="G1608" s="425">
        <f t="shared" si="26"/>
        <v>0</v>
      </c>
      <c r="H1608" t="s">
        <v>2718</v>
      </c>
    </row>
    <row r="1609" spans="2:8">
      <c r="B1609" s="323">
        <v>46036</v>
      </c>
      <c r="C1609" s="325" t="s">
        <v>1246</v>
      </c>
      <c r="D1609" s="322">
        <v>15</v>
      </c>
      <c r="E1609" s="322" t="s">
        <v>682</v>
      </c>
      <c r="F1609" s="322">
        <v>15</v>
      </c>
      <c r="G1609" s="425">
        <f t="shared" ref="G1609:G1672" si="27">D1609-F1609</f>
        <v>0</v>
      </c>
    </row>
    <row r="1610" spans="2:8">
      <c r="B1610" s="323">
        <v>46036</v>
      </c>
      <c r="C1610" s="325" t="s">
        <v>1249</v>
      </c>
      <c r="D1610" s="322">
        <v>1</v>
      </c>
      <c r="E1610" s="322" t="s">
        <v>682</v>
      </c>
      <c r="F1610" s="322">
        <v>1</v>
      </c>
      <c r="G1610" s="425">
        <f t="shared" si="27"/>
        <v>0</v>
      </c>
    </row>
    <row r="1611" spans="2:8">
      <c r="B1611" s="323">
        <v>46036</v>
      </c>
      <c r="C1611" s="325" t="s">
        <v>1246</v>
      </c>
      <c r="D1611" s="322">
        <v>8</v>
      </c>
      <c r="E1611" s="322" t="s">
        <v>682</v>
      </c>
      <c r="F1611" s="322">
        <v>8</v>
      </c>
      <c r="G1611" s="425">
        <f t="shared" si="27"/>
        <v>0</v>
      </c>
    </row>
    <row r="1612" spans="2:8">
      <c r="B1612" s="323">
        <v>46036</v>
      </c>
      <c r="C1612" s="325" t="s">
        <v>1246</v>
      </c>
      <c r="D1612" s="322">
        <v>1</v>
      </c>
      <c r="E1612" s="322" t="s">
        <v>682</v>
      </c>
      <c r="F1612" s="322">
        <v>1</v>
      </c>
      <c r="G1612" s="425">
        <f t="shared" si="27"/>
        <v>0</v>
      </c>
    </row>
    <row r="1613" spans="2:8">
      <c r="B1613" s="323">
        <v>46036</v>
      </c>
      <c r="C1613" s="325" t="s">
        <v>1246</v>
      </c>
      <c r="D1613" s="322">
        <v>12</v>
      </c>
      <c r="E1613" s="322" t="s">
        <v>682</v>
      </c>
      <c r="F1613" s="322">
        <v>12</v>
      </c>
      <c r="G1613" s="425">
        <f t="shared" si="27"/>
        <v>0</v>
      </c>
    </row>
    <row r="1614" spans="2:8">
      <c r="B1614" s="323">
        <v>46036</v>
      </c>
      <c r="C1614" s="325" t="s">
        <v>1246</v>
      </c>
      <c r="D1614" s="322">
        <v>1</v>
      </c>
      <c r="E1614" s="322" t="s">
        <v>682</v>
      </c>
      <c r="F1614" s="322">
        <v>1</v>
      </c>
      <c r="G1614" s="425">
        <f t="shared" si="27"/>
        <v>0</v>
      </c>
    </row>
    <row r="1615" spans="2:8">
      <c r="B1615" s="323">
        <v>46036</v>
      </c>
      <c r="C1615" s="325" t="s">
        <v>1246</v>
      </c>
      <c r="D1615" s="322">
        <v>1</v>
      </c>
      <c r="E1615" s="322" t="s">
        <v>682</v>
      </c>
      <c r="F1615" s="322">
        <v>1</v>
      </c>
      <c r="G1615" s="425">
        <f t="shared" si="27"/>
        <v>0</v>
      </c>
    </row>
    <row r="1616" spans="2:8">
      <c r="B1616" s="323">
        <v>46036</v>
      </c>
      <c r="C1616" s="325" t="s">
        <v>1271</v>
      </c>
      <c r="D1616" s="322">
        <v>4</v>
      </c>
      <c r="E1616" s="322" t="s">
        <v>682</v>
      </c>
      <c r="F1616" s="322">
        <v>4</v>
      </c>
      <c r="G1616" s="425">
        <f t="shared" si="27"/>
        <v>0</v>
      </c>
    </row>
    <row r="1617" spans="2:7">
      <c r="B1617" s="323">
        <v>46036</v>
      </c>
      <c r="C1617" s="325" t="s">
        <v>1327</v>
      </c>
      <c r="D1617" s="322">
        <v>1</v>
      </c>
      <c r="E1617" s="322" t="s">
        <v>682</v>
      </c>
      <c r="F1617" s="322">
        <v>1</v>
      </c>
      <c r="G1617" s="425">
        <f t="shared" si="27"/>
        <v>0</v>
      </c>
    </row>
    <row r="1618" spans="2:7">
      <c r="B1618" s="323">
        <v>46036</v>
      </c>
      <c r="C1618" s="325" t="s">
        <v>1326</v>
      </c>
      <c r="D1618" s="322">
        <v>2</v>
      </c>
      <c r="E1618" s="322" t="s">
        <v>682</v>
      </c>
      <c r="F1618" s="322">
        <v>2</v>
      </c>
      <c r="G1618" s="425">
        <f t="shared" si="27"/>
        <v>0</v>
      </c>
    </row>
    <row r="1619" spans="2:7">
      <c r="B1619" s="323">
        <v>46036</v>
      </c>
      <c r="C1619" s="325" t="s">
        <v>1326</v>
      </c>
      <c r="D1619" s="322">
        <v>1</v>
      </c>
      <c r="E1619" s="322" t="s">
        <v>682</v>
      </c>
      <c r="F1619" s="322">
        <v>1</v>
      </c>
      <c r="G1619" s="425">
        <f t="shared" si="27"/>
        <v>0</v>
      </c>
    </row>
    <row r="1620" spans="2:7">
      <c r="B1620" s="323">
        <v>46036</v>
      </c>
      <c r="C1620" s="324" t="s">
        <v>134</v>
      </c>
      <c r="D1620" s="322">
        <v>1</v>
      </c>
      <c r="E1620" s="322" t="s">
        <v>682</v>
      </c>
      <c r="F1620" s="322">
        <v>1</v>
      </c>
      <c r="G1620" s="425">
        <f t="shared" si="27"/>
        <v>0</v>
      </c>
    </row>
    <row r="1621" spans="2:7">
      <c r="B1621" s="323">
        <v>46036</v>
      </c>
      <c r="C1621" s="426" t="s">
        <v>928</v>
      </c>
      <c r="D1621" s="322">
        <v>1</v>
      </c>
      <c r="E1621" s="322" t="s">
        <v>682</v>
      </c>
      <c r="F1621" s="322">
        <v>1</v>
      </c>
      <c r="G1621" s="425">
        <f t="shared" si="27"/>
        <v>0</v>
      </c>
    </row>
    <row r="1622" spans="2:7">
      <c r="B1622" s="323">
        <v>46036</v>
      </c>
      <c r="C1622" s="325" t="s">
        <v>1319</v>
      </c>
      <c r="D1622" s="322">
        <v>4</v>
      </c>
      <c r="E1622" s="322" t="s">
        <v>682</v>
      </c>
      <c r="F1622" s="322">
        <v>4</v>
      </c>
      <c r="G1622" s="425">
        <f t="shared" si="27"/>
        <v>0</v>
      </c>
    </row>
    <row r="1623" spans="2:7">
      <c r="B1623" s="323">
        <v>46036</v>
      </c>
      <c r="C1623" s="325" t="s">
        <v>1568</v>
      </c>
      <c r="D1623" s="322">
        <v>1</v>
      </c>
      <c r="E1623" s="322" t="s">
        <v>682</v>
      </c>
      <c r="F1623" s="322">
        <v>1</v>
      </c>
      <c r="G1623" s="425">
        <f t="shared" si="27"/>
        <v>0</v>
      </c>
    </row>
    <row r="1624" spans="2:7">
      <c r="B1624" s="323">
        <v>46036</v>
      </c>
      <c r="C1624" s="325" t="s">
        <v>2019</v>
      </c>
      <c r="D1624" s="322">
        <v>2</v>
      </c>
      <c r="E1624" s="322" t="s">
        <v>682</v>
      </c>
      <c r="F1624" s="322">
        <v>2</v>
      </c>
      <c r="G1624" s="425">
        <f t="shared" si="27"/>
        <v>0</v>
      </c>
    </row>
    <row r="1625" spans="2:7">
      <c r="B1625" s="323">
        <v>46036</v>
      </c>
      <c r="C1625" s="325" t="s">
        <v>2142</v>
      </c>
      <c r="D1625" s="322">
        <v>2</v>
      </c>
      <c r="E1625" s="322" t="s">
        <v>682</v>
      </c>
      <c r="F1625" s="322">
        <v>2</v>
      </c>
      <c r="G1625" s="425">
        <f t="shared" si="27"/>
        <v>0</v>
      </c>
    </row>
    <row r="1626" spans="2:7">
      <c r="B1626" s="323">
        <v>46036</v>
      </c>
      <c r="C1626" s="325" t="s">
        <v>2141</v>
      </c>
      <c r="D1626" s="322">
        <v>1</v>
      </c>
      <c r="E1626" s="322" t="s">
        <v>682</v>
      </c>
      <c r="F1626" s="322">
        <v>1</v>
      </c>
      <c r="G1626" s="425">
        <f t="shared" si="27"/>
        <v>0</v>
      </c>
    </row>
    <row r="1627" spans="2:7">
      <c r="B1627" s="323">
        <v>46036</v>
      </c>
      <c r="C1627" s="425" t="s">
        <v>1149</v>
      </c>
      <c r="D1627" s="322">
        <v>2</v>
      </c>
      <c r="E1627" s="322" t="s">
        <v>682</v>
      </c>
      <c r="F1627" s="322">
        <v>2</v>
      </c>
      <c r="G1627" s="425">
        <f t="shared" si="27"/>
        <v>0</v>
      </c>
    </row>
    <row r="1628" spans="2:7">
      <c r="B1628" s="323">
        <v>46036</v>
      </c>
      <c r="C1628" s="325" t="s">
        <v>1291</v>
      </c>
      <c r="D1628" s="322">
        <v>5</v>
      </c>
      <c r="E1628" s="322" t="s">
        <v>682</v>
      </c>
      <c r="F1628" s="322">
        <v>5</v>
      </c>
      <c r="G1628" s="425">
        <f t="shared" si="27"/>
        <v>0</v>
      </c>
    </row>
    <row r="1629" spans="2:7">
      <c r="B1629" s="323">
        <v>46036</v>
      </c>
      <c r="C1629" s="325" t="s">
        <v>1334</v>
      </c>
      <c r="D1629" s="322">
        <v>1</v>
      </c>
      <c r="E1629" s="322" t="s">
        <v>682</v>
      </c>
      <c r="F1629" s="322">
        <v>1</v>
      </c>
      <c r="G1629" s="425">
        <f t="shared" si="27"/>
        <v>0</v>
      </c>
    </row>
    <row r="1630" spans="2:7">
      <c r="B1630" s="323">
        <v>46036</v>
      </c>
      <c r="C1630" s="324" t="s">
        <v>1387</v>
      </c>
      <c r="D1630" s="322">
        <v>1</v>
      </c>
      <c r="E1630" s="322" t="s">
        <v>682</v>
      </c>
      <c r="F1630" s="322">
        <v>1</v>
      </c>
      <c r="G1630" s="425">
        <f t="shared" si="27"/>
        <v>0</v>
      </c>
    </row>
    <row r="1631" spans="2:7">
      <c r="B1631" s="323">
        <v>46036</v>
      </c>
      <c r="C1631" s="325" t="s">
        <v>1490</v>
      </c>
      <c r="D1631" s="322">
        <v>2</v>
      </c>
      <c r="E1631" s="322" t="s">
        <v>682</v>
      </c>
      <c r="F1631" s="322">
        <v>2</v>
      </c>
      <c r="G1631" s="425">
        <f t="shared" si="27"/>
        <v>0</v>
      </c>
    </row>
    <row r="1632" spans="2:7">
      <c r="B1632" s="323">
        <v>46036</v>
      </c>
      <c r="C1632" s="325" t="s">
        <v>1409</v>
      </c>
      <c r="D1632" s="322">
        <v>4</v>
      </c>
      <c r="E1632" s="322" t="s">
        <v>682</v>
      </c>
      <c r="F1632" s="322">
        <v>4</v>
      </c>
      <c r="G1632" s="425">
        <f t="shared" si="27"/>
        <v>0</v>
      </c>
    </row>
    <row r="1633" spans="2:8">
      <c r="B1633" s="323">
        <v>46036</v>
      </c>
      <c r="C1633" s="325" t="s">
        <v>1311</v>
      </c>
      <c r="D1633" s="322">
        <v>1</v>
      </c>
      <c r="E1633" s="322" t="s">
        <v>682</v>
      </c>
      <c r="F1633" s="322">
        <v>1</v>
      </c>
      <c r="G1633" s="425">
        <f t="shared" si="27"/>
        <v>0</v>
      </c>
    </row>
    <row r="1634" spans="2:8">
      <c r="B1634" s="323">
        <v>46036</v>
      </c>
      <c r="C1634" s="324" t="s">
        <v>131</v>
      </c>
      <c r="D1634" s="322">
        <v>4</v>
      </c>
      <c r="E1634" s="322" t="s">
        <v>682</v>
      </c>
      <c r="F1634" s="322">
        <v>4</v>
      </c>
      <c r="G1634" s="425">
        <f t="shared" si="27"/>
        <v>0</v>
      </c>
    </row>
    <row r="1635" spans="2:8">
      <c r="B1635" s="323">
        <v>46036</v>
      </c>
      <c r="C1635" s="425" t="s">
        <v>375</v>
      </c>
      <c r="D1635" s="322">
        <v>2</v>
      </c>
      <c r="E1635" s="322" t="s">
        <v>682</v>
      </c>
      <c r="F1635" s="322">
        <v>2</v>
      </c>
      <c r="G1635" s="425">
        <f t="shared" si="27"/>
        <v>0</v>
      </c>
    </row>
    <row r="1636" spans="2:8">
      <c r="B1636" s="323">
        <v>46036</v>
      </c>
      <c r="C1636" s="425" t="s">
        <v>375</v>
      </c>
      <c r="D1636" s="322">
        <v>1</v>
      </c>
      <c r="E1636" s="322" t="s">
        <v>682</v>
      </c>
      <c r="F1636" s="322">
        <v>1</v>
      </c>
      <c r="G1636" s="425">
        <f t="shared" si="27"/>
        <v>0</v>
      </c>
    </row>
    <row r="1637" spans="2:8">
      <c r="B1637" s="323">
        <v>46036</v>
      </c>
      <c r="C1637" s="325" t="s">
        <v>1271</v>
      </c>
      <c r="D1637" s="322">
        <v>1</v>
      </c>
      <c r="E1637" s="322" t="s">
        <v>682</v>
      </c>
      <c r="F1637" s="322">
        <v>1</v>
      </c>
      <c r="G1637" s="425">
        <f t="shared" si="27"/>
        <v>0</v>
      </c>
      <c r="H1637" t="s">
        <v>2720</v>
      </c>
    </row>
    <row r="1638" spans="2:8">
      <c r="B1638" s="323">
        <v>46036</v>
      </c>
      <c r="C1638" s="325" t="s">
        <v>1095</v>
      </c>
      <c r="D1638" s="322">
        <v>1</v>
      </c>
      <c r="E1638" s="322" t="s">
        <v>682</v>
      </c>
      <c r="F1638" s="322">
        <v>1</v>
      </c>
      <c r="G1638" s="425">
        <f t="shared" si="27"/>
        <v>0</v>
      </c>
    </row>
    <row r="1639" spans="2:8">
      <c r="B1639" s="323">
        <v>46036</v>
      </c>
      <c r="C1639" s="325" t="s">
        <v>2719</v>
      </c>
      <c r="D1639" s="322">
        <v>1</v>
      </c>
      <c r="E1639" s="322" t="s">
        <v>682</v>
      </c>
      <c r="F1639" s="322">
        <v>1</v>
      </c>
      <c r="G1639" s="425">
        <f t="shared" si="27"/>
        <v>0</v>
      </c>
    </row>
    <row r="1640" spans="2:8">
      <c r="B1640" s="323">
        <v>46036</v>
      </c>
      <c r="C1640" s="425" t="s">
        <v>375</v>
      </c>
      <c r="D1640" s="322">
        <v>1</v>
      </c>
      <c r="E1640" s="322" t="s">
        <v>682</v>
      </c>
      <c r="F1640" s="322">
        <v>1</v>
      </c>
      <c r="G1640" s="425">
        <f t="shared" si="27"/>
        <v>0</v>
      </c>
    </row>
    <row r="1641" spans="2:8">
      <c r="B1641" s="323">
        <v>46036</v>
      </c>
      <c r="C1641" s="325" t="s">
        <v>2706</v>
      </c>
      <c r="D1641" s="322">
        <v>1</v>
      </c>
      <c r="E1641" s="322" t="s">
        <v>682</v>
      </c>
      <c r="F1641" s="322">
        <v>1</v>
      </c>
      <c r="G1641" s="425">
        <f t="shared" si="27"/>
        <v>0</v>
      </c>
    </row>
    <row r="1642" spans="2:8">
      <c r="B1642" s="323">
        <v>46036</v>
      </c>
      <c r="C1642" s="325" t="s">
        <v>2708</v>
      </c>
      <c r="D1642" s="322">
        <v>3</v>
      </c>
      <c r="E1642" s="322" t="s">
        <v>682</v>
      </c>
      <c r="F1642" s="322">
        <v>3</v>
      </c>
      <c r="G1642" s="425">
        <f t="shared" si="27"/>
        <v>0</v>
      </c>
    </row>
    <row r="1643" spans="2:8">
      <c r="B1643" s="323">
        <v>46036</v>
      </c>
      <c r="C1643" s="325" t="s">
        <v>2712</v>
      </c>
      <c r="D1643" s="322">
        <v>3</v>
      </c>
      <c r="E1643" s="322" t="s">
        <v>682</v>
      </c>
      <c r="F1643" s="322">
        <v>3</v>
      </c>
      <c r="G1643" s="425">
        <f t="shared" si="27"/>
        <v>0</v>
      </c>
      <c r="H1643" s="731" t="s">
        <v>2720</v>
      </c>
    </row>
    <row r="1644" spans="2:8">
      <c r="B1644" s="346">
        <v>46037</v>
      </c>
      <c r="C1644" s="350" t="s">
        <v>1150</v>
      </c>
      <c r="D1644" s="348">
        <v>1</v>
      </c>
      <c r="E1644" s="348" t="s">
        <v>1845</v>
      </c>
      <c r="F1644" s="348">
        <v>1</v>
      </c>
      <c r="G1644" s="351">
        <f t="shared" si="27"/>
        <v>0</v>
      </c>
    </row>
    <row r="1645" spans="2:8">
      <c r="B1645" s="437">
        <v>46039</v>
      </c>
      <c r="C1645" s="598" t="s">
        <v>78</v>
      </c>
      <c r="D1645" s="220">
        <v>20</v>
      </c>
      <c r="E1645" s="220" t="s">
        <v>2750</v>
      </c>
      <c r="F1645" s="220">
        <v>20</v>
      </c>
      <c r="G1645" s="221">
        <f t="shared" si="27"/>
        <v>0</v>
      </c>
    </row>
    <row r="1646" spans="2:8">
      <c r="B1646" s="346">
        <v>46039</v>
      </c>
      <c r="C1646" s="349" t="s">
        <v>1246</v>
      </c>
      <c r="D1646" s="348">
        <v>2</v>
      </c>
      <c r="E1646" s="348" t="s">
        <v>2093</v>
      </c>
      <c r="F1646" s="348">
        <v>2</v>
      </c>
      <c r="G1646" s="351">
        <f t="shared" si="27"/>
        <v>0</v>
      </c>
      <c r="H1646" t="s">
        <v>2757</v>
      </c>
    </row>
    <row r="1647" spans="2:8">
      <c r="B1647" s="346">
        <v>46039</v>
      </c>
      <c r="C1647" s="349" t="s">
        <v>1246</v>
      </c>
      <c r="D1647" s="348">
        <v>4</v>
      </c>
      <c r="E1647" s="348" t="s">
        <v>2093</v>
      </c>
      <c r="F1647" s="348">
        <v>4</v>
      </c>
      <c r="G1647" s="351">
        <f t="shared" si="27"/>
        <v>0</v>
      </c>
    </row>
    <row r="1648" spans="2:8">
      <c r="B1648" s="346">
        <v>46039</v>
      </c>
      <c r="C1648" s="349" t="s">
        <v>1246</v>
      </c>
      <c r="D1648" s="348">
        <v>4</v>
      </c>
      <c r="E1648" s="348" t="s">
        <v>2093</v>
      </c>
      <c r="F1648" s="348">
        <v>4</v>
      </c>
      <c r="G1648" s="351">
        <f t="shared" si="27"/>
        <v>0</v>
      </c>
    </row>
    <row r="1649" spans="2:8">
      <c r="B1649" s="346">
        <v>46039</v>
      </c>
      <c r="C1649" s="349" t="s">
        <v>1271</v>
      </c>
      <c r="D1649" s="348">
        <v>2</v>
      </c>
      <c r="E1649" s="348" t="s">
        <v>2093</v>
      </c>
      <c r="F1649" s="348">
        <v>2</v>
      </c>
      <c r="G1649" s="351">
        <f t="shared" si="27"/>
        <v>0</v>
      </c>
    </row>
    <row r="1650" spans="2:8">
      <c r="B1650" s="346">
        <v>46039</v>
      </c>
      <c r="C1650" s="349" t="s">
        <v>1271</v>
      </c>
      <c r="D1650" s="348">
        <v>2</v>
      </c>
      <c r="E1650" s="348" t="s">
        <v>2093</v>
      </c>
      <c r="F1650" s="348">
        <v>2</v>
      </c>
      <c r="G1650" s="351">
        <f t="shared" si="27"/>
        <v>0</v>
      </c>
    </row>
    <row r="1651" spans="2:8">
      <c r="B1651" s="346">
        <v>46039</v>
      </c>
      <c r="C1651" s="349" t="s">
        <v>1271</v>
      </c>
      <c r="D1651" s="348">
        <v>2</v>
      </c>
      <c r="E1651" s="348" t="s">
        <v>2093</v>
      </c>
      <c r="F1651" s="348">
        <v>2</v>
      </c>
      <c r="G1651" s="351">
        <f t="shared" si="27"/>
        <v>0</v>
      </c>
    </row>
    <row r="1652" spans="2:8">
      <c r="B1652" s="346">
        <v>46039</v>
      </c>
      <c r="C1652" s="349" t="s">
        <v>1568</v>
      </c>
      <c r="D1652" s="348">
        <v>1</v>
      </c>
      <c r="E1652" s="348" t="s">
        <v>2093</v>
      </c>
      <c r="F1652" s="348">
        <v>1</v>
      </c>
      <c r="G1652" s="351">
        <f t="shared" si="27"/>
        <v>0</v>
      </c>
    </row>
    <row r="1653" spans="2:8">
      <c r="B1653" s="346">
        <v>46039</v>
      </c>
      <c r="C1653" s="349" t="s">
        <v>1291</v>
      </c>
      <c r="D1653" s="348">
        <v>5</v>
      </c>
      <c r="E1653" s="348" t="s">
        <v>2093</v>
      </c>
      <c r="F1653" s="348">
        <v>5</v>
      </c>
      <c r="G1653" s="351">
        <f t="shared" si="27"/>
        <v>0</v>
      </c>
    </row>
    <row r="1654" spans="2:8">
      <c r="B1654" s="346">
        <v>46039</v>
      </c>
      <c r="C1654" s="349" t="s">
        <v>1334</v>
      </c>
      <c r="D1654" s="348">
        <v>1</v>
      </c>
      <c r="E1654" s="348" t="s">
        <v>2093</v>
      </c>
      <c r="F1654" s="348">
        <v>1</v>
      </c>
      <c r="G1654" s="351">
        <f t="shared" si="27"/>
        <v>0</v>
      </c>
    </row>
    <row r="1655" spans="2:8">
      <c r="B1655" s="346">
        <v>46039</v>
      </c>
      <c r="C1655" s="351" t="s">
        <v>932</v>
      </c>
      <c r="D1655" s="348">
        <v>2</v>
      </c>
      <c r="E1655" s="348" t="s">
        <v>2093</v>
      </c>
      <c r="F1655" s="348">
        <v>2</v>
      </c>
      <c r="G1655" s="351">
        <f t="shared" si="27"/>
        <v>0</v>
      </c>
    </row>
    <row r="1656" spans="2:8">
      <c r="B1656" s="437">
        <v>46041</v>
      </c>
      <c r="C1656" s="222" t="s">
        <v>1246</v>
      </c>
      <c r="D1656" s="220">
        <v>2</v>
      </c>
      <c r="E1656" s="220" t="s">
        <v>2778</v>
      </c>
      <c r="F1656" s="220">
        <v>2</v>
      </c>
      <c r="G1656" s="221">
        <f t="shared" si="27"/>
        <v>0</v>
      </c>
    </row>
    <row r="1657" spans="2:8">
      <c r="B1657" s="346">
        <v>46041</v>
      </c>
      <c r="C1657" s="349" t="s">
        <v>1246</v>
      </c>
      <c r="D1657" s="348">
        <v>2</v>
      </c>
      <c r="E1657" s="348" t="s">
        <v>2093</v>
      </c>
      <c r="F1657" s="348">
        <v>2</v>
      </c>
      <c r="G1657" s="351">
        <f t="shared" si="27"/>
        <v>0</v>
      </c>
      <c r="H1657" t="s">
        <v>2779</v>
      </c>
    </row>
    <row r="1658" spans="2:8">
      <c r="B1658" s="346">
        <v>46041</v>
      </c>
      <c r="C1658" s="349" t="s">
        <v>1246</v>
      </c>
      <c r="D1658" s="348">
        <v>1</v>
      </c>
      <c r="E1658" s="348" t="s">
        <v>2093</v>
      </c>
      <c r="F1658" s="348">
        <v>1</v>
      </c>
      <c r="G1658" s="351">
        <f t="shared" si="27"/>
        <v>0</v>
      </c>
    </row>
    <row r="1659" spans="2:8">
      <c r="B1659" s="346">
        <v>46041</v>
      </c>
      <c r="C1659" s="349" t="s">
        <v>1271</v>
      </c>
      <c r="D1659" s="348">
        <v>1</v>
      </c>
      <c r="E1659" s="348" t="s">
        <v>2093</v>
      </c>
      <c r="F1659" s="348">
        <v>1</v>
      </c>
      <c r="G1659" s="351">
        <f t="shared" si="27"/>
        <v>0</v>
      </c>
    </row>
    <row r="1660" spans="2:8">
      <c r="B1660" s="346">
        <v>46041</v>
      </c>
      <c r="C1660" s="349" t="s">
        <v>1327</v>
      </c>
      <c r="D1660" s="348">
        <v>3</v>
      </c>
      <c r="E1660" s="348" t="s">
        <v>2093</v>
      </c>
      <c r="F1660" s="348">
        <v>3</v>
      </c>
      <c r="G1660" s="351">
        <f t="shared" si="27"/>
        <v>0</v>
      </c>
    </row>
    <row r="1661" spans="2:8">
      <c r="B1661" s="346">
        <v>46041</v>
      </c>
      <c r="C1661" s="349" t="s">
        <v>1291</v>
      </c>
      <c r="D1661" s="348">
        <v>7</v>
      </c>
      <c r="E1661" s="348" t="s">
        <v>2093</v>
      </c>
      <c r="F1661" s="348">
        <v>7</v>
      </c>
      <c r="G1661" s="351">
        <f t="shared" si="27"/>
        <v>0</v>
      </c>
    </row>
    <row r="1662" spans="2:8">
      <c r="B1662" s="346">
        <v>46041</v>
      </c>
      <c r="C1662" s="349" t="s">
        <v>1490</v>
      </c>
      <c r="D1662" s="348">
        <v>2</v>
      </c>
      <c r="E1662" s="348" t="s">
        <v>2093</v>
      </c>
      <c r="F1662" s="348">
        <v>2</v>
      </c>
      <c r="G1662" s="351">
        <f t="shared" si="27"/>
        <v>0</v>
      </c>
    </row>
    <row r="1663" spans="2:8">
      <c r="B1663" s="265">
        <v>46043</v>
      </c>
      <c r="C1663" s="93" t="s">
        <v>808</v>
      </c>
      <c r="D1663" s="43">
        <v>50</v>
      </c>
      <c r="E1663" s="43" t="s">
        <v>2794</v>
      </c>
      <c r="F1663" s="43">
        <v>50</v>
      </c>
      <c r="G1663" s="104">
        <f t="shared" si="27"/>
        <v>0</v>
      </c>
    </row>
    <row r="1664" spans="2:8">
      <c r="B1664" s="265">
        <v>46043</v>
      </c>
      <c r="C1664" s="93" t="s">
        <v>807</v>
      </c>
      <c r="D1664" s="43">
        <v>38</v>
      </c>
      <c r="E1664" s="43" t="s">
        <v>2794</v>
      </c>
      <c r="F1664" s="43">
        <v>38</v>
      </c>
      <c r="G1664" s="104">
        <f t="shared" si="27"/>
        <v>0</v>
      </c>
    </row>
    <row r="1665" spans="2:8">
      <c r="B1665" s="265">
        <v>46043</v>
      </c>
      <c r="C1665" s="92" t="s">
        <v>76</v>
      </c>
      <c r="D1665" s="43">
        <v>53</v>
      </c>
      <c r="E1665" s="43" t="s">
        <v>2794</v>
      </c>
      <c r="F1665" s="43">
        <v>53</v>
      </c>
      <c r="G1665" s="104">
        <f t="shared" si="27"/>
        <v>0</v>
      </c>
    </row>
    <row r="1666" spans="2:8">
      <c r="B1666" s="434">
        <v>46043</v>
      </c>
      <c r="C1666" s="168" t="s">
        <v>2143</v>
      </c>
      <c r="D1666" s="166">
        <v>1</v>
      </c>
      <c r="E1666" s="166" t="s">
        <v>1601</v>
      </c>
      <c r="F1666" s="166">
        <v>1</v>
      </c>
      <c r="G1666" s="167">
        <f t="shared" si="27"/>
        <v>0</v>
      </c>
    </row>
    <row r="1667" spans="2:8">
      <c r="B1667" s="323">
        <v>46041</v>
      </c>
      <c r="C1667" s="325" t="s">
        <v>1246</v>
      </c>
      <c r="D1667" s="322">
        <v>14</v>
      </c>
      <c r="E1667" s="322" t="s">
        <v>682</v>
      </c>
      <c r="F1667" s="322">
        <v>14</v>
      </c>
      <c r="G1667" s="425">
        <f t="shared" si="27"/>
        <v>0</v>
      </c>
      <c r="H1667" t="s">
        <v>2795</v>
      </c>
    </row>
    <row r="1668" spans="2:8">
      <c r="B1668" s="323">
        <v>46041</v>
      </c>
      <c r="C1668" s="325" t="s">
        <v>1246</v>
      </c>
      <c r="D1668" s="322">
        <v>3</v>
      </c>
      <c r="E1668" s="322" t="s">
        <v>682</v>
      </c>
      <c r="F1668" s="322">
        <v>3</v>
      </c>
      <c r="G1668" s="425">
        <f t="shared" si="27"/>
        <v>0</v>
      </c>
    </row>
    <row r="1669" spans="2:8">
      <c r="B1669" s="323">
        <v>46041</v>
      </c>
      <c r="C1669" s="325" t="s">
        <v>1246</v>
      </c>
      <c r="D1669" s="322">
        <v>4</v>
      </c>
      <c r="E1669" s="322" t="s">
        <v>682</v>
      </c>
      <c r="F1669" s="322">
        <v>4</v>
      </c>
      <c r="G1669" s="425">
        <f t="shared" si="27"/>
        <v>0</v>
      </c>
    </row>
    <row r="1670" spans="2:8">
      <c r="B1670" s="323">
        <v>46041</v>
      </c>
      <c r="C1670" s="325" t="s">
        <v>1246</v>
      </c>
      <c r="D1670" s="322">
        <v>5</v>
      </c>
      <c r="E1670" s="322" t="s">
        <v>682</v>
      </c>
      <c r="F1670" s="322">
        <v>5</v>
      </c>
      <c r="G1670" s="425">
        <f t="shared" si="27"/>
        <v>0</v>
      </c>
    </row>
    <row r="1671" spans="2:8">
      <c r="B1671" s="323">
        <v>46041</v>
      </c>
      <c r="C1671" s="325" t="s">
        <v>1246</v>
      </c>
      <c r="D1671" s="322">
        <v>3</v>
      </c>
      <c r="E1671" s="322" t="s">
        <v>682</v>
      </c>
      <c r="F1671" s="322">
        <v>3</v>
      </c>
      <c r="G1671" s="425">
        <f t="shared" si="27"/>
        <v>0</v>
      </c>
    </row>
    <row r="1672" spans="2:8">
      <c r="B1672" s="323">
        <v>46041</v>
      </c>
      <c r="C1672" s="325" t="s">
        <v>1246</v>
      </c>
      <c r="D1672" s="322">
        <v>2</v>
      </c>
      <c r="E1672" s="322" t="s">
        <v>682</v>
      </c>
      <c r="F1672" s="322">
        <v>2</v>
      </c>
      <c r="G1672" s="425">
        <f t="shared" si="27"/>
        <v>0</v>
      </c>
    </row>
    <row r="1673" spans="2:8">
      <c r="B1673" s="323">
        <v>46041</v>
      </c>
      <c r="C1673" s="325" t="s">
        <v>1249</v>
      </c>
      <c r="D1673" s="322">
        <v>1</v>
      </c>
      <c r="E1673" s="322" t="s">
        <v>682</v>
      </c>
      <c r="F1673" s="322">
        <v>1</v>
      </c>
      <c r="G1673" s="425">
        <f t="shared" ref="G1673:G1736" si="28">D1673-F1673</f>
        <v>0</v>
      </c>
    </row>
    <row r="1674" spans="2:8">
      <c r="B1674" s="323">
        <v>46041</v>
      </c>
      <c r="C1674" s="325" t="s">
        <v>1290</v>
      </c>
      <c r="D1674" s="322">
        <v>1</v>
      </c>
      <c r="E1674" s="322" t="s">
        <v>682</v>
      </c>
      <c r="F1674" s="322">
        <v>1</v>
      </c>
      <c r="G1674" s="425">
        <f t="shared" si="28"/>
        <v>0</v>
      </c>
    </row>
    <row r="1675" spans="2:8">
      <c r="B1675" s="323">
        <v>46041</v>
      </c>
      <c r="C1675" s="325" t="s">
        <v>1301</v>
      </c>
      <c r="D1675" s="322">
        <v>3</v>
      </c>
      <c r="E1675" s="322" t="s">
        <v>682</v>
      </c>
      <c r="F1675" s="322">
        <v>3</v>
      </c>
      <c r="G1675" s="425">
        <f t="shared" si="28"/>
        <v>0</v>
      </c>
    </row>
    <row r="1676" spans="2:8">
      <c r="B1676" s="323">
        <v>46041</v>
      </c>
      <c r="C1676" s="325" t="s">
        <v>1271</v>
      </c>
      <c r="D1676" s="322">
        <v>5</v>
      </c>
      <c r="E1676" s="322" t="s">
        <v>682</v>
      </c>
      <c r="F1676" s="322">
        <v>5</v>
      </c>
      <c r="G1676" s="425">
        <f t="shared" si="28"/>
        <v>0</v>
      </c>
    </row>
    <row r="1677" spans="2:8">
      <c r="B1677" s="323">
        <v>46041</v>
      </c>
      <c r="C1677" s="325" t="s">
        <v>1271</v>
      </c>
      <c r="D1677" s="322">
        <v>2</v>
      </c>
      <c r="E1677" s="322" t="s">
        <v>682</v>
      </c>
      <c r="F1677" s="322">
        <v>2</v>
      </c>
      <c r="G1677" s="425">
        <f t="shared" si="28"/>
        <v>0</v>
      </c>
    </row>
    <row r="1678" spans="2:8">
      <c r="B1678" s="323">
        <v>46041</v>
      </c>
      <c r="C1678" s="325" t="s">
        <v>1271</v>
      </c>
      <c r="D1678" s="322">
        <v>1</v>
      </c>
      <c r="E1678" s="322" t="s">
        <v>682</v>
      </c>
      <c r="F1678" s="322">
        <v>1</v>
      </c>
      <c r="G1678" s="425">
        <f t="shared" si="28"/>
        <v>0</v>
      </c>
    </row>
    <row r="1679" spans="2:8">
      <c r="B1679" s="323">
        <v>46041</v>
      </c>
      <c r="C1679" s="325" t="s">
        <v>1327</v>
      </c>
      <c r="D1679" s="322">
        <v>5</v>
      </c>
      <c r="E1679" s="322" t="s">
        <v>682</v>
      </c>
      <c r="F1679" s="322">
        <v>5</v>
      </c>
      <c r="G1679" s="425">
        <f t="shared" si="28"/>
        <v>0</v>
      </c>
    </row>
    <row r="1680" spans="2:8">
      <c r="B1680" s="323">
        <v>46041</v>
      </c>
      <c r="C1680" s="325" t="s">
        <v>1326</v>
      </c>
      <c r="D1680" s="322">
        <v>1</v>
      </c>
      <c r="E1680" s="322" t="s">
        <v>682</v>
      </c>
      <c r="F1680" s="322">
        <v>1</v>
      </c>
      <c r="G1680" s="425">
        <f t="shared" si="28"/>
        <v>0</v>
      </c>
    </row>
    <row r="1681" spans="2:8">
      <c r="B1681" s="323">
        <v>46041</v>
      </c>
      <c r="C1681" s="325" t="s">
        <v>1319</v>
      </c>
      <c r="D1681" s="322">
        <v>1</v>
      </c>
      <c r="E1681" s="322" t="s">
        <v>682</v>
      </c>
      <c r="F1681" s="322">
        <v>1</v>
      </c>
      <c r="G1681" s="425">
        <f t="shared" si="28"/>
        <v>0</v>
      </c>
    </row>
    <row r="1682" spans="2:8">
      <c r="B1682" s="323">
        <v>46041</v>
      </c>
      <c r="C1682" s="325" t="s">
        <v>1568</v>
      </c>
      <c r="D1682" s="322">
        <v>1</v>
      </c>
      <c r="E1682" s="322" t="s">
        <v>682</v>
      </c>
      <c r="F1682" s="322">
        <v>1</v>
      </c>
      <c r="G1682" s="425">
        <f t="shared" si="28"/>
        <v>0</v>
      </c>
    </row>
    <row r="1683" spans="2:8">
      <c r="B1683" s="323">
        <v>46041</v>
      </c>
      <c r="C1683" s="324" t="s">
        <v>1994</v>
      </c>
      <c r="D1683" s="322">
        <v>5</v>
      </c>
      <c r="E1683" s="322" t="s">
        <v>682</v>
      </c>
      <c r="F1683" s="322">
        <v>5</v>
      </c>
      <c r="G1683" s="425">
        <f t="shared" si="28"/>
        <v>0</v>
      </c>
    </row>
    <row r="1684" spans="2:8">
      <c r="B1684" s="323">
        <v>46041</v>
      </c>
      <c r="C1684" s="325" t="s">
        <v>1641</v>
      </c>
      <c r="D1684" s="322">
        <v>2</v>
      </c>
      <c r="E1684" s="322" t="s">
        <v>682</v>
      </c>
      <c r="F1684" s="322">
        <v>2</v>
      </c>
      <c r="G1684" s="425">
        <f t="shared" si="28"/>
        <v>0</v>
      </c>
    </row>
    <row r="1685" spans="2:8">
      <c r="B1685" s="323">
        <v>46041</v>
      </c>
      <c r="C1685" s="325" t="s">
        <v>1641</v>
      </c>
      <c r="D1685" s="322">
        <v>1</v>
      </c>
      <c r="E1685" s="322" t="s">
        <v>682</v>
      </c>
      <c r="F1685" s="322">
        <v>1</v>
      </c>
      <c r="G1685" s="425">
        <f t="shared" si="28"/>
        <v>0</v>
      </c>
    </row>
    <row r="1686" spans="2:8">
      <c r="B1686" s="323">
        <v>46041</v>
      </c>
      <c r="C1686" s="325" t="s">
        <v>2520</v>
      </c>
      <c r="D1686" s="322">
        <v>1</v>
      </c>
      <c r="E1686" s="322" t="s">
        <v>682</v>
      </c>
      <c r="F1686" s="322">
        <v>1</v>
      </c>
      <c r="G1686" s="425">
        <f t="shared" si="28"/>
        <v>0</v>
      </c>
    </row>
    <row r="1687" spans="2:8">
      <c r="B1687" s="323">
        <v>46041</v>
      </c>
      <c r="C1687" s="425" t="s">
        <v>1716</v>
      </c>
      <c r="D1687" s="322">
        <v>2</v>
      </c>
      <c r="E1687" s="322" t="s">
        <v>682</v>
      </c>
      <c r="F1687" s="322">
        <v>2</v>
      </c>
      <c r="G1687" s="425">
        <f t="shared" si="28"/>
        <v>0</v>
      </c>
    </row>
    <row r="1688" spans="2:8">
      <c r="B1688" s="323">
        <v>46041</v>
      </c>
      <c r="C1688" s="325" t="s">
        <v>1301</v>
      </c>
      <c r="D1688" s="322">
        <v>1</v>
      </c>
      <c r="E1688" s="322" t="s">
        <v>682</v>
      </c>
      <c r="F1688" s="322">
        <v>1</v>
      </c>
      <c r="G1688" s="425">
        <f t="shared" si="28"/>
        <v>0</v>
      </c>
    </row>
    <row r="1689" spans="2:8">
      <c r="B1689" s="323">
        <v>46041</v>
      </c>
      <c r="C1689" s="325" t="s">
        <v>1641</v>
      </c>
      <c r="D1689" s="322">
        <v>1</v>
      </c>
      <c r="E1689" s="322" t="s">
        <v>682</v>
      </c>
      <c r="F1689" s="322">
        <v>1</v>
      </c>
      <c r="G1689" s="425">
        <f t="shared" si="28"/>
        <v>0</v>
      </c>
      <c r="H1689" s="731" t="s">
        <v>2796</v>
      </c>
    </row>
    <row r="1690" spans="2:8">
      <c r="B1690" s="323">
        <v>46041</v>
      </c>
      <c r="C1690" s="325" t="s">
        <v>1291</v>
      </c>
      <c r="D1690" s="322">
        <v>2</v>
      </c>
      <c r="E1690" s="322" t="s">
        <v>682</v>
      </c>
      <c r="F1690" s="322">
        <v>2</v>
      </c>
      <c r="G1690" s="425">
        <f t="shared" si="28"/>
        <v>0</v>
      </c>
    </row>
    <row r="1691" spans="2:8">
      <c r="B1691" s="434">
        <v>46045</v>
      </c>
      <c r="C1691" s="168" t="s">
        <v>1249</v>
      </c>
      <c r="D1691" s="166">
        <v>1</v>
      </c>
      <c r="E1691" s="166" t="s">
        <v>1618</v>
      </c>
      <c r="F1691" s="166">
        <v>1</v>
      </c>
      <c r="G1691" s="167">
        <f t="shared" si="28"/>
        <v>0</v>
      </c>
    </row>
    <row r="1692" spans="2:8">
      <c r="B1692" s="434">
        <v>46045</v>
      </c>
      <c r="C1692" s="168" t="s">
        <v>1271</v>
      </c>
      <c r="D1692" s="166">
        <v>1</v>
      </c>
      <c r="E1692" s="166" t="s">
        <v>1618</v>
      </c>
      <c r="F1692" s="166">
        <v>1</v>
      </c>
      <c r="G1692" s="167">
        <f t="shared" si="28"/>
        <v>0</v>
      </c>
    </row>
    <row r="1693" spans="2:8">
      <c r="B1693" s="335">
        <v>46045</v>
      </c>
      <c r="C1693" s="343" t="s">
        <v>1246</v>
      </c>
      <c r="D1693" s="345">
        <v>33</v>
      </c>
      <c r="E1693" s="345" t="s">
        <v>2856</v>
      </c>
      <c r="F1693" s="345">
        <v>33</v>
      </c>
      <c r="G1693" s="344">
        <f t="shared" si="28"/>
        <v>0</v>
      </c>
    </row>
    <row r="1694" spans="2:8">
      <c r="B1694" s="335">
        <v>46045</v>
      </c>
      <c r="C1694" s="343" t="s">
        <v>1249</v>
      </c>
      <c r="D1694" s="345">
        <v>2</v>
      </c>
      <c r="E1694" s="345" t="s">
        <v>2856</v>
      </c>
      <c r="F1694" s="345">
        <v>2</v>
      </c>
      <c r="G1694" s="344">
        <f t="shared" si="28"/>
        <v>0</v>
      </c>
    </row>
    <row r="1695" spans="2:8">
      <c r="B1695" s="335">
        <v>46045</v>
      </c>
      <c r="C1695" s="343" t="s">
        <v>1327</v>
      </c>
      <c r="D1695" s="345">
        <v>5</v>
      </c>
      <c r="E1695" s="345" t="s">
        <v>2856</v>
      </c>
      <c r="F1695" s="345">
        <v>5</v>
      </c>
      <c r="G1695" s="344">
        <f t="shared" si="28"/>
        <v>0</v>
      </c>
    </row>
    <row r="1696" spans="2:8">
      <c r="B1696" s="335">
        <v>46045</v>
      </c>
      <c r="C1696" s="343" t="s">
        <v>2312</v>
      </c>
      <c r="D1696" s="345">
        <v>3</v>
      </c>
      <c r="E1696" s="345" t="s">
        <v>2856</v>
      </c>
      <c r="F1696" s="345">
        <v>3</v>
      </c>
      <c r="G1696" s="344">
        <f t="shared" si="28"/>
        <v>0</v>
      </c>
    </row>
    <row r="1697" spans="2:8">
      <c r="B1697" s="335">
        <v>46045</v>
      </c>
      <c r="C1697" s="343" t="s">
        <v>1312</v>
      </c>
      <c r="D1697" s="345">
        <v>3</v>
      </c>
      <c r="E1697" s="345" t="s">
        <v>2856</v>
      </c>
      <c r="F1697" s="345">
        <v>3</v>
      </c>
      <c r="G1697" s="344">
        <f t="shared" si="28"/>
        <v>0</v>
      </c>
    </row>
    <row r="1698" spans="2:8">
      <c r="B1698" s="335">
        <v>46045</v>
      </c>
      <c r="C1698" s="343" t="s">
        <v>808</v>
      </c>
      <c r="D1698" s="345">
        <v>124</v>
      </c>
      <c r="E1698" s="345" t="s">
        <v>2856</v>
      </c>
      <c r="F1698" s="345">
        <v>124</v>
      </c>
      <c r="G1698" s="344">
        <f t="shared" si="28"/>
        <v>0</v>
      </c>
    </row>
    <row r="1699" spans="2:8">
      <c r="B1699" s="335">
        <v>46045</v>
      </c>
      <c r="C1699" s="343" t="s">
        <v>807</v>
      </c>
      <c r="D1699" s="345">
        <v>93</v>
      </c>
      <c r="E1699" s="345" t="s">
        <v>2856</v>
      </c>
      <c r="F1699" s="345">
        <v>93</v>
      </c>
      <c r="G1699" s="344">
        <f t="shared" si="28"/>
        <v>0</v>
      </c>
    </row>
    <row r="1700" spans="2:8">
      <c r="B1700" s="335">
        <v>46045</v>
      </c>
      <c r="C1700" s="343" t="s">
        <v>2275</v>
      </c>
      <c r="D1700" s="345">
        <v>4</v>
      </c>
      <c r="E1700" s="345" t="s">
        <v>2856</v>
      </c>
      <c r="F1700" s="345">
        <v>4</v>
      </c>
      <c r="G1700" s="344">
        <f t="shared" si="28"/>
        <v>0</v>
      </c>
    </row>
    <row r="1701" spans="2:8">
      <c r="B1701" s="335">
        <v>46045</v>
      </c>
      <c r="C1701" s="344" t="s">
        <v>375</v>
      </c>
      <c r="D1701" s="345">
        <v>3</v>
      </c>
      <c r="E1701" s="345" t="s">
        <v>2856</v>
      </c>
      <c r="F1701" s="345">
        <v>3</v>
      </c>
      <c r="G1701" s="344">
        <f t="shared" si="28"/>
        <v>0</v>
      </c>
    </row>
    <row r="1702" spans="2:8">
      <c r="B1702" s="335">
        <v>46045</v>
      </c>
      <c r="C1702" s="341" t="s">
        <v>672</v>
      </c>
      <c r="D1702" s="345">
        <v>10</v>
      </c>
      <c r="E1702" s="345" t="s">
        <v>2856</v>
      </c>
      <c r="F1702" s="345">
        <v>10</v>
      </c>
      <c r="G1702" s="344">
        <f t="shared" si="28"/>
        <v>0</v>
      </c>
    </row>
    <row r="1703" spans="2:8">
      <c r="B1703" s="335">
        <v>46045</v>
      </c>
      <c r="C1703" s="341" t="s">
        <v>789</v>
      </c>
      <c r="D1703" s="345">
        <v>8</v>
      </c>
      <c r="E1703" s="345" t="s">
        <v>2856</v>
      </c>
      <c r="F1703" s="345">
        <v>8</v>
      </c>
      <c r="G1703" s="344">
        <f t="shared" si="28"/>
        <v>0</v>
      </c>
    </row>
    <row r="1704" spans="2:8">
      <c r="B1704" s="335">
        <v>46045</v>
      </c>
      <c r="C1704" s="342" t="s">
        <v>881</v>
      </c>
      <c r="D1704" s="345">
        <v>3</v>
      </c>
      <c r="E1704" s="345" t="s">
        <v>2856</v>
      </c>
      <c r="F1704" s="345">
        <v>3</v>
      </c>
      <c r="G1704" s="344">
        <f t="shared" si="28"/>
        <v>0</v>
      </c>
    </row>
    <row r="1705" spans="2:8">
      <c r="B1705" s="335">
        <v>46045</v>
      </c>
      <c r="C1705" s="343" t="s">
        <v>1617</v>
      </c>
      <c r="D1705" s="345">
        <v>31</v>
      </c>
      <c r="E1705" s="345" t="s">
        <v>2856</v>
      </c>
      <c r="F1705" s="345">
        <v>31</v>
      </c>
      <c r="G1705" s="344">
        <f t="shared" si="28"/>
        <v>0</v>
      </c>
    </row>
    <row r="1706" spans="2:8">
      <c r="B1706" s="335">
        <v>46045</v>
      </c>
      <c r="C1706" s="341" t="s">
        <v>671</v>
      </c>
      <c r="D1706" s="345">
        <v>6</v>
      </c>
      <c r="E1706" s="345" t="s">
        <v>2856</v>
      </c>
      <c r="F1706" s="345">
        <v>6</v>
      </c>
      <c r="G1706" s="344">
        <f t="shared" si="28"/>
        <v>0</v>
      </c>
    </row>
    <row r="1707" spans="2:8">
      <c r="B1707" s="335">
        <v>46045</v>
      </c>
      <c r="C1707" s="343" t="s">
        <v>1575</v>
      </c>
      <c r="D1707" s="345">
        <v>33</v>
      </c>
      <c r="E1707" s="345" t="s">
        <v>2856</v>
      </c>
      <c r="F1707" s="345">
        <v>33</v>
      </c>
      <c r="G1707" s="344">
        <f t="shared" si="28"/>
        <v>0</v>
      </c>
    </row>
    <row r="1708" spans="2:8">
      <c r="B1708" s="335">
        <v>46045</v>
      </c>
      <c r="C1708" s="343" t="s">
        <v>2386</v>
      </c>
      <c r="D1708" s="345">
        <v>7</v>
      </c>
      <c r="E1708" s="345" t="s">
        <v>2856</v>
      </c>
      <c r="F1708" s="345">
        <v>7</v>
      </c>
      <c r="G1708" s="344">
        <f t="shared" si="28"/>
        <v>0</v>
      </c>
    </row>
    <row r="1709" spans="2:8">
      <c r="B1709" s="335">
        <v>46045</v>
      </c>
      <c r="C1709" s="341" t="s">
        <v>76</v>
      </c>
      <c r="D1709" s="345">
        <v>174</v>
      </c>
      <c r="E1709" s="345" t="s">
        <v>2856</v>
      </c>
      <c r="F1709" s="345">
        <v>174</v>
      </c>
      <c r="G1709" s="344">
        <f t="shared" si="28"/>
        <v>0</v>
      </c>
    </row>
    <row r="1710" spans="2:8">
      <c r="B1710" s="323">
        <v>46046</v>
      </c>
      <c r="C1710" s="325" t="s">
        <v>1246</v>
      </c>
      <c r="D1710" s="322">
        <v>2</v>
      </c>
      <c r="E1710" s="322" t="s">
        <v>682</v>
      </c>
      <c r="F1710" s="322">
        <v>2</v>
      </c>
      <c r="G1710" s="425">
        <f t="shared" si="28"/>
        <v>0</v>
      </c>
      <c r="H1710" s="731" t="s">
        <v>2893</v>
      </c>
    </row>
    <row r="1711" spans="2:8">
      <c r="B1711" s="323">
        <v>46046</v>
      </c>
      <c r="C1711" s="325" t="s">
        <v>1246</v>
      </c>
      <c r="D1711" s="322">
        <v>14</v>
      </c>
      <c r="E1711" s="322" t="s">
        <v>682</v>
      </c>
      <c r="F1711" s="322">
        <v>14</v>
      </c>
      <c r="G1711" s="425">
        <f t="shared" si="28"/>
        <v>0</v>
      </c>
    </row>
    <row r="1712" spans="2:8">
      <c r="B1712" s="323">
        <v>46046</v>
      </c>
      <c r="C1712" s="325" t="s">
        <v>1246</v>
      </c>
      <c r="D1712" s="322">
        <v>12</v>
      </c>
      <c r="E1712" s="322" t="s">
        <v>682</v>
      </c>
      <c r="F1712" s="322">
        <v>12</v>
      </c>
      <c r="G1712" s="425">
        <f t="shared" si="28"/>
        <v>0</v>
      </c>
    </row>
    <row r="1713" spans="2:8">
      <c r="B1713" s="323">
        <v>46046</v>
      </c>
      <c r="C1713" s="325" t="s">
        <v>1246</v>
      </c>
      <c r="D1713" s="322">
        <v>1</v>
      </c>
      <c r="E1713" s="322" t="s">
        <v>682</v>
      </c>
      <c r="F1713" s="322">
        <v>1</v>
      </c>
      <c r="G1713" s="425">
        <f t="shared" si="28"/>
        <v>0</v>
      </c>
    </row>
    <row r="1714" spans="2:8">
      <c r="B1714" s="323">
        <v>46046</v>
      </c>
      <c r="C1714" s="325" t="s">
        <v>1246</v>
      </c>
      <c r="D1714" s="322">
        <v>4</v>
      </c>
      <c r="E1714" s="322" t="s">
        <v>682</v>
      </c>
      <c r="F1714" s="322">
        <v>4</v>
      </c>
      <c r="G1714" s="425">
        <f t="shared" si="28"/>
        <v>0</v>
      </c>
    </row>
    <row r="1715" spans="2:8">
      <c r="B1715" s="323">
        <v>46046</v>
      </c>
      <c r="C1715" s="325" t="s">
        <v>1246</v>
      </c>
      <c r="D1715" s="322">
        <v>1</v>
      </c>
      <c r="E1715" s="322" t="s">
        <v>682</v>
      </c>
      <c r="F1715" s="322">
        <v>1</v>
      </c>
      <c r="G1715" s="425">
        <f t="shared" si="28"/>
        <v>0</v>
      </c>
    </row>
    <row r="1716" spans="2:8">
      <c r="B1716" s="323">
        <v>46046</v>
      </c>
      <c r="C1716" s="325" t="s">
        <v>1095</v>
      </c>
      <c r="D1716" s="322">
        <v>2</v>
      </c>
      <c r="E1716" s="322" t="s">
        <v>682</v>
      </c>
      <c r="F1716" s="322">
        <v>2</v>
      </c>
      <c r="G1716" s="425">
        <f t="shared" si="28"/>
        <v>0</v>
      </c>
    </row>
    <row r="1717" spans="2:8">
      <c r="B1717" s="323">
        <v>46046</v>
      </c>
      <c r="C1717" s="325" t="s">
        <v>1291</v>
      </c>
      <c r="D1717" s="322">
        <v>4</v>
      </c>
      <c r="E1717" s="322" t="s">
        <v>682</v>
      </c>
      <c r="F1717" s="322">
        <v>4</v>
      </c>
      <c r="G1717" s="425">
        <f t="shared" si="28"/>
        <v>0</v>
      </c>
    </row>
    <row r="1718" spans="2:8">
      <c r="B1718" s="323">
        <v>46046</v>
      </c>
      <c r="C1718" s="324" t="s">
        <v>131</v>
      </c>
      <c r="D1718" s="322">
        <v>4</v>
      </c>
      <c r="E1718" s="322" t="s">
        <v>682</v>
      </c>
      <c r="F1718" s="322">
        <v>4</v>
      </c>
      <c r="G1718" s="425">
        <f t="shared" si="28"/>
        <v>0</v>
      </c>
    </row>
    <row r="1719" spans="2:8">
      <c r="B1719" s="323">
        <v>46046</v>
      </c>
      <c r="C1719" s="425" t="s">
        <v>375</v>
      </c>
      <c r="D1719" s="322">
        <v>1</v>
      </c>
      <c r="E1719" s="322" t="s">
        <v>682</v>
      </c>
      <c r="F1719" s="322">
        <v>1</v>
      </c>
      <c r="G1719" s="425">
        <f t="shared" si="28"/>
        <v>0</v>
      </c>
    </row>
    <row r="1720" spans="2:8">
      <c r="B1720" s="323">
        <v>46046</v>
      </c>
      <c r="C1720" s="425" t="s">
        <v>375</v>
      </c>
      <c r="D1720" s="322">
        <v>13</v>
      </c>
      <c r="E1720" s="322" t="s">
        <v>682</v>
      </c>
      <c r="F1720" s="322">
        <v>13</v>
      </c>
      <c r="G1720" s="425">
        <f t="shared" si="28"/>
        <v>0</v>
      </c>
    </row>
    <row r="1721" spans="2:8">
      <c r="B1721" s="323">
        <v>46046</v>
      </c>
      <c r="C1721" s="425" t="s">
        <v>375</v>
      </c>
      <c r="D1721" s="322">
        <v>7</v>
      </c>
      <c r="E1721" s="322" t="s">
        <v>682</v>
      </c>
      <c r="F1721" s="322">
        <v>7</v>
      </c>
      <c r="G1721" s="425">
        <f t="shared" si="28"/>
        <v>0</v>
      </c>
    </row>
    <row r="1722" spans="2:8">
      <c r="B1722" s="265">
        <v>46049</v>
      </c>
      <c r="C1722" s="343" t="s">
        <v>1334</v>
      </c>
      <c r="D1722" s="43">
        <v>1</v>
      </c>
      <c r="E1722" s="43" t="s">
        <v>2900</v>
      </c>
      <c r="F1722" s="43">
        <v>1</v>
      </c>
      <c r="G1722" s="104">
        <f t="shared" si="28"/>
        <v>0</v>
      </c>
    </row>
    <row r="1723" spans="2:8">
      <c r="B1723" s="346">
        <v>46050</v>
      </c>
      <c r="C1723" s="349" t="s">
        <v>1246</v>
      </c>
      <c r="D1723" s="348">
        <v>2</v>
      </c>
      <c r="E1723" s="348" t="s">
        <v>2093</v>
      </c>
      <c r="F1723" s="348">
        <v>2</v>
      </c>
      <c r="G1723" s="351">
        <f t="shared" si="28"/>
        <v>0</v>
      </c>
      <c r="H1723" s="731" t="s">
        <v>2928</v>
      </c>
    </row>
    <row r="1724" spans="2:8">
      <c r="B1724" s="346">
        <v>46050</v>
      </c>
      <c r="C1724" s="349" t="s">
        <v>1291</v>
      </c>
      <c r="D1724" s="348">
        <v>8</v>
      </c>
      <c r="E1724" s="348" t="s">
        <v>2093</v>
      </c>
      <c r="F1724" s="348">
        <v>8</v>
      </c>
      <c r="G1724" s="351">
        <f t="shared" si="28"/>
        <v>0</v>
      </c>
    </row>
    <row r="1725" spans="2:8">
      <c r="B1725" s="346">
        <v>46050</v>
      </c>
      <c r="C1725" s="347" t="s">
        <v>1387</v>
      </c>
      <c r="D1725" s="348">
        <v>1</v>
      </c>
      <c r="E1725" s="348" t="s">
        <v>2093</v>
      </c>
      <c r="F1725" s="348">
        <v>1</v>
      </c>
      <c r="G1725" s="351">
        <f t="shared" si="28"/>
        <v>0</v>
      </c>
    </row>
    <row r="1726" spans="2:8">
      <c r="B1726" s="346">
        <v>46050</v>
      </c>
      <c r="C1726" s="349" t="s">
        <v>1491</v>
      </c>
      <c r="D1726" s="348">
        <v>1</v>
      </c>
      <c r="E1726" s="348" t="s">
        <v>2093</v>
      </c>
      <c r="F1726" s="348">
        <v>1</v>
      </c>
      <c r="G1726" s="351">
        <f t="shared" si="28"/>
        <v>0</v>
      </c>
    </row>
    <row r="1727" spans="2:8">
      <c r="B1727" s="346">
        <v>46050</v>
      </c>
      <c r="C1727" s="351" t="s">
        <v>932</v>
      </c>
      <c r="D1727" s="348">
        <v>5</v>
      </c>
      <c r="E1727" s="348" t="s">
        <v>2093</v>
      </c>
      <c r="F1727" s="348">
        <v>5</v>
      </c>
      <c r="G1727" s="351">
        <f t="shared" si="28"/>
        <v>0</v>
      </c>
    </row>
    <row r="1728" spans="2:8">
      <c r="B1728" s="346">
        <v>46050</v>
      </c>
      <c r="C1728" s="349" t="s">
        <v>1097</v>
      </c>
      <c r="D1728" s="348">
        <v>1</v>
      </c>
      <c r="E1728" s="348" t="s">
        <v>2093</v>
      </c>
      <c r="F1728" s="348">
        <v>1</v>
      </c>
      <c r="G1728" s="351">
        <f t="shared" si="28"/>
        <v>0</v>
      </c>
    </row>
    <row r="1729" spans="2:8">
      <c r="B1729" s="434">
        <v>46053</v>
      </c>
      <c r="C1729" s="168" t="s">
        <v>1095</v>
      </c>
      <c r="D1729" s="166">
        <v>1</v>
      </c>
      <c r="E1729" s="166" t="s">
        <v>1696</v>
      </c>
      <c r="F1729" s="166">
        <v>1</v>
      </c>
      <c r="G1729" s="167">
        <f t="shared" si="28"/>
        <v>0</v>
      </c>
    </row>
    <row r="1730" spans="2:8">
      <c r="B1730" s="434">
        <v>46056</v>
      </c>
      <c r="C1730" s="503" t="s">
        <v>2156</v>
      </c>
      <c r="D1730" s="166">
        <v>2</v>
      </c>
      <c r="E1730" s="166" t="s">
        <v>1601</v>
      </c>
      <c r="F1730" s="166">
        <v>2</v>
      </c>
      <c r="G1730" s="167">
        <f t="shared" si="28"/>
        <v>0</v>
      </c>
    </row>
    <row r="1731" spans="2:8">
      <c r="B1731" s="434">
        <v>46056</v>
      </c>
      <c r="C1731" s="168" t="s">
        <v>1246</v>
      </c>
      <c r="D1731" s="166">
        <v>1</v>
      </c>
      <c r="E1731" s="166" t="s">
        <v>2950</v>
      </c>
      <c r="F1731" s="166">
        <v>1</v>
      </c>
      <c r="G1731" s="167">
        <f t="shared" si="28"/>
        <v>0</v>
      </c>
    </row>
    <row r="1732" spans="2:8">
      <c r="B1732" s="346">
        <v>46057</v>
      </c>
      <c r="C1732" s="349" t="s">
        <v>1246</v>
      </c>
      <c r="D1732" s="348">
        <v>5</v>
      </c>
      <c r="E1732" s="348" t="s">
        <v>2093</v>
      </c>
      <c r="F1732" s="348">
        <v>5</v>
      </c>
      <c r="G1732" s="351">
        <f t="shared" si="28"/>
        <v>0</v>
      </c>
      <c r="H1732" t="s">
        <v>2955</v>
      </c>
    </row>
    <row r="1733" spans="2:8">
      <c r="B1733" s="346">
        <v>46057</v>
      </c>
      <c r="C1733" s="349" t="s">
        <v>1246</v>
      </c>
      <c r="D1733" s="348">
        <v>4</v>
      </c>
      <c r="E1733" s="348" t="s">
        <v>2093</v>
      </c>
      <c r="F1733" s="348">
        <v>4</v>
      </c>
      <c r="G1733" s="351">
        <f t="shared" si="28"/>
        <v>0</v>
      </c>
    </row>
    <row r="1734" spans="2:8">
      <c r="B1734" s="346">
        <v>46057</v>
      </c>
      <c r="C1734" s="349" t="s">
        <v>1246</v>
      </c>
      <c r="D1734" s="348">
        <v>2</v>
      </c>
      <c r="E1734" s="348" t="s">
        <v>2093</v>
      </c>
      <c r="F1734" s="348">
        <v>2</v>
      </c>
      <c r="G1734" s="351">
        <f t="shared" si="28"/>
        <v>0</v>
      </c>
    </row>
    <row r="1735" spans="2:8">
      <c r="B1735" s="346">
        <v>46057</v>
      </c>
      <c r="C1735" s="349" t="s">
        <v>1271</v>
      </c>
      <c r="D1735" s="348">
        <v>1</v>
      </c>
      <c r="E1735" s="348" t="s">
        <v>2093</v>
      </c>
      <c r="F1735" s="348">
        <v>1</v>
      </c>
      <c r="G1735" s="351">
        <f t="shared" si="28"/>
        <v>0</v>
      </c>
    </row>
    <row r="1736" spans="2:8">
      <c r="B1736" s="346">
        <v>46057</v>
      </c>
      <c r="C1736" s="349" t="s">
        <v>1271</v>
      </c>
      <c r="D1736" s="348">
        <v>3</v>
      </c>
      <c r="E1736" s="348" t="s">
        <v>2093</v>
      </c>
      <c r="F1736" s="348">
        <v>3</v>
      </c>
      <c r="G1736" s="351">
        <f t="shared" si="28"/>
        <v>0</v>
      </c>
    </row>
    <row r="1737" spans="2:8">
      <c r="B1737" s="346">
        <v>46057</v>
      </c>
      <c r="C1737" s="349" t="s">
        <v>1327</v>
      </c>
      <c r="D1737" s="348">
        <v>8</v>
      </c>
      <c r="E1737" s="348" t="s">
        <v>2093</v>
      </c>
      <c r="F1737" s="348">
        <v>8</v>
      </c>
      <c r="G1737" s="351">
        <f t="shared" ref="G1737:G1800" si="29">D1737-F1737</f>
        <v>0</v>
      </c>
    </row>
    <row r="1738" spans="2:8">
      <c r="B1738" s="346">
        <v>46057</v>
      </c>
      <c r="C1738" s="349" t="s">
        <v>1152</v>
      </c>
      <c r="D1738" s="348">
        <v>1</v>
      </c>
      <c r="E1738" s="348" t="s">
        <v>2093</v>
      </c>
      <c r="F1738" s="348">
        <v>1</v>
      </c>
      <c r="G1738" s="351">
        <f t="shared" si="29"/>
        <v>0</v>
      </c>
    </row>
    <row r="1739" spans="2:8">
      <c r="B1739" s="346">
        <v>46057</v>
      </c>
      <c r="C1739" s="349" t="s">
        <v>1291</v>
      </c>
      <c r="D1739" s="348">
        <v>6</v>
      </c>
      <c r="E1739" s="348" t="s">
        <v>2093</v>
      </c>
      <c r="F1739" s="348">
        <v>6</v>
      </c>
      <c r="G1739" s="351">
        <f t="shared" si="29"/>
        <v>0</v>
      </c>
    </row>
    <row r="1740" spans="2:8">
      <c r="B1740" s="346">
        <v>46057</v>
      </c>
      <c r="C1740" s="351" t="s">
        <v>932</v>
      </c>
      <c r="D1740" s="348">
        <v>4</v>
      </c>
      <c r="E1740" s="348" t="s">
        <v>2093</v>
      </c>
      <c r="F1740" s="348">
        <v>4</v>
      </c>
      <c r="G1740" s="351">
        <f t="shared" si="29"/>
        <v>0</v>
      </c>
    </row>
    <row r="1741" spans="2:8">
      <c r="B1741" s="335">
        <v>46058</v>
      </c>
      <c r="C1741" s="343" t="s">
        <v>839</v>
      </c>
      <c r="D1741" s="345">
        <v>11</v>
      </c>
      <c r="E1741" s="345" t="s">
        <v>2977</v>
      </c>
      <c r="F1741" s="345">
        <v>11</v>
      </c>
      <c r="G1741" s="344">
        <f t="shared" si="29"/>
        <v>0</v>
      </c>
    </row>
    <row r="1742" spans="2:8">
      <c r="B1742" s="335">
        <v>46058</v>
      </c>
      <c r="C1742" s="341" t="s">
        <v>671</v>
      </c>
      <c r="D1742" s="345">
        <v>22</v>
      </c>
      <c r="E1742" s="345" t="s">
        <v>2977</v>
      </c>
      <c r="F1742" s="345">
        <v>22</v>
      </c>
      <c r="G1742" s="344">
        <f t="shared" si="29"/>
        <v>0</v>
      </c>
    </row>
    <row r="1743" spans="2:8">
      <c r="B1743" s="335">
        <v>46058</v>
      </c>
      <c r="C1743" s="343" t="s">
        <v>121</v>
      </c>
      <c r="D1743" s="345">
        <v>90</v>
      </c>
      <c r="E1743" s="345" t="s">
        <v>2977</v>
      </c>
      <c r="F1743" s="345">
        <v>90</v>
      </c>
      <c r="G1743" s="344">
        <f t="shared" si="29"/>
        <v>0</v>
      </c>
    </row>
    <row r="1744" spans="2:8">
      <c r="B1744" s="335">
        <v>46058</v>
      </c>
      <c r="C1744" s="343" t="s">
        <v>121</v>
      </c>
      <c r="D1744" s="345">
        <v>10</v>
      </c>
      <c r="E1744" s="345" t="s">
        <v>2977</v>
      </c>
      <c r="F1744" s="345">
        <v>10</v>
      </c>
      <c r="G1744" s="344">
        <f t="shared" si="29"/>
        <v>0</v>
      </c>
    </row>
    <row r="1745" spans="2:8">
      <c r="B1745" s="335">
        <v>46058</v>
      </c>
      <c r="C1745" s="341" t="s">
        <v>76</v>
      </c>
      <c r="D1745" s="345">
        <v>30</v>
      </c>
      <c r="E1745" s="345" t="s">
        <v>2977</v>
      </c>
      <c r="F1745" s="345">
        <v>30</v>
      </c>
      <c r="G1745" s="344">
        <f t="shared" si="29"/>
        <v>0</v>
      </c>
    </row>
    <row r="1746" spans="2:8">
      <c r="B1746" s="335">
        <v>46058</v>
      </c>
      <c r="C1746" s="341" t="s">
        <v>78</v>
      </c>
      <c r="D1746" s="345">
        <v>4</v>
      </c>
      <c r="E1746" s="345" t="s">
        <v>2977</v>
      </c>
      <c r="F1746" s="345">
        <v>4</v>
      </c>
      <c r="G1746" s="344">
        <f t="shared" si="29"/>
        <v>0</v>
      </c>
    </row>
    <row r="1747" spans="2:8">
      <c r="B1747" s="265">
        <v>46059</v>
      </c>
      <c r="C1747" s="92" t="s">
        <v>76</v>
      </c>
      <c r="D1747" s="43">
        <v>152</v>
      </c>
      <c r="E1747" s="43" t="s">
        <v>2978</v>
      </c>
      <c r="F1747" s="43">
        <v>152</v>
      </c>
      <c r="G1747" s="104">
        <f t="shared" si="29"/>
        <v>0</v>
      </c>
    </row>
    <row r="1748" spans="2:8">
      <c r="B1748" s="437">
        <v>46060</v>
      </c>
      <c r="C1748" s="222" t="s">
        <v>1246</v>
      </c>
      <c r="D1748" s="220">
        <v>2</v>
      </c>
      <c r="E1748" s="220" t="s">
        <v>2979</v>
      </c>
      <c r="F1748" s="220">
        <v>2</v>
      </c>
      <c r="G1748" s="221">
        <f t="shared" si="29"/>
        <v>0</v>
      </c>
    </row>
    <row r="1749" spans="2:8">
      <c r="B1749" s="437">
        <v>46060</v>
      </c>
      <c r="C1749" s="222" t="s">
        <v>1246</v>
      </c>
      <c r="D1749" s="220">
        <v>3</v>
      </c>
      <c r="E1749" s="220" t="s">
        <v>2980</v>
      </c>
      <c r="F1749" s="220">
        <v>3</v>
      </c>
      <c r="G1749" s="221">
        <f t="shared" si="29"/>
        <v>0</v>
      </c>
    </row>
    <row r="1750" spans="2:8">
      <c r="B1750" s="265">
        <v>46060</v>
      </c>
      <c r="C1750" s="92" t="s">
        <v>76</v>
      </c>
      <c r="D1750" s="345">
        <v>175</v>
      </c>
      <c r="E1750" s="335">
        <v>46060</v>
      </c>
      <c r="F1750" s="345">
        <v>175</v>
      </c>
      <c r="G1750" s="344">
        <f t="shared" si="29"/>
        <v>0</v>
      </c>
    </row>
    <row r="1751" spans="2:8">
      <c r="B1751" s="323">
        <v>46065</v>
      </c>
      <c r="C1751" s="325" t="s">
        <v>1246</v>
      </c>
      <c r="D1751" s="322">
        <v>29</v>
      </c>
      <c r="E1751" s="322" t="s">
        <v>682</v>
      </c>
      <c r="F1751" s="322">
        <v>29</v>
      </c>
      <c r="G1751" s="425">
        <f t="shared" si="29"/>
        <v>0</v>
      </c>
      <c r="H1751" s="731" t="s">
        <v>3012</v>
      </c>
    </row>
    <row r="1752" spans="2:8">
      <c r="B1752" s="323">
        <v>46065</v>
      </c>
      <c r="C1752" s="325" t="s">
        <v>1246</v>
      </c>
      <c r="D1752" s="322">
        <v>9</v>
      </c>
      <c r="E1752" s="322" t="s">
        <v>682</v>
      </c>
      <c r="F1752" s="322">
        <v>9</v>
      </c>
      <c r="G1752" s="425">
        <f t="shared" si="29"/>
        <v>0</v>
      </c>
    </row>
    <row r="1753" spans="2:8">
      <c r="B1753" s="323">
        <v>46065</v>
      </c>
      <c r="C1753" s="325" t="s">
        <v>1246</v>
      </c>
      <c r="D1753" s="322">
        <v>3</v>
      </c>
      <c r="E1753" s="322" t="s">
        <v>682</v>
      </c>
      <c r="F1753" s="322">
        <v>3</v>
      </c>
      <c r="G1753" s="425">
        <f t="shared" si="29"/>
        <v>0</v>
      </c>
    </row>
    <row r="1754" spans="2:8">
      <c r="B1754" s="323">
        <v>46065</v>
      </c>
      <c r="C1754" s="325" t="s">
        <v>1246</v>
      </c>
      <c r="D1754" s="322">
        <v>1</v>
      </c>
      <c r="E1754" s="322" t="s">
        <v>682</v>
      </c>
      <c r="F1754" s="322">
        <v>1</v>
      </c>
      <c r="G1754" s="425">
        <f t="shared" si="29"/>
        <v>0</v>
      </c>
    </row>
    <row r="1755" spans="2:8">
      <c r="B1755" s="323">
        <v>46065</v>
      </c>
      <c r="C1755" s="325" t="s">
        <v>1246</v>
      </c>
      <c r="D1755" s="322">
        <v>2</v>
      </c>
      <c r="E1755" s="322" t="s">
        <v>682</v>
      </c>
      <c r="F1755" s="322">
        <v>2</v>
      </c>
      <c r="G1755" s="425">
        <f t="shared" si="29"/>
        <v>0</v>
      </c>
    </row>
    <row r="1756" spans="2:8">
      <c r="B1756" s="323">
        <v>46065</v>
      </c>
      <c r="C1756" s="325" t="s">
        <v>1641</v>
      </c>
      <c r="D1756" s="322">
        <v>1</v>
      </c>
      <c r="E1756" s="322" t="s">
        <v>682</v>
      </c>
      <c r="F1756" s="322">
        <v>1</v>
      </c>
      <c r="G1756" s="425">
        <f t="shared" si="29"/>
        <v>0</v>
      </c>
    </row>
    <row r="1757" spans="2:8">
      <c r="B1757" s="323">
        <v>46065</v>
      </c>
      <c r="C1757" s="325" t="s">
        <v>1289</v>
      </c>
      <c r="D1757" s="322">
        <v>1</v>
      </c>
      <c r="E1757" s="322" t="s">
        <v>682</v>
      </c>
      <c r="F1757" s="322">
        <v>1</v>
      </c>
      <c r="G1757" s="425">
        <f t="shared" si="29"/>
        <v>0</v>
      </c>
    </row>
    <row r="1758" spans="2:8">
      <c r="B1758" s="323">
        <v>46065</v>
      </c>
      <c r="C1758" s="325" t="s">
        <v>1246</v>
      </c>
      <c r="D1758" s="322">
        <v>2</v>
      </c>
      <c r="E1758" s="322" t="s">
        <v>682</v>
      </c>
      <c r="F1758" s="322">
        <v>2</v>
      </c>
      <c r="G1758" s="425">
        <f t="shared" si="29"/>
        <v>0</v>
      </c>
    </row>
    <row r="1759" spans="2:8">
      <c r="B1759" s="323">
        <v>46065</v>
      </c>
      <c r="C1759" s="325" t="s">
        <v>1271</v>
      </c>
      <c r="D1759" s="322">
        <v>3</v>
      </c>
      <c r="E1759" s="322" t="s">
        <v>682</v>
      </c>
      <c r="F1759" s="322">
        <v>3</v>
      </c>
      <c r="G1759" s="425">
        <f t="shared" si="29"/>
        <v>0</v>
      </c>
    </row>
    <row r="1760" spans="2:8">
      <c r="B1760" s="323">
        <v>46065</v>
      </c>
      <c r="C1760" s="325" t="s">
        <v>1246</v>
      </c>
      <c r="D1760" s="322">
        <v>1</v>
      </c>
      <c r="E1760" s="322" t="s">
        <v>682</v>
      </c>
      <c r="F1760" s="322">
        <v>1</v>
      </c>
      <c r="G1760" s="425">
        <f t="shared" si="29"/>
        <v>0</v>
      </c>
    </row>
    <row r="1761" spans="2:7">
      <c r="B1761" s="323">
        <v>46065</v>
      </c>
      <c r="C1761" s="325" t="s">
        <v>1246</v>
      </c>
      <c r="D1761" s="322">
        <v>2</v>
      </c>
      <c r="E1761" s="322" t="s">
        <v>682</v>
      </c>
      <c r="F1761" s="322">
        <v>2</v>
      </c>
      <c r="G1761" s="425">
        <f t="shared" si="29"/>
        <v>0</v>
      </c>
    </row>
    <row r="1762" spans="2:7">
      <c r="B1762" s="323">
        <v>46065</v>
      </c>
      <c r="C1762" s="325" t="s">
        <v>1271</v>
      </c>
      <c r="D1762" s="322">
        <v>3</v>
      </c>
      <c r="E1762" s="322" t="s">
        <v>682</v>
      </c>
      <c r="F1762" s="322">
        <v>3</v>
      </c>
      <c r="G1762" s="425">
        <f t="shared" si="29"/>
        <v>0</v>
      </c>
    </row>
    <row r="1763" spans="2:7">
      <c r="B1763" s="323">
        <v>46065</v>
      </c>
      <c r="C1763" s="325" t="s">
        <v>1641</v>
      </c>
      <c r="D1763" s="322">
        <v>1</v>
      </c>
      <c r="E1763" s="322" t="s">
        <v>682</v>
      </c>
      <c r="F1763" s="322">
        <v>1</v>
      </c>
      <c r="G1763" s="425">
        <f t="shared" si="29"/>
        <v>0</v>
      </c>
    </row>
    <row r="1764" spans="2:7">
      <c r="B1764" s="323">
        <v>46065</v>
      </c>
      <c r="C1764" s="325" t="s">
        <v>1249</v>
      </c>
      <c r="D1764" s="322">
        <v>1</v>
      </c>
      <c r="E1764" s="322" t="s">
        <v>682</v>
      </c>
      <c r="F1764" s="322">
        <v>1</v>
      </c>
      <c r="G1764" s="425">
        <f t="shared" si="29"/>
        <v>0</v>
      </c>
    </row>
    <row r="1765" spans="2:7">
      <c r="B1765" s="323">
        <v>46065</v>
      </c>
      <c r="C1765" s="325" t="s">
        <v>1246</v>
      </c>
      <c r="D1765" s="322">
        <v>1</v>
      </c>
      <c r="E1765" s="322" t="s">
        <v>682</v>
      </c>
      <c r="F1765" s="322">
        <v>1</v>
      </c>
      <c r="G1765" s="425">
        <f t="shared" si="29"/>
        <v>0</v>
      </c>
    </row>
    <row r="1766" spans="2:7">
      <c r="B1766" s="323">
        <v>46065</v>
      </c>
      <c r="C1766" s="324" t="s">
        <v>134</v>
      </c>
      <c r="D1766" s="322">
        <v>3</v>
      </c>
      <c r="E1766" s="322" t="s">
        <v>682</v>
      </c>
      <c r="F1766" s="322">
        <v>3</v>
      </c>
      <c r="G1766" s="425">
        <f t="shared" si="29"/>
        <v>0</v>
      </c>
    </row>
    <row r="1767" spans="2:7">
      <c r="B1767" s="323">
        <v>46065</v>
      </c>
      <c r="C1767" s="324" t="s">
        <v>134</v>
      </c>
      <c r="D1767" s="322">
        <v>1</v>
      </c>
      <c r="E1767" s="322" t="s">
        <v>682</v>
      </c>
      <c r="F1767" s="322">
        <v>1</v>
      </c>
      <c r="G1767" s="425">
        <f t="shared" si="29"/>
        <v>0</v>
      </c>
    </row>
    <row r="1768" spans="2:7">
      <c r="B1768" s="323">
        <v>46065</v>
      </c>
      <c r="C1768" s="426" t="s">
        <v>928</v>
      </c>
      <c r="D1768" s="322">
        <v>1</v>
      </c>
      <c r="E1768" s="322" t="s">
        <v>682</v>
      </c>
      <c r="F1768" s="322">
        <v>1</v>
      </c>
      <c r="G1768" s="425">
        <f t="shared" si="29"/>
        <v>0</v>
      </c>
    </row>
    <row r="1769" spans="2:7">
      <c r="B1769" s="323">
        <v>46065</v>
      </c>
      <c r="C1769" s="325" t="s">
        <v>1291</v>
      </c>
      <c r="D1769" s="322">
        <v>2</v>
      </c>
      <c r="E1769" s="322" t="s">
        <v>682</v>
      </c>
      <c r="F1769" s="322">
        <v>2</v>
      </c>
      <c r="G1769" s="425">
        <f t="shared" si="29"/>
        <v>0</v>
      </c>
    </row>
    <row r="1770" spans="2:7">
      <c r="B1770" s="323">
        <v>46065</v>
      </c>
      <c r="C1770" s="324" t="s">
        <v>134</v>
      </c>
      <c r="D1770" s="322">
        <v>1</v>
      </c>
      <c r="E1770" s="322" t="s">
        <v>682</v>
      </c>
      <c r="F1770" s="322">
        <v>1</v>
      </c>
      <c r="G1770" s="425">
        <f t="shared" si="29"/>
        <v>0</v>
      </c>
    </row>
    <row r="1771" spans="2:7">
      <c r="B1771" s="323">
        <v>46065</v>
      </c>
      <c r="C1771" s="325" t="s">
        <v>1326</v>
      </c>
      <c r="D1771" s="322">
        <v>4</v>
      </c>
      <c r="E1771" s="322" t="s">
        <v>682</v>
      </c>
      <c r="F1771" s="322">
        <v>4</v>
      </c>
      <c r="G1771" s="425">
        <f t="shared" si="29"/>
        <v>0</v>
      </c>
    </row>
    <row r="1772" spans="2:7">
      <c r="B1772" s="323">
        <v>46065</v>
      </c>
      <c r="C1772" s="325" t="s">
        <v>1326</v>
      </c>
      <c r="D1772" s="322">
        <v>2</v>
      </c>
      <c r="E1772" s="322" t="s">
        <v>682</v>
      </c>
      <c r="F1772" s="322">
        <v>2</v>
      </c>
      <c r="G1772" s="425">
        <f t="shared" si="29"/>
        <v>0</v>
      </c>
    </row>
    <row r="1773" spans="2:7">
      <c r="B1773" s="323">
        <v>46065</v>
      </c>
      <c r="C1773" s="325" t="s">
        <v>169</v>
      </c>
      <c r="D1773" s="322">
        <v>2</v>
      </c>
      <c r="E1773" s="322" t="s">
        <v>682</v>
      </c>
      <c r="F1773" s="322">
        <v>2</v>
      </c>
      <c r="G1773" s="425">
        <f t="shared" si="29"/>
        <v>0</v>
      </c>
    </row>
    <row r="1774" spans="2:7">
      <c r="B1774" s="323">
        <v>46065</v>
      </c>
      <c r="C1774" s="325" t="s">
        <v>167</v>
      </c>
      <c r="D1774" s="322">
        <v>1</v>
      </c>
      <c r="E1774" s="322" t="s">
        <v>682</v>
      </c>
      <c r="F1774" s="322">
        <v>1</v>
      </c>
      <c r="G1774" s="425">
        <f t="shared" si="29"/>
        <v>0</v>
      </c>
    </row>
    <row r="1775" spans="2:7">
      <c r="B1775" s="323">
        <v>46065</v>
      </c>
      <c r="C1775" s="325" t="s">
        <v>1318</v>
      </c>
      <c r="D1775" s="322">
        <v>1</v>
      </c>
      <c r="E1775" s="322" t="s">
        <v>682</v>
      </c>
      <c r="F1775" s="322">
        <v>1</v>
      </c>
      <c r="G1775" s="425">
        <f t="shared" si="29"/>
        <v>0</v>
      </c>
    </row>
    <row r="1776" spans="2:7">
      <c r="B1776" s="323">
        <v>46065</v>
      </c>
      <c r="C1776" s="325" t="s">
        <v>1152</v>
      </c>
      <c r="D1776" s="322">
        <v>1</v>
      </c>
      <c r="E1776" s="322" t="s">
        <v>682</v>
      </c>
      <c r="F1776" s="322">
        <v>1</v>
      </c>
      <c r="G1776" s="425">
        <f t="shared" si="29"/>
        <v>0</v>
      </c>
    </row>
    <row r="1777" spans="2:8">
      <c r="B1777" s="323">
        <v>46065</v>
      </c>
      <c r="C1777" s="325" t="s">
        <v>1717</v>
      </c>
      <c r="D1777" s="322">
        <v>1</v>
      </c>
      <c r="E1777" s="322" t="s">
        <v>682</v>
      </c>
      <c r="F1777" s="322">
        <v>1</v>
      </c>
      <c r="G1777" s="425">
        <f t="shared" si="29"/>
        <v>0</v>
      </c>
    </row>
    <row r="1778" spans="2:8">
      <c r="B1778" s="323">
        <v>46065</v>
      </c>
      <c r="C1778" s="325" t="s">
        <v>154</v>
      </c>
      <c r="D1778" s="322">
        <v>4</v>
      </c>
      <c r="E1778" s="322" t="s">
        <v>682</v>
      </c>
      <c r="F1778" s="322">
        <v>4</v>
      </c>
      <c r="G1778" s="425">
        <f t="shared" si="29"/>
        <v>0</v>
      </c>
    </row>
    <row r="1779" spans="2:8">
      <c r="B1779" s="323">
        <v>46065</v>
      </c>
      <c r="C1779" s="325" t="s">
        <v>3011</v>
      </c>
      <c r="D1779" s="322">
        <v>1</v>
      </c>
      <c r="E1779" s="322" t="s">
        <v>682</v>
      </c>
      <c r="F1779" s="322">
        <v>1</v>
      </c>
      <c r="G1779" s="425">
        <f t="shared" si="29"/>
        <v>0</v>
      </c>
    </row>
    <row r="1780" spans="2:8">
      <c r="B1780" s="346">
        <v>46066</v>
      </c>
      <c r="C1780" s="349" t="s">
        <v>1246</v>
      </c>
      <c r="D1780" s="348">
        <v>4</v>
      </c>
      <c r="E1780" s="348" t="s">
        <v>2093</v>
      </c>
      <c r="F1780" s="348">
        <v>4</v>
      </c>
      <c r="G1780" s="351">
        <f t="shared" si="29"/>
        <v>0</v>
      </c>
      <c r="H1780" s="731" t="s">
        <v>3021</v>
      </c>
    </row>
    <row r="1781" spans="2:8">
      <c r="B1781" s="346">
        <v>46066</v>
      </c>
      <c r="C1781" s="349" t="s">
        <v>1246</v>
      </c>
      <c r="D1781" s="348">
        <v>2</v>
      </c>
      <c r="E1781" s="348" t="s">
        <v>2093</v>
      </c>
      <c r="F1781" s="348">
        <v>2</v>
      </c>
      <c r="G1781" s="351">
        <f t="shared" si="29"/>
        <v>0</v>
      </c>
    </row>
    <row r="1782" spans="2:8">
      <c r="B1782" s="346">
        <v>46066</v>
      </c>
      <c r="C1782" s="349" t="s">
        <v>1271</v>
      </c>
      <c r="D1782" s="348">
        <v>1</v>
      </c>
      <c r="E1782" s="348" t="s">
        <v>2093</v>
      </c>
      <c r="F1782" s="348">
        <v>1</v>
      </c>
      <c r="G1782" s="351">
        <f t="shared" si="29"/>
        <v>0</v>
      </c>
    </row>
    <row r="1783" spans="2:8">
      <c r="B1783" s="346">
        <v>46066</v>
      </c>
      <c r="C1783" s="349" t="s">
        <v>1271</v>
      </c>
      <c r="D1783" s="348">
        <v>1</v>
      </c>
      <c r="E1783" s="348" t="s">
        <v>2093</v>
      </c>
      <c r="F1783" s="348">
        <v>1</v>
      </c>
      <c r="G1783" s="351">
        <f t="shared" si="29"/>
        <v>0</v>
      </c>
    </row>
    <row r="1784" spans="2:8">
      <c r="B1784" s="346">
        <v>46066</v>
      </c>
      <c r="C1784" s="349" t="s">
        <v>1271</v>
      </c>
      <c r="D1784" s="348">
        <v>1</v>
      </c>
      <c r="E1784" s="348" t="s">
        <v>2093</v>
      </c>
      <c r="F1784" s="348">
        <v>1</v>
      </c>
      <c r="G1784" s="351">
        <f t="shared" si="29"/>
        <v>0</v>
      </c>
    </row>
    <row r="1785" spans="2:8">
      <c r="B1785" s="346">
        <v>46066</v>
      </c>
      <c r="C1785" s="349" t="s">
        <v>1327</v>
      </c>
      <c r="D1785" s="348">
        <v>5</v>
      </c>
      <c r="E1785" s="348" t="s">
        <v>2093</v>
      </c>
      <c r="F1785" s="348">
        <v>5</v>
      </c>
      <c r="G1785" s="351">
        <f t="shared" si="29"/>
        <v>0</v>
      </c>
    </row>
    <row r="1786" spans="2:8">
      <c r="B1786" s="346">
        <v>46066</v>
      </c>
      <c r="C1786" s="349" t="s">
        <v>1327</v>
      </c>
      <c r="D1786" s="348">
        <v>1</v>
      </c>
      <c r="E1786" s="348" t="s">
        <v>2093</v>
      </c>
      <c r="F1786" s="348">
        <v>1</v>
      </c>
      <c r="G1786" s="351">
        <f t="shared" si="29"/>
        <v>0</v>
      </c>
    </row>
    <row r="1787" spans="2:8">
      <c r="B1787" s="346">
        <v>46066</v>
      </c>
      <c r="C1787" s="349" t="s">
        <v>1568</v>
      </c>
      <c r="D1787" s="348">
        <v>3</v>
      </c>
      <c r="E1787" s="348" t="s">
        <v>2093</v>
      </c>
      <c r="F1787" s="348">
        <v>3</v>
      </c>
      <c r="G1787" s="351">
        <f t="shared" si="29"/>
        <v>0</v>
      </c>
    </row>
    <row r="1788" spans="2:8">
      <c r="B1788" s="346">
        <v>46066</v>
      </c>
      <c r="C1788" s="349" t="s">
        <v>1568</v>
      </c>
      <c r="D1788" s="348">
        <v>1</v>
      </c>
      <c r="E1788" s="348" t="s">
        <v>2093</v>
      </c>
      <c r="F1788" s="348">
        <v>1</v>
      </c>
      <c r="G1788" s="351">
        <f t="shared" si="29"/>
        <v>0</v>
      </c>
    </row>
    <row r="1789" spans="2:8">
      <c r="B1789" s="346">
        <v>46066</v>
      </c>
      <c r="C1789" s="349" t="s">
        <v>1291</v>
      </c>
      <c r="D1789" s="348">
        <v>1</v>
      </c>
      <c r="E1789" s="348" t="s">
        <v>2093</v>
      </c>
      <c r="F1789" s="348">
        <v>1</v>
      </c>
      <c r="G1789" s="351">
        <f t="shared" si="29"/>
        <v>0</v>
      </c>
    </row>
    <row r="1790" spans="2:8">
      <c r="B1790" s="346">
        <v>46066</v>
      </c>
      <c r="C1790" s="349" t="s">
        <v>1334</v>
      </c>
      <c r="D1790" s="348">
        <v>1</v>
      </c>
      <c r="E1790" s="348" t="s">
        <v>2093</v>
      </c>
      <c r="F1790" s="348">
        <v>1</v>
      </c>
      <c r="G1790" s="351">
        <f t="shared" si="29"/>
        <v>0</v>
      </c>
    </row>
    <row r="1791" spans="2:8">
      <c r="B1791" s="346">
        <v>46066</v>
      </c>
      <c r="C1791" s="347" t="s">
        <v>1387</v>
      </c>
      <c r="D1791" s="348">
        <v>1</v>
      </c>
      <c r="E1791" s="348" t="s">
        <v>2093</v>
      </c>
      <c r="F1791" s="348">
        <v>1</v>
      </c>
      <c r="G1791" s="351">
        <f t="shared" si="29"/>
        <v>0</v>
      </c>
    </row>
    <row r="1792" spans="2:8">
      <c r="B1792" s="346">
        <v>46066</v>
      </c>
      <c r="C1792" s="349" t="s">
        <v>1490</v>
      </c>
      <c r="D1792" s="348">
        <v>1</v>
      </c>
      <c r="E1792" s="348" t="s">
        <v>2093</v>
      </c>
      <c r="F1792" s="348">
        <v>1</v>
      </c>
      <c r="G1792" s="351">
        <f t="shared" si="29"/>
        <v>0</v>
      </c>
    </row>
    <row r="1793" spans="2:8">
      <c r="B1793" s="346">
        <v>46066</v>
      </c>
      <c r="C1793" s="349" t="s">
        <v>1491</v>
      </c>
      <c r="D1793" s="348">
        <v>1</v>
      </c>
      <c r="E1793" s="348" t="s">
        <v>2093</v>
      </c>
      <c r="F1793" s="348">
        <v>1</v>
      </c>
      <c r="G1793" s="351">
        <f t="shared" si="29"/>
        <v>0</v>
      </c>
    </row>
    <row r="1794" spans="2:8">
      <c r="B1794" s="346">
        <v>46066</v>
      </c>
      <c r="C1794" s="349" t="s">
        <v>3024</v>
      </c>
      <c r="D1794" s="348">
        <v>1</v>
      </c>
      <c r="E1794" s="348" t="s">
        <v>2093</v>
      </c>
      <c r="F1794" s="348">
        <v>1</v>
      </c>
      <c r="G1794" s="351">
        <f t="shared" si="29"/>
        <v>0</v>
      </c>
    </row>
    <row r="1795" spans="2:8">
      <c r="B1795" s="265">
        <v>46066</v>
      </c>
      <c r="C1795" s="92" t="s">
        <v>76</v>
      </c>
      <c r="D1795" s="43">
        <v>225</v>
      </c>
      <c r="E1795" s="43" t="s">
        <v>3026</v>
      </c>
      <c r="F1795" s="43">
        <v>225</v>
      </c>
      <c r="G1795" s="104">
        <f t="shared" si="29"/>
        <v>0</v>
      </c>
    </row>
    <row r="1796" spans="2:8">
      <c r="B1796" s="323">
        <v>46067</v>
      </c>
      <c r="C1796" s="325" t="s">
        <v>1246</v>
      </c>
      <c r="D1796" s="322">
        <v>17</v>
      </c>
      <c r="E1796" s="322" t="s">
        <v>682</v>
      </c>
      <c r="F1796" s="322">
        <v>17</v>
      </c>
      <c r="G1796" s="425">
        <f t="shared" si="29"/>
        <v>0</v>
      </c>
      <c r="H1796" t="s">
        <v>3091</v>
      </c>
    </row>
    <row r="1797" spans="2:8">
      <c r="B1797" s="323">
        <v>46067</v>
      </c>
      <c r="C1797" s="325" t="s">
        <v>1246</v>
      </c>
      <c r="D1797" s="322">
        <v>5</v>
      </c>
      <c r="E1797" s="322" t="s">
        <v>682</v>
      </c>
      <c r="F1797" s="322">
        <v>5</v>
      </c>
      <c r="G1797" s="425">
        <f t="shared" si="29"/>
        <v>0</v>
      </c>
    </row>
    <row r="1798" spans="2:8">
      <c r="B1798" s="323">
        <v>46067</v>
      </c>
      <c r="C1798" s="325" t="s">
        <v>1246</v>
      </c>
      <c r="D1798" s="322">
        <v>17</v>
      </c>
      <c r="E1798" s="322" t="s">
        <v>682</v>
      </c>
      <c r="F1798" s="322">
        <v>17</v>
      </c>
      <c r="G1798" s="425">
        <f t="shared" si="29"/>
        <v>0</v>
      </c>
    </row>
    <row r="1799" spans="2:8">
      <c r="B1799" s="323">
        <v>46067</v>
      </c>
      <c r="C1799" s="325" t="s">
        <v>1246</v>
      </c>
      <c r="D1799" s="322">
        <v>2</v>
      </c>
      <c r="E1799" s="322" t="s">
        <v>682</v>
      </c>
      <c r="F1799" s="322">
        <v>2</v>
      </c>
      <c r="G1799" s="425">
        <f t="shared" si="29"/>
        <v>0</v>
      </c>
    </row>
    <row r="1800" spans="2:8">
      <c r="B1800" s="323">
        <v>46067</v>
      </c>
      <c r="C1800" s="324" t="s">
        <v>2155</v>
      </c>
      <c r="D1800" s="322">
        <v>1</v>
      </c>
      <c r="E1800" s="322" t="s">
        <v>682</v>
      </c>
      <c r="F1800" s="322">
        <v>1</v>
      </c>
      <c r="G1800" s="425">
        <f t="shared" si="29"/>
        <v>0</v>
      </c>
    </row>
    <row r="1801" spans="2:8">
      <c r="B1801" s="323">
        <v>46067</v>
      </c>
      <c r="C1801" s="325" t="s">
        <v>1246</v>
      </c>
      <c r="D1801" s="322">
        <v>2</v>
      </c>
      <c r="E1801" s="322" t="s">
        <v>682</v>
      </c>
      <c r="F1801" s="322">
        <v>2</v>
      </c>
      <c r="G1801" s="425">
        <f t="shared" ref="G1801:G1864" si="30">D1801-F1801</f>
        <v>0</v>
      </c>
    </row>
    <row r="1802" spans="2:8">
      <c r="B1802" s="323">
        <v>46067</v>
      </c>
      <c r="C1802" s="325" t="s">
        <v>1246</v>
      </c>
      <c r="D1802" s="322">
        <v>1</v>
      </c>
      <c r="E1802" s="322" t="s">
        <v>682</v>
      </c>
      <c r="F1802" s="322">
        <v>1</v>
      </c>
      <c r="G1802" s="425">
        <f t="shared" si="30"/>
        <v>0</v>
      </c>
    </row>
    <row r="1803" spans="2:8">
      <c r="B1803" s="323">
        <v>46067</v>
      </c>
      <c r="C1803" s="325" t="s">
        <v>1246</v>
      </c>
      <c r="D1803" s="322">
        <v>3</v>
      </c>
      <c r="E1803" s="322" t="s">
        <v>682</v>
      </c>
      <c r="F1803" s="322">
        <v>3</v>
      </c>
      <c r="G1803" s="425">
        <f t="shared" si="30"/>
        <v>0</v>
      </c>
    </row>
    <row r="1804" spans="2:8">
      <c r="B1804" s="323">
        <v>46067</v>
      </c>
      <c r="C1804" s="325" t="s">
        <v>1246</v>
      </c>
      <c r="D1804" s="322">
        <v>1</v>
      </c>
      <c r="E1804" s="322" t="s">
        <v>682</v>
      </c>
      <c r="F1804" s="322">
        <v>1</v>
      </c>
      <c r="G1804" s="425">
        <f t="shared" si="30"/>
        <v>0</v>
      </c>
    </row>
    <row r="1805" spans="2:8">
      <c r="B1805" s="323">
        <v>46067</v>
      </c>
      <c r="C1805" s="325" t="s">
        <v>1271</v>
      </c>
      <c r="D1805" s="322">
        <v>8</v>
      </c>
      <c r="E1805" s="322" t="s">
        <v>682</v>
      </c>
      <c r="F1805" s="322">
        <v>8</v>
      </c>
      <c r="G1805" s="425">
        <f t="shared" si="30"/>
        <v>0</v>
      </c>
    </row>
    <row r="1806" spans="2:8">
      <c r="B1806" s="323">
        <v>46067</v>
      </c>
      <c r="C1806" s="325" t="s">
        <v>1246</v>
      </c>
      <c r="D1806" s="322">
        <v>1</v>
      </c>
      <c r="E1806" s="322" t="s">
        <v>682</v>
      </c>
      <c r="F1806" s="322">
        <v>1</v>
      </c>
      <c r="G1806" s="425">
        <f t="shared" si="30"/>
        <v>0</v>
      </c>
    </row>
    <row r="1807" spans="2:8">
      <c r="B1807" s="323">
        <v>46067</v>
      </c>
      <c r="C1807" s="325" t="s">
        <v>1271</v>
      </c>
      <c r="D1807" s="322">
        <v>3</v>
      </c>
      <c r="E1807" s="322" t="s">
        <v>682</v>
      </c>
      <c r="F1807" s="322">
        <v>3</v>
      </c>
      <c r="G1807" s="425">
        <f t="shared" si="30"/>
        <v>0</v>
      </c>
    </row>
    <row r="1808" spans="2:8">
      <c r="B1808" s="323">
        <v>46067</v>
      </c>
      <c r="C1808" s="325" t="s">
        <v>1246</v>
      </c>
      <c r="D1808" s="322">
        <v>1</v>
      </c>
      <c r="E1808" s="322" t="s">
        <v>682</v>
      </c>
      <c r="F1808" s="322">
        <v>1</v>
      </c>
      <c r="G1808" s="425">
        <f t="shared" si="30"/>
        <v>0</v>
      </c>
    </row>
    <row r="1809" spans="2:7">
      <c r="B1809" s="323">
        <v>46067</v>
      </c>
      <c r="C1809" s="324" t="s">
        <v>1994</v>
      </c>
      <c r="D1809" s="322">
        <v>1</v>
      </c>
      <c r="E1809" s="322" t="s">
        <v>682</v>
      </c>
      <c r="F1809" s="322">
        <v>1</v>
      </c>
      <c r="G1809" s="425">
        <f t="shared" si="30"/>
        <v>0</v>
      </c>
    </row>
    <row r="1810" spans="2:7">
      <c r="B1810" s="323">
        <v>46067</v>
      </c>
      <c r="C1810" s="325" t="s">
        <v>1568</v>
      </c>
      <c r="D1810" s="322">
        <v>1</v>
      </c>
      <c r="E1810" s="322" t="s">
        <v>682</v>
      </c>
      <c r="F1810" s="322">
        <v>1</v>
      </c>
      <c r="G1810" s="425">
        <f t="shared" si="30"/>
        <v>0</v>
      </c>
    </row>
    <row r="1811" spans="2:7">
      <c r="B1811" s="323">
        <v>46067</v>
      </c>
      <c r="C1811" s="325" t="s">
        <v>1246</v>
      </c>
      <c r="D1811" s="322">
        <v>5</v>
      </c>
      <c r="E1811" s="322" t="s">
        <v>682</v>
      </c>
      <c r="F1811" s="322">
        <v>5</v>
      </c>
      <c r="G1811" s="425">
        <f t="shared" si="30"/>
        <v>0</v>
      </c>
    </row>
    <row r="1812" spans="2:7">
      <c r="B1812" s="323">
        <v>46067</v>
      </c>
      <c r="C1812" s="325" t="s">
        <v>2719</v>
      </c>
      <c r="D1812" s="322">
        <v>1</v>
      </c>
      <c r="E1812" s="322" t="s">
        <v>682</v>
      </c>
      <c r="F1812" s="322">
        <v>1</v>
      </c>
      <c r="G1812" s="425">
        <f t="shared" si="30"/>
        <v>0</v>
      </c>
    </row>
    <row r="1813" spans="2:7">
      <c r="B1813" s="323">
        <v>46067</v>
      </c>
      <c r="C1813" s="325" t="s">
        <v>1301</v>
      </c>
      <c r="D1813" s="322">
        <v>1</v>
      </c>
      <c r="E1813" s="322" t="s">
        <v>682</v>
      </c>
      <c r="F1813" s="322">
        <v>1</v>
      </c>
      <c r="G1813" s="425">
        <f t="shared" si="30"/>
        <v>0</v>
      </c>
    </row>
    <row r="1814" spans="2:7">
      <c r="B1814" s="323">
        <v>46067</v>
      </c>
      <c r="C1814" s="325" t="s">
        <v>1290</v>
      </c>
      <c r="D1814" s="322">
        <v>1</v>
      </c>
      <c r="E1814" s="322" t="s">
        <v>682</v>
      </c>
      <c r="F1814" s="322">
        <v>1</v>
      </c>
      <c r="G1814" s="425">
        <f t="shared" si="30"/>
        <v>0</v>
      </c>
    </row>
    <row r="1815" spans="2:7">
      <c r="B1815" s="323">
        <v>46067</v>
      </c>
      <c r="C1815" s="325" t="s">
        <v>136</v>
      </c>
      <c r="D1815" s="322">
        <v>3</v>
      </c>
      <c r="E1815" s="322" t="s">
        <v>682</v>
      </c>
      <c r="F1815" s="322">
        <v>3</v>
      </c>
      <c r="G1815" s="425">
        <f t="shared" si="30"/>
        <v>0</v>
      </c>
    </row>
    <row r="1816" spans="2:7">
      <c r="B1816" s="323">
        <v>46067</v>
      </c>
      <c r="C1816" s="325" t="s">
        <v>1312</v>
      </c>
      <c r="D1816" s="322">
        <v>1</v>
      </c>
      <c r="E1816" s="322" t="s">
        <v>682</v>
      </c>
      <c r="F1816" s="322">
        <v>1</v>
      </c>
      <c r="G1816" s="425">
        <f t="shared" si="30"/>
        <v>0</v>
      </c>
    </row>
    <row r="1817" spans="2:7">
      <c r="B1817" s="323">
        <v>46067</v>
      </c>
      <c r="C1817" s="325" t="s">
        <v>1409</v>
      </c>
      <c r="D1817" s="322">
        <v>4</v>
      </c>
      <c r="E1817" s="322" t="s">
        <v>682</v>
      </c>
      <c r="F1817" s="322">
        <v>4</v>
      </c>
      <c r="G1817" s="425">
        <f t="shared" si="30"/>
        <v>0</v>
      </c>
    </row>
    <row r="1818" spans="2:7">
      <c r="B1818" s="323">
        <v>46067</v>
      </c>
      <c r="C1818" s="325" t="s">
        <v>1246</v>
      </c>
      <c r="D1818" s="322">
        <v>4</v>
      </c>
      <c r="E1818" s="322" t="s">
        <v>682</v>
      </c>
      <c r="F1818" s="322">
        <v>4</v>
      </c>
      <c r="G1818" s="425">
        <f t="shared" si="30"/>
        <v>0</v>
      </c>
    </row>
    <row r="1819" spans="2:7">
      <c r="B1819" s="323">
        <v>46067</v>
      </c>
      <c r="C1819" s="325" t="s">
        <v>1327</v>
      </c>
      <c r="D1819" s="322">
        <v>2</v>
      </c>
      <c r="E1819" s="322" t="s">
        <v>682</v>
      </c>
      <c r="F1819" s="322">
        <v>2</v>
      </c>
      <c r="G1819" s="425">
        <f t="shared" si="30"/>
        <v>0</v>
      </c>
    </row>
    <row r="1820" spans="2:7">
      <c r="B1820" s="323">
        <v>46067</v>
      </c>
      <c r="C1820" s="325" t="s">
        <v>1408</v>
      </c>
      <c r="D1820" s="322">
        <v>1</v>
      </c>
      <c r="E1820" s="322" t="s">
        <v>682</v>
      </c>
      <c r="F1820" s="322">
        <v>1</v>
      </c>
      <c r="G1820" s="425">
        <f t="shared" si="30"/>
        <v>0</v>
      </c>
    </row>
    <row r="1821" spans="2:7">
      <c r="B1821" s="323">
        <v>46067</v>
      </c>
      <c r="C1821" s="325" t="s">
        <v>1291</v>
      </c>
      <c r="D1821" s="322">
        <v>2</v>
      </c>
      <c r="E1821" s="322" t="s">
        <v>682</v>
      </c>
      <c r="F1821" s="322">
        <v>2</v>
      </c>
      <c r="G1821" s="425">
        <f t="shared" si="30"/>
        <v>0</v>
      </c>
    </row>
    <row r="1822" spans="2:7">
      <c r="B1822" s="323">
        <v>46067</v>
      </c>
      <c r="C1822" s="325" t="s">
        <v>1334</v>
      </c>
      <c r="D1822" s="322">
        <v>1</v>
      </c>
      <c r="E1822" s="322" t="s">
        <v>682</v>
      </c>
      <c r="F1822" s="322">
        <v>1</v>
      </c>
      <c r="G1822" s="425">
        <f t="shared" si="30"/>
        <v>0</v>
      </c>
    </row>
    <row r="1823" spans="2:7">
      <c r="B1823" s="323">
        <v>46067</v>
      </c>
      <c r="C1823" s="324" t="s">
        <v>1387</v>
      </c>
      <c r="D1823" s="322">
        <v>2</v>
      </c>
      <c r="E1823" s="322" t="s">
        <v>682</v>
      </c>
      <c r="F1823" s="322">
        <v>2</v>
      </c>
      <c r="G1823" s="425">
        <f t="shared" si="30"/>
        <v>0</v>
      </c>
    </row>
    <row r="1824" spans="2:7">
      <c r="B1824" s="323">
        <v>46067</v>
      </c>
      <c r="C1824" s="325" t="s">
        <v>3090</v>
      </c>
      <c r="D1824" s="322">
        <v>2</v>
      </c>
      <c r="E1824" s="322" t="s">
        <v>682</v>
      </c>
      <c r="F1824" s="322">
        <v>2</v>
      </c>
      <c r="G1824" s="425">
        <f t="shared" si="30"/>
        <v>0</v>
      </c>
    </row>
    <row r="1825" spans="2:8">
      <c r="B1825" s="346">
        <v>46066</v>
      </c>
      <c r="C1825" s="349" t="s">
        <v>1568</v>
      </c>
      <c r="D1825" s="348">
        <v>2</v>
      </c>
      <c r="E1825" s="348" t="s">
        <v>2093</v>
      </c>
      <c r="F1825" s="348">
        <v>2</v>
      </c>
      <c r="G1825" s="351">
        <f t="shared" si="30"/>
        <v>0</v>
      </c>
      <c r="H1825" t="s">
        <v>3021</v>
      </c>
    </row>
    <row r="1826" spans="2:8">
      <c r="B1826" s="346">
        <v>46069</v>
      </c>
      <c r="C1826" s="349" t="s">
        <v>1246</v>
      </c>
      <c r="D1826" s="348">
        <v>4</v>
      </c>
      <c r="E1826" s="348" t="s">
        <v>2093</v>
      </c>
      <c r="F1826" s="348">
        <v>4</v>
      </c>
      <c r="G1826" s="351">
        <f t="shared" si="30"/>
        <v>0</v>
      </c>
      <c r="H1826" t="s">
        <v>3102</v>
      </c>
    </row>
    <row r="1827" spans="2:8">
      <c r="B1827" s="346">
        <v>46069</v>
      </c>
      <c r="C1827" s="349" t="s">
        <v>1097</v>
      </c>
      <c r="D1827" s="348">
        <v>1</v>
      </c>
      <c r="E1827" s="348" t="s">
        <v>2093</v>
      </c>
      <c r="F1827" s="348">
        <v>1</v>
      </c>
      <c r="G1827" s="351">
        <f t="shared" si="30"/>
        <v>0</v>
      </c>
    </row>
    <row r="1828" spans="2:8">
      <c r="B1828" s="346">
        <v>46069</v>
      </c>
      <c r="C1828" s="349" t="s">
        <v>1249</v>
      </c>
      <c r="D1828" s="348">
        <v>2</v>
      </c>
      <c r="E1828" s="348" t="s">
        <v>2093</v>
      </c>
      <c r="F1828" s="348">
        <v>2</v>
      </c>
      <c r="G1828" s="351">
        <f t="shared" si="30"/>
        <v>0</v>
      </c>
    </row>
    <row r="1829" spans="2:8">
      <c r="B1829" s="346">
        <v>46069</v>
      </c>
      <c r="C1829" s="349" t="s">
        <v>1246</v>
      </c>
      <c r="D1829" s="348">
        <v>1</v>
      </c>
      <c r="E1829" s="348" t="s">
        <v>2093</v>
      </c>
      <c r="F1829" s="348">
        <v>1</v>
      </c>
      <c r="G1829" s="351">
        <f t="shared" si="30"/>
        <v>0</v>
      </c>
    </row>
    <row r="1830" spans="2:8">
      <c r="B1830" s="346">
        <v>46069</v>
      </c>
      <c r="C1830" s="349" t="s">
        <v>1291</v>
      </c>
      <c r="D1830" s="348">
        <v>12</v>
      </c>
      <c r="E1830" s="348" t="s">
        <v>2093</v>
      </c>
      <c r="F1830" s="348">
        <v>12</v>
      </c>
      <c r="G1830" s="351">
        <f t="shared" si="30"/>
        <v>0</v>
      </c>
    </row>
    <row r="1831" spans="2:8">
      <c r="B1831" s="346">
        <v>46069</v>
      </c>
      <c r="C1831" s="349" t="s">
        <v>1291</v>
      </c>
      <c r="D1831" s="348">
        <v>1</v>
      </c>
      <c r="E1831" s="348" t="s">
        <v>2093</v>
      </c>
      <c r="F1831" s="348">
        <v>1</v>
      </c>
      <c r="G1831" s="351">
        <f t="shared" si="30"/>
        <v>0</v>
      </c>
    </row>
    <row r="1832" spans="2:8">
      <c r="B1832" s="346">
        <v>46069</v>
      </c>
      <c r="C1832" s="349" t="s">
        <v>1271</v>
      </c>
      <c r="D1832" s="348">
        <v>4</v>
      </c>
      <c r="E1832" s="348" t="s">
        <v>2093</v>
      </c>
      <c r="F1832" s="348">
        <v>4</v>
      </c>
      <c r="G1832" s="351">
        <f t="shared" si="30"/>
        <v>0</v>
      </c>
    </row>
    <row r="1833" spans="2:8">
      <c r="B1833" s="346">
        <v>46069</v>
      </c>
      <c r="C1833" s="349" t="s">
        <v>1271</v>
      </c>
      <c r="D1833" s="348">
        <v>1</v>
      </c>
      <c r="E1833" s="348" t="s">
        <v>2093</v>
      </c>
      <c r="F1833" s="348">
        <v>1</v>
      </c>
      <c r="G1833" s="351">
        <f t="shared" si="30"/>
        <v>0</v>
      </c>
    </row>
    <row r="1834" spans="2:8">
      <c r="B1834" s="346">
        <v>46069</v>
      </c>
      <c r="C1834" s="349" t="s">
        <v>1152</v>
      </c>
      <c r="D1834" s="348">
        <v>1</v>
      </c>
      <c r="E1834" s="348" t="s">
        <v>2093</v>
      </c>
      <c r="F1834" s="348">
        <v>1</v>
      </c>
      <c r="G1834" s="351">
        <f t="shared" si="30"/>
        <v>0</v>
      </c>
    </row>
    <row r="1835" spans="2:8">
      <c r="B1835" s="346">
        <v>46069</v>
      </c>
      <c r="C1835" s="349" t="s">
        <v>935</v>
      </c>
      <c r="D1835" s="348">
        <v>2</v>
      </c>
      <c r="E1835" s="348" t="s">
        <v>2093</v>
      </c>
      <c r="F1835" s="348">
        <v>2</v>
      </c>
      <c r="G1835" s="351">
        <f t="shared" si="30"/>
        <v>0</v>
      </c>
    </row>
    <row r="1836" spans="2:8">
      <c r="B1836" s="346">
        <v>46069</v>
      </c>
      <c r="C1836" s="349" t="s">
        <v>1327</v>
      </c>
      <c r="D1836" s="348">
        <v>2</v>
      </c>
      <c r="E1836" s="348" t="s">
        <v>2093</v>
      </c>
      <c r="F1836" s="348">
        <v>2</v>
      </c>
      <c r="G1836" s="351">
        <f t="shared" si="30"/>
        <v>0</v>
      </c>
    </row>
    <row r="1837" spans="2:8">
      <c r="B1837" s="346">
        <v>46069</v>
      </c>
      <c r="C1837" s="349" t="s">
        <v>1326</v>
      </c>
      <c r="D1837" s="348">
        <v>1</v>
      </c>
      <c r="E1837" s="348" t="s">
        <v>2093</v>
      </c>
      <c r="F1837" s="348">
        <v>1</v>
      </c>
      <c r="G1837" s="351">
        <f t="shared" si="30"/>
        <v>0</v>
      </c>
    </row>
    <row r="1838" spans="2:8">
      <c r="B1838" s="346">
        <v>46069</v>
      </c>
      <c r="C1838" s="351" t="s">
        <v>932</v>
      </c>
      <c r="D1838" s="348">
        <v>7</v>
      </c>
      <c r="E1838" s="348" t="s">
        <v>2093</v>
      </c>
      <c r="F1838" s="348">
        <v>7</v>
      </c>
      <c r="G1838" s="351">
        <f t="shared" si="30"/>
        <v>0</v>
      </c>
    </row>
    <row r="1839" spans="2:8">
      <c r="B1839" s="346">
        <v>46069</v>
      </c>
      <c r="C1839" s="349" t="s">
        <v>1490</v>
      </c>
      <c r="D1839" s="348">
        <v>1</v>
      </c>
      <c r="E1839" s="348" t="s">
        <v>2093</v>
      </c>
      <c r="F1839" s="348">
        <v>1</v>
      </c>
      <c r="G1839" s="351">
        <f t="shared" si="30"/>
        <v>0</v>
      </c>
    </row>
    <row r="1840" spans="2:8">
      <c r="B1840" s="346">
        <v>46069</v>
      </c>
      <c r="C1840" s="349" t="s">
        <v>1568</v>
      </c>
      <c r="D1840" s="348">
        <v>1</v>
      </c>
      <c r="E1840" s="348" t="s">
        <v>2093</v>
      </c>
      <c r="F1840" s="348">
        <v>1</v>
      </c>
      <c r="G1840" s="351">
        <f t="shared" si="30"/>
        <v>0</v>
      </c>
    </row>
    <row r="1841" spans="2:8">
      <c r="B1841" s="346">
        <v>46069</v>
      </c>
      <c r="C1841" s="349" t="s">
        <v>1568</v>
      </c>
      <c r="D1841" s="348">
        <v>1</v>
      </c>
      <c r="E1841" s="348" t="s">
        <v>2093</v>
      </c>
      <c r="F1841" s="348">
        <v>1</v>
      </c>
      <c r="G1841" s="351">
        <f t="shared" si="30"/>
        <v>0</v>
      </c>
    </row>
    <row r="1842" spans="2:8">
      <c r="B1842" s="335">
        <v>46070</v>
      </c>
      <c r="C1842" s="343" t="s">
        <v>1246</v>
      </c>
      <c r="D1842" s="345">
        <v>39</v>
      </c>
      <c r="E1842" s="345" t="s">
        <v>3106</v>
      </c>
      <c r="F1842" s="345">
        <v>39</v>
      </c>
      <c r="G1842" s="344">
        <f t="shared" si="30"/>
        <v>0</v>
      </c>
    </row>
    <row r="1843" spans="2:8">
      <c r="B1843" s="335">
        <v>46070</v>
      </c>
      <c r="C1843" s="343" t="s">
        <v>1327</v>
      </c>
      <c r="D1843" s="345">
        <v>22</v>
      </c>
      <c r="E1843" s="345" t="s">
        <v>3106</v>
      </c>
      <c r="F1843" s="345">
        <v>22</v>
      </c>
      <c r="G1843" s="344">
        <f t="shared" si="30"/>
        <v>0</v>
      </c>
    </row>
    <row r="1844" spans="2:8">
      <c r="B1844" s="335">
        <v>46070</v>
      </c>
      <c r="C1844" s="343" t="s">
        <v>808</v>
      </c>
      <c r="D1844" s="345">
        <v>6</v>
      </c>
      <c r="E1844" s="345" t="s">
        <v>3106</v>
      </c>
      <c r="F1844" s="345">
        <v>6</v>
      </c>
      <c r="G1844" s="344">
        <f t="shared" si="30"/>
        <v>0</v>
      </c>
    </row>
    <row r="1845" spans="2:8">
      <c r="B1845" s="335">
        <v>46070</v>
      </c>
      <c r="C1845" s="343" t="s">
        <v>807</v>
      </c>
      <c r="D1845" s="345">
        <v>4</v>
      </c>
      <c r="E1845" s="345" t="s">
        <v>3106</v>
      </c>
      <c r="F1845" s="345">
        <v>4</v>
      </c>
      <c r="G1845" s="344">
        <f t="shared" si="30"/>
        <v>0</v>
      </c>
    </row>
    <row r="1846" spans="2:8">
      <c r="B1846" s="335">
        <v>46070</v>
      </c>
      <c r="C1846" s="341" t="s">
        <v>789</v>
      </c>
      <c r="D1846" s="345">
        <v>5</v>
      </c>
      <c r="E1846" s="345" t="s">
        <v>3106</v>
      </c>
      <c r="F1846" s="345">
        <v>5</v>
      </c>
      <c r="G1846" s="344">
        <f t="shared" si="30"/>
        <v>0</v>
      </c>
    </row>
    <row r="1847" spans="2:8">
      <c r="B1847" s="335">
        <v>46070</v>
      </c>
      <c r="C1847" s="343" t="s">
        <v>1575</v>
      </c>
      <c r="D1847" s="345">
        <v>31</v>
      </c>
      <c r="E1847" s="345" t="s">
        <v>3106</v>
      </c>
      <c r="F1847" s="345">
        <v>31</v>
      </c>
      <c r="G1847" s="344">
        <f t="shared" si="30"/>
        <v>0</v>
      </c>
    </row>
    <row r="1848" spans="2:8">
      <c r="B1848" s="335">
        <v>46070</v>
      </c>
      <c r="C1848" s="341" t="s">
        <v>76</v>
      </c>
      <c r="D1848" s="345">
        <v>98</v>
      </c>
      <c r="E1848" s="345" t="s">
        <v>3106</v>
      </c>
      <c r="F1848" s="345">
        <v>98</v>
      </c>
      <c r="G1848" s="344">
        <f t="shared" si="30"/>
        <v>0</v>
      </c>
    </row>
    <row r="1849" spans="2:8">
      <c r="B1849" s="335">
        <v>46070</v>
      </c>
      <c r="C1849" s="343" t="s">
        <v>844</v>
      </c>
      <c r="D1849" s="345">
        <v>1</v>
      </c>
      <c r="E1849" s="345" t="s">
        <v>3106</v>
      </c>
      <c r="F1849" s="345">
        <v>1</v>
      </c>
      <c r="G1849" s="344">
        <f t="shared" si="30"/>
        <v>0</v>
      </c>
    </row>
    <row r="1850" spans="2:8">
      <c r="B1850" s="335">
        <v>46070</v>
      </c>
      <c r="C1850" s="341" t="s">
        <v>78</v>
      </c>
      <c r="D1850" s="345">
        <v>11</v>
      </c>
      <c r="E1850" s="345" t="s">
        <v>3106</v>
      </c>
      <c r="F1850" s="345">
        <v>11</v>
      </c>
      <c r="G1850" s="344">
        <f t="shared" si="30"/>
        <v>0</v>
      </c>
    </row>
    <row r="1851" spans="2:8">
      <c r="B1851" s="323">
        <v>46072</v>
      </c>
      <c r="C1851" s="325" t="s">
        <v>1246</v>
      </c>
      <c r="D1851" s="322">
        <v>18</v>
      </c>
      <c r="E1851" s="322" t="s">
        <v>682</v>
      </c>
      <c r="F1851" s="322">
        <v>18</v>
      </c>
      <c r="G1851" s="425">
        <f t="shared" si="30"/>
        <v>0</v>
      </c>
      <c r="H1851" t="s">
        <v>3206</v>
      </c>
    </row>
    <row r="1852" spans="2:8">
      <c r="B1852" s="323">
        <v>46072</v>
      </c>
      <c r="C1852" s="325" t="s">
        <v>1246</v>
      </c>
      <c r="D1852" s="322">
        <v>16</v>
      </c>
      <c r="E1852" s="322" t="s">
        <v>682</v>
      </c>
      <c r="F1852" s="322">
        <v>16</v>
      </c>
      <c r="G1852" s="425">
        <f t="shared" si="30"/>
        <v>0</v>
      </c>
    </row>
    <row r="1853" spans="2:8">
      <c r="B1853" s="323">
        <v>46072</v>
      </c>
      <c r="C1853" s="325" t="s">
        <v>1246</v>
      </c>
      <c r="D1853" s="322">
        <v>2</v>
      </c>
      <c r="E1853" s="322" t="s">
        <v>682</v>
      </c>
      <c r="F1853" s="322">
        <v>2</v>
      </c>
      <c r="G1853" s="425">
        <f t="shared" si="30"/>
        <v>0</v>
      </c>
    </row>
    <row r="1854" spans="2:8">
      <c r="B1854" s="323">
        <v>46072</v>
      </c>
      <c r="C1854" s="324" t="s">
        <v>134</v>
      </c>
      <c r="D1854" s="322">
        <v>4</v>
      </c>
      <c r="E1854" s="322" t="s">
        <v>682</v>
      </c>
      <c r="F1854" s="322">
        <v>4</v>
      </c>
      <c r="G1854" s="425">
        <f t="shared" si="30"/>
        <v>0</v>
      </c>
    </row>
    <row r="1855" spans="2:8">
      <c r="B1855" s="323">
        <v>46072</v>
      </c>
      <c r="C1855" s="325" t="s">
        <v>2142</v>
      </c>
      <c r="D1855" s="322">
        <v>2</v>
      </c>
      <c r="E1855" s="322" t="s">
        <v>682</v>
      </c>
      <c r="F1855" s="322">
        <v>2</v>
      </c>
      <c r="G1855" s="425">
        <f t="shared" si="30"/>
        <v>0</v>
      </c>
    </row>
    <row r="1856" spans="2:8">
      <c r="B1856" s="323">
        <v>46072</v>
      </c>
      <c r="C1856" s="325" t="s">
        <v>1271</v>
      </c>
      <c r="D1856" s="322">
        <v>1</v>
      </c>
      <c r="E1856" s="322" t="s">
        <v>682</v>
      </c>
      <c r="F1856" s="322">
        <v>1</v>
      </c>
      <c r="G1856" s="425">
        <f t="shared" si="30"/>
        <v>0</v>
      </c>
    </row>
    <row r="1857" spans="2:7">
      <c r="B1857" s="323">
        <v>46072</v>
      </c>
      <c r="C1857" s="325" t="s">
        <v>1327</v>
      </c>
      <c r="D1857" s="322">
        <v>1</v>
      </c>
      <c r="E1857" s="322" t="s">
        <v>682</v>
      </c>
      <c r="F1857" s="322">
        <v>1</v>
      </c>
      <c r="G1857" s="425">
        <f t="shared" si="30"/>
        <v>0</v>
      </c>
    </row>
    <row r="1858" spans="2:7">
      <c r="B1858" s="323">
        <v>46072</v>
      </c>
      <c r="C1858" s="325" t="s">
        <v>1568</v>
      </c>
      <c r="D1858" s="322">
        <v>1</v>
      </c>
      <c r="E1858" s="322" t="s">
        <v>682</v>
      </c>
      <c r="F1858" s="322">
        <v>1</v>
      </c>
      <c r="G1858" s="425">
        <f t="shared" si="30"/>
        <v>0</v>
      </c>
    </row>
    <row r="1859" spans="2:7">
      <c r="B1859" s="323">
        <v>46072</v>
      </c>
      <c r="C1859" s="325" t="s">
        <v>1641</v>
      </c>
      <c r="D1859" s="322">
        <v>1</v>
      </c>
      <c r="E1859" s="322" t="s">
        <v>682</v>
      </c>
      <c r="F1859" s="322">
        <v>1</v>
      </c>
      <c r="G1859" s="425">
        <f t="shared" si="30"/>
        <v>0</v>
      </c>
    </row>
    <row r="1860" spans="2:7">
      <c r="B1860" s="323">
        <v>46072</v>
      </c>
      <c r="C1860" s="325" t="s">
        <v>1326</v>
      </c>
      <c r="D1860" s="322">
        <v>2</v>
      </c>
      <c r="E1860" s="322" t="s">
        <v>682</v>
      </c>
      <c r="F1860" s="322">
        <v>2</v>
      </c>
      <c r="G1860" s="425">
        <f t="shared" si="30"/>
        <v>0</v>
      </c>
    </row>
    <row r="1861" spans="2:7">
      <c r="B1861" s="323">
        <v>46072</v>
      </c>
      <c r="C1861" s="325" t="s">
        <v>2140</v>
      </c>
      <c r="D1861" s="322">
        <v>1</v>
      </c>
      <c r="E1861" s="322" t="s">
        <v>682</v>
      </c>
      <c r="F1861" s="322">
        <v>1</v>
      </c>
      <c r="G1861" s="425">
        <f t="shared" si="30"/>
        <v>0</v>
      </c>
    </row>
    <row r="1862" spans="2:7">
      <c r="B1862" s="323">
        <v>46072</v>
      </c>
      <c r="C1862" s="325" t="s">
        <v>2141</v>
      </c>
      <c r="D1862" s="322">
        <v>1</v>
      </c>
      <c r="E1862" s="322" t="s">
        <v>682</v>
      </c>
      <c r="F1862" s="322">
        <v>1</v>
      </c>
      <c r="G1862" s="425">
        <f t="shared" si="30"/>
        <v>0</v>
      </c>
    </row>
    <row r="1863" spans="2:7">
      <c r="B1863" s="323">
        <v>46072</v>
      </c>
      <c r="C1863" s="325" t="s">
        <v>1095</v>
      </c>
      <c r="D1863" s="322">
        <v>1</v>
      </c>
      <c r="E1863" s="322" t="s">
        <v>682</v>
      </c>
      <c r="F1863" s="322">
        <v>1</v>
      </c>
      <c r="G1863" s="425">
        <f t="shared" si="30"/>
        <v>0</v>
      </c>
    </row>
    <row r="1864" spans="2:7">
      <c r="B1864" s="323">
        <v>46072</v>
      </c>
      <c r="C1864" s="325" t="s">
        <v>1318</v>
      </c>
      <c r="D1864" s="322">
        <v>2</v>
      </c>
      <c r="E1864" s="322" t="s">
        <v>682</v>
      </c>
      <c r="F1864" s="322">
        <v>2</v>
      </c>
      <c r="G1864" s="425">
        <f t="shared" si="30"/>
        <v>0</v>
      </c>
    </row>
    <row r="1865" spans="2:7">
      <c r="B1865" s="323">
        <v>46072</v>
      </c>
      <c r="C1865" s="325" t="s">
        <v>1409</v>
      </c>
      <c r="D1865" s="322">
        <v>4</v>
      </c>
      <c r="E1865" s="322" t="s">
        <v>682</v>
      </c>
      <c r="F1865" s="322">
        <v>4</v>
      </c>
      <c r="G1865" s="425">
        <f t="shared" ref="G1865:G1928" si="31">D1865-F1865</f>
        <v>0</v>
      </c>
    </row>
    <row r="1866" spans="2:7">
      <c r="B1866" s="323">
        <v>46072</v>
      </c>
      <c r="C1866" s="325" t="s">
        <v>154</v>
      </c>
      <c r="D1866" s="322">
        <v>5</v>
      </c>
      <c r="E1866" s="322" t="s">
        <v>682</v>
      </c>
      <c r="F1866" s="322">
        <v>5</v>
      </c>
      <c r="G1866" s="425">
        <f t="shared" si="31"/>
        <v>0</v>
      </c>
    </row>
    <row r="1867" spans="2:7">
      <c r="B1867" s="323">
        <v>46072</v>
      </c>
      <c r="C1867" s="325" t="s">
        <v>2625</v>
      </c>
      <c r="D1867" s="322">
        <v>3</v>
      </c>
      <c r="E1867" s="322" t="s">
        <v>682</v>
      </c>
      <c r="F1867" s="322">
        <v>3</v>
      </c>
      <c r="G1867" s="425">
        <f t="shared" si="31"/>
        <v>0</v>
      </c>
    </row>
    <row r="1868" spans="2:7">
      <c r="B1868" s="323">
        <v>46072</v>
      </c>
      <c r="C1868" s="325" t="s">
        <v>1096</v>
      </c>
      <c r="D1868" s="322">
        <v>3</v>
      </c>
      <c r="E1868" s="322" t="s">
        <v>682</v>
      </c>
      <c r="F1868" s="322">
        <v>3</v>
      </c>
      <c r="G1868" s="425">
        <f t="shared" si="31"/>
        <v>0</v>
      </c>
    </row>
    <row r="1869" spans="2:7">
      <c r="B1869" s="323">
        <v>46072</v>
      </c>
      <c r="C1869" s="425" t="s">
        <v>375</v>
      </c>
      <c r="D1869" s="322">
        <v>2</v>
      </c>
      <c r="E1869" s="322" t="s">
        <v>682</v>
      </c>
      <c r="F1869" s="322">
        <v>2</v>
      </c>
      <c r="G1869" s="425">
        <f t="shared" si="31"/>
        <v>0</v>
      </c>
    </row>
    <row r="1870" spans="2:7">
      <c r="B1870" s="323">
        <v>46072</v>
      </c>
      <c r="C1870" s="325" t="s">
        <v>1490</v>
      </c>
      <c r="D1870" s="322">
        <v>3</v>
      </c>
      <c r="E1870" s="322" t="s">
        <v>682</v>
      </c>
      <c r="F1870" s="322">
        <v>3</v>
      </c>
      <c r="G1870" s="425">
        <f t="shared" si="31"/>
        <v>0</v>
      </c>
    </row>
    <row r="1871" spans="2:7">
      <c r="B1871" s="323">
        <v>46072</v>
      </c>
      <c r="C1871" s="426" t="s">
        <v>931</v>
      </c>
      <c r="D1871" s="322">
        <v>2</v>
      </c>
      <c r="E1871" s="322" t="s">
        <v>682</v>
      </c>
      <c r="F1871" s="322">
        <v>2</v>
      </c>
      <c r="G1871" s="425">
        <f t="shared" si="31"/>
        <v>0</v>
      </c>
    </row>
    <row r="1872" spans="2:7">
      <c r="B1872" s="323">
        <v>46072</v>
      </c>
      <c r="C1872" s="325" t="s">
        <v>1334</v>
      </c>
      <c r="D1872" s="322">
        <v>2</v>
      </c>
      <c r="E1872" s="322" t="s">
        <v>682</v>
      </c>
      <c r="F1872" s="322">
        <v>2</v>
      </c>
      <c r="G1872" s="425">
        <f t="shared" si="31"/>
        <v>0</v>
      </c>
    </row>
    <row r="1873" spans="2:7">
      <c r="B1873" s="323">
        <v>46072</v>
      </c>
      <c r="C1873" s="325" t="s">
        <v>1095</v>
      </c>
      <c r="D1873" s="322">
        <v>1</v>
      </c>
      <c r="E1873" s="322" t="s">
        <v>682</v>
      </c>
      <c r="F1873" s="322">
        <v>1</v>
      </c>
      <c r="G1873" s="425">
        <f t="shared" si="31"/>
        <v>0</v>
      </c>
    </row>
    <row r="1874" spans="2:7">
      <c r="B1874" s="323">
        <v>46072</v>
      </c>
      <c r="C1874" s="325" t="s">
        <v>1327</v>
      </c>
      <c r="D1874" s="322">
        <v>1</v>
      </c>
      <c r="E1874" s="322" t="s">
        <v>682</v>
      </c>
      <c r="F1874" s="322">
        <v>1</v>
      </c>
      <c r="G1874" s="425">
        <f t="shared" si="31"/>
        <v>0</v>
      </c>
    </row>
    <row r="1875" spans="2:7">
      <c r="B1875" s="323">
        <v>46072</v>
      </c>
      <c r="C1875" s="324" t="s">
        <v>134</v>
      </c>
      <c r="D1875" s="322">
        <v>1</v>
      </c>
      <c r="E1875" s="322" t="s">
        <v>682</v>
      </c>
      <c r="F1875" s="322">
        <v>1</v>
      </c>
      <c r="G1875" s="425">
        <f t="shared" si="31"/>
        <v>0</v>
      </c>
    </row>
    <row r="1876" spans="2:7">
      <c r="B1876" s="323">
        <v>46072</v>
      </c>
      <c r="C1876" s="325" t="s">
        <v>1326</v>
      </c>
      <c r="D1876" s="322">
        <v>1</v>
      </c>
      <c r="E1876" s="322" t="s">
        <v>682</v>
      </c>
      <c r="F1876" s="322">
        <v>1</v>
      </c>
      <c r="G1876" s="425">
        <f t="shared" si="31"/>
        <v>0</v>
      </c>
    </row>
    <row r="1877" spans="2:7">
      <c r="B1877" s="323">
        <v>46072</v>
      </c>
      <c r="C1877" s="325" t="s">
        <v>1907</v>
      </c>
      <c r="D1877" s="322">
        <v>1</v>
      </c>
      <c r="E1877" s="322" t="s">
        <v>682</v>
      </c>
      <c r="F1877" s="322">
        <v>1</v>
      </c>
      <c r="G1877" s="425">
        <f t="shared" si="31"/>
        <v>0</v>
      </c>
    </row>
    <row r="1878" spans="2:7">
      <c r="B1878" s="323">
        <v>46072</v>
      </c>
      <c r="C1878" s="325" t="s">
        <v>1271</v>
      </c>
      <c r="D1878" s="322">
        <v>1</v>
      </c>
      <c r="E1878" s="322" t="s">
        <v>682</v>
      </c>
      <c r="F1878" s="322">
        <v>1</v>
      </c>
      <c r="G1878" s="425">
        <f t="shared" si="31"/>
        <v>0</v>
      </c>
    </row>
    <row r="1879" spans="2:7">
      <c r="B1879" s="323">
        <v>46072</v>
      </c>
      <c r="C1879" s="325" t="s">
        <v>1641</v>
      </c>
      <c r="D1879" s="322">
        <v>1</v>
      </c>
      <c r="E1879" s="322" t="s">
        <v>682</v>
      </c>
      <c r="F1879" s="322">
        <v>1</v>
      </c>
      <c r="G1879" s="425">
        <f t="shared" si="31"/>
        <v>0</v>
      </c>
    </row>
    <row r="1880" spans="2:7">
      <c r="B1880" s="323">
        <v>46072</v>
      </c>
      <c r="C1880" s="324" t="s">
        <v>2155</v>
      </c>
      <c r="D1880" s="322">
        <v>1</v>
      </c>
      <c r="E1880" s="322" t="s">
        <v>682</v>
      </c>
      <c r="F1880" s="322">
        <v>1</v>
      </c>
      <c r="G1880" s="425">
        <f t="shared" si="31"/>
        <v>0</v>
      </c>
    </row>
    <row r="1881" spans="2:7">
      <c r="B1881" s="323">
        <v>46072</v>
      </c>
      <c r="C1881" s="325" t="s">
        <v>1246</v>
      </c>
      <c r="D1881" s="322">
        <v>6</v>
      </c>
      <c r="E1881" s="322" t="s">
        <v>682</v>
      </c>
      <c r="F1881" s="322">
        <v>6</v>
      </c>
      <c r="G1881" s="425">
        <f t="shared" si="31"/>
        <v>0</v>
      </c>
    </row>
    <row r="1882" spans="2:7">
      <c r="B1882" s="323">
        <v>46072</v>
      </c>
      <c r="C1882" s="325" t="s">
        <v>1326</v>
      </c>
      <c r="D1882" s="322">
        <v>1</v>
      </c>
      <c r="E1882" s="322" t="s">
        <v>682</v>
      </c>
      <c r="F1882" s="322">
        <v>1</v>
      </c>
      <c r="G1882" s="425">
        <f t="shared" si="31"/>
        <v>0</v>
      </c>
    </row>
    <row r="1883" spans="2:7">
      <c r="B1883" s="323">
        <v>46072</v>
      </c>
      <c r="C1883" s="325" t="s">
        <v>1326</v>
      </c>
      <c r="D1883" s="322">
        <v>3</v>
      </c>
      <c r="E1883" s="322" t="s">
        <v>682</v>
      </c>
      <c r="F1883" s="322">
        <v>3</v>
      </c>
      <c r="G1883" s="425">
        <f t="shared" si="31"/>
        <v>0</v>
      </c>
    </row>
    <row r="1884" spans="2:7">
      <c r="B1884" s="323">
        <v>46072</v>
      </c>
      <c r="C1884" s="325" t="s">
        <v>1246</v>
      </c>
      <c r="D1884" s="322">
        <v>9</v>
      </c>
      <c r="E1884" s="322" t="s">
        <v>682</v>
      </c>
      <c r="F1884" s="322">
        <v>9</v>
      </c>
      <c r="G1884" s="425">
        <f t="shared" si="31"/>
        <v>0</v>
      </c>
    </row>
    <row r="1885" spans="2:7">
      <c r="B1885" s="323">
        <v>46072</v>
      </c>
      <c r="C1885" s="325" t="s">
        <v>1246</v>
      </c>
      <c r="D1885" s="322">
        <v>13</v>
      </c>
      <c r="E1885" s="322" t="s">
        <v>682</v>
      </c>
      <c r="F1885" s="322">
        <v>13</v>
      </c>
      <c r="G1885" s="425">
        <f t="shared" si="31"/>
        <v>0</v>
      </c>
    </row>
    <row r="1886" spans="2:7">
      <c r="B1886" s="323">
        <v>46072</v>
      </c>
      <c r="C1886" s="325" t="s">
        <v>3090</v>
      </c>
      <c r="D1886" s="322">
        <v>1</v>
      </c>
      <c r="E1886" s="322" t="s">
        <v>682</v>
      </c>
      <c r="F1886" s="322">
        <v>1</v>
      </c>
      <c r="G1886" s="425">
        <f t="shared" si="31"/>
        <v>0</v>
      </c>
    </row>
    <row r="1887" spans="2:7">
      <c r="B1887" s="323">
        <v>46072</v>
      </c>
      <c r="C1887" s="325" t="s">
        <v>1249</v>
      </c>
      <c r="D1887" s="322">
        <v>1</v>
      </c>
      <c r="E1887" s="322" t="s">
        <v>682</v>
      </c>
      <c r="F1887" s="322">
        <v>1</v>
      </c>
      <c r="G1887" s="425">
        <f t="shared" si="31"/>
        <v>0</v>
      </c>
    </row>
    <row r="1888" spans="2:7">
      <c r="B1888" s="323">
        <v>46072</v>
      </c>
      <c r="C1888" s="325" t="s">
        <v>1289</v>
      </c>
      <c r="D1888" s="322">
        <v>1</v>
      </c>
      <c r="E1888" s="322" t="s">
        <v>682</v>
      </c>
      <c r="F1888" s="322">
        <v>1</v>
      </c>
      <c r="G1888" s="425">
        <f t="shared" si="31"/>
        <v>0</v>
      </c>
    </row>
    <row r="1889" spans="2:8">
      <c r="B1889" s="346">
        <v>46072</v>
      </c>
      <c r="C1889" s="349" t="s">
        <v>1246</v>
      </c>
      <c r="D1889" s="348">
        <v>1</v>
      </c>
      <c r="E1889" s="348" t="s">
        <v>2093</v>
      </c>
      <c r="F1889" s="348">
        <v>1</v>
      </c>
      <c r="G1889" s="351">
        <f t="shared" si="31"/>
        <v>0</v>
      </c>
      <c r="H1889" t="s">
        <v>3227</v>
      </c>
    </row>
    <row r="1890" spans="2:8">
      <c r="B1890" s="346">
        <v>46072</v>
      </c>
      <c r="C1890" s="349" t="s">
        <v>1271</v>
      </c>
      <c r="D1890" s="348">
        <v>3</v>
      </c>
      <c r="E1890" s="348" t="s">
        <v>2093</v>
      </c>
      <c r="F1890" s="348">
        <v>3</v>
      </c>
      <c r="G1890" s="351">
        <f t="shared" si="31"/>
        <v>0</v>
      </c>
    </row>
    <row r="1891" spans="2:8">
      <c r="B1891" s="346">
        <v>46072</v>
      </c>
      <c r="C1891" s="349" t="s">
        <v>1271</v>
      </c>
      <c r="D1891" s="348">
        <v>5</v>
      </c>
      <c r="E1891" s="348" t="s">
        <v>2093</v>
      </c>
      <c r="F1891" s="348">
        <v>5</v>
      </c>
      <c r="G1891" s="351">
        <f t="shared" si="31"/>
        <v>0</v>
      </c>
    </row>
    <row r="1892" spans="2:8">
      <c r="B1892" s="346">
        <v>46072</v>
      </c>
      <c r="C1892" s="349" t="s">
        <v>1271</v>
      </c>
      <c r="D1892" s="348">
        <v>2</v>
      </c>
      <c r="E1892" s="348" t="s">
        <v>2093</v>
      </c>
      <c r="F1892" s="348">
        <v>2</v>
      </c>
      <c r="G1892" s="351">
        <f t="shared" si="31"/>
        <v>0</v>
      </c>
    </row>
    <row r="1893" spans="2:8">
      <c r="B1893" s="346">
        <v>46072</v>
      </c>
      <c r="C1893" s="349" t="s">
        <v>1327</v>
      </c>
      <c r="D1893" s="348">
        <v>8</v>
      </c>
      <c r="E1893" s="348" t="s">
        <v>2093</v>
      </c>
      <c r="F1893" s="348">
        <v>8</v>
      </c>
      <c r="G1893" s="351">
        <f t="shared" si="31"/>
        <v>0</v>
      </c>
    </row>
    <row r="1894" spans="2:8">
      <c r="B1894" s="346">
        <v>46072</v>
      </c>
      <c r="C1894" s="349" t="s">
        <v>169</v>
      </c>
      <c r="D1894" s="348">
        <v>1</v>
      </c>
      <c r="E1894" s="348" t="s">
        <v>2093</v>
      </c>
      <c r="F1894" s="348">
        <v>1</v>
      </c>
      <c r="G1894" s="351">
        <f t="shared" si="31"/>
        <v>0</v>
      </c>
    </row>
    <row r="1895" spans="2:8">
      <c r="B1895" s="346">
        <v>46072</v>
      </c>
      <c r="C1895" s="349" t="s">
        <v>169</v>
      </c>
      <c r="D1895" s="348">
        <v>1</v>
      </c>
      <c r="E1895" s="348" t="s">
        <v>2093</v>
      </c>
      <c r="F1895" s="348">
        <v>1</v>
      </c>
      <c r="G1895" s="351">
        <f t="shared" si="31"/>
        <v>0</v>
      </c>
    </row>
    <row r="1896" spans="2:8">
      <c r="B1896" s="346">
        <v>46072</v>
      </c>
      <c r="C1896" s="349" t="s">
        <v>1568</v>
      </c>
      <c r="D1896" s="348">
        <v>2</v>
      </c>
      <c r="E1896" s="348" t="s">
        <v>2093</v>
      </c>
      <c r="F1896" s="348">
        <v>2</v>
      </c>
      <c r="G1896" s="351">
        <f t="shared" si="31"/>
        <v>0</v>
      </c>
    </row>
    <row r="1897" spans="2:8">
      <c r="B1897" s="346">
        <v>46072</v>
      </c>
      <c r="C1897" s="349" t="s">
        <v>1568</v>
      </c>
      <c r="D1897" s="348">
        <v>1</v>
      </c>
      <c r="E1897" s="348" t="s">
        <v>2093</v>
      </c>
      <c r="F1897" s="348">
        <v>1</v>
      </c>
      <c r="G1897" s="351">
        <f t="shared" si="31"/>
        <v>0</v>
      </c>
    </row>
    <row r="1898" spans="2:8">
      <c r="B1898" s="346">
        <v>46072</v>
      </c>
      <c r="C1898" s="349" t="s">
        <v>1641</v>
      </c>
      <c r="D1898" s="348">
        <v>1</v>
      </c>
      <c r="E1898" s="348" t="s">
        <v>2093</v>
      </c>
      <c r="F1898" s="348">
        <v>1</v>
      </c>
      <c r="G1898" s="351">
        <f t="shared" si="31"/>
        <v>0</v>
      </c>
    </row>
    <row r="1899" spans="2:8">
      <c r="B1899" s="346">
        <v>46072</v>
      </c>
      <c r="C1899" s="349" t="s">
        <v>1291</v>
      </c>
      <c r="D1899" s="348">
        <v>2</v>
      </c>
      <c r="E1899" s="348" t="s">
        <v>2093</v>
      </c>
      <c r="F1899" s="348">
        <v>2</v>
      </c>
      <c r="G1899" s="351">
        <f t="shared" si="31"/>
        <v>0</v>
      </c>
    </row>
    <row r="1900" spans="2:8">
      <c r="B1900" s="346">
        <v>46072</v>
      </c>
      <c r="C1900" s="347" t="s">
        <v>1387</v>
      </c>
      <c r="D1900" s="348">
        <v>1</v>
      </c>
      <c r="E1900" s="348" t="s">
        <v>2093</v>
      </c>
      <c r="F1900" s="348">
        <v>1</v>
      </c>
      <c r="G1900" s="351">
        <f t="shared" si="31"/>
        <v>0</v>
      </c>
    </row>
    <row r="1901" spans="2:8">
      <c r="B1901" s="346">
        <v>46072</v>
      </c>
      <c r="C1901" s="349" t="s">
        <v>1490</v>
      </c>
      <c r="D1901" s="348">
        <v>1</v>
      </c>
      <c r="E1901" s="348" t="s">
        <v>2093</v>
      </c>
      <c r="F1901" s="348">
        <v>1</v>
      </c>
      <c r="G1901" s="351">
        <f t="shared" si="31"/>
        <v>0</v>
      </c>
    </row>
    <row r="1902" spans="2:8">
      <c r="B1902" s="346">
        <v>46072</v>
      </c>
      <c r="C1902" s="351" t="s">
        <v>932</v>
      </c>
      <c r="D1902" s="348">
        <v>1</v>
      </c>
      <c r="E1902" s="348" t="s">
        <v>2093</v>
      </c>
      <c r="F1902" s="348">
        <v>1</v>
      </c>
      <c r="G1902" s="351">
        <f t="shared" si="31"/>
        <v>0</v>
      </c>
    </row>
    <row r="1903" spans="2:8">
      <c r="B1903" s="346">
        <v>46072</v>
      </c>
      <c r="C1903" s="349" t="s">
        <v>1326</v>
      </c>
      <c r="D1903" s="348">
        <v>2</v>
      </c>
      <c r="E1903" s="348" t="s">
        <v>2093</v>
      </c>
      <c r="F1903" s="348">
        <v>2</v>
      </c>
      <c r="G1903" s="351">
        <f t="shared" si="31"/>
        <v>0</v>
      </c>
    </row>
    <row r="1904" spans="2:8">
      <c r="B1904" s="434">
        <v>46076</v>
      </c>
      <c r="C1904" s="168" t="s">
        <v>1246</v>
      </c>
      <c r="D1904" s="166">
        <v>3</v>
      </c>
      <c r="E1904" s="166" t="s">
        <v>1596</v>
      </c>
      <c r="F1904" s="166">
        <v>3</v>
      </c>
      <c r="G1904" s="167">
        <f t="shared" si="31"/>
        <v>0</v>
      </c>
    </row>
    <row r="1905" spans="2:8">
      <c r="B1905" s="434">
        <v>46076</v>
      </c>
      <c r="C1905" s="168" t="s">
        <v>1249</v>
      </c>
      <c r="D1905" s="166">
        <v>1</v>
      </c>
      <c r="E1905" s="166" t="s">
        <v>1596</v>
      </c>
      <c r="F1905" s="166">
        <v>1</v>
      </c>
      <c r="G1905" s="167">
        <f t="shared" si="31"/>
        <v>0</v>
      </c>
    </row>
    <row r="1906" spans="2:8">
      <c r="B1906" s="346">
        <v>46078</v>
      </c>
      <c r="C1906" s="349" t="s">
        <v>1246</v>
      </c>
      <c r="D1906" s="348">
        <v>1</v>
      </c>
      <c r="E1906" s="348" t="s">
        <v>2093</v>
      </c>
      <c r="F1906" s="348">
        <v>1</v>
      </c>
      <c r="G1906" s="351">
        <f t="shared" si="31"/>
        <v>0</v>
      </c>
      <c r="H1906" t="s">
        <v>3289</v>
      </c>
    </row>
    <row r="1907" spans="2:8">
      <c r="B1907" s="346">
        <v>46078</v>
      </c>
      <c r="C1907" s="349" t="s">
        <v>1246</v>
      </c>
      <c r="D1907" s="348">
        <v>2</v>
      </c>
      <c r="E1907" s="348" t="s">
        <v>2093</v>
      </c>
      <c r="F1907" s="348">
        <v>2</v>
      </c>
      <c r="G1907" s="351">
        <f t="shared" si="31"/>
        <v>0</v>
      </c>
    </row>
    <row r="1908" spans="2:8">
      <c r="B1908" s="346">
        <v>46078</v>
      </c>
      <c r="C1908" s="349" t="s">
        <v>1271</v>
      </c>
      <c r="D1908" s="348">
        <v>1</v>
      </c>
      <c r="E1908" s="348" t="s">
        <v>2093</v>
      </c>
      <c r="F1908" s="348">
        <v>1</v>
      </c>
      <c r="G1908" s="351">
        <f t="shared" si="31"/>
        <v>0</v>
      </c>
    </row>
    <row r="1909" spans="2:8">
      <c r="B1909" s="346">
        <v>46078</v>
      </c>
      <c r="C1909" s="349" t="s">
        <v>1271</v>
      </c>
      <c r="D1909" s="348">
        <v>1</v>
      </c>
      <c r="E1909" s="348" t="s">
        <v>2093</v>
      </c>
      <c r="F1909" s="348">
        <v>1</v>
      </c>
      <c r="G1909" s="351">
        <f t="shared" si="31"/>
        <v>0</v>
      </c>
    </row>
    <row r="1910" spans="2:8">
      <c r="B1910" s="346">
        <v>46078</v>
      </c>
      <c r="C1910" s="349" t="s">
        <v>1568</v>
      </c>
      <c r="D1910" s="348">
        <v>1</v>
      </c>
      <c r="E1910" s="348" t="s">
        <v>2093</v>
      </c>
      <c r="F1910" s="348">
        <v>1</v>
      </c>
      <c r="G1910" s="351">
        <f t="shared" si="31"/>
        <v>0</v>
      </c>
    </row>
    <row r="1911" spans="2:8">
      <c r="B1911" s="346">
        <v>46078</v>
      </c>
      <c r="C1911" s="349" t="s">
        <v>1152</v>
      </c>
      <c r="D1911" s="348">
        <v>4</v>
      </c>
      <c r="E1911" s="348" t="s">
        <v>2093</v>
      </c>
      <c r="F1911" s="348">
        <v>4</v>
      </c>
      <c r="G1911" s="351">
        <f t="shared" si="31"/>
        <v>0</v>
      </c>
    </row>
    <row r="1912" spans="2:8">
      <c r="B1912" s="346">
        <v>46078</v>
      </c>
      <c r="C1912" s="349" t="s">
        <v>1291</v>
      </c>
      <c r="D1912" s="348">
        <v>7</v>
      </c>
      <c r="E1912" s="348" t="s">
        <v>2093</v>
      </c>
      <c r="F1912" s="348">
        <v>7</v>
      </c>
      <c r="G1912" s="351">
        <f t="shared" si="31"/>
        <v>0</v>
      </c>
    </row>
    <row r="1913" spans="2:8">
      <c r="B1913" s="346">
        <v>46078</v>
      </c>
      <c r="C1913" s="351" t="s">
        <v>932</v>
      </c>
      <c r="D1913" s="348">
        <v>7</v>
      </c>
      <c r="E1913" s="348" t="s">
        <v>2093</v>
      </c>
      <c r="F1913" s="348">
        <v>7</v>
      </c>
      <c r="G1913" s="351">
        <f t="shared" si="31"/>
        <v>0</v>
      </c>
    </row>
    <row r="1914" spans="2:8">
      <c r="B1914" s="346">
        <v>46078</v>
      </c>
      <c r="C1914" s="349" t="s">
        <v>935</v>
      </c>
      <c r="D1914" s="348">
        <v>1</v>
      </c>
      <c r="E1914" s="348" t="s">
        <v>2093</v>
      </c>
      <c r="F1914" s="348">
        <v>1</v>
      </c>
      <c r="G1914" s="351">
        <f t="shared" si="31"/>
        <v>0</v>
      </c>
    </row>
    <row r="1915" spans="2:8">
      <c r="B1915" s="346">
        <v>46078</v>
      </c>
      <c r="C1915" s="349" t="s">
        <v>1246</v>
      </c>
      <c r="D1915" s="348">
        <v>1</v>
      </c>
      <c r="E1915" s="348" t="s">
        <v>2093</v>
      </c>
      <c r="F1915" s="348">
        <v>1</v>
      </c>
      <c r="G1915" s="351">
        <f t="shared" si="31"/>
        <v>0</v>
      </c>
    </row>
    <row r="1916" spans="2:8">
      <c r="B1916" s="346">
        <v>46078</v>
      </c>
      <c r="C1916" s="349" t="s">
        <v>1271</v>
      </c>
      <c r="D1916" s="348">
        <v>3</v>
      </c>
      <c r="E1916" s="348" t="s">
        <v>2093</v>
      </c>
      <c r="F1916" s="348">
        <v>3</v>
      </c>
      <c r="G1916" s="351">
        <f t="shared" si="31"/>
        <v>0</v>
      </c>
    </row>
    <row r="1917" spans="2:8">
      <c r="B1917" s="437">
        <v>46079</v>
      </c>
      <c r="C1917" s="222" t="s">
        <v>1271</v>
      </c>
      <c r="D1917" s="220">
        <v>1</v>
      </c>
      <c r="E1917" s="220" t="s">
        <v>2778</v>
      </c>
      <c r="F1917" s="220">
        <v>1</v>
      </c>
      <c r="G1917" s="221">
        <f t="shared" si="31"/>
        <v>0</v>
      </c>
    </row>
    <row r="1918" spans="2:8">
      <c r="B1918" s="323">
        <v>46077</v>
      </c>
      <c r="C1918" s="325" t="s">
        <v>806</v>
      </c>
      <c r="D1918" s="322">
        <v>96</v>
      </c>
      <c r="E1918" s="322" t="s">
        <v>682</v>
      </c>
      <c r="F1918" s="322">
        <v>96</v>
      </c>
      <c r="G1918" s="425">
        <f t="shared" si="31"/>
        <v>0</v>
      </c>
      <c r="H1918" t="s">
        <v>3414</v>
      </c>
    </row>
    <row r="1919" spans="2:8">
      <c r="B1919" s="323">
        <v>46077</v>
      </c>
      <c r="C1919" s="324" t="s">
        <v>131</v>
      </c>
      <c r="D1919" s="322">
        <v>13</v>
      </c>
      <c r="E1919" s="322" t="s">
        <v>682</v>
      </c>
      <c r="F1919" s="322">
        <v>13</v>
      </c>
      <c r="G1919" s="425">
        <f t="shared" si="31"/>
        <v>0</v>
      </c>
    </row>
    <row r="1920" spans="2:8">
      <c r="B1920" s="323">
        <v>46077</v>
      </c>
      <c r="C1920" s="425" t="s">
        <v>1149</v>
      </c>
      <c r="D1920" s="322">
        <v>1</v>
      </c>
      <c r="E1920" s="322" t="s">
        <v>682</v>
      </c>
      <c r="F1920" s="322">
        <v>1</v>
      </c>
      <c r="G1920" s="425">
        <f t="shared" si="31"/>
        <v>0</v>
      </c>
    </row>
    <row r="1921" spans="2:8">
      <c r="B1921" s="323">
        <v>46077</v>
      </c>
      <c r="C1921" s="325" t="s">
        <v>1386</v>
      </c>
      <c r="D1921" s="322">
        <v>1</v>
      </c>
      <c r="E1921" s="322" t="s">
        <v>682</v>
      </c>
      <c r="F1921" s="322">
        <v>1</v>
      </c>
      <c r="G1921" s="425">
        <f t="shared" si="31"/>
        <v>0</v>
      </c>
    </row>
    <row r="1922" spans="2:8">
      <c r="B1922" s="323">
        <v>46080</v>
      </c>
      <c r="C1922" s="325" t="s">
        <v>1246</v>
      </c>
      <c r="D1922" s="322">
        <v>10</v>
      </c>
      <c r="E1922" s="322" t="s">
        <v>682</v>
      </c>
      <c r="F1922" s="322">
        <v>10</v>
      </c>
      <c r="G1922" s="425">
        <f t="shared" si="31"/>
        <v>0</v>
      </c>
      <c r="H1922" t="s">
        <v>3444</v>
      </c>
    </row>
    <row r="1923" spans="2:8">
      <c r="B1923" s="323">
        <v>46080</v>
      </c>
      <c r="C1923" s="325" t="s">
        <v>1246</v>
      </c>
      <c r="D1923" s="322">
        <v>1</v>
      </c>
      <c r="E1923" s="322" t="s">
        <v>682</v>
      </c>
      <c r="F1923" s="322">
        <v>1</v>
      </c>
      <c r="G1923" s="425">
        <f t="shared" si="31"/>
        <v>0</v>
      </c>
    </row>
    <row r="1924" spans="2:8">
      <c r="B1924" s="323">
        <v>46080</v>
      </c>
      <c r="C1924" s="325" t="s">
        <v>1246</v>
      </c>
      <c r="D1924" s="322">
        <v>1</v>
      </c>
      <c r="E1924" s="322" t="s">
        <v>682</v>
      </c>
      <c r="F1924" s="322">
        <v>1</v>
      </c>
      <c r="G1924" s="425">
        <f t="shared" si="31"/>
        <v>0</v>
      </c>
    </row>
    <row r="1925" spans="2:8">
      <c r="B1925" s="323">
        <v>46080</v>
      </c>
      <c r="C1925" s="325" t="s">
        <v>1246</v>
      </c>
      <c r="D1925" s="322">
        <v>1</v>
      </c>
      <c r="E1925" s="322" t="s">
        <v>682</v>
      </c>
      <c r="F1925" s="322">
        <v>1</v>
      </c>
      <c r="G1925" s="425">
        <f t="shared" si="31"/>
        <v>0</v>
      </c>
    </row>
    <row r="1926" spans="2:8">
      <c r="B1926" s="323">
        <v>46080</v>
      </c>
      <c r="C1926" s="324" t="s">
        <v>1387</v>
      </c>
      <c r="D1926" s="322">
        <v>4</v>
      </c>
      <c r="E1926" s="322" t="s">
        <v>682</v>
      </c>
      <c r="F1926" s="322">
        <v>4</v>
      </c>
      <c r="G1926" s="425">
        <f t="shared" si="31"/>
        <v>0</v>
      </c>
    </row>
    <row r="1927" spans="2:8">
      <c r="B1927" s="323">
        <v>46080</v>
      </c>
      <c r="C1927" s="325" t="s">
        <v>1095</v>
      </c>
      <c r="D1927" s="322">
        <v>1</v>
      </c>
      <c r="E1927" s="322" t="s">
        <v>682</v>
      </c>
      <c r="F1927" s="322">
        <v>1</v>
      </c>
      <c r="G1927" s="425">
        <f t="shared" si="31"/>
        <v>0</v>
      </c>
    </row>
    <row r="1928" spans="2:8">
      <c r="B1928" s="323">
        <v>46080</v>
      </c>
      <c r="C1928" s="325" t="s">
        <v>1202</v>
      </c>
      <c r="D1928" s="322">
        <v>2</v>
      </c>
      <c r="E1928" s="322" t="s">
        <v>682</v>
      </c>
      <c r="F1928" s="322">
        <v>2</v>
      </c>
      <c r="G1928" s="425">
        <f t="shared" si="31"/>
        <v>0</v>
      </c>
    </row>
    <row r="1929" spans="2:8">
      <c r="B1929" s="323">
        <v>46080</v>
      </c>
      <c r="C1929" s="325" t="s">
        <v>1327</v>
      </c>
      <c r="D1929" s="322">
        <v>1</v>
      </c>
      <c r="E1929" s="322" t="s">
        <v>682</v>
      </c>
      <c r="F1929" s="322">
        <v>1</v>
      </c>
      <c r="G1929" s="425">
        <f t="shared" ref="G1929:G1992" si="32">D1929-F1929</f>
        <v>0</v>
      </c>
    </row>
    <row r="1930" spans="2:8">
      <c r="B1930" s="323">
        <v>46080</v>
      </c>
      <c r="C1930" s="325" t="s">
        <v>1291</v>
      </c>
      <c r="D1930" s="322">
        <v>2</v>
      </c>
      <c r="E1930" s="322" t="s">
        <v>682</v>
      </c>
      <c r="F1930" s="322">
        <v>2</v>
      </c>
      <c r="G1930" s="425">
        <f t="shared" si="32"/>
        <v>0</v>
      </c>
    </row>
    <row r="1931" spans="2:8">
      <c r="B1931" s="323">
        <v>46080</v>
      </c>
      <c r="C1931" s="325" t="s">
        <v>1296</v>
      </c>
      <c r="D1931" s="322">
        <v>1</v>
      </c>
      <c r="E1931" s="322" t="s">
        <v>682</v>
      </c>
      <c r="F1931" s="322">
        <v>1</v>
      </c>
      <c r="G1931" s="425">
        <f t="shared" si="32"/>
        <v>0</v>
      </c>
    </row>
    <row r="1932" spans="2:8">
      <c r="B1932" s="323">
        <v>46080</v>
      </c>
      <c r="C1932" s="324" t="s">
        <v>1994</v>
      </c>
      <c r="D1932" s="322">
        <v>2</v>
      </c>
      <c r="E1932" s="322" t="s">
        <v>682</v>
      </c>
      <c r="F1932" s="322">
        <v>2</v>
      </c>
      <c r="G1932" s="425">
        <f t="shared" si="32"/>
        <v>0</v>
      </c>
    </row>
    <row r="1933" spans="2:8">
      <c r="B1933" s="323">
        <v>46080</v>
      </c>
      <c r="C1933" s="325" t="s">
        <v>1246</v>
      </c>
      <c r="D1933" s="322">
        <v>1</v>
      </c>
      <c r="E1933" s="322" t="s">
        <v>682</v>
      </c>
      <c r="F1933" s="322">
        <v>1</v>
      </c>
      <c r="G1933" s="425">
        <f t="shared" si="32"/>
        <v>0</v>
      </c>
    </row>
    <row r="1934" spans="2:8">
      <c r="B1934" s="323">
        <v>46080</v>
      </c>
      <c r="C1934" s="325" t="s">
        <v>2719</v>
      </c>
      <c r="D1934" s="322">
        <v>2</v>
      </c>
      <c r="E1934" s="322" t="s">
        <v>682</v>
      </c>
      <c r="F1934" s="322">
        <v>2</v>
      </c>
      <c r="G1934" s="425">
        <f t="shared" si="32"/>
        <v>0</v>
      </c>
    </row>
    <row r="1935" spans="2:8">
      <c r="B1935" s="323">
        <v>46080</v>
      </c>
      <c r="C1935" s="325" t="s">
        <v>1249</v>
      </c>
      <c r="D1935" s="322">
        <v>1</v>
      </c>
      <c r="E1935" s="322" t="s">
        <v>682</v>
      </c>
      <c r="F1935" s="322">
        <v>1</v>
      </c>
      <c r="G1935" s="425">
        <f t="shared" si="32"/>
        <v>0</v>
      </c>
    </row>
    <row r="1936" spans="2:8">
      <c r="B1936" s="323">
        <v>46080</v>
      </c>
      <c r="C1936" s="425" t="s">
        <v>1149</v>
      </c>
      <c r="D1936" s="322">
        <v>1</v>
      </c>
      <c r="E1936" s="322" t="s">
        <v>682</v>
      </c>
      <c r="F1936" s="322">
        <v>1</v>
      </c>
      <c r="G1936" s="425">
        <f t="shared" si="32"/>
        <v>0</v>
      </c>
    </row>
    <row r="1937" spans="2:8">
      <c r="B1937" s="323">
        <v>46080</v>
      </c>
      <c r="C1937" s="325" t="s">
        <v>1302</v>
      </c>
      <c r="D1937" s="322">
        <v>2</v>
      </c>
      <c r="E1937" s="322" t="s">
        <v>682</v>
      </c>
      <c r="F1937" s="322">
        <v>2</v>
      </c>
      <c r="G1937" s="425">
        <f t="shared" si="32"/>
        <v>0</v>
      </c>
    </row>
    <row r="1938" spans="2:8">
      <c r="B1938" s="323">
        <v>46073</v>
      </c>
      <c r="C1938" s="970" t="s">
        <v>76</v>
      </c>
      <c r="D1938" s="322">
        <v>25</v>
      </c>
      <c r="E1938" s="322" t="s">
        <v>682</v>
      </c>
      <c r="F1938" s="322">
        <v>25</v>
      </c>
      <c r="G1938" s="425">
        <f t="shared" si="32"/>
        <v>0</v>
      </c>
      <c r="H1938" t="s">
        <v>3700</v>
      </c>
    </row>
    <row r="1939" spans="2:8">
      <c r="B1939" s="323">
        <v>46073</v>
      </c>
      <c r="C1939" s="325" t="s">
        <v>806</v>
      </c>
      <c r="D1939" s="322">
        <v>30</v>
      </c>
      <c r="E1939" s="322" t="s">
        <v>682</v>
      </c>
      <c r="F1939" s="322">
        <v>30</v>
      </c>
      <c r="G1939" s="425">
        <f t="shared" si="32"/>
        <v>0</v>
      </c>
    </row>
    <row r="1940" spans="2:8">
      <c r="B1940" s="323">
        <v>46073</v>
      </c>
      <c r="C1940" s="324" t="s">
        <v>131</v>
      </c>
      <c r="D1940" s="322">
        <v>10</v>
      </c>
      <c r="E1940" s="322" t="s">
        <v>682</v>
      </c>
      <c r="F1940" s="322">
        <v>10</v>
      </c>
      <c r="G1940" s="425">
        <f t="shared" si="32"/>
        <v>0</v>
      </c>
    </row>
    <row r="1941" spans="2:8">
      <c r="B1941" s="323">
        <v>46073</v>
      </c>
      <c r="C1941" s="425" t="s">
        <v>375</v>
      </c>
      <c r="D1941" s="322">
        <v>7</v>
      </c>
      <c r="E1941" s="322" t="s">
        <v>682</v>
      </c>
      <c r="F1941" s="322">
        <v>7</v>
      </c>
      <c r="G1941" s="425">
        <f t="shared" si="32"/>
        <v>0</v>
      </c>
    </row>
    <row r="1942" spans="2:8">
      <c r="B1942" s="323">
        <v>46073</v>
      </c>
      <c r="C1942" s="425" t="s">
        <v>375</v>
      </c>
      <c r="D1942" s="322">
        <v>4</v>
      </c>
      <c r="E1942" s="322" t="s">
        <v>682</v>
      </c>
      <c r="F1942" s="322">
        <v>4</v>
      </c>
      <c r="G1942" s="425">
        <f t="shared" si="32"/>
        <v>0</v>
      </c>
    </row>
    <row r="1943" spans="2:8">
      <c r="B1943" s="323">
        <v>46073</v>
      </c>
      <c r="C1943" s="425" t="s">
        <v>375</v>
      </c>
      <c r="D1943" s="322">
        <v>3</v>
      </c>
      <c r="E1943" s="322" t="s">
        <v>682</v>
      </c>
      <c r="F1943" s="322">
        <v>3</v>
      </c>
      <c r="G1943" s="425">
        <f t="shared" si="32"/>
        <v>0</v>
      </c>
    </row>
    <row r="1944" spans="2:8">
      <c r="B1944" s="323">
        <v>46073</v>
      </c>
      <c r="C1944" s="325" t="s">
        <v>977</v>
      </c>
      <c r="D1944" s="322">
        <v>6</v>
      </c>
      <c r="E1944" s="322" t="s">
        <v>682</v>
      </c>
      <c r="F1944" s="322">
        <v>6</v>
      </c>
      <c r="G1944" s="425">
        <f t="shared" si="32"/>
        <v>0</v>
      </c>
    </row>
    <row r="1945" spans="2:8">
      <c r="B1945" s="323">
        <v>46073</v>
      </c>
      <c r="C1945" s="325" t="s">
        <v>807</v>
      </c>
      <c r="D1945" s="322">
        <v>3</v>
      </c>
      <c r="E1945" s="322" t="s">
        <v>682</v>
      </c>
      <c r="F1945" s="322">
        <v>3</v>
      </c>
      <c r="G1945" s="425">
        <f t="shared" si="32"/>
        <v>0</v>
      </c>
    </row>
    <row r="1946" spans="2:8">
      <c r="B1946" s="323">
        <v>46073</v>
      </c>
      <c r="C1946" s="325" t="s">
        <v>808</v>
      </c>
      <c r="D1946" s="322">
        <v>1</v>
      </c>
      <c r="E1946" s="322" t="s">
        <v>682</v>
      </c>
      <c r="F1946" s="322">
        <v>1</v>
      </c>
      <c r="G1946" s="425">
        <f t="shared" si="32"/>
        <v>0</v>
      </c>
    </row>
    <row r="1947" spans="2:8">
      <c r="B1947" s="323">
        <v>46073</v>
      </c>
      <c r="C1947" s="325" t="s">
        <v>154</v>
      </c>
      <c r="D1947" s="322">
        <v>5</v>
      </c>
      <c r="E1947" s="322" t="s">
        <v>682</v>
      </c>
      <c r="F1947" s="322">
        <v>5</v>
      </c>
      <c r="G1947" s="425">
        <f t="shared" si="32"/>
        <v>0</v>
      </c>
    </row>
    <row r="1948" spans="2:8">
      <c r="B1948" s="323">
        <v>46073</v>
      </c>
      <c r="C1948" s="325" t="s">
        <v>2625</v>
      </c>
      <c r="D1948" s="322">
        <v>4</v>
      </c>
      <c r="E1948" s="322" t="s">
        <v>682</v>
      </c>
      <c r="F1948" s="322">
        <v>4</v>
      </c>
      <c r="G1948" s="425">
        <f t="shared" si="32"/>
        <v>0</v>
      </c>
    </row>
    <row r="1949" spans="2:8">
      <c r="B1949" s="323">
        <v>46073</v>
      </c>
      <c r="C1949" s="325" t="s">
        <v>1409</v>
      </c>
      <c r="D1949" s="322">
        <v>3</v>
      </c>
      <c r="E1949" s="322" t="s">
        <v>682</v>
      </c>
      <c r="F1949" s="322">
        <v>3</v>
      </c>
      <c r="G1949" s="425">
        <f t="shared" si="32"/>
        <v>0</v>
      </c>
    </row>
    <row r="1950" spans="2:8">
      <c r="B1950" s="323">
        <v>46073</v>
      </c>
      <c r="C1950" s="325" t="s">
        <v>1409</v>
      </c>
      <c r="D1950" s="322">
        <v>2</v>
      </c>
      <c r="E1950" s="322" t="s">
        <v>682</v>
      </c>
      <c r="F1950" s="322">
        <v>2</v>
      </c>
      <c r="G1950" s="425">
        <f t="shared" si="32"/>
        <v>0</v>
      </c>
    </row>
    <row r="1951" spans="2:8">
      <c r="B1951" s="323">
        <v>46073</v>
      </c>
      <c r="C1951" s="325" t="s">
        <v>1202</v>
      </c>
      <c r="D1951" s="322">
        <v>1</v>
      </c>
      <c r="E1951" s="322" t="s">
        <v>682</v>
      </c>
      <c r="F1951" s="322">
        <v>1</v>
      </c>
      <c r="G1951" s="425">
        <f t="shared" si="32"/>
        <v>0</v>
      </c>
    </row>
    <row r="1952" spans="2:8">
      <c r="B1952" s="323">
        <v>46073</v>
      </c>
      <c r="C1952" s="325" t="s">
        <v>1202</v>
      </c>
      <c r="D1952" s="322">
        <v>2</v>
      </c>
      <c r="E1952" s="322" t="s">
        <v>682</v>
      </c>
      <c r="F1952" s="322">
        <v>2</v>
      </c>
      <c r="G1952" s="425">
        <f t="shared" si="32"/>
        <v>0</v>
      </c>
    </row>
    <row r="1953" spans="2:8">
      <c r="B1953" s="323">
        <v>46073</v>
      </c>
      <c r="C1953" s="324" t="s">
        <v>1387</v>
      </c>
      <c r="D1953" s="322">
        <v>1</v>
      </c>
      <c r="E1953" s="322" t="s">
        <v>682</v>
      </c>
      <c r="F1953" s="322">
        <v>1</v>
      </c>
      <c r="G1953" s="425">
        <f t="shared" si="32"/>
        <v>0</v>
      </c>
    </row>
    <row r="1954" spans="2:8">
      <c r="B1954" s="323">
        <v>46073</v>
      </c>
      <c r="C1954" s="325" t="s">
        <v>1334</v>
      </c>
      <c r="D1954" s="322">
        <v>1</v>
      </c>
      <c r="E1954" s="322" t="s">
        <v>682</v>
      </c>
      <c r="F1954" s="322">
        <v>1</v>
      </c>
      <c r="G1954" s="425">
        <f t="shared" si="32"/>
        <v>0</v>
      </c>
    </row>
    <row r="1955" spans="2:8">
      <c r="B1955" s="323">
        <v>46073</v>
      </c>
      <c r="C1955" s="325" t="s">
        <v>1490</v>
      </c>
      <c r="D1955" s="322">
        <v>1</v>
      </c>
      <c r="E1955" s="322" t="s">
        <v>682</v>
      </c>
      <c r="F1955" s="322">
        <v>1</v>
      </c>
      <c r="G1955" s="425">
        <f t="shared" si="32"/>
        <v>0</v>
      </c>
    </row>
    <row r="1956" spans="2:8">
      <c r="B1956" s="323">
        <v>46073</v>
      </c>
      <c r="C1956" s="325" t="s">
        <v>1491</v>
      </c>
      <c r="D1956" s="322">
        <v>1</v>
      </c>
      <c r="E1956" s="322" t="s">
        <v>682</v>
      </c>
      <c r="F1956" s="322">
        <v>1</v>
      </c>
      <c r="G1956" s="425">
        <f t="shared" si="32"/>
        <v>0</v>
      </c>
    </row>
    <row r="1957" spans="2:8">
      <c r="B1957" s="323">
        <v>46073</v>
      </c>
      <c r="C1957" s="325" t="s">
        <v>136</v>
      </c>
      <c r="D1957" s="322">
        <v>1</v>
      </c>
      <c r="E1957" s="322" t="s">
        <v>682</v>
      </c>
      <c r="F1957" s="322">
        <v>1</v>
      </c>
      <c r="G1957" s="425">
        <f t="shared" si="32"/>
        <v>0</v>
      </c>
    </row>
    <row r="1958" spans="2:8">
      <c r="B1958" s="323">
        <v>46073</v>
      </c>
      <c r="C1958" s="325" t="s">
        <v>136</v>
      </c>
      <c r="D1958" s="322">
        <v>1</v>
      </c>
      <c r="E1958" s="322" t="s">
        <v>682</v>
      </c>
      <c r="F1958" s="322">
        <v>1</v>
      </c>
      <c r="G1958" s="425">
        <f t="shared" si="32"/>
        <v>0</v>
      </c>
    </row>
    <row r="1959" spans="2:8">
      <c r="B1959" s="323">
        <v>46073</v>
      </c>
      <c r="C1959" s="325" t="s">
        <v>977</v>
      </c>
      <c r="D1959" s="322">
        <v>1</v>
      </c>
      <c r="E1959" s="322" t="s">
        <v>682</v>
      </c>
      <c r="F1959" s="322">
        <v>1</v>
      </c>
      <c r="G1959" s="425">
        <f t="shared" si="32"/>
        <v>0</v>
      </c>
    </row>
    <row r="1960" spans="2:8">
      <c r="B1960" s="323">
        <v>46073</v>
      </c>
      <c r="C1960" s="970" t="s">
        <v>85</v>
      </c>
      <c r="D1960" s="322">
        <v>1</v>
      </c>
      <c r="E1960" s="322" t="s">
        <v>682</v>
      </c>
      <c r="F1960" s="322">
        <v>1</v>
      </c>
      <c r="G1960" s="425">
        <f t="shared" si="32"/>
        <v>0</v>
      </c>
    </row>
    <row r="1961" spans="2:8">
      <c r="B1961" s="323">
        <v>46073</v>
      </c>
      <c r="C1961" s="325" t="s">
        <v>3699</v>
      </c>
      <c r="D1961" s="322">
        <v>1</v>
      </c>
      <c r="E1961" s="322" t="s">
        <v>682</v>
      </c>
      <c r="F1961" s="322">
        <v>1</v>
      </c>
      <c r="G1961" s="425">
        <f t="shared" si="32"/>
        <v>0</v>
      </c>
    </row>
    <row r="1962" spans="2:8">
      <c r="B1962" s="323">
        <v>46073</v>
      </c>
      <c r="C1962" s="325" t="s">
        <v>154</v>
      </c>
      <c r="D1962" s="322">
        <v>4</v>
      </c>
      <c r="E1962" s="322" t="s">
        <v>682</v>
      </c>
      <c r="F1962" s="322">
        <v>4</v>
      </c>
      <c r="G1962" s="425">
        <f t="shared" si="32"/>
        <v>0</v>
      </c>
      <c r="H1962" t="s">
        <v>3704</v>
      </c>
    </row>
    <row r="1963" spans="2:8">
      <c r="B1963" s="323">
        <v>46073</v>
      </c>
      <c r="C1963" s="425" t="s">
        <v>375</v>
      </c>
      <c r="D1963" s="322">
        <v>1</v>
      </c>
      <c r="E1963" s="322" t="s">
        <v>682</v>
      </c>
      <c r="F1963" s="322">
        <v>1</v>
      </c>
      <c r="G1963" s="425">
        <f t="shared" si="32"/>
        <v>0</v>
      </c>
    </row>
    <row r="1964" spans="2:8">
      <c r="B1964" s="323">
        <v>46073</v>
      </c>
      <c r="C1964" s="970" t="s">
        <v>3701</v>
      </c>
      <c r="D1964" s="322">
        <v>2</v>
      </c>
      <c r="E1964" s="322" t="s">
        <v>682</v>
      </c>
      <c r="F1964" s="322">
        <v>2</v>
      </c>
      <c r="G1964" s="425">
        <f t="shared" si="32"/>
        <v>0</v>
      </c>
    </row>
    <row r="1965" spans="2:8">
      <c r="B1965" s="323">
        <v>46073</v>
      </c>
      <c r="C1965" s="425" t="s">
        <v>3702</v>
      </c>
      <c r="D1965" s="322">
        <v>1</v>
      </c>
      <c r="E1965" s="322" t="s">
        <v>682</v>
      </c>
      <c r="F1965" s="322">
        <v>1</v>
      </c>
      <c r="G1965" s="425">
        <f t="shared" si="32"/>
        <v>0</v>
      </c>
    </row>
    <row r="1966" spans="2:8">
      <c r="B1966" s="323">
        <v>46073</v>
      </c>
      <c r="C1966" s="425" t="s">
        <v>3703</v>
      </c>
      <c r="D1966" s="322">
        <v>1</v>
      </c>
      <c r="E1966" s="322" t="s">
        <v>682</v>
      </c>
      <c r="F1966" s="322">
        <v>1</v>
      </c>
      <c r="G1966" s="425">
        <f t="shared" si="32"/>
        <v>0</v>
      </c>
    </row>
    <row r="1967" spans="2:8">
      <c r="B1967" s="323">
        <v>46080</v>
      </c>
      <c r="C1967" s="325" t="s">
        <v>1246</v>
      </c>
      <c r="D1967" s="322">
        <v>5</v>
      </c>
      <c r="E1967" s="322" t="s">
        <v>682</v>
      </c>
      <c r="F1967" s="322">
        <v>5</v>
      </c>
      <c r="G1967" s="425">
        <f t="shared" si="32"/>
        <v>0</v>
      </c>
      <c r="H1967" t="s">
        <v>3530</v>
      </c>
    </row>
    <row r="1968" spans="2:8">
      <c r="B1968" s="323">
        <v>46080</v>
      </c>
      <c r="C1968" s="325" t="s">
        <v>1246</v>
      </c>
      <c r="D1968" s="322">
        <v>17</v>
      </c>
      <c r="E1968" s="322" t="s">
        <v>682</v>
      </c>
      <c r="F1968" s="322">
        <v>17</v>
      </c>
      <c r="G1968" s="425">
        <f t="shared" si="32"/>
        <v>0</v>
      </c>
    </row>
    <row r="1969" spans="2:7">
      <c r="B1969" s="323">
        <v>46080</v>
      </c>
      <c r="C1969" s="325" t="s">
        <v>1246</v>
      </c>
      <c r="D1969" s="322">
        <v>10</v>
      </c>
      <c r="E1969" s="322" t="s">
        <v>682</v>
      </c>
      <c r="F1969" s="322">
        <v>10</v>
      </c>
      <c r="G1969" s="425">
        <f t="shared" si="32"/>
        <v>0</v>
      </c>
    </row>
    <row r="1970" spans="2:7">
      <c r="B1970" s="323">
        <v>46080</v>
      </c>
      <c r="C1970" s="325" t="s">
        <v>1409</v>
      </c>
      <c r="D1970" s="322">
        <v>10</v>
      </c>
      <c r="E1970" s="322" t="s">
        <v>682</v>
      </c>
      <c r="F1970" s="322">
        <v>10</v>
      </c>
      <c r="G1970" s="425">
        <f t="shared" si="32"/>
        <v>0</v>
      </c>
    </row>
    <row r="1971" spans="2:7">
      <c r="B1971" s="323">
        <v>46080</v>
      </c>
      <c r="C1971" s="324" t="s">
        <v>131</v>
      </c>
      <c r="D1971" s="322">
        <v>2</v>
      </c>
      <c r="E1971" s="322" t="s">
        <v>682</v>
      </c>
      <c r="F1971" s="322">
        <v>2</v>
      </c>
      <c r="G1971" s="425">
        <f t="shared" si="32"/>
        <v>0</v>
      </c>
    </row>
    <row r="1972" spans="2:7">
      <c r="B1972" s="323">
        <v>46080</v>
      </c>
      <c r="C1972" s="325" t="s">
        <v>1327</v>
      </c>
      <c r="D1972" s="322">
        <v>3</v>
      </c>
      <c r="E1972" s="322" t="s">
        <v>682</v>
      </c>
      <c r="F1972" s="322">
        <v>3</v>
      </c>
      <c r="G1972" s="425">
        <f t="shared" si="32"/>
        <v>0</v>
      </c>
    </row>
    <row r="1973" spans="2:7">
      <c r="B1973" s="323">
        <v>46080</v>
      </c>
      <c r="C1973" s="325" t="s">
        <v>1246</v>
      </c>
      <c r="D1973" s="322">
        <v>4</v>
      </c>
      <c r="E1973" s="322" t="s">
        <v>682</v>
      </c>
      <c r="F1973" s="322">
        <v>4</v>
      </c>
      <c r="G1973" s="425">
        <f t="shared" si="32"/>
        <v>0</v>
      </c>
    </row>
    <row r="1974" spans="2:7">
      <c r="B1974" s="323">
        <v>46080</v>
      </c>
      <c r="C1974" s="325" t="s">
        <v>1246</v>
      </c>
      <c r="D1974" s="322">
        <v>10</v>
      </c>
      <c r="E1974" s="322" t="s">
        <v>682</v>
      </c>
      <c r="F1974" s="322">
        <v>10</v>
      </c>
      <c r="G1974" s="425">
        <f t="shared" si="32"/>
        <v>0</v>
      </c>
    </row>
    <row r="1975" spans="2:7">
      <c r="B1975" s="323">
        <v>46080</v>
      </c>
      <c r="C1975" s="325" t="s">
        <v>1249</v>
      </c>
      <c r="D1975" s="322">
        <v>1</v>
      </c>
      <c r="E1975" s="322" t="s">
        <v>682</v>
      </c>
      <c r="F1975" s="322">
        <v>1</v>
      </c>
      <c r="G1975" s="425">
        <f t="shared" si="32"/>
        <v>0</v>
      </c>
    </row>
    <row r="1976" spans="2:7">
      <c r="B1976" s="323">
        <v>46080</v>
      </c>
      <c r="C1976" s="325" t="s">
        <v>1096</v>
      </c>
      <c r="D1976" s="322">
        <v>2</v>
      </c>
      <c r="E1976" s="322" t="s">
        <v>682</v>
      </c>
      <c r="F1976" s="322">
        <v>2</v>
      </c>
      <c r="G1976" s="425">
        <f t="shared" si="32"/>
        <v>0</v>
      </c>
    </row>
    <row r="1977" spans="2:7">
      <c r="B1977" s="323">
        <v>46080</v>
      </c>
      <c r="C1977" s="325" t="s">
        <v>1490</v>
      </c>
      <c r="D1977" s="322">
        <v>4</v>
      </c>
      <c r="E1977" s="322" t="s">
        <v>682</v>
      </c>
      <c r="F1977" s="322">
        <v>4</v>
      </c>
      <c r="G1977" s="425">
        <f t="shared" si="32"/>
        <v>0</v>
      </c>
    </row>
    <row r="1978" spans="2:7">
      <c r="B1978" s="323">
        <v>46080</v>
      </c>
      <c r="C1978" s="325" t="s">
        <v>1312</v>
      </c>
      <c r="D1978" s="322">
        <v>7</v>
      </c>
      <c r="E1978" s="322" t="s">
        <v>682</v>
      </c>
      <c r="F1978" s="322">
        <v>7</v>
      </c>
      <c r="G1978" s="425">
        <f t="shared" si="32"/>
        <v>0</v>
      </c>
    </row>
    <row r="1979" spans="2:7">
      <c r="B1979" s="323">
        <v>46080</v>
      </c>
      <c r="C1979" s="325" t="s">
        <v>136</v>
      </c>
      <c r="D1979" s="322">
        <v>1</v>
      </c>
      <c r="E1979" s="322" t="s">
        <v>682</v>
      </c>
      <c r="F1979" s="322">
        <v>1</v>
      </c>
      <c r="G1979" s="425">
        <f t="shared" si="32"/>
        <v>0</v>
      </c>
    </row>
    <row r="1980" spans="2:7">
      <c r="B1980" s="323">
        <v>46080</v>
      </c>
      <c r="C1980" s="324" t="s">
        <v>134</v>
      </c>
      <c r="D1980" s="322">
        <v>4</v>
      </c>
      <c r="E1980" s="322" t="s">
        <v>682</v>
      </c>
      <c r="F1980" s="322">
        <v>4</v>
      </c>
      <c r="G1980" s="425">
        <f t="shared" si="32"/>
        <v>0</v>
      </c>
    </row>
    <row r="1981" spans="2:7">
      <c r="B1981" s="323">
        <v>46080</v>
      </c>
      <c r="C1981" s="325" t="s">
        <v>1568</v>
      </c>
      <c r="D1981" s="322">
        <v>4</v>
      </c>
      <c r="E1981" s="322" t="s">
        <v>682</v>
      </c>
      <c r="F1981" s="322">
        <v>4</v>
      </c>
      <c r="G1981" s="425">
        <f t="shared" si="32"/>
        <v>0</v>
      </c>
    </row>
    <row r="1982" spans="2:7">
      <c r="B1982" s="323">
        <v>46080</v>
      </c>
      <c r="C1982" s="324" t="s">
        <v>1994</v>
      </c>
      <c r="D1982" s="322">
        <v>2</v>
      </c>
      <c r="E1982" s="322" t="s">
        <v>682</v>
      </c>
      <c r="F1982" s="322">
        <v>2</v>
      </c>
      <c r="G1982" s="425">
        <f t="shared" si="32"/>
        <v>0</v>
      </c>
    </row>
    <row r="1983" spans="2:7">
      <c r="B1983" s="323">
        <v>46080</v>
      </c>
      <c r="C1983" s="325" t="s">
        <v>1641</v>
      </c>
      <c r="D1983" s="322">
        <v>2</v>
      </c>
      <c r="E1983" s="322" t="s">
        <v>682</v>
      </c>
      <c r="F1983" s="322">
        <v>2</v>
      </c>
      <c r="G1983" s="425">
        <f t="shared" si="32"/>
        <v>0</v>
      </c>
    </row>
    <row r="1984" spans="2:7">
      <c r="B1984" s="323">
        <v>46080</v>
      </c>
      <c r="C1984" s="324" t="s">
        <v>1994</v>
      </c>
      <c r="D1984" s="322">
        <v>1</v>
      </c>
      <c r="E1984" s="322" t="s">
        <v>682</v>
      </c>
      <c r="F1984" s="322">
        <v>1</v>
      </c>
      <c r="G1984" s="425">
        <f t="shared" si="32"/>
        <v>0</v>
      </c>
    </row>
    <row r="1985" spans="2:7">
      <c r="B1985" s="323">
        <v>46080</v>
      </c>
      <c r="C1985" s="325" t="s">
        <v>2646</v>
      </c>
      <c r="D1985" s="322">
        <v>1</v>
      </c>
      <c r="E1985" s="322" t="s">
        <v>682</v>
      </c>
      <c r="F1985" s="322">
        <v>1</v>
      </c>
      <c r="G1985" s="425">
        <f t="shared" si="32"/>
        <v>0</v>
      </c>
    </row>
    <row r="1986" spans="2:7">
      <c r="B1986" s="323">
        <v>46080</v>
      </c>
      <c r="C1986" s="325" t="s">
        <v>1152</v>
      </c>
      <c r="D1986" s="322">
        <v>1</v>
      </c>
      <c r="E1986" s="322" t="s">
        <v>682</v>
      </c>
      <c r="F1986" s="322">
        <v>1</v>
      </c>
      <c r="G1986" s="425">
        <f t="shared" si="32"/>
        <v>0</v>
      </c>
    </row>
    <row r="1987" spans="2:7">
      <c r="B1987" s="323">
        <v>46080</v>
      </c>
      <c r="C1987" s="325" t="s">
        <v>2141</v>
      </c>
      <c r="D1987" s="322">
        <v>1</v>
      </c>
      <c r="E1987" s="322" t="s">
        <v>682</v>
      </c>
      <c r="F1987" s="322">
        <v>1</v>
      </c>
      <c r="G1987" s="425">
        <f t="shared" si="32"/>
        <v>0</v>
      </c>
    </row>
    <row r="1988" spans="2:7">
      <c r="B1988" s="323">
        <v>46080</v>
      </c>
      <c r="C1988" s="325" t="s">
        <v>1640</v>
      </c>
      <c r="D1988" s="322">
        <v>1</v>
      </c>
      <c r="E1988" s="322" t="s">
        <v>682</v>
      </c>
      <c r="F1988" s="322">
        <v>1</v>
      </c>
      <c r="G1988" s="425">
        <f t="shared" si="32"/>
        <v>0</v>
      </c>
    </row>
    <row r="1989" spans="2:7">
      <c r="B1989" s="323">
        <v>46080</v>
      </c>
      <c r="C1989" s="325" t="s">
        <v>2312</v>
      </c>
      <c r="D1989" s="322">
        <v>1</v>
      </c>
      <c r="E1989" s="322" t="s">
        <v>682</v>
      </c>
      <c r="F1989" s="322">
        <v>1</v>
      </c>
      <c r="G1989" s="425">
        <f t="shared" si="32"/>
        <v>0</v>
      </c>
    </row>
    <row r="1990" spans="2:7">
      <c r="B1990" s="323">
        <v>46080</v>
      </c>
      <c r="C1990" s="325" t="s">
        <v>3090</v>
      </c>
      <c r="D1990" s="322">
        <v>1</v>
      </c>
      <c r="E1990" s="322" t="s">
        <v>682</v>
      </c>
      <c r="F1990" s="322">
        <v>1</v>
      </c>
      <c r="G1990" s="425">
        <f t="shared" si="32"/>
        <v>0</v>
      </c>
    </row>
    <row r="1991" spans="2:7">
      <c r="B1991" s="323">
        <v>46080</v>
      </c>
      <c r="C1991" s="325" t="s">
        <v>1246</v>
      </c>
      <c r="D1991" s="322">
        <v>1</v>
      </c>
      <c r="E1991" s="322" t="s">
        <v>682</v>
      </c>
      <c r="F1991" s="322">
        <v>1</v>
      </c>
      <c r="G1991" s="425">
        <f t="shared" si="32"/>
        <v>0</v>
      </c>
    </row>
    <row r="1992" spans="2:7">
      <c r="B1992" s="323">
        <v>46080</v>
      </c>
      <c r="C1992" s="325" t="s">
        <v>1249</v>
      </c>
      <c r="D1992" s="322">
        <v>1</v>
      </c>
      <c r="E1992" s="322" t="s">
        <v>682</v>
      </c>
      <c r="F1992" s="322">
        <v>1</v>
      </c>
      <c r="G1992" s="425">
        <f t="shared" si="32"/>
        <v>0</v>
      </c>
    </row>
    <row r="1993" spans="2:7">
      <c r="B1993" s="323">
        <v>46080</v>
      </c>
      <c r="C1993" s="325" t="s">
        <v>1249</v>
      </c>
      <c r="D1993" s="322">
        <v>1</v>
      </c>
      <c r="E1993" s="322" t="s">
        <v>682</v>
      </c>
      <c r="F1993" s="322">
        <v>1</v>
      </c>
      <c r="G1993" s="425">
        <f t="shared" ref="G1993:G2064" si="33">D1993-F1993</f>
        <v>0</v>
      </c>
    </row>
    <row r="1994" spans="2:7">
      <c r="B1994" s="323">
        <v>46080</v>
      </c>
      <c r="C1994" s="325" t="s">
        <v>1271</v>
      </c>
      <c r="D1994" s="322">
        <v>1</v>
      </c>
      <c r="E1994" s="322" t="s">
        <v>682</v>
      </c>
      <c r="F1994" s="322">
        <v>1</v>
      </c>
      <c r="G1994" s="425">
        <f t="shared" si="33"/>
        <v>0</v>
      </c>
    </row>
    <row r="1995" spans="2:7">
      <c r="B1995" s="323">
        <v>46080</v>
      </c>
      <c r="C1995" s="325" t="s">
        <v>1271</v>
      </c>
      <c r="D1995" s="322">
        <v>1</v>
      </c>
      <c r="E1995" s="322" t="s">
        <v>682</v>
      </c>
      <c r="F1995" s="322">
        <v>1</v>
      </c>
      <c r="G1995" s="425">
        <f t="shared" si="33"/>
        <v>0</v>
      </c>
    </row>
    <row r="1996" spans="2:7">
      <c r="B1996" s="323">
        <v>46080</v>
      </c>
      <c r="C1996" s="325" t="s">
        <v>1326</v>
      </c>
      <c r="D1996" s="322">
        <v>2</v>
      </c>
      <c r="E1996" s="322" t="s">
        <v>682</v>
      </c>
      <c r="F1996" s="322">
        <v>2</v>
      </c>
      <c r="G1996" s="425">
        <f t="shared" si="33"/>
        <v>0</v>
      </c>
    </row>
    <row r="1997" spans="2:7">
      <c r="B1997" s="323">
        <v>46080</v>
      </c>
      <c r="C1997" s="325" t="s">
        <v>1326</v>
      </c>
      <c r="D1997" s="322">
        <v>1</v>
      </c>
      <c r="E1997" s="322" t="s">
        <v>682</v>
      </c>
      <c r="F1997" s="322">
        <v>1</v>
      </c>
      <c r="G1997" s="425">
        <f t="shared" si="33"/>
        <v>0</v>
      </c>
    </row>
    <row r="1998" spans="2:7">
      <c r="B1998" s="323">
        <v>46080</v>
      </c>
      <c r="C1998" s="324" t="s">
        <v>134</v>
      </c>
      <c r="D1998" s="322">
        <v>1</v>
      </c>
      <c r="E1998" s="322" t="s">
        <v>682</v>
      </c>
      <c r="F1998" s="322">
        <v>1</v>
      </c>
      <c r="G1998" s="425">
        <f t="shared" si="33"/>
        <v>0</v>
      </c>
    </row>
    <row r="1999" spans="2:7">
      <c r="B1999" s="323">
        <v>46080</v>
      </c>
      <c r="C1999" s="324" t="s">
        <v>134</v>
      </c>
      <c r="D1999" s="322">
        <v>1</v>
      </c>
      <c r="E1999" s="322" t="s">
        <v>682</v>
      </c>
      <c r="F1999" s="322">
        <v>1</v>
      </c>
      <c r="G1999" s="425">
        <f t="shared" si="33"/>
        <v>0</v>
      </c>
    </row>
    <row r="2000" spans="2:7">
      <c r="B2000" s="323">
        <v>46080</v>
      </c>
      <c r="C2000" s="324" t="s">
        <v>134</v>
      </c>
      <c r="D2000" s="322">
        <v>1</v>
      </c>
      <c r="E2000" s="322" t="s">
        <v>682</v>
      </c>
      <c r="F2000" s="322">
        <v>1</v>
      </c>
      <c r="G2000" s="425">
        <f t="shared" si="33"/>
        <v>0</v>
      </c>
    </row>
    <row r="2001" spans="2:8">
      <c r="B2001" s="323">
        <v>46080</v>
      </c>
      <c r="C2001" s="425" t="s">
        <v>1146</v>
      </c>
      <c r="D2001" s="322">
        <v>1</v>
      </c>
      <c r="E2001" s="322" t="s">
        <v>682</v>
      </c>
      <c r="F2001" s="322">
        <v>1</v>
      </c>
      <c r="G2001" s="425">
        <f t="shared" si="33"/>
        <v>0</v>
      </c>
    </row>
    <row r="2002" spans="2:8">
      <c r="B2002" s="323">
        <v>46080</v>
      </c>
      <c r="C2002" s="425" t="s">
        <v>375</v>
      </c>
      <c r="D2002" s="322">
        <v>1</v>
      </c>
      <c r="E2002" s="322" t="s">
        <v>682</v>
      </c>
      <c r="F2002" s="322">
        <v>1</v>
      </c>
      <c r="G2002" s="425">
        <f t="shared" si="33"/>
        <v>0</v>
      </c>
    </row>
    <row r="2003" spans="2:8">
      <c r="B2003" s="323">
        <v>46080</v>
      </c>
      <c r="C2003" s="425" t="s">
        <v>375</v>
      </c>
      <c r="D2003" s="322">
        <v>1</v>
      </c>
      <c r="E2003" s="322" t="s">
        <v>682</v>
      </c>
      <c r="F2003" s="322">
        <v>1</v>
      </c>
      <c r="G2003" s="425">
        <f t="shared" si="33"/>
        <v>0</v>
      </c>
    </row>
    <row r="2004" spans="2:8">
      <c r="B2004" s="323">
        <v>46080</v>
      </c>
      <c r="C2004" s="325" t="s">
        <v>2032</v>
      </c>
      <c r="D2004" s="322">
        <v>1</v>
      </c>
      <c r="E2004" s="322" t="s">
        <v>682</v>
      </c>
      <c r="F2004" s="322">
        <v>1</v>
      </c>
      <c r="G2004" s="425">
        <f t="shared" si="33"/>
        <v>0</v>
      </c>
    </row>
    <row r="2005" spans="2:8">
      <c r="B2005" s="434">
        <v>46085</v>
      </c>
      <c r="C2005" s="168" t="s">
        <v>1271</v>
      </c>
      <c r="D2005" s="166">
        <v>1</v>
      </c>
      <c r="E2005" s="166" t="s">
        <v>3705</v>
      </c>
      <c r="F2005" s="166">
        <v>1</v>
      </c>
      <c r="G2005" s="167">
        <f t="shared" si="33"/>
        <v>0</v>
      </c>
    </row>
    <row r="2006" spans="2:8">
      <c r="B2006" s="335">
        <v>46087</v>
      </c>
      <c r="C2006" s="343" t="s">
        <v>1291</v>
      </c>
      <c r="D2006" s="43">
        <v>1</v>
      </c>
      <c r="E2006" s="43" t="s">
        <v>3722</v>
      </c>
      <c r="F2006" s="43">
        <v>1</v>
      </c>
      <c r="G2006" s="344">
        <f t="shared" si="33"/>
        <v>0</v>
      </c>
    </row>
    <row r="2007" spans="2:8">
      <c r="B2007" s="335">
        <v>46087</v>
      </c>
      <c r="C2007" s="93" t="s">
        <v>1568</v>
      </c>
      <c r="D2007" s="43">
        <v>1</v>
      </c>
      <c r="E2007" s="43" t="s">
        <v>3724</v>
      </c>
      <c r="F2007" s="43">
        <v>1</v>
      </c>
      <c r="G2007" s="104">
        <f t="shared" si="33"/>
        <v>0</v>
      </c>
    </row>
    <row r="2008" spans="2:8">
      <c r="B2008" s="335">
        <v>46088</v>
      </c>
      <c r="C2008" s="343" t="s">
        <v>1246</v>
      </c>
      <c r="D2008" s="345">
        <v>17</v>
      </c>
      <c r="E2008" s="345" t="s">
        <v>3732</v>
      </c>
      <c r="F2008" s="345">
        <v>17</v>
      </c>
      <c r="G2008" s="104">
        <f t="shared" si="33"/>
        <v>0</v>
      </c>
    </row>
    <row r="2009" spans="2:8">
      <c r="B2009" s="335">
        <v>46088</v>
      </c>
      <c r="C2009" s="344" t="s">
        <v>375</v>
      </c>
      <c r="D2009" s="345">
        <v>4</v>
      </c>
      <c r="E2009" s="345" t="s">
        <v>3732</v>
      </c>
      <c r="F2009" s="345">
        <v>4</v>
      </c>
      <c r="G2009" s="104">
        <f t="shared" si="33"/>
        <v>0</v>
      </c>
    </row>
    <row r="2010" spans="2:8">
      <c r="B2010" s="323">
        <v>46090</v>
      </c>
      <c r="C2010" s="325" t="s">
        <v>1246</v>
      </c>
      <c r="D2010" s="322">
        <v>8</v>
      </c>
      <c r="E2010" s="322" t="s">
        <v>682</v>
      </c>
      <c r="F2010" s="322">
        <v>8</v>
      </c>
      <c r="G2010" s="425">
        <f t="shared" si="33"/>
        <v>0</v>
      </c>
      <c r="H2010" s="731" t="s">
        <v>3791</v>
      </c>
    </row>
    <row r="2011" spans="2:8">
      <c r="B2011" s="323">
        <v>46090</v>
      </c>
      <c r="C2011" s="325" t="s">
        <v>1249</v>
      </c>
      <c r="D2011" s="322">
        <v>2</v>
      </c>
      <c r="E2011" s="322" t="s">
        <v>682</v>
      </c>
      <c r="F2011" s="322">
        <v>2</v>
      </c>
      <c r="G2011" s="425">
        <f t="shared" si="33"/>
        <v>0</v>
      </c>
    </row>
    <row r="2012" spans="2:8">
      <c r="B2012" s="323">
        <v>46090</v>
      </c>
      <c r="C2012" s="325" t="s">
        <v>1246</v>
      </c>
      <c r="D2012" s="322">
        <v>6</v>
      </c>
      <c r="E2012" s="322" t="s">
        <v>682</v>
      </c>
      <c r="F2012" s="322">
        <v>6</v>
      </c>
      <c r="G2012" s="425">
        <f t="shared" si="33"/>
        <v>0</v>
      </c>
    </row>
    <row r="2013" spans="2:8">
      <c r="B2013" s="323">
        <v>46090</v>
      </c>
      <c r="C2013" s="325" t="s">
        <v>1246</v>
      </c>
      <c r="D2013" s="322">
        <v>5</v>
      </c>
      <c r="E2013" s="322" t="s">
        <v>682</v>
      </c>
      <c r="F2013" s="322">
        <v>5</v>
      </c>
      <c r="G2013" s="425">
        <f t="shared" si="33"/>
        <v>0</v>
      </c>
    </row>
    <row r="2014" spans="2:8">
      <c r="B2014" s="323">
        <v>46090</v>
      </c>
      <c r="C2014" s="325" t="s">
        <v>1246</v>
      </c>
      <c r="D2014" s="322">
        <v>4</v>
      </c>
      <c r="E2014" s="322" t="s">
        <v>682</v>
      </c>
      <c r="F2014" s="322">
        <v>4</v>
      </c>
      <c r="G2014" s="425">
        <f t="shared" si="33"/>
        <v>0</v>
      </c>
    </row>
    <row r="2015" spans="2:8">
      <c r="B2015" s="323">
        <v>46090</v>
      </c>
      <c r="C2015" s="325" t="s">
        <v>1246</v>
      </c>
      <c r="D2015" s="322">
        <v>2</v>
      </c>
      <c r="E2015" s="322" t="s">
        <v>682</v>
      </c>
      <c r="F2015" s="322">
        <v>2</v>
      </c>
      <c r="G2015" s="425">
        <f t="shared" si="33"/>
        <v>0</v>
      </c>
    </row>
    <row r="2016" spans="2:8">
      <c r="B2016" s="323">
        <v>46090</v>
      </c>
      <c r="C2016" s="325" t="s">
        <v>1289</v>
      </c>
      <c r="D2016" s="322">
        <v>3</v>
      </c>
      <c r="E2016" s="322" t="s">
        <v>682</v>
      </c>
      <c r="F2016" s="322">
        <v>3</v>
      </c>
      <c r="G2016" s="425">
        <f t="shared" si="33"/>
        <v>0</v>
      </c>
    </row>
    <row r="2017" spans="2:7">
      <c r="B2017" s="323">
        <v>46090</v>
      </c>
      <c r="C2017" s="325" t="s">
        <v>1246</v>
      </c>
      <c r="D2017" s="322">
        <v>1</v>
      </c>
      <c r="E2017" s="322" t="s">
        <v>682</v>
      </c>
      <c r="F2017" s="322">
        <v>1</v>
      </c>
      <c r="G2017" s="425">
        <f t="shared" si="33"/>
        <v>0</v>
      </c>
    </row>
    <row r="2018" spans="2:7">
      <c r="B2018" s="323">
        <v>46090</v>
      </c>
      <c r="C2018" s="325" t="s">
        <v>1249</v>
      </c>
      <c r="D2018" s="322">
        <v>1</v>
      </c>
      <c r="E2018" s="322" t="s">
        <v>682</v>
      </c>
      <c r="F2018" s="322">
        <v>1</v>
      </c>
      <c r="G2018" s="425">
        <f t="shared" si="33"/>
        <v>0</v>
      </c>
    </row>
    <row r="2019" spans="2:7">
      <c r="B2019" s="323">
        <v>46090</v>
      </c>
      <c r="C2019" s="325" t="s">
        <v>1326</v>
      </c>
      <c r="D2019" s="322">
        <v>4</v>
      </c>
      <c r="E2019" s="322" t="s">
        <v>682</v>
      </c>
      <c r="F2019" s="322">
        <v>4</v>
      </c>
      <c r="G2019" s="425">
        <f t="shared" si="33"/>
        <v>0</v>
      </c>
    </row>
    <row r="2020" spans="2:7">
      <c r="B2020" s="323">
        <v>46090</v>
      </c>
      <c r="C2020" s="325" t="s">
        <v>1318</v>
      </c>
      <c r="D2020" s="322">
        <v>8</v>
      </c>
      <c r="E2020" s="322" t="s">
        <v>682</v>
      </c>
      <c r="F2020" s="322">
        <v>8</v>
      </c>
      <c r="G2020" s="425">
        <f t="shared" si="33"/>
        <v>0</v>
      </c>
    </row>
    <row r="2021" spans="2:7">
      <c r="B2021" s="323">
        <v>46090</v>
      </c>
      <c r="C2021" s="325" t="s">
        <v>1319</v>
      </c>
      <c r="D2021" s="322">
        <v>4</v>
      </c>
      <c r="E2021" s="322" t="s">
        <v>682</v>
      </c>
      <c r="F2021" s="322">
        <v>4</v>
      </c>
      <c r="G2021" s="425">
        <f t="shared" si="33"/>
        <v>0</v>
      </c>
    </row>
    <row r="2022" spans="2:7">
      <c r="B2022" s="323">
        <v>46090</v>
      </c>
      <c r="C2022" s="325" t="s">
        <v>1409</v>
      </c>
      <c r="D2022" s="322">
        <v>6</v>
      </c>
      <c r="E2022" s="322" t="s">
        <v>682</v>
      </c>
      <c r="F2022" s="322">
        <v>6</v>
      </c>
      <c r="G2022" s="425">
        <f t="shared" si="33"/>
        <v>0</v>
      </c>
    </row>
    <row r="2023" spans="2:7">
      <c r="B2023" s="323">
        <v>46090</v>
      </c>
      <c r="C2023" s="325" t="s">
        <v>976</v>
      </c>
      <c r="D2023" s="322">
        <v>5</v>
      </c>
      <c r="E2023" s="322" t="s">
        <v>682</v>
      </c>
      <c r="F2023" s="322">
        <v>5</v>
      </c>
      <c r="G2023" s="425">
        <f t="shared" si="33"/>
        <v>0</v>
      </c>
    </row>
    <row r="2024" spans="2:7">
      <c r="B2024" s="323">
        <v>46090</v>
      </c>
      <c r="C2024" s="325" t="s">
        <v>1694</v>
      </c>
      <c r="D2024" s="322">
        <v>2</v>
      </c>
      <c r="E2024" s="322" t="s">
        <v>682</v>
      </c>
      <c r="F2024" s="322">
        <v>2</v>
      </c>
      <c r="G2024" s="425">
        <f t="shared" si="33"/>
        <v>0</v>
      </c>
    </row>
    <row r="2025" spans="2:7">
      <c r="B2025" s="323">
        <v>46090</v>
      </c>
      <c r="C2025" s="325" t="s">
        <v>1271</v>
      </c>
      <c r="D2025" s="322">
        <v>2</v>
      </c>
      <c r="E2025" s="322" t="s">
        <v>682</v>
      </c>
      <c r="F2025" s="322">
        <v>2</v>
      </c>
      <c r="G2025" s="425">
        <f t="shared" si="33"/>
        <v>0</v>
      </c>
    </row>
    <row r="2026" spans="2:7">
      <c r="B2026" s="323">
        <v>46090</v>
      </c>
      <c r="C2026" s="325" t="s">
        <v>1334</v>
      </c>
      <c r="D2026" s="322">
        <v>2</v>
      </c>
      <c r="E2026" s="322" t="s">
        <v>682</v>
      </c>
      <c r="F2026" s="322">
        <v>2</v>
      </c>
      <c r="G2026" s="425">
        <f t="shared" si="33"/>
        <v>0</v>
      </c>
    </row>
    <row r="2027" spans="2:7">
      <c r="B2027" s="323">
        <v>46090</v>
      </c>
      <c r="C2027" s="325" t="s">
        <v>1271</v>
      </c>
      <c r="D2027" s="322">
        <v>1</v>
      </c>
      <c r="E2027" s="322" t="s">
        <v>682</v>
      </c>
      <c r="F2027" s="322">
        <v>1</v>
      </c>
      <c r="G2027" s="425">
        <f t="shared" si="33"/>
        <v>0</v>
      </c>
    </row>
    <row r="2028" spans="2:7">
      <c r="B2028" s="323">
        <v>46090</v>
      </c>
      <c r="C2028" s="325" t="s">
        <v>169</v>
      </c>
      <c r="D2028" s="322">
        <v>1</v>
      </c>
      <c r="E2028" s="322" t="s">
        <v>682</v>
      </c>
      <c r="F2028" s="322">
        <v>1</v>
      </c>
      <c r="G2028" s="425">
        <f t="shared" si="33"/>
        <v>0</v>
      </c>
    </row>
    <row r="2029" spans="2:7">
      <c r="B2029" s="323">
        <v>46090</v>
      </c>
      <c r="C2029" s="325" t="s">
        <v>1434</v>
      </c>
      <c r="D2029" s="322">
        <v>1</v>
      </c>
      <c r="E2029" s="322" t="s">
        <v>682</v>
      </c>
      <c r="F2029" s="322">
        <v>1</v>
      </c>
      <c r="G2029" s="425">
        <f t="shared" si="33"/>
        <v>0</v>
      </c>
    </row>
    <row r="2030" spans="2:7">
      <c r="B2030" s="323">
        <v>46090</v>
      </c>
      <c r="C2030" s="325" t="s">
        <v>1434</v>
      </c>
      <c r="D2030" s="322">
        <v>1</v>
      </c>
      <c r="E2030" s="322" t="s">
        <v>682</v>
      </c>
      <c r="F2030" s="322">
        <v>1</v>
      </c>
      <c r="G2030" s="425">
        <f t="shared" si="33"/>
        <v>0</v>
      </c>
    </row>
    <row r="2031" spans="2:7">
      <c r="B2031" s="323">
        <v>46090</v>
      </c>
      <c r="C2031" s="425" t="s">
        <v>1147</v>
      </c>
      <c r="D2031" s="322">
        <v>1</v>
      </c>
      <c r="E2031" s="322" t="s">
        <v>682</v>
      </c>
      <c r="F2031" s="322">
        <v>1</v>
      </c>
      <c r="G2031" s="425">
        <f t="shared" si="33"/>
        <v>0</v>
      </c>
    </row>
    <row r="2032" spans="2:7">
      <c r="B2032" s="323">
        <v>46090</v>
      </c>
      <c r="C2032" s="324" t="s">
        <v>1387</v>
      </c>
      <c r="D2032" s="322">
        <v>1</v>
      </c>
      <c r="E2032" s="322" t="s">
        <v>682</v>
      </c>
      <c r="F2032" s="322">
        <v>1</v>
      </c>
      <c r="G2032" s="425">
        <f t="shared" si="33"/>
        <v>0</v>
      </c>
    </row>
    <row r="2033" spans="2:8">
      <c r="B2033" s="323">
        <v>46090</v>
      </c>
      <c r="C2033" s="325" t="s">
        <v>1491</v>
      </c>
      <c r="D2033" s="322">
        <v>1</v>
      </c>
      <c r="E2033" s="322" t="s">
        <v>682</v>
      </c>
      <c r="F2033" s="322">
        <v>1</v>
      </c>
      <c r="G2033" s="425">
        <f t="shared" si="33"/>
        <v>0</v>
      </c>
    </row>
    <row r="2034" spans="2:8">
      <c r="B2034" s="323">
        <v>46090</v>
      </c>
      <c r="C2034" s="324" t="s">
        <v>131</v>
      </c>
      <c r="D2034" s="322">
        <v>1</v>
      </c>
      <c r="E2034" s="322" t="s">
        <v>682</v>
      </c>
      <c r="F2034" s="322">
        <v>1</v>
      </c>
      <c r="G2034" s="425">
        <f t="shared" si="33"/>
        <v>0</v>
      </c>
    </row>
    <row r="2035" spans="2:8">
      <c r="B2035" s="346">
        <v>46090</v>
      </c>
      <c r="C2035" s="349" t="s">
        <v>1246</v>
      </c>
      <c r="D2035" s="348">
        <v>4</v>
      </c>
      <c r="E2035" s="348" t="s">
        <v>2093</v>
      </c>
      <c r="F2035" s="348">
        <v>4</v>
      </c>
      <c r="G2035" s="351">
        <f t="shared" si="33"/>
        <v>0</v>
      </c>
      <c r="H2035" s="731" t="s">
        <v>3793</v>
      </c>
    </row>
    <row r="2036" spans="2:8">
      <c r="B2036" s="346">
        <v>46090</v>
      </c>
      <c r="C2036" s="349" t="s">
        <v>1246</v>
      </c>
      <c r="D2036" s="348">
        <v>2</v>
      </c>
      <c r="E2036" s="348" t="s">
        <v>2093</v>
      </c>
      <c r="F2036" s="348">
        <v>2</v>
      </c>
      <c r="G2036" s="351">
        <f t="shared" si="33"/>
        <v>0</v>
      </c>
    </row>
    <row r="2037" spans="2:8">
      <c r="B2037" s="346">
        <v>46090</v>
      </c>
      <c r="C2037" s="349" t="s">
        <v>1246</v>
      </c>
      <c r="D2037" s="348">
        <v>2</v>
      </c>
      <c r="E2037" s="348" t="s">
        <v>2093</v>
      </c>
      <c r="F2037" s="348">
        <v>2</v>
      </c>
      <c r="G2037" s="351">
        <f t="shared" si="33"/>
        <v>0</v>
      </c>
    </row>
    <row r="2038" spans="2:8">
      <c r="B2038" s="346">
        <v>46090</v>
      </c>
      <c r="C2038" s="349" t="s">
        <v>1271</v>
      </c>
      <c r="D2038" s="348">
        <v>4</v>
      </c>
      <c r="E2038" s="348" t="s">
        <v>2093</v>
      </c>
      <c r="F2038" s="348">
        <v>4</v>
      </c>
      <c r="G2038" s="351">
        <f t="shared" si="33"/>
        <v>0</v>
      </c>
    </row>
    <row r="2039" spans="2:8">
      <c r="B2039" s="346">
        <v>46090</v>
      </c>
      <c r="C2039" s="349" t="s">
        <v>1271</v>
      </c>
      <c r="D2039" s="348">
        <v>2</v>
      </c>
      <c r="E2039" s="348" t="s">
        <v>2093</v>
      </c>
      <c r="F2039" s="348">
        <v>2</v>
      </c>
      <c r="G2039" s="351">
        <f t="shared" si="33"/>
        <v>0</v>
      </c>
    </row>
    <row r="2040" spans="2:8">
      <c r="B2040" s="346">
        <v>46090</v>
      </c>
      <c r="C2040" s="349" t="s">
        <v>1271</v>
      </c>
      <c r="D2040" s="348">
        <v>2</v>
      </c>
      <c r="E2040" s="348" t="s">
        <v>2093</v>
      </c>
      <c r="F2040" s="348">
        <v>2</v>
      </c>
      <c r="G2040" s="351">
        <f t="shared" si="33"/>
        <v>0</v>
      </c>
    </row>
    <row r="2041" spans="2:8">
      <c r="B2041" s="346">
        <v>46090</v>
      </c>
      <c r="C2041" s="349" t="s">
        <v>1326</v>
      </c>
      <c r="D2041" s="348">
        <v>1</v>
      </c>
      <c r="E2041" s="348" t="s">
        <v>2093</v>
      </c>
      <c r="F2041" s="348">
        <v>1</v>
      </c>
      <c r="G2041" s="351">
        <f t="shared" si="33"/>
        <v>0</v>
      </c>
    </row>
    <row r="2042" spans="2:8">
      <c r="B2042" s="346">
        <v>46090</v>
      </c>
      <c r="C2042" s="349" t="s">
        <v>1568</v>
      </c>
      <c r="D2042" s="348">
        <v>2</v>
      </c>
      <c r="E2042" s="348" t="s">
        <v>2093</v>
      </c>
      <c r="F2042" s="348">
        <v>2</v>
      </c>
      <c r="G2042" s="351">
        <f t="shared" si="33"/>
        <v>0</v>
      </c>
    </row>
    <row r="2043" spans="2:8">
      <c r="B2043" s="346">
        <v>46090</v>
      </c>
      <c r="C2043" s="349" t="s">
        <v>1152</v>
      </c>
      <c r="D2043" s="348">
        <v>2</v>
      </c>
      <c r="E2043" s="348" t="s">
        <v>2093</v>
      </c>
      <c r="F2043" s="348">
        <v>2</v>
      </c>
      <c r="G2043" s="351">
        <f t="shared" si="33"/>
        <v>0</v>
      </c>
    </row>
    <row r="2044" spans="2:8">
      <c r="B2044" s="346">
        <v>46090</v>
      </c>
      <c r="C2044" s="349" t="s">
        <v>976</v>
      </c>
      <c r="D2044" s="348">
        <v>1</v>
      </c>
      <c r="E2044" s="348" t="s">
        <v>2093</v>
      </c>
      <c r="F2044" s="348">
        <v>1</v>
      </c>
      <c r="G2044" s="351">
        <f t="shared" si="33"/>
        <v>0</v>
      </c>
    </row>
    <row r="2045" spans="2:8">
      <c r="B2045" s="346">
        <v>46090</v>
      </c>
      <c r="C2045" s="349" t="s">
        <v>1291</v>
      </c>
      <c r="D2045" s="348">
        <v>3</v>
      </c>
      <c r="E2045" s="348" t="s">
        <v>2093</v>
      </c>
      <c r="F2045" s="348">
        <v>3</v>
      </c>
      <c r="G2045" s="351">
        <f t="shared" si="33"/>
        <v>0</v>
      </c>
    </row>
    <row r="2046" spans="2:8">
      <c r="B2046" s="346">
        <v>46090</v>
      </c>
      <c r="C2046" s="349" t="s">
        <v>1291</v>
      </c>
      <c r="D2046" s="348">
        <v>1</v>
      </c>
      <c r="E2046" s="348" t="s">
        <v>2093</v>
      </c>
      <c r="F2046" s="348">
        <v>1</v>
      </c>
      <c r="G2046" s="351">
        <f t="shared" si="33"/>
        <v>0</v>
      </c>
    </row>
    <row r="2047" spans="2:8">
      <c r="B2047" s="346">
        <v>46090</v>
      </c>
      <c r="C2047" s="351" t="s">
        <v>932</v>
      </c>
      <c r="D2047" s="348">
        <v>2</v>
      </c>
      <c r="E2047" s="348" t="s">
        <v>2093</v>
      </c>
      <c r="F2047" s="348">
        <v>2</v>
      </c>
      <c r="G2047" s="351">
        <f t="shared" si="33"/>
        <v>0</v>
      </c>
    </row>
    <row r="2048" spans="2:8">
      <c r="B2048" s="335">
        <v>46091</v>
      </c>
      <c r="C2048" s="104" t="s">
        <v>375</v>
      </c>
      <c r="D2048" s="43">
        <v>3</v>
      </c>
      <c r="E2048" s="43" t="s">
        <v>2405</v>
      </c>
      <c r="F2048" s="43">
        <v>3</v>
      </c>
      <c r="G2048" s="104">
        <f t="shared" si="33"/>
        <v>0</v>
      </c>
    </row>
    <row r="2049" spans="2:7">
      <c r="B2049" s="437">
        <v>46092</v>
      </c>
      <c r="C2049" s="222" t="s">
        <v>1289</v>
      </c>
      <c r="D2049" s="220">
        <v>1</v>
      </c>
      <c r="E2049" s="220" t="s">
        <v>3797</v>
      </c>
      <c r="F2049" s="220">
        <v>1</v>
      </c>
      <c r="G2049" s="221">
        <f t="shared" si="33"/>
        <v>0</v>
      </c>
    </row>
    <row r="2050" spans="2:7">
      <c r="B2050" s="437">
        <v>46092</v>
      </c>
      <c r="C2050" s="222" t="s">
        <v>1290</v>
      </c>
      <c r="D2050" s="220">
        <v>3</v>
      </c>
      <c r="E2050" s="220" t="s">
        <v>3797</v>
      </c>
      <c r="F2050" s="220">
        <v>3</v>
      </c>
      <c r="G2050" s="221">
        <f t="shared" si="33"/>
        <v>0</v>
      </c>
    </row>
    <row r="2051" spans="2:7">
      <c r="B2051" s="434">
        <v>46078</v>
      </c>
      <c r="C2051" s="168" t="s">
        <v>2312</v>
      </c>
      <c r="D2051" s="166">
        <v>1</v>
      </c>
      <c r="E2051" s="166" t="s">
        <v>3798</v>
      </c>
      <c r="F2051" s="166">
        <v>1</v>
      </c>
      <c r="G2051" s="167">
        <f t="shared" si="33"/>
        <v>0</v>
      </c>
    </row>
    <row r="2052" spans="2:7">
      <c r="B2052" s="434">
        <v>46078</v>
      </c>
      <c r="C2052" s="179" t="s">
        <v>672</v>
      </c>
      <c r="D2052" s="166">
        <v>1</v>
      </c>
      <c r="E2052" s="166" t="s">
        <v>3798</v>
      </c>
      <c r="F2052" s="166">
        <v>1</v>
      </c>
      <c r="G2052" s="167">
        <f t="shared" si="33"/>
        <v>0</v>
      </c>
    </row>
    <row r="2053" spans="2:7">
      <c r="B2053" s="434">
        <v>46078</v>
      </c>
      <c r="C2053" s="179" t="s">
        <v>672</v>
      </c>
      <c r="D2053" s="166">
        <v>1</v>
      </c>
      <c r="E2053" s="166" t="s">
        <v>3798</v>
      </c>
      <c r="F2053" s="166">
        <v>1</v>
      </c>
      <c r="G2053" s="167">
        <f t="shared" si="33"/>
        <v>0</v>
      </c>
    </row>
    <row r="2054" spans="2:7">
      <c r="B2054" s="434">
        <v>46078</v>
      </c>
      <c r="C2054" s="168" t="s">
        <v>1270</v>
      </c>
      <c r="D2054" s="166">
        <v>2</v>
      </c>
      <c r="E2054" s="166" t="s">
        <v>3798</v>
      </c>
      <c r="F2054" s="166">
        <v>2</v>
      </c>
      <c r="G2054" s="167">
        <f t="shared" si="33"/>
        <v>0</v>
      </c>
    </row>
    <row r="2055" spans="2:7">
      <c r="B2055" s="434">
        <v>46078</v>
      </c>
      <c r="C2055" s="503" t="s">
        <v>881</v>
      </c>
      <c r="D2055" s="166">
        <v>3</v>
      </c>
      <c r="E2055" s="166" t="s">
        <v>3798</v>
      </c>
      <c r="F2055" s="166">
        <v>3</v>
      </c>
      <c r="G2055" s="167">
        <f t="shared" si="33"/>
        <v>0</v>
      </c>
    </row>
    <row r="2056" spans="2:7">
      <c r="B2056" s="265">
        <v>46094</v>
      </c>
      <c r="C2056" s="343" t="s">
        <v>1291</v>
      </c>
      <c r="D2056" s="43">
        <v>2</v>
      </c>
      <c r="E2056" s="43" t="s">
        <v>3808</v>
      </c>
      <c r="F2056" s="43">
        <v>2</v>
      </c>
      <c r="G2056" s="104">
        <f t="shared" si="33"/>
        <v>0</v>
      </c>
    </row>
    <row r="2057" spans="2:7">
      <c r="B2057" s="437">
        <v>46099</v>
      </c>
      <c r="C2057" s="598" t="s">
        <v>76</v>
      </c>
      <c r="D2057" s="220">
        <v>5</v>
      </c>
      <c r="E2057" s="220" t="s">
        <v>3810</v>
      </c>
      <c r="F2057" s="220">
        <v>5</v>
      </c>
      <c r="G2057" s="221">
        <f t="shared" si="33"/>
        <v>0</v>
      </c>
    </row>
    <row r="2058" spans="2:7">
      <c r="B2058" s="335">
        <v>46106</v>
      </c>
      <c r="C2058" s="343" t="s">
        <v>1271</v>
      </c>
      <c r="D2058" s="345">
        <v>1</v>
      </c>
      <c r="E2058" s="345" t="s">
        <v>3812</v>
      </c>
      <c r="F2058" s="345">
        <v>1</v>
      </c>
      <c r="G2058" s="344">
        <f t="shared" si="33"/>
        <v>0</v>
      </c>
    </row>
    <row r="2059" spans="2:7">
      <c r="B2059" s="335">
        <v>46106</v>
      </c>
      <c r="C2059" s="93" t="s">
        <v>120</v>
      </c>
      <c r="D2059" s="43">
        <v>10</v>
      </c>
      <c r="E2059" s="43" t="s">
        <v>3813</v>
      </c>
      <c r="F2059" s="43">
        <v>10</v>
      </c>
      <c r="G2059" s="344">
        <f t="shared" si="33"/>
        <v>0</v>
      </c>
    </row>
    <row r="2060" spans="2:7">
      <c r="B2060" s="335">
        <v>46106</v>
      </c>
      <c r="C2060" s="92" t="s">
        <v>76</v>
      </c>
      <c r="D2060" s="43">
        <v>80</v>
      </c>
      <c r="E2060" s="43" t="s">
        <v>3814</v>
      </c>
      <c r="F2060" s="43">
        <v>80</v>
      </c>
      <c r="G2060" s="344">
        <f t="shared" si="33"/>
        <v>0</v>
      </c>
    </row>
    <row r="2061" spans="2:7">
      <c r="B2061" s="437">
        <v>46107</v>
      </c>
      <c r="C2061" s="222" t="s">
        <v>1246</v>
      </c>
      <c r="D2061" s="220">
        <v>2</v>
      </c>
      <c r="E2061" s="220" t="s">
        <v>2980</v>
      </c>
      <c r="F2061" s="220">
        <v>2</v>
      </c>
      <c r="G2061" s="221">
        <f t="shared" si="33"/>
        <v>0</v>
      </c>
    </row>
    <row r="2062" spans="2:7">
      <c r="B2062" s="335">
        <v>46108</v>
      </c>
      <c r="C2062" s="341" t="s">
        <v>76</v>
      </c>
      <c r="D2062" s="345">
        <v>140</v>
      </c>
      <c r="E2062" s="345" t="s">
        <v>3815</v>
      </c>
      <c r="F2062" s="345">
        <v>140</v>
      </c>
      <c r="G2062" s="344">
        <f t="shared" si="33"/>
        <v>0</v>
      </c>
    </row>
    <row r="2063" spans="2:7">
      <c r="B2063" s="437">
        <v>46109</v>
      </c>
      <c r="C2063" s="222" t="s">
        <v>1246</v>
      </c>
      <c r="D2063" s="220">
        <v>6</v>
      </c>
      <c r="E2063" s="220" t="s">
        <v>2980</v>
      </c>
      <c r="F2063" s="220">
        <v>6</v>
      </c>
      <c r="G2063" s="221">
        <f t="shared" si="33"/>
        <v>0</v>
      </c>
    </row>
    <row r="2064" spans="2:7">
      <c r="B2064" s="335">
        <v>46112</v>
      </c>
      <c r="C2064" s="343" t="s">
        <v>1313</v>
      </c>
      <c r="D2064" s="345">
        <v>1</v>
      </c>
      <c r="E2064" s="345" t="s">
        <v>3817</v>
      </c>
      <c r="F2064" s="345">
        <v>1</v>
      </c>
      <c r="G2064" s="344">
        <f t="shared" si="33"/>
        <v>0</v>
      </c>
    </row>
    <row r="2065" spans="2:7">
      <c r="B2065" s="335">
        <v>46112</v>
      </c>
      <c r="C2065" s="343" t="s">
        <v>1152</v>
      </c>
      <c r="D2065" s="345">
        <v>2</v>
      </c>
      <c r="E2065" s="345" t="s">
        <v>3817</v>
      </c>
      <c r="F2065" s="345">
        <v>2</v>
      </c>
      <c r="G2065" s="344">
        <f t="shared" ref="G2065:G2128" si="34">D2065-F2065</f>
        <v>0</v>
      </c>
    </row>
    <row r="2066" spans="2:7">
      <c r="B2066" s="437">
        <v>46112</v>
      </c>
      <c r="C2066" s="598" t="s">
        <v>76</v>
      </c>
      <c r="D2066" s="220">
        <v>1</v>
      </c>
      <c r="E2066" s="220" t="s">
        <v>3818</v>
      </c>
      <c r="F2066" s="220">
        <v>1</v>
      </c>
      <c r="G2066" s="221">
        <f t="shared" si="34"/>
        <v>0</v>
      </c>
    </row>
    <row r="2067" spans="2:7">
      <c r="B2067" s="265">
        <v>46113</v>
      </c>
      <c r="C2067" s="93" t="s">
        <v>2646</v>
      </c>
      <c r="D2067" s="43">
        <v>1</v>
      </c>
      <c r="E2067" s="43" t="s">
        <v>3819</v>
      </c>
      <c r="F2067" s="43">
        <v>1</v>
      </c>
      <c r="G2067" s="104">
        <f t="shared" si="34"/>
        <v>0</v>
      </c>
    </row>
    <row r="2068" spans="2:7">
      <c r="B2068" s="265">
        <v>46121</v>
      </c>
      <c r="C2068" s="341" t="s">
        <v>76</v>
      </c>
      <c r="D2068" s="43">
        <v>80</v>
      </c>
      <c r="E2068" s="43" t="s">
        <v>3828</v>
      </c>
      <c r="F2068" s="43">
        <v>80</v>
      </c>
      <c r="G2068" s="104">
        <f t="shared" si="34"/>
        <v>0</v>
      </c>
    </row>
    <row r="2069" spans="2:7">
      <c r="B2069" s="335">
        <v>46116</v>
      </c>
      <c r="C2069" s="343" t="s">
        <v>2321</v>
      </c>
      <c r="D2069" s="43">
        <v>1</v>
      </c>
      <c r="E2069" s="43" t="s">
        <v>3831</v>
      </c>
      <c r="F2069" s="43">
        <v>1</v>
      </c>
      <c r="G2069" s="104">
        <f t="shared" si="34"/>
        <v>0</v>
      </c>
    </row>
    <row r="2070" spans="2:7">
      <c r="B2070" s="335">
        <v>46108</v>
      </c>
      <c r="C2070" s="92" t="s">
        <v>78</v>
      </c>
      <c r="D2070" s="43">
        <v>50</v>
      </c>
      <c r="E2070" s="345" t="s">
        <v>3815</v>
      </c>
      <c r="F2070" s="43">
        <v>50</v>
      </c>
      <c r="G2070" s="104">
        <f t="shared" si="34"/>
        <v>0</v>
      </c>
    </row>
    <row r="2071" spans="2:7">
      <c r="B2071" s="323">
        <v>46116</v>
      </c>
      <c r="C2071" s="325" t="s">
        <v>977</v>
      </c>
      <c r="D2071" s="322">
        <v>1</v>
      </c>
      <c r="E2071" s="322" t="s">
        <v>388</v>
      </c>
      <c r="F2071" s="322">
        <v>1</v>
      </c>
      <c r="G2071" s="425">
        <f t="shared" si="34"/>
        <v>0</v>
      </c>
    </row>
    <row r="2072" spans="2:7">
      <c r="B2072" s="323">
        <v>46116</v>
      </c>
      <c r="C2072" s="325" t="s">
        <v>806</v>
      </c>
      <c r="D2072" s="322">
        <v>6</v>
      </c>
      <c r="E2072" s="322" t="s">
        <v>388</v>
      </c>
      <c r="F2072" s="322">
        <v>6</v>
      </c>
      <c r="G2072" s="425">
        <f t="shared" si="34"/>
        <v>0</v>
      </c>
    </row>
    <row r="2073" spans="2:7">
      <c r="B2073" s="323">
        <v>46116</v>
      </c>
      <c r="C2073" s="325" t="s">
        <v>807</v>
      </c>
      <c r="D2073" s="322">
        <v>13</v>
      </c>
      <c r="E2073" s="322" t="s">
        <v>388</v>
      </c>
      <c r="F2073" s="322">
        <v>13</v>
      </c>
      <c r="G2073" s="425">
        <f t="shared" si="34"/>
        <v>0</v>
      </c>
    </row>
    <row r="2074" spans="2:7">
      <c r="B2074" s="323">
        <v>46116</v>
      </c>
      <c r="C2074" s="325" t="s">
        <v>383</v>
      </c>
      <c r="D2074" s="322">
        <v>2</v>
      </c>
      <c r="E2074" s="322" t="s">
        <v>388</v>
      </c>
      <c r="F2074" s="322">
        <v>2</v>
      </c>
      <c r="G2074" s="425">
        <f t="shared" si="34"/>
        <v>0</v>
      </c>
    </row>
    <row r="2075" spans="2:7">
      <c r="B2075" s="323">
        <v>46116</v>
      </c>
      <c r="C2075" s="325" t="s">
        <v>154</v>
      </c>
      <c r="D2075" s="322">
        <v>6</v>
      </c>
      <c r="E2075" s="322" t="s">
        <v>388</v>
      </c>
      <c r="F2075" s="322">
        <v>6</v>
      </c>
      <c r="G2075" s="425">
        <f t="shared" si="34"/>
        <v>0</v>
      </c>
    </row>
    <row r="2076" spans="2:7">
      <c r="B2076" s="323">
        <v>46116</v>
      </c>
      <c r="C2076" s="324" t="s">
        <v>410</v>
      </c>
      <c r="D2076" s="322">
        <v>36</v>
      </c>
      <c r="E2076" s="322" t="s">
        <v>388</v>
      </c>
      <c r="F2076" s="322">
        <v>36</v>
      </c>
      <c r="G2076" s="425">
        <f t="shared" si="34"/>
        <v>0</v>
      </c>
    </row>
    <row r="2077" spans="2:7">
      <c r="B2077" s="323">
        <v>46116</v>
      </c>
      <c r="C2077" s="324" t="s">
        <v>410</v>
      </c>
      <c r="D2077" s="322">
        <v>1</v>
      </c>
      <c r="E2077" s="322" t="s">
        <v>388</v>
      </c>
      <c r="F2077" s="322">
        <v>1</v>
      </c>
      <c r="G2077" s="425">
        <f t="shared" si="34"/>
        <v>0</v>
      </c>
    </row>
    <row r="2078" spans="2:7">
      <c r="B2078" s="323">
        <v>46116</v>
      </c>
      <c r="C2078" s="425" t="s">
        <v>375</v>
      </c>
      <c r="D2078" s="322">
        <v>1</v>
      </c>
      <c r="E2078" s="322" t="s">
        <v>388</v>
      </c>
      <c r="F2078" s="322">
        <v>1</v>
      </c>
      <c r="G2078" s="425">
        <f t="shared" si="34"/>
        <v>0</v>
      </c>
    </row>
    <row r="2079" spans="2:7">
      <c r="B2079" s="323">
        <v>46116</v>
      </c>
      <c r="C2079" s="970" t="s">
        <v>76</v>
      </c>
      <c r="D2079" s="322">
        <v>3</v>
      </c>
      <c r="E2079" s="322" t="s">
        <v>388</v>
      </c>
      <c r="F2079" s="322">
        <v>3</v>
      </c>
      <c r="G2079" s="425">
        <f t="shared" si="34"/>
        <v>0</v>
      </c>
    </row>
    <row r="2080" spans="2:7">
      <c r="B2080" s="323">
        <v>46116</v>
      </c>
      <c r="C2080" s="325" t="s">
        <v>3871</v>
      </c>
      <c r="D2080" s="322">
        <v>1</v>
      </c>
      <c r="E2080" s="322" t="s">
        <v>388</v>
      </c>
      <c r="F2080" s="322">
        <v>1</v>
      </c>
      <c r="G2080" s="425">
        <f t="shared" si="34"/>
        <v>0</v>
      </c>
    </row>
    <row r="2081" spans="2:7">
      <c r="B2081" s="323">
        <v>46116</v>
      </c>
      <c r="C2081" s="325" t="s">
        <v>3926</v>
      </c>
      <c r="D2081" s="322">
        <v>1</v>
      </c>
      <c r="E2081" s="322" t="s">
        <v>388</v>
      </c>
      <c r="F2081" s="322">
        <v>1</v>
      </c>
      <c r="G2081" s="425">
        <f t="shared" si="34"/>
        <v>0</v>
      </c>
    </row>
    <row r="2082" spans="2:7">
      <c r="B2082" s="323">
        <v>46116</v>
      </c>
      <c r="C2082" s="325" t="s">
        <v>3915</v>
      </c>
      <c r="D2082" s="322">
        <v>1</v>
      </c>
      <c r="E2082" s="322" t="s">
        <v>388</v>
      </c>
      <c r="F2082" s="322">
        <v>1</v>
      </c>
      <c r="G2082" s="425">
        <f t="shared" si="34"/>
        <v>0</v>
      </c>
    </row>
    <row r="2083" spans="2:7">
      <c r="B2083" s="323">
        <v>46116</v>
      </c>
      <c r="C2083" s="325" t="s">
        <v>3927</v>
      </c>
      <c r="D2083" s="322">
        <v>3</v>
      </c>
      <c r="E2083" s="322" t="s">
        <v>388</v>
      </c>
      <c r="F2083" s="322">
        <v>3</v>
      </c>
      <c r="G2083" s="425">
        <f t="shared" si="34"/>
        <v>0</v>
      </c>
    </row>
    <row r="2084" spans="2:7">
      <c r="B2084" s="323">
        <v>46113</v>
      </c>
      <c r="C2084" s="325" t="s">
        <v>1409</v>
      </c>
      <c r="D2084" s="322">
        <v>42</v>
      </c>
      <c r="E2084" s="322" t="s">
        <v>388</v>
      </c>
      <c r="F2084" s="322">
        <v>42</v>
      </c>
      <c r="G2084" s="425">
        <f t="shared" si="34"/>
        <v>0</v>
      </c>
    </row>
    <row r="2085" spans="2:7">
      <c r="B2085" s="323">
        <v>46113</v>
      </c>
      <c r="C2085" s="324" t="s">
        <v>410</v>
      </c>
      <c r="D2085" s="322">
        <v>3</v>
      </c>
      <c r="E2085" s="322" t="s">
        <v>388</v>
      </c>
      <c r="F2085" s="322">
        <v>3</v>
      </c>
      <c r="G2085" s="425">
        <f t="shared" si="34"/>
        <v>0</v>
      </c>
    </row>
    <row r="2086" spans="2:7">
      <c r="B2086" s="323">
        <v>46113</v>
      </c>
      <c r="C2086" s="325" t="s">
        <v>1490</v>
      </c>
      <c r="D2086" s="322">
        <v>6</v>
      </c>
      <c r="E2086" s="322" t="s">
        <v>388</v>
      </c>
      <c r="F2086" s="322">
        <v>6</v>
      </c>
      <c r="G2086" s="425">
        <f t="shared" si="34"/>
        <v>0</v>
      </c>
    </row>
    <row r="2087" spans="2:7">
      <c r="B2087" s="323">
        <v>46113</v>
      </c>
      <c r="C2087" s="325" t="s">
        <v>1491</v>
      </c>
      <c r="D2087" s="322">
        <v>8</v>
      </c>
      <c r="E2087" s="322" t="s">
        <v>388</v>
      </c>
      <c r="F2087" s="322">
        <v>8</v>
      </c>
      <c r="G2087" s="425">
        <f t="shared" si="34"/>
        <v>0</v>
      </c>
    </row>
    <row r="2088" spans="2:7">
      <c r="B2088" s="323">
        <v>46113</v>
      </c>
      <c r="C2088" s="325" t="s">
        <v>1491</v>
      </c>
      <c r="D2088" s="322">
        <v>1</v>
      </c>
      <c r="E2088" s="322" t="s">
        <v>388</v>
      </c>
      <c r="F2088" s="322">
        <v>1</v>
      </c>
      <c r="G2088" s="425">
        <f t="shared" si="34"/>
        <v>0</v>
      </c>
    </row>
    <row r="2089" spans="2:7">
      <c r="B2089" s="323">
        <v>46113</v>
      </c>
      <c r="C2089" s="325" t="s">
        <v>1096</v>
      </c>
      <c r="D2089" s="322">
        <v>5</v>
      </c>
      <c r="E2089" s="322" t="s">
        <v>388</v>
      </c>
      <c r="F2089" s="322">
        <v>5</v>
      </c>
      <c r="G2089" s="425">
        <f t="shared" si="34"/>
        <v>0</v>
      </c>
    </row>
    <row r="2090" spans="2:7">
      <c r="B2090" s="323">
        <v>46113</v>
      </c>
      <c r="C2090" s="325" t="s">
        <v>1312</v>
      </c>
      <c r="D2090" s="322">
        <v>4</v>
      </c>
      <c r="E2090" s="322" t="s">
        <v>388</v>
      </c>
      <c r="F2090" s="322">
        <v>4</v>
      </c>
      <c r="G2090" s="425">
        <f t="shared" si="34"/>
        <v>0</v>
      </c>
    </row>
    <row r="2091" spans="2:7">
      <c r="B2091" s="323">
        <v>46113</v>
      </c>
      <c r="C2091" s="325" t="s">
        <v>136</v>
      </c>
      <c r="D2091" s="322">
        <v>3</v>
      </c>
      <c r="E2091" s="322" t="s">
        <v>388</v>
      </c>
      <c r="F2091" s="322">
        <v>3</v>
      </c>
      <c r="G2091" s="425">
        <f t="shared" si="34"/>
        <v>0</v>
      </c>
    </row>
    <row r="2092" spans="2:7">
      <c r="B2092" s="323">
        <v>46113</v>
      </c>
      <c r="C2092" s="325" t="s">
        <v>1291</v>
      </c>
      <c r="D2092" s="322">
        <v>5</v>
      </c>
      <c r="E2092" s="322" t="s">
        <v>388</v>
      </c>
      <c r="F2092" s="322">
        <v>5</v>
      </c>
      <c r="G2092" s="425">
        <f t="shared" si="34"/>
        <v>0</v>
      </c>
    </row>
    <row r="2093" spans="2:7">
      <c r="B2093" s="323">
        <v>46113</v>
      </c>
      <c r="C2093" s="324" t="s">
        <v>1387</v>
      </c>
      <c r="D2093" s="322">
        <v>4</v>
      </c>
      <c r="E2093" s="322" t="s">
        <v>388</v>
      </c>
      <c r="F2093" s="322">
        <v>4</v>
      </c>
      <c r="G2093" s="425">
        <f t="shared" si="34"/>
        <v>0</v>
      </c>
    </row>
    <row r="2094" spans="2:7">
      <c r="B2094" s="323">
        <v>46113</v>
      </c>
      <c r="C2094" s="325" t="s">
        <v>1334</v>
      </c>
      <c r="D2094" s="322">
        <v>1</v>
      </c>
      <c r="E2094" s="322" t="s">
        <v>388</v>
      </c>
      <c r="F2094" s="322">
        <v>1</v>
      </c>
      <c r="G2094" s="425">
        <f t="shared" si="34"/>
        <v>0</v>
      </c>
    </row>
    <row r="2095" spans="2:7">
      <c r="B2095" s="323">
        <v>46113</v>
      </c>
      <c r="C2095" s="325" t="s">
        <v>1259</v>
      </c>
      <c r="D2095" s="322">
        <v>3</v>
      </c>
      <c r="E2095" s="322" t="s">
        <v>388</v>
      </c>
      <c r="F2095" s="322">
        <v>3</v>
      </c>
      <c r="G2095" s="425">
        <f t="shared" si="34"/>
        <v>0</v>
      </c>
    </row>
    <row r="2096" spans="2:7">
      <c r="B2096" s="323">
        <v>46113</v>
      </c>
      <c r="C2096" s="325" t="s">
        <v>1095</v>
      </c>
      <c r="D2096" s="322">
        <v>6</v>
      </c>
      <c r="E2096" s="322" t="s">
        <v>388</v>
      </c>
      <c r="F2096" s="322">
        <v>6</v>
      </c>
      <c r="G2096" s="425">
        <f t="shared" si="34"/>
        <v>0</v>
      </c>
    </row>
    <row r="2097" spans="2:7">
      <c r="B2097" s="323">
        <v>46113</v>
      </c>
      <c r="C2097" s="325" t="s">
        <v>2032</v>
      </c>
      <c r="D2097" s="322">
        <v>4</v>
      </c>
      <c r="E2097" s="322" t="s">
        <v>388</v>
      </c>
      <c r="F2097" s="322">
        <v>4</v>
      </c>
      <c r="G2097" s="425">
        <f t="shared" si="34"/>
        <v>0</v>
      </c>
    </row>
    <row r="2098" spans="2:7">
      <c r="B2098" s="323">
        <v>46113</v>
      </c>
      <c r="C2098" s="425" t="s">
        <v>1716</v>
      </c>
      <c r="D2098" s="322">
        <v>3</v>
      </c>
      <c r="E2098" s="322" t="s">
        <v>388</v>
      </c>
      <c r="F2098" s="322">
        <v>3</v>
      </c>
      <c r="G2098" s="425">
        <f t="shared" si="34"/>
        <v>0</v>
      </c>
    </row>
    <row r="2099" spans="2:7">
      <c r="B2099" s="323">
        <v>46113</v>
      </c>
      <c r="C2099" s="325" t="s">
        <v>3090</v>
      </c>
      <c r="D2099" s="322">
        <v>1</v>
      </c>
      <c r="E2099" s="322" t="s">
        <v>388</v>
      </c>
      <c r="F2099" s="322">
        <v>1</v>
      </c>
      <c r="G2099" s="425">
        <f t="shared" si="34"/>
        <v>0</v>
      </c>
    </row>
    <row r="2100" spans="2:7">
      <c r="B2100" s="323">
        <v>46113</v>
      </c>
      <c r="C2100" s="325" t="s">
        <v>2719</v>
      </c>
      <c r="D2100" s="322">
        <v>1</v>
      </c>
      <c r="E2100" s="322" t="s">
        <v>388</v>
      </c>
      <c r="F2100" s="322">
        <v>1</v>
      </c>
      <c r="G2100" s="425">
        <f t="shared" si="34"/>
        <v>0</v>
      </c>
    </row>
    <row r="2101" spans="2:7">
      <c r="B2101" s="323">
        <v>46113</v>
      </c>
      <c r="C2101" s="325" t="s">
        <v>1296</v>
      </c>
      <c r="D2101" s="322">
        <v>1</v>
      </c>
      <c r="E2101" s="322" t="s">
        <v>388</v>
      </c>
      <c r="F2101" s="322">
        <v>1</v>
      </c>
      <c r="G2101" s="425">
        <f t="shared" si="34"/>
        <v>0</v>
      </c>
    </row>
    <row r="2102" spans="2:7">
      <c r="B2102" s="323">
        <v>46113</v>
      </c>
      <c r="C2102" s="325" t="s">
        <v>4048</v>
      </c>
      <c r="D2102" s="322">
        <v>1</v>
      </c>
      <c r="E2102" s="322" t="s">
        <v>388</v>
      </c>
      <c r="F2102" s="322">
        <v>1</v>
      </c>
      <c r="G2102" s="425">
        <f t="shared" si="34"/>
        <v>0</v>
      </c>
    </row>
    <row r="2103" spans="2:7">
      <c r="B2103" s="323">
        <v>46113</v>
      </c>
      <c r="C2103" s="325" t="s">
        <v>4049</v>
      </c>
      <c r="D2103" s="322">
        <v>1</v>
      </c>
      <c r="E2103" s="322" t="s">
        <v>388</v>
      </c>
      <c r="F2103" s="322">
        <v>1</v>
      </c>
      <c r="G2103" s="425">
        <f t="shared" si="34"/>
        <v>0</v>
      </c>
    </row>
    <row r="2104" spans="2:7">
      <c r="B2104" s="323">
        <v>46113</v>
      </c>
      <c r="C2104" s="325" t="s">
        <v>1246</v>
      </c>
      <c r="D2104" s="322">
        <v>37</v>
      </c>
      <c r="E2104" s="322" t="s">
        <v>388</v>
      </c>
      <c r="F2104" s="322">
        <v>37</v>
      </c>
      <c r="G2104" s="425">
        <f t="shared" si="34"/>
        <v>0</v>
      </c>
    </row>
    <row r="2105" spans="2:7">
      <c r="B2105" s="323">
        <v>46113</v>
      </c>
      <c r="C2105" s="325" t="s">
        <v>1246</v>
      </c>
      <c r="D2105" s="322">
        <v>22</v>
      </c>
      <c r="E2105" s="322" t="s">
        <v>388</v>
      </c>
      <c r="F2105" s="322">
        <v>22</v>
      </c>
      <c r="G2105" s="425">
        <f t="shared" si="34"/>
        <v>0</v>
      </c>
    </row>
    <row r="2106" spans="2:7">
      <c r="B2106" s="323">
        <v>46113</v>
      </c>
      <c r="C2106" s="325" t="s">
        <v>1246</v>
      </c>
      <c r="D2106" s="322">
        <v>17</v>
      </c>
      <c r="E2106" s="322" t="s">
        <v>388</v>
      </c>
      <c r="F2106" s="322">
        <v>17</v>
      </c>
      <c r="G2106" s="425">
        <f t="shared" si="34"/>
        <v>0</v>
      </c>
    </row>
    <row r="2107" spans="2:7">
      <c r="B2107" s="323">
        <v>46113</v>
      </c>
      <c r="C2107" s="325" t="s">
        <v>1246</v>
      </c>
      <c r="D2107" s="322">
        <v>4</v>
      </c>
      <c r="E2107" s="322" t="s">
        <v>388</v>
      </c>
      <c r="F2107" s="322">
        <v>4</v>
      </c>
      <c r="G2107" s="425">
        <f t="shared" si="34"/>
        <v>0</v>
      </c>
    </row>
    <row r="2108" spans="2:7">
      <c r="B2108" s="323">
        <v>46113</v>
      </c>
      <c r="C2108" s="325" t="s">
        <v>1271</v>
      </c>
      <c r="D2108" s="322">
        <v>11</v>
      </c>
      <c r="E2108" s="322" t="s">
        <v>388</v>
      </c>
      <c r="F2108" s="322">
        <v>11</v>
      </c>
      <c r="G2108" s="425">
        <f t="shared" si="34"/>
        <v>0</v>
      </c>
    </row>
    <row r="2109" spans="2:7">
      <c r="B2109" s="323">
        <v>46113</v>
      </c>
      <c r="C2109" s="325" t="s">
        <v>1271</v>
      </c>
      <c r="D2109" s="322">
        <v>4</v>
      </c>
      <c r="E2109" s="322" t="s">
        <v>388</v>
      </c>
      <c r="F2109" s="322">
        <v>4</v>
      </c>
      <c r="G2109" s="425">
        <f t="shared" si="34"/>
        <v>0</v>
      </c>
    </row>
    <row r="2110" spans="2:7">
      <c r="B2110" s="323">
        <v>46113</v>
      </c>
      <c r="C2110" s="325" t="s">
        <v>1326</v>
      </c>
      <c r="D2110" s="322">
        <v>7</v>
      </c>
      <c r="E2110" s="322" t="s">
        <v>388</v>
      </c>
      <c r="F2110" s="322">
        <v>7</v>
      </c>
      <c r="G2110" s="425">
        <f t="shared" si="34"/>
        <v>0</v>
      </c>
    </row>
    <row r="2111" spans="2:7">
      <c r="B2111" s="323">
        <v>46113</v>
      </c>
      <c r="C2111" s="325" t="s">
        <v>1246</v>
      </c>
      <c r="D2111" s="322">
        <v>4</v>
      </c>
      <c r="E2111" s="322" t="s">
        <v>388</v>
      </c>
      <c r="F2111" s="322">
        <v>4</v>
      </c>
      <c r="G2111" s="425">
        <f t="shared" si="34"/>
        <v>0</v>
      </c>
    </row>
    <row r="2112" spans="2:7">
      <c r="B2112" s="323">
        <v>46113</v>
      </c>
      <c r="C2112" s="325" t="s">
        <v>1246</v>
      </c>
      <c r="D2112" s="322">
        <v>8</v>
      </c>
      <c r="E2112" s="322" t="s">
        <v>388</v>
      </c>
      <c r="F2112" s="322">
        <v>8</v>
      </c>
      <c r="G2112" s="425">
        <f t="shared" si="34"/>
        <v>0</v>
      </c>
    </row>
    <row r="2113" spans="2:7">
      <c r="B2113" s="323">
        <v>46113</v>
      </c>
      <c r="C2113" s="324" t="s">
        <v>134</v>
      </c>
      <c r="D2113" s="322">
        <v>8</v>
      </c>
      <c r="E2113" s="322" t="s">
        <v>388</v>
      </c>
      <c r="F2113" s="322">
        <v>8</v>
      </c>
      <c r="G2113" s="425">
        <f t="shared" si="34"/>
        <v>0</v>
      </c>
    </row>
    <row r="2114" spans="2:7">
      <c r="B2114" s="323">
        <v>46113</v>
      </c>
      <c r="C2114" s="325" t="s">
        <v>4079</v>
      </c>
      <c r="D2114" s="322">
        <v>3</v>
      </c>
      <c r="E2114" s="322" t="s">
        <v>388</v>
      </c>
      <c r="F2114" s="322">
        <v>3</v>
      </c>
      <c r="G2114" s="425">
        <f t="shared" si="34"/>
        <v>0</v>
      </c>
    </row>
    <row r="2115" spans="2:7">
      <c r="B2115" s="323">
        <v>46113</v>
      </c>
      <c r="C2115" s="325" t="s">
        <v>1249</v>
      </c>
      <c r="D2115" s="322">
        <v>2</v>
      </c>
      <c r="E2115" s="322" t="s">
        <v>388</v>
      </c>
      <c r="F2115" s="322">
        <v>2</v>
      </c>
      <c r="G2115" s="425">
        <f t="shared" si="34"/>
        <v>0</v>
      </c>
    </row>
    <row r="2116" spans="2:7">
      <c r="B2116" s="323">
        <v>46113</v>
      </c>
      <c r="C2116" s="325" t="s">
        <v>1301</v>
      </c>
      <c r="D2116" s="322">
        <v>2</v>
      </c>
      <c r="E2116" s="322" t="s">
        <v>388</v>
      </c>
      <c r="F2116" s="322">
        <v>2</v>
      </c>
      <c r="G2116" s="425">
        <f t="shared" si="34"/>
        <v>0</v>
      </c>
    </row>
    <row r="2117" spans="2:7">
      <c r="B2117" s="323">
        <v>46113</v>
      </c>
      <c r="C2117" s="325" t="s">
        <v>1246</v>
      </c>
      <c r="D2117" s="322">
        <v>1</v>
      </c>
      <c r="E2117" s="322" t="s">
        <v>388</v>
      </c>
      <c r="F2117" s="322">
        <v>1</v>
      </c>
      <c r="G2117" s="425">
        <f t="shared" si="34"/>
        <v>0</v>
      </c>
    </row>
    <row r="2118" spans="2:7">
      <c r="B2118" s="323">
        <v>46113</v>
      </c>
      <c r="C2118" s="325" t="s">
        <v>1249</v>
      </c>
      <c r="D2118" s="322">
        <v>1</v>
      </c>
      <c r="E2118" s="322" t="s">
        <v>388</v>
      </c>
      <c r="F2118" s="322">
        <v>1</v>
      </c>
      <c r="G2118" s="425">
        <f t="shared" si="34"/>
        <v>0</v>
      </c>
    </row>
    <row r="2119" spans="2:7">
      <c r="B2119" s="323">
        <v>46113</v>
      </c>
      <c r="C2119" s="325" t="s">
        <v>1271</v>
      </c>
      <c r="D2119" s="322">
        <v>1</v>
      </c>
      <c r="E2119" s="322" t="s">
        <v>388</v>
      </c>
      <c r="F2119" s="322">
        <v>1</v>
      </c>
      <c r="G2119" s="425">
        <f t="shared" si="34"/>
        <v>0</v>
      </c>
    </row>
    <row r="2120" spans="2:7">
      <c r="B2120" s="323">
        <v>46113</v>
      </c>
      <c r="C2120" s="325" t="s">
        <v>1271</v>
      </c>
      <c r="D2120" s="322">
        <v>1</v>
      </c>
      <c r="E2120" s="322" t="s">
        <v>388</v>
      </c>
      <c r="F2120" s="322">
        <v>1</v>
      </c>
      <c r="G2120" s="425">
        <f t="shared" si="34"/>
        <v>0</v>
      </c>
    </row>
    <row r="2121" spans="2:7">
      <c r="B2121" s="323">
        <v>46113</v>
      </c>
      <c r="C2121" s="325" t="s">
        <v>1327</v>
      </c>
      <c r="D2121" s="322">
        <v>1</v>
      </c>
      <c r="E2121" s="322" t="s">
        <v>388</v>
      </c>
      <c r="F2121" s="322">
        <v>1</v>
      </c>
      <c r="G2121" s="425">
        <f t="shared" si="34"/>
        <v>0</v>
      </c>
    </row>
    <row r="2122" spans="2:7">
      <c r="B2122" s="323">
        <v>46113</v>
      </c>
      <c r="C2122" s="325" t="s">
        <v>169</v>
      </c>
      <c r="D2122" s="322">
        <v>1</v>
      </c>
      <c r="E2122" s="322" t="s">
        <v>388</v>
      </c>
      <c r="F2122" s="322">
        <v>1</v>
      </c>
      <c r="G2122" s="425">
        <f t="shared" si="34"/>
        <v>0</v>
      </c>
    </row>
    <row r="2123" spans="2:7">
      <c r="B2123" s="323">
        <v>46113</v>
      </c>
      <c r="C2123" s="325" t="s">
        <v>4080</v>
      </c>
      <c r="D2123" s="322">
        <v>2</v>
      </c>
      <c r="E2123" s="322" t="s">
        <v>388</v>
      </c>
      <c r="F2123" s="322">
        <v>2</v>
      </c>
      <c r="G2123" s="425">
        <f t="shared" si="34"/>
        <v>0</v>
      </c>
    </row>
    <row r="2124" spans="2:7">
      <c r="B2124" s="323">
        <v>46113</v>
      </c>
      <c r="C2124" s="325" t="s">
        <v>4081</v>
      </c>
      <c r="D2124" s="322">
        <v>1</v>
      </c>
      <c r="E2124" s="322" t="s">
        <v>388</v>
      </c>
      <c r="F2124" s="322">
        <v>1</v>
      </c>
      <c r="G2124" s="425">
        <f t="shared" si="34"/>
        <v>0</v>
      </c>
    </row>
    <row r="2125" spans="2:7">
      <c r="B2125" s="323">
        <v>46113</v>
      </c>
      <c r="C2125" s="325" t="s">
        <v>1434</v>
      </c>
      <c r="D2125" s="322">
        <v>1</v>
      </c>
      <c r="E2125" s="322" t="s">
        <v>388</v>
      </c>
      <c r="F2125" s="322">
        <v>1</v>
      </c>
      <c r="G2125" s="425">
        <f t="shared" si="34"/>
        <v>0</v>
      </c>
    </row>
    <row r="2126" spans="2:7">
      <c r="B2126" s="346">
        <v>46116</v>
      </c>
      <c r="C2126" s="351" t="s">
        <v>932</v>
      </c>
      <c r="D2126" s="348">
        <v>4</v>
      </c>
      <c r="E2126" s="348" t="s">
        <v>2093</v>
      </c>
      <c r="F2126" s="348">
        <v>4</v>
      </c>
      <c r="G2126" s="351">
        <f t="shared" si="34"/>
        <v>0</v>
      </c>
    </row>
    <row r="2127" spans="2:7">
      <c r="B2127" s="346">
        <v>46116</v>
      </c>
      <c r="C2127" s="349" t="s">
        <v>1271</v>
      </c>
      <c r="D2127" s="348">
        <v>1</v>
      </c>
      <c r="E2127" s="348" t="s">
        <v>2093</v>
      </c>
      <c r="F2127" s="348">
        <v>1</v>
      </c>
      <c r="G2127" s="351">
        <f t="shared" si="34"/>
        <v>0</v>
      </c>
    </row>
    <row r="2128" spans="2:7">
      <c r="B2128" s="346">
        <v>46116</v>
      </c>
      <c r="C2128" s="349" t="s">
        <v>1271</v>
      </c>
      <c r="D2128" s="348">
        <v>2</v>
      </c>
      <c r="E2128" s="348" t="s">
        <v>2093</v>
      </c>
      <c r="F2128" s="348">
        <v>2</v>
      </c>
      <c r="G2128" s="351">
        <f t="shared" si="34"/>
        <v>0</v>
      </c>
    </row>
    <row r="2129" spans="2:8">
      <c r="B2129" s="346">
        <v>46116</v>
      </c>
      <c r="C2129" s="349" t="s">
        <v>1246</v>
      </c>
      <c r="D2129" s="348">
        <v>1</v>
      </c>
      <c r="E2129" s="348" t="s">
        <v>2093</v>
      </c>
      <c r="F2129" s="348">
        <v>1</v>
      </c>
      <c r="G2129" s="351">
        <f t="shared" ref="G2129:G2192" si="35">D2129-F2129</f>
        <v>0</v>
      </c>
    </row>
    <row r="2130" spans="2:8">
      <c r="B2130" s="346">
        <v>46116</v>
      </c>
      <c r="C2130" s="349" t="s">
        <v>1152</v>
      </c>
      <c r="D2130" s="348">
        <v>2</v>
      </c>
      <c r="E2130" s="348" t="s">
        <v>2093</v>
      </c>
      <c r="F2130" s="348">
        <v>2</v>
      </c>
      <c r="G2130" s="351">
        <f t="shared" si="35"/>
        <v>0</v>
      </c>
    </row>
    <row r="2131" spans="2:8">
      <c r="B2131" s="346">
        <v>46116</v>
      </c>
      <c r="C2131" s="349" t="s">
        <v>1568</v>
      </c>
      <c r="D2131" s="348">
        <v>2</v>
      </c>
      <c r="E2131" s="348" t="s">
        <v>2093</v>
      </c>
      <c r="F2131" s="348">
        <v>2</v>
      </c>
      <c r="G2131" s="351">
        <f t="shared" si="35"/>
        <v>0</v>
      </c>
    </row>
    <row r="2132" spans="2:8">
      <c r="B2132" s="346">
        <v>46116</v>
      </c>
      <c r="C2132" s="349" t="s">
        <v>1291</v>
      </c>
      <c r="D2132" s="348">
        <v>3</v>
      </c>
      <c r="E2132" s="348" t="s">
        <v>2093</v>
      </c>
      <c r="F2132" s="348">
        <v>3</v>
      </c>
      <c r="G2132" s="351">
        <f t="shared" si="35"/>
        <v>0</v>
      </c>
    </row>
    <row r="2133" spans="2:8">
      <c r="B2133" s="335">
        <v>46116</v>
      </c>
      <c r="C2133" s="341" t="s">
        <v>76</v>
      </c>
      <c r="D2133" s="345">
        <v>60</v>
      </c>
      <c r="E2133" s="345" t="s">
        <v>4092</v>
      </c>
      <c r="F2133" s="345">
        <v>60</v>
      </c>
      <c r="G2133" s="344">
        <f t="shared" si="35"/>
        <v>0</v>
      </c>
    </row>
    <row r="2134" spans="2:8">
      <c r="B2134" s="346">
        <v>46127</v>
      </c>
      <c r="C2134" s="349" t="s">
        <v>1246</v>
      </c>
      <c r="D2134" s="348">
        <v>6</v>
      </c>
      <c r="E2134" s="348" t="s">
        <v>2093</v>
      </c>
      <c r="F2134" s="348">
        <v>6</v>
      </c>
      <c r="G2134" s="351">
        <f t="shared" si="35"/>
        <v>0</v>
      </c>
      <c r="H2134" s="1056" t="s">
        <v>4110</v>
      </c>
    </row>
    <row r="2135" spans="2:8">
      <c r="B2135" s="346">
        <v>46127</v>
      </c>
      <c r="C2135" s="349" t="s">
        <v>1246</v>
      </c>
      <c r="D2135" s="348">
        <v>1</v>
      </c>
      <c r="E2135" s="348" t="s">
        <v>2093</v>
      </c>
      <c r="F2135" s="348">
        <v>1</v>
      </c>
      <c r="G2135" s="351">
        <f t="shared" si="35"/>
        <v>0</v>
      </c>
    </row>
    <row r="2136" spans="2:8">
      <c r="B2136" s="346">
        <v>46127</v>
      </c>
      <c r="C2136" s="349" t="s">
        <v>1246</v>
      </c>
      <c r="D2136" s="348">
        <v>1</v>
      </c>
      <c r="E2136" s="348" t="s">
        <v>2093</v>
      </c>
      <c r="F2136" s="348">
        <v>1</v>
      </c>
      <c r="G2136" s="351">
        <f t="shared" si="35"/>
        <v>0</v>
      </c>
    </row>
    <row r="2137" spans="2:8">
      <c r="B2137" s="346">
        <v>46127</v>
      </c>
      <c r="C2137" s="349" t="s">
        <v>1246</v>
      </c>
      <c r="D2137" s="348">
        <v>1</v>
      </c>
      <c r="E2137" s="348" t="s">
        <v>2093</v>
      </c>
      <c r="F2137" s="348">
        <v>1</v>
      </c>
      <c r="G2137" s="351">
        <f t="shared" si="35"/>
        <v>0</v>
      </c>
    </row>
    <row r="2138" spans="2:8">
      <c r="B2138" s="346">
        <v>46127</v>
      </c>
      <c r="C2138" s="349" t="s">
        <v>1271</v>
      </c>
      <c r="D2138" s="348">
        <v>1</v>
      </c>
      <c r="E2138" s="348" t="s">
        <v>2093</v>
      </c>
      <c r="F2138" s="348">
        <v>1</v>
      </c>
      <c r="G2138" s="351">
        <f t="shared" si="35"/>
        <v>0</v>
      </c>
    </row>
    <row r="2139" spans="2:8">
      <c r="B2139" s="346">
        <v>46127</v>
      </c>
      <c r="C2139" s="349" t="s">
        <v>1271</v>
      </c>
      <c r="D2139" s="348">
        <v>1</v>
      </c>
      <c r="E2139" s="348" t="s">
        <v>2093</v>
      </c>
      <c r="F2139" s="348">
        <v>1</v>
      </c>
      <c r="G2139" s="351">
        <f t="shared" si="35"/>
        <v>0</v>
      </c>
    </row>
    <row r="2140" spans="2:8">
      <c r="B2140" s="346">
        <v>46127</v>
      </c>
      <c r="C2140" s="349" t="s">
        <v>1271</v>
      </c>
      <c r="D2140" s="348">
        <v>1</v>
      </c>
      <c r="E2140" s="348" t="s">
        <v>2093</v>
      </c>
      <c r="F2140" s="348">
        <v>1</v>
      </c>
      <c r="G2140" s="351">
        <f t="shared" si="35"/>
        <v>0</v>
      </c>
    </row>
    <row r="2141" spans="2:8">
      <c r="B2141" s="346">
        <v>46127</v>
      </c>
      <c r="C2141" s="349" t="s">
        <v>1568</v>
      </c>
      <c r="D2141" s="348">
        <v>2</v>
      </c>
      <c r="E2141" s="348" t="s">
        <v>2093</v>
      </c>
      <c r="F2141" s="348">
        <v>2</v>
      </c>
      <c r="G2141" s="351">
        <f t="shared" si="35"/>
        <v>0</v>
      </c>
    </row>
    <row r="2142" spans="2:8">
      <c r="B2142" s="346">
        <v>46127</v>
      </c>
      <c r="C2142" s="349" t="s">
        <v>4108</v>
      </c>
      <c r="D2142" s="348">
        <v>1</v>
      </c>
      <c r="E2142" s="348" t="s">
        <v>2093</v>
      </c>
      <c r="F2142" s="348">
        <v>1</v>
      </c>
      <c r="G2142" s="351">
        <f t="shared" si="35"/>
        <v>0</v>
      </c>
    </row>
    <row r="2143" spans="2:8">
      <c r="B2143" s="346">
        <v>46127</v>
      </c>
      <c r="C2143" s="349" t="s">
        <v>1291</v>
      </c>
      <c r="D2143" s="348">
        <v>7</v>
      </c>
      <c r="E2143" s="348" t="s">
        <v>2093</v>
      </c>
      <c r="F2143" s="348">
        <v>7</v>
      </c>
      <c r="G2143" s="351">
        <f t="shared" si="35"/>
        <v>0</v>
      </c>
    </row>
    <row r="2144" spans="2:8">
      <c r="B2144" s="346">
        <v>46127</v>
      </c>
      <c r="C2144" s="349" t="s">
        <v>4109</v>
      </c>
      <c r="D2144" s="348">
        <v>4</v>
      </c>
      <c r="E2144" s="348" t="s">
        <v>2093</v>
      </c>
      <c r="F2144" s="348">
        <v>4</v>
      </c>
      <c r="G2144" s="351">
        <f t="shared" si="35"/>
        <v>0</v>
      </c>
    </row>
    <row r="2145" spans="2:8">
      <c r="B2145" s="265">
        <v>46129</v>
      </c>
      <c r="C2145" s="343" t="s">
        <v>1246</v>
      </c>
      <c r="D2145" s="43">
        <v>1</v>
      </c>
      <c r="E2145" s="43" t="s">
        <v>4122</v>
      </c>
      <c r="F2145" s="43">
        <v>1</v>
      </c>
      <c r="G2145" s="104">
        <f t="shared" si="35"/>
        <v>0</v>
      </c>
    </row>
    <row r="2146" spans="2:8">
      <c r="B2146" s="323">
        <v>46132</v>
      </c>
      <c r="C2146" s="324" t="s">
        <v>960</v>
      </c>
      <c r="D2146" s="322">
        <v>115</v>
      </c>
      <c r="E2146" s="322" t="s">
        <v>388</v>
      </c>
      <c r="F2146" s="322">
        <v>115</v>
      </c>
      <c r="G2146" s="425">
        <f t="shared" si="35"/>
        <v>0</v>
      </c>
      <c r="H2146" s="1056" t="s">
        <v>4287</v>
      </c>
    </row>
    <row r="2147" spans="2:8">
      <c r="B2147" s="323">
        <v>46132</v>
      </c>
      <c r="C2147" s="325" t="s">
        <v>975</v>
      </c>
      <c r="D2147" s="322">
        <v>2</v>
      </c>
      <c r="E2147" s="322" t="s">
        <v>388</v>
      </c>
      <c r="F2147" s="322">
        <v>2</v>
      </c>
      <c r="G2147" s="425">
        <f t="shared" si="35"/>
        <v>0</v>
      </c>
    </row>
    <row r="2148" spans="2:8">
      <c r="B2148" s="323">
        <v>46132</v>
      </c>
      <c r="C2148" s="325" t="s">
        <v>808</v>
      </c>
      <c r="D2148" s="322">
        <v>4</v>
      </c>
      <c r="E2148" s="322" t="s">
        <v>388</v>
      </c>
      <c r="F2148" s="322">
        <v>4</v>
      </c>
      <c r="G2148" s="425">
        <f t="shared" si="35"/>
        <v>0</v>
      </c>
    </row>
    <row r="2149" spans="2:8">
      <c r="B2149" s="323">
        <v>46132</v>
      </c>
      <c r="C2149" s="325" t="s">
        <v>2625</v>
      </c>
      <c r="D2149" s="322">
        <v>1</v>
      </c>
      <c r="E2149" s="322" t="s">
        <v>388</v>
      </c>
      <c r="F2149" s="322">
        <v>1</v>
      </c>
      <c r="G2149" s="425">
        <f t="shared" si="35"/>
        <v>0</v>
      </c>
    </row>
    <row r="2150" spans="2:8">
      <c r="B2150" s="323">
        <v>46132</v>
      </c>
      <c r="C2150" s="325" t="s">
        <v>4285</v>
      </c>
      <c r="D2150" s="322">
        <v>3</v>
      </c>
      <c r="E2150" s="322" t="s">
        <v>388</v>
      </c>
      <c r="F2150" s="322">
        <v>3</v>
      </c>
      <c r="G2150" s="425">
        <f t="shared" si="35"/>
        <v>0</v>
      </c>
    </row>
    <row r="2151" spans="2:8">
      <c r="B2151" s="323">
        <v>46132</v>
      </c>
      <c r="C2151" s="325" t="s">
        <v>4286</v>
      </c>
      <c r="D2151" s="322">
        <v>2</v>
      </c>
      <c r="E2151" s="322" t="s">
        <v>388</v>
      </c>
      <c r="F2151" s="322">
        <v>2</v>
      </c>
      <c r="G2151" s="425">
        <f t="shared" si="35"/>
        <v>0</v>
      </c>
    </row>
    <row r="2152" spans="2:8">
      <c r="B2152" s="323">
        <v>46132</v>
      </c>
      <c r="C2152" s="325" t="s">
        <v>975</v>
      </c>
      <c r="D2152" s="322">
        <v>1</v>
      </c>
      <c r="E2152" s="322" t="s">
        <v>388</v>
      </c>
      <c r="F2152" s="322">
        <v>1</v>
      </c>
      <c r="G2152" s="425">
        <f t="shared" si="35"/>
        <v>0</v>
      </c>
    </row>
    <row r="2153" spans="2:8">
      <c r="B2153" s="323">
        <v>46132</v>
      </c>
      <c r="C2153" s="324" t="s">
        <v>131</v>
      </c>
      <c r="D2153" s="322">
        <v>1</v>
      </c>
      <c r="E2153" s="322" t="s">
        <v>388</v>
      </c>
      <c r="F2153" s="322">
        <v>1</v>
      </c>
      <c r="G2153" s="425">
        <f t="shared" si="35"/>
        <v>0</v>
      </c>
    </row>
    <row r="2154" spans="2:8">
      <c r="B2154" s="335">
        <v>46132</v>
      </c>
      <c r="C2154" s="343" t="s">
        <v>935</v>
      </c>
      <c r="D2154" s="43">
        <v>1</v>
      </c>
      <c r="E2154" s="43" t="s">
        <v>4288</v>
      </c>
      <c r="F2154" s="43">
        <v>1</v>
      </c>
      <c r="G2154" s="104">
        <f t="shared" si="35"/>
        <v>0</v>
      </c>
    </row>
    <row r="2155" spans="2:8">
      <c r="B2155" s="335">
        <v>46132</v>
      </c>
      <c r="C2155" s="84" t="s">
        <v>410</v>
      </c>
      <c r="D2155" s="43">
        <v>1</v>
      </c>
      <c r="E2155" s="43" t="s">
        <v>4288</v>
      </c>
      <c r="F2155" s="43">
        <v>1</v>
      </c>
      <c r="G2155" s="104">
        <f t="shared" si="35"/>
        <v>0</v>
      </c>
    </row>
    <row r="2156" spans="2:8">
      <c r="B2156" s="335">
        <v>46132</v>
      </c>
      <c r="C2156" s="93" t="s">
        <v>808</v>
      </c>
      <c r="D2156" s="43">
        <v>1</v>
      </c>
      <c r="E2156" s="43" t="s">
        <v>4288</v>
      </c>
      <c r="F2156" s="43">
        <v>1</v>
      </c>
      <c r="G2156" s="104">
        <f t="shared" si="35"/>
        <v>0</v>
      </c>
    </row>
    <row r="2157" spans="2:8">
      <c r="B2157" s="335">
        <v>46132</v>
      </c>
      <c r="C2157" s="343" t="s">
        <v>1967</v>
      </c>
      <c r="D2157" s="43">
        <v>1</v>
      </c>
      <c r="E2157" s="43" t="s">
        <v>4288</v>
      </c>
      <c r="F2157" s="43">
        <v>1</v>
      </c>
      <c r="G2157" s="104">
        <f t="shared" si="35"/>
        <v>0</v>
      </c>
    </row>
    <row r="2158" spans="2:8">
      <c r="B2158" s="265">
        <v>46133</v>
      </c>
      <c r="C2158" s="92" t="s">
        <v>76</v>
      </c>
      <c r="D2158" s="43">
        <v>500</v>
      </c>
      <c r="E2158" s="43" t="s">
        <v>4291</v>
      </c>
      <c r="F2158" s="43">
        <v>500</v>
      </c>
      <c r="G2158" s="104">
        <f t="shared" si="35"/>
        <v>0</v>
      </c>
    </row>
    <row r="2159" spans="2:8">
      <c r="B2159" s="323">
        <v>46132</v>
      </c>
      <c r="C2159" s="325" t="s">
        <v>1246</v>
      </c>
      <c r="D2159" s="322">
        <v>23</v>
      </c>
      <c r="E2159" s="322" t="s">
        <v>388</v>
      </c>
      <c r="F2159" s="322">
        <v>23</v>
      </c>
      <c r="G2159" s="425">
        <f t="shared" si="35"/>
        <v>0</v>
      </c>
    </row>
    <row r="2160" spans="2:8">
      <c r="B2160" s="323">
        <v>46132</v>
      </c>
      <c r="C2160" s="325" t="s">
        <v>1246</v>
      </c>
      <c r="D2160" s="322">
        <v>6</v>
      </c>
      <c r="E2160" s="322" t="s">
        <v>388</v>
      </c>
      <c r="F2160" s="322">
        <v>6</v>
      </c>
      <c r="G2160" s="425">
        <f t="shared" si="35"/>
        <v>0</v>
      </c>
    </row>
    <row r="2161" spans="2:7">
      <c r="B2161" s="323">
        <v>46132</v>
      </c>
      <c r="C2161" s="325" t="s">
        <v>1246</v>
      </c>
      <c r="D2161" s="322">
        <v>8</v>
      </c>
      <c r="E2161" s="322" t="s">
        <v>388</v>
      </c>
      <c r="F2161" s="322">
        <v>8</v>
      </c>
      <c r="G2161" s="425">
        <f t="shared" si="35"/>
        <v>0</v>
      </c>
    </row>
    <row r="2162" spans="2:7">
      <c r="B2162" s="323">
        <v>46132</v>
      </c>
      <c r="C2162" s="325" t="s">
        <v>136</v>
      </c>
      <c r="D2162" s="322">
        <v>8</v>
      </c>
      <c r="E2162" s="322" t="s">
        <v>388</v>
      </c>
      <c r="F2162" s="322">
        <v>8</v>
      </c>
      <c r="G2162" s="425">
        <f t="shared" si="35"/>
        <v>0</v>
      </c>
    </row>
    <row r="2163" spans="2:7">
      <c r="B2163" s="323">
        <v>46132</v>
      </c>
      <c r="C2163" s="324" t="s">
        <v>1387</v>
      </c>
      <c r="D2163" s="322">
        <v>6</v>
      </c>
      <c r="E2163" s="322" t="s">
        <v>388</v>
      </c>
      <c r="F2163" s="322">
        <v>6</v>
      </c>
      <c r="G2163" s="425">
        <f t="shared" si="35"/>
        <v>0</v>
      </c>
    </row>
    <row r="2164" spans="2:7">
      <c r="B2164" s="323">
        <v>46132</v>
      </c>
      <c r="C2164" s="324" t="s">
        <v>131</v>
      </c>
      <c r="D2164" s="322">
        <v>2</v>
      </c>
      <c r="E2164" s="322" t="s">
        <v>388</v>
      </c>
      <c r="F2164" s="322">
        <v>2</v>
      </c>
      <c r="G2164" s="425">
        <f t="shared" si="35"/>
        <v>0</v>
      </c>
    </row>
    <row r="2165" spans="2:7">
      <c r="B2165" s="323">
        <v>46132</v>
      </c>
      <c r="C2165" s="325" t="s">
        <v>4108</v>
      </c>
      <c r="D2165" s="322">
        <v>2</v>
      </c>
      <c r="E2165" s="322" t="s">
        <v>388</v>
      </c>
      <c r="F2165" s="322">
        <v>2</v>
      </c>
      <c r="G2165" s="425">
        <f t="shared" si="35"/>
        <v>0</v>
      </c>
    </row>
    <row r="2166" spans="2:7">
      <c r="B2166" s="323">
        <v>46132</v>
      </c>
      <c r="C2166" s="325" t="s">
        <v>1640</v>
      </c>
      <c r="D2166" s="322">
        <v>1</v>
      </c>
      <c r="E2166" s="322" t="s">
        <v>388</v>
      </c>
      <c r="F2166" s="322">
        <v>1</v>
      </c>
      <c r="G2166" s="425">
        <f t="shared" si="35"/>
        <v>0</v>
      </c>
    </row>
    <row r="2167" spans="2:7">
      <c r="B2167" s="323">
        <v>46132</v>
      </c>
      <c r="C2167" s="325" t="s">
        <v>4320</v>
      </c>
      <c r="D2167" s="322">
        <v>1</v>
      </c>
      <c r="E2167" s="322" t="s">
        <v>388</v>
      </c>
      <c r="F2167" s="322">
        <v>1</v>
      </c>
      <c r="G2167" s="425">
        <f t="shared" si="35"/>
        <v>0</v>
      </c>
    </row>
    <row r="2168" spans="2:7">
      <c r="B2168" s="346">
        <v>46135</v>
      </c>
      <c r="C2168" s="349" t="s">
        <v>1246</v>
      </c>
      <c r="D2168" s="348">
        <v>5</v>
      </c>
      <c r="E2168" s="348" t="s">
        <v>2093</v>
      </c>
      <c r="F2168" s="348">
        <v>5</v>
      </c>
      <c r="G2168" s="351">
        <f t="shared" si="35"/>
        <v>0</v>
      </c>
    </row>
    <row r="2169" spans="2:7">
      <c r="B2169" s="346">
        <v>46135</v>
      </c>
      <c r="C2169" s="349" t="s">
        <v>1246</v>
      </c>
      <c r="D2169" s="348">
        <v>3</v>
      </c>
      <c r="E2169" s="348" t="s">
        <v>2093</v>
      </c>
      <c r="F2169" s="348">
        <v>3</v>
      </c>
      <c r="G2169" s="351">
        <f t="shared" si="35"/>
        <v>0</v>
      </c>
    </row>
    <row r="2170" spans="2:7">
      <c r="B2170" s="346">
        <v>46135</v>
      </c>
      <c r="C2170" s="349" t="s">
        <v>1568</v>
      </c>
      <c r="D2170" s="348">
        <v>4</v>
      </c>
      <c r="E2170" s="348" t="s">
        <v>2093</v>
      </c>
      <c r="F2170" s="348">
        <v>4</v>
      </c>
      <c r="G2170" s="351">
        <f t="shared" si="35"/>
        <v>0</v>
      </c>
    </row>
    <row r="2171" spans="2:7">
      <c r="B2171" s="346">
        <v>46135</v>
      </c>
      <c r="C2171" s="349" t="s">
        <v>1271</v>
      </c>
      <c r="D2171" s="348">
        <v>9</v>
      </c>
      <c r="E2171" s="348" t="s">
        <v>2093</v>
      </c>
      <c r="F2171" s="348">
        <v>9</v>
      </c>
      <c r="G2171" s="351">
        <f t="shared" si="35"/>
        <v>0</v>
      </c>
    </row>
    <row r="2172" spans="2:7">
      <c r="B2172" s="346">
        <v>46135</v>
      </c>
      <c r="C2172" s="349" t="s">
        <v>1271</v>
      </c>
      <c r="D2172" s="348">
        <v>1</v>
      </c>
      <c r="E2172" s="348" t="s">
        <v>2093</v>
      </c>
      <c r="F2172" s="348">
        <v>1</v>
      </c>
      <c r="G2172" s="351">
        <f t="shared" si="35"/>
        <v>0</v>
      </c>
    </row>
    <row r="2173" spans="2:7">
      <c r="B2173" s="346">
        <v>46135</v>
      </c>
      <c r="C2173" s="349" t="s">
        <v>1271</v>
      </c>
      <c r="D2173" s="348">
        <v>4</v>
      </c>
      <c r="E2173" s="348" t="s">
        <v>2093</v>
      </c>
      <c r="F2173" s="348">
        <v>4</v>
      </c>
      <c r="G2173" s="351">
        <f t="shared" si="35"/>
        <v>0</v>
      </c>
    </row>
    <row r="2174" spans="2:7">
      <c r="B2174" s="346">
        <v>46135</v>
      </c>
      <c r="C2174" s="349" t="s">
        <v>1246</v>
      </c>
      <c r="D2174" s="348">
        <v>9</v>
      </c>
      <c r="E2174" s="348" t="s">
        <v>2093</v>
      </c>
      <c r="F2174" s="348">
        <v>9</v>
      </c>
      <c r="G2174" s="351">
        <f t="shared" si="35"/>
        <v>0</v>
      </c>
    </row>
    <row r="2175" spans="2:7">
      <c r="B2175" s="346">
        <v>46135</v>
      </c>
      <c r="C2175" s="349" t="s">
        <v>4109</v>
      </c>
      <c r="D2175" s="348">
        <v>2</v>
      </c>
      <c r="E2175" s="348" t="s">
        <v>2093</v>
      </c>
      <c r="F2175" s="348">
        <v>2</v>
      </c>
      <c r="G2175" s="351">
        <f t="shared" si="35"/>
        <v>0</v>
      </c>
    </row>
    <row r="2176" spans="2:7">
      <c r="B2176" s="346">
        <v>46135</v>
      </c>
      <c r="C2176" s="349" t="s">
        <v>1291</v>
      </c>
      <c r="D2176" s="348">
        <v>5</v>
      </c>
      <c r="E2176" s="348" t="s">
        <v>2093</v>
      </c>
      <c r="F2176" s="348">
        <v>5</v>
      </c>
      <c r="G2176" s="351">
        <f t="shared" si="35"/>
        <v>0</v>
      </c>
    </row>
    <row r="2177" spans="2:8">
      <c r="B2177" s="346">
        <v>46135</v>
      </c>
      <c r="C2177" s="351" t="s">
        <v>932</v>
      </c>
      <c r="D2177" s="348">
        <v>2</v>
      </c>
      <c r="E2177" s="348" t="s">
        <v>2093</v>
      </c>
      <c r="F2177" s="348">
        <v>2</v>
      </c>
      <c r="G2177" s="351">
        <f t="shared" si="35"/>
        <v>0</v>
      </c>
    </row>
    <row r="2178" spans="2:8">
      <c r="B2178" s="346">
        <v>46135</v>
      </c>
      <c r="C2178" s="349" t="s">
        <v>1326</v>
      </c>
      <c r="D2178" s="348">
        <v>1</v>
      </c>
      <c r="E2178" s="348" t="s">
        <v>2093</v>
      </c>
      <c r="F2178" s="348">
        <v>1</v>
      </c>
      <c r="G2178" s="351">
        <f t="shared" si="35"/>
        <v>0</v>
      </c>
    </row>
    <row r="2179" spans="2:8">
      <c r="B2179" s="346">
        <v>46135</v>
      </c>
      <c r="C2179" s="349" t="s">
        <v>1641</v>
      </c>
      <c r="D2179" s="348">
        <v>1</v>
      </c>
      <c r="E2179" s="348" t="s">
        <v>2093</v>
      </c>
      <c r="F2179" s="348">
        <v>1</v>
      </c>
      <c r="G2179" s="351">
        <f t="shared" si="35"/>
        <v>0</v>
      </c>
    </row>
    <row r="2180" spans="2:8">
      <c r="B2180" s="346">
        <v>46135</v>
      </c>
      <c r="C2180" s="349" t="s">
        <v>4108</v>
      </c>
      <c r="D2180" s="348">
        <v>1</v>
      </c>
      <c r="E2180" s="348" t="s">
        <v>2093</v>
      </c>
      <c r="F2180" s="348">
        <v>1</v>
      </c>
      <c r="G2180" s="351">
        <f t="shared" si="35"/>
        <v>0</v>
      </c>
    </row>
    <row r="2181" spans="2:8">
      <c r="B2181" s="346">
        <v>46135</v>
      </c>
      <c r="C2181" s="349" t="s">
        <v>1491</v>
      </c>
      <c r="D2181" s="348">
        <v>1</v>
      </c>
      <c r="E2181" s="348" t="s">
        <v>2093</v>
      </c>
      <c r="F2181" s="348">
        <v>1</v>
      </c>
      <c r="G2181" s="351">
        <f t="shared" si="35"/>
        <v>0</v>
      </c>
    </row>
    <row r="2182" spans="2:8">
      <c r="B2182" s="323">
        <v>46135</v>
      </c>
      <c r="C2182" s="325" t="s">
        <v>1249</v>
      </c>
      <c r="D2182" s="322">
        <v>3</v>
      </c>
      <c r="E2182" s="322" t="s">
        <v>388</v>
      </c>
      <c r="F2182" s="322">
        <v>3</v>
      </c>
      <c r="G2182" s="425">
        <f t="shared" si="35"/>
        <v>0</v>
      </c>
      <c r="H2182" t="s">
        <v>4458</v>
      </c>
    </row>
    <row r="2183" spans="2:8">
      <c r="B2183" s="323">
        <v>46135</v>
      </c>
      <c r="C2183" s="325" t="s">
        <v>1246</v>
      </c>
      <c r="D2183" s="322">
        <v>1</v>
      </c>
      <c r="E2183" s="322" t="s">
        <v>388</v>
      </c>
      <c r="F2183" s="322">
        <v>1</v>
      </c>
      <c r="G2183" s="425">
        <f t="shared" si="35"/>
        <v>0</v>
      </c>
    </row>
    <row r="2184" spans="2:8">
      <c r="B2184" s="323">
        <v>46135</v>
      </c>
      <c r="C2184" s="325" t="s">
        <v>1246</v>
      </c>
      <c r="D2184" s="322">
        <v>1</v>
      </c>
      <c r="E2184" s="322" t="s">
        <v>388</v>
      </c>
      <c r="F2184" s="322">
        <v>1</v>
      </c>
      <c r="G2184" s="425">
        <f t="shared" si="35"/>
        <v>0</v>
      </c>
    </row>
    <row r="2185" spans="2:8">
      <c r="B2185" s="323">
        <v>46135</v>
      </c>
      <c r="C2185" s="325" t="s">
        <v>1271</v>
      </c>
      <c r="D2185" s="322">
        <v>3</v>
      </c>
      <c r="E2185" s="322" t="s">
        <v>388</v>
      </c>
      <c r="F2185" s="322">
        <v>3</v>
      </c>
      <c r="G2185" s="425">
        <f t="shared" si="35"/>
        <v>0</v>
      </c>
    </row>
    <row r="2186" spans="2:8">
      <c r="B2186" s="323">
        <v>46135</v>
      </c>
      <c r="C2186" s="325" t="s">
        <v>1291</v>
      </c>
      <c r="D2186" s="322">
        <v>8</v>
      </c>
      <c r="E2186" s="322" t="s">
        <v>388</v>
      </c>
      <c r="F2186" s="322">
        <v>8</v>
      </c>
      <c r="G2186" s="425">
        <f t="shared" si="35"/>
        <v>0</v>
      </c>
    </row>
    <row r="2187" spans="2:8">
      <c r="B2187" s="323">
        <v>46135</v>
      </c>
      <c r="C2187" s="325" t="s">
        <v>136</v>
      </c>
      <c r="D2187" s="322">
        <v>7</v>
      </c>
      <c r="E2187" s="322" t="s">
        <v>388</v>
      </c>
      <c r="F2187" s="322">
        <v>7</v>
      </c>
      <c r="G2187" s="425">
        <f t="shared" si="35"/>
        <v>0</v>
      </c>
    </row>
    <row r="2188" spans="2:8">
      <c r="B2188" s="323">
        <v>46135</v>
      </c>
      <c r="C2188" s="325" t="s">
        <v>1312</v>
      </c>
      <c r="D2188" s="322">
        <v>6</v>
      </c>
      <c r="E2188" s="322" t="s">
        <v>388</v>
      </c>
      <c r="F2188" s="322">
        <v>6</v>
      </c>
      <c r="G2188" s="425">
        <f t="shared" si="35"/>
        <v>0</v>
      </c>
    </row>
    <row r="2189" spans="2:8">
      <c r="B2189" s="323">
        <v>46135</v>
      </c>
      <c r="C2189" s="325" t="s">
        <v>1096</v>
      </c>
      <c r="D2189" s="322">
        <v>4</v>
      </c>
      <c r="E2189" s="322" t="s">
        <v>388</v>
      </c>
      <c r="F2189" s="322">
        <v>4</v>
      </c>
      <c r="G2189" s="425">
        <f t="shared" si="35"/>
        <v>0</v>
      </c>
    </row>
    <row r="2190" spans="2:8">
      <c r="B2190" s="323">
        <v>46135</v>
      </c>
      <c r="C2190" s="324" t="s">
        <v>513</v>
      </c>
      <c r="D2190" s="322">
        <v>3</v>
      </c>
      <c r="E2190" s="322" t="s">
        <v>388</v>
      </c>
      <c r="F2190" s="322">
        <v>3</v>
      </c>
      <c r="G2190" s="425">
        <f t="shared" si="35"/>
        <v>0</v>
      </c>
    </row>
    <row r="2191" spans="2:8">
      <c r="B2191" s="323">
        <v>46135</v>
      </c>
      <c r="C2191" s="325" t="s">
        <v>1409</v>
      </c>
      <c r="D2191" s="322">
        <v>18</v>
      </c>
      <c r="E2191" s="322" t="s">
        <v>388</v>
      </c>
      <c r="F2191" s="322">
        <v>18</v>
      </c>
      <c r="G2191" s="425">
        <f t="shared" si="35"/>
        <v>0</v>
      </c>
    </row>
    <row r="2192" spans="2:8">
      <c r="B2192" s="323">
        <v>46135</v>
      </c>
      <c r="C2192" s="325" t="s">
        <v>1490</v>
      </c>
      <c r="D2192" s="322">
        <v>6</v>
      </c>
      <c r="E2192" s="322" t="s">
        <v>388</v>
      </c>
      <c r="F2192" s="322">
        <v>6</v>
      </c>
      <c r="G2192" s="425">
        <f t="shared" si="35"/>
        <v>0</v>
      </c>
    </row>
    <row r="2193" spans="2:7">
      <c r="B2193" s="323">
        <v>46135</v>
      </c>
      <c r="C2193" s="325" t="s">
        <v>1334</v>
      </c>
      <c r="D2193" s="322">
        <v>4</v>
      </c>
      <c r="E2193" s="322" t="s">
        <v>388</v>
      </c>
      <c r="F2193" s="322">
        <v>4</v>
      </c>
      <c r="G2193" s="425">
        <f t="shared" ref="G2193:G2256" si="36">D2193-F2193</f>
        <v>0</v>
      </c>
    </row>
    <row r="2194" spans="2:7">
      <c r="B2194" s="323">
        <v>46135</v>
      </c>
      <c r="C2194" s="325" t="s">
        <v>1202</v>
      </c>
      <c r="D2194" s="322">
        <v>2</v>
      </c>
      <c r="E2194" s="322" t="s">
        <v>388</v>
      </c>
      <c r="F2194" s="322">
        <v>2</v>
      </c>
      <c r="G2194" s="425">
        <f t="shared" si="36"/>
        <v>0</v>
      </c>
    </row>
    <row r="2195" spans="2:7">
      <c r="B2195" s="323">
        <v>46135</v>
      </c>
      <c r="C2195" s="325" t="s">
        <v>1095</v>
      </c>
      <c r="D2195" s="322">
        <v>1</v>
      </c>
      <c r="E2195" s="322" t="s">
        <v>388</v>
      </c>
      <c r="F2195" s="322">
        <v>1</v>
      </c>
      <c r="G2195" s="425">
        <f t="shared" si="36"/>
        <v>0</v>
      </c>
    </row>
    <row r="2196" spans="2:7">
      <c r="B2196" s="323">
        <v>46135</v>
      </c>
      <c r="C2196" s="325" t="s">
        <v>1259</v>
      </c>
      <c r="D2196" s="322">
        <v>1</v>
      </c>
      <c r="E2196" s="322" t="s">
        <v>388</v>
      </c>
      <c r="F2196" s="322">
        <v>1</v>
      </c>
      <c r="G2196" s="425">
        <f t="shared" si="36"/>
        <v>0</v>
      </c>
    </row>
    <row r="2197" spans="2:7">
      <c r="B2197" s="323">
        <v>46135</v>
      </c>
      <c r="C2197" s="425" t="s">
        <v>375</v>
      </c>
      <c r="D2197" s="322">
        <v>2</v>
      </c>
      <c r="E2197" s="322" t="s">
        <v>388</v>
      </c>
      <c r="F2197" s="322">
        <v>2</v>
      </c>
      <c r="G2197" s="425">
        <f t="shared" si="36"/>
        <v>0</v>
      </c>
    </row>
    <row r="2198" spans="2:7">
      <c r="B2198" s="323">
        <v>46135</v>
      </c>
      <c r="C2198" s="325" t="s">
        <v>1326</v>
      </c>
      <c r="D2198" s="322">
        <v>2</v>
      </c>
      <c r="E2198" s="322" t="s">
        <v>388</v>
      </c>
      <c r="F2198" s="322">
        <v>2</v>
      </c>
      <c r="G2198" s="425">
        <f t="shared" si="36"/>
        <v>0</v>
      </c>
    </row>
    <row r="2199" spans="2:7">
      <c r="B2199" s="323">
        <v>46135</v>
      </c>
      <c r="C2199" s="325" t="s">
        <v>1291</v>
      </c>
      <c r="D2199" s="322">
        <v>1</v>
      </c>
      <c r="E2199" s="322" t="s">
        <v>388</v>
      </c>
      <c r="F2199" s="322">
        <v>1</v>
      </c>
      <c r="G2199" s="425">
        <f t="shared" si="36"/>
        <v>0</v>
      </c>
    </row>
    <row r="2200" spans="2:7">
      <c r="B2200" s="323">
        <v>46135</v>
      </c>
      <c r="C2200" s="325" t="s">
        <v>1246</v>
      </c>
      <c r="D2200" s="322">
        <v>2</v>
      </c>
      <c r="E2200" s="322" t="s">
        <v>388</v>
      </c>
      <c r="F2200" s="322">
        <v>2</v>
      </c>
      <c r="G2200" s="425">
        <f t="shared" si="36"/>
        <v>0</v>
      </c>
    </row>
    <row r="2201" spans="2:7">
      <c r="B2201" s="323">
        <v>46135</v>
      </c>
      <c r="C2201" s="325" t="s">
        <v>1301</v>
      </c>
      <c r="D2201" s="322">
        <v>1</v>
      </c>
      <c r="E2201" s="322" t="s">
        <v>388</v>
      </c>
      <c r="F2201" s="322">
        <v>1</v>
      </c>
      <c r="G2201" s="425">
        <f t="shared" si="36"/>
        <v>0</v>
      </c>
    </row>
    <row r="2202" spans="2:7">
      <c r="B2202" s="323">
        <v>46135</v>
      </c>
      <c r="C2202" s="324" t="s">
        <v>4463</v>
      </c>
      <c r="D2202" s="322">
        <v>2</v>
      </c>
      <c r="E2202" s="322" t="s">
        <v>388</v>
      </c>
      <c r="F2202" s="322">
        <v>2</v>
      </c>
      <c r="G2202" s="425">
        <f t="shared" si="36"/>
        <v>0</v>
      </c>
    </row>
    <row r="2203" spans="2:7">
      <c r="B2203" s="323">
        <v>46135</v>
      </c>
      <c r="C2203" s="325" t="s">
        <v>1694</v>
      </c>
      <c r="D2203" s="322">
        <v>1</v>
      </c>
      <c r="E2203" s="322" t="s">
        <v>388</v>
      </c>
      <c r="F2203" s="322">
        <v>1</v>
      </c>
      <c r="G2203" s="425">
        <f t="shared" si="36"/>
        <v>0</v>
      </c>
    </row>
    <row r="2204" spans="2:7">
      <c r="B2204" s="323">
        <v>46135</v>
      </c>
      <c r="C2204" s="325" t="s">
        <v>1694</v>
      </c>
      <c r="D2204" s="322">
        <v>1</v>
      </c>
      <c r="E2204" s="322" t="s">
        <v>388</v>
      </c>
      <c r="F2204" s="322">
        <v>1</v>
      </c>
      <c r="G2204" s="425">
        <f t="shared" si="36"/>
        <v>0</v>
      </c>
    </row>
    <row r="2205" spans="2:7">
      <c r="B2205" s="323">
        <v>46135</v>
      </c>
      <c r="C2205" s="325" t="s">
        <v>169</v>
      </c>
      <c r="D2205" s="322">
        <v>1</v>
      </c>
      <c r="E2205" s="322" t="s">
        <v>388</v>
      </c>
      <c r="F2205" s="322">
        <v>1</v>
      </c>
      <c r="G2205" s="425">
        <f t="shared" si="36"/>
        <v>0</v>
      </c>
    </row>
    <row r="2206" spans="2:7">
      <c r="B2206" s="323">
        <v>46135</v>
      </c>
      <c r="C2206" s="325" t="s">
        <v>1434</v>
      </c>
      <c r="D2206" s="322">
        <v>1</v>
      </c>
      <c r="E2206" s="322" t="s">
        <v>388</v>
      </c>
      <c r="F2206" s="322">
        <v>1</v>
      </c>
      <c r="G2206" s="425">
        <f t="shared" si="36"/>
        <v>0</v>
      </c>
    </row>
    <row r="2207" spans="2:7">
      <c r="B2207" s="323">
        <v>46135</v>
      </c>
      <c r="C2207" s="325" t="s">
        <v>1641</v>
      </c>
      <c r="D2207" s="322">
        <v>5</v>
      </c>
      <c r="E2207" s="322" t="s">
        <v>388</v>
      </c>
      <c r="F2207" s="322">
        <v>5</v>
      </c>
      <c r="G2207" s="425">
        <f t="shared" si="36"/>
        <v>0</v>
      </c>
    </row>
    <row r="2208" spans="2:7">
      <c r="B2208" s="323">
        <v>46135</v>
      </c>
      <c r="C2208" s="325" t="s">
        <v>1271</v>
      </c>
      <c r="D2208" s="322">
        <v>4</v>
      </c>
      <c r="E2208" s="322" t="s">
        <v>388</v>
      </c>
      <c r="F2208" s="322">
        <v>4</v>
      </c>
      <c r="G2208" s="425">
        <f t="shared" si="36"/>
        <v>0</v>
      </c>
    </row>
    <row r="2209" spans="2:7">
      <c r="B2209" s="323">
        <v>46135</v>
      </c>
      <c r="C2209" s="325" t="s">
        <v>1301</v>
      </c>
      <c r="D2209" s="322">
        <v>3</v>
      </c>
      <c r="E2209" s="322" t="s">
        <v>388</v>
      </c>
      <c r="F2209" s="322">
        <v>3</v>
      </c>
      <c r="G2209" s="425">
        <f t="shared" si="36"/>
        <v>0</v>
      </c>
    </row>
    <row r="2210" spans="2:7">
      <c r="B2210" s="323">
        <v>46135</v>
      </c>
      <c r="C2210" s="325" t="s">
        <v>1434</v>
      </c>
      <c r="D2210" s="322">
        <v>1</v>
      </c>
      <c r="E2210" s="322" t="s">
        <v>388</v>
      </c>
      <c r="F2210" s="322">
        <v>1</v>
      </c>
      <c r="G2210" s="425">
        <f t="shared" si="36"/>
        <v>0</v>
      </c>
    </row>
    <row r="2211" spans="2:7">
      <c r="B2211" s="323">
        <v>46135</v>
      </c>
      <c r="C2211" s="325" t="s">
        <v>1568</v>
      </c>
      <c r="D2211" s="322">
        <v>1</v>
      </c>
      <c r="E2211" s="322" t="s">
        <v>388</v>
      </c>
      <c r="F2211" s="322">
        <v>1</v>
      </c>
      <c r="G2211" s="425">
        <f t="shared" si="36"/>
        <v>0</v>
      </c>
    </row>
    <row r="2212" spans="2:7">
      <c r="B2212" s="323">
        <v>46135</v>
      </c>
      <c r="C2212" s="325" t="s">
        <v>1152</v>
      </c>
      <c r="D2212" s="322">
        <v>1</v>
      </c>
      <c r="E2212" s="322" t="s">
        <v>388</v>
      </c>
      <c r="F2212" s="322">
        <v>1</v>
      </c>
      <c r="G2212" s="425">
        <f t="shared" si="36"/>
        <v>0</v>
      </c>
    </row>
    <row r="2213" spans="2:7">
      <c r="B2213" s="323">
        <v>46135</v>
      </c>
      <c r="C2213" s="324" t="s">
        <v>1397</v>
      </c>
      <c r="D2213" s="322">
        <v>1</v>
      </c>
      <c r="E2213" s="322" t="s">
        <v>388</v>
      </c>
      <c r="F2213" s="322">
        <v>1</v>
      </c>
      <c r="G2213" s="425">
        <f t="shared" si="36"/>
        <v>0</v>
      </c>
    </row>
    <row r="2214" spans="2:7">
      <c r="B2214" s="323">
        <v>46135</v>
      </c>
      <c r="C2214" s="324" t="s">
        <v>4462</v>
      </c>
      <c r="D2214" s="322">
        <v>2</v>
      </c>
      <c r="E2214" s="322" t="s">
        <v>388</v>
      </c>
      <c r="F2214" s="322">
        <v>2</v>
      </c>
      <c r="G2214" s="425">
        <f t="shared" si="36"/>
        <v>0</v>
      </c>
    </row>
    <row r="2215" spans="2:7">
      <c r="B2215" s="323">
        <v>46135</v>
      </c>
      <c r="C2215" s="324" t="s">
        <v>4459</v>
      </c>
      <c r="D2215" s="322">
        <v>1</v>
      </c>
      <c r="E2215" s="322" t="s">
        <v>388</v>
      </c>
      <c r="F2215" s="322">
        <v>1</v>
      </c>
      <c r="G2215" s="425">
        <f t="shared" si="36"/>
        <v>0</v>
      </c>
    </row>
    <row r="2216" spans="2:7">
      <c r="B2216" s="323">
        <v>46135</v>
      </c>
      <c r="C2216" s="324" t="s">
        <v>4460</v>
      </c>
      <c r="D2216" s="322">
        <v>1</v>
      </c>
      <c r="E2216" s="322" t="s">
        <v>388</v>
      </c>
      <c r="F2216" s="322">
        <v>1</v>
      </c>
      <c r="G2216" s="425">
        <f t="shared" si="36"/>
        <v>0</v>
      </c>
    </row>
    <row r="2217" spans="2:7">
      <c r="B2217" s="323">
        <v>46135</v>
      </c>
      <c r="C2217" s="425" t="s">
        <v>1716</v>
      </c>
      <c r="D2217" s="322">
        <v>1</v>
      </c>
      <c r="E2217" s="322" t="s">
        <v>388</v>
      </c>
      <c r="F2217" s="322">
        <v>1</v>
      </c>
      <c r="G2217" s="425">
        <f t="shared" si="36"/>
        <v>0</v>
      </c>
    </row>
    <row r="2218" spans="2:7">
      <c r="B2218" s="323">
        <v>46135</v>
      </c>
      <c r="C2218" s="325" t="s">
        <v>2312</v>
      </c>
      <c r="D2218" s="322">
        <v>1</v>
      </c>
      <c r="E2218" s="322" t="s">
        <v>388</v>
      </c>
      <c r="F2218" s="322">
        <v>1</v>
      </c>
      <c r="G2218" s="425">
        <f t="shared" si="36"/>
        <v>0</v>
      </c>
    </row>
    <row r="2219" spans="2:7">
      <c r="B2219" s="323">
        <v>46135</v>
      </c>
      <c r="C2219" s="324" t="s">
        <v>4461</v>
      </c>
      <c r="D2219" s="322">
        <v>1</v>
      </c>
      <c r="E2219" s="322" t="s">
        <v>388</v>
      </c>
      <c r="F2219" s="322">
        <v>1</v>
      </c>
      <c r="G2219" s="425">
        <f t="shared" si="36"/>
        <v>0</v>
      </c>
    </row>
    <row r="2220" spans="2:7">
      <c r="B2220" s="323">
        <v>46135</v>
      </c>
      <c r="C2220" s="324" t="s">
        <v>1387</v>
      </c>
      <c r="D2220" s="322">
        <v>1</v>
      </c>
      <c r="E2220" s="322" t="s">
        <v>388</v>
      </c>
      <c r="F2220" s="322">
        <v>1</v>
      </c>
      <c r="G2220" s="425">
        <f t="shared" si="36"/>
        <v>0</v>
      </c>
    </row>
    <row r="2221" spans="2:7">
      <c r="B2221" s="323">
        <v>46135</v>
      </c>
      <c r="C2221" s="324" t="s">
        <v>4466</v>
      </c>
      <c r="D2221" s="322">
        <v>1</v>
      </c>
      <c r="E2221" s="322" t="s">
        <v>388</v>
      </c>
      <c r="F2221" s="322">
        <v>1</v>
      </c>
      <c r="G2221" s="425">
        <f t="shared" si="36"/>
        <v>0</v>
      </c>
    </row>
    <row r="2222" spans="2:7">
      <c r="B2222" s="323">
        <v>46135</v>
      </c>
      <c r="C2222" s="325" t="s">
        <v>1311</v>
      </c>
      <c r="D2222" s="322">
        <v>1</v>
      </c>
      <c r="E2222" s="322" t="s">
        <v>388</v>
      </c>
      <c r="F2222" s="322">
        <v>1</v>
      </c>
      <c r="G2222" s="425">
        <f t="shared" si="36"/>
        <v>0</v>
      </c>
    </row>
    <row r="2223" spans="2:7">
      <c r="B2223" s="323">
        <v>46135</v>
      </c>
      <c r="C2223" s="325" t="s">
        <v>977</v>
      </c>
      <c r="D2223" s="322">
        <v>1</v>
      </c>
      <c r="E2223" s="322" t="s">
        <v>388</v>
      </c>
      <c r="F2223" s="322">
        <v>1</v>
      </c>
      <c r="G2223" s="425">
        <f t="shared" si="36"/>
        <v>0</v>
      </c>
    </row>
    <row r="2224" spans="2:7">
      <c r="B2224" s="323">
        <v>46135</v>
      </c>
      <c r="C2224" s="425" t="s">
        <v>375</v>
      </c>
      <c r="D2224" s="322">
        <v>1</v>
      </c>
      <c r="E2224" s="322" t="s">
        <v>388</v>
      </c>
      <c r="F2224" s="322">
        <v>1</v>
      </c>
      <c r="G2224" s="425">
        <f t="shared" si="36"/>
        <v>0</v>
      </c>
    </row>
    <row r="2225" spans="2:8">
      <c r="B2225" s="323">
        <v>46135</v>
      </c>
      <c r="C2225" s="324" t="s">
        <v>4465</v>
      </c>
      <c r="D2225" s="322">
        <v>1</v>
      </c>
      <c r="E2225" s="322" t="s">
        <v>388</v>
      </c>
      <c r="F2225" s="322">
        <v>1</v>
      </c>
      <c r="G2225" s="425">
        <f t="shared" si="36"/>
        <v>0</v>
      </c>
    </row>
    <row r="2226" spans="2:8">
      <c r="B2226" s="323">
        <v>46135</v>
      </c>
      <c r="C2226" s="324" t="s">
        <v>4464</v>
      </c>
      <c r="D2226" s="322">
        <v>1</v>
      </c>
      <c r="E2226" s="322" t="s">
        <v>388</v>
      </c>
      <c r="F2226" s="322">
        <v>1</v>
      </c>
      <c r="G2226" s="425">
        <f t="shared" si="36"/>
        <v>0</v>
      </c>
    </row>
    <row r="2227" spans="2:8">
      <c r="B2227" s="335">
        <v>46137</v>
      </c>
      <c r="C2227" s="93" t="s">
        <v>1568</v>
      </c>
      <c r="D2227" s="43">
        <v>5</v>
      </c>
      <c r="E2227" s="43" t="s">
        <v>4467</v>
      </c>
      <c r="F2227" s="43">
        <v>5</v>
      </c>
      <c r="G2227" s="104">
        <f t="shared" si="36"/>
        <v>0</v>
      </c>
    </row>
    <row r="2228" spans="2:8">
      <c r="B2228" s="346">
        <v>46136</v>
      </c>
      <c r="C2228" s="349" t="s">
        <v>1246</v>
      </c>
      <c r="D2228" s="348">
        <v>8</v>
      </c>
      <c r="E2228" s="348" t="s">
        <v>2093</v>
      </c>
      <c r="F2228" s="348">
        <v>8</v>
      </c>
      <c r="G2228" s="351">
        <f t="shared" si="36"/>
        <v>0</v>
      </c>
      <c r="H2228" s="1056" t="s">
        <v>4502</v>
      </c>
    </row>
    <row r="2229" spans="2:8">
      <c r="B2229" s="346">
        <v>46136</v>
      </c>
      <c r="C2229" s="349" t="s">
        <v>1249</v>
      </c>
      <c r="D2229" s="348">
        <v>3</v>
      </c>
      <c r="E2229" s="348" t="s">
        <v>2093</v>
      </c>
      <c r="F2229" s="348">
        <v>3</v>
      </c>
      <c r="G2229" s="351">
        <f t="shared" si="36"/>
        <v>0</v>
      </c>
    </row>
    <row r="2230" spans="2:8">
      <c r="B2230" s="346">
        <v>46136</v>
      </c>
      <c r="C2230" s="349" t="s">
        <v>1246</v>
      </c>
      <c r="D2230" s="348">
        <v>7</v>
      </c>
      <c r="E2230" s="348" t="s">
        <v>2093</v>
      </c>
      <c r="F2230" s="348">
        <v>7</v>
      </c>
      <c r="G2230" s="351">
        <f t="shared" si="36"/>
        <v>0</v>
      </c>
    </row>
    <row r="2231" spans="2:8">
      <c r="B2231" s="346">
        <v>46136</v>
      </c>
      <c r="C2231" s="349" t="s">
        <v>1246</v>
      </c>
      <c r="D2231" s="348">
        <v>2</v>
      </c>
      <c r="E2231" s="348" t="s">
        <v>2093</v>
      </c>
      <c r="F2231" s="348">
        <v>2</v>
      </c>
      <c r="G2231" s="351">
        <f t="shared" si="36"/>
        <v>0</v>
      </c>
    </row>
    <row r="2232" spans="2:8">
      <c r="B2232" s="346">
        <v>46136</v>
      </c>
      <c r="C2232" s="349" t="s">
        <v>1271</v>
      </c>
      <c r="D2232" s="348">
        <v>5</v>
      </c>
      <c r="E2232" s="348" t="s">
        <v>2093</v>
      </c>
      <c r="F2232" s="348">
        <v>5</v>
      </c>
      <c r="G2232" s="351">
        <f t="shared" si="36"/>
        <v>0</v>
      </c>
    </row>
    <row r="2233" spans="2:8">
      <c r="B2233" s="346">
        <v>46136</v>
      </c>
      <c r="C2233" s="349" t="s">
        <v>4109</v>
      </c>
      <c r="D2233" s="348">
        <v>9</v>
      </c>
      <c r="E2233" s="348" t="s">
        <v>2093</v>
      </c>
      <c r="F2233" s="348">
        <v>9</v>
      </c>
      <c r="G2233" s="351">
        <f t="shared" si="36"/>
        <v>0</v>
      </c>
    </row>
    <row r="2234" spans="2:8">
      <c r="B2234" s="346">
        <v>46136</v>
      </c>
      <c r="C2234" s="349" t="s">
        <v>1291</v>
      </c>
      <c r="D2234" s="348">
        <v>8</v>
      </c>
      <c r="E2234" s="348" t="s">
        <v>2093</v>
      </c>
      <c r="F2234" s="348">
        <v>8</v>
      </c>
      <c r="G2234" s="351">
        <f t="shared" si="36"/>
        <v>0</v>
      </c>
    </row>
    <row r="2235" spans="2:8">
      <c r="B2235" s="346">
        <v>46136</v>
      </c>
      <c r="C2235" s="349" t="s">
        <v>1326</v>
      </c>
      <c r="D2235" s="348">
        <v>2</v>
      </c>
      <c r="E2235" s="348" t="s">
        <v>2093</v>
      </c>
      <c r="F2235" s="348">
        <v>2</v>
      </c>
      <c r="G2235" s="351">
        <f t="shared" si="36"/>
        <v>0</v>
      </c>
    </row>
    <row r="2236" spans="2:8">
      <c r="B2236" s="346">
        <v>46136</v>
      </c>
      <c r="C2236" s="351" t="s">
        <v>932</v>
      </c>
      <c r="D2236" s="348">
        <v>4</v>
      </c>
      <c r="E2236" s="348" t="s">
        <v>2093</v>
      </c>
      <c r="F2236" s="348">
        <v>4</v>
      </c>
      <c r="G2236" s="351">
        <f t="shared" si="36"/>
        <v>0</v>
      </c>
    </row>
    <row r="2237" spans="2:8">
      <c r="B2237" s="346">
        <v>46136</v>
      </c>
      <c r="C2237" s="349" t="s">
        <v>4108</v>
      </c>
      <c r="D2237" s="348">
        <v>3</v>
      </c>
      <c r="E2237" s="348" t="s">
        <v>2093</v>
      </c>
      <c r="F2237" s="348">
        <v>3</v>
      </c>
      <c r="G2237" s="351">
        <f t="shared" si="36"/>
        <v>0</v>
      </c>
    </row>
    <row r="2238" spans="2:8">
      <c r="B2238" s="346">
        <v>46136</v>
      </c>
      <c r="C2238" s="349" t="s">
        <v>1301</v>
      </c>
      <c r="D2238" s="348">
        <v>1</v>
      </c>
      <c r="E2238" s="348" t="s">
        <v>2093</v>
      </c>
      <c r="F2238" s="348">
        <v>1</v>
      </c>
      <c r="G2238" s="351">
        <f t="shared" si="36"/>
        <v>0</v>
      </c>
    </row>
    <row r="2239" spans="2:8">
      <c r="B2239" s="346">
        <v>46136</v>
      </c>
      <c r="C2239" s="349" t="s">
        <v>1271</v>
      </c>
      <c r="D2239" s="348">
        <v>1</v>
      </c>
      <c r="E2239" s="348" t="s">
        <v>2093</v>
      </c>
      <c r="F2239" s="348">
        <v>1</v>
      </c>
      <c r="G2239" s="351">
        <f t="shared" si="36"/>
        <v>0</v>
      </c>
    </row>
    <row r="2240" spans="2:8">
      <c r="B2240" s="346">
        <v>46136</v>
      </c>
      <c r="C2240" s="349" t="s">
        <v>1641</v>
      </c>
      <c r="D2240" s="348">
        <v>4</v>
      </c>
      <c r="E2240" s="348" t="s">
        <v>2093</v>
      </c>
      <c r="F2240" s="348">
        <v>4</v>
      </c>
      <c r="G2240" s="351">
        <f t="shared" si="36"/>
        <v>0</v>
      </c>
    </row>
    <row r="2241" spans="2:7">
      <c r="B2241" s="346">
        <v>46136</v>
      </c>
      <c r="C2241" s="349" t="s">
        <v>1568</v>
      </c>
      <c r="D2241" s="348">
        <v>3</v>
      </c>
      <c r="E2241" s="348" t="s">
        <v>2093</v>
      </c>
      <c r="F2241" s="348">
        <v>3</v>
      </c>
      <c r="G2241" s="351">
        <f t="shared" si="36"/>
        <v>0</v>
      </c>
    </row>
    <row r="2242" spans="2:7">
      <c r="B2242" s="346">
        <v>46136</v>
      </c>
      <c r="C2242" s="349" t="s">
        <v>4470</v>
      </c>
      <c r="D2242" s="348">
        <v>1</v>
      </c>
      <c r="E2242" s="348" t="s">
        <v>2093</v>
      </c>
      <c r="F2242" s="348">
        <v>1</v>
      </c>
      <c r="G2242" s="351">
        <f t="shared" si="36"/>
        <v>0</v>
      </c>
    </row>
    <row r="2243" spans="2:7">
      <c r="B2243" s="346">
        <v>46136</v>
      </c>
      <c r="C2243" s="347" t="s">
        <v>4498</v>
      </c>
      <c r="D2243" s="348">
        <v>1</v>
      </c>
      <c r="E2243" s="348" t="s">
        <v>2093</v>
      </c>
      <c r="F2243" s="348">
        <v>1</v>
      </c>
      <c r="G2243" s="351">
        <f t="shared" si="36"/>
        <v>0</v>
      </c>
    </row>
    <row r="2244" spans="2:7">
      <c r="B2244" s="323">
        <v>46139</v>
      </c>
      <c r="C2244" s="425" t="s">
        <v>375</v>
      </c>
      <c r="D2244" s="322">
        <v>5</v>
      </c>
      <c r="E2244" s="322" t="s">
        <v>388</v>
      </c>
      <c r="F2244" s="322">
        <v>5</v>
      </c>
      <c r="G2244" s="425">
        <f t="shared" si="36"/>
        <v>0</v>
      </c>
    </row>
    <row r="2245" spans="2:7">
      <c r="B2245" s="323">
        <v>46139</v>
      </c>
      <c r="C2245" s="325" t="s">
        <v>1334</v>
      </c>
      <c r="D2245" s="322">
        <v>1</v>
      </c>
      <c r="E2245" s="322" t="s">
        <v>388</v>
      </c>
      <c r="F2245" s="322">
        <v>1</v>
      </c>
      <c r="G2245" s="425">
        <f t="shared" si="36"/>
        <v>0</v>
      </c>
    </row>
    <row r="2246" spans="2:7">
      <c r="B2246" s="323">
        <v>46139</v>
      </c>
      <c r="C2246" s="325" t="s">
        <v>1095</v>
      </c>
      <c r="D2246" s="322">
        <v>3</v>
      </c>
      <c r="E2246" s="322" t="s">
        <v>388</v>
      </c>
      <c r="F2246" s="322">
        <v>3</v>
      </c>
      <c r="G2246" s="425">
        <f t="shared" si="36"/>
        <v>0</v>
      </c>
    </row>
    <row r="2247" spans="2:7">
      <c r="B2247" s="323">
        <v>46139</v>
      </c>
      <c r="C2247" s="325" t="s">
        <v>1202</v>
      </c>
      <c r="D2247" s="322">
        <v>2</v>
      </c>
      <c r="E2247" s="322" t="s">
        <v>388</v>
      </c>
      <c r="F2247" s="322">
        <v>2</v>
      </c>
      <c r="G2247" s="425">
        <f t="shared" si="36"/>
        <v>0</v>
      </c>
    </row>
    <row r="2248" spans="2:7">
      <c r="B2248" s="323">
        <v>46139</v>
      </c>
      <c r="C2248" s="325" t="s">
        <v>1327</v>
      </c>
      <c r="D2248" s="322">
        <v>1</v>
      </c>
      <c r="E2248" s="322" t="s">
        <v>388</v>
      </c>
      <c r="F2248" s="322">
        <v>1</v>
      </c>
      <c r="G2248" s="425">
        <f t="shared" si="36"/>
        <v>0</v>
      </c>
    </row>
    <row r="2249" spans="2:7">
      <c r="B2249" s="323">
        <v>46139</v>
      </c>
      <c r="C2249" s="325" t="s">
        <v>1434</v>
      </c>
      <c r="D2249" s="322">
        <v>1</v>
      </c>
      <c r="E2249" s="322" t="s">
        <v>388</v>
      </c>
      <c r="F2249" s="322">
        <v>1</v>
      </c>
      <c r="G2249" s="425">
        <f t="shared" si="36"/>
        <v>0</v>
      </c>
    </row>
    <row r="2250" spans="2:7">
      <c r="B2250" s="323">
        <v>46139</v>
      </c>
      <c r="C2250" s="325" t="s">
        <v>1326</v>
      </c>
      <c r="D2250" s="322">
        <v>1</v>
      </c>
      <c r="E2250" s="322" t="s">
        <v>388</v>
      </c>
      <c r="F2250" s="322">
        <v>1</v>
      </c>
      <c r="G2250" s="425">
        <f t="shared" si="36"/>
        <v>0</v>
      </c>
    </row>
    <row r="2251" spans="2:7">
      <c r="B2251" s="323">
        <v>46139</v>
      </c>
      <c r="C2251" s="325" t="s">
        <v>1326</v>
      </c>
      <c r="D2251" s="322">
        <v>1</v>
      </c>
      <c r="E2251" s="322" t="s">
        <v>388</v>
      </c>
      <c r="F2251" s="322">
        <v>1</v>
      </c>
      <c r="G2251" s="425">
        <f t="shared" si="36"/>
        <v>0</v>
      </c>
    </row>
    <row r="2252" spans="2:7">
      <c r="B2252" s="323">
        <v>46139</v>
      </c>
      <c r="C2252" s="325" t="s">
        <v>1271</v>
      </c>
      <c r="D2252" s="322">
        <v>14</v>
      </c>
      <c r="E2252" s="322" t="s">
        <v>388</v>
      </c>
      <c r="F2252" s="322">
        <v>14</v>
      </c>
      <c r="G2252" s="425">
        <f t="shared" si="36"/>
        <v>0</v>
      </c>
    </row>
    <row r="2253" spans="2:7">
      <c r="B2253" s="323">
        <v>46139</v>
      </c>
      <c r="C2253" s="325" t="s">
        <v>4108</v>
      </c>
      <c r="D2253" s="322">
        <v>1</v>
      </c>
      <c r="E2253" s="322" t="s">
        <v>388</v>
      </c>
      <c r="F2253" s="322">
        <v>1</v>
      </c>
      <c r="G2253" s="425">
        <f t="shared" si="36"/>
        <v>0</v>
      </c>
    </row>
    <row r="2254" spans="2:7">
      <c r="B2254" s="323">
        <v>46139</v>
      </c>
      <c r="C2254" s="325" t="s">
        <v>1246</v>
      </c>
      <c r="D2254" s="322">
        <v>1</v>
      </c>
      <c r="E2254" s="322" t="s">
        <v>388</v>
      </c>
      <c r="F2254" s="322">
        <v>1</v>
      </c>
      <c r="G2254" s="425">
        <f t="shared" si="36"/>
        <v>0</v>
      </c>
    </row>
    <row r="2255" spans="2:7">
      <c r="B2255" s="323">
        <v>46139</v>
      </c>
      <c r="C2255" s="325" t="s">
        <v>1246</v>
      </c>
      <c r="D2255" s="322">
        <v>9</v>
      </c>
      <c r="E2255" s="322" t="s">
        <v>388</v>
      </c>
      <c r="F2255" s="322">
        <v>9</v>
      </c>
      <c r="G2255" s="425">
        <f t="shared" si="36"/>
        <v>0</v>
      </c>
    </row>
    <row r="2256" spans="2:7">
      <c r="B2256" s="323">
        <v>46139</v>
      </c>
      <c r="C2256" s="325" t="s">
        <v>1246</v>
      </c>
      <c r="D2256" s="322">
        <v>11</v>
      </c>
      <c r="E2256" s="322" t="s">
        <v>388</v>
      </c>
      <c r="F2256" s="322">
        <v>11</v>
      </c>
      <c r="G2256" s="425">
        <f t="shared" si="36"/>
        <v>0</v>
      </c>
    </row>
    <row r="2257" spans="2:7">
      <c r="B2257" s="323">
        <v>46139</v>
      </c>
      <c r="C2257" s="325" t="s">
        <v>1246</v>
      </c>
      <c r="D2257" s="322">
        <v>10</v>
      </c>
      <c r="E2257" s="322" t="s">
        <v>388</v>
      </c>
      <c r="F2257" s="322">
        <v>10</v>
      </c>
      <c r="G2257" s="425">
        <f t="shared" ref="G2257:G2320" si="37">D2257-F2257</f>
        <v>0</v>
      </c>
    </row>
    <row r="2258" spans="2:7">
      <c r="B2258" s="323">
        <v>46139</v>
      </c>
      <c r="C2258" s="324" t="s">
        <v>4461</v>
      </c>
      <c r="D2258" s="322">
        <v>2</v>
      </c>
      <c r="E2258" s="322" t="s">
        <v>388</v>
      </c>
      <c r="F2258" s="322">
        <v>2</v>
      </c>
      <c r="G2258" s="425">
        <f t="shared" si="37"/>
        <v>0</v>
      </c>
    </row>
    <row r="2259" spans="2:7">
      <c r="B2259" s="323">
        <v>46139</v>
      </c>
      <c r="C2259" s="325" t="s">
        <v>1271</v>
      </c>
      <c r="D2259" s="322">
        <v>1</v>
      </c>
      <c r="E2259" s="322" t="s">
        <v>388</v>
      </c>
      <c r="F2259" s="322">
        <v>1</v>
      </c>
      <c r="G2259" s="425">
        <f t="shared" si="37"/>
        <v>0</v>
      </c>
    </row>
    <row r="2260" spans="2:7">
      <c r="B2260" s="323">
        <v>46139</v>
      </c>
      <c r="C2260" s="324" t="s">
        <v>1994</v>
      </c>
      <c r="D2260" s="322">
        <v>1</v>
      </c>
      <c r="E2260" s="322" t="s">
        <v>388</v>
      </c>
      <c r="F2260" s="322">
        <v>1</v>
      </c>
      <c r="G2260" s="425">
        <f t="shared" si="37"/>
        <v>0</v>
      </c>
    </row>
    <row r="2261" spans="2:7">
      <c r="B2261" s="323">
        <v>46139</v>
      </c>
      <c r="C2261" s="325" t="s">
        <v>1271</v>
      </c>
      <c r="D2261" s="322">
        <v>4</v>
      </c>
      <c r="E2261" s="322" t="s">
        <v>388</v>
      </c>
      <c r="F2261" s="322">
        <v>4</v>
      </c>
      <c r="G2261" s="425">
        <f t="shared" si="37"/>
        <v>0</v>
      </c>
    </row>
    <row r="2262" spans="2:7">
      <c r="B2262" s="323">
        <v>46139</v>
      </c>
      <c r="C2262" s="325" t="s">
        <v>1246</v>
      </c>
      <c r="D2262" s="322">
        <v>2</v>
      </c>
      <c r="E2262" s="322" t="s">
        <v>388</v>
      </c>
      <c r="F2262" s="322">
        <v>2</v>
      </c>
      <c r="G2262" s="425">
        <f t="shared" si="37"/>
        <v>0</v>
      </c>
    </row>
    <row r="2263" spans="2:7">
      <c r="B2263" s="323">
        <v>46139</v>
      </c>
      <c r="C2263" s="325" t="s">
        <v>1246</v>
      </c>
      <c r="D2263" s="322">
        <v>2</v>
      </c>
      <c r="E2263" s="322" t="s">
        <v>388</v>
      </c>
      <c r="F2263" s="322">
        <v>2</v>
      </c>
      <c r="G2263" s="425">
        <f t="shared" si="37"/>
        <v>0</v>
      </c>
    </row>
    <row r="2264" spans="2:7">
      <c r="B2264" s="323">
        <v>46139</v>
      </c>
      <c r="C2264" s="325" t="s">
        <v>1301</v>
      </c>
      <c r="D2264" s="322">
        <v>4</v>
      </c>
      <c r="E2264" s="322" t="s">
        <v>388</v>
      </c>
      <c r="F2264" s="322">
        <v>4</v>
      </c>
      <c r="G2264" s="425">
        <f t="shared" si="37"/>
        <v>0</v>
      </c>
    </row>
    <row r="2265" spans="2:7">
      <c r="B2265" s="323">
        <v>46139</v>
      </c>
      <c r="C2265" s="325" t="s">
        <v>4565</v>
      </c>
      <c r="D2265" s="322">
        <v>1</v>
      </c>
      <c r="E2265" s="322" t="s">
        <v>388</v>
      </c>
      <c r="F2265" s="322">
        <v>1</v>
      </c>
      <c r="G2265" s="425">
        <f t="shared" si="37"/>
        <v>0</v>
      </c>
    </row>
    <row r="2266" spans="2:7">
      <c r="B2266" s="323">
        <v>46140</v>
      </c>
      <c r="C2266" s="325" t="s">
        <v>1409</v>
      </c>
      <c r="D2266" s="322">
        <v>3</v>
      </c>
      <c r="E2266" s="322" t="s">
        <v>388</v>
      </c>
      <c r="F2266" s="322">
        <v>3</v>
      </c>
      <c r="G2266" s="425">
        <f t="shared" si="37"/>
        <v>0</v>
      </c>
    </row>
    <row r="2267" spans="2:7">
      <c r="B2267" s="323">
        <v>46140</v>
      </c>
      <c r="C2267" s="325" t="s">
        <v>1491</v>
      </c>
      <c r="D2267" s="322">
        <v>1</v>
      </c>
      <c r="E2267" s="322" t="s">
        <v>388</v>
      </c>
      <c r="F2267" s="322">
        <v>1</v>
      </c>
      <c r="G2267" s="425">
        <f t="shared" si="37"/>
        <v>0</v>
      </c>
    </row>
    <row r="2268" spans="2:7">
      <c r="B2268" s="323">
        <v>46140</v>
      </c>
      <c r="C2268" s="325" t="s">
        <v>1318</v>
      </c>
      <c r="D2268" s="322">
        <v>2</v>
      </c>
      <c r="E2268" s="322" t="s">
        <v>388</v>
      </c>
      <c r="F2268" s="322">
        <v>2</v>
      </c>
      <c r="G2268" s="425">
        <f t="shared" si="37"/>
        <v>0</v>
      </c>
    </row>
    <row r="2269" spans="2:7">
      <c r="B2269" s="323">
        <v>46140</v>
      </c>
      <c r="C2269" s="324" t="s">
        <v>1387</v>
      </c>
      <c r="D2269" s="322">
        <v>1</v>
      </c>
      <c r="E2269" s="322" t="s">
        <v>388</v>
      </c>
      <c r="F2269" s="322">
        <v>1</v>
      </c>
      <c r="G2269" s="425">
        <f t="shared" si="37"/>
        <v>0</v>
      </c>
    </row>
    <row r="2270" spans="2:7">
      <c r="B2270" s="323">
        <v>46140</v>
      </c>
      <c r="C2270" s="325" t="s">
        <v>1334</v>
      </c>
      <c r="D2270" s="322">
        <v>2</v>
      </c>
      <c r="E2270" s="322" t="s">
        <v>388</v>
      </c>
      <c r="F2270" s="322">
        <v>2</v>
      </c>
      <c r="G2270" s="425">
        <f t="shared" si="37"/>
        <v>0</v>
      </c>
    </row>
    <row r="2271" spans="2:7">
      <c r="B2271" s="323">
        <v>46140</v>
      </c>
      <c r="C2271" s="325" t="s">
        <v>1326</v>
      </c>
      <c r="D2271" s="322">
        <v>2</v>
      </c>
      <c r="E2271" s="322" t="s">
        <v>388</v>
      </c>
      <c r="F2271" s="322">
        <v>2</v>
      </c>
      <c r="G2271" s="425">
        <f t="shared" si="37"/>
        <v>0</v>
      </c>
    </row>
    <row r="2272" spans="2:7">
      <c r="B2272" s="323">
        <v>46140</v>
      </c>
      <c r="C2272" s="325" t="s">
        <v>4108</v>
      </c>
      <c r="D2272" s="322">
        <v>1</v>
      </c>
      <c r="E2272" s="322" t="s">
        <v>388</v>
      </c>
      <c r="F2272" s="322">
        <v>1</v>
      </c>
      <c r="G2272" s="425">
        <f t="shared" si="37"/>
        <v>0</v>
      </c>
    </row>
    <row r="2273" spans="2:7">
      <c r="B2273" s="323">
        <v>46140</v>
      </c>
      <c r="C2273" s="325" t="s">
        <v>1271</v>
      </c>
      <c r="D2273" s="322">
        <v>2</v>
      </c>
      <c r="E2273" s="322" t="s">
        <v>388</v>
      </c>
      <c r="F2273" s="322">
        <v>2</v>
      </c>
      <c r="G2273" s="425">
        <f t="shared" si="37"/>
        <v>0</v>
      </c>
    </row>
    <row r="2274" spans="2:7">
      <c r="B2274" s="323">
        <v>46140</v>
      </c>
      <c r="C2274" s="325" t="s">
        <v>1246</v>
      </c>
      <c r="D2274" s="322">
        <v>2</v>
      </c>
      <c r="E2274" s="322" t="s">
        <v>388</v>
      </c>
      <c r="F2274" s="322">
        <v>2</v>
      </c>
      <c r="G2274" s="425">
        <f t="shared" si="37"/>
        <v>0</v>
      </c>
    </row>
    <row r="2275" spans="2:7">
      <c r="B2275" s="323">
        <v>46140</v>
      </c>
      <c r="C2275" s="325" t="s">
        <v>1246</v>
      </c>
      <c r="D2275" s="322">
        <v>25</v>
      </c>
      <c r="E2275" s="322" t="s">
        <v>388</v>
      </c>
      <c r="F2275" s="322">
        <v>25</v>
      </c>
      <c r="G2275" s="425">
        <f t="shared" si="37"/>
        <v>0</v>
      </c>
    </row>
    <row r="2276" spans="2:7">
      <c r="B2276" s="323">
        <v>46140</v>
      </c>
      <c r="C2276" s="325" t="s">
        <v>1246</v>
      </c>
      <c r="D2276" s="322">
        <v>9</v>
      </c>
      <c r="E2276" s="322" t="s">
        <v>388</v>
      </c>
      <c r="F2276" s="322">
        <v>9</v>
      </c>
      <c r="G2276" s="425">
        <f t="shared" si="37"/>
        <v>0</v>
      </c>
    </row>
    <row r="2277" spans="2:7">
      <c r="B2277" s="323">
        <v>46140</v>
      </c>
      <c r="C2277" s="324" t="s">
        <v>4461</v>
      </c>
      <c r="D2277" s="322">
        <v>1</v>
      </c>
      <c r="E2277" s="322" t="s">
        <v>388</v>
      </c>
      <c r="F2277" s="322">
        <v>1</v>
      </c>
      <c r="G2277" s="425">
        <f t="shared" si="37"/>
        <v>0</v>
      </c>
    </row>
    <row r="2278" spans="2:7">
      <c r="B2278" s="323">
        <v>46140</v>
      </c>
      <c r="C2278" s="325" t="s">
        <v>1641</v>
      </c>
      <c r="D2278" s="322">
        <v>1</v>
      </c>
      <c r="E2278" s="322" t="s">
        <v>388</v>
      </c>
      <c r="F2278" s="322">
        <v>1</v>
      </c>
      <c r="G2278" s="425">
        <f t="shared" si="37"/>
        <v>0</v>
      </c>
    </row>
    <row r="2279" spans="2:7">
      <c r="B2279" s="323">
        <v>46140</v>
      </c>
      <c r="C2279" s="325" t="s">
        <v>1568</v>
      </c>
      <c r="D2279" s="322">
        <v>3</v>
      </c>
      <c r="E2279" s="322" t="s">
        <v>388</v>
      </c>
      <c r="F2279" s="322">
        <v>3</v>
      </c>
      <c r="G2279" s="425">
        <f t="shared" si="37"/>
        <v>0</v>
      </c>
    </row>
    <row r="2280" spans="2:7">
      <c r="B2280" s="323">
        <v>46140</v>
      </c>
      <c r="C2280" s="325" t="s">
        <v>1246</v>
      </c>
      <c r="D2280" s="322">
        <v>6</v>
      </c>
      <c r="E2280" s="322" t="s">
        <v>388</v>
      </c>
      <c r="F2280" s="322">
        <v>6</v>
      </c>
      <c r="G2280" s="425">
        <f t="shared" si="37"/>
        <v>0</v>
      </c>
    </row>
    <row r="2281" spans="2:7">
      <c r="B2281" s="323">
        <v>46140</v>
      </c>
      <c r="C2281" s="325" t="s">
        <v>1407</v>
      </c>
      <c r="D2281" s="322">
        <v>1</v>
      </c>
      <c r="E2281" s="322" t="s">
        <v>388</v>
      </c>
      <c r="F2281" s="322">
        <v>1</v>
      </c>
      <c r="G2281" s="425">
        <f t="shared" si="37"/>
        <v>0</v>
      </c>
    </row>
    <row r="2282" spans="2:7">
      <c r="B2282" s="323">
        <v>46140</v>
      </c>
      <c r="C2282" s="325" t="s">
        <v>2646</v>
      </c>
      <c r="D2282" s="322">
        <v>1</v>
      </c>
      <c r="E2282" s="322" t="s">
        <v>388</v>
      </c>
      <c r="F2282" s="322">
        <v>1</v>
      </c>
      <c r="G2282" s="425">
        <f t="shared" si="37"/>
        <v>0</v>
      </c>
    </row>
    <row r="2283" spans="2:7">
      <c r="B2283" s="323">
        <v>46140</v>
      </c>
      <c r="C2283" s="324" t="s">
        <v>4588</v>
      </c>
      <c r="D2283" s="322">
        <v>1</v>
      </c>
      <c r="E2283" s="322" t="s">
        <v>388</v>
      </c>
      <c r="F2283" s="322">
        <v>1</v>
      </c>
      <c r="G2283" s="425">
        <f t="shared" si="37"/>
        <v>0</v>
      </c>
    </row>
    <row r="2284" spans="2:7">
      <c r="B2284" s="323">
        <v>46140</v>
      </c>
      <c r="C2284" s="324" t="s">
        <v>4589</v>
      </c>
      <c r="D2284" s="322">
        <v>1</v>
      </c>
      <c r="E2284" s="322" t="s">
        <v>388</v>
      </c>
      <c r="F2284" s="322">
        <v>1</v>
      </c>
      <c r="G2284" s="425">
        <f t="shared" si="37"/>
        <v>0</v>
      </c>
    </row>
    <row r="2285" spans="2:7">
      <c r="B2285" s="323">
        <v>46141</v>
      </c>
      <c r="C2285" s="325" t="s">
        <v>4662</v>
      </c>
      <c r="D2285" s="322">
        <v>13</v>
      </c>
      <c r="E2285" s="322" t="s">
        <v>388</v>
      </c>
      <c r="F2285" s="322">
        <v>13</v>
      </c>
      <c r="G2285" s="425">
        <f t="shared" si="37"/>
        <v>0</v>
      </c>
    </row>
    <row r="2286" spans="2:7">
      <c r="B2286" s="323">
        <v>46141</v>
      </c>
      <c r="C2286" s="325" t="s">
        <v>4663</v>
      </c>
      <c r="D2286" s="322">
        <v>3</v>
      </c>
      <c r="E2286" s="322" t="s">
        <v>388</v>
      </c>
      <c r="F2286" s="322">
        <v>3</v>
      </c>
      <c r="G2286" s="425">
        <f t="shared" si="37"/>
        <v>0</v>
      </c>
    </row>
    <row r="2287" spans="2:7">
      <c r="B2287" s="323">
        <v>46141</v>
      </c>
      <c r="C2287" s="325" t="s">
        <v>4664</v>
      </c>
      <c r="D2287" s="322">
        <v>1</v>
      </c>
      <c r="E2287" s="322" t="s">
        <v>388</v>
      </c>
      <c r="F2287" s="322">
        <v>1</v>
      </c>
      <c r="G2287" s="425">
        <f t="shared" si="37"/>
        <v>0</v>
      </c>
    </row>
    <row r="2288" spans="2:7">
      <c r="B2288" s="323">
        <v>46141</v>
      </c>
      <c r="C2288" s="325" t="s">
        <v>1095</v>
      </c>
      <c r="D2288" s="322">
        <v>1</v>
      </c>
      <c r="E2288" s="322" t="s">
        <v>388</v>
      </c>
      <c r="F2288" s="322">
        <v>1</v>
      </c>
      <c r="G2288" s="425">
        <f t="shared" si="37"/>
        <v>0</v>
      </c>
    </row>
    <row r="2289" spans="2:7">
      <c r="B2289" s="323">
        <v>46141</v>
      </c>
      <c r="C2289" s="325" t="s">
        <v>1259</v>
      </c>
      <c r="D2289" s="322">
        <v>1</v>
      </c>
      <c r="E2289" s="322" t="s">
        <v>388</v>
      </c>
      <c r="F2289" s="322">
        <v>1</v>
      </c>
      <c r="G2289" s="425">
        <f t="shared" si="37"/>
        <v>0</v>
      </c>
    </row>
    <row r="2290" spans="2:7">
      <c r="B2290" s="323">
        <v>46141</v>
      </c>
      <c r="C2290" s="425" t="s">
        <v>375</v>
      </c>
      <c r="D2290" s="322">
        <v>4</v>
      </c>
      <c r="E2290" s="322" t="s">
        <v>388</v>
      </c>
      <c r="F2290" s="322">
        <v>4</v>
      </c>
      <c r="G2290" s="425">
        <f t="shared" si="37"/>
        <v>0</v>
      </c>
    </row>
    <row r="2291" spans="2:7">
      <c r="B2291" s="323">
        <v>46141</v>
      </c>
      <c r="C2291" s="325" t="s">
        <v>977</v>
      </c>
      <c r="D2291" s="322">
        <v>1</v>
      </c>
      <c r="E2291" s="322" t="s">
        <v>388</v>
      </c>
      <c r="F2291" s="322">
        <v>1</v>
      </c>
      <c r="G2291" s="425">
        <f t="shared" si="37"/>
        <v>0</v>
      </c>
    </row>
    <row r="2292" spans="2:7">
      <c r="B2292" s="323">
        <v>46141</v>
      </c>
      <c r="C2292" s="325" t="s">
        <v>977</v>
      </c>
      <c r="D2292" s="322">
        <v>3</v>
      </c>
      <c r="E2292" s="322" t="s">
        <v>388</v>
      </c>
      <c r="F2292" s="322">
        <v>3</v>
      </c>
      <c r="G2292" s="425">
        <f t="shared" si="37"/>
        <v>0</v>
      </c>
    </row>
    <row r="2293" spans="2:7">
      <c r="B2293" s="323">
        <v>46141</v>
      </c>
      <c r="C2293" s="324" t="s">
        <v>131</v>
      </c>
      <c r="D2293" s="322">
        <v>14</v>
      </c>
      <c r="E2293" s="322" t="s">
        <v>388</v>
      </c>
      <c r="F2293" s="322">
        <v>14</v>
      </c>
      <c r="G2293" s="425">
        <f t="shared" si="37"/>
        <v>0</v>
      </c>
    </row>
    <row r="2294" spans="2:7">
      <c r="B2294" s="323">
        <v>46141</v>
      </c>
      <c r="C2294" s="325" t="s">
        <v>1326</v>
      </c>
      <c r="D2294" s="322">
        <v>1</v>
      </c>
      <c r="E2294" s="322" t="s">
        <v>388</v>
      </c>
      <c r="F2294" s="322">
        <v>1</v>
      </c>
      <c r="G2294" s="425">
        <f t="shared" si="37"/>
        <v>0</v>
      </c>
    </row>
    <row r="2295" spans="2:7">
      <c r="B2295" s="323">
        <v>46141</v>
      </c>
      <c r="C2295" s="324" t="s">
        <v>134</v>
      </c>
      <c r="D2295" s="322">
        <v>1</v>
      </c>
      <c r="E2295" s="322" t="s">
        <v>388</v>
      </c>
      <c r="F2295" s="322">
        <v>1</v>
      </c>
      <c r="G2295" s="425">
        <f t="shared" si="37"/>
        <v>0</v>
      </c>
    </row>
    <row r="2296" spans="2:7">
      <c r="B2296" s="323">
        <v>46141</v>
      </c>
      <c r="C2296" s="325" t="s">
        <v>2142</v>
      </c>
      <c r="D2296" s="322">
        <v>1</v>
      </c>
      <c r="E2296" s="322" t="s">
        <v>388</v>
      </c>
      <c r="F2296" s="322">
        <v>1</v>
      </c>
      <c r="G2296" s="425">
        <f t="shared" si="37"/>
        <v>0</v>
      </c>
    </row>
    <row r="2297" spans="2:7">
      <c r="B2297" s="323">
        <v>46141</v>
      </c>
      <c r="C2297" s="325" t="s">
        <v>1291</v>
      </c>
      <c r="D2297" s="322">
        <v>2</v>
      </c>
      <c r="E2297" s="322" t="s">
        <v>388</v>
      </c>
      <c r="F2297" s="322">
        <v>2</v>
      </c>
      <c r="G2297" s="425">
        <f t="shared" si="37"/>
        <v>0</v>
      </c>
    </row>
    <row r="2298" spans="2:7">
      <c r="B2298" s="323">
        <v>46141</v>
      </c>
      <c r="C2298" s="325" t="s">
        <v>1326</v>
      </c>
      <c r="D2298" s="322">
        <v>1</v>
      </c>
      <c r="E2298" s="322" t="s">
        <v>388</v>
      </c>
      <c r="F2298" s="322">
        <v>1</v>
      </c>
      <c r="G2298" s="425">
        <f t="shared" si="37"/>
        <v>0</v>
      </c>
    </row>
    <row r="2299" spans="2:7">
      <c r="B2299" s="323">
        <v>46141</v>
      </c>
      <c r="C2299" s="325" t="s">
        <v>1271</v>
      </c>
      <c r="D2299" s="322">
        <v>4</v>
      </c>
      <c r="E2299" s="322" t="s">
        <v>388</v>
      </c>
      <c r="F2299" s="322">
        <v>4</v>
      </c>
      <c r="G2299" s="425">
        <f t="shared" si="37"/>
        <v>0</v>
      </c>
    </row>
    <row r="2300" spans="2:7">
      <c r="B2300" s="323">
        <v>46141</v>
      </c>
      <c r="C2300" s="325" t="s">
        <v>1246</v>
      </c>
      <c r="D2300" s="322">
        <v>5</v>
      </c>
      <c r="E2300" s="322" t="s">
        <v>388</v>
      </c>
      <c r="F2300" s="322">
        <v>5</v>
      </c>
      <c r="G2300" s="425">
        <f t="shared" si="37"/>
        <v>0</v>
      </c>
    </row>
    <row r="2301" spans="2:7">
      <c r="B2301" s="323">
        <v>46141</v>
      </c>
      <c r="C2301" s="325" t="s">
        <v>1641</v>
      </c>
      <c r="D2301" s="322">
        <v>1</v>
      </c>
      <c r="E2301" s="322" t="s">
        <v>388</v>
      </c>
      <c r="F2301" s="322">
        <v>1</v>
      </c>
      <c r="G2301" s="425">
        <f t="shared" si="37"/>
        <v>0</v>
      </c>
    </row>
    <row r="2302" spans="2:7">
      <c r="B2302" s="323">
        <v>46141</v>
      </c>
      <c r="C2302" s="325" t="s">
        <v>1246</v>
      </c>
      <c r="D2302" s="322">
        <v>10</v>
      </c>
      <c r="E2302" s="322" t="s">
        <v>388</v>
      </c>
      <c r="F2302" s="322">
        <v>10</v>
      </c>
      <c r="G2302" s="425">
        <f t="shared" si="37"/>
        <v>0</v>
      </c>
    </row>
    <row r="2303" spans="2:7">
      <c r="B2303" s="323">
        <v>46141</v>
      </c>
      <c r="C2303" s="325" t="s">
        <v>1246</v>
      </c>
      <c r="D2303" s="322">
        <v>6</v>
      </c>
      <c r="E2303" s="322" t="s">
        <v>388</v>
      </c>
      <c r="F2303" s="322">
        <v>6</v>
      </c>
      <c r="G2303" s="425">
        <f t="shared" si="37"/>
        <v>0</v>
      </c>
    </row>
    <row r="2304" spans="2:7">
      <c r="B2304" s="323">
        <v>46141</v>
      </c>
      <c r="C2304" s="325" t="s">
        <v>1641</v>
      </c>
      <c r="D2304" s="322">
        <v>2</v>
      </c>
      <c r="E2304" s="322" t="s">
        <v>388</v>
      </c>
      <c r="F2304" s="322">
        <v>2</v>
      </c>
      <c r="G2304" s="425">
        <f t="shared" si="37"/>
        <v>0</v>
      </c>
    </row>
    <row r="2305" spans="2:7">
      <c r="B2305" s="323">
        <v>46141</v>
      </c>
      <c r="C2305" s="325" t="s">
        <v>1249</v>
      </c>
      <c r="D2305" s="322">
        <v>2</v>
      </c>
      <c r="E2305" s="322" t="s">
        <v>388</v>
      </c>
      <c r="F2305" s="322">
        <v>2</v>
      </c>
      <c r="G2305" s="425">
        <f t="shared" si="37"/>
        <v>0</v>
      </c>
    </row>
    <row r="2306" spans="2:7">
      <c r="B2306" s="323">
        <v>46141</v>
      </c>
      <c r="C2306" s="325" t="s">
        <v>1271</v>
      </c>
      <c r="D2306" s="322">
        <v>6</v>
      </c>
      <c r="E2306" s="322" t="s">
        <v>388</v>
      </c>
      <c r="F2306" s="322">
        <v>6</v>
      </c>
      <c r="G2306" s="425">
        <f t="shared" si="37"/>
        <v>0</v>
      </c>
    </row>
    <row r="2307" spans="2:7">
      <c r="B2307" s="323">
        <v>46141</v>
      </c>
      <c r="C2307" s="325" t="s">
        <v>1568</v>
      </c>
      <c r="D2307" s="322">
        <v>3</v>
      </c>
      <c r="E2307" s="322" t="s">
        <v>388</v>
      </c>
      <c r="F2307" s="322">
        <v>3</v>
      </c>
      <c r="G2307" s="425">
        <f t="shared" si="37"/>
        <v>0</v>
      </c>
    </row>
    <row r="2308" spans="2:7">
      <c r="B2308" s="323">
        <v>46141</v>
      </c>
      <c r="C2308" s="325" t="s">
        <v>1271</v>
      </c>
      <c r="D2308" s="322">
        <v>2</v>
      </c>
      <c r="E2308" s="322" t="s">
        <v>388</v>
      </c>
      <c r="F2308" s="322">
        <v>2</v>
      </c>
      <c r="G2308" s="425">
        <f t="shared" si="37"/>
        <v>0</v>
      </c>
    </row>
    <row r="2309" spans="2:7">
      <c r="B2309" s="323">
        <v>46141</v>
      </c>
      <c r="C2309" s="325" t="s">
        <v>1246</v>
      </c>
      <c r="D2309" s="322">
        <v>2</v>
      </c>
      <c r="E2309" s="322" t="s">
        <v>388</v>
      </c>
      <c r="F2309" s="322">
        <v>2</v>
      </c>
      <c r="G2309" s="425">
        <f t="shared" si="37"/>
        <v>0</v>
      </c>
    </row>
    <row r="2310" spans="2:7">
      <c r="B2310" s="323">
        <v>46141</v>
      </c>
      <c r="C2310" s="325" t="s">
        <v>2019</v>
      </c>
      <c r="D2310" s="322">
        <v>2</v>
      </c>
      <c r="E2310" s="322" t="s">
        <v>388</v>
      </c>
      <c r="F2310" s="322">
        <v>2</v>
      </c>
      <c r="G2310" s="425">
        <f t="shared" si="37"/>
        <v>0</v>
      </c>
    </row>
    <row r="2311" spans="2:7">
      <c r="B2311" s="323">
        <v>46141</v>
      </c>
      <c r="C2311" s="324" t="s">
        <v>926</v>
      </c>
      <c r="D2311" s="322">
        <v>1</v>
      </c>
      <c r="E2311" s="322" t="s">
        <v>388</v>
      </c>
      <c r="F2311" s="322">
        <v>1</v>
      </c>
      <c r="G2311" s="425">
        <f t="shared" si="37"/>
        <v>0</v>
      </c>
    </row>
    <row r="2312" spans="2:7">
      <c r="B2312" s="323">
        <v>46141</v>
      </c>
      <c r="C2312" s="324" t="s">
        <v>4665</v>
      </c>
      <c r="D2312" s="322">
        <v>1</v>
      </c>
      <c r="E2312" s="322" t="s">
        <v>388</v>
      </c>
      <c r="F2312" s="322">
        <v>1</v>
      </c>
      <c r="G2312" s="425">
        <f t="shared" si="37"/>
        <v>0</v>
      </c>
    </row>
    <row r="2313" spans="2:7">
      <c r="B2313" s="323">
        <v>46147</v>
      </c>
      <c r="C2313" s="325" t="s">
        <v>1490</v>
      </c>
      <c r="D2313" s="322">
        <v>1</v>
      </c>
      <c r="E2313" s="322" t="s">
        <v>388</v>
      </c>
      <c r="F2313" s="322">
        <v>1</v>
      </c>
      <c r="G2313" s="425">
        <f t="shared" si="37"/>
        <v>0</v>
      </c>
    </row>
    <row r="2314" spans="2:7">
      <c r="B2314" s="323">
        <v>46147</v>
      </c>
      <c r="C2314" s="325" t="s">
        <v>1095</v>
      </c>
      <c r="D2314" s="322">
        <v>2</v>
      </c>
      <c r="E2314" s="322" t="s">
        <v>388</v>
      </c>
      <c r="F2314" s="322">
        <v>2</v>
      </c>
      <c r="G2314" s="425">
        <f t="shared" si="37"/>
        <v>0</v>
      </c>
    </row>
    <row r="2315" spans="2:7">
      <c r="B2315" s="323">
        <v>46147</v>
      </c>
      <c r="C2315" s="325" t="s">
        <v>1334</v>
      </c>
      <c r="D2315" s="322">
        <v>2</v>
      </c>
      <c r="E2315" s="322" t="s">
        <v>388</v>
      </c>
      <c r="F2315" s="322">
        <v>2</v>
      </c>
      <c r="G2315" s="425">
        <f t="shared" si="37"/>
        <v>0</v>
      </c>
    </row>
    <row r="2316" spans="2:7">
      <c r="B2316" s="323">
        <v>46147</v>
      </c>
      <c r="C2316" s="324" t="s">
        <v>4720</v>
      </c>
      <c r="D2316" s="322">
        <v>6</v>
      </c>
      <c r="E2316" s="322" t="s">
        <v>388</v>
      </c>
      <c r="F2316" s="322">
        <v>6</v>
      </c>
      <c r="G2316" s="425">
        <f t="shared" si="37"/>
        <v>0</v>
      </c>
    </row>
    <row r="2317" spans="2:7">
      <c r="B2317" s="323">
        <v>46147</v>
      </c>
      <c r="C2317" s="324" t="s">
        <v>134</v>
      </c>
      <c r="D2317" s="322">
        <v>1</v>
      </c>
      <c r="E2317" s="322" t="s">
        <v>388</v>
      </c>
      <c r="F2317" s="322">
        <v>1</v>
      </c>
      <c r="G2317" s="425">
        <f t="shared" si="37"/>
        <v>0</v>
      </c>
    </row>
    <row r="2318" spans="2:7">
      <c r="B2318" s="323">
        <v>46147</v>
      </c>
      <c r="C2318" s="325" t="s">
        <v>4108</v>
      </c>
      <c r="D2318" s="322">
        <v>1</v>
      </c>
      <c r="E2318" s="322" t="s">
        <v>388</v>
      </c>
      <c r="F2318" s="322">
        <v>1</v>
      </c>
      <c r="G2318" s="425">
        <f t="shared" si="37"/>
        <v>0</v>
      </c>
    </row>
    <row r="2319" spans="2:7">
      <c r="B2319" s="323">
        <v>46147</v>
      </c>
      <c r="C2319" s="325" t="s">
        <v>1291</v>
      </c>
      <c r="D2319" s="322">
        <v>1</v>
      </c>
      <c r="E2319" s="322" t="s">
        <v>388</v>
      </c>
      <c r="F2319" s="322">
        <v>1</v>
      </c>
      <c r="G2319" s="425">
        <f t="shared" si="37"/>
        <v>0</v>
      </c>
    </row>
    <row r="2320" spans="2:7">
      <c r="B2320" s="323">
        <v>46147</v>
      </c>
      <c r="C2320" s="325" t="s">
        <v>1327</v>
      </c>
      <c r="D2320" s="322">
        <v>1</v>
      </c>
      <c r="E2320" s="322" t="s">
        <v>388</v>
      </c>
      <c r="F2320" s="322">
        <v>1</v>
      </c>
      <c r="G2320" s="425">
        <f t="shared" si="37"/>
        <v>0</v>
      </c>
    </row>
    <row r="2321" spans="2:8">
      <c r="B2321" s="323">
        <v>46147</v>
      </c>
      <c r="C2321" s="325" t="s">
        <v>2032</v>
      </c>
      <c r="D2321" s="322">
        <v>1</v>
      </c>
      <c r="E2321" s="322" t="s">
        <v>388</v>
      </c>
      <c r="F2321" s="322">
        <v>1</v>
      </c>
      <c r="G2321" s="425">
        <f t="shared" ref="G2321:G2384" si="38">D2321-F2321</f>
        <v>0</v>
      </c>
    </row>
    <row r="2322" spans="2:8">
      <c r="B2322" s="323">
        <v>46147</v>
      </c>
      <c r="C2322" s="325" t="s">
        <v>1568</v>
      </c>
      <c r="D2322" s="322">
        <v>1</v>
      </c>
      <c r="E2322" s="322" t="s">
        <v>388</v>
      </c>
      <c r="F2322" s="322">
        <v>1</v>
      </c>
      <c r="G2322" s="425">
        <f t="shared" si="38"/>
        <v>0</v>
      </c>
    </row>
    <row r="2323" spans="2:8">
      <c r="B2323" s="323">
        <v>46147</v>
      </c>
      <c r="C2323" s="325" t="s">
        <v>1568</v>
      </c>
      <c r="D2323" s="322">
        <v>1</v>
      </c>
      <c r="E2323" s="322" t="s">
        <v>388</v>
      </c>
      <c r="F2323" s="322">
        <v>1</v>
      </c>
      <c r="G2323" s="425">
        <f t="shared" si="38"/>
        <v>0</v>
      </c>
    </row>
    <row r="2324" spans="2:8">
      <c r="B2324" s="323">
        <v>46147</v>
      </c>
      <c r="C2324" s="324" t="s">
        <v>1994</v>
      </c>
      <c r="D2324" s="322">
        <v>14</v>
      </c>
      <c r="E2324" s="322" t="s">
        <v>388</v>
      </c>
      <c r="F2324" s="322">
        <v>14</v>
      </c>
      <c r="G2324" s="425">
        <f t="shared" si="38"/>
        <v>0</v>
      </c>
    </row>
    <row r="2325" spans="2:8">
      <c r="B2325" s="323">
        <v>46147</v>
      </c>
      <c r="C2325" s="325" t="s">
        <v>1568</v>
      </c>
      <c r="D2325" s="322">
        <v>4</v>
      </c>
      <c r="E2325" s="322" t="s">
        <v>388</v>
      </c>
      <c r="F2325" s="322">
        <v>4</v>
      </c>
      <c r="G2325" s="425">
        <f t="shared" si="38"/>
        <v>0</v>
      </c>
    </row>
    <row r="2326" spans="2:8">
      <c r="B2326" s="323">
        <v>46147</v>
      </c>
      <c r="C2326" s="325" t="s">
        <v>1271</v>
      </c>
      <c r="D2326" s="322">
        <v>8</v>
      </c>
      <c r="E2326" s="322" t="s">
        <v>388</v>
      </c>
      <c r="F2326" s="322">
        <v>8</v>
      </c>
      <c r="G2326" s="425">
        <f t="shared" si="38"/>
        <v>0</v>
      </c>
    </row>
    <row r="2327" spans="2:8">
      <c r="B2327" s="323">
        <v>46147</v>
      </c>
      <c r="C2327" s="325" t="s">
        <v>1271</v>
      </c>
      <c r="D2327" s="322">
        <v>9</v>
      </c>
      <c r="E2327" s="322" t="s">
        <v>388</v>
      </c>
      <c r="F2327" s="322">
        <v>9</v>
      </c>
      <c r="G2327" s="425">
        <f t="shared" si="38"/>
        <v>0</v>
      </c>
    </row>
    <row r="2328" spans="2:8">
      <c r="B2328" s="323">
        <v>46147</v>
      </c>
      <c r="C2328" s="325" t="s">
        <v>1246</v>
      </c>
      <c r="D2328" s="322">
        <v>7</v>
      </c>
      <c r="E2328" s="322" t="s">
        <v>388</v>
      </c>
      <c r="F2328" s="322">
        <v>7</v>
      </c>
      <c r="G2328" s="425">
        <f t="shared" si="38"/>
        <v>0</v>
      </c>
    </row>
    <row r="2329" spans="2:8">
      <c r="B2329" s="323">
        <v>46147</v>
      </c>
      <c r="C2329" s="325" t="s">
        <v>1301</v>
      </c>
      <c r="D2329" s="322">
        <v>2</v>
      </c>
      <c r="E2329" s="322" t="s">
        <v>388</v>
      </c>
      <c r="F2329" s="322">
        <v>2</v>
      </c>
      <c r="G2329" s="425">
        <f t="shared" si="38"/>
        <v>0</v>
      </c>
    </row>
    <row r="2330" spans="2:8">
      <c r="B2330" s="323">
        <v>46147</v>
      </c>
      <c r="C2330" s="325" t="s">
        <v>1246</v>
      </c>
      <c r="D2330" s="322">
        <v>2</v>
      </c>
      <c r="E2330" s="322" t="s">
        <v>388</v>
      </c>
      <c r="F2330" s="322">
        <v>2</v>
      </c>
      <c r="G2330" s="425">
        <f t="shared" si="38"/>
        <v>0</v>
      </c>
    </row>
    <row r="2331" spans="2:8">
      <c r="B2331" s="323">
        <v>46147</v>
      </c>
      <c r="C2331" s="325" t="s">
        <v>1249</v>
      </c>
      <c r="D2331" s="322">
        <v>1</v>
      </c>
      <c r="E2331" s="322" t="s">
        <v>388</v>
      </c>
      <c r="F2331" s="322">
        <v>1</v>
      </c>
      <c r="G2331" s="425">
        <f t="shared" si="38"/>
        <v>0</v>
      </c>
    </row>
    <row r="2332" spans="2:8">
      <c r="B2332" s="323">
        <v>46147</v>
      </c>
      <c r="C2332" s="325" t="s">
        <v>1640</v>
      </c>
      <c r="D2332" s="322">
        <v>2</v>
      </c>
      <c r="E2332" s="322" t="s">
        <v>388</v>
      </c>
      <c r="F2332" s="322">
        <v>2</v>
      </c>
      <c r="G2332" s="425">
        <f t="shared" si="38"/>
        <v>0</v>
      </c>
    </row>
    <row r="2333" spans="2:8">
      <c r="B2333" s="323">
        <v>46147</v>
      </c>
      <c r="C2333" s="324" t="s">
        <v>4665</v>
      </c>
      <c r="D2333" s="322">
        <v>1</v>
      </c>
      <c r="E2333" s="322" t="s">
        <v>388</v>
      </c>
      <c r="F2333" s="322">
        <v>1</v>
      </c>
      <c r="G2333" s="425">
        <f t="shared" si="38"/>
        <v>0</v>
      </c>
    </row>
    <row r="2334" spans="2:8">
      <c r="B2334" s="346">
        <v>46147</v>
      </c>
      <c r="C2334" s="349" t="s">
        <v>1334</v>
      </c>
      <c r="D2334" s="348">
        <v>1</v>
      </c>
      <c r="E2334" s="348" t="s">
        <v>2093</v>
      </c>
      <c r="F2334" s="348">
        <v>1</v>
      </c>
      <c r="G2334" s="351">
        <f t="shared" si="38"/>
        <v>0</v>
      </c>
      <c r="H2334" t="s">
        <v>4760</v>
      </c>
    </row>
    <row r="2335" spans="2:8">
      <c r="B2335" s="346">
        <v>46147</v>
      </c>
      <c r="C2335" s="349" t="s">
        <v>1326</v>
      </c>
      <c r="D2335" s="348">
        <v>2</v>
      </c>
      <c r="E2335" s="348" t="s">
        <v>2093</v>
      </c>
      <c r="F2335" s="348">
        <v>2</v>
      </c>
      <c r="G2335" s="351">
        <f t="shared" si="38"/>
        <v>0</v>
      </c>
    </row>
    <row r="2336" spans="2:8">
      <c r="B2336" s="346">
        <v>46147</v>
      </c>
      <c r="C2336" s="349" t="s">
        <v>1327</v>
      </c>
      <c r="D2336" s="348">
        <v>1</v>
      </c>
      <c r="E2336" s="348" t="s">
        <v>2093</v>
      </c>
      <c r="F2336" s="348">
        <v>1</v>
      </c>
      <c r="G2336" s="351">
        <f t="shared" si="38"/>
        <v>0</v>
      </c>
    </row>
    <row r="2337" spans="2:7">
      <c r="B2337" s="346">
        <v>46147</v>
      </c>
      <c r="C2337" s="349" t="s">
        <v>1291</v>
      </c>
      <c r="D2337" s="348">
        <v>3</v>
      </c>
      <c r="E2337" s="348" t="s">
        <v>2093</v>
      </c>
      <c r="F2337" s="348">
        <v>3</v>
      </c>
      <c r="G2337" s="351">
        <f t="shared" si="38"/>
        <v>0</v>
      </c>
    </row>
    <row r="2338" spans="2:7">
      <c r="B2338" s="346">
        <v>46147</v>
      </c>
      <c r="C2338" s="349" t="s">
        <v>4109</v>
      </c>
      <c r="D2338" s="348">
        <v>11</v>
      </c>
      <c r="E2338" s="348" t="s">
        <v>2093</v>
      </c>
      <c r="F2338" s="348">
        <v>11</v>
      </c>
      <c r="G2338" s="351">
        <f t="shared" si="38"/>
        <v>0</v>
      </c>
    </row>
    <row r="2339" spans="2:7">
      <c r="B2339" s="346">
        <v>46147</v>
      </c>
      <c r="C2339" s="349" t="s">
        <v>1246</v>
      </c>
      <c r="D2339" s="348">
        <v>7</v>
      </c>
      <c r="E2339" s="348" t="s">
        <v>2093</v>
      </c>
      <c r="F2339" s="348">
        <v>7</v>
      </c>
      <c r="G2339" s="351">
        <f t="shared" si="38"/>
        <v>0</v>
      </c>
    </row>
    <row r="2340" spans="2:7">
      <c r="B2340" s="346">
        <v>46147</v>
      </c>
      <c r="C2340" s="349" t="s">
        <v>1097</v>
      </c>
      <c r="D2340" s="348">
        <v>1</v>
      </c>
      <c r="E2340" s="348" t="s">
        <v>2093</v>
      </c>
      <c r="F2340" s="348">
        <v>1</v>
      </c>
      <c r="G2340" s="351">
        <f t="shared" si="38"/>
        <v>0</v>
      </c>
    </row>
    <row r="2341" spans="2:7">
      <c r="B2341" s="346">
        <v>46147</v>
      </c>
      <c r="C2341" s="349" t="s">
        <v>1249</v>
      </c>
      <c r="D2341" s="348">
        <v>1</v>
      </c>
      <c r="E2341" s="348" t="s">
        <v>2093</v>
      </c>
      <c r="F2341" s="348">
        <v>1</v>
      </c>
      <c r="G2341" s="351">
        <f t="shared" si="38"/>
        <v>0</v>
      </c>
    </row>
    <row r="2342" spans="2:7">
      <c r="B2342" s="346">
        <v>46147</v>
      </c>
      <c r="C2342" s="349" t="s">
        <v>1246</v>
      </c>
      <c r="D2342" s="348">
        <v>1</v>
      </c>
      <c r="E2342" s="348" t="s">
        <v>2093</v>
      </c>
      <c r="F2342" s="348">
        <v>1</v>
      </c>
      <c r="G2342" s="351">
        <f t="shared" si="38"/>
        <v>0</v>
      </c>
    </row>
    <row r="2343" spans="2:7">
      <c r="B2343" s="346">
        <v>46147</v>
      </c>
      <c r="C2343" s="349" t="s">
        <v>1568</v>
      </c>
      <c r="D2343" s="348">
        <v>1</v>
      </c>
      <c r="E2343" s="348" t="s">
        <v>2093</v>
      </c>
      <c r="F2343" s="348">
        <v>1</v>
      </c>
      <c r="G2343" s="351">
        <f t="shared" si="38"/>
        <v>0</v>
      </c>
    </row>
    <row r="2344" spans="2:7">
      <c r="B2344" s="323">
        <v>46147</v>
      </c>
      <c r="C2344" s="324" t="s">
        <v>131</v>
      </c>
      <c r="D2344" s="322">
        <v>18</v>
      </c>
      <c r="E2344" s="322" t="s">
        <v>388</v>
      </c>
      <c r="F2344" s="322">
        <v>18</v>
      </c>
      <c r="G2344" s="425">
        <f t="shared" si="38"/>
        <v>0</v>
      </c>
    </row>
    <row r="2345" spans="2:7">
      <c r="B2345" s="323">
        <v>46147</v>
      </c>
      <c r="C2345" s="324" t="s">
        <v>960</v>
      </c>
      <c r="D2345" s="322">
        <v>2</v>
      </c>
      <c r="E2345" s="322" t="s">
        <v>388</v>
      </c>
      <c r="F2345" s="322">
        <v>2</v>
      </c>
      <c r="G2345" s="425">
        <f t="shared" si="38"/>
        <v>0</v>
      </c>
    </row>
    <row r="2346" spans="2:7">
      <c r="B2346" s="323">
        <v>46147</v>
      </c>
      <c r="C2346" s="425" t="s">
        <v>375</v>
      </c>
      <c r="D2346" s="322">
        <v>3</v>
      </c>
      <c r="E2346" s="322" t="s">
        <v>388</v>
      </c>
      <c r="F2346" s="322">
        <v>3</v>
      </c>
      <c r="G2346" s="425">
        <f t="shared" si="38"/>
        <v>0</v>
      </c>
    </row>
    <row r="2347" spans="2:7">
      <c r="B2347" s="323">
        <v>46147</v>
      </c>
      <c r="C2347" s="325" t="s">
        <v>806</v>
      </c>
      <c r="D2347" s="322">
        <v>2</v>
      </c>
      <c r="E2347" s="322" t="s">
        <v>388</v>
      </c>
      <c r="F2347" s="322">
        <v>2</v>
      </c>
      <c r="G2347" s="425">
        <f t="shared" si="38"/>
        <v>0</v>
      </c>
    </row>
    <row r="2348" spans="2:7">
      <c r="B2348" s="323">
        <v>46147</v>
      </c>
      <c r="C2348" s="325" t="s">
        <v>4761</v>
      </c>
      <c r="D2348" s="322">
        <v>2</v>
      </c>
      <c r="E2348" s="322" t="s">
        <v>388</v>
      </c>
      <c r="F2348" s="322">
        <v>2</v>
      </c>
      <c r="G2348" s="425">
        <f t="shared" si="38"/>
        <v>0</v>
      </c>
    </row>
    <row r="2349" spans="2:7">
      <c r="B2349" s="335">
        <v>46151</v>
      </c>
      <c r="C2349" s="343" t="s">
        <v>4109</v>
      </c>
      <c r="D2349" s="43">
        <v>7</v>
      </c>
      <c r="E2349" s="43" t="s">
        <v>3831</v>
      </c>
      <c r="F2349" s="43">
        <v>7</v>
      </c>
      <c r="G2349" s="344">
        <f t="shared" si="38"/>
        <v>0</v>
      </c>
    </row>
    <row r="2350" spans="2:7">
      <c r="B2350" s="265">
        <v>46149</v>
      </c>
      <c r="C2350" s="343" t="s">
        <v>4124</v>
      </c>
      <c r="D2350" s="43">
        <v>1</v>
      </c>
      <c r="E2350" s="43" t="s">
        <v>4781</v>
      </c>
      <c r="F2350" s="43">
        <v>1</v>
      </c>
      <c r="G2350" s="344">
        <f t="shared" si="38"/>
        <v>0</v>
      </c>
    </row>
    <row r="2351" spans="2:7">
      <c r="B2351" s="265">
        <v>46149</v>
      </c>
      <c r="C2351" s="343" t="s">
        <v>4503</v>
      </c>
      <c r="D2351" s="43">
        <v>1</v>
      </c>
      <c r="E2351" s="43" t="s">
        <v>4781</v>
      </c>
      <c r="F2351" s="43">
        <v>1</v>
      </c>
      <c r="G2351" s="344">
        <f t="shared" si="38"/>
        <v>0</v>
      </c>
    </row>
    <row r="2352" spans="2:7">
      <c r="B2352" s="265">
        <v>46149</v>
      </c>
      <c r="C2352" s="92" t="s">
        <v>76</v>
      </c>
      <c r="D2352" s="43">
        <v>20</v>
      </c>
      <c r="E2352" s="43" t="s">
        <v>4781</v>
      </c>
      <c r="F2352" s="43">
        <v>20</v>
      </c>
      <c r="G2352" s="344">
        <f t="shared" si="38"/>
        <v>0</v>
      </c>
    </row>
    <row r="2353" spans="2:7">
      <c r="B2353" s="265">
        <v>46149</v>
      </c>
      <c r="C2353" s="93" t="s">
        <v>839</v>
      </c>
      <c r="D2353" s="43">
        <v>67</v>
      </c>
      <c r="E2353" s="43" t="s">
        <v>4781</v>
      </c>
      <c r="F2353" s="43">
        <v>67</v>
      </c>
      <c r="G2353" s="344">
        <f t="shared" si="38"/>
        <v>0</v>
      </c>
    </row>
    <row r="2354" spans="2:7">
      <c r="B2354" s="265">
        <v>46149</v>
      </c>
      <c r="C2354" s="92" t="s">
        <v>671</v>
      </c>
      <c r="D2354" s="43">
        <v>12</v>
      </c>
      <c r="E2354" s="43" t="s">
        <v>4781</v>
      </c>
      <c r="F2354" s="43">
        <v>12</v>
      </c>
      <c r="G2354" s="344">
        <f t="shared" si="38"/>
        <v>0</v>
      </c>
    </row>
    <row r="2355" spans="2:7">
      <c r="B2355" s="346">
        <v>46149</v>
      </c>
      <c r="C2355" s="349" t="s">
        <v>4109</v>
      </c>
      <c r="D2355" s="348">
        <v>10</v>
      </c>
      <c r="E2355" s="348" t="s">
        <v>2093</v>
      </c>
      <c r="F2355" s="348">
        <v>10</v>
      </c>
      <c r="G2355" s="351">
        <f t="shared" si="38"/>
        <v>0</v>
      </c>
    </row>
    <row r="2356" spans="2:7">
      <c r="B2356" s="346">
        <v>46149</v>
      </c>
      <c r="C2356" s="349" t="s">
        <v>4470</v>
      </c>
      <c r="D2356" s="348">
        <v>2</v>
      </c>
      <c r="E2356" s="348" t="s">
        <v>2093</v>
      </c>
      <c r="F2356" s="348">
        <v>2</v>
      </c>
      <c r="G2356" s="351">
        <f t="shared" si="38"/>
        <v>0</v>
      </c>
    </row>
    <row r="2357" spans="2:7">
      <c r="B2357" s="346">
        <v>46149</v>
      </c>
      <c r="C2357" s="349" t="s">
        <v>1271</v>
      </c>
      <c r="D2357" s="348">
        <v>5</v>
      </c>
      <c r="E2357" s="348" t="s">
        <v>2093</v>
      </c>
      <c r="F2357" s="348">
        <v>5</v>
      </c>
      <c r="G2357" s="351">
        <f t="shared" si="38"/>
        <v>0</v>
      </c>
    </row>
    <row r="2358" spans="2:7">
      <c r="B2358" s="346">
        <v>46149</v>
      </c>
      <c r="C2358" s="349" t="s">
        <v>1326</v>
      </c>
      <c r="D2358" s="348">
        <v>4</v>
      </c>
      <c r="E2358" s="348" t="s">
        <v>2093</v>
      </c>
      <c r="F2358" s="348">
        <v>4</v>
      </c>
      <c r="G2358" s="351">
        <f t="shared" si="38"/>
        <v>0</v>
      </c>
    </row>
    <row r="2359" spans="2:7">
      <c r="B2359" s="346">
        <v>46149</v>
      </c>
      <c r="C2359" s="349" t="s">
        <v>1246</v>
      </c>
      <c r="D2359" s="348">
        <v>3</v>
      </c>
      <c r="E2359" s="348" t="s">
        <v>2093</v>
      </c>
      <c r="F2359" s="348">
        <v>3</v>
      </c>
      <c r="G2359" s="351">
        <f t="shared" si="38"/>
        <v>0</v>
      </c>
    </row>
    <row r="2360" spans="2:7">
      <c r="B2360" s="346">
        <v>46149</v>
      </c>
      <c r="C2360" s="349" t="s">
        <v>1291</v>
      </c>
      <c r="D2360" s="348">
        <v>5</v>
      </c>
      <c r="E2360" s="348" t="s">
        <v>2093</v>
      </c>
      <c r="F2360" s="348">
        <v>5</v>
      </c>
      <c r="G2360" s="351">
        <f t="shared" si="38"/>
        <v>0</v>
      </c>
    </row>
    <row r="2361" spans="2:7">
      <c r="B2361" s="346">
        <v>46149</v>
      </c>
      <c r="C2361" s="349" t="s">
        <v>1291</v>
      </c>
      <c r="D2361" s="348">
        <v>1</v>
      </c>
      <c r="E2361" s="348" t="s">
        <v>2093</v>
      </c>
      <c r="F2361" s="348">
        <v>1</v>
      </c>
      <c r="G2361" s="351">
        <f t="shared" si="38"/>
        <v>0</v>
      </c>
    </row>
    <row r="2362" spans="2:7">
      <c r="B2362" s="346">
        <v>46149</v>
      </c>
      <c r="C2362" s="349" t="s">
        <v>1246</v>
      </c>
      <c r="D2362" s="348">
        <v>1</v>
      </c>
      <c r="E2362" s="348" t="s">
        <v>2093</v>
      </c>
      <c r="F2362" s="348">
        <v>1</v>
      </c>
      <c r="G2362" s="351">
        <f t="shared" si="38"/>
        <v>0</v>
      </c>
    </row>
    <row r="2363" spans="2:7">
      <c r="B2363" s="346">
        <v>46149</v>
      </c>
      <c r="C2363" s="349" t="s">
        <v>1334</v>
      </c>
      <c r="D2363" s="348">
        <v>1</v>
      </c>
      <c r="E2363" s="348" t="s">
        <v>2093</v>
      </c>
      <c r="F2363" s="348">
        <v>1</v>
      </c>
      <c r="G2363" s="351">
        <f t="shared" si="38"/>
        <v>0</v>
      </c>
    </row>
    <row r="2364" spans="2:7">
      <c r="B2364" s="346">
        <v>46149</v>
      </c>
      <c r="C2364" s="349" t="s">
        <v>1641</v>
      </c>
      <c r="D2364" s="348">
        <v>1</v>
      </c>
      <c r="E2364" s="348" t="s">
        <v>2093</v>
      </c>
      <c r="F2364" s="348">
        <v>1</v>
      </c>
      <c r="G2364" s="351">
        <f t="shared" si="38"/>
        <v>0</v>
      </c>
    </row>
    <row r="2365" spans="2:7">
      <c r="B2365" s="346">
        <v>46149</v>
      </c>
      <c r="C2365" s="349" t="s">
        <v>1095</v>
      </c>
      <c r="D2365" s="348">
        <v>1</v>
      </c>
      <c r="E2365" s="348" t="s">
        <v>2093</v>
      </c>
      <c r="F2365" s="348">
        <v>1</v>
      </c>
      <c r="G2365" s="351">
        <f t="shared" si="38"/>
        <v>0</v>
      </c>
    </row>
    <row r="2366" spans="2:7">
      <c r="B2366" s="346">
        <v>46149</v>
      </c>
      <c r="C2366" s="349" t="s">
        <v>1568</v>
      </c>
      <c r="D2366" s="348">
        <v>1</v>
      </c>
      <c r="E2366" s="348" t="s">
        <v>2093</v>
      </c>
      <c r="F2366" s="348">
        <v>1</v>
      </c>
      <c r="G2366" s="351">
        <f t="shared" si="38"/>
        <v>0</v>
      </c>
    </row>
    <row r="2367" spans="2:7">
      <c r="B2367" s="323">
        <v>46149</v>
      </c>
      <c r="C2367" s="325" t="s">
        <v>4124</v>
      </c>
      <c r="D2367" s="322">
        <v>7</v>
      </c>
      <c r="E2367" s="322" t="s">
        <v>4786</v>
      </c>
      <c r="F2367" s="322">
        <v>7</v>
      </c>
      <c r="G2367" s="425">
        <f t="shared" si="38"/>
        <v>0</v>
      </c>
    </row>
    <row r="2368" spans="2:7">
      <c r="B2368" s="323">
        <v>46149</v>
      </c>
      <c r="C2368" s="325" t="s">
        <v>4124</v>
      </c>
      <c r="D2368" s="322">
        <v>1</v>
      </c>
      <c r="E2368" s="322" t="s">
        <v>4787</v>
      </c>
      <c r="F2368" s="322">
        <v>1</v>
      </c>
      <c r="G2368" s="425">
        <f t="shared" si="38"/>
        <v>0</v>
      </c>
    </row>
    <row r="2369" spans="2:7">
      <c r="B2369" s="335">
        <v>46153</v>
      </c>
      <c r="C2369" s="343" t="s">
        <v>4124</v>
      </c>
      <c r="D2369" s="345">
        <v>8</v>
      </c>
      <c r="E2369" s="345" t="s">
        <v>4788</v>
      </c>
      <c r="F2369" s="345">
        <v>8</v>
      </c>
      <c r="G2369" s="344">
        <f t="shared" si="38"/>
        <v>0</v>
      </c>
    </row>
    <row r="2370" spans="2:7">
      <c r="B2370" s="335">
        <v>46153</v>
      </c>
      <c r="C2370" s="343" t="s">
        <v>1246</v>
      </c>
      <c r="D2370" s="345">
        <v>42</v>
      </c>
      <c r="E2370" s="345" t="s">
        <v>4788</v>
      </c>
      <c r="F2370" s="345">
        <v>42</v>
      </c>
      <c r="G2370" s="344">
        <f t="shared" si="38"/>
        <v>0</v>
      </c>
    </row>
    <row r="2371" spans="2:7">
      <c r="B2371" s="335">
        <v>46153</v>
      </c>
      <c r="C2371" s="344" t="s">
        <v>375</v>
      </c>
      <c r="D2371" s="345">
        <v>6</v>
      </c>
      <c r="E2371" s="345" t="s">
        <v>4788</v>
      </c>
      <c r="F2371" s="345">
        <v>6</v>
      </c>
      <c r="G2371" s="344">
        <f t="shared" si="38"/>
        <v>0</v>
      </c>
    </row>
    <row r="2372" spans="2:7">
      <c r="B2372" s="335">
        <v>46153</v>
      </c>
      <c r="C2372" s="341" t="s">
        <v>76</v>
      </c>
      <c r="D2372" s="345">
        <v>93</v>
      </c>
      <c r="E2372" s="345" t="s">
        <v>4788</v>
      </c>
      <c r="F2372" s="345">
        <v>93</v>
      </c>
      <c r="G2372" s="344">
        <f t="shared" si="38"/>
        <v>0</v>
      </c>
    </row>
    <row r="2373" spans="2:7">
      <c r="B2373" s="335">
        <v>46156</v>
      </c>
      <c r="C2373" s="343" t="s">
        <v>1271</v>
      </c>
      <c r="D2373" s="43">
        <v>1</v>
      </c>
      <c r="E2373" s="43" t="s">
        <v>4793</v>
      </c>
      <c r="F2373" s="43">
        <v>1</v>
      </c>
      <c r="G2373" s="104">
        <f t="shared" si="38"/>
        <v>0</v>
      </c>
    </row>
    <row r="2374" spans="2:7">
      <c r="B2374" s="335">
        <v>46156</v>
      </c>
      <c r="C2374" s="343" t="s">
        <v>1409</v>
      </c>
      <c r="D2374" s="43">
        <v>1</v>
      </c>
      <c r="E2374" s="43" t="s">
        <v>4795</v>
      </c>
      <c r="F2374" s="43">
        <v>1</v>
      </c>
      <c r="G2374" s="104">
        <f t="shared" si="38"/>
        <v>0</v>
      </c>
    </row>
    <row r="2375" spans="2:7">
      <c r="B2375" s="346">
        <v>46158</v>
      </c>
      <c r="C2375" s="349" t="s">
        <v>1291</v>
      </c>
      <c r="D2375" s="348">
        <v>1</v>
      </c>
      <c r="E2375" s="348" t="s">
        <v>4797</v>
      </c>
      <c r="F2375" s="348">
        <v>1</v>
      </c>
      <c r="G2375" s="351">
        <f t="shared" si="38"/>
        <v>0</v>
      </c>
    </row>
    <row r="2376" spans="2:7">
      <c r="B2376" s="346">
        <v>46158</v>
      </c>
      <c r="C2376" s="351" t="s">
        <v>932</v>
      </c>
      <c r="D2376" s="348">
        <v>1</v>
      </c>
      <c r="E2376" s="348" t="s">
        <v>4797</v>
      </c>
      <c r="F2376" s="348">
        <v>1</v>
      </c>
      <c r="G2376" s="351">
        <f t="shared" si="38"/>
        <v>0</v>
      </c>
    </row>
    <row r="2377" spans="2:7">
      <c r="B2377" s="346">
        <v>46158</v>
      </c>
      <c r="C2377" s="349" t="s">
        <v>1271</v>
      </c>
      <c r="D2377" s="348">
        <v>1</v>
      </c>
      <c r="E2377" s="348" t="s">
        <v>4797</v>
      </c>
      <c r="F2377" s="348">
        <v>1</v>
      </c>
      <c r="G2377" s="351">
        <f t="shared" si="38"/>
        <v>0</v>
      </c>
    </row>
    <row r="2378" spans="2:7">
      <c r="B2378" s="265">
        <v>46157</v>
      </c>
      <c r="C2378" s="343" t="s">
        <v>2296</v>
      </c>
      <c r="D2378" s="43">
        <v>2</v>
      </c>
      <c r="E2378" s="43" t="s">
        <v>4798</v>
      </c>
      <c r="F2378" s="43">
        <v>2</v>
      </c>
      <c r="G2378" s="104">
        <f t="shared" si="38"/>
        <v>0</v>
      </c>
    </row>
    <row r="2379" spans="2:7">
      <c r="B2379" s="265">
        <v>46157</v>
      </c>
      <c r="C2379" s="343" t="s">
        <v>3871</v>
      </c>
      <c r="D2379" s="43">
        <v>1</v>
      </c>
      <c r="E2379" s="43" t="s">
        <v>4798</v>
      </c>
      <c r="F2379" s="43">
        <v>1</v>
      </c>
      <c r="G2379" s="104">
        <f t="shared" si="38"/>
        <v>0</v>
      </c>
    </row>
    <row r="2380" spans="2:7">
      <c r="B2380" s="265">
        <v>46157</v>
      </c>
      <c r="C2380" s="343" t="s">
        <v>3915</v>
      </c>
      <c r="D2380" s="43">
        <v>1</v>
      </c>
      <c r="E2380" s="43" t="s">
        <v>4798</v>
      </c>
      <c r="F2380" s="43">
        <v>1</v>
      </c>
      <c r="G2380" s="104">
        <f t="shared" si="38"/>
        <v>0</v>
      </c>
    </row>
    <row r="2381" spans="2:7">
      <c r="B2381" s="272">
        <v>46156</v>
      </c>
      <c r="C2381" s="139" t="s">
        <v>92</v>
      </c>
      <c r="D2381" s="106">
        <v>1</v>
      </c>
      <c r="E2381" s="106" t="s">
        <v>4811</v>
      </c>
      <c r="F2381" s="106">
        <v>1</v>
      </c>
      <c r="G2381" s="233">
        <f t="shared" si="38"/>
        <v>0</v>
      </c>
    </row>
    <row r="2382" spans="2:7">
      <c r="B2382" s="335">
        <v>46158</v>
      </c>
      <c r="C2382" s="341" t="s">
        <v>76</v>
      </c>
      <c r="D2382" s="345">
        <v>72</v>
      </c>
      <c r="E2382" s="345" t="s">
        <v>4823</v>
      </c>
      <c r="F2382" s="345">
        <v>72</v>
      </c>
      <c r="G2382" s="344">
        <f t="shared" si="38"/>
        <v>0</v>
      </c>
    </row>
    <row r="2383" spans="2:7">
      <c r="B2383" s="335">
        <v>46158</v>
      </c>
      <c r="C2383" s="343" t="s">
        <v>92</v>
      </c>
      <c r="D2383" s="345">
        <v>1</v>
      </c>
      <c r="E2383" s="345" t="s">
        <v>4823</v>
      </c>
      <c r="F2383" s="345">
        <v>1</v>
      </c>
      <c r="G2383" s="344">
        <f t="shared" si="38"/>
        <v>0</v>
      </c>
    </row>
    <row r="2384" spans="2:7">
      <c r="B2384" s="335">
        <v>46158</v>
      </c>
      <c r="C2384" s="343" t="s">
        <v>1246</v>
      </c>
      <c r="D2384" s="345">
        <v>20</v>
      </c>
      <c r="E2384" s="345" t="s">
        <v>4823</v>
      </c>
      <c r="F2384" s="345">
        <v>20</v>
      </c>
      <c r="G2384" s="344">
        <f t="shared" si="38"/>
        <v>0</v>
      </c>
    </row>
    <row r="2385" spans="2:7">
      <c r="B2385" s="335">
        <v>46158</v>
      </c>
      <c r="C2385" s="343" t="s">
        <v>1270</v>
      </c>
      <c r="D2385" s="345">
        <v>1</v>
      </c>
      <c r="E2385" s="345" t="s">
        <v>4823</v>
      </c>
      <c r="F2385" s="345">
        <v>1</v>
      </c>
      <c r="G2385" s="344">
        <f t="shared" ref="G2385:G2450" si="39">D2385-F2385</f>
        <v>0</v>
      </c>
    </row>
    <row r="2386" spans="2:7">
      <c r="B2386" s="335">
        <v>46158</v>
      </c>
      <c r="C2386" s="341" t="s">
        <v>672</v>
      </c>
      <c r="D2386" s="345">
        <v>3</v>
      </c>
      <c r="E2386" s="345" t="s">
        <v>4823</v>
      </c>
      <c r="F2386" s="345">
        <v>3</v>
      </c>
      <c r="G2386" s="344">
        <f t="shared" si="39"/>
        <v>0</v>
      </c>
    </row>
    <row r="2387" spans="2:7">
      <c r="B2387" s="335">
        <v>46158</v>
      </c>
      <c r="C2387" s="344" t="s">
        <v>375</v>
      </c>
      <c r="D2387" s="345">
        <v>3</v>
      </c>
      <c r="E2387" s="345" t="s">
        <v>4823</v>
      </c>
      <c r="F2387" s="345">
        <v>3</v>
      </c>
      <c r="G2387" s="344">
        <f t="shared" si="39"/>
        <v>0</v>
      </c>
    </row>
    <row r="2388" spans="2:7">
      <c r="B2388" s="335">
        <v>46158</v>
      </c>
      <c r="C2388" s="342" t="s">
        <v>3464</v>
      </c>
      <c r="D2388" s="345">
        <v>5</v>
      </c>
      <c r="E2388" s="345" t="s">
        <v>4823</v>
      </c>
      <c r="F2388" s="345">
        <v>5</v>
      </c>
      <c r="G2388" s="344">
        <f t="shared" si="39"/>
        <v>0</v>
      </c>
    </row>
    <row r="2389" spans="2:7">
      <c r="B2389" s="335">
        <v>46158</v>
      </c>
      <c r="C2389" s="344" t="s">
        <v>1716</v>
      </c>
      <c r="D2389" s="345">
        <v>51</v>
      </c>
      <c r="E2389" s="345" t="s">
        <v>4823</v>
      </c>
      <c r="F2389" s="345">
        <v>51</v>
      </c>
      <c r="G2389" s="344">
        <f t="shared" si="39"/>
        <v>0</v>
      </c>
    </row>
    <row r="2390" spans="2:7">
      <c r="B2390" s="335">
        <v>46158</v>
      </c>
      <c r="C2390" s="343" t="s">
        <v>1575</v>
      </c>
      <c r="D2390" s="345">
        <v>8</v>
      </c>
      <c r="E2390" s="345" t="s">
        <v>4823</v>
      </c>
      <c r="F2390" s="345">
        <v>8</v>
      </c>
      <c r="G2390" s="344">
        <f t="shared" si="39"/>
        <v>0</v>
      </c>
    </row>
    <row r="2391" spans="2:7">
      <c r="B2391" s="335">
        <v>46158</v>
      </c>
      <c r="C2391" s="343" t="s">
        <v>4800</v>
      </c>
      <c r="D2391" s="345">
        <v>21</v>
      </c>
      <c r="E2391" s="345" t="s">
        <v>4823</v>
      </c>
      <c r="F2391" s="345">
        <v>21</v>
      </c>
      <c r="G2391" s="344">
        <f t="shared" si="39"/>
        <v>0</v>
      </c>
    </row>
    <row r="2392" spans="2:7">
      <c r="B2392" s="335">
        <v>46158</v>
      </c>
      <c r="C2392" s="343" t="s">
        <v>4124</v>
      </c>
      <c r="D2392" s="345">
        <v>128</v>
      </c>
      <c r="E2392" s="345" t="s">
        <v>4823</v>
      </c>
      <c r="F2392" s="345">
        <v>128</v>
      </c>
      <c r="G2392" s="344">
        <f t="shared" si="39"/>
        <v>0</v>
      </c>
    </row>
    <row r="2393" spans="2:7">
      <c r="B2393" s="335">
        <v>46163</v>
      </c>
      <c r="C2393" s="93" t="s">
        <v>4664</v>
      </c>
      <c r="D2393" s="43">
        <v>1</v>
      </c>
      <c r="E2393" s="43" t="s">
        <v>3819</v>
      </c>
      <c r="F2393" s="43">
        <v>1</v>
      </c>
      <c r="G2393" s="104">
        <f t="shared" si="39"/>
        <v>0</v>
      </c>
    </row>
    <row r="2394" spans="2:7">
      <c r="B2394" s="310">
        <v>46162</v>
      </c>
      <c r="C2394" s="526" t="s">
        <v>4124</v>
      </c>
      <c r="D2394" s="312">
        <v>20</v>
      </c>
      <c r="E2394" s="312" t="s">
        <v>4830</v>
      </c>
      <c r="F2394" s="312">
        <v>20</v>
      </c>
      <c r="G2394" s="528">
        <f t="shared" si="39"/>
        <v>0</v>
      </c>
    </row>
    <row r="2395" spans="2:7">
      <c r="B2395" s="437">
        <v>46163</v>
      </c>
      <c r="C2395" s="222" t="s">
        <v>4800</v>
      </c>
      <c r="D2395" s="220">
        <v>100</v>
      </c>
      <c r="E2395" s="220" t="s">
        <v>4831</v>
      </c>
      <c r="F2395" s="220">
        <v>100</v>
      </c>
      <c r="G2395" s="221">
        <f t="shared" si="39"/>
        <v>0</v>
      </c>
    </row>
    <row r="2396" spans="2:7">
      <c r="B2396" s="323">
        <v>46158</v>
      </c>
      <c r="C2396" s="325" t="s">
        <v>4900</v>
      </c>
      <c r="D2396" s="322">
        <v>2</v>
      </c>
      <c r="E2396" s="322" t="s">
        <v>388</v>
      </c>
      <c r="F2396" s="322">
        <v>2</v>
      </c>
      <c r="G2396" s="425">
        <f t="shared" si="39"/>
        <v>0</v>
      </c>
    </row>
    <row r="2397" spans="2:7">
      <c r="B2397" s="323">
        <v>46158</v>
      </c>
      <c r="C2397" s="325" t="s">
        <v>4851</v>
      </c>
      <c r="D2397" s="322">
        <v>1</v>
      </c>
      <c r="E2397" s="322" t="s">
        <v>388</v>
      </c>
      <c r="F2397" s="322">
        <v>1</v>
      </c>
      <c r="G2397" s="425">
        <f t="shared" si="39"/>
        <v>0</v>
      </c>
    </row>
    <row r="2398" spans="2:7">
      <c r="B2398" s="323">
        <v>46158</v>
      </c>
      <c r="C2398" s="325" t="s">
        <v>2625</v>
      </c>
      <c r="D2398" s="322">
        <v>1</v>
      </c>
      <c r="E2398" s="322" t="s">
        <v>388</v>
      </c>
      <c r="F2398" s="322">
        <v>1</v>
      </c>
      <c r="G2398" s="425">
        <f t="shared" si="39"/>
        <v>0</v>
      </c>
    </row>
    <row r="2399" spans="2:7">
      <c r="B2399" s="323">
        <v>46158</v>
      </c>
      <c r="C2399" s="425" t="s">
        <v>1183</v>
      </c>
      <c r="D2399" s="322">
        <v>3</v>
      </c>
      <c r="E2399" s="322" t="s">
        <v>388</v>
      </c>
      <c r="F2399" s="322">
        <v>3</v>
      </c>
      <c r="G2399" s="425">
        <f t="shared" si="39"/>
        <v>0</v>
      </c>
    </row>
    <row r="2400" spans="2:7">
      <c r="B2400" s="323">
        <v>46158</v>
      </c>
      <c r="C2400" s="425" t="s">
        <v>375</v>
      </c>
      <c r="D2400" s="322">
        <v>13</v>
      </c>
      <c r="E2400" s="322" t="s">
        <v>388</v>
      </c>
      <c r="F2400" s="322">
        <v>13</v>
      </c>
      <c r="G2400" s="425">
        <f t="shared" si="39"/>
        <v>0</v>
      </c>
    </row>
    <row r="2401" spans="2:7">
      <c r="B2401" s="323">
        <v>46158</v>
      </c>
      <c r="C2401" s="324" t="s">
        <v>960</v>
      </c>
      <c r="D2401" s="322">
        <v>4</v>
      </c>
      <c r="E2401" s="322" t="s">
        <v>388</v>
      </c>
      <c r="F2401" s="322">
        <v>4</v>
      </c>
      <c r="G2401" s="425">
        <f t="shared" si="39"/>
        <v>0</v>
      </c>
    </row>
    <row r="2402" spans="2:7">
      <c r="B2402" s="323">
        <v>46158</v>
      </c>
      <c r="C2402" s="325" t="s">
        <v>977</v>
      </c>
      <c r="D2402" s="322">
        <v>2</v>
      </c>
      <c r="E2402" s="322" t="s">
        <v>388</v>
      </c>
      <c r="F2402" s="322">
        <v>2</v>
      </c>
      <c r="G2402" s="425">
        <f t="shared" si="39"/>
        <v>0</v>
      </c>
    </row>
    <row r="2403" spans="2:7">
      <c r="B2403" s="323">
        <v>46158</v>
      </c>
      <c r="C2403" s="324" t="s">
        <v>131</v>
      </c>
      <c r="D2403" s="322">
        <v>5</v>
      </c>
      <c r="E2403" s="322" t="s">
        <v>388</v>
      </c>
      <c r="F2403" s="322">
        <v>5</v>
      </c>
      <c r="G2403" s="425">
        <f t="shared" si="39"/>
        <v>0</v>
      </c>
    </row>
    <row r="2404" spans="2:7">
      <c r="B2404" s="323">
        <v>46158</v>
      </c>
      <c r="C2404" s="324" t="s">
        <v>4720</v>
      </c>
      <c r="D2404" s="322">
        <v>5</v>
      </c>
      <c r="E2404" s="322" t="s">
        <v>388</v>
      </c>
      <c r="F2404" s="322">
        <v>5</v>
      </c>
      <c r="G2404" s="425">
        <f t="shared" si="39"/>
        <v>0</v>
      </c>
    </row>
    <row r="2405" spans="2:7">
      <c r="B2405" s="323">
        <v>46158</v>
      </c>
      <c r="C2405" s="325" t="s">
        <v>2142</v>
      </c>
      <c r="D2405" s="322">
        <v>1</v>
      </c>
      <c r="E2405" s="322" t="s">
        <v>388</v>
      </c>
      <c r="F2405" s="322">
        <v>1</v>
      </c>
      <c r="G2405" s="425">
        <f t="shared" si="39"/>
        <v>0</v>
      </c>
    </row>
    <row r="2406" spans="2:7">
      <c r="B2406" s="323">
        <v>46158</v>
      </c>
      <c r="C2406" s="325" t="s">
        <v>1291</v>
      </c>
      <c r="D2406" s="322">
        <v>2</v>
      </c>
      <c r="E2406" s="322" t="s">
        <v>388</v>
      </c>
      <c r="F2406" s="322">
        <v>2</v>
      </c>
      <c r="G2406" s="425">
        <f t="shared" si="39"/>
        <v>0</v>
      </c>
    </row>
    <row r="2407" spans="2:7">
      <c r="B2407" s="323">
        <v>46158</v>
      </c>
      <c r="C2407" s="325" t="s">
        <v>1641</v>
      </c>
      <c r="D2407" s="322">
        <v>1</v>
      </c>
      <c r="E2407" s="322" t="s">
        <v>388</v>
      </c>
      <c r="F2407" s="322">
        <v>1</v>
      </c>
      <c r="G2407" s="425">
        <f t="shared" si="39"/>
        <v>0</v>
      </c>
    </row>
    <row r="2408" spans="2:7">
      <c r="B2408" s="323">
        <v>46158</v>
      </c>
      <c r="C2408" s="324" t="s">
        <v>1994</v>
      </c>
      <c r="D2408" s="322">
        <v>2</v>
      </c>
      <c r="E2408" s="322" t="s">
        <v>388</v>
      </c>
      <c r="F2408" s="322">
        <v>2</v>
      </c>
      <c r="G2408" s="425">
        <f t="shared" si="39"/>
        <v>0</v>
      </c>
    </row>
    <row r="2409" spans="2:7">
      <c r="B2409" s="323">
        <v>46158</v>
      </c>
      <c r="C2409" s="325" t="s">
        <v>1568</v>
      </c>
      <c r="D2409" s="322">
        <v>8</v>
      </c>
      <c r="E2409" s="322" t="s">
        <v>388</v>
      </c>
      <c r="F2409" s="322">
        <v>8</v>
      </c>
      <c r="G2409" s="425">
        <f t="shared" si="39"/>
        <v>0</v>
      </c>
    </row>
    <row r="2410" spans="2:7">
      <c r="B2410" s="323">
        <v>46158</v>
      </c>
      <c r="C2410" s="325" t="s">
        <v>1246</v>
      </c>
      <c r="D2410" s="322">
        <v>1</v>
      </c>
      <c r="E2410" s="322" t="s">
        <v>388</v>
      </c>
      <c r="F2410" s="322">
        <v>1</v>
      </c>
      <c r="G2410" s="425">
        <f t="shared" si="39"/>
        <v>0</v>
      </c>
    </row>
    <row r="2411" spans="2:7">
      <c r="B2411" s="323">
        <v>46158</v>
      </c>
      <c r="C2411" s="325" t="s">
        <v>1246</v>
      </c>
      <c r="D2411" s="322">
        <v>2</v>
      </c>
      <c r="E2411" s="322" t="s">
        <v>388</v>
      </c>
      <c r="F2411" s="322">
        <v>2</v>
      </c>
      <c r="G2411" s="425">
        <f t="shared" si="39"/>
        <v>0</v>
      </c>
    </row>
    <row r="2412" spans="2:7">
      <c r="B2412" s="323">
        <v>46158</v>
      </c>
      <c r="C2412" s="325" t="s">
        <v>2312</v>
      </c>
      <c r="D2412" s="322">
        <v>1</v>
      </c>
      <c r="E2412" s="322" t="s">
        <v>388</v>
      </c>
      <c r="F2412" s="322">
        <v>1</v>
      </c>
      <c r="G2412" s="425">
        <f t="shared" si="39"/>
        <v>0</v>
      </c>
    </row>
    <row r="2413" spans="2:7">
      <c r="B2413" s="323">
        <v>46158</v>
      </c>
      <c r="C2413" s="325" t="s">
        <v>4901</v>
      </c>
      <c r="D2413" s="322">
        <v>1</v>
      </c>
      <c r="E2413" s="322" t="s">
        <v>388</v>
      </c>
      <c r="F2413" s="322">
        <v>1</v>
      </c>
      <c r="G2413" s="425">
        <f t="shared" si="39"/>
        <v>0</v>
      </c>
    </row>
    <row r="2414" spans="2:7">
      <c r="B2414" s="346">
        <v>46158</v>
      </c>
      <c r="C2414" s="349" t="s">
        <v>4109</v>
      </c>
      <c r="D2414" s="348">
        <v>4</v>
      </c>
      <c r="E2414" s="348" t="s">
        <v>2093</v>
      </c>
      <c r="F2414" s="348">
        <v>4</v>
      </c>
      <c r="G2414" s="351">
        <f t="shared" si="39"/>
        <v>0</v>
      </c>
    </row>
    <row r="2415" spans="2:7">
      <c r="B2415" s="346">
        <v>46158</v>
      </c>
      <c r="C2415" s="349" t="s">
        <v>4470</v>
      </c>
      <c r="D2415" s="348">
        <v>3</v>
      </c>
      <c r="E2415" s="348" t="s">
        <v>2093</v>
      </c>
      <c r="F2415" s="348">
        <v>3</v>
      </c>
      <c r="G2415" s="351">
        <f t="shared" si="39"/>
        <v>0</v>
      </c>
    </row>
    <row r="2416" spans="2:7">
      <c r="B2416" s="335">
        <v>46161</v>
      </c>
      <c r="C2416" s="84" t="s">
        <v>926</v>
      </c>
      <c r="D2416" s="43">
        <v>1</v>
      </c>
      <c r="E2416" s="43" t="s">
        <v>4907</v>
      </c>
      <c r="F2416" s="43">
        <v>1</v>
      </c>
      <c r="G2416" s="104">
        <f t="shared" si="39"/>
        <v>0</v>
      </c>
    </row>
    <row r="2417" spans="2:7">
      <c r="B2417" s="323">
        <v>46162</v>
      </c>
      <c r="C2417" s="325" t="s">
        <v>1334</v>
      </c>
      <c r="D2417" s="322">
        <v>2</v>
      </c>
      <c r="E2417" s="322" t="s">
        <v>388</v>
      </c>
      <c r="F2417" s="322">
        <v>2</v>
      </c>
      <c r="G2417" s="425">
        <f t="shared" si="39"/>
        <v>0</v>
      </c>
    </row>
    <row r="2418" spans="2:7">
      <c r="B2418" s="323">
        <v>46162</v>
      </c>
      <c r="C2418" s="425" t="s">
        <v>1183</v>
      </c>
      <c r="D2418" s="322">
        <v>2</v>
      </c>
      <c r="E2418" s="322" t="s">
        <v>388</v>
      </c>
      <c r="F2418" s="322">
        <v>2</v>
      </c>
      <c r="G2418" s="425">
        <f t="shared" si="39"/>
        <v>0</v>
      </c>
    </row>
    <row r="2419" spans="2:7">
      <c r="B2419" s="323">
        <v>46162</v>
      </c>
      <c r="C2419" s="425" t="s">
        <v>375</v>
      </c>
      <c r="D2419" s="322">
        <v>20</v>
      </c>
      <c r="E2419" s="322" t="s">
        <v>388</v>
      </c>
      <c r="F2419" s="322">
        <v>20</v>
      </c>
      <c r="G2419" s="425">
        <f t="shared" si="39"/>
        <v>0</v>
      </c>
    </row>
    <row r="2420" spans="2:7">
      <c r="B2420" s="323">
        <v>46162</v>
      </c>
      <c r="C2420" s="324" t="s">
        <v>960</v>
      </c>
      <c r="D2420" s="322">
        <v>15</v>
      </c>
      <c r="E2420" s="322" t="s">
        <v>388</v>
      </c>
      <c r="F2420" s="322">
        <v>15</v>
      </c>
      <c r="G2420" s="425">
        <f t="shared" si="39"/>
        <v>0</v>
      </c>
    </row>
    <row r="2421" spans="2:7">
      <c r="B2421" s="323">
        <v>46162</v>
      </c>
      <c r="C2421" s="324" t="s">
        <v>131</v>
      </c>
      <c r="D2421" s="322">
        <v>27</v>
      </c>
      <c r="E2421" s="322" t="s">
        <v>388</v>
      </c>
      <c r="F2421" s="322">
        <v>27</v>
      </c>
      <c r="G2421" s="425">
        <f t="shared" si="39"/>
        <v>0</v>
      </c>
    </row>
    <row r="2422" spans="2:7">
      <c r="B2422" s="323">
        <v>46162</v>
      </c>
      <c r="C2422" s="325" t="s">
        <v>1291</v>
      </c>
      <c r="D2422" s="322">
        <v>1</v>
      </c>
      <c r="E2422" s="322" t="s">
        <v>388</v>
      </c>
      <c r="F2422" s="322">
        <v>1</v>
      </c>
      <c r="G2422" s="425">
        <f t="shared" si="39"/>
        <v>0</v>
      </c>
    </row>
    <row r="2423" spans="2:7">
      <c r="B2423" s="323">
        <v>46162</v>
      </c>
      <c r="C2423" s="325" t="s">
        <v>806</v>
      </c>
      <c r="D2423" s="322">
        <v>7</v>
      </c>
      <c r="E2423" s="322" t="s">
        <v>388</v>
      </c>
      <c r="F2423" s="322">
        <v>7</v>
      </c>
      <c r="G2423" s="425">
        <f t="shared" si="39"/>
        <v>0</v>
      </c>
    </row>
    <row r="2424" spans="2:7">
      <c r="B2424" s="323">
        <v>46162</v>
      </c>
      <c r="C2424" s="325" t="s">
        <v>1641</v>
      </c>
      <c r="D2424" s="322">
        <v>1</v>
      </c>
      <c r="E2424" s="322" t="s">
        <v>388</v>
      </c>
      <c r="F2424" s="322">
        <v>1</v>
      </c>
      <c r="G2424" s="425">
        <f t="shared" si="39"/>
        <v>0</v>
      </c>
    </row>
    <row r="2425" spans="2:7">
      <c r="B2425" s="323">
        <v>46162</v>
      </c>
      <c r="C2425" s="325" t="s">
        <v>1246</v>
      </c>
      <c r="D2425" s="322">
        <v>1</v>
      </c>
      <c r="E2425" s="322" t="s">
        <v>388</v>
      </c>
      <c r="F2425" s="322">
        <v>1</v>
      </c>
      <c r="G2425" s="425">
        <f t="shared" si="39"/>
        <v>0</v>
      </c>
    </row>
    <row r="2426" spans="2:7">
      <c r="B2426" s="323">
        <v>46162</v>
      </c>
      <c r="C2426" s="325" t="s">
        <v>1568</v>
      </c>
      <c r="D2426" s="322">
        <v>5</v>
      </c>
      <c r="E2426" s="322" t="s">
        <v>388</v>
      </c>
      <c r="F2426" s="322">
        <v>5</v>
      </c>
      <c r="G2426" s="425">
        <f t="shared" si="39"/>
        <v>0</v>
      </c>
    </row>
    <row r="2427" spans="2:7">
      <c r="B2427" s="323">
        <v>46162</v>
      </c>
      <c r="C2427" s="325" t="s">
        <v>1271</v>
      </c>
      <c r="D2427" s="322">
        <v>5</v>
      </c>
      <c r="E2427" s="322" t="s">
        <v>388</v>
      </c>
      <c r="F2427" s="322">
        <v>5</v>
      </c>
      <c r="G2427" s="425">
        <f t="shared" si="39"/>
        <v>0</v>
      </c>
    </row>
    <row r="2428" spans="2:7">
      <c r="B2428" s="323">
        <v>46162</v>
      </c>
      <c r="C2428" s="325" t="s">
        <v>1271</v>
      </c>
      <c r="D2428" s="322">
        <v>7</v>
      </c>
      <c r="E2428" s="322" t="s">
        <v>388</v>
      </c>
      <c r="F2428" s="322">
        <v>7</v>
      </c>
      <c r="G2428" s="425">
        <f t="shared" si="39"/>
        <v>0</v>
      </c>
    </row>
    <row r="2429" spans="2:7">
      <c r="B2429" s="323">
        <v>46162</v>
      </c>
      <c r="C2429" s="325" t="s">
        <v>1246</v>
      </c>
      <c r="D2429" s="322">
        <v>2</v>
      </c>
      <c r="E2429" s="322" t="s">
        <v>388</v>
      </c>
      <c r="F2429" s="322">
        <v>2</v>
      </c>
      <c r="G2429" s="425">
        <f t="shared" si="39"/>
        <v>0</v>
      </c>
    </row>
    <row r="2430" spans="2:7">
      <c r="B2430" s="323">
        <v>46162</v>
      </c>
      <c r="C2430" s="325" t="s">
        <v>1246</v>
      </c>
      <c r="D2430" s="322">
        <v>2</v>
      </c>
      <c r="E2430" s="322" t="s">
        <v>388</v>
      </c>
      <c r="F2430" s="322">
        <v>2</v>
      </c>
      <c r="G2430" s="425">
        <f t="shared" si="39"/>
        <v>0</v>
      </c>
    </row>
    <row r="2431" spans="2:7">
      <c r="B2431" s="323">
        <v>46162</v>
      </c>
      <c r="C2431" s="325" t="s">
        <v>5008</v>
      </c>
      <c r="D2431" s="322">
        <v>1</v>
      </c>
      <c r="E2431" s="322" t="s">
        <v>388</v>
      </c>
      <c r="F2431" s="322">
        <v>1</v>
      </c>
      <c r="G2431" s="425">
        <f t="shared" si="39"/>
        <v>0</v>
      </c>
    </row>
    <row r="2432" spans="2:7">
      <c r="B2432" s="335">
        <v>46165</v>
      </c>
      <c r="C2432" s="343" t="s">
        <v>1334</v>
      </c>
      <c r="D2432" s="43">
        <v>1</v>
      </c>
      <c r="E2432" s="345" t="s">
        <v>5009</v>
      </c>
      <c r="F2432" s="43">
        <v>1</v>
      </c>
      <c r="G2432" s="104">
        <f t="shared" si="39"/>
        <v>0</v>
      </c>
    </row>
    <row r="2433" spans="2:7">
      <c r="B2433" s="265">
        <v>46168</v>
      </c>
      <c r="C2433" s="343" t="s">
        <v>977</v>
      </c>
      <c r="D2433" s="43">
        <v>1</v>
      </c>
      <c r="E2433" s="43" t="s">
        <v>4798</v>
      </c>
      <c r="F2433" s="43">
        <v>1</v>
      </c>
      <c r="G2433" s="104">
        <f t="shared" si="39"/>
        <v>0</v>
      </c>
    </row>
    <row r="2434" spans="2:7">
      <c r="B2434" s="265">
        <v>46168</v>
      </c>
      <c r="C2434" s="343" t="s">
        <v>1409</v>
      </c>
      <c r="D2434" s="43">
        <v>2</v>
      </c>
      <c r="E2434" s="43" t="s">
        <v>4798</v>
      </c>
      <c r="F2434" s="43">
        <v>2</v>
      </c>
      <c r="G2434" s="104">
        <f t="shared" si="39"/>
        <v>0</v>
      </c>
    </row>
    <row r="2435" spans="2:7">
      <c r="B2435" s="265">
        <v>46168</v>
      </c>
      <c r="C2435" s="343" t="s">
        <v>136</v>
      </c>
      <c r="D2435" s="43">
        <v>1</v>
      </c>
      <c r="E2435" s="43" t="s">
        <v>4798</v>
      </c>
      <c r="F2435" s="43">
        <v>1</v>
      </c>
      <c r="G2435" s="104">
        <f t="shared" si="39"/>
        <v>0</v>
      </c>
    </row>
    <row r="2436" spans="2:7">
      <c r="B2436" s="273">
        <v>46167</v>
      </c>
      <c r="C2436" s="248" t="s">
        <v>1312</v>
      </c>
      <c r="D2436" s="235">
        <v>3</v>
      </c>
      <c r="E2436" s="235" t="s">
        <v>1247</v>
      </c>
      <c r="F2436" s="235">
        <v>3</v>
      </c>
      <c r="G2436" s="247">
        <f t="shared" si="39"/>
        <v>0</v>
      </c>
    </row>
    <row r="2437" spans="2:7">
      <c r="B2437" s="323">
        <v>46167</v>
      </c>
      <c r="C2437" s="325" t="s">
        <v>1291</v>
      </c>
      <c r="D2437" s="322">
        <v>10</v>
      </c>
      <c r="E2437" s="322" t="s">
        <v>388</v>
      </c>
      <c r="F2437" s="322">
        <v>10</v>
      </c>
      <c r="G2437" s="425">
        <f t="shared" si="39"/>
        <v>0</v>
      </c>
    </row>
    <row r="2438" spans="2:7">
      <c r="B2438" s="323">
        <v>46167</v>
      </c>
      <c r="C2438" s="425" t="s">
        <v>375</v>
      </c>
      <c r="D2438" s="322">
        <v>6</v>
      </c>
      <c r="E2438" s="322" t="s">
        <v>388</v>
      </c>
      <c r="F2438" s="322">
        <v>6</v>
      </c>
      <c r="G2438" s="425">
        <f t="shared" si="39"/>
        <v>0</v>
      </c>
    </row>
    <row r="2439" spans="2:7">
      <c r="B2439" s="323">
        <v>46167</v>
      </c>
      <c r="C2439" s="325" t="s">
        <v>1568</v>
      </c>
      <c r="D2439" s="322">
        <v>7</v>
      </c>
      <c r="E2439" s="322" t="s">
        <v>388</v>
      </c>
      <c r="F2439" s="322">
        <v>7</v>
      </c>
      <c r="G2439" s="425">
        <f t="shared" si="39"/>
        <v>0</v>
      </c>
    </row>
    <row r="2440" spans="2:7">
      <c r="B2440" s="323">
        <v>46167</v>
      </c>
      <c r="C2440" s="324" t="s">
        <v>1994</v>
      </c>
      <c r="D2440" s="322">
        <v>3</v>
      </c>
      <c r="E2440" s="322" t="s">
        <v>388</v>
      </c>
      <c r="F2440" s="322">
        <v>3</v>
      </c>
      <c r="G2440" s="425">
        <f t="shared" si="39"/>
        <v>0</v>
      </c>
    </row>
    <row r="2441" spans="2:7">
      <c r="B2441" s="323">
        <v>46167</v>
      </c>
      <c r="C2441" s="324" t="s">
        <v>4720</v>
      </c>
      <c r="D2441" s="322">
        <v>4</v>
      </c>
      <c r="E2441" s="322" t="s">
        <v>388</v>
      </c>
      <c r="F2441" s="322">
        <v>4</v>
      </c>
      <c r="G2441" s="425">
        <f t="shared" si="39"/>
        <v>0</v>
      </c>
    </row>
    <row r="2442" spans="2:7">
      <c r="B2442" s="323">
        <v>46167</v>
      </c>
      <c r="C2442" s="324" t="s">
        <v>4462</v>
      </c>
      <c r="D2442" s="322">
        <v>2</v>
      </c>
      <c r="E2442" s="322" t="s">
        <v>388</v>
      </c>
      <c r="F2442" s="322">
        <v>2</v>
      </c>
      <c r="G2442" s="425">
        <f t="shared" si="39"/>
        <v>0</v>
      </c>
    </row>
    <row r="2443" spans="2:7">
      <c r="B2443" s="323">
        <v>46167</v>
      </c>
      <c r="C2443" s="325" t="s">
        <v>806</v>
      </c>
      <c r="D2443" s="322">
        <v>2</v>
      </c>
      <c r="E2443" s="322" t="s">
        <v>388</v>
      </c>
      <c r="F2443" s="322">
        <v>2</v>
      </c>
      <c r="G2443" s="425">
        <f t="shared" si="39"/>
        <v>0</v>
      </c>
    </row>
    <row r="2444" spans="2:7">
      <c r="B2444" s="323">
        <v>46167</v>
      </c>
      <c r="C2444" s="324" t="s">
        <v>131</v>
      </c>
      <c r="D2444" s="322">
        <v>1</v>
      </c>
      <c r="E2444" s="322" t="s">
        <v>388</v>
      </c>
      <c r="F2444" s="322">
        <v>1</v>
      </c>
      <c r="G2444" s="425">
        <f t="shared" si="39"/>
        <v>0</v>
      </c>
    </row>
    <row r="2445" spans="2:7">
      <c r="B2445" s="323">
        <v>46167</v>
      </c>
      <c r="C2445" s="324" t="s">
        <v>4588</v>
      </c>
      <c r="D2445" s="322">
        <v>1</v>
      </c>
      <c r="E2445" s="322" t="s">
        <v>388</v>
      </c>
      <c r="F2445" s="322">
        <v>1</v>
      </c>
      <c r="G2445" s="425">
        <f t="shared" si="39"/>
        <v>0</v>
      </c>
    </row>
    <row r="2446" spans="2:7">
      <c r="B2446" s="323">
        <v>46167</v>
      </c>
      <c r="C2446" s="325" t="s">
        <v>2312</v>
      </c>
      <c r="D2446" s="322">
        <v>1</v>
      </c>
      <c r="E2446" s="322" t="s">
        <v>388</v>
      </c>
      <c r="F2446" s="322">
        <v>1</v>
      </c>
      <c r="G2446" s="425">
        <f t="shared" si="39"/>
        <v>0</v>
      </c>
    </row>
    <row r="2447" spans="2:7">
      <c r="B2447" s="323">
        <v>46167</v>
      </c>
      <c r="C2447" s="325" t="s">
        <v>5256</v>
      </c>
      <c r="D2447" s="322">
        <v>1</v>
      </c>
      <c r="E2447" s="322" t="s">
        <v>388</v>
      </c>
      <c r="F2447" s="322">
        <v>1</v>
      </c>
      <c r="G2447" s="425">
        <f t="shared" si="39"/>
        <v>0</v>
      </c>
    </row>
    <row r="2448" spans="2:7">
      <c r="B2448" s="323">
        <v>46167</v>
      </c>
      <c r="C2448" s="325" t="s">
        <v>5082</v>
      </c>
      <c r="D2448" s="322">
        <v>1</v>
      </c>
      <c r="E2448" s="322" t="s">
        <v>388</v>
      </c>
      <c r="F2448" s="322">
        <v>1</v>
      </c>
      <c r="G2448" s="425">
        <f t="shared" si="39"/>
        <v>0</v>
      </c>
    </row>
    <row r="2449" spans="2:7">
      <c r="B2449" s="265">
        <v>46177</v>
      </c>
      <c r="C2449" s="84" t="s">
        <v>134</v>
      </c>
      <c r="D2449" s="43">
        <v>1</v>
      </c>
      <c r="E2449" s="43" t="s">
        <v>5115</v>
      </c>
      <c r="F2449" s="43">
        <v>1</v>
      </c>
      <c r="G2449" s="104">
        <f t="shared" si="39"/>
        <v>0</v>
      </c>
    </row>
    <row r="2450" spans="2:7">
      <c r="B2450" s="346">
        <v>46178</v>
      </c>
      <c r="C2450" s="349" t="s">
        <v>4109</v>
      </c>
      <c r="D2450" s="348">
        <v>5</v>
      </c>
      <c r="E2450" s="348" t="s">
        <v>5138</v>
      </c>
      <c r="F2450" s="348">
        <v>5</v>
      </c>
      <c r="G2450" s="351">
        <f t="shared" si="39"/>
        <v>0</v>
      </c>
    </row>
    <row r="2451" spans="2:7">
      <c r="B2451" s="346">
        <v>46178</v>
      </c>
      <c r="C2451" s="349" t="s">
        <v>1291</v>
      </c>
      <c r="D2451" s="348">
        <v>6</v>
      </c>
      <c r="E2451" s="348" t="s">
        <v>5138</v>
      </c>
      <c r="F2451" s="348">
        <v>6</v>
      </c>
      <c r="G2451" s="351">
        <f t="shared" ref="G2451:G2514" si="40">D2451-F2451</f>
        <v>0</v>
      </c>
    </row>
    <row r="2452" spans="2:7">
      <c r="B2452" s="346">
        <v>46178</v>
      </c>
      <c r="C2452" s="349" t="s">
        <v>1271</v>
      </c>
      <c r="D2452" s="348">
        <v>3</v>
      </c>
      <c r="E2452" s="348" t="s">
        <v>5138</v>
      </c>
      <c r="F2452" s="348">
        <v>3</v>
      </c>
      <c r="G2452" s="351">
        <f t="shared" si="40"/>
        <v>0</v>
      </c>
    </row>
    <row r="2453" spans="2:7">
      <c r="B2453" s="346">
        <v>46178</v>
      </c>
      <c r="C2453" s="349" t="s">
        <v>1326</v>
      </c>
      <c r="D2453" s="348">
        <v>2</v>
      </c>
      <c r="E2453" s="348" t="s">
        <v>5138</v>
      </c>
      <c r="F2453" s="348">
        <v>2</v>
      </c>
      <c r="G2453" s="351">
        <f t="shared" si="40"/>
        <v>0</v>
      </c>
    </row>
    <row r="2454" spans="2:7">
      <c r="B2454" s="346">
        <v>46178</v>
      </c>
      <c r="C2454" s="349" t="s">
        <v>1246</v>
      </c>
      <c r="D2454" s="348">
        <v>1</v>
      </c>
      <c r="E2454" s="348" t="s">
        <v>5138</v>
      </c>
      <c r="F2454" s="348">
        <v>1</v>
      </c>
      <c r="G2454" s="351">
        <f t="shared" si="40"/>
        <v>0</v>
      </c>
    </row>
    <row r="2455" spans="2:7">
      <c r="B2455" s="346">
        <v>46178</v>
      </c>
      <c r="C2455" s="349" t="s">
        <v>1246</v>
      </c>
      <c r="D2455" s="348">
        <v>1</v>
      </c>
      <c r="E2455" s="348" t="s">
        <v>5138</v>
      </c>
      <c r="F2455" s="348">
        <v>1</v>
      </c>
      <c r="G2455" s="351">
        <f t="shared" si="40"/>
        <v>0</v>
      </c>
    </row>
    <row r="2456" spans="2:7">
      <c r="B2456" s="346">
        <v>46178</v>
      </c>
      <c r="C2456" s="349" t="s">
        <v>1246</v>
      </c>
      <c r="D2456" s="348">
        <v>1</v>
      </c>
      <c r="E2456" s="348" t="s">
        <v>5138</v>
      </c>
      <c r="F2456" s="348">
        <v>1</v>
      </c>
      <c r="G2456" s="351">
        <f t="shared" si="40"/>
        <v>0</v>
      </c>
    </row>
    <row r="2457" spans="2:7">
      <c r="B2457" s="346">
        <v>46178</v>
      </c>
      <c r="C2457" s="349" t="s">
        <v>4108</v>
      </c>
      <c r="D2457" s="348">
        <v>1</v>
      </c>
      <c r="E2457" s="348" t="s">
        <v>5138</v>
      </c>
      <c r="F2457" s="348">
        <v>1</v>
      </c>
      <c r="G2457" s="351">
        <f t="shared" si="40"/>
        <v>0</v>
      </c>
    </row>
    <row r="2458" spans="2:7">
      <c r="B2458" s="346">
        <v>46178</v>
      </c>
      <c r="C2458" s="347" t="s">
        <v>5136</v>
      </c>
      <c r="D2458" s="348">
        <v>1</v>
      </c>
      <c r="E2458" s="348" t="s">
        <v>5138</v>
      </c>
      <c r="F2458" s="348">
        <v>1</v>
      </c>
      <c r="G2458" s="351">
        <f t="shared" si="40"/>
        <v>0</v>
      </c>
    </row>
    <row r="2459" spans="2:7">
      <c r="B2459" s="335">
        <v>46181</v>
      </c>
      <c r="C2459" s="343" t="s">
        <v>4124</v>
      </c>
      <c r="D2459" s="43">
        <v>12</v>
      </c>
      <c r="E2459" s="345" t="s">
        <v>4786</v>
      </c>
      <c r="F2459" s="43">
        <v>12</v>
      </c>
      <c r="G2459" s="104">
        <f t="shared" si="40"/>
        <v>0</v>
      </c>
    </row>
    <row r="2460" spans="2:7">
      <c r="B2460" s="335">
        <v>46181</v>
      </c>
      <c r="C2460" s="343" t="s">
        <v>4124</v>
      </c>
      <c r="D2460" s="43">
        <v>19</v>
      </c>
      <c r="E2460" s="345" t="s">
        <v>5149</v>
      </c>
      <c r="F2460" s="43">
        <v>19</v>
      </c>
      <c r="G2460" s="104">
        <f t="shared" si="40"/>
        <v>0</v>
      </c>
    </row>
    <row r="2461" spans="2:7">
      <c r="B2461" s="335">
        <v>46181</v>
      </c>
      <c r="C2461" s="343" t="s">
        <v>4822</v>
      </c>
      <c r="D2461" s="43">
        <v>1</v>
      </c>
      <c r="E2461" s="345" t="s">
        <v>5149</v>
      </c>
      <c r="F2461" s="43">
        <v>1</v>
      </c>
      <c r="G2461" s="104">
        <f t="shared" si="40"/>
        <v>0</v>
      </c>
    </row>
    <row r="2462" spans="2:7">
      <c r="B2462" s="335">
        <v>46181</v>
      </c>
      <c r="C2462" s="343" t="s">
        <v>4503</v>
      </c>
      <c r="D2462" s="43">
        <v>1</v>
      </c>
      <c r="E2462" s="345" t="s">
        <v>5149</v>
      </c>
      <c r="F2462" s="43">
        <v>1</v>
      </c>
      <c r="G2462" s="104">
        <f t="shared" si="40"/>
        <v>0</v>
      </c>
    </row>
    <row r="2463" spans="2:7">
      <c r="B2463" s="335">
        <v>46167</v>
      </c>
      <c r="C2463" s="343" t="s">
        <v>4124</v>
      </c>
      <c r="D2463" s="43">
        <v>48</v>
      </c>
      <c r="E2463" s="345" t="s">
        <v>5149</v>
      </c>
      <c r="F2463" s="43">
        <v>48</v>
      </c>
      <c r="G2463" s="104">
        <f t="shared" si="40"/>
        <v>0</v>
      </c>
    </row>
    <row r="2464" spans="2:7">
      <c r="B2464" s="323">
        <v>46181</v>
      </c>
      <c r="C2464" s="324" t="s">
        <v>131</v>
      </c>
      <c r="D2464" s="322">
        <v>60</v>
      </c>
      <c r="E2464" s="322" t="s">
        <v>388</v>
      </c>
      <c r="F2464" s="322">
        <v>60</v>
      </c>
      <c r="G2464" s="425">
        <f t="shared" si="40"/>
        <v>0</v>
      </c>
    </row>
    <row r="2465" spans="2:7">
      <c r="B2465" s="323">
        <v>46181</v>
      </c>
      <c r="C2465" s="325" t="s">
        <v>806</v>
      </c>
      <c r="D2465" s="322">
        <v>5</v>
      </c>
      <c r="E2465" s="322" t="s">
        <v>388</v>
      </c>
      <c r="F2465" s="322">
        <v>5</v>
      </c>
      <c r="G2465" s="425">
        <f t="shared" si="40"/>
        <v>0</v>
      </c>
    </row>
    <row r="2466" spans="2:7">
      <c r="B2466" s="323">
        <v>46181</v>
      </c>
      <c r="C2466" s="425" t="s">
        <v>375</v>
      </c>
      <c r="D2466" s="322">
        <v>8</v>
      </c>
      <c r="E2466" s="322" t="s">
        <v>388</v>
      </c>
      <c r="F2466" s="322">
        <v>8</v>
      </c>
      <c r="G2466" s="425">
        <f t="shared" si="40"/>
        <v>0</v>
      </c>
    </row>
    <row r="2467" spans="2:7">
      <c r="B2467" s="265">
        <v>46190</v>
      </c>
      <c r="C2467" s="343" t="s">
        <v>1296</v>
      </c>
      <c r="D2467" s="43">
        <v>1</v>
      </c>
      <c r="E2467" s="43" t="s">
        <v>5258</v>
      </c>
      <c r="F2467" s="43">
        <v>1</v>
      </c>
      <c r="G2467" s="104">
        <f t="shared" si="40"/>
        <v>0</v>
      </c>
    </row>
    <row r="2468" spans="2:7">
      <c r="B2468" s="265">
        <v>46190</v>
      </c>
      <c r="C2468" s="343" t="s">
        <v>2032</v>
      </c>
      <c r="D2468" s="43">
        <v>1</v>
      </c>
      <c r="E2468" s="43" t="s">
        <v>5258</v>
      </c>
      <c r="F2468" s="43">
        <v>1</v>
      </c>
      <c r="G2468" s="104">
        <f t="shared" si="40"/>
        <v>0</v>
      </c>
    </row>
    <row r="2469" spans="2:7">
      <c r="B2469" s="265">
        <v>46190</v>
      </c>
      <c r="C2469" s="343" t="s">
        <v>4124</v>
      </c>
      <c r="D2469" s="43">
        <v>109</v>
      </c>
      <c r="E2469" s="43" t="s">
        <v>5260</v>
      </c>
      <c r="F2469" s="43">
        <v>109</v>
      </c>
      <c r="G2469" s="104">
        <f t="shared" si="40"/>
        <v>0</v>
      </c>
    </row>
    <row r="2470" spans="2:7">
      <c r="B2470" s="265">
        <v>46190</v>
      </c>
      <c r="C2470" s="341" t="s">
        <v>76</v>
      </c>
      <c r="D2470" s="43">
        <v>55</v>
      </c>
      <c r="E2470" s="43" t="s">
        <v>5260</v>
      </c>
      <c r="F2470" s="43">
        <v>55</v>
      </c>
      <c r="G2470" s="104">
        <f t="shared" si="40"/>
        <v>0</v>
      </c>
    </row>
    <row r="2471" spans="2:7">
      <c r="B2471" s="265">
        <v>46190</v>
      </c>
      <c r="C2471" s="343" t="s">
        <v>4800</v>
      </c>
      <c r="D2471" s="43">
        <v>92</v>
      </c>
      <c r="E2471" s="43" t="s">
        <v>5260</v>
      </c>
      <c r="F2471" s="43">
        <v>92</v>
      </c>
      <c r="G2471" s="104">
        <f t="shared" si="40"/>
        <v>0</v>
      </c>
    </row>
    <row r="2472" spans="2:7">
      <c r="B2472" s="265">
        <v>46190</v>
      </c>
      <c r="C2472" s="344" t="s">
        <v>1716</v>
      </c>
      <c r="D2472" s="43">
        <v>14</v>
      </c>
      <c r="E2472" s="43" t="s">
        <v>5260</v>
      </c>
      <c r="F2472" s="43">
        <v>14</v>
      </c>
      <c r="G2472" s="104">
        <f t="shared" si="40"/>
        <v>0</v>
      </c>
    </row>
    <row r="2473" spans="2:7">
      <c r="B2473" s="265">
        <v>46190</v>
      </c>
      <c r="C2473" s="92" t="s">
        <v>634</v>
      </c>
      <c r="D2473" s="43">
        <v>1</v>
      </c>
      <c r="E2473" s="43" t="s">
        <v>5260</v>
      </c>
      <c r="F2473" s="43">
        <v>1</v>
      </c>
      <c r="G2473" s="104">
        <f t="shared" si="40"/>
        <v>0</v>
      </c>
    </row>
    <row r="2474" spans="2:7">
      <c r="B2474" s="265">
        <v>46190</v>
      </c>
      <c r="C2474" s="93" t="s">
        <v>839</v>
      </c>
      <c r="D2474" s="43">
        <v>66</v>
      </c>
      <c r="E2474" s="43" t="s">
        <v>5261</v>
      </c>
      <c r="F2474" s="43">
        <v>66</v>
      </c>
      <c r="G2474" s="104">
        <f t="shared" si="40"/>
        <v>0</v>
      </c>
    </row>
    <row r="2475" spans="2:7">
      <c r="B2475" s="265">
        <v>46190</v>
      </c>
      <c r="C2475" s="343" t="s">
        <v>4800</v>
      </c>
      <c r="D2475" s="43">
        <v>166</v>
      </c>
      <c r="E2475" s="43" t="s">
        <v>5261</v>
      </c>
      <c r="F2475" s="43">
        <v>166</v>
      </c>
      <c r="G2475" s="104">
        <f t="shared" si="40"/>
        <v>0</v>
      </c>
    </row>
    <row r="2476" spans="2:7">
      <c r="B2476" s="265">
        <v>46190</v>
      </c>
      <c r="C2476" s="343" t="s">
        <v>4124</v>
      </c>
      <c r="D2476" s="43">
        <v>12</v>
      </c>
      <c r="E2476" s="43" t="s">
        <v>5261</v>
      </c>
      <c r="F2476" s="43">
        <v>12</v>
      </c>
      <c r="G2476" s="104">
        <f t="shared" si="40"/>
        <v>0</v>
      </c>
    </row>
    <row r="2477" spans="2:7">
      <c r="B2477" s="265">
        <v>46190</v>
      </c>
      <c r="C2477" s="343" t="s">
        <v>4822</v>
      </c>
      <c r="D2477" s="43">
        <v>4</v>
      </c>
      <c r="E2477" s="43" t="s">
        <v>5261</v>
      </c>
      <c r="F2477" s="43">
        <v>4</v>
      </c>
      <c r="G2477" s="104">
        <f t="shared" si="40"/>
        <v>0</v>
      </c>
    </row>
    <row r="2478" spans="2:7">
      <c r="B2478" s="265">
        <v>46190</v>
      </c>
      <c r="C2478" s="343" t="s">
        <v>4503</v>
      </c>
      <c r="D2478" s="43">
        <v>1</v>
      </c>
      <c r="E2478" s="43" t="s">
        <v>5261</v>
      </c>
      <c r="F2478" s="43">
        <v>1</v>
      </c>
      <c r="G2478" s="104">
        <f t="shared" si="40"/>
        <v>0</v>
      </c>
    </row>
    <row r="2479" spans="2:7">
      <c r="B2479" s="323">
        <v>46190</v>
      </c>
      <c r="C2479" s="325" t="s">
        <v>1246</v>
      </c>
      <c r="D2479" s="322">
        <v>10</v>
      </c>
      <c r="E2479" s="322" t="s">
        <v>388</v>
      </c>
      <c r="F2479" s="322">
        <v>10</v>
      </c>
      <c r="G2479" s="425">
        <f t="shared" si="40"/>
        <v>0</v>
      </c>
    </row>
    <row r="2480" spans="2:7">
      <c r="B2480" s="323">
        <v>46190</v>
      </c>
      <c r="C2480" s="325" t="s">
        <v>1246</v>
      </c>
      <c r="D2480" s="322">
        <v>8</v>
      </c>
      <c r="E2480" s="322" t="s">
        <v>388</v>
      </c>
      <c r="F2480" s="322">
        <v>8</v>
      </c>
      <c r="G2480" s="425">
        <f t="shared" si="40"/>
        <v>0</v>
      </c>
    </row>
    <row r="2481" spans="2:7">
      <c r="B2481" s="323">
        <v>46190</v>
      </c>
      <c r="C2481" s="325" t="s">
        <v>1271</v>
      </c>
      <c r="D2481" s="322">
        <v>1</v>
      </c>
      <c r="E2481" s="322" t="s">
        <v>388</v>
      </c>
      <c r="F2481" s="322">
        <v>1</v>
      </c>
      <c r="G2481" s="425">
        <f t="shared" si="40"/>
        <v>0</v>
      </c>
    </row>
    <row r="2482" spans="2:7">
      <c r="B2482" s="323">
        <v>46190</v>
      </c>
      <c r="C2482" s="325" t="s">
        <v>1271</v>
      </c>
      <c r="D2482" s="322">
        <v>4</v>
      </c>
      <c r="E2482" s="322" t="s">
        <v>388</v>
      </c>
      <c r="F2482" s="322">
        <v>4</v>
      </c>
      <c r="G2482" s="425">
        <f t="shared" si="40"/>
        <v>0</v>
      </c>
    </row>
    <row r="2483" spans="2:7">
      <c r="B2483" s="323">
        <v>46190</v>
      </c>
      <c r="C2483" s="325" t="s">
        <v>1246</v>
      </c>
      <c r="D2483" s="322">
        <v>8</v>
      </c>
      <c r="E2483" s="322" t="s">
        <v>388</v>
      </c>
      <c r="F2483" s="322">
        <v>8</v>
      </c>
      <c r="G2483" s="425">
        <f t="shared" si="40"/>
        <v>0</v>
      </c>
    </row>
    <row r="2484" spans="2:7">
      <c r="B2484" s="323">
        <v>46190</v>
      </c>
      <c r="C2484" s="325" t="s">
        <v>1246</v>
      </c>
      <c r="D2484" s="322">
        <v>1</v>
      </c>
      <c r="E2484" s="322" t="s">
        <v>388</v>
      </c>
      <c r="F2484" s="322">
        <v>1</v>
      </c>
      <c r="G2484" s="425">
        <f t="shared" si="40"/>
        <v>0</v>
      </c>
    </row>
    <row r="2485" spans="2:7">
      <c r="B2485" s="323">
        <v>46190</v>
      </c>
      <c r="C2485" s="325" t="s">
        <v>1246</v>
      </c>
      <c r="D2485" s="322">
        <v>3</v>
      </c>
      <c r="E2485" s="322" t="s">
        <v>388</v>
      </c>
      <c r="F2485" s="322">
        <v>3</v>
      </c>
      <c r="G2485" s="425">
        <f t="shared" si="40"/>
        <v>0</v>
      </c>
    </row>
    <row r="2486" spans="2:7">
      <c r="B2486" s="323">
        <v>46190</v>
      </c>
      <c r="C2486" s="325" t="s">
        <v>806</v>
      </c>
      <c r="D2486" s="322">
        <v>4</v>
      </c>
      <c r="E2486" s="322" t="s">
        <v>388</v>
      </c>
      <c r="F2486" s="322">
        <v>4</v>
      </c>
      <c r="G2486" s="425">
        <f t="shared" si="40"/>
        <v>0</v>
      </c>
    </row>
    <row r="2487" spans="2:7">
      <c r="B2487" s="323">
        <v>46190</v>
      </c>
      <c r="C2487" s="325" t="s">
        <v>1291</v>
      </c>
      <c r="D2487" s="322">
        <v>1</v>
      </c>
      <c r="E2487" s="322" t="s">
        <v>388</v>
      </c>
      <c r="F2487" s="322">
        <v>1</v>
      </c>
      <c r="G2487" s="425">
        <f t="shared" si="40"/>
        <v>0</v>
      </c>
    </row>
    <row r="2488" spans="2:7">
      <c r="B2488" s="323">
        <v>46190</v>
      </c>
      <c r="C2488" s="325" t="s">
        <v>1326</v>
      </c>
      <c r="D2488" s="322">
        <v>1</v>
      </c>
      <c r="E2488" s="322" t="s">
        <v>388</v>
      </c>
      <c r="F2488" s="322">
        <v>1</v>
      </c>
      <c r="G2488" s="425">
        <f t="shared" si="40"/>
        <v>0</v>
      </c>
    </row>
    <row r="2489" spans="2:7">
      <c r="B2489" s="323">
        <v>46190</v>
      </c>
      <c r="C2489" s="325" t="s">
        <v>1095</v>
      </c>
      <c r="D2489" s="322">
        <v>1</v>
      </c>
      <c r="E2489" s="322" t="s">
        <v>388</v>
      </c>
      <c r="F2489" s="322">
        <v>1</v>
      </c>
      <c r="G2489" s="425">
        <f t="shared" si="40"/>
        <v>0</v>
      </c>
    </row>
    <row r="2490" spans="2:7">
      <c r="B2490" s="323">
        <v>46190</v>
      </c>
      <c r="C2490" s="425" t="s">
        <v>375</v>
      </c>
      <c r="D2490" s="322">
        <v>10</v>
      </c>
      <c r="E2490" s="322" t="s">
        <v>388</v>
      </c>
      <c r="F2490" s="322">
        <v>10</v>
      </c>
      <c r="G2490" s="425">
        <f t="shared" si="40"/>
        <v>0</v>
      </c>
    </row>
    <row r="2491" spans="2:7">
      <c r="B2491" s="323">
        <v>46190</v>
      </c>
      <c r="C2491" s="325" t="s">
        <v>1259</v>
      </c>
      <c r="D2491" s="322">
        <v>1</v>
      </c>
      <c r="E2491" s="322" t="s">
        <v>388</v>
      </c>
      <c r="F2491" s="322">
        <v>1</v>
      </c>
      <c r="G2491" s="425">
        <f t="shared" si="40"/>
        <v>0</v>
      </c>
    </row>
    <row r="2492" spans="2:7">
      <c r="B2492" s="346">
        <v>46189</v>
      </c>
      <c r="C2492" s="349" t="s">
        <v>4109</v>
      </c>
      <c r="D2492" s="348">
        <v>9</v>
      </c>
      <c r="E2492" s="348" t="s">
        <v>2093</v>
      </c>
      <c r="F2492" s="348">
        <v>9</v>
      </c>
      <c r="G2492" s="351">
        <f t="shared" si="40"/>
        <v>0</v>
      </c>
    </row>
    <row r="2493" spans="2:7">
      <c r="B2493" s="346">
        <v>46189</v>
      </c>
      <c r="C2493" s="349" t="s">
        <v>1291</v>
      </c>
      <c r="D2493" s="348">
        <v>3</v>
      </c>
      <c r="E2493" s="348" t="s">
        <v>2093</v>
      </c>
      <c r="F2493" s="348">
        <v>3</v>
      </c>
      <c r="G2493" s="351">
        <f t="shared" si="40"/>
        <v>0</v>
      </c>
    </row>
    <row r="2494" spans="2:7">
      <c r="B2494" s="346">
        <v>46189</v>
      </c>
      <c r="C2494" s="349" t="s">
        <v>1327</v>
      </c>
      <c r="D2494" s="348">
        <v>4</v>
      </c>
      <c r="E2494" s="348" t="s">
        <v>2093</v>
      </c>
      <c r="F2494" s="348">
        <v>4</v>
      </c>
      <c r="G2494" s="351">
        <f t="shared" si="40"/>
        <v>0</v>
      </c>
    </row>
    <row r="2495" spans="2:7">
      <c r="B2495" s="346">
        <v>46189</v>
      </c>
      <c r="C2495" s="349" t="s">
        <v>1246</v>
      </c>
      <c r="D2495" s="348">
        <v>3</v>
      </c>
      <c r="E2495" s="348" t="s">
        <v>2093</v>
      </c>
      <c r="F2495" s="348">
        <v>3</v>
      </c>
      <c r="G2495" s="351">
        <f t="shared" si="40"/>
        <v>0</v>
      </c>
    </row>
    <row r="2496" spans="2:7">
      <c r="B2496" s="346">
        <v>46189</v>
      </c>
      <c r="C2496" s="349" t="s">
        <v>1326</v>
      </c>
      <c r="D2496" s="348">
        <v>3</v>
      </c>
      <c r="E2496" s="348" t="s">
        <v>2093</v>
      </c>
      <c r="F2496" s="348">
        <v>3</v>
      </c>
      <c r="G2496" s="351">
        <f t="shared" si="40"/>
        <v>0</v>
      </c>
    </row>
    <row r="2497" spans="2:7">
      <c r="B2497" s="346">
        <v>46189</v>
      </c>
      <c r="C2497" s="349" t="s">
        <v>1246</v>
      </c>
      <c r="D2497" s="348">
        <v>2</v>
      </c>
      <c r="E2497" s="348" t="s">
        <v>2093</v>
      </c>
      <c r="F2497" s="348">
        <v>2</v>
      </c>
      <c r="G2497" s="351">
        <f t="shared" si="40"/>
        <v>0</v>
      </c>
    </row>
    <row r="2498" spans="2:7">
      <c r="B2498" s="346">
        <v>46189</v>
      </c>
      <c r="C2498" s="349" t="s">
        <v>1568</v>
      </c>
      <c r="D2498" s="348">
        <v>2</v>
      </c>
      <c r="E2498" s="348" t="s">
        <v>2093</v>
      </c>
      <c r="F2498" s="348">
        <v>2</v>
      </c>
      <c r="G2498" s="351">
        <f t="shared" si="40"/>
        <v>0</v>
      </c>
    </row>
    <row r="2499" spans="2:7">
      <c r="B2499" s="346">
        <v>46189</v>
      </c>
      <c r="C2499" s="349" t="s">
        <v>1246</v>
      </c>
      <c r="D2499" s="348">
        <v>1</v>
      </c>
      <c r="E2499" s="348" t="s">
        <v>2093</v>
      </c>
      <c r="F2499" s="348">
        <v>1</v>
      </c>
      <c r="G2499" s="351">
        <f t="shared" si="40"/>
        <v>0</v>
      </c>
    </row>
    <row r="2500" spans="2:7">
      <c r="B2500" s="346">
        <v>46189</v>
      </c>
      <c r="C2500" s="349" t="s">
        <v>1271</v>
      </c>
      <c r="D2500" s="348">
        <v>1</v>
      </c>
      <c r="E2500" s="348" t="s">
        <v>2093</v>
      </c>
      <c r="F2500" s="348">
        <v>1</v>
      </c>
      <c r="G2500" s="351">
        <f t="shared" si="40"/>
        <v>0</v>
      </c>
    </row>
    <row r="2501" spans="2:7">
      <c r="B2501" s="346">
        <v>46189</v>
      </c>
      <c r="C2501" s="349" t="s">
        <v>1568</v>
      </c>
      <c r="D2501" s="348">
        <v>1</v>
      </c>
      <c r="E2501" s="348" t="s">
        <v>2093</v>
      </c>
      <c r="F2501" s="348">
        <v>1</v>
      </c>
      <c r="G2501" s="351">
        <f t="shared" si="40"/>
        <v>0</v>
      </c>
    </row>
    <row r="2502" spans="2:7">
      <c r="B2502" s="346">
        <v>46189</v>
      </c>
      <c r="C2502" s="349" t="s">
        <v>1568</v>
      </c>
      <c r="D2502" s="348">
        <v>1</v>
      </c>
      <c r="E2502" s="348" t="s">
        <v>2093</v>
      </c>
      <c r="F2502" s="348">
        <v>1</v>
      </c>
      <c r="G2502" s="351">
        <f t="shared" si="40"/>
        <v>0</v>
      </c>
    </row>
    <row r="2503" spans="2:7">
      <c r="B2503" s="346">
        <v>46189</v>
      </c>
      <c r="C2503" s="349" t="s">
        <v>1334</v>
      </c>
      <c r="D2503" s="348">
        <v>1</v>
      </c>
      <c r="E2503" s="348" t="s">
        <v>2093</v>
      </c>
      <c r="F2503" s="348">
        <v>1</v>
      </c>
      <c r="G2503" s="351">
        <f t="shared" si="40"/>
        <v>0</v>
      </c>
    </row>
    <row r="2504" spans="2:7">
      <c r="B2504" s="346">
        <v>46189</v>
      </c>
      <c r="C2504" s="349" t="s">
        <v>4108</v>
      </c>
      <c r="D2504" s="348">
        <v>1</v>
      </c>
      <c r="E2504" s="348" t="s">
        <v>2093</v>
      </c>
      <c r="F2504" s="348">
        <v>1</v>
      </c>
      <c r="G2504" s="351">
        <f t="shared" si="40"/>
        <v>0</v>
      </c>
    </row>
    <row r="2505" spans="2:7">
      <c r="B2505" s="335">
        <v>46195</v>
      </c>
      <c r="C2505" s="341" t="s">
        <v>76</v>
      </c>
      <c r="D2505" s="345">
        <v>9</v>
      </c>
      <c r="E2505" s="345" t="s">
        <v>5319</v>
      </c>
      <c r="F2505" s="345">
        <v>9</v>
      </c>
      <c r="G2505" s="344">
        <f t="shared" si="40"/>
        <v>0</v>
      </c>
    </row>
    <row r="2506" spans="2:7">
      <c r="B2506" s="335">
        <v>46195</v>
      </c>
      <c r="C2506" s="344" t="s">
        <v>1716</v>
      </c>
      <c r="D2506" s="345">
        <v>56</v>
      </c>
      <c r="E2506" s="345" t="s">
        <v>5319</v>
      </c>
      <c r="F2506" s="345">
        <v>56</v>
      </c>
      <c r="G2506" s="344">
        <f t="shared" si="40"/>
        <v>0</v>
      </c>
    </row>
    <row r="2507" spans="2:7">
      <c r="B2507" s="335">
        <v>46195</v>
      </c>
      <c r="C2507" s="343" t="s">
        <v>4124</v>
      </c>
      <c r="D2507" s="345">
        <v>143</v>
      </c>
      <c r="E2507" s="345" t="s">
        <v>5319</v>
      </c>
      <c r="F2507" s="345">
        <v>143</v>
      </c>
      <c r="G2507" s="344">
        <f t="shared" si="40"/>
        <v>0</v>
      </c>
    </row>
    <row r="2508" spans="2:7">
      <c r="B2508" s="335">
        <v>46195</v>
      </c>
      <c r="C2508" s="343" t="s">
        <v>4800</v>
      </c>
      <c r="D2508" s="345">
        <v>57</v>
      </c>
      <c r="E2508" s="345" t="s">
        <v>5319</v>
      </c>
      <c r="F2508" s="345">
        <v>57</v>
      </c>
      <c r="G2508" s="344">
        <f t="shared" si="40"/>
        <v>0</v>
      </c>
    </row>
    <row r="2509" spans="2:7">
      <c r="B2509" s="335">
        <v>46195</v>
      </c>
      <c r="C2509" s="343" t="s">
        <v>839</v>
      </c>
      <c r="D2509" s="345">
        <v>3</v>
      </c>
      <c r="E2509" s="345" t="s">
        <v>5319</v>
      </c>
      <c r="F2509" s="345">
        <v>3</v>
      </c>
      <c r="G2509" s="344">
        <f t="shared" si="40"/>
        <v>0</v>
      </c>
    </row>
    <row r="2510" spans="2:7">
      <c r="B2510" s="335">
        <v>46195</v>
      </c>
      <c r="C2510" s="341" t="s">
        <v>671</v>
      </c>
      <c r="D2510" s="345">
        <v>1</v>
      </c>
      <c r="E2510" s="345" t="s">
        <v>5319</v>
      </c>
      <c r="F2510" s="345">
        <v>1</v>
      </c>
      <c r="G2510" s="344">
        <f t="shared" si="40"/>
        <v>0</v>
      </c>
    </row>
    <row r="2511" spans="2:7">
      <c r="B2511" s="335">
        <v>46195</v>
      </c>
      <c r="C2511" s="343" t="s">
        <v>1575</v>
      </c>
      <c r="D2511" s="345">
        <v>3</v>
      </c>
      <c r="E2511" s="345" t="s">
        <v>5319</v>
      </c>
      <c r="F2511" s="345">
        <v>3</v>
      </c>
      <c r="G2511" s="344">
        <f t="shared" si="40"/>
        <v>0</v>
      </c>
    </row>
    <row r="2512" spans="2:7">
      <c r="B2512" s="335">
        <v>46195</v>
      </c>
      <c r="C2512" s="343" t="s">
        <v>807</v>
      </c>
      <c r="D2512" s="345">
        <v>2</v>
      </c>
      <c r="E2512" s="345" t="s">
        <v>5319</v>
      </c>
      <c r="F2512" s="345">
        <v>2</v>
      </c>
      <c r="G2512" s="344">
        <f t="shared" si="40"/>
        <v>0</v>
      </c>
    </row>
    <row r="2513" spans="2:7">
      <c r="B2513" s="335">
        <v>46197</v>
      </c>
      <c r="C2513" s="343" t="s">
        <v>2518</v>
      </c>
      <c r="D2513" s="43">
        <v>1</v>
      </c>
      <c r="E2513" s="345" t="s">
        <v>5115</v>
      </c>
      <c r="F2513" s="43">
        <v>1</v>
      </c>
      <c r="G2513" s="104">
        <f t="shared" si="40"/>
        <v>0</v>
      </c>
    </row>
    <row r="2514" spans="2:7">
      <c r="B2514" s="335">
        <v>46193</v>
      </c>
      <c r="C2514" s="343" t="s">
        <v>4109</v>
      </c>
      <c r="D2514" s="345">
        <v>1</v>
      </c>
      <c r="E2514" s="345" t="s">
        <v>5345</v>
      </c>
      <c r="F2514" s="345">
        <v>1</v>
      </c>
      <c r="G2514" s="104">
        <f t="shared" si="40"/>
        <v>0</v>
      </c>
    </row>
    <row r="2515" spans="2:7">
      <c r="B2515" s="335">
        <v>46193</v>
      </c>
      <c r="C2515" s="343" t="s">
        <v>4470</v>
      </c>
      <c r="D2515" s="345">
        <v>1</v>
      </c>
      <c r="E2515" s="345" t="s">
        <v>5345</v>
      </c>
      <c r="F2515" s="345">
        <v>1</v>
      </c>
      <c r="G2515" s="104">
        <f t="shared" ref="G2515:G2524" si="41">D2515-F2515</f>
        <v>0</v>
      </c>
    </row>
    <row r="2516" spans="2:7">
      <c r="B2516" s="335">
        <v>46193</v>
      </c>
      <c r="C2516" s="343" t="s">
        <v>1246</v>
      </c>
      <c r="D2516" s="345">
        <v>1</v>
      </c>
      <c r="E2516" s="345" t="s">
        <v>5345</v>
      </c>
      <c r="F2516" s="345">
        <v>1</v>
      </c>
      <c r="G2516" s="104">
        <f t="shared" si="41"/>
        <v>0</v>
      </c>
    </row>
    <row r="2517" spans="2:7">
      <c r="B2517" s="335">
        <v>46193</v>
      </c>
      <c r="C2517" s="343" t="s">
        <v>1249</v>
      </c>
      <c r="D2517" s="345">
        <v>2</v>
      </c>
      <c r="E2517" s="345" t="s">
        <v>5345</v>
      </c>
      <c r="F2517" s="345">
        <v>2</v>
      </c>
      <c r="G2517" s="104">
        <f t="shared" si="41"/>
        <v>0</v>
      </c>
    </row>
    <row r="2518" spans="2:7">
      <c r="B2518" s="335">
        <v>46193</v>
      </c>
      <c r="C2518" s="343" t="s">
        <v>4124</v>
      </c>
      <c r="D2518" s="345">
        <v>14</v>
      </c>
      <c r="E2518" s="345" t="s">
        <v>5345</v>
      </c>
      <c r="F2518" s="345">
        <v>14</v>
      </c>
      <c r="G2518" s="104">
        <f t="shared" si="41"/>
        <v>0</v>
      </c>
    </row>
    <row r="2519" spans="2:7">
      <c r="B2519" s="335">
        <v>46193</v>
      </c>
      <c r="C2519" s="343" t="s">
        <v>1289</v>
      </c>
      <c r="D2519" s="345">
        <v>1</v>
      </c>
      <c r="E2519" s="345" t="s">
        <v>5345</v>
      </c>
      <c r="F2519" s="345">
        <v>1</v>
      </c>
      <c r="G2519" s="104">
        <f t="shared" si="41"/>
        <v>0</v>
      </c>
    </row>
    <row r="2520" spans="2:7">
      <c r="B2520" s="335">
        <v>46193</v>
      </c>
      <c r="C2520" s="343" t="s">
        <v>1568</v>
      </c>
      <c r="D2520" s="345">
        <v>2</v>
      </c>
      <c r="E2520" s="345" t="s">
        <v>5345</v>
      </c>
      <c r="F2520" s="345">
        <v>2</v>
      </c>
      <c r="G2520" s="104">
        <f t="shared" si="41"/>
        <v>0</v>
      </c>
    </row>
    <row r="2521" spans="2:7">
      <c r="B2521" s="335">
        <v>46193</v>
      </c>
      <c r="C2521" s="343" t="s">
        <v>1640</v>
      </c>
      <c r="D2521" s="345">
        <v>7</v>
      </c>
      <c r="E2521" s="345" t="s">
        <v>5345</v>
      </c>
      <c r="F2521" s="345">
        <v>7</v>
      </c>
      <c r="G2521" s="104">
        <f t="shared" si="41"/>
        <v>0</v>
      </c>
    </row>
    <row r="2522" spans="2:7">
      <c r="B2522" s="335">
        <v>46193</v>
      </c>
      <c r="C2522" s="343" t="s">
        <v>1689</v>
      </c>
      <c r="D2522" s="345">
        <v>2</v>
      </c>
      <c r="E2522" s="345" t="s">
        <v>5345</v>
      </c>
      <c r="F2522" s="345">
        <v>2</v>
      </c>
      <c r="G2522" s="104">
        <f t="shared" si="41"/>
        <v>0</v>
      </c>
    </row>
    <row r="2523" spans="2:7">
      <c r="B2523" s="335">
        <v>46195</v>
      </c>
      <c r="C2523" s="343" t="s">
        <v>4503</v>
      </c>
      <c r="D2523" s="43">
        <v>1</v>
      </c>
      <c r="E2523" s="345" t="s">
        <v>4786</v>
      </c>
      <c r="F2523" s="43">
        <v>1</v>
      </c>
      <c r="G2523" s="104">
        <f t="shared" si="41"/>
        <v>0</v>
      </c>
    </row>
    <row r="2524" spans="2:7">
      <c r="B2524" s="335">
        <v>46197</v>
      </c>
      <c r="C2524" s="84" t="s">
        <v>131</v>
      </c>
      <c r="D2524" s="43">
        <v>31</v>
      </c>
      <c r="E2524" s="43" t="s">
        <v>5346</v>
      </c>
      <c r="F2524" s="43">
        <v>31</v>
      </c>
      <c r="G2524" s="104">
        <f t="shared" si="41"/>
        <v>0</v>
      </c>
    </row>
  </sheetData>
  <mergeCells count="2">
    <mergeCell ref="C2:D2"/>
    <mergeCell ref="C3:F3"/>
  </mergeCells>
  <phoneticPr fontId="3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B6D5-8DED-43A2-B3EE-99F9A3049DC7}">
  <sheetPr codeName="Sheet8"/>
  <dimension ref="A1:J120"/>
  <sheetViews>
    <sheetView topLeftCell="A51" zoomScale="85" zoomScaleNormal="85" workbookViewId="0">
      <selection activeCell="F49" sqref="F49"/>
    </sheetView>
  </sheetViews>
  <sheetFormatPr defaultRowHeight="15"/>
  <cols>
    <col min="1" max="1" width="6.140625" customWidth="1"/>
    <col min="2" max="2" width="11.5703125" customWidth="1"/>
    <col min="3" max="3" width="35.42578125" customWidth="1"/>
    <col min="4" max="4" width="10.5703125" style="162" bestFit="1" customWidth="1"/>
    <col min="5" max="5" width="19" style="160" customWidth="1"/>
    <col min="6" max="6" width="22.140625" customWidth="1"/>
    <col min="7" max="7" width="19.85546875" customWidth="1"/>
    <col min="8" max="8" width="21.140625" customWidth="1"/>
    <col min="9" max="9" width="22.42578125" style="160" customWidth="1"/>
    <col min="10" max="10" width="16.140625" style="171" customWidth="1"/>
  </cols>
  <sheetData>
    <row r="1" spans="1:10">
      <c r="A1" cm="1">
        <f t="array" aca="1" ref="A1" ca="1">A1:K74</f>
        <v>0</v>
      </c>
    </row>
    <row r="2" spans="1:10" ht="18.75">
      <c r="B2" s="158" t="s">
        <v>1</v>
      </c>
      <c r="C2" s="158" t="s">
        <v>2</v>
      </c>
      <c r="D2" s="161" t="s">
        <v>3</v>
      </c>
      <c r="E2" s="159" t="s">
        <v>349</v>
      </c>
      <c r="F2" s="158" t="s">
        <v>350</v>
      </c>
      <c r="G2" s="158" t="s">
        <v>353</v>
      </c>
      <c r="H2" s="158" t="s">
        <v>351</v>
      </c>
      <c r="I2" s="159" t="s">
        <v>352</v>
      </c>
      <c r="J2" s="170" t="s">
        <v>354</v>
      </c>
    </row>
    <row r="3" spans="1:10" ht="21">
      <c r="B3" s="163">
        <v>45718</v>
      </c>
      <c r="C3" s="164" t="s">
        <v>78</v>
      </c>
      <c r="D3" s="174">
        <v>5</v>
      </c>
      <c r="E3" s="175">
        <v>1180</v>
      </c>
      <c r="F3" s="175">
        <v>1199.78712</v>
      </c>
      <c r="G3" s="175">
        <f t="shared" ref="G3:G36" si="0">E3-F3</f>
        <v>-19.787119999999959</v>
      </c>
      <c r="H3" s="177">
        <f t="shared" ref="H3:H36" si="1">E3*D3</f>
        <v>5900</v>
      </c>
      <c r="I3" s="177">
        <f t="shared" ref="I3:I36" si="2">F3*D3</f>
        <v>5998.9355999999998</v>
      </c>
      <c r="J3" s="176">
        <f t="shared" ref="J3:J36" si="3">H3-I3</f>
        <v>-98.935599999999795</v>
      </c>
    </row>
    <row r="4" spans="1:10" ht="21">
      <c r="B4" s="165">
        <v>45722</v>
      </c>
      <c r="C4" s="166" t="s">
        <v>86</v>
      </c>
      <c r="D4" s="174">
        <v>20</v>
      </c>
      <c r="E4" s="175">
        <v>4900</v>
      </c>
      <c r="F4" s="175">
        <v>5019.6000000000004</v>
      </c>
      <c r="G4" s="175">
        <f t="shared" si="0"/>
        <v>-119.60000000000036</v>
      </c>
      <c r="H4" s="177">
        <f t="shared" si="1"/>
        <v>98000</v>
      </c>
      <c r="I4" s="177">
        <f t="shared" si="2"/>
        <v>100392</v>
      </c>
      <c r="J4" s="176">
        <f t="shared" si="3"/>
        <v>-2392</v>
      </c>
    </row>
    <row r="5" spans="1:10" ht="21">
      <c r="B5" s="165">
        <v>45722</v>
      </c>
      <c r="C5" s="164" t="s">
        <v>78</v>
      </c>
      <c r="D5" s="174">
        <v>50</v>
      </c>
      <c r="E5" s="175">
        <v>1140</v>
      </c>
      <c r="F5" s="175">
        <v>1199.78712</v>
      </c>
      <c r="G5" s="175">
        <f t="shared" si="0"/>
        <v>-59.787119999999959</v>
      </c>
      <c r="H5" s="177">
        <f t="shared" si="1"/>
        <v>57000</v>
      </c>
      <c r="I5" s="177">
        <f t="shared" si="2"/>
        <v>59989.356</v>
      </c>
      <c r="J5" s="176">
        <f t="shared" si="3"/>
        <v>-2989.3559999999998</v>
      </c>
    </row>
    <row r="6" spans="1:10" ht="21">
      <c r="B6" s="165">
        <v>45723</v>
      </c>
      <c r="C6" s="164" t="s">
        <v>78</v>
      </c>
      <c r="D6" s="174">
        <v>44</v>
      </c>
      <c r="E6" s="175">
        <v>1135</v>
      </c>
      <c r="F6" s="175">
        <v>1199.78712</v>
      </c>
      <c r="G6" s="175">
        <f t="shared" si="0"/>
        <v>-64.787119999999959</v>
      </c>
      <c r="H6" s="177">
        <f t="shared" si="1"/>
        <v>49940</v>
      </c>
      <c r="I6" s="177">
        <f t="shared" si="2"/>
        <v>52790.633279999995</v>
      </c>
      <c r="J6" s="176">
        <f t="shared" si="3"/>
        <v>-2850.6332799999946</v>
      </c>
    </row>
    <row r="7" spans="1:10" ht="21">
      <c r="B7" s="165">
        <v>45728</v>
      </c>
      <c r="C7" s="164" t="s">
        <v>78</v>
      </c>
      <c r="D7" s="174">
        <v>2</v>
      </c>
      <c r="E7" s="175">
        <v>1135</v>
      </c>
      <c r="F7" s="175">
        <v>1199.78712</v>
      </c>
      <c r="G7" s="175">
        <f t="shared" si="0"/>
        <v>-64.787119999999959</v>
      </c>
      <c r="H7" s="177">
        <f t="shared" si="1"/>
        <v>2270</v>
      </c>
      <c r="I7" s="177">
        <f t="shared" si="2"/>
        <v>2399.5742399999999</v>
      </c>
      <c r="J7" s="176">
        <f t="shared" si="3"/>
        <v>-129.57423999999992</v>
      </c>
    </row>
    <row r="8" spans="1:10" ht="21">
      <c r="B8" s="165">
        <v>45729</v>
      </c>
      <c r="C8" s="164" t="s">
        <v>78</v>
      </c>
      <c r="D8" s="174">
        <v>30</v>
      </c>
      <c r="E8" s="175">
        <v>1125</v>
      </c>
      <c r="F8" s="175">
        <v>1199.78712</v>
      </c>
      <c r="G8" s="175">
        <f t="shared" si="0"/>
        <v>-74.787119999999959</v>
      </c>
      <c r="H8" s="177">
        <f t="shared" si="1"/>
        <v>33750</v>
      </c>
      <c r="I8" s="177">
        <f t="shared" si="2"/>
        <v>35993.613599999997</v>
      </c>
      <c r="J8" s="176">
        <f t="shared" si="3"/>
        <v>-2243.6135999999969</v>
      </c>
    </row>
    <row r="9" spans="1:10" ht="21">
      <c r="B9" s="165">
        <v>45729</v>
      </c>
      <c r="C9" s="167" t="s">
        <v>93</v>
      </c>
      <c r="D9" s="174">
        <v>1</v>
      </c>
      <c r="E9" s="175">
        <v>2150</v>
      </c>
      <c r="F9" s="175">
        <v>2250</v>
      </c>
      <c r="G9" s="175">
        <f t="shared" si="0"/>
        <v>-100</v>
      </c>
      <c r="H9" s="177">
        <f t="shared" si="1"/>
        <v>2150</v>
      </c>
      <c r="I9" s="177">
        <f t="shared" si="2"/>
        <v>2250</v>
      </c>
      <c r="J9" s="176">
        <f t="shared" si="3"/>
        <v>-100</v>
      </c>
    </row>
    <row r="10" spans="1:10" ht="21">
      <c r="B10" s="165">
        <v>45733</v>
      </c>
      <c r="C10" s="168" t="s">
        <v>86</v>
      </c>
      <c r="D10" s="174">
        <v>2</v>
      </c>
      <c r="E10" s="175">
        <v>4930</v>
      </c>
      <c r="F10" s="175">
        <v>5019.6000000000004</v>
      </c>
      <c r="G10" s="175">
        <f t="shared" si="0"/>
        <v>-89.600000000000364</v>
      </c>
      <c r="H10" s="177">
        <f t="shared" si="1"/>
        <v>9860</v>
      </c>
      <c r="I10" s="177">
        <f t="shared" si="2"/>
        <v>10039.200000000001</v>
      </c>
      <c r="J10" s="176">
        <f t="shared" si="3"/>
        <v>-179.20000000000073</v>
      </c>
    </row>
    <row r="11" spans="1:10" ht="21">
      <c r="B11" s="165">
        <v>45734</v>
      </c>
      <c r="C11" s="168" t="s">
        <v>86</v>
      </c>
      <c r="D11" s="174">
        <v>31</v>
      </c>
      <c r="E11" s="175">
        <v>4900</v>
      </c>
      <c r="F11" s="175">
        <v>5019.6000000000004</v>
      </c>
      <c r="G11" s="175">
        <f t="shared" si="0"/>
        <v>-119.60000000000036</v>
      </c>
      <c r="H11" s="177">
        <f t="shared" si="1"/>
        <v>151900</v>
      </c>
      <c r="I11" s="177">
        <f t="shared" si="2"/>
        <v>155607.6</v>
      </c>
      <c r="J11" s="176">
        <f t="shared" si="3"/>
        <v>-3707.6000000000058</v>
      </c>
    </row>
    <row r="12" spans="1:10" ht="21">
      <c r="B12" s="165">
        <v>45734</v>
      </c>
      <c r="C12" s="164" t="s">
        <v>78</v>
      </c>
      <c r="D12" s="174">
        <v>3</v>
      </c>
      <c r="E12" s="175">
        <v>1115</v>
      </c>
      <c r="F12" s="175">
        <v>1199.78712</v>
      </c>
      <c r="G12" s="175">
        <f t="shared" si="0"/>
        <v>-84.787119999999959</v>
      </c>
      <c r="H12" s="177">
        <f t="shared" si="1"/>
        <v>3345</v>
      </c>
      <c r="I12" s="177">
        <f t="shared" si="2"/>
        <v>3599.3613599999999</v>
      </c>
      <c r="J12" s="176">
        <f t="shared" si="3"/>
        <v>-254.36135999999988</v>
      </c>
    </row>
    <row r="13" spans="1:10" ht="21">
      <c r="B13" s="165">
        <v>45738</v>
      </c>
      <c r="C13" s="164" t="s">
        <v>78</v>
      </c>
      <c r="D13" s="174">
        <v>4</v>
      </c>
      <c r="E13" s="175">
        <v>1120</v>
      </c>
      <c r="F13" s="175">
        <v>1199.78712</v>
      </c>
      <c r="G13" s="175">
        <f t="shared" si="0"/>
        <v>-79.787119999999959</v>
      </c>
      <c r="H13" s="177">
        <f t="shared" si="1"/>
        <v>4480</v>
      </c>
      <c r="I13" s="177">
        <f t="shared" si="2"/>
        <v>4799.1484799999998</v>
      </c>
      <c r="J13" s="176">
        <f t="shared" si="3"/>
        <v>-319.14847999999984</v>
      </c>
    </row>
    <row r="14" spans="1:10" ht="21">
      <c r="B14" s="165">
        <v>45742</v>
      </c>
      <c r="C14" s="167" t="s">
        <v>86</v>
      </c>
      <c r="D14" s="174">
        <v>2</v>
      </c>
      <c r="E14" s="175">
        <v>4890</v>
      </c>
      <c r="F14" s="175">
        <v>5019.6000000000004</v>
      </c>
      <c r="G14" s="175">
        <f t="shared" si="0"/>
        <v>-129.60000000000036</v>
      </c>
      <c r="H14" s="177">
        <f t="shared" si="1"/>
        <v>9780</v>
      </c>
      <c r="I14" s="177">
        <f t="shared" si="2"/>
        <v>10039.200000000001</v>
      </c>
      <c r="J14" s="176">
        <f t="shared" si="3"/>
        <v>-259.20000000000073</v>
      </c>
    </row>
    <row r="15" spans="1:10" ht="21">
      <c r="B15" s="165">
        <v>45742</v>
      </c>
      <c r="C15" s="169" t="s">
        <v>78</v>
      </c>
      <c r="D15" s="174">
        <v>25</v>
      </c>
      <c r="E15" s="175">
        <v>1050</v>
      </c>
      <c r="F15" s="175">
        <v>1199.78712</v>
      </c>
      <c r="G15" s="175">
        <f t="shared" si="0"/>
        <v>-149.78711999999996</v>
      </c>
      <c r="H15" s="177">
        <f t="shared" si="1"/>
        <v>26250</v>
      </c>
      <c r="I15" s="177">
        <f t="shared" si="2"/>
        <v>29994.678</v>
      </c>
      <c r="J15" s="176">
        <f t="shared" si="3"/>
        <v>-3744.6779999999999</v>
      </c>
    </row>
    <row r="16" spans="1:10" ht="21">
      <c r="B16" s="165">
        <v>45742</v>
      </c>
      <c r="C16" s="169" t="s">
        <v>78</v>
      </c>
      <c r="D16" s="174">
        <v>1</v>
      </c>
      <c r="E16" s="175">
        <v>1080</v>
      </c>
      <c r="F16" s="175">
        <v>1199.78712</v>
      </c>
      <c r="G16" s="175">
        <f t="shared" si="0"/>
        <v>-119.78711999999996</v>
      </c>
      <c r="H16" s="177">
        <f t="shared" si="1"/>
        <v>1080</v>
      </c>
      <c r="I16" s="177">
        <f t="shared" si="2"/>
        <v>1199.78712</v>
      </c>
      <c r="J16" s="176">
        <f t="shared" si="3"/>
        <v>-119.78711999999996</v>
      </c>
    </row>
    <row r="17" spans="2:10" ht="21">
      <c r="B17" s="165">
        <v>45743</v>
      </c>
      <c r="C17" s="169" t="s">
        <v>78</v>
      </c>
      <c r="D17" s="174">
        <v>20</v>
      </c>
      <c r="E17" s="175">
        <v>1040</v>
      </c>
      <c r="F17" s="175">
        <v>1199.78712</v>
      </c>
      <c r="G17" s="175">
        <f t="shared" si="0"/>
        <v>-159.78711999999996</v>
      </c>
      <c r="H17" s="177">
        <f t="shared" si="1"/>
        <v>20800</v>
      </c>
      <c r="I17" s="177">
        <f t="shared" si="2"/>
        <v>23995.742399999999</v>
      </c>
      <c r="J17" s="176">
        <f t="shared" si="3"/>
        <v>-3195.7423999999992</v>
      </c>
    </row>
    <row r="18" spans="2:10" ht="21">
      <c r="B18" s="165">
        <v>45743</v>
      </c>
      <c r="C18" s="169" t="s">
        <v>78</v>
      </c>
      <c r="D18" s="174">
        <v>60</v>
      </c>
      <c r="E18" s="175">
        <v>1030</v>
      </c>
      <c r="F18" s="175">
        <v>1199.78712</v>
      </c>
      <c r="G18" s="175">
        <f t="shared" si="0"/>
        <v>-169.78711999999996</v>
      </c>
      <c r="H18" s="177">
        <f t="shared" si="1"/>
        <v>61800</v>
      </c>
      <c r="I18" s="177">
        <f t="shared" si="2"/>
        <v>71987.227199999994</v>
      </c>
      <c r="J18" s="176">
        <f t="shared" si="3"/>
        <v>-10187.227199999994</v>
      </c>
    </row>
    <row r="19" spans="2:10" ht="21">
      <c r="B19" s="187">
        <v>45744</v>
      </c>
      <c r="C19" s="188" t="s">
        <v>86</v>
      </c>
      <c r="D19" s="189">
        <v>2</v>
      </c>
      <c r="E19" s="190">
        <v>4870</v>
      </c>
      <c r="F19" s="190">
        <v>5019.6000000000004</v>
      </c>
      <c r="G19" s="190">
        <f t="shared" si="0"/>
        <v>-149.60000000000036</v>
      </c>
      <c r="H19" s="191">
        <f t="shared" si="1"/>
        <v>9740</v>
      </c>
      <c r="I19" s="191">
        <f t="shared" si="2"/>
        <v>10039.200000000001</v>
      </c>
      <c r="J19" s="192">
        <f t="shared" si="3"/>
        <v>-299.20000000000073</v>
      </c>
    </row>
    <row r="20" spans="2:10" ht="21">
      <c r="B20" s="107"/>
      <c r="C20" s="185"/>
      <c r="D20" s="1"/>
      <c r="F20" s="160"/>
      <c r="G20" s="160"/>
      <c r="H20" s="129"/>
      <c r="I20" s="193" t="s">
        <v>370</v>
      </c>
      <c r="J20" s="194">
        <f>SUM(J3:J19)</f>
        <v>-33070.257279999991</v>
      </c>
    </row>
    <row r="21" spans="2:10" ht="18.75">
      <c r="B21" s="158" t="s">
        <v>1</v>
      </c>
      <c r="C21" s="158" t="s">
        <v>2</v>
      </c>
      <c r="D21" s="161" t="s">
        <v>3</v>
      </c>
      <c r="E21" s="159" t="s">
        <v>349</v>
      </c>
      <c r="F21" s="158" t="s">
        <v>350</v>
      </c>
      <c r="G21" s="158" t="s">
        <v>353</v>
      </c>
      <c r="H21" s="158" t="s">
        <v>351</v>
      </c>
      <c r="I21" s="159" t="s">
        <v>352</v>
      </c>
      <c r="J21" s="170" t="s">
        <v>354</v>
      </c>
    </row>
    <row r="22" spans="2:10" ht="21">
      <c r="B22" s="20">
        <v>45717</v>
      </c>
      <c r="C22" s="36" t="s">
        <v>76</v>
      </c>
      <c r="D22" s="19">
        <v>3</v>
      </c>
      <c r="E22" s="172">
        <v>1175</v>
      </c>
      <c r="F22" s="172">
        <v>1045.5287759999999</v>
      </c>
      <c r="G22" s="172">
        <f t="shared" si="0"/>
        <v>129.47122400000012</v>
      </c>
      <c r="H22" s="135">
        <f t="shared" si="1"/>
        <v>3525</v>
      </c>
      <c r="I22" s="135">
        <f t="shared" si="2"/>
        <v>3136.5863279999994</v>
      </c>
      <c r="J22" s="173">
        <f>H22-I22</f>
        <v>388.41367200000059</v>
      </c>
    </row>
    <row r="23" spans="2:10" ht="25.35" customHeight="1">
      <c r="B23" s="20">
        <v>45717</v>
      </c>
      <c r="C23" s="36" t="s">
        <v>76</v>
      </c>
      <c r="D23" s="19">
        <v>7</v>
      </c>
      <c r="E23" s="172">
        <v>1175</v>
      </c>
      <c r="F23" s="172">
        <v>1045.5287759999999</v>
      </c>
      <c r="G23" s="172">
        <f t="shared" si="0"/>
        <v>129.47122400000012</v>
      </c>
      <c r="H23" s="135">
        <f t="shared" si="1"/>
        <v>8225</v>
      </c>
      <c r="I23" s="135">
        <f t="shared" si="2"/>
        <v>7318.7014319999989</v>
      </c>
      <c r="J23" s="173">
        <f t="shared" si="3"/>
        <v>906.29856800000107</v>
      </c>
    </row>
    <row r="24" spans="2:10" ht="21">
      <c r="B24" s="20">
        <v>45717</v>
      </c>
      <c r="C24" s="36" t="s">
        <v>76</v>
      </c>
      <c r="D24" s="19">
        <v>10</v>
      </c>
      <c r="E24" s="172">
        <v>1180</v>
      </c>
      <c r="F24" s="172">
        <v>1045.5287759999999</v>
      </c>
      <c r="G24" s="172">
        <f t="shared" si="0"/>
        <v>134.47122400000012</v>
      </c>
      <c r="H24" s="135">
        <f t="shared" si="1"/>
        <v>11800</v>
      </c>
      <c r="I24" s="135">
        <f t="shared" si="2"/>
        <v>10455.287759999999</v>
      </c>
      <c r="J24" s="173">
        <f t="shared" si="3"/>
        <v>1344.7122400000007</v>
      </c>
    </row>
    <row r="25" spans="2:10" ht="21">
      <c r="B25" s="20">
        <v>45717</v>
      </c>
      <c r="C25" s="36" t="s">
        <v>76</v>
      </c>
      <c r="D25" s="19">
        <v>15</v>
      </c>
      <c r="E25" s="172">
        <v>1175</v>
      </c>
      <c r="F25" s="172">
        <v>1045.5287759999999</v>
      </c>
      <c r="G25" s="172">
        <f t="shared" si="0"/>
        <v>129.47122400000012</v>
      </c>
      <c r="H25" s="135">
        <f t="shared" si="1"/>
        <v>17625</v>
      </c>
      <c r="I25" s="135">
        <f t="shared" si="2"/>
        <v>15682.931639999999</v>
      </c>
      <c r="J25" s="173">
        <f t="shared" si="3"/>
        <v>1942.0683600000011</v>
      </c>
    </row>
    <row r="26" spans="2:10" ht="21">
      <c r="B26" s="20">
        <v>45717</v>
      </c>
      <c r="C26" s="36" t="s">
        <v>76</v>
      </c>
      <c r="D26" s="19">
        <v>7</v>
      </c>
      <c r="E26" s="172">
        <v>1175</v>
      </c>
      <c r="F26" s="172">
        <v>1045.5287759999999</v>
      </c>
      <c r="G26" s="172">
        <f t="shared" si="0"/>
        <v>129.47122400000012</v>
      </c>
      <c r="H26" s="135">
        <f t="shared" si="1"/>
        <v>8225</v>
      </c>
      <c r="I26" s="135">
        <f t="shared" si="2"/>
        <v>7318.7014319999989</v>
      </c>
      <c r="J26" s="173">
        <f t="shared" si="3"/>
        <v>906.29856800000107</v>
      </c>
    </row>
    <row r="27" spans="2:10" ht="21">
      <c r="B27" s="43"/>
      <c r="C27" s="43"/>
      <c r="D27" s="19">
        <v>0</v>
      </c>
      <c r="E27" s="172"/>
      <c r="F27" s="172">
        <v>0</v>
      </c>
      <c r="G27" s="172">
        <f t="shared" si="0"/>
        <v>0</v>
      </c>
      <c r="H27" s="135">
        <f t="shared" si="1"/>
        <v>0</v>
      </c>
      <c r="I27" s="135">
        <f t="shared" si="2"/>
        <v>0</v>
      </c>
      <c r="J27" s="173">
        <f t="shared" si="3"/>
        <v>0</v>
      </c>
    </row>
    <row r="28" spans="2:10" ht="21">
      <c r="B28" s="20">
        <v>45719</v>
      </c>
      <c r="C28" s="36" t="s">
        <v>76</v>
      </c>
      <c r="D28" s="19">
        <v>8</v>
      </c>
      <c r="E28" s="172">
        <v>1170</v>
      </c>
      <c r="F28" s="172">
        <v>1045.5287759999999</v>
      </c>
      <c r="G28" s="172">
        <f t="shared" si="0"/>
        <v>124.47122400000012</v>
      </c>
      <c r="H28" s="135">
        <f t="shared" si="1"/>
        <v>9360</v>
      </c>
      <c r="I28" s="135">
        <f t="shared" si="2"/>
        <v>8364.230207999999</v>
      </c>
      <c r="J28" s="173">
        <f t="shared" si="3"/>
        <v>995.76979200000096</v>
      </c>
    </row>
    <row r="29" spans="2:10" ht="21">
      <c r="B29" s="20">
        <v>45719</v>
      </c>
      <c r="C29" s="43" t="s">
        <v>87</v>
      </c>
      <c r="D29" s="19">
        <v>21</v>
      </c>
      <c r="E29" s="172">
        <v>540</v>
      </c>
      <c r="F29" s="172">
        <v>0</v>
      </c>
      <c r="G29" s="172">
        <f t="shared" si="0"/>
        <v>540</v>
      </c>
      <c r="H29" s="135">
        <f t="shared" si="1"/>
        <v>11340</v>
      </c>
      <c r="I29" s="135">
        <f t="shared" si="2"/>
        <v>0</v>
      </c>
      <c r="J29" s="173">
        <f t="shared" si="3"/>
        <v>11340</v>
      </c>
    </row>
    <row r="30" spans="2:10" ht="21">
      <c r="B30" s="20">
        <v>45719</v>
      </c>
      <c r="C30" s="36" t="s">
        <v>82</v>
      </c>
      <c r="D30" s="19">
        <v>100</v>
      </c>
      <c r="E30" s="172">
        <v>310</v>
      </c>
      <c r="F30" s="172">
        <v>283.75917600000002</v>
      </c>
      <c r="G30" s="172">
        <f t="shared" si="0"/>
        <v>26.240823999999975</v>
      </c>
      <c r="H30" s="135">
        <f t="shared" si="1"/>
        <v>31000</v>
      </c>
      <c r="I30" s="135">
        <f t="shared" si="2"/>
        <v>28375.917600000001</v>
      </c>
      <c r="J30" s="173">
        <f t="shared" si="3"/>
        <v>2624.0823999999993</v>
      </c>
    </row>
    <row r="31" spans="2:10" ht="21">
      <c r="B31" s="81">
        <v>45722</v>
      </c>
      <c r="C31" s="43" t="s">
        <v>86</v>
      </c>
      <c r="D31" s="19">
        <v>3</v>
      </c>
      <c r="E31" s="172">
        <v>6150</v>
      </c>
      <c r="F31" s="172">
        <v>5019.6000000000004</v>
      </c>
      <c r="G31" s="172">
        <f t="shared" si="0"/>
        <v>1130.3999999999996</v>
      </c>
      <c r="H31" s="135">
        <f t="shared" si="1"/>
        <v>18450</v>
      </c>
      <c r="I31" s="135">
        <f t="shared" si="2"/>
        <v>15058.800000000001</v>
      </c>
      <c r="J31" s="173">
        <f t="shared" si="3"/>
        <v>3391.1999999999989</v>
      </c>
    </row>
    <row r="32" spans="2:10" ht="21">
      <c r="B32" s="81">
        <v>45722</v>
      </c>
      <c r="C32" s="38" t="s">
        <v>137</v>
      </c>
      <c r="D32" s="19">
        <v>13</v>
      </c>
      <c r="E32" s="172">
        <v>3120</v>
      </c>
      <c r="F32" s="172">
        <v>2940.3</v>
      </c>
      <c r="G32" s="172">
        <f t="shared" si="0"/>
        <v>179.69999999999982</v>
      </c>
      <c r="H32" s="135">
        <f t="shared" si="1"/>
        <v>40560</v>
      </c>
      <c r="I32" s="135">
        <f t="shared" si="2"/>
        <v>38223.9</v>
      </c>
      <c r="J32" s="173">
        <f t="shared" si="3"/>
        <v>2336.0999999999985</v>
      </c>
    </row>
    <row r="33" spans="2:10" ht="21">
      <c r="B33" s="81">
        <v>45722</v>
      </c>
      <c r="C33" s="38" t="s">
        <v>135</v>
      </c>
      <c r="D33" s="19">
        <v>4</v>
      </c>
      <c r="E33" s="172">
        <v>3800</v>
      </c>
      <c r="F33" s="172">
        <v>3630</v>
      </c>
      <c r="G33" s="172">
        <f t="shared" si="0"/>
        <v>170</v>
      </c>
      <c r="H33" s="135">
        <f t="shared" si="1"/>
        <v>15200</v>
      </c>
      <c r="I33" s="135">
        <f t="shared" si="2"/>
        <v>14520</v>
      </c>
      <c r="J33" s="173">
        <f t="shared" si="3"/>
        <v>680</v>
      </c>
    </row>
    <row r="34" spans="2:10" ht="21">
      <c r="B34" s="81">
        <v>45722</v>
      </c>
      <c r="C34" s="38" t="s">
        <v>134</v>
      </c>
      <c r="D34" s="19">
        <v>17</v>
      </c>
      <c r="E34" s="172">
        <v>2860</v>
      </c>
      <c r="F34" s="172">
        <v>2766.06</v>
      </c>
      <c r="G34" s="172">
        <f t="shared" si="0"/>
        <v>93.940000000000055</v>
      </c>
      <c r="H34" s="135">
        <f t="shared" si="1"/>
        <v>48620</v>
      </c>
      <c r="I34" s="135">
        <f t="shared" si="2"/>
        <v>47023.02</v>
      </c>
      <c r="J34" s="173">
        <f t="shared" si="3"/>
        <v>1596.9800000000032</v>
      </c>
    </row>
    <row r="35" spans="2:10" ht="21">
      <c r="B35" s="81">
        <v>45722</v>
      </c>
      <c r="C35" s="38" t="s">
        <v>134</v>
      </c>
      <c r="D35" s="19">
        <v>2</v>
      </c>
      <c r="E35" s="172">
        <v>2805</v>
      </c>
      <c r="F35" s="172">
        <v>2766.06</v>
      </c>
      <c r="G35" s="172">
        <f t="shared" si="0"/>
        <v>38.940000000000055</v>
      </c>
      <c r="H35" s="135">
        <f t="shared" si="1"/>
        <v>5610</v>
      </c>
      <c r="I35" s="135">
        <f t="shared" si="2"/>
        <v>5532.12</v>
      </c>
      <c r="J35" s="173">
        <f t="shared" si="3"/>
        <v>77.880000000000109</v>
      </c>
    </row>
    <row r="36" spans="2:10" ht="42">
      <c r="B36" s="81">
        <v>45723</v>
      </c>
      <c r="C36" s="36" t="s">
        <v>88</v>
      </c>
      <c r="D36" s="19">
        <v>1</v>
      </c>
      <c r="E36" s="172">
        <v>325</v>
      </c>
      <c r="F36" s="172">
        <v>250</v>
      </c>
      <c r="G36" s="172">
        <f t="shared" si="0"/>
        <v>75</v>
      </c>
      <c r="H36" s="135">
        <f t="shared" si="1"/>
        <v>325</v>
      </c>
      <c r="I36" s="135">
        <f t="shared" si="2"/>
        <v>250</v>
      </c>
      <c r="J36" s="173">
        <f t="shared" si="3"/>
        <v>75</v>
      </c>
    </row>
    <row r="37" spans="2:10" ht="21">
      <c r="B37" s="81">
        <v>45723</v>
      </c>
      <c r="C37" s="36" t="s">
        <v>82</v>
      </c>
      <c r="D37" s="19">
        <v>20</v>
      </c>
      <c r="E37" s="172">
        <v>315</v>
      </c>
      <c r="F37" s="172">
        <v>283.75917600000002</v>
      </c>
      <c r="G37" s="172">
        <f t="shared" ref="G37:G68" si="4">E37-F37</f>
        <v>31.240823999999975</v>
      </c>
      <c r="H37" s="135">
        <f t="shared" ref="H37:H68" si="5">E37*D37</f>
        <v>6300</v>
      </c>
      <c r="I37" s="135">
        <f t="shared" ref="I37:I68" si="6">F37*D37</f>
        <v>5675.1835200000005</v>
      </c>
      <c r="J37" s="173">
        <f t="shared" ref="J37:J68" si="7">H37-I37</f>
        <v>624.8164799999995</v>
      </c>
    </row>
    <row r="38" spans="2:10" ht="21">
      <c r="B38" s="81">
        <v>45723</v>
      </c>
      <c r="C38" s="36" t="s">
        <v>82</v>
      </c>
      <c r="D38" s="19">
        <v>102</v>
      </c>
      <c r="E38" s="172">
        <v>310</v>
      </c>
      <c r="F38" s="172">
        <v>283.75917600000002</v>
      </c>
      <c r="G38" s="172">
        <f t="shared" si="4"/>
        <v>26.240823999999975</v>
      </c>
      <c r="H38" s="135">
        <f t="shared" si="5"/>
        <v>31620</v>
      </c>
      <c r="I38" s="135">
        <f t="shared" si="6"/>
        <v>28943.435952000003</v>
      </c>
      <c r="J38" s="173">
        <f t="shared" si="7"/>
        <v>2676.5640479999965</v>
      </c>
    </row>
    <row r="39" spans="2:10" ht="21">
      <c r="B39" s="43"/>
      <c r="C39" s="43"/>
      <c r="D39" s="19">
        <v>0</v>
      </c>
      <c r="E39" s="172"/>
      <c r="F39" s="172">
        <v>0</v>
      </c>
      <c r="G39" s="172">
        <f t="shared" si="4"/>
        <v>0</v>
      </c>
      <c r="H39" s="135">
        <f t="shared" si="5"/>
        <v>0</v>
      </c>
      <c r="I39" s="135">
        <f t="shared" si="6"/>
        <v>0</v>
      </c>
      <c r="J39" s="173">
        <f t="shared" si="7"/>
        <v>0</v>
      </c>
    </row>
    <row r="40" spans="2:10" ht="21">
      <c r="B40" s="81">
        <v>45729</v>
      </c>
      <c r="C40" s="92" t="s">
        <v>80</v>
      </c>
      <c r="D40" s="19">
        <v>188</v>
      </c>
      <c r="E40" s="172">
        <v>320</v>
      </c>
      <c r="F40" s="172">
        <v>276.14148</v>
      </c>
      <c r="G40" s="172">
        <f t="shared" si="4"/>
        <v>43.858519999999999</v>
      </c>
      <c r="H40" s="135">
        <f t="shared" si="5"/>
        <v>60160</v>
      </c>
      <c r="I40" s="135">
        <f t="shared" si="6"/>
        <v>51914.598239999999</v>
      </c>
      <c r="J40" s="173">
        <f t="shared" si="7"/>
        <v>8245.4017600000006</v>
      </c>
    </row>
    <row r="41" spans="2:10" ht="21">
      <c r="B41" s="81">
        <v>45729</v>
      </c>
      <c r="C41" s="84" t="s">
        <v>131</v>
      </c>
      <c r="D41" s="19">
        <v>13</v>
      </c>
      <c r="E41" s="172">
        <v>1730</v>
      </c>
      <c r="F41" s="172">
        <v>1542.75</v>
      </c>
      <c r="G41" s="172">
        <f t="shared" si="4"/>
        <v>187.25</v>
      </c>
      <c r="H41" s="135">
        <f t="shared" si="5"/>
        <v>22490</v>
      </c>
      <c r="I41" s="135">
        <f t="shared" si="6"/>
        <v>20055.75</v>
      </c>
      <c r="J41" s="173">
        <f t="shared" si="7"/>
        <v>2434.25</v>
      </c>
    </row>
    <row r="42" spans="2:10" ht="21">
      <c r="B42" s="81">
        <v>45729</v>
      </c>
      <c r="C42" s="93" t="s">
        <v>154</v>
      </c>
      <c r="D42" s="19">
        <v>10</v>
      </c>
      <c r="E42" s="172">
        <v>205</v>
      </c>
      <c r="F42" s="172">
        <v>163.35</v>
      </c>
      <c r="G42" s="172">
        <f t="shared" si="4"/>
        <v>41.650000000000006</v>
      </c>
      <c r="H42" s="135">
        <f t="shared" si="5"/>
        <v>2050</v>
      </c>
      <c r="I42" s="135">
        <f t="shared" si="6"/>
        <v>1633.5</v>
      </c>
      <c r="J42" s="173">
        <f t="shared" si="7"/>
        <v>416.5</v>
      </c>
    </row>
    <row r="43" spans="2:10" ht="21">
      <c r="B43" s="81">
        <v>45729</v>
      </c>
      <c r="C43" s="93" t="s">
        <v>87</v>
      </c>
      <c r="D43" s="19">
        <v>4</v>
      </c>
      <c r="E43" s="172">
        <v>545</v>
      </c>
      <c r="F43" s="172">
        <v>429</v>
      </c>
      <c r="G43" s="172">
        <f t="shared" si="4"/>
        <v>116</v>
      </c>
      <c r="H43" s="135">
        <f t="shared" si="5"/>
        <v>2180</v>
      </c>
      <c r="I43" s="135">
        <f t="shared" si="6"/>
        <v>1716</v>
      </c>
      <c r="J43" s="173">
        <f t="shared" si="7"/>
        <v>464</v>
      </c>
    </row>
    <row r="44" spans="2:10" ht="21">
      <c r="B44" s="81">
        <v>45729</v>
      </c>
      <c r="C44" s="84" t="s">
        <v>131</v>
      </c>
      <c r="D44" s="19">
        <v>1</v>
      </c>
      <c r="E44" s="172">
        <v>1730</v>
      </c>
      <c r="F44" s="172">
        <v>1524.6</v>
      </c>
      <c r="G44" s="172">
        <f t="shared" si="4"/>
        <v>205.40000000000009</v>
      </c>
      <c r="H44" s="135">
        <f t="shared" si="5"/>
        <v>1730</v>
      </c>
      <c r="I44" s="135">
        <f t="shared" si="6"/>
        <v>1524.6</v>
      </c>
      <c r="J44" s="173">
        <f t="shared" si="7"/>
        <v>205.40000000000009</v>
      </c>
    </row>
    <row r="45" spans="2:10" ht="21">
      <c r="B45" s="81">
        <v>45729</v>
      </c>
      <c r="C45" s="93" t="s">
        <v>155</v>
      </c>
      <c r="D45" s="19">
        <v>17</v>
      </c>
      <c r="E45" s="172">
        <v>380</v>
      </c>
      <c r="F45" s="172">
        <v>283.14</v>
      </c>
      <c r="G45" s="172">
        <f t="shared" si="4"/>
        <v>96.860000000000014</v>
      </c>
      <c r="H45" s="135">
        <f t="shared" si="5"/>
        <v>6460</v>
      </c>
      <c r="I45" s="135">
        <f t="shared" si="6"/>
        <v>4813.38</v>
      </c>
      <c r="J45" s="173">
        <f t="shared" si="7"/>
        <v>1646.62</v>
      </c>
    </row>
    <row r="46" spans="2:10" ht="21">
      <c r="B46" s="81">
        <v>45729</v>
      </c>
      <c r="C46" s="93" t="s">
        <v>159</v>
      </c>
      <c r="D46" s="19">
        <v>6</v>
      </c>
      <c r="E46" s="172">
        <v>220</v>
      </c>
      <c r="F46" s="172">
        <v>174.24</v>
      </c>
      <c r="G46" s="172">
        <f t="shared" si="4"/>
        <v>45.759999999999991</v>
      </c>
      <c r="H46" s="135">
        <f t="shared" si="5"/>
        <v>1320</v>
      </c>
      <c r="I46" s="135">
        <f t="shared" si="6"/>
        <v>1045.44</v>
      </c>
      <c r="J46" s="173">
        <f t="shared" si="7"/>
        <v>274.55999999999995</v>
      </c>
    </row>
    <row r="47" spans="2:10" ht="21">
      <c r="B47" s="81">
        <v>45729</v>
      </c>
      <c r="C47" s="84" t="s">
        <v>131</v>
      </c>
      <c r="D47" s="19">
        <v>1</v>
      </c>
      <c r="E47" s="172">
        <v>1730</v>
      </c>
      <c r="F47" s="172">
        <v>1524.6</v>
      </c>
      <c r="G47" s="172">
        <f t="shared" si="4"/>
        <v>205.40000000000009</v>
      </c>
      <c r="H47" s="135">
        <f t="shared" si="5"/>
        <v>1730</v>
      </c>
      <c r="I47" s="135">
        <f t="shared" si="6"/>
        <v>1524.6</v>
      </c>
      <c r="J47" s="173">
        <f t="shared" si="7"/>
        <v>205.40000000000009</v>
      </c>
    </row>
    <row r="48" spans="2:10" ht="21">
      <c r="B48" s="43"/>
      <c r="C48" s="43"/>
      <c r="D48" s="19">
        <v>0</v>
      </c>
      <c r="E48" s="172"/>
      <c r="F48" s="172">
        <v>0</v>
      </c>
      <c r="G48" s="172">
        <f t="shared" si="4"/>
        <v>0</v>
      </c>
      <c r="H48" s="135">
        <f t="shared" si="5"/>
        <v>0</v>
      </c>
      <c r="I48" s="135">
        <f t="shared" si="6"/>
        <v>0</v>
      </c>
      <c r="J48" s="173">
        <f t="shared" si="7"/>
        <v>0</v>
      </c>
    </row>
    <row r="49" spans="2:10" ht="42">
      <c r="B49" s="81">
        <v>45730</v>
      </c>
      <c r="C49" s="92" t="s">
        <v>89</v>
      </c>
      <c r="D49" s="19">
        <v>1</v>
      </c>
      <c r="E49" s="172">
        <v>325</v>
      </c>
      <c r="F49" s="172">
        <v>241</v>
      </c>
      <c r="G49" s="172">
        <f t="shared" si="4"/>
        <v>84</v>
      </c>
      <c r="H49" s="135">
        <f t="shared" si="5"/>
        <v>325</v>
      </c>
      <c r="I49" s="135">
        <f t="shared" si="6"/>
        <v>241</v>
      </c>
      <c r="J49" s="173">
        <f t="shared" si="7"/>
        <v>84</v>
      </c>
    </row>
    <row r="50" spans="2:10" ht="21">
      <c r="B50" s="81">
        <v>45731</v>
      </c>
      <c r="C50" s="38" t="s">
        <v>134</v>
      </c>
      <c r="D50" s="19">
        <v>1</v>
      </c>
      <c r="E50" s="172">
        <v>2880</v>
      </c>
      <c r="F50" s="172">
        <v>2880</v>
      </c>
      <c r="G50" s="172">
        <f t="shared" si="4"/>
        <v>0</v>
      </c>
      <c r="H50" s="135">
        <f t="shared" si="5"/>
        <v>2880</v>
      </c>
      <c r="I50" s="135">
        <f t="shared" si="6"/>
        <v>2880</v>
      </c>
      <c r="J50" s="173">
        <f t="shared" si="7"/>
        <v>0</v>
      </c>
    </row>
    <row r="51" spans="2:10" ht="21">
      <c r="B51" s="81">
        <v>45731</v>
      </c>
      <c r="C51" s="93" t="s">
        <v>120</v>
      </c>
      <c r="D51" s="19">
        <v>5</v>
      </c>
      <c r="E51" s="172">
        <v>510</v>
      </c>
      <c r="F51" s="172">
        <v>396.5090909090909</v>
      </c>
      <c r="G51" s="172">
        <f t="shared" si="4"/>
        <v>113.4909090909091</v>
      </c>
      <c r="H51" s="135">
        <f t="shared" si="5"/>
        <v>2550</v>
      </c>
      <c r="I51" s="135">
        <f t="shared" si="6"/>
        <v>1982.5454545454545</v>
      </c>
      <c r="J51" s="173">
        <f t="shared" si="7"/>
        <v>567.4545454545455</v>
      </c>
    </row>
    <row r="52" spans="2:10" ht="21">
      <c r="B52" s="81">
        <v>45731</v>
      </c>
      <c r="C52" s="93" t="s">
        <v>121</v>
      </c>
      <c r="D52" s="19">
        <v>1</v>
      </c>
      <c r="E52" s="172">
        <v>680</v>
      </c>
      <c r="F52" s="172">
        <v>524.18181818181824</v>
      </c>
      <c r="G52" s="172">
        <f t="shared" si="4"/>
        <v>155.81818181818176</v>
      </c>
      <c r="H52" s="135">
        <f t="shared" si="5"/>
        <v>680</v>
      </c>
      <c r="I52" s="135">
        <f t="shared" si="6"/>
        <v>524.18181818181824</v>
      </c>
      <c r="J52" s="173">
        <f t="shared" si="7"/>
        <v>155.81818181818176</v>
      </c>
    </row>
    <row r="53" spans="2:10" ht="21">
      <c r="B53" s="81">
        <v>45731</v>
      </c>
      <c r="C53" s="93" t="s">
        <v>122</v>
      </c>
      <c r="D53" s="19">
        <v>1</v>
      </c>
      <c r="E53" s="172">
        <v>470</v>
      </c>
      <c r="F53" s="172">
        <v>429.06363636363642</v>
      </c>
      <c r="G53" s="172">
        <f t="shared" si="4"/>
        <v>40.936363636363581</v>
      </c>
      <c r="H53" s="135">
        <f t="shared" si="5"/>
        <v>470</v>
      </c>
      <c r="I53" s="135">
        <f t="shared" si="6"/>
        <v>429.06363636363642</v>
      </c>
      <c r="J53" s="173">
        <f t="shared" si="7"/>
        <v>40.936363636363581</v>
      </c>
    </row>
    <row r="54" spans="2:10" ht="21">
      <c r="B54" s="81">
        <v>45731</v>
      </c>
      <c r="C54" s="93" t="s">
        <v>123</v>
      </c>
      <c r="D54" s="19">
        <v>1</v>
      </c>
      <c r="E54" s="172">
        <v>330</v>
      </c>
      <c r="F54" s="172">
        <v>302.24545454545455</v>
      </c>
      <c r="G54" s="172">
        <f t="shared" si="4"/>
        <v>27.75454545454545</v>
      </c>
      <c r="H54" s="135">
        <f t="shared" si="5"/>
        <v>330</v>
      </c>
      <c r="I54" s="135">
        <f t="shared" si="6"/>
        <v>302.24545454545455</v>
      </c>
      <c r="J54" s="173">
        <f t="shared" si="7"/>
        <v>27.75454545454545</v>
      </c>
    </row>
    <row r="55" spans="2:10" ht="21">
      <c r="B55" s="81">
        <v>45731</v>
      </c>
      <c r="C55" s="93" t="s">
        <v>124</v>
      </c>
      <c r="D55" s="19">
        <v>1</v>
      </c>
      <c r="E55" s="172">
        <v>545</v>
      </c>
      <c r="F55" s="172">
        <v>528.40909090909088</v>
      </c>
      <c r="G55" s="172">
        <f t="shared" si="4"/>
        <v>16.590909090909122</v>
      </c>
      <c r="H55" s="135">
        <f t="shared" si="5"/>
        <v>545</v>
      </c>
      <c r="I55" s="135">
        <f t="shared" si="6"/>
        <v>528.40909090909088</v>
      </c>
      <c r="J55" s="173">
        <f t="shared" si="7"/>
        <v>16.590909090909122</v>
      </c>
    </row>
    <row r="56" spans="2:10" ht="21">
      <c r="B56" s="81">
        <v>45731</v>
      </c>
      <c r="C56" s="93" t="s">
        <v>186</v>
      </c>
      <c r="D56" s="19">
        <v>11</v>
      </c>
      <c r="E56" s="172">
        <v>3350</v>
      </c>
      <c r="F56" s="172">
        <v>3309.227272727273</v>
      </c>
      <c r="G56" s="172">
        <f t="shared" si="4"/>
        <v>40.772727272727025</v>
      </c>
      <c r="H56" s="135">
        <f t="shared" si="5"/>
        <v>36850</v>
      </c>
      <c r="I56" s="135">
        <f t="shared" si="6"/>
        <v>36401.5</v>
      </c>
      <c r="J56" s="173">
        <f t="shared" si="7"/>
        <v>448.5</v>
      </c>
    </row>
    <row r="57" spans="2:10" ht="21">
      <c r="B57" s="96">
        <v>45731</v>
      </c>
      <c r="C57" s="109" t="s">
        <v>86</v>
      </c>
      <c r="D57" s="19">
        <v>2</v>
      </c>
      <c r="E57" s="172">
        <v>6350</v>
      </c>
      <c r="F57" s="172">
        <v>5019.6000000000004</v>
      </c>
      <c r="G57" s="172">
        <f t="shared" si="4"/>
        <v>1330.3999999999996</v>
      </c>
      <c r="H57" s="135">
        <f t="shared" si="5"/>
        <v>12700</v>
      </c>
      <c r="I57" s="135">
        <f t="shared" si="6"/>
        <v>10039.200000000001</v>
      </c>
      <c r="J57" s="173">
        <f t="shared" si="7"/>
        <v>2660.7999999999993</v>
      </c>
    </row>
    <row r="58" spans="2:10" ht="21">
      <c r="B58" s="81">
        <v>45733</v>
      </c>
      <c r="C58" s="92" t="s">
        <v>84</v>
      </c>
      <c r="D58" s="19">
        <v>2</v>
      </c>
      <c r="E58" s="172">
        <v>1680</v>
      </c>
      <c r="F58" s="172">
        <v>1323.5746799999999</v>
      </c>
      <c r="G58" s="172">
        <f t="shared" si="4"/>
        <v>356.42532000000006</v>
      </c>
      <c r="H58" s="135">
        <f t="shared" si="5"/>
        <v>3360</v>
      </c>
      <c r="I58" s="135">
        <f t="shared" si="6"/>
        <v>2647.1493599999999</v>
      </c>
      <c r="J58" s="173">
        <f t="shared" si="7"/>
        <v>712.85064000000011</v>
      </c>
    </row>
    <row r="59" spans="2:10" ht="21">
      <c r="B59" s="81">
        <v>45733</v>
      </c>
      <c r="C59" s="93" t="s">
        <v>87</v>
      </c>
      <c r="D59" s="19">
        <v>5</v>
      </c>
      <c r="E59" s="172">
        <v>4930</v>
      </c>
      <c r="F59" s="172">
        <v>0</v>
      </c>
      <c r="G59" s="172">
        <f t="shared" si="4"/>
        <v>4930</v>
      </c>
      <c r="H59" s="135">
        <f t="shared" si="5"/>
        <v>24650</v>
      </c>
      <c r="I59" s="135">
        <f t="shared" si="6"/>
        <v>0</v>
      </c>
      <c r="J59" s="173">
        <f t="shared" si="7"/>
        <v>24650</v>
      </c>
    </row>
    <row r="60" spans="2:10" ht="21">
      <c r="B60" s="81">
        <v>45734</v>
      </c>
      <c r="C60" s="104" t="s">
        <v>87</v>
      </c>
      <c r="D60" s="19">
        <v>63</v>
      </c>
      <c r="E60" s="172">
        <v>550</v>
      </c>
      <c r="F60" s="172">
        <v>0</v>
      </c>
      <c r="G60" s="172">
        <f t="shared" si="4"/>
        <v>550</v>
      </c>
      <c r="H60" s="135">
        <f t="shared" si="5"/>
        <v>34650</v>
      </c>
      <c r="I60" s="135">
        <f t="shared" si="6"/>
        <v>0</v>
      </c>
      <c r="J60" s="173">
        <f t="shared" si="7"/>
        <v>34650</v>
      </c>
    </row>
    <row r="61" spans="2:10" ht="21">
      <c r="B61" s="81">
        <v>45734</v>
      </c>
      <c r="C61" s="117" t="s">
        <v>82</v>
      </c>
      <c r="D61" s="19">
        <v>80</v>
      </c>
      <c r="E61" s="172">
        <v>310</v>
      </c>
      <c r="F61" s="172">
        <v>283.75917600000002</v>
      </c>
      <c r="G61" s="172">
        <f t="shared" si="4"/>
        <v>26.240823999999975</v>
      </c>
      <c r="H61" s="135">
        <f t="shared" si="5"/>
        <v>24800</v>
      </c>
      <c r="I61" s="135">
        <f t="shared" si="6"/>
        <v>22700.734080000002</v>
      </c>
      <c r="J61" s="173">
        <f t="shared" si="7"/>
        <v>2099.265919999998</v>
      </c>
    </row>
    <row r="62" spans="2:10" ht="21">
      <c r="B62" s="96">
        <v>45734</v>
      </c>
      <c r="C62" s="109" t="s">
        <v>86</v>
      </c>
      <c r="D62" s="19">
        <v>4</v>
      </c>
      <c r="E62" s="172">
        <v>5200</v>
      </c>
      <c r="F62" s="172">
        <v>5019.6000000000004</v>
      </c>
      <c r="G62" s="172">
        <f t="shared" si="4"/>
        <v>180.39999999999964</v>
      </c>
      <c r="H62" s="135">
        <f t="shared" si="5"/>
        <v>20800</v>
      </c>
      <c r="I62" s="135">
        <f t="shared" si="6"/>
        <v>20078.400000000001</v>
      </c>
      <c r="J62" s="173">
        <f t="shared" si="7"/>
        <v>721.59999999999854</v>
      </c>
    </row>
    <row r="63" spans="2:10" ht="21">
      <c r="B63" s="81">
        <v>45734</v>
      </c>
      <c r="C63" s="84" t="s">
        <v>131</v>
      </c>
      <c r="D63" s="19">
        <v>2</v>
      </c>
      <c r="E63" s="172">
        <v>1735</v>
      </c>
      <c r="F63" s="172">
        <v>1735</v>
      </c>
      <c r="G63" s="172">
        <f t="shared" si="4"/>
        <v>0</v>
      </c>
      <c r="H63" s="135">
        <f t="shared" si="5"/>
        <v>3470</v>
      </c>
      <c r="I63" s="135">
        <f t="shared" si="6"/>
        <v>3470</v>
      </c>
      <c r="J63" s="173">
        <f t="shared" si="7"/>
        <v>0</v>
      </c>
    </row>
    <row r="64" spans="2:10" ht="21">
      <c r="B64" s="81">
        <v>45736</v>
      </c>
      <c r="C64" s="84" t="s">
        <v>131</v>
      </c>
      <c r="D64" s="19">
        <v>1</v>
      </c>
      <c r="E64" s="172">
        <v>1730</v>
      </c>
      <c r="F64" s="172">
        <v>1730</v>
      </c>
      <c r="G64" s="172">
        <f t="shared" si="4"/>
        <v>0</v>
      </c>
      <c r="H64" s="135">
        <f t="shared" si="5"/>
        <v>1730</v>
      </c>
      <c r="I64" s="135">
        <f t="shared" si="6"/>
        <v>1730</v>
      </c>
      <c r="J64" s="173">
        <f t="shared" si="7"/>
        <v>0</v>
      </c>
    </row>
    <row r="65" spans="2:10" ht="21">
      <c r="B65" s="81">
        <v>45736</v>
      </c>
      <c r="C65" s="84" t="s">
        <v>131</v>
      </c>
      <c r="D65" s="19">
        <v>1</v>
      </c>
      <c r="E65" s="172">
        <v>1725</v>
      </c>
      <c r="F65" s="172">
        <v>1700</v>
      </c>
      <c r="G65" s="172">
        <f t="shared" si="4"/>
        <v>25</v>
      </c>
      <c r="H65" s="135">
        <f t="shared" si="5"/>
        <v>1725</v>
      </c>
      <c r="I65" s="135">
        <f t="shared" si="6"/>
        <v>1700</v>
      </c>
      <c r="J65" s="173">
        <f t="shared" si="7"/>
        <v>25</v>
      </c>
    </row>
    <row r="66" spans="2:10" ht="21">
      <c r="B66" s="81">
        <v>45737</v>
      </c>
      <c r="C66" s="84" t="s">
        <v>355</v>
      </c>
      <c r="D66" s="19">
        <v>1</v>
      </c>
      <c r="E66" s="172">
        <v>3350</v>
      </c>
      <c r="F66" s="172">
        <v>3330</v>
      </c>
      <c r="G66" s="172">
        <f t="shared" si="4"/>
        <v>20</v>
      </c>
      <c r="H66" s="135">
        <f t="shared" si="5"/>
        <v>3350</v>
      </c>
      <c r="I66" s="135">
        <f t="shared" si="6"/>
        <v>3330</v>
      </c>
      <c r="J66" s="173">
        <f t="shared" si="7"/>
        <v>20</v>
      </c>
    </row>
    <row r="67" spans="2:10" ht="21">
      <c r="B67" s="81">
        <v>45742</v>
      </c>
      <c r="C67" s="104" t="s">
        <v>86</v>
      </c>
      <c r="D67" s="19">
        <v>3</v>
      </c>
      <c r="E67" s="172">
        <v>5099</v>
      </c>
      <c r="F67" s="172">
        <v>5019.6000000000004</v>
      </c>
      <c r="G67" s="172">
        <f t="shared" si="4"/>
        <v>79.399999999999636</v>
      </c>
      <c r="H67" s="135">
        <f t="shared" si="5"/>
        <v>15297</v>
      </c>
      <c r="I67" s="135">
        <f t="shared" si="6"/>
        <v>15058.800000000001</v>
      </c>
      <c r="J67" s="173">
        <f t="shared" si="7"/>
        <v>238.19999999999891</v>
      </c>
    </row>
    <row r="68" spans="2:10" ht="21">
      <c r="B68" s="81">
        <v>45742</v>
      </c>
      <c r="C68" s="92" t="s">
        <v>76</v>
      </c>
      <c r="D68" s="19">
        <v>10</v>
      </c>
      <c r="E68" s="172">
        <v>1130</v>
      </c>
      <c r="F68" s="172">
        <v>967.69087999999999</v>
      </c>
      <c r="G68" s="172">
        <f t="shared" si="4"/>
        <v>162.30912000000001</v>
      </c>
      <c r="H68" s="135">
        <f t="shared" si="5"/>
        <v>11300</v>
      </c>
      <c r="I68" s="135">
        <f t="shared" si="6"/>
        <v>9676.9087999999992</v>
      </c>
      <c r="J68" s="173">
        <f t="shared" si="7"/>
        <v>1623.0912000000008</v>
      </c>
    </row>
    <row r="69" spans="2:10" ht="21">
      <c r="B69" s="81">
        <v>45742</v>
      </c>
      <c r="C69" s="92" t="s">
        <v>76</v>
      </c>
      <c r="D69" s="19">
        <v>25</v>
      </c>
      <c r="E69" s="172">
        <v>1140</v>
      </c>
      <c r="F69" s="172">
        <v>967.69087999999999</v>
      </c>
      <c r="G69" s="172">
        <f t="shared" ref="G69:G84" si="8">E69-F69</f>
        <v>172.30912000000001</v>
      </c>
      <c r="H69" s="135">
        <f t="shared" ref="H69:H84" si="9">E69*D69</f>
        <v>28500</v>
      </c>
      <c r="I69" s="135">
        <f t="shared" ref="I69:I84" si="10">F69*D69</f>
        <v>24192.272000000001</v>
      </c>
      <c r="J69" s="173">
        <f t="shared" ref="J69:J84" si="11">H69-I69</f>
        <v>4307.7279999999992</v>
      </c>
    </row>
    <row r="70" spans="2:10" ht="21">
      <c r="B70" s="43"/>
      <c r="C70" s="43"/>
      <c r="D70" s="19">
        <v>0</v>
      </c>
      <c r="E70" s="172"/>
      <c r="F70" s="172">
        <v>0</v>
      </c>
      <c r="G70" s="172">
        <f t="shared" si="8"/>
        <v>0</v>
      </c>
      <c r="H70" s="135">
        <f t="shared" si="9"/>
        <v>0</v>
      </c>
      <c r="I70" s="135">
        <f t="shared" si="10"/>
        <v>0</v>
      </c>
      <c r="J70" s="173">
        <f t="shared" si="11"/>
        <v>0</v>
      </c>
    </row>
    <row r="71" spans="2:10" ht="21">
      <c r="B71" s="81">
        <v>45743</v>
      </c>
      <c r="C71" s="92" t="s">
        <v>76</v>
      </c>
      <c r="D71" s="19">
        <v>9</v>
      </c>
      <c r="E71" s="172">
        <v>1140</v>
      </c>
      <c r="F71" s="172">
        <v>967.69087999999999</v>
      </c>
      <c r="G71" s="172">
        <f t="shared" si="8"/>
        <v>172.30912000000001</v>
      </c>
      <c r="H71" s="135">
        <f t="shared" si="9"/>
        <v>10260</v>
      </c>
      <c r="I71" s="135">
        <f t="shared" si="10"/>
        <v>8709.2179199999991</v>
      </c>
      <c r="J71" s="173">
        <f t="shared" si="11"/>
        <v>1550.7820800000009</v>
      </c>
    </row>
    <row r="72" spans="2:10" ht="21">
      <c r="B72" s="81">
        <v>45743</v>
      </c>
      <c r="C72" s="93" t="s">
        <v>274</v>
      </c>
      <c r="D72" s="19">
        <v>5</v>
      </c>
      <c r="E72" s="172">
        <v>80</v>
      </c>
      <c r="F72" s="172">
        <v>76.5</v>
      </c>
      <c r="G72" s="172">
        <f t="shared" si="8"/>
        <v>3.5</v>
      </c>
      <c r="H72" s="135">
        <f t="shared" si="9"/>
        <v>400</v>
      </c>
      <c r="I72" s="135">
        <f t="shared" si="10"/>
        <v>382.5</v>
      </c>
      <c r="J72" s="173">
        <f t="shared" si="11"/>
        <v>17.5</v>
      </c>
    </row>
    <row r="73" spans="2:10" ht="21">
      <c r="B73" s="81">
        <v>45743</v>
      </c>
      <c r="C73" s="92" t="s">
        <v>76</v>
      </c>
      <c r="D73" s="19">
        <v>4</v>
      </c>
      <c r="E73" s="172">
        <v>1140</v>
      </c>
      <c r="F73" s="172">
        <v>967.69087999999999</v>
      </c>
      <c r="G73" s="172">
        <f t="shared" si="8"/>
        <v>172.30912000000001</v>
      </c>
      <c r="H73" s="135">
        <f t="shared" si="9"/>
        <v>4560</v>
      </c>
      <c r="I73" s="135">
        <f t="shared" si="10"/>
        <v>3870.76352</v>
      </c>
      <c r="J73" s="173">
        <f t="shared" si="11"/>
        <v>689.23648000000003</v>
      </c>
    </row>
    <row r="74" spans="2:10" ht="21">
      <c r="B74" s="43"/>
      <c r="C74" s="43"/>
      <c r="D74" s="19">
        <v>0</v>
      </c>
      <c r="E74" s="172"/>
      <c r="F74" s="172">
        <v>0</v>
      </c>
      <c r="G74" s="172">
        <f t="shared" si="8"/>
        <v>0</v>
      </c>
      <c r="H74" s="135">
        <f t="shared" si="9"/>
        <v>0</v>
      </c>
      <c r="I74" s="135">
        <f t="shared" si="10"/>
        <v>0</v>
      </c>
      <c r="J74" s="173">
        <f t="shared" si="11"/>
        <v>0</v>
      </c>
    </row>
    <row r="75" spans="2:10" ht="21">
      <c r="B75" s="81">
        <v>45744</v>
      </c>
      <c r="C75" s="92" t="s">
        <v>76</v>
      </c>
      <c r="D75" s="19">
        <v>4</v>
      </c>
      <c r="E75" s="172">
        <v>1140</v>
      </c>
      <c r="F75" s="172">
        <v>967.69087999999999</v>
      </c>
      <c r="G75" s="172">
        <f t="shared" si="8"/>
        <v>172.30912000000001</v>
      </c>
      <c r="H75" s="135">
        <f t="shared" si="9"/>
        <v>4560</v>
      </c>
      <c r="I75" s="135">
        <f t="shared" si="10"/>
        <v>3870.76352</v>
      </c>
      <c r="J75" s="173">
        <f t="shared" si="11"/>
        <v>689.23648000000003</v>
      </c>
    </row>
    <row r="76" spans="2:10" ht="21">
      <c r="B76" s="81">
        <v>45744</v>
      </c>
      <c r="C76" s="117" t="s">
        <v>78</v>
      </c>
      <c r="D76" s="19">
        <v>63</v>
      </c>
      <c r="E76" s="172">
        <v>1030</v>
      </c>
      <c r="F76" s="172">
        <v>1025</v>
      </c>
      <c r="G76" s="172">
        <f t="shared" si="8"/>
        <v>5</v>
      </c>
      <c r="H76" s="135">
        <f t="shared" si="9"/>
        <v>64890</v>
      </c>
      <c r="I76" s="135">
        <f t="shared" si="10"/>
        <v>64575</v>
      </c>
      <c r="J76" s="173">
        <f t="shared" si="11"/>
        <v>315</v>
      </c>
    </row>
    <row r="77" spans="2:10" ht="21">
      <c r="B77" s="81">
        <v>45744</v>
      </c>
      <c r="C77" s="117" t="s">
        <v>78</v>
      </c>
      <c r="D77" s="19">
        <v>26</v>
      </c>
      <c r="E77" s="172">
        <v>1030</v>
      </c>
      <c r="F77" s="172">
        <v>1025</v>
      </c>
      <c r="G77" s="172">
        <f t="shared" si="8"/>
        <v>5</v>
      </c>
      <c r="H77" s="135">
        <f t="shared" si="9"/>
        <v>26780</v>
      </c>
      <c r="I77" s="135">
        <f t="shared" si="10"/>
        <v>26650</v>
      </c>
      <c r="J77" s="173">
        <f t="shared" si="11"/>
        <v>130</v>
      </c>
    </row>
    <row r="78" spans="2:10" ht="21">
      <c r="B78" s="81">
        <v>45744</v>
      </c>
      <c r="C78" s="92" t="s">
        <v>76</v>
      </c>
      <c r="D78" s="19">
        <v>3</v>
      </c>
      <c r="E78" s="172">
        <v>1140</v>
      </c>
      <c r="F78" s="172">
        <v>967.69087999999999</v>
      </c>
      <c r="G78" s="172">
        <f t="shared" si="8"/>
        <v>172.30912000000001</v>
      </c>
      <c r="H78" s="135">
        <f t="shared" si="9"/>
        <v>3420</v>
      </c>
      <c r="I78" s="135">
        <f t="shared" si="10"/>
        <v>2903.0726399999999</v>
      </c>
      <c r="J78" s="173">
        <f t="shared" si="11"/>
        <v>516.92736000000014</v>
      </c>
    </row>
    <row r="79" spans="2:10" ht="21">
      <c r="B79" s="81">
        <v>45744</v>
      </c>
      <c r="C79" s="93" t="s">
        <v>201</v>
      </c>
      <c r="D79" s="19">
        <v>7</v>
      </c>
      <c r="E79" s="172">
        <v>635</v>
      </c>
      <c r="F79" s="172">
        <v>502.04545454545456</v>
      </c>
      <c r="G79" s="172">
        <f t="shared" si="8"/>
        <v>132.95454545454544</v>
      </c>
      <c r="H79" s="135">
        <f t="shared" si="9"/>
        <v>4445</v>
      </c>
      <c r="I79" s="135">
        <f t="shared" si="10"/>
        <v>3514.318181818182</v>
      </c>
      <c r="J79" s="173">
        <f t="shared" si="11"/>
        <v>930.68181818181802</v>
      </c>
    </row>
    <row r="80" spans="2:10" ht="21">
      <c r="B80" s="81">
        <v>45744</v>
      </c>
      <c r="C80" s="93" t="s">
        <v>124</v>
      </c>
      <c r="D80" s="19">
        <v>1</v>
      </c>
      <c r="E80" s="172">
        <v>595</v>
      </c>
      <c r="F80" s="172">
        <v>489.22727272727269</v>
      </c>
      <c r="G80" s="172">
        <f t="shared" si="8"/>
        <v>105.77272727272731</v>
      </c>
      <c r="H80" s="135">
        <f t="shared" si="9"/>
        <v>595</v>
      </c>
      <c r="I80" s="135">
        <f t="shared" si="10"/>
        <v>489.22727272727269</v>
      </c>
      <c r="J80" s="173">
        <f t="shared" si="11"/>
        <v>105.77272727272731</v>
      </c>
    </row>
    <row r="81" spans="2:10" ht="21">
      <c r="B81" s="81">
        <v>45744</v>
      </c>
      <c r="C81" s="93" t="s">
        <v>120</v>
      </c>
      <c r="D81" s="19">
        <v>1</v>
      </c>
      <c r="E81" s="172">
        <v>510</v>
      </c>
      <c r="F81" s="172">
        <v>405.90909090909088</v>
      </c>
      <c r="G81" s="172">
        <f t="shared" si="8"/>
        <v>104.09090909090912</v>
      </c>
      <c r="H81" s="135">
        <f t="shared" si="9"/>
        <v>510</v>
      </c>
      <c r="I81" s="135">
        <f t="shared" si="10"/>
        <v>405.90909090909088</v>
      </c>
      <c r="J81" s="173">
        <f t="shared" si="11"/>
        <v>104.09090909090912</v>
      </c>
    </row>
    <row r="82" spans="2:10" ht="21">
      <c r="B82" s="81">
        <v>45744</v>
      </c>
      <c r="C82" s="93" t="s">
        <v>274</v>
      </c>
      <c r="D82" s="19">
        <v>269</v>
      </c>
      <c r="E82" s="172">
        <v>77.5</v>
      </c>
      <c r="F82" s="172">
        <v>76.5</v>
      </c>
      <c r="G82" s="172">
        <f t="shared" si="8"/>
        <v>1</v>
      </c>
      <c r="H82" s="135">
        <f t="shared" si="9"/>
        <v>20847.5</v>
      </c>
      <c r="I82" s="135">
        <f t="shared" si="10"/>
        <v>20578.5</v>
      </c>
      <c r="J82" s="173">
        <f t="shared" si="11"/>
        <v>269</v>
      </c>
    </row>
    <row r="83" spans="2:10" ht="21">
      <c r="B83" s="81">
        <v>45744</v>
      </c>
      <c r="C83" s="93" t="s">
        <v>86</v>
      </c>
      <c r="D83" s="19">
        <v>1</v>
      </c>
      <c r="E83" s="172">
        <v>5050</v>
      </c>
      <c r="F83" s="172">
        <v>5019.6000000000004</v>
      </c>
      <c r="G83" s="172">
        <f t="shared" si="8"/>
        <v>30.399999999999636</v>
      </c>
      <c r="H83" s="135">
        <f t="shared" si="9"/>
        <v>5050</v>
      </c>
      <c r="I83" s="135">
        <f t="shared" si="10"/>
        <v>5019.6000000000004</v>
      </c>
      <c r="J83" s="173">
        <f t="shared" si="11"/>
        <v>30.399999999999636</v>
      </c>
    </row>
    <row r="84" spans="2:10" ht="21">
      <c r="B84" s="81">
        <v>45745</v>
      </c>
      <c r="C84" s="92" t="s">
        <v>76</v>
      </c>
      <c r="D84" s="19">
        <v>5</v>
      </c>
      <c r="E84" s="172">
        <v>1140</v>
      </c>
      <c r="F84" s="172">
        <v>967.69087999999999</v>
      </c>
      <c r="G84" s="172">
        <f t="shared" si="8"/>
        <v>172.30912000000001</v>
      </c>
      <c r="H84" s="135">
        <f t="shared" si="9"/>
        <v>5700</v>
      </c>
      <c r="I84" s="135">
        <f t="shared" si="10"/>
        <v>4838.4543999999996</v>
      </c>
      <c r="J84" s="173">
        <f t="shared" si="11"/>
        <v>861.54560000000038</v>
      </c>
    </row>
    <row r="85" spans="2:10">
      <c r="H85" s="129"/>
      <c r="I85" s="129"/>
    </row>
    <row r="86" spans="2:10">
      <c r="H86" s="129"/>
      <c r="I86" s="193" t="s">
        <v>354</v>
      </c>
      <c r="J86" s="194">
        <f>SUM(J22:J85)</f>
        <v>125058.07964800003</v>
      </c>
    </row>
    <row r="87" spans="2:10">
      <c r="I87" s="129"/>
    </row>
    <row r="88" spans="2:10">
      <c r="I88" s="129"/>
    </row>
    <row r="99" spans="2:10" ht="24">
      <c r="D99" s="1535" t="s">
        <v>358</v>
      </c>
      <c r="E99" s="1535"/>
      <c r="F99" s="1535"/>
      <c r="G99" s="1535"/>
    </row>
    <row r="101" spans="2:10" ht="18.75">
      <c r="B101" s="158" t="s">
        <v>1</v>
      </c>
      <c r="C101" s="158" t="s">
        <v>2</v>
      </c>
      <c r="D101" s="161" t="s">
        <v>3</v>
      </c>
      <c r="E101" s="159" t="s">
        <v>349</v>
      </c>
      <c r="F101" s="158" t="s">
        <v>350</v>
      </c>
      <c r="G101" s="158" t="s">
        <v>353</v>
      </c>
      <c r="H101" s="158" t="s">
        <v>351</v>
      </c>
      <c r="I101" s="159" t="s">
        <v>352</v>
      </c>
      <c r="J101" s="170" t="s">
        <v>354</v>
      </c>
    </row>
    <row r="102" spans="2:10" ht="21">
      <c r="B102" s="163">
        <v>45718</v>
      </c>
      <c r="C102" s="179" t="s">
        <v>78</v>
      </c>
      <c r="D102" s="174">
        <v>5</v>
      </c>
      <c r="E102" s="175">
        <v>1180</v>
      </c>
      <c r="F102" s="175">
        <v>1199.78712</v>
      </c>
      <c r="G102" s="175">
        <f>E102-F102</f>
        <v>-19.787119999999959</v>
      </c>
      <c r="H102" s="177">
        <f>E102*D102</f>
        <v>5900</v>
      </c>
      <c r="I102" s="177">
        <f>F102*D102</f>
        <v>5998.9355999999998</v>
      </c>
      <c r="J102" s="176">
        <f>H102-I102</f>
        <v>-98.935599999999795</v>
      </c>
    </row>
    <row r="103" spans="2:10" ht="21">
      <c r="B103" s="165">
        <v>45722</v>
      </c>
      <c r="C103" s="179" t="s">
        <v>78</v>
      </c>
      <c r="D103" s="174">
        <v>50</v>
      </c>
      <c r="E103" s="175">
        <v>1140</v>
      </c>
      <c r="F103" s="175">
        <v>1199.78712</v>
      </c>
      <c r="G103" s="175">
        <f>E103-F103</f>
        <v>-59.787119999999959</v>
      </c>
      <c r="H103" s="177">
        <f>E103*D103</f>
        <v>57000</v>
      </c>
      <c r="I103" s="177">
        <f>F103*D103</f>
        <v>59989.356</v>
      </c>
      <c r="J103" s="176">
        <f>H103-I103</f>
        <v>-2989.3559999999998</v>
      </c>
    </row>
    <row r="104" spans="2:10" ht="21">
      <c r="B104" s="165">
        <v>45723</v>
      </c>
      <c r="C104" s="179" t="s">
        <v>78</v>
      </c>
      <c r="D104" s="174">
        <v>44</v>
      </c>
      <c r="E104" s="175">
        <v>1135</v>
      </c>
      <c r="F104" s="175">
        <v>1199.78712</v>
      </c>
      <c r="G104" s="175">
        <f>E104-F104</f>
        <v>-64.787119999999959</v>
      </c>
      <c r="H104" s="177">
        <f>E104*D104</f>
        <v>49940</v>
      </c>
      <c r="I104" s="177">
        <f>F104*D104</f>
        <v>52790.633279999995</v>
      </c>
      <c r="J104" s="176">
        <f>H104-I104</f>
        <v>-2850.6332799999946</v>
      </c>
    </row>
    <row r="105" spans="2:10" ht="21">
      <c r="B105" s="165">
        <v>45728</v>
      </c>
      <c r="C105" s="179" t="s">
        <v>78</v>
      </c>
      <c r="D105" s="174">
        <v>2</v>
      </c>
      <c r="E105" s="175">
        <v>1135</v>
      </c>
      <c r="F105" s="175">
        <v>1199.78712</v>
      </c>
      <c r="G105" s="175">
        <f>E105-F105</f>
        <v>-64.787119999999959</v>
      </c>
      <c r="H105" s="177">
        <f>E105*D105</f>
        <v>2270</v>
      </c>
      <c r="I105" s="177">
        <f>F105*D105</f>
        <v>2399.5742399999999</v>
      </c>
      <c r="J105" s="176">
        <f>H105-I105</f>
        <v>-129.57423999999992</v>
      </c>
    </row>
    <row r="106" spans="2:10" ht="21">
      <c r="B106" s="165">
        <v>45729</v>
      </c>
      <c r="C106" s="179" t="s">
        <v>78</v>
      </c>
      <c r="D106" s="174">
        <v>30</v>
      </c>
      <c r="E106" s="175">
        <v>1125</v>
      </c>
      <c r="F106" s="175">
        <v>1199.78712</v>
      </c>
      <c r="G106" s="175">
        <f>E106-F106</f>
        <v>-74.787119999999959</v>
      </c>
      <c r="H106" s="177">
        <f>E106*D106</f>
        <v>33750</v>
      </c>
      <c r="I106" s="177">
        <f>F106*D106</f>
        <v>35993.613599999997</v>
      </c>
      <c r="J106" s="176">
        <f>H106-I106</f>
        <v>-2243.6135999999969</v>
      </c>
    </row>
    <row r="107" spans="2:10" ht="21">
      <c r="B107" s="165">
        <v>45734</v>
      </c>
      <c r="C107" s="179" t="s">
        <v>78</v>
      </c>
      <c r="D107" s="174">
        <v>3</v>
      </c>
      <c r="E107" s="175">
        <v>1115</v>
      </c>
      <c r="F107" s="175">
        <v>1199.78712</v>
      </c>
      <c r="G107" s="175">
        <f t="shared" ref="G107:G112" si="12">E107-F107</f>
        <v>-84.787119999999959</v>
      </c>
      <c r="H107" s="177">
        <f t="shared" ref="H107:H112" si="13">E107*D107</f>
        <v>3345</v>
      </c>
      <c r="I107" s="177">
        <f t="shared" ref="I107:I112" si="14">F107*D107</f>
        <v>3599.3613599999999</v>
      </c>
      <c r="J107" s="176">
        <f t="shared" ref="J107:J112" si="15">H107-I107</f>
        <v>-254.36135999999988</v>
      </c>
    </row>
    <row r="108" spans="2:10" ht="21">
      <c r="B108" s="165">
        <v>45738</v>
      </c>
      <c r="C108" s="179" t="s">
        <v>78</v>
      </c>
      <c r="D108" s="174">
        <v>4</v>
      </c>
      <c r="E108" s="175">
        <v>1120</v>
      </c>
      <c r="F108" s="175">
        <v>1199.78712</v>
      </c>
      <c r="G108" s="175">
        <f t="shared" si="12"/>
        <v>-79.787119999999959</v>
      </c>
      <c r="H108" s="177">
        <f t="shared" si="13"/>
        <v>4480</v>
      </c>
      <c r="I108" s="177">
        <f t="shared" si="14"/>
        <v>4799.1484799999998</v>
      </c>
      <c r="J108" s="176">
        <f t="shared" si="15"/>
        <v>-319.14847999999984</v>
      </c>
    </row>
    <row r="109" spans="2:10" ht="21">
      <c r="B109" s="165">
        <v>45742</v>
      </c>
      <c r="C109" s="179" t="s">
        <v>78</v>
      </c>
      <c r="D109" s="174">
        <v>25</v>
      </c>
      <c r="E109" s="175">
        <v>1050</v>
      </c>
      <c r="F109" s="175">
        <v>1199.78712</v>
      </c>
      <c r="G109" s="175">
        <f t="shared" si="12"/>
        <v>-149.78711999999996</v>
      </c>
      <c r="H109" s="177">
        <f t="shared" si="13"/>
        <v>26250</v>
      </c>
      <c r="I109" s="177">
        <f t="shared" si="14"/>
        <v>29994.678</v>
      </c>
      <c r="J109" s="176">
        <f t="shared" si="15"/>
        <v>-3744.6779999999999</v>
      </c>
    </row>
    <row r="110" spans="2:10" ht="21">
      <c r="B110" s="165">
        <v>45742</v>
      </c>
      <c r="C110" s="179" t="s">
        <v>78</v>
      </c>
      <c r="D110" s="174">
        <v>1</v>
      </c>
      <c r="E110" s="175">
        <v>1080</v>
      </c>
      <c r="F110" s="175">
        <v>1199.78712</v>
      </c>
      <c r="G110" s="175">
        <f t="shared" si="12"/>
        <v>-119.78711999999996</v>
      </c>
      <c r="H110" s="177">
        <f t="shared" si="13"/>
        <v>1080</v>
      </c>
      <c r="I110" s="177">
        <f t="shared" si="14"/>
        <v>1199.78712</v>
      </c>
      <c r="J110" s="176">
        <f t="shared" si="15"/>
        <v>-119.78711999999996</v>
      </c>
    </row>
    <row r="111" spans="2:10" ht="21">
      <c r="B111" s="165">
        <v>45743</v>
      </c>
      <c r="C111" s="179" t="s">
        <v>78</v>
      </c>
      <c r="D111" s="174">
        <v>20</v>
      </c>
      <c r="E111" s="175">
        <v>1040</v>
      </c>
      <c r="F111" s="175">
        <v>1199.78712</v>
      </c>
      <c r="G111" s="175">
        <f t="shared" si="12"/>
        <v>-159.78711999999996</v>
      </c>
      <c r="H111" s="177">
        <f t="shared" si="13"/>
        <v>20800</v>
      </c>
      <c r="I111" s="177">
        <f t="shared" si="14"/>
        <v>23995.742399999999</v>
      </c>
      <c r="J111" s="176">
        <f t="shared" si="15"/>
        <v>-3195.7423999999992</v>
      </c>
    </row>
    <row r="112" spans="2:10" ht="21">
      <c r="B112" s="165">
        <v>45743</v>
      </c>
      <c r="C112" s="179" t="s">
        <v>78</v>
      </c>
      <c r="D112" s="174">
        <v>60</v>
      </c>
      <c r="E112" s="175">
        <v>1030</v>
      </c>
      <c r="F112" s="175">
        <v>1199.78712</v>
      </c>
      <c r="G112" s="175">
        <f t="shared" si="12"/>
        <v>-169.78711999999996</v>
      </c>
      <c r="H112" s="177">
        <f t="shared" si="13"/>
        <v>61800</v>
      </c>
      <c r="I112" s="177">
        <f t="shared" si="14"/>
        <v>71987.227199999994</v>
      </c>
      <c r="J112" s="176">
        <f t="shared" si="15"/>
        <v>-10187.227199999994</v>
      </c>
    </row>
    <row r="113" spans="2:10" ht="21">
      <c r="B113" s="165">
        <v>45744</v>
      </c>
      <c r="C113" s="168" t="s">
        <v>86</v>
      </c>
      <c r="D113" s="174">
        <v>2</v>
      </c>
      <c r="E113" s="175">
        <v>4870</v>
      </c>
      <c r="F113" s="175">
        <v>5019.6000000000004</v>
      </c>
      <c r="G113" s="175">
        <f t="shared" ref="G113:G118" si="16">E113-F113</f>
        <v>-149.60000000000036</v>
      </c>
      <c r="H113" s="177">
        <f t="shared" ref="H113:H118" si="17">E113*D113</f>
        <v>9740</v>
      </c>
      <c r="I113" s="177">
        <f t="shared" ref="I113:I118" si="18">F113*D113</f>
        <v>10039.200000000001</v>
      </c>
      <c r="J113" s="176">
        <f t="shared" ref="J113:J118" si="19">H113-I113</f>
        <v>-299.20000000000073</v>
      </c>
    </row>
    <row r="114" spans="2:10" ht="21">
      <c r="B114" s="165">
        <v>45722</v>
      </c>
      <c r="C114" s="168" t="s">
        <v>86</v>
      </c>
      <c r="D114" s="174">
        <v>20</v>
      </c>
      <c r="E114" s="175">
        <v>4900</v>
      </c>
      <c r="F114" s="175">
        <v>5019.6000000000004</v>
      </c>
      <c r="G114" s="175">
        <f t="shared" si="16"/>
        <v>-119.60000000000036</v>
      </c>
      <c r="H114" s="177">
        <f t="shared" si="17"/>
        <v>98000</v>
      </c>
      <c r="I114" s="177">
        <f t="shared" si="18"/>
        <v>100392</v>
      </c>
      <c r="J114" s="176">
        <f t="shared" si="19"/>
        <v>-2392</v>
      </c>
    </row>
    <row r="115" spans="2:10" ht="21">
      <c r="B115" s="165">
        <v>45729</v>
      </c>
      <c r="C115" s="168" t="s">
        <v>93</v>
      </c>
      <c r="D115" s="174">
        <v>1</v>
      </c>
      <c r="E115" s="175">
        <v>2150</v>
      </c>
      <c r="F115" s="175">
        <v>2250</v>
      </c>
      <c r="G115" s="175">
        <f t="shared" si="16"/>
        <v>-100</v>
      </c>
      <c r="H115" s="177">
        <f t="shared" si="17"/>
        <v>2150</v>
      </c>
      <c r="I115" s="177">
        <f t="shared" si="18"/>
        <v>2250</v>
      </c>
      <c r="J115" s="176">
        <f t="shared" si="19"/>
        <v>-100</v>
      </c>
    </row>
    <row r="116" spans="2:10" ht="21">
      <c r="B116" s="165">
        <v>45733</v>
      </c>
      <c r="C116" s="168" t="s">
        <v>86</v>
      </c>
      <c r="D116" s="174">
        <v>2</v>
      </c>
      <c r="E116" s="175">
        <v>4930</v>
      </c>
      <c r="F116" s="175">
        <v>5019.6000000000004</v>
      </c>
      <c r="G116" s="175">
        <f t="shared" si="16"/>
        <v>-89.600000000000364</v>
      </c>
      <c r="H116" s="177">
        <f t="shared" si="17"/>
        <v>9860</v>
      </c>
      <c r="I116" s="177">
        <f t="shared" si="18"/>
        <v>10039.200000000001</v>
      </c>
      <c r="J116" s="176">
        <f t="shared" si="19"/>
        <v>-179.20000000000073</v>
      </c>
    </row>
    <row r="117" spans="2:10" ht="21">
      <c r="B117" s="165">
        <v>45734</v>
      </c>
      <c r="C117" s="168" t="s">
        <v>86</v>
      </c>
      <c r="D117" s="174">
        <v>31</v>
      </c>
      <c r="E117" s="175">
        <v>4900</v>
      </c>
      <c r="F117" s="175">
        <v>5019.6000000000004</v>
      </c>
      <c r="G117" s="175">
        <f t="shared" si="16"/>
        <v>-119.60000000000036</v>
      </c>
      <c r="H117" s="177">
        <f t="shared" si="17"/>
        <v>151900</v>
      </c>
      <c r="I117" s="177">
        <f t="shared" si="18"/>
        <v>155607.6</v>
      </c>
      <c r="J117" s="176">
        <f t="shared" si="19"/>
        <v>-3707.6000000000058</v>
      </c>
    </row>
    <row r="118" spans="2:10" ht="21">
      <c r="B118" s="165">
        <v>45742</v>
      </c>
      <c r="C118" s="168" t="s">
        <v>86</v>
      </c>
      <c r="D118" s="174">
        <v>2</v>
      </c>
      <c r="E118" s="175">
        <v>4890</v>
      </c>
      <c r="F118" s="175">
        <v>5019.6000000000004</v>
      </c>
      <c r="G118" s="175">
        <f t="shared" si="16"/>
        <v>-129.60000000000036</v>
      </c>
      <c r="H118" s="177">
        <f t="shared" si="17"/>
        <v>9780</v>
      </c>
      <c r="I118" s="177">
        <f t="shared" si="18"/>
        <v>10039.200000000001</v>
      </c>
      <c r="J118" s="176">
        <f t="shared" si="19"/>
        <v>-259.20000000000073</v>
      </c>
    </row>
    <row r="120" spans="2:10">
      <c r="J120" s="171">
        <f>SUM(J102:J119)</f>
        <v>-33070.257279999991</v>
      </c>
    </row>
  </sheetData>
  <sortState xmlns:xlrd2="http://schemas.microsoft.com/office/spreadsheetml/2017/richdata2" ref="B3:J84">
    <sortCondition sortBy="cellColor" ref="C3:C84" dxfId="60"/>
  </sortState>
  <mergeCells count="1">
    <mergeCell ref="D99:G99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2:S1315"/>
  <sheetViews>
    <sheetView topLeftCell="E1278" zoomScale="80" zoomScaleNormal="80" workbookViewId="0">
      <selection activeCell="L1320" sqref="L1320"/>
    </sheetView>
  </sheetViews>
  <sheetFormatPr defaultRowHeight="15"/>
  <cols>
    <col min="2" max="2" width="9.42578125" customWidth="1"/>
    <col min="3" max="3" width="24.42578125" customWidth="1"/>
    <col min="4" max="4" width="22" style="1" customWidth="1"/>
    <col min="5" max="5" width="10" style="569" customWidth="1"/>
    <col min="6" max="6" width="23.42578125" style="1" customWidth="1"/>
    <col min="7" max="7" width="11.85546875" style="1" customWidth="1"/>
    <col min="8" max="8" width="18.140625" customWidth="1"/>
    <col min="9" max="9" width="13.85546875" customWidth="1"/>
    <col min="10" max="10" width="14.85546875" style="129" customWidth="1"/>
    <col min="11" max="11" width="13.42578125" style="160" customWidth="1"/>
    <col min="12" max="12" width="48.140625" style="656" customWidth="1"/>
    <col min="13" max="13" width="37.28515625" style="656" customWidth="1"/>
    <col min="14" max="14" width="21.7109375" customWidth="1"/>
    <col min="15" max="15" width="41.140625" style="611" customWidth="1"/>
    <col min="16" max="16" width="17.85546875" style="731" customWidth="1"/>
    <col min="17" max="17" width="12.85546875" style="731" customWidth="1"/>
    <col min="18" max="18" width="15.42578125" style="611" customWidth="1"/>
    <col min="19" max="19" width="26.85546875" customWidth="1"/>
  </cols>
  <sheetData>
    <row r="2" spans="4:8">
      <c r="D2" s="388" t="s">
        <v>176</v>
      </c>
      <c r="E2" s="388"/>
      <c r="F2" s="388"/>
      <c r="G2" s="388" t="s">
        <v>185</v>
      </c>
      <c r="H2" s="118" t="s">
        <v>180</v>
      </c>
    </row>
    <row r="3" spans="4:8">
      <c r="D3" s="388" t="s">
        <v>177</v>
      </c>
      <c r="E3" s="388"/>
      <c r="F3" s="388"/>
      <c r="G3" s="388" t="s">
        <v>180</v>
      </c>
    </row>
    <row r="4" spans="4:8">
      <c r="D4" s="388" t="s">
        <v>179</v>
      </c>
      <c r="E4" s="388"/>
      <c r="F4" s="388"/>
      <c r="G4" s="388" t="s">
        <v>180</v>
      </c>
    </row>
    <row r="5" spans="4:8">
      <c r="D5" s="389" t="s">
        <v>178</v>
      </c>
      <c r="E5" s="389"/>
      <c r="F5" s="389"/>
      <c r="G5" s="389"/>
    </row>
    <row r="9" spans="4:8">
      <c r="D9" s="388" t="s">
        <v>203</v>
      </c>
      <c r="E9" s="388"/>
      <c r="F9" s="388"/>
      <c r="G9" s="388">
        <v>6</v>
      </c>
      <c r="H9" s="118" t="s">
        <v>180</v>
      </c>
    </row>
    <row r="10" spans="4:8">
      <c r="D10" s="388" t="s">
        <v>204</v>
      </c>
      <c r="E10" s="388"/>
      <c r="F10" s="388"/>
      <c r="G10" s="388">
        <v>1</v>
      </c>
      <c r="H10" s="118" t="s">
        <v>180</v>
      </c>
    </row>
    <row r="11" spans="4:8">
      <c r="D11" s="388" t="s">
        <v>205</v>
      </c>
      <c r="E11" s="388"/>
      <c r="F11" s="388"/>
      <c r="G11" s="388">
        <v>1</v>
      </c>
      <c r="H11" s="118" t="s">
        <v>180</v>
      </c>
    </row>
    <row r="13" spans="4:8">
      <c r="D13" s="389" t="s">
        <v>214</v>
      </c>
      <c r="E13" s="389"/>
      <c r="F13" s="389"/>
    </row>
    <row r="14" spans="4:8">
      <c r="D14" s="389" t="s">
        <v>215</v>
      </c>
      <c r="E14" s="389"/>
      <c r="F14" s="389"/>
    </row>
    <row r="21" spans="4:18">
      <c r="D21" s="1" t="s">
        <v>256</v>
      </c>
    </row>
    <row r="22" spans="4:18">
      <c r="G22" s="390" t="s">
        <v>225</v>
      </c>
      <c r="H22" s="131" t="s">
        <v>226</v>
      </c>
      <c r="I22" s="131" t="s">
        <v>227</v>
      </c>
      <c r="J22" s="132" t="s">
        <v>228</v>
      </c>
      <c r="K22" s="1115"/>
      <c r="L22" s="657"/>
      <c r="M22" s="657"/>
      <c r="N22" s="130"/>
      <c r="O22" s="130"/>
      <c r="P22" s="130"/>
      <c r="Q22" s="130"/>
      <c r="R22" s="130"/>
    </row>
    <row r="23" spans="4:18">
      <c r="G23" s="270" t="s">
        <v>223</v>
      </c>
      <c r="H23" s="133">
        <v>173</v>
      </c>
      <c r="I23" s="133">
        <v>1045.8</v>
      </c>
      <c r="J23" s="134">
        <f>I23*H23</f>
        <v>180923.4</v>
      </c>
      <c r="K23" s="1116"/>
      <c r="N23" s="129"/>
      <c r="O23" s="129"/>
      <c r="P23" s="129"/>
      <c r="Q23" s="129"/>
      <c r="R23" s="129"/>
    </row>
    <row r="24" spans="4:18">
      <c r="G24" s="270" t="s">
        <v>224</v>
      </c>
      <c r="H24" s="133">
        <v>120</v>
      </c>
      <c r="I24" s="133">
        <v>1241</v>
      </c>
      <c r="J24" s="134">
        <f>I24*H24</f>
        <v>148920</v>
      </c>
      <c r="K24" s="1116"/>
      <c r="N24" s="129"/>
      <c r="O24" s="129"/>
      <c r="P24" s="129"/>
      <c r="Q24" s="129"/>
      <c r="R24" s="129"/>
    </row>
    <row r="25" spans="4:18">
      <c r="G25" s="270" t="s">
        <v>229</v>
      </c>
      <c r="H25" s="133">
        <v>37</v>
      </c>
      <c r="I25" s="133">
        <v>1465.8</v>
      </c>
      <c r="J25" s="134">
        <f>I25*H25</f>
        <v>54234.6</v>
      </c>
      <c r="K25" s="1116"/>
      <c r="N25" s="129"/>
      <c r="O25" s="129"/>
      <c r="P25" s="129"/>
      <c r="Q25" s="129"/>
      <c r="R25" s="129"/>
    </row>
    <row r="26" spans="4:18">
      <c r="G26" s="270" t="s">
        <v>230</v>
      </c>
      <c r="H26" s="133">
        <v>4</v>
      </c>
      <c r="I26" s="133">
        <v>345</v>
      </c>
      <c r="J26" s="134">
        <f t="shared" ref="J26:J51" si="0">I26*H26</f>
        <v>1380</v>
      </c>
      <c r="K26" s="1116"/>
    </row>
    <row r="27" spans="4:18">
      <c r="G27" s="270" t="s">
        <v>231</v>
      </c>
      <c r="H27" s="133">
        <v>1</v>
      </c>
      <c r="I27" s="133">
        <v>4099.75</v>
      </c>
      <c r="J27" s="134">
        <f t="shared" si="0"/>
        <v>4099.75</v>
      </c>
      <c r="K27" s="1116"/>
    </row>
    <row r="28" spans="4:18">
      <c r="G28" s="270" t="s">
        <v>232</v>
      </c>
      <c r="H28" s="133">
        <v>2</v>
      </c>
      <c r="I28" s="133">
        <v>4735</v>
      </c>
      <c r="J28" s="134">
        <f t="shared" si="0"/>
        <v>9470</v>
      </c>
      <c r="K28" s="1116"/>
    </row>
    <row r="29" spans="4:18">
      <c r="G29" s="270" t="s">
        <v>233</v>
      </c>
      <c r="H29" s="133">
        <v>7</v>
      </c>
      <c r="I29" s="133">
        <v>5034.7700000000004</v>
      </c>
      <c r="J29" s="134">
        <f t="shared" si="0"/>
        <v>35243.39</v>
      </c>
      <c r="K29" s="1116"/>
    </row>
    <row r="30" spans="4:18">
      <c r="G30" s="270" t="s">
        <v>234</v>
      </c>
      <c r="H30" s="133">
        <v>130</v>
      </c>
      <c r="I30" s="133">
        <v>288.75</v>
      </c>
      <c r="J30" s="134">
        <f t="shared" si="0"/>
        <v>37537.5</v>
      </c>
      <c r="K30" s="1116"/>
    </row>
    <row r="31" spans="4:18">
      <c r="G31" s="270" t="s">
        <v>235</v>
      </c>
      <c r="H31" s="133">
        <v>10</v>
      </c>
      <c r="I31" s="133">
        <v>150.35</v>
      </c>
      <c r="J31" s="134">
        <f t="shared" si="0"/>
        <v>1503.5</v>
      </c>
      <c r="K31" s="1116"/>
    </row>
    <row r="32" spans="4:18">
      <c r="G32" s="270" t="s">
        <v>236</v>
      </c>
      <c r="H32" s="133">
        <v>257</v>
      </c>
      <c r="I32" s="133">
        <v>299.45999999999998</v>
      </c>
      <c r="J32" s="134">
        <f t="shared" si="0"/>
        <v>76961.22</v>
      </c>
      <c r="K32" s="1116"/>
    </row>
    <row r="33" spans="7:11">
      <c r="G33" s="270" t="s">
        <v>237</v>
      </c>
      <c r="H33" s="133">
        <v>20</v>
      </c>
      <c r="I33" s="133">
        <v>493.91</v>
      </c>
      <c r="J33" s="134">
        <f t="shared" si="0"/>
        <v>9878.2000000000007</v>
      </c>
      <c r="K33" s="1116"/>
    </row>
    <row r="34" spans="7:11">
      <c r="G34" s="19" t="s">
        <v>238</v>
      </c>
      <c r="H34" s="18">
        <v>1</v>
      </c>
      <c r="I34" s="18">
        <v>673</v>
      </c>
      <c r="J34" s="135">
        <f t="shared" si="0"/>
        <v>673</v>
      </c>
      <c r="K34" s="1117"/>
    </row>
    <row r="35" spans="7:11">
      <c r="G35" s="19" t="s">
        <v>239</v>
      </c>
      <c r="H35" s="18">
        <v>2</v>
      </c>
      <c r="I35" s="18">
        <v>163</v>
      </c>
      <c r="J35" s="135">
        <f t="shared" si="0"/>
        <v>326</v>
      </c>
      <c r="K35" s="1117"/>
    </row>
    <row r="36" spans="7:11">
      <c r="G36" s="270" t="s">
        <v>240</v>
      </c>
      <c r="H36" s="133">
        <v>16</v>
      </c>
      <c r="I36" s="133">
        <v>3412</v>
      </c>
      <c r="J36" s="134">
        <f t="shared" si="0"/>
        <v>54592</v>
      </c>
      <c r="K36" s="1116"/>
    </row>
    <row r="37" spans="7:11">
      <c r="G37" s="19" t="s">
        <v>241</v>
      </c>
      <c r="H37" s="18">
        <v>1</v>
      </c>
      <c r="I37" s="18">
        <v>174.24</v>
      </c>
      <c r="J37" s="135">
        <f t="shared" si="0"/>
        <v>174.24</v>
      </c>
      <c r="K37" s="1117"/>
    </row>
    <row r="38" spans="7:11">
      <c r="G38" s="19" t="s">
        <v>242</v>
      </c>
      <c r="H38" s="18">
        <v>1</v>
      </c>
      <c r="I38" s="18">
        <v>250</v>
      </c>
      <c r="J38" s="135">
        <f t="shared" si="0"/>
        <v>250</v>
      </c>
      <c r="K38" s="1117"/>
    </row>
    <row r="39" spans="7:11">
      <c r="G39" s="19" t="s">
        <v>242</v>
      </c>
      <c r="H39" s="18">
        <v>1</v>
      </c>
      <c r="I39" s="18">
        <v>241</v>
      </c>
      <c r="J39" s="135">
        <f t="shared" si="0"/>
        <v>241</v>
      </c>
      <c r="K39" s="1117"/>
    </row>
    <row r="40" spans="7:11">
      <c r="G40" s="19" t="s">
        <v>243</v>
      </c>
      <c r="H40" s="18">
        <v>2</v>
      </c>
      <c r="I40" s="18">
        <v>1140</v>
      </c>
      <c r="J40" s="135">
        <f t="shared" si="0"/>
        <v>2280</v>
      </c>
      <c r="K40" s="1117"/>
    </row>
    <row r="41" spans="7:11">
      <c r="G41" s="19" t="s">
        <v>244</v>
      </c>
      <c r="H41" s="18">
        <v>1</v>
      </c>
      <c r="I41" s="18">
        <v>2940</v>
      </c>
      <c r="J41" s="135">
        <f t="shared" si="0"/>
        <v>2940</v>
      </c>
      <c r="K41" s="1117"/>
    </row>
    <row r="42" spans="7:11">
      <c r="G42" s="19" t="s">
        <v>245</v>
      </c>
      <c r="H42" s="18">
        <v>1</v>
      </c>
      <c r="I42" s="18">
        <v>1452</v>
      </c>
      <c r="J42" s="135">
        <f t="shared" si="0"/>
        <v>1452</v>
      </c>
      <c r="K42" s="1117"/>
    </row>
    <row r="43" spans="7:11">
      <c r="G43" s="19" t="s">
        <v>246</v>
      </c>
      <c r="H43" s="18">
        <v>1</v>
      </c>
      <c r="I43" s="18">
        <v>1452</v>
      </c>
      <c r="J43" s="135">
        <f t="shared" si="0"/>
        <v>1452</v>
      </c>
      <c r="K43" s="1117"/>
    </row>
    <row r="44" spans="7:11">
      <c r="G44" s="19" t="s">
        <v>247</v>
      </c>
      <c r="H44" s="18">
        <v>1</v>
      </c>
      <c r="I44" s="18">
        <v>1070</v>
      </c>
      <c r="J44" s="135">
        <f t="shared" si="0"/>
        <v>1070</v>
      </c>
      <c r="K44" s="1117"/>
    </row>
    <row r="45" spans="7:11">
      <c r="G45" s="19" t="s">
        <v>248</v>
      </c>
      <c r="H45" s="18">
        <v>1</v>
      </c>
      <c r="I45" s="18">
        <v>1996</v>
      </c>
      <c r="J45" s="135">
        <f t="shared" si="0"/>
        <v>1996</v>
      </c>
      <c r="K45" s="1117"/>
    </row>
    <row r="46" spans="7:11">
      <c r="G46" s="19" t="s">
        <v>249</v>
      </c>
      <c r="H46" s="18">
        <v>2</v>
      </c>
      <c r="I46" s="18">
        <v>2286</v>
      </c>
      <c r="J46" s="135">
        <f t="shared" si="0"/>
        <v>4572</v>
      </c>
      <c r="K46" s="1117"/>
    </row>
    <row r="47" spans="7:11">
      <c r="G47" s="19" t="s">
        <v>250</v>
      </c>
      <c r="H47" s="18">
        <v>2</v>
      </c>
      <c r="I47" s="18">
        <v>2305</v>
      </c>
      <c r="J47" s="135">
        <f t="shared" si="0"/>
        <v>4610</v>
      </c>
      <c r="K47" s="1117"/>
    </row>
    <row r="48" spans="7:11">
      <c r="G48" s="19" t="s">
        <v>251</v>
      </c>
      <c r="H48" s="18">
        <v>1</v>
      </c>
      <c r="I48" s="18">
        <v>1161</v>
      </c>
      <c r="J48" s="135">
        <f t="shared" si="0"/>
        <v>1161</v>
      </c>
      <c r="K48" s="1117"/>
    </row>
    <row r="49" spans="4:12">
      <c r="G49" s="19" t="s">
        <v>252</v>
      </c>
      <c r="H49" s="18">
        <v>3</v>
      </c>
      <c r="I49" s="18">
        <v>490</v>
      </c>
      <c r="J49" s="135">
        <f t="shared" si="0"/>
        <v>1470</v>
      </c>
      <c r="K49" s="1117"/>
    </row>
    <row r="50" spans="4:12">
      <c r="G50" s="19" t="s">
        <v>253</v>
      </c>
      <c r="H50" s="18">
        <v>11</v>
      </c>
      <c r="I50" s="18">
        <v>401</v>
      </c>
      <c r="J50" s="135">
        <f t="shared" si="0"/>
        <v>4411</v>
      </c>
      <c r="K50" s="1117"/>
    </row>
    <row r="51" spans="4:12">
      <c r="G51" s="19" t="s">
        <v>255</v>
      </c>
      <c r="H51" s="18">
        <v>1</v>
      </c>
      <c r="I51" s="18">
        <v>205</v>
      </c>
      <c r="J51" s="135">
        <f t="shared" si="0"/>
        <v>205</v>
      </c>
      <c r="K51" s="1117"/>
    </row>
    <row r="52" spans="4:12">
      <c r="G52" s="19"/>
      <c r="H52" s="18"/>
      <c r="I52" s="18"/>
      <c r="J52" s="136">
        <f>SUM(J23:J51)</f>
        <v>644026.79999999993</v>
      </c>
      <c r="K52" s="1118"/>
    </row>
    <row r="56" spans="4:12">
      <c r="I56">
        <v>1653942</v>
      </c>
      <c r="J56" s="129">
        <v>1892972</v>
      </c>
      <c r="L56" s="656">
        <f>I56-J56</f>
        <v>-239030</v>
      </c>
    </row>
    <row r="58" spans="4:12">
      <c r="G58" s="1">
        <v>1653942</v>
      </c>
    </row>
    <row r="63" spans="4:12">
      <c r="D63" s="1" t="s">
        <v>301</v>
      </c>
    </row>
    <row r="64" spans="4:12">
      <c r="D64" s="1" t="s">
        <v>298</v>
      </c>
    </row>
    <row r="65" spans="4:9">
      <c r="D65" s="1" t="s">
        <v>299</v>
      </c>
    </row>
    <row r="66" spans="4:9">
      <c r="D66" s="1" t="s">
        <v>300</v>
      </c>
    </row>
    <row r="68" spans="4:9">
      <c r="D68" s="1" t="s">
        <v>314</v>
      </c>
      <c r="G68" s="1" t="s">
        <v>180</v>
      </c>
    </row>
    <row r="70" spans="4:9">
      <c r="D70" s="1" t="s">
        <v>315</v>
      </c>
      <c r="G70" s="1" t="s">
        <v>318</v>
      </c>
    </row>
    <row r="72" spans="4:9">
      <c r="D72" s="1" t="s">
        <v>316</v>
      </c>
      <c r="G72" s="1" t="s">
        <v>318</v>
      </c>
    </row>
    <row r="78" spans="4:9">
      <c r="G78" s="1">
        <v>1363956</v>
      </c>
      <c r="I78">
        <v>1195290</v>
      </c>
    </row>
    <row r="81" spans="4:8">
      <c r="G81" s="1">
        <f>G78-I78</f>
        <v>168666</v>
      </c>
    </row>
    <row r="86" spans="4:8">
      <c r="D86" s="398" t="s">
        <v>413</v>
      </c>
      <c r="E86" s="398"/>
      <c r="F86" s="398"/>
    </row>
    <row r="88" spans="4:8">
      <c r="D88" s="107" t="s">
        <v>489</v>
      </c>
      <c r="E88" s="107"/>
      <c r="F88" s="107"/>
      <c r="G88" s="107" t="s">
        <v>83</v>
      </c>
      <c r="H88" s="107"/>
    </row>
    <row r="89" spans="4:8">
      <c r="D89" s="107" t="s">
        <v>414</v>
      </c>
      <c r="E89" s="107"/>
      <c r="F89" s="107"/>
      <c r="G89" s="107" t="s">
        <v>83</v>
      </c>
      <c r="H89" s="107"/>
    </row>
    <row r="90" spans="4:8">
      <c r="D90" s="107"/>
      <c r="E90" s="107"/>
      <c r="F90" s="107"/>
      <c r="G90" s="107"/>
      <c r="H90" s="107"/>
    </row>
    <row r="91" spans="4:8">
      <c r="D91" s="107" t="s">
        <v>488</v>
      </c>
      <c r="E91" s="107"/>
      <c r="F91" s="107"/>
      <c r="G91" s="107"/>
      <c r="H91" s="107"/>
    </row>
    <row r="92" spans="4:8">
      <c r="D92" s="107"/>
      <c r="E92" s="107"/>
      <c r="F92" s="107"/>
      <c r="G92" s="107"/>
      <c r="H92" s="107"/>
    </row>
    <row r="93" spans="4:8">
      <c r="D93" s="107"/>
      <c r="E93" s="107"/>
      <c r="F93" s="107"/>
    </row>
    <row r="96" spans="4:8">
      <c r="D96" s="107" t="s">
        <v>505</v>
      </c>
      <c r="E96" s="107"/>
      <c r="F96" s="107"/>
      <c r="G96" s="1" t="s">
        <v>180</v>
      </c>
    </row>
    <row r="97" spans="4:10">
      <c r="D97" s="1" t="s">
        <v>500</v>
      </c>
      <c r="G97" s="1" t="s">
        <v>180</v>
      </c>
    </row>
    <row r="98" spans="4:10">
      <c r="D98" s="1" t="s">
        <v>501</v>
      </c>
      <c r="G98" s="1" t="s">
        <v>180</v>
      </c>
    </row>
    <row r="99" spans="4:10">
      <c r="D99" s="399" t="s">
        <v>503</v>
      </c>
      <c r="E99" s="399"/>
      <c r="F99" s="399"/>
      <c r="G99" s="1" t="s">
        <v>502</v>
      </c>
      <c r="I99" t="s">
        <v>504</v>
      </c>
    </row>
    <row r="102" spans="4:10">
      <c r="D102" s="107"/>
      <c r="E102" s="107"/>
      <c r="F102" s="107"/>
    </row>
    <row r="106" spans="4:10">
      <c r="D106" s="1" t="s">
        <v>506</v>
      </c>
      <c r="G106" s="1" t="s">
        <v>180</v>
      </c>
    </row>
    <row r="110" spans="4:10">
      <c r="D110" s="1" t="s">
        <v>589</v>
      </c>
      <c r="G110" s="1" t="s">
        <v>597</v>
      </c>
      <c r="J110" s="129" t="s">
        <v>598</v>
      </c>
    </row>
    <row r="112" spans="4:10">
      <c r="D112" s="1" t="s">
        <v>590</v>
      </c>
      <c r="G112" s="1" t="s">
        <v>599</v>
      </c>
    </row>
    <row r="114" spans="4:7">
      <c r="D114" s="1" t="s">
        <v>591</v>
      </c>
      <c r="G114" s="1" t="s">
        <v>180</v>
      </c>
    </row>
    <row r="118" spans="4:7">
      <c r="D118" s="1" t="s">
        <v>592</v>
      </c>
    </row>
    <row r="121" spans="4:7">
      <c r="D121" s="1" t="s">
        <v>600</v>
      </c>
    </row>
    <row r="126" spans="4:7">
      <c r="D126" s="1" t="s">
        <v>515</v>
      </c>
      <c r="G126" s="1">
        <v>1</v>
      </c>
    </row>
    <row r="127" spans="4:7">
      <c r="D127" s="1" t="s">
        <v>507</v>
      </c>
      <c r="G127" s="1">
        <v>5</v>
      </c>
    </row>
    <row r="129" spans="4:7">
      <c r="D129" s="1" t="s">
        <v>401</v>
      </c>
      <c r="G129" s="1">
        <v>2</v>
      </c>
    </row>
    <row r="131" spans="4:7">
      <c r="D131" s="1" t="s">
        <v>402</v>
      </c>
      <c r="G131" s="1">
        <v>16</v>
      </c>
    </row>
    <row r="132" spans="4:7">
      <c r="D132" s="400"/>
      <c r="E132" s="400"/>
      <c r="F132" s="400"/>
    </row>
    <row r="133" spans="4:7">
      <c r="D133" s="400" t="s">
        <v>403</v>
      </c>
      <c r="E133" s="400"/>
      <c r="F133" s="400"/>
      <c r="G133" s="1">
        <v>1</v>
      </c>
    </row>
    <row r="134" spans="4:7">
      <c r="D134" s="1" t="s">
        <v>608</v>
      </c>
      <c r="G134" s="1">
        <v>1</v>
      </c>
    </row>
    <row r="136" spans="4:7">
      <c r="D136" s="1" t="s">
        <v>562</v>
      </c>
      <c r="G136" s="1">
        <v>2</v>
      </c>
    </row>
    <row r="137" spans="4:7">
      <c r="D137" s="1" t="s">
        <v>622</v>
      </c>
      <c r="G137" s="1">
        <v>35</v>
      </c>
    </row>
    <row r="138" spans="4:7">
      <c r="D138" s="1" t="s">
        <v>609</v>
      </c>
      <c r="G138" s="1">
        <v>13</v>
      </c>
    </row>
    <row r="139" spans="4:7">
      <c r="D139" s="1" t="s">
        <v>623</v>
      </c>
      <c r="G139" s="1">
        <v>13</v>
      </c>
    </row>
    <row r="141" spans="4:7">
      <c r="D141" s="1" t="s">
        <v>624</v>
      </c>
      <c r="G141" s="1">
        <v>39</v>
      </c>
    </row>
    <row r="142" spans="4:7">
      <c r="D142" s="401" t="s">
        <v>610</v>
      </c>
      <c r="E142" s="401"/>
      <c r="F142" s="401"/>
      <c r="G142" s="1">
        <v>3</v>
      </c>
    </row>
    <row r="144" spans="4:7">
      <c r="D144" s="401" t="s">
        <v>612</v>
      </c>
      <c r="E144" s="401"/>
      <c r="F144" s="401"/>
    </row>
    <row r="145" spans="4:6">
      <c r="D145" s="401" t="s">
        <v>625</v>
      </c>
      <c r="E145" s="401"/>
      <c r="F145" s="401"/>
    </row>
    <row r="147" spans="4:6">
      <c r="D147" s="401" t="s">
        <v>614</v>
      </c>
      <c r="E147" s="401"/>
      <c r="F147" s="401"/>
    </row>
    <row r="148" spans="4:6">
      <c r="D148" s="402" t="s">
        <v>621</v>
      </c>
      <c r="E148" s="402"/>
      <c r="F148" s="402"/>
    </row>
    <row r="150" spans="4:6">
      <c r="D150" s="401" t="s">
        <v>613</v>
      </c>
      <c r="E150" s="401"/>
      <c r="F150" s="401"/>
    </row>
    <row r="151" spans="4:6">
      <c r="D151" s="1" t="s">
        <v>404</v>
      </c>
    </row>
    <row r="153" spans="4:6">
      <c r="D153" s="1" t="s">
        <v>626</v>
      </c>
    </row>
    <row r="164" spans="4:10">
      <c r="D164" s="1" t="s">
        <v>715</v>
      </c>
      <c r="G164" s="1" t="s">
        <v>690</v>
      </c>
      <c r="J164" s="129" t="s">
        <v>691</v>
      </c>
    </row>
    <row r="165" spans="4:10">
      <c r="D165" s="1" t="s">
        <v>716</v>
      </c>
    </row>
    <row r="168" spans="4:10">
      <c r="D168" s="1" t="s">
        <v>688</v>
      </c>
    </row>
    <row r="169" spans="4:10">
      <c r="D169" s="1" t="s">
        <v>689</v>
      </c>
    </row>
    <row r="172" spans="4:10">
      <c r="D172" s="1" t="s">
        <v>692</v>
      </c>
      <c r="G172" s="1" t="s">
        <v>694</v>
      </c>
      <c r="I172" t="s">
        <v>713</v>
      </c>
    </row>
    <row r="173" spans="4:10">
      <c r="D173" s="1" t="s">
        <v>693</v>
      </c>
    </row>
    <row r="175" spans="4:10">
      <c r="D175" s="1" t="s">
        <v>695</v>
      </c>
    </row>
    <row r="176" spans="4:10">
      <c r="D176" s="1" t="s">
        <v>696</v>
      </c>
      <c r="G176" s="1" t="s">
        <v>698</v>
      </c>
      <c r="I176" t="s">
        <v>719</v>
      </c>
    </row>
    <row r="177" spans="4:8">
      <c r="D177" s="1" t="s">
        <v>697</v>
      </c>
      <c r="G177" s="1" t="s">
        <v>699</v>
      </c>
    </row>
    <row r="178" spans="4:8">
      <c r="D178" s="1" t="s">
        <v>718</v>
      </c>
    </row>
    <row r="180" spans="4:8">
      <c r="D180" s="1" t="s">
        <v>700</v>
      </c>
      <c r="G180" s="1" t="s">
        <v>717</v>
      </c>
    </row>
    <row r="182" spans="4:8">
      <c r="D182" s="1" t="s">
        <v>701</v>
      </c>
      <c r="G182" s="1" t="s">
        <v>713</v>
      </c>
    </row>
    <row r="184" spans="4:8">
      <c r="D184" s="1" t="s">
        <v>705</v>
      </c>
    </row>
    <row r="185" spans="4:8">
      <c r="D185" s="1" t="s">
        <v>702</v>
      </c>
      <c r="G185" s="1" t="s">
        <v>703</v>
      </c>
      <c r="H185" t="s">
        <v>714</v>
      </c>
    </row>
    <row r="186" spans="4:8">
      <c r="D186" s="1" t="s">
        <v>704</v>
      </c>
    </row>
    <row r="188" spans="4:8">
      <c r="D188" s="1" t="s">
        <v>706</v>
      </c>
    </row>
    <row r="189" spans="4:8">
      <c r="D189" s="1" t="s">
        <v>707</v>
      </c>
    </row>
    <row r="192" spans="4:8">
      <c r="D192" s="1" t="s">
        <v>708</v>
      </c>
    </row>
    <row r="196" spans="4:7">
      <c r="D196" s="1" t="s">
        <v>709</v>
      </c>
    </row>
    <row r="198" spans="4:7">
      <c r="D198" s="1" t="s">
        <v>710</v>
      </c>
      <c r="G198" s="1" t="s">
        <v>305</v>
      </c>
    </row>
    <row r="200" spans="4:7">
      <c r="D200" s="1" t="s">
        <v>711</v>
      </c>
    </row>
    <row r="202" spans="4:7">
      <c r="D202" s="1" t="s">
        <v>712</v>
      </c>
    </row>
    <row r="206" spans="4:7">
      <c r="D206" s="1" t="s">
        <v>802</v>
      </c>
      <c r="G206" s="1" t="s">
        <v>318</v>
      </c>
    </row>
    <row r="208" spans="4:7">
      <c r="D208" s="1" t="s">
        <v>946</v>
      </c>
      <c r="G208" s="1">
        <v>1</v>
      </c>
    </row>
    <row r="209" spans="4:7">
      <c r="D209" s="1" t="s">
        <v>944</v>
      </c>
      <c r="G209" s="1">
        <v>1</v>
      </c>
    </row>
    <row r="210" spans="4:7">
      <c r="D210" s="1" t="s">
        <v>937</v>
      </c>
      <c r="G210" s="1">
        <v>10</v>
      </c>
    </row>
    <row r="211" spans="4:7">
      <c r="D211" s="1" t="s">
        <v>938</v>
      </c>
      <c r="G211" s="1">
        <v>6</v>
      </c>
    </row>
    <row r="212" spans="4:7">
      <c r="D212" s="1" t="s">
        <v>939</v>
      </c>
      <c r="G212" s="1">
        <v>4</v>
      </c>
    </row>
    <row r="213" spans="4:7">
      <c r="D213" s="1" t="s">
        <v>945</v>
      </c>
      <c r="G213" s="1">
        <v>1</v>
      </c>
    </row>
    <row r="215" spans="4:7">
      <c r="D215" s="1" t="s">
        <v>940</v>
      </c>
      <c r="G215" s="1">
        <v>4</v>
      </c>
    </row>
    <row r="216" spans="4:7">
      <c r="D216" s="1" t="s">
        <v>941</v>
      </c>
      <c r="G216" s="1">
        <v>3</v>
      </c>
    </row>
    <row r="218" spans="4:7">
      <c r="D218" s="1" t="s">
        <v>942</v>
      </c>
      <c r="G218" s="1">
        <v>3</v>
      </c>
    </row>
    <row r="219" spans="4:7">
      <c r="D219" s="1" t="s">
        <v>943</v>
      </c>
      <c r="G219" s="1">
        <v>1</v>
      </c>
    </row>
    <row r="220" spans="4:7">
      <c r="D220" s="1" t="s">
        <v>947</v>
      </c>
      <c r="G220" s="1">
        <v>1</v>
      </c>
    </row>
    <row r="221" spans="4:7">
      <c r="D221" s="1" t="s">
        <v>948</v>
      </c>
      <c r="G221" s="1">
        <v>1</v>
      </c>
    </row>
    <row r="224" spans="4:7">
      <c r="D224" s="1" t="s">
        <v>949</v>
      </c>
      <c r="G224" s="1">
        <v>2</v>
      </c>
    </row>
    <row r="225" spans="4:7">
      <c r="D225" s="1" t="s">
        <v>950</v>
      </c>
      <c r="G225" s="1">
        <v>2</v>
      </c>
    </row>
    <row r="226" spans="4:7">
      <c r="D226" s="1" t="s">
        <v>951</v>
      </c>
      <c r="G226" s="1">
        <v>1</v>
      </c>
    </row>
    <row r="227" spans="4:7">
      <c r="D227" s="1" t="s">
        <v>952</v>
      </c>
    </row>
    <row r="228" spans="4:7">
      <c r="D228" s="1" t="s">
        <v>953</v>
      </c>
      <c r="G228" s="1">
        <v>11</v>
      </c>
    </row>
    <row r="230" spans="4:7">
      <c r="D230" s="1" t="s">
        <v>954</v>
      </c>
      <c r="G230" s="1">
        <v>1</v>
      </c>
    </row>
    <row r="235" spans="4:7">
      <c r="D235" s="1" t="s">
        <v>956</v>
      </c>
    </row>
    <row r="236" spans="4:7">
      <c r="D236" s="1" t="s">
        <v>955</v>
      </c>
    </row>
    <row r="241" spans="3:8">
      <c r="D241" s="1" t="s">
        <v>968</v>
      </c>
      <c r="G241" s="1">
        <v>3935</v>
      </c>
    </row>
    <row r="242" spans="3:8">
      <c r="D242" s="1" t="s">
        <v>969</v>
      </c>
      <c r="G242" s="1">
        <v>2450</v>
      </c>
    </row>
    <row r="243" spans="3:8">
      <c r="D243" s="1" t="s">
        <v>970</v>
      </c>
    </row>
    <row r="246" spans="3:8">
      <c r="C246" s="78">
        <v>45848</v>
      </c>
      <c r="D246" s="1" t="s">
        <v>983</v>
      </c>
      <c r="H246">
        <v>5</v>
      </c>
    </row>
    <row r="247" spans="3:8">
      <c r="C247" s="78">
        <v>45848</v>
      </c>
      <c r="D247" s="1" t="s">
        <v>982</v>
      </c>
      <c r="G247" s="1">
        <v>1</v>
      </c>
    </row>
    <row r="248" spans="3:8">
      <c r="C248" s="78">
        <v>45849</v>
      </c>
      <c r="D248" s="1" t="s">
        <v>984</v>
      </c>
      <c r="H248">
        <v>5</v>
      </c>
    </row>
    <row r="249" spans="3:8">
      <c r="C249" s="78">
        <v>45849</v>
      </c>
      <c r="D249" s="1" t="s">
        <v>985</v>
      </c>
      <c r="G249" s="1">
        <v>1</v>
      </c>
    </row>
    <row r="250" spans="3:8">
      <c r="C250" s="78">
        <v>45850</v>
      </c>
      <c r="D250" s="1" t="s">
        <v>986</v>
      </c>
      <c r="G250" s="1">
        <v>1</v>
      </c>
    </row>
    <row r="251" spans="3:8">
      <c r="C251" s="78">
        <v>45850</v>
      </c>
      <c r="D251" s="1" t="s">
        <v>987</v>
      </c>
      <c r="G251" s="1">
        <v>1</v>
      </c>
    </row>
    <row r="252" spans="3:8">
      <c r="C252" s="78">
        <v>45852</v>
      </c>
      <c r="D252" s="1" t="s">
        <v>988</v>
      </c>
      <c r="G252" s="1">
        <v>1</v>
      </c>
    </row>
    <row r="253" spans="3:8">
      <c r="C253" s="78">
        <v>45854</v>
      </c>
      <c r="D253" s="1" t="s">
        <v>989</v>
      </c>
      <c r="G253" s="1">
        <v>1</v>
      </c>
    </row>
    <row r="254" spans="3:8">
      <c r="C254" s="78">
        <v>45855</v>
      </c>
      <c r="D254" s="1" t="s">
        <v>990</v>
      </c>
      <c r="G254" s="1">
        <v>1</v>
      </c>
    </row>
    <row r="255" spans="3:8">
      <c r="C255" s="78">
        <v>45857</v>
      </c>
      <c r="D255" s="1" t="s">
        <v>984</v>
      </c>
      <c r="H255">
        <v>2</v>
      </c>
    </row>
    <row r="256" spans="3:8">
      <c r="C256" s="78">
        <v>45857</v>
      </c>
      <c r="D256" s="1" t="s">
        <v>991</v>
      </c>
      <c r="G256" s="1">
        <v>1</v>
      </c>
    </row>
    <row r="257" spans="3:18">
      <c r="C257" s="78">
        <v>45857</v>
      </c>
      <c r="D257" s="1" t="s">
        <v>984</v>
      </c>
      <c r="H257">
        <v>6</v>
      </c>
    </row>
    <row r="258" spans="3:18">
      <c r="C258" s="78">
        <v>45858</v>
      </c>
      <c r="D258" s="1" t="s">
        <v>992</v>
      </c>
      <c r="G258" s="1">
        <v>1</v>
      </c>
    </row>
    <row r="259" spans="3:18">
      <c r="C259" s="78">
        <v>45858</v>
      </c>
      <c r="D259" s="1" t="s">
        <v>993</v>
      </c>
      <c r="G259" s="1">
        <v>1</v>
      </c>
    </row>
    <row r="260" spans="3:18">
      <c r="C260" s="78">
        <v>45859</v>
      </c>
      <c r="D260" s="1" t="s">
        <v>997</v>
      </c>
      <c r="G260" s="1">
        <v>1</v>
      </c>
    </row>
    <row r="261" spans="3:18">
      <c r="C261" s="78">
        <v>45859</v>
      </c>
      <c r="D261" s="1" t="s">
        <v>994</v>
      </c>
      <c r="G261" s="1">
        <v>1</v>
      </c>
    </row>
    <row r="262" spans="3:18">
      <c r="C262" s="78">
        <v>45859</v>
      </c>
      <c r="D262" s="1" t="s">
        <v>995</v>
      </c>
      <c r="G262" s="1">
        <v>1</v>
      </c>
    </row>
    <row r="263" spans="3:18">
      <c r="C263" s="78">
        <v>45859</v>
      </c>
      <c r="D263" s="391" t="s">
        <v>996</v>
      </c>
      <c r="E263" s="391"/>
      <c r="F263" s="391"/>
      <c r="G263" s="391">
        <v>1</v>
      </c>
    </row>
    <row r="264" spans="3:18">
      <c r="C264" s="78">
        <v>45859</v>
      </c>
      <c r="D264" s="1" t="s">
        <v>998</v>
      </c>
      <c r="G264" s="1">
        <v>3</v>
      </c>
    </row>
    <row r="265" spans="3:18">
      <c r="C265" s="78">
        <v>45859</v>
      </c>
      <c r="D265" s="391" t="s">
        <v>996</v>
      </c>
      <c r="E265" s="391"/>
      <c r="F265" s="391"/>
      <c r="G265" s="391">
        <v>1</v>
      </c>
    </row>
    <row r="268" spans="3:18">
      <c r="C268" s="380">
        <v>45867</v>
      </c>
      <c r="D268" s="392">
        <v>2</v>
      </c>
      <c r="E268" s="392"/>
      <c r="F268" s="392"/>
      <c r="G268" s="392" t="s">
        <v>999</v>
      </c>
      <c r="H268" s="381" t="s">
        <v>1012</v>
      </c>
      <c r="I268" s="382">
        <v>574</v>
      </c>
      <c r="J268" s="382">
        <f>(D268*I268)</f>
        <v>1148</v>
      </c>
      <c r="K268" s="1119"/>
      <c r="L268" s="658" t="s">
        <v>1013</v>
      </c>
      <c r="M268" s="658"/>
      <c r="N268" s="381" t="s">
        <v>1013</v>
      </c>
      <c r="O268" s="708"/>
      <c r="P268" s="708"/>
      <c r="Q268" s="708"/>
      <c r="R268" s="708"/>
    </row>
    <row r="271" spans="3:18">
      <c r="D271" s="1" t="s">
        <v>1042</v>
      </c>
      <c r="G271" s="1">
        <v>5</v>
      </c>
    </row>
    <row r="272" spans="3:18">
      <c r="D272" s="1" t="s">
        <v>1043</v>
      </c>
      <c r="G272" s="1">
        <v>78</v>
      </c>
    </row>
    <row r="273" spans="4:7">
      <c r="D273" s="1" t="s">
        <v>1044</v>
      </c>
      <c r="G273" s="1">
        <v>65</v>
      </c>
    </row>
    <row r="274" spans="4:7">
      <c r="D274" s="1" t="s">
        <v>1045</v>
      </c>
      <c r="G274" s="1">
        <v>13</v>
      </c>
    </row>
    <row r="275" spans="4:7">
      <c r="D275" s="1" t="s">
        <v>1046</v>
      </c>
      <c r="G275" s="1">
        <v>1</v>
      </c>
    </row>
    <row r="276" spans="4:7">
      <c r="D276" s="1" t="s">
        <v>1047</v>
      </c>
      <c r="G276" s="1">
        <v>8</v>
      </c>
    </row>
    <row r="277" spans="4:7">
      <c r="D277" s="1" t="s">
        <v>1048</v>
      </c>
      <c r="G277" s="1">
        <v>2</v>
      </c>
    </row>
    <row r="278" spans="4:7">
      <c r="D278" s="1" t="s">
        <v>1049</v>
      </c>
      <c r="G278" s="1">
        <v>9</v>
      </c>
    </row>
    <row r="279" spans="4:7">
      <c r="D279" s="1" t="s">
        <v>1050</v>
      </c>
      <c r="G279" s="1">
        <v>2</v>
      </c>
    </row>
    <row r="280" spans="4:7">
      <c r="D280" s="1" t="s">
        <v>1051</v>
      </c>
      <c r="G280" s="1">
        <v>31</v>
      </c>
    </row>
    <row r="281" spans="4:7">
      <c r="D281" s="1" t="s">
        <v>1052</v>
      </c>
      <c r="G281" s="1">
        <v>28</v>
      </c>
    </row>
    <row r="282" spans="4:7">
      <c r="D282" s="1" t="s">
        <v>1053</v>
      </c>
      <c r="G282" s="1">
        <v>5</v>
      </c>
    </row>
    <row r="283" spans="4:7">
      <c r="D283" s="1" t="s">
        <v>1054</v>
      </c>
      <c r="G283" s="1">
        <v>3</v>
      </c>
    </row>
    <row r="284" spans="4:7">
      <c r="D284" s="1" t="s">
        <v>1055</v>
      </c>
      <c r="G284" s="1">
        <v>1</v>
      </c>
    </row>
    <row r="285" spans="4:7">
      <c r="D285" s="1" t="s">
        <v>1056</v>
      </c>
      <c r="G285" s="1">
        <v>4</v>
      </c>
    </row>
    <row r="286" spans="4:7">
      <c r="D286" s="1" t="s">
        <v>1057</v>
      </c>
      <c r="G286" s="1">
        <v>1</v>
      </c>
    </row>
    <row r="287" spans="4:7">
      <c r="D287" s="1" t="s">
        <v>1058</v>
      </c>
      <c r="G287" s="1">
        <v>2</v>
      </c>
    </row>
    <row r="288" spans="4:7">
      <c r="D288" s="1" t="s">
        <v>1059</v>
      </c>
      <c r="G288" s="1">
        <v>6</v>
      </c>
    </row>
    <row r="289" spans="4:7">
      <c r="D289" s="1" t="s">
        <v>1060</v>
      </c>
      <c r="G289" s="1">
        <v>6</v>
      </c>
    </row>
    <row r="290" spans="4:7">
      <c r="D290" s="1" t="s">
        <v>1061</v>
      </c>
      <c r="G290" s="1">
        <v>1</v>
      </c>
    </row>
    <row r="291" spans="4:7">
      <c r="D291" s="1" t="s">
        <v>1062</v>
      </c>
      <c r="G291" s="1">
        <v>3</v>
      </c>
    </row>
    <row r="292" spans="4:7">
      <c r="D292" s="1" t="s">
        <v>1063</v>
      </c>
      <c r="G292" s="1">
        <v>3</v>
      </c>
    </row>
    <row r="293" spans="4:7">
      <c r="D293" s="1" t="s">
        <v>1064</v>
      </c>
      <c r="G293" s="1">
        <v>1</v>
      </c>
    </row>
    <row r="294" spans="4:7">
      <c r="D294" s="1" t="s">
        <v>1065</v>
      </c>
      <c r="G294" s="1">
        <v>1</v>
      </c>
    </row>
    <row r="295" spans="4:7">
      <c r="D295" s="1" t="s">
        <v>1066</v>
      </c>
      <c r="G295" s="1">
        <v>1</v>
      </c>
    </row>
    <row r="296" spans="4:7">
      <c r="D296" s="1" t="s">
        <v>1067</v>
      </c>
      <c r="G296" s="1">
        <v>4</v>
      </c>
    </row>
    <row r="297" spans="4:7">
      <c r="D297" s="1" t="s">
        <v>1068</v>
      </c>
      <c r="G297" s="1">
        <v>8</v>
      </c>
    </row>
    <row r="298" spans="4:7">
      <c r="D298" s="1" t="s">
        <v>1069</v>
      </c>
      <c r="G298" s="1">
        <v>1</v>
      </c>
    </row>
    <row r="299" spans="4:7">
      <c r="D299" s="1" t="s">
        <v>1070</v>
      </c>
      <c r="G299" s="1">
        <v>1</v>
      </c>
    </row>
    <row r="300" spans="4:7">
      <c r="D300" s="1" t="s">
        <v>1071</v>
      </c>
      <c r="G300" s="1">
        <v>1</v>
      </c>
    </row>
    <row r="301" spans="4:7">
      <c r="D301" s="1" t="s">
        <v>1072</v>
      </c>
      <c r="G301" s="1">
        <v>1</v>
      </c>
    </row>
    <row r="302" spans="4:7">
      <c r="D302" s="1" t="s">
        <v>1073</v>
      </c>
      <c r="G302" s="1">
        <v>1</v>
      </c>
    </row>
    <row r="303" spans="4:7">
      <c r="D303" s="1" t="s">
        <v>1074</v>
      </c>
      <c r="G303" s="1">
        <v>5</v>
      </c>
    </row>
    <row r="310" spans="3:8">
      <c r="C310" t="s">
        <v>1102</v>
      </c>
      <c r="D310" s="1" t="s">
        <v>250</v>
      </c>
      <c r="G310" s="1">
        <v>2</v>
      </c>
    </row>
    <row r="311" spans="3:8">
      <c r="C311" t="s">
        <v>1102</v>
      </c>
      <c r="D311" s="1" t="s">
        <v>1103</v>
      </c>
      <c r="G311" s="1">
        <v>1</v>
      </c>
    </row>
    <row r="312" spans="3:8">
      <c r="C312" t="s">
        <v>1104</v>
      </c>
      <c r="D312" s="1" t="s">
        <v>1103</v>
      </c>
      <c r="G312" s="1">
        <v>1</v>
      </c>
    </row>
    <row r="313" spans="3:8" ht="15.75" thickBot="1">
      <c r="C313" t="s">
        <v>1106</v>
      </c>
      <c r="D313" s="403" t="s">
        <v>1105</v>
      </c>
      <c r="E313" s="403"/>
      <c r="F313" s="403"/>
      <c r="G313" s="1">
        <v>2</v>
      </c>
    </row>
    <row r="314" spans="3:8" ht="44.25" thickBot="1">
      <c r="C314" t="s">
        <v>1109</v>
      </c>
      <c r="D314" s="404" t="s">
        <v>1107</v>
      </c>
      <c r="E314" s="404"/>
      <c r="F314" s="404"/>
      <c r="G314" s="396" t="s">
        <v>1108</v>
      </c>
      <c r="H314" s="25">
        <v>1600</v>
      </c>
    </row>
    <row r="315" spans="3:8" ht="44.25" thickBot="1">
      <c r="C315" t="s">
        <v>1109</v>
      </c>
      <c r="D315" s="404" t="s">
        <v>1107</v>
      </c>
      <c r="E315" s="404"/>
      <c r="F315" s="404"/>
      <c r="G315" s="396" t="s">
        <v>1108</v>
      </c>
      <c r="H315" s="25">
        <v>1700</v>
      </c>
    </row>
    <row r="318" spans="3:8">
      <c r="D318" s="1" t="s">
        <v>1110</v>
      </c>
      <c r="G318" s="1">
        <v>1</v>
      </c>
    </row>
    <row r="319" spans="3:8">
      <c r="D319" s="1" t="s">
        <v>1111</v>
      </c>
      <c r="G319" s="1">
        <v>-1</v>
      </c>
    </row>
    <row r="329" spans="3:13">
      <c r="I329" s="27" t="s">
        <v>1122</v>
      </c>
      <c r="J329" s="416" t="s">
        <v>1123</v>
      </c>
      <c r="K329" s="1120"/>
    </row>
    <row r="330" spans="3:13" ht="39">
      <c r="C330" s="405"/>
      <c r="D330" s="407">
        <v>351159271538620</v>
      </c>
      <c r="E330" s="407"/>
      <c r="F330" s="407"/>
      <c r="G330" s="408" t="s">
        <v>1112</v>
      </c>
      <c r="H330" s="408" t="s">
        <v>1113</v>
      </c>
      <c r="I330" s="24">
        <v>1250</v>
      </c>
      <c r="J330" s="135">
        <v>1230</v>
      </c>
      <c r="K330" s="172"/>
      <c r="L330" s="659">
        <f>I330-J330</f>
        <v>20</v>
      </c>
      <c r="M330" s="1109"/>
    </row>
    <row r="331" spans="3:13" ht="39">
      <c r="C331" s="405"/>
      <c r="D331" s="407">
        <v>351159270835050</v>
      </c>
      <c r="E331" s="407"/>
      <c r="F331" s="407"/>
      <c r="G331" s="408" t="s">
        <v>1112</v>
      </c>
      <c r="H331" s="408" t="s">
        <v>1113</v>
      </c>
      <c r="I331" s="24">
        <v>1250</v>
      </c>
      <c r="J331" s="135">
        <v>1230</v>
      </c>
      <c r="K331" s="172"/>
      <c r="L331" s="659">
        <f t="shared" ref="L331:L339" si="1">I331-J331</f>
        <v>20</v>
      </c>
      <c r="M331" s="1109"/>
    </row>
    <row r="332" spans="3:13" ht="39">
      <c r="C332" s="405"/>
      <c r="D332" s="407">
        <v>352302613791924</v>
      </c>
      <c r="E332" s="407"/>
      <c r="F332" s="407"/>
      <c r="G332" s="408" t="s">
        <v>1114</v>
      </c>
      <c r="H332" s="408" t="s">
        <v>1113</v>
      </c>
      <c r="I332" s="24">
        <v>1250</v>
      </c>
      <c r="J332" s="135">
        <v>1230</v>
      </c>
      <c r="K332" s="172"/>
      <c r="L332" s="659">
        <f t="shared" si="1"/>
        <v>20</v>
      </c>
      <c r="M332" s="1109"/>
    </row>
    <row r="333" spans="3:13">
      <c r="L333" s="659">
        <f t="shared" si="1"/>
        <v>0</v>
      </c>
      <c r="M333" s="1109"/>
    </row>
    <row r="334" spans="3:13">
      <c r="C334" s="406"/>
      <c r="D334" s="409">
        <v>354737613393759</v>
      </c>
      <c r="E334" s="409"/>
      <c r="F334" s="409"/>
      <c r="G334" s="410" t="s">
        <v>1115</v>
      </c>
      <c r="H334" s="410" t="s">
        <v>1116</v>
      </c>
      <c r="I334" s="412">
        <v>2700</v>
      </c>
      <c r="J334" s="411">
        <v>2580</v>
      </c>
      <c r="K334" s="1121"/>
      <c r="L334" s="659">
        <f t="shared" si="1"/>
        <v>120</v>
      </c>
      <c r="M334" s="1109"/>
    </row>
    <row r="335" spans="3:13">
      <c r="C335" s="406"/>
      <c r="D335" s="409">
        <v>354423239121359</v>
      </c>
      <c r="E335" s="409"/>
      <c r="F335" s="409"/>
      <c r="G335" s="410" t="s">
        <v>1117</v>
      </c>
      <c r="H335" s="410" t="s">
        <v>1108</v>
      </c>
      <c r="I335" s="18">
        <v>2600</v>
      </c>
      <c r="J335" s="413">
        <v>2500</v>
      </c>
      <c r="K335" s="1122"/>
      <c r="L335" s="659">
        <f t="shared" si="1"/>
        <v>100</v>
      </c>
      <c r="M335" s="1109"/>
    </row>
    <row r="336" spans="3:13">
      <c r="L336" s="659">
        <f t="shared" si="1"/>
        <v>0</v>
      </c>
      <c r="M336" s="1109"/>
    </row>
    <row r="337" spans="3:13">
      <c r="D337" s="414">
        <v>351895498493533</v>
      </c>
      <c r="E337" s="414"/>
      <c r="F337" s="414"/>
      <c r="G337" s="18" t="s">
        <v>1118</v>
      </c>
      <c r="H337" s="18" t="s">
        <v>1113</v>
      </c>
      <c r="I337" s="24">
        <v>2200</v>
      </c>
      <c r="J337" s="18">
        <v>2070</v>
      </c>
      <c r="K337" s="172"/>
      <c r="L337" s="659">
        <f t="shared" si="1"/>
        <v>130</v>
      </c>
      <c r="M337" s="1109"/>
    </row>
    <row r="338" spans="3:13">
      <c r="D338" s="415">
        <v>350328825338909</v>
      </c>
      <c r="E338" s="415"/>
      <c r="F338" s="415"/>
      <c r="G338" s="18" t="s">
        <v>1119</v>
      </c>
      <c r="H338" s="18" t="s">
        <v>1113</v>
      </c>
      <c r="I338" s="24">
        <v>2100</v>
      </c>
      <c r="J338" s="18">
        <v>2000</v>
      </c>
      <c r="K338" s="172"/>
      <c r="L338" s="659">
        <f t="shared" si="1"/>
        <v>100</v>
      </c>
      <c r="M338" s="1109"/>
    </row>
    <row r="339" spans="3:13">
      <c r="D339" s="414">
        <v>356706680890482</v>
      </c>
      <c r="E339" s="414"/>
      <c r="F339" s="414"/>
      <c r="G339" s="18" t="s">
        <v>1120</v>
      </c>
      <c r="H339" s="18" t="s">
        <v>1121</v>
      </c>
      <c r="I339" s="24">
        <v>2410</v>
      </c>
      <c r="J339" s="18">
        <v>2350</v>
      </c>
      <c r="K339" s="172"/>
      <c r="L339" s="659">
        <f t="shared" si="1"/>
        <v>60</v>
      </c>
      <c r="M339" s="1109"/>
    </row>
    <row r="342" spans="3:13">
      <c r="J342" s="129" t="s">
        <v>1124</v>
      </c>
      <c r="L342" s="656">
        <f>SUM(L330:L341)</f>
        <v>570</v>
      </c>
    </row>
    <row r="347" spans="3:13">
      <c r="C347" s="107">
        <v>45862</v>
      </c>
      <c r="D347" s="1">
        <v>660000</v>
      </c>
      <c r="G347" s="1" t="s">
        <v>1125</v>
      </c>
    </row>
    <row r="348" spans="3:13">
      <c r="C348" s="107">
        <v>45867</v>
      </c>
      <c r="D348" s="1">
        <v>100000</v>
      </c>
      <c r="G348" s="1" t="s">
        <v>1126</v>
      </c>
    </row>
    <row r="349" spans="3:13">
      <c r="C349" s="107">
        <v>45867</v>
      </c>
      <c r="D349" s="1">
        <v>238000</v>
      </c>
      <c r="G349" s="1" t="s">
        <v>1126</v>
      </c>
    </row>
    <row r="350" spans="3:13">
      <c r="C350" s="107">
        <v>45868</v>
      </c>
      <c r="D350" s="1">
        <v>94000</v>
      </c>
      <c r="G350" s="1" t="s">
        <v>1126</v>
      </c>
    </row>
    <row r="351" spans="3:13">
      <c r="C351" s="107">
        <v>45868</v>
      </c>
      <c r="D351" s="1">
        <v>200000</v>
      </c>
      <c r="G351" s="1" t="s">
        <v>1127</v>
      </c>
    </row>
    <row r="352" spans="3:13">
      <c r="C352" s="107">
        <v>45869</v>
      </c>
      <c r="D352" s="1">
        <v>237500</v>
      </c>
      <c r="G352" s="1" t="s">
        <v>1128</v>
      </c>
    </row>
    <row r="353" spans="3:7">
      <c r="C353" s="107">
        <v>45870</v>
      </c>
      <c r="D353" s="1">
        <v>214000</v>
      </c>
      <c r="G353" s="1" t="s">
        <v>1127</v>
      </c>
    </row>
    <row r="354" spans="3:7">
      <c r="C354" s="107">
        <v>45870</v>
      </c>
      <c r="D354" s="1">
        <v>100000</v>
      </c>
      <c r="G354" s="1" t="s">
        <v>1126</v>
      </c>
    </row>
    <row r="355" spans="3:7">
      <c r="C355" s="107">
        <v>45882</v>
      </c>
      <c r="D355" s="1">
        <v>300000</v>
      </c>
      <c r="G355" s="1" t="s">
        <v>1126</v>
      </c>
    </row>
    <row r="356" spans="3:7">
      <c r="C356" s="107">
        <v>45882</v>
      </c>
      <c r="D356" s="1">
        <v>300000</v>
      </c>
      <c r="G356" s="1" t="s">
        <v>1129</v>
      </c>
    </row>
    <row r="357" spans="3:7">
      <c r="C357" s="107">
        <v>45883</v>
      </c>
      <c r="D357" s="1">
        <v>500000</v>
      </c>
      <c r="G357" s="1" t="s">
        <v>1126</v>
      </c>
    </row>
    <row r="358" spans="3:7">
      <c r="C358" s="107">
        <v>45883</v>
      </c>
      <c r="D358" s="1">
        <v>250000</v>
      </c>
      <c r="G358" s="1" t="s">
        <v>1126</v>
      </c>
    </row>
    <row r="359" spans="3:7">
      <c r="C359" s="107">
        <v>45884</v>
      </c>
      <c r="D359" s="1">
        <v>500000</v>
      </c>
      <c r="G359" s="1" t="s">
        <v>1126</v>
      </c>
    </row>
    <row r="360" spans="3:7">
      <c r="C360" s="107">
        <v>45884</v>
      </c>
      <c r="D360" s="1">
        <v>250000</v>
      </c>
      <c r="G360" s="1" t="s">
        <v>1126</v>
      </c>
    </row>
    <row r="361" spans="3:7">
      <c r="C361" s="107">
        <v>45884</v>
      </c>
      <c r="D361" s="1">
        <v>250000</v>
      </c>
      <c r="G361" s="1" t="s">
        <v>1126</v>
      </c>
    </row>
    <row r="362" spans="3:7">
      <c r="C362" s="107">
        <v>45885</v>
      </c>
      <c r="D362" s="1">
        <v>500000</v>
      </c>
      <c r="G362" s="1" t="s">
        <v>1126</v>
      </c>
    </row>
    <row r="363" spans="3:7">
      <c r="C363" s="107">
        <v>45887</v>
      </c>
      <c r="D363" s="1">
        <v>500000</v>
      </c>
      <c r="G363" s="1" t="s">
        <v>1126</v>
      </c>
    </row>
    <row r="367" spans="3:7">
      <c r="D367" s="1" t="s">
        <v>1174</v>
      </c>
      <c r="G367" s="1" t="s">
        <v>1175</v>
      </c>
    </row>
    <row r="369" spans="3:7">
      <c r="C369" s="107">
        <v>45828</v>
      </c>
      <c r="D369" s="1" t="s">
        <v>1192</v>
      </c>
      <c r="G369" s="1">
        <v>1419.71</v>
      </c>
    </row>
    <row r="370" spans="3:7">
      <c r="C370" s="107">
        <v>45831</v>
      </c>
      <c r="D370" s="443" t="s">
        <v>1193</v>
      </c>
      <c r="E370" s="443"/>
      <c r="F370" s="443"/>
      <c r="G370" s="1">
        <v>1930.95</v>
      </c>
    </row>
    <row r="371" spans="3:7">
      <c r="C371" s="107">
        <v>45832</v>
      </c>
      <c r="D371" s="1" t="s">
        <v>1194</v>
      </c>
      <c r="G371" s="1">
        <v>1864.75</v>
      </c>
    </row>
    <row r="372" spans="3:7">
      <c r="C372" s="107">
        <v>45845</v>
      </c>
      <c r="D372" s="1" t="s">
        <v>1195</v>
      </c>
      <c r="G372" s="1">
        <v>1950</v>
      </c>
    </row>
    <row r="373" spans="3:7">
      <c r="C373" s="107">
        <v>45841</v>
      </c>
      <c r="D373" s="1" t="s">
        <v>1196</v>
      </c>
      <c r="G373" s="1">
        <v>143.44</v>
      </c>
    </row>
    <row r="374" spans="3:7">
      <c r="C374" s="1"/>
      <c r="D374" s="1" t="s">
        <v>1197</v>
      </c>
      <c r="G374" s="1">
        <v>1839</v>
      </c>
    </row>
    <row r="375" spans="3:7">
      <c r="C375" s="1"/>
      <c r="D375" s="1" t="s">
        <v>1198</v>
      </c>
      <c r="G375" s="1">
        <v>1839</v>
      </c>
    </row>
    <row r="376" spans="3:7">
      <c r="C376" s="1"/>
      <c r="D376" s="1" t="s">
        <v>1199</v>
      </c>
      <c r="G376" s="1">
        <v>1287.3</v>
      </c>
    </row>
    <row r="377" spans="3:7">
      <c r="C377" s="1"/>
      <c r="D377" s="1" t="s">
        <v>1195</v>
      </c>
      <c r="G377" s="1">
        <v>1950</v>
      </c>
    </row>
    <row r="378" spans="3:7">
      <c r="C378" s="1"/>
      <c r="D378" s="1" t="s">
        <v>1200</v>
      </c>
      <c r="G378" s="1">
        <v>12020</v>
      </c>
    </row>
    <row r="379" spans="3:7">
      <c r="C379" s="107">
        <v>45889</v>
      </c>
      <c r="D379" s="1" t="s">
        <v>1201</v>
      </c>
      <c r="G379" s="1">
        <v>23218.54</v>
      </c>
    </row>
    <row r="385" spans="3:9">
      <c r="C385" s="499">
        <v>44044</v>
      </c>
      <c r="D385" t="s">
        <v>1325</v>
      </c>
      <c r="E385"/>
      <c r="F385"/>
      <c r="G385" s="1">
        <v>5035</v>
      </c>
    </row>
    <row r="386" spans="3:9">
      <c r="C386" s="499">
        <v>44774</v>
      </c>
      <c r="D386" t="s">
        <v>1325</v>
      </c>
      <c r="E386"/>
      <c r="F386"/>
      <c r="G386" s="1">
        <v>15035</v>
      </c>
    </row>
    <row r="387" spans="3:9">
      <c r="C387" s="499">
        <v>11536</v>
      </c>
      <c r="D387" t="s">
        <v>1325</v>
      </c>
      <c r="E387"/>
      <c r="F387"/>
      <c r="G387" s="1">
        <v>30035</v>
      </c>
    </row>
    <row r="391" spans="3:9">
      <c r="G391" s="398" t="s">
        <v>1333</v>
      </c>
      <c r="H391" s="398" t="s">
        <v>1331</v>
      </c>
      <c r="I391" s="398" t="s">
        <v>1332</v>
      </c>
    </row>
    <row r="392" spans="3:9">
      <c r="G392" s="1" t="s">
        <v>1328</v>
      </c>
      <c r="H392">
        <v>3650</v>
      </c>
      <c r="I392">
        <v>3600</v>
      </c>
    </row>
    <row r="393" spans="3:9">
      <c r="G393" s="1" t="s">
        <v>1329</v>
      </c>
      <c r="H393">
        <v>900</v>
      </c>
      <c r="I393">
        <v>800</v>
      </c>
    </row>
    <row r="394" spans="3:9">
      <c r="G394" s="1" t="s">
        <v>1330</v>
      </c>
      <c r="H394">
        <v>3300</v>
      </c>
      <c r="I394">
        <v>3250</v>
      </c>
    </row>
    <row r="395" spans="3:9">
      <c r="G395" s="1" t="s">
        <v>1309</v>
      </c>
      <c r="H395">
        <v>1650</v>
      </c>
      <c r="I395">
        <v>1450</v>
      </c>
    </row>
    <row r="403" spans="7:11">
      <c r="G403" s="19" t="s">
        <v>1339</v>
      </c>
      <c r="H403" s="18">
        <v>3750</v>
      </c>
      <c r="I403" s="18">
        <v>3800</v>
      </c>
      <c r="J403" s="501">
        <v>50</v>
      </c>
      <c r="K403" s="1117"/>
    </row>
    <row r="404" spans="7:11">
      <c r="G404" s="19" t="s">
        <v>1337</v>
      </c>
      <c r="H404" s="18">
        <v>1050</v>
      </c>
      <c r="I404" s="18">
        <v>1500</v>
      </c>
      <c r="J404" s="501">
        <v>450</v>
      </c>
      <c r="K404" s="1117"/>
    </row>
    <row r="405" spans="7:11">
      <c r="G405" s="19" t="s">
        <v>1338</v>
      </c>
      <c r="H405" s="18">
        <v>1450</v>
      </c>
      <c r="I405" s="18">
        <v>1500</v>
      </c>
      <c r="J405" s="501">
        <v>50</v>
      </c>
      <c r="K405" s="1117"/>
    </row>
    <row r="406" spans="7:11">
      <c r="G406" s="19" t="s">
        <v>1329</v>
      </c>
      <c r="H406" s="18">
        <v>770</v>
      </c>
      <c r="I406" s="18">
        <v>830</v>
      </c>
      <c r="J406" s="501">
        <v>60</v>
      </c>
      <c r="K406" s="1117"/>
    </row>
    <row r="408" spans="7:11">
      <c r="J408" s="500"/>
    </row>
    <row r="409" spans="7:11">
      <c r="J409" s="500"/>
    </row>
    <row r="410" spans="7:11">
      <c r="J410" s="500"/>
    </row>
    <row r="411" spans="7:11">
      <c r="J411" s="500"/>
    </row>
    <row r="412" spans="7:11">
      <c r="J412" s="500"/>
    </row>
    <row r="413" spans="7:11">
      <c r="J413" s="500"/>
    </row>
    <row r="414" spans="7:11">
      <c r="J414" s="500"/>
    </row>
    <row r="415" spans="7:11">
      <c r="G415" s="1" t="s">
        <v>1343</v>
      </c>
      <c r="J415" s="500"/>
    </row>
    <row r="416" spans="7:11">
      <c r="G416" s="1" t="e" cm="1">
        <f t="array" ref="G416">+D464D41D416:G577</f>
        <v>#NAME?</v>
      </c>
      <c r="J416" s="500"/>
    </row>
    <row r="417" spans="10:10">
      <c r="J417" s="500"/>
    </row>
    <row r="418" spans="10:10">
      <c r="J418" s="500"/>
    </row>
    <row r="419" spans="10:10">
      <c r="J419" s="500"/>
    </row>
    <row r="420" spans="10:10">
      <c r="J420" s="500"/>
    </row>
    <row r="539" spans="4:7">
      <c r="D539" s="1" t="s">
        <v>1364</v>
      </c>
    </row>
    <row r="540" spans="4:7">
      <c r="D540" s="398" t="s">
        <v>1352</v>
      </c>
      <c r="E540" s="398"/>
      <c r="F540" s="398" t="s">
        <v>1365</v>
      </c>
      <c r="G540" s="398" t="s">
        <v>1377</v>
      </c>
    </row>
    <row r="541" spans="4:7">
      <c r="D541" s="1" t="s">
        <v>1344</v>
      </c>
      <c r="F541" t="s">
        <v>1356</v>
      </c>
      <c r="G541" t="s">
        <v>1361</v>
      </c>
    </row>
    <row r="542" spans="4:7">
      <c r="D542" s="1" t="s">
        <v>1345</v>
      </c>
      <c r="F542" t="s">
        <v>1357</v>
      </c>
      <c r="G542" t="s">
        <v>1362</v>
      </c>
    </row>
    <row r="543" spans="4:7">
      <c r="D543" s="1" t="s">
        <v>1346</v>
      </c>
      <c r="F543" t="s">
        <v>1358</v>
      </c>
      <c r="G543" s="1" t="s">
        <v>1366</v>
      </c>
    </row>
    <row r="544" spans="4:7">
      <c r="D544" s="1" t="s">
        <v>1347</v>
      </c>
      <c r="F544" t="s">
        <v>1359</v>
      </c>
      <c r="G544" s="1" t="s">
        <v>1367</v>
      </c>
    </row>
    <row r="545" spans="4:7">
      <c r="D545" s="1" t="s">
        <v>1348</v>
      </c>
      <c r="F545" t="s">
        <v>1360</v>
      </c>
      <c r="G545" s="1" t="s">
        <v>1375</v>
      </c>
    </row>
    <row r="546" spans="4:7">
      <c r="D546" s="1" t="s">
        <v>1349</v>
      </c>
      <c r="F546" t="s">
        <v>1363</v>
      </c>
      <c r="G546" s="1" t="s">
        <v>1376</v>
      </c>
    </row>
    <row r="547" spans="4:7">
      <c r="D547" s="1" t="s">
        <v>1350</v>
      </c>
      <c r="F547" s="1" t="s">
        <v>1378</v>
      </c>
    </row>
    <row r="548" spans="4:7">
      <c r="D548" s="1" t="s">
        <v>1351</v>
      </c>
    </row>
    <row r="549" spans="4:7">
      <c r="D549" s="541"/>
      <c r="F549" s="541"/>
      <c r="G549" s="541"/>
    </row>
    <row r="550" spans="4:7" ht="15.75">
      <c r="D550" s="542" t="s">
        <v>1364</v>
      </c>
      <c r="E550" s="542"/>
    </row>
    <row r="551" spans="4:7">
      <c r="D551" s="1" t="s">
        <v>1353</v>
      </c>
    </row>
    <row r="552" spans="4:7">
      <c r="D552" s="1" t="s">
        <v>1354</v>
      </c>
    </row>
    <row r="553" spans="4:7">
      <c r="D553" s="1" t="s">
        <v>1355</v>
      </c>
    </row>
    <row r="554" spans="4:7">
      <c r="D554" s="1" t="s">
        <v>1833</v>
      </c>
    </row>
    <row r="555" spans="4:7">
      <c r="D555" s="1" t="s">
        <v>1832</v>
      </c>
    </row>
    <row r="556" spans="4:7">
      <c r="D556" s="1" t="s">
        <v>1834</v>
      </c>
    </row>
    <row r="562" spans="3:7">
      <c r="C562" s="540" t="s">
        <v>1515</v>
      </c>
      <c r="D562" s="540" t="s">
        <v>1512</v>
      </c>
      <c r="E562" s="540"/>
      <c r="F562" s="540" t="s">
        <v>1514</v>
      </c>
      <c r="G562" s="540" t="s">
        <v>1513</v>
      </c>
    </row>
    <row r="563" spans="3:7">
      <c r="C563" s="536" t="s">
        <v>76</v>
      </c>
      <c r="D563" s="539">
        <v>61</v>
      </c>
      <c r="E563" s="539"/>
      <c r="F563" s="19">
        <v>5</v>
      </c>
      <c r="G563" s="19"/>
    </row>
    <row r="564" spans="3:7">
      <c r="C564" s="536" t="s">
        <v>84</v>
      </c>
      <c r="D564" s="19">
        <v>1</v>
      </c>
      <c r="E564" s="19"/>
      <c r="F564" s="19"/>
      <c r="G564" s="19"/>
    </row>
    <row r="565" spans="3:7">
      <c r="C565" s="537" t="s">
        <v>120</v>
      </c>
      <c r="D565" s="19"/>
      <c r="E565" s="19"/>
      <c r="F565" s="19">
        <v>10</v>
      </c>
      <c r="G565" s="19"/>
    </row>
    <row r="566" spans="3:7">
      <c r="C566" s="518" t="s">
        <v>410</v>
      </c>
      <c r="D566" s="19">
        <v>1</v>
      </c>
      <c r="E566" s="19"/>
      <c r="F566" s="19"/>
      <c r="G566" s="19"/>
    </row>
    <row r="567" spans="3:7">
      <c r="C567" s="538" t="s">
        <v>266</v>
      </c>
      <c r="D567" s="19">
        <v>1</v>
      </c>
      <c r="E567" s="19"/>
      <c r="F567" s="19"/>
      <c r="G567" s="19"/>
    </row>
    <row r="568" spans="3:7">
      <c r="C568" s="538" t="s">
        <v>366</v>
      </c>
      <c r="D568" s="19">
        <v>1</v>
      </c>
      <c r="E568" s="19"/>
      <c r="F568" s="19"/>
      <c r="G568" s="19"/>
    </row>
    <row r="569" spans="3:7">
      <c r="C569" s="538" t="s">
        <v>337</v>
      </c>
      <c r="D569" s="19">
        <v>1</v>
      </c>
      <c r="E569" s="19"/>
      <c r="F569" s="19"/>
      <c r="G569" s="19"/>
    </row>
    <row r="570" spans="3:7">
      <c r="C570" s="518" t="s">
        <v>467</v>
      </c>
      <c r="D570" s="19"/>
      <c r="E570" s="19"/>
      <c r="F570" s="19">
        <v>20</v>
      </c>
      <c r="G570" s="19"/>
    </row>
    <row r="571" spans="3:7">
      <c r="C571" s="536" t="s">
        <v>671</v>
      </c>
      <c r="D571" s="19">
        <v>5</v>
      </c>
      <c r="E571" s="19"/>
      <c r="F571" s="19"/>
      <c r="G571" s="19">
        <v>35</v>
      </c>
    </row>
    <row r="572" spans="3:7">
      <c r="C572" s="536" t="s">
        <v>789</v>
      </c>
      <c r="D572" s="19">
        <v>1</v>
      </c>
      <c r="E572" s="19"/>
      <c r="F572" s="19"/>
      <c r="G572" s="19"/>
    </row>
    <row r="573" spans="3:7">
      <c r="C573" s="536" t="s">
        <v>672</v>
      </c>
      <c r="D573" s="19">
        <v>5</v>
      </c>
      <c r="E573" s="19"/>
      <c r="F573" s="19">
        <v>1</v>
      </c>
      <c r="G573" s="19"/>
    </row>
    <row r="574" spans="3:7">
      <c r="C574" s="537" t="s">
        <v>839</v>
      </c>
      <c r="D574" s="19">
        <v>17</v>
      </c>
      <c r="E574" s="19"/>
      <c r="F574" s="19"/>
      <c r="G574" s="19"/>
    </row>
    <row r="575" spans="3:7">
      <c r="C575" s="536" t="s">
        <v>882</v>
      </c>
      <c r="D575" s="19">
        <v>5</v>
      </c>
      <c r="E575" s="19"/>
      <c r="F575" s="19"/>
      <c r="G575" s="19"/>
    </row>
    <row r="576" spans="3:7">
      <c r="C576" s="537" t="s">
        <v>1223</v>
      </c>
      <c r="D576" s="19">
        <v>5</v>
      </c>
      <c r="E576" s="19"/>
      <c r="F576" s="19"/>
      <c r="G576" s="19"/>
    </row>
    <row r="577" spans="2:7">
      <c r="C577" s="516" t="s">
        <v>1270</v>
      </c>
      <c r="D577" s="19">
        <v>3</v>
      </c>
      <c r="E577" s="19"/>
      <c r="F577" s="19"/>
      <c r="G577" s="19"/>
    </row>
    <row r="578" spans="2:7">
      <c r="C578" s="516" t="s">
        <v>1289</v>
      </c>
      <c r="D578" s="19">
        <v>12</v>
      </c>
      <c r="E578" s="19"/>
      <c r="F578" s="19">
        <v>10</v>
      </c>
      <c r="G578" s="19"/>
    </row>
    <row r="579" spans="2:7">
      <c r="C579" s="516" t="s">
        <v>1246</v>
      </c>
      <c r="D579" s="19"/>
      <c r="E579" s="19"/>
      <c r="F579" s="19">
        <v>6</v>
      </c>
      <c r="G579" s="19"/>
    </row>
    <row r="580" spans="2:7">
      <c r="C580" s="516" t="s">
        <v>1249</v>
      </c>
      <c r="D580" s="19"/>
      <c r="E580" s="19"/>
      <c r="F580" s="19">
        <v>2</v>
      </c>
      <c r="G580" s="19"/>
    </row>
    <row r="581" spans="2:7">
      <c r="C581" s="516" t="s">
        <v>1229</v>
      </c>
      <c r="D581" s="19">
        <v>1</v>
      </c>
      <c r="E581" s="19"/>
      <c r="F581" s="19"/>
      <c r="G581" s="19"/>
    </row>
    <row r="582" spans="2:7">
      <c r="C582" s="516" t="s">
        <v>1230</v>
      </c>
      <c r="D582" s="19">
        <v>2</v>
      </c>
      <c r="E582" s="19"/>
      <c r="F582" s="19"/>
      <c r="G582" s="19"/>
    </row>
    <row r="584" spans="2:7">
      <c r="B584" s="573" t="s">
        <v>1612</v>
      </c>
      <c r="C584" s="573" t="s">
        <v>1608</v>
      </c>
      <c r="D584" s="573" t="s">
        <v>3</v>
      </c>
    </row>
    <row r="585" spans="2:7">
      <c r="B585" s="19" t="s">
        <v>1570</v>
      </c>
      <c r="C585" s="80" t="s">
        <v>1565</v>
      </c>
      <c r="D585" s="19">
        <v>1</v>
      </c>
    </row>
    <row r="586" spans="2:7">
      <c r="B586" s="19" t="s">
        <v>1484</v>
      </c>
      <c r="C586" s="80" t="s">
        <v>136</v>
      </c>
      <c r="D586" s="19">
        <v>1</v>
      </c>
      <c r="E586" s="575">
        <v>95</v>
      </c>
    </row>
    <row r="587" spans="2:7">
      <c r="B587" s="19" t="s">
        <v>1483</v>
      </c>
      <c r="C587" s="442" t="s">
        <v>919</v>
      </c>
      <c r="D587" s="19">
        <v>1</v>
      </c>
      <c r="E587" s="576">
        <v>1030</v>
      </c>
      <c r="F587" s="567"/>
      <c r="G587" s="567"/>
    </row>
    <row r="588" spans="2:7">
      <c r="B588" s="19" t="s">
        <v>1482</v>
      </c>
      <c r="C588" s="18" t="s">
        <v>1185</v>
      </c>
      <c r="D588" s="19">
        <v>1</v>
      </c>
      <c r="E588" s="576">
        <v>140</v>
      </c>
      <c r="F588" s="567"/>
      <c r="G588" s="567"/>
    </row>
    <row r="589" spans="2:7">
      <c r="B589" s="19" t="s">
        <v>1518</v>
      </c>
      <c r="C589" s="18" t="s">
        <v>1146</v>
      </c>
      <c r="D589" s="19">
        <v>2</v>
      </c>
      <c r="E589" s="567"/>
      <c r="F589" s="567"/>
      <c r="G589" s="567"/>
    </row>
    <row r="590" spans="2:7">
      <c r="B590" s="573" t="s">
        <v>1612</v>
      </c>
      <c r="C590" s="573" t="s">
        <v>1609</v>
      </c>
      <c r="D590" s="573" t="s">
        <v>3</v>
      </c>
      <c r="E590" s="567"/>
      <c r="F590" s="567"/>
      <c r="G590" s="567"/>
    </row>
    <row r="591" spans="2:7">
      <c r="B591" s="19" t="s">
        <v>1487</v>
      </c>
      <c r="C591" s="444" t="s">
        <v>1607</v>
      </c>
      <c r="D591" s="19">
        <v>1</v>
      </c>
      <c r="E591" s="574">
        <v>1520</v>
      </c>
    </row>
    <row r="597" spans="2:4">
      <c r="B597" s="19" t="s">
        <v>1570</v>
      </c>
      <c r="C597" s="80" t="s">
        <v>1560</v>
      </c>
      <c r="D597" s="19">
        <v>1</v>
      </c>
    </row>
    <row r="598" spans="2:4">
      <c r="B598" s="19" t="s">
        <v>1482</v>
      </c>
      <c r="C598" s="80" t="s">
        <v>1560</v>
      </c>
      <c r="D598" s="19">
        <v>1</v>
      </c>
    </row>
    <row r="599" spans="2:4">
      <c r="B599" s="19" t="s">
        <v>1483</v>
      </c>
      <c r="C599" s="18" t="s">
        <v>807</v>
      </c>
      <c r="D599" s="19">
        <v>2</v>
      </c>
    </row>
    <row r="600" spans="2:4">
      <c r="B600" s="19" t="s">
        <v>1482</v>
      </c>
      <c r="C600" s="18" t="s">
        <v>807</v>
      </c>
      <c r="D600" s="19">
        <v>3</v>
      </c>
    </row>
    <row r="601" spans="2:4">
      <c r="B601" s="19" t="s">
        <v>1482</v>
      </c>
      <c r="C601" s="80" t="s">
        <v>154</v>
      </c>
      <c r="D601" s="19">
        <v>5</v>
      </c>
    </row>
    <row r="602" spans="2:4">
      <c r="B602" s="19" t="s">
        <v>1610</v>
      </c>
      <c r="C602" s="80" t="s">
        <v>154</v>
      </c>
      <c r="D602" s="19">
        <v>5</v>
      </c>
    </row>
    <row r="603" spans="2:4">
      <c r="B603" s="19" t="s">
        <v>1570</v>
      </c>
      <c r="C603" s="80" t="s">
        <v>1566</v>
      </c>
      <c r="D603" s="19">
        <v>1</v>
      </c>
    </row>
    <row r="607" spans="2:4" ht="15.75">
      <c r="C607" s="587" t="s">
        <v>1704</v>
      </c>
      <c r="D607" s="587" t="s">
        <v>226</v>
      </c>
    </row>
    <row r="608" spans="2:4">
      <c r="C608" s="18" t="s">
        <v>1697</v>
      </c>
      <c r="D608" s="19">
        <v>1</v>
      </c>
    </row>
    <row r="609" spans="3:6">
      <c r="C609" s="18" t="s">
        <v>1698</v>
      </c>
      <c r="D609" s="19">
        <v>1</v>
      </c>
    </row>
    <row r="610" spans="3:6">
      <c r="C610" s="18" t="s">
        <v>1699</v>
      </c>
      <c r="D610" s="19">
        <v>1</v>
      </c>
    </row>
    <row r="611" spans="3:6">
      <c r="C611" s="18" t="s">
        <v>1623</v>
      </c>
      <c r="D611" s="19">
        <v>1</v>
      </c>
    </row>
    <row r="612" spans="3:6">
      <c r="C612" s="18" t="s">
        <v>1624</v>
      </c>
      <c r="D612" s="19">
        <v>2</v>
      </c>
    </row>
    <row r="613" spans="3:6">
      <c r="C613" s="18" t="s">
        <v>1700</v>
      </c>
      <c r="D613" s="19">
        <v>4</v>
      </c>
    </row>
    <row r="614" spans="3:6">
      <c r="C614" s="18" t="s">
        <v>1701</v>
      </c>
      <c r="D614" s="19">
        <v>2</v>
      </c>
    </row>
    <row r="615" spans="3:6">
      <c r="C615" s="18" t="s">
        <v>1702</v>
      </c>
      <c r="D615" s="19">
        <v>4</v>
      </c>
    </row>
    <row r="616" spans="3:6">
      <c r="C616" s="18" t="s">
        <v>1546</v>
      </c>
      <c r="D616" s="19">
        <v>2</v>
      </c>
    </row>
    <row r="617" spans="3:6">
      <c r="C617" s="18" t="s">
        <v>920</v>
      </c>
      <c r="D617" s="19">
        <v>2</v>
      </c>
    </row>
    <row r="618" spans="3:6">
      <c r="C618" s="18" t="s">
        <v>1703</v>
      </c>
      <c r="D618" s="19">
        <v>1</v>
      </c>
    </row>
    <row r="620" spans="3:6">
      <c r="C620" s="110"/>
      <c r="D620" s="127" t="s">
        <v>1742</v>
      </c>
      <c r="E620" s="127" t="s">
        <v>1744</v>
      </c>
      <c r="F620" s="127" t="s">
        <v>1745</v>
      </c>
    </row>
    <row r="621" spans="3:6">
      <c r="C621" s="110" t="s">
        <v>1741</v>
      </c>
      <c r="D621" s="127">
        <v>811473</v>
      </c>
      <c r="E621" s="127" t="s">
        <v>1743</v>
      </c>
      <c r="F621" s="127" t="s">
        <v>1746</v>
      </c>
    </row>
    <row r="622" spans="3:6">
      <c r="C622" s="110"/>
      <c r="D622" s="127"/>
      <c r="E622" s="127">
        <v>3880</v>
      </c>
      <c r="F622" s="127">
        <v>4400</v>
      </c>
    </row>
    <row r="627" spans="2:19">
      <c r="B627" s="612" t="s">
        <v>2089</v>
      </c>
      <c r="C627" s="612" t="s">
        <v>2086</v>
      </c>
      <c r="D627" s="614" t="s">
        <v>2085</v>
      </c>
      <c r="E627" s="614" t="s">
        <v>2087</v>
      </c>
      <c r="F627" s="614" t="s">
        <v>2083</v>
      </c>
      <c r="G627" s="614" t="s">
        <v>2088</v>
      </c>
    </row>
    <row r="628" spans="2:19">
      <c r="B628" s="612" t="s">
        <v>2033</v>
      </c>
      <c r="C628" s="630" t="s">
        <v>2019</v>
      </c>
      <c r="D628" s="638" t="s">
        <v>2081</v>
      </c>
      <c r="E628" s="614">
        <v>4673.5</v>
      </c>
      <c r="F628" s="614" t="s">
        <v>2084</v>
      </c>
      <c r="G628" s="614"/>
    </row>
    <row r="629" spans="2:19">
      <c r="B629" s="615" t="s">
        <v>2012</v>
      </c>
      <c r="C629" s="639" t="s">
        <v>1992</v>
      </c>
      <c r="D629" s="640" t="s">
        <v>2082</v>
      </c>
      <c r="E629" s="174">
        <v>4673.5</v>
      </c>
      <c r="F629" s="174">
        <v>4050</v>
      </c>
      <c r="G629" s="174">
        <f>F629-E629</f>
        <v>-623.5</v>
      </c>
    </row>
    <row r="638" spans="2:19">
      <c r="H638" s="101" t="s">
        <v>2096</v>
      </c>
      <c r="I638" s="101" t="s">
        <v>2097</v>
      </c>
      <c r="J638" s="641" t="s">
        <v>3</v>
      </c>
      <c r="K638" s="1123"/>
      <c r="L638" s="660" t="s">
        <v>2098</v>
      </c>
      <c r="M638" s="660"/>
      <c r="N638" s="101" t="s">
        <v>2099</v>
      </c>
      <c r="O638" s="101"/>
      <c r="P638" s="733"/>
      <c r="Q638" s="733"/>
      <c r="R638" s="101"/>
      <c r="S638" s="101" t="s">
        <v>2100</v>
      </c>
    </row>
    <row r="639" spans="2:19">
      <c r="H639" s="614">
        <v>1</v>
      </c>
      <c r="I639" s="612" t="s">
        <v>2101</v>
      </c>
      <c r="J639" s="414">
        <v>6</v>
      </c>
      <c r="K639" s="1124"/>
      <c r="L639" s="543">
        <v>600</v>
      </c>
      <c r="M639" s="543"/>
      <c r="N639" s="614">
        <v>650</v>
      </c>
      <c r="O639" s="614"/>
      <c r="P639" s="735"/>
      <c r="Q639" s="735"/>
      <c r="R639" s="614"/>
      <c r="S639" s="614"/>
    </row>
    <row r="640" spans="2:19">
      <c r="H640" s="614">
        <v>2</v>
      </c>
      <c r="I640" s="612" t="s">
        <v>2102</v>
      </c>
      <c r="J640" s="414">
        <v>1</v>
      </c>
      <c r="K640" s="1124"/>
      <c r="L640" s="543">
        <v>710</v>
      </c>
      <c r="M640" s="543"/>
      <c r="N640" s="614">
        <v>750</v>
      </c>
      <c r="O640" s="614"/>
      <c r="P640" s="735"/>
      <c r="Q640" s="735"/>
      <c r="R640" s="614"/>
      <c r="S640" s="614">
        <v>740</v>
      </c>
    </row>
    <row r="641" spans="8:19">
      <c r="H641" s="614">
        <v>3</v>
      </c>
      <c r="I641" s="612" t="s">
        <v>2103</v>
      </c>
      <c r="J641" s="414">
        <v>1</v>
      </c>
      <c r="K641" s="1124"/>
      <c r="L641" s="543">
        <v>900</v>
      </c>
      <c r="M641" s="543"/>
      <c r="N641" s="614">
        <v>950</v>
      </c>
      <c r="O641" s="614"/>
      <c r="P641" s="735"/>
      <c r="Q641" s="735"/>
      <c r="R641" s="614"/>
      <c r="S641" s="614">
        <v>925</v>
      </c>
    </row>
    <row r="642" spans="8:19">
      <c r="H642" s="614">
        <v>4</v>
      </c>
      <c r="I642" s="612" t="s">
        <v>2104</v>
      </c>
      <c r="J642" s="414">
        <v>2</v>
      </c>
      <c r="K642" s="1124"/>
      <c r="L642" s="543">
        <v>1350</v>
      </c>
      <c r="M642" s="543"/>
      <c r="N642" s="614">
        <v>1400</v>
      </c>
      <c r="O642" s="614"/>
      <c r="P642" s="735"/>
      <c r="Q642" s="735"/>
      <c r="R642" s="614"/>
      <c r="S642" s="614">
        <v>1400</v>
      </c>
    </row>
    <row r="643" spans="8:19">
      <c r="H643" s="614">
        <v>5</v>
      </c>
      <c r="I643" s="612" t="s">
        <v>2105</v>
      </c>
      <c r="J643" s="414">
        <v>1</v>
      </c>
      <c r="K643" s="1124"/>
      <c r="L643" s="543">
        <v>1320</v>
      </c>
      <c r="M643" s="543"/>
      <c r="N643" s="614">
        <v>1350</v>
      </c>
      <c r="O643" s="614"/>
      <c r="P643" s="735"/>
      <c r="Q643" s="735"/>
      <c r="R643" s="614"/>
      <c r="S643" s="614">
        <v>1360</v>
      </c>
    </row>
    <row r="644" spans="8:19">
      <c r="H644" s="614">
        <v>6</v>
      </c>
      <c r="I644" s="612" t="s">
        <v>2106</v>
      </c>
      <c r="J644" s="414">
        <v>1</v>
      </c>
      <c r="K644" s="1124"/>
      <c r="L644" s="543"/>
      <c r="M644" s="543"/>
      <c r="N644" s="614">
        <v>275</v>
      </c>
      <c r="O644" s="614"/>
      <c r="P644" s="735"/>
      <c r="Q644" s="735"/>
      <c r="R644" s="614"/>
      <c r="S644" s="614"/>
    </row>
    <row r="645" spans="8:19">
      <c r="H645" s="614">
        <v>7</v>
      </c>
      <c r="I645" s="612" t="s">
        <v>2107</v>
      </c>
      <c r="J645" s="414">
        <v>1</v>
      </c>
      <c r="K645" s="1124"/>
      <c r="L645" s="543"/>
      <c r="M645" s="543"/>
      <c r="N645" s="614">
        <v>1200</v>
      </c>
      <c r="O645" s="614"/>
      <c r="P645" s="735"/>
      <c r="Q645" s="735"/>
      <c r="R645" s="614"/>
      <c r="S645" s="614"/>
    </row>
    <row r="646" spans="8:19">
      <c r="H646" s="614">
        <v>8</v>
      </c>
      <c r="I646" s="612" t="s">
        <v>2108</v>
      </c>
      <c r="J646" s="414">
        <v>1</v>
      </c>
      <c r="K646" s="1124"/>
      <c r="L646" s="543"/>
      <c r="M646" s="543"/>
      <c r="N646" s="614">
        <v>350</v>
      </c>
      <c r="O646" s="614"/>
      <c r="P646" s="735"/>
      <c r="Q646" s="735"/>
      <c r="R646" s="614"/>
      <c r="S646" s="614"/>
    </row>
    <row r="647" spans="8:19">
      <c r="H647" s="614">
        <v>9</v>
      </c>
      <c r="I647" s="612" t="s">
        <v>2109</v>
      </c>
      <c r="J647" s="414">
        <v>1</v>
      </c>
      <c r="K647" s="1124"/>
      <c r="L647" s="543"/>
      <c r="M647" s="543"/>
      <c r="N647" s="614">
        <v>150</v>
      </c>
      <c r="O647" s="614"/>
      <c r="P647" s="735"/>
      <c r="Q647" s="735"/>
      <c r="R647" s="614"/>
      <c r="S647" s="614"/>
    </row>
    <row r="651" spans="8:19">
      <c r="I651" s="101" t="s">
        <v>2086</v>
      </c>
      <c r="J651" s="641"/>
      <c r="K651" s="1123"/>
      <c r="L651" s="660" t="s">
        <v>119</v>
      </c>
      <c r="M651" s="660"/>
      <c r="N651" s="101" t="s">
        <v>49</v>
      </c>
      <c r="O651" s="101"/>
      <c r="P651" s="733"/>
      <c r="Q651" s="733"/>
      <c r="R651" s="101"/>
      <c r="S651" s="101" t="s">
        <v>356</v>
      </c>
    </row>
    <row r="652" spans="8:19">
      <c r="I652" s="612" t="s">
        <v>2102</v>
      </c>
      <c r="J652" s="414">
        <v>1</v>
      </c>
      <c r="K652" s="1124"/>
      <c r="L652" s="659">
        <v>2800</v>
      </c>
      <c r="M652" s="659"/>
      <c r="N652" s="135">
        <v>2696.25</v>
      </c>
      <c r="O652" s="135"/>
      <c r="P652" s="135"/>
      <c r="Q652" s="135"/>
      <c r="R652" s="135"/>
      <c r="S652" s="135">
        <f>L652-N652</f>
        <v>103.75</v>
      </c>
    </row>
    <row r="653" spans="8:19">
      <c r="I653" s="612" t="s">
        <v>2192</v>
      </c>
      <c r="J653" s="414">
        <v>1</v>
      </c>
      <c r="K653" s="1124"/>
      <c r="L653" s="659">
        <v>5150</v>
      </c>
      <c r="M653" s="659"/>
      <c r="N653" s="135">
        <v>4907.16</v>
      </c>
      <c r="O653" s="135"/>
      <c r="P653" s="135"/>
      <c r="Q653" s="135"/>
      <c r="R653" s="135"/>
      <c r="S653" s="135">
        <f>L653-N653</f>
        <v>242.84000000000015</v>
      </c>
    </row>
    <row r="654" spans="8:19">
      <c r="I654" s="612" t="s">
        <v>2102</v>
      </c>
      <c r="J654" s="414">
        <v>3</v>
      </c>
      <c r="K654" s="1124"/>
      <c r="L654" s="659">
        <v>2800</v>
      </c>
      <c r="M654" s="659"/>
      <c r="N654" s="135">
        <v>2804.1</v>
      </c>
      <c r="O654" s="135"/>
      <c r="P654" s="135"/>
      <c r="Q654" s="135"/>
      <c r="R654" s="135"/>
      <c r="S654" s="135">
        <f>L654-N654</f>
        <v>-4.0999999999999091</v>
      </c>
    </row>
    <row r="659" spans="8:11">
      <c r="H659" s="641" t="s">
        <v>3</v>
      </c>
      <c r="I659" s="101" t="s">
        <v>2289</v>
      </c>
      <c r="J659" s="641" t="s">
        <v>2288</v>
      </c>
      <c r="K659" s="1125"/>
    </row>
    <row r="660" spans="8:11">
      <c r="H660" s="414">
        <v>1</v>
      </c>
      <c r="I660" s="612" t="s">
        <v>1697</v>
      </c>
      <c r="J660" s="414">
        <v>359614544890705</v>
      </c>
      <c r="K660" s="1126"/>
    </row>
    <row r="661" spans="8:11">
      <c r="H661" s="414">
        <v>1</v>
      </c>
      <c r="I661" s="612" t="s">
        <v>1697</v>
      </c>
      <c r="J661" s="414">
        <v>359614544940914</v>
      </c>
      <c r="K661" s="1126"/>
    </row>
    <row r="662" spans="8:11">
      <c r="H662" s="414">
        <v>1</v>
      </c>
      <c r="I662" s="612" t="s">
        <v>1697</v>
      </c>
      <c r="J662" s="414">
        <v>350889860087818</v>
      </c>
      <c r="K662" s="1126"/>
    </row>
    <row r="663" spans="8:11">
      <c r="H663" s="414">
        <v>1</v>
      </c>
      <c r="I663" s="612" t="s">
        <v>1697</v>
      </c>
      <c r="J663" s="414">
        <v>350889861445460</v>
      </c>
      <c r="K663" s="1126"/>
    </row>
    <row r="664" spans="8:11">
      <c r="H664" s="414">
        <v>1</v>
      </c>
      <c r="I664" s="612" t="s">
        <v>2282</v>
      </c>
      <c r="J664" s="414">
        <v>353490912585953</v>
      </c>
      <c r="K664" s="1126"/>
    </row>
    <row r="665" spans="8:11">
      <c r="H665" s="414">
        <v>1</v>
      </c>
      <c r="I665" s="612" t="s">
        <v>2283</v>
      </c>
      <c r="J665" s="414">
        <v>352457390576607</v>
      </c>
      <c r="K665" s="1126"/>
    </row>
    <row r="666" spans="8:11">
      <c r="H666" s="414">
        <v>1</v>
      </c>
      <c r="I666" s="612" t="s">
        <v>2284</v>
      </c>
      <c r="J666" s="414">
        <v>352457390429203</v>
      </c>
      <c r="K666" s="1126"/>
    </row>
    <row r="667" spans="8:11">
      <c r="H667" s="414">
        <v>1</v>
      </c>
      <c r="I667" s="612" t="s">
        <v>2285</v>
      </c>
      <c r="J667" s="414">
        <v>359117430967728</v>
      </c>
      <c r="K667" s="1126"/>
    </row>
    <row r="668" spans="8:11">
      <c r="H668" s="414">
        <v>1</v>
      </c>
      <c r="I668" s="612" t="s">
        <v>2286</v>
      </c>
      <c r="J668" s="414" t="s">
        <v>2287</v>
      </c>
      <c r="K668" s="1126"/>
    </row>
    <row r="673" spans="4:19">
      <c r="G673" s="107">
        <v>45897</v>
      </c>
      <c r="H673" s="663">
        <v>1</v>
      </c>
      <c r="I673" s="663" t="s">
        <v>2324</v>
      </c>
    </row>
    <row r="674" spans="4:19">
      <c r="G674" s="107">
        <v>45910</v>
      </c>
      <c r="H674">
        <v>1</v>
      </c>
      <c r="I674" t="s">
        <v>1387</v>
      </c>
      <c r="L674" s="662">
        <v>45965</v>
      </c>
      <c r="M674" s="662"/>
      <c r="N674" s="206">
        <v>1</v>
      </c>
      <c r="O674" s="206"/>
      <c r="P674" s="734"/>
      <c r="Q674" s="734"/>
      <c r="R674" s="206"/>
      <c r="S674" s="206" t="s">
        <v>2327</v>
      </c>
    </row>
    <row r="675" spans="4:19">
      <c r="G675" s="107">
        <v>45914</v>
      </c>
      <c r="H675">
        <v>1</v>
      </c>
      <c r="I675" s="611" t="s">
        <v>1387</v>
      </c>
      <c r="L675" s="78">
        <v>45965</v>
      </c>
      <c r="M675" s="78"/>
      <c r="N675">
        <v>1</v>
      </c>
      <c r="S675" s="611" t="s">
        <v>2330</v>
      </c>
    </row>
    <row r="676" spans="4:19">
      <c r="G676" s="661">
        <v>45914</v>
      </c>
      <c r="H676" s="206">
        <v>3</v>
      </c>
      <c r="I676" s="206" t="s">
        <v>2324</v>
      </c>
      <c r="L676" s="662">
        <v>45965</v>
      </c>
      <c r="M676" s="662"/>
      <c r="N676" s="206">
        <v>1</v>
      </c>
      <c r="O676" s="206"/>
      <c r="P676" s="734"/>
      <c r="Q676" s="734"/>
      <c r="R676" s="206"/>
      <c r="S676" s="206" t="s">
        <v>2325</v>
      </c>
    </row>
    <row r="677" spans="4:19">
      <c r="G677" s="107">
        <v>45926</v>
      </c>
      <c r="H677">
        <v>2</v>
      </c>
      <c r="I677" t="s">
        <v>1511</v>
      </c>
      <c r="L677" s="662">
        <v>45965</v>
      </c>
      <c r="M677" s="662"/>
      <c r="N677" s="206">
        <v>1</v>
      </c>
      <c r="O677" s="206"/>
      <c r="P677" s="734"/>
      <c r="Q677" s="734"/>
      <c r="R677" s="206"/>
      <c r="S677" s="206" t="s">
        <v>2328</v>
      </c>
    </row>
    <row r="678" spans="4:19">
      <c r="G678" s="107">
        <v>45931</v>
      </c>
      <c r="H678">
        <v>1</v>
      </c>
      <c r="I678" t="s">
        <v>2325</v>
      </c>
      <c r="L678" s="662">
        <v>45967</v>
      </c>
      <c r="M678" s="662"/>
      <c r="N678" s="206">
        <v>1</v>
      </c>
      <c r="O678" s="206"/>
      <c r="P678" s="734"/>
      <c r="Q678" s="734"/>
      <c r="R678" s="206"/>
      <c r="S678" s="206" t="s">
        <v>2329</v>
      </c>
    </row>
    <row r="679" spans="4:19" s="611" customFormat="1">
      <c r="D679" s="655"/>
      <c r="E679" s="655"/>
      <c r="F679" s="655"/>
      <c r="G679" s="661">
        <v>45931</v>
      </c>
      <c r="H679" s="206">
        <v>1</v>
      </c>
      <c r="I679" s="206" t="s">
        <v>2325</v>
      </c>
      <c r="J679" s="129"/>
      <c r="K679" s="160"/>
      <c r="L679" s="662">
        <v>45973</v>
      </c>
      <c r="M679" s="662"/>
      <c r="N679" s="206">
        <v>1</v>
      </c>
      <c r="O679" s="206"/>
      <c r="P679" s="734"/>
      <c r="Q679" s="734"/>
      <c r="R679" s="206"/>
      <c r="S679" s="206" t="s">
        <v>2330</v>
      </c>
    </row>
    <row r="680" spans="4:19">
      <c r="G680" s="107">
        <v>45946</v>
      </c>
      <c r="H680">
        <v>1</v>
      </c>
      <c r="I680" s="611" t="s">
        <v>2324</v>
      </c>
      <c r="L680" s="662">
        <v>45974</v>
      </c>
      <c r="M680" s="662"/>
      <c r="N680" s="206">
        <v>6</v>
      </c>
      <c r="O680" s="206"/>
      <c r="P680" s="734"/>
      <c r="Q680" s="734"/>
      <c r="R680" s="206"/>
      <c r="S680" s="206" t="s">
        <v>1291</v>
      </c>
    </row>
    <row r="681" spans="4:19">
      <c r="G681" s="107">
        <v>45948</v>
      </c>
      <c r="H681">
        <v>1</v>
      </c>
      <c r="I681" t="s">
        <v>2326</v>
      </c>
      <c r="L681" s="662">
        <v>45979</v>
      </c>
      <c r="M681" s="662"/>
      <c r="N681" s="206">
        <v>1</v>
      </c>
      <c r="O681" s="206"/>
      <c r="P681" s="734"/>
      <c r="Q681" s="734"/>
      <c r="R681" s="206"/>
      <c r="S681" s="206" t="s">
        <v>2331</v>
      </c>
    </row>
    <row r="682" spans="4:19">
      <c r="G682" s="107">
        <v>45948</v>
      </c>
      <c r="H682">
        <v>1</v>
      </c>
      <c r="I682" t="s">
        <v>2327</v>
      </c>
      <c r="L682" s="662">
        <v>45979</v>
      </c>
      <c r="M682" s="662"/>
      <c r="N682" s="206">
        <v>2</v>
      </c>
      <c r="O682" s="206"/>
      <c r="P682" s="734"/>
      <c r="Q682" s="734"/>
      <c r="R682" s="206"/>
      <c r="S682" s="206" t="s">
        <v>920</v>
      </c>
    </row>
    <row r="683" spans="4:19">
      <c r="G683" s="107">
        <v>45951</v>
      </c>
      <c r="H683">
        <v>1</v>
      </c>
      <c r="I683" t="s">
        <v>1096</v>
      </c>
      <c r="L683" s="662">
        <v>45979</v>
      </c>
      <c r="M683" s="662"/>
      <c r="N683" s="206">
        <v>1</v>
      </c>
      <c r="O683" s="206"/>
      <c r="P683" s="734"/>
      <c r="Q683" s="734"/>
      <c r="R683" s="206"/>
      <c r="S683" s="206" t="s">
        <v>2332</v>
      </c>
    </row>
    <row r="684" spans="4:19">
      <c r="G684" s="661">
        <v>45959</v>
      </c>
      <c r="H684" s="206">
        <v>1</v>
      </c>
      <c r="I684" s="206" t="s">
        <v>2328</v>
      </c>
      <c r="L684" s="662">
        <v>45979</v>
      </c>
      <c r="M684" s="662"/>
      <c r="N684" s="206">
        <v>13</v>
      </c>
      <c r="O684" s="206"/>
      <c r="P684" s="734"/>
      <c r="Q684" s="734"/>
      <c r="R684" s="206"/>
      <c r="S684" s="206" t="s">
        <v>1291</v>
      </c>
    </row>
    <row r="685" spans="4:19">
      <c r="G685" s="661">
        <v>45959</v>
      </c>
      <c r="H685" s="206">
        <v>1</v>
      </c>
      <c r="I685" s="206" t="s">
        <v>2327</v>
      </c>
      <c r="L685" s="662">
        <v>45914</v>
      </c>
      <c r="M685" s="662"/>
      <c r="N685" s="206">
        <v>3</v>
      </c>
      <c r="O685" s="206"/>
      <c r="P685" s="734"/>
      <c r="Q685" s="734"/>
      <c r="R685" s="206"/>
      <c r="S685" s="206" t="s">
        <v>2333</v>
      </c>
    </row>
    <row r="686" spans="4:19">
      <c r="G686" s="661">
        <v>45959</v>
      </c>
      <c r="H686" s="206">
        <v>1</v>
      </c>
      <c r="I686" s="206" t="s">
        <v>2329</v>
      </c>
    </row>
    <row r="687" spans="4:19">
      <c r="G687" s="661">
        <v>45971</v>
      </c>
      <c r="H687" s="206">
        <v>2</v>
      </c>
      <c r="I687" s="206" t="s">
        <v>2324</v>
      </c>
    </row>
    <row r="688" spans="4:19">
      <c r="G688" s="661">
        <v>45971</v>
      </c>
      <c r="H688" s="206">
        <v>1</v>
      </c>
      <c r="I688" s="206" t="s">
        <v>2330</v>
      </c>
    </row>
    <row r="689" spans="7:9">
      <c r="G689" s="661">
        <v>45971</v>
      </c>
      <c r="H689" s="206">
        <v>19</v>
      </c>
      <c r="I689" s="206" t="s">
        <v>1291</v>
      </c>
    </row>
    <row r="690" spans="7:9">
      <c r="G690" s="661">
        <v>45976</v>
      </c>
      <c r="H690" s="206">
        <v>1</v>
      </c>
      <c r="I690" s="206" t="s">
        <v>2331</v>
      </c>
    </row>
    <row r="691" spans="7:9">
      <c r="G691" s="661">
        <v>45976</v>
      </c>
      <c r="H691" s="206">
        <v>1</v>
      </c>
      <c r="I691" s="206" t="s">
        <v>2332</v>
      </c>
    </row>
    <row r="695" spans="7:9">
      <c r="I695" s="663" t="s">
        <v>2324</v>
      </c>
    </row>
    <row r="696" spans="7:9">
      <c r="I696" s="611" t="s">
        <v>1387</v>
      </c>
    </row>
    <row r="697" spans="7:9">
      <c r="I697" s="611" t="s">
        <v>1511</v>
      </c>
    </row>
    <row r="698" spans="7:9">
      <c r="I698" s="611" t="s">
        <v>2336</v>
      </c>
    </row>
    <row r="699" spans="7:9">
      <c r="I699" s="611" t="s">
        <v>2326</v>
      </c>
    </row>
    <row r="700" spans="7:9">
      <c r="I700" s="611" t="s">
        <v>2327</v>
      </c>
    </row>
    <row r="701" spans="7:9">
      <c r="I701" s="611" t="s">
        <v>1096</v>
      </c>
    </row>
    <row r="708" spans="8:19">
      <c r="H708" s="142" t="s">
        <v>2615</v>
      </c>
      <c r="I708" s="142" t="s">
        <v>2086</v>
      </c>
      <c r="J708" s="711" t="s">
        <v>2614</v>
      </c>
      <c r="K708" s="1127"/>
      <c r="L708" s="712" t="s">
        <v>2613</v>
      </c>
      <c r="M708" s="712"/>
      <c r="N708" s="142" t="s">
        <v>2085</v>
      </c>
      <c r="O708" s="142" t="s">
        <v>2612</v>
      </c>
      <c r="P708" s="142"/>
      <c r="Q708" s="142"/>
      <c r="R708" s="142" t="s">
        <v>2611</v>
      </c>
      <c r="S708" s="142" t="s">
        <v>2616</v>
      </c>
    </row>
    <row r="709" spans="8:19" ht="23.25">
      <c r="H709" s="709">
        <v>1</v>
      </c>
      <c r="I709" s="701" t="s">
        <v>2573</v>
      </c>
      <c r="J709" s="701" t="s">
        <v>2459</v>
      </c>
      <c r="K709" s="1128"/>
      <c r="L709" s="701" t="s">
        <v>2574</v>
      </c>
      <c r="M709" s="701"/>
      <c r="N709" s="701" t="s">
        <v>2575</v>
      </c>
      <c r="O709" s="701">
        <v>4775</v>
      </c>
      <c r="P709" s="701"/>
      <c r="Q709" s="701"/>
      <c r="R709" s="701">
        <v>5050</v>
      </c>
      <c r="S709" s="701" t="s">
        <v>2576</v>
      </c>
    </row>
    <row r="710" spans="8:19" ht="23.25">
      <c r="H710" s="710">
        <v>2</v>
      </c>
      <c r="I710" s="702" t="s">
        <v>2577</v>
      </c>
      <c r="J710" s="702" t="s">
        <v>2459</v>
      </c>
      <c r="K710" s="1129"/>
      <c r="L710" s="702" t="s">
        <v>2471</v>
      </c>
      <c r="M710" s="702"/>
      <c r="N710" s="702" t="s">
        <v>2578</v>
      </c>
      <c r="O710" s="702">
        <v>4920</v>
      </c>
      <c r="P710" s="702"/>
      <c r="Q710" s="702"/>
      <c r="R710" s="702"/>
      <c r="S710" s="702" t="s">
        <v>2576</v>
      </c>
    </row>
    <row r="711" spans="8:19" ht="23.25">
      <c r="H711" s="709">
        <v>3</v>
      </c>
      <c r="I711" s="701" t="s">
        <v>2577</v>
      </c>
      <c r="J711" s="701" t="s">
        <v>2459</v>
      </c>
      <c r="K711" s="1128"/>
      <c r="L711" s="701" t="s">
        <v>2471</v>
      </c>
      <c r="M711" s="701"/>
      <c r="N711" s="701" t="s">
        <v>2579</v>
      </c>
      <c r="O711" s="701">
        <v>4920</v>
      </c>
      <c r="P711" s="701"/>
      <c r="Q711" s="701"/>
      <c r="R711" s="701">
        <v>5300</v>
      </c>
      <c r="S711" s="701" t="s">
        <v>2580</v>
      </c>
    </row>
    <row r="712" spans="8:19" ht="23.25">
      <c r="H712" s="709">
        <v>4</v>
      </c>
      <c r="I712" s="701" t="s">
        <v>2581</v>
      </c>
      <c r="J712" s="701" t="s">
        <v>2529</v>
      </c>
      <c r="K712" s="1128"/>
      <c r="L712" s="701" t="s">
        <v>2574</v>
      </c>
      <c r="M712" s="701"/>
      <c r="N712" s="701" t="s">
        <v>2582</v>
      </c>
      <c r="O712" s="701">
        <v>3270</v>
      </c>
      <c r="P712" s="701"/>
      <c r="Q712" s="701"/>
      <c r="R712" s="701">
        <v>3400</v>
      </c>
      <c r="S712" s="701" t="s">
        <v>2583</v>
      </c>
    </row>
    <row r="713" spans="8:19" ht="23.25">
      <c r="H713" s="709">
        <v>5</v>
      </c>
      <c r="I713" s="701" t="s">
        <v>2584</v>
      </c>
      <c r="J713" s="701" t="s">
        <v>2457</v>
      </c>
      <c r="K713" s="1128"/>
      <c r="L713" s="701" t="s">
        <v>2585</v>
      </c>
      <c r="M713" s="701"/>
      <c r="N713" s="701" t="s">
        <v>2586</v>
      </c>
      <c r="O713" s="701"/>
      <c r="P713" s="701"/>
      <c r="Q713" s="701"/>
      <c r="R713" s="701"/>
      <c r="S713" s="701" t="s">
        <v>2576</v>
      </c>
    </row>
    <row r="714" spans="8:19" ht="23.25">
      <c r="H714" s="709">
        <v>6</v>
      </c>
      <c r="I714" s="701" t="s">
        <v>2587</v>
      </c>
      <c r="J714" s="701" t="s">
        <v>2457</v>
      </c>
      <c r="K714" s="1128"/>
      <c r="L714" s="701" t="s">
        <v>2588</v>
      </c>
      <c r="M714" s="701"/>
      <c r="N714" s="701" t="s">
        <v>2589</v>
      </c>
      <c r="O714" s="701">
        <v>2000</v>
      </c>
      <c r="P714" s="701"/>
      <c r="Q714" s="701"/>
      <c r="R714" s="701">
        <v>2070</v>
      </c>
      <c r="S714" s="701" t="s">
        <v>2576</v>
      </c>
    </row>
    <row r="715" spans="8:19" ht="23.25">
      <c r="H715" s="709">
        <v>7</v>
      </c>
      <c r="I715" s="701" t="s">
        <v>2587</v>
      </c>
      <c r="J715" s="701" t="s">
        <v>2457</v>
      </c>
      <c r="K715" s="1128"/>
      <c r="L715" s="701" t="s">
        <v>2588</v>
      </c>
      <c r="M715" s="701"/>
      <c r="N715" s="701" t="s">
        <v>2590</v>
      </c>
      <c r="O715" s="701">
        <v>2000</v>
      </c>
      <c r="P715" s="701"/>
      <c r="Q715" s="701"/>
      <c r="R715" s="701">
        <v>2070</v>
      </c>
      <c r="S715" s="701" t="s">
        <v>2576</v>
      </c>
    </row>
    <row r="716" spans="8:19" ht="23.25">
      <c r="H716" s="709">
        <v>8</v>
      </c>
      <c r="I716" s="701" t="s">
        <v>2587</v>
      </c>
      <c r="J716" s="701" t="s">
        <v>2457</v>
      </c>
      <c r="K716" s="1128"/>
      <c r="L716" s="701" t="s">
        <v>2588</v>
      </c>
      <c r="M716" s="701"/>
      <c r="N716" s="701" t="s">
        <v>2591</v>
      </c>
      <c r="O716" s="701">
        <v>2000</v>
      </c>
      <c r="P716" s="701"/>
      <c r="Q716" s="701"/>
      <c r="R716" s="701">
        <v>2070</v>
      </c>
      <c r="S716" s="701" t="s">
        <v>2576</v>
      </c>
    </row>
    <row r="717" spans="8:19" ht="23.25">
      <c r="H717" s="709">
        <v>9</v>
      </c>
      <c r="I717" s="701" t="s">
        <v>2587</v>
      </c>
      <c r="J717" s="701" t="s">
        <v>2457</v>
      </c>
      <c r="K717" s="1128"/>
      <c r="L717" s="701" t="s">
        <v>2588</v>
      </c>
      <c r="M717" s="701"/>
      <c r="N717" s="701" t="s">
        <v>2592</v>
      </c>
      <c r="O717" s="701">
        <v>2000</v>
      </c>
      <c r="P717" s="701"/>
      <c r="Q717" s="701"/>
      <c r="R717" s="701">
        <v>2070</v>
      </c>
      <c r="S717" s="701" t="s">
        <v>2576</v>
      </c>
    </row>
    <row r="718" spans="8:19" ht="23.25">
      <c r="H718" s="709">
        <v>10</v>
      </c>
      <c r="I718" s="701" t="s">
        <v>2587</v>
      </c>
      <c r="J718" s="701" t="s">
        <v>2457</v>
      </c>
      <c r="K718" s="1128"/>
      <c r="L718" s="701" t="s">
        <v>2588</v>
      </c>
      <c r="M718" s="701"/>
      <c r="N718" s="701" t="s">
        <v>2593</v>
      </c>
      <c r="O718" s="701">
        <v>2000</v>
      </c>
      <c r="P718" s="701"/>
      <c r="Q718" s="701"/>
      <c r="R718" s="701">
        <v>2070</v>
      </c>
      <c r="S718" s="701" t="s">
        <v>2576</v>
      </c>
    </row>
    <row r="719" spans="8:19" ht="23.25">
      <c r="H719" s="709">
        <v>11</v>
      </c>
      <c r="I719" s="701" t="s">
        <v>2587</v>
      </c>
      <c r="J719" s="701" t="s">
        <v>2457</v>
      </c>
      <c r="K719" s="1128"/>
      <c r="L719" s="701" t="s">
        <v>2588</v>
      </c>
      <c r="M719" s="701"/>
      <c r="N719" s="701" t="s">
        <v>2594</v>
      </c>
      <c r="O719" s="701">
        <v>2000</v>
      </c>
      <c r="P719" s="701"/>
      <c r="Q719" s="701"/>
      <c r="R719" s="701">
        <v>2070</v>
      </c>
      <c r="S719" s="701" t="s">
        <v>2576</v>
      </c>
    </row>
    <row r="724" spans="4:13">
      <c r="J724" s="641" t="s">
        <v>2648</v>
      </c>
      <c r="K724" s="1123"/>
      <c r="L724" s="660" t="s">
        <v>2649</v>
      </c>
      <c r="M724" s="1110"/>
    </row>
    <row r="725" spans="4:13">
      <c r="J725" s="612" t="s">
        <v>2665</v>
      </c>
      <c r="K725" s="172"/>
      <c r="L725" s="612">
        <v>10127</v>
      </c>
      <c r="M725" s="568"/>
    </row>
    <row r="726" spans="4:13">
      <c r="J726" s="612" t="s">
        <v>2666</v>
      </c>
      <c r="K726" s="172"/>
      <c r="L726" s="612">
        <v>2595</v>
      </c>
      <c r="M726" s="568"/>
    </row>
    <row r="727" spans="4:13">
      <c r="J727" s="612" t="s">
        <v>2667</v>
      </c>
      <c r="K727" s="172"/>
      <c r="L727" s="612">
        <v>1899</v>
      </c>
      <c r="M727" s="568"/>
    </row>
    <row r="728" spans="4:13">
      <c r="J728" s="612" t="s">
        <v>2668</v>
      </c>
      <c r="K728" s="172"/>
      <c r="L728" s="659">
        <v>1722</v>
      </c>
      <c r="M728" s="1109"/>
    </row>
    <row r="729" spans="4:13">
      <c r="J729" s="612" t="s">
        <v>2669</v>
      </c>
      <c r="K729" s="172"/>
      <c r="L729" s="659">
        <v>1949</v>
      </c>
      <c r="M729" s="1109"/>
    </row>
    <row r="730" spans="4:13">
      <c r="J730" s="612" t="s">
        <v>2670</v>
      </c>
      <c r="K730" s="172"/>
      <c r="L730" s="659">
        <v>1899</v>
      </c>
      <c r="M730" s="1109"/>
    </row>
    <row r="731" spans="4:13">
      <c r="J731" s="612" t="s">
        <v>2670</v>
      </c>
      <c r="K731" s="172"/>
      <c r="L731" s="659">
        <v>2025</v>
      </c>
      <c r="M731" s="1109"/>
    </row>
    <row r="732" spans="4:13">
      <c r="J732" s="612" t="s">
        <v>2670</v>
      </c>
      <c r="K732" s="172"/>
      <c r="L732" s="659">
        <v>1456</v>
      </c>
      <c r="M732" s="1109"/>
    </row>
    <row r="733" spans="4:13">
      <c r="J733" s="612" t="s">
        <v>2670</v>
      </c>
      <c r="K733" s="172"/>
      <c r="L733" s="659">
        <v>1658</v>
      </c>
      <c r="M733" s="1109"/>
    </row>
    <row r="734" spans="4:13">
      <c r="J734" s="784"/>
      <c r="K734" s="1130"/>
      <c r="L734" s="785">
        <f>SUM(L725:L733)</f>
        <v>25330</v>
      </c>
      <c r="M734" s="1111"/>
    </row>
    <row r="735" spans="4:13" s="731" customFormat="1">
      <c r="D735" s="781"/>
      <c r="E735" s="781"/>
      <c r="F735" s="781"/>
      <c r="G735" s="781"/>
      <c r="I735" s="732"/>
      <c r="J735" s="784"/>
      <c r="K735" s="1130"/>
      <c r="L735" s="785"/>
      <c r="M735" s="1111"/>
    </row>
    <row r="736" spans="4:13">
      <c r="I736" s="733" t="s">
        <v>1</v>
      </c>
      <c r="J736" s="641" t="s">
        <v>2983</v>
      </c>
      <c r="K736" s="1123"/>
      <c r="L736" s="660" t="s">
        <v>740</v>
      </c>
      <c r="M736" s="1110"/>
    </row>
    <row r="737" spans="4:13">
      <c r="I737" s="786">
        <v>46024</v>
      </c>
      <c r="J737" s="732" t="s">
        <v>2665</v>
      </c>
      <c r="K737" s="172"/>
      <c r="L737" s="787">
        <v>800000</v>
      </c>
      <c r="M737" s="1112"/>
    </row>
    <row r="738" spans="4:13">
      <c r="I738" s="786">
        <v>46024</v>
      </c>
      <c r="J738" s="732" t="s">
        <v>2666</v>
      </c>
      <c r="K738" s="172"/>
      <c r="L738" s="787">
        <v>205000</v>
      </c>
      <c r="M738" s="1112"/>
    </row>
    <row r="739" spans="4:13">
      <c r="I739" s="786">
        <v>46025</v>
      </c>
      <c r="J739" s="732" t="s">
        <v>2667</v>
      </c>
      <c r="K739" s="172"/>
      <c r="L739" s="787">
        <v>150000</v>
      </c>
      <c r="M739" s="1112"/>
    </row>
    <row r="740" spans="4:13">
      <c r="I740" s="786">
        <v>46025</v>
      </c>
      <c r="J740" s="732" t="s">
        <v>2668</v>
      </c>
      <c r="K740" s="172"/>
      <c r="L740" s="787">
        <v>136000</v>
      </c>
      <c r="M740" s="1112"/>
    </row>
    <row r="741" spans="4:13">
      <c r="I741" s="786">
        <v>46026</v>
      </c>
      <c r="J741" s="732" t="s">
        <v>2669</v>
      </c>
      <c r="K741" s="172"/>
      <c r="L741" s="787">
        <v>154000</v>
      </c>
      <c r="M741" s="1112"/>
    </row>
    <row r="742" spans="4:13">
      <c r="I742" s="786">
        <v>46027</v>
      </c>
      <c r="J742" s="732" t="s">
        <v>2670</v>
      </c>
      <c r="K742" s="172"/>
      <c r="L742" s="787">
        <v>150000</v>
      </c>
      <c r="M742" s="1112"/>
    </row>
    <row r="743" spans="4:13">
      <c r="I743" s="786">
        <v>46028</v>
      </c>
      <c r="J743" s="732" t="s">
        <v>2670</v>
      </c>
      <c r="K743" s="172"/>
      <c r="L743" s="787">
        <v>160000</v>
      </c>
      <c r="M743" s="1112"/>
    </row>
    <row r="744" spans="4:13">
      <c r="I744" s="786">
        <v>46030</v>
      </c>
      <c r="J744" s="732" t="s">
        <v>2670</v>
      </c>
      <c r="K744" s="172"/>
      <c r="L744" s="787">
        <v>115000</v>
      </c>
      <c r="M744" s="1112"/>
    </row>
    <row r="745" spans="4:13">
      <c r="I745" s="786">
        <v>46032</v>
      </c>
      <c r="J745" s="732" t="s">
        <v>2670</v>
      </c>
      <c r="K745" s="172"/>
      <c r="L745" s="787">
        <v>131000</v>
      </c>
      <c r="M745" s="1112"/>
    </row>
    <row r="746" spans="4:13">
      <c r="I746" s="786">
        <v>46037</v>
      </c>
      <c r="J746" s="732" t="s">
        <v>2984</v>
      </c>
      <c r="K746" s="172"/>
      <c r="L746" s="788">
        <v>150000</v>
      </c>
      <c r="M746" s="1113"/>
    </row>
    <row r="747" spans="4:13" s="731" customFormat="1">
      <c r="D747" s="781"/>
      <c r="E747" s="781"/>
      <c r="F747" s="781"/>
      <c r="G747" s="781"/>
      <c r="I747" s="786">
        <v>46039</v>
      </c>
      <c r="J747" s="732" t="s">
        <v>2985</v>
      </c>
      <c r="K747" s="172"/>
      <c r="L747" s="788">
        <v>128000</v>
      </c>
      <c r="M747" s="1113"/>
    </row>
    <row r="748" spans="4:13" s="731" customFormat="1">
      <c r="D748" s="781"/>
      <c r="E748" s="781"/>
      <c r="F748" s="781"/>
      <c r="G748" s="781"/>
      <c r="I748" s="786">
        <v>46042</v>
      </c>
      <c r="J748" s="732" t="s">
        <v>2986</v>
      </c>
      <c r="K748" s="172"/>
      <c r="L748" s="788">
        <v>205000</v>
      </c>
      <c r="M748" s="1113"/>
    </row>
    <row r="749" spans="4:13" s="731" customFormat="1">
      <c r="D749" s="781"/>
      <c r="E749" s="781"/>
      <c r="F749" s="781"/>
      <c r="G749" s="781"/>
      <c r="I749" s="786">
        <v>46053</v>
      </c>
      <c r="J749" s="732" t="s">
        <v>2987</v>
      </c>
      <c r="K749" s="172"/>
      <c r="L749" s="788">
        <v>185000</v>
      </c>
      <c r="M749" s="1113"/>
    </row>
    <row r="750" spans="4:13" s="731" customFormat="1">
      <c r="D750" s="781"/>
      <c r="E750" s="781"/>
      <c r="F750" s="781"/>
      <c r="G750" s="781"/>
      <c r="I750" s="786">
        <v>46057</v>
      </c>
      <c r="J750" s="732" t="s">
        <v>2988</v>
      </c>
      <c r="K750" s="172"/>
      <c r="L750" s="788">
        <v>1000000</v>
      </c>
      <c r="M750" s="1113"/>
    </row>
    <row r="751" spans="4:13" s="731" customFormat="1" ht="16.7" customHeight="1">
      <c r="D751" s="781"/>
      <c r="E751" s="781"/>
      <c r="F751" s="781"/>
      <c r="G751" s="781"/>
      <c r="I751" s="786">
        <v>46058</v>
      </c>
      <c r="J751" s="732" t="s">
        <v>2989</v>
      </c>
      <c r="K751" s="172"/>
      <c r="L751" s="788">
        <v>250000</v>
      </c>
      <c r="M751" s="1113"/>
    </row>
    <row r="752" spans="4:13" s="731" customFormat="1" ht="16.7" customHeight="1">
      <c r="D752" s="781"/>
      <c r="E752" s="781"/>
      <c r="F752" s="781"/>
      <c r="G752" s="781"/>
      <c r="I752" s="786">
        <v>46058</v>
      </c>
      <c r="J752" s="732" t="s">
        <v>2990</v>
      </c>
      <c r="K752" s="172"/>
      <c r="L752" s="788">
        <v>1000000</v>
      </c>
      <c r="M752" s="1113"/>
    </row>
    <row r="753" spans="4:13" s="731" customFormat="1" ht="16.7" customHeight="1">
      <c r="D753" s="781"/>
      <c r="E753" s="781"/>
      <c r="F753" s="781"/>
      <c r="G753" s="781"/>
      <c r="I753" s="786">
        <v>46060</v>
      </c>
      <c r="J753" s="732" t="s">
        <v>2991</v>
      </c>
      <c r="K753" s="172"/>
      <c r="L753" s="788">
        <v>78000</v>
      </c>
      <c r="M753" s="1113"/>
    </row>
    <row r="754" spans="4:13" s="731" customFormat="1" ht="16.7" customHeight="1">
      <c r="D754" s="781"/>
      <c r="E754" s="781"/>
      <c r="F754" s="781"/>
      <c r="G754" s="781"/>
      <c r="I754" s="786">
        <v>46060</v>
      </c>
      <c r="J754" s="732" t="s">
        <v>2992</v>
      </c>
      <c r="K754" s="172"/>
      <c r="L754" s="788">
        <v>150000</v>
      </c>
      <c r="M754" s="1113"/>
    </row>
    <row r="755" spans="4:13" s="731" customFormat="1" ht="16.7" customHeight="1">
      <c r="D755" s="781"/>
      <c r="E755" s="781"/>
      <c r="F755" s="781"/>
      <c r="G755" s="781"/>
      <c r="I755" s="786">
        <v>46062</v>
      </c>
      <c r="J755" s="732" t="s">
        <v>2992</v>
      </c>
      <c r="K755" s="172"/>
      <c r="L755" s="788">
        <v>78000</v>
      </c>
      <c r="M755" s="1113"/>
    </row>
    <row r="756" spans="4:13">
      <c r="I756" s="786">
        <v>46062</v>
      </c>
      <c r="J756" s="732" t="s">
        <v>2993</v>
      </c>
      <c r="K756" s="172"/>
      <c r="L756" s="788">
        <v>89000</v>
      </c>
      <c r="M756" s="1113"/>
    </row>
    <row r="757" spans="4:13" s="731" customFormat="1">
      <c r="D757" s="781"/>
      <c r="E757" s="781"/>
      <c r="F757" s="781"/>
      <c r="G757" s="781"/>
      <c r="I757" s="786">
        <v>46063</v>
      </c>
      <c r="J757" s="732" t="s">
        <v>2991</v>
      </c>
      <c r="K757" s="172"/>
      <c r="L757" s="788">
        <v>247000</v>
      </c>
      <c r="M757" s="1113"/>
    </row>
    <row r="758" spans="4:13" s="731" customFormat="1">
      <c r="D758" s="875"/>
      <c r="E758" s="875"/>
      <c r="F758" s="875"/>
      <c r="G758" s="875"/>
      <c r="I758" s="786">
        <v>46064</v>
      </c>
      <c r="J758" s="732" t="s">
        <v>3229</v>
      </c>
      <c r="K758" s="172"/>
      <c r="L758" s="788">
        <v>203000</v>
      </c>
      <c r="M758" s="1113"/>
    </row>
    <row r="759" spans="4:13" s="731" customFormat="1">
      <c r="D759" s="875"/>
      <c r="E759" s="875"/>
      <c r="F759" s="875"/>
      <c r="G759" s="875"/>
      <c r="I759" s="786">
        <v>46064</v>
      </c>
      <c r="J759" s="732" t="s">
        <v>3230</v>
      </c>
      <c r="K759" s="172"/>
      <c r="L759" s="788">
        <v>329000</v>
      </c>
      <c r="M759" s="1113"/>
    </row>
    <row r="760" spans="4:13" s="731" customFormat="1">
      <c r="D760" s="875"/>
      <c r="E760" s="875"/>
      <c r="F760" s="875"/>
      <c r="G760" s="875"/>
      <c r="I760" s="786">
        <v>46065</v>
      </c>
      <c r="J760" s="732" t="s">
        <v>3231</v>
      </c>
      <c r="K760" s="172"/>
      <c r="L760" s="788">
        <v>200000</v>
      </c>
      <c r="M760" s="1113"/>
    </row>
    <row r="761" spans="4:13" s="731" customFormat="1">
      <c r="D761" s="875"/>
      <c r="E761" s="875"/>
      <c r="F761" s="875"/>
      <c r="G761" s="875"/>
      <c r="I761" s="786">
        <v>46066</v>
      </c>
      <c r="J761" s="732" t="s">
        <v>3232</v>
      </c>
      <c r="K761" s="172"/>
      <c r="L761" s="788">
        <v>112000</v>
      </c>
      <c r="M761" s="1113"/>
    </row>
    <row r="762" spans="4:13" s="731" customFormat="1">
      <c r="D762" s="875"/>
      <c r="E762" s="875"/>
      <c r="F762" s="875"/>
      <c r="G762" s="875"/>
      <c r="I762" s="786">
        <v>46067</v>
      </c>
      <c r="J762" s="732" t="s">
        <v>3233</v>
      </c>
      <c r="K762" s="172"/>
      <c r="L762" s="788">
        <v>100000</v>
      </c>
      <c r="M762" s="1113"/>
    </row>
    <row r="763" spans="4:13" s="731" customFormat="1">
      <c r="D763" s="875"/>
      <c r="E763" s="875"/>
      <c r="F763" s="875"/>
      <c r="G763" s="875"/>
      <c r="I763" s="786">
        <v>46067</v>
      </c>
      <c r="J763" s="732" t="s">
        <v>3234</v>
      </c>
      <c r="K763" s="172"/>
      <c r="L763" s="788">
        <v>11000</v>
      </c>
      <c r="M763" s="1113"/>
    </row>
    <row r="764" spans="4:13" s="731" customFormat="1">
      <c r="D764" s="875"/>
      <c r="E764" s="875"/>
      <c r="F764" s="875"/>
      <c r="G764" s="875"/>
      <c r="I764" s="786">
        <v>46068</v>
      </c>
      <c r="J764" s="732" t="s">
        <v>3235</v>
      </c>
      <c r="K764" s="172"/>
      <c r="L764" s="788">
        <v>100000</v>
      </c>
      <c r="M764" s="1113"/>
    </row>
    <row r="765" spans="4:13" s="731" customFormat="1">
      <c r="D765" s="875"/>
      <c r="E765" s="875"/>
      <c r="F765" s="875"/>
      <c r="G765" s="875"/>
      <c r="I765" s="786">
        <v>46070</v>
      </c>
      <c r="J765" s="732" t="s">
        <v>3236</v>
      </c>
      <c r="K765" s="172"/>
      <c r="L765" s="788">
        <v>100000</v>
      </c>
      <c r="M765" s="1113"/>
    </row>
    <row r="766" spans="4:13" s="731" customFormat="1">
      <c r="D766" s="875"/>
      <c r="E766" s="875"/>
      <c r="F766" s="875"/>
      <c r="G766" s="875"/>
      <c r="I766" s="786">
        <v>46071</v>
      </c>
      <c r="J766" s="732" t="s">
        <v>3237</v>
      </c>
      <c r="K766" s="172"/>
      <c r="L766" s="788">
        <v>335000</v>
      </c>
      <c r="M766" s="1113"/>
    </row>
    <row r="767" spans="4:13" s="731" customFormat="1">
      <c r="D767" s="875"/>
      <c r="E767" s="875"/>
      <c r="F767" s="875"/>
      <c r="G767" s="875"/>
      <c r="I767" s="786">
        <v>46072</v>
      </c>
      <c r="J767" s="732" t="s">
        <v>3238</v>
      </c>
      <c r="K767" s="172"/>
      <c r="L767" s="788">
        <v>100000</v>
      </c>
      <c r="M767" s="1113"/>
    </row>
    <row r="768" spans="4:13" s="731" customFormat="1">
      <c r="D768" s="875"/>
      <c r="E768" s="875"/>
      <c r="F768" s="875"/>
      <c r="G768" s="875"/>
      <c r="I768" s="786">
        <v>46072</v>
      </c>
      <c r="J768" s="732" t="s">
        <v>3239</v>
      </c>
      <c r="K768" s="172"/>
      <c r="L768" s="788">
        <v>299000</v>
      </c>
      <c r="M768" s="1113"/>
    </row>
    <row r="769" spans="4:16" s="731" customFormat="1">
      <c r="D769" s="875"/>
      <c r="E769" s="875"/>
      <c r="F769" s="875"/>
      <c r="G769" s="875"/>
      <c r="I769" s="786">
        <v>46074</v>
      </c>
      <c r="J769" s="732" t="s">
        <v>3240</v>
      </c>
      <c r="K769" s="172"/>
      <c r="L769" s="788">
        <v>97000</v>
      </c>
      <c r="M769" s="1113"/>
    </row>
    <row r="770" spans="4:16" s="731" customFormat="1" ht="15.75">
      <c r="D770" s="1008"/>
      <c r="E770" s="1008"/>
      <c r="F770" s="1008"/>
      <c r="G770" s="1008"/>
      <c r="I770" s="786"/>
      <c r="J770" s="732"/>
      <c r="K770" s="172"/>
      <c r="L770" s="788"/>
      <c r="M770" s="1113"/>
      <c r="O770" s="1013" t="s">
        <v>2958</v>
      </c>
      <c r="P770" s="1013" t="s">
        <v>740</v>
      </c>
    </row>
    <row r="771" spans="4:16" s="731" customFormat="1">
      <c r="D771" s="1008"/>
      <c r="E771" s="1008"/>
      <c r="F771" s="1008"/>
      <c r="G771" s="1008"/>
      <c r="I771" s="786">
        <v>46078</v>
      </c>
      <c r="J771" s="732"/>
      <c r="K771" s="172"/>
      <c r="L771" s="788">
        <v>111000</v>
      </c>
      <c r="M771" s="1113"/>
      <c r="O771" s="786">
        <v>46078</v>
      </c>
      <c r="P771" s="788">
        <v>111000</v>
      </c>
    </row>
    <row r="772" spans="4:16" s="731" customFormat="1">
      <c r="D772" s="875"/>
      <c r="E772" s="875"/>
      <c r="F772" s="875"/>
      <c r="G772" s="875"/>
      <c r="I772" s="786">
        <v>46078</v>
      </c>
      <c r="J772" s="732"/>
      <c r="K772" s="172"/>
      <c r="L772" s="788">
        <v>500000</v>
      </c>
      <c r="M772" s="1113"/>
      <c r="O772" s="786">
        <v>46078</v>
      </c>
      <c r="P772" s="788">
        <v>500000</v>
      </c>
    </row>
    <row r="773" spans="4:16" s="731" customFormat="1">
      <c r="D773" s="875"/>
      <c r="E773" s="875"/>
      <c r="F773" s="875"/>
      <c r="G773" s="875"/>
      <c r="I773" s="786">
        <v>46078</v>
      </c>
      <c r="J773" s="732"/>
      <c r="K773" s="172"/>
      <c r="L773" s="788">
        <v>47000</v>
      </c>
      <c r="M773" s="1113"/>
      <c r="O773" s="786">
        <v>46078</v>
      </c>
      <c r="P773" s="788">
        <v>47000</v>
      </c>
    </row>
    <row r="774" spans="4:16" s="731" customFormat="1">
      <c r="D774" s="875"/>
      <c r="E774" s="875"/>
      <c r="F774" s="875"/>
      <c r="G774" s="875"/>
      <c r="I774" s="786">
        <v>46085</v>
      </c>
      <c r="J774" s="732"/>
      <c r="K774" s="172"/>
      <c r="L774" s="788">
        <v>200000</v>
      </c>
      <c r="M774" s="1113"/>
      <c r="O774" s="786">
        <v>46085</v>
      </c>
      <c r="P774" s="788">
        <v>200000</v>
      </c>
    </row>
    <row r="775" spans="4:16" s="731" customFormat="1">
      <c r="D775" s="781"/>
      <c r="E775" s="781"/>
      <c r="F775" s="781"/>
      <c r="G775" s="781"/>
      <c r="I775" s="786">
        <v>46086</v>
      </c>
      <c r="J775" s="732"/>
      <c r="K775" s="172"/>
      <c r="L775" s="788">
        <v>200000</v>
      </c>
      <c r="M775" s="1113"/>
      <c r="O775" s="786">
        <v>46086</v>
      </c>
      <c r="P775" s="788">
        <v>200000</v>
      </c>
    </row>
    <row r="776" spans="4:16" s="731" customFormat="1">
      <c r="D776" s="1008"/>
      <c r="E776" s="1008"/>
      <c r="F776" s="1008"/>
      <c r="G776" s="1008"/>
      <c r="I776" s="786">
        <v>46087</v>
      </c>
      <c r="J776" s="732"/>
      <c r="K776" s="172"/>
      <c r="L776" s="788">
        <v>200000</v>
      </c>
      <c r="M776" s="1113"/>
      <c r="O776" s="786">
        <v>46087</v>
      </c>
      <c r="P776" s="788">
        <v>200000</v>
      </c>
    </row>
    <row r="777" spans="4:16" s="731" customFormat="1">
      <c r="D777" s="1008"/>
      <c r="E777" s="1008"/>
      <c r="F777" s="1008"/>
      <c r="G777" s="1008"/>
      <c r="I777" s="786">
        <v>46088</v>
      </c>
      <c r="J777" s="732"/>
      <c r="K777" s="172"/>
      <c r="L777" s="788">
        <v>200000</v>
      </c>
      <c r="M777" s="1113"/>
      <c r="O777" s="786">
        <v>46088</v>
      </c>
      <c r="P777" s="788">
        <v>200000</v>
      </c>
    </row>
    <row r="778" spans="4:16" s="731" customFormat="1">
      <c r="D778" s="1008"/>
      <c r="E778" s="1008"/>
      <c r="F778" s="1008"/>
      <c r="G778" s="1008"/>
      <c r="I778" s="786">
        <v>46090</v>
      </c>
      <c r="J778" s="732"/>
      <c r="K778" s="172"/>
      <c r="L778" s="788">
        <v>200000</v>
      </c>
      <c r="M778" s="1113"/>
      <c r="O778" s="786">
        <v>46090</v>
      </c>
      <c r="P778" s="788">
        <v>200000</v>
      </c>
    </row>
    <row r="779" spans="4:16" s="731" customFormat="1">
      <c r="D779" s="1008"/>
      <c r="E779" s="1008"/>
      <c r="F779" s="1008"/>
      <c r="G779" s="1008"/>
      <c r="I779" s="786">
        <v>46090</v>
      </c>
      <c r="J779" s="732"/>
      <c r="K779" s="172"/>
      <c r="L779" s="788">
        <v>200000</v>
      </c>
      <c r="M779" s="1113"/>
      <c r="O779" s="786">
        <v>46090</v>
      </c>
      <c r="P779" s="788">
        <v>200000</v>
      </c>
    </row>
    <row r="780" spans="4:16" s="731" customFormat="1">
      <c r="D780" s="1008"/>
      <c r="E780" s="1008"/>
      <c r="F780" s="1008"/>
      <c r="G780" s="1008"/>
      <c r="I780" s="786">
        <v>46091</v>
      </c>
      <c r="J780" s="732"/>
      <c r="K780" s="172"/>
      <c r="L780" s="1012">
        <v>400000</v>
      </c>
      <c r="M780" s="1114"/>
      <c r="O780" s="786">
        <v>46091</v>
      </c>
      <c r="P780" s="1012">
        <v>400000</v>
      </c>
    </row>
    <row r="781" spans="4:16" s="731" customFormat="1">
      <c r="D781" s="1008"/>
      <c r="E781" s="1008"/>
      <c r="F781" s="1008"/>
      <c r="G781" s="1008"/>
      <c r="I781" s="786">
        <v>46091</v>
      </c>
      <c r="J781" s="732"/>
      <c r="K781" s="172"/>
      <c r="L781" s="1012">
        <v>200000</v>
      </c>
      <c r="M781" s="1114"/>
      <c r="O781" s="786">
        <v>46091</v>
      </c>
      <c r="P781" s="1012">
        <v>200000</v>
      </c>
    </row>
    <row r="782" spans="4:16" s="731" customFormat="1">
      <c r="D782" s="1008"/>
      <c r="E782" s="1008"/>
      <c r="F782" s="1008"/>
      <c r="G782" s="1008"/>
      <c r="I782" s="786">
        <v>46092</v>
      </c>
      <c r="J782" s="732"/>
      <c r="K782" s="172"/>
      <c r="L782" s="1012">
        <v>150000</v>
      </c>
      <c r="M782" s="1114"/>
      <c r="O782" s="786">
        <v>46092</v>
      </c>
      <c r="P782" s="1012">
        <v>150000</v>
      </c>
    </row>
    <row r="783" spans="4:16" s="731" customFormat="1">
      <c r="D783" s="1008"/>
      <c r="E783" s="1008"/>
      <c r="F783" s="1008"/>
      <c r="G783" s="1008"/>
      <c r="I783" s="786">
        <v>46092</v>
      </c>
      <c r="J783" s="732"/>
      <c r="K783" s="172"/>
      <c r="L783" s="1012">
        <v>150000</v>
      </c>
      <c r="M783" s="1114"/>
      <c r="O783" s="786">
        <v>46092</v>
      </c>
      <c r="P783" s="1012">
        <v>150000</v>
      </c>
    </row>
    <row r="784" spans="4:16" s="731" customFormat="1">
      <c r="D784" s="1008"/>
      <c r="E784" s="1008"/>
      <c r="F784" s="1008"/>
      <c r="G784" s="1008"/>
      <c r="I784" s="786">
        <v>46092</v>
      </c>
      <c r="J784" s="732"/>
      <c r="K784" s="172"/>
      <c r="L784" s="1012">
        <v>231000</v>
      </c>
      <c r="M784" s="1114"/>
      <c r="O784" s="786">
        <v>46092</v>
      </c>
      <c r="P784" s="1012">
        <v>231000</v>
      </c>
    </row>
    <row r="785" spans="4:16" s="731" customFormat="1">
      <c r="D785" s="1008"/>
      <c r="E785" s="1008"/>
      <c r="F785" s="1008"/>
      <c r="G785" s="1008"/>
      <c r="I785" s="786">
        <v>46093</v>
      </c>
      <c r="J785" s="732"/>
      <c r="K785" s="172"/>
      <c r="L785" s="1012">
        <v>1000000</v>
      </c>
      <c r="M785" s="1114"/>
      <c r="O785" s="786">
        <v>46093</v>
      </c>
      <c r="P785" s="1012">
        <v>1000000</v>
      </c>
    </row>
    <row r="786" spans="4:16" s="731" customFormat="1">
      <c r="D786" s="1008"/>
      <c r="E786" s="1008"/>
      <c r="F786" s="1008"/>
      <c r="G786" s="1008"/>
      <c r="I786" s="786">
        <v>46093</v>
      </c>
      <c r="J786" s="732"/>
      <c r="K786" s="172"/>
      <c r="L786" s="1012">
        <v>200000</v>
      </c>
      <c r="M786" s="1114"/>
      <c r="O786" s="786">
        <v>46093</v>
      </c>
      <c r="P786" s="1012">
        <v>200000</v>
      </c>
    </row>
    <row r="787" spans="4:16" s="731" customFormat="1">
      <c r="D787" s="1008"/>
      <c r="E787" s="1008"/>
      <c r="F787" s="1008"/>
      <c r="G787" s="1008"/>
      <c r="I787" s="786">
        <v>46093</v>
      </c>
      <c r="J787" s="732"/>
      <c r="K787" s="172"/>
      <c r="L787" s="1012">
        <v>330000</v>
      </c>
      <c r="M787" s="1114"/>
      <c r="O787" s="786">
        <v>46093</v>
      </c>
      <c r="P787" s="1012">
        <v>330000</v>
      </c>
    </row>
    <row r="788" spans="4:16" s="731" customFormat="1">
      <c r="D788" s="1008"/>
      <c r="E788" s="1008"/>
      <c r="F788" s="1008"/>
      <c r="G788" s="1008"/>
      <c r="I788" s="786">
        <v>46094</v>
      </c>
      <c r="J788" s="732"/>
      <c r="K788" s="172"/>
      <c r="L788" s="1012">
        <v>500000</v>
      </c>
      <c r="M788" s="1114"/>
      <c r="O788" s="786">
        <v>46094</v>
      </c>
      <c r="P788" s="1012">
        <v>500000</v>
      </c>
    </row>
    <row r="789" spans="4:16" s="731" customFormat="1">
      <c r="D789" s="1008"/>
      <c r="E789" s="1008"/>
      <c r="F789" s="1008"/>
      <c r="G789" s="1008"/>
      <c r="I789" s="786">
        <v>46094</v>
      </c>
      <c r="J789" s="732"/>
      <c r="K789" s="172"/>
      <c r="L789" s="1012">
        <v>150000</v>
      </c>
      <c r="M789" s="1114"/>
      <c r="O789" s="786">
        <v>46094</v>
      </c>
      <c r="P789" s="1012">
        <v>150000</v>
      </c>
    </row>
    <row r="790" spans="4:16" s="731" customFormat="1">
      <c r="D790" s="1008"/>
      <c r="E790" s="1008"/>
      <c r="F790" s="1008"/>
      <c r="G790" s="1008"/>
      <c r="I790" s="786">
        <v>46094</v>
      </c>
      <c r="J790" s="732"/>
      <c r="K790" s="172"/>
      <c r="L790" s="1012">
        <v>300000</v>
      </c>
      <c r="M790" s="1114"/>
      <c r="O790" s="786">
        <v>46094</v>
      </c>
      <c r="P790" s="1012">
        <v>300000</v>
      </c>
    </row>
    <row r="791" spans="4:16" s="731" customFormat="1">
      <c r="D791" s="1008"/>
      <c r="E791" s="1008"/>
      <c r="F791" s="1008"/>
      <c r="G791" s="1008"/>
      <c r="I791" s="786">
        <v>46094</v>
      </c>
      <c r="J791" s="732"/>
      <c r="K791" s="172"/>
      <c r="L791" s="1012">
        <v>250000</v>
      </c>
      <c r="M791" s="1114"/>
      <c r="O791" s="786">
        <v>46094</v>
      </c>
      <c r="P791" s="1012">
        <v>250000</v>
      </c>
    </row>
    <row r="792" spans="4:16" s="731" customFormat="1">
      <c r="D792" s="1008"/>
      <c r="E792" s="1008"/>
      <c r="F792" s="1008"/>
      <c r="G792" s="1008"/>
      <c r="I792" s="786">
        <v>46094</v>
      </c>
      <c r="J792" s="732"/>
      <c r="K792" s="172"/>
      <c r="L792" s="1012">
        <v>200000</v>
      </c>
      <c r="M792" s="1114"/>
      <c r="O792" s="786">
        <v>46094</v>
      </c>
      <c r="P792" s="1012">
        <v>200000</v>
      </c>
    </row>
    <row r="793" spans="4:16" s="731" customFormat="1">
      <c r="D793" s="1008"/>
      <c r="E793" s="1008"/>
      <c r="F793" s="1008"/>
      <c r="G793" s="1008"/>
      <c r="I793" s="786">
        <v>46095</v>
      </c>
      <c r="J793" s="732"/>
      <c r="K793" s="172"/>
      <c r="L793" s="1012">
        <v>200000</v>
      </c>
      <c r="M793" s="1114"/>
      <c r="O793" s="786">
        <v>46095</v>
      </c>
      <c r="P793" s="1012">
        <v>200000</v>
      </c>
    </row>
    <row r="794" spans="4:16" s="731" customFormat="1">
      <c r="D794" s="1008"/>
      <c r="E794" s="1008"/>
      <c r="F794" s="1008"/>
      <c r="G794" s="1008"/>
      <c r="I794" s="786">
        <v>46095</v>
      </c>
      <c r="J794" s="732"/>
      <c r="K794" s="172"/>
      <c r="L794" s="1012">
        <v>165000</v>
      </c>
      <c r="M794" s="1114"/>
      <c r="O794" s="786">
        <v>46095</v>
      </c>
      <c r="P794" s="1012">
        <v>165000</v>
      </c>
    </row>
    <row r="795" spans="4:16" s="731" customFormat="1">
      <c r="D795" s="1008"/>
      <c r="E795" s="1008"/>
      <c r="F795" s="1008"/>
      <c r="G795" s="1008"/>
      <c r="I795" s="786">
        <v>46095</v>
      </c>
      <c r="J795" s="732"/>
      <c r="K795" s="172"/>
      <c r="L795" s="1012">
        <v>78000</v>
      </c>
      <c r="M795" s="1114"/>
      <c r="O795" s="786">
        <v>46095</v>
      </c>
      <c r="P795" s="1012">
        <v>78000</v>
      </c>
    </row>
    <row r="796" spans="4:16" s="731" customFormat="1">
      <c r="D796" s="1008"/>
      <c r="E796" s="1008"/>
      <c r="F796" s="1008"/>
      <c r="G796" s="1008"/>
      <c r="I796" s="786">
        <v>46096</v>
      </c>
      <c r="J796" s="732"/>
      <c r="K796" s="172"/>
      <c r="L796" s="1012">
        <v>193000</v>
      </c>
      <c r="M796" s="1114"/>
      <c r="O796" s="786">
        <v>46096</v>
      </c>
      <c r="P796" s="1012">
        <v>193000</v>
      </c>
    </row>
    <row r="797" spans="4:16" s="731" customFormat="1">
      <c r="D797" s="1008"/>
      <c r="E797" s="1008"/>
      <c r="F797" s="1008"/>
      <c r="G797" s="1008"/>
      <c r="I797" s="786">
        <v>46096</v>
      </c>
      <c r="J797" s="732"/>
      <c r="K797" s="172"/>
      <c r="L797" s="1012">
        <v>100000</v>
      </c>
      <c r="M797" s="1114"/>
      <c r="O797" s="786">
        <v>46096</v>
      </c>
      <c r="P797" s="1012">
        <v>100000</v>
      </c>
    </row>
    <row r="798" spans="4:16" s="731" customFormat="1">
      <c r="D798" s="1008"/>
      <c r="E798" s="1008"/>
      <c r="F798" s="1008"/>
      <c r="G798" s="1008"/>
      <c r="I798" s="786">
        <v>46096</v>
      </c>
      <c r="J798" s="732"/>
      <c r="K798" s="172"/>
      <c r="L798" s="1012">
        <v>160000</v>
      </c>
      <c r="M798" s="1114"/>
      <c r="O798" s="786">
        <v>46096</v>
      </c>
      <c r="P798" s="1012">
        <v>160000</v>
      </c>
    </row>
    <row r="799" spans="4:16" s="731" customFormat="1">
      <c r="D799" s="1008"/>
      <c r="E799" s="1008"/>
      <c r="F799" s="1008"/>
      <c r="G799" s="1008"/>
      <c r="I799" s="786">
        <v>46096</v>
      </c>
      <c r="J799" s="732"/>
      <c r="K799" s="172"/>
      <c r="L799" s="1012">
        <v>250000</v>
      </c>
      <c r="M799" s="1114"/>
      <c r="O799" s="786">
        <v>46096</v>
      </c>
      <c r="P799" s="1012">
        <v>250000</v>
      </c>
    </row>
    <row r="800" spans="4:16" s="731" customFormat="1">
      <c r="D800" s="1008"/>
      <c r="E800" s="1008"/>
      <c r="F800" s="1008"/>
      <c r="G800" s="1008"/>
      <c r="I800" s="786">
        <v>46096</v>
      </c>
      <c r="J800" s="732"/>
      <c r="K800" s="172"/>
      <c r="L800" s="1012">
        <v>400000</v>
      </c>
      <c r="M800" s="1114"/>
      <c r="O800" s="786">
        <v>46096</v>
      </c>
      <c r="P800" s="1012">
        <v>400000</v>
      </c>
    </row>
    <row r="801" spans="4:16" s="731" customFormat="1">
      <c r="D801" s="1008"/>
      <c r="E801" s="1008"/>
      <c r="F801" s="1008"/>
      <c r="G801" s="1008"/>
      <c r="I801" s="786">
        <v>46097</v>
      </c>
      <c r="J801" s="732"/>
      <c r="K801" s="172"/>
      <c r="L801" s="1012">
        <v>200000</v>
      </c>
      <c r="M801" s="1114"/>
      <c r="O801" s="786">
        <v>46097</v>
      </c>
      <c r="P801" s="1012">
        <v>200000</v>
      </c>
    </row>
    <row r="802" spans="4:16" s="731" customFormat="1">
      <c r="D802" s="1008"/>
      <c r="E802" s="1008"/>
      <c r="F802" s="1008"/>
      <c r="G802" s="1008"/>
      <c r="I802" s="786">
        <v>46097</v>
      </c>
      <c r="J802" s="732"/>
      <c r="K802" s="172"/>
      <c r="L802" s="1012">
        <v>135000</v>
      </c>
      <c r="M802" s="1114"/>
      <c r="O802" s="786">
        <v>46097</v>
      </c>
      <c r="P802" s="1012">
        <v>135000</v>
      </c>
    </row>
    <row r="803" spans="4:16" s="731" customFormat="1">
      <c r="D803" s="1008"/>
      <c r="E803" s="1008"/>
      <c r="F803" s="1008"/>
      <c r="G803" s="1008"/>
      <c r="I803" s="786">
        <v>46097</v>
      </c>
      <c r="J803" s="732"/>
      <c r="K803" s="172"/>
      <c r="L803" s="1012">
        <v>200000</v>
      </c>
      <c r="M803" s="1114"/>
      <c r="O803" s="786">
        <v>46097</v>
      </c>
      <c r="P803" s="1012">
        <v>200000</v>
      </c>
    </row>
    <row r="804" spans="4:16" s="731" customFormat="1">
      <c r="D804" s="1014"/>
      <c r="E804" s="1014"/>
      <c r="F804" s="1014"/>
      <c r="G804" s="1014"/>
      <c r="I804" s="1018"/>
      <c r="J804" s="568"/>
      <c r="K804" s="1117"/>
      <c r="L804" s="1012"/>
      <c r="M804" s="1114"/>
      <c r="O804" s="786"/>
      <c r="P804" s="1012"/>
    </row>
    <row r="805" spans="4:16" s="731" customFormat="1">
      <c r="D805" s="1008"/>
      <c r="E805" s="1008"/>
      <c r="F805" s="1008"/>
      <c r="G805" s="1008"/>
      <c r="I805" s="549"/>
      <c r="J805" s="1009"/>
      <c r="K805" s="1131"/>
      <c r="L805" s="1011"/>
      <c r="M805" s="1010"/>
      <c r="O805" s="786">
        <v>46098</v>
      </c>
      <c r="P805" s="1012">
        <v>200000</v>
      </c>
    </row>
    <row r="806" spans="4:16" s="731" customFormat="1">
      <c r="D806" s="1008"/>
      <c r="E806" s="1008"/>
      <c r="F806" s="1008"/>
      <c r="G806" s="1008"/>
      <c r="I806" s="549"/>
      <c r="J806" s="1009"/>
      <c r="K806" s="1131"/>
      <c r="L806" s="1010"/>
      <c r="M806" s="1010"/>
      <c r="O806" s="786">
        <v>46098</v>
      </c>
      <c r="P806" s="1012">
        <v>150000</v>
      </c>
    </row>
    <row r="807" spans="4:16" s="731" customFormat="1">
      <c r="D807" s="1008"/>
      <c r="E807" s="1008"/>
      <c r="F807" s="1008"/>
      <c r="G807" s="1008"/>
      <c r="I807" s="549"/>
      <c r="J807" s="1009"/>
      <c r="K807" s="1131"/>
      <c r="L807" s="1010"/>
      <c r="M807" s="1010"/>
      <c r="O807" s="786">
        <v>46098</v>
      </c>
      <c r="P807" s="1012">
        <v>200000</v>
      </c>
    </row>
    <row r="808" spans="4:16" s="731" customFormat="1">
      <c r="D808" s="1008"/>
      <c r="E808" s="1008"/>
      <c r="F808" s="1008"/>
      <c r="G808" s="1008"/>
      <c r="I808" s="549"/>
      <c r="J808" s="1009"/>
      <c r="K808" s="1131"/>
      <c r="L808" s="1010"/>
      <c r="M808" s="1010"/>
      <c r="O808" s="786">
        <v>46099</v>
      </c>
      <c r="P808" s="1012">
        <v>100000</v>
      </c>
    </row>
    <row r="809" spans="4:16" s="731" customFormat="1">
      <c r="D809" s="1008"/>
      <c r="E809" s="1008"/>
      <c r="F809" s="1008"/>
      <c r="G809" s="1008"/>
      <c r="I809" s="549"/>
      <c r="J809" s="1009"/>
      <c r="K809" s="1131"/>
      <c r="L809" s="1010"/>
      <c r="M809" s="1010"/>
      <c r="O809" s="786">
        <v>46099</v>
      </c>
      <c r="P809" s="1012">
        <v>150000</v>
      </c>
    </row>
    <row r="810" spans="4:16" s="731" customFormat="1">
      <c r="D810" s="1008"/>
      <c r="E810" s="1008"/>
      <c r="F810" s="1008"/>
      <c r="G810" s="1008"/>
      <c r="I810" s="549"/>
      <c r="J810" s="1009"/>
      <c r="K810" s="1131"/>
      <c r="L810" s="1010"/>
      <c r="M810" s="1010"/>
      <c r="O810" s="786">
        <v>46099</v>
      </c>
      <c r="P810" s="1012">
        <v>250000</v>
      </c>
    </row>
    <row r="811" spans="4:16" s="731" customFormat="1">
      <c r="D811" s="1008"/>
      <c r="E811" s="1008"/>
      <c r="F811" s="1008"/>
      <c r="G811" s="1008"/>
      <c r="I811" s="549"/>
      <c r="J811" s="1009"/>
      <c r="K811" s="1131"/>
      <c r="L811" s="1010"/>
      <c r="M811" s="1010"/>
      <c r="O811" s="786">
        <v>46099</v>
      </c>
      <c r="P811" s="1012">
        <v>83000</v>
      </c>
    </row>
    <row r="812" spans="4:16" s="731" customFormat="1">
      <c r="D812" s="1008"/>
      <c r="E812" s="1008"/>
      <c r="F812" s="1008"/>
      <c r="G812" s="1008"/>
      <c r="I812" s="549"/>
      <c r="J812" s="1009"/>
      <c r="K812" s="1131"/>
      <c r="L812" s="1010"/>
      <c r="M812" s="1010"/>
      <c r="O812" s="786">
        <v>46099</v>
      </c>
      <c r="P812" s="1012">
        <v>210000</v>
      </c>
    </row>
    <row r="813" spans="4:16" s="731" customFormat="1">
      <c r="D813" s="1008"/>
      <c r="E813" s="1008"/>
      <c r="F813" s="1008"/>
      <c r="G813" s="1008"/>
      <c r="I813" s="549"/>
      <c r="J813" s="1009"/>
      <c r="K813" s="1131"/>
      <c r="L813" s="1010"/>
      <c r="M813" s="1010"/>
      <c r="O813" s="786">
        <v>46099</v>
      </c>
      <c r="P813" s="1012">
        <v>200000</v>
      </c>
    </row>
    <row r="814" spans="4:16" s="731" customFormat="1">
      <c r="D814" s="1008"/>
      <c r="E814" s="1008"/>
      <c r="F814" s="1008"/>
      <c r="G814" s="1008"/>
      <c r="I814" s="549"/>
      <c r="J814" s="1009"/>
      <c r="K814" s="1131"/>
      <c r="L814" s="1010"/>
      <c r="M814" s="1010"/>
      <c r="O814" s="786">
        <v>46100</v>
      </c>
      <c r="P814" s="1012">
        <v>200000</v>
      </c>
    </row>
    <row r="815" spans="4:16" s="731" customFormat="1">
      <c r="D815" s="1008"/>
      <c r="E815" s="1008"/>
      <c r="F815" s="1008"/>
      <c r="G815" s="1008"/>
      <c r="I815" s="549"/>
      <c r="J815" s="1009"/>
      <c r="K815" s="1131"/>
      <c r="L815" s="1010"/>
      <c r="M815" s="1010"/>
      <c r="O815" s="786">
        <v>46101</v>
      </c>
      <c r="P815" s="1012">
        <v>100000</v>
      </c>
    </row>
    <row r="816" spans="4:16" s="731" customFormat="1">
      <c r="D816" s="1008"/>
      <c r="E816" s="1008"/>
      <c r="F816" s="1008"/>
      <c r="G816" s="1008"/>
      <c r="I816" s="549"/>
      <c r="J816" s="1009"/>
      <c r="K816" s="1131"/>
      <c r="L816" s="1010"/>
      <c r="M816" s="1010"/>
      <c r="O816" s="786">
        <v>46101</v>
      </c>
      <c r="P816" s="1012">
        <v>200000</v>
      </c>
    </row>
    <row r="817" spans="4:16" s="731" customFormat="1">
      <c r="D817" s="1008"/>
      <c r="E817" s="1008"/>
      <c r="F817" s="1008"/>
      <c r="G817" s="1008"/>
      <c r="I817" s="549"/>
      <c r="J817" s="1009"/>
      <c r="K817" s="1131"/>
      <c r="L817" s="1010"/>
      <c r="M817" s="1010"/>
      <c r="O817" s="786">
        <v>46102</v>
      </c>
      <c r="P817" s="1012">
        <v>200000</v>
      </c>
    </row>
    <row r="818" spans="4:16" s="731" customFormat="1">
      <c r="D818" s="1008"/>
      <c r="E818" s="1008"/>
      <c r="F818" s="1008"/>
      <c r="G818" s="1008"/>
      <c r="I818" s="549"/>
      <c r="J818" s="1009"/>
      <c r="K818" s="1131"/>
      <c r="L818" s="1010"/>
      <c r="M818" s="1010"/>
      <c r="O818" s="786">
        <v>46105</v>
      </c>
      <c r="P818" s="1012">
        <v>146500</v>
      </c>
    </row>
    <row r="819" spans="4:16" s="731" customFormat="1">
      <c r="D819" s="1008"/>
      <c r="E819" s="1008"/>
      <c r="F819" s="1008"/>
      <c r="G819" s="1008"/>
      <c r="I819" s="549"/>
      <c r="J819" s="1009"/>
      <c r="K819" s="1131"/>
      <c r="L819" s="1010"/>
      <c r="M819" s="1010"/>
      <c r="O819" s="786">
        <v>46105</v>
      </c>
      <c r="P819" s="1012">
        <v>200000</v>
      </c>
    </row>
    <row r="820" spans="4:16" s="731" customFormat="1">
      <c r="D820" s="1008"/>
      <c r="E820" s="1008"/>
      <c r="F820" s="1008"/>
      <c r="G820" s="1008"/>
      <c r="I820" s="549"/>
      <c r="J820" s="1009"/>
      <c r="K820" s="1131"/>
      <c r="L820" s="1010"/>
      <c r="M820" s="1010"/>
      <c r="O820" s="786">
        <v>46105</v>
      </c>
      <c r="P820" s="1012">
        <v>150000</v>
      </c>
    </row>
    <row r="821" spans="4:16" s="731" customFormat="1">
      <c r="D821" s="1008"/>
      <c r="E821" s="1008"/>
      <c r="F821" s="1008"/>
      <c r="G821" s="1008"/>
      <c r="I821" s="549"/>
      <c r="J821" s="1009"/>
      <c r="K821" s="1131"/>
      <c r="L821" s="1010"/>
      <c r="M821" s="1010"/>
      <c r="O821" s="786">
        <v>46106</v>
      </c>
      <c r="P821" s="1012">
        <v>200000</v>
      </c>
    </row>
    <row r="822" spans="4:16" s="731" customFormat="1">
      <c r="D822" s="1008"/>
      <c r="E822" s="1008"/>
      <c r="F822" s="1008"/>
      <c r="G822" s="1008"/>
      <c r="I822" s="549"/>
      <c r="J822" s="1009"/>
      <c r="K822" s="1131"/>
      <c r="L822" s="1010"/>
      <c r="M822" s="1010"/>
      <c r="O822" s="786">
        <v>46107</v>
      </c>
      <c r="P822" s="1012">
        <v>200000</v>
      </c>
    </row>
    <row r="823" spans="4:16" s="731" customFormat="1">
      <c r="D823" s="1008"/>
      <c r="E823" s="1008"/>
      <c r="F823" s="1008"/>
      <c r="G823" s="1008"/>
      <c r="I823" s="549"/>
      <c r="J823" s="1009"/>
      <c r="K823" s="1131"/>
      <c r="L823" s="1010"/>
      <c r="M823" s="1010"/>
      <c r="O823" s="786">
        <v>46108</v>
      </c>
      <c r="P823" s="1012">
        <v>195000</v>
      </c>
    </row>
    <row r="824" spans="4:16" s="731" customFormat="1">
      <c r="D824" s="1014"/>
      <c r="E824" s="1014"/>
      <c r="F824" s="1014"/>
      <c r="G824" s="1014"/>
      <c r="I824" s="549"/>
      <c r="J824" s="1009"/>
      <c r="K824" s="1131"/>
      <c r="L824" s="1010"/>
      <c r="M824" s="1010"/>
      <c r="O824" s="786">
        <v>46109</v>
      </c>
      <c r="P824" s="1012">
        <v>200000</v>
      </c>
    </row>
    <row r="825" spans="4:16" s="731" customFormat="1">
      <c r="D825" s="1014"/>
      <c r="E825" s="1014"/>
      <c r="F825" s="1014"/>
      <c r="G825" s="1014"/>
      <c r="I825" s="549"/>
      <c r="J825" s="1009"/>
      <c r="K825" s="1131"/>
      <c r="L825" s="1010"/>
      <c r="M825" s="1010"/>
      <c r="O825" s="786">
        <v>46109</v>
      </c>
      <c r="P825" s="1012">
        <v>200000</v>
      </c>
    </row>
    <row r="826" spans="4:16" s="731" customFormat="1">
      <c r="D826" s="1014"/>
      <c r="E826" s="1014"/>
      <c r="F826" s="1014"/>
      <c r="G826" s="1014"/>
      <c r="I826" s="549"/>
      <c r="J826" s="1009"/>
      <c r="K826" s="1131"/>
      <c r="L826" s="1010"/>
      <c r="M826" s="1010"/>
      <c r="O826" s="786">
        <v>46110</v>
      </c>
      <c r="P826" s="1012">
        <v>150000</v>
      </c>
    </row>
    <row r="827" spans="4:16" s="731" customFormat="1">
      <c r="D827" s="1014"/>
      <c r="E827" s="1014"/>
      <c r="F827" s="1014"/>
      <c r="G827" s="1014"/>
      <c r="I827" s="549"/>
      <c r="J827" s="1009"/>
      <c r="K827" s="1131"/>
      <c r="L827" s="1010"/>
      <c r="M827" s="1010"/>
      <c r="O827" s="786">
        <v>46112</v>
      </c>
      <c r="P827" s="1012">
        <v>36000</v>
      </c>
    </row>
    <row r="828" spans="4:16" s="731" customFormat="1">
      <c r="D828" s="1014"/>
      <c r="E828" s="1014"/>
      <c r="F828" s="1014"/>
      <c r="G828" s="1014"/>
      <c r="I828" s="549"/>
      <c r="J828" s="1009"/>
      <c r="K828" s="1131"/>
      <c r="L828" s="1010"/>
      <c r="M828" s="1010"/>
      <c r="O828" s="786">
        <v>46112</v>
      </c>
      <c r="P828" s="1012">
        <v>200000</v>
      </c>
    </row>
    <row r="829" spans="4:16" s="731" customFormat="1">
      <c r="D829" s="1014"/>
      <c r="E829" s="1014"/>
      <c r="F829" s="1014"/>
      <c r="G829" s="1014"/>
      <c r="I829" s="549"/>
      <c r="J829" s="1009"/>
      <c r="K829" s="1131"/>
      <c r="L829" s="1010"/>
      <c r="M829" s="1010"/>
      <c r="O829" s="786">
        <v>46112</v>
      </c>
      <c r="P829" s="1012">
        <v>200000</v>
      </c>
    </row>
    <row r="830" spans="4:16" s="731" customFormat="1">
      <c r="D830" s="1014"/>
      <c r="E830" s="1014"/>
      <c r="F830" s="1014"/>
      <c r="G830" s="1014"/>
      <c r="I830" s="549"/>
      <c r="J830" s="1009"/>
      <c r="K830" s="1131"/>
      <c r="L830" s="1010"/>
      <c r="M830" s="1010"/>
      <c r="O830" s="786">
        <v>46113</v>
      </c>
      <c r="P830" s="1012">
        <v>200000</v>
      </c>
    </row>
    <row r="831" spans="4:16" s="731" customFormat="1">
      <c r="D831" s="1014"/>
      <c r="E831" s="1014"/>
      <c r="F831" s="1014"/>
      <c r="G831" s="1014"/>
      <c r="I831" s="549"/>
      <c r="J831" s="1009"/>
      <c r="K831" s="1131"/>
      <c r="L831" s="1010"/>
      <c r="M831" s="1010"/>
      <c r="O831" s="786">
        <v>46114</v>
      </c>
      <c r="P831" s="1012">
        <v>100000</v>
      </c>
    </row>
    <row r="832" spans="4:16" s="731" customFormat="1">
      <c r="D832" s="1014"/>
      <c r="E832" s="1014"/>
      <c r="F832" s="1014"/>
      <c r="G832" s="1014"/>
      <c r="I832" s="549"/>
      <c r="J832" s="1009"/>
      <c r="K832" s="1131"/>
      <c r="L832" s="1010"/>
      <c r="M832" s="1010"/>
      <c r="O832" s="786">
        <v>46114</v>
      </c>
      <c r="P832" s="1012">
        <v>250000</v>
      </c>
    </row>
    <row r="833" spans="4:16" s="731" customFormat="1">
      <c r="D833" s="1014"/>
      <c r="E833" s="1014"/>
      <c r="F833" s="1014"/>
      <c r="G833" s="1014"/>
      <c r="I833" s="549"/>
      <c r="J833" s="1009"/>
      <c r="K833" s="1131"/>
      <c r="L833" s="1010"/>
      <c r="M833" s="1010"/>
      <c r="O833" s="786">
        <v>46115</v>
      </c>
      <c r="P833" s="1012">
        <v>200000</v>
      </c>
    </row>
    <row r="834" spans="4:16" s="731" customFormat="1">
      <c r="D834" s="1008"/>
      <c r="E834" s="1008"/>
      <c r="F834" s="1008"/>
      <c r="G834" s="1008"/>
      <c r="I834" s="549"/>
      <c r="J834" s="1009"/>
      <c r="K834" s="1131"/>
      <c r="L834" s="1010"/>
      <c r="M834" s="1010"/>
      <c r="O834" s="786">
        <v>46115</v>
      </c>
      <c r="P834" s="1012">
        <v>200000</v>
      </c>
    </row>
    <row r="835" spans="4:16" s="731" customFormat="1">
      <c r="D835" s="1008"/>
      <c r="E835" s="1008"/>
      <c r="F835" s="1008"/>
      <c r="G835" s="1008"/>
      <c r="I835" s="549"/>
      <c r="J835" s="1009"/>
      <c r="K835" s="1131"/>
      <c r="L835" s="1010"/>
      <c r="M835" s="1010"/>
      <c r="O835" s="786">
        <v>46115</v>
      </c>
      <c r="P835" s="1012">
        <v>30000</v>
      </c>
    </row>
    <row r="836" spans="4:16" s="731" customFormat="1">
      <c r="D836" s="1014"/>
      <c r="E836" s="1014"/>
      <c r="F836" s="1014"/>
      <c r="G836" s="1014"/>
      <c r="I836" s="549"/>
      <c r="J836" s="1009"/>
      <c r="K836" s="1131"/>
      <c r="L836" s="1010"/>
      <c r="M836" s="1010"/>
    </row>
    <row r="837" spans="4:16" s="731" customFormat="1" ht="15" customHeight="1">
      <c r="D837" s="1008"/>
      <c r="E837" s="1008"/>
      <c r="F837" s="1008"/>
      <c r="G837" s="1008"/>
      <c r="I837" s="549"/>
      <c r="J837" s="1009"/>
      <c r="K837" s="1131"/>
      <c r="L837" s="1010"/>
      <c r="M837" s="1010"/>
    </row>
    <row r="838" spans="4:16" s="731" customFormat="1" ht="15" customHeight="1">
      <c r="D838" s="1008"/>
      <c r="E838" s="1008"/>
      <c r="F838" s="1008"/>
      <c r="G838" s="1008"/>
      <c r="I838" s="549"/>
      <c r="J838" s="1009"/>
      <c r="K838" s="1131"/>
      <c r="L838" s="1010"/>
      <c r="M838" s="1010"/>
    </row>
    <row r="839" spans="4:16" s="731" customFormat="1" ht="15" customHeight="1">
      <c r="D839" s="1014"/>
      <c r="E839" s="1014"/>
      <c r="F839" s="1014"/>
      <c r="G839" s="1014"/>
      <c r="I839" s="549"/>
      <c r="J839" s="1009"/>
      <c r="K839" s="1131"/>
      <c r="L839" s="1010"/>
      <c r="M839" s="1010"/>
    </row>
    <row r="840" spans="4:16" s="731" customFormat="1" ht="15" customHeight="1">
      <c r="D840" s="1014"/>
      <c r="E840" s="1014"/>
      <c r="F840" s="1014"/>
      <c r="G840" s="1014"/>
      <c r="I840" s="549"/>
      <c r="J840" s="1009"/>
      <c r="K840" s="1131"/>
      <c r="L840" s="1010"/>
      <c r="M840" s="1010"/>
    </row>
    <row r="841" spans="4:16" s="731" customFormat="1" ht="15" customHeight="1">
      <c r="D841" s="1014"/>
      <c r="E841" s="1014"/>
      <c r="F841" s="1014"/>
      <c r="G841" s="1014"/>
      <c r="I841" s="549"/>
      <c r="J841" s="1009"/>
      <c r="K841" s="1131"/>
      <c r="L841" s="1010"/>
      <c r="M841" s="1010"/>
    </row>
    <row r="842" spans="4:16" s="731" customFormat="1" ht="15" customHeight="1">
      <c r="D842" s="1014"/>
      <c r="E842" s="1014"/>
      <c r="F842" s="1014"/>
      <c r="G842" s="1014"/>
      <c r="I842" s="549"/>
      <c r="J842" s="1009"/>
      <c r="K842" s="1131"/>
      <c r="L842" s="1010"/>
      <c r="M842" s="1010"/>
    </row>
    <row r="843" spans="4:16" s="731" customFormat="1" ht="15" customHeight="1">
      <c r="D843" s="1014"/>
      <c r="E843" s="1014"/>
      <c r="F843" s="1014"/>
      <c r="G843" s="1014"/>
      <c r="I843" s="549"/>
      <c r="J843" s="1009"/>
      <c r="K843" s="1131"/>
      <c r="L843" s="1010"/>
      <c r="M843" s="1010"/>
    </row>
    <row r="844" spans="4:16" s="731" customFormat="1" ht="15.75" customHeight="1">
      <c r="D844" s="1014"/>
      <c r="E844" s="1014"/>
      <c r="F844" s="1014"/>
      <c r="G844" s="1014"/>
      <c r="I844" s="549"/>
      <c r="J844" s="1009"/>
      <c r="K844" s="1131"/>
      <c r="L844" s="1010"/>
      <c r="M844" s="1010"/>
      <c r="P844" s="27"/>
    </row>
    <row r="845" spans="4:16" s="1292" customFormat="1" ht="15.75" customHeight="1">
      <c r="D845" s="1295"/>
      <c r="E845" s="1295"/>
      <c r="F845" s="1295"/>
      <c r="G845" s="1295"/>
      <c r="I845" s="549"/>
      <c r="J845" s="1009"/>
      <c r="K845" s="1131"/>
      <c r="L845" s="1010"/>
      <c r="M845" s="1010"/>
      <c r="P845" s="27"/>
    </row>
    <row r="846" spans="4:16" s="1292" customFormat="1" ht="15.75" customHeight="1">
      <c r="D846" s="1295"/>
      <c r="E846" s="1295"/>
      <c r="F846" s="1295"/>
      <c r="G846" s="1295"/>
      <c r="I846" s="549"/>
      <c r="J846" s="1009"/>
      <c r="K846" s="1131"/>
      <c r="L846" s="1010"/>
      <c r="M846" s="1010"/>
      <c r="O846" s="786">
        <v>46113</v>
      </c>
      <c r="P846" s="1019">
        <v>-120000</v>
      </c>
    </row>
    <row r="847" spans="4:16" s="1292" customFormat="1" ht="15.75" customHeight="1">
      <c r="D847" s="1295"/>
      <c r="E847" s="1295"/>
      <c r="F847" s="1295"/>
      <c r="G847" s="1295"/>
      <c r="I847" s="549"/>
      <c r="J847" s="1009"/>
      <c r="K847" s="1131"/>
      <c r="L847" s="1010"/>
      <c r="M847" s="1010"/>
      <c r="O847" s="786">
        <v>46115</v>
      </c>
      <c r="P847" s="1019">
        <v>-200000</v>
      </c>
    </row>
    <row r="848" spans="4:16" s="1292" customFormat="1" ht="15.75" customHeight="1">
      <c r="D848" s="1295"/>
      <c r="E848" s="1295"/>
      <c r="F848" s="1295"/>
      <c r="G848" s="1295"/>
      <c r="I848" s="549"/>
      <c r="J848" s="1009"/>
      <c r="K848" s="1131"/>
      <c r="L848" s="1010"/>
      <c r="M848" s="1010"/>
      <c r="O848" s="786">
        <v>46116</v>
      </c>
      <c r="P848" s="1019">
        <v>-185000</v>
      </c>
    </row>
    <row r="849" spans="4:16" s="1292" customFormat="1" ht="15.75" customHeight="1">
      <c r="D849" s="1295"/>
      <c r="E849" s="1295"/>
      <c r="F849" s="1295"/>
      <c r="G849" s="1295"/>
      <c r="I849" s="549"/>
      <c r="J849" s="1009"/>
      <c r="K849" s="1131"/>
      <c r="L849" s="1010"/>
      <c r="M849" s="1010"/>
      <c r="O849" s="786">
        <v>46116</v>
      </c>
      <c r="P849" s="1012">
        <v>200000</v>
      </c>
    </row>
    <row r="850" spans="4:16" s="1292" customFormat="1" ht="15.75" customHeight="1">
      <c r="D850" s="1295"/>
      <c r="E850" s="1295"/>
      <c r="F850" s="1295"/>
      <c r="G850" s="1295"/>
      <c r="I850" s="549"/>
      <c r="J850" s="1009"/>
      <c r="K850" s="1131"/>
      <c r="L850" s="1010"/>
      <c r="M850" s="1010"/>
      <c r="O850" s="786">
        <v>46116</v>
      </c>
      <c r="P850" s="1012">
        <v>100000</v>
      </c>
    </row>
    <row r="851" spans="4:16" s="731" customFormat="1" ht="15" customHeight="1">
      <c r="D851" s="1014"/>
      <c r="E851" s="1014"/>
      <c r="F851" s="1014"/>
      <c r="G851" s="1014"/>
      <c r="I851" s="549"/>
      <c r="J851" s="1009"/>
      <c r="K851" s="1131"/>
      <c r="L851" s="1010"/>
      <c r="M851" s="1010"/>
      <c r="O851" s="786">
        <v>46116</v>
      </c>
      <c r="P851" s="1012">
        <v>200000</v>
      </c>
    </row>
    <row r="852" spans="4:16" s="731" customFormat="1" ht="15" customHeight="1">
      <c r="D852" s="1014"/>
      <c r="E852" s="1014"/>
      <c r="F852" s="1014"/>
      <c r="G852" s="1014"/>
      <c r="I852" s="549"/>
      <c r="J852" s="1009"/>
      <c r="K852" s="1131"/>
      <c r="L852" s="1010"/>
      <c r="M852" s="1010"/>
      <c r="O852" s="786">
        <v>46117</v>
      </c>
      <c r="P852" s="1012">
        <v>250000</v>
      </c>
    </row>
    <row r="853" spans="4:16" s="1292" customFormat="1" ht="15" customHeight="1">
      <c r="D853" s="1295"/>
      <c r="E853" s="1295"/>
      <c r="F853" s="1295"/>
      <c r="G853" s="1295"/>
      <c r="I853" s="549"/>
      <c r="J853" s="1009"/>
      <c r="K853" s="1131"/>
      <c r="L853" s="1010"/>
      <c r="M853" s="1010"/>
      <c r="O853" s="786">
        <v>46118</v>
      </c>
      <c r="P853" s="1012">
        <v>200000</v>
      </c>
    </row>
    <row r="854" spans="4:16" s="1292" customFormat="1" ht="15" customHeight="1">
      <c r="D854" s="1295"/>
      <c r="E854" s="1295"/>
      <c r="F854" s="1295"/>
      <c r="G854" s="1295"/>
      <c r="I854" s="549"/>
      <c r="J854" s="1009"/>
      <c r="K854" s="1131"/>
      <c r="L854" s="1010"/>
      <c r="M854" s="1010"/>
      <c r="O854" s="786">
        <v>46118</v>
      </c>
      <c r="P854" s="1066">
        <v>75000</v>
      </c>
    </row>
    <row r="855" spans="4:16" s="1292" customFormat="1" ht="15" customHeight="1">
      <c r="D855" s="1295"/>
      <c r="E855" s="1295"/>
      <c r="F855" s="1295"/>
      <c r="G855" s="1295"/>
      <c r="I855" s="549"/>
      <c r="J855" s="1009"/>
      <c r="K855" s="1131"/>
      <c r="L855" s="1010"/>
      <c r="M855" s="1010"/>
      <c r="O855" s="786">
        <v>46119</v>
      </c>
      <c r="P855" s="1066">
        <v>200000</v>
      </c>
    </row>
    <row r="856" spans="4:16" s="1292" customFormat="1" ht="15" customHeight="1">
      <c r="D856" s="1295"/>
      <c r="E856" s="1295"/>
      <c r="F856" s="1295"/>
      <c r="G856" s="1295"/>
      <c r="I856" s="549"/>
      <c r="J856" s="1009"/>
      <c r="K856" s="1131"/>
      <c r="L856" s="1010"/>
      <c r="M856" s="1010"/>
      <c r="O856" s="786">
        <v>46120</v>
      </c>
      <c r="P856" s="1066">
        <v>150000</v>
      </c>
    </row>
    <row r="857" spans="4:16" s="1292" customFormat="1" ht="15" customHeight="1">
      <c r="D857" s="1295"/>
      <c r="E857" s="1295"/>
      <c r="F857" s="1295"/>
      <c r="G857" s="1295"/>
      <c r="I857" s="549"/>
      <c r="J857" s="1009"/>
      <c r="K857" s="1131"/>
      <c r="L857" s="1010"/>
      <c r="M857" s="1010"/>
      <c r="O857" s="786">
        <v>46120</v>
      </c>
      <c r="P857" s="617">
        <v>77000</v>
      </c>
    </row>
    <row r="858" spans="4:16" s="1292" customFormat="1" ht="15" customHeight="1">
      <c r="D858" s="1295"/>
      <c r="E858" s="1295"/>
      <c r="F858" s="1295"/>
      <c r="G858" s="1295"/>
      <c r="I858" s="549"/>
      <c r="J858" s="1009"/>
      <c r="K858" s="1131"/>
      <c r="L858" s="1010"/>
      <c r="M858" s="1010"/>
      <c r="O858" s="786">
        <v>46120</v>
      </c>
      <c r="P858" s="1066">
        <v>150000</v>
      </c>
    </row>
    <row r="859" spans="4:16" s="1292" customFormat="1" ht="15" customHeight="1">
      <c r="D859" s="1295"/>
      <c r="E859" s="1295"/>
      <c r="F859" s="1295"/>
      <c r="G859" s="1295"/>
      <c r="I859" s="549"/>
      <c r="J859" s="1009"/>
      <c r="K859" s="1131"/>
      <c r="L859" s="1010"/>
      <c r="M859" s="1010"/>
      <c r="O859" s="786">
        <v>46121</v>
      </c>
      <c r="P859" s="1066">
        <v>250000</v>
      </c>
    </row>
    <row r="860" spans="4:16" s="1292" customFormat="1" ht="15" customHeight="1">
      <c r="D860" s="1295"/>
      <c r="E860" s="1295"/>
      <c r="F860" s="1295"/>
      <c r="G860" s="1295"/>
      <c r="I860" s="549"/>
      <c r="J860" s="1009"/>
      <c r="K860" s="1131"/>
      <c r="L860" s="1010"/>
      <c r="M860" s="1010"/>
      <c r="O860" s="786">
        <v>46121</v>
      </c>
      <c r="P860" s="1068">
        <v>-600000</v>
      </c>
    </row>
    <row r="861" spans="4:16" s="1292" customFormat="1" ht="15" customHeight="1">
      <c r="D861" s="1295"/>
      <c r="E861" s="1295"/>
      <c r="F861" s="1295"/>
      <c r="G861" s="1295"/>
      <c r="I861" s="549"/>
      <c r="J861" s="1009"/>
      <c r="K861" s="1131"/>
      <c r="L861" s="1010"/>
      <c r="M861" s="1010"/>
      <c r="O861" s="786">
        <v>46122</v>
      </c>
      <c r="P861" s="1066">
        <v>200000</v>
      </c>
    </row>
    <row r="862" spans="4:16" s="1292" customFormat="1" ht="15" customHeight="1">
      <c r="D862" s="1295"/>
      <c r="E862" s="1295"/>
      <c r="F862" s="1295"/>
      <c r="G862" s="1295"/>
      <c r="I862" s="549"/>
      <c r="J862" s="1009"/>
      <c r="K862" s="1131"/>
      <c r="L862" s="1010"/>
      <c r="M862" s="1010"/>
      <c r="O862" s="786">
        <v>46123</v>
      </c>
      <c r="P862" s="1066">
        <v>150000</v>
      </c>
    </row>
    <row r="863" spans="4:16" s="1292" customFormat="1" ht="15" customHeight="1">
      <c r="D863" s="1295"/>
      <c r="E863" s="1295"/>
      <c r="F863" s="1295"/>
      <c r="G863" s="1295"/>
      <c r="I863" s="549"/>
      <c r="J863" s="1009"/>
      <c r="K863" s="1131"/>
      <c r="L863" s="1010"/>
      <c r="M863" s="1010"/>
      <c r="O863" s="786">
        <v>46123</v>
      </c>
      <c r="P863" s="1066">
        <v>192400</v>
      </c>
    </row>
    <row r="864" spans="4:16" s="1292" customFormat="1" ht="15" customHeight="1">
      <c r="D864" s="1295"/>
      <c r="E864" s="1295"/>
      <c r="F864" s="1295"/>
      <c r="G864" s="1295"/>
      <c r="I864" s="549"/>
      <c r="J864" s="1009"/>
      <c r="K864" s="1131"/>
      <c r="L864" s="1010"/>
      <c r="M864" s="1010"/>
      <c r="O864" s="786">
        <v>46123</v>
      </c>
      <c r="P864" s="1066">
        <v>150000</v>
      </c>
    </row>
    <row r="865" spans="4:16" s="1292" customFormat="1" ht="15" customHeight="1">
      <c r="D865" s="1295"/>
      <c r="E865" s="1295"/>
      <c r="F865" s="1295"/>
      <c r="G865" s="1295"/>
      <c r="I865" s="549"/>
      <c r="J865" s="1009"/>
      <c r="K865" s="1131"/>
      <c r="L865" s="1010"/>
      <c r="M865" s="1010"/>
      <c r="O865" s="786">
        <v>46124</v>
      </c>
      <c r="P865" s="1066">
        <v>250000</v>
      </c>
    </row>
    <row r="866" spans="4:16" s="1292" customFormat="1" ht="15" customHeight="1">
      <c r="D866" s="1295"/>
      <c r="E866" s="1295"/>
      <c r="F866" s="1295"/>
      <c r="G866" s="1295"/>
      <c r="I866" s="549"/>
      <c r="J866" s="1009"/>
      <c r="K866" s="1131"/>
      <c r="L866" s="1010"/>
      <c r="M866" s="1010"/>
      <c r="O866" s="786">
        <v>46125</v>
      </c>
      <c r="P866" s="1066">
        <v>150000</v>
      </c>
    </row>
    <row r="867" spans="4:16" s="1292" customFormat="1" ht="15" customHeight="1">
      <c r="D867" s="1295"/>
      <c r="E867" s="1295"/>
      <c r="F867" s="1295"/>
      <c r="G867" s="1295"/>
      <c r="I867" s="549"/>
      <c r="J867" s="1009"/>
      <c r="K867" s="1131"/>
      <c r="L867" s="1010"/>
      <c r="M867" s="1010"/>
      <c r="O867" s="786">
        <v>46126</v>
      </c>
      <c r="P867" s="1066">
        <v>150000</v>
      </c>
    </row>
    <row r="868" spans="4:16" s="1292" customFormat="1" ht="15" customHeight="1">
      <c r="D868" s="1295"/>
      <c r="E868" s="1295"/>
      <c r="F868" s="1295"/>
      <c r="G868" s="1295"/>
      <c r="I868" s="549"/>
      <c r="J868" s="1009"/>
      <c r="K868" s="1131"/>
      <c r="L868" s="1010"/>
      <c r="M868" s="1010"/>
      <c r="O868" s="786">
        <v>46126</v>
      </c>
      <c r="P868" s="1066">
        <v>200000</v>
      </c>
    </row>
    <row r="869" spans="4:16" s="1292" customFormat="1" ht="15" customHeight="1">
      <c r="D869" s="1295"/>
      <c r="E869" s="1295"/>
      <c r="F869" s="1295"/>
      <c r="G869" s="1295"/>
      <c r="I869" s="549"/>
      <c r="J869" s="1009"/>
      <c r="K869" s="1131"/>
      <c r="L869" s="1010"/>
      <c r="M869" s="1010"/>
      <c r="O869" s="786">
        <v>46126</v>
      </c>
      <c r="P869" s="1066">
        <v>1200000</v>
      </c>
    </row>
    <row r="870" spans="4:16" s="1292" customFormat="1" ht="15" customHeight="1">
      <c r="D870" s="1295"/>
      <c r="E870" s="1295"/>
      <c r="F870" s="1295"/>
      <c r="G870" s="1295"/>
      <c r="I870" s="549"/>
      <c r="J870" s="1009"/>
      <c r="K870" s="1131"/>
      <c r="L870" s="1010"/>
      <c r="M870" s="1010"/>
      <c r="O870" s="786">
        <v>46126</v>
      </c>
      <c r="P870" s="1066">
        <v>150000</v>
      </c>
    </row>
    <row r="871" spans="4:16" s="1292" customFormat="1" ht="15" customHeight="1">
      <c r="D871" s="1295"/>
      <c r="E871" s="1295"/>
      <c r="F871" s="1295"/>
      <c r="G871" s="1295"/>
      <c r="I871" s="549"/>
      <c r="J871" s="1009"/>
      <c r="K871" s="1131"/>
      <c r="L871" s="1010"/>
      <c r="M871" s="1010"/>
      <c r="O871" s="786">
        <v>46127</v>
      </c>
      <c r="P871" s="1066">
        <v>150000</v>
      </c>
    </row>
    <row r="872" spans="4:16" s="1292" customFormat="1" ht="15" customHeight="1">
      <c r="D872" s="1295"/>
      <c r="E872" s="1295"/>
      <c r="F872" s="1295"/>
      <c r="G872" s="1295"/>
      <c r="I872" s="549"/>
      <c r="J872" s="1009"/>
      <c r="K872" s="1131"/>
      <c r="L872" s="1010"/>
      <c r="M872" s="1010"/>
      <c r="O872" s="786">
        <v>46128</v>
      </c>
      <c r="P872" s="1066">
        <v>13000</v>
      </c>
    </row>
    <row r="873" spans="4:16" s="1292" customFormat="1" ht="15" customHeight="1">
      <c r="D873" s="1295"/>
      <c r="E873" s="1295"/>
      <c r="F873" s="1295"/>
      <c r="G873" s="1295"/>
      <c r="I873" s="549"/>
      <c r="J873" s="1009"/>
      <c r="K873" s="1131"/>
      <c r="L873" s="1010"/>
      <c r="M873" s="1010"/>
      <c r="O873" s="786">
        <v>46128</v>
      </c>
      <c r="P873" s="1066">
        <v>100000</v>
      </c>
    </row>
    <row r="874" spans="4:16" s="1292" customFormat="1" ht="15" customHeight="1">
      <c r="D874" s="1295"/>
      <c r="E874" s="1295"/>
      <c r="F874" s="1295"/>
      <c r="G874" s="1295"/>
      <c r="I874" s="549"/>
      <c r="J874" s="1009"/>
      <c r="K874" s="1131"/>
      <c r="L874" s="1010"/>
      <c r="M874" s="1010"/>
      <c r="O874" s="786">
        <v>46128</v>
      </c>
      <c r="P874" s="1066">
        <v>100000</v>
      </c>
    </row>
    <row r="875" spans="4:16" s="1292" customFormat="1" ht="15" customHeight="1">
      <c r="D875" s="1295"/>
      <c r="E875" s="1295"/>
      <c r="F875" s="1295"/>
      <c r="G875" s="1295"/>
      <c r="I875" s="549"/>
      <c r="J875" s="1009"/>
      <c r="K875" s="1131"/>
      <c r="L875" s="1010"/>
      <c r="M875" s="1010"/>
      <c r="O875" s="786">
        <v>46129</v>
      </c>
      <c r="P875" s="1066">
        <v>150000</v>
      </c>
    </row>
    <row r="876" spans="4:16" s="1292" customFormat="1" ht="15" customHeight="1">
      <c r="D876" s="1295"/>
      <c r="E876" s="1295"/>
      <c r="F876" s="1295"/>
      <c r="G876" s="1295"/>
      <c r="I876" s="549"/>
      <c r="J876" s="1009"/>
      <c r="K876" s="1131"/>
      <c r="L876" s="1010"/>
      <c r="M876" s="1010"/>
      <c r="O876" s="786">
        <v>46129</v>
      </c>
      <c r="P876" s="1066">
        <v>240000</v>
      </c>
    </row>
    <row r="877" spans="4:16" s="1292" customFormat="1" ht="15" customHeight="1">
      <c r="D877" s="1295"/>
      <c r="E877" s="1295"/>
      <c r="F877" s="1295"/>
      <c r="G877" s="1295"/>
      <c r="I877" s="549"/>
      <c r="J877" s="1009"/>
      <c r="K877" s="1131"/>
      <c r="L877" s="1010"/>
      <c r="M877" s="1010"/>
      <c r="O877" s="786">
        <v>46129</v>
      </c>
      <c r="P877" s="1068">
        <v>-292000</v>
      </c>
    </row>
    <row r="878" spans="4:16" s="1292" customFormat="1" ht="15" customHeight="1">
      <c r="D878" s="1295"/>
      <c r="E878" s="1295"/>
      <c r="F878" s="1295"/>
      <c r="G878" s="1295"/>
      <c r="I878" s="549"/>
      <c r="J878" s="1009"/>
      <c r="K878" s="1131"/>
      <c r="L878" s="1010"/>
      <c r="M878" s="1010"/>
      <c r="O878" s="786">
        <v>46130</v>
      </c>
      <c r="P878" s="1066">
        <v>50000</v>
      </c>
    </row>
    <row r="879" spans="4:16" s="1292" customFormat="1" ht="15" customHeight="1">
      <c r="D879" s="1295"/>
      <c r="E879" s="1295"/>
      <c r="F879" s="1295"/>
      <c r="G879" s="1295"/>
      <c r="I879" s="549"/>
      <c r="J879" s="1009"/>
      <c r="K879" s="1131"/>
      <c r="L879" s="1010"/>
      <c r="M879" s="1010"/>
      <c r="O879" s="786">
        <v>46130</v>
      </c>
      <c r="P879" s="1066">
        <v>100000</v>
      </c>
    </row>
    <row r="880" spans="4:16" s="1292" customFormat="1" ht="15" customHeight="1">
      <c r="D880" s="1295"/>
      <c r="E880" s="1295"/>
      <c r="F880" s="1295"/>
      <c r="G880" s="1295"/>
      <c r="I880" s="549"/>
      <c r="J880" s="1009"/>
      <c r="K880" s="1131"/>
      <c r="L880" s="1010"/>
      <c r="M880" s="1010"/>
      <c r="O880" s="786">
        <v>46130</v>
      </c>
      <c r="P880" s="1066">
        <v>200000</v>
      </c>
    </row>
    <row r="881" spans="4:16" s="1292" customFormat="1" ht="15" customHeight="1">
      <c r="D881" s="1295"/>
      <c r="E881" s="1295"/>
      <c r="F881" s="1295"/>
      <c r="G881" s="1295"/>
      <c r="I881" s="549"/>
      <c r="J881" s="1009"/>
      <c r="K881" s="1131"/>
      <c r="L881" s="1010"/>
      <c r="M881" s="1010"/>
      <c r="O881" s="786">
        <v>46130</v>
      </c>
      <c r="P881" s="617">
        <v>126000</v>
      </c>
    </row>
    <row r="882" spans="4:16" s="1292" customFormat="1" ht="15" customHeight="1">
      <c r="D882" s="1295"/>
      <c r="E882" s="1295"/>
      <c r="F882" s="1295"/>
      <c r="G882" s="1295"/>
      <c r="I882" s="549"/>
      <c r="J882" s="1009"/>
      <c r="K882" s="1131"/>
      <c r="L882" s="1010"/>
      <c r="M882" s="1010"/>
      <c r="O882" s="786">
        <v>46132</v>
      </c>
      <c r="P882" s="617">
        <v>75000</v>
      </c>
    </row>
    <row r="883" spans="4:16" s="1292" customFormat="1" ht="15" customHeight="1">
      <c r="D883" s="1295"/>
      <c r="E883" s="1295"/>
      <c r="F883" s="1295"/>
      <c r="G883" s="1295"/>
      <c r="I883" s="549"/>
      <c r="J883" s="1009"/>
      <c r="K883" s="1131"/>
      <c r="L883" s="1010"/>
      <c r="M883" s="1010"/>
      <c r="O883" s="786">
        <v>46134</v>
      </c>
      <c r="P883" s="617">
        <v>100000</v>
      </c>
    </row>
    <row r="884" spans="4:16" s="1292" customFormat="1" ht="15" customHeight="1">
      <c r="D884" s="1295"/>
      <c r="E884" s="1295"/>
      <c r="F884" s="1295"/>
      <c r="G884" s="1295"/>
      <c r="I884" s="549"/>
      <c r="J884" s="1009"/>
      <c r="K884" s="1131"/>
      <c r="L884" s="1010"/>
      <c r="M884" s="1010"/>
      <c r="O884" s="786">
        <v>46134</v>
      </c>
      <c r="P884" s="617">
        <v>100000</v>
      </c>
    </row>
    <row r="885" spans="4:16" s="1292" customFormat="1" ht="15" customHeight="1">
      <c r="D885" s="1295"/>
      <c r="E885" s="1295"/>
      <c r="F885" s="1295"/>
      <c r="G885" s="1295"/>
      <c r="I885" s="549"/>
      <c r="J885" s="1009"/>
      <c r="K885" s="1131"/>
      <c r="L885" s="1010"/>
      <c r="M885" s="1010"/>
      <c r="O885" s="786">
        <v>46136</v>
      </c>
      <c r="P885" s="617">
        <v>150000</v>
      </c>
    </row>
    <row r="886" spans="4:16" s="1292" customFormat="1" ht="15" customHeight="1">
      <c r="D886" s="1295"/>
      <c r="E886" s="1295"/>
      <c r="F886" s="1295"/>
      <c r="G886" s="1295"/>
      <c r="I886" s="549"/>
      <c r="J886" s="1009"/>
      <c r="K886" s="1131"/>
      <c r="L886" s="1010"/>
      <c r="M886" s="1010"/>
      <c r="O886" s="786">
        <v>46136</v>
      </c>
      <c r="P886" s="617">
        <v>24000</v>
      </c>
    </row>
    <row r="887" spans="4:16" s="1292" customFormat="1" ht="15" customHeight="1">
      <c r="D887" s="1295"/>
      <c r="E887" s="1295"/>
      <c r="F887" s="1295"/>
      <c r="G887" s="1295"/>
      <c r="I887" s="549"/>
      <c r="J887" s="1009"/>
      <c r="K887" s="1131"/>
      <c r="L887" s="1010"/>
      <c r="M887" s="1010"/>
      <c r="O887" s="786">
        <v>46137</v>
      </c>
      <c r="P887" s="617">
        <v>100000</v>
      </c>
    </row>
    <row r="888" spans="4:16" s="1292" customFormat="1" ht="15" customHeight="1">
      <c r="D888" s="1295"/>
      <c r="E888" s="1295"/>
      <c r="F888" s="1295"/>
      <c r="G888" s="1295"/>
      <c r="I888" s="549"/>
      <c r="J888" s="1009"/>
      <c r="K888" s="1131"/>
      <c r="L888" s="1010"/>
      <c r="M888" s="1010"/>
      <c r="O888" s="786">
        <v>46137</v>
      </c>
      <c r="P888" s="1068">
        <v>-134000</v>
      </c>
    </row>
    <row r="889" spans="4:16" s="1292" customFormat="1" ht="15" customHeight="1">
      <c r="D889" s="1295"/>
      <c r="E889" s="1295"/>
      <c r="F889" s="1295"/>
      <c r="G889" s="1295"/>
      <c r="I889" s="549"/>
      <c r="J889" s="1009"/>
      <c r="K889" s="1131"/>
      <c r="L889" s="1010"/>
      <c r="M889" s="1010"/>
      <c r="O889" s="786">
        <v>46139</v>
      </c>
      <c r="P889" s="617">
        <v>864000</v>
      </c>
    </row>
    <row r="890" spans="4:16" s="1292" customFormat="1" ht="15" customHeight="1">
      <c r="D890" s="1295"/>
      <c r="E890" s="1295"/>
      <c r="F890" s="1295"/>
      <c r="G890" s="1295"/>
      <c r="I890" s="549"/>
      <c r="J890" s="1009"/>
      <c r="K890" s="1131"/>
      <c r="L890" s="1010"/>
      <c r="M890" s="1010"/>
      <c r="O890" s="786">
        <v>46140</v>
      </c>
      <c r="P890" s="617">
        <v>579000</v>
      </c>
    </row>
    <row r="891" spans="4:16" s="1292" customFormat="1" ht="15" customHeight="1">
      <c r="D891" s="1295"/>
      <c r="E891" s="1295"/>
      <c r="F891" s="1295"/>
      <c r="G891" s="1295"/>
      <c r="I891" s="549"/>
      <c r="J891" s="1009"/>
      <c r="K891" s="1131"/>
      <c r="L891" s="1010"/>
      <c r="M891" s="1010"/>
      <c r="O891" s="786">
        <v>46140</v>
      </c>
      <c r="P891" s="617">
        <v>39500</v>
      </c>
    </row>
    <row r="892" spans="4:16" s="1292" customFormat="1" ht="15" customHeight="1">
      <c r="D892" s="1295"/>
      <c r="E892" s="1295"/>
      <c r="F892" s="1295"/>
      <c r="G892" s="1295"/>
      <c r="I892" s="549"/>
      <c r="J892" s="1009"/>
      <c r="K892" s="1131"/>
      <c r="L892" s="1010"/>
      <c r="M892" s="1010"/>
      <c r="O892" s="786">
        <v>46140</v>
      </c>
      <c r="P892" s="617">
        <v>150000</v>
      </c>
    </row>
    <row r="893" spans="4:16" s="1292" customFormat="1" ht="15" customHeight="1">
      <c r="D893" s="1295"/>
      <c r="E893" s="1295"/>
      <c r="F893" s="1295"/>
      <c r="G893" s="1295"/>
      <c r="I893" s="549"/>
      <c r="J893" s="1009"/>
      <c r="K893" s="1131"/>
      <c r="L893" s="1010"/>
      <c r="M893" s="1010"/>
      <c r="O893" s="786">
        <v>46141</v>
      </c>
      <c r="P893" s="617">
        <v>189000</v>
      </c>
    </row>
    <row r="894" spans="4:16" s="1292" customFormat="1" ht="15" customHeight="1">
      <c r="D894" s="1295"/>
      <c r="E894" s="1295"/>
      <c r="F894" s="1295"/>
      <c r="G894" s="1295"/>
      <c r="I894" s="549"/>
      <c r="J894" s="1009"/>
      <c r="K894" s="1131"/>
      <c r="L894" s="1010"/>
      <c r="M894" s="1010"/>
      <c r="O894" s="786">
        <v>46142</v>
      </c>
      <c r="P894" s="617">
        <v>100000</v>
      </c>
    </row>
    <row r="895" spans="4:16" s="1292" customFormat="1" ht="15" customHeight="1">
      <c r="D895" s="1295"/>
      <c r="E895" s="1295"/>
      <c r="F895" s="1295"/>
      <c r="G895" s="1295"/>
      <c r="I895" s="549"/>
      <c r="J895" s="1009"/>
      <c r="K895" s="1131"/>
      <c r="L895" s="1010"/>
      <c r="M895" s="1010"/>
      <c r="O895" s="786">
        <v>46142</v>
      </c>
      <c r="P895" s="617">
        <v>150000</v>
      </c>
    </row>
    <row r="896" spans="4:16" s="1292" customFormat="1" ht="15" customHeight="1">
      <c r="D896" s="1295"/>
      <c r="E896" s="1295"/>
      <c r="F896" s="1295"/>
      <c r="G896" s="1295"/>
      <c r="I896" s="549"/>
      <c r="J896" s="1009"/>
      <c r="K896" s="1131"/>
      <c r="L896" s="1010"/>
      <c r="M896" s="1010"/>
      <c r="O896" s="786">
        <v>46142</v>
      </c>
      <c r="P896" s="617">
        <v>267500</v>
      </c>
    </row>
    <row r="897" spans="4:16" s="1292" customFormat="1" ht="15" customHeight="1">
      <c r="D897" s="1295"/>
      <c r="E897" s="1295"/>
      <c r="F897" s="1295"/>
      <c r="G897" s="1295"/>
      <c r="I897" s="549"/>
      <c r="J897" s="1009"/>
      <c r="K897" s="1131"/>
      <c r="L897" s="1010"/>
      <c r="M897" s="1010"/>
      <c r="O897" s="786">
        <v>46143</v>
      </c>
      <c r="P897" s="617">
        <v>280000</v>
      </c>
    </row>
    <row r="898" spans="4:16" s="1292" customFormat="1" ht="15" customHeight="1">
      <c r="D898" s="1295"/>
      <c r="E898" s="1295"/>
      <c r="F898" s="1295"/>
      <c r="G898" s="1295"/>
      <c r="I898" s="549"/>
      <c r="J898" s="1009"/>
      <c r="K898" s="1131"/>
      <c r="L898" s="1010"/>
      <c r="M898" s="1010"/>
      <c r="O898" s="786">
        <v>46143</v>
      </c>
      <c r="P898" s="617">
        <v>100000</v>
      </c>
    </row>
    <row r="899" spans="4:16" s="1292" customFormat="1" ht="15" customHeight="1">
      <c r="D899" s="1295"/>
      <c r="E899" s="1295"/>
      <c r="F899" s="1295"/>
      <c r="G899" s="1295"/>
      <c r="I899" s="549"/>
      <c r="J899" s="1009"/>
      <c r="K899" s="1131"/>
      <c r="L899" s="1010"/>
      <c r="M899" s="1010"/>
      <c r="O899" s="786">
        <v>46143</v>
      </c>
      <c r="P899" s="1068">
        <v>-600000</v>
      </c>
    </row>
    <row r="900" spans="4:16" s="1292" customFormat="1" ht="15" customHeight="1">
      <c r="D900" s="1295"/>
      <c r="E900" s="1295"/>
      <c r="F900" s="1295"/>
      <c r="G900" s="1295"/>
      <c r="I900" s="549"/>
      <c r="J900" s="1009"/>
      <c r="K900" s="1131"/>
      <c r="L900" s="1010"/>
      <c r="M900" s="1010"/>
      <c r="O900" s="786">
        <v>46144</v>
      </c>
      <c r="P900" s="617">
        <v>150000</v>
      </c>
    </row>
    <row r="901" spans="4:16" s="1292" customFormat="1" ht="15" customHeight="1">
      <c r="D901" s="1295"/>
      <c r="E901" s="1295"/>
      <c r="F901" s="1295"/>
      <c r="G901" s="1295"/>
      <c r="I901" s="549"/>
      <c r="J901" s="1009"/>
      <c r="K901" s="1131"/>
      <c r="L901" s="1010"/>
      <c r="M901" s="1010"/>
      <c r="O901" s="786">
        <v>46144</v>
      </c>
      <c r="P901" s="617">
        <v>100000</v>
      </c>
    </row>
    <row r="902" spans="4:16" s="1292" customFormat="1" ht="15" customHeight="1">
      <c r="D902" s="1295"/>
      <c r="E902" s="1295"/>
      <c r="F902" s="1295"/>
      <c r="G902" s="1295"/>
      <c r="I902" s="549"/>
      <c r="J902" s="1009"/>
      <c r="K902" s="1131"/>
      <c r="L902" s="1010"/>
      <c r="M902" s="1010"/>
      <c r="O902" s="786">
        <v>46144</v>
      </c>
      <c r="P902" s="1068">
        <v>-66000</v>
      </c>
    </row>
    <row r="903" spans="4:16" s="1292" customFormat="1" ht="15" customHeight="1">
      <c r="D903" s="1295"/>
      <c r="E903" s="1295"/>
      <c r="F903" s="1295"/>
      <c r="G903" s="1295"/>
      <c r="I903" s="549"/>
      <c r="J903" s="1009"/>
      <c r="K903" s="1131"/>
      <c r="L903" s="1010"/>
      <c r="M903" s="1010"/>
      <c r="O903" s="786">
        <v>46145</v>
      </c>
      <c r="P903" s="617">
        <v>272500</v>
      </c>
    </row>
    <row r="904" spans="4:16" s="1292" customFormat="1" ht="15" customHeight="1">
      <c r="D904" s="1295"/>
      <c r="E904" s="1295"/>
      <c r="F904" s="1295"/>
      <c r="G904" s="1295"/>
      <c r="I904" s="549"/>
      <c r="J904" s="1009"/>
      <c r="K904" s="1131"/>
      <c r="L904" s="1010"/>
      <c r="M904" s="1010"/>
      <c r="O904" s="786">
        <v>46146</v>
      </c>
      <c r="P904" s="617">
        <v>165000</v>
      </c>
    </row>
    <row r="905" spans="4:16" s="1292" customFormat="1" ht="15" customHeight="1">
      <c r="D905" s="1295"/>
      <c r="E905" s="1295"/>
      <c r="F905" s="1295"/>
      <c r="G905" s="1295"/>
      <c r="I905" s="549"/>
      <c r="J905" s="1009"/>
      <c r="K905" s="1131"/>
      <c r="L905" s="1010"/>
      <c r="M905" s="1010"/>
      <c r="O905" s="786">
        <v>46147</v>
      </c>
      <c r="P905" s="617">
        <v>150000</v>
      </c>
    </row>
    <row r="906" spans="4:16" s="1292" customFormat="1" ht="15" customHeight="1">
      <c r="D906" s="1295"/>
      <c r="E906" s="1295"/>
      <c r="F906" s="1295"/>
      <c r="G906" s="1295"/>
      <c r="I906" s="549"/>
      <c r="J906" s="1009"/>
      <c r="K906" s="1131"/>
      <c r="L906" s="1010"/>
      <c r="M906" s="1010"/>
      <c r="O906" s="786">
        <v>46147</v>
      </c>
      <c r="P906" s="617">
        <v>25000</v>
      </c>
    </row>
    <row r="907" spans="4:16" s="1292" customFormat="1" ht="15" customHeight="1">
      <c r="D907" s="1295"/>
      <c r="E907" s="1295"/>
      <c r="F907" s="1295"/>
      <c r="G907" s="1295"/>
      <c r="I907" s="549"/>
      <c r="J907" s="1009"/>
      <c r="K907" s="1131"/>
      <c r="L907" s="1010"/>
      <c r="M907" s="1010"/>
      <c r="O907" s="786">
        <v>46147</v>
      </c>
      <c r="P907" s="617">
        <v>150000</v>
      </c>
    </row>
    <row r="908" spans="4:16" s="1292" customFormat="1" ht="15" customHeight="1">
      <c r="D908" s="1295"/>
      <c r="E908" s="1295"/>
      <c r="F908" s="1295"/>
      <c r="G908" s="1295"/>
      <c r="I908" s="549"/>
      <c r="J908" s="1009"/>
      <c r="K908" s="1131"/>
      <c r="L908" s="1010"/>
      <c r="M908" s="1010"/>
      <c r="O908" s="786">
        <v>46147</v>
      </c>
      <c r="P908" s="617">
        <v>39000</v>
      </c>
    </row>
    <row r="909" spans="4:16" s="1292" customFormat="1" ht="15" customHeight="1">
      <c r="D909" s="1295"/>
      <c r="E909" s="1295"/>
      <c r="F909" s="1295"/>
      <c r="G909" s="1295"/>
      <c r="I909" s="549"/>
      <c r="J909" s="1009"/>
      <c r="K909" s="1131"/>
      <c r="L909" s="1010"/>
      <c r="M909" s="1010"/>
      <c r="O909" s="786">
        <v>46147</v>
      </c>
      <c r="P909" s="617">
        <v>130000</v>
      </c>
    </row>
    <row r="910" spans="4:16" s="1292" customFormat="1" ht="15" customHeight="1">
      <c r="D910" s="1295"/>
      <c r="E910" s="1295"/>
      <c r="F910" s="1295"/>
      <c r="G910" s="1295"/>
      <c r="I910" s="549"/>
      <c r="J910" s="1009"/>
      <c r="K910" s="1131"/>
      <c r="L910" s="1010"/>
      <c r="M910" s="1010"/>
      <c r="O910" s="786">
        <v>46148</v>
      </c>
      <c r="P910" s="617">
        <v>100000</v>
      </c>
    </row>
    <row r="911" spans="4:16" s="1292" customFormat="1" ht="15" customHeight="1">
      <c r="D911" s="1295"/>
      <c r="E911" s="1295"/>
      <c r="F911" s="1295"/>
      <c r="G911" s="1295"/>
      <c r="I911" s="549"/>
      <c r="J911" s="1009"/>
      <c r="K911" s="1131"/>
      <c r="L911" s="1010"/>
      <c r="M911" s="1010"/>
      <c r="O911" s="786">
        <v>46148</v>
      </c>
      <c r="P911" s="617">
        <v>250000</v>
      </c>
    </row>
    <row r="912" spans="4:16" s="1292" customFormat="1" ht="15" customHeight="1">
      <c r="D912" s="1295"/>
      <c r="E912" s="1295"/>
      <c r="F912" s="1295"/>
      <c r="G912" s="1295"/>
      <c r="I912" s="549"/>
      <c r="J912" s="1009"/>
      <c r="K912" s="1131"/>
      <c r="L912" s="1010"/>
      <c r="M912" s="1010"/>
      <c r="O912" s="786">
        <v>46150</v>
      </c>
      <c r="P912" s="617">
        <v>100000</v>
      </c>
    </row>
    <row r="913" spans="4:16" s="1292" customFormat="1" ht="15" customHeight="1">
      <c r="D913" s="1295"/>
      <c r="E913" s="1295"/>
      <c r="F913" s="1295"/>
      <c r="G913" s="1295"/>
      <c r="I913" s="549"/>
      <c r="J913" s="1009"/>
      <c r="K913" s="1131"/>
      <c r="L913" s="1010"/>
      <c r="M913" s="1010"/>
      <c r="O913" s="786">
        <v>46150</v>
      </c>
      <c r="P913" s="617">
        <v>288000</v>
      </c>
    </row>
    <row r="914" spans="4:16" s="1292" customFormat="1" ht="15" customHeight="1">
      <c r="D914" s="1295"/>
      <c r="E914" s="1295"/>
      <c r="F914" s="1295"/>
      <c r="G914" s="1295"/>
      <c r="I914" s="549"/>
      <c r="J914" s="1009"/>
      <c r="K914" s="1131"/>
      <c r="L914" s="1010"/>
      <c r="M914" s="1010"/>
      <c r="O914" s="786">
        <v>46150</v>
      </c>
      <c r="P914" s="617">
        <v>271000</v>
      </c>
    </row>
    <row r="915" spans="4:16" s="1292" customFormat="1" ht="15" customHeight="1">
      <c r="D915" s="1295"/>
      <c r="E915" s="1295"/>
      <c r="F915" s="1295"/>
      <c r="G915" s="1295"/>
      <c r="I915" s="549"/>
      <c r="J915" s="1009"/>
      <c r="K915" s="1131"/>
      <c r="L915" s="1010"/>
      <c r="M915" s="1010"/>
      <c r="O915" s="786">
        <v>46150</v>
      </c>
      <c r="P915" s="617">
        <v>300000</v>
      </c>
    </row>
    <row r="916" spans="4:16" s="1292" customFormat="1" ht="15" customHeight="1">
      <c r="D916" s="1295"/>
      <c r="E916" s="1295"/>
      <c r="F916" s="1295"/>
      <c r="G916" s="1295"/>
      <c r="I916" s="549"/>
      <c r="J916" s="1009"/>
      <c r="K916" s="1131"/>
      <c r="L916" s="1010"/>
      <c r="M916" s="1010"/>
      <c r="O916" s="786">
        <v>46151</v>
      </c>
      <c r="P916" s="617">
        <v>700000</v>
      </c>
    </row>
    <row r="917" spans="4:16" s="1292" customFormat="1" ht="15" customHeight="1">
      <c r="D917" s="1295"/>
      <c r="E917" s="1295"/>
      <c r="F917" s="1295"/>
      <c r="G917" s="1295"/>
      <c r="I917" s="549"/>
      <c r="J917" s="1009"/>
      <c r="K917" s="1131"/>
      <c r="L917" s="1010"/>
      <c r="M917" s="1010"/>
      <c r="O917" s="786">
        <v>46151</v>
      </c>
      <c r="P917" s="617">
        <v>74000</v>
      </c>
    </row>
    <row r="918" spans="4:16" s="1292" customFormat="1" ht="15" customHeight="1">
      <c r="D918" s="1295"/>
      <c r="E918" s="1295"/>
      <c r="F918" s="1295"/>
      <c r="G918" s="1295"/>
      <c r="I918" s="549"/>
      <c r="J918" s="1009"/>
      <c r="K918" s="1131"/>
      <c r="L918" s="1010"/>
      <c r="M918" s="1010"/>
      <c r="O918" s="786">
        <v>46151</v>
      </c>
      <c r="P918" s="617">
        <v>152500</v>
      </c>
    </row>
    <row r="919" spans="4:16" s="1292" customFormat="1" ht="15" customHeight="1">
      <c r="D919" s="1295"/>
      <c r="E919" s="1295"/>
      <c r="F919" s="1295"/>
      <c r="G919" s="1295"/>
      <c r="I919" s="549"/>
      <c r="J919" s="1009"/>
      <c r="K919" s="1131"/>
      <c r="L919" s="1010"/>
      <c r="M919" s="1010"/>
      <c r="O919" s="786">
        <v>46152</v>
      </c>
      <c r="P919" s="617">
        <v>150000</v>
      </c>
    </row>
    <row r="920" spans="4:16" s="1292" customFormat="1" ht="15" customHeight="1">
      <c r="D920" s="1295"/>
      <c r="E920" s="1295"/>
      <c r="F920" s="1295"/>
      <c r="G920" s="1295"/>
      <c r="I920" s="549"/>
      <c r="J920" s="1009"/>
      <c r="K920" s="1131"/>
      <c r="L920" s="1010"/>
      <c r="M920" s="1010"/>
      <c r="O920" s="786">
        <v>46152</v>
      </c>
      <c r="P920" s="617">
        <v>200000</v>
      </c>
    </row>
    <row r="921" spans="4:16" s="1292" customFormat="1" ht="15" customHeight="1">
      <c r="D921" s="1295"/>
      <c r="E921" s="1295"/>
      <c r="F921" s="1295"/>
      <c r="G921" s="1295"/>
      <c r="I921" s="549"/>
      <c r="J921" s="1009"/>
      <c r="K921" s="1131"/>
      <c r="L921" s="1010"/>
      <c r="M921" s="1010"/>
      <c r="O921" s="786">
        <v>46152</v>
      </c>
      <c r="P921" s="617">
        <v>200000</v>
      </c>
    </row>
    <row r="922" spans="4:16" s="1292" customFormat="1" ht="15" customHeight="1">
      <c r="D922" s="1295"/>
      <c r="E922" s="1295"/>
      <c r="F922" s="1295"/>
      <c r="G922" s="1295"/>
      <c r="I922" s="549"/>
      <c r="J922" s="1009"/>
      <c r="K922" s="1131"/>
      <c r="L922" s="1010"/>
      <c r="M922" s="1010"/>
      <c r="O922" s="786">
        <v>46152</v>
      </c>
      <c r="P922" s="617">
        <v>75000</v>
      </c>
    </row>
    <row r="923" spans="4:16" s="1292" customFormat="1" ht="15" customHeight="1">
      <c r="D923" s="1295"/>
      <c r="E923" s="1295"/>
      <c r="F923" s="1295"/>
      <c r="G923" s="1295"/>
      <c r="I923" s="549"/>
      <c r="J923" s="1009"/>
      <c r="K923" s="1131"/>
      <c r="L923" s="1010"/>
      <c r="M923" s="1010"/>
      <c r="O923" s="786">
        <v>46152</v>
      </c>
      <c r="P923" s="617">
        <v>270000</v>
      </c>
    </row>
    <row r="924" spans="4:16" s="1292" customFormat="1" ht="15" customHeight="1">
      <c r="D924" s="1295"/>
      <c r="E924" s="1295"/>
      <c r="F924" s="1295"/>
      <c r="G924" s="1295"/>
      <c r="I924" s="549"/>
      <c r="J924" s="1009"/>
      <c r="K924" s="1131"/>
      <c r="L924" s="1010"/>
      <c r="M924" s="1010"/>
      <c r="O924" s="786">
        <v>46153</v>
      </c>
      <c r="P924" s="617">
        <v>115500</v>
      </c>
    </row>
    <row r="925" spans="4:16" s="1292" customFormat="1" ht="15" customHeight="1">
      <c r="D925" s="1295"/>
      <c r="E925" s="1295"/>
      <c r="F925" s="1295"/>
      <c r="G925" s="1295"/>
      <c r="I925" s="549"/>
      <c r="J925" s="1009"/>
      <c r="K925" s="1131"/>
      <c r="L925" s="1010"/>
      <c r="M925" s="1010"/>
      <c r="O925" s="786">
        <v>46153</v>
      </c>
      <c r="P925" s="617">
        <v>100000</v>
      </c>
    </row>
    <row r="926" spans="4:16" s="1292" customFormat="1" ht="15" customHeight="1">
      <c r="D926" s="1295"/>
      <c r="E926" s="1295"/>
      <c r="F926" s="1295"/>
      <c r="G926" s="1295"/>
      <c r="I926" s="549"/>
      <c r="J926" s="1009"/>
      <c r="K926" s="1131"/>
      <c r="L926" s="1010"/>
      <c r="M926" s="1010"/>
      <c r="O926" s="786">
        <v>46153</v>
      </c>
      <c r="P926" s="617">
        <v>164000</v>
      </c>
    </row>
    <row r="927" spans="4:16" s="1292" customFormat="1" ht="15" customHeight="1">
      <c r="D927" s="1295"/>
      <c r="E927" s="1295"/>
      <c r="F927" s="1295"/>
      <c r="G927" s="1295"/>
      <c r="I927" s="549"/>
      <c r="J927" s="1009"/>
      <c r="K927" s="1131"/>
      <c r="L927" s="1010"/>
      <c r="M927" s="1010"/>
      <c r="O927" s="786">
        <v>46153</v>
      </c>
      <c r="P927" s="617">
        <v>85000</v>
      </c>
    </row>
    <row r="928" spans="4:16" s="1292" customFormat="1" ht="15" customHeight="1">
      <c r="D928" s="1295"/>
      <c r="E928" s="1295"/>
      <c r="F928" s="1295"/>
      <c r="G928" s="1295"/>
      <c r="I928" s="549"/>
      <c r="J928" s="1009"/>
      <c r="K928" s="1131"/>
      <c r="L928" s="1010"/>
      <c r="M928" s="1010"/>
      <c r="O928" s="786">
        <v>46153</v>
      </c>
      <c r="P928" s="617">
        <v>143000</v>
      </c>
    </row>
    <row r="929" spans="4:16" s="1292" customFormat="1" ht="15" customHeight="1">
      <c r="D929" s="1295"/>
      <c r="E929" s="1295"/>
      <c r="F929" s="1295"/>
      <c r="G929" s="1295"/>
      <c r="I929" s="549"/>
      <c r="J929" s="1009"/>
      <c r="K929" s="1131"/>
      <c r="L929" s="1010"/>
      <c r="M929" s="1010"/>
      <c r="O929" s="786">
        <v>46154</v>
      </c>
      <c r="P929" s="617">
        <v>226000</v>
      </c>
    </row>
    <row r="930" spans="4:16" s="1292" customFormat="1" ht="15" customHeight="1">
      <c r="D930" s="1295"/>
      <c r="E930" s="1295"/>
      <c r="F930" s="1295"/>
      <c r="G930" s="1295"/>
      <c r="I930" s="549"/>
      <c r="J930" s="1009"/>
      <c r="K930" s="1131"/>
      <c r="L930" s="1010"/>
      <c r="M930" s="1010"/>
      <c r="O930" s="786">
        <v>46154</v>
      </c>
      <c r="P930" s="617">
        <v>70000</v>
      </c>
    </row>
    <row r="931" spans="4:16" s="1292" customFormat="1" ht="15" customHeight="1">
      <c r="D931" s="1295"/>
      <c r="E931" s="1295"/>
      <c r="F931" s="1295"/>
      <c r="G931" s="1295"/>
      <c r="I931" s="549"/>
      <c r="J931" s="1009"/>
      <c r="K931" s="1131"/>
      <c r="L931" s="1010"/>
      <c r="M931" s="1010"/>
      <c r="O931" s="786">
        <v>46154</v>
      </c>
      <c r="P931" s="1068">
        <v>-100000</v>
      </c>
    </row>
    <row r="932" spans="4:16" s="1292" customFormat="1" ht="15" customHeight="1">
      <c r="D932" s="1295"/>
      <c r="E932" s="1295"/>
      <c r="F932" s="1295"/>
      <c r="G932" s="1295"/>
      <c r="I932" s="549"/>
      <c r="J932" s="1009"/>
      <c r="K932" s="1131"/>
      <c r="L932" s="1010"/>
      <c r="M932" s="1010"/>
      <c r="O932" s="786">
        <v>46154</v>
      </c>
      <c r="P932" s="1068">
        <v>-102000</v>
      </c>
    </row>
    <row r="933" spans="4:16" s="1292" customFormat="1" ht="15" customHeight="1">
      <c r="D933" s="1295"/>
      <c r="E933" s="1295"/>
      <c r="F933" s="1295"/>
      <c r="G933" s="1295"/>
      <c r="I933" s="549"/>
      <c r="J933" s="1009"/>
      <c r="K933" s="1131"/>
      <c r="L933" s="1010"/>
      <c r="M933" s="1010"/>
      <c r="O933" s="786">
        <v>46155</v>
      </c>
      <c r="P933" s="617">
        <v>291000</v>
      </c>
    </row>
    <row r="934" spans="4:16" s="1292" customFormat="1" ht="15" customHeight="1">
      <c r="D934" s="1295"/>
      <c r="E934" s="1295"/>
      <c r="F934" s="1295"/>
      <c r="G934" s="1295"/>
      <c r="I934" s="549"/>
      <c r="J934" s="1009"/>
      <c r="K934" s="1131"/>
      <c r="L934" s="1010"/>
      <c r="M934" s="1010"/>
      <c r="O934" s="786">
        <v>46155</v>
      </c>
      <c r="P934" s="617">
        <v>150000</v>
      </c>
    </row>
    <row r="935" spans="4:16" s="1292" customFormat="1" ht="15" customHeight="1">
      <c r="D935" s="1295"/>
      <c r="E935" s="1295"/>
      <c r="F935" s="1295"/>
      <c r="G935" s="1295"/>
      <c r="I935" s="549"/>
      <c r="J935" s="1009"/>
      <c r="K935" s="1131"/>
      <c r="L935" s="1010"/>
      <c r="M935" s="1010"/>
      <c r="O935" s="786">
        <v>46155</v>
      </c>
      <c r="P935" s="617">
        <v>300000</v>
      </c>
    </row>
    <row r="936" spans="4:16" s="1292" customFormat="1" ht="15" customHeight="1">
      <c r="D936" s="1295"/>
      <c r="E936" s="1295"/>
      <c r="F936" s="1295"/>
      <c r="G936" s="1295"/>
      <c r="I936" s="549"/>
      <c r="J936" s="1009"/>
      <c r="K936" s="1131"/>
      <c r="L936" s="1010"/>
      <c r="M936" s="1010"/>
      <c r="O936" s="786">
        <v>46155</v>
      </c>
      <c r="P936" s="617">
        <v>100000</v>
      </c>
    </row>
    <row r="937" spans="4:16" s="1292" customFormat="1" ht="15" customHeight="1">
      <c r="D937" s="1295"/>
      <c r="E937" s="1295"/>
      <c r="F937" s="1295"/>
      <c r="G937" s="1295"/>
      <c r="I937" s="549"/>
      <c r="J937" s="1009"/>
      <c r="K937" s="1131"/>
      <c r="L937" s="1010"/>
      <c r="M937" s="1010"/>
      <c r="O937" s="786">
        <v>46155</v>
      </c>
      <c r="P937" s="617">
        <v>150000</v>
      </c>
    </row>
    <row r="938" spans="4:16" s="1292" customFormat="1" ht="15" customHeight="1">
      <c r="D938" s="1295"/>
      <c r="E938" s="1295"/>
      <c r="F938" s="1295"/>
      <c r="G938" s="1295"/>
      <c r="I938" s="549"/>
      <c r="J938" s="1009"/>
      <c r="K938" s="1131"/>
      <c r="L938" s="1010"/>
      <c r="M938" s="1010"/>
      <c r="O938" s="786">
        <v>46155</v>
      </c>
      <c r="P938" s="1068">
        <v>-48000</v>
      </c>
    </row>
    <row r="939" spans="4:16" s="1292" customFormat="1" ht="15" customHeight="1">
      <c r="D939" s="1295"/>
      <c r="E939" s="1295"/>
      <c r="F939" s="1295"/>
      <c r="G939" s="1295"/>
      <c r="I939" s="549"/>
      <c r="J939" s="1009"/>
      <c r="K939" s="1131"/>
      <c r="L939" s="1010"/>
      <c r="M939" s="1010"/>
      <c r="O939" s="786">
        <v>46156</v>
      </c>
      <c r="P939" s="617">
        <v>88000</v>
      </c>
    </row>
    <row r="940" spans="4:16" s="1292" customFormat="1" ht="15" customHeight="1">
      <c r="D940" s="1295"/>
      <c r="E940" s="1295"/>
      <c r="F940" s="1295"/>
      <c r="G940" s="1295"/>
      <c r="I940" s="549"/>
      <c r="J940" s="1009"/>
      <c r="K940" s="1131"/>
      <c r="L940" s="1010"/>
      <c r="M940" s="1010"/>
      <c r="O940" s="786">
        <v>46156</v>
      </c>
      <c r="P940" s="617">
        <v>245000</v>
      </c>
    </row>
    <row r="941" spans="4:16" s="1292" customFormat="1" ht="15" customHeight="1">
      <c r="D941" s="1295"/>
      <c r="E941" s="1295"/>
      <c r="F941" s="1295"/>
      <c r="G941" s="1295"/>
      <c r="I941" s="549"/>
      <c r="J941" s="1009"/>
      <c r="K941" s="1131"/>
      <c r="L941" s="1010"/>
      <c r="M941" s="1010"/>
      <c r="O941" s="786">
        <v>46156</v>
      </c>
      <c r="P941" s="617">
        <v>200000</v>
      </c>
    </row>
    <row r="942" spans="4:16" s="1292" customFormat="1" ht="15" customHeight="1">
      <c r="D942" s="1295"/>
      <c r="E942" s="1295"/>
      <c r="F942" s="1295"/>
      <c r="G942" s="1295"/>
      <c r="I942" s="549"/>
      <c r="J942" s="1009"/>
      <c r="K942" s="1131"/>
      <c r="L942" s="1010"/>
      <c r="M942" s="1010"/>
      <c r="O942" s="786">
        <v>46156</v>
      </c>
      <c r="P942" s="617">
        <v>117000</v>
      </c>
    </row>
    <row r="943" spans="4:16" s="1292" customFormat="1" ht="15" customHeight="1">
      <c r="D943" s="1295"/>
      <c r="E943" s="1295"/>
      <c r="F943" s="1295"/>
      <c r="G943" s="1295"/>
      <c r="I943" s="549"/>
      <c r="J943" s="1009"/>
      <c r="K943" s="1131"/>
      <c r="L943" s="1010"/>
      <c r="M943" s="1010"/>
      <c r="O943" s="786">
        <v>46157</v>
      </c>
      <c r="P943" s="617">
        <v>250000</v>
      </c>
    </row>
    <row r="944" spans="4:16" s="1292" customFormat="1" ht="15" customHeight="1">
      <c r="D944" s="1295"/>
      <c r="E944" s="1295"/>
      <c r="F944" s="1295"/>
      <c r="G944" s="1295"/>
      <c r="I944" s="549"/>
      <c r="J944" s="1009"/>
      <c r="K944" s="1131"/>
      <c r="L944" s="1010"/>
      <c r="M944" s="1010"/>
      <c r="O944" s="786">
        <v>46157</v>
      </c>
      <c r="P944" s="617">
        <v>150000</v>
      </c>
    </row>
    <row r="945" spans="4:16" s="1292" customFormat="1" ht="15" customHeight="1">
      <c r="D945" s="1295"/>
      <c r="E945" s="1295"/>
      <c r="F945" s="1295"/>
      <c r="G945" s="1295"/>
      <c r="I945" s="549"/>
      <c r="J945" s="1009"/>
      <c r="K945" s="1131"/>
      <c r="L945" s="1010"/>
      <c r="M945" s="1010"/>
      <c r="O945" s="786">
        <v>46158</v>
      </c>
      <c r="P945" s="1068">
        <v>-100000</v>
      </c>
    </row>
    <row r="946" spans="4:16" s="1292" customFormat="1" ht="15" customHeight="1">
      <c r="D946" s="1295"/>
      <c r="E946" s="1295"/>
      <c r="F946" s="1295"/>
      <c r="G946" s="1295"/>
      <c r="I946" s="549"/>
      <c r="J946" s="1009"/>
      <c r="K946" s="1131"/>
      <c r="L946" s="1010"/>
      <c r="M946" s="1010"/>
      <c r="O946" s="398" t="s">
        <v>4334</v>
      </c>
      <c r="P946" s="27">
        <f>SUM(P846:P945)</f>
        <v>13850900</v>
      </c>
    </row>
    <row r="947" spans="4:16" s="1292" customFormat="1" ht="15" customHeight="1">
      <c r="D947" s="1295"/>
      <c r="E947" s="1295"/>
      <c r="F947" s="1295"/>
      <c r="G947" s="1295"/>
      <c r="I947" s="549"/>
      <c r="J947" s="1009"/>
      <c r="K947" s="1131"/>
      <c r="L947" s="1010"/>
      <c r="M947" s="1010"/>
    </row>
    <row r="948" spans="4:16" s="731" customFormat="1" ht="15" customHeight="1">
      <c r="D948" s="1014"/>
      <c r="E948" s="1014"/>
      <c r="F948" s="1014"/>
      <c r="G948" s="1014"/>
      <c r="I948" s="549"/>
      <c r="J948" s="1009"/>
      <c r="K948" s="1131"/>
      <c r="L948" s="1010"/>
      <c r="M948" s="1010"/>
    </row>
    <row r="949" spans="4:16" s="731" customFormat="1" ht="15" customHeight="1">
      <c r="D949" s="1014"/>
      <c r="E949" s="1014"/>
      <c r="F949" s="1014"/>
      <c r="G949" s="1014"/>
      <c r="I949" s="549"/>
      <c r="J949" s="1009"/>
      <c r="K949" s="1131"/>
      <c r="L949" s="1010"/>
      <c r="M949" s="1010"/>
    </row>
    <row r="950" spans="4:16" s="731" customFormat="1" ht="14.45" customHeight="1">
      <c r="D950" s="1014"/>
      <c r="E950" s="1014"/>
      <c r="F950" s="1014"/>
      <c r="G950" s="1014"/>
      <c r="I950" s="549"/>
      <c r="J950" s="1009"/>
      <c r="K950" s="1131"/>
      <c r="L950" s="1010"/>
      <c r="M950" s="1010"/>
    </row>
    <row r="951" spans="4:16" s="731" customFormat="1" ht="14.45" customHeight="1">
      <c r="D951" s="1014"/>
      <c r="E951" s="1014"/>
      <c r="F951" s="1014"/>
      <c r="G951" s="1014"/>
      <c r="I951" s="549"/>
      <c r="J951" s="1009"/>
      <c r="K951" s="1131"/>
      <c r="L951" s="1010"/>
      <c r="M951" s="1010"/>
    </row>
    <row r="952" spans="4:16" s="731" customFormat="1" ht="14.45" customHeight="1">
      <c r="D952" s="1014"/>
      <c r="E952" s="1014"/>
      <c r="F952" s="1014"/>
      <c r="G952" s="1014"/>
      <c r="I952" s="549"/>
      <c r="J952" s="1009"/>
      <c r="K952" s="1131"/>
      <c r="L952" s="1010"/>
      <c r="M952" s="1010"/>
    </row>
    <row r="953" spans="4:16" s="731" customFormat="1" ht="14.45" customHeight="1">
      <c r="D953" s="1014"/>
      <c r="E953" s="1014"/>
      <c r="F953" s="1014"/>
      <c r="G953" s="1014"/>
      <c r="I953" s="549"/>
      <c r="J953" s="1009"/>
      <c r="K953" s="1131"/>
      <c r="L953" s="1010"/>
      <c r="M953" s="1010"/>
    </row>
    <row r="954" spans="4:16" s="731" customFormat="1" ht="14.45" customHeight="1">
      <c r="D954" s="1014"/>
      <c r="E954" s="1014"/>
      <c r="F954" s="1014"/>
      <c r="G954" s="1014"/>
      <c r="I954" s="549"/>
      <c r="J954" s="1009"/>
      <c r="K954" s="1131"/>
      <c r="L954" s="1010"/>
      <c r="M954" s="1010"/>
    </row>
    <row r="955" spans="4:16" s="731" customFormat="1" ht="15" customHeight="1">
      <c r="D955" s="1008"/>
      <c r="E955" s="1008"/>
      <c r="F955" s="1008"/>
      <c r="G955" s="1008"/>
      <c r="I955" s="549"/>
      <c r="J955" s="1009"/>
      <c r="K955" s="1131"/>
      <c r="L955" s="1010"/>
      <c r="M955" s="1010"/>
    </row>
    <row r="956" spans="4:16" s="731" customFormat="1" ht="15" customHeight="1">
      <c r="D956" s="1008"/>
      <c r="E956" s="1008"/>
      <c r="F956" s="1008"/>
      <c r="G956" s="1008"/>
      <c r="I956" s="549"/>
      <c r="J956" s="1009"/>
      <c r="K956" s="1131"/>
      <c r="L956" s="1010"/>
      <c r="M956" s="1010"/>
    </row>
    <row r="957" spans="4:16" s="731" customFormat="1">
      <c r="D957" s="1008"/>
      <c r="E957" s="1008"/>
      <c r="F957" s="1008"/>
      <c r="G957" s="1008"/>
      <c r="I957" s="549"/>
      <c r="J957" s="1009"/>
      <c r="K957" s="1131"/>
      <c r="L957" s="1010"/>
      <c r="M957" s="1010"/>
    </row>
    <row r="958" spans="4:16" s="731" customFormat="1" ht="16.7" customHeight="1">
      <c r="D958" s="781"/>
      <c r="E958" s="781"/>
      <c r="F958" s="781"/>
      <c r="G958" s="781"/>
      <c r="J958" s="129"/>
      <c r="K958" s="160"/>
      <c r="L958" s="720"/>
      <c r="M958" s="720"/>
    </row>
    <row r="959" spans="4:16" s="731" customFormat="1">
      <c r="D959" s="781"/>
      <c r="E959" s="781"/>
      <c r="F959" s="781"/>
      <c r="G959" s="781"/>
      <c r="J959" s="129"/>
      <c r="K959" s="160"/>
      <c r="L959" s="720"/>
      <c r="M959" s="720"/>
    </row>
    <row r="961" spans="4:19" ht="21.6" customHeight="1">
      <c r="I961" s="727" t="s">
        <v>1</v>
      </c>
      <c r="J961" s="728" t="s">
        <v>2097</v>
      </c>
      <c r="K961" s="1132"/>
      <c r="L961" s="729" t="s">
        <v>2740</v>
      </c>
      <c r="M961" s="729"/>
      <c r="N961" s="727" t="s">
        <v>2741</v>
      </c>
      <c r="O961" s="727" t="s">
        <v>2742</v>
      </c>
      <c r="P961" s="730"/>
      <c r="Q961" s="730"/>
    </row>
    <row r="962" spans="4:19">
      <c r="I962" s="81">
        <v>45994</v>
      </c>
      <c r="J962" s="612" t="s">
        <v>2726</v>
      </c>
      <c r="K962" s="172"/>
      <c r="L962" s="543">
        <v>40000</v>
      </c>
      <c r="M962" s="543"/>
      <c r="N962" s="614"/>
      <c r="O962" s="612">
        <f>L962-N962</f>
        <v>40000</v>
      </c>
      <c r="P962" s="568"/>
      <c r="Q962" s="568"/>
    </row>
    <row r="963" spans="4:19">
      <c r="I963" s="81">
        <v>45995</v>
      </c>
      <c r="J963" s="612" t="s">
        <v>2727</v>
      </c>
      <c r="K963" s="172"/>
      <c r="L963" s="543">
        <v>94300</v>
      </c>
      <c r="M963" s="543"/>
      <c r="N963" s="614"/>
      <c r="O963" s="612">
        <f>O962+L963-N963</f>
        <v>134300</v>
      </c>
      <c r="P963" s="568"/>
      <c r="Q963" s="568"/>
    </row>
    <row r="964" spans="4:19">
      <c r="I964" s="81">
        <v>45995</v>
      </c>
      <c r="J964" s="612" t="s">
        <v>2728</v>
      </c>
      <c r="K964" s="172"/>
      <c r="L964" s="543">
        <v>6950</v>
      </c>
      <c r="M964" s="543"/>
      <c r="N964" s="614"/>
      <c r="O964" s="732">
        <f t="shared" ref="O964:O986" si="2">O963+L964-N964</f>
        <v>141250</v>
      </c>
      <c r="P964" s="568"/>
      <c r="Q964" s="568"/>
    </row>
    <row r="965" spans="4:19">
      <c r="I965" s="81">
        <v>45999</v>
      </c>
      <c r="J965" s="612" t="s">
        <v>2729</v>
      </c>
      <c r="K965" s="172"/>
      <c r="L965" s="543"/>
      <c r="M965" s="543"/>
      <c r="N965" s="142">
        <v>149500</v>
      </c>
      <c r="O965" s="732">
        <f t="shared" si="2"/>
        <v>-8250</v>
      </c>
      <c r="P965" s="568"/>
      <c r="Q965" s="568"/>
    </row>
    <row r="966" spans="4:19">
      <c r="I966" s="81">
        <v>45999</v>
      </c>
      <c r="J966" s="612" t="s">
        <v>2728</v>
      </c>
      <c r="K966" s="172"/>
      <c r="L966" s="543">
        <v>60000</v>
      </c>
      <c r="M966" s="543"/>
      <c r="N966" s="614"/>
      <c r="O966" s="732">
        <f t="shared" si="2"/>
        <v>51750</v>
      </c>
      <c r="P966" s="568"/>
      <c r="Q966" s="568"/>
    </row>
    <row r="967" spans="4:19">
      <c r="I967" s="81">
        <v>46000</v>
      </c>
      <c r="J967" s="612" t="s">
        <v>2730</v>
      </c>
      <c r="K967" s="172"/>
      <c r="L967" s="543"/>
      <c r="M967" s="543"/>
      <c r="N967" s="142">
        <v>35530</v>
      </c>
      <c r="O967" s="732">
        <f t="shared" si="2"/>
        <v>16220</v>
      </c>
      <c r="P967" s="568"/>
      <c r="Q967" s="568"/>
    </row>
    <row r="968" spans="4:19">
      <c r="I968" s="81">
        <v>46002</v>
      </c>
      <c r="J968" s="612" t="s">
        <v>2731</v>
      </c>
      <c r="K968" s="172"/>
      <c r="L968" s="543"/>
      <c r="M968" s="543"/>
      <c r="N968" s="142">
        <v>61020</v>
      </c>
      <c r="O968" s="732">
        <f t="shared" si="2"/>
        <v>-44800</v>
      </c>
      <c r="P968" s="568"/>
      <c r="Q968" s="568"/>
    </row>
    <row r="969" spans="4:19">
      <c r="I969" s="81">
        <v>46002</v>
      </c>
      <c r="J969" s="612" t="s">
        <v>2728</v>
      </c>
      <c r="K969" s="172"/>
      <c r="L969" s="750">
        <v>45000</v>
      </c>
      <c r="M969" s="750"/>
      <c r="N969" s="614"/>
      <c r="O969" s="732">
        <f t="shared" si="2"/>
        <v>200</v>
      </c>
      <c r="P969" s="568"/>
      <c r="Q969" s="568"/>
    </row>
    <row r="970" spans="4:19" s="731" customFormat="1">
      <c r="D970" s="746"/>
      <c r="E970" s="746"/>
      <c r="F970" s="746"/>
      <c r="G970" s="746"/>
      <c r="I970" s="81">
        <v>46002</v>
      </c>
      <c r="J970" s="732" t="s">
        <v>2728</v>
      </c>
      <c r="K970" s="172"/>
      <c r="L970" s="751">
        <v>18000</v>
      </c>
      <c r="M970" s="751"/>
      <c r="N970" s="735"/>
      <c r="O970" s="732">
        <f t="shared" si="2"/>
        <v>18200</v>
      </c>
      <c r="P970" s="568"/>
      <c r="Q970" s="568"/>
    </row>
    <row r="971" spans="4:19">
      <c r="I971" s="81">
        <v>46004</v>
      </c>
      <c r="J971" s="612" t="s">
        <v>2728</v>
      </c>
      <c r="K971" s="172"/>
      <c r="L971" s="712">
        <v>324000</v>
      </c>
      <c r="M971" s="712"/>
      <c r="N971" s="614"/>
      <c r="O971" s="732">
        <f t="shared" si="2"/>
        <v>342200</v>
      </c>
      <c r="P971" s="568"/>
      <c r="Q971" s="568"/>
      <c r="R971" s="568"/>
      <c r="S971" s="611"/>
    </row>
    <row r="972" spans="4:19">
      <c r="I972" s="81">
        <v>46006</v>
      </c>
      <c r="J972" s="612" t="s">
        <v>2732</v>
      </c>
      <c r="K972" s="172"/>
      <c r="L972" s="543"/>
      <c r="M972" s="543"/>
      <c r="N972" s="142">
        <v>149500</v>
      </c>
      <c r="O972" s="732">
        <f t="shared" si="2"/>
        <v>192700</v>
      </c>
      <c r="P972" s="568"/>
      <c r="Q972" s="568"/>
    </row>
    <row r="973" spans="4:19">
      <c r="I973" s="81">
        <v>46006</v>
      </c>
      <c r="J973" s="612" t="s">
        <v>2733</v>
      </c>
      <c r="K973" s="172"/>
      <c r="L973" s="543"/>
      <c r="M973" s="543"/>
      <c r="N973" s="142">
        <v>10000</v>
      </c>
      <c r="O973" s="732">
        <f t="shared" si="2"/>
        <v>182700</v>
      </c>
      <c r="P973" s="568"/>
      <c r="Q973" s="568"/>
    </row>
    <row r="974" spans="4:19">
      <c r="I974" s="81">
        <v>46006</v>
      </c>
      <c r="J974" s="612" t="s">
        <v>2734</v>
      </c>
      <c r="K974" s="172"/>
      <c r="L974" s="712">
        <v>100000</v>
      </c>
      <c r="M974" s="712"/>
      <c r="N974" s="614"/>
      <c r="O974" s="732">
        <f t="shared" si="2"/>
        <v>282700</v>
      </c>
      <c r="P974" s="568"/>
      <c r="Q974" s="568"/>
    </row>
    <row r="975" spans="4:19">
      <c r="I975" s="81">
        <v>46007</v>
      </c>
      <c r="J975" s="612" t="s">
        <v>2735</v>
      </c>
      <c r="K975" s="172"/>
      <c r="L975" s="543"/>
      <c r="M975" s="543"/>
      <c r="N975" s="142">
        <v>150500</v>
      </c>
      <c r="O975" s="732">
        <f t="shared" si="2"/>
        <v>132200</v>
      </c>
      <c r="P975" s="568"/>
      <c r="Q975" s="568"/>
    </row>
    <row r="976" spans="4:19">
      <c r="I976" s="81">
        <v>46008</v>
      </c>
      <c r="J976" s="612" t="s">
        <v>2736</v>
      </c>
      <c r="K976" s="172"/>
      <c r="L976" s="543"/>
      <c r="M976" s="543"/>
      <c r="N976" s="142">
        <v>68000</v>
      </c>
      <c r="O976" s="732">
        <f t="shared" si="2"/>
        <v>64200</v>
      </c>
      <c r="P976" s="568"/>
      <c r="Q976" s="568"/>
    </row>
    <row r="977" spans="9:19">
      <c r="I977" s="81">
        <v>46013</v>
      </c>
      <c r="J977" s="612" t="s">
        <v>2728</v>
      </c>
      <c r="K977" s="172"/>
      <c r="L977" s="712">
        <v>123000</v>
      </c>
      <c r="M977" s="712"/>
      <c r="N977" s="614"/>
      <c r="O977" s="732">
        <f t="shared" si="2"/>
        <v>187200</v>
      </c>
      <c r="P977" s="568"/>
      <c r="Q977" s="568"/>
    </row>
    <row r="978" spans="9:19">
      <c r="I978" s="81">
        <v>46020</v>
      </c>
      <c r="J978" s="612" t="s">
        <v>2727</v>
      </c>
      <c r="K978" s="172"/>
      <c r="L978" s="712">
        <v>165000</v>
      </c>
      <c r="M978" s="712"/>
      <c r="N978" s="614"/>
      <c r="O978" s="732">
        <f t="shared" si="2"/>
        <v>352200</v>
      </c>
      <c r="P978" s="568"/>
      <c r="Q978" s="568"/>
    </row>
    <row r="979" spans="9:19">
      <c r="I979" s="81">
        <v>46021</v>
      </c>
      <c r="J979" s="612" t="s">
        <v>2736</v>
      </c>
      <c r="K979" s="172"/>
      <c r="L979" s="543"/>
      <c r="M979" s="543"/>
      <c r="N979" s="142">
        <v>113700</v>
      </c>
      <c r="O979" s="732">
        <f t="shared" si="2"/>
        <v>238500</v>
      </c>
      <c r="P979" s="568"/>
      <c r="Q979" s="568"/>
    </row>
    <row r="980" spans="9:19">
      <c r="I980" s="81">
        <v>46025</v>
      </c>
      <c r="J980" s="612" t="s">
        <v>2728</v>
      </c>
      <c r="K980" s="172"/>
      <c r="L980" s="712">
        <v>100000</v>
      </c>
      <c r="M980" s="712"/>
      <c r="N980" s="614"/>
      <c r="O980" s="732">
        <f t="shared" si="2"/>
        <v>338500</v>
      </c>
      <c r="P980" s="568"/>
      <c r="Q980" s="568"/>
    </row>
    <row r="981" spans="9:19">
      <c r="I981" s="81">
        <v>46025</v>
      </c>
      <c r="J981" s="612" t="s">
        <v>2728</v>
      </c>
      <c r="K981" s="172"/>
      <c r="L981" s="750">
        <v>62000</v>
      </c>
      <c r="M981" s="750"/>
      <c r="N981" s="614"/>
      <c r="O981" s="732">
        <f t="shared" si="2"/>
        <v>400500</v>
      </c>
      <c r="P981" s="568"/>
      <c r="Q981" s="568"/>
    </row>
    <row r="982" spans="9:19">
      <c r="I982" s="81">
        <v>46026</v>
      </c>
      <c r="J982" s="612" t="s">
        <v>2736</v>
      </c>
      <c r="K982" s="172"/>
      <c r="L982" s="543"/>
      <c r="M982" s="543"/>
      <c r="N982" s="142">
        <v>155000</v>
      </c>
      <c r="O982" s="732">
        <f t="shared" si="2"/>
        <v>245500</v>
      </c>
      <c r="P982" s="568"/>
      <c r="Q982" s="568"/>
    </row>
    <row r="983" spans="9:19">
      <c r="I983" s="81">
        <v>46026</v>
      </c>
      <c r="J983" s="612" t="s">
        <v>2737</v>
      </c>
      <c r="K983" s="172"/>
      <c r="L983" s="543"/>
      <c r="M983" s="543"/>
      <c r="N983" s="142">
        <v>16830</v>
      </c>
      <c r="O983" s="732">
        <f t="shared" si="2"/>
        <v>228670</v>
      </c>
      <c r="P983" s="568"/>
      <c r="Q983" s="568"/>
    </row>
    <row r="984" spans="9:19">
      <c r="I984" s="81">
        <v>46027</v>
      </c>
      <c r="J984" s="612" t="s">
        <v>2738</v>
      </c>
      <c r="K984" s="172"/>
      <c r="L984" s="543"/>
      <c r="M984" s="543"/>
      <c r="N984" s="142">
        <v>128550</v>
      </c>
      <c r="O984" s="732">
        <f t="shared" si="2"/>
        <v>100120</v>
      </c>
      <c r="P984" s="568"/>
      <c r="Q984" s="568"/>
    </row>
    <row r="985" spans="9:19">
      <c r="I985" s="81">
        <v>46027</v>
      </c>
      <c r="J985" s="612" t="s">
        <v>2738</v>
      </c>
      <c r="K985" s="172"/>
      <c r="L985" s="543"/>
      <c r="M985" s="543"/>
      <c r="N985" s="142">
        <v>5500</v>
      </c>
      <c r="O985" s="732">
        <f t="shared" si="2"/>
        <v>94620</v>
      </c>
      <c r="P985" s="568"/>
      <c r="Q985" s="568"/>
    </row>
    <row r="986" spans="9:19">
      <c r="I986" s="81">
        <v>46027</v>
      </c>
      <c r="J986" s="612" t="s">
        <v>2739</v>
      </c>
      <c r="K986" s="172"/>
      <c r="L986" s="543"/>
      <c r="M986" s="543"/>
      <c r="N986" s="142">
        <v>97900</v>
      </c>
      <c r="O986" s="732">
        <f t="shared" si="2"/>
        <v>-3280</v>
      </c>
      <c r="P986" s="568"/>
      <c r="Q986" s="568"/>
    </row>
    <row r="992" spans="9:19">
      <c r="I992" s="737">
        <v>46037</v>
      </c>
      <c r="J992" s="732">
        <v>3</v>
      </c>
      <c r="K992" s="172"/>
      <c r="L992" s="732" t="s">
        <v>2743</v>
      </c>
      <c r="M992" s="1066"/>
      <c r="N992" s="732" t="s">
        <v>2383</v>
      </c>
      <c r="O992" s="736">
        <v>259</v>
      </c>
      <c r="P992" s="736">
        <v>15</v>
      </c>
      <c r="Q992" s="736">
        <f>O992*J992</f>
        <v>777</v>
      </c>
      <c r="R992" s="736">
        <f>(O992+P992)*J992</f>
        <v>822</v>
      </c>
      <c r="S992" s="732" t="s">
        <v>2744</v>
      </c>
    </row>
    <row r="993" spans="9:19">
      <c r="I993" s="737">
        <v>46037</v>
      </c>
      <c r="J993" s="732">
        <v>3</v>
      </c>
      <c r="K993" s="172"/>
      <c r="L993" s="732" t="s">
        <v>2745</v>
      </c>
      <c r="M993" s="1066"/>
      <c r="N993" s="732" t="s">
        <v>2383</v>
      </c>
      <c r="O993" s="736">
        <v>519</v>
      </c>
      <c r="P993" s="736">
        <v>15</v>
      </c>
      <c r="Q993" s="736">
        <f>O993*J993</f>
        <v>1557</v>
      </c>
      <c r="R993" s="736">
        <f>(O993+P993)*J993</f>
        <v>1602</v>
      </c>
      <c r="S993" s="732" t="s">
        <v>465</v>
      </c>
    </row>
    <row r="994" spans="9:19">
      <c r="I994" s="737">
        <v>46037</v>
      </c>
      <c r="J994" s="732">
        <v>3</v>
      </c>
      <c r="K994" s="172"/>
      <c r="L994" s="732" t="s">
        <v>2746</v>
      </c>
      <c r="M994" s="1066"/>
      <c r="N994" s="732" t="s">
        <v>2383</v>
      </c>
      <c r="O994" s="736">
        <v>419</v>
      </c>
      <c r="P994" s="736">
        <v>15</v>
      </c>
      <c r="Q994" s="736">
        <f>O994*J994</f>
        <v>1257</v>
      </c>
      <c r="R994" s="736">
        <f>(O994+P994)*J994</f>
        <v>1302</v>
      </c>
      <c r="S994" s="732" t="s">
        <v>465</v>
      </c>
    </row>
    <row r="996" spans="9:19">
      <c r="Q996" s="738">
        <f>SUM(Q992:Q995)</f>
        <v>3591</v>
      </c>
      <c r="R996" s="738">
        <f>SUM(R992:R995)</f>
        <v>3726</v>
      </c>
    </row>
    <row r="998" spans="9:19">
      <c r="Q998" s="738">
        <f>R996-Q996</f>
        <v>135</v>
      </c>
    </row>
    <row r="1001" spans="9:19">
      <c r="I1001" t="s">
        <v>2747</v>
      </c>
      <c r="J1001" s="738">
        <v>3726</v>
      </c>
    </row>
    <row r="1002" spans="9:19">
      <c r="J1002" s="129">
        <v>135</v>
      </c>
    </row>
    <row r="1003" spans="9:19">
      <c r="J1003" s="129">
        <f>J1001-J1002</f>
        <v>3591</v>
      </c>
    </row>
    <row r="1004" spans="9:19">
      <c r="I1004" t="s">
        <v>2748</v>
      </c>
      <c r="J1004" s="129">
        <v>135</v>
      </c>
    </row>
    <row r="1008" spans="9:19">
      <c r="I1008">
        <v>1</v>
      </c>
      <c r="J1008" t="s">
        <v>2798</v>
      </c>
      <c r="L1008" s="656" t="s">
        <v>2827</v>
      </c>
      <c r="N1008" t="s">
        <v>2800</v>
      </c>
    </row>
    <row r="1009" spans="9:15">
      <c r="I1009">
        <v>1</v>
      </c>
      <c r="J1009" t="s">
        <v>2799</v>
      </c>
      <c r="L1009" s="656" t="s">
        <v>2828</v>
      </c>
      <c r="N1009" s="731" t="s">
        <v>2800</v>
      </c>
    </row>
    <row r="1011" spans="9:15">
      <c r="I1011">
        <v>2</v>
      </c>
      <c r="J1011" t="s">
        <v>2801</v>
      </c>
      <c r="N1011" t="s">
        <v>2802</v>
      </c>
    </row>
    <row r="1013" spans="9:15">
      <c r="I1013">
        <v>1</v>
      </c>
      <c r="J1013" t="s">
        <v>2803</v>
      </c>
      <c r="L1013" s="656" t="s">
        <v>2813</v>
      </c>
      <c r="N1013" t="s">
        <v>2818</v>
      </c>
      <c r="O1013" s="731" t="s">
        <v>2832</v>
      </c>
    </row>
    <row r="1014" spans="9:15">
      <c r="I1014">
        <v>1</v>
      </c>
      <c r="J1014" t="s">
        <v>2804</v>
      </c>
      <c r="L1014" s="656" t="s">
        <v>2813</v>
      </c>
      <c r="N1014" s="731" t="s">
        <v>2818</v>
      </c>
      <c r="O1014" s="731" t="s">
        <v>2832</v>
      </c>
    </row>
    <row r="1015" spans="9:15">
      <c r="I1015">
        <v>1</v>
      </c>
      <c r="J1015" t="s">
        <v>2805</v>
      </c>
      <c r="L1015" s="656" t="s">
        <v>2813</v>
      </c>
      <c r="N1015" s="731" t="s">
        <v>2818</v>
      </c>
      <c r="O1015" s="731" t="s">
        <v>2832</v>
      </c>
    </row>
    <row r="1016" spans="9:15">
      <c r="I1016">
        <v>1</v>
      </c>
      <c r="J1016" t="s">
        <v>2806</v>
      </c>
      <c r="L1016" s="656" t="s">
        <v>2813</v>
      </c>
      <c r="N1016" s="731" t="s">
        <v>2818</v>
      </c>
      <c r="O1016" s="731" t="s">
        <v>2832</v>
      </c>
    </row>
    <row r="1018" spans="9:15">
      <c r="I1018">
        <v>1</v>
      </c>
      <c r="J1018" t="s">
        <v>2807</v>
      </c>
      <c r="L1018" s="656" t="s">
        <v>2813</v>
      </c>
      <c r="N1018" t="s">
        <v>2812</v>
      </c>
      <c r="O1018" s="731" t="s">
        <v>2832</v>
      </c>
    </row>
    <row r="1019" spans="9:15">
      <c r="I1019">
        <v>1</v>
      </c>
      <c r="J1019" t="s">
        <v>2808</v>
      </c>
      <c r="L1019" s="656" t="s">
        <v>2813</v>
      </c>
      <c r="N1019" s="731" t="s">
        <v>2812</v>
      </c>
      <c r="O1019" s="731" t="s">
        <v>2832</v>
      </c>
    </row>
    <row r="1020" spans="9:15">
      <c r="I1020">
        <v>1</v>
      </c>
      <c r="J1020" t="s">
        <v>2809</v>
      </c>
      <c r="L1020" s="656" t="s">
        <v>2813</v>
      </c>
      <c r="N1020" s="731" t="s">
        <v>2812</v>
      </c>
      <c r="O1020" s="611" t="s">
        <v>2838</v>
      </c>
    </row>
    <row r="1021" spans="9:15">
      <c r="I1021">
        <v>1</v>
      </c>
      <c r="J1021" t="s">
        <v>1584</v>
      </c>
      <c r="L1021" s="656" t="s">
        <v>2813</v>
      </c>
      <c r="N1021" s="731" t="s">
        <v>2812</v>
      </c>
      <c r="O1021" s="731" t="s">
        <v>2832</v>
      </c>
    </row>
    <row r="1022" spans="9:15">
      <c r="I1022">
        <v>1</v>
      </c>
      <c r="J1022" t="s">
        <v>2810</v>
      </c>
      <c r="L1022" s="656" t="s">
        <v>2813</v>
      </c>
      <c r="N1022" s="731" t="s">
        <v>2812</v>
      </c>
      <c r="O1022" s="611" t="s">
        <v>2833</v>
      </c>
    </row>
    <row r="1023" spans="9:15">
      <c r="I1023">
        <v>1</v>
      </c>
      <c r="J1023" t="s">
        <v>2811</v>
      </c>
      <c r="L1023" s="656" t="s">
        <v>2813</v>
      </c>
      <c r="N1023" s="731" t="s">
        <v>2812</v>
      </c>
      <c r="O1023" s="731" t="s">
        <v>2832</v>
      </c>
    </row>
    <row r="1025" spans="9:15">
      <c r="I1025">
        <v>1</v>
      </c>
      <c r="J1025" t="s">
        <v>2814</v>
      </c>
      <c r="L1025" s="656" t="s">
        <v>2813</v>
      </c>
      <c r="N1025" t="s">
        <v>2817</v>
      </c>
      <c r="O1025" s="611" t="s">
        <v>2837</v>
      </c>
    </row>
    <row r="1026" spans="9:15">
      <c r="I1026">
        <v>1</v>
      </c>
      <c r="J1026" t="s">
        <v>2815</v>
      </c>
      <c r="L1026" s="656" t="s">
        <v>2813</v>
      </c>
      <c r="N1026" s="731" t="s">
        <v>2817</v>
      </c>
      <c r="O1026" s="731" t="s">
        <v>2832</v>
      </c>
    </row>
    <row r="1027" spans="9:15">
      <c r="I1027">
        <v>1</v>
      </c>
      <c r="J1027" t="s">
        <v>2816</v>
      </c>
      <c r="L1027" s="656" t="s">
        <v>2813</v>
      </c>
      <c r="N1027" s="731" t="s">
        <v>2817</v>
      </c>
      <c r="O1027" s="731" t="s">
        <v>2832</v>
      </c>
    </row>
    <row r="1029" spans="9:15">
      <c r="I1029">
        <v>1</v>
      </c>
      <c r="J1029" t="s">
        <v>2819</v>
      </c>
      <c r="L1029" s="656" t="s">
        <v>2820</v>
      </c>
      <c r="N1029" t="s">
        <v>1122</v>
      </c>
      <c r="O1029" s="611" t="s">
        <v>2836</v>
      </c>
    </row>
    <row r="1031" spans="9:15">
      <c r="I1031">
        <v>3</v>
      </c>
      <c r="J1031" s="129" t="s">
        <v>2821</v>
      </c>
      <c r="L1031" s="656" t="s">
        <v>1690</v>
      </c>
      <c r="N1031" t="s">
        <v>2822</v>
      </c>
      <c r="O1031" s="731" t="s">
        <v>2832</v>
      </c>
    </row>
    <row r="1033" spans="9:15">
      <c r="I1033">
        <v>1</v>
      </c>
      <c r="J1033" t="s">
        <v>2823</v>
      </c>
      <c r="L1033" s="656" t="s">
        <v>2820</v>
      </c>
      <c r="N1033" s="731" t="s">
        <v>1122</v>
      </c>
      <c r="O1033" s="611" t="s">
        <v>2835</v>
      </c>
    </row>
    <row r="1035" spans="9:15">
      <c r="I1035">
        <v>3</v>
      </c>
      <c r="J1035" t="s">
        <v>2824</v>
      </c>
      <c r="L1035" s="656" t="s">
        <v>2813</v>
      </c>
      <c r="N1035" t="s">
        <v>2825</v>
      </c>
      <c r="O1035" s="731" t="s">
        <v>2832</v>
      </c>
    </row>
    <row r="1036" spans="9:15">
      <c r="I1036">
        <v>1</v>
      </c>
      <c r="J1036" t="s">
        <v>2826</v>
      </c>
      <c r="L1036" s="656" t="s">
        <v>2813</v>
      </c>
      <c r="N1036" s="731" t="s">
        <v>2825</v>
      </c>
      <c r="O1036" s="611" t="s">
        <v>2834</v>
      </c>
    </row>
    <row r="1038" spans="9:15">
      <c r="I1038">
        <v>1</v>
      </c>
      <c r="J1038" t="s">
        <v>2829</v>
      </c>
      <c r="L1038" s="656" t="s">
        <v>2813</v>
      </c>
      <c r="N1038" t="s">
        <v>2830</v>
      </c>
      <c r="O1038" s="611" t="s">
        <v>2833</v>
      </c>
    </row>
    <row r="1039" spans="9:15">
      <c r="I1039">
        <v>2</v>
      </c>
      <c r="J1039" t="s">
        <v>2831</v>
      </c>
      <c r="L1039" s="656" t="s">
        <v>2813</v>
      </c>
      <c r="N1039" s="731" t="s">
        <v>2830</v>
      </c>
      <c r="O1039" s="611" t="s">
        <v>2832</v>
      </c>
    </row>
    <row r="1044" spans="9:18">
      <c r="I1044" s="1434" t="s">
        <v>1</v>
      </c>
      <c r="J1044" s="1434"/>
      <c r="K1044" s="1133"/>
      <c r="L1044" s="674" t="s">
        <v>2894</v>
      </c>
      <c r="M1044" s="674"/>
      <c r="N1044" s="763"/>
      <c r="O1044" s="763"/>
      <c r="P1044" s="763"/>
      <c r="Q1044"/>
      <c r="R1044"/>
    </row>
    <row r="1045" spans="9:18">
      <c r="I1045" s="1434" t="s">
        <v>2416</v>
      </c>
      <c r="J1045" s="1434"/>
      <c r="K1045" s="1133"/>
      <c r="L1045" s="674" t="s">
        <v>2895</v>
      </c>
      <c r="M1045" s="674"/>
      <c r="N1045" s="763"/>
      <c r="O1045" s="763"/>
      <c r="P1045" s="763"/>
      <c r="Q1045"/>
      <c r="R1045"/>
    </row>
    <row r="1046" spans="9:18">
      <c r="I1046" s="1434" t="s">
        <v>2896</v>
      </c>
      <c r="J1046" s="1434"/>
      <c r="K1046" s="1133"/>
      <c r="L1046" s="674" t="s">
        <v>2740</v>
      </c>
      <c r="M1046" s="674"/>
      <c r="N1046" s="763"/>
      <c r="O1046" s="763"/>
      <c r="P1046" s="763"/>
      <c r="Q1046"/>
      <c r="R1046"/>
    </row>
    <row r="1047" spans="9:18">
      <c r="I1047" s="763"/>
      <c r="J1047" s="763"/>
      <c r="K1047" s="1134"/>
      <c r="L1047" s="763"/>
      <c r="M1047" s="1107"/>
      <c r="N1047" s="763"/>
      <c r="O1047" s="762"/>
      <c r="P1047" s="763"/>
      <c r="Q1047"/>
      <c r="R1047"/>
    </row>
    <row r="1048" spans="9:18" ht="26.25">
      <c r="I1048" s="761" t="s">
        <v>2418</v>
      </c>
      <c r="J1048" s="761" t="s">
        <v>2419</v>
      </c>
      <c r="K1048" s="1135"/>
      <c r="L1048" s="761" t="s">
        <v>2420</v>
      </c>
      <c r="M1048" s="1105"/>
      <c r="N1048" s="761" t="s">
        <v>2421</v>
      </c>
      <c r="O1048" s="761" t="s">
        <v>2422</v>
      </c>
      <c r="P1048" s="761" t="s">
        <v>2423</v>
      </c>
      <c r="Q1048" s="766" t="s">
        <v>2897</v>
      </c>
      <c r="R1048" s="766" t="s">
        <v>2898</v>
      </c>
    </row>
    <row r="1049" spans="9:18" ht="26.25">
      <c r="I1049" s="762">
        <v>1</v>
      </c>
      <c r="J1049" s="762" t="s">
        <v>2547</v>
      </c>
      <c r="K1049" s="1136"/>
      <c r="L1049" s="762" t="s">
        <v>2459</v>
      </c>
      <c r="M1049" s="1106"/>
      <c r="N1049" s="762" t="s">
        <v>2428</v>
      </c>
      <c r="O1049" s="407">
        <v>352355700400171</v>
      </c>
      <c r="P1049" s="762" t="s">
        <v>1121</v>
      </c>
      <c r="Q1049">
        <v>4150</v>
      </c>
      <c r="R1049">
        <v>4220</v>
      </c>
    </row>
    <row r="1050" spans="9:18" ht="26.25">
      <c r="I1050" s="762">
        <v>2</v>
      </c>
      <c r="J1050" s="762" t="s">
        <v>2547</v>
      </c>
      <c r="K1050" s="1136"/>
      <c r="L1050" s="762" t="s">
        <v>2459</v>
      </c>
      <c r="M1050" s="1106"/>
      <c r="N1050" s="762" t="s">
        <v>2428</v>
      </c>
      <c r="O1050" s="407">
        <v>352355707404705</v>
      </c>
      <c r="P1050" s="763"/>
      <c r="Q1050" s="731">
        <v>4150</v>
      </c>
      <c r="R1050">
        <v>4220</v>
      </c>
    </row>
    <row r="1051" spans="9:18" ht="26.25">
      <c r="I1051" s="762">
        <v>3</v>
      </c>
      <c r="J1051" s="762" t="s">
        <v>2547</v>
      </c>
      <c r="K1051" s="1136"/>
      <c r="L1051" s="762" t="s">
        <v>2459</v>
      </c>
      <c r="M1051" s="1106"/>
      <c r="N1051" s="762" t="s">
        <v>2428</v>
      </c>
      <c r="O1051" s="407">
        <v>352355707588655</v>
      </c>
      <c r="P1051" s="763"/>
      <c r="Q1051" s="731">
        <v>4150</v>
      </c>
      <c r="R1051">
        <v>4220</v>
      </c>
    </row>
    <row r="1052" spans="9:18" ht="26.25">
      <c r="I1052" s="762">
        <v>4</v>
      </c>
      <c r="J1052" s="764" t="s">
        <v>2547</v>
      </c>
      <c r="K1052" s="1137"/>
      <c r="L1052" s="764" t="s">
        <v>2459</v>
      </c>
      <c r="M1052" s="1104"/>
      <c r="N1052" s="764" t="s">
        <v>2428</v>
      </c>
      <c r="O1052" s="721">
        <v>352355700414206</v>
      </c>
      <c r="P1052" s="749"/>
      <c r="Q1052" s="314">
        <v>4000</v>
      </c>
      <c r="R1052"/>
    </row>
    <row r="1053" spans="9:18" ht="26.25">
      <c r="I1053" s="762">
        <v>5</v>
      </c>
      <c r="J1053" s="762" t="s">
        <v>2547</v>
      </c>
      <c r="K1053" s="1136"/>
      <c r="L1053" s="762" t="s">
        <v>2429</v>
      </c>
      <c r="M1053" s="1106"/>
      <c r="N1053" s="762" t="s">
        <v>2428</v>
      </c>
      <c r="O1053" s="407">
        <v>352355705267526</v>
      </c>
      <c r="P1053" s="763"/>
      <c r="Q1053" s="731">
        <v>4150</v>
      </c>
      <c r="R1053">
        <v>4220</v>
      </c>
    </row>
    <row r="1054" spans="9:18" ht="26.25">
      <c r="I1054" s="762">
        <v>6</v>
      </c>
      <c r="J1054" s="762" t="s">
        <v>2632</v>
      </c>
      <c r="K1054" s="1136"/>
      <c r="L1054" s="762" t="s">
        <v>2459</v>
      </c>
      <c r="M1054" s="1106"/>
      <c r="N1054" s="762" t="s">
        <v>2428</v>
      </c>
      <c r="O1054" s="407" t="s">
        <v>2786</v>
      </c>
      <c r="P1054" s="763"/>
      <c r="Q1054">
        <v>4050</v>
      </c>
      <c r="R1054">
        <v>4080</v>
      </c>
    </row>
    <row r="1055" spans="9:18" ht="26.25">
      <c r="I1055" s="762">
        <v>7</v>
      </c>
      <c r="J1055" s="762" t="s">
        <v>2632</v>
      </c>
      <c r="K1055" s="1136"/>
      <c r="L1055" s="762" t="s">
        <v>2459</v>
      </c>
      <c r="M1055" s="1106"/>
      <c r="N1055" s="762" t="s">
        <v>2428</v>
      </c>
      <c r="O1055" s="407" t="s">
        <v>2787</v>
      </c>
      <c r="P1055" s="763"/>
      <c r="Q1055">
        <v>4050</v>
      </c>
      <c r="R1055" s="731">
        <v>4080</v>
      </c>
    </row>
    <row r="1056" spans="9:18" ht="26.25">
      <c r="I1056" s="762">
        <v>8</v>
      </c>
      <c r="J1056" s="762" t="s">
        <v>2632</v>
      </c>
      <c r="K1056" s="1136"/>
      <c r="L1056" s="762" t="s">
        <v>2459</v>
      </c>
      <c r="M1056" s="1106"/>
      <c r="N1056" s="762" t="s">
        <v>2428</v>
      </c>
      <c r="O1056" s="407" t="s">
        <v>2785</v>
      </c>
      <c r="P1056" s="763"/>
      <c r="Q1056">
        <v>4050</v>
      </c>
      <c r="R1056" s="731">
        <v>4080</v>
      </c>
    </row>
    <row r="1057" spans="9:18" ht="26.25">
      <c r="I1057" s="762">
        <v>9</v>
      </c>
      <c r="J1057" s="762" t="s">
        <v>2632</v>
      </c>
      <c r="K1057" s="1136"/>
      <c r="L1057" s="762" t="s">
        <v>2459</v>
      </c>
      <c r="M1057" s="1106"/>
      <c r="N1057" s="762" t="s">
        <v>2430</v>
      </c>
      <c r="O1057" s="407" t="s">
        <v>2676</v>
      </c>
      <c r="P1057" s="763"/>
      <c r="Q1057" s="731">
        <v>4980</v>
      </c>
      <c r="R1057" s="731">
        <v>5120</v>
      </c>
    </row>
    <row r="1058" spans="9:18" ht="26.25">
      <c r="I1058" s="762">
        <v>10</v>
      </c>
      <c r="J1058" s="762" t="s">
        <v>2632</v>
      </c>
      <c r="K1058" s="1136"/>
      <c r="L1058" s="762" t="s">
        <v>2459</v>
      </c>
      <c r="M1058" s="1106"/>
      <c r="N1058" s="762" t="s">
        <v>2430</v>
      </c>
      <c r="O1058" s="407" t="s">
        <v>2677</v>
      </c>
      <c r="P1058" s="763"/>
      <c r="Q1058">
        <v>4980</v>
      </c>
      <c r="R1058" s="731">
        <v>5120</v>
      </c>
    </row>
    <row r="1059" spans="9:18" ht="26.25">
      <c r="I1059" s="762">
        <v>11</v>
      </c>
      <c r="J1059" s="764" t="s">
        <v>2632</v>
      </c>
      <c r="K1059" s="1137"/>
      <c r="L1059" s="764" t="s">
        <v>2459</v>
      </c>
      <c r="M1059" s="1104"/>
      <c r="N1059" s="764" t="s">
        <v>2435</v>
      </c>
      <c r="O1059" s="721" t="s">
        <v>2633</v>
      </c>
      <c r="P1059" s="764" t="s">
        <v>1121</v>
      </c>
      <c r="Q1059" s="314" t="s">
        <v>676</v>
      </c>
      <c r="R1059"/>
    </row>
    <row r="1060" spans="9:18" ht="26.25">
      <c r="I1060" s="762">
        <v>12</v>
      </c>
      <c r="J1060" s="762" t="s">
        <v>2632</v>
      </c>
      <c r="K1060" s="1136"/>
      <c r="L1060" s="762" t="s">
        <v>2429</v>
      </c>
      <c r="M1060" s="1106"/>
      <c r="N1060" s="762" t="s">
        <v>2428</v>
      </c>
      <c r="O1060" s="407" t="s">
        <v>2789</v>
      </c>
      <c r="P1060" s="763"/>
      <c r="Q1060">
        <v>4050</v>
      </c>
      <c r="R1060">
        <v>4080</v>
      </c>
    </row>
    <row r="1061" spans="9:18" ht="26.25">
      <c r="I1061" s="762">
        <v>13</v>
      </c>
      <c r="J1061" s="762" t="s">
        <v>2632</v>
      </c>
      <c r="K1061" s="1136"/>
      <c r="L1061" s="762" t="s">
        <v>2429</v>
      </c>
      <c r="M1061" s="1106"/>
      <c r="N1061" s="762" t="s">
        <v>2428</v>
      </c>
      <c r="O1061" s="407" t="s">
        <v>2788</v>
      </c>
      <c r="P1061" s="763"/>
      <c r="Q1061" s="731">
        <v>4050</v>
      </c>
      <c r="R1061" s="731">
        <v>4080</v>
      </c>
    </row>
    <row r="1062" spans="9:18" ht="26.25">
      <c r="I1062" s="762">
        <v>14</v>
      </c>
      <c r="J1062" s="764" t="s">
        <v>2458</v>
      </c>
      <c r="K1062" s="1137"/>
      <c r="L1062" s="764" t="s">
        <v>2459</v>
      </c>
      <c r="M1062" s="1104"/>
      <c r="N1062" s="764" t="s">
        <v>2428</v>
      </c>
      <c r="O1062" s="721">
        <v>358112932514061</v>
      </c>
      <c r="P1062" s="764" t="s">
        <v>2460</v>
      </c>
      <c r="Q1062" s="314">
        <v>3250</v>
      </c>
      <c r="R1062"/>
    </row>
    <row r="1063" spans="9:18" ht="26.25">
      <c r="I1063" s="762">
        <v>15</v>
      </c>
      <c r="J1063" s="762" t="s">
        <v>2458</v>
      </c>
      <c r="K1063" s="1136"/>
      <c r="L1063" s="762" t="s">
        <v>2459</v>
      </c>
      <c r="M1063" s="1106"/>
      <c r="N1063" s="762" t="s">
        <v>2428</v>
      </c>
      <c r="O1063" s="407">
        <v>358112934561524</v>
      </c>
      <c r="P1063" s="763"/>
      <c r="Q1063">
        <v>3750</v>
      </c>
      <c r="R1063">
        <v>3900</v>
      </c>
    </row>
    <row r="1064" spans="9:18" ht="26.25">
      <c r="I1064" s="762">
        <v>16</v>
      </c>
      <c r="J1064" s="764" t="s">
        <v>2458</v>
      </c>
      <c r="K1064" s="1137"/>
      <c r="L1064" s="764" t="s">
        <v>2459</v>
      </c>
      <c r="M1064" s="1104"/>
      <c r="N1064" s="764" t="s">
        <v>2428</v>
      </c>
      <c r="O1064" s="721">
        <v>358112933425135</v>
      </c>
      <c r="P1064" s="764" t="s">
        <v>2460</v>
      </c>
      <c r="Q1064" s="314">
        <v>3250</v>
      </c>
      <c r="R1064"/>
    </row>
    <row r="1065" spans="9:18" ht="26.25">
      <c r="I1065" s="762">
        <v>17</v>
      </c>
      <c r="J1065" s="762" t="s">
        <v>2458</v>
      </c>
      <c r="K1065" s="1136"/>
      <c r="L1065" s="762" t="s">
        <v>2459</v>
      </c>
      <c r="M1065" s="1106"/>
      <c r="N1065" s="762" t="s">
        <v>2428</v>
      </c>
      <c r="O1065" s="407">
        <v>358112933972698</v>
      </c>
      <c r="P1065" s="763"/>
      <c r="Q1065" s="731">
        <v>3750</v>
      </c>
      <c r="R1065" s="731">
        <v>3900</v>
      </c>
    </row>
    <row r="1066" spans="9:18" ht="26.25">
      <c r="I1066" s="762">
        <v>18</v>
      </c>
      <c r="J1066" s="762" t="s">
        <v>2458</v>
      </c>
      <c r="K1066" s="1136"/>
      <c r="L1066" s="762" t="s">
        <v>2459</v>
      </c>
      <c r="M1066" s="1106"/>
      <c r="N1066" s="762" t="s">
        <v>2428</v>
      </c>
      <c r="O1066" s="407">
        <v>358112934982993</v>
      </c>
      <c r="P1066" s="763"/>
      <c r="Q1066" s="731">
        <v>3750</v>
      </c>
      <c r="R1066" s="731">
        <v>3900</v>
      </c>
    </row>
    <row r="1067" spans="9:18" ht="26.25">
      <c r="I1067" s="762">
        <v>19</v>
      </c>
      <c r="J1067" s="764" t="s">
        <v>2458</v>
      </c>
      <c r="K1067" s="1137"/>
      <c r="L1067" s="764" t="s">
        <v>2459</v>
      </c>
      <c r="M1067" s="1104"/>
      <c r="N1067" s="764" t="s">
        <v>2428</v>
      </c>
      <c r="O1067" s="721">
        <v>358112930542452</v>
      </c>
      <c r="P1067" s="764" t="s">
        <v>2460</v>
      </c>
      <c r="Q1067" s="314">
        <v>3250</v>
      </c>
      <c r="R1067"/>
    </row>
    <row r="1068" spans="9:18" ht="26.25">
      <c r="I1068" s="762">
        <v>20</v>
      </c>
      <c r="J1068" s="762" t="s">
        <v>2461</v>
      </c>
      <c r="K1068" s="1136"/>
      <c r="L1068" s="762" t="s">
        <v>2459</v>
      </c>
      <c r="M1068" s="1106"/>
      <c r="N1068" s="762" t="s">
        <v>2428</v>
      </c>
      <c r="O1068" s="407">
        <v>356334540274274</v>
      </c>
      <c r="P1068" s="763"/>
      <c r="Q1068">
        <v>3700</v>
      </c>
      <c r="R1068">
        <v>3650</v>
      </c>
    </row>
    <row r="1069" spans="9:18" ht="26.25">
      <c r="I1069" s="762">
        <v>21</v>
      </c>
      <c r="J1069" s="762" t="s">
        <v>2462</v>
      </c>
      <c r="K1069" s="1136"/>
      <c r="L1069" s="762" t="s">
        <v>2455</v>
      </c>
      <c r="M1069" s="1106"/>
      <c r="N1069" s="762" t="s">
        <v>2442</v>
      </c>
      <c r="O1069" s="407" t="s">
        <v>2464</v>
      </c>
      <c r="P1069" s="763"/>
      <c r="Q1069">
        <v>2350</v>
      </c>
      <c r="R1069">
        <v>2320</v>
      </c>
    </row>
    <row r="1070" spans="9:18" ht="26.25">
      <c r="I1070" s="762">
        <v>22</v>
      </c>
      <c r="J1070" s="762" t="s">
        <v>2462</v>
      </c>
      <c r="K1070" s="1136"/>
      <c r="L1070" s="762" t="s">
        <v>2455</v>
      </c>
      <c r="M1070" s="1106"/>
      <c r="N1070" s="762" t="s">
        <v>2442</v>
      </c>
      <c r="O1070" s="407" t="s">
        <v>2463</v>
      </c>
      <c r="P1070" s="763"/>
      <c r="Q1070" s="731">
        <v>2350</v>
      </c>
      <c r="R1070" s="731">
        <v>2320</v>
      </c>
    </row>
    <row r="1071" spans="9:18" ht="26.25">
      <c r="I1071" s="762">
        <v>23</v>
      </c>
      <c r="J1071" s="762" t="s">
        <v>2462</v>
      </c>
      <c r="K1071" s="1136"/>
      <c r="L1071" s="762" t="s">
        <v>2455</v>
      </c>
      <c r="M1071" s="1106"/>
      <c r="N1071" s="762" t="s">
        <v>2442</v>
      </c>
      <c r="O1071" s="407" t="s">
        <v>2678</v>
      </c>
      <c r="P1071" s="763"/>
      <c r="Q1071" s="731">
        <v>2350</v>
      </c>
      <c r="R1071" s="731">
        <v>2320</v>
      </c>
    </row>
    <row r="1072" spans="9:18" ht="26.25">
      <c r="I1072" s="762">
        <v>24</v>
      </c>
      <c r="J1072" s="762" t="s">
        <v>2462</v>
      </c>
      <c r="K1072" s="1136"/>
      <c r="L1072" s="762" t="s">
        <v>2455</v>
      </c>
      <c r="M1072" s="1106"/>
      <c r="N1072" s="762" t="s">
        <v>2442</v>
      </c>
      <c r="O1072" s="407" t="s">
        <v>2679</v>
      </c>
      <c r="P1072" s="763"/>
      <c r="Q1072" s="731">
        <v>2350</v>
      </c>
      <c r="R1072" s="731">
        <v>2320</v>
      </c>
    </row>
    <row r="1073" spans="9:18" ht="26.25">
      <c r="I1073" s="762">
        <v>25</v>
      </c>
      <c r="J1073" s="762" t="s">
        <v>2680</v>
      </c>
      <c r="K1073" s="1136"/>
      <c r="L1073" s="762" t="s">
        <v>2455</v>
      </c>
      <c r="M1073" s="1106"/>
      <c r="N1073" s="762" t="s">
        <v>2442</v>
      </c>
      <c r="O1073" s="407" t="s">
        <v>2681</v>
      </c>
      <c r="P1073" s="763"/>
      <c r="Q1073">
        <v>1730</v>
      </c>
      <c r="R1073">
        <v>1730</v>
      </c>
    </row>
    <row r="1074" spans="9:18" ht="26.25">
      <c r="I1074" s="762">
        <v>26</v>
      </c>
      <c r="J1074" s="762" t="s">
        <v>2466</v>
      </c>
      <c r="K1074" s="1136"/>
      <c r="L1074" s="762" t="s">
        <v>2455</v>
      </c>
      <c r="M1074" s="1106"/>
      <c r="N1074" s="762" t="s">
        <v>2442</v>
      </c>
      <c r="O1074" s="407">
        <v>357153132623899</v>
      </c>
      <c r="P1074" s="763"/>
      <c r="Q1074">
        <v>1850</v>
      </c>
      <c r="R1074"/>
    </row>
    <row r="1075" spans="9:18" ht="26.25">
      <c r="I1075" s="762">
        <v>27</v>
      </c>
      <c r="J1075" s="762" t="s">
        <v>2466</v>
      </c>
      <c r="K1075" s="1136"/>
      <c r="L1075" s="762" t="s">
        <v>2449</v>
      </c>
      <c r="M1075" s="1106"/>
      <c r="N1075" s="762" t="s">
        <v>2442</v>
      </c>
      <c r="O1075" s="407">
        <v>357153137093346</v>
      </c>
      <c r="P1075" s="763"/>
      <c r="Q1075" s="731">
        <v>1850</v>
      </c>
      <c r="R1075"/>
    </row>
    <row r="1076" spans="9:18" ht="26.25">
      <c r="I1076" s="762">
        <v>28</v>
      </c>
      <c r="J1076" s="762" t="s">
        <v>2467</v>
      </c>
      <c r="K1076" s="1136"/>
      <c r="L1076" s="762" t="s">
        <v>2468</v>
      </c>
      <c r="M1076" s="1106"/>
      <c r="N1076" s="762" t="s">
        <v>2428</v>
      </c>
      <c r="O1076" s="407" t="s">
        <v>2469</v>
      </c>
      <c r="P1076" s="763"/>
      <c r="Q1076">
        <v>1650</v>
      </c>
      <c r="R1076"/>
    </row>
    <row r="1077" spans="9:18">
      <c r="I1077" s="762">
        <v>29</v>
      </c>
      <c r="J1077" s="762" t="s">
        <v>2465</v>
      </c>
      <c r="K1077" s="1136"/>
      <c r="L1077" s="762" t="s">
        <v>2449</v>
      </c>
      <c r="M1077" s="1106"/>
      <c r="N1077" s="762" t="s">
        <v>2442</v>
      </c>
      <c r="O1077" s="407">
        <v>359655271258475</v>
      </c>
      <c r="P1077" s="763"/>
      <c r="Q1077">
        <v>1375</v>
      </c>
      <c r="R1077">
        <v>1340</v>
      </c>
    </row>
    <row r="1078" spans="9:18">
      <c r="I1078" s="762">
        <v>30</v>
      </c>
      <c r="J1078" s="762" t="s">
        <v>2634</v>
      </c>
      <c r="K1078" s="1136"/>
      <c r="L1078" s="762" t="s">
        <v>2449</v>
      </c>
      <c r="M1078" s="1106"/>
      <c r="N1078" s="762" t="s">
        <v>2442</v>
      </c>
      <c r="O1078" s="407" t="s">
        <v>2635</v>
      </c>
      <c r="P1078" s="763"/>
      <c r="Q1078">
        <v>1130</v>
      </c>
      <c r="R1078">
        <v>1120</v>
      </c>
    </row>
    <row r="1079" spans="9:18" ht="39">
      <c r="I1079" s="762">
        <v>31</v>
      </c>
      <c r="J1079" s="762" t="s">
        <v>2573</v>
      </c>
      <c r="K1079" s="1136"/>
      <c r="L1079" s="762" t="s">
        <v>2459</v>
      </c>
      <c r="M1079" s="1106"/>
      <c r="N1079" s="762" t="s">
        <v>2574</v>
      </c>
      <c r="O1079" s="407" t="s">
        <v>2790</v>
      </c>
      <c r="P1079" s="763"/>
      <c r="Q1079">
        <v>5025</v>
      </c>
      <c r="R1079"/>
    </row>
    <row r="1080" spans="9:18" ht="39">
      <c r="I1080" s="762">
        <v>32</v>
      </c>
      <c r="J1080" s="762" t="s">
        <v>2573</v>
      </c>
      <c r="K1080" s="1136"/>
      <c r="L1080" s="762" t="s">
        <v>2459</v>
      </c>
      <c r="M1080" s="1106"/>
      <c r="N1080" s="762" t="s">
        <v>2574</v>
      </c>
      <c r="O1080" s="407" t="s">
        <v>2791</v>
      </c>
      <c r="P1080" s="763"/>
      <c r="Q1080">
        <v>5025</v>
      </c>
      <c r="R1080"/>
    </row>
    <row r="1081" spans="9:18" ht="39">
      <c r="I1081" s="762">
        <v>33</v>
      </c>
      <c r="J1081" s="762" t="s">
        <v>2477</v>
      </c>
      <c r="K1081" s="1136"/>
      <c r="L1081" s="762" t="s">
        <v>2459</v>
      </c>
      <c r="M1081" s="1106"/>
      <c r="N1081" s="762" t="s">
        <v>2478</v>
      </c>
      <c r="O1081" s="407" t="s">
        <v>2683</v>
      </c>
      <c r="P1081" s="763"/>
      <c r="Q1081" s="731">
        <v>6305</v>
      </c>
      <c r="R1081"/>
    </row>
    <row r="1082" spans="9:18" ht="39">
      <c r="I1082" s="762">
        <v>34</v>
      </c>
      <c r="J1082" s="762" t="s">
        <v>2477</v>
      </c>
      <c r="K1082" s="1136"/>
      <c r="L1082" s="762" t="s">
        <v>2459</v>
      </c>
      <c r="M1082" s="1106"/>
      <c r="N1082" s="762" t="s">
        <v>2478</v>
      </c>
      <c r="O1082" s="407" t="s">
        <v>2684</v>
      </c>
      <c r="P1082" s="763"/>
      <c r="Q1082">
        <v>6305</v>
      </c>
      <c r="R1082"/>
    </row>
    <row r="1083" spans="9:18" ht="39">
      <c r="I1083" s="762">
        <v>35</v>
      </c>
      <c r="J1083" s="762" t="s">
        <v>2685</v>
      </c>
      <c r="K1083" s="1136"/>
      <c r="L1083" s="762" t="s">
        <v>2485</v>
      </c>
      <c r="M1083" s="1106"/>
      <c r="N1083" s="762" t="s">
        <v>2574</v>
      </c>
      <c r="O1083" s="407" t="s">
        <v>2686</v>
      </c>
      <c r="P1083" s="763"/>
      <c r="Q1083" s="772" t="s">
        <v>1236</v>
      </c>
      <c r="R1083"/>
    </row>
    <row r="1091" spans="9:19">
      <c r="I1091" s="305" t="s">
        <v>2958</v>
      </c>
      <c r="J1091" s="779" t="s">
        <v>2419</v>
      </c>
      <c r="K1091" s="1138"/>
      <c r="L1091" s="780" t="s">
        <v>2959</v>
      </c>
      <c r="M1091" s="780"/>
      <c r="N1091" s="780" t="s">
        <v>2611</v>
      </c>
      <c r="O1091" s="780" t="s">
        <v>2612</v>
      </c>
      <c r="P1091" s="780" t="s">
        <v>2960</v>
      </c>
      <c r="Q1091" s="780" t="s">
        <v>2961</v>
      </c>
      <c r="R1091" s="780" t="s">
        <v>2962</v>
      </c>
      <c r="S1091" s="780" t="s">
        <v>2963</v>
      </c>
    </row>
    <row r="1092" spans="9:19">
      <c r="I1092" s="732"/>
      <c r="J1092" s="135"/>
      <c r="K1092" s="172"/>
      <c r="L1092" s="659"/>
      <c r="M1092" s="659"/>
      <c r="N1092" s="732"/>
      <c r="O1092" s="732"/>
      <c r="P1092" s="732"/>
      <c r="Q1092" s="732"/>
      <c r="R1092" s="732"/>
      <c r="S1092" s="732"/>
    </row>
    <row r="1093" spans="9:19">
      <c r="I1093" s="732"/>
      <c r="J1093" s="135"/>
      <c r="K1093" s="172"/>
      <c r="L1093" s="659"/>
      <c r="M1093" s="659"/>
      <c r="N1093" s="732"/>
      <c r="O1093" s="732"/>
      <c r="P1093" s="732"/>
      <c r="Q1093" s="732"/>
      <c r="R1093" s="732"/>
      <c r="S1093" s="732"/>
    </row>
    <row r="1094" spans="9:19">
      <c r="I1094" s="732"/>
      <c r="J1094" s="135"/>
      <c r="K1094" s="172"/>
      <c r="L1094" s="659"/>
      <c r="M1094" s="659"/>
      <c r="N1094" s="732"/>
      <c r="O1094" s="732"/>
      <c r="P1094" s="732"/>
      <c r="Q1094" s="732"/>
      <c r="R1094" s="732"/>
      <c r="S1094" s="732"/>
    </row>
    <row r="1095" spans="9:19">
      <c r="I1095" s="732"/>
      <c r="J1095" s="135"/>
      <c r="K1095" s="172"/>
      <c r="L1095" s="659"/>
      <c r="M1095" s="659"/>
      <c r="N1095" s="732"/>
      <c r="O1095" s="732"/>
      <c r="P1095" s="732"/>
      <c r="Q1095" s="732"/>
      <c r="R1095" s="732"/>
      <c r="S1095" s="732"/>
    </row>
    <row r="1096" spans="9:19">
      <c r="I1096" s="732"/>
      <c r="J1096" s="135"/>
      <c r="K1096" s="172"/>
      <c r="L1096" s="659"/>
      <c r="M1096" s="659"/>
      <c r="N1096" s="732"/>
      <c r="O1096" s="732"/>
      <c r="P1096" s="732"/>
      <c r="Q1096" s="732"/>
      <c r="R1096" s="732"/>
      <c r="S1096" s="732"/>
    </row>
    <row r="1097" spans="9:19">
      <c r="I1097" s="732"/>
      <c r="J1097" s="135"/>
      <c r="K1097" s="172"/>
      <c r="L1097" s="659"/>
      <c r="M1097" s="659"/>
      <c r="N1097" s="732"/>
      <c r="O1097" s="732"/>
      <c r="P1097" s="732"/>
      <c r="Q1097" s="732"/>
      <c r="R1097" s="732"/>
      <c r="S1097" s="732"/>
    </row>
    <row r="1098" spans="9:19">
      <c r="I1098" s="732"/>
      <c r="J1098" s="135"/>
      <c r="K1098" s="172"/>
      <c r="L1098" s="659"/>
      <c r="M1098" s="659"/>
      <c r="N1098" s="732"/>
      <c r="O1098" s="732"/>
      <c r="P1098" s="732"/>
      <c r="Q1098" s="732"/>
      <c r="R1098" s="732"/>
      <c r="S1098" s="732"/>
    </row>
    <row r="1103" spans="9:19">
      <c r="I1103" t="s">
        <v>3207</v>
      </c>
      <c r="J1103" s="129" t="s">
        <v>3208</v>
      </c>
    </row>
    <row r="1104" spans="9:19">
      <c r="I1104" t="s">
        <v>2718</v>
      </c>
      <c r="J1104" s="129" t="s">
        <v>3209</v>
      </c>
      <c r="L1104" s="714"/>
      <c r="M1104" s="782"/>
    </row>
    <row r="1105" spans="9:16">
      <c r="I1105" t="s">
        <v>2795</v>
      </c>
      <c r="J1105" s="129" t="s">
        <v>3210</v>
      </c>
    </row>
    <row r="1106" spans="9:16">
      <c r="I1106" t="s">
        <v>2893</v>
      </c>
      <c r="J1106" s="129" t="s">
        <v>3208</v>
      </c>
    </row>
    <row r="1107" spans="9:16">
      <c r="I1107" t="s">
        <v>3012</v>
      </c>
      <c r="J1107" s="129" t="s">
        <v>3211</v>
      </c>
    </row>
    <row r="1108" spans="9:16">
      <c r="I1108" t="s">
        <v>3212</v>
      </c>
      <c r="J1108" s="129" t="s">
        <v>3208</v>
      </c>
    </row>
    <row r="1109" spans="9:16">
      <c r="I1109" t="s">
        <v>3213</v>
      </c>
      <c r="J1109" s="129" t="s">
        <v>3214</v>
      </c>
    </row>
    <row r="1117" spans="9:16">
      <c r="J1117" s="300" t="s">
        <v>2086</v>
      </c>
      <c r="K1117" s="1139"/>
      <c r="L1117" s="876" t="s">
        <v>3241</v>
      </c>
      <c r="M1117" s="876"/>
      <c r="N1117" s="875" t="s">
        <v>3256</v>
      </c>
      <c r="P1117" s="875" t="s">
        <v>2087</v>
      </c>
    </row>
    <row r="1118" spans="9:16">
      <c r="J1118" s="129" t="s">
        <v>3242</v>
      </c>
      <c r="L1118" s="656">
        <v>3700</v>
      </c>
      <c r="P1118" s="611">
        <v>3850</v>
      </c>
    </row>
    <row r="1119" spans="9:16">
      <c r="J1119" s="129" t="s">
        <v>3243</v>
      </c>
      <c r="L1119" s="656">
        <v>3850</v>
      </c>
      <c r="N1119">
        <v>4000</v>
      </c>
      <c r="P1119" s="611">
        <v>3950</v>
      </c>
    </row>
    <row r="1120" spans="9:16">
      <c r="J1120" s="129" t="s">
        <v>3244</v>
      </c>
      <c r="L1120" s="656">
        <v>3800</v>
      </c>
      <c r="N1120">
        <v>3950</v>
      </c>
      <c r="P1120" s="611">
        <v>3770</v>
      </c>
    </row>
    <row r="1121" spans="10:16">
      <c r="P1121" s="611"/>
    </row>
    <row r="1122" spans="10:16">
      <c r="J1122" s="129" t="s">
        <v>3245</v>
      </c>
      <c r="L1122" s="656">
        <v>5850</v>
      </c>
      <c r="N1122">
        <v>5900</v>
      </c>
      <c r="P1122" s="611">
        <v>4600</v>
      </c>
    </row>
    <row r="1123" spans="10:16">
      <c r="P1123" s="611"/>
    </row>
    <row r="1124" spans="10:16">
      <c r="J1124" s="129" t="s">
        <v>3246</v>
      </c>
      <c r="L1124" s="656">
        <v>4300</v>
      </c>
      <c r="P1124" s="611">
        <v>5206</v>
      </c>
    </row>
    <row r="1125" spans="10:16">
      <c r="P1125" s="611"/>
    </row>
    <row r="1126" spans="10:16">
      <c r="J1126" s="129" t="s">
        <v>3247</v>
      </c>
      <c r="L1126" s="656">
        <v>3300</v>
      </c>
      <c r="P1126" s="611">
        <v>3401</v>
      </c>
    </row>
    <row r="1127" spans="10:16">
      <c r="P1127" s="611"/>
    </row>
    <row r="1128" spans="10:16">
      <c r="J1128" s="129" t="s">
        <v>3248</v>
      </c>
      <c r="L1128" s="656">
        <v>2880</v>
      </c>
      <c r="N1128">
        <v>2750</v>
      </c>
      <c r="P1128" s="611">
        <v>2678</v>
      </c>
    </row>
    <row r="1130" spans="10:16">
      <c r="J1130" s="129" t="s">
        <v>3249</v>
      </c>
      <c r="L1130" s="656">
        <v>1450</v>
      </c>
    </row>
    <row r="1132" spans="10:16">
      <c r="J1132" s="129" t="s">
        <v>3250</v>
      </c>
      <c r="L1132" s="656">
        <v>3580</v>
      </c>
      <c r="N1132">
        <v>3600</v>
      </c>
    </row>
    <row r="1134" spans="10:16">
      <c r="J1134" s="129" t="s">
        <v>3251</v>
      </c>
      <c r="L1134" s="656">
        <v>1800</v>
      </c>
      <c r="N1134">
        <v>1750</v>
      </c>
    </row>
    <row r="1136" spans="10:16">
      <c r="J1136" s="129" t="s">
        <v>3252</v>
      </c>
      <c r="L1136" s="656">
        <v>2350</v>
      </c>
      <c r="N1136">
        <v>1750</v>
      </c>
    </row>
    <row r="1138" spans="10:14">
      <c r="J1138" s="129" t="s">
        <v>3253</v>
      </c>
      <c r="L1138" s="656">
        <v>2300</v>
      </c>
      <c r="N1138">
        <v>1600</v>
      </c>
    </row>
    <row r="1140" spans="10:14">
      <c r="J1140" s="129" t="s">
        <v>3254</v>
      </c>
      <c r="L1140" s="656">
        <v>1350</v>
      </c>
      <c r="N1140">
        <v>1380</v>
      </c>
    </row>
    <row r="1142" spans="10:14">
      <c r="J1142" s="129" t="s">
        <v>3255</v>
      </c>
      <c r="L1142" s="656">
        <v>1250</v>
      </c>
      <c r="N1142">
        <v>1170</v>
      </c>
    </row>
    <row r="1148" spans="10:14">
      <c r="J1148" s="129" t="s">
        <v>3416</v>
      </c>
    </row>
    <row r="1149" spans="10:14">
      <c r="J1149" s="129" t="s">
        <v>3417</v>
      </c>
    </row>
    <row r="1150" spans="10:14">
      <c r="J1150" s="129" t="s">
        <v>3418</v>
      </c>
    </row>
    <row r="1151" spans="10:14">
      <c r="J1151" s="129" t="s">
        <v>3419</v>
      </c>
    </row>
    <row r="1156" spans="10:15">
      <c r="J1156" s="129" t="s">
        <v>3726</v>
      </c>
    </row>
    <row r="1157" spans="10:15">
      <c r="J1157" s="129" t="s">
        <v>3727</v>
      </c>
      <c r="L1157" s="656">
        <v>1</v>
      </c>
      <c r="N1157" t="s">
        <v>3728</v>
      </c>
    </row>
    <row r="1163" spans="10:15">
      <c r="J1163" s="1015"/>
      <c r="K1163" s="1140"/>
      <c r="L1163" s="1015"/>
      <c r="M1163" s="1015"/>
      <c r="N1163" s="1016"/>
      <c r="O1163" s="1015"/>
    </row>
    <row r="1164" spans="10:15">
      <c r="J1164" s="1015"/>
      <c r="K1164" s="1140"/>
      <c r="L1164" s="1015"/>
      <c r="M1164" s="1015"/>
      <c r="N1164" s="1016"/>
      <c r="O1164" s="1015"/>
    </row>
    <row r="1165" spans="10:15">
      <c r="J1165" s="1015"/>
      <c r="K1165" s="1140"/>
      <c r="L1165" s="1015"/>
      <c r="M1165" s="1015"/>
      <c r="N1165" s="1016"/>
      <c r="O1165" s="1015"/>
    </row>
    <row r="1166" spans="10:15">
      <c r="J1166" s="1015"/>
      <c r="K1166" s="1140"/>
      <c r="L1166" s="1015"/>
      <c r="M1166" s="1015"/>
      <c r="N1166" s="1016"/>
      <c r="O1166" s="1015"/>
    </row>
    <row r="1167" spans="10:15">
      <c r="J1167" s="1015"/>
      <c r="K1167" s="1140"/>
      <c r="L1167" s="1015"/>
      <c r="M1167" s="1015"/>
      <c r="N1167" s="1016"/>
      <c r="O1167" s="1015"/>
    </row>
    <row r="1168" spans="10:15">
      <c r="J1168" s="1015"/>
      <c r="K1168" s="1140"/>
      <c r="L1168" s="1015"/>
      <c r="M1168" s="1015"/>
      <c r="N1168" s="1016"/>
      <c r="O1168" s="1015"/>
    </row>
    <row r="1180" spans="10:17">
      <c r="J1180" s="641" t="s">
        <v>4335</v>
      </c>
      <c r="K1180" s="1123" t="s">
        <v>3</v>
      </c>
      <c r="L1180" s="660" t="s">
        <v>2576</v>
      </c>
      <c r="M1180" s="660" t="s">
        <v>4334</v>
      </c>
      <c r="N1180" s="1108" t="s">
        <v>4322</v>
      </c>
      <c r="O1180" s="1108" t="s">
        <v>4334</v>
      </c>
      <c r="P1180" s="1153" t="s">
        <v>4354</v>
      </c>
      <c r="Q1180" s="1153" t="s">
        <v>4334</v>
      </c>
    </row>
    <row r="1181" spans="10:17">
      <c r="J1181" s="135" t="s">
        <v>4323</v>
      </c>
      <c r="K1181" s="172">
        <v>6</v>
      </c>
      <c r="L1181" s="1155">
        <v>3600</v>
      </c>
      <c r="M1181" s="659">
        <f>K1181*L1181</f>
        <v>21600</v>
      </c>
      <c r="N1181" s="1066">
        <v>3520</v>
      </c>
      <c r="O1181" s="1066">
        <f>K1181*N1181</f>
        <v>21120</v>
      </c>
      <c r="P1181" s="143">
        <v>3600</v>
      </c>
      <c r="Q1181" s="1066">
        <f>K1181*P1181</f>
        <v>21600</v>
      </c>
    </row>
    <row r="1182" spans="10:17">
      <c r="J1182" s="135" t="s">
        <v>4324</v>
      </c>
      <c r="K1182" s="172">
        <v>1</v>
      </c>
      <c r="L1182" s="659">
        <v>4820</v>
      </c>
      <c r="M1182" s="659">
        <f t="shared" ref="M1182:M1191" si="3">K1182*L1182</f>
        <v>4820</v>
      </c>
      <c r="N1182" s="143">
        <v>4900</v>
      </c>
      <c r="O1182" s="1066">
        <f t="shared" ref="O1182:O1191" si="4">K1182*N1182</f>
        <v>4900</v>
      </c>
      <c r="P1182" s="617">
        <v>4800</v>
      </c>
      <c r="Q1182" s="1066">
        <f t="shared" ref="Q1182:Q1191" si="5">K1182*P1182</f>
        <v>4800</v>
      </c>
    </row>
    <row r="1183" spans="10:17">
      <c r="J1183" s="135" t="s">
        <v>4325</v>
      </c>
      <c r="K1183" s="172">
        <v>5</v>
      </c>
      <c r="L1183" s="1155">
        <v>4000</v>
      </c>
      <c r="M1183" s="659">
        <f t="shared" si="3"/>
        <v>20000</v>
      </c>
      <c r="N1183" s="1066">
        <v>3950</v>
      </c>
      <c r="O1183" s="1066">
        <f t="shared" si="4"/>
        <v>19750</v>
      </c>
      <c r="P1183" s="617">
        <v>3950</v>
      </c>
      <c r="Q1183" s="1066">
        <f t="shared" si="5"/>
        <v>19750</v>
      </c>
    </row>
    <row r="1184" spans="10:17">
      <c r="J1184" s="135" t="s">
        <v>4326</v>
      </c>
      <c r="K1184" s="172">
        <v>4</v>
      </c>
      <c r="L1184" s="659">
        <v>2300</v>
      </c>
      <c r="M1184" s="659">
        <f t="shared" si="3"/>
        <v>9200</v>
      </c>
      <c r="N1184" s="143">
        <v>2350</v>
      </c>
      <c r="O1184" s="1066">
        <f t="shared" si="4"/>
        <v>9400</v>
      </c>
      <c r="P1184" s="617">
        <v>2200</v>
      </c>
      <c r="Q1184" s="1066">
        <f t="shared" si="5"/>
        <v>8800</v>
      </c>
    </row>
    <row r="1185" spans="10:17">
      <c r="J1185" s="135" t="s">
        <v>4327</v>
      </c>
      <c r="K1185" s="172">
        <v>2</v>
      </c>
      <c r="L1185" s="659">
        <v>2500</v>
      </c>
      <c r="M1185" s="659">
        <f t="shared" si="3"/>
        <v>5000</v>
      </c>
      <c r="N1185" s="143">
        <v>2800</v>
      </c>
      <c r="O1185" s="1066">
        <f t="shared" si="4"/>
        <v>5600</v>
      </c>
      <c r="P1185" s="617">
        <v>2700</v>
      </c>
      <c r="Q1185" s="1066">
        <f t="shared" si="5"/>
        <v>5400</v>
      </c>
    </row>
    <row r="1186" spans="10:17">
      <c r="J1186" s="135" t="s">
        <v>4328</v>
      </c>
      <c r="K1186" s="172">
        <v>1</v>
      </c>
      <c r="L1186" s="659">
        <v>1100</v>
      </c>
      <c r="M1186" s="659">
        <f t="shared" si="3"/>
        <v>1100</v>
      </c>
      <c r="N1186" s="143">
        <v>1120</v>
      </c>
      <c r="O1186" s="1066">
        <f t="shared" si="4"/>
        <v>1120</v>
      </c>
      <c r="P1186" s="617">
        <v>1100</v>
      </c>
      <c r="Q1186" s="1066">
        <f t="shared" si="5"/>
        <v>1100</v>
      </c>
    </row>
    <row r="1187" spans="10:17">
      <c r="J1187" s="135" t="s">
        <v>4329</v>
      </c>
      <c r="K1187" s="172">
        <v>1</v>
      </c>
      <c r="L1187" s="659">
        <v>1150</v>
      </c>
      <c r="M1187" s="659">
        <f t="shared" si="3"/>
        <v>1150</v>
      </c>
      <c r="N1187" s="143">
        <v>1300</v>
      </c>
      <c r="O1187" s="1066">
        <f t="shared" si="4"/>
        <v>1300</v>
      </c>
      <c r="P1187" s="617">
        <v>1250</v>
      </c>
      <c r="Q1187" s="1066">
        <f t="shared" si="5"/>
        <v>1250</v>
      </c>
    </row>
    <row r="1188" spans="10:17">
      <c r="J1188" s="135" t="s">
        <v>4330</v>
      </c>
      <c r="K1188" s="172">
        <v>2</v>
      </c>
      <c r="L1188" s="1155">
        <v>2000</v>
      </c>
      <c r="M1188" s="659">
        <f t="shared" si="3"/>
        <v>4000</v>
      </c>
      <c r="N1188" s="143">
        <v>2000</v>
      </c>
      <c r="O1188" s="1066">
        <f t="shared" si="4"/>
        <v>4000</v>
      </c>
      <c r="P1188" s="617">
        <v>1850</v>
      </c>
      <c r="Q1188" s="1066">
        <f t="shared" si="5"/>
        <v>3700</v>
      </c>
    </row>
    <row r="1189" spans="10:17">
      <c r="J1189" s="135" t="s">
        <v>4331</v>
      </c>
      <c r="K1189" s="172">
        <v>1</v>
      </c>
      <c r="L1189" s="1155">
        <v>2100</v>
      </c>
      <c r="M1189" s="659">
        <f t="shared" si="3"/>
        <v>2100</v>
      </c>
      <c r="N1189" s="1066">
        <v>2050</v>
      </c>
      <c r="O1189" s="1066">
        <f t="shared" si="4"/>
        <v>2050</v>
      </c>
      <c r="P1189" s="617">
        <v>1950</v>
      </c>
      <c r="Q1189" s="1066">
        <f t="shared" si="5"/>
        <v>1950</v>
      </c>
    </row>
    <row r="1190" spans="10:17">
      <c r="J1190" s="135" t="s">
        <v>4332</v>
      </c>
      <c r="K1190" s="172">
        <v>1</v>
      </c>
      <c r="L1190" s="659">
        <v>2700</v>
      </c>
      <c r="M1190" s="659">
        <f t="shared" si="3"/>
        <v>2700</v>
      </c>
      <c r="N1190" s="143">
        <v>2850</v>
      </c>
      <c r="O1190" s="1066">
        <f t="shared" si="4"/>
        <v>2850</v>
      </c>
      <c r="P1190" s="617">
        <v>2650</v>
      </c>
      <c r="Q1190" s="1066">
        <f t="shared" si="5"/>
        <v>2650</v>
      </c>
    </row>
    <row r="1191" spans="10:17">
      <c r="J1191" s="135" t="s">
        <v>4333</v>
      </c>
      <c r="K1191" s="172">
        <v>1</v>
      </c>
      <c r="L1191" s="659">
        <v>2100</v>
      </c>
      <c r="M1191" s="659">
        <f t="shared" si="3"/>
        <v>2100</v>
      </c>
      <c r="N1191" s="143">
        <v>2300</v>
      </c>
      <c r="O1191" s="1066">
        <f t="shared" si="4"/>
        <v>2300</v>
      </c>
      <c r="P1191" s="143">
        <v>2300</v>
      </c>
      <c r="Q1191" s="1066">
        <f t="shared" si="5"/>
        <v>2300</v>
      </c>
    </row>
    <row r="1192" spans="10:17">
      <c r="J1192" s="135"/>
      <c r="K1192" s="172"/>
      <c r="L1192" s="659"/>
      <c r="M1192" s="659"/>
      <c r="N1192" s="1066"/>
      <c r="O1192" s="1066"/>
      <c r="P1192" s="1066"/>
      <c r="Q1192" s="1066"/>
    </row>
    <row r="1193" spans="10:17">
      <c r="J1193" s="135"/>
      <c r="K1193" s="172"/>
      <c r="L1193" s="659"/>
      <c r="M1193" s="1141">
        <f>SUM(M1181:M1192)</f>
        <v>73770</v>
      </c>
      <c r="N1193" s="1066"/>
      <c r="O1193" s="559">
        <f>SUM(O1181:O1192)</f>
        <v>74390</v>
      </c>
      <c r="P1193" s="1066"/>
      <c r="Q1193" s="1154">
        <f>SUM(Q1181:Q1192)</f>
        <v>73300</v>
      </c>
    </row>
    <row r="1197" spans="10:17">
      <c r="J1197" s="135" t="s">
        <v>4327</v>
      </c>
      <c r="K1197" s="172">
        <v>2650</v>
      </c>
      <c r="L1197" s="659">
        <v>2910</v>
      </c>
      <c r="M1197" s="172">
        <f>L1197-K1197</f>
        <v>260</v>
      </c>
    </row>
    <row r="1198" spans="10:17">
      <c r="J1198" s="135" t="s">
        <v>4468</v>
      </c>
      <c r="K1198" s="172">
        <v>2650</v>
      </c>
      <c r="L1198" s="659">
        <v>2530</v>
      </c>
      <c r="M1198" s="1169">
        <f t="shared" ref="M1198:M1200" si="6">L1198-K1198</f>
        <v>-120</v>
      </c>
    </row>
    <row r="1199" spans="10:17">
      <c r="J1199" s="135" t="s">
        <v>4469</v>
      </c>
      <c r="K1199" s="172">
        <v>3600</v>
      </c>
      <c r="L1199" s="659">
        <v>3550</v>
      </c>
      <c r="M1199" s="1169">
        <f t="shared" si="6"/>
        <v>-50</v>
      </c>
    </row>
    <row r="1200" spans="10:17">
      <c r="J1200" s="135" t="s">
        <v>4325</v>
      </c>
      <c r="K1200" s="172">
        <v>3900</v>
      </c>
      <c r="L1200" s="659">
        <v>3970</v>
      </c>
      <c r="M1200" s="172">
        <f t="shared" si="6"/>
        <v>70</v>
      </c>
    </row>
    <row r="1208" spans="10:12">
      <c r="J1208" s="129" t="s">
        <v>4536</v>
      </c>
    </row>
    <row r="1210" spans="10:12">
      <c r="J1210" s="129" t="s">
        <v>4537</v>
      </c>
      <c r="K1210" s="160">
        <v>174870</v>
      </c>
      <c r="L1210" s="656">
        <v>600</v>
      </c>
    </row>
    <row r="1211" spans="10:12">
      <c r="K1211" s="160">
        <v>20000</v>
      </c>
      <c r="L1211" s="160">
        <v>75000</v>
      </c>
    </row>
    <row r="1212" spans="10:12">
      <c r="K1212" s="160">
        <v>7980</v>
      </c>
      <c r="L1212" s="656">
        <v>15</v>
      </c>
    </row>
    <row r="1213" spans="10:12">
      <c r="K1213" s="160">
        <v>106440</v>
      </c>
      <c r="L1213" s="656">
        <v>50</v>
      </c>
    </row>
    <row r="1214" spans="10:12">
      <c r="K1214" s="160">
        <v>13920</v>
      </c>
      <c r="L1214" s="656">
        <v>142800</v>
      </c>
    </row>
    <row r="1215" spans="10:12">
      <c r="K1215" s="160">
        <v>90750</v>
      </c>
      <c r="L1215" s="656" t="s">
        <v>2682</v>
      </c>
    </row>
    <row r="1216" spans="10:12">
      <c r="K1216" s="160">
        <v>21210</v>
      </c>
    </row>
    <row r="1217" spans="11:13">
      <c r="K1217" s="160">
        <v>107785</v>
      </c>
    </row>
    <row r="1218" spans="11:13">
      <c r="K1218" s="160">
        <v>5</v>
      </c>
    </row>
    <row r="1219" spans="11:13">
      <c r="K1219" s="160">
        <f>SUM(K1210:K1218)</f>
        <v>542960</v>
      </c>
      <c r="L1219" s="656">
        <f>SUM(L1210:L1218)</f>
        <v>218465</v>
      </c>
    </row>
    <row r="1222" spans="11:13">
      <c r="L1222" s="160">
        <f>K1219-L1219</f>
        <v>324495</v>
      </c>
    </row>
    <row r="1223" spans="11:13">
      <c r="L1223" s="656">
        <v>13230</v>
      </c>
      <c r="M1223" s="656">
        <v>100</v>
      </c>
    </row>
    <row r="1224" spans="11:13">
      <c r="L1224" s="656">
        <v>3980</v>
      </c>
      <c r="M1224" s="656">
        <v>600</v>
      </c>
    </row>
    <row r="1225" spans="11:13">
      <c r="L1225" s="656">
        <v>8280</v>
      </c>
      <c r="M1225" s="656">
        <v>10</v>
      </c>
    </row>
    <row r="1226" spans="11:13">
      <c r="L1226" s="656">
        <v>17525</v>
      </c>
    </row>
    <row r="1227" spans="11:13">
      <c r="L1227" s="656">
        <v>8880</v>
      </c>
    </row>
    <row r="1228" spans="11:13">
      <c r="L1228" s="656">
        <v>4170</v>
      </c>
    </row>
    <row r="1230" spans="11:13">
      <c r="L1230" s="1120">
        <f>SUM(L1222:L1229)</f>
        <v>380560</v>
      </c>
      <c r="M1230" s="720">
        <f>SUM(M1223:M1229)</f>
        <v>710</v>
      </c>
    </row>
    <row r="1233" spans="11:16">
      <c r="M1233" s="160">
        <f>L1230-M1230</f>
        <v>379850</v>
      </c>
    </row>
    <row r="1245" spans="11:16">
      <c r="K1245" s="1498" t="s">
        <v>1</v>
      </c>
      <c r="L1245" s="1498"/>
      <c r="M1245" s="809" t="s">
        <v>4763</v>
      </c>
      <c r="N1245" s="1275" t="s">
        <v>4764</v>
      </c>
      <c r="O1245" s="76"/>
    </row>
    <row r="1246" spans="11:16">
      <c r="K1246" s="1498" t="s">
        <v>2416</v>
      </c>
      <c r="L1246" s="1498"/>
      <c r="M1246" s="809" t="s">
        <v>202</v>
      </c>
      <c r="N1246" s="1277" t="s">
        <v>49</v>
      </c>
      <c r="O1246" s="1244" t="s">
        <v>119</v>
      </c>
      <c r="P1246" s="1244" t="s">
        <v>4773</v>
      </c>
    </row>
    <row r="1247" spans="11:16" ht="15.75">
      <c r="K1247" s="1245">
        <v>1</v>
      </c>
      <c r="L1247" s="1274" t="s">
        <v>4625</v>
      </c>
      <c r="M1247" s="1274" t="s">
        <v>4626</v>
      </c>
      <c r="N1247" s="1276">
        <v>1481.55</v>
      </c>
      <c r="O1247" s="284">
        <v>1580</v>
      </c>
      <c r="P1247" s="1066">
        <f>O1247-N1247</f>
        <v>98.450000000000045</v>
      </c>
    </row>
    <row r="1248" spans="11:16" ht="15.75">
      <c r="K1248" s="1245">
        <v>2</v>
      </c>
      <c r="L1248" s="1274" t="s">
        <v>4625</v>
      </c>
      <c r="M1248" s="1274" t="s">
        <v>4628</v>
      </c>
      <c r="N1248" s="1246">
        <v>1481.55</v>
      </c>
      <c r="O1248" s="1066">
        <v>1580</v>
      </c>
      <c r="P1248" s="1066">
        <f t="shared" ref="P1248:P1280" si="7">O1248-N1248</f>
        <v>98.450000000000045</v>
      </c>
    </row>
    <row r="1249" spans="11:16" ht="15.75">
      <c r="K1249" s="1245">
        <v>3</v>
      </c>
      <c r="L1249" s="1274" t="s">
        <v>4625</v>
      </c>
      <c r="M1249" s="1274" t="s">
        <v>4629</v>
      </c>
      <c r="N1249" s="1246">
        <v>1481.55</v>
      </c>
      <c r="O1249" s="1066">
        <v>1580</v>
      </c>
      <c r="P1249" s="1066">
        <f t="shared" si="7"/>
        <v>98.450000000000045</v>
      </c>
    </row>
    <row r="1250" spans="11:16" ht="15.75">
      <c r="K1250" s="1245">
        <v>4</v>
      </c>
      <c r="L1250" s="1274" t="s">
        <v>4630</v>
      </c>
      <c r="M1250" s="1274" t="s">
        <v>4631</v>
      </c>
      <c r="N1250" s="1246">
        <v>1463.7</v>
      </c>
      <c r="O1250" s="1066">
        <v>1580</v>
      </c>
      <c r="P1250" s="1066">
        <f t="shared" si="7"/>
        <v>116.29999999999995</v>
      </c>
    </row>
    <row r="1251" spans="11:16" ht="15.75">
      <c r="K1251" s="1278">
        <v>5</v>
      </c>
      <c r="L1251" s="1279" t="s">
        <v>4765</v>
      </c>
      <c r="M1251" s="1279" t="s">
        <v>4766</v>
      </c>
      <c r="N1251" s="1280">
        <v>503.5</v>
      </c>
      <c r="O1251" s="217">
        <v>345</v>
      </c>
      <c r="P1251" s="217">
        <f t="shared" si="7"/>
        <v>-158.5</v>
      </c>
    </row>
    <row r="1252" spans="11:16" ht="15.75">
      <c r="K1252" s="1278">
        <v>6</v>
      </c>
      <c r="L1252" s="1279" t="s">
        <v>4765</v>
      </c>
      <c r="M1252" s="1279" t="s">
        <v>4767</v>
      </c>
      <c r="N1252" s="1280">
        <v>503.5</v>
      </c>
      <c r="O1252" s="217">
        <v>345</v>
      </c>
      <c r="P1252" s="217">
        <f t="shared" si="7"/>
        <v>-158.5</v>
      </c>
    </row>
    <row r="1253" spans="11:16" ht="15.75">
      <c r="K1253" s="1278">
        <v>7</v>
      </c>
      <c r="L1253" s="1279" t="s">
        <v>3871</v>
      </c>
      <c r="M1253" s="1279" t="s">
        <v>4768</v>
      </c>
      <c r="N1253" s="1280">
        <v>268.5</v>
      </c>
      <c r="O1253" s="217">
        <v>215</v>
      </c>
      <c r="P1253" s="217">
        <f t="shared" si="7"/>
        <v>-53.5</v>
      </c>
    </row>
    <row r="1254" spans="11:16" ht="15.75">
      <c r="K1254" s="1245">
        <v>8</v>
      </c>
      <c r="L1254" s="1274" t="s">
        <v>4769</v>
      </c>
      <c r="M1254" s="1274" t="s">
        <v>4640</v>
      </c>
      <c r="N1254" s="1246">
        <v>1677.9</v>
      </c>
      <c r="O1254" s="1066">
        <v>1910</v>
      </c>
      <c r="P1254" s="1066">
        <f t="shared" si="7"/>
        <v>232.09999999999991</v>
      </c>
    </row>
    <row r="1255" spans="11:16" ht="15.75">
      <c r="K1255" s="1245">
        <v>9</v>
      </c>
      <c r="L1255" s="1274" t="s">
        <v>4769</v>
      </c>
      <c r="M1255" s="1274" t="s">
        <v>4641</v>
      </c>
      <c r="N1255" s="1246">
        <v>1677.9</v>
      </c>
      <c r="O1255" s="1066">
        <v>1910</v>
      </c>
      <c r="P1255" s="1066">
        <f t="shared" si="7"/>
        <v>232.09999999999991</v>
      </c>
    </row>
    <row r="1256" spans="11:16" ht="15.75">
      <c r="K1256" s="1245">
        <v>10</v>
      </c>
      <c r="L1256" s="1274" t="s">
        <v>4769</v>
      </c>
      <c r="M1256" s="1274" t="s">
        <v>4642</v>
      </c>
      <c r="N1256" s="1246">
        <v>1677.9</v>
      </c>
      <c r="O1256" s="1066">
        <v>1910</v>
      </c>
      <c r="P1256" s="1066">
        <f t="shared" si="7"/>
        <v>232.09999999999991</v>
      </c>
    </row>
    <row r="1257" spans="11:16" ht="15.75">
      <c r="K1257" s="1245">
        <v>11</v>
      </c>
      <c r="L1257" s="1274" t="s">
        <v>4769</v>
      </c>
      <c r="M1257" s="1274" t="s">
        <v>4643</v>
      </c>
      <c r="N1257" s="1246">
        <v>1677.9</v>
      </c>
      <c r="O1257" s="1066">
        <v>1910</v>
      </c>
      <c r="P1257" s="1066">
        <f t="shared" si="7"/>
        <v>232.09999999999991</v>
      </c>
    </row>
    <row r="1258" spans="11:16" ht="15.75">
      <c r="K1258" s="1245">
        <v>12</v>
      </c>
      <c r="L1258" s="1274" t="s">
        <v>4769</v>
      </c>
      <c r="M1258" s="1274" t="s">
        <v>4644</v>
      </c>
      <c r="N1258" s="1246">
        <v>1677.9</v>
      </c>
      <c r="O1258" s="1066">
        <v>1910</v>
      </c>
      <c r="P1258" s="1066">
        <f t="shared" si="7"/>
        <v>232.09999999999991</v>
      </c>
    </row>
    <row r="1259" spans="11:16" ht="15.75">
      <c r="K1259" s="1245">
        <v>13</v>
      </c>
      <c r="L1259" s="1274" t="s">
        <v>4769</v>
      </c>
      <c r="M1259" s="1274" t="s">
        <v>4645</v>
      </c>
      <c r="N1259" s="1246">
        <v>1677.9</v>
      </c>
      <c r="O1259" s="1066">
        <v>1910</v>
      </c>
      <c r="P1259" s="1066">
        <f t="shared" si="7"/>
        <v>232.09999999999991</v>
      </c>
    </row>
    <row r="1260" spans="11:16" ht="15.75">
      <c r="K1260" s="1245">
        <v>14</v>
      </c>
      <c r="L1260" s="1274" t="s">
        <v>4769</v>
      </c>
      <c r="M1260" s="1274" t="s">
        <v>4646</v>
      </c>
      <c r="N1260" s="1246">
        <v>1677.9</v>
      </c>
      <c r="O1260" s="1066">
        <v>1910</v>
      </c>
      <c r="P1260" s="1066">
        <f t="shared" si="7"/>
        <v>232.09999999999991</v>
      </c>
    </row>
    <row r="1261" spans="11:16" ht="15.75">
      <c r="K1261" s="1245">
        <v>15</v>
      </c>
      <c r="L1261" s="1274" t="s">
        <v>4769</v>
      </c>
      <c r="M1261" s="1274" t="s">
        <v>4647</v>
      </c>
      <c r="N1261" s="1246">
        <v>1677.9</v>
      </c>
      <c r="O1261" s="1066">
        <v>1910</v>
      </c>
      <c r="P1261" s="1066">
        <f t="shared" si="7"/>
        <v>232.09999999999991</v>
      </c>
    </row>
    <row r="1262" spans="11:16" ht="15.75">
      <c r="K1262" s="1245">
        <v>16</v>
      </c>
      <c r="L1262" s="1274" t="s">
        <v>4769</v>
      </c>
      <c r="M1262" s="1274" t="s">
        <v>4648</v>
      </c>
      <c r="N1262" s="1246">
        <v>1677.9</v>
      </c>
      <c r="O1262" s="1066">
        <v>1910</v>
      </c>
      <c r="P1262" s="1066">
        <f t="shared" si="7"/>
        <v>232.09999999999991</v>
      </c>
    </row>
    <row r="1263" spans="11:16" ht="15.75">
      <c r="K1263" s="1245">
        <v>17</v>
      </c>
      <c r="L1263" s="1274" t="s">
        <v>4769</v>
      </c>
      <c r="M1263" s="1274" t="s">
        <v>4649</v>
      </c>
      <c r="N1263" s="1246">
        <v>1677.9</v>
      </c>
      <c r="O1263" s="1066">
        <v>1910</v>
      </c>
      <c r="P1263" s="1066">
        <f t="shared" si="7"/>
        <v>232.09999999999991</v>
      </c>
    </row>
    <row r="1264" spans="11:16" ht="15.75">
      <c r="K1264" s="1245">
        <v>18</v>
      </c>
      <c r="L1264" s="1274" t="s">
        <v>4769</v>
      </c>
      <c r="M1264" s="1274" t="s">
        <v>4650</v>
      </c>
      <c r="N1264" s="1246">
        <v>1677.9</v>
      </c>
      <c r="O1264" s="1066">
        <v>1910</v>
      </c>
      <c r="P1264" s="1066">
        <f t="shared" si="7"/>
        <v>232.09999999999991</v>
      </c>
    </row>
    <row r="1265" spans="11:16" ht="15.75">
      <c r="K1265" s="1245">
        <v>19</v>
      </c>
      <c r="L1265" s="1274" t="s">
        <v>4769</v>
      </c>
      <c r="M1265" s="1274" t="s">
        <v>4651</v>
      </c>
      <c r="N1265" s="1246">
        <v>1677.9</v>
      </c>
      <c r="O1265" s="1066">
        <v>1910</v>
      </c>
      <c r="P1265" s="1066">
        <f t="shared" si="7"/>
        <v>232.09999999999991</v>
      </c>
    </row>
    <row r="1266" spans="11:16" ht="15.75">
      <c r="K1266" s="1245">
        <v>20</v>
      </c>
      <c r="L1266" s="1274" t="s">
        <v>4769</v>
      </c>
      <c r="M1266" s="1274" t="s">
        <v>4652</v>
      </c>
      <c r="N1266" s="1246">
        <v>1677.9</v>
      </c>
      <c r="O1266" s="1066">
        <v>1910</v>
      </c>
      <c r="P1266" s="1066">
        <f t="shared" si="7"/>
        <v>232.09999999999991</v>
      </c>
    </row>
    <row r="1267" spans="11:16" ht="15.75">
      <c r="K1267" s="1245">
        <v>21</v>
      </c>
      <c r="L1267" s="1274" t="s">
        <v>4769</v>
      </c>
      <c r="M1267" s="1274" t="s">
        <v>4653</v>
      </c>
      <c r="N1267" s="1246">
        <v>1677.9</v>
      </c>
      <c r="O1267" s="1066">
        <v>1910</v>
      </c>
      <c r="P1267" s="1066">
        <f t="shared" si="7"/>
        <v>232.09999999999991</v>
      </c>
    </row>
    <row r="1268" spans="11:16" ht="15.75">
      <c r="K1268" s="1245">
        <v>22</v>
      </c>
      <c r="L1268" s="1274" t="s">
        <v>4654</v>
      </c>
      <c r="M1268" s="1274" t="s">
        <v>4655</v>
      </c>
      <c r="N1268" s="1246">
        <v>1071</v>
      </c>
      <c r="O1268" s="1066">
        <v>1340</v>
      </c>
      <c r="P1268" s="1066">
        <f t="shared" si="7"/>
        <v>269</v>
      </c>
    </row>
    <row r="1269" spans="11:16" ht="15.75">
      <c r="K1269" s="1245">
        <v>23</v>
      </c>
      <c r="L1269" s="1274" t="s">
        <v>4656</v>
      </c>
      <c r="M1269" s="1274" t="s">
        <v>4657</v>
      </c>
      <c r="N1269" s="1246">
        <v>1071</v>
      </c>
      <c r="O1269" s="1066">
        <v>1360</v>
      </c>
      <c r="P1269" s="1066">
        <f t="shared" si="7"/>
        <v>289</v>
      </c>
    </row>
    <row r="1270" spans="11:16" ht="15.75">
      <c r="K1270" s="1245">
        <v>24</v>
      </c>
      <c r="L1270" s="1274" t="s">
        <v>4454</v>
      </c>
      <c r="M1270" s="1274" t="s">
        <v>4558</v>
      </c>
      <c r="N1270" s="1246">
        <v>1071</v>
      </c>
      <c r="O1270" s="1066">
        <v>1520</v>
      </c>
      <c r="P1270" s="1066">
        <f t="shared" si="7"/>
        <v>449</v>
      </c>
    </row>
    <row r="1271" spans="11:16" ht="15.75">
      <c r="K1271" s="1245">
        <v>25</v>
      </c>
      <c r="L1271" s="1274" t="s">
        <v>4454</v>
      </c>
      <c r="M1271" s="1274" t="s">
        <v>4559</v>
      </c>
      <c r="N1271" s="1246">
        <v>1071</v>
      </c>
      <c r="O1271" s="1066">
        <v>1520</v>
      </c>
      <c r="P1271" s="1066">
        <f t="shared" si="7"/>
        <v>449</v>
      </c>
    </row>
    <row r="1272" spans="11:16" ht="15.75">
      <c r="K1272" s="1245">
        <v>26</v>
      </c>
      <c r="L1272" s="1274" t="s">
        <v>4454</v>
      </c>
      <c r="M1272" s="1274" t="s">
        <v>4560</v>
      </c>
      <c r="N1272" s="1246">
        <v>1071</v>
      </c>
      <c r="O1272" s="1066">
        <v>1520</v>
      </c>
      <c r="P1272" s="1066">
        <f t="shared" si="7"/>
        <v>449</v>
      </c>
    </row>
    <row r="1273" spans="11:16" ht="15.75">
      <c r="K1273" s="1245">
        <v>27</v>
      </c>
      <c r="L1273" s="1274" t="s">
        <v>4454</v>
      </c>
      <c r="M1273" s="1274" t="s">
        <v>4561</v>
      </c>
      <c r="N1273" s="1246">
        <v>1071</v>
      </c>
      <c r="O1273" s="1066">
        <v>1520</v>
      </c>
      <c r="P1273" s="1066">
        <f t="shared" si="7"/>
        <v>449</v>
      </c>
    </row>
    <row r="1274" spans="11:16" ht="15.75">
      <c r="K1274" s="1245">
        <v>28</v>
      </c>
      <c r="L1274" s="1274" t="s">
        <v>4454</v>
      </c>
      <c r="M1274" s="1274" t="s">
        <v>4562</v>
      </c>
      <c r="N1274" s="1246">
        <v>1071</v>
      </c>
      <c r="O1274" s="1066">
        <v>1520</v>
      </c>
      <c r="P1274" s="1066">
        <f t="shared" si="7"/>
        <v>449</v>
      </c>
    </row>
    <row r="1275" spans="11:16" ht="15.75">
      <c r="K1275" s="1245">
        <v>29</v>
      </c>
      <c r="L1275" s="1274" t="s">
        <v>3912</v>
      </c>
      <c r="M1275" s="1274" t="s">
        <v>4658</v>
      </c>
      <c r="N1275" s="1246">
        <v>1071</v>
      </c>
      <c r="O1275" s="1066">
        <v>1340</v>
      </c>
      <c r="P1275" s="1066">
        <f t="shared" si="7"/>
        <v>269</v>
      </c>
    </row>
    <row r="1276" spans="11:16" ht="15.75">
      <c r="K1276" s="1245">
        <v>30</v>
      </c>
      <c r="L1276" s="1274" t="s">
        <v>3912</v>
      </c>
      <c r="M1276" s="1274" t="s">
        <v>4660</v>
      </c>
      <c r="N1276" s="1246">
        <v>1071</v>
      </c>
      <c r="O1276" s="1066">
        <v>1340</v>
      </c>
      <c r="P1276" s="1066">
        <f t="shared" si="7"/>
        <v>269</v>
      </c>
    </row>
    <row r="1277" spans="11:16" ht="15.75">
      <c r="K1277" s="1278">
        <v>31</v>
      </c>
      <c r="L1277" s="1279" t="s">
        <v>3915</v>
      </c>
      <c r="M1277" s="1279" t="s">
        <v>4770</v>
      </c>
      <c r="N1277" s="1280">
        <v>787.6</v>
      </c>
      <c r="O1277" s="217">
        <v>1</v>
      </c>
      <c r="P1277" s="217">
        <f t="shared" si="7"/>
        <v>-786.6</v>
      </c>
    </row>
    <row r="1278" spans="11:16">
      <c r="K1278" s="1247">
        <v>32</v>
      </c>
      <c r="L1278" s="1281" t="s">
        <v>4771</v>
      </c>
      <c r="M1278" s="1282">
        <v>357079530535114</v>
      </c>
      <c r="N1278" s="749">
        <v>785.4</v>
      </c>
      <c r="O1278" s="1068">
        <v>1190</v>
      </c>
      <c r="P1278" s="1068">
        <f t="shared" si="7"/>
        <v>404.6</v>
      </c>
    </row>
    <row r="1279" spans="11:16">
      <c r="K1279" s="1247">
        <v>33</v>
      </c>
      <c r="L1279" s="1281" t="s">
        <v>4771</v>
      </c>
      <c r="M1279" s="1282">
        <v>357079530476970</v>
      </c>
      <c r="N1279" s="749">
        <v>785.4</v>
      </c>
      <c r="O1279" s="1068">
        <v>1190</v>
      </c>
      <c r="P1279" s="1068">
        <f t="shared" si="7"/>
        <v>404.6</v>
      </c>
    </row>
    <row r="1280" spans="11:16">
      <c r="K1280" s="1247">
        <v>34</v>
      </c>
      <c r="L1280" s="1281" t="s">
        <v>4772</v>
      </c>
      <c r="M1280" s="1282">
        <v>359117430967728</v>
      </c>
      <c r="N1280" s="749">
        <v>575</v>
      </c>
      <c r="O1280" s="1068">
        <v>1050</v>
      </c>
      <c r="P1280" s="1068">
        <f t="shared" si="7"/>
        <v>475</v>
      </c>
    </row>
    <row r="1282" spans="11:16">
      <c r="O1282" s="27" t="s">
        <v>4334</v>
      </c>
      <c r="P1282" s="1283">
        <f>SUM(P1247:P1281)</f>
        <v>7129.15</v>
      </c>
    </row>
    <row r="1288" spans="11:16">
      <c r="K1288" s="1536" t="s">
        <v>5033</v>
      </c>
      <c r="L1288" s="1536"/>
      <c r="M1288" s="1536"/>
      <c r="N1288" s="1536"/>
      <c r="O1288" s="1536"/>
    </row>
    <row r="1289" spans="11:16">
      <c r="K1289" s="1316">
        <v>45932</v>
      </c>
      <c r="L1289" s="1306" t="s">
        <v>5028</v>
      </c>
      <c r="M1289" s="1305">
        <v>402.25</v>
      </c>
      <c r="N1289" s="1315" t="s">
        <v>5029</v>
      </c>
      <c r="O1289" s="1064" t="s">
        <v>5030</v>
      </c>
    </row>
    <row r="1290" spans="11:16">
      <c r="K1290" s="1316">
        <v>45980</v>
      </c>
      <c r="L1290" s="1306" t="s">
        <v>5031</v>
      </c>
      <c r="M1290" s="1305">
        <v>1822.17</v>
      </c>
      <c r="N1290" s="1315" t="s">
        <v>5029</v>
      </c>
      <c r="O1290" s="1064" t="s">
        <v>5030</v>
      </c>
    </row>
    <row r="1291" spans="11:16">
      <c r="K1291" s="1316">
        <v>46010</v>
      </c>
      <c r="L1291" s="1306">
        <v>887280156745</v>
      </c>
      <c r="M1291" s="1305">
        <v>843</v>
      </c>
      <c r="N1291" s="1305" t="s">
        <v>5032</v>
      </c>
      <c r="O1291" s="1064" t="s">
        <v>627</v>
      </c>
    </row>
    <row r="1298" spans="11:15">
      <c r="K1298" s="1318">
        <v>46016</v>
      </c>
      <c r="L1298" s="1319" t="s">
        <v>5034</v>
      </c>
      <c r="M1298" s="1317" t="s">
        <v>5035</v>
      </c>
      <c r="N1298" s="1317">
        <v>37.15</v>
      </c>
      <c r="O1298" s="1322"/>
    </row>
    <row r="1299" spans="11:15">
      <c r="K1299" s="1318">
        <v>46018</v>
      </c>
      <c r="L1299" s="1317">
        <v>83757958</v>
      </c>
      <c r="M1299" s="1317" t="s">
        <v>5035</v>
      </c>
      <c r="N1299" s="1317">
        <v>77.400000000000006</v>
      </c>
      <c r="O1299" s="1322"/>
    </row>
    <row r="1300" spans="11:15">
      <c r="K1300" s="1318">
        <v>46039</v>
      </c>
      <c r="L1300" s="1319" t="s">
        <v>5038</v>
      </c>
      <c r="M1300" s="1320" t="s">
        <v>5039</v>
      </c>
      <c r="N1300" s="1317">
        <v>70</v>
      </c>
      <c r="O1300" s="1322"/>
    </row>
    <row r="1301" spans="11:15">
      <c r="K1301" s="1318">
        <v>46040</v>
      </c>
      <c r="L1301" s="1317">
        <v>78506452</v>
      </c>
      <c r="M1301" s="1320" t="s">
        <v>5040</v>
      </c>
      <c r="N1301" s="1317">
        <v>79</v>
      </c>
      <c r="O1301" s="1322"/>
    </row>
    <row r="1302" spans="11:15">
      <c r="K1302" s="1318">
        <v>46050</v>
      </c>
      <c r="L1302" s="1317">
        <v>50367426</v>
      </c>
      <c r="M1302" s="1320" t="s">
        <v>5042</v>
      </c>
      <c r="N1302" s="1317">
        <v>1423.95</v>
      </c>
      <c r="O1302" s="1322"/>
    </row>
    <row r="1303" spans="11:15">
      <c r="K1303" s="1318">
        <v>46051</v>
      </c>
      <c r="L1303" s="1317">
        <v>55337495</v>
      </c>
      <c r="M1303" s="1320" t="s">
        <v>5042</v>
      </c>
      <c r="N1303" s="1317">
        <v>84.96</v>
      </c>
      <c r="O1303" s="1322"/>
    </row>
    <row r="1304" spans="11:15">
      <c r="K1304" s="1318">
        <v>46054</v>
      </c>
      <c r="L1304" s="1317">
        <v>64884422</v>
      </c>
      <c r="M1304" s="1320" t="s">
        <v>5042</v>
      </c>
      <c r="N1304" s="1317">
        <v>84.96</v>
      </c>
      <c r="O1304" s="1322"/>
    </row>
    <row r="1305" spans="11:15">
      <c r="K1305" s="1318">
        <v>46054</v>
      </c>
      <c r="L1305" s="1317">
        <v>65803033</v>
      </c>
      <c r="M1305" s="1320" t="s">
        <v>5042</v>
      </c>
      <c r="N1305" s="1317">
        <v>1399</v>
      </c>
      <c r="O1305" s="1322"/>
    </row>
    <row r="1306" spans="11:15">
      <c r="K1306" s="1318">
        <v>46061</v>
      </c>
      <c r="L1306" s="1317">
        <v>91462774</v>
      </c>
      <c r="M1306" s="1320" t="s">
        <v>5043</v>
      </c>
      <c r="N1306" s="1317">
        <v>35.99</v>
      </c>
      <c r="O1306" s="1322"/>
    </row>
    <row r="1307" spans="11:15">
      <c r="K1307" s="1318">
        <v>46078</v>
      </c>
      <c r="L1307" s="1317">
        <v>46617587</v>
      </c>
      <c r="M1307" s="1320" t="s">
        <v>5045</v>
      </c>
      <c r="N1307" s="1317">
        <v>394.99</v>
      </c>
      <c r="O1307" s="1322"/>
    </row>
    <row r="1308" spans="11:15" ht="18.75">
      <c r="N1308" s="1321" t="s">
        <v>4334</v>
      </c>
    </row>
    <row r="1309" spans="11:15" ht="18.75">
      <c r="N1309" s="1323">
        <f>SUM(N1298:N1308)</f>
        <v>3687.3999999999996</v>
      </c>
    </row>
    <row r="1312" spans="11:15">
      <c r="K1312" s="1318">
        <v>46019</v>
      </c>
      <c r="L1312" s="1317">
        <v>73433201</v>
      </c>
      <c r="M1312" s="1317" t="s">
        <v>5036</v>
      </c>
      <c r="N1312" s="1317">
        <v>320</v>
      </c>
    </row>
    <row r="1313" spans="11:14">
      <c r="K1313" s="1318">
        <v>46020</v>
      </c>
      <c r="L1313" s="1317">
        <v>93741373</v>
      </c>
      <c r="M1313" s="1317" t="s">
        <v>5037</v>
      </c>
      <c r="N1313" s="1317">
        <v>375.04</v>
      </c>
    </row>
    <row r="1314" spans="11:14">
      <c r="K1314" s="1318">
        <v>46045</v>
      </c>
      <c r="L1314" s="1317">
        <v>71806762</v>
      </c>
      <c r="M1314" s="1320" t="s">
        <v>5041</v>
      </c>
      <c r="N1314" s="1317">
        <v>315</v>
      </c>
    </row>
    <row r="1315" spans="11:14">
      <c r="K1315" s="1318">
        <v>46077</v>
      </c>
      <c r="L1315" s="1317">
        <v>68247703</v>
      </c>
      <c r="M1315" s="1320" t="s">
        <v>5044</v>
      </c>
      <c r="N1315" s="1317">
        <v>475.1</v>
      </c>
    </row>
  </sheetData>
  <mergeCells count="6">
    <mergeCell ref="K1288:O1288"/>
    <mergeCell ref="I1044:J1044"/>
    <mergeCell ref="I1045:J1045"/>
    <mergeCell ref="I1046:J1046"/>
    <mergeCell ref="K1245:L1245"/>
    <mergeCell ref="K1246:L1246"/>
  </mergeCells>
  <phoneticPr fontId="39" type="noConversion"/>
  <conditionalFormatting sqref="N1163:N116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FF20-CEAE-4BC4-A229-C0108D26FA4E}">
  <sheetPr codeName="Sheet11"/>
  <dimension ref="A2:I73"/>
  <sheetViews>
    <sheetView topLeftCell="A54" workbookViewId="0">
      <selection activeCell="E69" sqref="E69"/>
    </sheetView>
  </sheetViews>
  <sheetFormatPr defaultRowHeight="15"/>
  <cols>
    <col min="1" max="1" width="9" customWidth="1"/>
    <col min="2" max="2" width="42.42578125" customWidth="1"/>
    <col min="3" max="3" width="27.85546875" customWidth="1"/>
    <col min="4" max="4" width="13.42578125" customWidth="1"/>
    <col min="5" max="5" width="22.85546875" customWidth="1"/>
    <col min="6" max="6" width="45.42578125" customWidth="1"/>
    <col min="7" max="7" width="10.85546875" customWidth="1"/>
  </cols>
  <sheetData>
    <row r="2" spans="1:7">
      <c r="A2" t="s">
        <v>435</v>
      </c>
      <c r="B2" t="s">
        <v>415</v>
      </c>
      <c r="C2" s="212" t="s">
        <v>418</v>
      </c>
      <c r="D2" s="211">
        <v>195000</v>
      </c>
      <c r="E2" t="s">
        <v>438</v>
      </c>
      <c r="G2" s="213">
        <v>10872.611000000001</v>
      </c>
    </row>
    <row r="3" spans="1:7">
      <c r="A3" t="s">
        <v>434</v>
      </c>
      <c r="C3" s="212" t="s">
        <v>416</v>
      </c>
      <c r="E3" t="s">
        <v>438</v>
      </c>
    </row>
    <row r="4" spans="1:7">
      <c r="A4" t="s">
        <v>433</v>
      </c>
      <c r="C4" s="212" t="s">
        <v>417</v>
      </c>
      <c r="E4" t="s">
        <v>438</v>
      </c>
    </row>
    <row r="5" spans="1:7">
      <c r="A5" t="s">
        <v>432</v>
      </c>
      <c r="B5" t="s">
        <v>415</v>
      </c>
      <c r="C5" s="212" t="s">
        <v>419</v>
      </c>
      <c r="D5" s="211">
        <v>215000</v>
      </c>
      <c r="E5" t="s">
        <v>438</v>
      </c>
    </row>
    <row r="6" spans="1:7">
      <c r="A6" t="s">
        <v>432</v>
      </c>
      <c r="C6" s="212" t="s">
        <v>420</v>
      </c>
      <c r="D6" s="211">
        <v>10000</v>
      </c>
      <c r="E6" t="s">
        <v>438</v>
      </c>
    </row>
    <row r="7" spans="1:7">
      <c r="A7" t="s">
        <v>432</v>
      </c>
      <c r="C7" s="212" t="s">
        <v>421</v>
      </c>
      <c r="D7" s="211">
        <v>125000</v>
      </c>
      <c r="E7" t="s">
        <v>438</v>
      </c>
    </row>
    <row r="8" spans="1:7">
      <c r="A8" t="s">
        <v>431</v>
      </c>
      <c r="C8" s="212" t="s">
        <v>421</v>
      </c>
      <c r="D8" s="211">
        <v>80000</v>
      </c>
      <c r="E8" t="s">
        <v>438</v>
      </c>
    </row>
    <row r="9" spans="1:7">
      <c r="A9" t="s">
        <v>430</v>
      </c>
      <c r="B9" t="s">
        <v>422</v>
      </c>
      <c r="C9" s="212" t="s">
        <v>423</v>
      </c>
      <c r="D9" s="211">
        <v>258000</v>
      </c>
      <c r="E9" t="s">
        <v>438</v>
      </c>
    </row>
    <row r="10" spans="1:7">
      <c r="A10" t="s">
        <v>429</v>
      </c>
      <c r="C10" s="212" t="s">
        <v>424</v>
      </c>
      <c r="D10" s="211">
        <v>150000</v>
      </c>
    </row>
    <row r="11" spans="1:7">
      <c r="A11" t="s">
        <v>428</v>
      </c>
      <c r="C11" s="212" t="s">
        <v>424</v>
      </c>
      <c r="D11" s="211">
        <v>58000</v>
      </c>
    </row>
    <row r="12" spans="1:7">
      <c r="A12" t="s">
        <v>426</v>
      </c>
      <c r="C12" s="212" t="s">
        <v>424</v>
      </c>
      <c r="D12" s="211">
        <v>50000</v>
      </c>
    </row>
    <row r="13" spans="1:7">
      <c r="A13" t="s">
        <v>427</v>
      </c>
      <c r="B13" t="s">
        <v>248</v>
      </c>
      <c r="C13" s="212" t="s">
        <v>423</v>
      </c>
      <c r="D13" s="211">
        <v>185500</v>
      </c>
      <c r="E13" t="s">
        <v>438</v>
      </c>
    </row>
    <row r="14" spans="1:7">
      <c r="A14" t="s">
        <v>425</v>
      </c>
      <c r="C14" s="212" t="s">
        <v>424</v>
      </c>
      <c r="D14" s="211">
        <v>185500</v>
      </c>
    </row>
    <row r="18" spans="2:6" ht="18.75">
      <c r="B18" s="491" t="s">
        <v>1253</v>
      </c>
      <c r="C18" s="491" t="s">
        <v>1252</v>
      </c>
      <c r="D18" s="491" t="s">
        <v>1251</v>
      </c>
      <c r="E18" s="491" t="s">
        <v>1254</v>
      </c>
      <c r="F18" s="566"/>
    </row>
    <row r="19" spans="2:6">
      <c r="B19" s="489" t="s">
        <v>76</v>
      </c>
      <c r="C19" s="19">
        <v>15</v>
      </c>
      <c r="D19" s="19"/>
      <c r="E19" s="19"/>
      <c r="F19" s="567"/>
    </row>
    <row r="20" spans="2:6">
      <c r="B20" s="489" t="s">
        <v>84</v>
      </c>
      <c r="C20" s="19">
        <v>1</v>
      </c>
      <c r="D20" s="19"/>
      <c r="E20" s="19"/>
      <c r="F20" s="567"/>
    </row>
    <row r="21" spans="2:6">
      <c r="B21" s="444" t="s">
        <v>120</v>
      </c>
      <c r="C21" s="19">
        <v>10</v>
      </c>
      <c r="D21" s="19"/>
      <c r="E21" s="19"/>
      <c r="F21" s="567"/>
    </row>
    <row r="22" spans="2:6">
      <c r="B22" s="444" t="s">
        <v>121</v>
      </c>
      <c r="C22" s="19"/>
      <c r="D22" s="19">
        <v>50</v>
      </c>
      <c r="E22" s="19"/>
      <c r="F22" s="567"/>
    </row>
    <row r="23" spans="2:6">
      <c r="B23" s="490" t="s">
        <v>131</v>
      </c>
      <c r="C23" s="19">
        <v>1</v>
      </c>
      <c r="D23" s="19"/>
      <c r="E23" s="19"/>
      <c r="F23" s="567"/>
    </row>
    <row r="24" spans="2:6">
      <c r="B24" s="490" t="s">
        <v>410</v>
      </c>
      <c r="C24" s="19">
        <v>1</v>
      </c>
      <c r="D24" s="19"/>
      <c r="E24" s="19"/>
      <c r="F24" s="567"/>
    </row>
    <row r="25" spans="2:6">
      <c r="B25" s="444" t="s">
        <v>154</v>
      </c>
      <c r="C25" s="19"/>
      <c r="D25" s="19"/>
      <c r="E25" s="19">
        <v>1</v>
      </c>
      <c r="F25" s="567"/>
    </row>
    <row r="26" spans="2:6">
      <c r="B26" s="444" t="s">
        <v>169</v>
      </c>
      <c r="C26" s="19"/>
      <c r="D26" s="19"/>
      <c r="E26" s="19">
        <v>1</v>
      </c>
      <c r="F26" s="567"/>
    </row>
    <row r="27" spans="2:6">
      <c r="B27" s="230" t="s">
        <v>266</v>
      </c>
      <c r="C27" s="19">
        <v>1</v>
      </c>
      <c r="D27" s="19"/>
      <c r="E27" s="19"/>
      <c r="F27" s="567"/>
    </row>
    <row r="28" spans="2:6">
      <c r="B28" s="230" t="s">
        <v>366</v>
      </c>
      <c r="C28" s="19">
        <v>1</v>
      </c>
      <c r="D28" s="19"/>
      <c r="E28" s="19"/>
      <c r="F28" s="567"/>
    </row>
    <row r="29" spans="2:6">
      <c r="B29" s="490" t="s">
        <v>467</v>
      </c>
      <c r="C29" s="19">
        <v>20</v>
      </c>
      <c r="D29" s="19"/>
      <c r="E29" s="19"/>
      <c r="F29" s="567"/>
    </row>
    <row r="30" spans="2:6">
      <c r="B30" s="230" t="s">
        <v>534</v>
      </c>
      <c r="C30" s="19">
        <v>2</v>
      </c>
      <c r="D30" s="19"/>
      <c r="E30" s="19"/>
      <c r="F30" s="567"/>
    </row>
    <row r="31" spans="2:6">
      <c r="B31" s="230" t="s">
        <v>533</v>
      </c>
      <c r="C31" s="19">
        <v>2</v>
      </c>
      <c r="D31" s="19"/>
      <c r="E31" s="19"/>
      <c r="F31" s="567"/>
    </row>
    <row r="32" spans="2:6">
      <c r="B32" s="489" t="s">
        <v>671</v>
      </c>
      <c r="C32" s="19">
        <v>1</v>
      </c>
      <c r="D32" s="19">
        <v>35</v>
      </c>
      <c r="E32" s="19"/>
      <c r="F32" s="567"/>
    </row>
    <row r="33" spans="2:6">
      <c r="B33" s="489" t="s">
        <v>789</v>
      </c>
      <c r="C33" s="19">
        <v>1</v>
      </c>
      <c r="D33" s="19"/>
      <c r="E33" s="19"/>
      <c r="F33" s="567"/>
    </row>
    <row r="34" spans="2:6">
      <c r="B34" s="489" t="s">
        <v>672</v>
      </c>
      <c r="C34" s="19">
        <v>1</v>
      </c>
      <c r="D34" s="19"/>
      <c r="E34" s="19"/>
      <c r="F34" s="567"/>
    </row>
    <row r="35" spans="2:6">
      <c r="B35" s="444" t="s">
        <v>806</v>
      </c>
      <c r="C35" s="19">
        <v>3</v>
      </c>
      <c r="D35" s="19"/>
      <c r="E35" s="19">
        <v>1</v>
      </c>
      <c r="F35" s="567"/>
    </row>
    <row r="36" spans="2:6">
      <c r="B36" s="444" t="s">
        <v>839</v>
      </c>
      <c r="C36" s="19">
        <v>1</v>
      </c>
      <c r="D36" s="19"/>
      <c r="E36" s="19"/>
      <c r="F36" s="567"/>
    </row>
    <row r="37" spans="2:6">
      <c r="B37" s="490" t="s">
        <v>881</v>
      </c>
      <c r="C37" s="19">
        <v>20</v>
      </c>
      <c r="D37" s="19"/>
      <c r="E37" s="19"/>
      <c r="F37" s="567"/>
    </row>
    <row r="38" spans="2:6">
      <c r="B38" s="490" t="s">
        <v>919</v>
      </c>
      <c r="C38" s="19"/>
      <c r="D38" s="19"/>
      <c r="E38" s="19">
        <v>7</v>
      </c>
      <c r="F38" s="567"/>
    </row>
    <row r="39" spans="2:6">
      <c r="B39" s="490" t="s">
        <v>135</v>
      </c>
      <c r="C39" s="19"/>
      <c r="D39" s="19"/>
      <c r="E39" s="19">
        <v>12</v>
      </c>
      <c r="F39" s="567"/>
    </row>
    <row r="40" spans="2:6">
      <c r="B40" s="444" t="s">
        <v>920</v>
      </c>
      <c r="C40" s="19"/>
      <c r="D40" s="19"/>
      <c r="E40" s="19">
        <v>1</v>
      </c>
      <c r="F40" s="567"/>
    </row>
    <row r="41" spans="2:6">
      <c r="B41" s="490" t="s">
        <v>134</v>
      </c>
      <c r="C41" s="19"/>
      <c r="D41" s="19"/>
      <c r="E41" s="19">
        <v>46</v>
      </c>
      <c r="F41" s="567"/>
    </row>
    <row r="42" spans="2:6">
      <c r="B42" s="444" t="s">
        <v>166</v>
      </c>
      <c r="C42" s="19"/>
      <c r="D42" s="19"/>
      <c r="E42" s="19">
        <v>20</v>
      </c>
      <c r="F42" s="567"/>
    </row>
    <row r="43" spans="2:6">
      <c r="B43" s="444" t="s">
        <v>1229</v>
      </c>
      <c r="C43" s="19"/>
      <c r="D43" s="19"/>
      <c r="E43" s="19">
        <v>1</v>
      </c>
      <c r="F43" s="567"/>
    </row>
    <row r="44" spans="2:6">
      <c r="B44" s="444" t="s">
        <v>1230</v>
      </c>
      <c r="C44" s="19"/>
      <c r="D44" s="19"/>
      <c r="E44" s="19">
        <v>2</v>
      </c>
      <c r="F44" s="567"/>
    </row>
    <row r="45" spans="2:6">
      <c r="B45" s="444" t="s">
        <v>1246</v>
      </c>
      <c r="C45" s="19">
        <v>6</v>
      </c>
      <c r="D45" s="18"/>
      <c r="E45" s="18"/>
      <c r="F45" s="568"/>
    </row>
    <row r="51" spans="2:9">
      <c r="E51" s="565"/>
      <c r="F51" s="565"/>
    </row>
    <row r="52" spans="2:9">
      <c r="E52" s="565"/>
      <c r="F52" t="s">
        <v>1588</v>
      </c>
      <c r="G52">
        <v>1</v>
      </c>
      <c r="H52">
        <v>2600</v>
      </c>
      <c r="I52">
        <f>G52*H52</f>
        <v>2600</v>
      </c>
    </row>
    <row r="53" spans="2:9">
      <c r="E53" s="565"/>
      <c r="F53" t="s">
        <v>1580</v>
      </c>
      <c r="G53">
        <v>1</v>
      </c>
      <c r="H53">
        <v>3600</v>
      </c>
      <c r="I53">
        <f t="shared" ref="I53:I63" si="0">G53*H53</f>
        <v>3600</v>
      </c>
    </row>
    <row r="54" spans="2:9">
      <c r="E54" s="565"/>
      <c r="F54" t="s">
        <v>1581</v>
      </c>
      <c r="G54">
        <v>2</v>
      </c>
      <c r="H54">
        <v>9944.2999999999993</v>
      </c>
      <c r="I54">
        <f t="shared" si="0"/>
        <v>19888.599999999999</v>
      </c>
    </row>
    <row r="55" spans="2:9">
      <c r="F55" t="s">
        <v>1582</v>
      </c>
      <c r="G55">
        <v>1</v>
      </c>
      <c r="H55">
        <v>2154</v>
      </c>
      <c r="I55">
        <f t="shared" si="0"/>
        <v>2154</v>
      </c>
    </row>
    <row r="56" spans="2:9">
      <c r="F56" t="s">
        <v>1583</v>
      </c>
      <c r="G56">
        <v>1</v>
      </c>
      <c r="H56">
        <v>2405.3000000000002</v>
      </c>
      <c r="I56">
        <f t="shared" si="0"/>
        <v>2405.3000000000002</v>
      </c>
    </row>
    <row r="57" spans="2:9">
      <c r="B57" s="559" t="s">
        <v>1910</v>
      </c>
      <c r="C57" s="559" t="s">
        <v>1911</v>
      </c>
      <c r="F57" t="s">
        <v>1584</v>
      </c>
      <c r="G57">
        <v>3</v>
      </c>
      <c r="H57">
        <v>717</v>
      </c>
      <c r="I57">
        <f t="shared" si="0"/>
        <v>2151</v>
      </c>
    </row>
    <row r="58" spans="2:9" ht="21">
      <c r="B58" s="104" t="s">
        <v>138</v>
      </c>
      <c r="C58" s="612">
        <v>-1</v>
      </c>
      <c r="F58" t="s">
        <v>1585</v>
      </c>
      <c r="G58">
        <v>1</v>
      </c>
      <c r="H58">
        <v>7241.7</v>
      </c>
      <c r="I58">
        <f t="shared" si="0"/>
        <v>7241.7</v>
      </c>
    </row>
    <row r="59" spans="2:9" ht="21">
      <c r="B59" s="92" t="s">
        <v>671</v>
      </c>
      <c r="C59" s="612">
        <v>-2</v>
      </c>
      <c r="F59" t="s">
        <v>1586</v>
      </c>
      <c r="G59">
        <v>5</v>
      </c>
      <c r="H59">
        <v>2050</v>
      </c>
      <c r="I59">
        <f t="shared" si="0"/>
        <v>10250</v>
      </c>
    </row>
    <row r="60" spans="2:9" ht="21">
      <c r="B60" s="84" t="s">
        <v>923</v>
      </c>
      <c r="C60" s="612">
        <v>-1</v>
      </c>
      <c r="F60" t="s">
        <v>1589</v>
      </c>
      <c r="G60">
        <v>2</v>
      </c>
      <c r="H60">
        <v>1041</v>
      </c>
      <c r="I60">
        <f t="shared" si="0"/>
        <v>2082</v>
      </c>
    </row>
    <row r="61" spans="2:9" ht="21">
      <c r="B61" s="344" t="s">
        <v>934</v>
      </c>
      <c r="C61" s="612">
        <v>-1</v>
      </c>
      <c r="F61" t="s">
        <v>1587</v>
      </c>
      <c r="G61">
        <v>2</v>
      </c>
      <c r="H61">
        <v>1250</v>
      </c>
      <c r="I61">
        <f t="shared" si="0"/>
        <v>2500</v>
      </c>
    </row>
    <row r="62" spans="2:9" ht="21">
      <c r="B62" s="343" t="s">
        <v>936</v>
      </c>
      <c r="C62" s="612">
        <v>-1</v>
      </c>
      <c r="F62" t="s">
        <v>1586</v>
      </c>
      <c r="G62">
        <v>1</v>
      </c>
      <c r="H62">
        <v>2050</v>
      </c>
      <c r="I62">
        <f t="shared" si="0"/>
        <v>2050</v>
      </c>
    </row>
    <row r="63" spans="2:9" ht="21">
      <c r="B63" s="343" t="s">
        <v>1259</v>
      </c>
      <c r="C63" s="612">
        <v>-1</v>
      </c>
      <c r="F63" t="s">
        <v>1590</v>
      </c>
      <c r="G63">
        <v>2</v>
      </c>
      <c r="H63">
        <v>1150</v>
      </c>
      <c r="I63">
        <f t="shared" si="0"/>
        <v>2300</v>
      </c>
    </row>
    <row r="64" spans="2:9" ht="21">
      <c r="B64" s="343" t="s">
        <v>1313</v>
      </c>
      <c r="C64" s="612">
        <v>-2</v>
      </c>
      <c r="I64" s="27">
        <f>SUM(I52:I63)</f>
        <v>59222.599999999991</v>
      </c>
    </row>
    <row r="65" spans="2:3" ht="21">
      <c r="B65" s="343" t="s">
        <v>1327</v>
      </c>
      <c r="C65" s="612">
        <v>-4</v>
      </c>
    </row>
    <row r="66" spans="2:3" ht="21">
      <c r="B66" s="84" t="s">
        <v>1397</v>
      </c>
      <c r="C66" s="612">
        <v>-1</v>
      </c>
    </row>
    <row r="67" spans="2:3" ht="21">
      <c r="B67" s="93" t="s">
        <v>1491</v>
      </c>
      <c r="C67" s="612">
        <v>-1</v>
      </c>
    </row>
    <row r="68" spans="2:3" ht="21">
      <c r="B68" s="93" t="s">
        <v>1900</v>
      </c>
      <c r="C68" s="204">
        <v>-1</v>
      </c>
    </row>
    <row r="69" spans="2:3" ht="21">
      <c r="B69" s="93" t="s">
        <v>1901</v>
      </c>
      <c r="C69" s="612">
        <v>-1</v>
      </c>
    </row>
    <row r="70" spans="2:3" ht="21">
      <c r="B70" s="93" t="s">
        <v>1902</v>
      </c>
      <c r="C70" s="612">
        <v>-4</v>
      </c>
    </row>
    <row r="71" spans="2:3" ht="21">
      <c r="B71" s="93" t="s">
        <v>1903</v>
      </c>
      <c r="C71" s="612">
        <v>-2</v>
      </c>
    </row>
    <row r="72" spans="2:3" ht="21">
      <c r="B72" s="343" t="s">
        <v>1907</v>
      </c>
      <c r="C72" s="612">
        <v>-1</v>
      </c>
    </row>
    <row r="73" spans="2:3" ht="21">
      <c r="B73" s="343" t="s">
        <v>1908</v>
      </c>
      <c r="C73" s="612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C7AC-B1F4-4252-B103-59F519E1641D}">
  <sheetPr codeName="Sheet12"/>
  <dimension ref="B2:G54"/>
  <sheetViews>
    <sheetView topLeftCell="A34" workbookViewId="0">
      <selection activeCell="G58" sqref="G58"/>
    </sheetView>
  </sheetViews>
  <sheetFormatPr defaultRowHeight="15"/>
  <cols>
    <col min="2" max="2" width="16.85546875" customWidth="1"/>
    <col min="3" max="3" width="45.5703125" customWidth="1"/>
    <col min="4" max="4" width="14.42578125" customWidth="1"/>
    <col min="7" max="7" width="14.140625" customWidth="1"/>
  </cols>
  <sheetData>
    <row r="2" spans="2:7">
      <c r="B2" s="81">
        <v>45813</v>
      </c>
      <c r="C2" s="80" t="s">
        <v>722</v>
      </c>
      <c r="D2" s="19">
        <v>300</v>
      </c>
      <c r="E2" s="19">
        <v>492</v>
      </c>
      <c r="F2" s="19">
        <f t="shared" ref="F2:F53" si="0">E2*D2</f>
        <v>147600</v>
      </c>
      <c r="G2" s="271">
        <f t="shared" ref="G2:G53" si="1">F2*13.04/100</f>
        <v>19247.039999999997</v>
      </c>
    </row>
    <row r="3" spans="2:7">
      <c r="B3" s="81">
        <v>45813</v>
      </c>
      <c r="C3" s="80" t="s">
        <v>728</v>
      </c>
      <c r="D3" s="19">
        <v>250</v>
      </c>
      <c r="E3" s="19">
        <v>149</v>
      </c>
      <c r="F3" s="19">
        <f t="shared" si="0"/>
        <v>37250</v>
      </c>
      <c r="G3" s="271">
        <f t="shared" si="1"/>
        <v>4857.3999999999996</v>
      </c>
    </row>
    <row r="4" spans="2:7">
      <c r="B4" s="19"/>
      <c r="C4" s="18"/>
      <c r="D4" s="18"/>
      <c r="E4" s="18"/>
      <c r="F4" s="19">
        <f t="shared" si="0"/>
        <v>0</v>
      </c>
      <c r="G4" s="271">
        <f t="shared" si="1"/>
        <v>0</v>
      </c>
    </row>
    <row r="5" spans="2:7">
      <c r="B5" s="81">
        <v>45831</v>
      </c>
      <c r="C5" s="80" t="s">
        <v>778</v>
      </c>
      <c r="D5" s="19">
        <v>4</v>
      </c>
      <c r="E5" s="19">
        <v>775</v>
      </c>
      <c r="F5" s="19">
        <f t="shared" si="0"/>
        <v>3100</v>
      </c>
      <c r="G5" s="271">
        <f t="shared" si="1"/>
        <v>404.24</v>
      </c>
    </row>
    <row r="6" spans="2:7">
      <c r="B6" s="19"/>
      <c r="C6" s="18"/>
      <c r="D6" s="18"/>
      <c r="E6" s="18"/>
      <c r="F6" s="19">
        <f t="shared" si="0"/>
        <v>0</v>
      </c>
      <c r="G6" s="271">
        <f t="shared" si="1"/>
        <v>0</v>
      </c>
    </row>
    <row r="7" spans="2:7">
      <c r="B7" s="81">
        <v>45831</v>
      </c>
      <c r="C7" s="80" t="s">
        <v>778</v>
      </c>
      <c r="D7" s="19">
        <v>4</v>
      </c>
      <c r="E7" s="19">
        <v>775</v>
      </c>
      <c r="F7" s="19">
        <f t="shared" si="0"/>
        <v>3100</v>
      </c>
      <c r="G7" s="271">
        <f t="shared" si="1"/>
        <v>404.24</v>
      </c>
    </row>
    <row r="8" spans="2:7">
      <c r="B8" s="19"/>
      <c r="C8" s="18"/>
      <c r="D8" s="18"/>
      <c r="E8" s="18"/>
      <c r="F8" s="19">
        <f t="shared" si="0"/>
        <v>0</v>
      </c>
      <c r="G8" s="271">
        <f t="shared" si="1"/>
        <v>0</v>
      </c>
    </row>
    <row r="9" spans="2:7">
      <c r="B9" s="81">
        <v>45839</v>
      </c>
      <c r="C9" s="18" t="s">
        <v>811</v>
      </c>
      <c r="D9" s="19">
        <v>5</v>
      </c>
      <c r="E9" s="19">
        <v>1380</v>
      </c>
      <c r="F9" s="19">
        <f t="shared" si="0"/>
        <v>6900</v>
      </c>
      <c r="G9" s="271">
        <f t="shared" si="1"/>
        <v>899.76</v>
      </c>
    </row>
    <row r="10" spans="2:7">
      <c r="B10" s="81">
        <v>45839</v>
      </c>
      <c r="C10" s="18" t="s">
        <v>812</v>
      </c>
      <c r="D10" s="19">
        <v>1</v>
      </c>
      <c r="E10" s="19">
        <v>1295</v>
      </c>
      <c r="F10" s="19">
        <f t="shared" si="0"/>
        <v>1295</v>
      </c>
      <c r="G10" s="271">
        <f t="shared" si="1"/>
        <v>168.86799999999999</v>
      </c>
    </row>
    <row r="11" spans="2:7">
      <c r="B11" s="81">
        <v>45839</v>
      </c>
      <c r="C11" s="18" t="s">
        <v>813</v>
      </c>
      <c r="D11" s="19">
        <v>1</v>
      </c>
      <c r="E11" s="19">
        <v>1375</v>
      </c>
      <c r="F11" s="19">
        <f t="shared" si="0"/>
        <v>1375</v>
      </c>
      <c r="G11" s="271"/>
    </row>
    <row r="12" spans="2:7">
      <c r="B12" s="81">
        <v>45839</v>
      </c>
      <c r="C12" s="18" t="s">
        <v>814</v>
      </c>
      <c r="D12" s="19">
        <v>1</v>
      </c>
      <c r="E12" s="19">
        <v>852</v>
      </c>
      <c r="F12" s="19">
        <f t="shared" si="0"/>
        <v>852</v>
      </c>
      <c r="G12" s="271">
        <f t="shared" si="1"/>
        <v>111.10079999999999</v>
      </c>
    </row>
    <row r="13" spans="2:7">
      <c r="B13" s="81">
        <v>45839</v>
      </c>
      <c r="C13" s="18" t="s">
        <v>815</v>
      </c>
      <c r="D13" s="19">
        <v>4</v>
      </c>
      <c r="E13" s="19">
        <v>679</v>
      </c>
      <c r="F13" s="19">
        <f t="shared" si="0"/>
        <v>2716</v>
      </c>
      <c r="G13" s="271">
        <f t="shared" si="1"/>
        <v>354.16640000000001</v>
      </c>
    </row>
    <row r="14" spans="2:7">
      <c r="B14" s="19"/>
      <c r="C14" s="19"/>
      <c r="D14" s="19"/>
      <c r="E14" s="19"/>
      <c r="F14" s="19">
        <f t="shared" si="0"/>
        <v>0</v>
      </c>
      <c r="G14" s="271">
        <f t="shared" si="1"/>
        <v>0</v>
      </c>
    </row>
    <row r="15" spans="2:7">
      <c r="B15" s="81">
        <v>45840</v>
      </c>
      <c r="C15" s="18" t="s">
        <v>816</v>
      </c>
      <c r="D15" s="19">
        <v>2</v>
      </c>
      <c r="E15" s="19">
        <v>1229</v>
      </c>
      <c r="F15" s="19">
        <f t="shared" si="0"/>
        <v>2458</v>
      </c>
      <c r="G15" s="271">
        <f t="shared" si="1"/>
        <v>320.52319999999997</v>
      </c>
    </row>
    <row r="16" spans="2:7">
      <c r="B16" s="81">
        <v>45840</v>
      </c>
      <c r="C16" s="18" t="s">
        <v>817</v>
      </c>
      <c r="D16" s="19">
        <v>1</v>
      </c>
      <c r="E16" s="19">
        <v>852</v>
      </c>
      <c r="F16" s="19">
        <f t="shared" si="0"/>
        <v>852</v>
      </c>
      <c r="G16" s="271">
        <f t="shared" si="1"/>
        <v>111.10079999999999</v>
      </c>
    </row>
    <row r="17" spans="2:7">
      <c r="B17" s="81">
        <v>45840</v>
      </c>
      <c r="C17" s="18" t="s">
        <v>818</v>
      </c>
      <c r="D17" s="19">
        <v>3</v>
      </c>
      <c r="E17" s="19">
        <v>765.71</v>
      </c>
      <c r="F17" s="19">
        <f t="shared" si="0"/>
        <v>2297.13</v>
      </c>
      <c r="G17" s="271">
        <f t="shared" si="1"/>
        <v>299.54575199999999</v>
      </c>
    </row>
    <row r="18" spans="2:7">
      <c r="B18" s="81">
        <v>45840</v>
      </c>
      <c r="C18" s="18" t="s">
        <v>819</v>
      </c>
      <c r="D18" s="19">
        <v>1</v>
      </c>
      <c r="E18" s="19">
        <v>1345</v>
      </c>
      <c r="F18" s="19">
        <f t="shared" si="0"/>
        <v>1345</v>
      </c>
      <c r="G18" s="271">
        <f t="shared" si="1"/>
        <v>175.38800000000001</v>
      </c>
    </row>
    <row r="19" spans="2:7">
      <c r="B19" s="81">
        <v>45840</v>
      </c>
      <c r="C19" s="18" t="s">
        <v>818</v>
      </c>
      <c r="D19" s="19">
        <v>3</v>
      </c>
      <c r="E19" s="19">
        <v>738</v>
      </c>
      <c r="F19" s="19">
        <f t="shared" si="0"/>
        <v>2214</v>
      </c>
      <c r="G19" s="271">
        <f t="shared" si="1"/>
        <v>288.7056</v>
      </c>
    </row>
    <row r="20" spans="2:7">
      <c r="B20" s="81">
        <v>45840</v>
      </c>
      <c r="C20" s="18" t="s">
        <v>820</v>
      </c>
      <c r="D20" s="19">
        <v>1</v>
      </c>
      <c r="E20" s="19">
        <v>852</v>
      </c>
      <c r="F20" s="19">
        <f t="shared" si="0"/>
        <v>852</v>
      </c>
      <c r="G20" s="271">
        <f t="shared" si="1"/>
        <v>111.10079999999999</v>
      </c>
    </row>
    <row r="21" spans="2:7">
      <c r="B21" s="81">
        <v>45840</v>
      </c>
      <c r="C21" s="18" t="s">
        <v>821</v>
      </c>
      <c r="D21" s="19">
        <v>1</v>
      </c>
      <c r="E21" s="19">
        <v>775</v>
      </c>
      <c r="F21" s="19">
        <f t="shared" si="0"/>
        <v>775</v>
      </c>
      <c r="G21" s="271">
        <f t="shared" si="1"/>
        <v>101.06</v>
      </c>
    </row>
    <row r="22" spans="2:7">
      <c r="B22" s="81">
        <v>45840</v>
      </c>
      <c r="C22" s="18" t="s">
        <v>822</v>
      </c>
      <c r="D22" s="19">
        <v>1</v>
      </c>
      <c r="E22" s="19">
        <v>1295</v>
      </c>
      <c r="F22" s="19">
        <f t="shared" si="0"/>
        <v>1295</v>
      </c>
      <c r="G22" s="271">
        <f t="shared" si="1"/>
        <v>168.86799999999999</v>
      </c>
    </row>
    <row r="23" spans="2:7">
      <c r="B23" s="81">
        <v>45840</v>
      </c>
      <c r="C23" s="18" t="s">
        <v>823</v>
      </c>
      <c r="D23" s="19">
        <v>1</v>
      </c>
      <c r="E23" s="19">
        <v>1375</v>
      </c>
      <c r="F23" s="19">
        <f t="shared" si="0"/>
        <v>1375</v>
      </c>
      <c r="G23" s="271">
        <f t="shared" si="1"/>
        <v>179.3</v>
      </c>
    </row>
    <row r="24" spans="2:7">
      <c r="B24" s="81">
        <v>45840</v>
      </c>
      <c r="C24" s="18" t="s">
        <v>824</v>
      </c>
      <c r="D24" s="19">
        <v>1</v>
      </c>
      <c r="E24" s="19">
        <v>852</v>
      </c>
      <c r="F24" s="19">
        <f t="shared" si="0"/>
        <v>852</v>
      </c>
      <c r="G24" s="271">
        <f t="shared" si="1"/>
        <v>111.10079999999999</v>
      </c>
    </row>
    <row r="25" spans="2:7">
      <c r="B25" s="376">
        <v>45840</v>
      </c>
      <c r="C25" s="103" t="s">
        <v>825</v>
      </c>
      <c r="D25" s="102">
        <v>1</v>
      </c>
      <c r="E25" s="102">
        <v>1228</v>
      </c>
      <c r="F25" s="19">
        <f t="shared" si="0"/>
        <v>1228</v>
      </c>
      <c r="G25" s="271">
        <f t="shared" si="1"/>
        <v>160.13119999999998</v>
      </c>
    </row>
    <row r="26" spans="2:7">
      <c r="B26" s="376">
        <v>45840</v>
      </c>
      <c r="C26" s="103" t="s">
        <v>826</v>
      </c>
      <c r="D26" s="102">
        <v>1</v>
      </c>
      <c r="E26" s="102">
        <v>750</v>
      </c>
      <c r="F26" s="19">
        <f t="shared" si="0"/>
        <v>750</v>
      </c>
      <c r="G26" s="271">
        <f t="shared" si="1"/>
        <v>97.8</v>
      </c>
    </row>
    <row r="27" spans="2:7">
      <c r="B27" s="19"/>
      <c r="C27" s="19"/>
      <c r="D27" s="19"/>
      <c r="E27" s="19"/>
      <c r="F27" s="19">
        <f t="shared" si="0"/>
        <v>0</v>
      </c>
      <c r="G27" s="271">
        <f t="shared" si="1"/>
        <v>0</v>
      </c>
    </row>
    <row r="28" spans="2:7">
      <c r="B28" s="81">
        <v>45841</v>
      </c>
      <c r="C28" s="18" t="s">
        <v>827</v>
      </c>
      <c r="D28" s="19">
        <v>4</v>
      </c>
      <c r="E28" s="19">
        <v>1197</v>
      </c>
      <c r="F28" s="19">
        <f t="shared" si="0"/>
        <v>4788</v>
      </c>
      <c r="G28" s="271">
        <f t="shared" si="1"/>
        <v>624.35519999999997</v>
      </c>
    </row>
    <row r="29" spans="2:7">
      <c r="B29" s="81">
        <v>45841</v>
      </c>
      <c r="C29" s="18" t="s">
        <v>828</v>
      </c>
      <c r="D29" s="19">
        <v>1</v>
      </c>
      <c r="E29" s="19">
        <v>852</v>
      </c>
      <c r="F29" s="19">
        <f t="shared" si="0"/>
        <v>852</v>
      </c>
      <c r="G29" s="271">
        <f t="shared" si="1"/>
        <v>111.10079999999999</v>
      </c>
    </row>
    <row r="30" spans="2:7">
      <c r="B30" s="81">
        <v>45841</v>
      </c>
      <c r="C30" s="18" t="s">
        <v>829</v>
      </c>
      <c r="D30" s="19">
        <v>1</v>
      </c>
      <c r="E30" s="19">
        <v>338</v>
      </c>
      <c r="F30" s="19">
        <f t="shared" si="0"/>
        <v>338</v>
      </c>
      <c r="G30" s="271">
        <f t="shared" si="1"/>
        <v>44.075199999999995</v>
      </c>
    </row>
    <row r="31" spans="2:7">
      <c r="B31" s="81">
        <v>45840</v>
      </c>
      <c r="C31" s="18" t="s">
        <v>830</v>
      </c>
      <c r="D31" s="19">
        <v>1</v>
      </c>
      <c r="E31" s="19">
        <v>1375</v>
      </c>
      <c r="F31" s="19">
        <f t="shared" si="0"/>
        <v>1375</v>
      </c>
      <c r="G31" s="271">
        <f t="shared" si="1"/>
        <v>179.3</v>
      </c>
    </row>
    <row r="32" spans="2:7">
      <c r="B32" s="81">
        <v>45840</v>
      </c>
      <c r="C32" s="18" t="s">
        <v>831</v>
      </c>
      <c r="D32" s="19">
        <v>1</v>
      </c>
      <c r="E32" s="19">
        <v>775</v>
      </c>
      <c r="F32" s="19">
        <f t="shared" si="0"/>
        <v>775</v>
      </c>
      <c r="G32" s="271">
        <f t="shared" si="1"/>
        <v>101.06</v>
      </c>
    </row>
    <row r="33" spans="2:7">
      <c r="B33" s="376">
        <v>45841</v>
      </c>
      <c r="C33" s="103" t="s">
        <v>832</v>
      </c>
      <c r="D33" s="102">
        <v>4</v>
      </c>
      <c r="E33" s="102">
        <v>766</v>
      </c>
      <c r="F33" s="19">
        <f t="shared" si="0"/>
        <v>3064</v>
      </c>
      <c r="G33" s="271">
        <f t="shared" si="1"/>
        <v>399.54559999999998</v>
      </c>
    </row>
    <row r="34" spans="2:7">
      <c r="B34" s="1"/>
      <c r="C34" s="1"/>
      <c r="D34" s="1"/>
      <c r="E34" s="1"/>
      <c r="F34" s="19">
        <f t="shared" si="0"/>
        <v>0</v>
      </c>
      <c r="G34" s="271">
        <f t="shared" si="1"/>
        <v>0</v>
      </c>
    </row>
    <row r="35" spans="2:7">
      <c r="B35" s="377"/>
      <c r="C35" s="308"/>
      <c r="D35" s="309"/>
      <c r="E35" s="309"/>
      <c r="F35" s="19">
        <f t="shared" si="0"/>
        <v>0</v>
      </c>
      <c r="G35" s="271">
        <f t="shared" si="1"/>
        <v>0</v>
      </c>
    </row>
    <row r="36" spans="2:7">
      <c r="B36" s="81">
        <v>45844</v>
      </c>
      <c r="C36" s="18" t="s">
        <v>833</v>
      </c>
      <c r="D36" s="19">
        <v>150</v>
      </c>
      <c r="E36" s="19">
        <v>494</v>
      </c>
      <c r="F36" s="19">
        <f t="shared" si="0"/>
        <v>74100</v>
      </c>
      <c r="G36" s="271">
        <f t="shared" si="1"/>
        <v>9662.64</v>
      </c>
    </row>
    <row r="37" spans="2:7">
      <c r="B37" s="377"/>
      <c r="C37" s="308"/>
      <c r="D37" s="309"/>
      <c r="E37" s="309"/>
      <c r="F37" s="19">
        <f t="shared" si="0"/>
        <v>0</v>
      </c>
      <c r="G37" s="271">
        <f t="shared" si="1"/>
        <v>0</v>
      </c>
    </row>
    <row r="38" spans="2:7">
      <c r="B38" s="81">
        <v>45846</v>
      </c>
      <c r="C38" s="18" t="s">
        <v>835</v>
      </c>
      <c r="D38" s="19">
        <v>100</v>
      </c>
      <c r="E38" s="19">
        <v>494</v>
      </c>
      <c r="F38" s="19">
        <f t="shared" si="0"/>
        <v>49400</v>
      </c>
      <c r="G38" s="271">
        <f t="shared" si="1"/>
        <v>6441.76</v>
      </c>
    </row>
    <row r="39" spans="2:7">
      <c r="B39" s="81">
        <v>45848</v>
      </c>
      <c r="C39" s="18" t="s">
        <v>836</v>
      </c>
      <c r="D39" s="19">
        <v>100</v>
      </c>
      <c r="E39" s="19">
        <v>229</v>
      </c>
      <c r="F39" s="19">
        <f t="shared" si="0"/>
        <v>22900</v>
      </c>
      <c r="G39" s="271">
        <f t="shared" si="1"/>
        <v>2986.16</v>
      </c>
    </row>
    <row r="40" spans="2:7">
      <c r="B40" s="19"/>
      <c r="C40" s="18"/>
      <c r="D40" s="18"/>
      <c r="E40" s="18"/>
      <c r="F40" s="19">
        <f t="shared" si="0"/>
        <v>0</v>
      </c>
      <c r="G40" s="271">
        <f t="shared" si="1"/>
        <v>0</v>
      </c>
    </row>
    <row r="41" spans="2:7">
      <c r="B41" s="81">
        <v>45854</v>
      </c>
      <c r="C41" s="80" t="s">
        <v>863</v>
      </c>
      <c r="D41" s="19">
        <v>200</v>
      </c>
      <c r="E41" s="19">
        <v>728</v>
      </c>
      <c r="F41" s="19">
        <f t="shared" si="0"/>
        <v>145600</v>
      </c>
      <c r="G41" s="271">
        <f t="shared" si="1"/>
        <v>18986.239999999998</v>
      </c>
    </row>
    <row r="42" spans="2:7">
      <c r="B42" s="81">
        <v>45854</v>
      </c>
      <c r="C42" s="80" t="s">
        <v>864</v>
      </c>
      <c r="D42" s="19">
        <v>80</v>
      </c>
      <c r="E42" s="19">
        <v>85</v>
      </c>
      <c r="F42" s="19">
        <f t="shared" si="0"/>
        <v>6800</v>
      </c>
      <c r="G42" s="271">
        <f t="shared" si="1"/>
        <v>886.72</v>
      </c>
    </row>
    <row r="43" spans="2:7">
      <c r="B43" s="19"/>
      <c r="C43" s="18"/>
      <c r="D43" s="18"/>
      <c r="E43" s="18"/>
      <c r="F43" s="19">
        <f t="shared" si="0"/>
        <v>0</v>
      </c>
      <c r="G43" s="271">
        <f t="shared" si="1"/>
        <v>0</v>
      </c>
    </row>
    <row r="44" spans="2:7">
      <c r="B44" s="96">
        <v>45861</v>
      </c>
      <c r="C44" s="110" t="s">
        <v>897</v>
      </c>
      <c r="D44" s="127">
        <v>10</v>
      </c>
      <c r="E44" s="110">
        <v>1448.98</v>
      </c>
      <c r="F44" s="19">
        <f t="shared" si="0"/>
        <v>14489.8</v>
      </c>
      <c r="G44" s="271">
        <f t="shared" si="1"/>
        <v>1889.4699199999998</v>
      </c>
    </row>
    <row r="45" spans="2:7">
      <c r="B45" s="96">
        <v>45862</v>
      </c>
      <c r="C45" s="110" t="s">
        <v>898</v>
      </c>
      <c r="D45" s="127">
        <v>5</v>
      </c>
      <c r="E45" s="110">
        <v>1448.98</v>
      </c>
      <c r="F45" s="19">
        <f t="shared" si="0"/>
        <v>7244.9</v>
      </c>
      <c r="G45" s="271">
        <f t="shared" si="1"/>
        <v>944.73495999999989</v>
      </c>
    </row>
    <row r="46" spans="2:7">
      <c r="B46" s="96">
        <v>45863</v>
      </c>
      <c r="C46" s="110" t="s">
        <v>894</v>
      </c>
      <c r="D46" s="127">
        <v>2</v>
      </c>
      <c r="E46" s="110">
        <v>852</v>
      </c>
      <c r="F46" s="19">
        <f t="shared" si="0"/>
        <v>1704</v>
      </c>
      <c r="G46" s="271">
        <f t="shared" si="1"/>
        <v>222.20159999999998</v>
      </c>
    </row>
    <row r="47" spans="2:7">
      <c r="B47" s="96">
        <v>45862</v>
      </c>
      <c r="C47" s="110" t="s">
        <v>895</v>
      </c>
      <c r="D47" s="127">
        <v>1</v>
      </c>
      <c r="E47" s="110">
        <v>1359</v>
      </c>
      <c r="F47" s="19">
        <f t="shared" si="0"/>
        <v>1359</v>
      </c>
      <c r="G47" s="271">
        <f t="shared" si="1"/>
        <v>177.21360000000001</v>
      </c>
    </row>
    <row r="48" spans="2:7">
      <c r="B48" s="96">
        <v>45865</v>
      </c>
      <c r="C48" s="110" t="s">
        <v>896</v>
      </c>
      <c r="D48" s="337">
        <v>20</v>
      </c>
      <c r="E48" s="336">
        <v>720</v>
      </c>
      <c r="F48" s="19">
        <f t="shared" si="0"/>
        <v>14400</v>
      </c>
      <c r="G48" s="271">
        <f t="shared" si="1"/>
        <v>1877.76</v>
      </c>
    </row>
    <row r="49" spans="2:7">
      <c r="B49" s="127" t="s">
        <v>899</v>
      </c>
      <c r="C49" s="138" t="s">
        <v>900</v>
      </c>
      <c r="D49" s="127">
        <v>1</v>
      </c>
      <c r="E49" s="127">
        <v>1359</v>
      </c>
      <c r="F49" s="19">
        <f t="shared" si="0"/>
        <v>1359</v>
      </c>
      <c r="G49" s="271">
        <f t="shared" si="1"/>
        <v>177.21360000000001</v>
      </c>
    </row>
    <row r="50" spans="2:7">
      <c r="B50" s="19"/>
      <c r="C50" s="18"/>
      <c r="D50" s="18"/>
      <c r="E50" s="18"/>
      <c r="F50" s="19">
        <f t="shared" si="0"/>
        <v>0</v>
      </c>
      <c r="G50" s="271">
        <f t="shared" si="1"/>
        <v>0</v>
      </c>
    </row>
    <row r="51" spans="2:7">
      <c r="B51" s="81">
        <v>45831</v>
      </c>
      <c r="C51" s="80" t="s">
        <v>904</v>
      </c>
      <c r="D51" s="19">
        <v>3</v>
      </c>
      <c r="E51" s="19">
        <v>550</v>
      </c>
      <c r="F51" s="19">
        <f t="shared" si="0"/>
        <v>1650</v>
      </c>
      <c r="G51" s="271">
        <f t="shared" si="1"/>
        <v>215.16</v>
      </c>
    </row>
    <row r="52" spans="2:7">
      <c r="B52" s="96">
        <v>45864</v>
      </c>
      <c r="C52" s="110" t="s">
        <v>1009</v>
      </c>
      <c r="D52" s="127">
        <v>10</v>
      </c>
      <c r="E52" s="127">
        <v>738</v>
      </c>
      <c r="F52" s="19">
        <f t="shared" si="0"/>
        <v>7380</v>
      </c>
      <c r="G52" s="271">
        <f t="shared" si="1"/>
        <v>962.35199999999998</v>
      </c>
    </row>
    <row r="53" spans="2:7">
      <c r="B53" s="96">
        <v>45864</v>
      </c>
      <c r="C53" s="110" t="s">
        <v>1010</v>
      </c>
      <c r="D53" s="127">
        <v>10</v>
      </c>
      <c r="E53" s="127">
        <v>738</v>
      </c>
      <c r="F53" s="19">
        <f t="shared" si="0"/>
        <v>7380</v>
      </c>
      <c r="G53" s="271">
        <f t="shared" si="1"/>
        <v>962.35199999999998</v>
      </c>
    </row>
    <row r="54" spans="2:7">
      <c r="G54" s="378">
        <f>SUM(G2:G53)</f>
        <v>76422.853832000008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8B3-CAF4-4EC5-BD5D-8B0C08D05D2A}">
  <sheetPr codeName="Sheet13"/>
  <dimension ref="B1:F57"/>
  <sheetViews>
    <sheetView topLeftCell="A34" zoomScale="89" zoomScaleNormal="89" workbookViewId="0">
      <selection activeCell="I15" sqref="I15"/>
    </sheetView>
  </sheetViews>
  <sheetFormatPr defaultRowHeight="15"/>
  <cols>
    <col min="1" max="1" width="8.140625" customWidth="1"/>
    <col min="2" max="2" width="11.5703125" style="1" customWidth="1"/>
    <col min="3" max="3" width="46.140625" style="1" customWidth="1"/>
    <col min="4" max="4" width="14.85546875" style="300" customWidth="1"/>
    <col min="5" max="5" width="16.85546875" customWidth="1"/>
  </cols>
  <sheetData>
    <row r="1" spans="2:6">
      <c r="C1" s="1" t="s">
        <v>772</v>
      </c>
    </row>
    <row r="2" spans="2:6" ht="21">
      <c r="B2" s="295" t="s">
        <v>1</v>
      </c>
      <c r="C2" s="295" t="s">
        <v>739</v>
      </c>
      <c r="D2" s="298" t="s">
        <v>740</v>
      </c>
      <c r="E2" s="296"/>
    </row>
    <row r="3" spans="2:6">
      <c r="B3" s="81">
        <v>45574</v>
      </c>
      <c r="C3" s="80" t="s">
        <v>741</v>
      </c>
      <c r="D3" s="299">
        <v>644.74</v>
      </c>
      <c r="E3" s="18" t="s">
        <v>745</v>
      </c>
      <c r="F3" t="s">
        <v>305</v>
      </c>
    </row>
    <row r="4" spans="2:6">
      <c r="B4" s="81">
        <v>45576</v>
      </c>
      <c r="C4" s="80" t="s">
        <v>742</v>
      </c>
      <c r="D4" s="299">
        <v>12.9</v>
      </c>
      <c r="E4" s="18" t="s">
        <v>745</v>
      </c>
      <c r="F4" t="s">
        <v>305</v>
      </c>
    </row>
    <row r="5" spans="2:6">
      <c r="B5" s="81">
        <v>45586</v>
      </c>
      <c r="C5" s="80" t="s">
        <v>743</v>
      </c>
      <c r="D5" s="299">
        <v>1355.87</v>
      </c>
      <c r="E5" s="18" t="s">
        <v>745</v>
      </c>
      <c r="F5" t="s">
        <v>305</v>
      </c>
    </row>
    <row r="6" spans="2:6">
      <c r="B6" s="81">
        <v>45631</v>
      </c>
      <c r="C6" s="80" t="s">
        <v>744</v>
      </c>
      <c r="D6" s="299">
        <v>9.01</v>
      </c>
      <c r="E6" s="18" t="s">
        <v>745</v>
      </c>
      <c r="F6" t="s">
        <v>305</v>
      </c>
    </row>
    <row r="7" spans="2:6">
      <c r="B7" s="81">
        <v>45754</v>
      </c>
      <c r="C7" s="80" t="s">
        <v>749</v>
      </c>
      <c r="D7" s="299">
        <v>4967.1000000000004</v>
      </c>
      <c r="E7" s="18" t="s">
        <v>745</v>
      </c>
      <c r="F7" t="s">
        <v>305</v>
      </c>
    </row>
    <row r="8" spans="2:6">
      <c r="B8" s="81">
        <v>45754</v>
      </c>
      <c r="C8" s="80" t="s">
        <v>749</v>
      </c>
      <c r="D8" s="299">
        <v>4967.1000000000004</v>
      </c>
      <c r="E8" s="18" t="s">
        <v>745</v>
      </c>
      <c r="F8" t="s">
        <v>305</v>
      </c>
    </row>
    <row r="9" spans="2:6">
      <c r="B9" s="81">
        <v>45755</v>
      </c>
      <c r="C9" s="80" t="s">
        <v>750</v>
      </c>
      <c r="D9" s="299">
        <v>5235.6000000000004</v>
      </c>
      <c r="E9" s="18" t="s">
        <v>745</v>
      </c>
      <c r="F9" t="s">
        <v>305</v>
      </c>
    </row>
    <row r="10" spans="2:6">
      <c r="B10" s="81">
        <v>45792</v>
      </c>
      <c r="C10" s="80" t="s">
        <v>751</v>
      </c>
      <c r="D10" s="299">
        <v>745.87</v>
      </c>
      <c r="E10" s="18" t="s">
        <v>745</v>
      </c>
      <c r="F10" t="s">
        <v>305</v>
      </c>
    </row>
    <row r="11" spans="2:6">
      <c r="B11" s="19"/>
      <c r="C11" s="80"/>
      <c r="D11" s="299"/>
      <c r="E11" s="18"/>
    </row>
    <row r="12" spans="2:6">
      <c r="B12" s="81">
        <v>45698</v>
      </c>
      <c r="C12" s="80" t="s">
        <v>752</v>
      </c>
      <c r="D12" s="299">
        <v>12.34</v>
      </c>
      <c r="E12" s="18" t="s">
        <v>748</v>
      </c>
      <c r="F12" t="s">
        <v>305</v>
      </c>
    </row>
    <row r="13" spans="2:6">
      <c r="B13" s="81">
        <v>45698</v>
      </c>
      <c r="C13" s="80" t="s">
        <v>753</v>
      </c>
      <c r="D13" s="299">
        <v>26.74</v>
      </c>
      <c r="E13" s="18" t="s">
        <v>748</v>
      </c>
      <c r="F13" t="s">
        <v>305</v>
      </c>
    </row>
    <row r="14" spans="2:6">
      <c r="B14" s="81">
        <v>45698</v>
      </c>
      <c r="C14" s="80" t="s">
        <v>754</v>
      </c>
      <c r="D14" s="299">
        <v>84.54</v>
      </c>
      <c r="E14" s="18" t="s">
        <v>748</v>
      </c>
      <c r="F14" t="s">
        <v>305</v>
      </c>
    </row>
    <row r="15" spans="2:6">
      <c r="B15" s="81">
        <v>45698</v>
      </c>
      <c r="C15" s="80" t="s">
        <v>755</v>
      </c>
      <c r="D15" s="299">
        <v>513.48</v>
      </c>
      <c r="E15" s="18" t="s">
        <v>748</v>
      </c>
      <c r="F15" t="s">
        <v>305</v>
      </c>
    </row>
    <row r="16" spans="2:6">
      <c r="B16" s="81">
        <v>45699</v>
      </c>
      <c r="C16" s="80" t="s">
        <v>756</v>
      </c>
      <c r="D16" s="299">
        <v>100</v>
      </c>
      <c r="E16" s="18" t="s">
        <v>748</v>
      </c>
      <c r="F16" t="s">
        <v>305</v>
      </c>
    </row>
    <row r="17" spans="2:6">
      <c r="B17" s="81">
        <v>45699</v>
      </c>
      <c r="C17" s="80" t="s">
        <v>757</v>
      </c>
      <c r="D17" s="299">
        <v>59.12</v>
      </c>
      <c r="E17" s="18" t="s">
        <v>748</v>
      </c>
      <c r="F17" t="s">
        <v>305</v>
      </c>
    </row>
    <row r="18" spans="2:6">
      <c r="B18" s="81">
        <v>45699</v>
      </c>
      <c r="C18" s="80" t="s">
        <v>758</v>
      </c>
      <c r="D18" s="299">
        <v>12.34</v>
      </c>
      <c r="E18" s="18" t="s">
        <v>748</v>
      </c>
      <c r="F18" t="s">
        <v>305</v>
      </c>
    </row>
    <row r="19" spans="2:6">
      <c r="B19" s="81">
        <v>45699</v>
      </c>
      <c r="C19" s="80" t="s">
        <v>759</v>
      </c>
      <c r="D19" s="299">
        <v>178.93</v>
      </c>
      <c r="E19" s="18" t="s">
        <v>748</v>
      </c>
      <c r="F19" t="s">
        <v>305</v>
      </c>
    </row>
    <row r="20" spans="2:6">
      <c r="B20" s="81">
        <v>45699</v>
      </c>
      <c r="C20" s="80" t="s">
        <v>760</v>
      </c>
      <c r="D20" s="299">
        <v>28.8</v>
      </c>
      <c r="E20" s="18" t="s">
        <v>748</v>
      </c>
      <c r="F20" t="s">
        <v>305</v>
      </c>
    </row>
    <row r="21" spans="2:6">
      <c r="B21" s="81">
        <v>45702</v>
      </c>
      <c r="C21" s="80" t="s">
        <v>761</v>
      </c>
      <c r="D21" s="299">
        <v>950.06</v>
      </c>
      <c r="E21" s="18" t="s">
        <v>748</v>
      </c>
      <c r="F21" t="s">
        <v>305</v>
      </c>
    </row>
    <row r="22" spans="2:6">
      <c r="B22" s="81">
        <v>45702</v>
      </c>
      <c r="C22" s="80" t="s">
        <v>757</v>
      </c>
      <c r="D22" s="299">
        <v>68.27</v>
      </c>
      <c r="E22" s="18" t="s">
        <v>748</v>
      </c>
      <c r="F22" t="s">
        <v>305</v>
      </c>
    </row>
    <row r="23" spans="2:6">
      <c r="B23" s="81">
        <v>45705</v>
      </c>
      <c r="C23" s="80" t="s">
        <v>762</v>
      </c>
      <c r="D23" s="299">
        <v>194.17</v>
      </c>
      <c r="E23" s="18" t="s">
        <v>748</v>
      </c>
      <c r="F23" t="s">
        <v>305</v>
      </c>
    </row>
    <row r="24" spans="2:6">
      <c r="B24" s="81">
        <v>45705</v>
      </c>
      <c r="C24" s="80" t="s">
        <v>763</v>
      </c>
      <c r="D24" s="299">
        <v>11.97</v>
      </c>
      <c r="E24" s="18" t="s">
        <v>748</v>
      </c>
      <c r="F24" t="s">
        <v>305</v>
      </c>
    </row>
    <row r="25" spans="2:6">
      <c r="B25" s="81">
        <v>45705</v>
      </c>
      <c r="C25" s="80" t="s">
        <v>764</v>
      </c>
      <c r="D25" s="299">
        <v>2294.85</v>
      </c>
      <c r="E25" s="18" t="s">
        <v>748</v>
      </c>
      <c r="F25" t="s">
        <v>305</v>
      </c>
    </row>
    <row r="26" spans="2:6">
      <c r="B26" s="81">
        <v>45706</v>
      </c>
      <c r="C26" s="80" t="s">
        <v>757</v>
      </c>
      <c r="D26" s="299">
        <v>30.32</v>
      </c>
      <c r="E26" s="18" t="s">
        <v>748</v>
      </c>
      <c r="F26" t="s">
        <v>305</v>
      </c>
    </row>
    <row r="27" spans="2:6">
      <c r="B27" s="81">
        <v>45706</v>
      </c>
      <c r="C27" s="80" t="s">
        <v>757</v>
      </c>
      <c r="D27" s="299">
        <v>37.94</v>
      </c>
      <c r="E27" s="18" t="s">
        <v>748</v>
      </c>
      <c r="F27" t="s">
        <v>305</v>
      </c>
    </row>
    <row r="28" spans="2:6">
      <c r="B28" s="81">
        <v>45706</v>
      </c>
      <c r="C28" s="80" t="s">
        <v>757</v>
      </c>
      <c r="D28" s="299">
        <v>182.67</v>
      </c>
      <c r="E28" s="18" t="s">
        <v>748</v>
      </c>
      <c r="F28" t="s">
        <v>305</v>
      </c>
    </row>
    <row r="29" spans="2:6">
      <c r="B29" s="81">
        <v>45706</v>
      </c>
      <c r="C29" s="80" t="s">
        <v>765</v>
      </c>
      <c r="D29" s="299">
        <v>20.61</v>
      </c>
      <c r="E29" s="18" t="s">
        <v>748</v>
      </c>
      <c r="F29" t="s">
        <v>305</v>
      </c>
    </row>
    <row r="30" spans="2:6">
      <c r="B30" s="81">
        <v>45706</v>
      </c>
      <c r="C30" s="80" t="s">
        <v>765</v>
      </c>
      <c r="D30" s="299">
        <v>24.68</v>
      </c>
      <c r="E30" s="18" t="s">
        <v>748</v>
      </c>
      <c r="F30" t="s">
        <v>305</v>
      </c>
    </row>
    <row r="31" spans="2:6">
      <c r="B31" s="81">
        <v>45706</v>
      </c>
      <c r="C31" s="80" t="s">
        <v>765</v>
      </c>
      <c r="D31" s="299">
        <v>12.34</v>
      </c>
      <c r="E31" s="18" t="s">
        <v>748</v>
      </c>
      <c r="F31" t="s">
        <v>305</v>
      </c>
    </row>
    <row r="32" spans="2:6">
      <c r="B32" s="81">
        <v>45706</v>
      </c>
      <c r="C32" s="80" t="s">
        <v>766</v>
      </c>
      <c r="D32" s="299">
        <v>59.85</v>
      </c>
      <c r="E32" s="18" t="s">
        <v>748</v>
      </c>
      <c r="F32" t="s">
        <v>305</v>
      </c>
    </row>
    <row r="33" spans="2:6">
      <c r="B33" s="81">
        <v>45706</v>
      </c>
      <c r="C33" s="80" t="s">
        <v>767</v>
      </c>
      <c r="D33" s="299">
        <v>57.64</v>
      </c>
      <c r="E33" s="18" t="s">
        <v>748</v>
      </c>
      <c r="F33" t="s">
        <v>305</v>
      </c>
    </row>
    <row r="34" spans="2:6">
      <c r="B34" s="81">
        <v>45707</v>
      </c>
      <c r="C34" s="80" t="s">
        <v>765</v>
      </c>
      <c r="D34" s="299">
        <v>37.1</v>
      </c>
      <c r="E34" s="18" t="s">
        <v>748</v>
      </c>
      <c r="F34" t="s">
        <v>305</v>
      </c>
    </row>
    <row r="35" spans="2:6">
      <c r="B35" s="81">
        <v>45707</v>
      </c>
      <c r="C35" s="80" t="s">
        <v>768</v>
      </c>
      <c r="D35" s="299">
        <v>761.9</v>
      </c>
      <c r="E35" s="18" t="s">
        <v>748</v>
      </c>
      <c r="F35" t="s">
        <v>305</v>
      </c>
    </row>
    <row r="36" spans="2:6">
      <c r="B36" s="81">
        <v>45715</v>
      </c>
      <c r="C36" s="80" t="s">
        <v>746</v>
      </c>
      <c r="D36" s="299">
        <v>206</v>
      </c>
      <c r="E36" s="18" t="s">
        <v>748</v>
      </c>
      <c r="F36" t="s">
        <v>305</v>
      </c>
    </row>
    <row r="37" spans="2:6">
      <c r="B37" s="81">
        <v>45730</v>
      </c>
      <c r="C37" s="80" t="s">
        <v>747</v>
      </c>
      <c r="D37" s="299">
        <v>208.95</v>
      </c>
      <c r="E37" s="18" t="s">
        <v>748</v>
      </c>
      <c r="F37" t="s">
        <v>305</v>
      </c>
    </row>
    <row r="38" spans="2:6">
      <c r="B38" s="81">
        <v>45735</v>
      </c>
      <c r="C38" s="80" t="s">
        <v>747</v>
      </c>
      <c r="D38" s="299">
        <v>208.95</v>
      </c>
      <c r="E38" s="18" t="s">
        <v>748</v>
      </c>
      <c r="F38" t="s">
        <v>305</v>
      </c>
    </row>
    <row r="39" spans="2:6">
      <c r="B39" s="81">
        <v>45740</v>
      </c>
      <c r="C39" s="80" t="s">
        <v>746</v>
      </c>
      <c r="D39" s="299">
        <v>213.55</v>
      </c>
      <c r="E39" s="18" t="s">
        <v>748</v>
      </c>
      <c r="F39" t="s">
        <v>305</v>
      </c>
    </row>
    <row r="40" spans="2:6">
      <c r="B40" s="81">
        <v>45786</v>
      </c>
      <c r="C40" s="80" t="s">
        <v>746</v>
      </c>
      <c r="D40" s="299">
        <v>228.13</v>
      </c>
      <c r="E40" s="18" t="s">
        <v>748</v>
      </c>
      <c r="F40" t="s">
        <v>305</v>
      </c>
    </row>
    <row r="41" spans="2:6">
      <c r="B41" s="81">
        <v>45798</v>
      </c>
      <c r="C41" s="80" t="s">
        <v>747</v>
      </c>
      <c r="D41" s="299">
        <v>208.95</v>
      </c>
      <c r="E41" s="18" t="s">
        <v>748</v>
      </c>
      <c r="F41" t="s">
        <v>305</v>
      </c>
    </row>
    <row r="42" spans="2:6">
      <c r="C42" s="297" t="s">
        <v>737</v>
      </c>
      <c r="D42" s="300">
        <f>SUM(D3:D41)</f>
        <v>24973.379999999997</v>
      </c>
    </row>
    <row r="48" spans="2:6">
      <c r="C48" s="1" t="s">
        <v>773</v>
      </c>
    </row>
    <row r="49" spans="2:6" ht="21">
      <c r="B49" s="295" t="s">
        <v>1</v>
      </c>
      <c r="C49" s="295" t="s">
        <v>739</v>
      </c>
      <c r="D49" s="298" t="s">
        <v>740</v>
      </c>
      <c r="E49" s="296"/>
    </row>
    <row r="50" spans="2:6">
      <c r="B50" s="81">
        <v>45616</v>
      </c>
      <c r="C50" s="80" t="s">
        <v>747</v>
      </c>
      <c r="D50" s="299">
        <v>168.51</v>
      </c>
      <c r="E50" s="18"/>
      <c r="F50" t="s">
        <v>305</v>
      </c>
    </row>
    <row r="51" spans="2:6">
      <c r="B51" s="81">
        <v>45616</v>
      </c>
      <c r="C51" s="80" t="s">
        <v>746</v>
      </c>
      <c r="D51" s="299">
        <v>272.23</v>
      </c>
      <c r="E51" s="18"/>
      <c r="F51" t="s">
        <v>305</v>
      </c>
    </row>
    <row r="52" spans="2:6">
      <c r="B52" s="81">
        <v>45626</v>
      </c>
      <c r="C52" s="80" t="s">
        <v>769</v>
      </c>
      <c r="D52" s="299">
        <v>1444.82</v>
      </c>
      <c r="E52" s="18"/>
      <c r="F52" t="s">
        <v>305</v>
      </c>
    </row>
    <row r="53" spans="2:6">
      <c r="B53" s="81">
        <v>45631</v>
      </c>
      <c r="C53" s="80" t="s">
        <v>770</v>
      </c>
      <c r="D53" s="299">
        <v>2576.2800000000002</v>
      </c>
      <c r="E53" s="18"/>
      <c r="F53" t="s">
        <v>305</v>
      </c>
    </row>
    <row r="54" spans="2:6">
      <c r="B54" s="81">
        <v>45661</v>
      </c>
      <c r="C54" s="80" t="s">
        <v>771</v>
      </c>
      <c r="D54" s="299">
        <v>5675</v>
      </c>
      <c r="E54" s="18"/>
      <c r="F54" t="s">
        <v>305</v>
      </c>
    </row>
    <row r="55" spans="2:6">
      <c r="B55" s="81">
        <v>45721</v>
      </c>
      <c r="C55" s="80" t="s">
        <v>771</v>
      </c>
      <c r="D55" s="299">
        <v>5675</v>
      </c>
      <c r="E55" s="18"/>
      <c r="F55" t="s">
        <v>305</v>
      </c>
    </row>
    <row r="56" spans="2:6">
      <c r="B56" s="81">
        <v>45778</v>
      </c>
      <c r="C56" s="80" t="s">
        <v>771</v>
      </c>
      <c r="D56" s="299">
        <v>5675</v>
      </c>
      <c r="E56" s="18"/>
      <c r="F56" t="s">
        <v>305</v>
      </c>
    </row>
    <row r="57" spans="2:6">
      <c r="C57" s="297" t="s">
        <v>737</v>
      </c>
      <c r="D57" s="300">
        <f>SUM(D50:D56)</f>
        <v>21486.84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858E-A110-4A5E-8E5B-2F8658A36A4E}">
  <sheetPr codeName="Sheet14"/>
  <dimension ref="A3:G32"/>
  <sheetViews>
    <sheetView topLeftCell="A6" zoomScale="106" zoomScaleNormal="106" workbookViewId="0">
      <selection activeCell="D31" sqref="D31"/>
    </sheetView>
  </sheetViews>
  <sheetFormatPr defaultRowHeight="15"/>
  <cols>
    <col min="2" max="2" width="33.42578125" customWidth="1"/>
    <col min="3" max="3" width="37.42578125" style="505" customWidth="1"/>
    <col min="4" max="4" width="36" customWidth="1"/>
    <col min="5" max="5" width="32.85546875" customWidth="1"/>
    <col min="6" max="6" width="15.140625" customWidth="1"/>
    <col min="7" max="7" width="13.85546875" customWidth="1"/>
  </cols>
  <sheetData>
    <row r="3" spans="1:4" ht="26.25">
      <c r="B3" s="178" t="s">
        <v>357</v>
      </c>
      <c r="C3" s="504">
        <v>220128.88000000018</v>
      </c>
    </row>
    <row r="4" spans="1:4" ht="26.25">
      <c r="B4" s="178" t="s">
        <v>1372</v>
      </c>
      <c r="C4" s="504">
        <f>C3*0.05</f>
        <v>11006.44400000001</v>
      </c>
    </row>
    <row r="5" spans="1:4" ht="26.25">
      <c r="B5" s="506"/>
      <c r="C5" s="507"/>
    </row>
    <row r="6" spans="1:4" ht="26.25">
      <c r="B6" s="506" t="s">
        <v>1373</v>
      </c>
      <c r="C6" s="507">
        <f>C3-C4</f>
        <v>209122.43600000016</v>
      </c>
    </row>
    <row r="7" spans="1:4">
      <c r="A7" t="s">
        <v>1370</v>
      </c>
      <c r="B7" t="s">
        <v>1368</v>
      </c>
      <c r="C7" s="505">
        <f>C6*0.4</f>
        <v>83648.974400000065</v>
      </c>
    </row>
    <row r="8" spans="1:4">
      <c r="A8" t="s">
        <v>1371</v>
      </c>
      <c r="B8" t="s">
        <v>1369</v>
      </c>
      <c r="C8" s="505">
        <f>C6-C7</f>
        <v>125473.4616000001</v>
      </c>
    </row>
    <row r="10" spans="1:4">
      <c r="B10" t="s">
        <v>1374</v>
      </c>
      <c r="C10" s="505">
        <f>C8/3</f>
        <v>41824.487200000032</v>
      </c>
    </row>
    <row r="11" spans="1:4">
      <c r="D11" s="505"/>
    </row>
    <row r="13" spans="1:4">
      <c r="B13" s="508" t="s">
        <v>1665</v>
      </c>
      <c r="C13" s="508"/>
    </row>
    <row r="14" spans="1:4">
      <c r="B14" s="510">
        <v>979471</v>
      </c>
      <c r="C14" s="511"/>
    </row>
    <row r="15" spans="1:4">
      <c r="B15" s="510">
        <v>728047</v>
      </c>
      <c r="C15" s="511"/>
    </row>
    <row r="16" spans="1:4">
      <c r="B16" s="510">
        <v>107767</v>
      </c>
      <c r="C16" s="511"/>
    </row>
    <row r="17" spans="2:7" ht="38.450000000000003" customHeight="1">
      <c r="B17" s="511">
        <f>SUM(B14:B16)</f>
        <v>1815285</v>
      </c>
      <c r="C17" s="513"/>
    </row>
    <row r="20" spans="2:7">
      <c r="B20" s="508" t="s">
        <v>1379</v>
      </c>
      <c r="C20" s="508" t="s">
        <v>1380</v>
      </c>
      <c r="D20" s="508" t="s">
        <v>1381</v>
      </c>
      <c r="E20" s="508" t="s">
        <v>1382</v>
      </c>
    </row>
    <row r="21" spans="2:7">
      <c r="B21" s="509" t="s">
        <v>745</v>
      </c>
      <c r="C21" s="510">
        <v>1290232</v>
      </c>
      <c r="D21" s="509" t="s">
        <v>2596</v>
      </c>
      <c r="E21" s="509" t="s">
        <v>2601</v>
      </c>
      <c r="F21" s="508"/>
      <c r="G21" s="508"/>
    </row>
    <row r="22" spans="2:7">
      <c r="B22" s="509" t="s">
        <v>1980</v>
      </c>
      <c r="C22" s="510">
        <v>784896</v>
      </c>
      <c r="D22" s="509" t="s">
        <v>2597</v>
      </c>
      <c r="E22" s="509" t="s">
        <v>2600</v>
      </c>
      <c r="F22" s="508"/>
      <c r="G22" s="510"/>
    </row>
    <row r="23" spans="2:7">
      <c r="B23" s="509" t="s">
        <v>1979</v>
      </c>
      <c r="C23" s="510">
        <v>121762</v>
      </c>
      <c r="D23" s="509" t="s">
        <v>2598</v>
      </c>
      <c r="E23" s="509" t="s">
        <v>2599</v>
      </c>
      <c r="F23" s="508"/>
      <c r="G23" s="510"/>
    </row>
    <row r="24" spans="2:7">
      <c r="E24" s="509"/>
      <c r="F24" s="511"/>
      <c r="G24" s="510"/>
    </row>
    <row r="25" spans="2:7">
      <c r="E25" s="512"/>
      <c r="F25" s="513"/>
      <c r="G25" s="512"/>
    </row>
    <row r="26" spans="2:7">
      <c r="D26" s="512" t="s">
        <v>1982</v>
      </c>
      <c r="E26" s="512" t="s">
        <v>1983</v>
      </c>
      <c r="F26" s="628">
        <v>90943.14</v>
      </c>
    </row>
    <row r="27" spans="2:7">
      <c r="D27" s="512" t="s">
        <v>1980</v>
      </c>
      <c r="E27" s="512" t="s">
        <v>1983</v>
      </c>
      <c r="F27" s="628">
        <v>71703.88</v>
      </c>
    </row>
    <row r="28" spans="2:7">
      <c r="D28" s="512" t="s">
        <v>1979</v>
      </c>
      <c r="E28" s="512" t="s">
        <v>1983</v>
      </c>
      <c r="F28" s="628">
        <v>46458.64</v>
      </c>
    </row>
    <row r="30" spans="2:7">
      <c r="B30" s="27" t="s">
        <v>1383</v>
      </c>
    </row>
    <row r="32" spans="2:7">
      <c r="B32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Usa Purchase</vt:lpstr>
      <vt:lpstr>Purchases</vt:lpstr>
      <vt:lpstr>Stock_Transactions</vt:lpstr>
      <vt:lpstr>Product_Master</vt:lpstr>
      <vt:lpstr>GST</vt:lpstr>
      <vt:lpstr>Pending_Stock</vt:lpstr>
      <vt:lpstr>ShipToDubai</vt:lpstr>
      <vt:lpstr>Monthly Sales</vt:lpstr>
      <vt:lpstr>Pending Things</vt:lpstr>
      <vt:lpstr>Karachi Sale</vt:lpstr>
      <vt:lpstr>Sheet2</vt:lpstr>
      <vt:lpstr>Sheet1</vt:lpstr>
      <vt:lpstr>profit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dell5300</dc:creator>
  <cp:keywords/>
  <dc:description/>
  <cp:lastModifiedBy>Swiss Tech</cp:lastModifiedBy>
  <cp:revision/>
  <cp:lastPrinted>2025-06-21T16:30:09Z</cp:lastPrinted>
  <dcterms:created xsi:type="dcterms:W3CDTF">2025-02-22T14:06:20Z</dcterms:created>
  <dcterms:modified xsi:type="dcterms:W3CDTF">2026-06-29T15:42:09Z</dcterms:modified>
  <cp:category/>
  <cp:contentStatus/>
</cp:coreProperties>
</file>